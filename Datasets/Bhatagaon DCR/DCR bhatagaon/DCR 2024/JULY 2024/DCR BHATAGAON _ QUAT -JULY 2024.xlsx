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8" sheetId="33" r:id="rId27"/>
    <sheet name="27" sheetId="32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Q45" i="39" l="1"/>
  <c r="P45" i="39"/>
  <c r="C45" i="39"/>
  <c r="D45" i="39"/>
  <c r="E45" i="39"/>
  <c r="F45" i="39"/>
  <c r="G45" i="39"/>
  <c r="H45" i="39"/>
  <c r="I45" i="39"/>
  <c r="J45" i="39"/>
  <c r="K45" i="39"/>
  <c r="L45" i="39"/>
  <c r="M45" i="39"/>
  <c r="N45" i="39"/>
  <c r="O45" i="39"/>
  <c r="B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8" i="39"/>
  <c r="A39" i="39"/>
  <c r="I110" i="44"/>
  <c r="I110" i="41"/>
  <c r="Q110" i="44" l="1"/>
  <c r="Q112" i="44" s="1"/>
  <c r="P110" i="44"/>
  <c r="P112" i="44" s="1"/>
  <c r="O110" i="44"/>
  <c r="O112" i="44" s="1"/>
  <c r="N110" i="44"/>
  <c r="N112" i="44" s="1"/>
  <c r="M110" i="44"/>
  <c r="M112" i="44" s="1"/>
  <c r="L110" i="44"/>
  <c r="L111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1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P110" i="40"/>
  <c r="I110" i="40"/>
  <c r="G110" i="40"/>
  <c r="H110" i="40"/>
  <c r="F110" i="40"/>
  <c r="I110" i="32"/>
  <c r="G110" i="32"/>
  <c r="F110" i="32"/>
  <c r="F110" i="33"/>
  <c r="G110" i="33"/>
  <c r="H110" i="33"/>
  <c r="I110" i="33"/>
  <c r="J110" i="33"/>
  <c r="J110" i="31"/>
  <c r="Q110" i="31"/>
  <c r="I110" i="31"/>
  <c r="H110" i="31"/>
  <c r="F110" i="31"/>
  <c r="I110" i="30"/>
  <c r="H110" i="30"/>
  <c r="G110" i="30"/>
  <c r="Q111" i="44" l="1"/>
  <c r="B111" i="44"/>
  <c r="C112" i="44"/>
  <c r="E111" i="44"/>
  <c r="F111" i="44"/>
  <c r="D111" i="44"/>
  <c r="G111" i="44"/>
  <c r="H111" i="44"/>
  <c r="I111" i="44"/>
  <c r="J111" i="44"/>
  <c r="K111" i="44"/>
  <c r="L112" i="44"/>
  <c r="M111" i="44"/>
  <c r="N111" i="44"/>
  <c r="O111" i="44"/>
  <c r="P111" i="44"/>
  <c r="C110" i="29" l="1"/>
  <c r="D110" i="29"/>
  <c r="E110" i="29"/>
  <c r="F110" i="29"/>
  <c r="G110" i="29"/>
  <c r="H110" i="29"/>
  <c r="I110" i="29"/>
  <c r="J110" i="29"/>
  <c r="K110" i="29"/>
  <c r="L110" i="29"/>
  <c r="M110" i="29"/>
  <c r="N110" i="29"/>
  <c r="O110" i="29"/>
  <c r="P110" i="29"/>
  <c r="Q110" i="29"/>
  <c r="B110" i="29"/>
  <c r="H110" i="8" l="1"/>
  <c r="G110" i="8"/>
  <c r="J110" i="28"/>
  <c r="Q110" i="28"/>
  <c r="P110" i="28"/>
  <c r="I110" i="27"/>
  <c r="H110" i="26"/>
  <c r="G110" i="26"/>
  <c r="G110" i="22"/>
  <c r="H110" i="22"/>
  <c r="Q110" i="19"/>
  <c r="H110" i="18"/>
  <c r="I110" i="18"/>
  <c r="J110" i="18"/>
  <c r="Q110" i="17"/>
  <c r="Q110" i="16"/>
  <c r="H110" i="16"/>
  <c r="G110" i="16"/>
  <c r="Q110" i="15"/>
  <c r="F110" i="12"/>
  <c r="G110" i="12"/>
  <c r="H110" i="12"/>
  <c r="I110" i="12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B110" i="11"/>
  <c r="H110" i="9"/>
  <c r="G110" i="9"/>
  <c r="C110" i="8"/>
  <c r="D110" i="8"/>
  <c r="E110" i="8"/>
  <c r="F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C110" i="26" l="1"/>
  <c r="C112" i="26" s="1"/>
  <c r="D110" i="26"/>
  <c r="D112" i="26" s="1"/>
  <c r="B110" i="26"/>
  <c r="B112" i="26"/>
  <c r="E110" i="26"/>
  <c r="E112" i="26" s="1"/>
  <c r="F110" i="26"/>
  <c r="F111" i="26" s="1"/>
  <c r="G112" i="26"/>
  <c r="H112" i="26"/>
  <c r="I110" i="26"/>
  <c r="I112" i="26" s="1"/>
  <c r="J110" i="26"/>
  <c r="J111" i="26" s="1"/>
  <c r="K110" i="26"/>
  <c r="L110" i="26"/>
  <c r="M110" i="26"/>
  <c r="N110" i="26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/>
  <c r="N110" i="25"/>
  <c r="N111" i="25" s="1"/>
  <c r="O110" i="25"/>
  <c r="O112" i="25" s="1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1" i="40"/>
  <c r="I111" i="40"/>
  <c r="G112" i="33"/>
  <c r="H111" i="33"/>
  <c r="I111" i="33"/>
  <c r="J112" i="33"/>
  <c r="J110" i="32"/>
  <c r="J111" i="32" s="1"/>
  <c r="I112" i="32"/>
  <c r="H110" i="32"/>
  <c r="H111" i="32" s="1"/>
  <c r="H112" i="31"/>
  <c r="I111" i="31"/>
  <c r="J111" i="31"/>
  <c r="G110" i="31"/>
  <c r="G112" i="31" s="1"/>
  <c r="J110" i="30"/>
  <c r="J111" i="30" s="1"/>
  <c r="I112" i="30"/>
  <c r="H112" i="30"/>
  <c r="J112" i="29"/>
  <c r="I112" i="29"/>
  <c r="H112" i="29"/>
  <c r="J111" i="28"/>
  <c r="I110" i="28"/>
  <c r="I112" i="28"/>
  <c r="H110" i="28"/>
  <c r="H111" i="28" s="1"/>
  <c r="I112" i="27"/>
  <c r="C110" i="27"/>
  <c r="C111" i="27"/>
  <c r="D110" i="27"/>
  <c r="D111" i="27" s="1"/>
  <c r="E110" i="27"/>
  <c r="F110" i="27"/>
  <c r="F112" i="27" s="1"/>
  <c r="G110" i="27"/>
  <c r="G112" i="27" s="1"/>
  <c r="H110" i="27"/>
  <c r="H111" i="27" s="1"/>
  <c r="J110" i="27"/>
  <c r="J112" i="27" s="1"/>
  <c r="K110" i="27"/>
  <c r="L110" i="27"/>
  <c r="L112" i="27" s="1"/>
  <c r="M110" i="27"/>
  <c r="M111" i="27" s="1"/>
  <c r="N110" i="27"/>
  <c r="N111" i="27" s="1"/>
  <c r="O110" i="27"/>
  <c r="P110" i="27"/>
  <c r="Q110" i="27"/>
  <c r="Q111" i="26"/>
  <c r="Q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1" i="16"/>
  <c r="I110" i="16"/>
  <c r="I111" i="16" s="1"/>
  <c r="J110" i="16"/>
  <c r="J111" i="16" s="1"/>
  <c r="Q111" i="16"/>
  <c r="H110" i="15"/>
  <c r="H111" i="15" s="1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0" i="13"/>
  <c r="H112" i="13"/>
  <c r="F111" i="12"/>
  <c r="J110" i="12"/>
  <c r="J112" i="12" s="1"/>
  <c r="H111" i="12"/>
  <c r="I112" i="12"/>
  <c r="J111" i="11"/>
  <c r="I111" i="11"/>
  <c r="H111" i="11"/>
  <c r="G112" i="11"/>
  <c r="J110" i="10"/>
  <c r="J112" i="10" s="1"/>
  <c r="I110" i="10"/>
  <c r="I111" i="10" s="1"/>
  <c r="H110" i="10"/>
  <c r="H112" i="10" s="1"/>
  <c r="J110" i="9"/>
  <c r="J111" i="9"/>
  <c r="I110" i="9"/>
  <c r="I111" i="9" s="1"/>
  <c r="H111" i="9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1" i="2"/>
  <c r="F110" i="2"/>
  <c r="F111" i="2" s="1"/>
  <c r="G110" i="2"/>
  <c r="G112" i="2" s="1"/>
  <c r="H110" i="2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2" i="3" s="1"/>
  <c r="Q110" i="41"/>
  <c r="Q111" i="41" s="1"/>
  <c r="P110" i="41"/>
  <c r="P112" i="41" s="1"/>
  <c r="O110" i="41"/>
  <c r="O112" i="41" s="1"/>
  <c r="N110" i="41"/>
  <c r="N111" i="4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Q110" i="40"/>
  <c r="Q112" i="40" s="1"/>
  <c r="P111" i="40"/>
  <c r="O110" i="40"/>
  <c r="O112" i="40" s="1"/>
  <c r="N110" i="40"/>
  <c r="N111" i="40" s="1"/>
  <c r="M110" i="40"/>
  <c r="M112" i="40" s="1"/>
  <c r="L110" i="40"/>
  <c r="L112" i="40" s="1"/>
  <c r="K110" i="40"/>
  <c r="K112" i="40" s="1"/>
  <c r="G112" i="40"/>
  <c r="F112" i="40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 s="1"/>
  <c r="O108" i="40"/>
  <c r="N108" i="40"/>
  <c r="M108" i="40"/>
  <c r="L108" i="40"/>
  <c r="K108" i="40"/>
  <c r="K37" i="39" s="1"/>
  <c r="J108" i="40"/>
  <c r="J37" i="39" s="1"/>
  <c r="I108" i="40"/>
  <c r="I37" i="39" s="1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/>
  <c r="L110" i="33"/>
  <c r="L112" i="33" s="1"/>
  <c r="K110" i="33"/>
  <c r="K111" i="33" s="1"/>
  <c r="F112" i="33"/>
  <c r="E110" i="33"/>
  <c r="E112" i="33" s="1"/>
  <c r="D110" i="33"/>
  <c r="D112" i="33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J108" i="33"/>
  <c r="I108" i="33"/>
  <c r="I36" i="39" s="1"/>
  <c r="H108" i="33"/>
  <c r="H36" i="39" s="1"/>
  <c r="G108" i="33"/>
  <c r="G36" i="39" s="1"/>
  <c r="F108" i="33"/>
  <c r="F36" i="39" s="1"/>
  <c r="E108" i="33"/>
  <c r="D108" i="33"/>
  <c r="C108" i="33"/>
  <c r="C36" i="39" s="1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/>
  <c r="O110" i="32"/>
  <c r="O112" i="32" s="1"/>
  <c r="N110" i="32"/>
  <c r="N111" i="32" s="1"/>
  <c r="M110" i="32"/>
  <c r="M112" i="32" s="1"/>
  <c r="L110" i="32"/>
  <c r="L111" i="32" s="1"/>
  <c r="K110" i="32"/>
  <c r="K112" i="32" s="1"/>
  <c r="G111" i="32"/>
  <c r="F112" i="32"/>
  <c r="E110" i="32"/>
  <c r="E111" i="32" s="1"/>
  <c r="D110" i="32"/>
  <c r="D112" i="32" s="1"/>
  <c r="C110" i="32"/>
  <c r="C111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L35" i="39" s="1"/>
  <c r="K108" i="32"/>
  <c r="J108" i="32"/>
  <c r="J35" i="39" s="1"/>
  <c r="I108" i="32"/>
  <c r="I35" i="39" s="1"/>
  <c r="H108" i="32"/>
  <c r="G108" i="32"/>
  <c r="F108" i="32"/>
  <c r="F35" i="39" s="1"/>
  <c r="E108" i="32"/>
  <c r="E35" i="39" s="1"/>
  <c r="D108" i="32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2" i="3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/>
  <c r="N110" i="30"/>
  <c r="N112" i="30" s="1"/>
  <c r="M110" i="30"/>
  <c r="M112" i="30" s="1"/>
  <c r="L110" i="30"/>
  <c r="L112" i="30" s="1"/>
  <c r="K110" i="30"/>
  <c r="K112" i="30" s="1"/>
  <c r="G111" i="30"/>
  <c r="F110" i="30"/>
  <c r="F112" i="30" s="1"/>
  <c r="E110" i="30"/>
  <c r="E111" i="30" s="1"/>
  <c r="D110" i="30"/>
  <c r="D112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/>
  <c r="N108" i="30"/>
  <c r="N33" i="39" s="1"/>
  <c r="M108" i="30"/>
  <c r="M33" i="39" s="1"/>
  <c r="L108" i="30"/>
  <c r="K108" i="30"/>
  <c r="K33" i="39" s="1"/>
  <c r="J108" i="30"/>
  <c r="I108" i="30"/>
  <c r="H108" i="30"/>
  <c r="H33" i="39" s="1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1" i="29"/>
  <c r="P112" i="29"/>
  <c r="O112" i="29"/>
  <c r="N112" i="29"/>
  <c r="M111" i="29"/>
  <c r="M112" i="29"/>
  <c r="L111" i="29"/>
  <c r="K112" i="29"/>
  <c r="G111" i="29"/>
  <c r="F111" i="29"/>
  <c r="E112" i="29"/>
  <c r="D111" i="29"/>
  <c r="C112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I32" i="39" s="1"/>
  <c r="H108" i="29"/>
  <c r="G108" i="29"/>
  <c r="F108" i="29"/>
  <c r="F32" i="39" s="1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1" i="28"/>
  <c r="P111" i="28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 s="1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P112" i="27"/>
  <c r="O112" i="27"/>
  <c r="K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H29" i="39" s="1"/>
  <c r="G108" i="26"/>
  <c r="G29" i="39" s="1"/>
  <c r="F108" i="26"/>
  <c r="E108" i="26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J28" i="39" s="1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0" i="24"/>
  <c r="G112" i="24" s="1"/>
  <c r="F110" i="24"/>
  <c r="F112" i="24"/>
  <c r="E110" i="24"/>
  <c r="E112" i="24"/>
  <c r="D110" i="24"/>
  <c r="D112" i="24" s="1"/>
  <c r="C110" i="24"/>
  <c r="C111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 s="1"/>
  <c r="O108" i="24"/>
  <c r="N108" i="24"/>
  <c r="N27" i="39" s="1"/>
  <c r="M108" i="24"/>
  <c r="L108" i="24"/>
  <c r="K108" i="24"/>
  <c r="K27" i="39"/>
  <c r="J108" i="24"/>
  <c r="I108" i="24"/>
  <c r="H108" i="24"/>
  <c r="H27" i="39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 s="1"/>
  <c r="P110" i="23"/>
  <c r="P112" i="23" s="1"/>
  <c r="O110" i="23"/>
  <c r="O112" i="23" s="1"/>
  <c r="N110" i="23"/>
  <c r="N111" i="23"/>
  <c r="M110" i="23"/>
  <c r="M112" i="23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/>
  <c r="M110" i="22"/>
  <c r="M112" i="22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/>
  <c r="D110" i="21"/>
  <c r="D111" i="21"/>
  <c r="C110" i="21"/>
  <c r="C111" i="21" s="1"/>
  <c r="C112" i="2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/>
  <c r="I108" i="21"/>
  <c r="I24" i="39" s="1"/>
  <c r="H108" i="2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 s="1"/>
  <c r="I108" i="20"/>
  <c r="I23" i="39" s="1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 s="1"/>
  <c r="O110" i="19"/>
  <c r="O112" i="19" s="1"/>
  <c r="N110" i="19"/>
  <c r="N112" i="19" s="1"/>
  <c r="M110" i="19"/>
  <c r="M111" i="19" s="1"/>
  <c r="L110" i="19"/>
  <c r="L112" i="19"/>
  <c r="K110" i="19"/>
  <c r="K111" i="19" s="1"/>
  <c r="G110" i="19"/>
  <c r="G112" i="19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N108" i="19"/>
  <c r="M108" i="19"/>
  <c r="L108" i="19"/>
  <c r="L22" i="39" s="1"/>
  <c r="K108" i="19"/>
  <c r="K22" i="39" s="1"/>
  <c r="J108" i="19"/>
  <c r="I108" i="19"/>
  <c r="I22" i="39" s="1"/>
  <c r="H108" i="19"/>
  <c r="G108" i="19"/>
  <c r="H22" i="39" s="1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I20" i="39"/>
  <c r="H108" i="17"/>
  <c r="H20" i="39" s="1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1" i="16"/>
  <c r="F110" i="16"/>
  <c r="F112" i="16" s="1"/>
  <c r="E110" i="16"/>
  <c r="E112" i="16" s="1"/>
  <c r="D110" i="16"/>
  <c r="D112" i="16" s="1"/>
  <c r="C110" i="16"/>
  <c r="C112" i="16" s="1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G19" i="39" s="1"/>
  <c r="F108" i="16"/>
  <c r="E108" i="16"/>
  <c r="E19" i="39" s="1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 s="1"/>
  <c r="N110" i="15"/>
  <c r="N111" i="15" s="1"/>
  <c r="M110" i="15"/>
  <c r="M112" i="15" s="1"/>
  <c r="L110" i="15"/>
  <c r="L111" i="15"/>
  <c r="K110" i="15"/>
  <c r="K112" i="15"/>
  <c r="G110" i="15"/>
  <c r="G111" i="15"/>
  <c r="F110" i="15"/>
  <c r="F112" i="15" s="1"/>
  <c r="E110" i="15"/>
  <c r="E112" i="15" s="1"/>
  <c r="D110" i="15"/>
  <c r="D112" i="15" s="1"/>
  <c r="C110" i="15"/>
  <c r="C112" i="15" s="1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/>
  <c r="J108" i="14"/>
  <c r="I108" i="14"/>
  <c r="I17" i="39" s="1"/>
  <c r="H108" i="14"/>
  <c r="G108" i="14"/>
  <c r="G17" i="39"/>
  <c r="F108" i="14"/>
  <c r="F17" i="39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C16" i="39" s="1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1" i="11"/>
  <c r="P112" i="11"/>
  <c r="O112" i="11"/>
  <c r="N112" i="11"/>
  <c r="M112" i="11"/>
  <c r="L112" i="11"/>
  <c r="K112" i="11"/>
  <c r="F111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 s="1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2" i="9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P112" i="3"/>
  <c r="O112" i="3"/>
  <c r="B110" i="3"/>
  <c r="B112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K35" i="39"/>
  <c r="H35" i="39"/>
  <c r="D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N22" i="39"/>
  <c r="M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L19" i="39"/>
  <c r="K19" i="39"/>
  <c r="B19" i="39"/>
  <c r="L18" i="39"/>
  <c r="I18" i="39"/>
  <c r="H18" i="39"/>
  <c r="G18" i="39"/>
  <c r="E18" i="39"/>
  <c r="D18" i="39"/>
  <c r="P17" i="39"/>
  <c r="M17" i="39"/>
  <c r="L17" i="39"/>
  <c r="A17" i="39"/>
  <c r="Q16" i="39"/>
  <c r="P16" i="39"/>
  <c r="L16" i="39"/>
  <c r="I16" i="39"/>
  <c r="F16" i="39"/>
  <c r="E16" i="39"/>
  <c r="D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E36" i="39"/>
  <c r="D36" i="39"/>
  <c r="A36" i="39"/>
  <c r="P35" i="39"/>
  <c r="G35" i="39"/>
  <c r="M34" i="39"/>
  <c r="K34" i="39"/>
  <c r="J34" i="39"/>
  <c r="I34" i="39"/>
  <c r="H34" i="39"/>
  <c r="F34" i="39"/>
  <c r="L33" i="39"/>
  <c r="J33" i="39"/>
  <c r="I33" i="39"/>
  <c r="F33" i="39"/>
  <c r="B33" i="39"/>
  <c r="Q32" i="39"/>
  <c r="O32" i="39"/>
  <c r="N32" i="39"/>
  <c r="K32" i="39"/>
  <c r="G32" i="39"/>
  <c r="E32" i="39"/>
  <c r="B32" i="39"/>
  <c r="M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B12" i="39"/>
  <c r="N11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O18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B111" i="40"/>
  <c r="P111" i="33"/>
  <c r="O111" i="33"/>
  <c r="M111" i="33"/>
  <c r="L111" i="33"/>
  <c r="F111" i="33"/>
  <c r="D111" i="33"/>
  <c r="Q111" i="32"/>
  <c r="O111" i="32"/>
  <c r="K111" i="32"/>
  <c r="F111" i="32"/>
  <c r="D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B111" i="29"/>
  <c r="O111" i="28"/>
  <c r="N111" i="28"/>
  <c r="M111" i="28"/>
  <c r="L111" i="28"/>
  <c r="G111" i="28"/>
  <c r="E111" i="28"/>
  <c r="D111" i="28"/>
  <c r="C111" i="28"/>
  <c r="P111" i="27"/>
  <c r="E111" i="27"/>
  <c r="N111" i="26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D111" i="22"/>
  <c r="C111" i="22"/>
  <c r="Q111" i="21"/>
  <c r="L111" i="21"/>
  <c r="G111" i="21"/>
  <c r="E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G111" i="3"/>
  <c r="C112" i="30"/>
  <c r="C112" i="17"/>
  <c r="D112" i="3"/>
  <c r="M111" i="2"/>
  <c r="K112" i="2"/>
  <c r="G111" i="2"/>
  <c r="D111" i="2"/>
  <c r="L112" i="10"/>
  <c r="M112" i="10"/>
  <c r="E111" i="10"/>
  <c r="L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H112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I112" i="20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O111" i="27"/>
  <c r="K111" i="27"/>
  <c r="J111" i="27"/>
  <c r="I111" i="32"/>
  <c r="J112" i="32"/>
  <c r="H112" i="32"/>
  <c r="I112" i="31"/>
  <c r="Q112" i="31"/>
  <c r="G111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B112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G112" i="13"/>
  <c r="B112" i="21"/>
  <c r="B112" i="22"/>
  <c r="N112" i="22"/>
  <c r="N112" i="23"/>
  <c r="K112" i="28"/>
  <c r="L112" i="32"/>
  <c r="B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1" i="23"/>
  <c r="E111" i="25"/>
  <c r="M112" i="25"/>
  <c r="F112" i="26"/>
  <c r="J112" i="30"/>
  <c r="F111" i="40" l="1"/>
  <c r="M111" i="32"/>
  <c r="B111" i="32"/>
  <c r="N112" i="33"/>
  <c r="K112" i="33"/>
  <c r="C111" i="33"/>
  <c r="H112" i="33"/>
  <c r="G112" i="30"/>
  <c r="D112" i="29"/>
  <c r="C111" i="29"/>
  <c r="E111" i="29"/>
  <c r="M112" i="27"/>
  <c r="N112" i="27"/>
  <c r="B111" i="27"/>
  <c r="G111" i="26"/>
  <c r="E111" i="22"/>
  <c r="N111" i="21"/>
  <c r="I112" i="15"/>
  <c r="J43" i="39"/>
  <c r="G111" i="9"/>
  <c r="K42" i="39"/>
  <c r="K43" i="39"/>
  <c r="K41" i="39"/>
  <c r="K44" i="39"/>
  <c r="H111" i="3"/>
  <c r="J42" i="39"/>
  <c r="K47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<sst xmlns="http://schemas.openxmlformats.org/spreadsheetml/2006/main" count="6678" uniqueCount="3240">
  <si>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</si>
  <si>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</si>
  <si>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</si>
  <si>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</si>
  <si>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</si>
  <si>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</si>
  <si>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</si>
  <si>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</si>
  <si>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</si>
  <si>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</si>
  <si>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</si>
  <si>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</si>
  <si>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</si>
  <si>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</si>
  <si>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</si>
  <si>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</si>
  <si>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</si>
  <si>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</si>
  <si>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</si>
  <si>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</si>
  <si>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</si>
  <si>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</si>
  <si>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</si>
  <si>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</si>
  <si>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</si>
  <si>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</si>
  <si>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</si>
  <si>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</si>
  <si>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</si>
  <si>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</si>
  <si>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</si>
  <si>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</si>
  <si>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</si>
  <si>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</si>
  <si>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</si>
  <si>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</si>
  <si>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</si>
  <si>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</si>
  <si>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</si>
  <si>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</si>
  <si>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</si>
  <si>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</si>
  <si>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</si>
  <si>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</si>
  <si>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</si>
  <si>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</si>
  <si>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</si>
  <si>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</si>
  <si>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</si>
  <si>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</si>
  <si>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</si>
  <si>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</si>
  <si>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</si>
  <si>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</si>
  <si>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</si>
  <si>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</si>
  <si>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</si>
  <si>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</si>
  <si>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</si>
  <si>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</si>
  <si>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</si>
  <si>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</si>
  <si>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</si>
  <si>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</si>
  <si>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</si>
  <si>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</si>
  <si>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</si>
  <si>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</si>
  <si>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</si>
  <si>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</si>
  <si>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</si>
  <si>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</si>
  <si>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</si>
  <si>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</si>
  <si>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</si>
  <si>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</si>
  <si>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</si>
  <si>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</si>
  <si>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</si>
  <si>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</si>
  <si>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</si>
  <si>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</si>
  <si>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</si>
  <si>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</si>
  <si>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</si>
  <si>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</si>
  <si>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</si>
  <si>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</si>
  <si>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</si>
  <si>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</si>
  <si>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</si>
  <si>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</si>
  <si>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</si>
  <si>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</si>
  <si>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</si>
  <si>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</si>
  <si>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</si>
  <si>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</si>
  <si>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</si>
  <si>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</si>
  <si>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</si>
  <si>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</si>
  <si>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</si>
  <si>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</si>
  <si>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</si>
  <si>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</si>
  <si>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</si>
  <si>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</si>
  <si>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</si>
  <si>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</si>
  <si>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</si>
  <si>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</si>
  <si>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</si>
  <si>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</si>
  <si>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</si>
  <si>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</si>
  <si>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</si>
  <si>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</si>
  <si>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</si>
  <si>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</si>
  <si>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</si>
  <si>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</si>
  <si>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</si>
  <si>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</si>
  <si>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</si>
  <si>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</si>
  <si>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</si>
  <si>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</si>
  <si>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</si>
  <si>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</si>
  <si>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</si>
  <si>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</si>
  <si>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</si>
  <si>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</si>
  <si>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</si>
  <si>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</si>
  <si>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</si>
  <si>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</si>
  <si>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</si>
  <si>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</si>
  <si>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</si>
  <si>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</si>
  <si>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</si>
  <si>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</si>
  <si>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</si>
  <si>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</si>
  <si>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</si>
  <si>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</si>
  <si>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</si>
  <si>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</si>
  <si>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</si>
  <si>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</si>
  <si>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</si>
  <si>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</si>
  <si>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</si>
  <si>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</si>
  <si>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</si>
  <si>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</si>
  <si>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</si>
  <si>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</si>
  <si>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</si>
  <si>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</si>
  <si>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</si>
  <si>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</si>
  <si>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</si>
  <si>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</si>
  <si>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</si>
  <si>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</si>
  <si>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</si>
  <si>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</si>
  <si>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</si>
  <si>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</si>
  <si>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</si>
  <si>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</si>
  <si>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</si>
  <si>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</si>
  <si>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</si>
  <si>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</si>
  <si>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</si>
  <si>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</si>
  <si>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</si>
  <si>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</si>
  <si>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</si>
  <si>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</si>
  <si>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</si>
  <si>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</si>
  <si>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</si>
  <si>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</si>
  <si>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</si>
  <si>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</si>
  <si>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</si>
  <si>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</si>
  <si>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</si>
  <si>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</si>
  <si>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</si>
  <si>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</si>
  <si>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</si>
  <si>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</si>
  <si>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</si>
  <si>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</si>
  <si>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</si>
  <si>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</si>
  <si>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</si>
  <si>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</si>
  <si>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</si>
  <si>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</si>
  <si>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</si>
  <si>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</si>
  <si>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</si>
  <si>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</si>
  <si>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</si>
  <si>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</si>
  <si>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</si>
  <si>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</si>
  <si>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</si>
  <si>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</si>
  <si>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</si>
  <si>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</si>
  <si>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</si>
  <si>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</si>
  <si>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</si>
  <si>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</si>
  <si>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</si>
  <si>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</si>
  <si>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</si>
  <si>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</si>
  <si>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NO_SILTARA</t>
  </si>
  <si>
    <t>NO2_SILTARA</t>
  </si>
  <si>
    <t>NOX_SILTARA</t>
  </si>
  <si>
    <t>SO2SILTARA</t>
  </si>
  <si>
    <t>O3_SILTARA</t>
  </si>
  <si>
    <t>PM10SILTARA</t>
  </si>
  <si>
    <t>PM2_5_SILTARA</t>
  </si>
  <si>
    <t>BENZ_SILTARA</t>
  </si>
  <si>
    <t>WS_SILTARA</t>
  </si>
  <si>
    <t>WD_SILTARA</t>
  </si>
  <si>
    <t>TEMPSILTARA</t>
  </si>
  <si>
    <t>HUM SILTARA</t>
  </si>
  <si>
    <t>SR_SILTARA</t>
  </si>
  <si>
    <t>RG_SILTARA</t>
  </si>
  <si>
    <t>CO_SILTARA</t>
  </si>
  <si>
    <t>NH3_SILTARA</t>
  </si>
  <si>
    <t>01/07/2024 00:15</t>
  </si>
  <si>
    <t>01/07/2024 00:30</t>
  </si>
  <si>
    <t>01/07/2024 00:45</t>
  </si>
  <si>
    <t>01/07/2024 01:00</t>
  </si>
  <si>
    <t>01/07/2024 01:15</t>
  </si>
  <si>
    <t>01/07/2024 01:30</t>
  </si>
  <si>
    <t>01/07/2024 01:45</t>
  </si>
  <si>
    <t>01/07/2024 02:00</t>
  </si>
  <si>
    <t>01/07/2024 02:15</t>
  </si>
  <si>
    <t>01/07/2024 02:30</t>
  </si>
  <si>
    <t>01/07/2024 02:45</t>
  </si>
  <si>
    <t>01/07/2024 03:00</t>
  </si>
  <si>
    <t>01/07/2024 03:15</t>
  </si>
  <si>
    <t>01/07/2024 03:30</t>
  </si>
  <si>
    <t>01/07/2024 03:45</t>
  </si>
  <si>
    <t>01/07/2024 04:00</t>
  </si>
  <si>
    <t>01/07/2024 04:15</t>
  </si>
  <si>
    <t>01/07/2024 04:30</t>
  </si>
  <si>
    <t>01/07/2024 04:45</t>
  </si>
  <si>
    <t>01/07/2024 05:00</t>
  </si>
  <si>
    <t>01/07/2024 05:15</t>
  </si>
  <si>
    <t>01/07/2024 05:30</t>
  </si>
  <si>
    <t>01/07/2024 05:45</t>
  </si>
  <si>
    <t>01/07/2024 06:00</t>
  </si>
  <si>
    <t>01/07/2024 06:15</t>
  </si>
  <si>
    <t>01/07/2024 06:30</t>
  </si>
  <si>
    <t>01/07/2024 06:45</t>
  </si>
  <si>
    <t>01/07/2024 07:00</t>
  </si>
  <si>
    <t>01/07/2024 07:15</t>
  </si>
  <si>
    <t>01/07/2024 07:30</t>
  </si>
  <si>
    <t>01/07/2024 07:45</t>
  </si>
  <si>
    <t>01/07/2024 08:00</t>
  </si>
  <si>
    <t>01/07/2024 08:15</t>
  </si>
  <si>
    <t>01/07/2024 08:30</t>
  </si>
  <si>
    <t>01/07/2024 08:45</t>
  </si>
  <si>
    <t>01/07/2024 09:00</t>
  </si>
  <si>
    <t>01/07/2024 09:15</t>
  </si>
  <si>
    <t>01/07/2024 09:30</t>
  </si>
  <si>
    <t>01/07/2024 09:45</t>
  </si>
  <si>
    <t>01/07/2024 10:00</t>
  </si>
  <si>
    <t>01/07/2024 10:15</t>
  </si>
  <si>
    <t>01/07/2024 10:30</t>
  </si>
  <si>
    <t>01/07/2024 10:45</t>
  </si>
  <si>
    <t>01/07/2024 11:00</t>
  </si>
  <si>
    <t>01/07/2024 11:15</t>
  </si>
  <si>
    <t>01/07/2024 11:30</t>
  </si>
  <si>
    <t>01/07/2024 11:45</t>
  </si>
  <si>
    <t>01/07/2024 12:00</t>
  </si>
  <si>
    <t>01/07/2024 12:15</t>
  </si>
  <si>
    <t>01/07/2024 12:30</t>
  </si>
  <si>
    <t>01/07/2024 12:45</t>
  </si>
  <si>
    <t>01/07/2024 13:00</t>
  </si>
  <si>
    <t>01/07/2024 13:15</t>
  </si>
  <si>
    <t>01/07/2024 13:30</t>
  </si>
  <si>
    <t>01/07/2024 13:45</t>
  </si>
  <si>
    <t>01/07/2024 14:00</t>
  </si>
  <si>
    <t>01/07/2024 14:15</t>
  </si>
  <si>
    <t>01/07/2024 14:30</t>
  </si>
  <si>
    <t>01/07/2024 14:45</t>
  </si>
  <si>
    <t>01/07/2024 15:00</t>
  </si>
  <si>
    <t>01/07/2024 15:15</t>
  </si>
  <si>
    <t>01/07/2024 15:30</t>
  </si>
  <si>
    <t>01/07/2024 15:45</t>
  </si>
  <si>
    <t>01/07/2024 16:00</t>
  </si>
  <si>
    <t>01/07/2024 16:15</t>
  </si>
  <si>
    <t>01/07/2024 16:30</t>
  </si>
  <si>
    <t>01/07/2024 16:45</t>
  </si>
  <si>
    <t>01/07/2024 17:00</t>
  </si>
  <si>
    <t>01/07/2024 17:15</t>
  </si>
  <si>
    <t>01/07/2024 17:30</t>
  </si>
  <si>
    <t>01/07/2024 17:45</t>
  </si>
  <si>
    <t>01/07/2024 18:00</t>
  </si>
  <si>
    <t>01/07/2024 18:15</t>
  </si>
  <si>
    <t>01/07/2024 18:30</t>
  </si>
  <si>
    <t>01/07/2024 18:45</t>
  </si>
  <si>
    <t>01/07/2024 19:00</t>
  </si>
  <si>
    <t>01/07/2024 19:15</t>
  </si>
  <si>
    <t>01/07/2024 19:30</t>
  </si>
  <si>
    <t>01/07/2024 19:45</t>
  </si>
  <si>
    <t>01/07/2024 20:00</t>
  </si>
  <si>
    <t>01/07/2024 20:15</t>
  </si>
  <si>
    <t>01/07/2024 20:30</t>
  </si>
  <si>
    <t>01/07/2024 20:45</t>
  </si>
  <si>
    <t>01/07/2024 21:00</t>
  </si>
  <si>
    <t>01/07/2024 21:15</t>
  </si>
  <si>
    <t>01/07/2024 21:30</t>
  </si>
  <si>
    <t>01/07/2024 21:45</t>
  </si>
  <si>
    <t>01/07/2024 22:00</t>
  </si>
  <si>
    <t>01/07/2024 22:15</t>
  </si>
  <si>
    <t>01/07/2024 22:30</t>
  </si>
  <si>
    <t>01/07/2024 22:45</t>
  </si>
  <si>
    <t>01/07/2024 23:00</t>
  </si>
  <si>
    <t>01/07/2024 23:15</t>
  </si>
  <si>
    <t>01/07/2024 23:30</t>
  </si>
  <si>
    <t>01/07/2024 23:45</t>
  </si>
  <si>
    <t>01/07/2024 24:00</t>
  </si>
  <si>
    <t>02/07/2024 00:15</t>
  </si>
  <si>
    <t>02/07/2024 00:30</t>
  </si>
  <si>
    <t>02/07/2024 00:45</t>
  </si>
  <si>
    <t>02/07/2024 01:00</t>
  </si>
  <si>
    <t>02/07/2024 01:15</t>
  </si>
  <si>
    <t>02/07/2024 01:30</t>
  </si>
  <si>
    <t>02/07/2024 01:45</t>
  </si>
  <si>
    <t>02/07/2024 02:00</t>
  </si>
  <si>
    <t>02/07/2024 02:15</t>
  </si>
  <si>
    <t>02/07/2024 02:30</t>
  </si>
  <si>
    <t>02/07/2024 02:45</t>
  </si>
  <si>
    <t>02/07/2024 03:00</t>
  </si>
  <si>
    <t>02/07/2024 03:15</t>
  </si>
  <si>
    <t>02/07/2024 03:30</t>
  </si>
  <si>
    <t>02/07/2024 03:45</t>
  </si>
  <si>
    <t>02/07/2024 04:00</t>
  </si>
  <si>
    <t>02/07/2024 04:15</t>
  </si>
  <si>
    <t>02/07/2024 04:30</t>
  </si>
  <si>
    <t>02/07/2024 04:45</t>
  </si>
  <si>
    <t>02/07/2024 05:00</t>
  </si>
  <si>
    <t>02/07/2024 05:15</t>
  </si>
  <si>
    <t>02/07/2024 05:30</t>
  </si>
  <si>
    <t>02/07/2024 05:45</t>
  </si>
  <si>
    <t>02/07/2024 06:00</t>
  </si>
  <si>
    <t>02/07/2024 06:15</t>
  </si>
  <si>
    <t>02/07/2024 06:30</t>
  </si>
  <si>
    <t>02/07/2024 06:45</t>
  </si>
  <si>
    <t>02/07/2024 07:00</t>
  </si>
  <si>
    <t>02/07/2024 07:15</t>
  </si>
  <si>
    <t>02/07/2024 07:30</t>
  </si>
  <si>
    <t>02/07/2024 07:45</t>
  </si>
  <si>
    <t>02/07/2024 08:00</t>
  </si>
  <si>
    <t>02/07/2024 08:15</t>
  </si>
  <si>
    <t>02/07/2024 08:30</t>
  </si>
  <si>
    <t>02/07/2024 08:45</t>
  </si>
  <si>
    <t>02/07/2024 09:00</t>
  </si>
  <si>
    <t>02/07/2024 09:15</t>
  </si>
  <si>
    <t>02/07/2024 09:30</t>
  </si>
  <si>
    <t>02/07/2024 09:45</t>
  </si>
  <si>
    <t>02/07/2024 10:00</t>
  </si>
  <si>
    <t>02/07/2024 10:15</t>
  </si>
  <si>
    <t>02/07/2024 10:30</t>
  </si>
  <si>
    <t>02/07/2024 10:45</t>
  </si>
  <si>
    <t>02/07/2024 11:00</t>
  </si>
  <si>
    <t>02/07/2024 11:15</t>
  </si>
  <si>
    <t>02/07/2024 11:30</t>
  </si>
  <si>
    <t>02/07/2024 11:45</t>
  </si>
  <si>
    <t>02/07/2024 12:00</t>
  </si>
  <si>
    <t>02/07/2024 12:15</t>
  </si>
  <si>
    <t>02/07/2024 12:30</t>
  </si>
  <si>
    <t>02/07/2024 12:45</t>
  </si>
  <si>
    <t>02/07/2024 13:00</t>
  </si>
  <si>
    <t>02/07/2024 13:15</t>
  </si>
  <si>
    <t>02/07/2024 13:30</t>
  </si>
  <si>
    <t>02/07/2024 13:45</t>
  </si>
  <si>
    <t>02/07/2024 14:00</t>
  </si>
  <si>
    <t>02/07/2024 14:15</t>
  </si>
  <si>
    <t>02/07/2024 14:30</t>
  </si>
  <si>
    <t>02/07/2024 14:45</t>
  </si>
  <si>
    <t>02/07/2024 15:00</t>
  </si>
  <si>
    <t>02/07/2024 15:15</t>
  </si>
  <si>
    <t>02/07/2024 15:30</t>
  </si>
  <si>
    <t>02/07/2024 15:45</t>
  </si>
  <si>
    <t>02/07/2024 16:00</t>
  </si>
  <si>
    <t>02/07/2024 16:15</t>
  </si>
  <si>
    <t>02/07/2024 16:30</t>
  </si>
  <si>
    <t>02/07/2024 16:45</t>
  </si>
  <si>
    <t>02/07/2024 17:00</t>
  </si>
  <si>
    <t>02/07/2024 17:15</t>
  </si>
  <si>
    <t>02/07/2024 17:30</t>
  </si>
  <si>
    <t>02/07/2024 17:45</t>
  </si>
  <si>
    <t>02/07/2024 18:00</t>
  </si>
  <si>
    <t>02/07/2024 18:15</t>
  </si>
  <si>
    <t>02/07/2024 18:30</t>
  </si>
  <si>
    <t>02/07/2024 18:45</t>
  </si>
  <si>
    <t>02/07/2024 19:00</t>
  </si>
  <si>
    <t>02/07/2024 19:15</t>
  </si>
  <si>
    <t>02/07/2024 19:30</t>
  </si>
  <si>
    <t>02/07/2024 19:45</t>
  </si>
  <si>
    <t>02/07/2024 20:00</t>
  </si>
  <si>
    <t>02/07/2024 20:15</t>
  </si>
  <si>
    <t>02/07/2024 20:30</t>
  </si>
  <si>
    <t>02/07/2024 20:45</t>
  </si>
  <si>
    <t>02/07/2024 21:00</t>
  </si>
  <si>
    <t>02/07/2024 21:15</t>
  </si>
  <si>
    <t>02/07/2024 21:30</t>
  </si>
  <si>
    <t>02/07/2024 21:45</t>
  </si>
  <si>
    <t>02/07/2024 22:00</t>
  </si>
  <si>
    <t>02/07/2024 22:15</t>
  </si>
  <si>
    <t>02/07/2024 22:30</t>
  </si>
  <si>
    <t>02/07/2024 22:45</t>
  </si>
  <si>
    <t>02/07/2024 23:00</t>
  </si>
  <si>
    <t>02/07/2024 23:15</t>
  </si>
  <si>
    <t>02/07/2024 23:30</t>
  </si>
  <si>
    <t>02/07/2024 23:45</t>
  </si>
  <si>
    <t>02/07/2024 24:00</t>
  </si>
  <si>
    <t>03/07/2024 00:15</t>
  </si>
  <si>
    <t>03/07/2024 00:30</t>
  </si>
  <si>
    <t>03/07/2024 00:45</t>
  </si>
  <si>
    <t>03/07/2024 01:00</t>
  </si>
  <si>
    <t>03/07/2024 01:15</t>
  </si>
  <si>
    <t>03/07/2024 01:30</t>
  </si>
  <si>
    <t>03/07/2024 01:45</t>
  </si>
  <si>
    <t>03/07/2024 02:00</t>
  </si>
  <si>
    <t>03/07/2024 02:15</t>
  </si>
  <si>
    <t>03/07/2024 02:30</t>
  </si>
  <si>
    <t>03/07/2024 02:45</t>
  </si>
  <si>
    <t>03/07/2024 03:00</t>
  </si>
  <si>
    <t>03/07/2024 03:15</t>
  </si>
  <si>
    <t>03/07/2024 03:30</t>
  </si>
  <si>
    <t>03/07/2024 03:45</t>
  </si>
  <si>
    <t>03/07/2024 04:00</t>
  </si>
  <si>
    <t>03/07/2024 04:15</t>
  </si>
  <si>
    <t>03/07/2024 04:30</t>
  </si>
  <si>
    <t>03/07/2024 04:45</t>
  </si>
  <si>
    <t>03/07/2024 05:00</t>
  </si>
  <si>
    <t>03/07/2024 05:15</t>
  </si>
  <si>
    <t>03/07/2024 05:30</t>
  </si>
  <si>
    <t>03/07/2024 05:45</t>
  </si>
  <si>
    <t>03/07/2024 06:00</t>
  </si>
  <si>
    <t>03/07/2024 06:15</t>
  </si>
  <si>
    <t>03/07/2024 06:30</t>
  </si>
  <si>
    <t>03/07/2024 06:45</t>
  </si>
  <si>
    <t>03/07/2024 07:00</t>
  </si>
  <si>
    <t>03/07/2024 07:15</t>
  </si>
  <si>
    <t>03/07/2024 07:30</t>
  </si>
  <si>
    <t>03/07/2024 07:45</t>
  </si>
  <si>
    <t>03/07/2024 08:00</t>
  </si>
  <si>
    <t>03/07/2024 08:15</t>
  </si>
  <si>
    <t>03/07/2024 08:30</t>
  </si>
  <si>
    <t>03/07/2024 08:45</t>
  </si>
  <si>
    <t>03/07/2024 09:00</t>
  </si>
  <si>
    <t>03/07/2024 09:15</t>
  </si>
  <si>
    <t>03/07/2024 09:30</t>
  </si>
  <si>
    <t>03/07/2024 09:45</t>
  </si>
  <si>
    <t>03/07/2024 10:00</t>
  </si>
  <si>
    <t>03/07/2024 10:15</t>
  </si>
  <si>
    <t>03/07/2024 10:30</t>
  </si>
  <si>
    <t>03/07/2024 10:45</t>
  </si>
  <si>
    <t>03/07/2024 11:00</t>
  </si>
  <si>
    <t>03/07/2024 11:15</t>
  </si>
  <si>
    <t>03/07/2024 11:30</t>
  </si>
  <si>
    <t>03/07/2024 11:45</t>
  </si>
  <si>
    <t>03/07/2024 12:00</t>
  </si>
  <si>
    <t>03/07/2024 12:15</t>
  </si>
  <si>
    <t>03/07/2024 12:30</t>
  </si>
  <si>
    <t>03/07/2024 12:45</t>
  </si>
  <si>
    <t>03/07/2024 13:00</t>
  </si>
  <si>
    <t>03/07/2024 13:15</t>
  </si>
  <si>
    <t>03/07/2024 13:30</t>
  </si>
  <si>
    <t>03/07/2024 13:45</t>
  </si>
  <si>
    <t>03/07/2024 14:00</t>
  </si>
  <si>
    <t>03/07/2024 14:15</t>
  </si>
  <si>
    <t>03/07/2024 14:30</t>
  </si>
  <si>
    <t>03/07/2024 14:45</t>
  </si>
  <si>
    <t>03/07/2024 15:00</t>
  </si>
  <si>
    <t>03/07/2024 15:15</t>
  </si>
  <si>
    <t>03/07/2024 15:30</t>
  </si>
  <si>
    <t>03/07/2024 15:45</t>
  </si>
  <si>
    <t>03/07/2024 16:00</t>
  </si>
  <si>
    <t>03/07/2024 16:15</t>
  </si>
  <si>
    <t>03/07/2024 16:30</t>
  </si>
  <si>
    <t>03/07/2024 16:45</t>
  </si>
  <si>
    <t>03/07/2024 17:00</t>
  </si>
  <si>
    <t>03/07/2024 17:15</t>
  </si>
  <si>
    <t>03/07/2024 17:30</t>
  </si>
  <si>
    <t>03/07/2024 17:45</t>
  </si>
  <si>
    <t>03/07/2024 18:00</t>
  </si>
  <si>
    <t>03/07/2024 18:15</t>
  </si>
  <si>
    <t>03/07/2024 18:30</t>
  </si>
  <si>
    <t>03/07/2024 18:45</t>
  </si>
  <si>
    <t>03/07/2024 19:00</t>
  </si>
  <si>
    <t>03/07/2024 19:15</t>
  </si>
  <si>
    <t>03/07/2024 19:30</t>
  </si>
  <si>
    <t>03/07/2024 19:45</t>
  </si>
  <si>
    <t>03/07/2024 20:00</t>
  </si>
  <si>
    <t>03/07/2024 20:15</t>
  </si>
  <si>
    <t>03/07/2024 20:30</t>
  </si>
  <si>
    <t>03/07/2024 20:45</t>
  </si>
  <si>
    <t>03/07/2024 21:00</t>
  </si>
  <si>
    <t>03/07/2024 21:15</t>
  </si>
  <si>
    <t>03/07/2024 21:30</t>
  </si>
  <si>
    <t>03/07/2024 21:45</t>
  </si>
  <si>
    <t>03/07/2024 22:00</t>
  </si>
  <si>
    <t>03/07/2024 22:15</t>
  </si>
  <si>
    <t>03/07/2024 22:30</t>
  </si>
  <si>
    <t>03/07/2024 22:45</t>
  </si>
  <si>
    <t>03/07/2024 23:00</t>
  </si>
  <si>
    <t>03/07/2024 23:15</t>
  </si>
  <si>
    <t>03/07/2024 23:30</t>
  </si>
  <si>
    <t>03/07/2024 23:45</t>
  </si>
  <si>
    <t>03/07/2024 24:00</t>
  </si>
  <si>
    <t>04/07/2024 00:15</t>
  </si>
  <si>
    <t>04/07/2024 00:30</t>
  </si>
  <si>
    <t>04/07/2024 00:45</t>
  </si>
  <si>
    <t>04/07/2024 01:00</t>
  </si>
  <si>
    <t>04/07/2024 01:15</t>
  </si>
  <si>
    <t>04/07/2024 01:30</t>
  </si>
  <si>
    <t>04/07/2024 01:45</t>
  </si>
  <si>
    <t>04/07/2024 02:00</t>
  </si>
  <si>
    <t>04/07/2024 02:15</t>
  </si>
  <si>
    <t>04/07/2024 02:30</t>
  </si>
  <si>
    <t>04/07/2024 02:45</t>
  </si>
  <si>
    <t>04/07/2024 03:00</t>
  </si>
  <si>
    <t>04/07/2024 03:15</t>
  </si>
  <si>
    <t>04/07/2024 03:30</t>
  </si>
  <si>
    <t>04/07/2024 03:45</t>
  </si>
  <si>
    <t>04/07/2024 04:00</t>
  </si>
  <si>
    <t>04/07/2024 04:15</t>
  </si>
  <si>
    <t>04/07/2024 04:30</t>
  </si>
  <si>
    <t>04/07/2024 04:45</t>
  </si>
  <si>
    <t>04/07/2024 05:00</t>
  </si>
  <si>
    <t>04/07/2024 05:15</t>
  </si>
  <si>
    <t>04/07/2024 05:30</t>
  </si>
  <si>
    <t>04/07/2024 05:45</t>
  </si>
  <si>
    <t>04/07/2024 06:00</t>
  </si>
  <si>
    <t>04/07/2024 06:15</t>
  </si>
  <si>
    <t>04/07/2024 06:30</t>
  </si>
  <si>
    <t>04/07/2024 06:45</t>
  </si>
  <si>
    <t>04/07/2024 07:00</t>
  </si>
  <si>
    <t>04/07/2024 07:15</t>
  </si>
  <si>
    <t>04/07/2024 07:30</t>
  </si>
  <si>
    <t>04/07/2024 07:45</t>
  </si>
  <si>
    <t>04/07/2024 08:00</t>
  </si>
  <si>
    <t>04/07/2024 08:15</t>
  </si>
  <si>
    <t>04/07/2024 08:30</t>
  </si>
  <si>
    <t>04/07/2024 08:45</t>
  </si>
  <si>
    <t>04/07/2024 09:00</t>
  </si>
  <si>
    <t>04/07/2024 09:15</t>
  </si>
  <si>
    <t>04/07/2024 09:30</t>
  </si>
  <si>
    <t>04/07/2024 09:45</t>
  </si>
  <si>
    <t>04/07/2024 10:00</t>
  </si>
  <si>
    <t>04/07/2024 10:15</t>
  </si>
  <si>
    <t>04/07/2024 10:30</t>
  </si>
  <si>
    <t>04/07/2024 10:45</t>
  </si>
  <si>
    <t>04/07/2024 11:00</t>
  </si>
  <si>
    <t>04/07/2024 11:15</t>
  </si>
  <si>
    <t>04/07/2024 11:30</t>
  </si>
  <si>
    <t>04/07/2024 11:45</t>
  </si>
  <si>
    <t>04/07/2024 12:00</t>
  </si>
  <si>
    <t>04/07/2024 12:15</t>
  </si>
  <si>
    <t>04/07/2024 12:30</t>
  </si>
  <si>
    <t>04/07/2024 12:45</t>
  </si>
  <si>
    <t>04/07/2024 13:00</t>
  </si>
  <si>
    <t>04/07/2024 13:15</t>
  </si>
  <si>
    <t>04/07/2024 13:30</t>
  </si>
  <si>
    <t>04/07/2024 13:45</t>
  </si>
  <si>
    <t>04/07/2024 14:00</t>
  </si>
  <si>
    <t>04/07/2024 14:15</t>
  </si>
  <si>
    <t>04/07/2024 14:30</t>
  </si>
  <si>
    <t>04/07/2024 14:45</t>
  </si>
  <si>
    <t>04/07/2024 15:00</t>
  </si>
  <si>
    <t>04/07/2024 15:15</t>
  </si>
  <si>
    <t>04/07/2024 15:30</t>
  </si>
  <si>
    <t>04/07/2024 15:45</t>
  </si>
  <si>
    <t>04/07/2024 16:00</t>
  </si>
  <si>
    <t>04/07/2024 16:15</t>
  </si>
  <si>
    <t>04/07/2024 16:30</t>
  </si>
  <si>
    <t>04/07/2024 16:45</t>
  </si>
  <si>
    <t>04/07/2024 17:00</t>
  </si>
  <si>
    <t>04/07/2024 17:15</t>
  </si>
  <si>
    <t>04/07/2024 17:30</t>
  </si>
  <si>
    <t>04/07/2024 17:45</t>
  </si>
  <si>
    <t>04/07/2024 18:00</t>
  </si>
  <si>
    <t>04/07/2024 18:15</t>
  </si>
  <si>
    <t>04/07/2024 18:30</t>
  </si>
  <si>
    <t>04/07/2024 18:45</t>
  </si>
  <si>
    <t>04/07/2024 19:00</t>
  </si>
  <si>
    <t>04/07/2024 19:15</t>
  </si>
  <si>
    <t>04/07/2024 19:30</t>
  </si>
  <si>
    <t>04/07/2024 19:45</t>
  </si>
  <si>
    <t>04/07/2024 20:00</t>
  </si>
  <si>
    <t>04/07/2024 20:15</t>
  </si>
  <si>
    <t>04/07/2024 20:30</t>
  </si>
  <si>
    <t>04/07/2024 20:45</t>
  </si>
  <si>
    <t>04/07/2024 21:00</t>
  </si>
  <si>
    <t>04/07/2024 21:15</t>
  </si>
  <si>
    <t>04/07/2024 21:30</t>
  </si>
  <si>
    <t>04/07/2024 21:45</t>
  </si>
  <si>
    <t>04/07/2024 22:00</t>
  </si>
  <si>
    <t>04/07/2024 22:15</t>
  </si>
  <si>
    <t>04/07/2024 22:30</t>
  </si>
  <si>
    <t>04/07/2024 22:45</t>
  </si>
  <si>
    <t>04/07/2024 23:00</t>
  </si>
  <si>
    <t>04/07/2024 23:15</t>
  </si>
  <si>
    <t>04/07/2024 23:30</t>
  </si>
  <si>
    <t>04/07/2024 23:45</t>
  </si>
  <si>
    <t>04/07/2024 24:00</t>
  </si>
  <si>
    <t>05/07/2024 00:15</t>
  </si>
  <si>
    <t>05/07/2024 00:30</t>
  </si>
  <si>
    <t>05/07/2024 00:45</t>
  </si>
  <si>
    <t>05/07/2024 01:00</t>
  </si>
  <si>
    <t>05/07/2024 01:15</t>
  </si>
  <si>
    <t>05/07/2024 01:30</t>
  </si>
  <si>
    <t>05/07/2024 01:45</t>
  </si>
  <si>
    <t>05/07/2024 02:00</t>
  </si>
  <si>
    <t>05/07/2024 02:15</t>
  </si>
  <si>
    <t>05/07/2024 02:30</t>
  </si>
  <si>
    <t>05/07/2024 02:45</t>
  </si>
  <si>
    <t>05/07/2024 03:00</t>
  </si>
  <si>
    <t>05/07/2024 03:15</t>
  </si>
  <si>
    <t>05/07/2024 03:30</t>
  </si>
  <si>
    <t>05/07/2024 03:45</t>
  </si>
  <si>
    <t>05/07/2024 04:00</t>
  </si>
  <si>
    <t>05/07/2024 04:15</t>
  </si>
  <si>
    <t>05/07/2024 04:30</t>
  </si>
  <si>
    <t>05/07/2024 04:45</t>
  </si>
  <si>
    <t>05/07/2024 05:00</t>
  </si>
  <si>
    <t>05/07/2024 05:15</t>
  </si>
  <si>
    <t>05/07/2024 05:30</t>
  </si>
  <si>
    <t>05/07/2024 05:45</t>
  </si>
  <si>
    <t>05/07/2024 06:00</t>
  </si>
  <si>
    <t>05/07/2024 06:15</t>
  </si>
  <si>
    <t>05/07/2024 06:30</t>
  </si>
  <si>
    <t>05/07/2024 06:45</t>
  </si>
  <si>
    <t>05/07/2024 07:00</t>
  </si>
  <si>
    <t>05/07/2024 07:15</t>
  </si>
  <si>
    <t>05/07/2024 07:30</t>
  </si>
  <si>
    <t>05/07/2024 07:45</t>
  </si>
  <si>
    <t>05/07/2024 08:00</t>
  </si>
  <si>
    <t>05/07/2024 08:15</t>
  </si>
  <si>
    <t>05/07/2024 08:30</t>
  </si>
  <si>
    <t>05/07/2024 08:45</t>
  </si>
  <si>
    <t>05/07/2024 09:00</t>
  </si>
  <si>
    <t>05/07/2024 09:15</t>
  </si>
  <si>
    <t>05/07/2024 09:30</t>
  </si>
  <si>
    <t>05/07/2024 09:45</t>
  </si>
  <si>
    <t>05/07/2024 10:00</t>
  </si>
  <si>
    <t>05/07/2024 10:15</t>
  </si>
  <si>
    <t>05/07/2024 10:30</t>
  </si>
  <si>
    <t>05/07/2024 10:45</t>
  </si>
  <si>
    <t>05/07/2024 11:00</t>
  </si>
  <si>
    <t>05/07/2024 11:15</t>
  </si>
  <si>
    <t>05/07/2024 11:30</t>
  </si>
  <si>
    <t>05/07/2024 11:45</t>
  </si>
  <si>
    <t>05/07/2024 12:00</t>
  </si>
  <si>
    <t>05/07/2024 12:15</t>
  </si>
  <si>
    <t>05/07/2024 12:30</t>
  </si>
  <si>
    <t>05/07/2024 12:45</t>
  </si>
  <si>
    <t>05/07/2024 13:00</t>
  </si>
  <si>
    <t>05/07/2024 13:15</t>
  </si>
  <si>
    <t>05/07/2024 13:30</t>
  </si>
  <si>
    <t>05/07/2024 13:45</t>
  </si>
  <si>
    <t>05/07/2024 14:00</t>
  </si>
  <si>
    <t>05/07/2024 14:15</t>
  </si>
  <si>
    <t>05/07/2024 14:30</t>
  </si>
  <si>
    <t>05/07/2024 14:45</t>
  </si>
  <si>
    <t>05/07/2024 15:00</t>
  </si>
  <si>
    <t>05/07/2024 15:15</t>
  </si>
  <si>
    <t>05/07/2024 15:30</t>
  </si>
  <si>
    <t>05/07/2024 15:45</t>
  </si>
  <si>
    <t>05/07/2024 16:00</t>
  </si>
  <si>
    <t>05/07/2024 16:15</t>
  </si>
  <si>
    <t>05/07/2024 16:30</t>
  </si>
  <si>
    <t>05/07/2024 16:45</t>
  </si>
  <si>
    <t>05/07/2024 17:00</t>
  </si>
  <si>
    <t>05/07/2024 17:15</t>
  </si>
  <si>
    <t>05/07/2024 17:30</t>
  </si>
  <si>
    <t>05/07/2024 17:45</t>
  </si>
  <si>
    <t>05/07/2024 18:00</t>
  </si>
  <si>
    <t>05/07/2024 18:15</t>
  </si>
  <si>
    <t>05/07/2024 18:30</t>
  </si>
  <si>
    <t>05/07/2024 18:45</t>
  </si>
  <si>
    <t>05/07/2024 19:00</t>
  </si>
  <si>
    <t>05/07/2024 19:15</t>
  </si>
  <si>
    <t>05/07/2024 19:30</t>
  </si>
  <si>
    <t>05/07/2024 19:45</t>
  </si>
  <si>
    <t>05/07/2024 20:00</t>
  </si>
  <si>
    <t>05/07/2024 20:15</t>
  </si>
  <si>
    <t>05/07/2024 20:30</t>
  </si>
  <si>
    <t>05/07/2024 20:45</t>
  </si>
  <si>
    <t>05/07/2024 21:00</t>
  </si>
  <si>
    <t>05/07/2024 21:15</t>
  </si>
  <si>
    <t>05/07/2024 21:30</t>
  </si>
  <si>
    <t>05/07/2024 21:45</t>
  </si>
  <si>
    <t>05/07/2024 22:00</t>
  </si>
  <si>
    <t>05/07/2024 22:15</t>
  </si>
  <si>
    <t>05/07/2024 22:30</t>
  </si>
  <si>
    <t>05/07/2024 22:45</t>
  </si>
  <si>
    <t>05/07/2024 23:00</t>
  </si>
  <si>
    <t>05/07/2024 23:15</t>
  </si>
  <si>
    <t>05/07/2024 23:30</t>
  </si>
  <si>
    <t>05/07/2024 23:45</t>
  </si>
  <si>
    <t>05/07/2024 24:00</t>
  </si>
  <si>
    <t>06/07/2024 00:15</t>
  </si>
  <si>
    <t>06/07/2024 00:30</t>
  </si>
  <si>
    <t>06/07/2024 00:45</t>
  </si>
  <si>
    <t>06/07/2024 01:00</t>
  </si>
  <si>
    <t>06/07/2024 01:15</t>
  </si>
  <si>
    <t>06/07/2024 01:30</t>
  </si>
  <si>
    <t>06/07/2024 01:45</t>
  </si>
  <si>
    <t>06/07/2024 02:00</t>
  </si>
  <si>
    <t>06/07/2024 02:15</t>
  </si>
  <si>
    <t>06/07/2024 02:30</t>
  </si>
  <si>
    <t>06/07/2024 02:45</t>
  </si>
  <si>
    <t>06/07/2024 03:00</t>
  </si>
  <si>
    <t>06/07/2024 03:15</t>
  </si>
  <si>
    <t>06/07/2024 03:30</t>
  </si>
  <si>
    <t>06/07/2024 03:45</t>
  </si>
  <si>
    <t>06/07/2024 04:00</t>
  </si>
  <si>
    <t>06/07/2024 04:15</t>
  </si>
  <si>
    <t>06/07/2024 04:30</t>
  </si>
  <si>
    <t>06/07/2024 04:45</t>
  </si>
  <si>
    <t>06/07/2024 05:00</t>
  </si>
  <si>
    <t>06/07/2024 05:15</t>
  </si>
  <si>
    <t>06/07/2024 05:30</t>
  </si>
  <si>
    <t>06/07/2024 05:45</t>
  </si>
  <si>
    <t>06/07/2024 06:00</t>
  </si>
  <si>
    <t>06/07/2024 06:15</t>
  </si>
  <si>
    <t>06/07/2024 06:30</t>
  </si>
  <si>
    <t>06/07/2024 06:45</t>
  </si>
  <si>
    <t>06/07/2024 07:00</t>
  </si>
  <si>
    <t>06/07/2024 07:15</t>
  </si>
  <si>
    <t>06/07/2024 07:30</t>
  </si>
  <si>
    <t>06/07/2024 07:45</t>
  </si>
  <si>
    <t>06/07/2024 08:00</t>
  </si>
  <si>
    <t>06/07/2024 08:15</t>
  </si>
  <si>
    <t>06/07/2024 08:30</t>
  </si>
  <si>
    <t>06/07/2024 08:45</t>
  </si>
  <si>
    <t>06/07/2024 09:00</t>
  </si>
  <si>
    <t>06/07/2024 09:15</t>
  </si>
  <si>
    <t>06/07/2024 09:30</t>
  </si>
  <si>
    <t>06/07/2024 09:45</t>
  </si>
  <si>
    <t>06/07/2024 10:00</t>
  </si>
  <si>
    <t>06/07/2024 10:15</t>
  </si>
  <si>
    <t>06/07/2024 10:30</t>
  </si>
  <si>
    <t>06/07/2024 10:45</t>
  </si>
  <si>
    <t>06/07/2024 11:00</t>
  </si>
  <si>
    <t>06/07/2024 11:15</t>
  </si>
  <si>
    <t>06/07/2024 11:30</t>
  </si>
  <si>
    <t>06/07/2024 11:45</t>
  </si>
  <si>
    <t>06/07/2024 12:00</t>
  </si>
  <si>
    <t>06/07/2024 12:15</t>
  </si>
  <si>
    <t>06/07/2024 12:30</t>
  </si>
  <si>
    <t>06/07/2024 12:45</t>
  </si>
  <si>
    <t>06/07/2024 13:00</t>
  </si>
  <si>
    <t>06/07/2024 13:15</t>
  </si>
  <si>
    <t>06/07/2024 13:30</t>
  </si>
  <si>
    <t>06/07/2024 13:45</t>
  </si>
  <si>
    <t>06/07/2024 14:00</t>
  </si>
  <si>
    <t>06/07/2024 14:15</t>
  </si>
  <si>
    <t>06/07/2024 14:30</t>
  </si>
  <si>
    <t>06/07/2024 14:45</t>
  </si>
  <si>
    <t>06/07/2024 15:00</t>
  </si>
  <si>
    <t>06/07/2024 15:15</t>
  </si>
  <si>
    <t>06/07/2024 15:30</t>
  </si>
  <si>
    <t>06/07/2024 15:45</t>
  </si>
  <si>
    <t>06/07/2024 16:00</t>
  </si>
  <si>
    <t>06/07/2024 16:15</t>
  </si>
  <si>
    <t>06/07/2024 16:30</t>
  </si>
  <si>
    <t>06/07/2024 16:45</t>
  </si>
  <si>
    <t>06/07/2024 17:00</t>
  </si>
  <si>
    <t>06/07/2024 17:15</t>
  </si>
  <si>
    <t>06/07/2024 17:30</t>
  </si>
  <si>
    <t>06/07/2024 17:45</t>
  </si>
  <si>
    <t>06/07/2024 18:00</t>
  </si>
  <si>
    <t>06/07/2024 18:15</t>
  </si>
  <si>
    <t>06/07/2024 18:30</t>
  </si>
  <si>
    <t>06/07/2024 18:45</t>
  </si>
  <si>
    <t>06/07/2024 19:00</t>
  </si>
  <si>
    <t>06/07/2024 19:15</t>
  </si>
  <si>
    <t>06/07/2024 19:30</t>
  </si>
  <si>
    <t>06/07/2024 19:45</t>
  </si>
  <si>
    <t>06/07/2024 20:00</t>
  </si>
  <si>
    <t>06/07/2024 20:15</t>
  </si>
  <si>
    <t>06/07/2024 20:30</t>
  </si>
  <si>
    <t>06/07/2024 20:45</t>
  </si>
  <si>
    <t>06/07/2024 21:00</t>
  </si>
  <si>
    <t>06/07/2024 21:15</t>
  </si>
  <si>
    <t>06/07/2024 21:30</t>
  </si>
  <si>
    <t>06/07/2024 21:45</t>
  </si>
  <si>
    <t>06/07/2024 22:00</t>
  </si>
  <si>
    <t>06/07/2024 22:15</t>
  </si>
  <si>
    <t>06/07/2024 22:30</t>
  </si>
  <si>
    <t>06/07/2024 22:45</t>
  </si>
  <si>
    <t>06/07/2024 23:00</t>
  </si>
  <si>
    <t>06/07/2024 23:15</t>
  </si>
  <si>
    <t>06/07/2024 23:30</t>
  </si>
  <si>
    <t>06/07/2024 23:45</t>
  </si>
  <si>
    <t>06/07/2024 24:00</t>
  </si>
  <si>
    <t>07/07/2024 00:15</t>
  </si>
  <si>
    <t>07/07/2024 00:30</t>
  </si>
  <si>
    <t>07/07/2024 00:45</t>
  </si>
  <si>
    <t>07/07/2024 01:00</t>
  </si>
  <si>
    <t>07/07/2024 01:15</t>
  </si>
  <si>
    <t>07/07/2024 01:30</t>
  </si>
  <si>
    <t>07/07/2024 01:45</t>
  </si>
  <si>
    <t>07/07/2024 02:00</t>
  </si>
  <si>
    <t>07/07/2024 02:15</t>
  </si>
  <si>
    <t>07/07/2024 02:30</t>
  </si>
  <si>
    <t>07/07/2024 02:45</t>
  </si>
  <si>
    <t>07/07/2024 03:00</t>
  </si>
  <si>
    <t>07/07/2024 03:15</t>
  </si>
  <si>
    <t>07/07/2024 03:30</t>
  </si>
  <si>
    <t>07/07/2024 03:45</t>
  </si>
  <si>
    <t>07/07/2024 04:00</t>
  </si>
  <si>
    <t>07/07/2024 04:15</t>
  </si>
  <si>
    <t>07/07/2024 04:30</t>
  </si>
  <si>
    <t>07/07/2024 04:45</t>
  </si>
  <si>
    <t>07/07/2024 05:00</t>
  </si>
  <si>
    <t>07/07/2024 05:15</t>
  </si>
  <si>
    <t>07/07/2024 05:30</t>
  </si>
  <si>
    <t>07/07/2024 05:45</t>
  </si>
  <si>
    <t>07/07/2024 06:00</t>
  </si>
  <si>
    <t>07/07/2024 06:15</t>
  </si>
  <si>
    <t>07/07/2024 06:30</t>
  </si>
  <si>
    <t>07/07/2024 06:45</t>
  </si>
  <si>
    <t>07/07/2024 07:00</t>
  </si>
  <si>
    <t>07/07/2024 07:15</t>
  </si>
  <si>
    <t>07/07/2024 07:30</t>
  </si>
  <si>
    <t>07/07/2024 07:45</t>
  </si>
  <si>
    <t>07/07/2024 08:00</t>
  </si>
  <si>
    <t>07/07/2024 08:15</t>
  </si>
  <si>
    <t>07/07/2024 08:30</t>
  </si>
  <si>
    <t>07/07/2024 08:45</t>
  </si>
  <si>
    <t>07/07/2024 09:00</t>
  </si>
  <si>
    <t>07/07/2024 09:15</t>
  </si>
  <si>
    <t>07/07/2024 09:30</t>
  </si>
  <si>
    <t>07/07/2024 09:45</t>
  </si>
  <si>
    <t>07/07/2024 10:00</t>
  </si>
  <si>
    <t>07/07/2024 10:15</t>
  </si>
  <si>
    <t>07/07/2024 10:30</t>
  </si>
  <si>
    <t>07/07/2024 10:45</t>
  </si>
  <si>
    <t>07/07/2024 11:00</t>
  </si>
  <si>
    <t>07/07/2024 11:15</t>
  </si>
  <si>
    <t>07/07/2024 11:30</t>
  </si>
  <si>
    <t>07/07/2024 11:45</t>
  </si>
  <si>
    <t>07/07/2024 12:00</t>
  </si>
  <si>
    <t>07/07/2024 12:15</t>
  </si>
  <si>
    <t>07/07/2024 12:30</t>
  </si>
  <si>
    <t>07/07/2024 12:45</t>
  </si>
  <si>
    <t>07/07/2024 13:00</t>
  </si>
  <si>
    <t>07/07/2024 13:15</t>
  </si>
  <si>
    <t>07/07/2024 13:30</t>
  </si>
  <si>
    <t>07/07/2024 13:45</t>
  </si>
  <si>
    <t>07/07/2024 14:00</t>
  </si>
  <si>
    <t>07/07/2024 14:15</t>
  </si>
  <si>
    <t>07/07/2024 14:30</t>
  </si>
  <si>
    <t>07/07/2024 14:45</t>
  </si>
  <si>
    <t>07/07/2024 15:00</t>
  </si>
  <si>
    <t>07/07/2024 15:15</t>
  </si>
  <si>
    <t>07/07/2024 15:30</t>
  </si>
  <si>
    <t>07/07/2024 15:45</t>
  </si>
  <si>
    <t>07/07/2024 16:00</t>
  </si>
  <si>
    <t>07/07/2024 16:15</t>
  </si>
  <si>
    <t>07/07/2024 16:30</t>
  </si>
  <si>
    <t>07/07/2024 16:45</t>
  </si>
  <si>
    <t>07/07/2024 17:00</t>
  </si>
  <si>
    <t>07/07/2024 17:15</t>
  </si>
  <si>
    <t>07/07/2024 17:30</t>
  </si>
  <si>
    <t>07/07/2024 17:45</t>
  </si>
  <si>
    <t>07/07/2024 18:00</t>
  </si>
  <si>
    <t>07/07/2024 18:15</t>
  </si>
  <si>
    <t>07/07/2024 18:30</t>
  </si>
  <si>
    <t>07/07/2024 18:45</t>
  </si>
  <si>
    <t>07/07/2024 19:00</t>
  </si>
  <si>
    <t>07/07/2024 19:15</t>
  </si>
  <si>
    <t>07/07/2024 19:30</t>
  </si>
  <si>
    <t>07/07/2024 19:45</t>
  </si>
  <si>
    <t>07/07/2024 20:00</t>
  </si>
  <si>
    <t>07/07/2024 20:15</t>
  </si>
  <si>
    <t>07/07/2024 20:30</t>
  </si>
  <si>
    <t>07/07/2024 20:45</t>
  </si>
  <si>
    <t>07/07/2024 21:00</t>
  </si>
  <si>
    <t>07/07/2024 21:15</t>
  </si>
  <si>
    <t>07/07/2024 21:30</t>
  </si>
  <si>
    <t>07/07/2024 21:45</t>
  </si>
  <si>
    <t>07/07/2024 22:00</t>
  </si>
  <si>
    <t>07/07/2024 22:15</t>
  </si>
  <si>
    <t>07/07/2024 22:30</t>
  </si>
  <si>
    <t>07/07/2024 22:45</t>
  </si>
  <si>
    <t>07/07/2024 23:00</t>
  </si>
  <si>
    <t>07/07/2024 23:15</t>
  </si>
  <si>
    <t>07/07/2024 23:30</t>
  </si>
  <si>
    <t>07/07/2024 23:45</t>
  </si>
  <si>
    <t>07/07/2024 24:00</t>
  </si>
  <si>
    <t>08/07/2024 00:15</t>
  </si>
  <si>
    <t>08/07/2024 00:30</t>
  </si>
  <si>
    <t>08/07/2024 00:45</t>
  </si>
  <si>
    <t>08/07/2024 01:00</t>
  </si>
  <si>
    <t>08/07/2024 01:15</t>
  </si>
  <si>
    <t>08/07/2024 01:30</t>
  </si>
  <si>
    <t>08/07/2024 01:45</t>
  </si>
  <si>
    <t>08/07/2024 02:00</t>
  </si>
  <si>
    <t>08/07/2024 02:15</t>
  </si>
  <si>
    <t>08/07/2024 02:30</t>
  </si>
  <si>
    <t>08/07/2024 02:45</t>
  </si>
  <si>
    <t>08/07/2024 03:00</t>
  </si>
  <si>
    <t>08/07/2024 03:15</t>
  </si>
  <si>
    <t>08/07/2024 03:30</t>
  </si>
  <si>
    <t>08/07/2024 03:45</t>
  </si>
  <si>
    <t>08/07/2024 04:00</t>
  </si>
  <si>
    <t>08/07/2024 04:15</t>
  </si>
  <si>
    <t>08/07/2024 04:30</t>
  </si>
  <si>
    <t>08/07/2024 04:45</t>
  </si>
  <si>
    <t>08/07/2024 05:00</t>
  </si>
  <si>
    <t>08/07/2024 05:15</t>
  </si>
  <si>
    <t>08/07/2024 05:30</t>
  </si>
  <si>
    <t>08/07/2024 05:45</t>
  </si>
  <si>
    <t>08/07/2024 06:00</t>
  </si>
  <si>
    <t>08/07/2024 06:15</t>
  </si>
  <si>
    <t>08/07/2024 06:30</t>
  </si>
  <si>
    <t>08/07/2024 06:45</t>
  </si>
  <si>
    <t>08/07/2024 07:00</t>
  </si>
  <si>
    <t>08/07/2024 07:15</t>
  </si>
  <si>
    <t>08/07/2024 07:30</t>
  </si>
  <si>
    <t>08/07/2024 07:45</t>
  </si>
  <si>
    <t>08/07/2024 08:00</t>
  </si>
  <si>
    <t>08/07/2024 08:15</t>
  </si>
  <si>
    <t>08/07/2024 08:30</t>
  </si>
  <si>
    <t>08/07/2024 08:45</t>
  </si>
  <si>
    <t>08/07/2024 09:00</t>
  </si>
  <si>
    <t>08/07/2024 09:15</t>
  </si>
  <si>
    <t>08/07/2024 09:30</t>
  </si>
  <si>
    <t>08/07/2024 09:45</t>
  </si>
  <si>
    <t>08/07/2024 10:00</t>
  </si>
  <si>
    <t>08/07/2024 10:15</t>
  </si>
  <si>
    <t>08/07/2024 10:30</t>
  </si>
  <si>
    <t>08/07/2024 10:45</t>
  </si>
  <si>
    <t>08/07/2024 11:00</t>
  </si>
  <si>
    <t>08/07/2024 11:15</t>
  </si>
  <si>
    <t>08/07/2024 11:30</t>
  </si>
  <si>
    <t>08/07/2024 11:45</t>
  </si>
  <si>
    <t>08/07/2024 12:00</t>
  </si>
  <si>
    <t>08/07/2024 12:15</t>
  </si>
  <si>
    <t>08/07/2024 12:30</t>
  </si>
  <si>
    <t>08/07/2024 12:45</t>
  </si>
  <si>
    <t>08/07/2024 13:00</t>
  </si>
  <si>
    <t>08/07/2024 13:15</t>
  </si>
  <si>
    <t>08/07/2024 13:30</t>
  </si>
  <si>
    <t>08/07/2024 13:45</t>
  </si>
  <si>
    <t>08/07/2024 14:00</t>
  </si>
  <si>
    <t>08/07/2024 14:15</t>
  </si>
  <si>
    <t>08/07/2024 14:30</t>
  </si>
  <si>
    <t>08/07/2024 14:45</t>
  </si>
  <si>
    <t>08/07/2024 15:00</t>
  </si>
  <si>
    <t>08/07/2024 15:15</t>
  </si>
  <si>
    <t>08/07/2024 15:30</t>
  </si>
  <si>
    <t>08/07/2024 15:45</t>
  </si>
  <si>
    <t>08/07/2024 16:00</t>
  </si>
  <si>
    <t>08/07/2024 16:15</t>
  </si>
  <si>
    <t>08/07/2024 16:30</t>
  </si>
  <si>
    <t>08/07/2024 16:45</t>
  </si>
  <si>
    <t>08/07/2024 17:00</t>
  </si>
  <si>
    <t>08/07/2024 17:15</t>
  </si>
  <si>
    <t>08/07/2024 17:30</t>
  </si>
  <si>
    <t>08/07/2024 17:45</t>
  </si>
  <si>
    <t>08/07/2024 18:00</t>
  </si>
  <si>
    <t>08/07/2024 18:15</t>
  </si>
  <si>
    <t>08/07/2024 18:30</t>
  </si>
  <si>
    <t>08/07/2024 18:45</t>
  </si>
  <si>
    <t>08/07/2024 19:00</t>
  </si>
  <si>
    <t>08/07/2024 19:15</t>
  </si>
  <si>
    <t>08/07/2024 19:30</t>
  </si>
  <si>
    <t>08/07/2024 19:45</t>
  </si>
  <si>
    <t>08/07/2024 20:00</t>
  </si>
  <si>
    <t>08/07/2024 20:15</t>
  </si>
  <si>
    <t>08/07/2024 20:30</t>
  </si>
  <si>
    <t>08/07/2024 20:45</t>
  </si>
  <si>
    <t>08/07/2024 21:00</t>
  </si>
  <si>
    <t>08/07/2024 21:15</t>
  </si>
  <si>
    <t>08/07/2024 21:30</t>
  </si>
  <si>
    <t>08/07/2024 21:45</t>
  </si>
  <si>
    <t>08/07/2024 22:00</t>
  </si>
  <si>
    <t>08/07/2024 22:15</t>
  </si>
  <si>
    <t>08/07/2024 22:30</t>
  </si>
  <si>
    <t>08/07/2024 22:45</t>
  </si>
  <si>
    <t>08/07/2024 23:00</t>
  </si>
  <si>
    <t>08/07/2024 23:15</t>
  </si>
  <si>
    <t>08/07/2024 23:30</t>
  </si>
  <si>
    <t>08/07/2024 23:45</t>
  </si>
  <si>
    <t>08/07/2024 24:00</t>
  </si>
  <si>
    <t>09/07/2024 00:15</t>
  </si>
  <si>
    <t>09/07/2024 00:30</t>
  </si>
  <si>
    <t>09/07/2024 00:45</t>
  </si>
  <si>
    <t>09/07/2024 01:00</t>
  </si>
  <si>
    <t>09/07/2024 01:15</t>
  </si>
  <si>
    <t>09/07/2024 01:30</t>
  </si>
  <si>
    <t>09/07/2024 01:45</t>
  </si>
  <si>
    <t>09/07/2024 02:00</t>
  </si>
  <si>
    <t>09/07/2024 02:15</t>
  </si>
  <si>
    <t>09/07/2024 02:30</t>
  </si>
  <si>
    <t>09/07/2024 02:45</t>
  </si>
  <si>
    <t>09/07/2024 03:00</t>
  </si>
  <si>
    <t>09/07/2024 03:15</t>
  </si>
  <si>
    <t>09/07/2024 03:30</t>
  </si>
  <si>
    <t>09/07/2024 03:45</t>
  </si>
  <si>
    <t>09/07/2024 04:00</t>
  </si>
  <si>
    <t>09/07/2024 04:15</t>
  </si>
  <si>
    <t>09/07/2024 04:30</t>
  </si>
  <si>
    <t>09/07/2024 04:45</t>
  </si>
  <si>
    <t>09/07/2024 05:00</t>
  </si>
  <si>
    <t>09/07/2024 05:15</t>
  </si>
  <si>
    <t>09/07/2024 05:30</t>
  </si>
  <si>
    <t>09/07/2024 05:45</t>
  </si>
  <si>
    <t>09/07/2024 06:00</t>
  </si>
  <si>
    <t>09/07/2024 06:15</t>
  </si>
  <si>
    <t>09/07/2024 06:30</t>
  </si>
  <si>
    <t>09/07/2024 06:45</t>
  </si>
  <si>
    <t>09/07/2024 07:00</t>
  </si>
  <si>
    <t>09/07/2024 07:15</t>
  </si>
  <si>
    <t>09/07/2024 07:30</t>
  </si>
  <si>
    <t>09/07/2024 07:45</t>
  </si>
  <si>
    <t>09/07/2024 08:00</t>
  </si>
  <si>
    <t>09/07/2024 08:15</t>
  </si>
  <si>
    <t>09/07/2024 08:30</t>
  </si>
  <si>
    <t>09/07/2024 08:45</t>
  </si>
  <si>
    <t>09/07/2024 09:00</t>
  </si>
  <si>
    <t>09/07/2024 09:15</t>
  </si>
  <si>
    <t>09/07/2024 09:30</t>
  </si>
  <si>
    <t>09/07/2024 09:45</t>
  </si>
  <si>
    <t>09/07/2024 10:00</t>
  </si>
  <si>
    <t>09/07/2024 10:15</t>
  </si>
  <si>
    <t>09/07/2024 10:30</t>
  </si>
  <si>
    <t>09/07/2024 10:45</t>
  </si>
  <si>
    <t>09/07/2024 11:00</t>
  </si>
  <si>
    <t>09/07/2024 11:15</t>
  </si>
  <si>
    <t>09/07/2024 11:30</t>
  </si>
  <si>
    <t>09/07/2024 11:45</t>
  </si>
  <si>
    <t>09/07/2024 12:00</t>
  </si>
  <si>
    <t>09/07/2024 12:15</t>
  </si>
  <si>
    <t>09/07/2024 12:30</t>
  </si>
  <si>
    <t>09/07/2024 12:45</t>
  </si>
  <si>
    <t>09/07/2024 13:00</t>
  </si>
  <si>
    <t>09/07/2024 13:15</t>
  </si>
  <si>
    <t>09/07/2024 13:30</t>
  </si>
  <si>
    <t>09/07/2024 13:45</t>
  </si>
  <si>
    <t>09/07/2024 14:00</t>
  </si>
  <si>
    <t>09/07/2024 14:15</t>
  </si>
  <si>
    <t>09/07/2024 14:30</t>
  </si>
  <si>
    <t>09/07/2024 14:45</t>
  </si>
  <si>
    <t>09/07/2024 15:00</t>
  </si>
  <si>
    <t>09/07/2024 15:15</t>
  </si>
  <si>
    <t>09/07/2024 15:30</t>
  </si>
  <si>
    <t>09/07/2024 15:45</t>
  </si>
  <si>
    <t>09/07/2024 16:00</t>
  </si>
  <si>
    <t>09/07/2024 16:15</t>
  </si>
  <si>
    <t>09/07/2024 16:30</t>
  </si>
  <si>
    <t>09/07/2024 16:45</t>
  </si>
  <si>
    <t>09/07/2024 17:00</t>
  </si>
  <si>
    <t>09/07/2024 17:15</t>
  </si>
  <si>
    <t>09/07/2024 17:30</t>
  </si>
  <si>
    <t>09/07/2024 17:45</t>
  </si>
  <si>
    <t>09/07/2024 18:00</t>
  </si>
  <si>
    <t>09/07/2024 18:15</t>
  </si>
  <si>
    <t>09/07/2024 18:30</t>
  </si>
  <si>
    <t>09/07/2024 18:45</t>
  </si>
  <si>
    <t>09/07/2024 19:00</t>
  </si>
  <si>
    <t>09/07/2024 19:15</t>
  </si>
  <si>
    <t>09/07/2024 19:30</t>
  </si>
  <si>
    <t>09/07/2024 19:45</t>
  </si>
  <si>
    <t>09/07/2024 20:00</t>
  </si>
  <si>
    <t>09/07/2024 20:15</t>
  </si>
  <si>
    <t>09/07/2024 20:30</t>
  </si>
  <si>
    <t>09/07/2024 20:45</t>
  </si>
  <si>
    <t>09/07/2024 21:00</t>
  </si>
  <si>
    <t>09/07/2024 21:15</t>
  </si>
  <si>
    <t>09/07/2024 21:30</t>
  </si>
  <si>
    <t>09/07/2024 21:45</t>
  </si>
  <si>
    <t>09/07/2024 22:00</t>
  </si>
  <si>
    <t>09/07/2024 22:15</t>
  </si>
  <si>
    <t>09/07/2024 22:30</t>
  </si>
  <si>
    <t>09/07/2024 22:45</t>
  </si>
  <si>
    <t>09/07/2024 23:00</t>
  </si>
  <si>
    <t>09/07/2024 23:15</t>
  </si>
  <si>
    <t>09/07/2024 23:30</t>
  </si>
  <si>
    <t>09/07/2024 23:45</t>
  </si>
  <si>
    <t>09/07/2024 24:00</t>
  </si>
  <si>
    <t>10/07/2024 00:15</t>
  </si>
  <si>
    <t>10/07/2024 00:30</t>
  </si>
  <si>
    <t>10/07/2024 00:45</t>
  </si>
  <si>
    <t>10/07/2024 01:00</t>
  </si>
  <si>
    <t>10/07/2024 01:15</t>
  </si>
  <si>
    <t>10/07/2024 01:30</t>
  </si>
  <si>
    <t>10/07/2024 01:45</t>
  </si>
  <si>
    <t>10/07/2024 02:00</t>
  </si>
  <si>
    <t>10/07/2024 02:15</t>
  </si>
  <si>
    <t>10/07/2024 02:30</t>
  </si>
  <si>
    <t>10/07/2024 02:45</t>
  </si>
  <si>
    <t>10/07/2024 03:00</t>
  </si>
  <si>
    <t>10/07/2024 03:15</t>
  </si>
  <si>
    <t>10/07/2024 03:30</t>
  </si>
  <si>
    <t>10/07/2024 03:45</t>
  </si>
  <si>
    <t>10/07/2024 04:00</t>
  </si>
  <si>
    <t>10/07/2024 04:15</t>
  </si>
  <si>
    <t>10/07/2024 04:30</t>
  </si>
  <si>
    <t>10/07/2024 04:45</t>
  </si>
  <si>
    <t>10/07/2024 05:00</t>
  </si>
  <si>
    <t>10/07/2024 05:15</t>
  </si>
  <si>
    <t>10/07/2024 05:30</t>
  </si>
  <si>
    <t>10/07/2024 05:45</t>
  </si>
  <si>
    <t>10/07/2024 06:00</t>
  </si>
  <si>
    <t>10/07/2024 06:15</t>
  </si>
  <si>
    <t>10/07/2024 06:30</t>
  </si>
  <si>
    <t>10/07/2024 06:45</t>
  </si>
  <si>
    <t>10/07/2024 07:00</t>
  </si>
  <si>
    <t>10/07/2024 07:15</t>
  </si>
  <si>
    <t>10/07/2024 07:30</t>
  </si>
  <si>
    <t>10/07/2024 07:45</t>
  </si>
  <si>
    <t>10/07/2024 08:00</t>
  </si>
  <si>
    <t>10/07/2024 08:15</t>
  </si>
  <si>
    <t>10/07/2024 08:30</t>
  </si>
  <si>
    <t>10/07/2024 08:45</t>
  </si>
  <si>
    <t>10/07/2024 09:00</t>
  </si>
  <si>
    <t>10/07/2024 09:15</t>
  </si>
  <si>
    <t>10/07/2024 09:30</t>
  </si>
  <si>
    <t>10/07/2024 09:45</t>
  </si>
  <si>
    <t>10/07/2024 10:00</t>
  </si>
  <si>
    <t>10/07/2024 10:15</t>
  </si>
  <si>
    <t>10/07/2024 10:30</t>
  </si>
  <si>
    <t>10/07/2024 10:45</t>
  </si>
  <si>
    <t>10/07/2024 11:00</t>
  </si>
  <si>
    <t>10/07/2024 11:15</t>
  </si>
  <si>
    <t>10/07/2024 11:30</t>
  </si>
  <si>
    <t>10/07/2024 11:45</t>
  </si>
  <si>
    <t>10/07/2024 12:00</t>
  </si>
  <si>
    <t>10/07/2024 12:15</t>
  </si>
  <si>
    <t>10/07/2024 12:30</t>
  </si>
  <si>
    <t>10/07/2024 12:45</t>
  </si>
  <si>
    <t>10/07/2024 13:00</t>
  </si>
  <si>
    <t>10/07/2024 13:15</t>
  </si>
  <si>
    <t>10/07/2024 13:30</t>
  </si>
  <si>
    <t>10/07/2024 13:45</t>
  </si>
  <si>
    <t>10/07/2024 14:00</t>
  </si>
  <si>
    <t>10/07/2024 14:15</t>
  </si>
  <si>
    <t>10/07/2024 14:30</t>
  </si>
  <si>
    <t>10/07/2024 14:45</t>
  </si>
  <si>
    <t>10/07/2024 15:00</t>
  </si>
  <si>
    <t>10/07/2024 15:15</t>
  </si>
  <si>
    <t>10/07/2024 15:30</t>
  </si>
  <si>
    <t>10/07/2024 15:45</t>
  </si>
  <si>
    <t>10/07/2024 16:00</t>
  </si>
  <si>
    <t>10/07/2024 16:15</t>
  </si>
  <si>
    <t>10/07/2024 16:30</t>
  </si>
  <si>
    <t>10/07/2024 16:45</t>
  </si>
  <si>
    <t>10/07/2024 17:00</t>
  </si>
  <si>
    <t>10/07/2024 17:15</t>
  </si>
  <si>
    <t>10/07/2024 17:30</t>
  </si>
  <si>
    <t>10/07/2024 17:45</t>
  </si>
  <si>
    <t>10/07/2024 18:00</t>
  </si>
  <si>
    <t>10/07/2024 18:15</t>
  </si>
  <si>
    <t>10/07/2024 18:30</t>
  </si>
  <si>
    <t>10/07/2024 18:45</t>
  </si>
  <si>
    <t>10/07/2024 19:00</t>
  </si>
  <si>
    <t>10/07/2024 19:15</t>
  </si>
  <si>
    <t>10/07/2024 19:30</t>
  </si>
  <si>
    <t>10/07/2024 19:45</t>
  </si>
  <si>
    <t>10/07/2024 20:00</t>
  </si>
  <si>
    <t>10/07/2024 20:15</t>
  </si>
  <si>
    <t>10/07/2024 20:30</t>
  </si>
  <si>
    <t>10/07/2024 20:45</t>
  </si>
  <si>
    <t>10/07/2024 21:00</t>
  </si>
  <si>
    <t>10/07/2024 21:15</t>
  </si>
  <si>
    <t>10/07/2024 21:30</t>
  </si>
  <si>
    <t>10/07/2024 21:45</t>
  </si>
  <si>
    <t>10/07/2024 22:00</t>
  </si>
  <si>
    <t>10/07/2024 22:15</t>
  </si>
  <si>
    <t>10/07/2024 22:30</t>
  </si>
  <si>
    <t>10/07/2024 22:45</t>
  </si>
  <si>
    <t>10/07/2024 23:00</t>
  </si>
  <si>
    <t>10/07/2024 23:15</t>
  </si>
  <si>
    <t>10/07/2024 23:30</t>
  </si>
  <si>
    <t>10/07/2024 23:45</t>
  </si>
  <si>
    <t>10/07/2024 24:00</t>
  </si>
  <si>
    <t>11/07/2024 00:15</t>
  </si>
  <si>
    <t>11/07/2024 00:30</t>
  </si>
  <si>
    <t>11/07/2024 00:45</t>
  </si>
  <si>
    <t>11/07/2024 01:00</t>
  </si>
  <si>
    <t>11/07/2024 01:15</t>
  </si>
  <si>
    <t>11/07/2024 01:30</t>
  </si>
  <si>
    <t>11/07/2024 01:45</t>
  </si>
  <si>
    <t>11/07/2024 02:00</t>
  </si>
  <si>
    <t>11/07/2024 02:15</t>
  </si>
  <si>
    <t>11/07/2024 02:30</t>
  </si>
  <si>
    <t>11/07/2024 02:45</t>
  </si>
  <si>
    <t>11/07/2024 03:00</t>
  </si>
  <si>
    <t>11/07/2024 03:15</t>
  </si>
  <si>
    <t>11/07/2024 03:30</t>
  </si>
  <si>
    <t>11/07/2024 03:45</t>
  </si>
  <si>
    <t>11/07/2024 04:00</t>
  </si>
  <si>
    <t>11/07/2024 04:15</t>
  </si>
  <si>
    <t>11/07/2024 04:30</t>
  </si>
  <si>
    <t>11/07/2024 04:45</t>
  </si>
  <si>
    <t>11/07/2024 05:00</t>
  </si>
  <si>
    <t>11/07/2024 05:15</t>
  </si>
  <si>
    <t>11/07/2024 05:30</t>
  </si>
  <si>
    <t>11/07/2024 05:45</t>
  </si>
  <si>
    <t>11/07/2024 06:00</t>
  </si>
  <si>
    <t>11/07/2024 06:15</t>
  </si>
  <si>
    <t>11/07/2024 06:30</t>
  </si>
  <si>
    <t>11/07/2024 06:45</t>
  </si>
  <si>
    <t>11/07/2024 07:00</t>
  </si>
  <si>
    <t>11/07/2024 07:15</t>
  </si>
  <si>
    <t>11/07/2024 07:30</t>
  </si>
  <si>
    <t>11/07/2024 07:45</t>
  </si>
  <si>
    <t>11/07/2024 08:00</t>
  </si>
  <si>
    <t>11/07/2024 08:15</t>
  </si>
  <si>
    <t>11/07/2024 08:30</t>
  </si>
  <si>
    <t>11/07/2024 08:45</t>
  </si>
  <si>
    <t>11/07/2024 09:00</t>
  </si>
  <si>
    <t>11/07/2024 09:15</t>
  </si>
  <si>
    <t>11/07/2024 09:30</t>
  </si>
  <si>
    <t>11/07/2024 09:45</t>
  </si>
  <si>
    <t>11/07/2024 10:00</t>
  </si>
  <si>
    <t>11/07/2024 10:15</t>
  </si>
  <si>
    <t>11/07/2024 10:30</t>
  </si>
  <si>
    <t>11/07/2024 10:45</t>
  </si>
  <si>
    <t>11/07/2024 11:00</t>
  </si>
  <si>
    <t>11/07/2024 11:15</t>
  </si>
  <si>
    <t>11/07/2024 11:30</t>
  </si>
  <si>
    <t>11/07/2024 11:45</t>
  </si>
  <si>
    <t>11/07/2024 12:00</t>
  </si>
  <si>
    <t>11/07/2024 12:15</t>
  </si>
  <si>
    <t>11/07/2024 12:30</t>
  </si>
  <si>
    <t>11/07/2024 12:45</t>
  </si>
  <si>
    <t>11/07/2024 13:00</t>
  </si>
  <si>
    <t>11/07/2024 13:15</t>
  </si>
  <si>
    <t>11/07/2024 13:30</t>
  </si>
  <si>
    <t>11/07/2024 13:45</t>
  </si>
  <si>
    <t>11/07/2024 14:00</t>
  </si>
  <si>
    <t>11/07/2024 14:15</t>
  </si>
  <si>
    <t>11/07/2024 14:30</t>
  </si>
  <si>
    <t>11/07/2024 14:45</t>
  </si>
  <si>
    <t>11/07/2024 15:00</t>
  </si>
  <si>
    <t>11/07/2024 15:15</t>
  </si>
  <si>
    <t>11/07/2024 15:30</t>
  </si>
  <si>
    <t>11/07/2024 15:45</t>
  </si>
  <si>
    <t>11/07/2024 16:00</t>
  </si>
  <si>
    <t>11/07/2024 16:15</t>
  </si>
  <si>
    <t>11/07/2024 16:30</t>
  </si>
  <si>
    <t>11/07/2024 16:45</t>
  </si>
  <si>
    <t>11/07/2024 17:00</t>
  </si>
  <si>
    <t>11/07/2024 17:15</t>
  </si>
  <si>
    <t>11/07/2024 17:30</t>
  </si>
  <si>
    <t>11/07/2024 17:45</t>
  </si>
  <si>
    <t>11/07/2024 18:00</t>
  </si>
  <si>
    <t>11/07/2024 18:15</t>
  </si>
  <si>
    <t>11/07/2024 18:30</t>
  </si>
  <si>
    <t>11/07/2024 18:45</t>
  </si>
  <si>
    <t>11/07/2024 19:00</t>
  </si>
  <si>
    <t>11/07/2024 19:15</t>
  </si>
  <si>
    <t>11/07/2024 19:30</t>
  </si>
  <si>
    <t>11/07/2024 19:45</t>
  </si>
  <si>
    <t>11/07/2024 20:00</t>
  </si>
  <si>
    <t>11/07/2024 20:15</t>
  </si>
  <si>
    <t>11/07/2024 20:30</t>
  </si>
  <si>
    <t>11/07/2024 20:45</t>
  </si>
  <si>
    <t>11/07/2024 21:00</t>
  </si>
  <si>
    <t>11/07/2024 21:15</t>
  </si>
  <si>
    <t>11/07/2024 21:30</t>
  </si>
  <si>
    <t>11/07/2024 21:45</t>
  </si>
  <si>
    <t>11/07/2024 22:00</t>
  </si>
  <si>
    <t>11/07/2024 22:15</t>
  </si>
  <si>
    <t>11/07/2024 22:30</t>
  </si>
  <si>
    <t>11/07/2024 22:45</t>
  </si>
  <si>
    <t>11/07/2024 23:00</t>
  </si>
  <si>
    <t>11/07/2024 23:15</t>
  </si>
  <si>
    <t>11/07/2024 23:30</t>
  </si>
  <si>
    <t>11/07/2024 23:45</t>
  </si>
  <si>
    <t>11/07/2024 24:00</t>
  </si>
  <si>
    <t>12/07/2024 00:15</t>
  </si>
  <si>
    <t>12/07/2024 00:30</t>
  </si>
  <si>
    <t>12/07/2024 00:45</t>
  </si>
  <si>
    <t>12/07/2024 01:00</t>
  </si>
  <si>
    <t>12/07/2024 01:15</t>
  </si>
  <si>
    <t>12/07/2024 01:30</t>
  </si>
  <si>
    <t>12/07/2024 01:45</t>
  </si>
  <si>
    <t>12/07/2024 02:00</t>
  </si>
  <si>
    <t>12/07/2024 02:15</t>
  </si>
  <si>
    <t>12/07/2024 02:30</t>
  </si>
  <si>
    <t>12/07/2024 02:45</t>
  </si>
  <si>
    <t>12/07/2024 03:00</t>
  </si>
  <si>
    <t>12/07/2024 03:15</t>
  </si>
  <si>
    <t>12/07/2024 03:30</t>
  </si>
  <si>
    <t>12/07/2024 03:45</t>
  </si>
  <si>
    <t>12/07/2024 04:00</t>
  </si>
  <si>
    <t>12/07/2024 04:15</t>
  </si>
  <si>
    <t>12/07/2024 04:30</t>
  </si>
  <si>
    <t>12/07/2024 04:45</t>
  </si>
  <si>
    <t>12/07/2024 05:00</t>
  </si>
  <si>
    <t>12/07/2024 05:15</t>
  </si>
  <si>
    <t>12/07/2024 05:30</t>
  </si>
  <si>
    <t>12/07/2024 05:45</t>
  </si>
  <si>
    <t>12/07/2024 06:00</t>
  </si>
  <si>
    <t>12/07/2024 06:15</t>
  </si>
  <si>
    <t>12/07/2024 06:30</t>
  </si>
  <si>
    <t>12/07/2024 06:45</t>
  </si>
  <si>
    <t>12/07/2024 07:00</t>
  </si>
  <si>
    <t>12/07/2024 07:15</t>
  </si>
  <si>
    <t>12/07/2024 07:30</t>
  </si>
  <si>
    <t>12/07/2024 07:45</t>
  </si>
  <si>
    <t>12/07/2024 08:00</t>
  </si>
  <si>
    <t>12/07/2024 08:15</t>
  </si>
  <si>
    <t>12/07/2024 08:30</t>
  </si>
  <si>
    <t>12/07/2024 08:45</t>
  </si>
  <si>
    <t>12/07/2024 09:00</t>
  </si>
  <si>
    <t>12/07/2024 09:15</t>
  </si>
  <si>
    <t>12/07/2024 09:30</t>
  </si>
  <si>
    <t>12/07/2024 09:45</t>
  </si>
  <si>
    <t>12/07/2024 10:00</t>
  </si>
  <si>
    <t>12/07/2024 10:15</t>
  </si>
  <si>
    <t>12/07/2024 10:30</t>
  </si>
  <si>
    <t>12/07/2024 10:45</t>
  </si>
  <si>
    <t>12/07/2024 11:00</t>
  </si>
  <si>
    <t>12/07/2024 11:15</t>
  </si>
  <si>
    <t>12/07/2024 11:30</t>
  </si>
  <si>
    <t>12/07/2024 11:45</t>
  </si>
  <si>
    <t>12/07/2024 12:00</t>
  </si>
  <si>
    <t>12/07/2024 12:15</t>
  </si>
  <si>
    <t>12/07/2024 12:30</t>
  </si>
  <si>
    <t>12/07/2024 12:45</t>
  </si>
  <si>
    <t>12/07/2024 13:00</t>
  </si>
  <si>
    <t>12/07/2024 13:15</t>
  </si>
  <si>
    <t>12/07/2024 13:30</t>
  </si>
  <si>
    <t>12/07/2024 13:45</t>
  </si>
  <si>
    <t>12/07/2024 14:00</t>
  </si>
  <si>
    <t>12/07/2024 14:15</t>
  </si>
  <si>
    <t>12/07/2024 14:30</t>
  </si>
  <si>
    <t>12/07/2024 14:45</t>
  </si>
  <si>
    <t>12/07/2024 15:00</t>
  </si>
  <si>
    <t>12/07/2024 15:15</t>
  </si>
  <si>
    <t>12/07/2024 15:30</t>
  </si>
  <si>
    <t>12/07/2024 15:45</t>
  </si>
  <si>
    <t>12/07/2024 16:00</t>
  </si>
  <si>
    <t>12/07/2024 16:15</t>
  </si>
  <si>
    <t>12/07/2024 16:30</t>
  </si>
  <si>
    <t>12/07/2024 16:45</t>
  </si>
  <si>
    <t>12/07/2024 17:00</t>
  </si>
  <si>
    <t>12/07/2024 17:15</t>
  </si>
  <si>
    <t>12/07/2024 17:30</t>
  </si>
  <si>
    <t>12/07/2024 17:45</t>
  </si>
  <si>
    <t>12/07/2024 18:00</t>
  </si>
  <si>
    <t>12/07/2024 18:15</t>
  </si>
  <si>
    <t>12/07/2024 18:30</t>
  </si>
  <si>
    <t>12/07/2024 18:45</t>
  </si>
  <si>
    <t>12/07/2024 19:00</t>
  </si>
  <si>
    <t>12/07/2024 19:15</t>
  </si>
  <si>
    <t>12/07/2024 19:30</t>
  </si>
  <si>
    <t>12/07/2024 19:45</t>
  </si>
  <si>
    <t>12/07/2024 20:00</t>
  </si>
  <si>
    <t>12/07/2024 20:15</t>
  </si>
  <si>
    <t>12/07/2024 20:30</t>
  </si>
  <si>
    <t>12/07/2024 20:45</t>
  </si>
  <si>
    <t>12/07/2024 21:00</t>
  </si>
  <si>
    <t>12/07/2024 21:15</t>
  </si>
  <si>
    <t>12/07/2024 21:30</t>
  </si>
  <si>
    <t>12/07/2024 21:45</t>
  </si>
  <si>
    <t>12/07/2024 22:00</t>
  </si>
  <si>
    <t>12/07/2024 22:15</t>
  </si>
  <si>
    <t>12/07/2024 22:30</t>
  </si>
  <si>
    <t>12/07/2024 22:45</t>
  </si>
  <si>
    <t>12/07/2024 23:00</t>
  </si>
  <si>
    <t>12/07/2024 23:15</t>
  </si>
  <si>
    <t>12/07/2024 23:30</t>
  </si>
  <si>
    <t>12/07/2024 23:45</t>
  </si>
  <si>
    <t>12/07/2024 24:00</t>
  </si>
  <si>
    <t>13/07/2024 00:15</t>
  </si>
  <si>
    <t>13/07/2024 00:30</t>
  </si>
  <si>
    <t>13/07/2024 00:45</t>
  </si>
  <si>
    <t>13/07/2024 01:00</t>
  </si>
  <si>
    <t>13/07/2024 01:15</t>
  </si>
  <si>
    <t>13/07/2024 01:30</t>
  </si>
  <si>
    <t>13/07/2024 01:45</t>
  </si>
  <si>
    <t>13/07/2024 02:00</t>
  </si>
  <si>
    <t>13/07/2024 02:15</t>
  </si>
  <si>
    <t>13/07/2024 02:30</t>
  </si>
  <si>
    <t>13/07/2024 02:45</t>
  </si>
  <si>
    <t>13/07/2024 03:00</t>
  </si>
  <si>
    <t>13/07/2024 03:15</t>
  </si>
  <si>
    <t>13/07/2024 03:30</t>
  </si>
  <si>
    <t>13/07/2024 03:45</t>
  </si>
  <si>
    <t>13/07/2024 04:00</t>
  </si>
  <si>
    <t>13/07/2024 04:15</t>
  </si>
  <si>
    <t>13/07/2024 04:30</t>
  </si>
  <si>
    <t>13/07/2024 04:45</t>
  </si>
  <si>
    <t>13/07/2024 05:00</t>
  </si>
  <si>
    <t>13/07/2024 05:15</t>
  </si>
  <si>
    <t>13/07/2024 05:30</t>
  </si>
  <si>
    <t>13/07/2024 05:45</t>
  </si>
  <si>
    <t>13/07/2024 06:00</t>
  </si>
  <si>
    <t>13/07/2024 06:15</t>
  </si>
  <si>
    <t>13/07/2024 06:30</t>
  </si>
  <si>
    <t>13/07/2024 06:45</t>
  </si>
  <si>
    <t>13/07/2024 07:00</t>
  </si>
  <si>
    <t>13/07/2024 07:15</t>
  </si>
  <si>
    <t>13/07/2024 07:30</t>
  </si>
  <si>
    <t>13/07/2024 07:45</t>
  </si>
  <si>
    <t>13/07/2024 08:00</t>
  </si>
  <si>
    <t>13/07/2024 08:15</t>
  </si>
  <si>
    <t>13/07/2024 08:30</t>
  </si>
  <si>
    <t>13/07/2024 08:45</t>
  </si>
  <si>
    <t>13/07/2024 09:00</t>
  </si>
  <si>
    <t>13/07/2024 09:15</t>
  </si>
  <si>
    <t>13/07/2024 09:30</t>
  </si>
  <si>
    <t>13/07/2024 09:45</t>
  </si>
  <si>
    <t>13/07/2024 10:00</t>
  </si>
  <si>
    <t>13/07/2024 10:15</t>
  </si>
  <si>
    <t>13/07/2024 10:30</t>
  </si>
  <si>
    <t>13/07/2024 10:45</t>
  </si>
  <si>
    <t>13/07/2024 11:00</t>
  </si>
  <si>
    <t>13/07/2024 11:15</t>
  </si>
  <si>
    <t>13/07/2024 11:30</t>
  </si>
  <si>
    <t>13/07/2024 11:45</t>
  </si>
  <si>
    <t>13/07/2024 12:00</t>
  </si>
  <si>
    <t>13/07/2024 12:15</t>
  </si>
  <si>
    <t>13/07/2024 12:30</t>
  </si>
  <si>
    <t>13/07/2024 12:45</t>
  </si>
  <si>
    <t>13/07/2024 13:00</t>
  </si>
  <si>
    <t>13/07/2024 13:15</t>
  </si>
  <si>
    <t>13/07/2024 13:30</t>
  </si>
  <si>
    <t>13/07/2024 13:45</t>
  </si>
  <si>
    <t>13/07/2024 14:00</t>
  </si>
  <si>
    <t>13/07/2024 14:15</t>
  </si>
  <si>
    <t>13/07/2024 14:30</t>
  </si>
  <si>
    <t>13/07/2024 14:45</t>
  </si>
  <si>
    <t>13/07/2024 15:00</t>
  </si>
  <si>
    <t>13/07/2024 15:15</t>
  </si>
  <si>
    <t>13/07/2024 15:30</t>
  </si>
  <si>
    <t>13/07/2024 15:45</t>
  </si>
  <si>
    <t>13/07/2024 16:00</t>
  </si>
  <si>
    <t>13/07/2024 16:15</t>
  </si>
  <si>
    <t>13/07/2024 16:30</t>
  </si>
  <si>
    <t>13/07/2024 16:45</t>
  </si>
  <si>
    <t>13/07/2024 17:00</t>
  </si>
  <si>
    <t>13/07/2024 17:15</t>
  </si>
  <si>
    <t>13/07/2024 17:30</t>
  </si>
  <si>
    <t>13/07/2024 17:45</t>
  </si>
  <si>
    <t>13/07/2024 18:00</t>
  </si>
  <si>
    <t>13/07/2024 18:15</t>
  </si>
  <si>
    <t>13/07/2024 18:30</t>
  </si>
  <si>
    <t>13/07/2024 18:45</t>
  </si>
  <si>
    <t>13/07/2024 19:00</t>
  </si>
  <si>
    <t>13/07/2024 19:15</t>
  </si>
  <si>
    <t>13/07/2024 19:30</t>
  </si>
  <si>
    <t>13/07/2024 19:45</t>
  </si>
  <si>
    <t>13/07/2024 20:00</t>
  </si>
  <si>
    <t>13/07/2024 20:15</t>
  </si>
  <si>
    <t>13/07/2024 20:30</t>
  </si>
  <si>
    <t>13/07/2024 20:45</t>
  </si>
  <si>
    <t>13/07/2024 21:00</t>
  </si>
  <si>
    <t>13/07/2024 21:15</t>
  </si>
  <si>
    <t>13/07/2024 21:30</t>
  </si>
  <si>
    <t>13/07/2024 21:45</t>
  </si>
  <si>
    <t>13/07/2024 22:00</t>
  </si>
  <si>
    <t>13/07/2024 22:15</t>
  </si>
  <si>
    <t>13/07/2024 22:30</t>
  </si>
  <si>
    <t>13/07/2024 22:45</t>
  </si>
  <si>
    <t>13/07/2024 23:00</t>
  </si>
  <si>
    <t>13/07/2024 23:15</t>
  </si>
  <si>
    <t>13/07/2024 23:30</t>
  </si>
  <si>
    <t>13/07/2024 23:45</t>
  </si>
  <si>
    <t>13/07/2024 24:00</t>
  </si>
  <si>
    <t>14/07/2024 00:15</t>
  </si>
  <si>
    <t>14/07/2024 00:30</t>
  </si>
  <si>
    <t>14/07/2024 00:45</t>
  </si>
  <si>
    <t>14/07/2024 01:00</t>
  </si>
  <si>
    <t>14/07/2024 01:15</t>
  </si>
  <si>
    <t>14/07/2024 01:30</t>
  </si>
  <si>
    <t>14/07/2024 01:45</t>
  </si>
  <si>
    <t>14/07/2024 02:00</t>
  </si>
  <si>
    <t>14/07/2024 02:15</t>
  </si>
  <si>
    <t>14/07/2024 02:30</t>
  </si>
  <si>
    <t>14/07/2024 02:45</t>
  </si>
  <si>
    <t>14/07/2024 03:00</t>
  </si>
  <si>
    <t>14/07/2024 03:15</t>
  </si>
  <si>
    <t>14/07/2024 03:30</t>
  </si>
  <si>
    <t>14/07/2024 03:45</t>
  </si>
  <si>
    <t>14/07/2024 04:00</t>
  </si>
  <si>
    <t>14/07/2024 04:15</t>
  </si>
  <si>
    <t>14/07/2024 04:30</t>
  </si>
  <si>
    <t>14/07/2024 04:45</t>
  </si>
  <si>
    <t>14/07/2024 05:00</t>
  </si>
  <si>
    <t>14/07/2024 05:15</t>
  </si>
  <si>
    <t>14/07/2024 05:30</t>
  </si>
  <si>
    <t>14/07/2024 05:45</t>
  </si>
  <si>
    <t>14/07/2024 06:00</t>
  </si>
  <si>
    <t>14/07/2024 06:15</t>
  </si>
  <si>
    <t>14/07/2024 06:30</t>
  </si>
  <si>
    <t>14/07/2024 06:45</t>
  </si>
  <si>
    <t>14/07/2024 07:00</t>
  </si>
  <si>
    <t>14/07/2024 07:15</t>
  </si>
  <si>
    <t>14/07/2024 07:30</t>
  </si>
  <si>
    <t>14/07/2024 07:45</t>
  </si>
  <si>
    <t>14/07/2024 08:00</t>
  </si>
  <si>
    <t>14/07/2024 08:15</t>
  </si>
  <si>
    <t>14/07/2024 08:30</t>
  </si>
  <si>
    <t>14/07/2024 08:45</t>
  </si>
  <si>
    <t>14/07/2024 09:00</t>
  </si>
  <si>
    <t>14/07/2024 09:15</t>
  </si>
  <si>
    <t>14/07/2024 09:30</t>
  </si>
  <si>
    <t>14/07/2024 09:45</t>
  </si>
  <si>
    <t>14/07/2024 10:00</t>
  </si>
  <si>
    <t>14/07/2024 10:15</t>
  </si>
  <si>
    <t>14/07/2024 10:30</t>
  </si>
  <si>
    <t>14/07/2024 10:45</t>
  </si>
  <si>
    <t>14/07/2024 11:00</t>
  </si>
  <si>
    <t>14/07/2024 11:15</t>
  </si>
  <si>
    <t>14/07/2024 11:30</t>
  </si>
  <si>
    <t>14/07/2024 11:45</t>
  </si>
  <si>
    <t>14/07/2024 12:00</t>
  </si>
  <si>
    <t>14/07/2024 12:15</t>
  </si>
  <si>
    <t>14/07/2024 12:30</t>
  </si>
  <si>
    <t>14/07/2024 12:45</t>
  </si>
  <si>
    <t>14/07/2024 13:00</t>
  </si>
  <si>
    <t>14/07/2024 13:15</t>
  </si>
  <si>
    <t>14/07/2024 13:30</t>
  </si>
  <si>
    <t>14/07/2024 13:45</t>
  </si>
  <si>
    <t>14/07/2024 14:00</t>
  </si>
  <si>
    <t>14/07/2024 14:15</t>
  </si>
  <si>
    <t>14/07/2024 14:30</t>
  </si>
  <si>
    <t>14/07/2024 14:45</t>
  </si>
  <si>
    <t>14/07/2024 15:00</t>
  </si>
  <si>
    <t>14/07/2024 15:15</t>
  </si>
  <si>
    <t>14/07/2024 15:30</t>
  </si>
  <si>
    <t>14/07/2024 15:45</t>
  </si>
  <si>
    <t>14/07/2024 16:00</t>
  </si>
  <si>
    <t>14/07/2024 16:15</t>
  </si>
  <si>
    <t>14/07/2024 16:30</t>
  </si>
  <si>
    <t>14/07/2024 16:45</t>
  </si>
  <si>
    <t>14/07/2024 17:00</t>
  </si>
  <si>
    <t>14/07/2024 17:15</t>
  </si>
  <si>
    <t>14/07/2024 17:30</t>
  </si>
  <si>
    <t>14/07/2024 17:45</t>
  </si>
  <si>
    <t>14/07/2024 18:00</t>
  </si>
  <si>
    <t>14/07/2024 18:15</t>
  </si>
  <si>
    <t>14/07/2024 18:30</t>
  </si>
  <si>
    <t>14/07/2024 18:45</t>
  </si>
  <si>
    <t>14/07/2024 19:00</t>
  </si>
  <si>
    <t>14/07/2024 19:15</t>
  </si>
  <si>
    <t>14/07/2024 19:30</t>
  </si>
  <si>
    <t>14/07/2024 19:45</t>
  </si>
  <si>
    <t>14/07/2024 20:00</t>
  </si>
  <si>
    <t>14/07/2024 20:15</t>
  </si>
  <si>
    <t>14/07/2024 20:30</t>
  </si>
  <si>
    <t>14/07/2024 20:45</t>
  </si>
  <si>
    <t>14/07/2024 21:00</t>
  </si>
  <si>
    <t>14/07/2024 21:15</t>
  </si>
  <si>
    <t>14/07/2024 21:30</t>
  </si>
  <si>
    <t>14/07/2024 21:45</t>
  </si>
  <si>
    <t>14/07/2024 22:00</t>
  </si>
  <si>
    <t>14/07/2024 22:15</t>
  </si>
  <si>
    <t>14/07/2024 22:30</t>
  </si>
  <si>
    <t>14/07/2024 22:45</t>
  </si>
  <si>
    <t>14/07/2024 23:00</t>
  </si>
  <si>
    <t>14/07/2024 23:15</t>
  </si>
  <si>
    <t>14/07/2024 23:30</t>
  </si>
  <si>
    <t>14/07/2024 23:45</t>
  </si>
  <si>
    <t>14/07/2024 24:00</t>
  </si>
  <si>
    <t>15/07/2024 00:15</t>
  </si>
  <si>
    <t>15/07/2024 00:30</t>
  </si>
  <si>
    <t>15/07/2024 00:45</t>
  </si>
  <si>
    <t>15/07/2024 01:00</t>
  </si>
  <si>
    <t>15/07/2024 01:15</t>
  </si>
  <si>
    <t>15/07/2024 01:30</t>
  </si>
  <si>
    <t>15/07/2024 01:45</t>
  </si>
  <si>
    <t>15/07/2024 02:00</t>
  </si>
  <si>
    <t>15/07/2024 02:15</t>
  </si>
  <si>
    <t>15/07/2024 02:30</t>
  </si>
  <si>
    <t>15/07/2024 02:45</t>
  </si>
  <si>
    <t>15/07/2024 03:00</t>
  </si>
  <si>
    <t>15/07/2024 03:15</t>
  </si>
  <si>
    <t>15/07/2024 03:30</t>
  </si>
  <si>
    <t>15/07/2024 03:45</t>
  </si>
  <si>
    <t>15/07/2024 04:00</t>
  </si>
  <si>
    <t>15/07/2024 04:15</t>
  </si>
  <si>
    <t>15/07/2024 04:30</t>
  </si>
  <si>
    <t>15/07/2024 04:45</t>
  </si>
  <si>
    <t>15/07/2024 05:00</t>
  </si>
  <si>
    <t>15/07/2024 05:15</t>
  </si>
  <si>
    <t>15/07/2024 05:30</t>
  </si>
  <si>
    <t>15/07/2024 05:45</t>
  </si>
  <si>
    <t>15/07/2024 06:00</t>
  </si>
  <si>
    <t>15/07/2024 06:15</t>
  </si>
  <si>
    <t>15/07/2024 06:30</t>
  </si>
  <si>
    <t>15/07/2024 06:45</t>
  </si>
  <si>
    <t>15/07/2024 07:00</t>
  </si>
  <si>
    <t>15/07/2024 07:15</t>
  </si>
  <si>
    <t>15/07/2024 07:30</t>
  </si>
  <si>
    <t>15/07/2024 07:45</t>
  </si>
  <si>
    <t>15/07/2024 08:00</t>
  </si>
  <si>
    <t>15/07/2024 08:15</t>
  </si>
  <si>
    <t>15/07/2024 08:30</t>
  </si>
  <si>
    <t>15/07/2024 08:45</t>
  </si>
  <si>
    <t>15/07/2024 09:00</t>
  </si>
  <si>
    <t>15/07/2024 09:15</t>
  </si>
  <si>
    <t>15/07/2024 09:30</t>
  </si>
  <si>
    <t>15/07/2024 09:45</t>
  </si>
  <si>
    <t>15/07/2024 10:00</t>
  </si>
  <si>
    <t>15/07/2024 10:15</t>
  </si>
  <si>
    <t>15/07/2024 10:30</t>
  </si>
  <si>
    <t>15/07/2024 10:45</t>
  </si>
  <si>
    <t>15/07/2024 11:00</t>
  </si>
  <si>
    <t>15/07/2024 11:15</t>
  </si>
  <si>
    <t>15/07/2024 11:30</t>
  </si>
  <si>
    <t>15/07/2024 11:45</t>
  </si>
  <si>
    <t>15/07/2024 12:00</t>
  </si>
  <si>
    <t>15/07/2024 12:15</t>
  </si>
  <si>
    <t>15/07/2024 12:30</t>
  </si>
  <si>
    <t>15/07/2024 12:45</t>
  </si>
  <si>
    <t>15/07/2024 13:00</t>
  </si>
  <si>
    <t>15/07/2024 13:15</t>
  </si>
  <si>
    <t>15/07/2024 13:30</t>
  </si>
  <si>
    <t>15/07/2024 13:45</t>
  </si>
  <si>
    <t>15/07/2024 14:00</t>
  </si>
  <si>
    <t>15/07/2024 14:15</t>
  </si>
  <si>
    <t>15/07/2024 14:30</t>
  </si>
  <si>
    <t>15/07/2024 14:45</t>
  </si>
  <si>
    <t>15/07/2024 15:00</t>
  </si>
  <si>
    <t>15/07/2024 15:15</t>
  </si>
  <si>
    <t>15/07/2024 15:30</t>
  </si>
  <si>
    <t>15/07/2024 15:45</t>
  </si>
  <si>
    <t>15/07/2024 16:00</t>
  </si>
  <si>
    <t>15/07/2024 16:15</t>
  </si>
  <si>
    <t>15/07/2024 16:30</t>
  </si>
  <si>
    <t>15/07/2024 16:45</t>
  </si>
  <si>
    <t>15/07/2024 17:00</t>
  </si>
  <si>
    <t>15/07/2024 17:15</t>
  </si>
  <si>
    <t>15/07/2024 17:30</t>
  </si>
  <si>
    <t>15/07/2024 17:45</t>
  </si>
  <si>
    <t>15/07/2024 18:00</t>
  </si>
  <si>
    <t>15/07/2024 18:15</t>
  </si>
  <si>
    <t>15/07/2024 18:30</t>
  </si>
  <si>
    <t>15/07/2024 18:45</t>
  </si>
  <si>
    <t>15/07/2024 19:00</t>
  </si>
  <si>
    <t>15/07/2024 19:15</t>
  </si>
  <si>
    <t>15/07/2024 19:30</t>
  </si>
  <si>
    <t>15/07/2024 19:45</t>
  </si>
  <si>
    <t>15/07/2024 20:00</t>
  </si>
  <si>
    <t>15/07/2024 20:15</t>
  </si>
  <si>
    <t>15/07/2024 20:30</t>
  </si>
  <si>
    <t>15/07/2024 20:45</t>
  </si>
  <si>
    <t>15/07/2024 21:00</t>
  </si>
  <si>
    <t>15/07/2024 21:15</t>
  </si>
  <si>
    <t>15/07/2024 21:30</t>
  </si>
  <si>
    <t>15/07/2024 21:45</t>
  </si>
  <si>
    <t>15/07/2024 22:00</t>
  </si>
  <si>
    <t>15/07/2024 22:15</t>
  </si>
  <si>
    <t>15/07/2024 22:30</t>
  </si>
  <si>
    <t>15/07/2024 22:45</t>
  </si>
  <si>
    <t>15/07/2024 23:00</t>
  </si>
  <si>
    <t>15/07/2024 23:15</t>
  </si>
  <si>
    <t>15/07/2024 23:30</t>
  </si>
  <si>
    <t>15/07/2024 23:45</t>
  </si>
  <si>
    <t>15/07/2024 24:00</t>
  </si>
  <si>
    <t>16/07/2024 00:15</t>
  </si>
  <si>
    <t>16/07/2024 00:30</t>
  </si>
  <si>
    <t>16/07/2024 00:45</t>
  </si>
  <si>
    <t>16/07/2024 01:00</t>
  </si>
  <si>
    <t>16/07/2024 01:15</t>
  </si>
  <si>
    <t>16/07/2024 01:30</t>
  </si>
  <si>
    <t>16/07/2024 01:45</t>
  </si>
  <si>
    <t>16/07/2024 02:00</t>
  </si>
  <si>
    <t>16/07/2024 02:15</t>
  </si>
  <si>
    <t>16/07/2024 02:30</t>
  </si>
  <si>
    <t>16/07/2024 02:45</t>
  </si>
  <si>
    <t>16/07/2024 03:00</t>
  </si>
  <si>
    <t>16/07/2024 03:15</t>
  </si>
  <si>
    <t>16/07/2024 03:30</t>
  </si>
  <si>
    <t>16/07/2024 03:45</t>
  </si>
  <si>
    <t>16/07/2024 04:00</t>
  </si>
  <si>
    <t>16/07/2024 04:15</t>
  </si>
  <si>
    <t>16/07/2024 04:30</t>
  </si>
  <si>
    <t>16/07/2024 04:45</t>
  </si>
  <si>
    <t>16/07/2024 05:00</t>
  </si>
  <si>
    <t>16/07/2024 05:15</t>
  </si>
  <si>
    <t>16/07/2024 05:30</t>
  </si>
  <si>
    <t>16/07/2024 05:45</t>
  </si>
  <si>
    <t>16/07/2024 06:00</t>
  </si>
  <si>
    <t>16/07/2024 06:15</t>
  </si>
  <si>
    <t>16/07/2024 06:30</t>
  </si>
  <si>
    <t>16/07/2024 06:45</t>
  </si>
  <si>
    <t>16/07/2024 07:00</t>
  </si>
  <si>
    <t>16/07/2024 07:15</t>
  </si>
  <si>
    <t>16/07/2024 07:30</t>
  </si>
  <si>
    <t>16/07/2024 07:45</t>
  </si>
  <si>
    <t>16/07/2024 08:00</t>
  </si>
  <si>
    <t>16/07/2024 08:15</t>
  </si>
  <si>
    <t>16/07/2024 08:30</t>
  </si>
  <si>
    <t>16/07/2024 08:45</t>
  </si>
  <si>
    <t>16/07/2024 09:00</t>
  </si>
  <si>
    <t>16/07/2024 09:15</t>
  </si>
  <si>
    <t>16/07/2024 09:30</t>
  </si>
  <si>
    <t>16/07/2024 09:45</t>
  </si>
  <si>
    <t>16/07/2024 10:00</t>
  </si>
  <si>
    <t>16/07/2024 10:15</t>
  </si>
  <si>
    <t>16/07/2024 10:30</t>
  </si>
  <si>
    <t>16/07/2024 10:45</t>
  </si>
  <si>
    <t>16/07/2024 11:00</t>
  </si>
  <si>
    <t>16/07/2024 11:15</t>
  </si>
  <si>
    <t>16/07/2024 11:30</t>
  </si>
  <si>
    <t>16/07/2024 11:45</t>
  </si>
  <si>
    <t>16/07/2024 12:00</t>
  </si>
  <si>
    <t>16/07/2024 12:15</t>
  </si>
  <si>
    <t>16/07/2024 12:30</t>
  </si>
  <si>
    <t>16/07/2024 12:45</t>
  </si>
  <si>
    <t>16/07/2024 13:00</t>
  </si>
  <si>
    <t>16/07/2024 13:15</t>
  </si>
  <si>
    <t>16/07/2024 13:30</t>
  </si>
  <si>
    <t>16/07/2024 13:45</t>
  </si>
  <si>
    <t>16/07/2024 14:00</t>
  </si>
  <si>
    <t>16/07/2024 14:15</t>
  </si>
  <si>
    <t>16/07/2024 14:30</t>
  </si>
  <si>
    <t>16/07/2024 14:45</t>
  </si>
  <si>
    <t>16/07/2024 15:00</t>
  </si>
  <si>
    <t>16/07/2024 15:15</t>
  </si>
  <si>
    <t>16/07/2024 15:30</t>
  </si>
  <si>
    <t>16/07/2024 15:45</t>
  </si>
  <si>
    <t>16/07/2024 16:00</t>
  </si>
  <si>
    <t>16/07/2024 16:15</t>
  </si>
  <si>
    <t>16/07/2024 16:30</t>
  </si>
  <si>
    <t>16/07/2024 16:45</t>
  </si>
  <si>
    <t>16/07/2024 17:00</t>
  </si>
  <si>
    <t>16/07/2024 17:15</t>
  </si>
  <si>
    <t>16/07/2024 17:30</t>
  </si>
  <si>
    <t>16/07/2024 17:45</t>
  </si>
  <si>
    <t>16/07/2024 18:00</t>
  </si>
  <si>
    <t>16/07/2024 18:15</t>
  </si>
  <si>
    <t>16/07/2024 18:30</t>
  </si>
  <si>
    <t>16/07/2024 18:45</t>
  </si>
  <si>
    <t>16/07/2024 19:00</t>
  </si>
  <si>
    <t>16/07/2024 19:15</t>
  </si>
  <si>
    <t>16/07/2024 19:30</t>
  </si>
  <si>
    <t>16/07/2024 19:45</t>
  </si>
  <si>
    <t>16/07/2024 20:00</t>
  </si>
  <si>
    <t>16/07/2024 20:15</t>
  </si>
  <si>
    <t>16/07/2024 20:30</t>
  </si>
  <si>
    <t>16/07/2024 20:45</t>
  </si>
  <si>
    <t>16/07/2024 21:00</t>
  </si>
  <si>
    <t>16/07/2024 21:15</t>
  </si>
  <si>
    <t>16/07/2024 21:30</t>
  </si>
  <si>
    <t>16/07/2024 21:45</t>
  </si>
  <si>
    <t>16/07/2024 22:00</t>
  </si>
  <si>
    <t>16/07/2024 22:15</t>
  </si>
  <si>
    <t>16/07/2024 22:30</t>
  </si>
  <si>
    <t>16/07/2024 22:45</t>
  </si>
  <si>
    <t>16/07/2024 23:00</t>
  </si>
  <si>
    <t>16/07/2024 23:15</t>
  </si>
  <si>
    <t>16/07/2024 23:30</t>
  </si>
  <si>
    <t>16/07/2024 23:45</t>
  </si>
  <si>
    <t>16/07/2024 24:00</t>
  </si>
  <si>
    <t>17/07/2024 00:15</t>
  </si>
  <si>
    <t>17/07/2024 00:30</t>
  </si>
  <si>
    <t>17/07/2024 00:45</t>
  </si>
  <si>
    <t>17/07/2024 01:00</t>
  </si>
  <si>
    <t>17/07/2024 01:15</t>
  </si>
  <si>
    <t>17/07/2024 01:30</t>
  </si>
  <si>
    <t>17/07/2024 01:45</t>
  </si>
  <si>
    <t>17/07/2024 02:00</t>
  </si>
  <si>
    <t>17/07/2024 02:15</t>
  </si>
  <si>
    <t>17/07/2024 02:30</t>
  </si>
  <si>
    <t>17/07/2024 02:45</t>
  </si>
  <si>
    <t>17/07/2024 03:00</t>
  </si>
  <si>
    <t>17/07/2024 03:15</t>
  </si>
  <si>
    <t>17/07/2024 03:30</t>
  </si>
  <si>
    <t>17/07/2024 03:45</t>
  </si>
  <si>
    <t>17/07/2024 04:00</t>
  </si>
  <si>
    <t>17/07/2024 04:15</t>
  </si>
  <si>
    <t>17/07/2024 04:30</t>
  </si>
  <si>
    <t>17/07/2024 04:45</t>
  </si>
  <si>
    <t>17/07/2024 05:00</t>
  </si>
  <si>
    <t>17/07/2024 05:15</t>
  </si>
  <si>
    <t>17/07/2024 05:30</t>
  </si>
  <si>
    <t>17/07/2024 05:45</t>
  </si>
  <si>
    <t>17/07/2024 06:00</t>
  </si>
  <si>
    <t>17/07/2024 06:15</t>
  </si>
  <si>
    <t>17/07/2024 06:30</t>
  </si>
  <si>
    <t>17/07/2024 06:45</t>
  </si>
  <si>
    <t>17/07/2024 07:00</t>
  </si>
  <si>
    <t>17/07/2024 07:15</t>
  </si>
  <si>
    <t>17/07/2024 07:30</t>
  </si>
  <si>
    <t>17/07/2024 07:45</t>
  </si>
  <si>
    <t>17/07/2024 08:00</t>
  </si>
  <si>
    <t>17/07/2024 08:15</t>
  </si>
  <si>
    <t>17/07/2024 08:30</t>
  </si>
  <si>
    <t>17/07/2024 08:45</t>
  </si>
  <si>
    <t>17/07/2024 09:00</t>
  </si>
  <si>
    <t>17/07/2024 09:15</t>
  </si>
  <si>
    <t>17/07/2024 09:30</t>
  </si>
  <si>
    <t>17/07/2024 09:45</t>
  </si>
  <si>
    <t>17/07/2024 10:00</t>
  </si>
  <si>
    <t>17/07/2024 10:15</t>
  </si>
  <si>
    <t>17/07/2024 10:30</t>
  </si>
  <si>
    <t>17/07/2024 10:45</t>
  </si>
  <si>
    <t>17/07/2024 11:00</t>
  </si>
  <si>
    <t>17/07/2024 11:15</t>
  </si>
  <si>
    <t>17/07/2024 11:30</t>
  </si>
  <si>
    <t>17/07/2024 11:45</t>
  </si>
  <si>
    <t>17/07/2024 12:00</t>
  </si>
  <si>
    <t>17/07/2024 12:15</t>
  </si>
  <si>
    <t>17/07/2024 12:30</t>
  </si>
  <si>
    <t>17/07/2024 12:45</t>
  </si>
  <si>
    <t>17/07/2024 13:00</t>
  </si>
  <si>
    <t>17/07/2024 13:15</t>
  </si>
  <si>
    <t>17/07/2024 13:30</t>
  </si>
  <si>
    <t>17/07/2024 13:45</t>
  </si>
  <si>
    <t>17/07/2024 14:00</t>
  </si>
  <si>
    <t>17/07/2024 14:15</t>
  </si>
  <si>
    <t>17/07/2024 14:30</t>
  </si>
  <si>
    <t>17/07/2024 14:45</t>
  </si>
  <si>
    <t>17/07/2024 15:00</t>
  </si>
  <si>
    <t>17/07/2024 15:15</t>
  </si>
  <si>
    <t>17/07/2024 15:30</t>
  </si>
  <si>
    <t>17/07/2024 15:45</t>
  </si>
  <si>
    <t>17/07/2024 16:00</t>
  </si>
  <si>
    <t>17/07/2024 16:15</t>
  </si>
  <si>
    <t>17/07/2024 16:30</t>
  </si>
  <si>
    <t>17/07/2024 16:45</t>
  </si>
  <si>
    <t>17/07/2024 17:00</t>
  </si>
  <si>
    <t>17/07/2024 17:15</t>
  </si>
  <si>
    <t>17/07/2024 17:30</t>
  </si>
  <si>
    <t>17/07/2024 17:45</t>
  </si>
  <si>
    <t>17/07/2024 18:00</t>
  </si>
  <si>
    <t>17/07/2024 18:15</t>
  </si>
  <si>
    <t>17/07/2024 18:30</t>
  </si>
  <si>
    <t>17/07/2024 18:45</t>
  </si>
  <si>
    <t>17/07/2024 19:00</t>
  </si>
  <si>
    <t>17/07/2024 19:15</t>
  </si>
  <si>
    <t>17/07/2024 19:30</t>
  </si>
  <si>
    <t>17/07/2024 19:45</t>
  </si>
  <si>
    <t>17/07/2024 20:00</t>
  </si>
  <si>
    <t>17/07/2024 20:15</t>
  </si>
  <si>
    <t>17/07/2024 20:30</t>
  </si>
  <si>
    <t>17/07/2024 20:45</t>
  </si>
  <si>
    <t>17/07/2024 21:00</t>
  </si>
  <si>
    <t>17/07/2024 21:15</t>
  </si>
  <si>
    <t>17/07/2024 21:30</t>
  </si>
  <si>
    <t>17/07/2024 21:45</t>
  </si>
  <si>
    <t>17/07/2024 22:00</t>
  </si>
  <si>
    <t>17/07/2024 22:15</t>
  </si>
  <si>
    <t>17/07/2024 22:30</t>
  </si>
  <si>
    <t>17/07/2024 22:45</t>
  </si>
  <si>
    <t>17/07/2024 23:00</t>
  </si>
  <si>
    <t>17/07/2024 23:15</t>
  </si>
  <si>
    <t>17/07/2024 23:30</t>
  </si>
  <si>
    <t>17/07/2024 23:45</t>
  </si>
  <si>
    <t>17/07/2024 24:00</t>
  </si>
  <si>
    <t>18/07/2024 00:15</t>
  </si>
  <si>
    <t>18/07/2024 00:30</t>
  </si>
  <si>
    <t>18/07/2024 00:45</t>
  </si>
  <si>
    <t>18/07/2024 01:00</t>
  </si>
  <si>
    <t>18/07/2024 01:15</t>
  </si>
  <si>
    <t>18/07/2024 01:30</t>
  </si>
  <si>
    <t>18/07/2024 01:45</t>
  </si>
  <si>
    <t>18/07/2024 02:00</t>
  </si>
  <si>
    <t>18/07/2024 02:15</t>
  </si>
  <si>
    <t>18/07/2024 02:30</t>
  </si>
  <si>
    <t>18/07/2024 02:45</t>
  </si>
  <si>
    <t>18/07/2024 03:00</t>
  </si>
  <si>
    <t>18/07/2024 03:15</t>
  </si>
  <si>
    <t>18/07/2024 03:30</t>
  </si>
  <si>
    <t>18/07/2024 03:45</t>
  </si>
  <si>
    <t>18/07/2024 04:00</t>
  </si>
  <si>
    <t>18/07/2024 04:15</t>
  </si>
  <si>
    <t>18/07/2024 04:30</t>
  </si>
  <si>
    <t>18/07/2024 04:45</t>
  </si>
  <si>
    <t>18/07/2024 05:00</t>
  </si>
  <si>
    <t>18/07/2024 05:15</t>
  </si>
  <si>
    <t>18/07/2024 05:30</t>
  </si>
  <si>
    <t>18/07/2024 05:45</t>
  </si>
  <si>
    <t>18/07/2024 06:00</t>
  </si>
  <si>
    <t>18/07/2024 06:15</t>
  </si>
  <si>
    <t>18/07/2024 06:30</t>
  </si>
  <si>
    <t>18/07/2024 06:45</t>
  </si>
  <si>
    <t>18/07/2024 07:00</t>
  </si>
  <si>
    <t>18/07/2024 07:15</t>
  </si>
  <si>
    <t>18/07/2024 07:30</t>
  </si>
  <si>
    <t>18/07/2024 07:45</t>
  </si>
  <si>
    <t>18/07/2024 08:00</t>
  </si>
  <si>
    <t>18/07/2024 08:15</t>
  </si>
  <si>
    <t>18/07/2024 08:30</t>
  </si>
  <si>
    <t>18/07/2024 08:45</t>
  </si>
  <si>
    <t>18/07/2024 09:00</t>
  </si>
  <si>
    <t>18/07/2024 09:15</t>
  </si>
  <si>
    <t>18/07/2024 09:30</t>
  </si>
  <si>
    <t>18/07/2024 09:45</t>
  </si>
  <si>
    <t>18/07/2024 10:00</t>
  </si>
  <si>
    <t>18/07/2024 10:15</t>
  </si>
  <si>
    <t>18/07/2024 10:30</t>
  </si>
  <si>
    <t>18/07/2024 10:45</t>
  </si>
  <si>
    <t>18/07/2024 11:00</t>
  </si>
  <si>
    <t>18/07/2024 11:15</t>
  </si>
  <si>
    <t>18/07/2024 11:30</t>
  </si>
  <si>
    <t>18/07/2024 11:45</t>
  </si>
  <si>
    <t>18/07/2024 12:00</t>
  </si>
  <si>
    <t>18/07/2024 12:15</t>
  </si>
  <si>
    <t>18/07/2024 12:30</t>
  </si>
  <si>
    <t>18/07/2024 12:45</t>
  </si>
  <si>
    <t>18/07/2024 13:00</t>
  </si>
  <si>
    <t>18/07/2024 13:15</t>
  </si>
  <si>
    <t>18/07/2024 13:30</t>
  </si>
  <si>
    <t>18/07/2024 13:45</t>
  </si>
  <si>
    <t>18/07/2024 14:00</t>
  </si>
  <si>
    <t>18/07/2024 14:15</t>
  </si>
  <si>
    <t>18/07/2024 14:30</t>
  </si>
  <si>
    <t>18/07/2024 14:45</t>
  </si>
  <si>
    <t>18/07/2024 15:00</t>
  </si>
  <si>
    <t>18/07/2024 15:15</t>
  </si>
  <si>
    <t>18/07/2024 15:30</t>
  </si>
  <si>
    <t>18/07/2024 15:45</t>
  </si>
  <si>
    <t>18/07/2024 16:00</t>
  </si>
  <si>
    <t>18/07/2024 16:15</t>
  </si>
  <si>
    <t>18/07/2024 16:30</t>
  </si>
  <si>
    <t>18/07/2024 16:45</t>
  </si>
  <si>
    <t>18/07/2024 17:00</t>
  </si>
  <si>
    <t>18/07/2024 17:15</t>
  </si>
  <si>
    <t>18/07/2024 17:30</t>
  </si>
  <si>
    <t>18/07/2024 17:45</t>
  </si>
  <si>
    <t>18/07/2024 18:00</t>
  </si>
  <si>
    <t>18/07/2024 18:15</t>
  </si>
  <si>
    <t>18/07/2024 18:30</t>
  </si>
  <si>
    <t>18/07/2024 18:45</t>
  </si>
  <si>
    <t>18/07/2024 19:00</t>
  </si>
  <si>
    <t>18/07/2024 19:15</t>
  </si>
  <si>
    <t>18/07/2024 19:30</t>
  </si>
  <si>
    <t>18/07/2024 19:45</t>
  </si>
  <si>
    <t>18/07/2024 20:00</t>
  </si>
  <si>
    <t>18/07/2024 20:15</t>
  </si>
  <si>
    <t>18/07/2024 20:30</t>
  </si>
  <si>
    <t>18/07/2024 20:45</t>
  </si>
  <si>
    <t>18/07/2024 21:00</t>
  </si>
  <si>
    <t>18/07/2024 21:15</t>
  </si>
  <si>
    <t>18/07/2024 21:30</t>
  </si>
  <si>
    <t>18/07/2024 21:45</t>
  </si>
  <si>
    <t>18/07/2024 22:00</t>
  </si>
  <si>
    <t>18/07/2024 22:15</t>
  </si>
  <si>
    <t>18/07/2024 22:30</t>
  </si>
  <si>
    <t>18/07/2024 22:45</t>
  </si>
  <si>
    <t>18/07/2024 23:00</t>
  </si>
  <si>
    <t>18/07/2024 23:15</t>
  </si>
  <si>
    <t>18/07/2024 23:30</t>
  </si>
  <si>
    <t>18/07/2024 23:45</t>
  </si>
  <si>
    <t>18/07/2024 24:00</t>
  </si>
  <si>
    <t>19/07/2024 00:15</t>
  </si>
  <si>
    <t>19/07/2024 00:30</t>
  </si>
  <si>
    <t>19/07/2024 00:45</t>
  </si>
  <si>
    <t>19/07/2024 01:00</t>
  </si>
  <si>
    <t>19/07/2024 01:15</t>
  </si>
  <si>
    <t>19/07/2024 01:30</t>
  </si>
  <si>
    <t>19/07/2024 01:45</t>
  </si>
  <si>
    <t>19/07/2024 02:00</t>
  </si>
  <si>
    <t>19/07/2024 02:15</t>
  </si>
  <si>
    <t>19/07/2024 02:30</t>
  </si>
  <si>
    <t>19/07/2024 02:45</t>
  </si>
  <si>
    <t>19/07/2024 03:00</t>
  </si>
  <si>
    <t>19/07/2024 03:15</t>
  </si>
  <si>
    <t>19/07/2024 03:30</t>
  </si>
  <si>
    <t>19/07/2024 03:45</t>
  </si>
  <si>
    <t>19/07/2024 04:00</t>
  </si>
  <si>
    <t>19/07/2024 04:15</t>
  </si>
  <si>
    <t>19/07/2024 04:30</t>
  </si>
  <si>
    <t>19/07/2024 04:45</t>
  </si>
  <si>
    <t>19/07/2024 05:00</t>
  </si>
  <si>
    <t>19/07/2024 05:15</t>
  </si>
  <si>
    <t>19/07/2024 05:30</t>
  </si>
  <si>
    <t>19/07/2024 05:45</t>
  </si>
  <si>
    <t>19/07/2024 06:00</t>
  </si>
  <si>
    <t>19/07/2024 06:15</t>
  </si>
  <si>
    <t>19/07/2024 06:30</t>
  </si>
  <si>
    <t>19/07/2024 06:45</t>
  </si>
  <si>
    <t>19/07/2024 07:00</t>
  </si>
  <si>
    <t>19/07/2024 07:15</t>
  </si>
  <si>
    <t>19/07/2024 07:30</t>
  </si>
  <si>
    <t>19/07/2024 07:45</t>
  </si>
  <si>
    <t>19/07/2024 08:00</t>
  </si>
  <si>
    <t>19/07/2024 08:15</t>
  </si>
  <si>
    <t>19/07/2024 08:30</t>
  </si>
  <si>
    <t>19/07/2024 08:45</t>
  </si>
  <si>
    <t>19/07/2024 09:00</t>
  </si>
  <si>
    <t>19/07/2024 09:15</t>
  </si>
  <si>
    <t>19/07/2024 09:30</t>
  </si>
  <si>
    <t>19/07/2024 09:45</t>
  </si>
  <si>
    <t>19/07/2024 10:00</t>
  </si>
  <si>
    <t>19/07/2024 10:15</t>
  </si>
  <si>
    <t>19/07/2024 10:30</t>
  </si>
  <si>
    <t>19/07/2024 10:45</t>
  </si>
  <si>
    <t>19/07/2024 11:00</t>
  </si>
  <si>
    <t>19/07/2024 11:15</t>
  </si>
  <si>
    <t>19/07/2024 11:30</t>
  </si>
  <si>
    <t>19/07/2024 11:45</t>
  </si>
  <si>
    <t>19/07/2024 12:00</t>
  </si>
  <si>
    <t>19/07/2024 12:15</t>
  </si>
  <si>
    <t>19/07/2024 12:30</t>
  </si>
  <si>
    <t>19/07/2024 12:45</t>
  </si>
  <si>
    <t>19/07/2024 13:00</t>
  </si>
  <si>
    <t>19/07/2024 13:15</t>
  </si>
  <si>
    <t>19/07/2024 13:30</t>
  </si>
  <si>
    <t>19/07/2024 13:45</t>
  </si>
  <si>
    <t>19/07/2024 14:00</t>
  </si>
  <si>
    <t>19/07/2024 14:15</t>
  </si>
  <si>
    <t>19/07/2024 14:30</t>
  </si>
  <si>
    <t>19/07/2024 14:45</t>
  </si>
  <si>
    <t>19/07/2024 15:00</t>
  </si>
  <si>
    <t>19/07/2024 15:15</t>
  </si>
  <si>
    <t>19/07/2024 15:30</t>
  </si>
  <si>
    <t>19/07/2024 15:45</t>
  </si>
  <si>
    <t>19/07/2024 16:00</t>
  </si>
  <si>
    <t>19/07/2024 16:15</t>
  </si>
  <si>
    <t>19/07/2024 16:30</t>
  </si>
  <si>
    <t>19/07/2024 16:45</t>
  </si>
  <si>
    <t>19/07/2024 17:00</t>
  </si>
  <si>
    <t>19/07/2024 17:15</t>
  </si>
  <si>
    <t>19/07/2024 17:30</t>
  </si>
  <si>
    <t>19/07/2024 17:45</t>
  </si>
  <si>
    <t>19/07/2024 18:00</t>
  </si>
  <si>
    <t>19/07/2024 18:15</t>
  </si>
  <si>
    <t>19/07/2024 18:30</t>
  </si>
  <si>
    <t>19/07/2024 18:45</t>
  </si>
  <si>
    <t>19/07/2024 19:00</t>
  </si>
  <si>
    <t>19/07/2024 19:15</t>
  </si>
  <si>
    <t>19/07/2024 19:30</t>
  </si>
  <si>
    <t>19/07/2024 19:45</t>
  </si>
  <si>
    <t>19/07/2024 20:00</t>
  </si>
  <si>
    <t>19/07/2024 20:15</t>
  </si>
  <si>
    <t>19/07/2024 20:30</t>
  </si>
  <si>
    <t>19/07/2024 20:45</t>
  </si>
  <si>
    <t>19/07/2024 21:00</t>
  </si>
  <si>
    <t>19/07/2024 21:15</t>
  </si>
  <si>
    <t>19/07/2024 21:30</t>
  </si>
  <si>
    <t>19/07/2024 21:45</t>
  </si>
  <si>
    <t>19/07/2024 22:00</t>
  </si>
  <si>
    <t>19/07/2024 22:15</t>
  </si>
  <si>
    <t>19/07/2024 22:30</t>
  </si>
  <si>
    <t>19/07/2024 22:45</t>
  </si>
  <si>
    <t>19/07/2024 23:00</t>
  </si>
  <si>
    <t>19/07/2024 23:15</t>
  </si>
  <si>
    <t>19/07/2024 23:30</t>
  </si>
  <si>
    <t>19/07/2024 23:45</t>
  </si>
  <si>
    <t>19/07/2024 24:00</t>
  </si>
  <si>
    <t>20/07/2024 00:15</t>
  </si>
  <si>
    <t>20/07/2024 00:30</t>
  </si>
  <si>
    <t>20/07/2024 00:45</t>
  </si>
  <si>
    <t>20/07/2024 01:00</t>
  </si>
  <si>
    <t>20/07/2024 01:15</t>
  </si>
  <si>
    <t>20/07/2024 01:30</t>
  </si>
  <si>
    <t>20/07/2024 01:45</t>
  </si>
  <si>
    <t>20/07/2024 02:00</t>
  </si>
  <si>
    <t>20/07/2024 02:15</t>
  </si>
  <si>
    <t>20/07/2024 02:30</t>
  </si>
  <si>
    <t>20/07/2024 02:45</t>
  </si>
  <si>
    <t>20/07/2024 03:00</t>
  </si>
  <si>
    <t>20/07/2024 03:15</t>
  </si>
  <si>
    <t>20/07/2024 03:30</t>
  </si>
  <si>
    <t>20/07/2024 03:45</t>
  </si>
  <si>
    <t>20/07/2024 04:00</t>
  </si>
  <si>
    <t>20/07/2024 04:15</t>
  </si>
  <si>
    <t>20/07/2024 04:30</t>
  </si>
  <si>
    <t>20/07/2024 04:45</t>
  </si>
  <si>
    <t>20/07/2024 05:00</t>
  </si>
  <si>
    <t>20/07/2024 05:15</t>
  </si>
  <si>
    <t>20/07/2024 05:30</t>
  </si>
  <si>
    <t>20/07/2024 05:45</t>
  </si>
  <si>
    <t>20/07/2024 06:00</t>
  </si>
  <si>
    <t>20/07/2024 06:15</t>
  </si>
  <si>
    <t>20/07/2024 06:30</t>
  </si>
  <si>
    <t>20/07/2024 06:45</t>
  </si>
  <si>
    <t>20/07/2024 07:00</t>
  </si>
  <si>
    <t>20/07/2024 07:15</t>
  </si>
  <si>
    <t>20/07/2024 07:30</t>
  </si>
  <si>
    <t>20/07/2024 07:45</t>
  </si>
  <si>
    <t>20/07/2024 08:00</t>
  </si>
  <si>
    <t>20/07/2024 08:15</t>
  </si>
  <si>
    <t>20/07/2024 08:30</t>
  </si>
  <si>
    <t>20/07/2024 08:45</t>
  </si>
  <si>
    <t>20/07/2024 09:00</t>
  </si>
  <si>
    <t>20/07/2024 09:15</t>
  </si>
  <si>
    <t>20/07/2024 09:30</t>
  </si>
  <si>
    <t>20/07/2024 09:45</t>
  </si>
  <si>
    <t>20/07/2024 10:00</t>
  </si>
  <si>
    <t>20/07/2024 10:15</t>
  </si>
  <si>
    <t>20/07/2024 10:30</t>
  </si>
  <si>
    <t>20/07/2024 10:45</t>
  </si>
  <si>
    <t>20/07/2024 11:00</t>
  </si>
  <si>
    <t>20/07/2024 11:15</t>
  </si>
  <si>
    <t>20/07/2024 11:30</t>
  </si>
  <si>
    <t>20/07/2024 11:45</t>
  </si>
  <si>
    <t>20/07/2024 12:00</t>
  </si>
  <si>
    <t>20/07/2024 12:15</t>
  </si>
  <si>
    <t>20/07/2024 12:30</t>
  </si>
  <si>
    <t>20/07/2024 12:45</t>
  </si>
  <si>
    <t>20/07/2024 13:00</t>
  </si>
  <si>
    <t>20/07/2024 13:15</t>
  </si>
  <si>
    <t>20/07/2024 13:30</t>
  </si>
  <si>
    <t>20/07/2024 13:45</t>
  </si>
  <si>
    <t>20/07/2024 14:00</t>
  </si>
  <si>
    <t>20/07/2024 14:15</t>
  </si>
  <si>
    <t>20/07/2024 14:30</t>
  </si>
  <si>
    <t>20/07/2024 14:45</t>
  </si>
  <si>
    <t>20/07/2024 15:00</t>
  </si>
  <si>
    <t>20/07/2024 15:15</t>
  </si>
  <si>
    <t>20/07/2024 15:30</t>
  </si>
  <si>
    <t>20/07/2024 15:45</t>
  </si>
  <si>
    <t>20/07/2024 16:00</t>
  </si>
  <si>
    <t>20/07/2024 16:15</t>
  </si>
  <si>
    <t>20/07/2024 16:30</t>
  </si>
  <si>
    <t>20/07/2024 16:45</t>
  </si>
  <si>
    <t>20/07/2024 17:00</t>
  </si>
  <si>
    <t>20/07/2024 17:15</t>
  </si>
  <si>
    <t>20/07/2024 17:30</t>
  </si>
  <si>
    <t>20/07/2024 17:45</t>
  </si>
  <si>
    <t>20/07/2024 18:00</t>
  </si>
  <si>
    <t>20/07/2024 18:15</t>
  </si>
  <si>
    <t>20/07/2024 18:30</t>
  </si>
  <si>
    <t>20/07/2024 18:45</t>
  </si>
  <si>
    <t>20/07/2024 19:00</t>
  </si>
  <si>
    <t>20/07/2024 19:15</t>
  </si>
  <si>
    <t>20/07/2024 19:30</t>
  </si>
  <si>
    <t>20/07/2024 19:45</t>
  </si>
  <si>
    <t>20/07/2024 20:00</t>
  </si>
  <si>
    <t>20/07/2024 20:15</t>
  </si>
  <si>
    <t>20/07/2024 20:30</t>
  </si>
  <si>
    <t>20/07/2024 20:45</t>
  </si>
  <si>
    <t>20/07/2024 21:00</t>
  </si>
  <si>
    <t>20/07/2024 21:15</t>
  </si>
  <si>
    <t>20/07/2024 21:30</t>
  </si>
  <si>
    <t>20/07/2024 21:45</t>
  </si>
  <si>
    <t>20/07/2024 22:00</t>
  </si>
  <si>
    <t>20/07/2024 22:15</t>
  </si>
  <si>
    <t>20/07/2024 22:30</t>
  </si>
  <si>
    <t>20/07/2024 22:45</t>
  </si>
  <si>
    <t>20/07/2024 23:00</t>
  </si>
  <si>
    <t>20/07/2024 23:15</t>
  </si>
  <si>
    <t>20/07/2024 23:30</t>
  </si>
  <si>
    <t>20/07/2024 23:45</t>
  </si>
  <si>
    <t>20/07/2024 24:00</t>
  </si>
  <si>
    <t>21/07/2024 00:15</t>
  </si>
  <si>
    <t>21/07/2024 00:30</t>
  </si>
  <si>
    <t>21/07/2024 00:45</t>
  </si>
  <si>
    <t>21/07/2024 01:00</t>
  </si>
  <si>
    <t>21/07/2024 01:15</t>
  </si>
  <si>
    <t>21/07/2024 01:30</t>
  </si>
  <si>
    <t>21/07/2024 01:45</t>
  </si>
  <si>
    <t>21/07/2024 02:00</t>
  </si>
  <si>
    <t>21/07/2024 02:15</t>
  </si>
  <si>
    <t>21/07/2024 02:30</t>
  </si>
  <si>
    <t>21/07/2024 02:45</t>
  </si>
  <si>
    <t>21/07/2024 03:00</t>
  </si>
  <si>
    <t>21/07/2024 03:15</t>
  </si>
  <si>
    <t>21/07/2024 03:30</t>
  </si>
  <si>
    <t>21/07/2024 03:45</t>
  </si>
  <si>
    <t>21/07/2024 04:00</t>
  </si>
  <si>
    <t>21/07/2024 04:15</t>
  </si>
  <si>
    <t>21/07/2024 04:30</t>
  </si>
  <si>
    <t>21/07/2024 04:45</t>
  </si>
  <si>
    <t>21/07/2024 05:00</t>
  </si>
  <si>
    <t>21/07/2024 05:15</t>
  </si>
  <si>
    <t>21/07/2024 05:30</t>
  </si>
  <si>
    <t>21/07/2024 05:45</t>
  </si>
  <si>
    <t>21/07/2024 06:00</t>
  </si>
  <si>
    <t>21/07/2024 06:15</t>
  </si>
  <si>
    <t>21/07/2024 06:30</t>
  </si>
  <si>
    <t>21/07/2024 06:45</t>
  </si>
  <si>
    <t>21/07/2024 07:00</t>
  </si>
  <si>
    <t>21/07/2024 07:15</t>
  </si>
  <si>
    <t>21/07/2024 07:30</t>
  </si>
  <si>
    <t>21/07/2024 07:45</t>
  </si>
  <si>
    <t>21/07/2024 08:00</t>
  </si>
  <si>
    <t>21/07/2024 08:15</t>
  </si>
  <si>
    <t>21/07/2024 08:30</t>
  </si>
  <si>
    <t>21/07/2024 08:45</t>
  </si>
  <si>
    <t>21/07/2024 09:00</t>
  </si>
  <si>
    <t>21/07/2024 09:15</t>
  </si>
  <si>
    <t>21/07/2024 09:30</t>
  </si>
  <si>
    <t>21/07/2024 09:45</t>
  </si>
  <si>
    <t>21/07/2024 10:00</t>
  </si>
  <si>
    <t>21/07/2024 10:15</t>
  </si>
  <si>
    <t>21/07/2024 10:30</t>
  </si>
  <si>
    <t>21/07/2024 10:45</t>
  </si>
  <si>
    <t>21/07/2024 11:00</t>
  </si>
  <si>
    <t>21/07/2024 11:15</t>
  </si>
  <si>
    <t>21/07/2024 11:30</t>
  </si>
  <si>
    <t>21/07/2024 11:45</t>
  </si>
  <si>
    <t>21/07/2024 12:00</t>
  </si>
  <si>
    <t>21/07/2024 12:15</t>
  </si>
  <si>
    <t>21/07/2024 12:30</t>
  </si>
  <si>
    <t>21/07/2024 12:45</t>
  </si>
  <si>
    <t>21/07/2024 13:00</t>
  </si>
  <si>
    <t>21/07/2024 13:15</t>
  </si>
  <si>
    <t>21/07/2024 13:30</t>
  </si>
  <si>
    <t>21/07/2024 13:45</t>
  </si>
  <si>
    <t>21/07/2024 14:00</t>
  </si>
  <si>
    <t>21/07/2024 14:15</t>
  </si>
  <si>
    <t>21/07/2024 14:30</t>
  </si>
  <si>
    <t>21/07/2024 14:45</t>
  </si>
  <si>
    <t>21/07/2024 15:00</t>
  </si>
  <si>
    <t>21/07/2024 15:15</t>
  </si>
  <si>
    <t>21/07/2024 15:30</t>
  </si>
  <si>
    <t>21/07/2024 15:45</t>
  </si>
  <si>
    <t>21/07/2024 16:00</t>
  </si>
  <si>
    <t>21/07/2024 16:15</t>
  </si>
  <si>
    <t>21/07/2024 16:30</t>
  </si>
  <si>
    <t>21/07/2024 16:45</t>
  </si>
  <si>
    <t>21/07/2024 17:00</t>
  </si>
  <si>
    <t>21/07/2024 17:15</t>
  </si>
  <si>
    <t>21/07/2024 17:30</t>
  </si>
  <si>
    <t>21/07/2024 17:45</t>
  </si>
  <si>
    <t>21/07/2024 18:00</t>
  </si>
  <si>
    <t>21/07/2024 18:15</t>
  </si>
  <si>
    <t>21/07/2024 18:30</t>
  </si>
  <si>
    <t>21/07/2024 18:45</t>
  </si>
  <si>
    <t>21/07/2024 19:00</t>
  </si>
  <si>
    <t>21/07/2024 19:15</t>
  </si>
  <si>
    <t>21/07/2024 19:30</t>
  </si>
  <si>
    <t>21/07/2024 19:45</t>
  </si>
  <si>
    <t>21/07/2024 20:00</t>
  </si>
  <si>
    <t>21/07/2024 20:15</t>
  </si>
  <si>
    <t>21/07/2024 20:30</t>
  </si>
  <si>
    <t>21/07/2024 20:45</t>
  </si>
  <si>
    <t>21/07/2024 21:00</t>
  </si>
  <si>
    <t>21/07/2024 21:15</t>
  </si>
  <si>
    <t>21/07/2024 21:30</t>
  </si>
  <si>
    <t>21/07/2024 21:45</t>
  </si>
  <si>
    <t>21/07/2024 22:00</t>
  </si>
  <si>
    <t>21/07/2024 22:15</t>
  </si>
  <si>
    <t>21/07/2024 22:30</t>
  </si>
  <si>
    <t>21/07/2024 22:45</t>
  </si>
  <si>
    <t>21/07/2024 23:00</t>
  </si>
  <si>
    <t>21/07/2024 23:15</t>
  </si>
  <si>
    <t>21/07/2024 23:30</t>
  </si>
  <si>
    <t>21/07/2024 23:45</t>
  </si>
  <si>
    <t>21/07/2024 24:00</t>
  </si>
  <si>
    <t>22/07/2024 00:15</t>
  </si>
  <si>
    <t>22/07/2024 00:30</t>
  </si>
  <si>
    <t>22/07/2024 00:45</t>
  </si>
  <si>
    <t>22/07/2024 01:00</t>
  </si>
  <si>
    <t>22/07/2024 01:15</t>
  </si>
  <si>
    <t>22/07/2024 01:30</t>
  </si>
  <si>
    <t>22/07/2024 01:45</t>
  </si>
  <si>
    <t>22/07/2024 02:00</t>
  </si>
  <si>
    <t>22/07/2024 02:15</t>
  </si>
  <si>
    <t>22/07/2024 02:30</t>
  </si>
  <si>
    <t>22/07/2024 02:45</t>
  </si>
  <si>
    <t>22/07/2024 03:00</t>
  </si>
  <si>
    <t>22/07/2024 03:15</t>
  </si>
  <si>
    <t>22/07/2024 03:30</t>
  </si>
  <si>
    <t>22/07/2024 03:45</t>
  </si>
  <si>
    <t>22/07/2024 04:00</t>
  </si>
  <si>
    <t>22/07/2024 04:15</t>
  </si>
  <si>
    <t>22/07/2024 04:30</t>
  </si>
  <si>
    <t>22/07/2024 04:45</t>
  </si>
  <si>
    <t>22/07/2024 05:00</t>
  </si>
  <si>
    <t>22/07/2024 05:15</t>
  </si>
  <si>
    <t>22/07/2024 05:30</t>
  </si>
  <si>
    <t>22/07/2024 05:45</t>
  </si>
  <si>
    <t>22/07/2024 06:00</t>
  </si>
  <si>
    <t>22/07/2024 06:15</t>
  </si>
  <si>
    <t>22/07/2024 06:30</t>
  </si>
  <si>
    <t>22/07/2024 06:45</t>
  </si>
  <si>
    <t>22/07/2024 07:00</t>
  </si>
  <si>
    <t>22/07/2024 07:15</t>
  </si>
  <si>
    <t>22/07/2024 07:30</t>
  </si>
  <si>
    <t>22/07/2024 07:45</t>
  </si>
  <si>
    <t>22/07/2024 08:00</t>
  </si>
  <si>
    <t>22/07/2024 08:15</t>
  </si>
  <si>
    <t>22/07/2024 08:30</t>
  </si>
  <si>
    <t>22/07/2024 08:45</t>
  </si>
  <si>
    <t>22/07/2024 09:00</t>
  </si>
  <si>
    <t>22/07/2024 09:15</t>
  </si>
  <si>
    <t>22/07/2024 09:30</t>
  </si>
  <si>
    <t>22/07/2024 09:45</t>
  </si>
  <si>
    <t>22/07/2024 10:00</t>
  </si>
  <si>
    <t>22/07/2024 10:15</t>
  </si>
  <si>
    <t>22/07/2024 10:30</t>
  </si>
  <si>
    <t>22/07/2024 10:45</t>
  </si>
  <si>
    <t>22/07/2024 11:00</t>
  </si>
  <si>
    <t>22/07/2024 11:15</t>
  </si>
  <si>
    <t>22/07/2024 11:30</t>
  </si>
  <si>
    <t>22/07/2024 11:45</t>
  </si>
  <si>
    <t>22/07/2024 12:00</t>
  </si>
  <si>
    <t>22/07/2024 12:15</t>
  </si>
  <si>
    <t>22/07/2024 12:30</t>
  </si>
  <si>
    <t>22/07/2024 12:45</t>
  </si>
  <si>
    <t>22/07/2024 13:00</t>
  </si>
  <si>
    <t>22/07/2024 13:15</t>
  </si>
  <si>
    <t>22/07/2024 13:30</t>
  </si>
  <si>
    <t>22/07/2024 13:45</t>
  </si>
  <si>
    <t>22/07/2024 14:00</t>
  </si>
  <si>
    <t>22/07/2024 14:15</t>
  </si>
  <si>
    <t>22/07/2024 14:30</t>
  </si>
  <si>
    <t>22/07/2024 14:45</t>
  </si>
  <si>
    <t>22/07/2024 15:00</t>
  </si>
  <si>
    <t>22/07/2024 15:15</t>
  </si>
  <si>
    <t>22/07/2024 15:30</t>
  </si>
  <si>
    <t>22/07/2024 15:45</t>
  </si>
  <si>
    <t>22/07/2024 16:00</t>
  </si>
  <si>
    <t>22/07/2024 16:15</t>
  </si>
  <si>
    <t>22/07/2024 16:30</t>
  </si>
  <si>
    <t>22/07/2024 16:45</t>
  </si>
  <si>
    <t>22/07/2024 17:00</t>
  </si>
  <si>
    <t>22/07/2024 17:15</t>
  </si>
  <si>
    <t>22/07/2024 17:30</t>
  </si>
  <si>
    <t>22/07/2024 17:45</t>
  </si>
  <si>
    <t>22/07/2024 18:00</t>
  </si>
  <si>
    <t>22/07/2024 18:15</t>
  </si>
  <si>
    <t>22/07/2024 18:30</t>
  </si>
  <si>
    <t>22/07/2024 18:45</t>
  </si>
  <si>
    <t>22/07/2024 19:00</t>
  </si>
  <si>
    <t>22/07/2024 19:15</t>
  </si>
  <si>
    <t>22/07/2024 19:30</t>
  </si>
  <si>
    <t>22/07/2024 19:45</t>
  </si>
  <si>
    <t>22/07/2024 20:00</t>
  </si>
  <si>
    <t>22/07/2024 20:15</t>
  </si>
  <si>
    <t>22/07/2024 20:30</t>
  </si>
  <si>
    <t>22/07/2024 20:45</t>
  </si>
  <si>
    <t>22/07/2024 21:00</t>
  </si>
  <si>
    <t>22/07/2024 21:15</t>
  </si>
  <si>
    <t>22/07/2024 21:30</t>
  </si>
  <si>
    <t>22/07/2024 21:45</t>
  </si>
  <si>
    <t>22/07/2024 22:00</t>
  </si>
  <si>
    <t>22/07/2024 22:15</t>
  </si>
  <si>
    <t>22/07/2024 22:30</t>
  </si>
  <si>
    <t>22/07/2024 22:45</t>
  </si>
  <si>
    <t>22/07/2024 23:00</t>
  </si>
  <si>
    <t>22/07/2024 23:15</t>
  </si>
  <si>
    <t>22/07/2024 23:30</t>
  </si>
  <si>
    <t>22/07/2024 23:45</t>
  </si>
  <si>
    <t>22/07/2024 24:00</t>
  </si>
  <si>
    <t>23/07/2024 00:15</t>
  </si>
  <si>
    <t>23/07/2024 00:30</t>
  </si>
  <si>
    <t>23/07/2024 00:45</t>
  </si>
  <si>
    <t>23/07/2024 01:00</t>
  </si>
  <si>
    <t>23/07/2024 01:15</t>
  </si>
  <si>
    <t>23/07/2024 01:30</t>
  </si>
  <si>
    <t>23/07/2024 01:45</t>
  </si>
  <si>
    <t>23/07/2024 02:00</t>
  </si>
  <si>
    <t>23/07/2024 02:15</t>
  </si>
  <si>
    <t>23/07/2024 02:30</t>
  </si>
  <si>
    <t>23/07/2024 02:45</t>
  </si>
  <si>
    <t>23/07/2024 03:00</t>
  </si>
  <si>
    <t>23/07/2024 03:15</t>
  </si>
  <si>
    <t>23/07/2024 03:30</t>
  </si>
  <si>
    <t>23/07/2024 03:45</t>
  </si>
  <si>
    <t>23/07/2024 04:00</t>
  </si>
  <si>
    <t>23/07/2024 04:15</t>
  </si>
  <si>
    <t>23/07/2024 04:30</t>
  </si>
  <si>
    <t>23/07/2024 04:45</t>
  </si>
  <si>
    <t>23/07/2024 05:00</t>
  </si>
  <si>
    <t>23/07/2024 05:15</t>
  </si>
  <si>
    <t>23/07/2024 05:30</t>
  </si>
  <si>
    <t>23/07/2024 05:45</t>
  </si>
  <si>
    <t>23/07/2024 06:00</t>
  </si>
  <si>
    <t>23/07/2024 06:15</t>
  </si>
  <si>
    <t>23/07/2024 06:30</t>
  </si>
  <si>
    <t>23/07/2024 06:45</t>
  </si>
  <si>
    <t>23/07/2024 07:00</t>
  </si>
  <si>
    <t>23/07/2024 07:15</t>
  </si>
  <si>
    <t>23/07/2024 07:30</t>
  </si>
  <si>
    <t>23/07/2024 07:45</t>
  </si>
  <si>
    <t>23/07/2024 08:00</t>
  </si>
  <si>
    <t>23/07/2024 08:15</t>
  </si>
  <si>
    <t>23/07/2024 08:30</t>
  </si>
  <si>
    <t>23/07/2024 08:45</t>
  </si>
  <si>
    <t>23/07/2024 09:00</t>
  </si>
  <si>
    <t>23/07/2024 09:15</t>
  </si>
  <si>
    <t>23/07/2024 09:30</t>
  </si>
  <si>
    <t>23/07/2024 09:45</t>
  </si>
  <si>
    <t>23/07/2024 10:00</t>
  </si>
  <si>
    <t>23/07/2024 10:15</t>
  </si>
  <si>
    <t>23/07/2024 10:30</t>
  </si>
  <si>
    <t>23/07/2024 10:45</t>
  </si>
  <si>
    <t>23/07/2024 11:00</t>
  </si>
  <si>
    <t>23/07/2024 11:15</t>
  </si>
  <si>
    <t>23/07/2024 11:30</t>
  </si>
  <si>
    <t>23/07/2024 11:45</t>
  </si>
  <si>
    <t>23/07/2024 12:00</t>
  </si>
  <si>
    <t>23/07/2024 12:15</t>
  </si>
  <si>
    <t>23/07/2024 12:30</t>
  </si>
  <si>
    <t>23/07/2024 12:45</t>
  </si>
  <si>
    <t>23/07/2024 13:00</t>
  </si>
  <si>
    <t>23/07/2024 13:15</t>
  </si>
  <si>
    <t>23/07/2024 13:30</t>
  </si>
  <si>
    <t>23/07/2024 13:45</t>
  </si>
  <si>
    <t>23/07/2024 14:00</t>
  </si>
  <si>
    <t>23/07/2024 14:15</t>
  </si>
  <si>
    <t>23/07/2024 14:30</t>
  </si>
  <si>
    <t>23/07/2024 14:45</t>
  </si>
  <si>
    <t>23/07/2024 15:00</t>
  </si>
  <si>
    <t>23/07/2024 15:15</t>
  </si>
  <si>
    <t>23/07/2024 15:30</t>
  </si>
  <si>
    <t>23/07/2024 15:45</t>
  </si>
  <si>
    <t>23/07/2024 16:00</t>
  </si>
  <si>
    <t>23/07/2024 16:15</t>
  </si>
  <si>
    <t>23/07/2024 16:30</t>
  </si>
  <si>
    <t>23/07/2024 16:45</t>
  </si>
  <si>
    <t>23/07/2024 17:00</t>
  </si>
  <si>
    <t>23/07/2024 17:15</t>
  </si>
  <si>
    <t>23/07/2024 17:30</t>
  </si>
  <si>
    <t>23/07/2024 17:45</t>
  </si>
  <si>
    <t>23/07/2024 18:00</t>
  </si>
  <si>
    <t>23/07/2024 18:15</t>
  </si>
  <si>
    <t>23/07/2024 18:30</t>
  </si>
  <si>
    <t>23/07/2024 18:45</t>
  </si>
  <si>
    <t>23/07/2024 19:00</t>
  </si>
  <si>
    <t>23/07/2024 19:15</t>
  </si>
  <si>
    <t>23/07/2024 19:30</t>
  </si>
  <si>
    <t>23/07/2024 19:45</t>
  </si>
  <si>
    <t>23/07/2024 20:00</t>
  </si>
  <si>
    <t>23/07/2024 20:15</t>
  </si>
  <si>
    <t>23/07/2024 20:30</t>
  </si>
  <si>
    <t>23/07/2024 20:45</t>
  </si>
  <si>
    <t>23/07/2024 21:00</t>
  </si>
  <si>
    <t>23/07/2024 21:15</t>
  </si>
  <si>
    <t>23/07/2024 21:30</t>
  </si>
  <si>
    <t>23/07/2024 21:45</t>
  </si>
  <si>
    <t>23/07/2024 22:00</t>
  </si>
  <si>
    <t>23/07/2024 22:15</t>
  </si>
  <si>
    <t>23/07/2024 22:30</t>
  </si>
  <si>
    <t>23/07/2024 22:45</t>
  </si>
  <si>
    <t>23/07/2024 23:00</t>
  </si>
  <si>
    <t>23/07/2024 23:15</t>
  </si>
  <si>
    <t>23/07/2024 23:30</t>
  </si>
  <si>
    <t>23/07/2024 23:45</t>
  </si>
  <si>
    <t>23/07/2024 24:00</t>
  </si>
  <si>
    <t>847 ug/cm2</t>
  </si>
  <si>
    <t>835 ug/cm2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</si>
  <si>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</si>
  <si>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</si>
  <si>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</si>
  <si>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</si>
  <si>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</si>
  <si>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</si>
  <si>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</si>
  <si>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</si>
  <si>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</si>
  <si>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</si>
  <si>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</si>
  <si>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</si>
  <si>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</si>
  <si>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</si>
  <si>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</si>
  <si>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</si>
  <si>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Calibration report Of BHATAGAON, RAIPUR</t>
  </si>
  <si>
    <t>POWER OFF REPORT OF BHATAGAON, RAIPUR</t>
  </si>
  <si>
    <t>BHATAGAON RAIPUR</t>
  </si>
  <si>
    <t>24/07/2024 00:15</t>
  </si>
  <si>
    <t>24/07/2024 00:30</t>
  </si>
  <si>
    <t>24/07/2024 00:45</t>
  </si>
  <si>
    <t>24/07/2024 01:00</t>
  </si>
  <si>
    <t>24/07/2024 01:15</t>
  </si>
  <si>
    <t>24/07/2024 01:30</t>
  </si>
  <si>
    <t>24/07/2024 01:45</t>
  </si>
  <si>
    <t>24/07/2024 02:00</t>
  </si>
  <si>
    <t>24/07/2024 02:15</t>
  </si>
  <si>
    <t>24/07/2024 02:30</t>
  </si>
  <si>
    <t>24/07/2024 02:45</t>
  </si>
  <si>
    <t>24/07/2024 03:00</t>
  </si>
  <si>
    <t>24/07/2024 03:15</t>
  </si>
  <si>
    <t>24/07/2024 03:30</t>
  </si>
  <si>
    <t>24/07/2024 03:45</t>
  </si>
  <si>
    <t>24/07/2024 04:00</t>
  </si>
  <si>
    <t>24/07/2024 04:15</t>
  </si>
  <si>
    <t>24/07/2024 04:30</t>
  </si>
  <si>
    <t>24/07/2024 04:45</t>
  </si>
  <si>
    <t>24/07/2024 05:00</t>
  </si>
  <si>
    <t>24/07/2024 05:15</t>
  </si>
  <si>
    <t>24/07/2024 05:30</t>
  </si>
  <si>
    <t>24/07/2024 05:45</t>
  </si>
  <si>
    <t>24/07/2024 06:00</t>
  </si>
  <si>
    <t>24/07/2024 06:15</t>
  </si>
  <si>
    <t>24/07/2024 06:30</t>
  </si>
  <si>
    <t>24/07/2024 06:45</t>
  </si>
  <si>
    <t>24/07/2024 07:00</t>
  </si>
  <si>
    <t>24/07/2024 07:15</t>
  </si>
  <si>
    <t>24/07/2024 07:30</t>
  </si>
  <si>
    <t>24/07/2024 07:45</t>
  </si>
  <si>
    <t>24/07/2024 08:00</t>
  </si>
  <si>
    <t>24/07/2024 08:15</t>
  </si>
  <si>
    <t>24/07/2024 08:30</t>
  </si>
  <si>
    <t>24/07/2024 08:45</t>
  </si>
  <si>
    <t>24/07/2024 09:00</t>
  </si>
  <si>
    <t>24/07/2024 09:15</t>
  </si>
  <si>
    <t>24/07/2024 09:30</t>
  </si>
  <si>
    <t>24/07/2024 09:45</t>
  </si>
  <si>
    <t>24/07/2024 10:00</t>
  </si>
  <si>
    <t>24/07/2024 10:15</t>
  </si>
  <si>
    <t>24/07/2024 10:30</t>
  </si>
  <si>
    <t>24/07/2024 10:45</t>
  </si>
  <si>
    <t>24/07/2024 11:00</t>
  </si>
  <si>
    <t>24/07/2024 11:15</t>
  </si>
  <si>
    <t>24/07/2024 11:30</t>
  </si>
  <si>
    <t>24/07/2024 11:45</t>
  </si>
  <si>
    <t>24/07/2024 12:00</t>
  </si>
  <si>
    <t>24/07/2024 12:15</t>
  </si>
  <si>
    <t>24/07/2024 12:30</t>
  </si>
  <si>
    <t>24/07/2024 12:45</t>
  </si>
  <si>
    <t>24/07/2024 13:00</t>
  </si>
  <si>
    <t>24/07/2024 13:15</t>
  </si>
  <si>
    <t>24/07/2024 13:30</t>
  </si>
  <si>
    <t>24/07/2024 13:45</t>
  </si>
  <si>
    <t>24/07/2024 14:00</t>
  </si>
  <si>
    <t>24/07/2024 14:15</t>
  </si>
  <si>
    <t>24/07/2024 14:30</t>
  </si>
  <si>
    <t>24/07/2024 14:45</t>
  </si>
  <si>
    <t>24/07/2024 15:00</t>
  </si>
  <si>
    <t>24/07/2024 15:15</t>
  </si>
  <si>
    <t>24/07/2024 15:30</t>
  </si>
  <si>
    <t>24/07/2024 15:45</t>
  </si>
  <si>
    <t>24/07/2024 16:00</t>
  </si>
  <si>
    <t>24/07/2024 16:15</t>
  </si>
  <si>
    <t>24/07/2024 16:30</t>
  </si>
  <si>
    <t>24/07/2024 16:45</t>
  </si>
  <si>
    <t>24/07/2024 17:00</t>
  </si>
  <si>
    <t>24/07/2024 17:15</t>
  </si>
  <si>
    <t>24/07/2024 17:30</t>
  </si>
  <si>
    <t>24/07/2024 17:45</t>
  </si>
  <si>
    <t>24/07/2024 18:00</t>
  </si>
  <si>
    <t>24/07/2024 18:15</t>
  </si>
  <si>
    <t>24/07/2024 18:30</t>
  </si>
  <si>
    <t>24/07/2024 18:45</t>
  </si>
  <si>
    <t>24/07/2024 19:00</t>
  </si>
  <si>
    <t>24/07/2024 19:15</t>
  </si>
  <si>
    <t>24/07/2024 19:30</t>
  </si>
  <si>
    <t>24/07/2024 19:45</t>
  </si>
  <si>
    <t>24/07/2024 20:00</t>
  </si>
  <si>
    <t>24/07/2024 20:15</t>
  </si>
  <si>
    <t>24/07/2024 20:30</t>
  </si>
  <si>
    <t>24/07/2024 20:45</t>
  </si>
  <si>
    <t>24/07/2024 21:00</t>
  </si>
  <si>
    <t>24/07/2024 21:15</t>
  </si>
  <si>
    <t>24/07/2024 21:30</t>
  </si>
  <si>
    <t>24/07/2024 21:45</t>
  </si>
  <si>
    <t>24/07/2024 22:00</t>
  </si>
  <si>
    <t>24/07/2024 22:15</t>
  </si>
  <si>
    <t>24/07/2024 22:30</t>
  </si>
  <si>
    <t>24/07/2024 22:45</t>
  </si>
  <si>
    <t>24/07/2024 23:00</t>
  </si>
  <si>
    <t>24/07/2024 23:15</t>
  </si>
  <si>
    <t>24/07/2024 23:30</t>
  </si>
  <si>
    <t>24/07/2024 23:45</t>
  </si>
  <si>
    <t>24/07/2024 24:00</t>
  </si>
  <si>
    <t>25/07/2024 00:15</t>
  </si>
  <si>
    <t>25/07/2024 00:30</t>
  </si>
  <si>
    <t>25/07/2024 00:45</t>
  </si>
  <si>
    <t>25/07/2024 01:00</t>
  </si>
  <si>
    <t>25/07/2024 01:15</t>
  </si>
  <si>
    <t>25/07/2024 01:30</t>
  </si>
  <si>
    <t>25/07/2024 01:45</t>
  </si>
  <si>
    <t>25/07/2024 02:00</t>
  </si>
  <si>
    <t>25/07/2024 02:15</t>
  </si>
  <si>
    <t>25/07/2024 02:30</t>
  </si>
  <si>
    <t>25/07/2024 02:45</t>
  </si>
  <si>
    <t>25/07/2024 03:00</t>
  </si>
  <si>
    <t>25/07/2024 03:15</t>
  </si>
  <si>
    <t>25/07/2024 03:30</t>
  </si>
  <si>
    <t>25/07/2024 03:45</t>
  </si>
  <si>
    <t>25/07/2024 04:00</t>
  </si>
  <si>
    <t>25/07/2024 04:15</t>
  </si>
  <si>
    <t>25/07/2024 04:30</t>
  </si>
  <si>
    <t>25/07/2024 04:45</t>
  </si>
  <si>
    <t>25/07/2024 05:00</t>
  </si>
  <si>
    <t>25/07/2024 05:15</t>
  </si>
  <si>
    <t>25/07/2024 05:30</t>
  </si>
  <si>
    <t>25/07/2024 05:45</t>
  </si>
  <si>
    <t>25/07/2024 06:00</t>
  </si>
  <si>
    <t>25/07/2024 06:15</t>
  </si>
  <si>
    <t>25/07/2024 06:30</t>
  </si>
  <si>
    <t>25/07/2024 06:45</t>
  </si>
  <si>
    <t>25/07/2024 07:00</t>
  </si>
  <si>
    <t>25/07/2024 07:15</t>
  </si>
  <si>
    <t>25/07/2024 07:30</t>
  </si>
  <si>
    <t>25/07/2024 07:45</t>
  </si>
  <si>
    <t>25/07/2024 08:00</t>
  </si>
  <si>
    <t>25/07/2024 08:15</t>
  </si>
  <si>
    <t>25/07/2024 08:30</t>
  </si>
  <si>
    <t>25/07/2024 08:45</t>
  </si>
  <si>
    <t>25/07/2024 09:00</t>
  </si>
  <si>
    <t>25/07/2024 09:15</t>
  </si>
  <si>
    <t>25/07/2024 09:30</t>
  </si>
  <si>
    <t>25/07/2024 09:45</t>
  </si>
  <si>
    <t>25/07/2024 10:00</t>
  </si>
  <si>
    <t>25/07/2024 10:15</t>
  </si>
  <si>
    <t>25/07/2024 10:30</t>
  </si>
  <si>
    <t>25/07/2024 10:45</t>
  </si>
  <si>
    <t>25/07/2024 11:00</t>
  </si>
  <si>
    <t>25/07/2024 11:15</t>
  </si>
  <si>
    <t>25/07/2024 11:30</t>
  </si>
  <si>
    <t>25/07/2024 11:45</t>
  </si>
  <si>
    <t>25/07/2024 12:00</t>
  </si>
  <si>
    <t>25/07/2024 12:15</t>
  </si>
  <si>
    <t>25/07/2024 12:30</t>
  </si>
  <si>
    <t>25/07/2024 12:45</t>
  </si>
  <si>
    <t>25/07/2024 13:00</t>
  </si>
  <si>
    <t>25/07/2024 13:15</t>
  </si>
  <si>
    <t>25/07/2024 13:30</t>
  </si>
  <si>
    <t>25/07/2024 13:45</t>
  </si>
  <si>
    <t>25/07/2024 14:00</t>
  </si>
  <si>
    <t>25/07/2024 14:15</t>
  </si>
  <si>
    <t>25/07/2024 14:30</t>
  </si>
  <si>
    <t>25/07/2024 14:45</t>
  </si>
  <si>
    <t>25/07/2024 15:00</t>
  </si>
  <si>
    <t>25/07/2024 15:15</t>
  </si>
  <si>
    <t>25/07/2024 15:30</t>
  </si>
  <si>
    <t>25/07/2024 15:45</t>
  </si>
  <si>
    <t>25/07/2024 16:00</t>
  </si>
  <si>
    <t>25/07/2024 16:15</t>
  </si>
  <si>
    <t>25/07/2024 16:30</t>
  </si>
  <si>
    <t>25/07/2024 16:45</t>
  </si>
  <si>
    <t>25/07/2024 17:00</t>
  </si>
  <si>
    <t>25/07/2024 17:15</t>
  </si>
  <si>
    <t>25/07/2024 17:30</t>
  </si>
  <si>
    <t>25/07/2024 17:45</t>
  </si>
  <si>
    <t>25/07/2024 18:00</t>
  </si>
  <si>
    <t>25/07/2024 18:15</t>
  </si>
  <si>
    <t>25/07/2024 18:30</t>
  </si>
  <si>
    <t>25/07/2024 18:45</t>
  </si>
  <si>
    <t>25/07/2024 19:00</t>
  </si>
  <si>
    <t>25/07/2024 19:15</t>
  </si>
  <si>
    <t>25/07/2024 19:30</t>
  </si>
  <si>
    <t>25/07/2024 19:45</t>
  </si>
  <si>
    <t>25/07/2024 20:00</t>
  </si>
  <si>
    <t>25/07/2024 20:15</t>
  </si>
  <si>
    <t>25/07/2024 20:30</t>
  </si>
  <si>
    <t>25/07/2024 20:45</t>
  </si>
  <si>
    <t>25/07/2024 21:00</t>
  </si>
  <si>
    <t>25/07/2024 21:15</t>
  </si>
  <si>
    <t>25/07/2024 21:30</t>
  </si>
  <si>
    <t>25/07/2024 21:45</t>
  </si>
  <si>
    <t>25/07/2024 22:00</t>
  </si>
  <si>
    <t>25/07/2024 22:15</t>
  </si>
  <si>
    <t>25/07/2024 22:30</t>
  </si>
  <si>
    <t>25/07/2024 22:45</t>
  </si>
  <si>
    <t>25/07/2024 23:00</t>
  </si>
  <si>
    <t>25/07/2024 23:15</t>
  </si>
  <si>
    <t>25/07/2024 23:30</t>
  </si>
  <si>
    <t>25/07/2024 23:45</t>
  </si>
  <si>
    <t>25/07/2024 24:00</t>
  </si>
  <si>
    <t>26/07/2024 00:15</t>
  </si>
  <si>
    <t>26/07/2024 00:30</t>
  </si>
  <si>
    <t>26/07/2024 00:45</t>
  </si>
  <si>
    <t>26/07/2024 01:00</t>
  </si>
  <si>
    <t>26/07/2024 01:15</t>
  </si>
  <si>
    <t>26/07/2024 01:30</t>
  </si>
  <si>
    <t>26/07/2024 01:45</t>
  </si>
  <si>
    <t>26/07/2024 02:00</t>
  </si>
  <si>
    <t>26/07/2024 02:15</t>
  </si>
  <si>
    <t>26/07/2024 02:30</t>
  </si>
  <si>
    <t>26/07/2024 02:45</t>
  </si>
  <si>
    <t>26/07/2024 03:00</t>
  </si>
  <si>
    <t>26/07/2024 03:15</t>
  </si>
  <si>
    <t>26/07/2024 03:30</t>
  </si>
  <si>
    <t>26/07/2024 03:45</t>
  </si>
  <si>
    <t>26/07/2024 04:00</t>
  </si>
  <si>
    <t>26/07/2024 04:15</t>
  </si>
  <si>
    <t>26/07/2024 04:30</t>
  </si>
  <si>
    <t>26/07/2024 04:45</t>
  </si>
  <si>
    <t>26/07/2024 05:00</t>
  </si>
  <si>
    <t>26/07/2024 05:15</t>
  </si>
  <si>
    <t>26/07/2024 05:30</t>
  </si>
  <si>
    <t>26/07/2024 05:45</t>
  </si>
  <si>
    <t>26/07/2024 06:00</t>
  </si>
  <si>
    <t>26/07/2024 06:15</t>
  </si>
  <si>
    <t>26/07/2024 06:30</t>
  </si>
  <si>
    <t>26/07/2024 06:45</t>
  </si>
  <si>
    <t>26/07/2024 07:00</t>
  </si>
  <si>
    <t>26/07/2024 07:15</t>
  </si>
  <si>
    <t>26/07/2024 07:30</t>
  </si>
  <si>
    <t>26/07/2024 07:45</t>
  </si>
  <si>
    <t>26/07/2024 08:00</t>
  </si>
  <si>
    <t>26/07/2024 08:15</t>
  </si>
  <si>
    <t>26/07/2024 08:30</t>
  </si>
  <si>
    <t>26/07/2024 08:45</t>
  </si>
  <si>
    <t>26/07/2024 09:00</t>
  </si>
  <si>
    <t>26/07/2024 09:15</t>
  </si>
  <si>
    <t>26/07/2024 09:30</t>
  </si>
  <si>
    <t>26/07/2024 09:45</t>
  </si>
  <si>
    <t>26/07/2024 10:00</t>
  </si>
  <si>
    <t>26/07/2024 10:15</t>
  </si>
  <si>
    <t>26/07/2024 10:30</t>
  </si>
  <si>
    <t>26/07/2024 10:45</t>
  </si>
  <si>
    <t>26/07/2024 11:00</t>
  </si>
  <si>
    <t>26/07/2024 11:15</t>
  </si>
  <si>
    <t>26/07/2024 11:30</t>
  </si>
  <si>
    <t>26/07/2024 11:45</t>
  </si>
  <si>
    <t>26/07/2024 12:00</t>
  </si>
  <si>
    <t>26/07/2024 12:15</t>
  </si>
  <si>
    <t>26/07/2024 12:30</t>
  </si>
  <si>
    <t>26/07/2024 12:45</t>
  </si>
  <si>
    <t>26/07/2024 13:00</t>
  </si>
  <si>
    <t>26/07/2024 13:15</t>
  </si>
  <si>
    <t>26/07/2024 13:30</t>
  </si>
  <si>
    <t>26/07/2024 13:45</t>
  </si>
  <si>
    <t>26/07/2024 14:00</t>
  </si>
  <si>
    <t>26/07/2024 14:15</t>
  </si>
  <si>
    <t>26/07/2024 14:30</t>
  </si>
  <si>
    <t>26/07/2024 14:45</t>
  </si>
  <si>
    <t>26/07/2024 15:00</t>
  </si>
  <si>
    <t>26/07/2024 15:15</t>
  </si>
  <si>
    <t>26/07/2024 15:30</t>
  </si>
  <si>
    <t>26/07/2024 15:45</t>
  </si>
  <si>
    <t>26/07/2024 16:00</t>
  </si>
  <si>
    <t>26/07/2024 16:15</t>
  </si>
  <si>
    <t>26/07/2024 16:30</t>
  </si>
  <si>
    <t>26/07/2024 16:45</t>
  </si>
  <si>
    <t>26/07/2024 17:00</t>
  </si>
  <si>
    <t>26/07/2024 17:15</t>
  </si>
  <si>
    <t>26/07/2024 17:30</t>
  </si>
  <si>
    <t>26/07/2024 17:45</t>
  </si>
  <si>
    <t>26/07/2024 18:00</t>
  </si>
  <si>
    <t>26/07/2024 18:15</t>
  </si>
  <si>
    <t>26/07/2024 18:30</t>
  </si>
  <si>
    <t>26/07/2024 18:45</t>
  </si>
  <si>
    <t>26/07/2024 19:00</t>
  </si>
  <si>
    <t>26/07/2024 19:15</t>
  </si>
  <si>
    <t>26/07/2024 19:30</t>
  </si>
  <si>
    <t>26/07/2024 19:45</t>
  </si>
  <si>
    <t>26/07/2024 20:00</t>
  </si>
  <si>
    <t>26/07/2024 20:15</t>
  </si>
  <si>
    <t>26/07/2024 20:30</t>
  </si>
  <si>
    <t>26/07/2024 20:45</t>
  </si>
  <si>
    <t>26/07/2024 21:00</t>
  </si>
  <si>
    <t>26/07/2024 21:15</t>
  </si>
  <si>
    <t>26/07/2024 21:30</t>
  </si>
  <si>
    <t>26/07/2024 21:45</t>
  </si>
  <si>
    <t>26/07/2024 22:00</t>
  </si>
  <si>
    <t>26/07/2024 22:15</t>
  </si>
  <si>
    <t>26/07/2024 22:30</t>
  </si>
  <si>
    <t>26/07/2024 22:45</t>
  </si>
  <si>
    <t>26/07/2024 23:00</t>
  </si>
  <si>
    <t>26/07/2024 23:15</t>
  </si>
  <si>
    <t>26/07/2024 23:30</t>
  </si>
  <si>
    <t>26/07/2024 23:45</t>
  </si>
  <si>
    <t>26/07/2024 24:00</t>
  </si>
  <si>
    <t>27/07/2024 00:15</t>
  </si>
  <si>
    <t>27/07/2024 00:30</t>
  </si>
  <si>
    <t>27/07/2024 00:45</t>
  </si>
  <si>
    <t>27/07/2024 01:00</t>
  </si>
  <si>
    <t>27/07/2024 01:15</t>
  </si>
  <si>
    <t>27/07/2024 01:30</t>
  </si>
  <si>
    <t>27/07/2024 01:45</t>
  </si>
  <si>
    <t>27/07/2024 02:00</t>
  </si>
  <si>
    <t>27/07/2024 02:15</t>
  </si>
  <si>
    <t>27/07/2024 02:30</t>
  </si>
  <si>
    <t>27/07/2024 02:45</t>
  </si>
  <si>
    <t>27/07/2024 03:00</t>
  </si>
  <si>
    <t>27/07/2024 03:15</t>
  </si>
  <si>
    <t>27/07/2024 03:30</t>
  </si>
  <si>
    <t>27/07/2024 03:45</t>
  </si>
  <si>
    <t>27/07/2024 04:00</t>
  </si>
  <si>
    <t>27/07/2024 04:15</t>
  </si>
  <si>
    <t>27/07/2024 04:30</t>
  </si>
  <si>
    <t>27/07/2024 04:45</t>
  </si>
  <si>
    <t>27/07/2024 05:00</t>
  </si>
  <si>
    <t>27/07/2024 05:15</t>
  </si>
  <si>
    <t>27/07/2024 05:30</t>
  </si>
  <si>
    <t>27/07/2024 05:45</t>
  </si>
  <si>
    <t>27/07/2024 06:00</t>
  </si>
  <si>
    <t>27/07/2024 06:15</t>
  </si>
  <si>
    <t>27/07/2024 06:30</t>
  </si>
  <si>
    <t>27/07/2024 06:45</t>
  </si>
  <si>
    <t>27/07/2024 07:00</t>
  </si>
  <si>
    <t>27/07/2024 07:15</t>
  </si>
  <si>
    <t>27/07/2024 07:30</t>
  </si>
  <si>
    <t>27/07/2024 07:45</t>
  </si>
  <si>
    <t>27/07/2024 08:00</t>
  </si>
  <si>
    <t>27/07/2024 08:15</t>
  </si>
  <si>
    <t>27/07/2024 08:30</t>
  </si>
  <si>
    <t>27/07/2024 08:45</t>
  </si>
  <si>
    <t>27/07/2024 09:00</t>
  </si>
  <si>
    <t>27/07/2024 09:15</t>
  </si>
  <si>
    <t>27/07/2024 09:30</t>
  </si>
  <si>
    <t>27/07/2024 09:45</t>
  </si>
  <si>
    <t>27/07/2024 10:00</t>
  </si>
  <si>
    <t>27/07/2024 10:15</t>
  </si>
  <si>
    <t>27/07/2024 10:30</t>
  </si>
  <si>
    <t>27/07/2024 10:45</t>
  </si>
  <si>
    <t>27/07/2024 11:00</t>
  </si>
  <si>
    <t>27/07/2024 11:15</t>
  </si>
  <si>
    <t>27/07/2024 11:30</t>
  </si>
  <si>
    <t>27/07/2024 11:45</t>
  </si>
  <si>
    <t>27/07/2024 12:00</t>
  </si>
  <si>
    <t>27/07/2024 12:15</t>
  </si>
  <si>
    <t>27/07/2024 12:30</t>
  </si>
  <si>
    <t>27/07/2024 12:45</t>
  </si>
  <si>
    <t>27/07/2024 13:00</t>
  </si>
  <si>
    <t>27/07/2024 13:15</t>
  </si>
  <si>
    <t>27/07/2024 13:30</t>
  </si>
  <si>
    <t>27/07/2024 13:45</t>
  </si>
  <si>
    <t>27/07/2024 14:00</t>
  </si>
  <si>
    <t>27/07/2024 14:15</t>
  </si>
  <si>
    <t>27/07/2024 14:30</t>
  </si>
  <si>
    <t>27/07/2024 14:45</t>
  </si>
  <si>
    <t>27/07/2024 15:00</t>
  </si>
  <si>
    <t>27/07/2024 15:15</t>
  </si>
  <si>
    <t>27/07/2024 15:30</t>
  </si>
  <si>
    <t>27/07/2024 15:45</t>
  </si>
  <si>
    <t>27/07/2024 16:00</t>
  </si>
  <si>
    <t>27/07/2024 16:15</t>
  </si>
  <si>
    <t>27/07/2024 16:30</t>
  </si>
  <si>
    <t>27/07/2024 16:45</t>
  </si>
  <si>
    <t>27/07/2024 17:00</t>
  </si>
  <si>
    <t>27/07/2024 17:15</t>
  </si>
  <si>
    <t>27/07/2024 17:30</t>
  </si>
  <si>
    <t>27/07/2024 17:45</t>
  </si>
  <si>
    <t>27/07/2024 18:00</t>
  </si>
  <si>
    <t>27/07/2024 18:15</t>
  </si>
  <si>
    <t>27/07/2024 18:30</t>
  </si>
  <si>
    <t>27/07/2024 18:45</t>
  </si>
  <si>
    <t>27/07/2024 19:00</t>
  </si>
  <si>
    <t>27/07/2024 19:15</t>
  </si>
  <si>
    <t>27/07/2024 19:30</t>
  </si>
  <si>
    <t>27/07/2024 19:45</t>
  </si>
  <si>
    <t>27/07/2024 20:00</t>
  </si>
  <si>
    <t>27/07/2024 20:15</t>
  </si>
  <si>
    <t>27/07/2024 20:30</t>
  </si>
  <si>
    <t>27/07/2024 20:45</t>
  </si>
  <si>
    <t>27/07/2024 21:00</t>
  </si>
  <si>
    <t>27/07/2024 21:15</t>
  </si>
  <si>
    <t>27/07/2024 21:30</t>
  </si>
  <si>
    <t>27/07/2024 21:45</t>
  </si>
  <si>
    <t>27/07/2024 22:00</t>
  </si>
  <si>
    <t>27/07/2024 22:15</t>
  </si>
  <si>
    <t>27/07/2024 22:30</t>
  </si>
  <si>
    <t>27/07/2024 22:45</t>
  </si>
  <si>
    <t>27/07/2024 23:00</t>
  </si>
  <si>
    <t>27/07/2024 23:15</t>
  </si>
  <si>
    <t>27/07/2024 23:30</t>
  </si>
  <si>
    <t>27/07/2024 23:45</t>
  </si>
  <si>
    <t>27/07/2024 24:00</t>
  </si>
  <si>
    <t>28/07/2024 00:15</t>
  </si>
  <si>
    <t>28/07/2024 00:30</t>
  </si>
  <si>
    <t>28/07/2024 00:45</t>
  </si>
  <si>
    <t>28/07/2024 01:00</t>
  </si>
  <si>
    <t>28/07/2024 01:15</t>
  </si>
  <si>
    <t>28/07/2024 01:30</t>
  </si>
  <si>
    <t>28/07/2024 01:45</t>
  </si>
  <si>
    <t>28/07/2024 02:00</t>
  </si>
  <si>
    <t>28/07/2024 02:15</t>
  </si>
  <si>
    <t>28/07/2024 02:30</t>
  </si>
  <si>
    <t>28/07/2024 02:45</t>
  </si>
  <si>
    <t>28/07/2024 03:00</t>
  </si>
  <si>
    <t>28/07/2024 03:15</t>
  </si>
  <si>
    <t>28/07/2024 03:30</t>
  </si>
  <si>
    <t>28/07/2024 03:45</t>
  </si>
  <si>
    <t>28/07/2024 04:00</t>
  </si>
  <si>
    <t>28/07/2024 04:15</t>
  </si>
  <si>
    <t>28/07/2024 04:30</t>
  </si>
  <si>
    <t>28/07/2024 04:45</t>
  </si>
  <si>
    <t>28/07/2024 05:00</t>
  </si>
  <si>
    <t>28/07/2024 05:15</t>
  </si>
  <si>
    <t>28/07/2024 05:30</t>
  </si>
  <si>
    <t>28/07/2024 05:45</t>
  </si>
  <si>
    <t>28/07/2024 06:00</t>
  </si>
  <si>
    <t>28/07/2024 06:15</t>
  </si>
  <si>
    <t>28/07/2024 06:30</t>
  </si>
  <si>
    <t>28/07/2024 06:45</t>
  </si>
  <si>
    <t>28/07/2024 07:00</t>
  </si>
  <si>
    <t>28/07/2024 07:15</t>
  </si>
  <si>
    <t>28/07/2024 07:30</t>
  </si>
  <si>
    <t>28/07/2024 07:45</t>
  </si>
  <si>
    <t>28/07/2024 08:00</t>
  </si>
  <si>
    <t>28/07/2024 08:15</t>
  </si>
  <si>
    <t>28/07/2024 08:30</t>
  </si>
  <si>
    <t>28/07/2024 08:45</t>
  </si>
  <si>
    <t>28/07/2024 09:00</t>
  </si>
  <si>
    <t>28/07/2024 09:15</t>
  </si>
  <si>
    <t>28/07/2024 09:30</t>
  </si>
  <si>
    <t>28/07/2024 09:45</t>
  </si>
  <si>
    <t>28/07/2024 10:00</t>
  </si>
  <si>
    <t>28/07/2024 10:15</t>
  </si>
  <si>
    <t>28/07/2024 10:30</t>
  </si>
  <si>
    <t>28/07/2024 10:45</t>
  </si>
  <si>
    <t>28/07/2024 11:00</t>
  </si>
  <si>
    <t>28/07/2024 11:15</t>
  </si>
  <si>
    <t>28/07/2024 11:30</t>
  </si>
  <si>
    <t>28/07/2024 11:45</t>
  </si>
  <si>
    <t>28/07/2024 12:00</t>
  </si>
  <si>
    <t>28/07/2024 12:15</t>
  </si>
  <si>
    <t>28/07/2024 12:30</t>
  </si>
  <si>
    <t>28/07/2024 12:45</t>
  </si>
  <si>
    <t>28/07/2024 13:00</t>
  </si>
  <si>
    <t>28/07/2024 13:15</t>
  </si>
  <si>
    <t>28/07/2024 13:30</t>
  </si>
  <si>
    <t>28/07/2024 13:45</t>
  </si>
  <si>
    <t>28/07/2024 14:00</t>
  </si>
  <si>
    <t>28/07/2024 14:15</t>
  </si>
  <si>
    <t>28/07/2024 14:30</t>
  </si>
  <si>
    <t>28/07/2024 14:45</t>
  </si>
  <si>
    <t>28/07/2024 15:00</t>
  </si>
  <si>
    <t>28/07/2024 15:15</t>
  </si>
  <si>
    <t>28/07/2024 15:30</t>
  </si>
  <si>
    <t>28/07/2024 15:45</t>
  </si>
  <si>
    <t>28/07/2024 16:00</t>
  </si>
  <si>
    <t>28/07/2024 16:15</t>
  </si>
  <si>
    <t>28/07/2024 16:30</t>
  </si>
  <si>
    <t>28/07/2024 16:45</t>
  </si>
  <si>
    <t>28/07/2024 17:00</t>
  </si>
  <si>
    <t>28/07/2024 17:15</t>
  </si>
  <si>
    <t>28/07/2024 17:30</t>
  </si>
  <si>
    <t>28/07/2024 17:45</t>
  </si>
  <si>
    <t>28/07/2024 18:00</t>
  </si>
  <si>
    <t>28/07/2024 18:15</t>
  </si>
  <si>
    <t>28/07/2024 18:30</t>
  </si>
  <si>
    <t>28/07/2024 18:45</t>
  </si>
  <si>
    <t>28/07/2024 19:00</t>
  </si>
  <si>
    <t>28/07/2024 19:15</t>
  </si>
  <si>
    <t>28/07/2024 19:30</t>
  </si>
  <si>
    <t>28/07/2024 19:45</t>
  </si>
  <si>
    <t>28/07/2024 20:00</t>
  </si>
  <si>
    <t>28/07/2024 20:15</t>
  </si>
  <si>
    <t>28/07/2024 20:30</t>
  </si>
  <si>
    <t>28/07/2024 20:45</t>
  </si>
  <si>
    <t>28/07/2024 21:00</t>
  </si>
  <si>
    <t>28/07/2024 21:15</t>
  </si>
  <si>
    <t>28/07/2024 21:30</t>
  </si>
  <si>
    <t>28/07/2024 21:45</t>
  </si>
  <si>
    <t>28/07/2024 22:00</t>
  </si>
  <si>
    <t>28/07/2024 22:15</t>
  </si>
  <si>
    <t>28/07/2024 22:30</t>
  </si>
  <si>
    <t>28/07/2024 22:45</t>
  </si>
  <si>
    <t>28/07/2024 23:00</t>
  </si>
  <si>
    <t>28/07/2024 23:15</t>
  </si>
  <si>
    <t>28/07/2024 23:30</t>
  </si>
  <si>
    <t>28/07/2024 23:45</t>
  </si>
  <si>
    <t>28/07/2024 24:00</t>
  </si>
  <si>
    <t>29/07/2024 00:15</t>
  </si>
  <si>
    <t>29/07/2024 00:30</t>
  </si>
  <si>
    <t>29/07/2024 00:45</t>
  </si>
  <si>
    <t>29/07/2024 01:00</t>
  </si>
  <si>
    <t>29/07/2024 01:15</t>
  </si>
  <si>
    <t>29/07/2024 01:30</t>
  </si>
  <si>
    <t>29/07/2024 01:45</t>
  </si>
  <si>
    <t>29/07/2024 02:00</t>
  </si>
  <si>
    <t>29/07/2024 02:15</t>
  </si>
  <si>
    <t>29/07/2024 02:30</t>
  </si>
  <si>
    <t>29/07/2024 02:45</t>
  </si>
  <si>
    <t>29/07/2024 03:00</t>
  </si>
  <si>
    <t>29/07/2024 03:15</t>
  </si>
  <si>
    <t>29/07/2024 03:30</t>
  </si>
  <si>
    <t>29/07/2024 03:45</t>
  </si>
  <si>
    <t>29/07/2024 04:00</t>
  </si>
  <si>
    <t>29/07/2024 04:15</t>
  </si>
  <si>
    <t>29/07/2024 04:30</t>
  </si>
  <si>
    <t>29/07/2024 04:45</t>
  </si>
  <si>
    <t>29/07/2024 05:00</t>
  </si>
  <si>
    <t>29/07/2024 05:15</t>
  </si>
  <si>
    <t>29/07/2024 05:30</t>
  </si>
  <si>
    <t>29/07/2024 05:45</t>
  </si>
  <si>
    <t>29/07/2024 06:00</t>
  </si>
  <si>
    <t>29/07/2024 06:15</t>
  </si>
  <si>
    <t>29/07/2024 06:30</t>
  </si>
  <si>
    <t>29/07/2024 06:45</t>
  </si>
  <si>
    <t>29/07/2024 07:00</t>
  </si>
  <si>
    <t>29/07/2024 07:15</t>
  </si>
  <si>
    <t>29/07/2024 07:30</t>
  </si>
  <si>
    <t>29/07/2024 07:45</t>
  </si>
  <si>
    <t>29/07/2024 08:00</t>
  </si>
  <si>
    <t>29/07/2024 08:15</t>
  </si>
  <si>
    <t>29/07/2024 08:30</t>
  </si>
  <si>
    <t>29/07/2024 08:45</t>
  </si>
  <si>
    <t>29/07/2024 09:00</t>
  </si>
  <si>
    <t>29/07/2024 09:15</t>
  </si>
  <si>
    <t>29/07/2024 09:30</t>
  </si>
  <si>
    <t>29/07/2024 09:45</t>
  </si>
  <si>
    <t>29/07/2024 10:00</t>
  </si>
  <si>
    <t>29/07/2024 10:15</t>
  </si>
  <si>
    <t>29/07/2024 10:30</t>
  </si>
  <si>
    <t>29/07/2024 10:45</t>
  </si>
  <si>
    <t>29/07/2024 11:00</t>
  </si>
  <si>
    <t>29/07/2024 11:15</t>
  </si>
  <si>
    <t>29/07/2024 11:30</t>
  </si>
  <si>
    <t>29/07/2024 11:45</t>
  </si>
  <si>
    <t>29/07/2024 12:00</t>
  </si>
  <si>
    <t>29/07/2024 12:15</t>
  </si>
  <si>
    <t>29/07/2024 12:30</t>
  </si>
  <si>
    <t>29/07/2024 12:45</t>
  </si>
  <si>
    <t>29/07/2024 13:00</t>
  </si>
  <si>
    <t>29/07/2024 13:15</t>
  </si>
  <si>
    <t>29/07/2024 13:30</t>
  </si>
  <si>
    <t>29/07/2024 13:45</t>
  </si>
  <si>
    <t>29/07/2024 14:00</t>
  </si>
  <si>
    <t>29/07/2024 14:15</t>
  </si>
  <si>
    <t>29/07/2024 14:30</t>
  </si>
  <si>
    <t>29/07/2024 14:45</t>
  </si>
  <si>
    <t>29/07/2024 15:00</t>
  </si>
  <si>
    <t>29/07/2024 15:15</t>
  </si>
  <si>
    <t>29/07/2024 15:30</t>
  </si>
  <si>
    <t>29/07/2024 15:45</t>
  </si>
  <si>
    <t>29/07/2024 16:00</t>
  </si>
  <si>
    <t>29/07/2024 16:15</t>
  </si>
  <si>
    <t>29/07/2024 16:30</t>
  </si>
  <si>
    <t>29/07/2024 16:45</t>
  </si>
  <si>
    <t>29/07/2024 17:00</t>
  </si>
  <si>
    <t>29/07/2024 17:15</t>
  </si>
  <si>
    <t>29/07/2024 17:30</t>
  </si>
  <si>
    <t>29/07/2024 17:45</t>
  </si>
  <si>
    <t>29/07/2024 18:00</t>
  </si>
  <si>
    <t>29/07/2024 18:15</t>
  </si>
  <si>
    <t>29/07/2024 18:30</t>
  </si>
  <si>
    <t>29/07/2024 18:45</t>
  </si>
  <si>
    <t>29/07/2024 19:00</t>
  </si>
  <si>
    <t>29/07/2024 19:15</t>
  </si>
  <si>
    <t>29/07/2024 19:30</t>
  </si>
  <si>
    <t>29/07/2024 19:45</t>
  </si>
  <si>
    <t>29/07/2024 20:00</t>
  </si>
  <si>
    <t>29/07/2024 20:15</t>
  </si>
  <si>
    <t>29/07/2024 20:30</t>
  </si>
  <si>
    <t>29/07/2024 20:45</t>
  </si>
  <si>
    <t>29/07/2024 21:00</t>
  </si>
  <si>
    <t>29/07/2024 21:15</t>
  </si>
  <si>
    <t>29/07/2024 21:30</t>
  </si>
  <si>
    <t>29/07/2024 21:45</t>
  </si>
  <si>
    <t>29/07/2024 22:00</t>
  </si>
  <si>
    <t>29/07/2024 22:15</t>
  </si>
  <si>
    <t>29/07/2024 22:30</t>
  </si>
  <si>
    <t>29/07/2024 22:45</t>
  </si>
  <si>
    <t>29/07/2024 23:00</t>
  </si>
  <si>
    <t>29/07/2024 23:15</t>
  </si>
  <si>
    <t>29/07/2024 23:30</t>
  </si>
  <si>
    <t>29/07/2024 23:45</t>
  </si>
  <si>
    <t>29/07/2024 24:00</t>
  </si>
  <si>
    <t>30/07/2024 00:15</t>
  </si>
  <si>
    <t>30/07/2024 00:30</t>
  </si>
  <si>
    <t>30/07/2024 00:45</t>
  </si>
  <si>
    <t>30/07/2024 01:00</t>
  </si>
  <si>
    <t>30/07/2024 01:15</t>
  </si>
  <si>
    <t>30/07/2024 01:30</t>
  </si>
  <si>
    <t>30/07/2024 01:45</t>
  </si>
  <si>
    <t>30/07/2024 02:00</t>
  </si>
  <si>
    <t>30/07/2024 02:15</t>
  </si>
  <si>
    <t>30/07/2024 02:30</t>
  </si>
  <si>
    <t>30/07/2024 02:45</t>
  </si>
  <si>
    <t>30/07/2024 03:00</t>
  </si>
  <si>
    <t>30/07/2024 03:15</t>
  </si>
  <si>
    <t>30/07/2024 03:30</t>
  </si>
  <si>
    <t>30/07/2024 03:45</t>
  </si>
  <si>
    <t>30/07/2024 04:00</t>
  </si>
  <si>
    <t>30/07/2024 04:15</t>
  </si>
  <si>
    <t>30/07/2024 04:30</t>
  </si>
  <si>
    <t>30/07/2024 04:45</t>
  </si>
  <si>
    <t>30/07/2024 05:00</t>
  </si>
  <si>
    <t>30/07/2024 05:15</t>
  </si>
  <si>
    <t>30/07/2024 05:30</t>
  </si>
  <si>
    <t>30/07/2024 05:45</t>
  </si>
  <si>
    <t>30/07/2024 06:00</t>
  </si>
  <si>
    <t>30/07/2024 06:15</t>
  </si>
  <si>
    <t>30/07/2024 06:30</t>
  </si>
  <si>
    <t>30/07/2024 06:45</t>
  </si>
  <si>
    <t>30/07/2024 07:00</t>
  </si>
  <si>
    <t>30/07/2024 07:15</t>
  </si>
  <si>
    <t>30/07/2024 07:30</t>
  </si>
  <si>
    <t>30/07/2024 07:45</t>
  </si>
  <si>
    <t>30/07/2024 08:00</t>
  </si>
  <si>
    <t>30/07/2024 08:15</t>
  </si>
  <si>
    <t>30/07/2024 08:30</t>
  </si>
  <si>
    <t>30/07/2024 08:45</t>
  </si>
  <si>
    <t>30/07/2024 09:00</t>
  </si>
  <si>
    <t>30/07/2024 09:15</t>
  </si>
  <si>
    <t>30/07/2024 09:30</t>
  </si>
  <si>
    <t>30/07/2024 09:45</t>
  </si>
  <si>
    <t>30/07/2024 10:00</t>
  </si>
  <si>
    <t>30/07/2024 10:15</t>
  </si>
  <si>
    <t>30/07/2024 10:30</t>
  </si>
  <si>
    <t>30/07/2024 10:45</t>
  </si>
  <si>
    <t>30/07/2024 11:00</t>
  </si>
  <si>
    <t>30/07/2024 11:15</t>
  </si>
  <si>
    <t>30/07/2024 11:30</t>
  </si>
  <si>
    <t>30/07/2024 11:45</t>
  </si>
  <si>
    <t>30/07/2024 12:00</t>
  </si>
  <si>
    <t>30/07/2024 12:15</t>
  </si>
  <si>
    <t>30/07/2024 12:30</t>
  </si>
  <si>
    <t>30/07/2024 12:45</t>
  </si>
  <si>
    <t>30/07/2024 13:00</t>
  </si>
  <si>
    <t>30/07/2024 13:15</t>
  </si>
  <si>
    <t>30/07/2024 13:30</t>
  </si>
  <si>
    <t>30/07/2024 13:45</t>
  </si>
  <si>
    <t>30/07/2024 14:00</t>
  </si>
  <si>
    <t>30/07/2024 14:15</t>
  </si>
  <si>
    <t>30/07/2024 14:30</t>
  </si>
  <si>
    <t>30/07/2024 14:45</t>
  </si>
  <si>
    <t>30/07/2024 15:00</t>
  </si>
  <si>
    <t>30/07/2024 15:15</t>
  </si>
  <si>
    <t>30/07/2024 15:30</t>
  </si>
  <si>
    <t>30/07/2024 15:45</t>
  </si>
  <si>
    <t>30/07/2024 16:00</t>
  </si>
  <si>
    <t>30/07/2024 16:15</t>
  </si>
  <si>
    <t>30/07/2024 16:30</t>
  </si>
  <si>
    <t>30/07/2024 16:45</t>
  </si>
  <si>
    <t>30/07/2024 17:00</t>
  </si>
  <si>
    <t>30/07/2024 17:15</t>
  </si>
  <si>
    <t>30/07/2024 17:30</t>
  </si>
  <si>
    <t>30/07/2024 17:45</t>
  </si>
  <si>
    <t>30/07/2024 18:00</t>
  </si>
  <si>
    <t>30/07/2024 18:15</t>
  </si>
  <si>
    <t>30/07/2024 18:30</t>
  </si>
  <si>
    <t>30/07/2024 18:45</t>
  </si>
  <si>
    <t>30/07/2024 19:00</t>
  </si>
  <si>
    <t>30/07/2024 19:15</t>
  </si>
  <si>
    <t>30/07/2024 19:30</t>
  </si>
  <si>
    <t>30/07/2024 19:45</t>
  </si>
  <si>
    <t>30/07/2024 20:00</t>
  </si>
  <si>
    <t>30/07/2024 20:15</t>
  </si>
  <si>
    <t>30/07/2024 20:30</t>
  </si>
  <si>
    <t>30/07/2024 20:45</t>
  </si>
  <si>
    <t>30/07/2024 21:00</t>
  </si>
  <si>
    <t>30/07/2024 21:15</t>
  </si>
  <si>
    <t>30/07/2024 21:30</t>
  </si>
  <si>
    <t>30/07/2024 21:45</t>
  </si>
  <si>
    <t>30/07/2024 22:00</t>
  </si>
  <si>
    <t>30/07/2024 22:15</t>
  </si>
  <si>
    <t>30/07/2024 22:30</t>
  </si>
  <si>
    <t>30/07/2024 22:45</t>
  </si>
  <si>
    <t>30/07/2024 23:00</t>
  </si>
  <si>
    <t>30/07/2024 23:15</t>
  </si>
  <si>
    <t>30/07/2024 23:30</t>
  </si>
  <si>
    <t>30/07/2024 23:45</t>
  </si>
  <si>
    <t>30/07/2024 24:00</t>
  </si>
  <si>
    <t>31/07/2024 00:15</t>
  </si>
  <si>
    <t>31/07/2024 00:30</t>
  </si>
  <si>
    <t>31/07/2024 00:45</t>
  </si>
  <si>
    <t>31/07/2024 01:00</t>
  </si>
  <si>
    <t>31/07/2024 01:15</t>
  </si>
  <si>
    <t>31/07/2024 01:30</t>
  </si>
  <si>
    <t>31/07/2024 01:45</t>
  </si>
  <si>
    <t>31/07/2024 02:00</t>
  </si>
  <si>
    <t>31/07/2024 02:15</t>
  </si>
  <si>
    <t>31/07/2024 02:30</t>
  </si>
  <si>
    <t>31/07/2024 02:45</t>
  </si>
  <si>
    <t>31/07/2024 03:00</t>
  </si>
  <si>
    <t>31/07/2024 03:15</t>
  </si>
  <si>
    <t>31/07/2024 03:30</t>
  </si>
  <si>
    <t>31/07/2024 03:45</t>
  </si>
  <si>
    <t>31/07/2024 04:00</t>
  </si>
  <si>
    <t>31/07/2024 04:15</t>
  </si>
  <si>
    <t>31/07/2024 04:30</t>
  </si>
  <si>
    <t>31/07/2024 04:45</t>
  </si>
  <si>
    <t>31/07/2024 05:00</t>
  </si>
  <si>
    <t>31/07/2024 05:15</t>
  </si>
  <si>
    <t>31/07/2024 05:30</t>
  </si>
  <si>
    <t>31/07/2024 05:45</t>
  </si>
  <si>
    <t>31/07/2024 06:00</t>
  </si>
  <si>
    <t>31/07/2024 06:15</t>
  </si>
  <si>
    <t>31/07/2024 06:30</t>
  </si>
  <si>
    <t>31/07/2024 06:45</t>
  </si>
  <si>
    <t>31/07/2024 07:00</t>
  </si>
  <si>
    <t>31/07/2024 07:15</t>
  </si>
  <si>
    <t>31/07/2024 07:30</t>
  </si>
  <si>
    <t>31/07/2024 07:45</t>
  </si>
  <si>
    <t>31/07/2024 08:00</t>
  </si>
  <si>
    <t>31/07/2024 08:15</t>
  </si>
  <si>
    <t>31/07/2024 08:30</t>
  </si>
  <si>
    <t>31/07/2024 08:45</t>
  </si>
  <si>
    <t>31/07/2024 09:00</t>
  </si>
  <si>
    <t>31/07/2024 09:15</t>
  </si>
  <si>
    <t>31/07/2024 09:30</t>
  </si>
  <si>
    <t>31/07/2024 09:45</t>
  </si>
  <si>
    <t>31/07/2024 10:00</t>
  </si>
  <si>
    <t>31/07/2024 10:15</t>
  </si>
  <si>
    <t>31/07/2024 10:30</t>
  </si>
  <si>
    <t>31/07/2024 10:45</t>
  </si>
  <si>
    <t>31/07/2024 11:00</t>
  </si>
  <si>
    <t>31/07/2024 11:15</t>
  </si>
  <si>
    <t>31/07/2024 11:30</t>
  </si>
  <si>
    <t>31/07/2024 11:45</t>
  </si>
  <si>
    <t>31/07/2024 12:00</t>
  </si>
  <si>
    <t>31/07/2024 12:15</t>
  </si>
  <si>
    <t>31/07/2024 12:30</t>
  </si>
  <si>
    <t>31/07/2024 12:45</t>
  </si>
  <si>
    <t>31/07/2024 13:00</t>
  </si>
  <si>
    <t>31/07/2024 13:15</t>
  </si>
  <si>
    <t>31/07/2024 13:30</t>
  </si>
  <si>
    <t>31/07/2024 13:45</t>
  </si>
  <si>
    <t>31/07/2024 14:00</t>
  </si>
  <si>
    <t>31/07/2024 14:15</t>
  </si>
  <si>
    <t>31/07/2024 14:30</t>
  </si>
  <si>
    <t>31/07/2024 14:45</t>
  </si>
  <si>
    <t>31/07/2024 15:00</t>
  </si>
  <si>
    <t>31/07/2024 15:15</t>
  </si>
  <si>
    <t>31/07/2024 15:30</t>
  </si>
  <si>
    <t>31/07/2024 15:45</t>
  </si>
  <si>
    <t>31/07/2024 16:00</t>
  </si>
  <si>
    <t>31/07/2024 16:15</t>
  </si>
  <si>
    <t>31/07/2024 16:30</t>
  </si>
  <si>
    <t>31/07/2024 16:45</t>
  </si>
  <si>
    <t>31/07/2024 17:00</t>
  </si>
  <si>
    <t>31/07/2024 17:15</t>
  </si>
  <si>
    <t>31/07/2024 17:30</t>
  </si>
  <si>
    <t>31/07/2024 17:45</t>
  </si>
  <si>
    <t>31/07/2024 18:00</t>
  </si>
  <si>
    <t>31/07/2024 18:15</t>
  </si>
  <si>
    <t>31/07/2024 18:30</t>
  </si>
  <si>
    <t>31/07/2024 18:45</t>
  </si>
  <si>
    <t>31/07/2024 19:00</t>
  </si>
  <si>
    <t>31/07/2024 19:15</t>
  </si>
  <si>
    <t>31/07/2024 19:30</t>
  </si>
  <si>
    <t>31/07/2024 19:45</t>
  </si>
  <si>
    <t>31/07/2024 20:00</t>
  </si>
  <si>
    <t>31/07/2024 20:15</t>
  </si>
  <si>
    <t>31/07/2024 20:30</t>
  </si>
  <si>
    <t>31/07/2024 20:45</t>
  </si>
  <si>
    <t>31/07/2024 21:00</t>
  </si>
  <si>
    <t>31/07/2024 21:15</t>
  </si>
  <si>
    <t>31/07/2024 21:30</t>
  </si>
  <si>
    <t>31/07/2024 21:45</t>
  </si>
  <si>
    <t>31/07/2024 22:00</t>
  </si>
  <si>
    <t>31/07/2024 22:15</t>
  </si>
  <si>
    <t>31/07/2024 22:30</t>
  </si>
  <si>
    <t>31/07/2024 22:45</t>
  </si>
  <si>
    <t>31/07/2024 23:00</t>
  </si>
  <si>
    <t>31/07/2024 23:15</t>
  </si>
  <si>
    <t>31/07/2024 23:30</t>
  </si>
  <si>
    <t>31/07/2024 23:45</t>
  </si>
  <si>
    <t>31/07/2024 24:00</t>
  </si>
  <si>
    <t>01/07/2024 - 31/07/2024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</si>
</sst>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49" fontId="0" fillId="0" borderId="0" xfId="0" applyNumberFormat="1"/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Border="1"/>
    <xf numFmtId="49" fontId="0" fillId="0" borderId="1" xfId="0" applyNumberForma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5" sqref="I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242</v>
      </c>
      <c r="B9" s="12">
        <v>8.32</v>
      </c>
      <c r="C9" s="12">
        <v>3.2</v>
      </c>
      <c r="D9" s="12">
        <v>12.12</v>
      </c>
      <c r="E9" s="12">
        <v>2.93</v>
      </c>
      <c r="F9" s="12">
        <v>3.09</v>
      </c>
      <c r="G9" s="12">
        <v>18.96</v>
      </c>
      <c r="H9" s="12">
        <v>6.68</v>
      </c>
      <c r="I9" s="12">
        <v>4.9400000000000004</v>
      </c>
      <c r="J9" s="12">
        <v>1.19</v>
      </c>
      <c r="K9" s="12">
        <v>149.93</v>
      </c>
      <c r="L9" s="12">
        <v>22.86</v>
      </c>
      <c r="M9" s="12">
        <v>98.38</v>
      </c>
      <c r="N9" s="12">
        <v>17.3</v>
      </c>
      <c r="O9" s="12">
        <v>0</v>
      </c>
      <c r="P9" s="12">
        <v>0.34</v>
      </c>
      <c r="Q9" s="12">
        <v>9.2899999999999991</v>
      </c>
      <c r="R9" s="198"/>
      <c r="S9" s="198"/>
      <c r="T9" s="198"/>
      <c r="U9" s="198"/>
    </row>
    <row r="10" spans="1:21" s="12" customFormat="1" x14ac:dyDescent="0.25">
      <c r="A10" s="213" t="s">
        <v>243</v>
      </c>
      <c r="B10" s="12">
        <v>8.3699999999999992</v>
      </c>
      <c r="C10" s="12">
        <v>3.26</v>
      </c>
      <c r="D10" s="12">
        <v>12.19</v>
      </c>
      <c r="E10" s="12">
        <v>2.91</v>
      </c>
      <c r="F10" s="12">
        <v>4.2</v>
      </c>
      <c r="G10" s="12">
        <v>18.96</v>
      </c>
      <c r="H10" s="12">
        <v>6.68</v>
      </c>
      <c r="I10" s="12">
        <v>4.8099999999999996</v>
      </c>
      <c r="J10" s="12">
        <v>1.51</v>
      </c>
      <c r="K10" s="12">
        <v>147.47</v>
      </c>
      <c r="L10" s="12">
        <v>22.88</v>
      </c>
      <c r="M10" s="12">
        <v>98.39</v>
      </c>
      <c r="N10" s="12">
        <v>17.2</v>
      </c>
      <c r="O10" s="12">
        <v>0</v>
      </c>
      <c r="P10" s="12">
        <v>0.35</v>
      </c>
      <c r="Q10" s="12">
        <v>9.32</v>
      </c>
      <c r="R10" s="198"/>
      <c r="S10" s="198"/>
      <c r="T10" s="198"/>
      <c r="U10" s="198"/>
    </row>
    <row r="11" spans="1:21" s="12" customFormat="1" x14ac:dyDescent="0.25">
      <c r="A11" s="213" t="s">
        <v>244</v>
      </c>
      <c r="B11" s="12">
        <v>8.34</v>
      </c>
      <c r="C11" s="12">
        <v>3.25</v>
      </c>
      <c r="D11" s="12">
        <v>12.16</v>
      </c>
      <c r="E11" s="12">
        <v>3.36</v>
      </c>
      <c r="F11" s="12">
        <v>2.89</v>
      </c>
      <c r="G11" s="12">
        <v>20.77</v>
      </c>
      <c r="H11" s="12">
        <v>6.66</v>
      </c>
      <c r="I11" s="12">
        <v>4.68</v>
      </c>
      <c r="J11" s="12">
        <v>1.64</v>
      </c>
      <c r="K11" s="12">
        <v>143.01</v>
      </c>
      <c r="L11" s="12">
        <v>22.95</v>
      </c>
      <c r="M11" s="12">
        <v>98.39</v>
      </c>
      <c r="N11" s="12">
        <v>17.100000000000001</v>
      </c>
      <c r="O11" s="12">
        <v>0</v>
      </c>
      <c r="P11" s="12">
        <v>0.33</v>
      </c>
      <c r="Q11" s="12">
        <v>9.32</v>
      </c>
      <c r="R11" s="198"/>
      <c r="S11" s="198"/>
      <c r="T11" s="198"/>
      <c r="U11" s="198"/>
    </row>
    <row r="12" spans="1:21" s="12" customFormat="1" x14ac:dyDescent="0.25">
      <c r="A12" s="213" t="s">
        <v>245</v>
      </c>
      <c r="B12" s="12">
        <v>8.31</v>
      </c>
      <c r="C12" s="12">
        <v>3.19</v>
      </c>
      <c r="D12" s="12">
        <v>12.1</v>
      </c>
      <c r="E12" s="12">
        <v>3.61</v>
      </c>
      <c r="F12" s="12">
        <v>3</v>
      </c>
      <c r="G12" s="12">
        <v>21.93</v>
      </c>
      <c r="H12" s="12">
        <v>6.65</v>
      </c>
      <c r="I12" s="12">
        <v>4.66</v>
      </c>
      <c r="J12" s="12">
        <v>1.56</v>
      </c>
      <c r="K12" s="12">
        <v>143.97999999999999</v>
      </c>
      <c r="L12" s="12">
        <v>23.06</v>
      </c>
      <c r="M12" s="12">
        <v>98.36</v>
      </c>
      <c r="N12" s="12">
        <v>17.5</v>
      </c>
      <c r="O12" s="12">
        <v>0</v>
      </c>
      <c r="P12" s="12">
        <v>0.31</v>
      </c>
      <c r="Q12" s="12">
        <v>9.31</v>
      </c>
      <c r="R12" s="198"/>
      <c r="S12" s="198"/>
      <c r="T12" s="198"/>
      <c r="U12" s="198"/>
    </row>
    <row r="13" spans="1:21" s="12" customFormat="1" x14ac:dyDescent="0.25">
      <c r="A13" s="213" t="s">
        <v>246</v>
      </c>
      <c r="B13" s="12">
        <v>8.3000000000000007</v>
      </c>
      <c r="C13" s="12">
        <v>3.15</v>
      </c>
      <c r="D13" s="12">
        <v>12.08</v>
      </c>
      <c r="E13" s="12">
        <v>3.48</v>
      </c>
      <c r="F13" s="12">
        <v>4.13</v>
      </c>
      <c r="G13" s="12">
        <v>21.93</v>
      </c>
      <c r="H13" s="12">
        <v>6.65</v>
      </c>
      <c r="I13" s="12">
        <v>4.6900000000000004</v>
      </c>
      <c r="J13" s="12">
        <v>1.06</v>
      </c>
      <c r="K13" s="12">
        <v>141.07</v>
      </c>
      <c r="L13" s="12">
        <v>23.13</v>
      </c>
      <c r="M13" s="12">
        <v>98.35</v>
      </c>
      <c r="N13" s="12">
        <v>17.7</v>
      </c>
      <c r="O13" s="12">
        <v>0</v>
      </c>
      <c r="P13" s="12">
        <v>0.37</v>
      </c>
      <c r="Q13" s="12">
        <v>9.3000000000000007</v>
      </c>
      <c r="R13" s="198"/>
      <c r="S13" s="198"/>
      <c r="T13" s="198"/>
      <c r="U13" s="198"/>
    </row>
    <row r="14" spans="1:21" s="12" customFormat="1" x14ac:dyDescent="0.25">
      <c r="A14" s="213" t="s">
        <v>247</v>
      </c>
      <c r="B14" s="12">
        <v>8.35</v>
      </c>
      <c r="C14" s="12">
        <v>3.2</v>
      </c>
      <c r="D14" s="12">
        <v>12.14</v>
      </c>
      <c r="E14" s="12">
        <v>3.51</v>
      </c>
      <c r="F14" s="12">
        <v>2.4500000000000002</v>
      </c>
      <c r="G14" s="12">
        <v>21.93</v>
      </c>
      <c r="H14" s="12">
        <v>6.65</v>
      </c>
      <c r="I14" s="12">
        <v>4.67</v>
      </c>
      <c r="J14" s="12">
        <v>0.72</v>
      </c>
      <c r="K14" s="12">
        <v>169.96</v>
      </c>
      <c r="L14" s="12">
        <v>23.16</v>
      </c>
      <c r="M14" s="12">
        <v>98.35</v>
      </c>
      <c r="N14" s="12">
        <v>17.8</v>
      </c>
      <c r="O14" s="12">
        <v>0</v>
      </c>
      <c r="P14" s="12">
        <v>0.36</v>
      </c>
      <c r="Q14" s="12">
        <v>9.27</v>
      </c>
      <c r="R14" s="198"/>
      <c r="S14" s="198"/>
      <c r="T14" s="198"/>
      <c r="U14" s="198"/>
    </row>
    <row r="15" spans="1:21" s="12" customFormat="1" x14ac:dyDescent="0.25">
      <c r="A15" s="213" t="s">
        <v>248</v>
      </c>
      <c r="B15" s="12">
        <v>8.34</v>
      </c>
      <c r="C15" s="12">
        <v>3.23</v>
      </c>
      <c r="D15" s="12">
        <v>12.15</v>
      </c>
      <c r="E15" s="12">
        <v>3.38</v>
      </c>
      <c r="F15" s="12">
        <v>3.16</v>
      </c>
      <c r="G15" s="12">
        <v>19.940000000000001</v>
      </c>
      <c r="H15" s="12">
        <v>5.64</v>
      </c>
      <c r="I15" s="12">
        <v>4.5999999999999996</v>
      </c>
      <c r="J15" s="12">
        <v>0.34</v>
      </c>
      <c r="K15" s="12">
        <v>168.79</v>
      </c>
      <c r="L15" s="12">
        <v>23.14</v>
      </c>
      <c r="M15" s="12">
        <v>98.35</v>
      </c>
      <c r="N15" s="12">
        <v>17.8</v>
      </c>
      <c r="O15" s="12">
        <v>0</v>
      </c>
      <c r="P15" s="12">
        <v>0.35</v>
      </c>
      <c r="Q15" s="12">
        <v>9.2899999999999991</v>
      </c>
      <c r="R15" s="198"/>
      <c r="S15" s="198"/>
      <c r="T15" s="198"/>
      <c r="U15" s="198"/>
    </row>
    <row r="16" spans="1:21" s="12" customFormat="1" x14ac:dyDescent="0.25">
      <c r="A16" s="213" t="s">
        <v>249</v>
      </c>
      <c r="B16" s="12">
        <v>8.33</v>
      </c>
      <c r="C16" s="12">
        <v>3.2</v>
      </c>
      <c r="D16" s="12">
        <v>12.13</v>
      </c>
      <c r="E16" s="12">
        <v>2.93</v>
      </c>
      <c r="F16" s="12">
        <v>3.5</v>
      </c>
      <c r="G16" s="12">
        <v>18.68</v>
      </c>
      <c r="H16" s="12">
        <v>5</v>
      </c>
      <c r="I16" s="12">
        <v>4.49</v>
      </c>
      <c r="J16" s="12">
        <v>0.51</v>
      </c>
      <c r="K16" s="12">
        <v>154.47</v>
      </c>
      <c r="L16" s="12">
        <v>23.21</v>
      </c>
      <c r="M16" s="12">
        <v>98.35</v>
      </c>
      <c r="N16" s="12">
        <v>17.899999999999999</v>
      </c>
      <c r="O16" s="12">
        <v>0</v>
      </c>
      <c r="P16" s="12">
        <v>0.34</v>
      </c>
      <c r="Q16" s="12">
        <v>9.31</v>
      </c>
      <c r="R16" s="198"/>
      <c r="S16" s="198"/>
      <c r="T16" s="198"/>
      <c r="U16" s="198"/>
    </row>
    <row r="17" spans="1:21" s="12" customFormat="1" x14ac:dyDescent="0.25">
      <c r="A17" s="213" t="s">
        <v>250</v>
      </c>
      <c r="B17" s="12">
        <v>8.32</v>
      </c>
      <c r="C17" s="12">
        <v>3.21</v>
      </c>
      <c r="D17" s="12">
        <v>12.13</v>
      </c>
      <c r="E17" s="12">
        <v>2.88</v>
      </c>
      <c r="F17" s="12">
        <v>3.66</v>
      </c>
      <c r="G17" s="12">
        <v>18.68</v>
      </c>
      <c r="H17" s="12">
        <v>5</v>
      </c>
      <c r="I17" s="12">
        <v>4.45</v>
      </c>
      <c r="J17" s="12">
        <v>0.37</v>
      </c>
      <c r="K17" s="12">
        <v>194.8</v>
      </c>
      <c r="L17" s="12">
        <v>23.33</v>
      </c>
      <c r="M17" s="12">
        <v>98.35</v>
      </c>
      <c r="N17" s="12">
        <v>18</v>
      </c>
      <c r="O17" s="12">
        <v>0</v>
      </c>
      <c r="P17" s="12">
        <v>0.34</v>
      </c>
      <c r="Q17" s="12">
        <v>9.3000000000000007</v>
      </c>
      <c r="R17" s="198"/>
      <c r="S17" s="198"/>
      <c r="T17" s="198"/>
      <c r="U17" s="198"/>
    </row>
    <row r="18" spans="1:21" s="12" customFormat="1" x14ac:dyDescent="0.25">
      <c r="A18" s="213" t="s">
        <v>251</v>
      </c>
      <c r="B18" s="12">
        <v>8.34</v>
      </c>
      <c r="C18" s="12">
        <v>3.25</v>
      </c>
      <c r="D18" s="12">
        <v>12.15</v>
      </c>
      <c r="E18" s="12">
        <v>3.22</v>
      </c>
      <c r="F18" s="12">
        <v>3.63</v>
      </c>
      <c r="G18" s="12">
        <v>18.68</v>
      </c>
      <c r="H18" s="12">
        <v>5</v>
      </c>
      <c r="I18" s="12">
        <v>4.43</v>
      </c>
      <c r="J18" s="12">
        <v>0.28999999999999998</v>
      </c>
      <c r="K18" s="12">
        <v>189.52</v>
      </c>
      <c r="L18" s="12">
        <v>23.41</v>
      </c>
      <c r="M18" s="12">
        <v>98.34</v>
      </c>
      <c r="N18" s="12">
        <v>18.100000000000001</v>
      </c>
      <c r="O18" s="12">
        <v>0</v>
      </c>
      <c r="P18" s="12">
        <v>0.34</v>
      </c>
      <c r="Q18" s="12">
        <v>9.3000000000000007</v>
      </c>
      <c r="R18" s="198"/>
      <c r="S18" s="198"/>
      <c r="T18" s="198"/>
      <c r="U18" s="198"/>
    </row>
    <row r="19" spans="1:21" s="12" customFormat="1" x14ac:dyDescent="0.25">
      <c r="A19" s="213" t="s">
        <v>252</v>
      </c>
      <c r="B19" s="12">
        <v>8.3699999999999992</v>
      </c>
      <c r="C19" s="12">
        <v>3.31</v>
      </c>
      <c r="D19" s="12">
        <v>12.21</v>
      </c>
      <c r="E19" s="12">
        <v>3.07</v>
      </c>
      <c r="F19" s="12">
        <v>3.44</v>
      </c>
      <c r="G19" s="12">
        <v>18.5</v>
      </c>
      <c r="H19" s="12">
        <v>5.41</v>
      </c>
      <c r="I19" s="12">
        <v>4.3499999999999996</v>
      </c>
      <c r="J19" s="12">
        <v>0.17</v>
      </c>
      <c r="K19" s="12">
        <v>27.47</v>
      </c>
      <c r="L19" s="12">
        <v>23.45</v>
      </c>
      <c r="M19" s="12">
        <v>98.33</v>
      </c>
      <c r="N19" s="12">
        <v>17.8</v>
      </c>
      <c r="O19" s="12">
        <v>0</v>
      </c>
      <c r="P19" s="12">
        <v>0.33</v>
      </c>
      <c r="Q19" s="12">
        <v>9.31</v>
      </c>
      <c r="R19" s="198"/>
      <c r="S19" s="198"/>
      <c r="T19" s="198"/>
      <c r="U19" s="198"/>
    </row>
    <row r="20" spans="1:21" s="12" customFormat="1" x14ac:dyDescent="0.25">
      <c r="A20" s="213" t="s">
        <v>253</v>
      </c>
      <c r="B20" s="12">
        <v>8.39</v>
      </c>
      <c r="C20" s="12">
        <v>3.33</v>
      </c>
      <c r="D20" s="12">
        <v>12.24</v>
      </c>
      <c r="E20" s="12">
        <v>3.15</v>
      </c>
      <c r="F20" s="12">
        <v>3.68</v>
      </c>
      <c r="G20" s="12">
        <v>18.39</v>
      </c>
      <c r="H20" s="12">
        <v>5.68</v>
      </c>
      <c r="I20" s="12">
        <v>4.25</v>
      </c>
      <c r="J20" s="12">
        <v>0.39</v>
      </c>
      <c r="K20" s="12">
        <v>351.46</v>
      </c>
      <c r="L20" s="12">
        <v>23.53</v>
      </c>
      <c r="M20" s="12">
        <v>98.32</v>
      </c>
      <c r="N20" s="12">
        <v>17.7</v>
      </c>
      <c r="O20" s="12">
        <v>0</v>
      </c>
      <c r="P20" s="12">
        <v>0.32</v>
      </c>
      <c r="Q20" s="12">
        <v>9.35</v>
      </c>
      <c r="R20" s="198"/>
      <c r="S20" s="198"/>
      <c r="T20" s="198"/>
      <c r="U20" s="198"/>
    </row>
    <row r="21" spans="1:21" s="12" customFormat="1" x14ac:dyDescent="0.25">
      <c r="A21" s="213" t="s">
        <v>254</v>
      </c>
      <c r="B21" s="12">
        <v>8.35</v>
      </c>
      <c r="C21" s="12">
        <v>3.26</v>
      </c>
      <c r="D21" s="12">
        <v>12.17</v>
      </c>
      <c r="E21" s="12">
        <v>3.22</v>
      </c>
      <c r="F21" s="12">
        <v>3.89</v>
      </c>
      <c r="G21" s="12">
        <v>18.39</v>
      </c>
      <c r="H21" s="12">
        <v>5.68</v>
      </c>
      <c r="I21" s="12">
        <v>4.1399999999999997</v>
      </c>
      <c r="J21" s="12">
        <v>0.44</v>
      </c>
      <c r="K21" s="12">
        <v>349.37</v>
      </c>
      <c r="L21" s="12">
        <v>23.61</v>
      </c>
      <c r="M21" s="12">
        <v>98.13</v>
      </c>
      <c r="N21" s="12">
        <v>17.7</v>
      </c>
      <c r="O21" s="12">
        <v>0</v>
      </c>
      <c r="P21" s="12">
        <v>0.31</v>
      </c>
      <c r="Q21" s="12">
        <v>9.34</v>
      </c>
      <c r="R21" s="198"/>
      <c r="S21" s="198"/>
      <c r="T21" s="198"/>
      <c r="U21" s="198"/>
    </row>
    <row r="22" spans="1:21" s="12" customFormat="1" x14ac:dyDescent="0.25">
      <c r="A22" s="213" t="s">
        <v>255</v>
      </c>
      <c r="B22" s="12">
        <v>8.33</v>
      </c>
      <c r="C22" s="12">
        <v>3.24</v>
      </c>
      <c r="D22" s="12">
        <v>12.15</v>
      </c>
      <c r="E22" s="12">
        <v>3.37</v>
      </c>
      <c r="F22" s="12">
        <v>4.28</v>
      </c>
      <c r="G22" s="12">
        <v>18.39</v>
      </c>
      <c r="H22" s="12">
        <v>5.68</v>
      </c>
      <c r="I22" s="12">
        <v>3.88</v>
      </c>
      <c r="J22" s="12">
        <v>0.56999999999999995</v>
      </c>
      <c r="K22" s="12">
        <v>4.99</v>
      </c>
      <c r="L22" s="12">
        <v>23.53</v>
      </c>
      <c r="M22" s="12">
        <v>98.18</v>
      </c>
      <c r="N22" s="12">
        <v>17.8</v>
      </c>
      <c r="O22" s="12">
        <v>0</v>
      </c>
      <c r="P22" s="12">
        <v>0.3</v>
      </c>
      <c r="Q22" s="12">
        <v>9.32</v>
      </c>
      <c r="R22" s="198"/>
      <c r="S22" s="198"/>
      <c r="T22" s="198"/>
      <c r="U22" s="198"/>
    </row>
    <row r="23" spans="1:21" s="12" customFormat="1" x14ac:dyDescent="0.25">
      <c r="A23" s="213" t="s">
        <v>256</v>
      </c>
      <c r="B23" s="12">
        <v>8.33</v>
      </c>
      <c r="C23" s="12">
        <v>3.26</v>
      </c>
      <c r="D23" s="12">
        <v>12.16</v>
      </c>
      <c r="E23" s="12">
        <v>2.94</v>
      </c>
      <c r="F23" s="12">
        <v>5.14</v>
      </c>
      <c r="G23" s="12">
        <v>16.13</v>
      </c>
      <c r="H23" s="12">
        <v>4.87</v>
      </c>
      <c r="I23" s="12">
        <v>3.5</v>
      </c>
      <c r="J23" s="12">
        <v>0.53</v>
      </c>
      <c r="K23" s="12">
        <v>354.95</v>
      </c>
      <c r="L23" s="12">
        <v>23.4</v>
      </c>
      <c r="M23" s="12">
        <v>98.32</v>
      </c>
      <c r="N23" s="12">
        <v>17.8</v>
      </c>
      <c r="O23" s="12">
        <v>0</v>
      </c>
      <c r="P23" s="12">
        <v>0.3</v>
      </c>
      <c r="Q23" s="12">
        <v>9.31</v>
      </c>
      <c r="R23" s="198"/>
      <c r="S23" s="198"/>
      <c r="T23" s="198"/>
      <c r="U23" s="198"/>
    </row>
    <row r="24" spans="1:21" s="12" customFormat="1" x14ac:dyDescent="0.25">
      <c r="A24" s="213" t="s">
        <v>257</v>
      </c>
      <c r="B24" s="12">
        <v>8.33</v>
      </c>
      <c r="C24" s="12">
        <v>3.37</v>
      </c>
      <c r="D24" s="12">
        <v>12.21</v>
      </c>
      <c r="E24" s="12">
        <v>3.93</v>
      </c>
      <c r="F24" s="12">
        <v>3.67</v>
      </c>
      <c r="G24" s="12">
        <v>14.7</v>
      </c>
      <c r="H24" s="12">
        <v>4.3600000000000003</v>
      </c>
      <c r="I24" s="12">
        <v>3.15</v>
      </c>
      <c r="J24" s="12">
        <v>0.6</v>
      </c>
      <c r="K24" s="12">
        <v>8.77</v>
      </c>
      <c r="L24" s="12">
        <v>23.32</v>
      </c>
      <c r="M24" s="12">
        <v>98.33</v>
      </c>
      <c r="N24" s="12">
        <v>17.7</v>
      </c>
      <c r="O24" s="12">
        <v>0</v>
      </c>
      <c r="P24" s="12">
        <v>0.28000000000000003</v>
      </c>
      <c r="Q24" s="12">
        <v>9.1999999999999993</v>
      </c>
      <c r="R24" s="198"/>
      <c r="S24" s="198"/>
      <c r="T24" s="198"/>
      <c r="U24" s="198"/>
    </row>
    <row r="25" spans="1:21" s="12" customFormat="1" x14ac:dyDescent="0.25">
      <c r="A25" s="213" t="s">
        <v>258</v>
      </c>
      <c r="B25" s="12">
        <v>8.32</v>
      </c>
      <c r="C25" s="12">
        <v>3.35</v>
      </c>
      <c r="D25" s="12">
        <v>12.19</v>
      </c>
      <c r="E25" s="12">
        <v>4.68</v>
      </c>
      <c r="F25" s="12">
        <v>3.86</v>
      </c>
      <c r="G25" s="12">
        <v>14.7</v>
      </c>
      <c r="H25" s="12">
        <v>4.3600000000000003</v>
      </c>
      <c r="I25" s="12">
        <v>2.9</v>
      </c>
      <c r="J25" s="12">
        <v>0.63</v>
      </c>
      <c r="K25" s="12">
        <v>356.63</v>
      </c>
      <c r="L25" s="12">
        <v>23.32</v>
      </c>
      <c r="M25" s="12">
        <v>97.48</v>
      </c>
      <c r="N25" s="12">
        <v>17.600000000000001</v>
      </c>
      <c r="O25" s="12">
        <v>0</v>
      </c>
      <c r="P25" s="12">
        <v>0.3</v>
      </c>
      <c r="Q25" s="12">
        <v>9.18</v>
      </c>
      <c r="R25" s="198"/>
      <c r="S25" s="198"/>
      <c r="T25" s="198"/>
      <c r="U25" s="198"/>
    </row>
    <row r="26" spans="1:21" s="12" customFormat="1" x14ac:dyDescent="0.25">
      <c r="A26" s="213" t="s">
        <v>259</v>
      </c>
      <c r="B26" s="12">
        <v>8.3000000000000007</v>
      </c>
      <c r="C26" s="12">
        <v>3.31</v>
      </c>
      <c r="D26" s="12">
        <v>12.16</v>
      </c>
      <c r="E26" s="12">
        <v>4.63</v>
      </c>
      <c r="F26" s="12">
        <v>5.28</v>
      </c>
      <c r="G26" s="12">
        <v>14.7</v>
      </c>
      <c r="H26" s="12">
        <v>4.3600000000000003</v>
      </c>
      <c r="I26" s="12">
        <v>2.59</v>
      </c>
      <c r="J26" s="12">
        <v>0.64</v>
      </c>
      <c r="K26" s="12">
        <v>357.8</v>
      </c>
      <c r="L26" s="12">
        <v>23.3</v>
      </c>
      <c r="M26" s="12">
        <v>94.98</v>
      </c>
      <c r="N26" s="12">
        <v>17.8</v>
      </c>
      <c r="O26" s="12">
        <v>0</v>
      </c>
      <c r="P26" s="12">
        <v>0.35</v>
      </c>
      <c r="Q26" s="12">
        <v>9.2200000000000006</v>
      </c>
      <c r="R26" s="198"/>
      <c r="S26" s="198"/>
      <c r="T26" s="198"/>
      <c r="U26" s="198"/>
    </row>
    <row r="27" spans="1:21" s="12" customFormat="1" x14ac:dyDescent="0.25">
      <c r="A27" s="213" t="s">
        <v>260</v>
      </c>
      <c r="B27" s="12">
        <v>8.2799999999999994</v>
      </c>
      <c r="C27" s="12">
        <v>3.23</v>
      </c>
      <c r="D27" s="12">
        <v>12.11</v>
      </c>
      <c r="E27" s="12">
        <v>4.74</v>
      </c>
      <c r="F27" s="12">
        <v>3.28</v>
      </c>
      <c r="G27" s="12">
        <v>15.18</v>
      </c>
      <c r="H27" s="12">
        <v>5.43</v>
      </c>
      <c r="I27" s="12">
        <v>2.37</v>
      </c>
      <c r="J27" s="12">
        <v>0.5</v>
      </c>
      <c r="K27" s="12">
        <v>2.66</v>
      </c>
      <c r="L27" s="12">
        <v>23.21</v>
      </c>
      <c r="M27" s="12">
        <v>96.3</v>
      </c>
      <c r="N27" s="12">
        <v>17.7</v>
      </c>
      <c r="O27" s="12">
        <v>0</v>
      </c>
      <c r="P27" s="12">
        <v>0.37</v>
      </c>
      <c r="Q27" s="12">
        <v>9.2100000000000009</v>
      </c>
      <c r="R27" s="198"/>
      <c r="S27" s="198"/>
      <c r="T27" s="198"/>
      <c r="U27" s="198"/>
    </row>
    <row r="28" spans="1:21" s="12" customFormat="1" x14ac:dyDescent="0.25">
      <c r="A28" s="213" t="s">
        <v>261</v>
      </c>
      <c r="B28" s="12">
        <v>8.31</v>
      </c>
      <c r="C28" s="12">
        <v>3.25</v>
      </c>
      <c r="D28" s="12">
        <v>12.14</v>
      </c>
      <c r="E28" s="12">
        <v>4.43</v>
      </c>
      <c r="F28" s="12">
        <v>3.61</v>
      </c>
      <c r="G28" s="12">
        <v>15.49</v>
      </c>
      <c r="H28" s="12">
        <v>6.1</v>
      </c>
      <c r="I28" s="12">
        <v>2.4300000000000002</v>
      </c>
      <c r="J28" s="12">
        <v>0.5</v>
      </c>
      <c r="K28" s="12">
        <v>2.38</v>
      </c>
      <c r="L28" s="12">
        <v>23.16</v>
      </c>
      <c r="M28" s="12">
        <v>96.69</v>
      </c>
      <c r="N28" s="12">
        <v>17.7</v>
      </c>
      <c r="O28" s="12">
        <v>0</v>
      </c>
      <c r="P28" s="12">
        <v>0.38</v>
      </c>
      <c r="Q28" s="12">
        <v>9.2100000000000009</v>
      </c>
      <c r="R28" s="198"/>
      <c r="S28" s="198"/>
      <c r="T28" s="198"/>
      <c r="U28" s="198"/>
    </row>
    <row r="29" spans="1:21" s="12" customFormat="1" x14ac:dyDescent="0.25">
      <c r="A29" s="213" t="s">
        <v>262</v>
      </c>
      <c r="B29" s="12">
        <v>8.31</v>
      </c>
      <c r="C29" s="12">
        <v>3.31</v>
      </c>
      <c r="D29" s="12">
        <v>12.16</v>
      </c>
      <c r="E29" s="12">
        <v>4.82</v>
      </c>
      <c r="F29" s="12">
        <v>4.46</v>
      </c>
      <c r="G29" s="12">
        <v>15.49</v>
      </c>
      <c r="H29" s="12">
        <v>6.1</v>
      </c>
      <c r="I29" s="12">
        <v>2.4700000000000002</v>
      </c>
      <c r="J29" s="12">
        <v>0.48</v>
      </c>
      <c r="K29" s="12">
        <v>359.6</v>
      </c>
      <c r="L29" s="12">
        <v>23.09</v>
      </c>
      <c r="M29" s="12">
        <v>96.97</v>
      </c>
      <c r="N29" s="12">
        <v>18.2</v>
      </c>
      <c r="O29" s="12">
        <v>0</v>
      </c>
      <c r="P29" s="12">
        <v>0.4</v>
      </c>
      <c r="Q29" s="12">
        <v>9.23</v>
      </c>
      <c r="R29" s="198"/>
      <c r="S29" s="198"/>
      <c r="T29" s="198"/>
      <c r="U29" s="198"/>
    </row>
    <row r="30" spans="1:21" s="12" customFormat="1" x14ac:dyDescent="0.25">
      <c r="A30" s="213" t="s">
        <v>263</v>
      </c>
      <c r="B30" s="12">
        <v>8.41</v>
      </c>
      <c r="C30" s="12">
        <v>3.56</v>
      </c>
      <c r="D30" s="12">
        <v>12.37</v>
      </c>
      <c r="E30" s="12">
        <v>4.97</v>
      </c>
      <c r="F30" s="12">
        <v>2.5099999999999998</v>
      </c>
      <c r="G30" s="12">
        <v>15.49</v>
      </c>
      <c r="H30" s="12">
        <v>6.1</v>
      </c>
      <c r="I30" s="12">
        <v>2.48</v>
      </c>
      <c r="J30" s="12">
        <v>0.6</v>
      </c>
      <c r="K30" s="12">
        <v>356.84</v>
      </c>
      <c r="L30" s="12">
        <v>22.99</v>
      </c>
      <c r="M30" s="12">
        <v>97.5</v>
      </c>
      <c r="N30" s="12">
        <v>21.5</v>
      </c>
      <c r="O30" s="12">
        <v>0</v>
      </c>
      <c r="P30" s="12">
        <v>0.41</v>
      </c>
      <c r="Q30" s="12">
        <v>9.23</v>
      </c>
      <c r="R30" s="198"/>
      <c r="S30" s="198"/>
      <c r="T30" s="198"/>
      <c r="U30" s="198"/>
    </row>
    <row r="31" spans="1:21" s="12" customFormat="1" x14ac:dyDescent="0.25">
      <c r="A31" s="213" t="s">
        <v>264</v>
      </c>
      <c r="B31" s="12">
        <v>8.31</v>
      </c>
      <c r="C31" s="12">
        <v>3.26</v>
      </c>
      <c r="D31" s="12">
        <v>12.14</v>
      </c>
      <c r="E31" s="12">
        <v>4.8499999999999996</v>
      </c>
      <c r="F31" s="12">
        <v>4.0999999999999996</v>
      </c>
      <c r="G31" s="12">
        <v>17.54</v>
      </c>
      <c r="H31" s="12">
        <v>5.16</v>
      </c>
      <c r="I31" s="12">
        <v>2.5499999999999998</v>
      </c>
      <c r="J31" s="12">
        <v>0.47</v>
      </c>
      <c r="K31" s="12">
        <v>359.68</v>
      </c>
      <c r="L31" s="12">
        <v>22.89</v>
      </c>
      <c r="M31" s="12">
        <v>98.32</v>
      </c>
      <c r="N31" s="12">
        <v>27.8</v>
      </c>
      <c r="O31" s="12">
        <v>0</v>
      </c>
      <c r="P31" s="12">
        <v>0.41</v>
      </c>
      <c r="Q31" s="12">
        <v>9.23</v>
      </c>
      <c r="R31" s="198"/>
      <c r="S31" s="198"/>
      <c r="T31" s="198"/>
      <c r="U31" s="198"/>
    </row>
    <row r="32" spans="1:21" s="12" customFormat="1" x14ac:dyDescent="0.25">
      <c r="A32" s="213" t="s">
        <v>265</v>
      </c>
      <c r="B32" s="12">
        <v>8.2799999999999994</v>
      </c>
      <c r="C32" s="12">
        <v>3.17</v>
      </c>
      <c r="D32" s="12">
        <v>12.07</v>
      </c>
      <c r="E32" s="12">
        <v>4.3899999999999997</v>
      </c>
      <c r="F32" s="12">
        <v>3.11</v>
      </c>
      <c r="G32" s="12">
        <v>18.84</v>
      </c>
      <c r="H32" s="12">
        <v>4.5599999999999996</v>
      </c>
      <c r="I32" s="12">
        <v>2.5</v>
      </c>
      <c r="J32" s="12">
        <v>0.54</v>
      </c>
      <c r="K32" s="12">
        <v>5.94</v>
      </c>
      <c r="L32" s="12">
        <v>22.91</v>
      </c>
      <c r="M32" s="12">
        <v>98.32</v>
      </c>
      <c r="N32" s="12">
        <v>30.4</v>
      </c>
      <c r="O32" s="12">
        <v>0</v>
      </c>
      <c r="P32" s="12">
        <v>0.4</v>
      </c>
      <c r="Q32" s="12">
        <v>9.25</v>
      </c>
      <c r="R32" s="198"/>
      <c r="S32" s="198"/>
      <c r="T32" s="198"/>
      <c r="U32" s="198"/>
    </row>
    <row r="33" spans="1:21" s="12" customFormat="1" x14ac:dyDescent="0.25">
      <c r="A33" s="213" t="s">
        <v>266</v>
      </c>
      <c r="B33" s="12">
        <v>8.2899999999999991</v>
      </c>
      <c r="C33" s="12">
        <v>3.15</v>
      </c>
      <c r="D33" s="12">
        <v>12.07</v>
      </c>
      <c r="E33" s="12">
        <v>4.79</v>
      </c>
      <c r="F33" s="12">
        <v>3.21</v>
      </c>
      <c r="G33" s="12">
        <v>18.84</v>
      </c>
      <c r="H33" s="12">
        <v>4.5599999999999996</v>
      </c>
      <c r="I33" s="12">
        <v>2.42</v>
      </c>
      <c r="J33" s="12">
        <v>0.56000000000000005</v>
      </c>
      <c r="K33" s="12">
        <v>358.66</v>
      </c>
      <c r="L33" s="12">
        <v>22.92</v>
      </c>
      <c r="M33" s="12">
        <v>98.33</v>
      </c>
      <c r="N33" s="12">
        <v>33.9</v>
      </c>
      <c r="O33" s="12">
        <v>0</v>
      </c>
      <c r="P33" s="12">
        <v>0.38</v>
      </c>
      <c r="Q33" s="12">
        <v>9.26</v>
      </c>
      <c r="R33" s="198"/>
      <c r="S33" s="198"/>
      <c r="T33" s="198"/>
      <c r="U33" s="198"/>
    </row>
    <row r="34" spans="1:21" s="12" customFormat="1" x14ac:dyDescent="0.25">
      <c r="A34" s="213" t="s">
        <v>267</v>
      </c>
      <c r="B34" s="12">
        <v>8.32</v>
      </c>
      <c r="C34" s="12">
        <v>3.23</v>
      </c>
      <c r="D34" s="12">
        <v>12.14</v>
      </c>
      <c r="E34" s="12">
        <v>4.59</v>
      </c>
      <c r="F34" s="12">
        <v>3.81</v>
      </c>
      <c r="G34" s="12">
        <v>18.84</v>
      </c>
      <c r="H34" s="12">
        <v>4.5599999999999996</v>
      </c>
      <c r="I34" s="12">
        <v>2.27</v>
      </c>
      <c r="J34" s="12">
        <v>0.44</v>
      </c>
      <c r="K34" s="12">
        <v>339.48</v>
      </c>
      <c r="L34" s="12">
        <v>22.83</v>
      </c>
      <c r="M34" s="12">
        <v>98.33</v>
      </c>
      <c r="N34" s="12">
        <v>33.299999999999997</v>
      </c>
      <c r="O34" s="12">
        <v>0</v>
      </c>
      <c r="P34" s="12">
        <v>0.37</v>
      </c>
      <c r="Q34" s="12">
        <v>9.24</v>
      </c>
      <c r="R34" s="198"/>
      <c r="S34" s="198"/>
      <c r="T34" s="198"/>
      <c r="U34" s="198"/>
    </row>
    <row r="35" spans="1:21" s="12" customFormat="1" x14ac:dyDescent="0.25">
      <c r="A35" s="213" t="s">
        <v>268</v>
      </c>
      <c r="B35" s="12">
        <v>8.33</v>
      </c>
      <c r="C35" s="12">
        <v>3.24</v>
      </c>
      <c r="D35" s="12">
        <v>12.15</v>
      </c>
      <c r="E35" s="12">
        <v>4.41</v>
      </c>
      <c r="F35" s="12">
        <v>3.8</v>
      </c>
      <c r="G35" s="12">
        <v>20.57</v>
      </c>
      <c r="H35" s="12">
        <v>5.16</v>
      </c>
      <c r="I35" s="12">
        <v>2.0699999999999998</v>
      </c>
      <c r="J35" s="12">
        <v>0.51</v>
      </c>
      <c r="K35" s="12">
        <v>359.42</v>
      </c>
      <c r="L35" s="12">
        <v>22.83</v>
      </c>
      <c r="M35" s="12">
        <v>98.33</v>
      </c>
      <c r="N35" s="12">
        <v>40.1</v>
      </c>
      <c r="O35" s="12">
        <v>0</v>
      </c>
      <c r="P35" s="12">
        <v>0.37</v>
      </c>
      <c r="Q35" s="12">
        <v>9.27</v>
      </c>
      <c r="R35" s="198"/>
      <c r="S35" s="198"/>
      <c r="T35" s="198"/>
      <c r="U35" s="198"/>
    </row>
    <row r="36" spans="1:21" s="12" customFormat="1" x14ac:dyDescent="0.25">
      <c r="A36" s="213" t="s">
        <v>269</v>
      </c>
      <c r="B36" s="12">
        <v>8.31</v>
      </c>
      <c r="C36" s="12">
        <v>3.23</v>
      </c>
      <c r="D36" s="12">
        <v>12.13</v>
      </c>
      <c r="E36" s="12">
        <v>4.51</v>
      </c>
      <c r="F36" s="12">
        <v>3.83</v>
      </c>
      <c r="G36" s="12">
        <v>21.67</v>
      </c>
      <c r="H36" s="12">
        <v>5.54</v>
      </c>
      <c r="I36" s="12">
        <v>1.94</v>
      </c>
      <c r="J36" s="12">
        <v>0.34</v>
      </c>
      <c r="K36" s="12">
        <v>332.16</v>
      </c>
      <c r="L36" s="12">
        <v>22.84</v>
      </c>
      <c r="M36" s="12">
        <v>98.33</v>
      </c>
      <c r="N36" s="12">
        <v>61.9</v>
      </c>
      <c r="O36" s="12">
        <v>0</v>
      </c>
      <c r="P36" s="12">
        <v>0.36</v>
      </c>
      <c r="Q36" s="12">
        <v>9.25</v>
      </c>
      <c r="R36" s="198"/>
      <c r="S36" s="198"/>
      <c r="T36" s="198"/>
      <c r="U36" s="198"/>
    </row>
    <row r="37" spans="1:21" s="12" customFormat="1" x14ac:dyDescent="0.25">
      <c r="A37" s="213" t="s">
        <v>270</v>
      </c>
      <c r="B37" s="12">
        <v>8.32</v>
      </c>
      <c r="C37" s="12">
        <v>3.26</v>
      </c>
      <c r="D37" s="12">
        <v>12.15</v>
      </c>
      <c r="E37" s="12">
        <v>4.66</v>
      </c>
      <c r="F37" s="12">
        <v>3.65</v>
      </c>
      <c r="G37" s="12">
        <v>21.67</v>
      </c>
      <c r="H37" s="12">
        <v>5.54</v>
      </c>
      <c r="I37" s="12">
        <v>1.86</v>
      </c>
      <c r="J37" s="12">
        <v>0.28000000000000003</v>
      </c>
      <c r="K37" s="12">
        <v>328.73</v>
      </c>
      <c r="L37" s="12">
        <v>22.93</v>
      </c>
      <c r="M37" s="12">
        <v>98.33</v>
      </c>
      <c r="N37" s="12">
        <v>60.4</v>
      </c>
      <c r="O37" s="12">
        <v>0</v>
      </c>
      <c r="P37" s="12">
        <v>0.31</v>
      </c>
      <c r="Q37" s="12">
        <v>9.24</v>
      </c>
      <c r="R37" s="198"/>
      <c r="S37" s="198"/>
      <c r="T37" s="198"/>
      <c r="U37" s="198"/>
    </row>
    <row r="38" spans="1:21" s="12" customFormat="1" x14ac:dyDescent="0.25">
      <c r="A38" s="213" t="s">
        <v>271</v>
      </c>
      <c r="B38" s="12">
        <v>8.31</v>
      </c>
      <c r="C38" s="12">
        <v>3.19</v>
      </c>
      <c r="D38" s="12">
        <v>12.11</v>
      </c>
      <c r="E38" s="12">
        <v>4.79</v>
      </c>
      <c r="F38" s="12">
        <v>3.7</v>
      </c>
      <c r="G38" s="12">
        <v>21.67</v>
      </c>
      <c r="H38" s="12">
        <v>5.54</v>
      </c>
      <c r="I38" s="12">
        <v>1.82</v>
      </c>
      <c r="J38" s="12">
        <v>0.36</v>
      </c>
      <c r="K38" s="12">
        <v>335.82</v>
      </c>
      <c r="L38" s="12">
        <v>22.91</v>
      </c>
      <c r="M38" s="12">
        <v>98.33</v>
      </c>
      <c r="N38" s="12">
        <v>42.7</v>
      </c>
      <c r="O38" s="12">
        <v>0</v>
      </c>
      <c r="P38" s="12">
        <v>0.32</v>
      </c>
      <c r="Q38" s="12">
        <v>9.23</v>
      </c>
      <c r="R38" s="198"/>
      <c r="S38" s="198"/>
      <c r="T38" s="198"/>
      <c r="U38" s="198"/>
    </row>
    <row r="39" spans="1:21" s="12" customFormat="1" x14ac:dyDescent="0.25">
      <c r="A39" s="213" t="s">
        <v>272</v>
      </c>
      <c r="B39" s="12">
        <v>8.32</v>
      </c>
      <c r="C39" s="12">
        <v>3.21</v>
      </c>
      <c r="D39" s="12">
        <v>12.12</v>
      </c>
      <c r="E39" s="12">
        <v>4.63</v>
      </c>
      <c r="F39" s="12">
        <v>4.01</v>
      </c>
      <c r="G39" s="12">
        <v>17.739999999999998</v>
      </c>
      <c r="H39" s="12">
        <v>5.21</v>
      </c>
      <c r="I39" s="12">
        <v>1.81</v>
      </c>
      <c r="J39" s="12">
        <v>0.37</v>
      </c>
      <c r="K39" s="12">
        <v>347.9</v>
      </c>
      <c r="L39" s="12">
        <v>22.92</v>
      </c>
      <c r="M39" s="12">
        <v>98.33</v>
      </c>
      <c r="N39" s="12">
        <v>60.4</v>
      </c>
      <c r="O39" s="12">
        <v>0</v>
      </c>
      <c r="P39" s="12">
        <v>0.31</v>
      </c>
      <c r="Q39" s="12">
        <v>9.24</v>
      </c>
      <c r="R39" s="198"/>
      <c r="S39" s="198"/>
      <c r="T39" s="198"/>
      <c r="U39" s="198"/>
    </row>
    <row r="40" spans="1:21" s="12" customFormat="1" x14ac:dyDescent="0.25">
      <c r="A40" s="213" t="s">
        <v>273</v>
      </c>
      <c r="B40" s="12">
        <v>8.34</v>
      </c>
      <c r="C40" s="12">
        <v>3.21</v>
      </c>
      <c r="D40" s="12">
        <v>12.14</v>
      </c>
      <c r="E40" s="12">
        <v>4.41</v>
      </c>
      <c r="F40" s="12">
        <v>4.16</v>
      </c>
      <c r="G40" s="12">
        <v>15.25</v>
      </c>
      <c r="H40" s="12">
        <v>4.99</v>
      </c>
      <c r="I40" s="12">
        <v>1.83</v>
      </c>
      <c r="J40" s="12">
        <v>0.51</v>
      </c>
      <c r="K40" s="12">
        <v>0.81</v>
      </c>
      <c r="L40" s="12">
        <v>23.03</v>
      </c>
      <c r="M40" s="12">
        <v>98.33</v>
      </c>
      <c r="N40" s="12">
        <v>68.8</v>
      </c>
      <c r="O40" s="12">
        <v>0</v>
      </c>
      <c r="P40" s="12">
        <v>0.31</v>
      </c>
      <c r="Q40" s="12">
        <v>9.26</v>
      </c>
      <c r="R40" s="198"/>
      <c r="S40" s="198"/>
      <c r="T40" s="198"/>
      <c r="U40" s="198"/>
    </row>
    <row r="41" spans="1:21" s="12" customFormat="1" x14ac:dyDescent="0.25">
      <c r="A41" s="213" t="s">
        <v>274</v>
      </c>
      <c r="B41" s="12">
        <v>8.3000000000000007</v>
      </c>
      <c r="C41" s="12">
        <v>3.14</v>
      </c>
      <c r="D41" s="12">
        <v>12.07</v>
      </c>
      <c r="E41" s="12">
        <v>4.32</v>
      </c>
      <c r="F41" s="12">
        <v>5.04</v>
      </c>
      <c r="G41" s="12">
        <v>15.25</v>
      </c>
      <c r="H41" s="12">
        <v>4.99</v>
      </c>
      <c r="I41" s="12">
        <v>1.85</v>
      </c>
      <c r="J41" s="12">
        <v>0.71</v>
      </c>
      <c r="K41" s="12">
        <v>7.91</v>
      </c>
      <c r="L41" s="12">
        <v>23.18</v>
      </c>
      <c r="M41" s="12">
        <v>98.28</v>
      </c>
      <c r="N41" s="12">
        <v>81.7</v>
      </c>
      <c r="O41" s="12">
        <v>0</v>
      </c>
      <c r="P41" s="12">
        <v>0.33</v>
      </c>
      <c r="Q41" s="12">
        <v>9.25</v>
      </c>
      <c r="R41" s="198"/>
      <c r="S41" s="198"/>
      <c r="T41" s="198"/>
      <c r="U41" s="198"/>
    </row>
    <row r="42" spans="1:21" s="12" customFormat="1" x14ac:dyDescent="0.25">
      <c r="A42" s="213" t="s">
        <v>275</v>
      </c>
      <c r="B42" s="12">
        <v>8.33</v>
      </c>
      <c r="C42" s="12">
        <v>3.28</v>
      </c>
      <c r="D42" s="12">
        <v>12.17</v>
      </c>
      <c r="E42" s="12">
        <v>4.29</v>
      </c>
      <c r="F42" s="12">
        <v>3.42</v>
      </c>
      <c r="G42" s="12">
        <v>15.25</v>
      </c>
      <c r="H42" s="12">
        <v>4.99</v>
      </c>
      <c r="I42" s="12">
        <v>1.82</v>
      </c>
      <c r="J42" s="12">
        <v>0.56000000000000005</v>
      </c>
      <c r="K42" s="12">
        <v>357.91</v>
      </c>
      <c r="L42" s="12">
        <v>23.22</v>
      </c>
      <c r="M42" s="12">
        <v>98.02</v>
      </c>
      <c r="N42" s="12">
        <v>89.8</v>
      </c>
      <c r="O42" s="12">
        <v>0</v>
      </c>
      <c r="P42" s="12">
        <v>0.33</v>
      </c>
      <c r="Q42" s="12">
        <v>9.19</v>
      </c>
      <c r="R42" s="198"/>
      <c r="S42" s="198"/>
      <c r="T42" s="198"/>
      <c r="U42" s="198"/>
    </row>
    <row r="43" spans="1:21" s="12" customFormat="1" x14ac:dyDescent="0.25">
      <c r="A43" s="213" t="s">
        <v>276</v>
      </c>
      <c r="B43" s="12">
        <v>8.36</v>
      </c>
      <c r="C43" s="12">
        <v>3.41</v>
      </c>
      <c r="D43" s="12">
        <v>12.26</v>
      </c>
      <c r="E43" s="12">
        <v>4.49</v>
      </c>
      <c r="F43" s="12">
        <v>3.98</v>
      </c>
      <c r="G43" s="12">
        <v>14.88</v>
      </c>
      <c r="H43" s="12">
        <v>4.0599999999999996</v>
      </c>
      <c r="I43" s="12">
        <v>1.81</v>
      </c>
      <c r="J43" s="12">
        <v>0.45</v>
      </c>
      <c r="K43" s="12">
        <v>358.27</v>
      </c>
      <c r="L43" s="12">
        <v>23.31</v>
      </c>
      <c r="M43" s="12">
        <v>97.79</v>
      </c>
      <c r="N43" s="12">
        <v>95.8</v>
      </c>
      <c r="O43" s="12">
        <v>0</v>
      </c>
      <c r="P43" s="12">
        <v>0.32</v>
      </c>
      <c r="Q43" s="12">
        <v>9.18</v>
      </c>
      <c r="R43" s="198"/>
      <c r="S43" s="198"/>
      <c r="T43" s="198"/>
      <c r="U43" s="198"/>
    </row>
    <row r="44" spans="1:21" s="12" customFormat="1" x14ac:dyDescent="0.25">
      <c r="A44" s="213" t="s">
        <v>277</v>
      </c>
      <c r="B44" s="12">
        <v>8.32</v>
      </c>
      <c r="C44" s="12">
        <v>3.3</v>
      </c>
      <c r="D44" s="12">
        <v>12.17</v>
      </c>
      <c r="E44" s="12">
        <v>4.68</v>
      </c>
      <c r="F44" s="12">
        <v>4.55</v>
      </c>
      <c r="G44" s="12">
        <v>14.64</v>
      </c>
      <c r="H44" s="12">
        <v>3.49</v>
      </c>
      <c r="I44" s="12">
        <v>1.71</v>
      </c>
      <c r="J44" s="12">
        <v>0.47</v>
      </c>
      <c r="K44" s="12">
        <v>343.19</v>
      </c>
      <c r="L44" s="12">
        <v>23.38</v>
      </c>
      <c r="M44" s="12">
        <v>97.53</v>
      </c>
      <c r="N44" s="12">
        <v>139.1</v>
      </c>
      <c r="O44" s="12">
        <v>0</v>
      </c>
      <c r="P44" s="12">
        <v>0.34</v>
      </c>
      <c r="Q44" s="12">
        <v>9.23</v>
      </c>
      <c r="R44" s="198"/>
      <c r="S44" s="198"/>
      <c r="T44" s="198"/>
      <c r="U44" s="198"/>
    </row>
    <row r="45" spans="1:21" s="12" customFormat="1" x14ac:dyDescent="0.25">
      <c r="A45" s="213" t="s">
        <v>278</v>
      </c>
      <c r="B45" s="12">
        <v>8.2899999999999991</v>
      </c>
      <c r="C45" s="12">
        <v>3.18</v>
      </c>
      <c r="D45" s="12">
        <v>12.08</v>
      </c>
      <c r="E45" s="12">
        <v>4.49</v>
      </c>
      <c r="F45" s="12">
        <v>3.02</v>
      </c>
      <c r="G45" s="12">
        <v>14.64</v>
      </c>
      <c r="H45" s="12">
        <v>3.49</v>
      </c>
      <c r="I45" s="12">
        <v>1.64</v>
      </c>
      <c r="J45" s="12">
        <v>0.5</v>
      </c>
      <c r="K45" s="12">
        <v>11.46</v>
      </c>
      <c r="L45" s="12">
        <v>23.7</v>
      </c>
      <c r="M45" s="12">
        <v>96.15</v>
      </c>
      <c r="N45" s="12">
        <v>160.5</v>
      </c>
      <c r="O45" s="12">
        <v>0</v>
      </c>
      <c r="P45" s="12">
        <v>0.33</v>
      </c>
      <c r="Q45" s="12">
        <v>9.2100000000000009</v>
      </c>
      <c r="R45" s="198"/>
      <c r="S45" s="198"/>
      <c r="T45" s="198"/>
      <c r="U45" s="198"/>
    </row>
    <row r="46" spans="1:21" s="12" customFormat="1" x14ac:dyDescent="0.25">
      <c r="A46" s="213" t="s">
        <v>279</v>
      </c>
      <c r="B46" s="12">
        <v>8.27</v>
      </c>
      <c r="C46" s="12">
        <v>3.19</v>
      </c>
      <c r="D46" s="12">
        <v>12.07</v>
      </c>
      <c r="E46" s="12">
        <v>4.3</v>
      </c>
      <c r="F46" s="12">
        <v>4.53</v>
      </c>
      <c r="G46" s="12">
        <v>14.64</v>
      </c>
      <c r="H46" s="12">
        <v>3.49</v>
      </c>
      <c r="I46" s="12">
        <v>1.63</v>
      </c>
      <c r="J46" s="12">
        <v>0.51</v>
      </c>
      <c r="K46" s="12">
        <v>2.6</v>
      </c>
      <c r="L46" s="12">
        <v>23.87</v>
      </c>
      <c r="M46" s="12">
        <v>95.67</v>
      </c>
      <c r="N46" s="12">
        <v>132.80000000000001</v>
      </c>
      <c r="O46" s="12">
        <v>0</v>
      </c>
      <c r="P46" s="12">
        <v>0.33</v>
      </c>
      <c r="Q46" s="12">
        <v>9.2200000000000006</v>
      </c>
      <c r="R46" s="198"/>
      <c r="S46" s="198"/>
      <c r="T46" s="198"/>
      <c r="U46" s="198"/>
    </row>
    <row r="47" spans="1:21" s="12" customFormat="1" x14ac:dyDescent="0.25">
      <c r="A47" s="213" t="s">
        <v>280</v>
      </c>
      <c r="B47" s="12">
        <v>8.2899999999999991</v>
      </c>
      <c r="C47" s="12">
        <v>3.22</v>
      </c>
      <c r="D47" s="12">
        <v>12.11</v>
      </c>
      <c r="E47" s="12">
        <v>4.53</v>
      </c>
      <c r="F47" s="12">
        <v>3</v>
      </c>
      <c r="G47" s="12">
        <v>18.38</v>
      </c>
      <c r="H47" s="12">
        <v>3.48</v>
      </c>
      <c r="I47" s="12">
        <v>1.58</v>
      </c>
      <c r="J47" s="12">
        <v>0.52</v>
      </c>
      <c r="K47" s="12">
        <v>1.97</v>
      </c>
      <c r="L47" s="12">
        <v>24.02</v>
      </c>
      <c r="M47" s="12">
        <v>94.41</v>
      </c>
      <c r="N47" s="12">
        <v>155.30000000000001</v>
      </c>
      <c r="O47" s="12">
        <v>0</v>
      </c>
      <c r="P47" s="12">
        <v>0.34</v>
      </c>
      <c r="Q47" s="12">
        <v>9.2200000000000006</v>
      </c>
      <c r="R47" s="198"/>
      <c r="S47" s="198"/>
      <c r="T47" s="198"/>
      <c r="U47" s="198"/>
    </row>
    <row r="48" spans="1:21" s="12" customFormat="1" x14ac:dyDescent="0.25">
      <c r="A48" s="213" t="s">
        <v>281</v>
      </c>
      <c r="B48" s="12">
        <v>8.3699999999999992</v>
      </c>
      <c r="C48" s="12">
        <v>3.42</v>
      </c>
      <c r="D48" s="12">
        <v>12.27</v>
      </c>
      <c r="E48" s="12">
        <v>4.32</v>
      </c>
      <c r="F48" s="12">
        <v>3.78</v>
      </c>
      <c r="G48" s="12">
        <v>20.76</v>
      </c>
      <c r="H48" s="12">
        <v>3.46</v>
      </c>
      <c r="I48" s="12">
        <v>1.57</v>
      </c>
      <c r="J48" s="12">
        <v>0.47</v>
      </c>
      <c r="K48" s="12">
        <v>3.31</v>
      </c>
      <c r="L48" s="12">
        <v>24.38</v>
      </c>
      <c r="M48" s="12">
        <v>92.32</v>
      </c>
      <c r="N48" s="12">
        <v>185.9</v>
      </c>
      <c r="O48" s="12">
        <v>0</v>
      </c>
      <c r="P48" s="12">
        <v>0.35</v>
      </c>
      <c r="Q48" s="12">
        <v>9.2100000000000009</v>
      </c>
      <c r="R48" s="198"/>
      <c r="S48" s="198"/>
      <c r="T48" s="198"/>
      <c r="U48" s="198"/>
    </row>
    <row r="49" spans="1:21" s="12" customFormat="1" x14ac:dyDescent="0.25">
      <c r="A49" s="213" t="s">
        <v>282</v>
      </c>
      <c r="B49" s="12">
        <v>8.2799999999999994</v>
      </c>
      <c r="C49" s="12">
        <v>3.24</v>
      </c>
      <c r="D49" s="12">
        <v>12.1</v>
      </c>
      <c r="E49" s="12">
        <v>4.37</v>
      </c>
      <c r="F49" s="12">
        <v>4.53</v>
      </c>
      <c r="G49" s="12">
        <v>20.76</v>
      </c>
      <c r="H49" s="12">
        <v>3.46</v>
      </c>
      <c r="I49" s="12">
        <v>1.56</v>
      </c>
      <c r="J49" s="12">
        <v>0.56000000000000005</v>
      </c>
      <c r="K49" s="12">
        <v>358.01</v>
      </c>
      <c r="L49" s="12">
        <v>24.69</v>
      </c>
      <c r="M49" s="12">
        <v>90.82</v>
      </c>
      <c r="N49" s="12">
        <v>254.7</v>
      </c>
      <c r="O49" s="12">
        <v>0</v>
      </c>
      <c r="P49" s="12">
        <v>0.38</v>
      </c>
      <c r="Q49" s="12">
        <v>9.24</v>
      </c>
      <c r="R49" s="198"/>
      <c r="S49" s="198"/>
      <c r="T49" s="198"/>
      <c r="U49" s="198"/>
    </row>
    <row r="50" spans="1:21" s="12" customFormat="1" x14ac:dyDescent="0.25">
      <c r="A50" s="213" t="s">
        <v>283</v>
      </c>
      <c r="B50" s="12">
        <v>8.25</v>
      </c>
      <c r="C50" s="12">
        <v>3.19</v>
      </c>
      <c r="D50" s="12">
        <v>12.06</v>
      </c>
      <c r="E50" s="12">
        <v>4.2300000000000004</v>
      </c>
      <c r="F50" s="12">
        <v>3.52</v>
      </c>
      <c r="G50" s="12">
        <v>20.76</v>
      </c>
      <c r="H50" s="12">
        <v>3.46</v>
      </c>
      <c r="I50" s="12">
        <v>1.49</v>
      </c>
      <c r="J50" s="12">
        <v>0.63</v>
      </c>
      <c r="K50" s="12">
        <v>359.47</v>
      </c>
      <c r="L50" s="12">
        <v>25.19</v>
      </c>
      <c r="M50" s="12">
        <v>87.67</v>
      </c>
      <c r="N50" s="12">
        <v>274.60000000000002</v>
      </c>
      <c r="O50" s="12">
        <v>0</v>
      </c>
      <c r="P50" s="12">
        <v>0.38</v>
      </c>
      <c r="Q50" s="12">
        <v>9.25</v>
      </c>
      <c r="R50" s="198"/>
      <c r="S50" s="198"/>
      <c r="T50" s="198"/>
      <c r="U50" s="198"/>
    </row>
    <row r="51" spans="1:21" s="12" customFormat="1" x14ac:dyDescent="0.25">
      <c r="A51" s="213" t="s">
        <v>284</v>
      </c>
      <c r="B51" s="12">
        <v>8.2899999999999991</v>
      </c>
      <c r="C51" s="12">
        <v>3.24</v>
      </c>
      <c r="D51" s="12">
        <v>12.11</v>
      </c>
      <c r="E51" s="12">
        <v>4.22</v>
      </c>
      <c r="F51" s="12">
        <v>4.66</v>
      </c>
      <c r="G51" s="12">
        <v>23.45</v>
      </c>
      <c r="H51" s="12">
        <v>6.58</v>
      </c>
      <c r="I51" s="12">
        <v>1.44</v>
      </c>
      <c r="J51" s="12">
        <v>0.55000000000000004</v>
      </c>
      <c r="K51" s="12">
        <v>13.09</v>
      </c>
      <c r="L51" s="12">
        <v>25.49</v>
      </c>
      <c r="M51" s="12">
        <v>86.39</v>
      </c>
      <c r="N51" s="12">
        <v>292.60000000000002</v>
      </c>
      <c r="O51" s="12">
        <v>0</v>
      </c>
      <c r="P51" s="12">
        <v>0.39</v>
      </c>
      <c r="Q51" s="12">
        <v>9.26</v>
      </c>
      <c r="R51" s="198"/>
      <c r="S51" s="198"/>
      <c r="T51" s="198"/>
      <c r="U51" s="198"/>
    </row>
    <row r="52" spans="1:21" s="12" customFormat="1" x14ac:dyDescent="0.25">
      <c r="A52" s="213" t="s">
        <v>285</v>
      </c>
      <c r="B52" s="12">
        <v>8.3699999999999992</v>
      </c>
      <c r="C52" s="12">
        <v>3.48</v>
      </c>
      <c r="D52" s="12">
        <v>12.31</v>
      </c>
      <c r="E52" s="12">
        <v>4.67</v>
      </c>
      <c r="F52" s="12">
        <v>5.57</v>
      </c>
      <c r="G52" s="12">
        <v>25.17</v>
      </c>
      <c r="H52" s="12">
        <v>8.4700000000000006</v>
      </c>
      <c r="I52" s="12">
        <v>1.41</v>
      </c>
      <c r="J52" s="12">
        <v>0.68</v>
      </c>
      <c r="K52" s="12">
        <v>2.48</v>
      </c>
      <c r="L52" s="12">
        <v>25.74</v>
      </c>
      <c r="M52" s="12">
        <v>84.77</v>
      </c>
      <c r="N52" s="12">
        <v>324.39999999999998</v>
      </c>
      <c r="O52" s="12">
        <v>0</v>
      </c>
      <c r="P52" s="12">
        <v>0.39</v>
      </c>
      <c r="Q52" s="12">
        <v>9.24</v>
      </c>
      <c r="R52" s="198"/>
      <c r="S52" s="198"/>
      <c r="T52" s="198"/>
      <c r="U52" s="198"/>
    </row>
    <row r="53" spans="1:21" s="12" customFormat="1" x14ac:dyDescent="0.25">
      <c r="A53" s="213" t="s">
        <v>286</v>
      </c>
      <c r="B53" s="12">
        <v>8.3000000000000007</v>
      </c>
      <c r="C53" s="12">
        <v>3.27</v>
      </c>
      <c r="D53" s="12">
        <v>12.14</v>
      </c>
      <c r="E53" s="12">
        <v>4.3</v>
      </c>
      <c r="F53" s="12">
        <v>6.95</v>
      </c>
      <c r="G53" s="12">
        <v>25.17</v>
      </c>
      <c r="H53" s="12">
        <v>8.4700000000000006</v>
      </c>
      <c r="I53" s="12">
        <v>1.38</v>
      </c>
      <c r="J53" s="12">
        <v>0.66</v>
      </c>
      <c r="K53" s="12">
        <v>350.02</v>
      </c>
      <c r="L53" s="12">
        <v>26.28</v>
      </c>
      <c r="M53" s="12">
        <v>82.31</v>
      </c>
      <c r="N53" s="12">
        <v>388.4</v>
      </c>
      <c r="O53" s="12">
        <v>0</v>
      </c>
      <c r="P53" s="12">
        <v>0.39</v>
      </c>
      <c r="Q53" s="12">
        <v>9.23</v>
      </c>
      <c r="R53" s="198"/>
      <c r="S53" s="198"/>
      <c r="T53" s="198"/>
      <c r="U53" s="198"/>
    </row>
    <row r="54" spans="1:21" s="12" customFormat="1" x14ac:dyDescent="0.25">
      <c r="A54" s="213" t="s">
        <v>287</v>
      </c>
      <c r="B54" s="12">
        <v>8.19</v>
      </c>
      <c r="C54" s="12">
        <v>3.16</v>
      </c>
      <c r="D54" s="12">
        <v>11.99</v>
      </c>
      <c r="E54" s="12">
        <v>4.28</v>
      </c>
      <c r="F54" s="12">
        <v>7.3</v>
      </c>
      <c r="G54" s="12">
        <v>25.17</v>
      </c>
      <c r="H54" s="12">
        <v>8.4700000000000006</v>
      </c>
      <c r="I54" s="12">
        <v>1.32</v>
      </c>
      <c r="J54" s="12">
        <v>0.54</v>
      </c>
      <c r="K54" s="12">
        <v>356.91</v>
      </c>
      <c r="L54" s="12">
        <v>27.03</v>
      </c>
      <c r="M54" s="12">
        <v>79.69</v>
      </c>
      <c r="N54" s="12">
        <v>383</v>
      </c>
      <c r="O54" s="12">
        <v>0</v>
      </c>
      <c r="P54" s="12">
        <v>0.38</v>
      </c>
      <c r="Q54" s="12">
        <v>9.23</v>
      </c>
      <c r="R54" s="198"/>
      <c r="S54" s="198"/>
      <c r="T54" s="198"/>
      <c r="U54" s="198"/>
    </row>
    <row r="55" spans="1:21" s="12" customFormat="1" x14ac:dyDescent="0.25">
      <c r="A55" s="213" t="s">
        <v>288</v>
      </c>
      <c r="B55" s="12">
        <v>8.2200000000000006</v>
      </c>
      <c r="C55" s="12">
        <v>3.23</v>
      </c>
      <c r="D55" s="12">
        <v>12.06</v>
      </c>
      <c r="E55" s="12">
        <v>4.4000000000000004</v>
      </c>
      <c r="F55" s="12">
        <v>5.27</v>
      </c>
      <c r="G55" s="12">
        <v>28.54</v>
      </c>
      <c r="H55" s="12">
        <v>9.52</v>
      </c>
      <c r="I55" s="12">
        <v>1.27</v>
      </c>
      <c r="J55" s="12">
        <v>0.52</v>
      </c>
      <c r="K55" s="12">
        <v>353.42</v>
      </c>
      <c r="L55" s="12">
        <v>27.1</v>
      </c>
      <c r="M55" s="12">
        <v>78.98</v>
      </c>
      <c r="N55" s="12">
        <v>334.1</v>
      </c>
      <c r="O55" s="12">
        <v>0</v>
      </c>
      <c r="P55" s="12">
        <v>0.39</v>
      </c>
      <c r="Q55" s="12">
        <v>9.2200000000000006</v>
      </c>
      <c r="R55" s="198"/>
      <c r="S55" s="198"/>
      <c r="T55" s="198"/>
      <c r="U55" s="198"/>
    </row>
    <row r="56" spans="1:21" s="12" customFormat="1" x14ac:dyDescent="0.25">
      <c r="A56" s="213" t="s">
        <v>289</v>
      </c>
      <c r="B56" s="12">
        <v>8.1199999999999992</v>
      </c>
      <c r="C56" s="12">
        <v>3.26</v>
      </c>
      <c r="D56" s="12">
        <v>11.99</v>
      </c>
      <c r="E56" s="12">
        <v>3.91</v>
      </c>
      <c r="F56" s="12">
        <v>4.42</v>
      </c>
      <c r="G56" s="12">
        <v>30.69</v>
      </c>
      <c r="H56" s="12">
        <v>10.19</v>
      </c>
      <c r="I56" s="12">
        <v>1.27</v>
      </c>
      <c r="J56" s="12">
        <v>0.48</v>
      </c>
      <c r="K56" s="12">
        <v>348.53</v>
      </c>
      <c r="L56" s="12">
        <v>26.65</v>
      </c>
      <c r="M56" s="12">
        <v>80.41</v>
      </c>
      <c r="N56" s="12">
        <v>304.5</v>
      </c>
      <c r="O56" s="12">
        <v>0</v>
      </c>
      <c r="P56" s="12">
        <v>0.39</v>
      </c>
      <c r="Q56" s="12">
        <v>9.24</v>
      </c>
      <c r="R56" s="198"/>
      <c r="S56" s="198"/>
      <c r="T56" s="198"/>
      <c r="U56" s="198"/>
    </row>
    <row r="57" spans="1:21" s="12" customFormat="1" x14ac:dyDescent="0.25">
      <c r="A57" s="213" t="s">
        <v>290</v>
      </c>
      <c r="B57" s="12">
        <v>8.19</v>
      </c>
      <c r="C57" s="12">
        <v>3.25</v>
      </c>
      <c r="D57" s="12">
        <v>12.04</v>
      </c>
      <c r="E57" s="12">
        <v>4</v>
      </c>
      <c r="F57" s="12">
        <v>4.96</v>
      </c>
      <c r="G57" s="12">
        <v>30.69</v>
      </c>
      <c r="H57" s="12">
        <v>10.19</v>
      </c>
      <c r="I57" s="12">
        <v>1.32</v>
      </c>
      <c r="J57" s="12">
        <v>0.52</v>
      </c>
      <c r="K57" s="12">
        <v>6.06</v>
      </c>
      <c r="L57" s="12">
        <v>26.66</v>
      </c>
      <c r="M57" s="12">
        <v>79.87</v>
      </c>
      <c r="N57" s="12">
        <v>274.7</v>
      </c>
      <c r="O57" s="12">
        <v>0</v>
      </c>
      <c r="P57" s="12">
        <v>0.39</v>
      </c>
      <c r="Q57" s="12">
        <v>9.25</v>
      </c>
      <c r="R57" s="198"/>
      <c r="S57" s="198"/>
      <c r="T57" s="198"/>
      <c r="U57" s="198"/>
    </row>
    <row r="58" spans="1:21" s="12" customFormat="1" x14ac:dyDescent="0.25">
      <c r="A58" s="213" t="s">
        <v>291</v>
      </c>
      <c r="B58" s="12">
        <v>8.2100000000000009</v>
      </c>
      <c r="C58" s="12">
        <v>3.17</v>
      </c>
      <c r="D58" s="12">
        <v>12.01</v>
      </c>
      <c r="E58" s="12">
        <v>4.03</v>
      </c>
      <c r="F58" s="12">
        <v>5.12</v>
      </c>
      <c r="G58" s="12">
        <v>30.69</v>
      </c>
      <c r="H58" s="12">
        <v>10.19</v>
      </c>
      <c r="I58" s="12">
        <v>1.36</v>
      </c>
      <c r="J58" s="12">
        <v>0.61</v>
      </c>
      <c r="K58" s="12">
        <v>357.28</v>
      </c>
      <c r="L58" s="12">
        <v>26.68</v>
      </c>
      <c r="M58" s="12">
        <v>80.25</v>
      </c>
      <c r="N58" s="12">
        <v>282.10000000000002</v>
      </c>
      <c r="O58" s="12">
        <v>0</v>
      </c>
      <c r="P58" s="12">
        <v>0.39</v>
      </c>
      <c r="Q58" s="12">
        <v>9.26</v>
      </c>
      <c r="R58" s="198"/>
      <c r="S58" s="198"/>
      <c r="T58" s="198"/>
      <c r="U58" s="198"/>
    </row>
    <row r="59" spans="1:21" s="12" customFormat="1" x14ac:dyDescent="0.25">
      <c r="A59" s="213" t="s">
        <v>292</v>
      </c>
      <c r="B59" s="12">
        <v>8.1999999999999993</v>
      </c>
      <c r="C59" s="12">
        <v>3.14</v>
      </c>
      <c r="D59" s="12">
        <v>11.99</v>
      </c>
      <c r="E59" s="12">
        <v>4.09</v>
      </c>
      <c r="F59" s="12">
        <v>5.87</v>
      </c>
      <c r="G59" s="12">
        <v>25.28</v>
      </c>
      <c r="H59" s="12">
        <v>11.13</v>
      </c>
      <c r="I59" s="12">
        <v>1.37</v>
      </c>
      <c r="J59" s="12">
        <v>0.67</v>
      </c>
      <c r="K59" s="12">
        <v>1.93</v>
      </c>
      <c r="L59" s="12">
        <v>26.68</v>
      </c>
      <c r="M59" s="12">
        <v>79.180000000000007</v>
      </c>
      <c r="N59" s="12">
        <v>303.3</v>
      </c>
      <c r="O59" s="12">
        <v>0</v>
      </c>
      <c r="P59" s="12">
        <v>0.37</v>
      </c>
      <c r="Q59" s="12">
        <v>9.3000000000000007</v>
      </c>
      <c r="R59" s="198"/>
      <c r="S59" s="198"/>
      <c r="T59" s="198"/>
      <c r="U59" s="198"/>
    </row>
    <row r="60" spans="1:21" s="12" customFormat="1" x14ac:dyDescent="0.25">
      <c r="A60" s="213" t="s">
        <v>293</v>
      </c>
      <c r="B60" s="12">
        <v>8.17</v>
      </c>
      <c r="C60" s="12">
        <v>3.13</v>
      </c>
      <c r="D60" s="12">
        <v>11.96</v>
      </c>
      <c r="E60" s="12">
        <v>4.6399999999999997</v>
      </c>
      <c r="F60" s="12">
        <v>6.71</v>
      </c>
      <c r="G60" s="12">
        <v>21.84</v>
      </c>
      <c r="H60" s="12">
        <v>11.69</v>
      </c>
      <c r="I60" s="12">
        <v>1.35</v>
      </c>
      <c r="J60" s="12">
        <v>0.55000000000000004</v>
      </c>
      <c r="K60" s="12">
        <v>358.22</v>
      </c>
      <c r="L60" s="12">
        <v>26.84</v>
      </c>
      <c r="M60" s="12">
        <v>79.37</v>
      </c>
      <c r="N60" s="12">
        <v>292.3</v>
      </c>
      <c r="O60" s="12">
        <v>0</v>
      </c>
      <c r="P60" s="12">
        <v>0.36</v>
      </c>
      <c r="Q60" s="12">
        <v>9.3000000000000007</v>
      </c>
      <c r="R60" s="198"/>
      <c r="S60" s="198"/>
      <c r="T60" s="198"/>
      <c r="U60" s="198"/>
    </row>
    <row r="61" spans="1:21" s="12" customFormat="1" x14ac:dyDescent="0.25">
      <c r="A61" s="213" t="s">
        <v>294</v>
      </c>
      <c r="B61" s="12">
        <v>8.17</v>
      </c>
      <c r="C61" s="12">
        <v>3.21</v>
      </c>
      <c r="D61" s="12">
        <v>12</v>
      </c>
      <c r="E61" s="12">
        <v>4.1900000000000004</v>
      </c>
      <c r="F61" s="12">
        <v>6.41</v>
      </c>
      <c r="G61" s="12">
        <v>21.84</v>
      </c>
      <c r="H61" s="12">
        <v>11.69</v>
      </c>
      <c r="I61" s="12">
        <v>1.28</v>
      </c>
      <c r="J61" s="12">
        <v>0.56999999999999995</v>
      </c>
      <c r="K61" s="12">
        <v>4.0199999999999996</v>
      </c>
      <c r="L61" s="12">
        <v>27.04</v>
      </c>
      <c r="M61" s="12">
        <v>77.75</v>
      </c>
      <c r="N61" s="12">
        <v>319.5</v>
      </c>
      <c r="O61" s="12">
        <v>0</v>
      </c>
      <c r="P61" s="12">
        <v>0.35</v>
      </c>
      <c r="Q61" s="12">
        <v>9.26</v>
      </c>
      <c r="R61" s="198"/>
      <c r="S61" s="198"/>
      <c r="T61" s="198"/>
      <c r="U61" s="198"/>
    </row>
    <row r="62" spans="1:21" s="12" customFormat="1" x14ac:dyDescent="0.25">
      <c r="A62" s="213" t="s">
        <v>295</v>
      </c>
      <c r="B62" s="12">
        <v>8.16</v>
      </c>
      <c r="C62" s="12">
        <v>3.2</v>
      </c>
      <c r="D62" s="12">
        <v>11.99</v>
      </c>
      <c r="E62" s="12">
        <v>4.42</v>
      </c>
      <c r="F62" s="12">
        <v>6.77</v>
      </c>
      <c r="G62" s="12">
        <v>21.84</v>
      </c>
      <c r="H62" s="12">
        <v>11.69</v>
      </c>
      <c r="I62" s="12">
        <v>1.17</v>
      </c>
      <c r="J62" s="12">
        <v>0.53</v>
      </c>
      <c r="K62" s="12">
        <v>9.5399999999999991</v>
      </c>
      <c r="L62" s="12">
        <v>26.72</v>
      </c>
      <c r="M62" s="12">
        <v>78.930000000000007</v>
      </c>
      <c r="N62" s="12">
        <v>263.5</v>
      </c>
      <c r="O62" s="12">
        <v>0</v>
      </c>
      <c r="P62" s="12">
        <v>0.34</v>
      </c>
      <c r="Q62" s="12">
        <v>9.2899999999999991</v>
      </c>
      <c r="R62" s="198"/>
      <c r="S62" s="198"/>
      <c r="T62" s="198"/>
      <c r="U62" s="198"/>
    </row>
    <row r="63" spans="1:21" s="12" customFormat="1" x14ac:dyDescent="0.25">
      <c r="A63" s="213" t="s">
        <v>296</v>
      </c>
      <c r="B63" s="12">
        <v>8.15</v>
      </c>
      <c r="C63" s="12">
        <v>3.15</v>
      </c>
      <c r="D63" s="12">
        <v>11.96</v>
      </c>
      <c r="E63" s="12">
        <v>4.6399999999999997</v>
      </c>
      <c r="F63" s="12">
        <v>7.02</v>
      </c>
      <c r="G63" s="12">
        <v>24.63</v>
      </c>
      <c r="H63" s="12">
        <v>11.2</v>
      </c>
      <c r="I63" s="12">
        <v>1.0900000000000001</v>
      </c>
      <c r="J63" s="12">
        <v>0.48</v>
      </c>
      <c r="K63" s="12">
        <v>7.17</v>
      </c>
      <c r="L63" s="12">
        <v>26.63</v>
      </c>
      <c r="M63" s="12">
        <v>79.459999999999994</v>
      </c>
      <c r="N63" s="12">
        <v>232.1</v>
      </c>
      <c r="O63" s="12">
        <v>0</v>
      </c>
      <c r="P63" s="12">
        <v>0.34</v>
      </c>
      <c r="Q63" s="12">
        <v>9.2899999999999991</v>
      </c>
      <c r="R63" s="198"/>
      <c r="S63" s="198"/>
      <c r="T63" s="198"/>
      <c r="U63" s="198"/>
    </row>
    <row r="64" spans="1:21" s="12" customFormat="1" x14ac:dyDescent="0.25">
      <c r="A64" s="213" t="s">
        <v>297</v>
      </c>
      <c r="B64" s="12">
        <v>8.19</v>
      </c>
      <c r="C64" s="12">
        <v>3.21</v>
      </c>
      <c r="D64" s="12">
        <v>12.02</v>
      </c>
      <c r="E64" s="12">
        <v>4.33</v>
      </c>
      <c r="F64" s="12">
        <v>6.84</v>
      </c>
      <c r="G64" s="12">
        <v>26.4</v>
      </c>
      <c r="H64" s="12">
        <v>10.89</v>
      </c>
      <c r="I64" s="12">
        <v>1.0900000000000001</v>
      </c>
      <c r="J64" s="12">
        <v>0.48</v>
      </c>
      <c r="K64" s="12">
        <v>359.68</v>
      </c>
      <c r="L64" s="12">
        <v>26.79</v>
      </c>
      <c r="M64" s="12">
        <v>78.94</v>
      </c>
      <c r="N64" s="12">
        <v>252.3</v>
      </c>
      <c r="O64" s="12">
        <v>0</v>
      </c>
      <c r="P64" s="12">
        <v>0.32</v>
      </c>
      <c r="Q64" s="12">
        <v>9.2799999999999994</v>
      </c>
      <c r="R64" s="198"/>
      <c r="S64" s="198"/>
      <c r="T64" s="198"/>
      <c r="U64" s="198"/>
    </row>
    <row r="65" spans="1:21" s="12" customFormat="1" x14ac:dyDescent="0.25">
      <c r="A65" s="213" t="s">
        <v>298</v>
      </c>
      <c r="B65" s="12">
        <v>8.18</v>
      </c>
      <c r="C65" s="12">
        <v>3.27</v>
      </c>
      <c r="D65" s="12">
        <v>12.05</v>
      </c>
      <c r="E65" s="12">
        <v>4.3099999999999996</v>
      </c>
      <c r="F65" s="12">
        <v>6.88</v>
      </c>
      <c r="G65" s="12">
        <v>26.4</v>
      </c>
      <c r="H65" s="12">
        <v>10.89</v>
      </c>
      <c r="I65" s="12">
        <v>1.07</v>
      </c>
      <c r="J65" s="12">
        <v>0.59</v>
      </c>
      <c r="K65" s="12">
        <v>351.65</v>
      </c>
      <c r="L65" s="12">
        <v>26.88</v>
      </c>
      <c r="M65" s="12">
        <v>78.45</v>
      </c>
      <c r="N65" s="12">
        <v>213.2</v>
      </c>
      <c r="O65" s="12">
        <v>0</v>
      </c>
      <c r="P65" s="12">
        <v>0.33</v>
      </c>
      <c r="Q65" s="12">
        <v>9.2899999999999991</v>
      </c>
      <c r="R65" s="198"/>
      <c r="S65" s="198"/>
      <c r="T65" s="198"/>
      <c r="U65" s="198"/>
    </row>
    <row r="66" spans="1:21" s="12" customFormat="1" x14ac:dyDescent="0.25">
      <c r="A66" s="213" t="s">
        <v>299</v>
      </c>
      <c r="B66" s="12">
        <v>8.18</v>
      </c>
      <c r="C66" s="12">
        <v>3.18</v>
      </c>
      <c r="D66" s="12">
        <v>12</v>
      </c>
      <c r="E66" s="12">
        <v>4.66</v>
      </c>
      <c r="F66" s="12">
        <v>2.72</v>
      </c>
      <c r="G66" s="12">
        <v>26.4</v>
      </c>
      <c r="H66" s="12">
        <v>10.89</v>
      </c>
      <c r="I66" s="12">
        <v>1.04</v>
      </c>
      <c r="J66" s="12">
        <v>0.35</v>
      </c>
      <c r="K66" s="12">
        <v>353.07</v>
      </c>
      <c r="L66" s="12">
        <v>26.88</v>
      </c>
      <c r="M66" s="12">
        <v>78.739999999999995</v>
      </c>
      <c r="N66" s="12">
        <v>228.5</v>
      </c>
      <c r="O66" s="12">
        <v>0</v>
      </c>
      <c r="P66" s="12">
        <v>0.33</v>
      </c>
      <c r="Q66" s="12">
        <v>9.23</v>
      </c>
      <c r="R66" s="198"/>
      <c r="S66" s="198"/>
      <c r="T66" s="198"/>
      <c r="U66" s="198"/>
    </row>
    <row r="67" spans="1:21" s="12" customFormat="1" x14ac:dyDescent="0.25">
      <c r="A67" s="213" t="s">
        <v>300</v>
      </c>
      <c r="B67" s="12">
        <v>8.2200000000000006</v>
      </c>
      <c r="C67" s="12">
        <v>3.29</v>
      </c>
      <c r="D67" s="12">
        <v>12.09</v>
      </c>
      <c r="E67" s="12">
        <v>4.6500000000000004</v>
      </c>
      <c r="F67" s="12">
        <v>6.47</v>
      </c>
      <c r="G67" s="12">
        <v>43.82</v>
      </c>
      <c r="H67" s="12">
        <v>12.84</v>
      </c>
      <c r="I67" s="12">
        <v>1.08</v>
      </c>
      <c r="J67" s="12">
        <v>0.51</v>
      </c>
      <c r="K67" s="12">
        <v>347.77</v>
      </c>
      <c r="L67" s="12">
        <v>26.76</v>
      </c>
      <c r="M67" s="12">
        <v>78.3</v>
      </c>
      <c r="N67" s="12">
        <v>251.9</v>
      </c>
      <c r="O67" s="12">
        <v>0</v>
      </c>
      <c r="P67" s="12">
        <v>0.33</v>
      </c>
      <c r="Q67" s="12">
        <v>9.25</v>
      </c>
      <c r="R67" s="198"/>
      <c r="S67" s="198"/>
      <c r="T67" s="198"/>
      <c r="U67" s="198"/>
    </row>
    <row r="68" spans="1:21" s="12" customFormat="1" x14ac:dyDescent="0.25">
      <c r="A68" s="213" t="s">
        <v>301</v>
      </c>
      <c r="B68" s="12">
        <v>8.2100000000000009</v>
      </c>
      <c r="C68" s="12">
        <v>3.3</v>
      </c>
      <c r="D68" s="12">
        <v>12.08</v>
      </c>
      <c r="E68" s="12">
        <v>4.54</v>
      </c>
      <c r="F68" s="12">
        <v>8.31</v>
      </c>
      <c r="G68" s="12">
        <v>54.4</v>
      </c>
      <c r="H68" s="12">
        <v>14.09</v>
      </c>
      <c r="I68" s="12">
        <v>1.0900000000000001</v>
      </c>
      <c r="J68" s="12">
        <v>0.34</v>
      </c>
      <c r="K68" s="12">
        <v>352.45</v>
      </c>
      <c r="L68" s="12">
        <v>27.02</v>
      </c>
      <c r="M68" s="12">
        <v>77.87</v>
      </c>
      <c r="N68" s="12">
        <v>216.6</v>
      </c>
      <c r="O68" s="12">
        <v>0</v>
      </c>
      <c r="P68" s="12">
        <v>0.36</v>
      </c>
      <c r="Q68" s="12">
        <v>9.27</v>
      </c>
      <c r="R68" s="198"/>
      <c r="S68" s="198"/>
      <c r="T68" s="198"/>
      <c r="U68" s="198"/>
    </row>
    <row r="69" spans="1:21" s="12" customFormat="1" x14ac:dyDescent="0.25">
      <c r="A69" s="213" t="s">
        <v>302</v>
      </c>
      <c r="B69" s="12">
        <v>8.16</v>
      </c>
      <c r="C69" s="12">
        <v>3.17</v>
      </c>
      <c r="D69" s="12">
        <v>11.98</v>
      </c>
      <c r="E69" s="12">
        <v>4.72</v>
      </c>
      <c r="F69" s="12">
        <v>5.62</v>
      </c>
      <c r="G69" s="12">
        <v>54.4</v>
      </c>
      <c r="H69" s="12">
        <v>14.09</v>
      </c>
      <c r="I69" s="12">
        <v>1.1000000000000001</v>
      </c>
      <c r="J69" s="12">
        <v>0.43</v>
      </c>
      <c r="K69" s="12">
        <v>0.72</v>
      </c>
      <c r="L69" s="12">
        <v>27.01</v>
      </c>
      <c r="M69" s="12">
        <v>78.489999999999995</v>
      </c>
      <c r="N69" s="12">
        <v>197.4</v>
      </c>
      <c r="O69" s="12">
        <v>0</v>
      </c>
      <c r="P69" s="12">
        <v>0.35</v>
      </c>
      <c r="Q69" s="12">
        <v>9.26</v>
      </c>
      <c r="R69" s="198"/>
      <c r="S69" s="198"/>
      <c r="T69" s="198"/>
      <c r="U69" s="198"/>
    </row>
    <row r="70" spans="1:21" s="12" customFormat="1" x14ac:dyDescent="0.25">
      <c r="A70" s="213" t="s">
        <v>303</v>
      </c>
      <c r="B70" s="12">
        <v>8.15</v>
      </c>
      <c r="C70" s="12">
        <v>3.08</v>
      </c>
      <c r="D70" s="12">
        <v>11.92</v>
      </c>
      <c r="E70" s="12">
        <v>4.1399999999999997</v>
      </c>
      <c r="F70" s="12">
        <v>4.3600000000000003</v>
      </c>
      <c r="G70" s="12">
        <v>54.4</v>
      </c>
      <c r="H70" s="12">
        <v>14.09</v>
      </c>
      <c r="I70" s="12">
        <v>1.1200000000000001</v>
      </c>
      <c r="J70" s="12">
        <v>0.52</v>
      </c>
      <c r="K70" s="12">
        <v>351.13</v>
      </c>
      <c r="L70" s="12">
        <v>27.07</v>
      </c>
      <c r="M70" s="12">
        <v>78.23</v>
      </c>
      <c r="N70" s="12">
        <v>163.6</v>
      </c>
      <c r="O70" s="12">
        <v>0</v>
      </c>
      <c r="P70" s="12">
        <v>0.35</v>
      </c>
      <c r="Q70" s="12">
        <v>9.23</v>
      </c>
      <c r="R70" s="198"/>
      <c r="S70" s="198"/>
      <c r="T70" s="198"/>
      <c r="U70" s="198"/>
    </row>
    <row r="71" spans="1:21" s="12" customFormat="1" x14ac:dyDescent="0.25">
      <c r="A71" s="213" t="s">
        <v>304</v>
      </c>
      <c r="B71" s="12">
        <v>8.17</v>
      </c>
      <c r="C71" s="12">
        <v>3.15</v>
      </c>
      <c r="D71" s="12">
        <v>11.97</v>
      </c>
      <c r="E71" s="12">
        <v>4.24</v>
      </c>
      <c r="F71" s="12">
        <v>4.3099999999999996</v>
      </c>
      <c r="G71" s="12">
        <v>51.76</v>
      </c>
      <c r="H71" s="12">
        <v>13.41</v>
      </c>
      <c r="I71" s="12">
        <v>1.1200000000000001</v>
      </c>
      <c r="J71" s="12">
        <v>0.39</v>
      </c>
      <c r="K71" s="12">
        <v>352.45</v>
      </c>
      <c r="L71" s="12">
        <v>26.9</v>
      </c>
      <c r="M71" s="12">
        <v>78.11</v>
      </c>
      <c r="N71" s="12">
        <v>179.5</v>
      </c>
      <c r="O71" s="12">
        <v>0</v>
      </c>
      <c r="P71" s="12">
        <v>0.34</v>
      </c>
      <c r="Q71" s="12">
        <v>9.2100000000000009</v>
      </c>
      <c r="R71" s="198"/>
      <c r="S71" s="198"/>
      <c r="T71" s="198"/>
      <c r="U71" s="198"/>
    </row>
    <row r="72" spans="1:21" s="12" customFormat="1" x14ac:dyDescent="0.25">
      <c r="A72" s="213" t="s">
        <v>305</v>
      </c>
      <c r="B72" s="12">
        <v>8.2100000000000009</v>
      </c>
      <c r="C72" s="12">
        <v>3.24</v>
      </c>
      <c r="D72" s="12">
        <v>12.05</v>
      </c>
      <c r="E72" s="12">
        <v>3.44</v>
      </c>
      <c r="F72" s="12">
        <v>3.9</v>
      </c>
      <c r="G72" s="12">
        <v>50.15</v>
      </c>
      <c r="H72" s="12">
        <v>12.99</v>
      </c>
      <c r="I72" s="12">
        <v>1.1299999999999999</v>
      </c>
      <c r="J72" s="12">
        <v>0.31</v>
      </c>
      <c r="K72" s="12">
        <v>358.32</v>
      </c>
      <c r="L72" s="12">
        <v>27.43</v>
      </c>
      <c r="M72" s="12">
        <v>77.069999999999993</v>
      </c>
      <c r="N72" s="12">
        <v>161.6</v>
      </c>
      <c r="O72" s="12">
        <v>0</v>
      </c>
      <c r="P72" s="12">
        <v>0.34</v>
      </c>
      <c r="Q72" s="12">
        <v>9.2100000000000009</v>
      </c>
      <c r="R72" s="198"/>
      <c r="S72" s="198"/>
      <c r="T72" s="198"/>
      <c r="U72" s="198"/>
    </row>
    <row r="73" spans="1:21" s="12" customFormat="1" x14ac:dyDescent="0.25">
      <c r="A73" s="213" t="s">
        <v>306</v>
      </c>
      <c r="B73" s="12">
        <v>8.2100000000000009</v>
      </c>
      <c r="C73" s="12">
        <v>3.23</v>
      </c>
      <c r="D73" s="12">
        <v>12.04</v>
      </c>
      <c r="E73" s="12">
        <v>3.86</v>
      </c>
      <c r="F73" s="12">
        <v>4.8499999999999996</v>
      </c>
      <c r="G73" s="12">
        <v>50.15</v>
      </c>
      <c r="H73" s="12">
        <v>12.99</v>
      </c>
      <c r="I73" s="12">
        <v>1.21</v>
      </c>
      <c r="J73" s="12">
        <v>0.35</v>
      </c>
      <c r="K73" s="12">
        <v>344.3</v>
      </c>
      <c r="L73" s="12">
        <v>26.86</v>
      </c>
      <c r="M73" s="12">
        <v>78.59</v>
      </c>
      <c r="N73" s="12">
        <v>102.1</v>
      </c>
      <c r="O73" s="12">
        <v>0</v>
      </c>
      <c r="P73" s="12">
        <v>0.35</v>
      </c>
      <c r="Q73" s="12">
        <v>9.24</v>
      </c>
      <c r="R73" s="198"/>
      <c r="S73" s="198"/>
      <c r="T73" s="198"/>
      <c r="U73" s="198"/>
    </row>
    <row r="74" spans="1:21" s="12" customFormat="1" x14ac:dyDescent="0.25">
      <c r="A74" s="213" t="s">
        <v>307</v>
      </c>
      <c r="B74" s="12">
        <v>8.1999999999999993</v>
      </c>
      <c r="C74" s="12">
        <v>3.24</v>
      </c>
      <c r="D74" s="12">
        <v>12.05</v>
      </c>
      <c r="E74" s="12">
        <v>3.62</v>
      </c>
      <c r="F74" s="12">
        <v>5.7</v>
      </c>
      <c r="G74" s="12">
        <v>50.15</v>
      </c>
      <c r="H74" s="12">
        <v>12.99</v>
      </c>
      <c r="I74" s="12">
        <v>1.37</v>
      </c>
      <c r="J74" s="12">
        <v>0.6</v>
      </c>
      <c r="K74" s="12">
        <v>4.51</v>
      </c>
      <c r="L74" s="12">
        <v>26.42</v>
      </c>
      <c r="M74" s="12">
        <v>80.010000000000005</v>
      </c>
      <c r="N74" s="12">
        <v>129.19999999999999</v>
      </c>
      <c r="O74" s="12">
        <v>0</v>
      </c>
      <c r="P74" s="12">
        <v>0.34</v>
      </c>
      <c r="Q74" s="12">
        <v>9.27</v>
      </c>
      <c r="R74" s="198"/>
      <c r="S74" s="198"/>
      <c r="T74" s="198"/>
      <c r="U74" s="198"/>
    </row>
    <row r="75" spans="1:21" s="12" customFormat="1" x14ac:dyDescent="0.25">
      <c r="A75" s="213" t="s">
        <v>308</v>
      </c>
      <c r="B75" s="12">
        <v>8.19</v>
      </c>
      <c r="C75" s="12">
        <v>3.25</v>
      </c>
      <c r="D75" s="12">
        <v>12.04</v>
      </c>
      <c r="E75" s="12">
        <v>3.56</v>
      </c>
      <c r="F75" s="12">
        <v>4.92</v>
      </c>
      <c r="G75" s="12">
        <v>39.6</v>
      </c>
      <c r="H75" s="12">
        <v>11.34</v>
      </c>
      <c r="I75" s="12">
        <v>1.44</v>
      </c>
      <c r="J75" s="12">
        <v>0.57999999999999996</v>
      </c>
      <c r="K75" s="12">
        <v>0.49</v>
      </c>
      <c r="L75" s="12">
        <v>26.59</v>
      </c>
      <c r="M75" s="12">
        <v>80.62</v>
      </c>
      <c r="N75" s="12">
        <v>63.7</v>
      </c>
      <c r="O75" s="12">
        <v>0</v>
      </c>
      <c r="P75" s="12">
        <v>0.34</v>
      </c>
      <c r="Q75" s="12">
        <v>9.2799999999999994</v>
      </c>
      <c r="R75" s="198"/>
      <c r="S75" s="198"/>
      <c r="T75" s="198"/>
      <c r="U75" s="198"/>
    </row>
    <row r="76" spans="1:21" s="12" customFormat="1" x14ac:dyDescent="0.25">
      <c r="A76" s="213" t="s">
        <v>309</v>
      </c>
      <c r="B76" s="12">
        <v>8.1999999999999993</v>
      </c>
      <c r="C76" s="12">
        <v>3.19</v>
      </c>
      <c r="D76" s="12">
        <v>12.02</v>
      </c>
      <c r="E76" s="12">
        <v>3.76</v>
      </c>
      <c r="F76" s="12">
        <v>4.41</v>
      </c>
      <c r="G76" s="12">
        <v>32.89</v>
      </c>
      <c r="H76" s="12">
        <v>10.33</v>
      </c>
      <c r="I76" s="12">
        <v>1.38</v>
      </c>
      <c r="J76" s="12">
        <v>1.04</v>
      </c>
      <c r="K76" s="12">
        <v>321.41000000000003</v>
      </c>
      <c r="L76" s="12">
        <v>25.12</v>
      </c>
      <c r="M76" s="12">
        <v>94.65</v>
      </c>
      <c r="N76" s="12">
        <v>60.5</v>
      </c>
      <c r="O76" s="12">
        <v>1.2</v>
      </c>
      <c r="P76" s="12">
        <v>0.34</v>
      </c>
      <c r="Q76" s="12">
        <v>9.26</v>
      </c>
      <c r="R76" s="198"/>
      <c r="S76" s="198"/>
      <c r="T76" s="198"/>
      <c r="U76" s="198"/>
    </row>
    <row r="77" spans="1:21" s="12" customFormat="1" x14ac:dyDescent="0.25">
      <c r="A77" s="213" t="s">
        <v>310</v>
      </c>
      <c r="B77" s="12">
        <v>8.26</v>
      </c>
      <c r="C77" s="12">
        <v>3.36</v>
      </c>
      <c r="D77" s="12">
        <v>12.15</v>
      </c>
      <c r="E77" s="12">
        <v>3.61</v>
      </c>
      <c r="F77" s="12">
        <v>4.46</v>
      </c>
      <c r="G77" s="12">
        <v>32.89</v>
      </c>
      <c r="H77" s="12">
        <v>10.33</v>
      </c>
      <c r="I77" s="12">
        <v>1.36</v>
      </c>
      <c r="J77" s="12">
        <v>0.77</v>
      </c>
      <c r="K77" s="12">
        <v>314.22000000000003</v>
      </c>
      <c r="L77" s="12">
        <v>23.75</v>
      </c>
      <c r="M77" s="12">
        <v>98.35</v>
      </c>
      <c r="N77" s="12">
        <v>82</v>
      </c>
      <c r="O77" s="12">
        <v>0</v>
      </c>
      <c r="P77" s="12">
        <v>0.35</v>
      </c>
      <c r="Q77" s="12">
        <v>9.25</v>
      </c>
      <c r="R77" s="198"/>
      <c r="S77" s="198"/>
      <c r="T77" s="198"/>
      <c r="U77" s="198"/>
    </row>
    <row r="78" spans="1:21" s="12" customFormat="1" x14ac:dyDescent="0.25">
      <c r="A78" s="213" t="s">
        <v>311</v>
      </c>
      <c r="B78" s="12">
        <v>8.1999999999999993</v>
      </c>
      <c r="C78" s="12">
        <v>3.3</v>
      </c>
      <c r="D78" s="12">
        <v>12.07</v>
      </c>
      <c r="E78" s="12">
        <v>3.72</v>
      </c>
      <c r="F78" s="12">
        <v>4.26</v>
      </c>
      <c r="G78" s="12">
        <v>32.89</v>
      </c>
      <c r="H78" s="12">
        <v>10.33</v>
      </c>
      <c r="I78" s="12">
        <v>1.39</v>
      </c>
      <c r="J78" s="12">
        <v>0.3</v>
      </c>
      <c r="K78" s="12">
        <v>300.92</v>
      </c>
      <c r="L78" s="12">
        <v>23.57</v>
      </c>
      <c r="M78" s="12">
        <v>98.35</v>
      </c>
      <c r="N78" s="12">
        <v>83.5</v>
      </c>
      <c r="O78" s="12">
        <v>0.2</v>
      </c>
      <c r="P78" s="12">
        <v>0.38</v>
      </c>
      <c r="Q78" s="12">
        <v>9.33</v>
      </c>
      <c r="R78" s="198"/>
      <c r="S78" s="198"/>
      <c r="T78" s="198"/>
      <c r="U78" s="198"/>
    </row>
    <row r="79" spans="1:21" s="12" customFormat="1" x14ac:dyDescent="0.25">
      <c r="A79" s="213" t="s">
        <v>312</v>
      </c>
      <c r="B79" s="12">
        <v>8.17</v>
      </c>
      <c r="C79" s="12">
        <v>3.23</v>
      </c>
      <c r="D79" s="12">
        <v>12.01</v>
      </c>
      <c r="E79" s="12">
        <v>3.67</v>
      </c>
      <c r="F79" s="12">
        <v>2.75</v>
      </c>
      <c r="G79" s="12">
        <v>36.42</v>
      </c>
      <c r="H79" s="12">
        <v>11.77</v>
      </c>
      <c r="I79" s="12">
        <v>1.46</v>
      </c>
      <c r="J79" s="12">
        <v>0.06</v>
      </c>
      <c r="K79" s="12">
        <v>301.56</v>
      </c>
      <c r="L79" s="12">
        <v>23.44</v>
      </c>
      <c r="M79" s="12">
        <v>98.35</v>
      </c>
      <c r="N79" s="12">
        <v>72.7</v>
      </c>
      <c r="O79" s="12">
        <v>0</v>
      </c>
      <c r="P79" s="12">
        <v>0.4</v>
      </c>
      <c r="Q79" s="12">
        <v>9.34</v>
      </c>
      <c r="R79" s="198"/>
      <c r="S79" s="198"/>
      <c r="T79" s="198"/>
      <c r="U79" s="198"/>
    </row>
    <row r="80" spans="1:21" s="12" customFormat="1" x14ac:dyDescent="0.25">
      <c r="A80" s="213" t="s">
        <v>313</v>
      </c>
      <c r="B80" s="12">
        <v>8.1999999999999993</v>
      </c>
      <c r="C80" s="12">
        <v>3.24</v>
      </c>
      <c r="D80" s="12">
        <v>12.04</v>
      </c>
      <c r="E80" s="12">
        <v>3.73</v>
      </c>
      <c r="F80" s="12">
        <v>3.21</v>
      </c>
      <c r="G80" s="12">
        <v>38.659999999999997</v>
      </c>
      <c r="H80" s="12">
        <v>12.68</v>
      </c>
      <c r="I80" s="12">
        <v>1.61</v>
      </c>
      <c r="J80" s="12">
        <v>0.56999999999999995</v>
      </c>
      <c r="K80" s="12">
        <v>12.96</v>
      </c>
      <c r="L80" s="12">
        <v>23.36</v>
      </c>
      <c r="M80" s="12">
        <v>98.35</v>
      </c>
      <c r="N80" s="12">
        <v>53.3</v>
      </c>
      <c r="O80" s="12">
        <v>0</v>
      </c>
      <c r="P80" s="12">
        <v>0.41</v>
      </c>
      <c r="Q80" s="12">
        <v>9.3699999999999992</v>
      </c>
      <c r="R80" s="198"/>
      <c r="S80" s="198"/>
      <c r="T80" s="198"/>
      <c r="U80" s="198"/>
    </row>
    <row r="81" spans="1:26" s="12" customFormat="1" x14ac:dyDescent="0.25">
      <c r="A81" s="213" t="s">
        <v>314</v>
      </c>
      <c r="B81" s="12">
        <v>8.24</v>
      </c>
      <c r="C81" s="12">
        <v>3.33</v>
      </c>
      <c r="D81" s="12">
        <v>12.12</v>
      </c>
      <c r="E81" s="12">
        <v>3.96</v>
      </c>
      <c r="F81" s="12">
        <v>4.45</v>
      </c>
      <c r="G81" s="12">
        <v>38.659999999999997</v>
      </c>
      <c r="H81" s="12">
        <v>12.68</v>
      </c>
      <c r="I81" s="12">
        <v>1.77</v>
      </c>
      <c r="J81" s="12">
        <v>0.49</v>
      </c>
      <c r="K81" s="12">
        <v>9.2100000000000009</v>
      </c>
      <c r="L81" s="12">
        <v>23.49</v>
      </c>
      <c r="M81" s="12">
        <v>98.35</v>
      </c>
      <c r="N81" s="12">
        <v>39.5</v>
      </c>
      <c r="O81" s="12">
        <v>0</v>
      </c>
      <c r="P81" s="12">
        <v>0.44</v>
      </c>
      <c r="Q81" s="12">
        <v>9.4</v>
      </c>
      <c r="R81" s="198"/>
      <c r="S81" s="198"/>
      <c r="T81" s="198"/>
      <c r="U81" s="198"/>
    </row>
    <row r="82" spans="1:26" s="12" customFormat="1" x14ac:dyDescent="0.25">
      <c r="A82" s="213" t="s">
        <v>315</v>
      </c>
      <c r="B82" s="12">
        <v>8.26</v>
      </c>
      <c r="C82" s="12">
        <v>3.44</v>
      </c>
      <c r="D82" s="12">
        <v>12.2</v>
      </c>
      <c r="E82" s="12">
        <v>3.63</v>
      </c>
      <c r="F82" s="12">
        <v>2.99</v>
      </c>
      <c r="G82" s="12">
        <v>38.659999999999997</v>
      </c>
      <c r="H82" s="12">
        <v>12.68</v>
      </c>
      <c r="I82" s="12">
        <v>1.87</v>
      </c>
      <c r="J82" s="12">
        <v>0.19</v>
      </c>
      <c r="K82" s="12">
        <v>347.19</v>
      </c>
      <c r="L82" s="12">
        <v>23.63</v>
      </c>
      <c r="M82" s="12">
        <v>98.35</v>
      </c>
      <c r="N82" s="12">
        <v>27.5</v>
      </c>
      <c r="O82" s="12">
        <v>0</v>
      </c>
      <c r="P82" s="12">
        <v>0.47</v>
      </c>
      <c r="Q82" s="12">
        <v>9.4</v>
      </c>
      <c r="R82" s="198"/>
      <c r="S82" s="198"/>
      <c r="T82" s="198"/>
      <c r="U82" s="198"/>
    </row>
    <row r="83" spans="1:26" s="12" customFormat="1" x14ac:dyDescent="0.25">
      <c r="A83" s="213" t="s">
        <v>316</v>
      </c>
      <c r="B83" s="12">
        <v>8.3000000000000007</v>
      </c>
      <c r="C83" s="12">
        <v>3.51</v>
      </c>
      <c r="D83" s="12">
        <v>12.26</v>
      </c>
      <c r="E83" s="12">
        <v>3.98</v>
      </c>
      <c r="F83" s="12">
        <v>2.96</v>
      </c>
      <c r="G83" s="12">
        <v>40.049999999999997</v>
      </c>
      <c r="H83" s="12">
        <v>12.82</v>
      </c>
      <c r="I83" s="12">
        <v>1.99</v>
      </c>
      <c r="J83" s="12">
        <v>0.38</v>
      </c>
      <c r="K83" s="12">
        <v>207.57</v>
      </c>
      <c r="L83" s="12">
        <v>23.68</v>
      </c>
      <c r="M83" s="12">
        <v>98.35</v>
      </c>
      <c r="N83" s="12">
        <v>19.899999999999999</v>
      </c>
      <c r="O83" s="12">
        <v>0</v>
      </c>
      <c r="P83" s="12">
        <v>0.47</v>
      </c>
      <c r="Q83" s="12">
        <v>9.3800000000000008</v>
      </c>
      <c r="R83" s="198"/>
      <c r="S83" s="198"/>
      <c r="T83" s="198"/>
      <c r="U83" s="198"/>
    </row>
    <row r="84" spans="1:26" s="12" customFormat="1" x14ac:dyDescent="0.25">
      <c r="A84" s="213" t="s">
        <v>317</v>
      </c>
      <c r="B84" s="12">
        <v>8.1999999999999993</v>
      </c>
      <c r="C84" s="12">
        <v>3.23</v>
      </c>
      <c r="D84" s="12">
        <v>12.04</v>
      </c>
      <c r="E84" s="12">
        <v>3.61</v>
      </c>
      <c r="F84" s="12">
        <v>3.62</v>
      </c>
      <c r="G84" s="12">
        <v>40.93</v>
      </c>
      <c r="H84" s="12">
        <v>12.91</v>
      </c>
      <c r="I84" s="12">
        <v>2.1</v>
      </c>
      <c r="J84" s="12">
        <v>0.31</v>
      </c>
      <c r="K84" s="12">
        <v>168</v>
      </c>
      <c r="L84" s="12">
        <v>23.56</v>
      </c>
      <c r="M84" s="12">
        <v>98.33</v>
      </c>
      <c r="N84" s="12">
        <v>19.100000000000001</v>
      </c>
      <c r="O84" s="12">
        <v>0</v>
      </c>
      <c r="P84" s="12">
        <v>0.46</v>
      </c>
      <c r="Q84" s="12">
        <v>9.35</v>
      </c>
      <c r="R84" s="198"/>
      <c r="S84" s="198"/>
      <c r="T84" s="198"/>
      <c r="U84" s="198"/>
    </row>
    <row r="85" spans="1:26" s="12" customFormat="1" x14ac:dyDescent="0.25">
      <c r="A85" s="213" t="s">
        <v>318</v>
      </c>
      <c r="B85" s="12">
        <v>8.16</v>
      </c>
      <c r="C85" s="12">
        <v>3.16</v>
      </c>
      <c r="D85" s="12">
        <v>11.97</v>
      </c>
      <c r="E85" s="12">
        <v>3.73</v>
      </c>
      <c r="F85" s="12">
        <v>3.96</v>
      </c>
      <c r="G85" s="12">
        <v>40.93</v>
      </c>
      <c r="H85" s="12">
        <v>12.91</v>
      </c>
      <c r="I85" s="12">
        <v>2.1800000000000002</v>
      </c>
      <c r="J85" s="12">
        <v>0.05</v>
      </c>
      <c r="K85" s="12">
        <v>342.3</v>
      </c>
      <c r="L85" s="12">
        <v>23.48</v>
      </c>
      <c r="M85" s="12">
        <v>98.33</v>
      </c>
      <c r="N85" s="12">
        <v>18.2</v>
      </c>
      <c r="O85" s="12">
        <v>0</v>
      </c>
      <c r="P85" s="12">
        <v>0.44</v>
      </c>
      <c r="Q85" s="12">
        <v>9.39</v>
      </c>
      <c r="R85" s="198"/>
      <c r="S85" s="198"/>
      <c r="T85" s="198"/>
      <c r="U85" s="198"/>
    </row>
    <row r="86" spans="1:26" s="12" customFormat="1" x14ac:dyDescent="0.25">
      <c r="A86" s="213" t="s">
        <v>319</v>
      </c>
      <c r="B86" s="12">
        <v>8.18</v>
      </c>
      <c r="C86" s="12">
        <v>3.18</v>
      </c>
      <c r="D86" s="12">
        <v>12</v>
      </c>
      <c r="E86" s="12">
        <v>3.92</v>
      </c>
      <c r="F86" s="12">
        <v>3.2</v>
      </c>
      <c r="G86" s="12">
        <v>40.93</v>
      </c>
      <c r="H86" s="12">
        <v>12.91</v>
      </c>
      <c r="I86" s="12">
        <v>2.2400000000000002</v>
      </c>
      <c r="J86" s="12">
        <v>0.15</v>
      </c>
      <c r="K86" s="12">
        <v>237.8</v>
      </c>
      <c r="L86" s="12">
        <v>23.49</v>
      </c>
      <c r="M86" s="12">
        <v>98.33</v>
      </c>
      <c r="N86" s="12">
        <v>18.100000000000001</v>
      </c>
      <c r="O86" s="12">
        <v>0</v>
      </c>
      <c r="P86" s="12">
        <v>0.46</v>
      </c>
      <c r="Q86" s="12">
        <v>9.3699999999999992</v>
      </c>
      <c r="R86" s="198"/>
      <c r="S86" s="198"/>
      <c r="T86" s="198"/>
      <c r="U86" s="198"/>
    </row>
    <row r="87" spans="1:26" s="12" customFormat="1" x14ac:dyDescent="0.25">
      <c r="A87" s="213" t="s">
        <v>320</v>
      </c>
      <c r="B87" s="12">
        <v>8.18</v>
      </c>
      <c r="C87" s="12">
        <v>3.16</v>
      </c>
      <c r="D87" s="12">
        <v>11.98</v>
      </c>
      <c r="E87" s="12">
        <v>3.48</v>
      </c>
      <c r="F87" s="12">
        <v>3.09</v>
      </c>
      <c r="G87" s="12">
        <v>36.1</v>
      </c>
      <c r="H87" s="12">
        <v>11.96</v>
      </c>
      <c r="I87" s="12">
        <v>2.29</v>
      </c>
      <c r="J87" s="12">
        <v>0.16</v>
      </c>
      <c r="K87" s="12">
        <v>253.33</v>
      </c>
      <c r="L87" s="12">
        <v>23.51</v>
      </c>
      <c r="M87" s="12">
        <v>98.33</v>
      </c>
      <c r="N87" s="12">
        <v>18.100000000000001</v>
      </c>
      <c r="O87" s="12">
        <v>0</v>
      </c>
      <c r="P87" s="12">
        <v>0.44</v>
      </c>
      <c r="Q87" s="12">
        <v>9.35</v>
      </c>
      <c r="R87" s="198"/>
      <c r="S87" s="198"/>
      <c r="T87" s="198"/>
      <c r="U87" s="198"/>
    </row>
    <row r="88" spans="1:26" s="12" customFormat="1" x14ac:dyDescent="0.25">
      <c r="A88" s="213" t="s">
        <v>321</v>
      </c>
      <c r="B88" s="12">
        <v>8.18</v>
      </c>
      <c r="C88" s="12">
        <v>3.14</v>
      </c>
      <c r="D88" s="12">
        <v>11.97</v>
      </c>
      <c r="E88" s="12">
        <v>2.78</v>
      </c>
      <c r="F88" s="12">
        <v>3.28</v>
      </c>
      <c r="G88" s="12">
        <v>33.17</v>
      </c>
      <c r="H88" s="12">
        <v>11.36</v>
      </c>
      <c r="I88" s="12">
        <v>2.37</v>
      </c>
      <c r="J88" s="12">
        <v>0.06</v>
      </c>
      <c r="K88" s="12">
        <v>232.84</v>
      </c>
      <c r="L88" s="12">
        <v>23.5</v>
      </c>
      <c r="M88" s="12">
        <v>98.33</v>
      </c>
      <c r="N88" s="12">
        <v>18</v>
      </c>
      <c r="O88" s="12">
        <v>0</v>
      </c>
      <c r="P88" s="12">
        <v>0.45</v>
      </c>
      <c r="Q88" s="12">
        <v>9.39</v>
      </c>
      <c r="R88" s="198"/>
      <c r="S88" s="198"/>
      <c r="T88" s="198"/>
      <c r="U88" s="198"/>
    </row>
    <row r="89" spans="1:26" s="12" customFormat="1" x14ac:dyDescent="0.25">
      <c r="A89" s="213" t="s">
        <v>322</v>
      </c>
      <c r="B89" s="12">
        <v>8.1999999999999993</v>
      </c>
      <c r="C89" s="12">
        <v>3.17</v>
      </c>
      <c r="D89" s="12">
        <v>12.01</v>
      </c>
      <c r="E89" s="12">
        <v>3.15</v>
      </c>
      <c r="F89" s="12">
        <v>3.17</v>
      </c>
      <c r="G89" s="12">
        <v>33.17</v>
      </c>
      <c r="H89" s="12">
        <v>11.36</v>
      </c>
      <c r="I89" s="12">
        <v>2.54</v>
      </c>
      <c r="J89" s="12">
        <v>0.25</v>
      </c>
      <c r="K89" s="12">
        <v>216.02</v>
      </c>
      <c r="L89" s="12">
        <v>23.56</v>
      </c>
      <c r="M89" s="12">
        <v>98.33</v>
      </c>
      <c r="N89" s="12">
        <v>18.100000000000001</v>
      </c>
      <c r="O89" s="12">
        <v>0</v>
      </c>
      <c r="P89" s="12">
        <v>0.44</v>
      </c>
      <c r="Q89" s="12">
        <v>9.34</v>
      </c>
      <c r="R89" s="198"/>
      <c r="S89" s="198"/>
      <c r="T89" s="198"/>
      <c r="U89" s="198"/>
    </row>
    <row r="90" spans="1:26" s="12" customFormat="1" x14ac:dyDescent="0.25">
      <c r="A90" s="213" t="s">
        <v>323</v>
      </c>
      <c r="B90" s="12">
        <v>8.2200000000000006</v>
      </c>
      <c r="C90" s="12">
        <v>3.21</v>
      </c>
      <c r="D90" s="12">
        <v>12.04</v>
      </c>
      <c r="E90" s="12">
        <v>3.16</v>
      </c>
      <c r="F90" s="12">
        <v>3.41</v>
      </c>
      <c r="G90" s="12">
        <v>33.17</v>
      </c>
      <c r="H90" s="12">
        <v>11.36</v>
      </c>
      <c r="I90" s="12">
        <v>2.78</v>
      </c>
      <c r="J90" s="12">
        <v>0.13</v>
      </c>
      <c r="K90" s="12">
        <v>255.46</v>
      </c>
      <c r="L90" s="12">
        <v>23.58</v>
      </c>
      <c r="M90" s="12">
        <v>98.33</v>
      </c>
      <c r="N90" s="12">
        <v>17.8</v>
      </c>
      <c r="O90" s="12">
        <v>0</v>
      </c>
      <c r="P90" s="12">
        <v>0.45</v>
      </c>
      <c r="Q90" s="12">
        <v>9.35</v>
      </c>
      <c r="R90" s="198"/>
      <c r="S90" s="198"/>
      <c r="T90" s="198"/>
      <c r="U90" s="198"/>
    </row>
    <row r="91" spans="1:26" s="12" customFormat="1" x14ac:dyDescent="0.25">
      <c r="A91" s="213" t="s">
        <v>324</v>
      </c>
      <c r="B91" s="12">
        <v>8.2100000000000009</v>
      </c>
      <c r="C91" s="12">
        <v>3.18</v>
      </c>
      <c r="D91" s="12">
        <v>12.02</v>
      </c>
      <c r="E91" s="12">
        <v>3.07</v>
      </c>
      <c r="F91" s="12">
        <v>3.37</v>
      </c>
      <c r="G91" s="12">
        <v>33.93</v>
      </c>
      <c r="H91" s="12">
        <v>10.89</v>
      </c>
      <c r="I91" s="12">
        <v>3.06</v>
      </c>
      <c r="J91" s="12">
        <v>0.17</v>
      </c>
      <c r="K91" s="12">
        <v>176.91</v>
      </c>
      <c r="L91" s="12">
        <v>23.61</v>
      </c>
      <c r="M91" s="12">
        <v>98.34</v>
      </c>
      <c r="N91" s="12">
        <v>18</v>
      </c>
      <c r="O91" s="12">
        <v>0</v>
      </c>
      <c r="P91" s="12">
        <v>0.45</v>
      </c>
      <c r="Q91" s="12">
        <v>9.34</v>
      </c>
      <c r="R91" s="198"/>
      <c r="S91" s="198"/>
      <c r="T91" s="198"/>
      <c r="U91" s="198"/>
    </row>
    <row r="92" spans="1:26" s="12" customFormat="1" x14ac:dyDescent="0.25">
      <c r="A92" s="213" t="s">
        <v>325</v>
      </c>
      <c r="B92" s="12">
        <v>8.2100000000000009</v>
      </c>
      <c r="C92" s="12">
        <v>3.13</v>
      </c>
      <c r="D92" s="12">
        <v>11.99</v>
      </c>
      <c r="E92" s="12">
        <v>3.22</v>
      </c>
      <c r="F92" s="12">
        <v>3.58</v>
      </c>
      <c r="G92" s="12">
        <v>34.380000000000003</v>
      </c>
      <c r="H92" s="12">
        <v>10.61</v>
      </c>
      <c r="I92" s="12">
        <v>3.32</v>
      </c>
      <c r="J92" s="12">
        <v>0.09</v>
      </c>
      <c r="K92" s="12">
        <v>310.29000000000002</v>
      </c>
      <c r="L92" s="12">
        <v>23.63</v>
      </c>
      <c r="M92" s="12">
        <v>98.33</v>
      </c>
      <c r="N92" s="12">
        <v>18.100000000000001</v>
      </c>
      <c r="O92" s="12">
        <v>0</v>
      </c>
      <c r="P92" s="12">
        <v>0.45</v>
      </c>
      <c r="Q92" s="12">
        <v>9.36</v>
      </c>
      <c r="R92" s="198"/>
      <c r="S92" s="198"/>
      <c r="T92" s="198"/>
      <c r="U92" s="198"/>
    </row>
    <row r="93" spans="1:26" s="12" customFormat="1" x14ac:dyDescent="0.25">
      <c r="A93" s="213" t="s">
        <v>326</v>
      </c>
      <c r="B93" s="12">
        <v>8.23</v>
      </c>
      <c r="C93" s="12">
        <v>3.16</v>
      </c>
      <c r="D93" s="12">
        <v>12.02</v>
      </c>
      <c r="E93" s="12">
        <v>3</v>
      </c>
      <c r="F93" s="12">
        <v>3.4</v>
      </c>
      <c r="G93" s="12">
        <v>34.380000000000003</v>
      </c>
      <c r="H93" s="12">
        <v>10.61</v>
      </c>
      <c r="I93" s="12">
        <v>3.58</v>
      </c>
      <c r="J93" s="12">
        <v>0.05</v>
      </c>
      <c r="K93" s="12">
        <v>85.38</v>
      </c>
      <c r="L93" s="12">
        <v>23.67</v>
      </c>
      <c r="M93" s="12">
        <v>98.33</v>
      </c>
      <c r="N93" s="12">
        <v>18.100000000000001</v>
      </c>
      <c r="O93" s="12">
        <v>0</v>
      </c>
      <c r="P93" s="12">
        <v>0.44</v>
      </c>
      <c r="Q93" s="12">
        <v>9.35</v>
      </c>
      <c r="R93" s="198"/>
      <c r="S93" s="198"/>
      <c r="T93" s="198"/>
      <c r="U93" s="198"/>
    </row>
    <row r="94" spans="1:26" s="12" customFormat="1" x14ac:dyDescent="0.25">
      <c r="A94" s="213" t="s">
        <v>327</v>
      </c>
      <c r="B94" s="12">
        <v>8.23</v>
      </c>
      <c r="C94" s="12">
        <v>3.18</v>
      </c>
      <c r="D94" s="12">
        <v>12.04</v>
      </c>
      <c r="E94" s="12">
        <v>3.18</v>
      </c>
      <c r="F94" s="12">
        <v>3.23</v>
      </c>
      <c r="G94" s="12">
        <v>34.380000000000003</v>
      </c>
      <c r="H94" s="12">
        <v>10.61</v>
      </c>
      <c r="I94" s="12">
        <v>3.82</v>
      </c>
      <c r="J94" s="12">
        <v>0.15</v>
      </c>
      <c r="K94" s="12">
        <v>11.81</v>
      </c>
      <c r="L94" s="12">
        <v>23.69</v>
      </c>
      <c r="M94" s="12">
        <v>98.33</v>
      </c>
      <c r="N94" s="12">
        <v>18.100000000000001</v>
      </c>
      <c r="O94" s="12">
        <v>0</v>
      </c>
      <c r="P94" s="12">
        <v>0.45</v>
      </c>
      <c r="Q94" s="12">
        <v>9.4</v>
      </c>
      <c r="R94" s="198"/>
      <c r="S94" s="198"/>
      <c r="T94" s="198"/>
      <c r="U94" s="198"/>
    </row>
    <row r="95" spans="1:26" s="12" customFormat="1" x14ac:dyDescent="0.25">
      <c r="A95" s="213" t="s">
        <v>328</v>
      </c>
      <c r="B95" s="12">
        <v>8.31</v>
      </c>
      <c r="C95" s="12">
        <v>3.34</v>
      </c>
      <c r="D95" s="12">
        <v>12.18</v>
      </c>
      <c r="E95" s="12">
        <v>3.22</v>
      </c>
      <c r="F95" s="12">
        <v>3.49</v>
      </c>
      <c r="G95" s="12">
        <v>34.229999999999997</v>
      </c>
      <c r="H95" s="12">
        <v>10.91</v>
      </c>
      <c r="I95" s="12">
        <v>4.0199999999999996</v>
      </c>
      <c r="J95" s="12">
        <v>0.08</v>
      </c>
      <c r="K95" s="12">
        <v>295.87</v>
      </c>
      <c r="L95" s="12">
        <v>23.68</v>
      </c>
      <c r="M95" s="12">
        <v>98.33</v>
      </c>
      <c r="N95" s="12">
        <v>18.100000000000001</v>
      </c>
      <c r="O95" s="12">
        <v>0</v>
      </c>
      <c r="P95" s="12">
        <v>0.45</v>
      </c>
      <c r="Q95" s="12">
        <v>9.4</v>
      </c>
      <c r="R95" s="198"/>
      <c r="S95" s="198"/>
      <c r="T95" s="198"/>
      <c r="U95" s="198"/>
    </row>
    <row r="96" spans="1:26" s="12" customFormat="1" x14ac:dyDescent="0.25">
      <c r="A96" s="213" t="s">
        <v>329</v>
      </c>
      <c r="B96" s="12">
        <v>8.25</v>
      </c>
      <c r="C96" s="12">
        <v>3.28</v>
      </c>
      <c r="D96" s="12">
        <v>12.1</v>
      </c>
      <c r="E96" s="12">
        <v>3.23</v>
      </c>
      <c r="F96" s="12">
        <v>4</v>
      </c>
      <c r="G96" s="12">
        <v>34.130000000000003</v>
      </c>
      <c r="H96" s="12">
        <v>11.1</v>
      </c>
      <c r="I96" s="12">
        <v>4.0599999999999996</v>
      </c>
      <c r="J96" s="12">
        <v>0.28999999999999998</v>
      </c>
      <c r="K96" s="12">
        <v>359.76</v>
      </c>
      <c r="L96" s="12">
        <v>23.65</v>
      </c>
      <c r="M96" s="12">
        <v>98.34</v>
      </c>
      <c r="N96" s="12">
        <v>18</v>
      </c>
      <c r="O96" s="12">
        <v>0</v>
      </c>
      <c r="P96" s="12">
        <v>0.45</v>
      </c>
      <c r="Q96" s="12">
        <v>9.3800000000000008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330</v>
      </c>
      <c r="B97" s="12">
        <v>8.24</v>
      </c>
      <c r="C97" s="12">
        <v>3.32</v>
      </c>
      <c r="D97" s="12">
        <v>12.11</v>
      </c>
      <c r="E97" s="12">
        <v>3.63</v>
      </c>
      <c r="F97" s="12">
        <v>3.42</v>
      </c>
      <c r="G97" s="12">
        <v>34.130000000000003</v>
      </c>
      <c r="H97" s="12">
        <v>11.1</v>
      </c>
      <c r="I97" s="12">
        <v>4.26</v>
      </c>
      <c r="J97" s="12">
        <v>0.41</v>
      </c>
      <c r="K97" s="12">
        <v>2.0299999999999998</v>
      </c>
      <c r="L97" s="12">
        <v>23.59</v>
      </c>
      <c r="M97" s="12">
        <v>98.35</v>
      </c>
      <c r="N97" s="12">
        <v>17.8</v>
      </c>
      <c r="O97" s="12">
        <v>0</v>
      </c>
      <c r="P97" s="12">
        <v>0.45</v>
      </c>
      <c r="Q97" s="12">
        <v>9.35</v>
      </c>
      <c r="R97" s="198"/>
      <c r="S97" s="198"/>
      <c r="T97" s="198"/>
      <c r="U97" s="198"/>
    </row>
    <row r="98" spans="1:33" s="12" customFormat="1" x14ac:dyDescent="0.25">
      <c r="A98" s="213" t="s">
        <v>331</v>
      </c>
      <c r="B98" s="12">
        <v>8.24</v>
      </c>
      <c r="C98" s="12">
        <v>3.3</v>
      </c>
      <c r="D98" s="12">
        <v>12.11</v>
      </c>
      <c r="E98" s="12">
        <v>3.69</v>
      </c>
      <c r="F98" s="12">
        <v>3.21</v>
      </c>
      <c r="G98" s="12">
        <v>34.130000000000003</v>
      </c>
      <c r="H98" s="12">
        <v>11.1</v>
      </c>
      <c r="I98" s="12">
        <v>4.37</v>
      </c>
      <c r="J98" s="12">
        <v>0.23</v>
      </c>
      <c r="K98" s="12">
        <v>147.43</v>
      </c>
      <c r="L98" s="12">
        <v>23.59</v>
      </c>
      <c r="M98" s="12">
        <v>98.34</v>
      </c>
      <c r="N98" s="12">
        <v>18</v>
      </c>
      <c r="O98" s="12">
        <v>0</v>
      </c>
      <c r="P98" s="12">
        <v>0.44</v>
      </c>
      <c r="Q98" s="12">
        <v>9.34</v>
      </c>
      <c r="R98" s="198"/>
      <c r="S98" s="198"/>
      <c r="T98" s="198"/>
      <c r="U98" s="198"/>
    </row>
    <row r="99" spans="1:33" s="12" customFormat="1" x14ac:dyDescent="0.25">
      <c r="A99" s="213" t="s">
        <v>332</v>
      </c>
      <c r="B99" s="12">
        <v>8.24</v>
      </c>
      <c r="C99" s="12">
        <v>3.23</v>
      </c>
      <c r="D99" s="12">
        <v>12.07</v>
      </c>
      <c r="E99" s="12">
        <v>3.32</v>
      </c>
      <c r="F99" s="12">
        <v>3.6</v>
      </c>
      <c r="G99" s="12">
        <v>30.24</v>
      </c>
      <c r="H99" s="12">
        <v>10.199999999999999</v>
      </c>
      <c r="I99" s="12">
        <v>4.28</v>
      </c>
      <c r="J99" s="12">
        <v>0.39</v>
      </c>
      <c r="K99" s="12">
        <v>140.01</v>
      </c>
      <c r="L99" s="12">
        <v>23.59</v>
      </c>
      <c r="M99" s="12">
        <v>98.33</v>
      </c>
      <c r="N99" s="12">
        <v>18.100000000000001</v>
      </c>
      <c r="O99" s="12">
        <v>0</v>
      </c>
      <c r="P99" s="12">
        <v>0.43</v>
      </c>
      <c r="Q99" s="12">
        <v>9.36</v>
      </c>
      <c r="R99" s="198"/>
      <c r="S99" s="198"/>
      <c r="T99" s="198"/>
      <c r="U99" s="198"/>
    </row>
    <row r="100" spans="1:33" s="12" customFormat="1" x14ac:dyDescent="0.25">
      <c r="A100" s="213" t="s">
        <v>333</v>
      </c>
      <c r="B100" s="12">
        <v>8.1999999999999993</v>
      </c>
      <c r="C100" s="12">
        <v>3.24</v>
      </c>
      <c r="D100" s="12">
        <v>12.04</v>
      </c>
      <c r="E100" s="12">
        <v>3.2</v>
      </c>
      <c r="F100" s="12">
        <v>4.18</v>
      </c>
      <c r="G100" s="12">
        <v>27.88</v>
      </c>
      <c r="H100" s="12">
        <v>9.65</v>
      </c>
      <c r="I100" s="12">
        <v>4.17</v>
      </c>
      <c r="J100" s="12">
        <v>0.32</v>
      </c>
      <c r="K100" s="12">
        <v>147.77000000000001</v>
      </c>
      <c r="L100" s="12">
        <v>23.61</v>
      </c>
      <c r="M100" s="12">
        <v>98.33</v>
      </c>
      <c r="N100" s="12">
        <v>18</v>
      </c>
      <c r="O100" s="12">
        <v>0</v>
      </c>
      <c r="P100" s="12">
        <v>0.43</v>
      </c>
      <c r="Q100" s="12">
        <v>9.39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334</v>
      </c>
      <c r="B101" s="12">
        <v>8.2200000000000006</v>
      </c>
      <c r="C101" s="12">
        <v>3.32</v>
      </c>
      <c r="D101" s="12">
        <v>12.1</v>
      </c>
      <c r="E101" s="12">
        <v>3.43</v>
      </c>
      <c r="F101" s="12">
        <v>2.39</v>
      </c>
      <c r="G101" s="12">
        <v>27.88</v>
      </c>
      <c r="H101" s="12">
        <v>9.65</v>
      </c>
      <c r="I101" s="12">
        <v>4.13</v>
      </c>
      <c r="J101" s="12">
        <v>0.18</v>
      </c>
      <c r="K101" s="12">
        <v>243.85</v>
      </c>
      <c r="L101" s="12">
        <v>23.63</v>
      </c>
      <c r="M101" s="12">
        <v>98.33</v>
      </c>
      <c r="N101" s="12">
        <v>18</v>
      </c>
      <c r="O101" s="12">
        <v>0</v>
      </c>
      <c r="P101" s="12">
        <v>0.42</v>
      </c>
      <c r="Q101" s="12">
        <v>9.3800000000000008</v>
      </c>
      <c r="R101" s="198"/>
      <c r="S101" s="198"/>
      <c r="T101" s="198"/>
      <c r="U101" s="198"/>
    </row>
    <row r="102" spans="1:33" s="12" customFormat="1" x14ac:dyDescent="0.25">
      <c r="A102" s="213" t="s">
        <v>335</v>
      </c>
      <c r="B102" s="12">
        <v>8.2100000000000009</v>
      </c>
      <c r="C102" s="12">
        <v>3.27</v>
      </c>
      <c r="D102" s="12">
        <v>12.07</v>
      </c>
      <c r="E102" s="12">
        <v>3.33</v>
      </c>
      <c r="F102" s="12">
        <v>3.2</v>
      </c>
      <c r="G102" s="12">
        <v>27.88</v>
      </c>
      <c r="H102" s="12">
        <v>9.65</v>
      </c>
      <c r="I102" s="12">
        <v>4.1399999999999997</v>
      </c>
      <c r="J102" s="12">
        <v>0.11</v>
      </c>
      <c r="K102" s="12">
        <v>339.93</v>
      </c>
      <c r="L102" s="12">
        <v>23.68</v>
      </c>
      <c r="M102" s="12">
        <v>98.33</v>
      </c>
      <c r="N102" s="12">
        <v>18</v>
      </c>
      <c r="O102" s="12">
        <v>0</v>
      </c>
      <c r="P102" s="12">
        <v>0.41</v>
      </c>
      <c r="Q102" s="12">
        <v>9.3800000000000008</v>
      </c>
      <c r="R102" s="198"/>
      <c r="S102" s="198"/>
      <c r="T102" s="198"/>
      <c r="U102" s="198"/>
    </row>
    <row r="103" spans="1:33" s="12" customFormat="1" x14ac:dyDescent="0.25">
      <c r="A103" s="213" t="s">
        <v>336</v>
      </c>
      <c r="B103" s="12">
        <v>8.2899999999999991</v>
      </c>
      <c r="C103" s="12">
        <v>3.36</v>
      </c>
      <c r="D103" s="12">
        <v>12.18</v>
      </c>
      <c r="E103" s="12">
        <v>2.78</v>
      </c>
      <c r="F103" s="12">
        <v>3.94</v>
      </c>
      <c r="G103" s="12">
        <v>29.44</v>
      </c>
      <c r="H103" s="12">
        <v>8.4499999999999993</v>
      </c>
      <c r="I103" s="12">
        <v>4.0599999999999996</v>
      </c>
      <c r="J103" s="12">
        <v>0.2</v>
      </c>
      <c r="K103" s="12">
        <v>322.56</v>
      </c>
      <c r="L103" s="12">
        <v>23.72</v>
      </c>
      <c r="M103" s="12">
        <v>98.33</v>
      </c>
      <c r="N103" s="12">
        <v>18</v>
      </c>
      <c r="O103" s="12">
        <v>0</v>
      </c>
      <c r="P103" s="12">
        <v>0.41</v>
      </c>
      <c r="Q103" s="12">
        <v>9.3699999999999992</v>
      </c>
      <c r="R103" s="198"/>
      <c r="S103" s="198"/>
      <c r="T103" s="198"/>
      <c r="U103" s="198"/>
    </row>
    <row r="104" spans="1:33" s="12" customFormat="1" x14ac:dyDescent="0.25">
      <c r="A104" s="213" t="s">
        <v>337</v>
      </c>
      <c r="B104" s="12">
        <v>8.17</v>
      </c>
      <c r="C104" s="12">
        <v>3.19</v>
      </c>
      <c r="D104" s="12">
        <v>12</v>
      </c>
      <c r="E104" s="12">
        <v>3.2</v>
      </c>
      <c r="F104" s="12">
        <v>3.55</v>
      </c>
      <c r="G104" s="12">
        <v>30.39</v>
      </c>
      <c r="H104" s="12">
        <v>7.68</v>
      </c>
      <c r="I104" s="12">
        <v>3.95</v>
      </c>
      <c r="J104" s="12">
        <v>0.14000000000000001</v>
      </c>
      <c r="K104" s="12">
        <v>300.54000000000002</v>
      </c>
      <c r="L104" s="12">
        <v>23.75</v>
      </c>
      <c r="M104" s="12">
        <v>98.33</v>
      </c>
      <c r="N104" s="12">
        <v>18.100000000000001</v>
      </c>
      <c r="O104" s="12">
        <v>0</v>
      </c>
      <c r="P104" s="12">
        <v>0.4</v>
      </c>
      <c r="Q104" s="12">
        <v>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8.1199999999999992</v>
      </c>
      <c r="C106" s="67">
        <f>MIN(C9:C104)</f>
        <v>3.08</v>
      </c>
      <c r="D106" s="67">
        <f t="shared" ref="D106:Q106" si="0">MIN(D9:D104)</f>
        <v>11.92</v>
      </c>
      <c r="E106" s="67">
        <f t="shared" si="0"/>
        <v>2.78</v>
      </c>
      <c r="F106" s="67">
        <f t="shared" si="0"/>
        <v>2.39</v>
      </c>
      <c r="G106" s="67">
        <f t="shared" si="0"/>
        <v>14.64</v>
      </c>
      <c r="H106" s="67">
        <f t="shared" si="0"/>
        <v>3.46</v>
      </c>
      <c r="I106" s="67">
        <f t="shared" si="0"/>
        <v>1.04</v>
      </c>
      <c r="J106" s="67">
        <f t="shared" si="0"/>
        <v>0.05</v>
      </c>
      <c r="K106" s="67">
        <f t="shared" si="0"/>
        <v>0.49</v>
      </c>
      <c r="L106" s="67">
        <f t="shared" si="0"/>
        <v>22.83</v>
      </c>
      <c r="M106" s="67">
        <f t="shared" si="0"/>
        <v>77.069999999999993</v>
      </c>
      <c r="N106" s="67">
        <f t="shared" si="0"/>
        <v>17.100000000000001</v>
      </c>
      <c r="O106" s="67">
        <f t="shared" si="0"/>
        <v>0</v>
      </c>
      <c r="P106" s="67">
        <f t="shared" si="0"/>
        <v>0.28000000000000003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8.41</v>
      </c>
      <c r="C107" s="66">
        <f t="shared" ref="C107:Q107" si="1">MAX(C9:C104)</f>
        <v>3.56</v>
      </c>
      <c r="D107" s="66">
        <f t="shared" si="1"/>
        <v>12.37</v>
      </c>
      <c r="E107" s="66">
        <f t="shared" si="1"/>
        <v>4.97</v>
      </c>
      <c r="F107" s="66">
        <f t="shared" si="1"/>
        <v>8.31</v>
      </c>
      <c r="G107" s="66">
        <f t="shared" si="1"/>
        <v>54.4</v>
      </c>
      <c r="H107" s="66">
        <f t="shared" si="1"/>
        <v>14.09</v>
      </c>
      <c r="I107" s="66">
        <f t="shared" si="1"/>
        <v>4.9400000000000004</v>
      </c>
      <c r="J107" s="66">
        <f t="shared" si="1"/>
        <v>1.64</v>
      </c>
      <c r="K107" s="66">
        <f t="shared" si="1"/>
        <v>359.76</v>
      </c>
      <c r="L107" s="66">
        <f t="shared" si="1"/>
        <v>27.43</v>
      </c>
      <c r="M107" s="66">
        <f t="shared" si="1"/>
        <v>98.39</v>
      </c>
      <c r="N107" s="66">
        <f t="shared" si="1"/>
        <v>388.4</v>
      </c>
      <c r="O107" s="66">
        <f t="shared" si="1"/>
        <v>1.2</v>
      </c>
      <c r="P107" s="66">
        <f t="shared" si="1"/>
        <v>0.47</v>
      </c>
      <c r="Q107" s="66">
        <f t="shared" si="1"/>
        <v>9.4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8.2598958333333368</v>
      </c>
      <c r="C108" s="67">
        <f t="shared" ref="C108:Q108" si="2">AVERAGE(C9:C104)</f>
        <v>3.2446874999999999</v>
      </c>
      <c r="D108" s="67">
        <f t="shared" si="2"/>
        <v>12.093229166666658</v>
      </c>
      <c r="E108" s="67">
        <f t="shared" si="2"/>
        <v>3.9110416666666676</v>
      </c>
      <c r="F108" s="67">
        <f t="shared" si="2"/>
        <v>4.1796875</v>
      </c>
      <c r="G108" s="67">
        <f t="shared" si="2"/>
        <v>27.276562500000022</v>
      </c>
      <c r="H108" s="67">
        <f t="shared" si="2"/>
        <v>8.4948958333333326</v>
      </c>
      <c r="I108" s="67">
        <f t="shared" si="2"/>
        <v>2.4802083333333336</v>
      </c>
      <c r="J108" s="67">
        <f t="shared" si="2"/>
        <v>0.47427083333333342</v>
      </c>
      <c r="K108" s="67">
        <f t="shared" si="2"/>
        <v>213.11208333333332</v>
      </c>
      <c r="L108" s="67">
        <f t="shared" si="2"/>
        <v>24.301562500000003</v>
      </c>
      <c r="M108" s="67">
        <f t="shared" si="2"/>
        <v>92.957708333333343</v>
      </c>
      <c r="N108" s="67">
        <f t="shared" si="2"/>
        <v>97.876041666666723</v>
      </c>
      <c r="O108" s="67">
        <f t="shared" si="2"/>
        <v>1.4583333333333332E-2</v>
      </c>
      <c r="P108" s="67">
        <f t="shared" si="2"/>
        <v>0.37375000000000003</v>
      </c>
      <c r="Q108" s="67">
        <f t="shared" si="2"/>
        <v>9.2879166666666695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6.8648529583925422E-2</v>
      </c>
      <c r="C109" s="67">
        <f t="shared" ref="C109:Q109" si="3">STDEV(C9:C104)</f>
        <v>8.4154658688318382E-2</v>
      </c>
      <c r="D109" s="67">
        <f t="shared" si="3"/>
        <v>8.4747237702745226E-2</v>
      </c>
      <c r="E109" s="67">
        <f t="shared" si="3"/>
        <v>0.61356161131314335</v>
      </c>
      <c r="F109" s="67">
        <f t="shared" si="3"/>
        <v>1.2181724474975228</v>
      </c>
      <c r="G109" s="67">
        <f t="shared" si="3"/>
        <v>10.601916691471112</v>
      </c>
      <c r="H109" s="67">
        <f t="shared" si="3"/>
        <v>3.3230410912744199</v>
      </c>
      <c r="I109" s="67">
        <f t="shared" si="3"/>
        <v>1.243990166797037</v>
      </c>
      <c r="J109" s="67">
        <f t="shared" si="3"/>
        <v>0.28933224315624484</v>
      </c>
      <c r="K109" s="67">
        <f t="shared" si="3"/>
        <v>145.28960422778593</v>
      </c>
      <c r="L109" s="67">
        <f t="shared" si="3"/>
        <v>1.5133756816955164</v>
      </c>
      <c r="M109" s="67">
        <f t="shared" si="3"/>
        <v>8.1735610327531205</v>
      </c>
      <c r="N109" s="67">
        <f t="shared" si="3"/>
        <v>108.03742601504415</v>
      </c>
      <c r="O109" s="67">
        <f t="shared" si="3"/>
        <v>0.12395174499666915</v>
      </c>
      <c r="P109" s="67">
        <f t="shared" si="3"/>
        <v>4.8237351764615279E-2</v>
      </c>
      <c r="Q109" s="67">
        <f t="shared" si="3"/>
        <v>6.1505954639696048E-2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338</v>
      </c>
      <c r="B9" s="12">
        <v>8.2100000000000009</v>
      </c>
      <c r="C9" s="12">
        <v>3.19</v>
      </c>
      <c r="D9" s="12">
        <v>12.02</v>
      </c>
      <c r="E9" s="12">
        <v>3.84</v>
      </c>
      <c r="F9" s="12">
        <v>3.1</v>
      </c>
      <c r="G9" s="12">
        <v>30.39</v>
      </c>
      <c r="H9" s="12">
        <v>7.68</v>
      </c>
      <c r="I9" s="12">
        <v>3.77</v>
      </c>
      <c r="J9" s="12">
        <v>0.05</v>
      </c>
      <c r="K9" s="12">
        <v>241.29</v>
      </c>
      <c r="L9" s="12">
        <v>23.74</v>
      </c>
      <c r="M9" s="12">
        <v>98.33</v>
      </c>
      <c r="N9" s="12">
        <v>18</v>
      </c>
      <c r="O9" s="12">
        <v>0</v>
      </c>
      <c r="P9" s="12">
        <v>0.38</v>
      </c>
      <c r="Q9" s="12">
        <v>9.3699999999999992</v>
      </c>
      <c r="R9" s="198"/>
      <c r="S9" s="198"/>
      <c r="T9" s="198"/>
      <c r="U9" s="198"/>
    </row>
    <row r="10" spans="1:21" s="12" customFormat="1" x14ac:dyDescent="0.25">
      <c r="A10" s="213" t="s">
        <v>339</v>
      </c>
      <c r="B10" s="12">
        <v>8.19</v>
      </c>
      <c r="C10" s="12">
        <v>3.21</v>
      </c>
      <c r="D10" s="12">
        <v>12.02</v>
      </c>
      <c r="E10" s="12">
        <v>3.55</v>
      </c>
      <c r="F10" s="12">
        <v>3.53</v>
      </c>
      <c r="G10" s="12">
        <v>30.39</v>
      </c>
      <c r="H10" s="12">
        <v>7.68</v>
      </c>
      <c r="I10" s="12">
        <v>3.64</v>
      </c>
      <c r="J10" s="12">
        <v>0.16</v>
      </c>
      <c r="K10" s="12">
        <v>40.96</v>
      </c>
      <c r="L10" s="12">
        <v>23.75</v>
      </c>
      <c r="M10" s="12">
        <v>98.33</v>
      </c>
      <c r="N10" s="12">
        <v>18</v>
      </c>
      <c r="O10" s="12">
        <v>0</v>
      </c>
      <c r="P10" s="12">
        <v>0.37</v>
      </c>
      <c r="Q10" s="12">
        <v>9.34</v>
      </c>
      <c r="R10" s="198"/>
      <c r="S10" s="198"/>
      <c r="T10" s="198"/>
      <c r="U10" s="198"/>
    </row>
    <row r="11" spans="1:21" s="12" customFormat="1" x14ac:dyDescent="0.25">
      <c r="A11" s="213" t="s">
        <v>340</v>
      </c>
      <c r="B11" s="12">
        <v>8.2200000000000006</v>
      </c>
      <c r="C11" s="12">
        <v>3.19</v>
      </c>
      <c r="D11" s="12">
        <v>12.04</v>
      </c>
      <c r="E11" s="12">
        <v>3.56</v>
      </c>
      <c r="F11" s="12">
        <v>3.18</v>
      </c>
      <c r="G11" s="12">
        <v>27.49</v>
      </c>
      <c r="H11" s="12">
        <v>6.51</v>
      </c>
      <c r="I11" s="12">
        <v>3.58</v>
      </c>
      <c r="J11" s="12">
        <v>0.2</v>
      </c>
      <c r="K11" s="12">
        <v>22.13</v>
      </c>
      <c r="L11" s="12">
        <v>23.88</v>
      </c>
      <c r="M11" s="12">
        <v>98.3</v>
      </c>
      <c r="N11" s="12">
        <v>17.899999999999999</v>
      </c>
      <c r="O11" s="12">
        <v>0</v>
      </c>
      <c r="P11" s="12">
        <v>0.36</v>
      </c>
      <c r="Q11" s="12">
        <v>9.33</v>
      </c>
      <c r="R11" s="198"/>
      <c r="S11" s="198"/>
      <c r="T11" s="198"/>
      <c r="U11" s="198"/>
    </row>
    <row r="12" spans="1:21" s="12" customFormat="1" x14ac:dyDescent="0.25">
      <c r="A12" s="213" t="s">
        <v>341</v>
      </c>
      <c r="B12" s="12">
        <v>8.33</v>
      </c>
      <c r="C12" s="12">
        <v>3.3</v>
      </c>
      <c r="D12" s="12">
        <v>12.18</v>
      </c>
      <c r="E12" s="12">
        <v>3.62</v>
      </c>
      <c r="F12" s="12">
        <v>3.49</v>
      </c>
      <c r="G12" s="12">
        <v>25.74</v>
      </c>
      <c r="H12" s="12">
        <v>5.8</v>
      </c>
      <c r="I12" s="12">
        <v>3.53</v>
      </c>
      <c r="J12" s="12">
        <v>0.15</v>
      </c>
      <c r="K12" s="12">
        <v>237.77</v>
      </c>
      <c r="L12" s="12">
        <v>23.91</v>
      </c>
      <c r="M12" s="12">
        <v>98.27</v>
      </c>
      <c r="N12" s="12">
        <v>17.7</v>
      </c>
      <c r="O12" s="12">
        <v>0</v>
      </c>
      <c r="P12" s="12">
        <v>0.35</v>
      </c>
      <c r="Q12" s="12">
        <v>9.35</v>
      </c>
      <c r="R12" s="198"/>
      <c r="S12" s="198"/>
      <c r="T12" s="198"/>
      <c r="U12" s="198"/>
    </row>
    <row r="13" spans="1:21" s="12" customFormat="1" x14ac:dyDescent="0.25">
      <c r="A13" s="213" t="s">
        <v>342</v>
      </c>
      <c r="B13" s="12">
        <v>8.2799999999999994</v>
      </c>
      <c r="C13" s="12">
        <v>3.2</v>
      </c>
      <c r="D13" s="12">
        <v>12.09</v>
      </c>
      <c r="E13" s="12">
        <v>3.55</v>
      </c>
      <c r="F13" s="12">
        <v>3.39</v>
      </c>
      <c r="G13" s="12">
        <v>25.74</v>
      </c>
      <c r="H13" s="12">
        <v>5.8</v>
      </c>
      <c r="I13" s="12">
        <v>3.56</v>
      </c>
      <c r="J13" s="12">
        <v>0.08</v>
      </c>
      <c r="K13" s="12">
        <v>343.58</v>
      </c>
      <c r="L13" s="12">
        <v>23.89</v>
      </c>
      <c r="M13" s="12">
        <v>98.28</v>
      </c>
      <c r="N13" s="12">
        <v>17.600000000000001</v>
      </c>
      <c r="O13" s="12">
        <v>0</v>
      </c>
      <c r="P13" s="12">
        <v>0.33</v>
      </c>
      <c r="Q13" s="12">
        <v>9.33</v>
      </c>
      <c r="R13" s="198"/>
      <c r="S13" s="198"/>
      <c r="T13" s="198"/>
      <c r="U13" s="198"/>
    </row>
    <row r="14" spans="1:21" s="12" customFormat="1" x14ac:dyDescent="0.25">
      <c r="A14" s="213" t="s">
        <v>343</v>
      </c>
      <c r="B14" s="12">
        <v>8.26</v>
      </c>
      <c r="C14" s="12">
        <v>3.14</v>
      </c>
      <c r="D14" s="12">
        <v>12.04</v>
      </c>
      <c r="E14" s="12">
        <v>3.83</v>
      </c>
      <c r="F14" s="12">
        <v>3.32</v>
      </c>
      <c r="G14" s="12">
        <v>25.74</v>
      </c>
      <c r="H14" s="12">
        <v>5.8</v>
      </c>
      <c r="I14" s="12">
        <v>3.67</v>
      </c>
      <c r="J14" s="12">
        <v>0.19</v>
      </c>
      <c r="K14" s="12">
        <v>348.22</v>
      </c>
      <c r="L14" s="12">
        <v>24.02</v>
      </c>
      <c r="M14" s="12">
        <v>97.28</v>
      </c>
      <c r="N14" s="12">
        <v>17.5</v>
      </c>
      <c r="O14" s="12">
        <v>0</v>
      </c>
      <c r="P14" s="12">
        <v>0.34</v>
      </c>
      <c r="Q14" s="12">
        <v>9.35</v>
      </c>
      <c r="R14" s="198"/>
      <c r="S14" s="198"/>
      <c r="T14" s="198"/>
      <c r="U14" s="198"/>
    </row>
    <row r="15" spans="1:21" s="12" customFormat="1" x14ac:dyDescent="0.25">
      <c r="A15" s="213" t="s">
        <v>344</v>
      </c>
      <c r="B15" s="12">
        <v>8.24</v>
      </c>
      <c r="C15" s="12">
        <v>3.16</v>
      </c>
      <c r="D15" s="12">
        <v>12.03</v>
      </c>
      <c r="E15" s="12">
        <v>3.77</v>
      </c>
      <c r="F15" s="12">
        <v>3.52</v>
      </c>
      <c r="G15" s="12">
        <v>23.43</v>
      </c>
      <c r="H15" s="12">
        <v>4.7300000000000004</v>
      </c>
      <c r="I15" s="12">
        <v>3.78</v>
      </c>
      <c r="J15" s="12">
        <v>0.22</v>
      </c>
      <c r="K15" s="12">
        <v>348.94</v>
      </c>
      <c r="L15" s="12">
        <v>24.07</v>
      </c>
      <c r="M15" s="12">
        <v>95.86</v>
      </c>
      <c r="N15" s="12">
        <v>17.8</v>
      </c>
      <c r="O15" s="12">
        <v>0</v>
      </c>
      <c r="P15" s="12">
        <v>0.32</v>
      </c>
      <c r="Q15" s="12">
        <v>9.3800000000000008</v>
      </c>
      <c r="R15" s="198"/>
      <c r="S15" s="198"/>
      <c r="T15" s="198"/>
      <c r="U15" s="198"/>
    </row>
    <row r="16" spans="1:21" s="12" customFormat="1" x14ac:dyDescent="0.25">
      <c r="A16" s="213" t="s">
        <v>345</v>
      </c>
      <c r="B16" s="12">
        <v>8.23</v>
      </c>
      <c r="C16" s="12">
        <v>3.24</v>
      </c>
      <c r="D16" s="12">
        <v>12.07</v>
      </c>
      <c r="E16" s="12">
        <v>3.48</v>
      </c>
      <c r="F16" s="12">
        <v>3.95</v>
      </c>
      <c r="G16" s="12">
        <v>21.97</v>
      </c>
      <c r="H16" s="12">
        <v>4.0599999999999996</v>
      </c>
      <c r="I16" s="12">
        <v>3.78</v>
      </c>
      <c r="J16" s="12">
        <v>0.22</v>
      </c>
      <c r="K16" s="12">
        <v>341.42</v>
      </c>
      <c r="L16" s="12">
        <v>23.83</v>
      </c>
      <c r="M16" s="12">
        <v>96.04</v>
      </c>
      <c r="N16" s="12">
        <v>18.100000000000001</v>
      </c>
      <c r="O16" s="12">
        <v>0</v>
      </c>
      <c r="P16" s="12">
        <v>0.31</v>
      </c>
      <c r="Q16" s="12">
        <v>9.36</v>
      </c>
      <c r="R16" s="198"/>
      <c r="S16" s="198"/>
      <c r="T16" s="198"/>
      <c r="U16" s="198"/>
    </row>
    <row r="17" spans="1:21" s="12" customFormat="1" x14ac:dyDescent="0.25">
      <c r="A17" s="213" t="s">
        <v>346</v>
      </c>
      <c r="B17" s="12">
        <v>8.19</v>
      </c>
      <c r="C17" s="12">
        <v>3.12</v>
      </c>
      <c r="D17" s="12">
        <v>11.97</v>
      </c>
      <c r="E17" s="12">
        <v>3.93</v>
      </c>
      <c r="F17" s="12">
        <v>4.03</v>
      </c>
      <c r="G17" s="12">
        <v>21.97</v>
      </c>
      <c r="H17" s="12">
        <v>4.0599999999999996</v>
      </c>
      <c r="I17" s="12">
        <v>3.59</v>
      </c>
      <c r="J17" s="12">
        <v>0.55000000000000004</v>
      </c>
      <c r="K17" s="12">
        <v>5.65</v>
      </c>
      <c r="L17" s="12">
        <v>23.6</v>
      </c>
      <c r="M17" s="12">
        <v>94.34</v>
      </c>
      <c r="N17" s="12">
        <v>17.8</v>
      </c>
      <c r="O17" s="12">
        <v>0</v>
      </c>
      <c r="P17" s="12">
        <v>0.3</v>
      </c>
      <c r="Q17" s="12">
        <v>9.31</v>
      </c>
      <c r="R17" s="198"/>
      <c r="S17" s="198"/>
      <c r="T17" s="198"/>
      <c r="U17" s="198"/>
    </row>
    <row r="18" spans="1:21" s="12" customFormat="1" x14ac:dyDescent="0.25">
      <c r="A18" s="213" t="s">
        <v>347</v>
      </c>
      <c r="B18" s="12">
        <v>8.16</v>
      </c>
      <c r="C18" s="12">
        <v>3.1</v>
      </c>
      <c r="D18" s="12">
        <v>11.94</v>
      </c>
      <c r="E18" s="12">
        <v>3.74</v>
      </c>
      <c r="F18" s="12">
        <v>4.7699999999999996</v>
      </c>
      <c r="G18" s="12">
        <v>21.97</v>
      </c>
      <c r="H18" s="12">
        <v>4.0599999999999996</v>
      </c>
      <c r="I18" s="12">
        <v>3.33</v>
      </c>
      <c r="J18" s="12">
        <v>0.56999999999999995</v>
      </c>
      <c r="K18" s="12">
        <v>4.1399999999999997</v>
      </c>
      <c r="L18" s="12">
        <v>23.33</v>
      </c>
      <c r="M18" s="12">
        <v>91.66</v>
      </c>
      <c r="N18" s="12">
        <v>17.7</v>
      </c>
      <c r="O18" s="12">
        <v>0</v>
      </c>
      <c r="P18" s="12">
        <v>0.28000000000000003</v>
      </c>
      <c r="Q18" s="12">
        <v>9.34</v>
      </c>
      <c r="R18" s="198"/>
      <c r="S18" s="198"/>
      <c r="T18" s="198"/>
      <c r="U18" s="198"/>
    </row>
    <row r="19" spans="1:21" s="12" customFormat="1" x14ac:dyDescent="0.25">
      <c r="A19" s="213" t="s">
        <v>348</v>
      </c>
      <c r="B19" s="12">
        <v>8.1300000000000008</v>
      </c>
      <c r="C19" s="12">
        <v>3.11</v>
      </c>
      <c r="D19" s="12">
        <v>11.92</v>
      </c>
      <c r="E19" s="12">
        <v>3.99</v>
      </c>
      <c r="F19" s="12">
        <v>5.61</v>
      </c>
      <c r="G19" s="12">
        <v>22.7</v>
      </c>
      <c r="H19" s="12">
        <v>3.83</v>
      </c>
      <c r="I19" s="12">
        <v>3.11</v>
      </c>
      <c r="J19" s="12">
        <v>0.37</v>
      </c>
      <c r="K19" s="12">
        <v>343.78</v>
      </c>
      <c r="L19" s="12">
        <v>23.14</v>
      </c>
      <c r="M19" s="12">
        <v>88.5</v>
      </c>
      <c r="N19" s="12">
        <v>17.8</v>
      </c>
      <c r="O19" s="12">
        <v>0</v>
      </c>
      <c r="P19" s="12">
        <v>0.28000000000000003</v>
      </c>
      <c r="Q19" s="12">
        <v>9.3000000000000007</v>
      </c>
      <c r="R19" s="198"/>
      <c r="S19" s="198"/>
      <c r="T19" s="198"/>
      <c r="U19" s="198"/>
    </row>
    <row r="20" spans="1:21" s="12" customFormat="1" x14ac:dyDescent="0.25">
      <c r="A20" s="213" t="s">
        <v>349</v>
      </c>
      <c r="B20" s="12">
        <v>8.16</v>
      </c>
      <c r="C20" s="12">
        <v>3.16</v>
      </c>
      <c r="D20" s="12">
        <v>11.97</v>
      </c>
      <c r="E20" s="12">
        <v>4.0999999999999996</v>
      </c>
      <c r="F20" s="12">
        <v>2.87</v>
      </c>
      <c r="G20" s="12">
        <v>23.17</v>
      </c>
      <c r="H20" s="12">
        <v>3.68</v>
      </c>
      <c r="I20" s="12">
        <v>2.85</v>
      </c>
      <c r="J20" s="12">
        <v>0.5</v>
      </c>
      <c r="K20" s="12">
        <v>0.63</v>
      </c>
      <c r="L20" s="12">
        <v>22.88</v>
      </c>
      <c r="M20" s="12">
        <v>87.79</v>
      </c>
      <c r="N20" s="12">
        <v>17.7</v>
      </c>
      <c r="O20" s="12">
        <v>0</v>
      </c>
      <c r="P20" s="12">
        <v>0.26</v>
      </c>
      <c r="Q20" s="12">
        <v>9.2100000000000009</v>
      </c>
      <c r="R20" s="198"/>
      <c r="S20" s="198"/>
      <c r="T20" s="198"/>
      <c r="U20" s="198"/>
    </row>
    <row r="21" spans="1:21" s="12" customFormat="1" x14ac:dyDescent="0.25">
      <c r="A21" s="213" t="s">
        <v>350</v>
      </c>
      <c r="B21" s="12">
        <v>8.17</v>
      </c>
      <c r="C21" s="12">
        <v>3.16</v>
      </c>
      <c r="D21" s="12">
        <v>11.97</v>
      </c>
      <c r="E21" s="12">
        <v>3.57</v>
      </c>
      <c r="F21" s="12">
        <v>4.88</v>
      </c>
      <c r="G21" s="12">
        <v>23.17</v>
      </c>
      <c r="H21" s="12">
        <v>3.68</v>
      </c>
      <c r="I21" s="12">
        <v>2.54</v>
      </c>
      <c r="J21" s="12">
        <v>0.52</v>
      </c>
      <c r="K21" s="12">
        <v>11</v>
      </c>
      <c r="L21" s="12">
        <v>22.83</v>
      </c>
      <c r="M21" s="12">
        <v>89.95</v>
      </c>
      <c r="N21" s="12">
        <v>17.8</v>
      </c>
      <c r="O21" s="12">
        <v>0</v>
      </c>
      <c r="P21" s="12">
        <v>0.24</v>
      </c>
      <c r="Q21" s="12">
        <v>9.19</v>
      </c>
      <c r="R21" s="198"/>
      <c r="S21" s="198"/>
      <c r="T21" s="198"/>
      <c r="U21" s="198"/>
    </row>
    <row r="22" spans="1:21" s="12" customFormat="1" x14ac:dyDescent="0.25">
      <c r="A22" s="213" t="s">
        <v>351</v>
      </c>
      <c r="B22" s="12">
        <v>8.17</v>
      </c>
      <c r="C22" s="12">
        <v>3.14</v>
      </c>
      <c r="D22" s="12">
        <v>11.97</v>
      </c>
      <c r="E22" s="12">
        <v>3.61</v>
      </c>
      <c r="F22" s="12">
        <v>5.4</v>
      </c>
      <c r="G22" s="12">
        <v>23.17</v>
      </c>
      <c r="H22" s="12">
        <v>3.68</v>
      </c>
      <c r="I22" s="12">
        <v>2.2000000000000002</v>
      </c>
      <c r="J22" s="12">
        <v>0.34</v>
      </c>
      <c r="K22" s="12">
        <v>337.92</v>
      </c>
      <c r="L22" s="12">
        <v>22.67</v>
      </c>
      <c r="M22" s="12">
        <v>91.46</v>
      </c>
      <c r="N22" s="12">
        <v>17.7</v>
      </c>
      <c r="O22" s="12">
        <v>0</v>
      </c>
      <c r="P22" s="12">
        <v>0.24</v>
      </c>
      <c r="Q22" s="12">
        <v>9.24</v>
      </c>
      <c r="R22" s="198"/>
      <c r="S22" s="198"/>
      <c r="T22" s="198"/>
      <c r="U22" s="198"/>
    </row>
    <row r="23" spans="1:21" s="12" customFormat="1" x14ac:dyDescent="0.25">
      <c r="A23" s="213" t="s">
        <v>352</v>
      </c>
      <c r="B23" s="12">
        <v>8.24</v>
      </c>
      <c r="C23" s="12">
        <v>3.28</v>
      </c>
      <c r="D23" s="12">
        <v>12.09</v>
      </c>
      <c r="E23" s="12">
        <v>3.61</v>
      </c>
      <c r="F23" s="12">
        <v>5.42</v>
      </c>
      <c r="G23" s="12">
        <v>18.98</v>
      </c>
      <c r="H23" s="12">
        <v>3.25</v>
      </c>
      <c r="I23" s="12">
        <v>1.93</v>
      </c>
      <c r="J23" s="12">
        <v>0.36</v>
      </c>
      <c r="K23" s="12">
        <v>350.75</v>
      </c>
      <c r="L23" s="12">
        <v>22.54</v>
      </c>
      <c r="M23" s="12">
        <v>93.23</v>
      </c>
      <c r="N23" s="12">
        <v>17.7</v>
      </c>
      <c r="O23" s="12">
        <v>0</v>
      </c>
      <c r="P23" s="12">
        <v>0.24</v>
      </c>
      <c r="Q23" s="12">
        <v>9.24</v>
      </c>
      <c r="R23" s="198"/>
      <c r="S23" s="198"/>
      <c r="T23" s="198"/>
      <c r="U23" s="198"/>
    </row>
    <row r="24" spans="1:21" s="12" customFormat="1" x14ac:dyDescent="0.25">
      <c r="A24" s="213" t="s">
        <v>353</v>
      </c>
      <c r="B24" s="12">
        <v>8.23</v>
      </c>
      <c r="C24" s="12">
        <v>3.34</v>
      </c>
      <c r="D24" s="12">
        <v>12.12</v>
      </c>
      <c r="E24" s="12">
        <v>3.08</v>
      </c>
      <c r="F24" s="12">
        <v>2.7</v>
      </c>
      <c r="G24" s="12">
        <v>16.32</v>
      </c>
      <c r="H24" s="12">
        <v>2.98</v>
      </c>
      <c r="I24" s="12">
        <v>1.8</v>
      </c>
      <c r="J24" s="12">
        <v>0.44</v>
      </c>
      <c r="K24" s="12">
        <v>346.47</v>
      </c>
      <c r="L24" s="12">
        <v>22.33</v>
      </c>
      <c r="M24" s="12">
        <v>95.37</v>
      </c>
      <c r="N24" s="12">
        <v>17.7</v>
      </c>
      <c r="O24" s="12">
        <v>0</v>
      </c>
      <c r="P24" s="12">
        <v>0.24</v>
      </c>
      <c r="Q24" s="12">
        <v>9.2100000000000009</v>
      </c>
      <c r="R24" s="198"/>
      <c r="S24" s="198"/>
      <c r="T24" s="198"/>
      <c r="U24" s="198"/>
    </row>
    <row r="25" spans="1:21" s="12" customFormat="1" x14ac:dyDescent="0.25">
      <c r="A25" s="213" t="s">
        <v>354</v>
      </c>
      <c r="B25" s="12">
        <v>8.15</v>
      </c>
      <c r="C25" s="12">
        <v>3.13</v>
      </c>
      <c r="D25" s="12">
        <v>11.94</v>
      </c>
      <c r="E25" s="12">
        <v>3.74</v>
      </c>
      <c r="F25" s="12">
        <v>3.69</v>
      </c>
      <c r="G25" s="12">
        <v>16.32</v>
      </c>
      <c r="H25" s="12">
        <v>2.98</v>
      </c>
      <c r="I25" s="12">
        <v>1.75</v>
      </c>
      <c r="J25" s="12">
        <v>0.45</v>
      </c>
      <c r="K25" s="12">
        <v>1.58</v>
      </c>
      <c r="L25" s="12">
        <v>22.22</v>
      </c>
      <c r="M25" s="12">
        <v>96.39</v>
      </c>
      <c r="N25" s="12">
        <v>17.5</v>
      </c>
      <c r="O25" s="12">
        <v>0</v>
      </c>
      <c r="P25" s="12">
        <v>0.22</v>
      </c>
      <c r="Q25" s="12">
        <v>9.19</v>
      </c>
      <c r="R25" s="198"/>
      <c r="S25" s="198"/>
      <c r="T25" s="198"/>
      <c r="U25" s="198"/>
    </row>
    <row r="26" spans="1:21" s="12" customFormat="1" x14ac:dyDescent="0.25">
      <c r="A26" s="213" t="s">
        <v>355</v>
      </c>
      <c r="B26" s="12">
        <v>8.17</v>
      </c>
      <c r="C26" s="12">
        <v>3.14</v>
      </c>
      <c r="D26" s="12">
        <v>11.97</v>
      </c>
      <c r="E26" s="12">
        <v>3.47</v>
      </c>
      <c r="F26" s="12">
        <v>4.7300000000000004</v>
      </c>
      <c r="G26" s="12">
        <v>16.32</v>
      </c>
      <c r="H26" s="12">
        <v>2.98</v>
      </c>
      <c r="I26" s="12">
        <v>1.62</v>
      </c>
      <c r="J26" s="12">
        <v>0.47</v>
      </c>
      <c r="K26" s="12">
        <v>0.28000000000000003</v>
      </c>
      <c r="L26" s="12">
        <v>22.18</v>
      </c>
      <c r="M26" s="12">
        <v>97.06</v>
      </c>
      <c r="N26" s="12">
        <v>17.399999999999999</v>
      </c>
      <c r="O26" s="12">
        <v>0</v>
      </c>
      <c r="P26" s="12">
        <v>0.22</v>
      </c>
      <c r="Q26" s="12">
        <v>9.1999999999999993</v>
      </c>
      <c r="R26" s="198"/>
      <c r="S26" s="198"/>
      <c r="T26" s="198"/>
      <c r="U26" s="198"/>
    </row>
    <row r="27" spans="1:21" s="12" customFormat="1" x14ac:dyDescent="0.25">
      <c r="A27" s="213" t="s">
        <v>356</v>
      </c>
      <c r="B27" s="12">
        <v>8.16</v>
      </c>
      <c r="C27" s="12">
        <v>3.05</v>
      </c>
      <c r="D27" s="12">
        <v>11.91</v>
      </c>
      <c r="E27" s="12">
        <v>3.69</v>
      </c>
      <c r="F27" s="12">
        <v>4.71</v>
      </c>
      <c r="G27" s="12">
        <v>15.25</v>
      </c>
      <c r="H27" s="12">
        <v>2.4300000000000002</v>
      </c>
      <c r="I27" s="12">
        <v>1.45</v>
      </c>
      <c r="J27" s="12">
        <v>0.49</v>
      </c>
      <c r="K27" s="12">
        <v>1.77</v>
      </c>
      <c r="L27" s="12">
        <v>22.1</v>
      </c>
      <c r="M27" s="12">
        <v>98.11</v>
      </c>
      <c r="N27" s="12">
        <v>17.399999999999999</v>
      </c>
      <c r="O27" s="12">
        <v>0</v>
      </c>
      <c r="P27" s="12">
        <v>0.23</v>
      </c>
      <c r="Q27" s="12">
        <v>9.25</v>
      </c>
      <c r="R27" s="198"/>
      <c r="S27" s="198"/>
      <c r="T27" s="198"/>
      <c r="U27" s="198"/>
    </row>
    <row r="28" spans="1:21" s="12" customFormat="1" x14ac:dyDescent="0.25">
      <c r="A28" s="213" t="s">
        <v>357</v>
      </c>
      <c r="B28" s="12">
        <v>8.16</v>
      </c>
      <c r="C28" s="12">
        <v>3.08</v>
      </c>
      <c r="D28" s="12">
        <v>11.92</v>
      </c>
      <c r="E28" s="12">
        <v>3.75</v>
      </c>
      <c r="F28" s="12">
        <v>2.72</v>
      </c>
      <c r="G28" s="12">
        <v>14.58</v>
      </c>
      <c r="H28" s="12">
        <v>2.08</v>
      </c>
      <c r="I28" s="12">
        <v>1.37</v>
      </c>
      <c r="J28" s="12">
        <v>0.51</v>
      </c>
      <c r="K28" s="12">
        <v>2.85</v>
      </c>
      <c r="L28" s="12">
        <v>22.16</v>
      </c>
      <c r="M28" s="12">
        <v>98.3</v>
      </c>
      <c r="N28" s="12">
        <v>17.399999999999999</v>
      </c>
      <c r="O28" s="12">
        <v>0</v>
      </c>
      <c r="P28" s="12">
        <v>0.22</v>
      </c>
      <c r="Q28" s="12">
        <v>9.23</v>
      </c>
      <c r="R28" s="198"/>
      <c r="S28" s="198"/>
      <c r="T28" s="198"/>
      <c r="U28" s="198"/>
    </row>
    <row r="29" spans="1:21" s="12" customFormat="1" x14ac:dyDescent="0.25">
      <c r="A29" s="213" t="s">
        <v>358</v>
      </c>
      <c r="B29" s="12">
        <v>8.17</v>
      </c>
      <c r="C29" s="12">
        <v>3.15</v>
      </c>
      <c r="D29" s="12">
        <v>11.97</v>
      </c>
      <c r="E29" s="12">
        <v>3.86</v>
      </c>
      <c r="F29" s="12">
        <v>3.64</v>
      </c>
      <c r="G29" s="12">
        <v>14.58</v>
      </c>
      <c r="H29" s="12">
        <v>2.08</v>
      </c>
      <c r="I29" s="12">
        <v>1.34</v>
      </c>
      <c r="J29" s="12">
        <v>0.52</v>
      </c>
      <c r="K29" s="12">
        <v>351.85</v>
      </c>
      <c r="L29" s="12">
        <v>22.22</v>
      </c>
      <c r="M29" s="12">
        <v>97.78</v>
      </c>
      <c r="N29" s="12">
        <v>17.5</v>
      </c>
      <c r="O29" s="12">
        <v>0</v>
      </c>
      <c r="P29" s="12">
        <v>0.21</v>
      </c>
      <c r="Q29" s="12">
        <v>9.2200000000000006</v>
      </c>
      <c r="R29" s="198"/>
      <c r="S29" s="198"/>
      <c r="T29" s="198"/>
      <c r="U29" s="198"/>
    </row>
    <row r="30" spans="1:21" s="12" customFormat="1" x14ac:dyDescent="0.25">
      <c r="A30" s="213" t="s">
        <v>359</v>
      </c>
      <c r="B30" s="12">
        <v>8.1999999999999993</v>
      </c>
      <c r="C30" s="12">
        <v>3.12</v>
      </c>
      <c r="D30" s="12">
        <v>11.98</v>
      </c>
      <c r="E30" s="12">
        <v>3.96</v>
      </c>
      <c r="F30" s="12">
        <v>3.77</v>
      </c>
      <c r="G30" s="12">
        <v>14.58</v>
      </c>
      <c r="H30" s="12">
        <v>2.08</v>
      </c>
      <c r="I30" s="12">
        <v>1.24</v>
      </c>
      <c r="J30" s="12">
        <v>0.33</v>
      </c>
      <c r="K30" s="12">
        <v>336.13</v>
      </c>
      <c r="L30" s="12">
        <v>22.12</v>
      </c>
      <c r="M30" s="12">
        <v>98.33</v>
      </c>
      <c r="N30" s="12">
        <v>18.899999999999999</v>
      </c>
      <c r="O30" s="12">
        <v>0</v>
      </c>
      <c r="P30" s="12">
        <v>0.21</v>
      </c>
      <c r="Q30" s="12">
        <v>9.19</v>
      </c>
      <c r="R30" s="198"/>
      <c r="S30" s="198"/>
      <c r="T30" s="198"/>
      <c r="U30" s="198"/>
    </row>
    <row r="31" spans="1:21" s="12" customFormat="1" x14ac:dyDescent="0.25">
      <c r="A31" s="213" t="s">
        <v>360</v>
      </c>
      <c r="B31" s="12">
        <v>8.1999999999999993</v>
      </c>
      <c r="C31" s="12">
        <v>3.12</v>
      </c>
      <c r="D31" s="12">
        <v>11.98</v>
      </c>
      <c r="E31" s="12">
        <v>3.59</v>
      </c>
      <c r="F31" s="12">
        <v>3.69</v>
      </c>
      <c r="G31" s="12">
        <v>15</v>
      </c>
      <c r="H31" s="12">
        <v>1.73</v>
      </c>
      <c r="I31" s="12">
        <v>1.17</v>
      </c>
      <c r="J31" s="12">
        <v>0.4</v>
      </c>
      <c r="K31" s="12">
        <v>1.31</v>
      </c>
      <c r="L31" s="12">
        <v>22.12</v>
      </c>
      <c r="M31" s="12">
        <v>98.32</v>
      </c>
      <c r="N31" s="12">
        <v>24.7</v>
      </c>
      <c r="O31" s="12">
        <v>0</v>
      </c>
      <c r="P31" s="12">
        <v>0.21</v>
      </c>
      <c r="Q31" s="12">
        <v>9.2100000000000009</v>
      </c>
      <c r="R31" s="198"/>
      <c r="S31" s="198"/>
      <c r="T31" s="198"/>
      <c r="U31" s="198"/>
    </row>
    <row r="32" spans="1:21" s="12" customFormat="1" x14ac:dyDescent="0.25">
      <c r="A32" s="213" t="s">
        <v>361</v>
      </c>
      <c r="B32" s="12">
        <v>8.24</v>
      </c>
      <c r="C32" s="12">
        <v>3.17</v>
      </c>
      <c r="D32" s="12">
        <v>12.04</v>
      </c>
      <c r="E32" s="12">
        <v>3.89</v>
      </c>
      <c r="F32" s="12">
        <v>3.29</v>
      </c>
      <c r="G32" s="12">
        <v>15.26</v>
      </c>
      <c r="H32" s="12">
        <v>1.5</v>
      </c>
      <c r="I32" s="12">
        <v>1.23</v>
      </c>
      <c r="J32" s="12">
        <v>0.28000000000000003</v>
      </c>
      <c r="K32" s="12">
        <v>15.25</v>
      </c>
      <c r="L32" s="12">
        <v>22.13</v>
      </c>
      <c r="M32" s="12">
        <v>98.33</v>
      </c>
      <c r="N32" s="12">
        <v>30.1</v>
      </c>
      <c r="O32" s="12">
        <v>0</v>
      </c>
      <c r="P32" s="12">
        <v>0.21</v>
      </c>
      <c r="Q32" s="12">
        <v>9.2100000000000009</v>
      </c>
      <c r="R32" s="198"/>
      <c r="S32" s="198"/>
      <c r="T32" s="198"/>
      <c r="U32" s="198"/>
    </row>
    <row r="33" spans="1:21" s="12" customFormat="1" x14ac:dyDescent="0.25">
      <c r="A33" s="213" t="s">
        <v>362</v>
      </c>
      <c r="B33" s="12">
        <v>8.25</v>
      </c>
      <c r="C33" s="12">
        <v>3.14</v>
      </c>
      <c r="D33" s="12">
        <v>12.03</v>
      </c>
      <c r="E33" s="12">
        <v>3.56</v>
      </c>
      <c r="F33" s="12">
        <v>3.44</v>
      </c>
      <c r="G33" s="12">
        <v>15.26</v>
      </c>
      <c r="H33" s="12">
        <v>1.5</v>
      </c>
      <c r="I33" s="12">
        <v>1.39</v>
      </c>
      <c r="J33" s="12">
        <v>0.17</v>
      </c>
      <c r="K33" s="12">
        <v>286.83999999999997</v>
      </c>
      <c r="L33" s="12">
        <v>22.13</v>
      </c>
      <c r="M33" s="12">
        <v>98.33</v>
      </c>
      <c r="N33" s="12">
        <v>40.6</v>
      </c>
      <c r="O33" s="12">
        <v>0</v>
      </c>
      <c r="P33" s="12">
        <v>0.21</v>
      </c>
      <c r="Q33" s="12">
        <v>9.2200000000000006</v>
      </c>
      <c r="R33" s="198"/>
      <c r="S33" s="198"/>
      <c r="T33" s="198"/>
      <c r="U33" s="198"/>
    </row>
    <row r="34" spans="1:21" s="12" customFormat="1" x14ac:dyDescent="0.25">
      <c r="A34" s="213" t="s">
        <v>363</v>
      </c>
      <c r="B34" s="12">
        <v>8.2200000000000006</v>
      </c>
      <c r="C34" s="12">
        <v>3.1</v>
      </c>
      <c r="D34" s="12">
        <v>11.99</v>
      </c>
      <c r="E34" s="12">
        <v>3.77</v>
      </c>
      <c r="F34" s="12">
        <v>3.6</v>
      </c>
      <c r="G34" s="12">
        <v>15.26</v>
      </c>
      <c r="H34" s="12">
        <v>1.5</v>
      </c>
      <c r="I34" s="12">
        <v>1.55</v>
      </c>
      <c r="J34" s="12">
        <v>0.14000000000000001</v>
      </c>
      <c r="K34" s="12">
        <v>310.16000000000003</v>
      </c>
      <c r="L34" s="12">
        <v>22.24</v>
      </c>
      <c r="M34" s="12">
        <v>97.83</v>
      </c>
      <c r="N34" s="12">
        <v>54</v>
      </c>
      <c r="O34" s="12">
        <v>0</v>
      </c>
      <c r="P34" s="12">
        <v>0.22</v>
      </c>
      <c r="Q34" s="12">
        <v>9.25</v>
      </c>
      <c r="R34" s="198"/>
      <c r="S34" s="198"/>
      <c r="T34" s="198"/>
      <c r="U34" s="198"/>
    </row>
    <row r="35" spans="1:21" s="12" customFormat="1" x14ac:dyDescent="0.25">
      <c r="A35" s="213" t="s">
        <v>364</v>
      </c>
      <c r="B35" s="12">
        <v>8.2100000000000009</v>
      </c>
      <c r="C35" s="12">
        <v>3.11</v>
      </c>
      <c r="D35" s="12">
        <v>11.98</v>
      </c>
      <c r="E35" s="12">
        <v>3.75</v>
      </c>
      <c r="F35" s="12">
        <v>3.38</v>
      </c>
      <c r="G35" s="12">
        <v>17.77</v>
      </c>
      <c r="H35" s="12">
        <v>1.26</v>
      </c>
      <c r="I35" s="12">
        <v>1.7</v>
      </c>
      <c r="J35" s="12">
        <v>0.09</v>
      </c>
      <c r="K35" s="12">
        <v>268.86</v>
      </c>
      <c r="L35" s="12">
        <v>22.19</v>
      </c>
      <c r="M35" s="12">
        <v>98.32</v>
      </c>
      <c r="N35" s="12">
        <v>66</v>
      </c>
      <c r="O35" s="12">
        <v>0</v>
      </c>
      <c r="P35" s="12">
        <v>0.22</v>
      </c>
      <c r="Q35" s="12">
        <v>9.25</v>
      </c>
      <c r="R35" s="198"/>
      <c r="S35" s="198"/>
      <c r="T35" s="198"/>
      <c r="U35" s="198"/>
    </row>
    <row r="36" spans="1:21" s="12" customFormat="1" x14ac:dyDescent="0.25">
      <c r="A36" s="213" t="s">
        <v>365</v>
      </c>
      <c r="B36" s="12">
        <v>8.24</v>
      </c>
      <c r="C36" s="12">
        <v>3.13</v>
      </c>
      <c r="D36" s="12">
        <v>12.01</v>
      </c>
      <c r="E36" s="12">
        <v>3.74</v>
      </c>
      <c r="F36" s="12">
        <v>3.34</v>
      </c>
      <c r="G36" s="12">
        <v>19.36</v>
      </c>
      <c r="H36" s="12">
        <v>1.1100000000000001</v>
      </c>
      <c r="I36" s="12">
        <v>1.86</v>
      </c>
      <c r="J36" s="12">
        <v>0.22</v>
      </c>
      <c r="K36" s="12">
        <v>289.01</v>
      </c>
      <c r="L36" s="12">
        <v>22.39</v>
      </c>
      <c r="M36" s="12">
        <v>97.8</v>
      </c>
      <c r="N36" s="12">
        <v>67.5</v>
      </c>
      <c r="O36" s="12">
        <v>0</v>
      </c>
      <c r="P36" s="12">
        <v>0.23</v>
      </c>
      <c r="Q36" s="12">
        <v>9.24</v>
      </c>
      <c r="R36" s="198"/>
      <c r="S36" s="198"/>
      <c r="T36" s="198"/>
      <c r="U36" s="198"/>
    </row>
    <row r="37" spans="1:21" s="12" customFormat="1" x14ac:dyDescent="0.25">
      <c r="A37" s="213" t="s">
        <v>366</v>
      </c>
      <c r="B37" s="12">
        <v>8.17</v>
      </c>
      <c r="C37" s="12">
        <v>3.12</v>
      </c>
      <c r="D37" s="12">
        <v>11.96</v>
      </c>
      <c r="E37" s="12">
        <v>3.84</v>
      </c>
      <c r="F37" s="12">
        <v>4.41</v>
      </c>
      <c r="G37" s="12">
        <v>19.36</v>
      </c>
      <c r="H37" s="12">
        <v>1.1100000000000001</v>
      </c>
      <c r="I37" s="12">
        <v>2.0699999999999998</v>
      </c>
      <c r="J37" s="12">
        <v>0.19</v>
      </c>
      <c r="K37" s="12">
        <v>201.37</v>
      </c>
      <c r="L37" s="12">
        <v>22.39</v>
      </c>
      <c r="M37" s="12">
        <v>98.24</v>
      </c>
      <c r="N37" s="12">
        <v>75.3</v>
      </c>
      <c r="O37" s="12">
        <v>0.2</v>
      </c>
      <c r="P37" s="12">
        <v>0.25</v>
      </c>
      <c r="Q37" s="12">
        <v>9.24</v>
      </c>
      <c r="R37" s="198"/>
      <c r="S37" s="198"/>
      <c r="T37" s="198"/>
      <c r="U37" s="198"/>
    </row>
    <row r="38" spans="1:21" s="12" customFormat="1" x14ac:dyDescent="0.25">
      <c r="A38" s="213" t="s">
        <v>367</v>
      </c>
      <c r="B38" s="12">
        <v>8.15</v>
      </c>
      <c r="C38" s="12">
        <v>3.1</v>
      </c>
      <c r="D38" s="12">
        <v>11.93</v>
      </c>
      <c r="E38" s="12">
        <v>4.22</v>
      </c>
      <c r="F38" s="12">
        <v>3.47</v>
      </c>
      <c r="G38" s="12">
        <v>19.36</v>
      </c>
      <c r="H38" s="12">
        <v>1.1100000000000001</v>
      </c>
      <c r="I38" s="12">
        <v>2.19</v>
      </c>
      <c r="J38" s="12">
        <v>0.2</v>
      </c>
      <c r="K38" s="12">
        <v>189.78</v>
      </c>
      <c r="L38" s="12">
        <v>22.42</v>
      </c>
      <c r="M38" s="12">
        <v>97.8</v>
      </c>
      <c r="N38" s="12">
        <v>79.900000000000006</v>
      </c>
      <c r="O38" s="12">
        <v>0</v>
      </c>
      <c r="P38" s="12">
        <v>0.28000000000000003</v>
      </c>
      <c r="Q38" s="12">
        <v>9.2100000000000009</v>
      </c>
      <c r="R38" s="198"/>
      <c r="S38" s="198"/>
      <c r="T38" s="198"/>
      <c r="U38" s="198"/>
    </row>
    <row r="39" spans="1:21" s="12" customFormat="1" x14ac:dyDescent="0.25">
      <c r="A39" s="213" t="s">
        <v>368</v>
      </c>
      <c r="B39" s="12">
        <v>8.18</v>
      </c>
      <c r="C39" s="12">
        <v>3.18</v>
      </c>
      <c r="D39" s="12">
        <v>12</v>
      </c>
      <c r="E39" s="12">
        <v>3.87</v>
      </c>
      <c r="F39" s="12">
        <v>3.21</v>
      </c>
      <c r="G39" s="12">
        <v>19.489999999999998</v>
      </c>
      <c r="H39" s="12">
        <v>3.57</v>
      </c>
      <c r="I39" s="12">
        <v>2.2400000000000002</v>
      </c>
      <c r="J39" s="12">
        <v>0.16</v>
      </c>
      <c r="K39" s="12">
        <v>135.97</v>
      </c>
      <c r="L39" s="12">
        <v>22.44</v>
      </c>
      <c r="M39" s="12">
        <v>98.32</v>
      </c>
      <c r="N39" s="12">
        <v>87.8</v>
      </c>
      <c r="O39" s="12">
        <v>0</v>
      </c>
      <c r="P39" s="12">
        <v>0.26</v>
      </c>
      <c r="Q39" s="12">
        <v>9.1999999999999993</v>
      </c>
      <c r="R39" s="198"/>
      <c r="S39" s="198"/>
      <c r="T39" s="198"/>
      <c r="U39" s="198"/>
    </row>
    <row r="40" spans="1:21" s="12" customFormat="1" x14ac:dyDescent="0.25">
      <c r="A40" s="213" t="s">
        <v>369</v>
      </c>
      <c r="B40" s="12">
        <v>8.3000000000000007</v>
      </c>
      <c r="C40" s="12">
        <v>3.41</v>
      </c>
      <c r="D40" s="12">
        <v>12.21</v>
      </c>
      <c r="E40" s="12">
        <v>3.82</v>
      </c>
      <c r="F40" s="12">
        <v>4.21</v>
      </c>
      <c r="G40" s="12">
        <v>19.57</v>
      </c>
      <c r="H40" s="12">
        <v>5.14</v>
      </c>
      <c r="I40" s="12">
        <v>2.23</v>
      </c>
      <c r="J40" s="12">
        <v>0.32</v>
      </c>
      <c r="K40" s="12">
        <v>174.52</v>
      </c>
      <c r="L40" s="12">
        <v>22.72</v>
      </c>
      <c r="M40" s="12">
        <v>98.3</v>
      </c>
      <c r="N40" s="12">
        <v>104.5</v>
      </c>
      <c r="O40" s="12">
        <v>0</v>
      </c>
      <c r="P40" s="12">
        <v>0.27</v>
      </c>
      <c r="Q40" s="12">
        <v>9.24</v>
      </c>
      <c r="R40" s="198"/>
      <c r="S40" s="198"/>
      <c r="T40" s="198"/>
      <c r="U40" s="198"/>
    </row>
    <row r="41" spans="1:21" s="12" customFormat="1" x14ac:dyDescent="0.25">
      <c r="A41" s="213" t="s">
        <v>370</v>
      </c>
      <c r="B41" s="12">
        <v>8.23</v>
      </c>
      <c r="C41" s="12">
        <v>3.29</v>
      </c>
      <c r="D41" s="12">
        <v>12.09</v>
      </c>
      <c r="E41" s="12">
        <v>4.3099999999999996</v>
      </c>
      <c r="F41" s="12">
        <v>4.1399999999999997</v>
      </c>
      <c r="G41" s="12">
        <v>19.57</v>
      </c>
      <c r="H41" s="12">
        <v>5.14</v>
      </c>
      <c r="I41" s="12">
        <v>2.21</v>
      </c>
      <c r="J41" s="12">
        <v>0.5</v>
      </c>
      <c r="K41" s="12">
        <v>174.35</v>
      </c>
      <c r="L41" s="12">
        <v>22.89</v>
      </c>
      <c r="M41" s="12">
        <v>98.12</v>
      </c>
      <c r="N41" s="12">
        <v>112.3</v>
      </c>
      <c r="O41" s="12">
        <v>0</v>
      </c>
      <c r="P41" s="12">
        <v>0.28000000000000003</v>
      </c>
      <c r="Q41" s="12">
        <v>9.24</v>
      </c>
      <c r="R41" s="198"/>
      <c r="S41" s="198"/>
      <c r="T41" s="198"/>
      <c r="U41" s="198"/>
    </row>
    <row r="42" spans="1:21" s="12" customFormat="1" x14ac:dyDescent="0.25">
      <c r="A42" s="213" t="s">
        <v>371</v>
      </c>
      <c r="B42" s="12">
        <v>8.17</v>
      </c>
      <c r="C42" s="12">
        <v>3.16</v>
      </c>
      <c r="D42" s="12">
        <v>11.98</v>
      </c>
      <c r="E42" s="12">
        <v>4.2300000000000004</v>
      </c>
      <c r="F42" s="12">
        <v>3.06</v>
      </c>
      <c r="G42" s="12">
        <v>19.57</v>
      </c>
      <c r="H42" s="12">
        <v>5.14</v>
      </c>
      <c r="I42" s="12">
        <v>2.25</v>
      </c>
      <c r="J42" s="12">
        <v>0.54</v>
      </c>
      <c r="K42" s="12">
        <v>173.29</v>
      </c>
      <c r="L42" s="12">
        <v>22.95</v>
      </c>
      <c r="M42" s="12">
        <v>97.72</v>
      </c>
      <c r="N42" s="12">
        <v>117.3</v>
      </c>
      <c r="O42" s="12">
        <v>0</v>
      </c>
      <c r="P42" s="12">
        <v>0.28000000000000003</v>
      </c>
      <c r="Q42" s="12">
        <v>9.23</v>
      </c>
      <c r="R42" s="198"/>
      <c r="S42" s="198"/>
      <c r="T42" s="198"/>
      <c r="U42" s="198"/>
    </row>
    <row r="43" spans="1:21" s="12" customFormat="1" x14ac:dyDescent="0.25">
      <c r="A43" s="213" t="s">
        <v>372</v>
      </c>
      <c r="B43" s="12">
        <v>8.2100000000000009</v>
      </c>
      <c r="C43" s="12">
        <v>3.18</v>
      </c>
      <c r="D43" s="12">
        <v>12.02</v>
      </c>
      <c r="E43" s="12">
        <v>4.1900000000000004</v>
      </c>
      <c r="F43" s="12">
        <v>3.42</v>
      </c>
      <c r="G43" s="12">
        <v>19.14</v>
      </c>
      <c r="H43" s="12">
        <v>4.75</v>
      </c>
      <c r="I43" s="12">
        <v>2.2799999999999998</v>
      </c>
      <c r="J43" s="12">
        <v>0.54</v>
      </c>
      <c r="K43" s="12">
        <v>172.05</v>
      </c>
      <c r="L43" s="12">
        <v>23.21</v>
      </c>
      <c r="M43" s="12">
        <v>97.85</v>
      </c>
      <c r="N43" s="12">
        <v>157</v>
      </c>
      <c r="O43" s="12">
        <v>0</v>
      </c>
      <c r="P43" s="12">
        <v>0.27</v>
      </c>
      <c r="Q43" s="12">
        <v>9.26</v>
      </c>
      <c r="R43" s="198"/>
      <c r="S43" s="198"/>
      <c r="T43" s="198"/>
      <c r="U43" s="198"/>
    </row>
    <row r="44" spans="1:21" s="12" customFormat="1" x14ac:dyDescent="0.25">
      <c r="A44" s="213" t="s">
        <v>373</v>
      </c>
      <c r="B44" s="12">
        <v>8.17</v>
      </c>
      <c r="C44" s="12">
        <v>3.09</v>
      </c>
      <c r="D44" s="12">
        <v>11.94</v>
      </c>
      <c r="E44" s="12">
        <v>4</v>
      </c>
      <c r="F44" s="12">
        <v>4.3099999999999996</v>
      </c>
      <c r="G44" s="12">
        <v>18.86</v>
      </c>
      <c r="H44" s="12">
        <v>4.5</v>
      </c>
      <c r="I44" s="12">
        <v>2.2999999999999998</v>
      </c>
      <c r="J44" s="12">
        <v>0.31</v>
      </c>
      <c r="K44" s="12">
        <v>154.04</v>
      </c>
      <c r="L44" s="12">
        <v>23.31</v>
      </c>
      <c r="M44" s="12">
        <v>97.04</v>
      </c>
      <c r="N44" s="12">
        <v>195.3</v>
      </c>
      <c r="O44" s="12">
        <v>0</v>
      </c>
      <c r="P44" s="12">
        <v>0.28999999999999998</v>
      </c>
      <c r="Q44" s="12">
        <v>9.26</v>
      </c>
      <c r="R44" s="198"/>
      <c r="S44" s="198"/>
      <c r="T44" s="198"/>
      <c r="U44" s="198"/>
    </row>
    <row r="45" spans="1:21" s="12" customFormat="1" x14ac:dyDescent="0.25">
      <c r="A45" s="213" t="s">
        <v>374</v>
      </c>
      <c r="B45" s="12">
        <v>8.16</v>
      </c>
      <c r="C45" s="12">
        <v>3.11</v>
      </c>
      <c r="D45" s="12">
        <v>11.94</v>
      </c>
      <c r="E45" s="12">
        <v>4.54</v>
      </c>
      <c r="F45" s="12">
        <v>2.88</v>
      </c>
      <c r="G45" s="12">
        <v>18.86</v>
      </c>
      <c r="H45" s="12">
        <v>4.5</v>
      </c>
      <c r="I45" s="12">
        <v>2.33</v>
      </c>
      <c r="J45" s="12">
        <v>0.1</v>
      </c>
      <c r="K45" s="12">
        <v>224.33</v>
      </c>
      <c r="L45" s="12">
        <v>23.87</v>
      </c>
      <c r="M45" s="12">
        <v>95.65</v>
      </c>
      <c r="N45" s="12">
        <v>267.10000000000002</v>
      </c>
      <c r="O45" s="12">
        <v>0</v>
      </c>
      <c r="P45" s="12">
        <v>0.28999999999999998</v>
      </c>
      <c r="Q45" s="12">
        <v>9.26</v>
      </c>
      <c r="R45" s="198"/>
      <c r="S45" s="198"/>
      <c r="T45" s="198"/>
      <c r="U45" s="198"/>
    </row>
    <row r="46" spans="1:21" s="12" customFormat="1" x14ac:dyDescent="0.25">
      <c r="A46" s="213" t="s">
        <v>375</v>
      </c>
      <c r="B46" s="12">
        <v>8.18</v>
      </c>
      <c r="C46" s="12">
        <v>3.16</v>
      </c>
      <c r="D46" s="12">
        <v>11.98</v>
      </c>
      <c r="E46" s="12">
        <v>4.38</v>
      </c>
      <c r="F46" s="12">
        <v>3.4</v>
      </c>
      <c r="G46" s="12">
        <v>18.86</v>
      </c>
      <c r="H46" s="12">
        <v>4.5</v>
      </c>
      <c r="I46" s="12">
        <v>2.36</v>
      </c>
      <c r="J46" s="12">
        <v>0.13</v>
      </c>
      <c r="K46" s="12">
        <v>230.32</v>
      </c>
      <c r="L46" s="12">
        <v>24.58</v>
      </c>
      <c r="M46" s="12">
        <v>94.06</v>
      </c>
      <c r="N46" s="12">
        <v>335.1</v>
      </c>
      <c r="O46" s="12">
        <v>0</v>
      </c>
      <c r="P46" s="12">
        <v>0.28000000000000003</v>
      </c>
      <c r="Q46" s="12">
        <v>9.23</v>
      </c>
      <c r="R46" s="198"/>
      <c r="S46" s="198"/>
      <c r="T46" s="198"/>
      <c r="U46" s="198"/>
    </row>
    <row r="47" spans="1:21" s="12" customFormat="1" x14ac:dyDescent="0.25">
      <c r="A47" s="213" t="s">
        <v>376</v>
      </c>
      <c r="B47" s="12">
        <v>8.23</v>
      </c>
      <c r="C47" s="12">
        <v>3.21</v>
      </c>
      <c r="D47" s="12">
        <v>12.05</v>
      </c>
      <c r="E47" s="12">
        <v>4.2699999999999996</v>
      </c>
      <c r="F47" s="12">
        <v>3.85</v>
      </c>
      <c r="G47" s="12">
        <v>19.84</v>
      </c>
      <c r="H47" s="12">
        <v>6.42</v>
      </c>
      <c r="I47" s="12">
        <v>2.3199999999999998</v>
      </c>
      <c r="J47" s="12">
        <v>0.19</v>
      </c>
      <c r="K47" s="12">
        <v>288.8</v>
      </c>
      <c r="L47" s="12">
        <v>24.99</v>
      </c>
      <c r="M47" s="12">
        <v>91.43</v>
      </c>
      <c r="N47" s="12">
        <v>350.6</v>
      </c>
      <c r="O47" s="12">
        <v>0</v>
      </c>
      <c r="P47" s="12">
        <v>0.28000000000000003</v>
      </c>
      <c r="Q47" s="12">
        <v>9.24</v>
      </c>
      <c r="R47" s="198"/>
      <c r="S47" s="198"/>
      <c r="T47" s="198"/>
      <c r="U47" s="198"/>
    </row>
    <row r="48" spans="1:21" s="12" customFormat="1" x14ac:dyDescent="0.25">
      <c r="A48" s="213" t="s">
        <v>377</v>
      </c>
      <c r="B48" s="12">
        <v>8.2200000000000006</v>
      </c>
      <c r="C48" s="12">
        <v>3.19</v>
      </c>
      <c r="D48" s="12">
        <v>12.04</v>
      </c>
      <c r="E48" s="12">
        <v>4.18</v>
      </c>
      <c r="F48" s="12">
        <v>4.07</v>
      </c>
      <c r="G48" s="12">
        <v>20.47</v>
      </c>
      <c r="H48" s="12">
        <v>7.64</v>
      </c>
      <c r="I48" s="12">
        <v>2.2599999999999998</v>
      </c>
      <c r="J48" s="12">
        <v>0.2</v>
      </c>
      <c r="K48" s="12">
        <v>335.7</v>
      </c>
      <c r="L48" s="12">
        <v>25.49</v>
      </c>
      <c r="M48" s="12">
        <v>88.33</v>
      </c>
      <c r="N48" s="12">
        <v>395.2</v>
      </c>
      <c r="O48" s="12">
        <v>0</v>
      </c>
      <c r="P48" s="12">
        <v>0.28999999999999998</v>
      </c>
      <c r="Q48" s="12">
        <v>9.24</v>
      </c>
      <c r="R48" s="198"/>
      <c r="S48" s="198"/>
      <c r="T48" s="198"/>
      <c r="U48" s="198"/>
    </row>
    <row r="49" spans="1:21" s="12" customFormat="1" x14ac:dyDescent="0.25">
      <c r="A49" s="213" t="s">
        <v>378</v>
      </c>
      <c r="B49" s="12">
        <v>8.2200000000000006</v>
      </c>
      <c r="C49" s="12">
        <v>3.16</v>
      </c>
      <c r="D49" s="12">
        <v>12.02</v>
      </c>
      <c r="E49" s="12">
        <v>4.29</v>
      </c>
      <c r="F49" s="12">
        <v>4.3499999999999996</v>
      </c>
      <c r="G49" s="12">
        <v>20.47</v>
      </c>
      <c r="H49" s="12">
        <v>7.64</v>
      </c>
      <c r="I49" s="12">
        <v>2.17</v>
      </c>
      <c r="J49" s="12">
        <v>0.36</v>
      </c>
      <c r="K49" s="12">
        <v>4.4000000000000004</v>
      </c>
      <c r="L49" s="12">
        <v>26.19</v>
      </c>
      <c r="M49" s="12">
        <v>84.36</v>
      </c>
      <c r="N49" s="12">
        <v>438.5</v>
      </c>
      <c r="O49" s="12">
        <v>0</v>
      </c>
      <c r="P49" s="12">
        <v>0.28999999999999998</v>
      </c>
      <c r="Q49" s="12">
        <v>9.23</v>
      </c>
      <c r="R49" s="198"/>
      <c r="S49" s="198"/>
      <c r="T49" s="198"/>
      <c r="U49" s="198"/>
    </row>
    <row r="50" spans="1:21" s="12" customFormat="1" x14ac:dyDescent="0.25">
      <c r="A50" s="213" t="s">
        <v>379</v>
      </c>
      <c r="B50" s="12">
        <v>8.25</v>
      </c>
      <c r="C50" s="12">
        <v>3.23</v>
      </c>
      <c r="D50" s="12">
        <v>12.08</v>
      </c>
      <c r="E50" s="12">
        <v>3.99</v>
      </c>
      <c r="F50" s="12">
        <v>4.3899999999999997</v>
      </c>
      <c r="G50" s="12">
        <v>20.47</v>
      </c>
      <c r="H50" s="12">
        <v>7.64</v>
      </c>
      <c r="I50" s="12">
        <v>2.0699999999999998</v>
      </c>
      <c r="J50" s="12">
        <v>0.44</v>
      </c>
      <c r="K50" s="12">
        <v>348.96</v>
      </c>
      <c r="L50" s="12">
        <v>26.56</v>
      </c>
      <c r="M50" s="12">
        <v>79.709999999999994</v>
      </c>
      <c r="N50" s="12">
        <v>422.4</v>
      </c>
      <c r="O50" s="12">
        <v>0</v>
      </c>
      <c r="P50" s="12">
        <v>0.31</v>
      </c>
      <c r="Q50" s="12">
        <v>9.23</v>
      </c>
      <c r="R50" s="198"/>
      <c r="S50" s="198"/>
      <c r="T50" s="198"/>
      <c r="U50" s="198"/>
    </row>
    <row r="51" spans="1:21" s="12" customFormat="1" x14ac:dyDescent="0.25">
      <c r="A51" s="213" t="s">
        <v>380</v>
      </c>
      <c r="B51" s="12">
        <v>8.19</v>
      </c>
      <c r="C51" s="12">
        <v>3.17</v>
      </c>
      <c r="D51" s="12">
        <v>12</v>
      </c>
      <c r="E51" s="12">
        <v>4.32</v>
      </c>
      <c r="F51" s="12">
        <v>4.8899999999999997</v>
      </c>
      <c r="G51" s="12">
        <v>27.7</v>
      </c>
      <c r="H51" s="12">
        <v>7.35</v>
      </c>
      <c r="I51" s="12">
        <v>2.02</v>
      </c>
      <c r="J51" s="12">
        <v>0.69</v>
      </c>
      <c r="K51" s="12">
        <v>7.5</v>
      </c>
      <c r="L51" s="12">
        <v>26.79</v>
      </c>
      <c r="M51" s="12">
        <v>75.88</v>
      </c>
      <c r="N51" s="12">
        <v>499.5</v>
      </c>
      <c r="O51" s="12">
        <v>0</v>
      </c>
      <c r="P51" s="12">
        <v>0.31</v>
      </c>
      <c r="Q51" s="12">
        <v>9.24</v>
      </c>
      <c r="R51" s="198"/>
      <c r="S51" s="198"/>
      <c r="T51" s="198"/>
      <c r="U51" s="198"/>
    </row>
    <row r="52" spans="1:21" s="12" customFormat="1" x14ac:dyDescent="0.25">
      <c r="A52" s="213" t="s">
        <v>381</v>
      </c>
      <c r="B52" s="12">
        <v>8.1999999999999993</v>
      </c>
      <c r="C52" s="12">
        <v>3.15</v>
      </c>
      <c r="D52" s="12">
        <v>12</v>
      </c>
      <c r="E52" s="12">
        <v>4.04</v>
      </c>
      <c r="F52" s="12">
        <v>5.23</v>
      </c>
      <c r="G52" s="12">
        <v>32.299999999999997</v>
      </c>
      <c r="H52" s="12">
        <v>7.17</v>
      </c>
      <c r="I52" s="12">
        <v>1.92</v>
      </c>
      <c r="J52" s="12">
        <v>0.61</v>
      </c>
      <c r="K52" s="12">
        <v>2.93</v>
      </c>
      <c r="L52" s="12">
        <v>27.56</v>
      </c>
      <c r="M52" s="12">
        <v>73.33</v>
      </c>
      <c r="N52" s="12">
        <v>632.5</v>
      </c>
      <c r="O52" s="12">
        <v>0</v>
      </c>
      <c r="P52" s="12">
        <v>0.33</v>
      </c>
      <c r="Q52" s="12">
        <v>9.24</v>
      </c>
      <c r="R52" s="198"/>
      <c r="S52" s="198"/>
      <c r="T52" s="198"/>
      <c r="U52" s="198"/>
    </row>
    <row r="53" spans="1:21" s="12" customFormat="1" x14ac:dyDescent="0.25">
      <c r="A53" s="213" t="s">
        <v>382</v>
      </c>
      <c r="B53" s="12">
        <v>8.2100000000000009</v>
      </c>
      <c r="C53" s="12">
        <v>3.16</v>
      </c>
      <c r="D53" s="12">
        <v>12.01</v>
      </c>
      <c r="E53" s="12">
        <v>4.17</v>
      </c>
      <c r="F53" s="12">
        <v>5.44</v>
      </c>
      <c r="G53" s="12">
        <v>32.299999999999997</v>
      </c>
      <c r="H53" s="12">
        <v>7.17</v>
      </c>
      <c r="I53" s="12">
        <v>1.67</v>
      </c>
      <c r="J53" s="12">
        <v>0.33</v>
      </c>
      <c r="K53" s="12">
        <v>354.08</v>
      </c>
      <c r="L53" s="12">
        <v>28.11</v>
      </c>
      <c r="M53" s="12">
        <v>69.95</v>
      </c>
      <c r="N53" s="12">
        <v>819.5</v>
      </c>
      <c r="O53" s="12">
        <v>0</v>
      </c>
      <c r="P53" s="12">
        <v>0.33</v>
      </c>
      <c r="Q53" s="12">
        <v>9.25</v>
      </c>
      <c r="R53" s="198"/>
      <c r="S53" s="198"/>
      <c r="T53" s="198"/>
      <c r="U53" s="198"/>
    </row>
    <row r="54" spans="1:21" s="12" customFormat="1" x14ac:dyDescent="0.25">
      <c r="A54" s="213" t="s">
        <v>383</v>
      </c>
      <c r="B54" s="12">
        <v>8.23</v>
      </c>
      <c r="C54" s="12">
        <v>3.18</v>
      </c>
      <c r="D54" s="12">
        <v>12.04</v>
      </c>
      <c r="E54" s="12">
        <v>4.4000000000000004</v>
      </c>
      <c r="F54" s="12">
        <v>5.28</v>
      </c>
      <c r="G54" s="12">
        <v>32.299999999999997</v>
      </c>
      <c r="H54" s="12">
        <v>7.17</v>
      </c>
      <c r="I54" s="12">
        <v>1.54</v>
      </c>
      <c r="J54" s="12">
        <v>0.56000000000000005</v>
      </c>
      <c r="K54" s="12">
        <v>4.22</v>
      </c>
      <c r="L54" s="12">
        <v>28.06</v>
      </c>
      <c r="M54" s="12">
        <v>70.47</v>
      </c>
      <c r="N54" s="12">
        <v>578.70000000000005</v>
      </c>
      <c r="O54" s="12">
        <v>0</v>
      </c>
      <c r="P54" s="12">
        <v>0.33</v>
      </c>
      <c r="Q54" s="12">
        <v>9.23</v>
      </c>
      <c r="R54" s="198"/>
      <c r="S54" s="198"/>
      <c r="T54" s="198"/>
      <c r="U54" s="198"/>
    </row>
    <row r="55" spans="1:21" s="12" customFormat="1" x14ac:dyDescent="0.25">
      <c r="A55" s="213" t="s">
        <v>384</v>
      </c>
      <c r="B55" s="12">
        <v>8.1999999999999993</v>
      </c>
      <c r="C55" s="12">
        <v>3.19</v>
      </c>
      <c r="D55" s="12">
        <v>12.02</v>
      </c>
      <c r="E55" s="12">
        <v>4</v>
      </c>
      <c r="F55" s="12">
        <v>6.28</v>
      </c>
      <c r="G55" s="12">
        <v>33.29</v>
      </c>
      <c r="H55" s="12">
        <v>8.75</v>
      </c>
      <c r="I55" s="12">
        <v>1.43</v>
      </c>
      <c r="J55" s="12">
        <v>0.52</v>
      </c>
      <c r="K55" s="12">
        <v>359.56</v>
      </c>
      <c r="L55" s="12">
        <v>28.57</v>
      </c>
      <c r="M55" s="12">
        <v>69.12</v>
      </c>
      <c r="N55" s="12">
        <v>616.1</v>
      </c>
      <c r="O55" s="12">
        <v>0</v>
      </c>
      <c r="P55" s="12">
        <v>0.34</v>
      </c>
      <c r="Q55" s="12">
        <v>9.25</v>
      </c>
      <c r="R55" s="198"/>
      <c r="S55" s="198"/>
      <c r="T55" s="198"/>
      <c r="U55" s="198"/>
    </row>
    <row r="56" spans="1:21" s="12" customFormat="1" x14ac:dyDescent="0.25">
      <c r="A56" s="213" t="s">
        <v>385</v>
      </c>
      <c r="B56" s="12">
        <v>8.16</v>
      </c>
      <c r="C56" s="12">
        <v>3.24</v>
      </c>
      <c r="D56" s="12">
        <v>12.01</v>
      </c>
      <c r="E56" s="12">
        <v>3.53</v>
      </c>
      <c r="F56" s="12">
        <v>3.75</v>
      </c>
      <c r="G56" s="12">
        <v>33.92</v>
      </c>
      <c r="H56" s="12">
        <v>9.6999999999999993</v>
      </c>
      <c r="I56" s="12">
        <v>1.32</v>
      </c>
      <c r="J56" s="12">
        <v>0.28000000000000003</v>
      </c>
      <c r="K56" s="12">
        <v>339.11</v>
      </c>
      <c r="L56" s="12">
        <v>28.01</v>
      </c>
      <c r="M56" s="12">
        <v>71.64</v>
      </c>
      <c r="N56" s="12">
        <v>591</v>
      </c>
      <c r="O56" s="12">
        <v>0</v>
      </c>
      <c r="P56" s="12">
        <v>0.35</v>
      </c>
      <c r="Q56" s="12">
        <v>9.1999999999999993</v>
      </c>
      <c r="R56" s="198"/>
      <c r="S56" s="198"/>
      <c r="T56" s="198"/>
      <c r="U56" s="198"/>
    </row>
    <row r="57" spans="1:21" s="12" customFormat="1" x14ac:dyDescent="0.25">
      <c r="A57" s="213" t="s">
        <v>386</v>
      </c>
      <c r="B57" s="12">
        <v>8.15</v>
      </c>
      <c r="C57" s="12">
        <v>3.22</v>
      </c>
      <c r="D57" s="12">
        <v>12</v>
      </c>
      <c r="E57" s="12">
        <v>4.26</v>
      </c>
      <c r="F57" s="12">
        <v>4.0999999999999996</v>
      </c>
      <c r="G57" s="12">
        <v>33.92</v>
      </c>
      <c r="H57" s="12">
        <v>9.6999999999999993</v>
      </c>
      <c r="I57" s="12">
        <v>1.3</v>
      </c>
      <c r="J57" s="12">
        <v>0.72</v>
      </c>
      <c r="K57" s="12">
        <v>354.35</v>
      </c>
      <c r="L57" s="12">
        <v>28.34</v>
      </c>
      <c r="M57" s="12">
        <v>68.650000000000006</v>
      </c>
      <c r="N57" s="12">
        <v>497.3</v>
      </c>
      <c r="O57" s="12">
        <v>0</v>
      </c>
      <c r="P57" s="12">
        <v>0.34</v>
      </c>
      <c r="Q57" s="12">
        <v>9.17</v>
      </c>
      <c r="R57" s="198"/>
      <c r="S57" s="198"/>
      <c r="T57" s="198"/>
      <c r="U57" s="198"/>
    </row>
    <row r="58" spans="1:21" s="12" customFormat="1" x14ac:dyDescent="0.25">
      <c r="A58" s="213" t="s">
        <v>387</v>
      </c>
      <c r="B58" s="12">
        <v>8.18</v>
      </c>
      <c r="C58" s="12">
        <v>3.21</v>
      </c>
      <c r="D58" s="12">
        <v>12.01</v>
      </c>
      <c r="E58" s="12">
        <v>4.04</v>
      </c>
      <c r="F58" s="12">
        <v>4.84</v>
      </c>
      <c r="G58" s="12">
        <v>33.92</v>
      </c>
      <c r="H58" s="12">
        <v>9.6999999999999993</v>
      </c>
      <c r="I58" s="12">
        <v>1.27</v>
      </c>
      <c r="J58" s="12">
        <v>0.56999999999999995</v>
      </c>
      <c r="K58" s="12">
        <v>2.95</v>
      </c>
      <c r="L58" s="12">
        <v>28.64</v>
      </c>
      <c r="M58" s="12">
        <v>68.790000000000006</v>
      </c>
      <c r="N58" s="12">
        <v>749.2</v>
      </c>
      <c r="O58" s="12">
        <v>0</v>
      </c>
      <c r="P58" s="12">
        <v>0.34</v>
      </c>
      <c r="Q58" s="12">
        <v>9.19</v>
      </c>
      <c r="R58" s="198"/>
      <c r="S58" s="198"/>
      <c r="T58" s="198"/>
      <c r="U58" s="198"/>
    </row>
    <row r="59" spans="1:21" s="12" customFormat="1" x14ac:dyDescent="0.25">
      <c r="A59" s="213" t="s">
        <v>388</v>
      </c>
      <c r="B59" s="12">
        <v>8.26</v>
      </c>
      <c r="C59" s="12">
        <v>3.46</v>
      </c>
      <c r="D59" s="12">
        <v>12.2</v>
      </c>
      <c r="E59" s="12">
        <v>3.91</v>
      </c>
      <c r="F59" s="12">
        <v>4.84</v>
      </c>
      <c r="G59" s="12">
        <v>35.83</v>
      </c>
      <c r="H59" s="12">
        <v>7.92</v>
      </c>
      <c r="I59" s="12">
        <v>1.2</v>
      </c>
      <c r="J59" s="12">
        <v>0.35</v>
      </c>
      <c r="K59" s="12">
        <v>359.81</v>
      </c>
      <c r="L59" s="12">
        <v>28.04</v>
      </c>
      <c r="M59" s="12">
        <v>70.55</v>
      </c>
      <c r="N59" s="12">
        <v>297</v>
      </c>
      <c r="O59" s="12">
        <v>0</v>
      </c>
      <c r="P59" s="12">
        <v>0.34</v>
      </c>
      <c r="Q59" s="12">
        <v>9.2200000000000006</v>
      </c>
      <c r="R59" s="198"/>
      <c r="S59" s="198"/>
      <c r="T59" s="198"/>
      <c r="U59" s="198"/>
    </row>
    <row r="60" spans="1:21" s="12" customFormat="1" x14ac:dyDescent="0.25">
      <c r="A60" s="213" t="s">
        <v>389</v>
      </c>
      <c r="B60" s="12">
        <v>8.2200000000000006</v>
      </c>
      <c r="C60" s="12">
        <v>3.29</v>
      </c>
      <c r="D60" s="12">
        <v>12.09</v>
      </c>
      <c r="E60" s="12">
        <v>4.13</v>
      </c>
      <c r="F60" s="12">
        <v>5.16</v>
      </c>
      <c r="G60" s="12">
        <v>37.04</v>
      </c>
      <c r="H60" s="12">
        <v>6.79</v>
      </c>
      <c r="I60" s="12">
        <v>1.1200000000000001</v>
      </c>
      <c r="J60" s="12">
        <v>0.57999999999999996</v>
      </c>
      <c r="K60" s="12">
        <v>333.41</v>
      </c>
      <c r="L60" s="12">
        <v>28.26</v>
      </c>
      <c r="M60" s="12">
        <v>68.48</v>
      </c>
      <c r="N60" s="12">
        <v>410</v>
      </c>
      <c r="O60" s="12">
        <v>0</v>
      </c>
      <c r="P60" s="12">
        <v>0.33</v>
      </c>
      <c r="Q60" s="12">
        <v>9.2100000000000009</v>
      </c>
      <c r="R60" s="198"/>
      <c r="S60" s="198"/>
      <c r="T60" s="198"/>
      <c r="U60" s="198"/>
    </row>
    <row r="61" spans="1:21" s="12" customFormat="1" x14ac:dyDescent="0.25">
      <c r="A61" s="213" t="s">
        <v>390</v>
      </c>
      <c r="B61" s="12">
        <v>8.18</v>
      </c>
      <c r="C61" s="12">
        <v>3.16</v>
      </c>
      <c r="D61" s="12">
        <v>11.98</v>
      </c>
      <c r="E61" s="12">
        <v>4.17</v>
      </c>
      <c r="F61" s="12">
        <v>5.68</v>
      </c>
      <c r="G61" s="12">
        <v>37.04</v>
      </c>
      <c r="H61" s="12">
        <v>6.79</v>
      </c>
      <c r="I61" s="12">
        <v>1.0900000000000001</v>
      </c>
      <c r="J61" s="12">
        <v>0.67</v>
      </c>
      <c r="K61" s="12">
        <v>351.47</v>
      </c>
      <c r="L61" s="12">
        <v>28.33</v>
      </c>
      <c r="M61" s="12">
        <v>68.41</v>
      </c>
      <c r="N61" s="12">
        <v>308.89999999999998</v>
      </c>
      <c r="O61" s="12">
        <v>0</v>
      </c>
      <c r="P61" s="12">
        <v>0.27</v>
      </c>
      <c r="Q61" s="12">
        <v>9.24</v>
      </c>
      <c r="R61" s="198"/>
      <c r="S61" s="198"/>
      <c r="T61" s="198"/>
      <c r="U61" s="198"/>
    </row>
    <row r="62" spans="1:21" s="12" customFormat="1" x14ac:dyDescent="0.25">
      <c r="A62" s="213" t="s">
        <v>391</v>
      </c>
      <c r="B62" s="12">
        <v>8.1300000000000008</v>
      </c>
      <c r="C62" s="12">
        <v>3.1</v>
      </c>
      <c r="D62" s="12">
        <v>11.91</v>
      </c>
      <c r="E62" s="12">
        <v>4.2</v>
      </c>
      <c r="F62" s="12">
        <v>4.2699999999999996</v>
      </c>
      <c r="G62" s="12">
        <v>37.04</v>
      </c>
      <c r="H62" s="12">
        <v>6.79</v>
      </c>
      <c r="I62" s="12">
        <v>1.08</v>
      </c>
      <c r="J62" s="12">
        <v>0.73</v>
      </c>
      <c r="K62" s="12">
        <v>358.99</v>
      </c>
      <c r="L62" s="12">
        <v>27.79</v>
      </c>
      <c r="M62" s="12">
        <v>70.150000000000006</v>
      </c>
      <c r="N62" s="12">
        <v>276.10000000000002</v>
      </c>
      <c r="O62" s="12">
        <v>0</v>
      </c>
      <c r="P62" s="12">
        <v>0.28000000000000003</v>
      </c>
      <c r="Q62" s="12">
        <v>9.2200000000000006</v>
      </c>
      <c r="R62" s="198"/>
      <c r="S62" s="198"/>
      <c r="T62" s="198"/>
      <c r="U62" s="198"/>
    </row>
    <row r="63" spans="1:21" s="12" customFormat="1" x14ac:dyDescent="0.25">
      <c r="A63" s="213" t="s">
        <v>392</v>
      </c>
      <c r="B63" s="12">
        <v>8.11</v>
      </c>
      <c r="C63" s="12">
        <v>3.08</v>
      </c>
      <c r="D63" s="12">
        <v>11.89</v>
      </c>
      <c r="E63" s="12">
        <v>4.3899999999999997</v>
      </c>
      <c r="F63" s="12">
        <v>4.75</v>
      </c>
      <c r="G63" s="12">
        <v>36.44</v>
      </c>
      <c r="H63" s="12">
        <v>6.88</v>
      </c>
      <c r="I63" s="12">
        <v>1.08</v>
      </c>
      <c r="J63" s="12">
        <v>0.65</v>
      </c>
      <c r="K63" s="12">
        <v>359.09</v>
      </c>
      <c r="L63" s="12">
        <v>28.1</v>
      </c>
      <c r="M63" s="12">
        <v>69.94</v>
      </c>
      <c r="N63" s="12">
        <v>364.3</v>
      </c>
      <c r="O63" s="12">
        <v>0</v>
      </c>
      <c r="P63" s="12">
        <v>0.28999999999999998</v>
      </c>
      <c r="Q63" s="12">
        <v>9.2200000000000006</v>
      </c>
      <c r="R63" s="198"/>
      <c r="S63" s="198"/>
      <c r="T63" s="198"/>
      <c r="U63" s="198"/>
    </row>
    <row r="64" spans="1:21" s="12" customFormat="1" x14ac:dyDescent="0.25">
      <c r="A64" s="213" t="s">
        <v>393</v>
      </c>
      <c r="B64" s="12">
        <v>8.1199999999999992</v>
      </c>
      <c r="C64" s="12">
        <v>3.02</v>
      </c>
      <c r="D64" s="12">
        <v>11.87</v>
      </c>
      <c r="E64" s="12">
        <v>4.1500000000000004</v>
      </c>
      <c r="F64" s="12">
        <v>5.04</v>
      </c>
      <c r="G64" s="12">
        <v>36.049999999999997</v>
      </c>
      <c r="H64" s="12">
        <v>6.94</v>
      </c>
      <c r="I64" s="12">
        <v>1.07</v>
      </c>
      <c r="J64" s="12">
        <v>0.62</v>
      </c>
      <c r="K64" s="12">
        <v>350.48</v>
      </c>
      <c r="L64" s="12">
        <v>28.52</v>
      </c>
      <c r="M64" s="12">
        <v>67.489999999999995</v>
      </c>
      <c r="N64" s="12">
        <v>373.9</v>
      </c>
      <c r="O64" s="12">
        <v>0</v>
      </c>
      <c r="P64" s="12">
        <v>0.28000000000000003</v>
      </c>
      <c r="Q64" s="12">
        <v>9.23</v>
      </c>
      <c r="R64" s="198"/>
      <c r="S64" s="198"/>
      <c r="T64" s="198"/>
      <c r="U64" s="198"/>
    </row>
    <row r="65" spans="1:21" s="12" customFormat="1" x14ac:dyDescent="0.25">
      <c r="A65" s="213" t="s">
        <v>394</v>
      </c>
      <c r="B65" s="12">
        <v>8.17</v>
      </c>
      <c r="C65" s="12">
        <v>3.11</v>
      </c>
      <c r="D65" s="12">
        <v>11.95</v>
      </c>
      <c r="E65" s="12">
        <v>3.9</v>
      </c>
      <c r="F65" s="12">
        <v>5.27</v>
      </c>
      <c r="G65" s="12">
        <v>36.049999999999997</v>
      </c>
      <c r="H65" s="12">
        <v>6.94</v>
      </c>
      <c r="I65" s="12">
        <v>1.04</v>
      </c>
      <c r="J65" s="12">
        <v>0.75</v>
      </c>
      <c r="K65" s="12">
        <v>357.98</v>
      </c>
      <c r="L65" s="12">
        <v>28</v>
      </c>
      <c r="M65" s="12">
        <v>68.010000000000005</v>
      </c>
      <c r="N65" s="12">
        <v>249.3</v>
      </c>
      <c r="O65" s="12">
        <v>0</v>
      </c>
      <c r="P65" s="12">
        <v>0.28999999999999998</v>
      </c>
      <c r="Q65" s="12">
        <v>9.2200000000000006</v>
      </c>
      <c r="R65" s="198"/>
      <c r="S65" s="198"/>
      <c r="T65" s="198"/>
      <c r="U65" s="198"/>
    </row>
    <row r="66" spans="1:21" s="12" customFormat="1" x14ac:dyDescent="0.25">
      <c r="A66" s="213" t="s">
        <v>395</v>
      </c>
      <c r="B66" s="12">
        <v>8.1999999999999993</v>
      </c>
      <c r="C66" s="12">
        <v>3.16</v>
      </c>
      <c r="D66" s="12">
        <v>12</v>
      </c>
      <c r="E66" s="12">
        <v>4.07</v>
      </c>
      <c r="F66" s="12">
        <v>4.6500000000000004</v>
      </c>
      <c r="G66" s="12">
        <v>36.049999999999997</v>
      </c>
      <c r="H66" s="12">
        <v>6.94</v>
      </c>
      <c r="I66" s="12">
        <v>1.02</v>
      </c>
      <c r="J66" s="12">
        <v>0.55000000000000004</v>
      </c>
      <c r="K66" s="12">
        <v>344.03</v>
      </c>
      <c r="L66" s="12">
        <v>27.95</v>
      </c>
      <c r="M66" s="12">
        <v>69.55</v>
      </c>
      <c r="N66" s="12">
        <v>244.4</v>
      </c>
      <c r="O66" s="12">
        <v>0</v>
      </c>
      <c r="P66" s="12">
        <v>0.28000000000000003</v>
      </c>
      <c r="Q66" s="12">
        <v>9.17</v>
      </c>
      <c r="R66" s="198"/>
      <c r="S66" s="198"/>
      <c r="T66" s="198"/>
      <c r="U66" s="198"/>
    </row>
    <row r="67" spans="1:21" s="12" customFormat="1" x14ac:dyDescent="0.25">
      <c r="A67" s="213" t="s">
        <v>396</v>
      </c>
      <c r="B67" s="12">
        <v>8.23</v>
      </c>
      <c r="C67" s="12">
        <v>3.26</v>
      </c>
      <c r="D67" s="12">
        <v>12.08</v>
      </c>
      <c r="E67" s="12">
        <v>4.21</v>
      </c>
      <c r="F67" s="12">
        <v>5.12</v>
      </c>
      <c r="G67" s="12">
        <v>36.19</v>
      </c>
      <c r="H67" s="12">
        <v>7.67</v>
      </c>
      <c r="I67" s="12">
        <v>1</v>
      </c>
      <c r="J67" s="12">
        <v>0.55000000000000004</v>
      </c>
      <c r="K67" s="12">
        <v>356.41</v>
      </c>
      <c r="L67" s="12">
        <v>27.63</v>
      </c>
      <c r="M67" s="12">
        <v>70.95</v>
      </c>
      <c r="N67" s="12">
        <v>148.80000000000001</v>
      </c>
      <c r="O67" s="12">
        <v>0</v>
      </c>
      <c r="P67" s="12">
        <v>0.28999999999999998</v>
      </c>
      <c r="Q67" s="12">
        <v>9.18</v>
      </c>
      <c r="R67" s="198"/>
      <c r="S67" s="198"/>
      <c r="T67" s="198"/>
      <c r="U67" s="198"/>
    </row>
    <row r="68" spans="1:21" s="12" customFormat="1" x14ac:dyDescent="0.25">
      <c r="A68" s="213" t="s">
        <v>397</v>
      </c>
      <c r="B68" s="12">
        <v>8.2100000000000009</v>
      </c>
      <c r="C68" s="12">
        <v>3.17</v>
      </c>
      <c r="D68" s="12">
        <v>12.01</v>
      </c>
      <c r="E68" s="12">
        <v>4.01</v>
      </c>
      <c r="F68" s="12">
        <v>5.07</v>
      </c>
      <c r="G68" s="12">
        <v>36.270000000000003</v>
      </c>
      <c r="H68" s="12">
        <v>8.1300000000000008</v>
      </c>
      <c r="I68" s="12">
        <v>0.97</v>
      </c>
      <c r="J68" s="12">
        <v>0.64</v>
      </c>
      <c r="K68" s="12">
        <v>354.96</v>
      </c>
      <c r="L68" s="12">
        <v>27.68</v>
      </c>
      <c r="M68" s="12">
        <v>70.3</v>
      </c>
      <c r="N68" s="12">
        <v>251.6</v>
      </c>
      <c r="O68" s="12">
        <v>0</v>
      </c>
      <c r="P68" s="12">
        <v>0.3</v>
      </c>
      <c r="Q68" s="12">
        <v>9.18</v>
      </c>
      <c r="R68" s="198"/>
      <c r="S68" s="198"/>
      <c r="T68" s="198"/>
      <c r="U68" s="198"/>
    </row>
    <row r="69" spans="1:21" s="12" customFormat="1" x14ac:dyDescent="0.25">
      <c r="A69" s="213" t="s">
        <v>398</v>
      </c>
      <c r="B69" s="12">
        <v>8.2100000000000009</v>
      </c>
      <c r="C69" s="12">
        <v>3.14</v>
      </c>
      <c r="D69" s="12">
        <v>12</v>
      </c>
      <c r="E69" s="12">
        <v>3.87</v>
      </c>
      <c r="F69" s="12">
        <v>5.05</v>
      </c>
      <c r="G69" s="12">
        <v>36.270000000000003</v>
      </c>
      <c r="H69" s="12">
        <v>8.1300000000000008</v>
      </c>
      <c r="I69" s="12">
        <v>0.96</v>
      </c>
      <c r="J69" s="12">
        <v>0.56000000000000005</v>
      </c>
      <c r="K69" s="12">
        <v>358.39</v>
      </c>
      <c r="L69" s="12">
        <v>27.55</v>
      </c>
      <c r="M69" s="12">
        <v>70.989999999999995</v>
      </c>
      <c r="N69" s="12">
        <v>150.1</v>
      </c>
      <c r="O69" s="12">
        <v>0</v>
      </c>
      <c r="P69" s="12">
        <v>0.28999999999999998</v>
      </c>
      <c r="Q69" s="12">
        <v>9.18</v>
      </c>
      <c r="R69" s="198"/>
      <c r="S69" s="198"/>
      <c r="T69" s="198"/>
      <c r="U69" s="198"/>
    </row>
    <row r="70" spans="1:21" s="12" customFormat="1" x14ac:dyDescent="0.25">
      <c r="A70" s="213" t="s">
        <v>399</v>
      </c>
      <c r="B70" s="12">
        <v>8.1999999999999993</v>
      </c>
      <c r="C70" s="12">
        <v>3.18</v>
      </c>
      <c r="D70" s="12">
        <v>12.01</v>
      </c>
      <c r="E70" s="12">
        <v>3.98</v>
      </c>
      <c r="F70" s="12">
        <v>4.9400000000000004</v>
      </c>
      <c r="G70" s="12">
        <v>36.270000000000003</v>
      </c>
      <c r="H70" s="12">
        <v>8.1300000000000008</v>
      </c>
      <c r="I70" s="12">
        <v>0.98</v>
      </c>
      <c r="J70" s="12">
        <v>0.56999999999999995</v>
      </c>
      <c r="K70" s="12">
        <v>5.86</v>
      </c>
      <c r="L70" s="12">
        <v>27.5</v>
      </c>
      <c r="M70" s="12">
        <v>71.22</v>
      </c>
      <c r="N70" s="12">
        <v>142.1</v>
      </c>
      <c r="O70" s="12">
        <v>0</v>
      </c>
      <c r="P70" s="12">
        <v>0.3</v>
      </c>
      <c r="Q70" s="12">
        <v>9.19</v>
      </c>
      <c r="R70" s="198"/>
      <c r="S70" s="198"/>
      <c r="T70" s="198"/>
      <c r="U70" s="198"/>
    </row>
    <row r="71" spans="1:21" s="12" customFormat="1" x14ac:dyDescent="0.25">
      <c r="A71" s="213" t="s">
        <v>400</v>
      </c>
      <c r="B71" s="12">
        <v>8.18</v>
      </c>
      <c r="C71" s="12">
        <v>3.13</v>
      </c>
      <c r="D71" s="12">
        <v>11.97</v>
      </c>
      <c r="E71" s="12">
        <v>3.92</v>
      </c>
      <c r="F71" s="12">
        <v>5.05</v>
      </c>
      <c r="G71" s="12">
        <v>40.68</v>
      </c>
      <c r="H71" s="12">
        <v>9.42</v>
      </c>
      <c r="I71" s="12">
        <v>1</v>
      </c>
      <c r="J71" s="12">
        <v>0.51</v>
      </c>
      <c r="K71" s="12">
        <v>356.75</v>
      </c>
      <c r="L71" s="12">
        <v>27.16</v>
      </c>
      <c r="M71" s="12">
        <v>72.14</v>
      </c>
      <c r="N71" s="12">
        <v>121.6</v>
      </c>
      <c r="O71" s="12">
        <v>0</v>
      </c>
      <c r="P71" s="12">
        <v>0.28999999999999998</v>
      </c>
      <c r="Q71" s="12">
        <v>9.18</v>
      </c>
      <c r="R71" s="198"/>
      <c r="S71" s="198"/>
      <c r="T71" s="198"/>
      <c r="U71" s="198"/>
    </row>
    <row r="72" spans="1:21" s="12" customFormat="1" x14ac:dyDescent="0.25">
      <c r="A72" s="213" t="s">
        <v>401</v>
      </c>
      <c r="B72" s="12">
        <v>8.2100000000000009</v>
      </c>
      <c r="C72" s="12">
        <v>3.23</v>
      </c>
      <c r="D72" s="12">
        <v>12.05</v>
      </c>
      <c r="E72" s="12">
        <v>4.38</v>
      </c>
      <c r="F72" s="12">
        <v>4.22</v>
      </c>
      <c r="G72" s="12">
        <v>43.35</v>
      </c>
      <c r="H72" s="12">
        <v>10.199999999999999</v>
      </c>
      <c r="I72" s="12">
        <v>1.01</v>
      </c>
      <c r="J72" s="12">
        <v>0.28999999999999998</v>
      </c>
      <c r="K72" s="12">
        <v>356.3</v>
      </c>
      <c r="L72" s="12">
        <v>27.6</v>
      </c>
      <c r="M72" s="12">
        <v>72.400000000000006</v>
      </c>
      <c r="N72" s="12">
        <v>190</v>
      </c>
      <c r="O72" s="12">
        <v>0</v>
      </c>
      <c r="P72" s="12">
        <v>0.3</v>
      </c>
      <c r="Q72" s="12">
        <v>9.1999999999999993</v>
      </c>
      <c r="R72" s="198"/>
      <c r="S72" s="198"/>
      <c r="T72" s="198"/>
      <c r="U72" s="198"/>
    </row>
    <row r="73" spans="1:21" s="12" customFormat="1" x14ac:dyDescent="0.25">
      <c r="A73" s="213" t="s">
        <v>402</v>
      </c>
      <c r="B73" s="12">
        <v>8.2899999999999991</v>
      </c>
      <c r="C73" s="12">
        <v>3.48</v>
      </c>
      <c r="D73" s="12">
        <v>12.24</v>
      </c>
      <c r="E73" s="12">
        <v>4.21</v>
      </c>
      <c r="F73" s="12">
        <v>4.59</v>
      </c>
      <c r="G73" s="12">
        <v>43.35</v>
      </c>
      <c r="H73" s="12">
        <v>10.199999999999999</v>
      </c>
      <c r="I73" s="12">
        <v>1.03</v>
      </c>
      <c r="J73" s="12">
        <v>0.55000000000000004</v>
      </c>
      <c r="K73" s="12">
        <v>13.46</v>
      </c>
      <c r="L73" s="12">
        <v>27.5</v>
      </c>
      <c r="M73" s="12">
        <v>72.47</v>
      </c>
      <c r="N73" s="12">
        <v>166.1</v>
      </c>
      <c r="O73" s="12">
        <v>0</v>
      </c>
      <c r="P73" s="12">
        <v>0.31</v>
      </c>
      <c r="Q73" s="12">
        <v>9.2200000000000006</v>
      </c>
      <c r="R73" s="198"/>
      <c r="S73" s="198"/>
      <c r="T73" s="198"/>
      <c r="U73" s="198"/>
    </row>
    <row r="74" spans="1:21" s="12" customFormat="1" x14ac:dyDescent="0.25">
      <c r="A74" s="213" t="s">
        <v>403</v>
      </c>
      <c r="B74" s="12">
        <v>8.2100000000000009</v>
      </c>
      <c r="C74" s="12">
        <v>3.29</v>
      </c>
      <c r="D74" s="12">
        <v>12.07</v>
      </c>
      <c r="E74" s="12">
        <v>4.4000000000000004</v>
      </c>
      <c r="F74" s="12">
        <v>4.7300000000000004</v>
      </c>
      <c r="G74" s="12">
        <v>43.35</v>
      </c>
      <c r="H74" s="12">
        <v>10.199999999999999</v>
      </c>
      <c r="I74" s="12">
        <v>1.1100000000000001</v>
      </c>
      <c r="J74" s="12">
        <v>0.56000000000000005</v>
      </c>
      <c r="K74" s="12">
        <v>2.97</v>
      </c>
      <c r="L74" s="12">
        <v>27.07</v>
      </c>
      <c r="M74" s="12">
        <v>74.91</v>
      </c>
      <c r="N74" s="12">
        <v>105</v>
      </c>
      <c r="O74" s="12">
        <v>0</v>
      </c>
      <c r="P74" s="12">
        <v>0.32</v>
      </c>
      <c r="Q74" s="12">
        <v>9.2200000000000006</v>
      </c>
      <c r="R74" s="198"/>
      <c r="S74" s="198"/>
      <c r="T74" s="198"/>
      <c r="U74" s="198"/>
    </row>
    <row r="75" spans="1:21" s="12" customFormat="1" x14ac:dyDescent="0.25">
      <c r="A75" s="213" t="s">
        <v>404</v>
      </c>
      <c r="B75" s="12">
        <v>8.16</v>
      </c>
      <c r="C75" s="12">
        <v>3.14</v>
      </c>
      <c r="D75" s="12">
        <v>11.95</v>
      </c>
      <c r="E75" s="12">
        <v>4.46</v>
      </c>
      <c r="F75" s="12">
        <v>3.99</v>
      </c>
      <c r="G75" s="12">
        <v>45.32</v>
      </c>
      <c r="H75" s="12">
        <v>10.76</v>
      </c>
      <c r="I75" s="12">
        <v>1.28</v>
      </c>
      <c r="J75" s="12">
        <v>0.15</v>
      </c>
      <c r="K75" s="12">
        <v>32.950000000000003</v>
      </c>
      <c r="L75" s="12">
        <v>26.69</v>
      </c>
      <c r="M75" s="12">
        <v>77.58</v>
      </c>
      <c r="N75" s="12">
        <v>48.6</v>
      </c>
      <c r="O75" s="12">
        <v>0</v>
      </c>
      <c r="P75" s="12">
        <v>0.32</v>
      </c>
      <c r="Q75" s="12">
        <v>9.2100000000000009</v>
      </c>
      <c r="R75" s="198"/>
      <c r="S75" s="198"/>
      <c r="T75" s="198"/>
      <c r="U75" s="198"/>
    </row>
    <row r="76" spans="1:21" s="12" customFormat="1" x14ac:dyDescent="0.25">
      <c r="A76" s="213" t="s">
        <v>405</v>
      </c>
      <c r="B76" s="12">
        <v>8.18</v>
      </c>
      <c r="C76" s="12">
        <v>3.19</v>
      </c>
      <c r="D76" s="12">
        <v>12</v>
      </c>
      <c r="E76" s="12">
        <v>4.28</v>
      </c>
      <c r="F76" s="12">
        <v>3.76</v>
      </c>
      <c r="G76" s="12">
        <v>46.52</v>
      </c>
      <c r="H76" s="12">
        <v>11.1</v>
      </c>
      <c r="I76" s="12">
        <v>1.37</v>
      </c>
      <c r="J76" s="12">
        <v>0.57999999999999996</v>
      </c>
      <c r="K76" s="12">
        <v>342.2</v>
      </c>
      <c r="L76" s="12">
        <v>26.21</v>
      </c>
      <c r="M76" s="12">
        <v>82.9</v>
      </c>
      <c r="N76" s="12">
        <v>34.299999999999997</v>
      </c>
      <c r="O76" s="12">
        <v>0</v>
      </c>
      <c r="P76" s="12">
        <v>0.31</v>
      </c>
      <c r="Q76" s="12">
        <v>9.1999999999999993</v>
      </c>
      <c r="R76" s="198"/>
      <c r="S76" s="198"/>
      <c r="T76" s="198"/>
      <c r="U76" s="198"/>
    </row>
    <row r="77" spans="1:21" s="12" customFormat="1" x14ac:dyDescent="0.25">
      <c r="A77" s="213" t="s">
        <v>406</v>
      </c>
      <c r="B77" s="12">
        <v>8.1999999999999993</v>
      </c>
      <c r="C77" s="12">
        <v>3.21</v>
      </c>
      <c r="D77" s="12">
        <v>12.02</v>
      </c>
      <c r="E77" s="12">
        <v>4.4000000000000004</v>
      </c>
      <c r="F77" s="12">
        <v>3.6</v>
      </c>
      <c r="G77" s="12">
        <v>46.52</v>
      </c>
      <c r="H77" s="12">
        <v>11.1</v>
      </c>
      <c r="I77" s="12">
        <v>1.32</v>
      </c>
      <c r="J77" s="12">
        <v>0.22</v>
      </c>
      <c r="K77" s="12">
        <v>44.26</v>
      </c>
      <c r="L77" s="12">
        <v>24.73</v>
      </c>
      <c r="M77" s="12">
        <v>94.4</v>
      </c>
      <c r="N77" s="12">
        <v>33.200000000000003</v>
      </c>
      <c r="O77" s="12">
        <v>2.4</v>
      </c>
      <c r="P77" s="12">
        <v>0.33</v>
      </c>
      <c r="Q77" s="12">
        <v>9.2200000000000006</v>
      </c>
      <c r="R77" s="198"/>
      <c r="S77" s="198"/>
      <c r="T77" s="198"/>
      <c r="U77" s="198"/>
    </row>
    <row r="78" spans="1:21" s="12" customFormat="1" x14ac:dyDescent="0.25">
      <c r="A78" s="213" t="s">
        <v>407</v>
      </c>
      <c r="B78" s="12">
        <v>8.2100000000000009</v>
      </c>
      <c r="C78" s="12">
        <v>3.26</v>
      </c>
      <c r="D78" s="12">
        <v>12.06</v>
      </c>
      <c r="E78" s="12">
        <v>4.4400000000000004</v>
      </c>
      <c r="F78" s="12">
        <v>4.51</v>
      </c>
      <c r="G78" s="12">
        <v>46.52</v>
      </c>
      <c r="H78" s="12">
        <v>11.1</v>
      </c>
      <c r="I78" s="12">
        <v>1.35</v>
      </c>
      <c r="J78" s="12">
        <v>0.49</v>
      </c>
      <c r="K78" s="12">
        <v>316.24</v>
      </c>
      <c r="L78" s="12">
        <v>23.48</v>
      </c>
      <c r="M78" s="12">
        <v>98.35</v>
      </c>
      <c r="N78" s="12">
        <v>40</v>
      </c>
      <c r="O78" s="12">
        <v>0</v>
      </c>
      <c r="P78" s="12">
        <v>0.34</v>
      </c>
      <c r="Q78" s="12">
        <v>9.27</v>
      </c>
      <c r="R78" s="198"/>
      <c r="S78" s="198"/>
      <c r="T78" s="198"/>
      <c r="U78" s="198"/>
    </row>
    <row r="79" spans="1:21" s="12" customFormat="1" x14ac:dyDescent="0.25">
      <c r="A79" s="213" t="s">
        <v>408</v>
      </c>
      <c r="B79" s="12">
        <v>8.3699999999999992</v>
      </c>
      <c r="C79" s="12">
        <v>3.71</v>
      </c>
      <c r="D79" s="12">
        <v>12.43</v>
      </c>
      <c r="E79" s="12">
        <v>4.4400000000000004</v>
      </c>
      <c r="F79" s="12">
        <v>3.61</v>
      </c>
      <c r="G79" s="12">
        <v>44.04</v>
      </c>
      <c r="H79" s="12">
        <v>12.09</v>
      </c>
      <c r="I79" s="12">
        <v>1.46</v>
      </c>
      <c r="J79" s="12">
        <v>0.74</v>
      </c>
      <c r="K79" s="12">
        <v>325.22000000000003</v>
      </c>
      <c r="L79" s="12">
        <v>23.48</v>
      </c>
      <c r="M79" s="12">
        <v>98.35</v>
      </c>
      <c r="N79" s="12">
        <v>29.8</v>
      </c>
      <c r="O79" s="12">
        <v>0</v>
      </c>
      <c r="P79" s="12">
        <v>0.37</v>
      </c>
      <c r="Q79" s="12">
        <v>9.27</v>
      </c>
      <c r="R79" s="198"/>
      <c r="S79" s="198"/>
      <c r="T79" s="198"/>
      <c r="U79" s="198"/>
    </row>
    <row r="80" spans="1:21" s="12" customFormat="1" x14ac:dyDescent="0.25">
      <c r="A80" s="213" t="s">
        <v>409</v>
      </c>
      <c r="B80" s="12">
        <v>8.2200000000000006</v>
      </c>
      <c r="C80" s="12">
        <v>3.27</v>
      </c>
      <c r="D80" s="12">
        <v>12.08</v>
      </c>
      <c r="E80" s="12">
        <v>4.57</v>
      </c>
      <c r="F80" s="12">
        <v>2.99</v>
      </c>
      <c r="G80" s="12">
        <v>42.46</v>
      </c>
      <c r="H80" s="12">
        <v>12.72</v>
      </c>
      <c r="I80" s="12">
        <v>1.52</v>
      </c>
      <c r="J80" s="12">
        <v>0.57999999999999996</v>
      </c>
      <c r="K80" s="12">
        <v>300.86</v>
      </c>
      <c r="L80" s="12">
        <v>23.38</v>
      </c>
      <c r="M80" s="12">
        <v>98.35</v>
      </c>
      <c r="N80" s="12">
        <v>37.4</v>
      </c>
      <c r="O80" s="12">
        <v>0</v>
      </c>
      <c r="P80" s="12">
        <v>0.39</v>
      </c>
      <c r="Q80" s="12">
        <v>9.25</v>
      </c>
      <c r="R80" s="198"/>
      <c r="S80" s="198"/>
      <c r="T80" s="198"/>
      <c r="U80" s="198"/>
    </row>
    <row r="81" spans="1:26" s="12" customFormat="1" x14ac:dyDescent="0.25">
      <c r="A81" s="213" t="s">
        <v>410</v>
      </c>
      <c r="B81" s="12">
        <v>8.17</v>
      </c>
      <c r="C81" s="12">
        <v>3.12</v>
      </c>
      <c r="D81" s="12">
        <v>11.96</v>
      </c>
      <c r="E81" s="12">
        <v>4.2300000000000004</v>
      </c>
      <c r="F81" s="12">
        <v>3.35</v>
      </c>
      <c r="G81" s="12">
        <v>42.46</v>
      </c>
      <c r="H81" s="12">
        <v>12.72</v>
      </c>
      <c r="I81" s="12">
        <v>1.67</v>
      </c>
      <c r="J81" s="12">
        <v>0.5</v>
      </c>
      <c r="K81" s="12">
        <v>292.27</v>
      </c>
      <c r="L81" s="12">
        <v>23.39</v>
      </c>
      <c r="M81" s="12">
        <v>98.35</v>
      </c>
      <c r="N81" s="12">
        <v>28.5</v>
      </c>
      <c r="O81" s="12">
        <v>0</v>
      </c>
      <c r="P81" s="12">
        <v>0.42</v>
      </c>
      <c r="Q81" s="12">
        <v>9.27</v>
      </c>
      <c r="R81" s="198"/>
      <c r="S81" s="198"/>
      <c r="T81" s="198"/>
      <c r="U81" s="198"/>
    </row>
    <row r="82" spans="1:26" s="12" customFormat="1" x14ac:dyDescent="0.25">
      <c r="A82" s="213" t="s">
        <v>411</v>
      </c>
      <c r="B82" s="12">
        <v>8.14</v>
      </c>
      <c r="C82" s="12">
        <v>3.11</v>
      </c>
      <c r="D82" s="12">
        <v>11.93</v>
      </c>
      <c r="E82" s="12">
        <v>4.8099999999999996</v>
      </c>
      <c r="F82" s="12">
        <v>3.44</v>
      </c>
      <c r="G82" s="12">
        <v>42.46</v>
      </c>
      <c r="H82" s="12">
        <v>12.72</v>
      </c>
      <c r="I82" s="12">
        <v>1.91</v>
      </c>
      <c r="J82" s="12">
        <v>0.5</v>
      </c>
      <c r="K82" s="12">
        <v>306.64999999999998</v>
      </c>
      <c r="L82" s="12">
        <v>23.45</v>
      </c>
      <c r="M82" s="12">
        <v>98.35</v>
      </c>
      <c r="N82" s="12">
        <v>27.8</v>
      </c>
      <c r="O82" s="12">
        <v>0</v>
      </c>
      <c r="P82" s="12">
        <v>0.46</v>
      </c>
      <c r="Q82" s="12">
        <v>9.33</v>
      </c>
      <c r="R82" s="198"/>
      <c r="S82" s="198"/>
      <c r="T82" s="198"/>
      <c r="U82" s="198"/>
    </row>
    <row r="83" spans="1:26" s="12" customFormat="1" x14ac:dyDescent="0.25">
      <c r="A83" s="213" t="s">
        <v>412</v>
      </c>
      <c r="B83" s="12">
        <v>8.17</v>
      </c>
      <c r="C83" s="12">
        <v>3.13</v>
      </c>
      <c r="D83" s="12">
        <v>11.95</v>
      </c>
      <c r="E83" s="12">
        <v>4.7</v>
      </c>
      <c r="F83" s="12">
        <v>2.79</v>
      </c>
      <c r="G83" s="12">
        <v>37.96</v>
      </c>
      <c r="H83" s="12">
        <v>11.47</v>
      </c>
      <c r="I83" s="12">
        <v>2.14</v>
      </c>
      <c r="J83" s="12">
        <v>0.26</v>
      </c>
      <c r="K83" s="12">
        <v>322.42</v>
      </c>
      <c r="L83" s="12">
        <v>23.5</v>
      </c>
      <c r="M83" s="12">
        <v>98.35</v>
      </c>
      <c r="N83" s="12">
        <v>20.7</v>
      </c>
      <c r="O83" s="12">
        <v>0</v>
      </c>
      <c r="P83" s="12">
        <v>0.49</v>
      </c>
      <c r="Q83" s="12">
        <v>9.34</v>
      </c>
      <c r="R83" s="198"/>
      <c r="S83" s="198"/>
      <c r="T83" s="198"/>
      <c r="U83" s="198"/>
    </row>
    <row r="84" spans="1:26" s="12" customFormat="1" x14ac:dyDescent="0.25">
      <c r="A84" s="213" t="s">
        <v>413</v>
      </c>
      <c r="B84" s="12">
        <v>8.17</v>
      </c>
      <c r="C84" s="12">
        <v>3.1</v>
      </c>
      <c r="D84" s="12">
        <v>11.95</v>
      </c>
      <c r="E84" s="12">
        <v>4.0199999999999996</v>
      </c>
      <c r="F84" s="12">
        <v>3.06</v>
      </c>
      <c r="G84" s="12">
        <v>35.22</v>
      </c>
      <c r="H84" s="12">
        <v>10.71</v>
      </c>
      <c r="I84" s="12">
        <v>2.31</v>
      </c>
      <c r="J84" s="12">
        <v>0.34</v>
      </c>
      <c r="K84" s="12">
        <v>315.11</v>
      </c>
      <c r="L84" s="12">
        <v>23.54</v>
      </c>
      <c r="M84" s="12">
        <v>98.35</v>
      </c>
      <c r="N84" s="12">
        <v>18.100000000000001</v>
      </c>
      <c r="O84" s="12">
        <v>0</v>
      </c>
      <c r="P84" s="12">
        <v>0.52</v>
      </c>
      <c r="Q84" s="12">
        <v>9.36</v>
      </c>
      <c r="R84" s="198"/>
      <c r="S84" s="198"/>
      <c r="T84" s="198"/>
      <c r="U84" s="198"/>
    </row>
    <row r="85" spans="1:26" s="12" customFormat="1" x14ac:dyDescent="0.25">
      <c r="A85" s="213" t="s">
        <v>414</v>
      </c>
      <c r="B85" s="12">
        <v>8.2200000000000006</v>
      </c>
      <c r="C85" s="12">
        <v>3.11</v>
      </c>
      <c r="D85" s="12">
        <v>11.99</v>
      </c>
      <c r="E85" s="12">
        <v>4.4000000000000004</v>
      </c>
      <c r="F85" s="12">
        <v>3.37</v>
      </c>
      <c r="G85" s="12">
        <v>35.22</v>
      </c>
      <c r="H85" s="12">
        <v>10.71</v>
      </c>
      <c r="I85" s="12">
        <v>2.52</v>
      </c>
      <c r="J85" s="12">
        <v>0.17</v>
      </c>
      <c r="K85" s="12">
        <v>268.52999999999997</v>
      </c>
      <c r="L85" s="12">
        <v>23.56</v>
      </c>
      <c r="M85" s="12">
        <v>98.35</v>
      </c>
      <c r="N85" s="12">
        <v>18.100000000000001</v>
      </c>
      <c r="O85" s="12">
        <v>0</v>
      </c>
      <c r="P85" s="12">
        <v>0.52</v>
      </c>
      <c r="Q85" s="12">
        <v>9.3699999999999992</v>
      </c>
      <c r="R85" s="198"/>
      <c r="S85" s="198"/>
      <c r="T85" s="198"/>
      <c r="U85" s="198"/>
    </row>
    <row r="86" spans="1:26" s="12" customFormat="1" x14ac:dyDescent="0.25">
      <c r="A86" s="213" t="s">
        <v>415</v>
      </c>
      <c r="B86" s="12">
        <v>8.2100000000000009</v>
      </c>
      <c r="C86" s="12">
        <v>3.1</v>
      </c>
      <c r="D86" s="12">
        <v>11.97</v>
      </c>
      <c r="E86" s="12">
        <v>4.5199999999999996</v>
      </c>
      <c r="F86" s="12">
        <v>3.15</v>
      </c>
      <c r="G86" s="12">
        <v>35.22</v>
      </c>
      <c r="H86" s="12">
        <v>10.71</v>
      </c>
      <c r="I86" s="12">
        <v>2.87</v>
      </c>
      <c r="J86" s="12">
        <v>0.39</v>
      </c>
      <c r="K86" s="12">
        <v>269.39</v>
      </c>
      <c r="L86" s="12">
        <v>23.55</v>
      </c>
      <c r="M86" s="12">
        <v>98.35</v>
      </c>
      <c r="N86" s="12">
        <v>18.2</v>
      </c>
      <c r="O86" s="12">
        <v>0</v>
      </c>
      <c r="P86" s="12">
        <v>0.56000000000000005</v>
      </c>
      <c r="Q86" s="12">
        <v>9.39</v>
      </c>
      <c r="R86" s="198"/>
      <c r="S86" s="198"/>
      <c r="T86" s="198"/>
      <c r="U86" s="198"/>
    </row>
    <row r="87" spans="1:26" s="12" customFormat="1" x14ac:dyDescent="0.25">
      <c r="A87" s="213" t="s">
        <v>416</v>
      </c>
      <c r="B87" s="12">
        <v>8.27</v>
      </c>
      <c r="C87" s="12">
        <v>3.25</v>
      </c>
      <c r="D87" s="12">
        <v>12.1</v>
      </c>
      <c r="E87" s="12">
        <v>4.71</v>
      </c>
      <c r="F87" s="12">
        <v>3.27</v>
      </c>
      <c r="G87" s="12">
        <v>37.51</v>
      </c>
      <c r="H87" s="12">
        <v>12.62</v>
      </c>
      <c r="I87" s="12">
        <v>3.23</v>
      </c>
      <c r="J87" s="12">
        <v>0.57999999999999996</v>
      </c>
      <c r="K87" s="12">
        <v>234.68</v>
      </c>
      <c r="L87" s="12">
        <v>23.6</v>
      </c>
      <c r="M87" s="12">
        <v>98.35</v>
      </c>
      <c r="N87" s="12">
        <v>17.899999999999999</v>
      </c>
      <c r="O87" s="12">
        <v>0</v>
      </c>
      <c r="P87" s="12">
        <v>0.56999999999999995</v>
      </c>
      <c r="Q87" s="12">
        <v>9.41</v>
      </c>
      <c r="R87" s="198"/>
      <c r="S87" s="198"/>
      <c r="T87" s="198"/>
      <c r="U87" s="198"/>
    </row>
    <row r="88" spans="1:26" s="12" customFormat="1" x14ac:dyDescent="0.25">
      <c r="A88" s="213" t="s">
        <v>417</v>
      </c>
      <c r="B88" s="12">
        <v>8.26</v>
      </c>
      <c r="C88" s="12">
        <v>3.22</v>
      </c>
      <c r="D88" s="12">
        <v>12.08</v>
      </c>
      <c r="E88" s="12">
        <v>4.53</v>
      </c>
      <c r="F88" s="12">
        <v>2.9</v>
      </c>
      <c r="G88" s="12">
        <v>38.96</v>
      </c>
      <c r="H88" s="12">
        <v>13.78</v>
      </c>
      <c r="I88" s="12">
        <v>3.61</v>
      </c>
      <c r="J88" s="12">
        <v>0.51</v>
      </c>
      <c r="K88" s="12">
        <v>212.46</v>
      </c>
      <c r="L88" s="12">
        <v>23.65</v>
      </c>
      <c r="M88" s="12">
        <v>98.35</v>
      </c>
      <c r="N88" s="12">
        <v>18</v>
      </c>
      <c r="O88" s="12">
        <v>0</v>
      </c>
      <c r="P88" s="12">
        <v>0.57999999999999996</v>
      </c>
      <c r="Q88" s="12">
        <v>9.43</v>
      </c>
      <c r="R88" s="198"/>
      <c r="S88" s="198"/>
      <c r="T88" s="198"/>
      <c r="U88" s="198"/>
    </row>
    <row r="89" spans="1:26" s="12" customFormat="1" x14ac:dyDescent="0.25">
      <c r="A89" s="213" t="s">
        <v>418</v>
      </c>
      <c r="B89" s="12">
        <v>8.25</v>
      </c>
      <c r="C89" s="12">
        <v>3.21</v>
      </c>
      <c r="D89" s="12">
        <v>12.07</v>
      </c>
      <c r="E89" s="12">
        <v>4.05</v>
      </c>
      <c r="F89" s="12">
        <v>3.33</v>
      </c>
      <c r="G89" s="12">
        <v>38.96</v>
      </c>
      <c r="H89" s="12">
        <v>13.78</v>
      </c>
      <c r="I89" s="12">
        <v>4</v>
      </c>
      <c r="J89" s="12">
        <v>0.57999999999999996</v>
      </c>
      <c r="K89" s="12">
        <v>229.82</v>
      </c>
      <c r="L89" s="12">
        <v>23.66</v>
      </c>
      <c r="M89" s="12">
        <v>98.35</v>
      </c>
      <c r="N89" s="12">
        <v>18.2</v>
      </c>
      <c r="O89" s="12">
        <v>0</v>
      </c>
      <c r="P89" s="12">
        <v>0.57999999999999996</v>
      </c>
      <c r="Q89" s="12">
        <v>9.43</v>
      </c>
      <c r="R89" s="198"/>
      <c r="S89" s="198"/>
      <c r="T89" s="198"/>
      <c r="U89" s="198"/>
    </row>
    <row r="90" spans="1:26" s="12" customFormat="1" x14ac:dyDescent="0.25">
      <c r="A90" s="213" t="s">
        <v>419</v>
      </c>
      <c r="B90" s="12">
        <v>8.23</v>
      </c>
      <c r="C90" s="12">
        <v>3.14</v>
      </c>
      <c r="D90" s="12">
        <v>12.01</v>
      </c>
      <c r="E90" s="12">
        <v>4.32</v>
      </c>
      <c r="F90" s="12">
        <v>3.18</v>
      </c>
      <c r="G90" s="12">
        <v>38.96</v>
      </c>
      <c r="H90" s="12">
        <v>13.78</v>
      </c>
      <c r="I90" s="12">
        <v>4.32</v>
      </c>
      <c r="J90" s="12">
        <v>0.48</v>
      </c>
      <c r="K90" s="12">
        <v>232.05</v>
      </c>
      <c r="L90" s="12">
        <v>23.66</v>
      </c>
      <c r="M90" s="12">
        <v>98.34</v>
      </c>
      <c r="N90" s="12">
        <v>18.100000000000001</v>
      </c>
      <c r="O90" s="12">
        <v>0</v>
      </c>
      <c r="P90" s="12">
        <v>0.59</v>
      </c>
      <c r="Q90" s="12">
        <v>9.4499999999999993</v>
      </c>
      <c r="R90" s="198"/>
      <c r="S90" s="198"/>
      <c r="T90" s="198"/>
      <c r="U90" s="198"/>
    </row>
    <row r="91" spans="1:26" s="12" customFormat="1" x14ac:dyDescent="0.25">
      <c r="A91" s="213" t="s">
        <v>420</v>
      </c>
      <c r="B91" s="12">
        <v>8.2899999999999991</v>
      </c>
      <c r="C91" s="12">
        <v>3.26</v>
      </c>
      <c r="D91" s="12">
        <v>12.12</v>
      </c>
      <c r="E91" s="12">
        <v>4.45</v>
      </c>
      <c r="F91" s="12">
        <v>3.38</v>
      </c>
      <c r="G91" s="12">
        <v>36.020000000000003</v>
      </c>
      <c r="H91" s="12">
        <v>12.61</v>
      </c>
      <c r="I91" s="12">
        <v>4.57</v>
      </c>
      <c r="J91" s="12">
        <v>0.28000000000000003</v>
      </c>
      <c r="K91" s="12">
        <v>196.3</v>
      </c>
      <c r="L91" s="12">
        <v>23.81</v>
      </c>
      <c r="M91" s="12">
        <v>98.33</v>
      </c>
      <c r="N91" s="12">
        <v>18.3</v>
      </c>
      <c r="O91" s="12">
        <v>0</v>
      </c>
      <c r="P91" s="12">
        <v>0.59</v>
      </c>
      <c r="Q91" s="12">
        <v>9.4700000000000006</v>
      </c>
      <c r="R91" s="198"/>
      <c r="S91" s="198"/>
      <c r="T91" s="198"/>
      <c r="U91" s="198"/>
    </row>
    <row r="92" spans="1:26" s="12" customFormat="1" x14ac:dyDescent="0.25">
      <c r="A92" s="213" t="s">
        <v>421</v>
      </c>
      <c r="B92" s="12">
        <v>8.23</v>
      </c>
      <c r="C92" s="12">
        <v>3.21</v>
      </c>
      <c r="D92" s="12">
        <v>12.05</v>
      </c>
      <c r="E92" s="12">
        <v>4.45</v>
      </c>
      <c r="F92" s="12">
        <v>4.37</v>
      </c>
      <c r="G92" s="12">
        <v>34.159999999999997</v>
      </c>
      <c r="H92" s="12">
        <v>11.9</v>
      </c>
      <c r="I92" s="12">
        <v>4.76</v>
      </c>
      <c r="J92" s="12">
        <v>0.37</v>
      </c>
      <c r="K92" s="12">
        <v>217.79</v>
      </c>
      <c r="L92" s="12">
        <v>23.96</v>
      </c>
      <c r="M92" s="12">
        <v>98.33</v>
      </c>
      <c r="N92" s="12">
        <v>18.5</v>
      </c>
      <c r="O92" s="12">
        <v>0</v>
      </c>
      <c r="P92" s="12">
        <v>0.6</v>
      </c>
      <c r="Q92" s="12">
        <v>9.4600000000000009</v>
      </c>
      <c r="R92" s="198"/>
      <c r="S92" s="198"/>
      <c r="T92" s="198"/>
      <c r="U92" s="198"/>
    </row>
    <row r="93" spans="1:26" s="12" customFormat="1" x14ac:dyDescent="0.25">
      <c r="A93" s="213" t="s">
        <v>422</v>
      </c>
      <c r="B93" s="12">
        <v>8.19</v>
      </c>
      <c r="C93" s="12">
        <v>3.19</v>
      </c>
      <c r="D93" s="12">
        <v>12.01</v>
      </c>
      <c r="E93" s="12">
        <v>4.6500000000000004</v>
      </c>
      <c r="F93" s="12">
        <v>3.19</v>
      </c>
      <c r="G93" s="12">
        <v>34.159999999999997</v>
      </c>
      <c r="H93" s="12">
        <v>11.9</v>
      </c>
      <c r="I93" s="12">
        <v>4.8600000000000003</v>
      </c>
      <c r="J93" s="12">
        <v>0.34</v>
      </c>
      <c r="K93" s="12">
        <v>185.15</v>
      </c>
      <c r="L93" s="12">
        <v>23.96</v>
      </c>
      <c r="M93" s="12">
        <v>98.33</v>
      </c>
      <c r="N93" s="12">
        <v>18.5</v>
      </c>
      <c r="O93" s="12">
        <v>0</v>
      </c>
      <c r="P93" s="12">
        <v>0.6</v>
      </c>
      <c r="Q93" s="12">
        <v>9.41</v>
      </c>
      <c r="R93" s="198"/>
      <c r="S93" s="198"/>
      <c r="T93" s="198"/>
      <c r="U93" s="198"/>
    </row>
    <row r="94" spans="1:26" s="12" customFormat="1" x14ac:dyDescent="0.25">
      <c r="A94" s="213" t="s">
        <v>423</v>
      </c>
      <c r="B94" s="12">
        <v>8.23</v>
      </c>
      <c r="C94" s="12">
        <v>3.23</v>
      </c>
      <c r="D94" s="12">
        <v>12.06</v>
      </c>
      <c r="E94" s="12">
        <v>5.0599999999999996</v>
      </c>
      <c r="F94" s="12">
        <v>3.11</v>
      </c>
      <c r="G94" s="12">
        <v>34.159999999999997</v>
      </c>
      <c r="H94" s="12">
        <v>11.9</v>
      </c>
      <c r="I94" s="12">
        <v>4.83</v>
      </c>
      <c r="J94" s="12">
        <v>0.2</v>
      </c>
      <c r="K94" s="12">
        <v>206.08</v>
      </c>
      <c r="L94" s="12">
        <v>23.91</v>
      </c>
      <c r="M94" s="12">
        <v>98.33</v>
      </c>
      <c r="N94" s="12">
        <v>18.7</v>
      </c>
      <c r="O94" s="12">
        <v>0</v>
      </c>
      <c r="P94" s="12">
        <v>0.57999999999999996</v>
      </c>
      <c r="Q94" s="12">
        <v>9.43</v>
      </c>
      <c r="R94" s="198"/>
      <c r="S94" s="198"/>
      <c r="T94" s="198"/>
      <c r="U94" s="198"/>
    </row>
    <row r="95" spans="1:26" s="12" customFormat="1" x14ac:dyDescent="0.25">
      <c r="A95" s="213" t="s">
        <v>424</v>
      </c>
      <c r="B95" s="12">
        <v>8.36</v>
      </c>
      <c r="C95" s="12">
        <v>3.42</v>
      </c>
      <c r="D95" s="12">
        <v>12.27</v>
      </c>
      <c r="E95" s="12">
        <v>4.67</v>
      </c>
      <c r="F95" s="12">
        <v>3.62</v>
      </c>
      <c r="G95" s="12">
        <v>36.18</v>
      </c>
      <c r="H95" s="12">
        <v>13.73</v>
      </c>
      <c r="I95" s="12">
        <v>4.7300000000000004</v>
      </c>
      <c r="J95" s="12">
        <v>0.31</v>
      </c>
      <c r="K95" s="12">
        <v>233.04</v>
      </c>
      <c r="L95" s="12">
        <v>23.87</v>
      </c>
      <c r="M95" s="12">
        <v>98.33</v>
      </c>
      <c r="N95" s="12">
        <v>18.600000000000001</v>
      </c>
      <c r="O95" s="12">
        <v>0</v>
      </c>
      <c r="P95" s="12">
        <v>0.56000000000000005</v>
      </c>
      <c r="Q95" s="12">
        <v>9.44</v>
      </c>
      <c r="R95" s="198"/>
      <c r="S95" s="198"/>
      <c r="T95" s="198"/>
      <c r="U95" s="198"/>
    </row>
    <row r="96" spans="1:26" s="12" customFormat="1" x14ac:dyDescent="0.25">
      <c r="A96" s="213" t="s">
        <v>425</v>
      </c>
      <c r="B96" s="12">
        <v>8.39</v>
      </c>
      <c r="C96" s="12">
        <v>3.54</v>
      </c>
      <c r="D96" s="12">
        <v>12.36</v>
      </c>
      <c r="E96" s="12">
        <v>4.34</v>
      </c>
      <c r="F96" s="12">
        <v>3.98</v>
      </c>
      <c r="G96" s="12">
        <v>37.409999999999997</v>
      </c>
      <c r="H96" s="12">
        <v>14.84</v>
      </c>
      <c r="I96" s="12">
        <v>4.5999999999999996</v>
      </c>
      <c r="J96" s="12">
        <v>0.11</v>
      </c>
      <c r="K96" s="12">
        <v>242.63</v>
      </c>
      <c r="L96" s="12">
        <v>23.92</v>
      </c>
      <c r="M96" s="12">
        <v>98.33</v>
      </c>
      <c r="N96" s="12">
        <v>18.3</v>
      </c>
      <c r="O96" s="12">
        <v>0</v>
      </c>
      <c r="P96" s="12">
        <v>0.55000000000000004</v>
      </c>
      <c r="Q96" s="12">
        <v>9.43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426</v>
      </c>
      <c r="B97" s="12">
        <v>8.2799999999999994</v>
      </c>
      <c r="C97" s="12">
        <v>3.36</v>
      </c>
      <c r="D97" s="12">
        <v>12.17</v>
      </c>
      <c r="E97" s="12">
        <v>4.55</v>
      </c>
      <c r="F97" s="12">
        <v>2.5499999999999998</v>
      </c>
      <c r="G97" s="12">
        <v>37.409999999999997</v>
      </c>
      <c r="H97" s="12">
        <v>14.84</v>
      </c>
      <c r="I97" s="12">
        <v>4.4800000000000004</v>
      </c>
      <c r="J97" s="12">
        <v>0.16</v>
      </c>
      <c r="K97" s="12">
        <v>2.0699999999999998</v>
      </c>
      <c r="L97" s="12">
        <v>23.97</v>
      </c>
      <c r="M97" s="12">
        <v>98.33</v>
      </c>
      <c r="N97" s="12">
        <v>18.3</v>
      </c>
      <c r="O97" s="12">
        <v>0</v>
      </c>
      <c r="P97" s="12">
        <v>0.54</v>
      </c>
      <c r="Q97" s="12">
        <v>9.39</v>
      </c>
      <c r="R97" s="198"/>
      <c r="S97" s="198"/>
      <c r="T97" s="198"/>
      <c r="U97" s="198"/>
    </row>
    <row r="98" spans="1:33" s="12" customFormat="1" x14ac:dyDescent="0.25">
      <c r="A98" s="213" t="s">
        <v>427</v>
      </c>
      <c r="B98" s="12">
        <v>8.1999999999999993</v>
      </c>
      <c r="C98" s="12">
        <v>3.22</v>
      </c>
      <c r="D98" s="12">
        <v>12.03</v>
      </c>
      <c r="E98" s="12">
        <v>4.62</v>
      </c>
      <c r="F98" s="12">
        <v>3.11</v>
      </c>
      <c r="G98" s="12">
        <v>37.409999999999997</v>
      </c>
      <c r="H98" s="12">
        <v>14.84</v>
      </c>
      <c r="I98" s="12">
        <v>4.4000000000000004</v>
      </c>
      <c r="J98" s="12">
        <v>0.04</v>
      </c>
      <c r="K98" s="12">
        <v>324.86</v>
      </c>
      <c r="L98" s="12">
        <v>24.03</v>
      </c>
      <c r="M98" s="12">
        <v>98.3</v>
      </c>
      <c r="N98" s="12">
        <v>18.3</v>
      </c>
      <c r="O98" s="12">
        <v>0</v>
      </c>
      <c r="P98" s="12">
        <v>0.52</v>
      </c>
      <c r="Q98" s="12">
        <v>9.3800000000000008</v>
      </c>
      <c r="R98" s="198"/>
      <c r="S98" s="198"/>
      <c r="T98" s="198"/>
      <c r="U98" s="198"/>
    </row>
    <row r="99" spans="1:33" s="12" customFormat="1" x14ac:dyDescent="0.25">
      <c r="A99" s="213" t="s">
        <v>428</v>
      </c>
      <c r="B99" s="12">
        <v>8.1999999999999993</v>
      </c>
      <c r="C99" s="12">
        <v>3.2</v>
      </c>
      <c r="D99" s="12">
        <v>12.02</v>
      </c>
      <c r="E99" s="12">
        <v>4.4400000000000004</v>
      </c>
      <c r="F99" s="12">
        <v>3.62</v>
      </c>
      <c r="G99" s="12">
        <v>34.03</v>
      </c>
      <c r="H99" s="12">
        <v>12.46</v>
      </c>
      <c r="I99" s="12">
        <v>4.29</v>
      </c>
      <c r="J99" s="12">
        <v>0.5</v>
      </c>
      <c r="K99" s="12">
        <v>15.57</v>
      </c>
      <c r="L99" s="12">
        <v>24.04</v>
      </c>
      <c r="M99" s="12">
        <v>97.16</v>
      </c>
      <c r="N99" s="12">
        <v>18.3</v>
      </c>
      <c r="O99" s="12">
        <v>0</v>
      </c>
      <c r="P99" s="12">
        <v>0.5</v>
      </c>
      <c r="Q99" s="12">
        <v>9.41</v>
      </c>
      <c r="R99" s="198"/>
      <c r="S99" s="198"/>
      <c r="T99" s="198"/>
      <c r="U99" s="198"/>
    </row>
    <row r="100" spans="1:33" s="12" customFormat="1" x14ac:dyDescent="0.25">
      <c r="A100" s="213" t="s">
        <v>429</v>
      </c>
      <c r="B100" s="12">
        <v>8.18</v>
      </c>
      <c r="C100" s="12">
        <v>3.16</v>
      </c>
      <c r="D100" s="12">
        <v>11.99</v>
      </c>
      <c r="E100" s="12">
        <v>4.21</v>
      </c>
      <c r="F100" s="12">
        <v>4.4800000000000004</v>
      </c>
      <c r="G100" s="12">
        <v>31.98</v>
      </c>
      <c r="H100" s="12">
        <v>11.01</v>
      </c>
      <c r="I100" s="12">
        <v>4.16</v>
      </c>
      <c r="J100" s="12">
        <v>0.55000000000000004</v>
      </c>
      <c r="K100" s="12">
        <v>19.16</v>
      </c>
      <c r="L100" s="12">
        <v>23.83</v>
      </c>
      <c r="M100" s="12">
        <v>97.96</v>
      </c>
      <c r="N100" s="12">
        <v>17.5</v>
      </c>
      <c r="O100" s="12">
        <v>0</v>
      </c>
      <c r="P100" s="12">
        <v>0.49</v>
      </c>
      <c r="Q100" s="12">
        <v>9.4499999999999993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430</v>
      </c>
      <c r="B101" s="12">
        <v>8.14</v>
      </c>
      <c r="C101" s="12">
        <v>3.11</v>
      </c>
      <c r="D101" s="12">
        <v>11.93</v>
      </c>
      <c r="E101" s="12">
        <v>4.55</v>
      </c>
      <c r="F101" s="12">
        <v>2.61</v>
      </c>
      <c r="G101" s="12">
        <v>31.98</v>
      </c>
      <c r="H101" s="12">
        <v>11.01</v>
      </c>
      <c r="I101" s="12">
        <v>3.99</v>
      </c>
      <c r="J101" s="12">
        <v>0.37</v>
      </c>
      <c r="K101" s="12">
        <v>10.210000000000001</v>
      </c>
      <c r="L101" s="12">
        <v>23.62</v>
      </c>
      <c r="M101" s="12">
        <v>98.33</v>
      </c>
      <c r="N101" s="12">
        <v>17.7</v>
      </c>
      <c r="O101" s="12">
        <v>0</v>
      </c>
      <c r="P101" s="12">
        <v>0.47</v>
      </c>
      <c r="Q101" s="12">
        <v>9.3800000000000008</v>
      </c>
      <c r="R101" s="198"/>
      <c r="S101" s="198"/>
      <c r="T101" s="198"/>
      <c r="U101" s="198"/>
    </row>
    <row r="102" spans="1:33" s="12" customFormat="1" x14ac:dyDescent="0.25">
      <c r="A102" s="213" t="s">
        <v>431</v>
      </c>
      <c r="B102" s="12">
        <v>8.14</v>
      </c>
      <c r="C102" s="12">
        <v>3.1</v>
      </c>
      <c r="D102" s="12">
        <v>11.92</v>
      </c>
      <c r="E102" s="12">
        <v>4.5999999999999996</v>
      </c>
      <c r="F102" s="12">
        <v>3.25</v>
      </c>
      <c r="G102" s="12">
        <v>31.98</v>
      </c>
      <c r="H102" s="12">
        <v>11.01</v>
      </c>
      <c r="I102" s="12">
        <v>3.82</v>
      </c>
      <c r="J102" s="12">
        <v>0.49</v>
      </c>
      <c r="K102" s="12">
        <v>6.5</v>
      </c>
      <c r="L102" s="12">
        <v>23.49</v>
      </c>
      <c r="M102" s="12">
        <v>98.33</v>
      </c>
      <c r="N102" s="12">
        <v>17.3</v>
      </c>
      <c r="O102" s="12">
        <v>0</v>
      </c>
      <c r="P102" s="12">
        <v>0.44</v>
      </c>
      <c r="Q102" s="12">
        <v>9.36</v>
      </c>
      <c r="R102" s="198"/>
      <c r="S102" s="198"/>
      <c r="T102" s="198"/>
      <c r="U102" s="198"/>
    </row>
    <row r="103" spans="1:33" s="12" customFormat="1" x14ac:dyDescent="0.25">
      <c r="A103" s="213" t="s">
        <v>432</v>
      </c>
      <c r="B103" s="12">
        <v>8.2100000000000009</v>
      </c>
      <c r="C103" s="12">
        <v>3.21</v>
      </c>
      <c r="D103" s="12">
        <v>12.03</v>
      </c>
      <c r="E103" s="12">
        <v>4.4000000000000004</v>
      </c>
      <c r="F103" s="12">
        <v>3.59</v>
      </c>
      <c r="G103" s="12">
        <v>26.88</v>
      </c>
      <c r="H103" s="12">
        <v>9.52</v>
      </c>
      <c r="I103" s="12">
        <v>3.61</v>
      </c>
      <c r="J103" s="12">
        <v>0.56000000000000005</v>
      </c>
      <c r="K103" s="12">
        <v>20.07</v>
      </c>
      <c r="L103" s="12">
        <v>23.56</v>
      </c>
      <c r="M103" s="12">
        <v>98.18</v>
      </c>
      <c r="N103" s="12">
        <v>17.2</v>
      </c>
      <c r="O103" s="12">
        <v>0</v>
      </c>
      <c r="P103" s="12">
        <v>0.41</v>
      </c>
      <c r="Q103" s="12">
        <v>9.35</v>
      </c>
      <c r="R103" s="198"/>
      <c r="S103" s="198"/>
      <c r="T103" s="198"/>
      <c r="U103" s="198"/>
    </row>
    <row r="104" spans="1:33" s="12" customFormat="1" x14ac:dyDescent="0.25">
      <c r="A104" s="213" t="s">
        <v>433</v>
      </c>
      <c r="B104" s="12">
        <v>8.27</v>
      </c>
      <c r="C104" s="12">
        <v>3.27</v>
      </c>
      <c r="D104" s="12">
        <v>12.12</v>
      </c>
      <c r="E104" s="12">
        <v>4.7</v>
      </c>
      <c r="F104" s="12">
        <v>4.37</v>
      </c>
      <c r="G104" s="12">
        <v>23.79</v>
      </c>
      <c r="H104" s="12">
        <v>8.61</v>
      </c>
      <c r="I104" s="12">
        <v>3.37</v>
      </c>
      <c r="J104" s="12">
        <v>0.65</v>
      </c>
      <c r="K104" s="12">
        <v>10.050000000000001</v>
      </c>
      <c r="L104" s="12">
        <v>23.42</v>
      </c>
      <c r="M104" s="12">
        <v>96.68</v>
      </c>
      <c r="N104" s="12">
        <v>18.100000000000001</v>
      </c>
      <c r="O104" s="12">
        <v>0</v>
      </c>
      <c r="P104" s="12">
        <v>0.38</v>
      </c>
      <c r="Q104" s="12">
        <v>9.32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3.02</v>
      </c>
      <c r="D106" s="67">
        <f t="shared" ref="D106:Q106" si="0">MIN(D9:D104)</f>
        <v>11.87</v>
      </c>
      <c r="E106" s="67">
        <f t="shared" si="0"/>
        <v>3.08</v>
      </c>
      <c r="F106" s="67">
        <f t="shared" si="0"/>
        <v>2.5499999999999998</v>
      </c>
      <c r="G106" s="67">
        <f t="shared" si="0"/>
        <v>14.58</v>
      </c>
      <c r="H106" s="67">
        <f t="shared" si="0"/>
        <v>1.1100000000000001</v>
      </c>
      <c r="I106" s="67">
        <f t="shared" si="0"/>
        <v>0.96</v>
      </c>
      <c r="J106" s="67">
        <f t="shared" si="0"/>
        <v>0.04</v>
      </c>
      <c r="K106" s="67">
        <f t="shared" si="0"/>
        <v>0.28000000000000003</v>
      </c>
      <c r="L106" s="67">
        <f t="shared" si="0"/>
        <v>22.1</v>
      </c>
      <c r="M106" s="67">
        <f t="shared" si="0"/>
        <v>67.489999999999995</v>
      </c>
      <c r="N106" s="67">
        <f t="shared" si="0"/>
        <v>17.2</v>
      </c>
      <c r="O106" s="67">
        <f t="shared" si="0"/>
        <v>0</v>
      </c>
      <c r="P106" s="67">
        <f t="shared" si="0"/>
        <v>0.21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8.39</v>
      </c>
      <c r="C107" s="66">
        <f t="shared" ref="C107:Q107" si="1">MAX(C9:C104)</f>
        <v>3.71</v>
      </c>
      <c r="D107" s="66">
        <f t="shared" si="1"/>
        <v>12.43</v>
      </c>
      <c r="E107" s="66">
        <f t="shared" si="1"/>
        <v>5.0599999999999996</v>
      </c>
      <c r="F107" s="66">
        <f t="shared" si="1"/>
        <v>6.28</v>
      </c>
      <c r="G107" s="66">
        <f t="shared" si="1"/>
        <v>46.52</v>
      </c>
      <c r="H107" s="66">
        <f t="shared" si="1"/>
        <v>14.84</v>
      </c>
      <c r="I107" s="66">
        <f t="shared" si="1"/>
        <v>4.8600000000000003</v>
      </c>
      <c r="J107" s="66">
        <f t="shared" si="1"/>
        <v>0.75</v>
      </c>
      <c r="K107" s="66">
        <f t="shared" si="1"/>
        <v>359.81</v>
      </c>
      <c r="L107" s="66">
        <f t="shared" si="1"/>
        <v>28.64</v>
      </c>
      <c r="M107" s="66">
        <f t="shared" si="1"/>
        <v>98.35</v>
      </c>
      <c r="N107" s="66">
        <f t="shared" si="1"/>
        <v>819.5</v>
      </c>
      <c r="O107" s="66">
        <f t="shared" si="1"/>
        <v>2.4</v>
      </c>
      <c r="P107" s="66">
        <f t="shared" si="1"/>
        <v>0.6</v>
      </c>
      <c r="Q107" s="66">
        <f t="shared" si="1"/>
        <v>9.4700000000000006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8.2084375000000005</v>
      </c>
      <c r="C108" s="67">
        <f t="shared" ref="C108:Q108" si="2">AVERAGE(C9:C104)</f>
        <v>3.1937500000000001</v>
      </c>
      <c r="D108" s="67">
        <f t="shared" si="2"/>
        <v>12.025416666666667</v>
      </c>
      <c r="E108" s="67">
        <f t="shared" si="2"/>
        <v>4.1141666666666632</v>
      </c>
      <c r="F108" s="67">
        <f t="shared" si="2"/>
        <v>3.980208333333334</v>
      </c>
      <c r="G108" s="67">
        <f t="shared" si="2"/>
        <v>29.526562499999986</v>
      </c>
      <c r="H108" s="67">
        <f t="shared" si="2"/>
        <v>7.563958333333332</v>
      </c>
      <c r="I108" s="67">
        <f t="shared" si="2"/>
        <v>2.3561458333333332</v>
      </c>
      <c r="J108" s="67">
        <f t="shared" si="2"/>
        <v>0.40187499999999993</v>
      </c>
      <c r="K108" s="67">
        <f t="shared" si="2"/>
        <v>206.02156249999996</v>
      </c>
      <c r="L108" s="67">
        <f t="shared" si="2"/>
        <v>24.586458333333329</v>
      </c>
      <c r="M108" s="67">
        <f t="shared" si="2"/>
        <v>89.659166666666692</v>
      </c>
      <c r="N108" s="67">
        <f t="shared" si="2"/>
        <v>138.28437499999998</v>
      </c>
      <c r="O108" s="67">
        <f t="shared" si="2"/>
        <v>2.7083333333333334E-2</v>
      </c>
      <c r="P108" s="67">
        <f t="shared" si="2"/>
        <v>0.34770833333333312</v>
      </c>
      <c r="Q108" s="67">
        <f t="shared" si="2"/>
        <v>9.2786458333333357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5.161248573950418E-2</v>
      </c>
      <c r="C109" s="67">
        <f t="shared" ref="C109:Q109" si="3">STDEV(C9:C104)</f>
        <v>0.10525407855580504</v>
      </c>
      <c r="D109" s="67">
        <f t="shared" si="3"/>
        <v>9.1811209803672786E-2</v>
      </c>
      <c r="E109" s="67">
        <f t="shared" si="3"/>
        <v>0.37026211673315867</v>
      </c>
      <c r="F109" s="67">
        <f t="shared" si="3"/>
        <v>0.84012151898797471</v>
      </c>
      <c r="G109" s="67">
        <f t="shared" si="3"/>
        <v>9.4562360185307828</v>
      </c>
      <c r="H109" s="67">
        <f t="shared" si="3"/>
        <v>3.8591647526011745</v>
      </c>
      <c r="I109" s="67">
        <f t="shared" si="3"/>
        <v>1.1849746786472213</v>
      </c>
      <c r="J109" s="67">
        <f t="shared" si="3"/>
        <v>0.1855876158527146</v>
      </c>
      <c r="K109" s="67">
        <f t="shared" si="3"/>
        <v>140.79614055212951</v>
      </c>
      <c r="L109" s="67">
        <f t="shared" si="3"/>
        <v>2.1162454236176051</v>
      </c>
      <c r="M109" s="67">
        <f t="shared" si="3"/>
        <v>11.746006592761606</v>
      </c>
      <c r="N109" s="67">
        <f t="shared" si="3"/>
        <v>188.91380286041624</v>
      </c>
      <c r="O109" s="67">
        <f t="shared" si="3"/>
        <v>0.24558380139734773</v>
      </c>
      <c r="P109" s="67">
        <f t="shared" si="3"/>
        <v>0.11318805187703979</v>
      </c>
      <c r="Q109" s="67">
        <f t="shared" si="3"/>
        <v>8.3560501770515605E-2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434</v>
      </c>
      <c r="B9" s="64">
        <v>8.25</v>
      </c>
      <c r="C9" s="64">
        <v>3.21</v>
      </c>
      <c r="D9" s="64">
        <v>12.07</v>
      </c>
      <c r="E9" s="64">
        <v>4.54</v>
      </c>
      <c r="F9" s="64">
        <v>4.92</v>
      </c>
      <c r="G9" s="64">
        <v>23.79</v>
      </c>
      <c r="H9" s="64">
        <v>8.61</v>
      </c>
      <c r="I9" s="64">
        <v>3.07</v>
      </c>
      <c r="J9" s="64">
        <v>0.74</v>
      </c>
      <c r="K9" s="64">
        <v>13.51</v>
      </c>
      <c r="L9" s="64">
        <v>23.19</v>
      </c>
      <c r="M9" s="64">
        <v>97.41</v>
      </c>
      <c r="N9" s="64">
        <v>18</v>
      </c>
      <c r="O9" s="64">
        <v>0</v>
      </c>
      <c r="P9" s="64">
        <v>0.35</v>
      </c>
      <c r="Q9" s="64">
        <v>9.31</v>
      </c>
      <c r="R9" s="198"/>
      <c r="S9" s="198"/>
      <c r="T9" s="198"/>
      <c r="U9" s="198"/>
    </row>
    <row r="10" spans="1:21" s="12" customFormat="1" x14ac:dyDescent="0.25">
      <c r="A10" s="217" t="s">
        <v>435</v>
      </c>
      <c r="B10" s="64">
        <v>8.23</v>
      </c>
      <c r="C10" s="64">
        <v>3.23</v>
      </c>
      <c r="D10" s="64">
        <v>12.06</v>
      </c>
      <c r="E10" s="64">
        <v>4.29</v>
      </c>
      <c r="F10" s="64">
        <v>5.07</v>
      </c>
      <c r="G10" s="64">
        <v>23.79</v>
      </c>
      <c r="H10" s="64">
        <v>8.61</v>
      </c>
      <c r="I10" s="64">
        <v>2.58</v>
      </c>
      <c r="J10" s="64">
        <v>0.67</v>
      </c>
      <c r="K10" s="64">
        <v>10.56</v>
      </c>
      <c r="L10" s="64">
        <v>23.04</v>
      </c>
      <c r="M10" s="64">
        <v>97.88</v>
      </c>
      <c r="N10" s="64">
        <v>17.8</v>
      </c>
      <c r="O10" s="64">
        <v>0</v>
      </c>
      <c r="P10" s="64">
        <v>0.33</v>
      </c>
      <c r="Q10" s="64">
        <v>9.3000000000000007</v>
      </c>
      <c r="R10" s="198"/>
      <c r="S10" s="198"/>
      <c r="T10" s="198"/>
      <c r="U10" s="198"/>
    </row>
    <row r="11" spans="1:21" s="12" customFormat="1" x14ac:dyDescent="0.25">
      <c r="A11" s="217" t="s">
        <v>436</v>
      </c>
      <c r="B11" s="64">
        <v>8.2200000000000006</v>
      </c>
      <c r="C11" s="64">
        <v>3.24</v>
      </c>
      <c r="D11" s="64">
        <v>12.06</v>
      </c>
      <c r="E11" s="64">
        <v>4.54</v>
      </c>
      <c r="F11" s="64">
        <v>4.91</v>
      </c>
      <c r="G11" s="64">
        <v>19.84</v>
      </c>
      <c r="H11" s="64">
        <v>7.17</v>
      </c>
      <c r="I11" s="64">
        <v>2.17</v>
      </c>
      <c r="J11" s="64">
        <v>0.56000000000000005</v>
      </c>
      <c r="K11" s="64">
        <v>5.91</v>
      </c>
      <c r="L11" s="64">
        <v>22.9</v>
      </c>
      <c r="M11" s="64">
        <v>98.3</v>
      </c>
      <c r="N11" s="64">
        <v>17.8</v>
      </c>
      <c r="O11" s="64">
        <v>0</v>
      </c>
      <c r="P11" s="64">
        <v>0.3</v>
      </c>
      <c r="Q11" s="64">
        <v>9.26</v>
      </c>
      <c r="R11" s="198"/>
      <c r="S11" s="198"/>
      <c r="T11" s="198"/>
      <c r="U11" s="198"/>
    </row>
    <row r="12" spans="1:21" s="12" customFormat="1" x14ac:dyDescent="0.25">
      <c r="A12" s="217" t="s">
        <v>437</v>
      </c>
      <c r="B12" s="64">
        <v>8.23</v>
      </c>
      <c r="C12" s="64">
        <v>3.26</v>
      </c>
      <c r="D12" s="64">
        <v>12.08</v>
      </c>
      <c r="E12" s="64">
        <v>4.72</v>
      </c>
      <c r="F12" s="64">
        <v>4.82</v>
      </c>
      <c r="G12" s="64">
        <v>17.440000000000001</v>
      </c>
      <c r="H12" s="64">
        <v>6.25</v>
      </c>
      <c r="I12" s="64">
        <v>1.92</v>
      </c>
      <c r="J12" s="64">
        <v>0.63</v>
      </c>
      <c r="K12" s="64">
        <v>5.84</v>
      </c>
      <c r="L12" s="64">
        <v>22.79</v>
      </c>
      <c r="M12" s="64">
        <v>98.32</v>
      </c>
      <c r="N12" s="64">
        <v>17.7</v>
      </c>
      <c r="O12" s="64">
        <v>0</v>
      </c>
      <c r="P12" s="64">
        <v>0.28999999999999998</v>
      </c>
      <c r="Q12" s="64">
        <v>9.23</v>
      </c>
      <c r="R12" s="198"/>
      <c r="S12" s="198"/>
      <c r="T12" s="198"/>
      <c r="U12" s="198"/>
    </row>
    <row r="13" spans="1:21" s="12" customFormat="1" x14ac:dyDescent="0.25">
      <c r="A13" s="217" t="s">
        <v>438</v>
      </c>
      <c r="B13" s="64">
        <v>8.2100000000000009</v>
      </c>
      <c r="C13" s="64">
        <v>3.16</v>
      </c>
      <c r="D13" s="64">
        <v>12.01</v>
      </c>
      <c r="E13" s="64">
        <v>4.68</v>
      </c>
      <c r="F13" s="64">
        <v>5.71</v>
      </c>
      <c r="G13" s="64">
        <v>17.440000000000001</v>
      </c>
      <c r="H13" s="64">
        <v>6.25</v>
      </c>
      <c r="I13" s="64">
        <v>1.76</v>
      </c>
      <c r="J13" s="64">
        <v>0.59</v>
      </c>
      <c r="K13" s="64">
        <v>16.07</v>
      </c>
      <c r="L13" s="64">
        <v>22.73</v>
      </c>
      <c r="M13" s="64">
        <v>98.32</v>
      </c>
      <c r="N13" s="64">
        <v>17.7</v>
      </c>
      <c r="O13" s="64">
        <v>0</v>
      </c>
      <c r="P13" s="64">
        <v>0.28999999999999998</v>
      </c>
      <c r="Q13" s="64">
        <v>9.2200000000000006</v>
      </c>
      <c r="R13" s="198"/>
      <c r="S13" s="198"/>
      <c r="T13" s="198"/>
      <c r="U13" s="198"/>
    </row>
    <row r="14" spans="1:21" s="12" customFormat="1" x14ac:dyDescent="0.25">
      <c r="A14" s="217" t="s">
        <v>439</v>
      </c>
      <c r="B14" s="64">
        <v>8.18</v>
      </c>
      <c r="C14" s="64">
        <v>3.15</v>
      </c>
      <c r="D14" s="64">
        <v>11.98</v>
      </c>
      <c r="E14" s="64">
        <v>4.57</v>
      </c>
      <c r="F14" s="64">
        <v>6.41</v>
      </c>
      <c r="G14" s="64">
        <v>17.440000000000001</v>
      </c>
      <c r="H14" s="64">
        <v>6.25</v>
      </c>
      <c r="I14" s="64">
        <v>1.68</v>
      </c>
      <c r="J14" s="64">
        <v>0.77</v>
      </c>
      <c r="K14" s="64">
        <v>19.52</v>
      </c>
      <c r="L14" s="64">
        <v>22.64</v>
      </c>
      <c r="M14" s="64">
        <v>98.33</v>
      </c>
      <c r="N14" s="64">
        <v>17.8</v>
      </c>
      <c r="O14" s="64">
        <v>0</v>
      </c>
      <c r="P14" s="64">
        <v>0.31</v>
      </c>
      <c r="Q14" s="64">
        <v>9.2100000000000009</v>
      </c>
      <c r="R14" s="198"/>
      <c r="S14" s="198"/>
      <c r="T14" s="198"/>
      <c r="U14" s="198"/>
    </row>
    <row r="15" spans="1:21" s="12" customFormat="1" x14ac:dyDescent="0.25">
      <c r="A15" s="217" t="s">
        <v>440</v>
      </c>
      <c r="B15" s="64">
        <v>8.15</v>
      </c>
      <c r="C15" s="64">
        <v>3.11</v>
      </c>
      <c r="D15" s="64">
        <v>11.93</v>
      </c>
      <c r="E15" s="64">
        <v>4.53</v>
      </c>
      <c r="F15" s="64">
        <v>4.71</v>
      </c>
      <c r="G15" s="64">
        <v>15.73</v>
      </c>
      <c r="H15" s="64">
        <v>5.23</v>
      </c>
      <c r="I15" s="64">
        <v>1.59</v>
      </c>
      <c r="J15" s="64">
        <v>0.6</v>
      </c>
      <c r="K15" s="64">
        <v>8.44</v>
      </c>
      <c r="L15" s="64">
        <v>22.62</v>
      </c>
      <c r="M15" s="64">
        <v>98.33</v>
      </c>
      <c r="N15" s="64">
        <v>17.7</v>
      </c>
      <c r="O15" s="64">
        <v>0</v>
      </c>
      <c r="P15" s="64">
        <v>0.3</v>
      </c>
      <c r="Q15" s="64">
        <v>9.16</v>
      </c>
      <c r="R15" s="198"/>
      <c r="S15" s="198"/>
      <c r="T15" s="198"/>
      <c r="U15" s="198"/>
    </row>
    <row r="16" spans="1:21" s="12" customFormat="1" x14ac:dyDescent="0.25">
      <c r="A16" s="217" t="s">
        <v>441</v>
      </c>
      <c r="B16" s="64">
        <v>8.17</v>
      </c>
      <c r="C16" s="64">
        <v>3.21</v>
      </c>
      <c r="D16" s="64">
        <v>12.01</v>
      </c>
      <c r="E16" s="64">
        <v>4.5199999999999996</v>
      </c>
      <c r="F16" s="64">
        <v>4.29</v>
      </c>
      <c r="G16" s="64">
        <v>14.64</v>
      </c>
      <c r="H16" s="64">
        <v>4.59</v>
      </c>
      <c r="I16" s="64">
        <v>1.5</v>
      </c>
      <c r="J16" s="64">
        <v>0.5</v>
      </c>
      <c r="K16" s="64">
        <v>25.9</v>
      </c>
      <c r="L16" s="64">
        <v>22.62</v>
      </c>
      <c r="M16" s="64">
        <v>98.33</v>
      </c>
      <c r="N16" s="64">
        <v>17.7</v>
      </c>
      <c r="O16" s="64">
        <v>0</v>
      </c>
      <c r="P16" s="64">
        <v>0.27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7" t="s">
        <v>442</v>
      </c>
      <c r="B17" s="64">
        <v>8.1300000000000008</v>
      </c>
      <c r="C17" s="64">
        <v>3.09</v>
      </c>
      <c r="D17" s="64">
        <v>11.91</v>
      </c>
      <c r="E17" s="64">
        <v>4.49</v>
      </c>
      <c r="F17" s="64">
        <v>5.04</v>
      </c>
      <c r="G17" s="64">
        <v>14.64</v>
      </c>
      <c r="H17" s="64">
        <v>4.59</v>
      </c>
      <c r="I17" s="64">
        <v>1.38</v>
      </c>
      <c r="J17" s="64">
        <v>0.6</v>
      </c>
      <c r="K17" s="64">
        <v>14.13</v>
      </c>
      <c r="L17" s="64">
        <v>22.66</v>
      </c>
      <c r="M17" s="64">
        <v>98.33</v>
      </c>
      <c r="N17" s="64">
        <v>17.7</v>
      </c>
      <c r="O17" s="64">
        <v>0</v>
      </c>
      <c r="P17" s="64">
        <v>0.26</v>
      </c>
      <c r="Q17" s="64">
        <v>9.15</v>
      </c>
      <c r="R17" s="198"/>
      <c r="S17" s="198"/>
      <c r="T17" s="198"/>
      <c r="U17" s="198"/>
    </row>
    <row r="18" spans="1:21" s="12" customFormat="1" x14ac:dyDescent="0.25">
      <c r="A18" s="217" t="s">
        <v>443</v>
      </c>
      <c r="B18" s="64">
        <v>8.15</v>
      </c>
      <c r="C18" s="64">
        <v>3.12</v>
      </c>
      <c r="D18" s="64">
        <v>11.93</v>
      </c>
      <c r="E18" s="64">
        <v>4.6399999999999997</v>
      </c>
      <c r="F18" s="64">
        <v>5.88</v>
      </c>
      <c r="G18" s="64">
        <v>14.64</v>
      </c>
      <c r="H18" s="64">
        <v>4.59</v>
      </c>
      <c r="I18" s="64">
        <v>1.23</v>
      </c>
      <c r="J18" s="64">
        <v>0.72</v>
      </c>
      <c r="K18" s="64">
        <v>11.18</v>
      </c>
      <c r="L18" s="64">
        <v>22.59</v>
      </c>
      <c r="M18" s="64">
        <v>98.33</v>
      </c>
      <c r="N18" s="64">
        <v>17.8</v>
      </c>
      <c r="O18" s="64">
        <v>0</v>
      </c>
      <c r="P18" s="64">
        <v>0.26</v>
      </c>
      <c r="Q18" s="64">
        <v>9.23</v>
      </c>
      <c r="R18" s="198"/>
      <c r="S18" s="198"/>
      <c r="T18" s="198"/>
      <c r="U18" s="198"/>
    </row>
    <row r="19" spans="1:21" s="12" customFormat="1" x14ac:dyDescent="0.25">
      <c r="A19" s="217" t="s">
        <v>444</v>
      </c>
      <c r="B19" s="64">
        <v>8.15</v>
      </c>
      <c r="C19" s="64">
        <v>3.1</v>
      </c>
      <c r="D19" s="64">
        <v>11.92</v>
      </c>
      <c r="E19" s="64">
        <v>4.78</v>
      </c>
      <c r="F19" s="64">
        <v>4.3899999999999997</v>
      </c>
      <c r="G19" s="64">
        <v>12.3</v>
      </c>
      <c r="H19" s="64">
        <v>3.78</v>
      </c>
      <c r="I19" s="64">
        <v>1.1299999999999999</v>
      </c>
      <c r="J19" s="64">
        <v>0.5</v>
      </c>
      <c r="K19" s="64">
        <v>13.69</v>
      </c>
      <c r="L19" s="64">
        <v>22.55</v>
      </c>
      <c r="M19" s="64">
        <v>98.33</v>
      </c>
      <c r="N19" s="64">
        <v>17.8</v>
      </c>
      <c r="O19" s="64">
        <v>0</v>
      </c>
      <c r="P19" s="64">
        <v>0.26</v>
      </c>
      <c r="Q19" s="64">
        <v>9.18</v>
      </c>
      <c r="R19" s="198"/>
      <c r="S19" s="198"/>
      <c r="T19" s="198"/>
      <c r="U19" s="198"/>
    </row>
    <row r="20" spans="1:21" s="12" customFormat="1" x14ac:dyDescent="0.25">
      <c r="A20" s="217" t="s">
        <v>445</v>
      </c>
      <c r="B20" s="64">
        <v>8.14</v>
      </c>
      <c r="C20" s="64">
        <v>3.12</v>
      </c>
      <c r="D20" s="64">
        <v>11.93</v>
      </c>
      <c r="E20" s="64">
        <v>4.34</v>
      </c>
      <c r="F20" s="64">
        <v>4.8499999999999996</v>
      </c>
      <c r="G20" s="64">
        <v>10.81</v>
      </c>
      <c r="H20" s="64">
        <v>3.27</v>
      </c>
      <c r="I20" s="64">
        <v>1.06</v>
      </c>
      <c r="J20" s="64">
        <v>0.75</v>
      </c>
      <c r="K20" s="64">
        <v>11.78</v>
      </c>
      <c r="L20" s="64">
        <v>22.55</v>
      </c>
      <c r="M20" s="64">
        <v>98.32</v>
      </c>
      <c r="N20" s="64">
        <v>17.8</v>
      </c>
      <c r="O20" s="64">
        <v>0</v>
      </c>
      <c r="P20" s="64">
        <v>0.24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7" t="s">
        <v>446</v>
      </c>
      <c r="B21" s="64">
        <v>8.17</v>
      </c>
      <c r="C21" s="64">
        <v>3.17</v>
      </c>
      <c r="D21" s="64">
        <v>11.98</v>
      </c>
      <c r="E21" s="64">
        <v>4.4000000000000004</v>
      </c>
      <c r="F21" s="64">
        <v>6.05</v>
      </c>
      <c r="G21" s="64">
        <v>10.81</v>
      </c>
      <c r="H21" s="64">
        <v>3.27</v>
      </c>
      <c r="I21" s="64">
        <v>0.97</v>
      </c>
      <c r="J21" s="64">
        <v>0.66</v>
      </c>
      <c r="K21" s="64">
        <v>10.039999999999999</v>
      </c>
      <c r="L21" s="64">
        <v>22.59</v>
      </c>
      <c r="M21" s="64">
        <v>98.22</v>
      </c>
      <c r="N21" s="64">
        <v>17.7</v>
      </c>
      <c r="O21" s="64">
        <v>0</v>
      </c>
      <c r="P21" s="64">
        <v>0.23</v>
      </c>
      <c r="Q21" s="64">
        <v>9.18</v>
      </c>
      <c r="R21" s="198"/>
      <c r="S21" s="198"/>
      <c r="T21" s="198"/>
      <c r="U21" s="198"/>
    </row>
    <row r="22" spans="1:21" s="12" customFormat="1" x14ac:dyDescent="0.25">
      <c r="A22" s="217" t="s">
        <v>447</v>
      </c>
      <c r="B22" s="64">
        <v>8.1999999999999993</v>
      </c>
      <c r="C22" s="64">
        <v>3.22</v>
      </c>
      <c r="D22" s="64">
        <v>12.03</v>
      </c>
      <c r="E22" s="64">
        <v>4.2300000000000004</v>
      </c>
      <c r="F22" s="64">
        <v>5.81</v>
      </c>
      <c r="G22" s="64">
        <v>10.81</v>
      </c>
      <c r="H22" s="64">
        <v>3.27</v>
      </c>
      <c r="I22" s="64">
        <v>0.84</v>
      </c>
      <c r="J22" s="64">
        <v>0.66</v>
      </c>
      <c r="K22" s="64">
        <v>11.34</v>
      </c>
      <c r="L22" s="64">
        <v>22.56</v>
      </c>
      <c r="M22" s="64">
        <v>98.05</v>
      </c>
      <c r="N22" s="64">
        <v>17.8</v>
      </c>
      <c r="O22" s="64">
        <v>0</v>
      </c>
      <c r="P22" s="64">
        <v>0.24</v>
      </c>
      <c r="Q22" s="64">
        <v>9.1999999999999993</v>
      </c>
      <c r="R22" s="198"/>
      <c r="S22" s="198"/>
      <c r="T22" s="198"/>
      <c r="U22" s="198"/>
    </row>
    <row r="23" spans="1:21" s="12" customFormat="1" x14ac:dyDescent="0.25">
      <c r="A23" s="217" t="s">
        <v>448</v>
      </c>
      <c r="B23" s="64">
        <v>8.2799999999999994</v>
      </c>
      <c r="C23" s="64">
        <v>3.47</v>
      </c>
      <c r="D23" s="64">
        <v>12.23</v>
      </c>
      <c r="E23" s="64">
        <v>4.42</v>
      </c>
      <c r="F23" s="64">
        <v>4.0199999999999996</v>
      </c>
      <c r="G23" s="64">
        <v>9.6300000000000008</v>
      </c>
      <c r="H23" s="64">
        <v>2.74</v>
      </c>
      <c r="I23" s="64">
        <v>0.78</v>
      </c>
      <c r="J23" s="64">
        <v>0.64</v>
      </c>
      <c r="K23" s="64">
        <v>0.74</v>
      </c>
      <c r="L23" s="64">
        <v>22.56</v>
      </c>
      <c r="M23" s="64">
        <v>97.41</v>
      </c>
      <c r="N23" s="64">
        <v>17.7</v>
      </c>
      <c r="O23" s="64">
        <v>0</v>
      </c>
      <c r="P23" s="64">
        <v>0.22</v>
      </c>
      <c r="Q23" s="64">
        <v>9.16</v>
      </c>
      <c r="R23" s="198"/>
      <c r="S23" s="198"/>
      <c r="T23" s="198"/>
      <c r="U23" s="198"/>
    </row>
    <row r="24" spans="1:21" s="12" customFormat="1" x14ac:dyDescent="0.25">
      <c r="A24" s="217" t="s">
        <v>449</v>
      </c>
      <c r="B24" s="64">
        <v>8.16</v>
      </c>
      <c r="C24" s="64">
        <v>3.12</v>
      </c>
      <c r="D24" s="64">
        <v>11.95</v>
      </c>
      <c r="E24" s="64">
        <v>3.61</v>
      </c>
      <c r="F24" s="64">
        <v>5.74</v>
      </c>
      <c r="G24" s="64">
        <v>8.8800000000000008</v>
      </c>
      <c r="H24" s="64">
        <v>2.39</v>
      </c>
      <c r="I24" s="64">
        <v>0.75</v>
      </c>
      <c r="J24" s="64">
        <v>0.5</v>
      </c>
      <c r="K24" s="64">
        <v>8.5500000000000007</v>
      </c>
      <c r="L24" s="64">
        <v>22.52</v>
      </c>
      <c r="M24" s="64">
        <v>97.41</v>
      </c>
      <c r="N24" s="64">
        <v>17.8</v>
      </c>
      <c r="O24" s="64">
        <v>0</v>
      </c>
      <c r="P24" s="64">
        <v>0.21</v>
      </c>
      <c r="Q24" s="64">
        <v>9.15</v>
      </c>
      <c r="R24" s="198"/>
      <c r="S24" s="198"/>
      <c r="T24" s="198"/>
      <c r="U24" s="198"/>
    </row>
    <row r="25" spans="1:21" s="12" customFormat="1" x14ac:dyDescent="0.25">
      <c r="A25" s="217" t="s">
        <v>450</v>
      </c>
      <c r="B25" s="64">
        <v>8.16</v>
      </c>
      <c r="C25" s="64">
        <v>3.09</v>
      </c>
      <c r="D25" s="64">
        <v>11.93</v>
      </c>
      <c r="E25" s="64">
        <v>3.59</v>
      </c>
      <c r="F25" s="64">
        <v>5.44</v>
      </c>
      <c r="G25" s="64">
        <v>8.8800000000000008</v>
      </c>
      <c r="H25" s="64">
        <v>2.39</v>
      </c>
      <c r="I25" s="64">
        <v>0.68</v>
      </c>
      <c r="J25" s="64">
        <v>0.59</v>
      </c>
      <c r="K25" s="64">
        <v>357.42</v>
      </c>
      <c r="L25" s="64">
        <v>22.49</v>
      </c>
      <c r="M25" s="64">
        <v>97.55</v>
      </c>
      <c r="N25" s="64">
        <v>17.8</v>
      </c>
      <c r="O25" s="64">
        <v>0</v>
      </c>
      <c r="P25" s="64">
        <v>0.21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7" t="s">
        <v>451</v>
      </c>
      <c r="B26" s="64">
        <v>8.19</v>
      </c>
      <c r="C26" s="64">
        <v>3.14</v>
      </c>
      <c r="D26" s="64">
        <v>11.98</v>
      </c>
      <c r="E26" s="64">
        <v>3.59</v>
      </c>
      <c r="F26" s="64">
        <v>4.7699999999999996</v>
      </c>
      <c r="G26" s="64">
        <v>8.8800000000000008</v>
      </c>
      <c r="H26" s="64">
        <v>2.39</v>
      </c>
      <c r="I26" s="64">
        <v>0.61</v>
      </c>
      <c r="J26" s="64">
        <v>0.54</v>
      </c>
      <c r="K26" s="64">
        <v>6.96</v>
      </c>
      <c r="L26" s="64">
        <v>22.43</v>
      </c>
      <c r="M26" s="64">
        <v>97.82</v>
      </c>
      <c r="N26" s="64">
        <v>17.8</v>
      </c>
      <c r="O26" s="64">
        <v>0</v>
      </c>
      <c r="P26" s="64">
        <v>0.21</v>
      </c>
      <c r="Q26" s="64">
        <v>9.17</v>
      </c>
      <c r="R26" s="198"/>
      <c r="S26" s="198"/>
      <c r="T26" s="198"/>
      <c r="U26" s="198"/>
    </row>
    <row r="27" spans="1:21" s="12" customFormat="1" x14ac:dyDescent="0.25">
      <c r="A27" s="217" t="s">
        <v>452</v>
      </c>
      <c r="B27" s="64">
        <v>8.1999999999999993</v>
      </c>
      <c r="C27" s="64">
        <v>3.13</v>
      </c>
      <c r="D27" s="64">
        <v>11.98</v>
      </c>
      <c r="E27" s="64">
        <v>3.72</v>
      </c>
      <c r="F27" s="64">
        <v>4.4400000000000004</v>
      </c>
      <c r="G27" s="64">
        <v>8.66</v>
      </c>
      <c r="H27" s="64">
        <v>2.1800000000000002</v>
      </c>
      <c r="I27" s="64">
        <v>0.56999999999999995</v>
      </c>
      <c r="J27" s="64">
        <v>0.54</v>
      </c>
      <c r="K27" s="64">
        <v>357.47</v>
      </c>
      <c r="L27" s="64">
        <v>22.48</v>
      </c>
      <c r="M27" s="64">
        <v>97.62</v>
      </c>
      <c r="N27" s="64">
        <v>17.8</v>
      </c>
      <c r="O27" s="64">
        <v>0</v>
      </c>
      <c r="P27" s="64">
        <v>0.21</v>
      </c>
      <c r="Q27" s="64">
        <v>9.16</v>
      </c>
      <c r="R27" s="198"/>
      <c r="S27" s="198"/>
      <c r="T27" s="198"/>
      <c r="U27" s="198"/>
    </row>
    <row r="28" spans="1:21" s="12" customFormat="1" x14ac:dyDescent="0.25">
      <c r="A28" s="217" t="s">
        <v>453</v>
      </c>
      <c r="B28" s="64">
        <v>8.19</v>
      </c>
      <c r="C28" s="64">
        <v>3.05</v>
      </c>
      <c r="D28" s="64">
        <v>11.93</v>
      </c>
      <c r="E28" s="64">
        <v>3.65</v>
      </c>
      <c r="F28" s="64">
        <v>4.57</v>
      </c>
      <c r="G28" s="64">
        <v>8.52</v>
      </c>
      <c r="H28" s="64">
        <v>2.04</v>
      </c>
      <c r="I28" s="64">
        <v>0.56999999999999995</v>
      </c>
      <c r="J28" s="64">
        <v>0.37</v>
      </c>
      <c r="K28" s="64">
        <v>354.76</v>
      </c>
      <c r="L28" s="64">
        <v>22.41</v>
      </c>
      <c r="M28" s="64">
        <v>97.93</v>
      </c>
      <c r="N28" s="64">
        <v>17.7</v>
      </c>
      <c r="O28" s="64">
        <v>0</v>
      </c>
      <c r="P28" s="64">
        <v>0.22</v>
      </c>
      <c r="Q28" s="64">
        <v>9.15</v>
      </c>
      <c r="R28" s="198"/>
      <c r="S28" s="198"/>
      <c r="T28" s="198"/>
      <c r="U28" s="198"/>
    </row>
    <row r="29" spans="1:21" s="12" customFormat="1" x14ac:dyDescent="0.25">
      <c r="A29" s="217" t="s">
        <v>454</v>
      </c>
      <c r="B29" s="64">
        <v>8.19</v>
      </c>
      <c r="C29" s="64">
        <v>3.07</v>
      </c>
      <c r="D29" s="64">
        <v>11.95</v>
      </c>
      <c r="E29" s="64">
        <v>3.45</v>
      </c>
      <c r="F29" s="64">
        <v>4.21</v>
      </c>
      <c r="G29" s="64">
        <v>8.52</v>
      </c>
      <c r="H29" s="64">
        <v>2.04</v>
      </c>
      <c r="I29" s="64">
        <v>0.57999999999999996</v>
      </c>
      <c r="J29" s="64">
        <v>0.45</v>
      </c>
      <c r="K29" s="64">
        <v>346.2</v>
      </c>
      <c r="L29" s="64">
        <v>22.37</v>
      </c>
      <c r="M29" s="64">
        <v>97.99</v>
      </c>
      <c r="N29" s="64">
        <v>18</v>
      </c>
      <c r="O29" s="64">
        <v>0</v>
      </c>
      <c r="P29" s="64">
        <v>0.22</v>
      </c>
      <c r="Q29" s="64">
        <v>9.16</v>
      </c>
      <c r="R29" s="198"/>
      <c r="S29" s="198"/>
      <c r="T29" s="198"/>
      <c r="U29" s="198"/>
    </row>
    <row r="30" spans="1:21" s="12" customFormat="1" x14ac:dyDescent="0.25">
      <c r="A30" s="217" t="s">
        <v>455</v>
      </c>
      <c r="B30" s="64">
        <v>8.2100000000000009</v>
      </c>
      <c r="C30" s="64">
        <v>3.09</v>
      </c>
      <c r="D30" s="64">
        <v>11.98</v>
      </c>
      <c r="E30" s="64">
        <v>3.76</v>
      </c>
      <c r="F30" s="64">
        <v>3.21</v>
      </c>
      <c r="G30" s="64">
        <v>8.52</v>
      </c>
      <c r="H30" s="64">
        <v>2.04</v>
      </c>
      <c r="I30" s="64">
        <v>0.62</v>
      </c>
      <c r="J30" s="64">
        <v>0.51</v>
      </c>
      <c r="K30" s="64">
        <v>350.52</v>
      </c>
      <c r="L30" s="64">
        <v>22.22</v>
      </c>
      <c r="M30" s="64">
        <v>98.3</v>
      </c>
      <c r="N30" s="64">
        <v>19.899999999999999</v>
      </c>
      <c r="O30" s="64">
        <v>0</v>
      </c>
      <c r="P30" s="64">
        <v>0.23</v>
      </c>
      <c r="Q30" s="64">
        <v>9.16</v>
      </c>
      <c r="R30" s="198"/>
      <c r="S30" s="198"/>
      <c r="T30" s="198"/>
      <c r="U30" s="198"/>
    </row>
    <row r="31" spans="1:21" s="12" customFormat="1" x14ac:dyDescent="0.25">
      <c r="A31" s="217" t="s">
        <v>456</v>
      </c>
      <c r="B31" s="64">
        <v>8.1999999999999993</v>
      </c>
      <c r="C31" s="64">
        <v>3.08</v>
      </c>
      <c r="D31" s="64">
        <v>11.96</v>
      </c>
      <c r="E31" s="64">
        <v>3.68</v>
      </c>
      <c r="F31" s="64">
        <v>3.42</v>
      </c>
      <c r="G31" s="64">
        <v>11.53</v>
      </c>
      <c r="H31" s="64">
        <v>1.73</v>
      </c>
      <c r="I31" s="64">
        <v>0.68</v>
      </c>
      <c r="J31" s="64">
        <v>0.43</v>
      </c>
      <c r="K31" s="64">
        <v>7.51</v>
      </c>
      <c r="L31" s="64">
        <v>22.22</v>
      </c>
      <c r="M31" s="64">
        <v>98.32</v>
      </c>
      <c r="N31" s="64">
        <v>26.7</v>
      </c>
      <c r="O31" s="64">
        <v>0</v>
      </c>
      <c r="P31" s="64">
        <v>0.23</v>
      </c>
      <c r="Q31" s="64">
        <v>9.17</v>
      </c>
      <c r="R31" s="198"/>
      <c r="S31" s="198"/>
      <c r="T31" s="198"/>
      <c r="U31" s="198"/>
    </row>
    <row r="32" spans="1:21" s="12" customFormat="1" x14ac:dyDescent="0.25">
      <c r="A32" s="217" t="s">
        <v>457</v>
      </c>
      <c r="B32" s="64">
        <v>8.18</v>
      </c>
      <c r="C32" s="64">
        <v>3.1</v>
      </c>
      <c r="D32" s="64">
        <v>11.96</v>
      </c>
      <c r="E32" s="64">
        <v>3.77</v>
      </c>
      <c r="F32" s="64">
        <v>4.53</v>
      </c>
      <c r="G32" s="64">
        <v>13.44</v>
      </c>
      <c r="H32" s="64">
        <v>1.53</v>
      </c>
      <c r="I32" s="64">
        <v>0.74</v>
      </c>
      <c r="J32" s="64">
        <v>0.43</v>
      </c>
      <c r="K32" s="64">
        <v>354.7</v>
      </c>
      <c r="L32" s="64">
        <v>22.18</v>
      </c>
      <c r="M32" s="64">
        <v>98.32</v>
      </c>
      <c r="N32" s="64">
        <v>36.4</v>
      </c>
      <c r="O32" s="64">
        <v>0</v>
      </c>
      <c r="P32" s="64">
        <v>0.24</v>
      </c>
      <c r="Q32" s="64">
        <v>9.18</v>
      </c>
      <c r="R32" s="198"/>
      <c r="S32" s="198"/>
      <c r="T32" s="198"/>
      <c r="U32" s="198"/>
    </row>
    <row r="33" spans="1:21" s="12" customFormat="1" x14ac:dyDescent="0.25">
      <c r="A33" s="217" t="s">
        <v>458</v>
      </c>
      <c r="B33" s="64">
        <v>8.1199999999999992</v>
      </c>
      <c r="C33" s="64">
        <v>3.04</v>
      </c>
      <c r="D33" s="64">
        <v>11.87</v>
      </c>
      <c r="E33" s="64">
        <v>4.04</v>
      </c>
      <c r="F33" s="64">
        <v>4.43</v>
      </c>
      <c r="G33" s="64">
        <v>13.44</v>
      </c>
      <c r="H33" s="64">
        <v>1.53</v>
      </c>
      <c r="I33" s="64">
        <v>0.83</v>
      </c>
      <c r="J33" s="64">
        <v>0.5</v>
      </c>
      <c r="K33" s="64">
        <v>11.48</v>
      </c>
      <c r="L33" s="64">
        <v>22.17</v>
      </c>
      <c r="M33" s="64">
        <v>98.32</v>
      </c>
      <c r="N33" s="64">
        <v>48.9</v>
      </c>
      <c r="O33" s="64">
        <v>0</v>
      </c>
      <c r="P33" s="64">
        <v>0.25</v>
      </c>
      <c r="Q33" s="64">
        <v>9.18</v>
      </c>
      <c r="R33" s="198"/>
      <c r="S33" s="198"/>
      <c r="T33" s="198"/>
      <c r="U33" s="198"/>
    </row>
    <row r="34" spans="1:21" s="12" customFormat="1" x14ac:dyDescent="0.25">
      <c r="A34" s="217" t="s">
        <v>459</v>
      </c>
      <c r="B34" s="64">
        <v>8.08</v>
      </c>
      <c r="C34" s="64">
        <v>3.01</v>
      </c>
      <c r="D34" s="64">
        <v>11.83</v>
      </c>
      <c r="E34" s="64">
        <v>3.77</v>
      </c>
      <c r="F34" s="64">
        <v>2.97</v>
      </c>
      <c r="G34" s="64">
        <v>13.44</v>
      </c>
      <c r="H34" s="64">
        <v>1.53</v>
      </c>
      <c r="I34" s="64">
        <v>0.92</v>
      </c>
      <c r="J34" s="64">
        <v>0.56999999999999995</v>
      </c>
      <c r="K34" s="64">
        <v>357.36</v>
      </c>
      <c r="L34" s="64">
        <v>22.27</v>
      </c>
      <c r="M34" s="64">
        <v>98.29</v>
      </c>
      <c r="N34" s="64">
        <v>67.400000000000006</v>
      </c>
      <c r="O34" s="64">
        <v>0</v>
      </c>
      <c r="P34" s="64">
        <v>0.25</v>
      </c>
      <c r="Q34" s="64">
        <v>9.15</v>
      </c>
      <c r="R34" s="198"/>
      <c r="S34" s="198"/>
      <c r="T34" s="198"/>
      <c r="U34" s="198"/>
    </row>
    <row r="35" spans="1:21" s="12" customFormat="1" x14ac:dyDescent="0.25">
      <c r="A35" s="217" t="s">
        <v>460</v>
      </c>
      <c r="B35" s="64">
        <v>8.1300000000000008</v>
      </c>
      <c r="C35" s="64">
        <v>3.09</v>
      </c>
      <c r="D35" s="64">
        <v>11.91</v>
      </c>
      <c r="E35" s="64">
        <v>3.38</v>
      </c>
      <c r="F35" s="64">
        <v>3.82</v>
      </c>
      <c r="G35" s="64">
        <v>17.32</v>
      </c>
      <c r="H35" s="64">
        <v>3.55</v>
      </c>
      <c r="I35" s="64">
        <v>0.98</v>
      </c>
      <c r="J35" s="64">
        <v>0.51</v>
      </c>
      <c r="K35" s="64">
        <v>354.76</v>
      </c>
      <c r="L35" s="64">
        <v>22.45</v>
      </c>
      <c r="M35" s="64">
        <v>97.85</v>
      </c>
      <c r="N35" s="64">
        <v>92.1</v>
      </c>
      <c r="O35" s="64">
        <v>0</v>
      </c>
      <c r="P35" s="64">
        <v>0.25</v>
      </c>
      <c r="Q35" s="64">
        <v>9.18</v>
      </c>
      <c r="R35" s="198"/>
      <c r="S35" s="198"/>
      <c r="T35" s="198"/>
      <c r="U35" s="198"/>
    </row>
    <row r="36" spans="1:21" s="12" customFormat="1" x14ac:dyDescent="0.25">
      <c r="A36" s="217" t="s">
        <v>461</v>
      </c>
      <c r="B36" s="64">
        <v>8.2100000000000009</v>
      </c>
      <c r="C36" s="64">
        <v>3.22</v>
      </c>
      <c r="D36" s="64">
        <v>12.04</v>
      </c>
      <c r="E36" s="64">
        <v>3.68</v>
      </c>
      <c r="F36" s="64">
        <v>4.8600000000000003</v>
      </c>
      <c r="G36" s="64">
        <v>19.8</v>
      </c>
      <c r="H36" s="64">
        <v>4.84</v>
      </c>
      <c r="I36" s="64">
        <v>1.01</v>
      </c>
      <c r="J36" s="64">
        <v>0.56000000000000005</v>
      </c>
      <c r="K36" s="64">
        <v>1.1599999999999999</v>
      </c>
      <c r="L36" s="64">
        <v>22.66</v>
      </c>
      <c r="M36" s="64">
        <v>97.02</v>
      </c>
      <c r="N36" s="64">
        <v>116.9</v>
      </c>
      <c r="O36" s="64">
        <v>0</v>
      </c>
      <c r="P36" s="64">
        <v>0.27</v>
      </c>
      <c r="Q36" s="64">
        <v>9.2200000000000006</v>
      </c>
      <c r="R36" s="198"/>
      <c r="S36" s="198"/>
      <c r="T36" s="198"/>
      <c r="U36" s="198"/>
    </row>
    <row r="37" spans="1:21" s="12" customFormat="1" x14ac:dyDescent="0.25">
      <c r="A37" s="217" t="s">
        <v>462</v>
      </c>
      <c r="B37" s="64">
        <v>8.2899999999999991</v>
      </c>
      <c r="C37" s="64">
        <v>3.51</v>
      </c>
      <c r="D37" s="64">
        <v>12.25</v>
      </c>
      <c r="E37" s="64">
        <v>3.51</v>
      </c>
      <c r="F37" s="64">
        <v>2.7</v>
      </c>
      <c r="G37" s="64">
        <v>19.8</v>
      </c>
      <c r="H37" s="64">
        <v>4.84</v>
      </c>
      <c r="I37" s="64">
        <v>1.03</v>
      </c>
      <c r="J37" s="64">
        <v>0.26</v>
      </c>
      <c r="K37" s="64">
        <v>356.49</v>
      </c>
      <c r="L37" s="64">
        <v>23.27</v>
      </c>
      <c r="M37" s="64">
        <v>94.93</v>
      </c>
      <c r="N37" s="64">
        <v>130.9</v>
      </c>
      <c r="O37" s="64">
        <v>0</v>
      </c>
      <c r="P37" s="64">
        <v>0.27</v>
      </c>
      <c r="Q37" s="64">
        <v>9.1999999999999993</v>
      </c>
      <c r="R37" s="198"/>
      <c r="S37" s="198"/>
      <c r="T37" s="198"/>
      <c r="U37" s="198"/>
    </row>
    <row r="38" spans="1:21" s="12" customFormat="1" x14ac:dyDescent="0.25">
      <c r="A38" s="217" t="s">
        <v>463</v>
      </c>
      <c r="B38" s="64">
        <v>8.18</v>
      </c>
      <c r="C38" s="64">
        <v>3.24</v>
      </c>
      <c r="D38" s="64">
        <v>12.03</v>
      </c>
      <c r="E38" s="64">
        <v>3.79</v>
      </c>
      <c r="F38" s="64">
        <v>3.14</v>
      </c>
      <c r="G38" s="64">
        <v>19.8</v>
      </c>
      <c r="H38" s="64">
        <v>4.84</v>
      </c>
      <c r="I38" s="64">
        <v>1.07</v>
      </c>
      <c r="J38" s="64">
        <v>0.52</v>
      </c>
      <c r="K38" s="64">
        <v>4.45</v>
      </c>
      <c r="L38" s="64">
        <v>23.21</v>
      </c>
      <c r="M38" s="64">
        <v>94.28</v>
      </c>
      <c r="N38" s="64">
        <v>100.2</v>
      </c>
      <c r="O38" s="64">
        <v>0</v>
      </c>
      <c r="P38" s="64">
        <v>0.28000000000000003</v>
      </c>
      <c r="Q38" s="64">
        <v>9.19</v>
      </c>
      <c r="R38" s="198"/>
      <c r="S38" s="198"/>
      <c r="T38" s="198"/>
      <c r="U38" s="198"/>
    </row>
    <row r="39" spans="1:21" s="12" customFormat="1" x14ac:dyDescent="0.25">
      <c r="A39" s="217" t="s">
        <v>464</v>
      </c>
      <c r="B39" s="64">
        <v>8.14</v>
      </c>
      <c r="C39" s="64">
        <v>3.11</v>
      </c>
      <c r="D39" s="64">
        <v>11.93</v>
      </c>
      <c r="E39" s="64">
        <v>3.61</v>
      </c>
      <c r="F39" s="64">
        <v>4.24</v>
      </c>
      <c r="G39" s="64">
        <v>25.64</v>
      </c>
      <c r="H39" s="64">
        <v>5.81</v>
      </c>
      <c r="I39" s="64">
        <v>1.0900000000000001</v>
      </c>
      <c r="J39" s="64">
        <v>0.49</v>
      </c>
      <c r="K39" s="64">
        <v>355.51</v>
      </c>
      <c r="L39" s="64">
        <v>23.02</v>
      </c>
      <c r="M39" s="64">
        <v>94.97</v>
      </c>
      <c r="N39" s="64">
        <v>145.1</v>
      </c>
      <c r="O39" s="64">
        <v>0</v>
      </c>
      <c r="P39" s="64">
        <v>0.28999999999999998</v>
      </c>
      <c r="Q39" s="64">
        <v>9.2100000000000009</v>
      </c>
      <c r="R39" s="198"/>
      <c r="S39" s="198"/>
      <c r="T39" s="198"/>
      <c r="U39" s="198"/>
    </row>
    <row r="40" spans="1:21" s="12" customFormat="1" x14ac:dyDescent="0.25">
      <c r="A40" s="217" t="s">
        <v>465</v>
      </c>
      <c r="B40" s="64">
        <v>8.14</v>
      </c>
      <c r="C40" s="64">
        <v>3.1</v>
      </c>
      <c r="D40" s="64">
        <v>11.93</v>
      </c>
      <c r="E40" s="64">
        <v>4.71</v>
      </c>
      <c r="F40" s="64">
        <v>4.7699999999999996</v>
      </c>
      <c r="G40" s="64">
        <v>29.37</v>
      </c>
      <c r="H40" s="64">
        <v>6.4</v>
      </c>
      <c r="I40" s="64">
        <v>1.08</v>
      </c>
      <c r="J40" s="64">
        <v>0.66</v>
      </c>
      <c r="K40" s="64">
        <v>359.23</v>
      </c>
      <c r="L40" s="64">
        <v>23.7</v>
      </c>
      <c r="M40" s="64">
        <v>91.83</v>
      </c>
      <c r="N40" s="64">
        <v>224.2</v>
      </c>
      <c r="O40" s="64">
        <v>0</v>
      </c>
      <c r="P40" s="64">
        <v>0.31</v>
      </c>
      <c r="Q40" s="64">
        <v>9.25</v>
      </c>
      <c r="R40" s="198"/>
      <c r="S40" s="198"/>
      <c r="T40" s="198"/>
      <c r="U40" s="198"/>
    </row>
    <row r="41" spans="1:21" s="12" customFormat="1" x14ac:dyDescent="0.25">
      <c r="A41" s="217" t="s">
        <v>466</v>
      </c>
      <c r="B41" s="64">
        <v>8.1199999999999992</v>
      </c>
      <c r="C41" s="64">
        <v>3.07</v>
      </c>
      <c r="D41" s="64">
        <v>11.89</v>
      </c>
      <c r="E41" s="64">
        <v>4.9800000000000004</v>
      </c>
      <c r="F41" s="64">
        <v>3.29</v>
      </c>
      <c r="G41" s="64">
        <v>29.37</v>
      </c>
      <c r="H41" s="64">
        <v>6.4</v>
      </c>
      <c r="I41" s="64">
        <v>1.0900000000000001</v>
      </c>
      <c r="J41" s="64">
        <v>0.55000000000000004</v>
      </c>
      <c r="K41" s="64">
        <v>352.26</v>
      </c>
      <c r="L41" s="64">
        <v>24</v>
      </c>
      <c r="M41" s="64">
        <v>90.3</v>
      </c>
      <c r="N41" s="64">
        <v>202.2</v>
      </c>
      <c r="O41" s="64">
        <v>0</v>
      </c>
      <c r="P41" s="64">
        <v>0.31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17" t="s">
        <v>467</v>
      </c>
      <c r="B42" s="64">
        <v>8.27</v>
      </c>
      <c r="C42" s="64">
        <v>3.46</v>
      </c>
      <c r="D42" s="64">
        <v>12.22</v>
      </c>
      <c r="E42" s="64">
        <v>4.92</v>
      </c>
      <c r="F42" s="64">
        <v>3.95</v>
      </c>
      <c r="G42" s="64">
        <v>29.37</v>
      </c>
      <c r="H42" s="64">
        <v>6.4</v>
      </c>
      <c r="I42" s="64">
        <v>1.1299999999999999</v>
      </c>
      <c r="J42" s="64">
        <v>0.59</v>
      </c>
      <c r="K42" s="64">
        <v>358.71</v>
      </c>
      <c r="L42" s="64">
        <v>24.06</v>
      </c>
      <c r="M42" s="64">
        <v>89.93</v>
      </c>
      <c r="N42" s="64">
        <v>177.7</v>
      </c>
      <c r="O42" s="64">
        <v>0</v>
      </c>
      <c r="P42" s="64">
        <v>0.3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7" t="s">
        <v>468</v>
      </c>
      <c r="B43" s="64">
        <v>8.2100000000000009</v>
      </c>
      <c r="C43" s="64">
        <v>3.28</v>
      </c>
      <c r="D43" s="64">
        <v>12.07</v>
      </c>
      <c r="E43" s="64">
        <v>4.5</v>
      </c>
      <c r="F43" s="64">
        <v>4.59</v>
      </c>
      <c r="G43" s="64">
        <v>29.6</v>
      </c>
      <c r="H43" s="64">
        <v>5.25</v>
      </c>
      <c r="I43" s="64">
        <v>1.1100000000000001</v>
      </c>
      <c r="J43" s="64">
        <v>0.62</v>
      </c>
      <c r="K43" s="64">
        <v>337.03</v>
      </c>
      <c r="L43" s="64">
        <v>24.73</v>
      </c>
      <c r="M43" s="64">
        <v>87.55</v>
      </c>
      <c r="N43" s="64">
        <v>204.6</v>
      </c>
      <c r="O43" s="64">
        <v>0</v>
      </c>
      <c r="P43" s="64">
        <v>0.3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17" t="s">
        <v>469</v>
      </c>
      <c r="B44" s="64">
        <v>8.2100000000000009</v>
      </c>
      <c r="C44" s="64">
        <v>3.15</v>
      </c>
      <c r="D44" s="64">
        <v>12</v>
      </c>
      <c r="E44" s="64">
        <v>4.8099999999999996</v>
      </c>
      <c r="F44" s="64">
        <v>4.8</v>
      </c>
      <c r="G44" s="64">
        <v>29.74</v>
      </c>
      <c r="H44" s="64">
        <v>4.51</v>
      </c>
      <c r="I44" s="64">
        <v>1.05</v>
      </c>
      <c r="J44" s="64">
        <v>0.64</v>
      </c>
      <c r="K44" s="64">
        <v>2.39</v>
      </c>
      <c r="L44" s="64">
        <v>24.97</v>
      </c>
      <c r="M44" s="64">
        <v>85.98</v>
      </c>
      <c r="N44" s="64">
        <v>314.60000000000002</v>
      </c>
      <c r="O44" s="64">
        <v>0</v>
      </c>
      <c r="P44" s="64">
        <v>0.31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7" t="s">
        <v>470</v>
      </c>
      <c r="B45" s="64">
        <v>8.19</v>
      </c>
      <c r="C45" s="64">
        <v>3.06</v>
      </c>
      <c r="D45" s="64">
        <v>11.94</v>
      </c>
      <c r="E45" s="64">
        <v>4.38</v>
      </c>
      <c r="F45" s="64">
        <v>4.8099999999999996</v>
      </c>
      <c r="G45" s="64">
        <v>29.74</v>
      </c>
      <c r="H45" s="64">
        <v>4.51</v>
      </c>
      <c r="I45" s="64">
        <v>1.03</v>
      </c>
      <c r="J45" s="64">
        <v>0.67</v>
      </c>
      <c r="K45" s="64">
        <v>350.06</v>
      </c>
      <c r="L45" s="64">
        <v>25.04</v>
      </c>
      <c r="M45" s="64">
        <v>85.83</v>
      </c>
      <c r="N45" s="64">
        <v>249.7</v>
      </c>
      <c r="O45" s="64">
        <v>0</v>
      </c>
      <c r="P45" s="64">
        <v>0.32</v>
      </c>
      <c r="Q45" s="64">
        <v>9.19</v>
      </c>
      <c r="R45" s="198"/>
      <c r="S45" s="198"/>
      <c r="T45" s="198"/>
      <c r="U45" s="198"/>
    </row>
    <row r="46" spans="1:21" s="12" customFormat="1" x14ac:dyDescent="0.25">
      <c r="A46" s="217" t="s">
        <v>471</v>
      </c>
      <c r="B46" s="64">
        <v>8.1999999999999993</v>
      </c>
      <c r="C46" s="64">
        <v>3.12</v>
      </c>
      <c r="D46" s="64">
        <v>11.98</v>
      </c>
      <c r="E46" s="64">
        <v>4.6399999999999997</v>
      </c>
      <c r="F46" s="64">
        <v>4.24</v>
      </c>
      <c r="G46" s="64">
        <v>29.74</v>
      </c>
      <c r="H46" s="64">
        <v>4.51</v>
      </c>
      <c r="I46" s="64">
        <v>1.02</v>
      </c>
      <c r="J46" s="64">
        <v>0.68</v>
      </c>
      <c r="K46" s="64">
        <v>0.28999999999999998</v>
      </c>
      <c r="L46" s="64">
        <v>24.89</v>
      </c>
      <c r="M46" s="64">
        <v>86.32</v>
      </c>
      <c r="N46" s="64">
        <v>203.2</v>
      </c>
      <c r="O46" s="64">
        <v>0</v>
      </c>
      <c r="P46" s="64">
        <v>0.33</v>
      </c>
      <c r="Q46" s="64">
        <v>9.1999999999999993</v>
      </c>
      <c r="R46" s="198"/>
      <c r="S46" s="198"/>
      <c r="T46" s="198"/>
      <c r="U46" s="198"/>
    </row>
    <row r="47" spans="1:21" s="12" customFormat="1" x14ac:dyDescent="0.25">
      <c r="A47" s="217" t="s">
        <v>472</v>
      </c>
      <c r="B47" s="64">
        <v>8.18</v>
      </c>
      <c r="C47" s="64">
        <v>3.13</v>
      </c>
      <c r="D47" s="64">
        <v>11.97</v>
      </c>
      <c r="E47" s="64">
        <v>4.6399999999999997</v>
      </c>
      <c r="F47" s="64">
        <v>4.54</v>
      </c>
      <c r="G47" s="64">
        <v>29.86</v>
      </c>
      <c r="H47" s="64">
        <v>4.97</v>
      </c>
      <c r="I47" s="64">
        <v>1.03</v>
      </c>
      <c r="J47" s="64">
        <v>0.61</v>
      </c>
      <c r="K47" s="64">
        <v>350.51</v>
      </c>
      <c r="L47" s="64">
        <v>25.47</v>
      </c>
      <c r="M47" s="64">
        <v>83.59</v>
      </c>
      <c r="N47" s="64">
        <v>327.9</v>
      </c>
      <c r="O47" s="64">
        <v>0</v>
      </c>
      <c r="P47" s="64">
        <v>0.33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7" t="s">
        <v>473</v>
      </c>
      <c r="B48" s="64">
        <v>8.19</v>
      </c>
      <c r="C48" s="64">
        <v>3.11</v>
      </c>
      <c r="D48" s="64">
        <v>11.96</v>
      </c>
      <c r="E48" s="64">
        <v>4.9000000000000004</v>
      </c>
      <c r="F48" s="64">
        <v>4.7699999999999996</v>
      </c>
      <c r="G48" s="64">
        <v>29.93</v>
      </c>
      <c r="H48" s="64">
        <v>5.26</v>
      </c>
      <c r="I48" s="64">
        <v>0.99</v>
      </c>
      <c r="J48" s="64">
        <v>0.54</v>
      </c>
      <c r="K48" s="64">
        <v>349.34</v>
      </c>
      <c r="L48" s="64">
        <v>25.78</v>
      </c>
      <c r="M48" s="64">
        <v>82.41</v>
      </c>
      <c r="N48" s="64">
        <v>363.8</v>
      </c>
      <c r="O48" s="64">
        <v>0</v>
      </c>
      <c r="P48" s="64">
        <v>0.35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7" t="s">
        <v>474</v>
      </c>
      <c r="B49" s="64">
        <v>8.19</v>
      </c>
      <c r="C49" s="64">
        <v>3.19</v>
      </c>
      <c r="D49" s="64">
        <v>12.01</v>
      </c>
      <c r="E49" s="64">
        <v>4.7</v>
      </c>
      <c r="F49" s="64">
        <v>4.8</v>
      </c>
      <c r="G49" s="64">
        <v>29.93</v>
      </c>
      <c r="H49" s="64">
        <v>5.26</v>
      </c>
      <c r="I49" s="64">
        <v>1.04</v>
      </c>
      <c r="J49" s="64">
        <v>0.63</v>
      </c>
      <c r="K49" s="64">
        <v>335.93</v>
      </c>
      <c r="L49" s="64">
        <v>27.02</v>
      </c>
      <c r="M49" s="64">
        <v>77.239999999999995</v>
      </c>
      <c r="N49" s="64">
        <v>454.8</v>
      </c>
      <c r="O49" s="64">
        <v>0</v>
      </c>
      <c r="P49" s="64">
        <v>0.36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7" t="s">
        <v>475</v>
      </c>
      <c r="B50" s="64">
        <v>8.2100000000000009</v>
      </c>
      <c r="C50" s="64">
        <v>3.24</v>
      </c>
      <c r="D50" s="64">
        <v>12.05</v>
      </c>
      <c r="E50" s="64">
        <v>4.68</v>
      </c>
      <c r="F50" s="64">
        <v>4.8099999999999996</v>
      </c>
      <c r="G50" s="64">
        <v>29.93</v>
      </c>
      <c r="H50" s="64">
        <v>5.26</v>
      </c>
      <c r="I50" s="64">
        <v>1.06</v>
      </c>
      <c r="J50" s="64">
        <v>0.39</v>
      </c>
      <c r="K50" s="64">
        <v>358.55</v>
      </c>
      <c r="L50" s="64">
        <v>26.94</v>
      </c>
      <c r="M50" s="64">
        <v>78.08</v>
      </c>
      <c r="N50" s="64">
        <v>349.6</v>
      </c>
      <c r="O50" s="64">
        <v>0</v>
      </c>
      <c r="P50" s="64">
        <v>0.41</v>
      </c>
      <c r="Q50" s="64">
        <v>9.1999999999999993</v>
      </c>
      <c r="R50" s="198"/>
      <c r="S50" s="198"/>
      <c r="T50" s="198"/>
      <c r="U50" s="198"/>
    </row>
    <row r="51" spans="1:21" s="12" customFormat="1" x14ac:dyDescent="0.25">
      <c r="A51" s="217" t="s">
        <v>476</v>
      </c>
      <c r="B51" s="64">
        <v>8.16</v>
      </c>
      <c r="C51" s="64">
        <v>3.13</v>
      </c>
      <c r="D51" s="64">
        <v>11.95</v>
      </c>
      <c r="E51" s="64">
        <v>4.92</v>
      </c>
      <c r="F51" s="64">
        <v>5.13</v>
      </c>
      <c r="G51" s="64">
        <v>35.909999999999997</v>
      </c>
      <c r="H51" s="64">
        <v>8.11</v>
      </c>
      <c r="I51" s="64">
        <v>1.1000000000000001</v>
      </c>
      <c r="J51" s="64">
        <v>0.5</v>
      </c>
      <c r="K51" s="64">
        <v>335.08</v>
      </c>
      <c r="L51" s="64">
        <v>26.77</v>
      </c>
      <c r="M51" s="64">
        <v>79.48</v>
      </c>
      <c r="N51" s="64">
        <v>338.4</v>
      </c>
      <c r="O51" s="64">
        <v>0</v>
      </c>
      <c r="P51" s="64">
        <v>0.46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7" t="s">
        <v>477</v>
      </c>
      <c r="B52" s="64">
        <v>8.1999999999999993</v>
      </c>
      <c r="C52" s="64">
        <v>3.31</v>
      </c>
      <c r="D52" s="64">
        <v>12.08</v>
      </c>
      <c r="E52" s="64">
        <v>4.8600000000000003</v>
      </c>
      <c r="F52" s="64">
        <v>5.16</v>
      </c>
      <c r="G52" s="64">
        <v>39.71</v>
      </c>
      <c r="H52" s="64">
        <v>9.92</v>
      </c>
      <c r="I52" s="64">
        <v>1.28</v>
      </c>
      <c r="J52" s="64">
        <v>0.59</v>
      </c>
      <c r="K52" s="64">
        <v>342.27</v>
      </c>
      <c r="L52" s="64">
        <v>26.79</v>
      </c>
      <c r="M52" s="64">
        <v>79.349999999999994</v>
      </c>
      <c r="N52" s="64">
        <v>264.3</v>
      </c>
      <c r="O52" s="64">
        <v>0</v>
      </c>
      <c r="P52" s="64">
        <v>0.59</v>
      </c>
      <c r="Q52" s="64">
        <v>9.17</v>
      </c>
      <c r="R52" s="198"/>
      <c r="S52" s="198"/>
      <c r="T52" s="198"/>
      <c r="U52" s="198"/>
    </row>
    <row r="53" spans="1:21" s="12" customFormat="1" x14ac:dyDescent="0.25">
      <c r="A53" s="217" t="s">
        <v>478</v>
      </c>
      <c r="B53" s="64">
        <v>8.17</v>
      </c>
      <c r="C53" s="64">
        <v>3.37</v>
      </c>
      <c r="D53" s="64">
        <v>12.09</v>
      </c>
      <c r="E53" s="64">
        <v>4.75</v>
      </c>
      <c r="F53" s="64">
        <v>5.73</v>
      </c>
      <c r="G53" s="64">
        <v>39.71</v>
      </c>
      <c r="H53" s="64">
        <v>9.92</v>
      </c>
      <c r="I53" s="64">
        <v>1.5</v>
      </c>
      <c r="J53" s="64">
        <v>0.57999999999999996</v>
      </c>
      <c r="K53" s="64">
        <v>334.54</v>
      </c>
      <c r="L53" s="64">
        <v>27.35</v>
      </c>
      <c r="M53" s="64">
        <v>77.27</v>
      </c>
      <c r="N53" s="64">
        <v>456.4</v>
      </c>
      <c r="O53" s="64">
        <v>0</v>
      </c>
      <c r="P53" s="64">
        <v>0.73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7" t="s">
        <v>479</v>
      </c>
      <c r="B54" s="64">
        <v>8.17</v>
      </c>
      <c r="C54" s="64">
        <v>3.36</v>
      </c>
      <c r="D54" s="64">
        <v>12.08</v>
      </c>
      <c r="E54" s="64">
        <v>4.5999999999999996</v>
      </c>
      <c r="F54" s="64">
        <v>5.47</v>
      </c>
      <c r="G54" s="64">
        <v>39.71</v>
      </c>
      <c r="H54" s="64">
        <v>9.92</v>
      </c>
      <c r="I54" s="64">
        <v>1.89</v>
      </c>
      <c r="J54" s="64">
        <v>0.52</v>
      </c>
      <c r="K54" s="64">
        <v>347.74</v>
      </c>
      <c r="L54" s="64">
        <v>28.07</v>
      </c>
      <c r="M54" s="64">
        <v>74.48</v>
      </c>
      <c r="N54" s="64">
        <v>381.3</v>
      </c>
      <c r="O54" s="64">
        <v>0</v>
      </c>
      <c r="P54" s="64">
        <v>0.76</v>
      </c>
      <c r="Q54" s="64">
        <v>9.2799999999999994</v>
      </c>
      <c r="R54" s="198"/>
      <c r="S54" s="198"/>
      <c r="T54" s="198"/>
      <c r="U54" s="198"/>
    </row>
    <row r="55" spans="1:21" s="12" customFormat="1" x14ac:dyDescent="0.25">
      <c r="A55" s="217" t="s">
        <v>480</v>
      </c>
      <c r="B55" s="64">
        <v>8.19</v>
      </c>
      <c r="C55" s="64">
        <v>3.29</v>
      </c>
      <c r="D55" s="64">
        <v>12.05</v>
      </c>
      <c r="E55" s="64">
        <v>4.29</v>
      </c>
      <c r="F55" s="64">
        <v>4.9400000000000004</v>
      </c>
      <c r="G55" s="212" t="s">
        <v>40</v>
      </c>
      <c r="H55" s="212" t="s">
        <v>40</v>
      </c>
      <c r="I55" s="64">
        <v>2.2400000000000002</v>
      </c>
      <c r="J55" s="64">
        <v>0.54</v>
      </c>
      <c r="K55" s="64">
        <v>344.68</v>
      </c>
      <c r="L55" s="64">
        <v>27.75</v>
      </c>
      <c r="M55" s="64">
        <v>74.95</v>
      </c>
      <c r="N55" s="64">
        <v>247.8</v>
      </c>
      <c r="O55" s="64">
        <v>0</v>
      </c>
      <c r="P55" s="64">
        <v>0.74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7" t="s">
        <v>481</v>
      </c>
      <c r="B56" s="64">
        <v>8.1999999999999993</v>
      </c>
      <c r="C56" s="64">
        <v>3.32</v>
      </c>
      <c r="D56" s="64">
        <v>12.08</v>
      </c>
      <c r="E56" s="64">
        <v>3.53</v>
      </c>
      <c r="F56" s="64">
        <v>5.32</v>
      </c>
      <c r="G56" s="212" t="s">
        <v>40</v>
      </c>
      <c r="H56" s="212" t="s">
        <v>40</v>
      </c>
      <c r="I56" s="64">
        <v>2.4</v>
      </c>
      <c r="J56" s="64">
        <v>0.56999999999999995</v>
      </c>
      <c r="K56" s="64">
        <v>353.66</v>
      </c>
      <c r="L56" s="64">
        <v>27.36</v>
      </c>
      <c r="M56" s="64">
        <v>75.97</v>
      </c>
      <c r="N56" s="64">
        <v>365.6</v>
      </c>
      <c r="O56" s="64">
        <v>0</v>
      </c>
      <c r="P56" s="64">
        <v>0.73</v>
      </c>
      <c r="Q56" s="64">
        <v>9.3000000000000007</v>
      </c>
      <c r="R56" s="198"/>
      <c r="S56" s="198"/>
      <c r="T56" s="198"/>
      <c r="U56" s="198"/>
    </row>
    <row r="57" spans="1:21" s="12" customFormat="1" x14ac:dyDescent="0.25">
      <c r="A57" s="217" t="s">
        <v>482</v>
      </c>
      <c r="B57" s="64">
        <v>8.18</v>
      </c>
      <c r="C57" s="64">
        <v>3.33</v>
      </c>
      <c r="D57" s="64">
        <v>12.08</v>
      </c>
      <c r="E57" s="64">
        <v>3.71</v>
      </c>
      <c r="F57" s="64">
        <v>4.1900000000000004</v>
      </c>
      <c r="G57" s="212" t="s">
        <v>40</v>
      </c>
      <c r="H57" s="212" t="s">
        <v>40</v>
      </c>
      <c r="I57" s="64">
        <v>2.57</v>
      </c>
      <c r="J57" s="64">
        <v>0.52</v>
      </c>
      <c r="K57" s="64">
        <v>338.32</v>
      </c>
      <c r="L57" s="64">
        <v>28.16</v>
      </c>
      <c r="M57" s="64">
        <v>73.739999999999995</v>
      </c>
      <c r="N57" s="64">
        <v>374.4</v>
      </c>
      <c r="O57" s="64">
        <v>0</v>
      </c>
      <c r="P57" s="64">
        <v>0.7</v>
      </c>
      <c r="Q57" s="64">
        <v>9.2899999999999991</v>
      </c>
      <c r="R57" s="198"/>
      <c r="S57" s="198"/>
      <c r="T57" s="198"/>
      <c r="U57" s="198"/>
    </row>
    <row r="58" spans="1:21" s="12" customFormat="1" x14ac:dyDescent="0.25">
      <c r="A58" s="217" t="s">
        <v>483</v>
      </c>
      <c r="B58" s="64">
        <v>8.19</v>
      </c>
      <c r="C58" s="64">
        <v>3.3</v>
      </c>
      <c r="D58" s="64">
        <v>12.07</v>
      </c>
      <c r="E58" s="64">
        <v>3.64</v>
      </c>
      <c r="F58" s="64">
        <v>4.47</v>
      </c>
      <c r="G58" s="64">
        <v>39.53</v>
      </c>
      <c r="H58" s="64">
        <v>13.33</v>
      </c>
      <c r="I58" s="64">
        <v>2.62</v>
      </c>
      <c r="J58" s="64">
        <v>0.55000000000000004</v>
      </c>
      <c r="K58" s="64">
        <v>342.88</v>
      </c>
      <c r="L58" s="64">
        <v>28.21</v>
      </c>
      <c r="M58" s="64">
        <v>72.47</v>
      </c>
      <c r="N58" s="64">
        <v>391.8</v>
      </c>
      <c r="O58" s="64">
        <v>0</v>
      </c>
      <c r="P58" s="64">
        <v>0.69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7" t="s">
        <v>484</v>
      </c>
      <c r="B59" s="64">
        <v>8.26</v>
      </c>
      <c r="C59" s="64">
        <v>3.24</v>
      </c>
      <c r="D59" s="64">
        <v>12.09</v>
      </c>
      <c r="E59" s="64">
        <v>3.68</v>
      </c>
      <c r="F59" s="64">
        <v>4.83</v>
      </c>
      <c r="G59" s="64">
        <v>45.56</v>
      </c>
      <c r="H59" s="64">
        <v>14.43</v>
      </c>
      <c r="I59" s="64">
        <v>2.6</v>
      </c>
      <c r="J59" s="64">
        <v>0.57999999999999996</v>
      </c>
      <c r="K59" s="64">
        <v>5.75</v>
      </c>
      <c r="L59" s="64">
        <v>27.88</v>
      </c>
      <c r="M59" s="64">
        <v>72.55</v>
      </c>
      <c r="N59" s="64">
        <v>348.6</v>
      </c>
      <c r="O59" s="64">
        <v>0</v>
      </c>
      <c r="P59" s="64">
        <v>0.67</v>
      </c>
      <c r="Q59" s="64">
        <v>9.25</v>
      </c>
      <c r="R59" s="198"/>
      <c r="S59" s="198"/>
      <c r="T59" s="198"/>
      <c r="U59" s="198"/>
    </row>
    <row r="60" spans="1:21" s="12" customFormat="1" x14ac:dyDescent="0.25">
      <c r="A60" s="217" t="s">
        <v>485</v>
      </c>
      <c r="B60" s="64">
        <v>8.2899999999999991</v>
      </c>
      <c r="C60" s="64">
        <v>3.32</v>
      </c>
      <c r="D60" s="64">
        <v>12.16</v>
      </c>
      <c r="E60" s="64">
        <v>3.83</v>
      </c>
      <c r="F60" s="64">
        <v>5.0199999999999996</v>
      </c>
      <c r="G60" s="64">
        <v>49.39</v>
      </c>
      <c r="H60" s="64">
        <v>15.13</v>
      </c>
      <c r="I60" s="64">
        <v>2.58</v>
      </c>
      <c r="J60" s="64">
        <v>0.53</v>
      </c>
      <c r="K60" s="64">
        <v>355.57</v>
      </c>
      <c r="L60" s="64">
        <v>27.92</v>
      </c>
      <c r="M60" s="64">
        <v>72.239999999999995</v>
      </c>
      <c r="N60" s="64">
        <v>356.7</v>
      </c>
      <c r="O60" s="64">
        <v>0</v>
      </c>
      <c r="P60" s="64">
        <v>0.65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7" t="s">
        <v>486</v>
      </c>
      <c r="B61" s="64">
        <v>8.34</v>
      </c>
      <c r="C61" s="64">
        <v>3.5</v>
      </c>
      <c r="D61" s="64">
        <v>12.29</v>
      </c>
      <c r="E61" s="64">
        <v>3.78</v>
      </c>
      <c r="F61" s="64">
        <v>4.72</v>
      </c>
      <c r="G61" s="64">
        <v>49.39</v>
      </c>
      <c r="H61" s="64">
        <v>15.13</v>
      </c>
      <c r="I61" s="64">
        <v>2.4900000000000002</v>
      </c>
      <c r="J61" s="64">
        <v>0.51</v>
      </c>
      <c r="K61" s="64">
        <v>339.53</v>
      </c>
      <c r="L61" s="64">
        <v>28.13</v>
      </c>
      <c r="M61" s="64">
        <v>72.33</v>
      </c>
      <c r="N61" s="64">
        <v>209.7</v>
      </c>
      <c r="O61" s="64">
        <v>0</v>
      </c>
      <c r="P61" s="64">
        <v>0.55000000000000004</v>
      </c>
      <c r="Q61" s="64">
        <v>9.27</v>
      </c>
      <c r="R61" s="198"/>
      <c r="S61" s="198"/>
      <c r="T61" s="198"/>
      <c r="U61" s="198"/>
    </row>
    <row r="62" spans="1:21" s="12" customFormat="1" x14ac:dyDescent="0.25">
      <c r="A62" s="217" t="s">
        <v>487</v>
      </c>
      <c r="B62" s="64">
        <v>8.2899999999999991</v>
      </c>
      <c r="C62" s="64">
        <v>3.29</v>
      </c>
      <c r="D62" s="64">
        <v>12.14</v>
      </c>
      <c r="E62" s="64">
        <v>3.69</v>
      </c>
      <c r="F62" s="64">
        <v>4.47</v>
      </c>
      <c r="G62" s="64">
        <v>49.39</v>
      </c>
      <c r="H62" s="64">
        <v>15.13</v>
      </c>
      <c r="I62" s="64">
        <v>2.4</v>
      </c>
      <c r="J62" s="64">
        <v>0.61</v>
      </c>
      <c r="K62" s="64">
        <v>312.58</v>
      </c>
      <c r="L62" s="64">
        <v>28.94</v>
      </c>
      <c r="M62" s="64">
        <v>70.05</v>
      </c>
      <c r="N62" s="64">
        <v>314.7</v>
      </c>
      <c r="O62" s="64">
        <v>0</v>
      </c>
      <c r="P62" s="64">
        <v>0.56999999999999995</v>
      </c>
      <c r="Q62" s="64">
        <v>9.24</v>
      </c>
      <c r="R62" s="198"/>
      <c r="S62" s="198"/>
      <c r="T62" s="198"/>
      <c r="U62" s="198"/>
    </row>
    <row r="63" spans="1:21" s="12" customFormat="1" x14ac:dyDescent="0.25">
      <c r="A63" s="217" t="s">
        <v>488</v>
      </c>
      <c r="B63" s="64">
        <v>8.2799999999999994</v>
      </c>
      <c r="C63" s="64">
        <v>3.23</v>
      </c>
      <c r="D63" s="64">
        <v>12.1</v>
      </c>
      <c r="E63" s="64">
        <v>4.58</v>
      </c>
      <c r="F63" s="64">
        <v>5.74</v>
      </c>
      <c r="G63" s="64">
        <v>61.67</v>
      </c>
      <c r="H63" s="64">
        <v>16.48</v>
      </c>
      <c r="I63" s="64">
        <v>2.34</v>
      </c>
      <c r="J63" s="64">
        <v>0.59</v>
      </c>
      <c r="K63" s="64">
        <v>334.42</v>
      </c>
      <c r="L63" s="64">
        <v>29.19</v>
      </c>
      <c r="M63" s="64">
        <v>67.040000000000006</v>
      </c>
      <c r="N63" s="64">
        <v>504.7</v>
      </c>
      <c r="O63" s="64">
        <v>0</v>
      </c>
      <c r="P63" s="64">
        <v>0.55000000000000004</v>
      </c>
      <c r="Q63" s="64">
        <v>9.23</v>
      </c>
      <c r="R63" s="198"/>
      <c r="S63" s="198"/>
      <c r="T63" s="198"/>
      <c r="U63" s="198"/>
    </row>
    <row r="64" spans="1:21" s="12" customFormat="1" x14ac:dyDescent="0.25">
      <c r="A64" s="217" t="s">
        <v>489</v>
      </c>
      <c r="B64" s="64">
        <v>8.27</v>
      </c>
      <c r="C64" s="64">
        <v>3.25</v>
      </c>
      <c r="D64" s="64">
        <v>12.1</v>
      </c>
      <c r="E64" s="64">
        <v>3.92</v>
      </c>
      <c r="F64" s="64">
        <v>5.79</v>
      </c>
      <c r="G64" s="64">
        <v>69.489999999999995</v>
      </c>
      <c r="H64" s="64">
        <v>17.34</v>
      </c>
      <c r="I64" s="64">
        <v>2.27</v>
      </c>
      <c r="J64" s="64">
        <v>0.55000000000000004</v>
      </c>
      <c r="K64" s="64">
        <v>322.41000000000003</v>
      </c>
      <c r="L64" s="64">
        <v>30.22</v>
      </c>
      <c r="M64" s="64">
        <v>64.19</v>
      </c>
      <c r="N64" s="64">
        <v>693.8</v>
      </c>
      <c r="O64" s="64">
        <v>0</v>
      </c>
      <c r="P64" s="64">
        <v>0.52</v>
      </c>
      <c r="Q64" s="64">
        <v>9.25</v>
      </c>
      <c r="R64" s="198"/>
      <c r="S64" s="198"/>
      <c r="T64" s="198"/>
      <c r="U64" s="198"/>
    </row>
    <row r="65" spans="1:21" s="12" customFormat="1" x14ac:dyDescent="0.25">
      <c r="A65" s="217" t="s">
        <v>490</v>
      </c>
      <c r="B65" s="64">
        <v>8.27</v>
      </c>
      <c r="C65" s="64">
        <v>3.23</v>
      </c>
      <c r="D65" s="64">
        <v>12.09</v>
      </c>
      <c r="E65" s="64">
        <v>3.92</v>
      </c>
      <c r="F65" s="64">
        <v>8.75</v>
      </c>
      <c r="G65" s="64">
        <v>69.489999999999995</v>
      </c>
      <c r="H65" s="64">
        <v>17.34</v>
      </c>
      <c r="I65" s="64">
        <v>2.14</v>
      </c>
      <c r="J65" s="64">
        <v>0.53</v>
      </c>
      <c r="K65" s="64">
        <v>351.97</v>
      </c>
      <c r="L65" s="64">
        <v>30.83</v>
      </c>
      <c r="M65" s="64">
        <v>61.45</v>
      </c>
      <c r="N65" s="64">
        <v>627.9</v>
      </c>
      <c r="O65" s="64">
        <v>0</v>
      </c>
      <c r="P65" s="64">
        <v>0.47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7" t="s">
        <v>491</v>
      </c>
      <c r="B66" s="64">
        <v>8.25</v>
      </c>
      <c r="C66" s="64">
        <v>3.18</v>
      </c>
      <c r="D66" s="64">
        <v>12.05</v>
      </c>
      <c r="E66" s="64">
        <v>4.05</v>
      </c>
      <c r="F66" s="64">
        <v>6.9</v>
      </c>
      <c r="G66" s="64">
        <v>69.489999999999995</v>
      </c>
      <c r="H66" s="64">
        <v>17.34</v>
      </c>
      <c r="I66" s="64">
        <v>1.98</v>
      </c>
      <c r="J66" s="64">
        <v>0.53</v>
      </c>
      <c r="K66" s="64">
        <v>353.87</v>
      </c>
      <c r="L66" s="64">
        <v>29.67</v>
      </c>
      <c r="M66" s="64">
        <v>64.2</v>
      </c>
      <c r="N66" s="64">
        <v>356.1</v>
      </c>
      <c r="O66" s="64">
        <v>0</v>
      </c>
      <c r="P66" s="64">
        <v>0.45</v>
      </c>
      <c r="Q66" s="64">
        <v>9.25</v>
      </c>
      <c r="R66" s="198"/>
      <c r="S66" s="198"/>
      <c r="T66" s="198"/>
      <c r="U66" s="198"/>
    </row>
    <row r="67" spans="1:21" s="12" customFormat="1" x14ac:dyDescent="0.25">
      <c r="A67" s="217" t="s">
        <v>492</v>
      </c>
      <c r="B67" s="64">
        <v>8.27</v>
      </c>
      <c r="C67" s="64">
        <v>3.18</v>
      </c>
      <c r="D67" s="64">
        <v>12.07</v>
      </c>
      <c r="E67" s="64">
        <v>3.9</v>
      </c>
      <c r="F67" s="64">
        <v>5.28</v>
      </c>
      <c r="G67" s="64">
        <v>65.92</v>
      </c>
      <c r="H67" s="64">
        <v>18.82</v>
      </c>
      <c r="I67" s="64">
        <v>1.78</v>
      </c>
      <c r="J67" s="64">
        <v>0.61</v>
      </c>
      <c r="K67" s="64">
        <v>333.89</v>
      </c>
      <c r="L67" s="64">
        <v>29.67</v>
      </c>
      <c r="M67" s="64">
        <v>63.93</v>
      </c>
      <c r="N67" s="64">
        <v>288.10000000000002</v>
      </c>
      <c r="O67" s="64">
        <v>0</v>
      </c>
      <c r="P67" s="64">
        <v>0.42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17" t="s">
        <v>493</v>
      </c>
      <c r="B68" s="64">
        <v>8.27</v>
      </c>
      <c r="C68" s="64">
        <v>3.2</v>
      </c>
      <c r="D68" s="64">
        <v>12.08</v>
      </c>
      <c r="E68" s="64">
        <v>3.66</v>
      </c>
      <c r="F68" s="64">
        <v>4.76</v>
      </c>
      <c r="G68" s="64">
        <v>63.65</v>
      </c>
      <c r="H68" s="64">
        <v>19.760000000000002</v>
      </c>
      <c r="I68" s="64">
        <v>1.68</v>
      </c>
      <c r="J68" s="64">
        <v>0.56999999999999995</v>
      </c>
      <c r="K68" s="64">
        <v>336.38</v>
      </c>
      <c r="L68" s="64">
        <v>29.46</v>
      </c>
      <c r="M68" s="64">
        <v>64.39</v>
      </c>
      <c r="N68" s="64">
        <v>275.7</v>
      </c>
      <c r="O68" s="64">
        <v>0</v>
      </c>
      <c r="P68" s="64">
        <v>0.43</v>
      </c>
      <c r="Q68" s="64">
        <v>9.24</v>
      </c>
      <c r="R68" s="198"/>
      <c r="S68" s="198"/>
      <c r="T68" s="198"/>
      <c r="U68" s="198"/>
    </row>
    <row r="69" spans="1:21" s="12" customFormat="1" x14ac:dyDescent="0.25">
      <c r="A69" s="217" t="s">
        <v>494</v>
      </c>
      <c r="B69" s="64">
        <v>8.27</v>
      </c>
      <c r="C69" s="64">
        <v>3.24</v>
      </c>
      <c r="D69" s="64">
        <v>12.1</v>
      </c>
      <c r="E69" s="64">
        <v>3.66</v>
      </c>
      <c r="F69" s="64">
        <v>5.39</v>
      </c>
      <c r="G69" s="64">
        <v>63.65</v>
      </c>
      <c r="H69" s="64">
        <v>19.760000000000002</v>
      </c>
      <c r="I69" s="64">
        <v>1.67</v>
      </c>
      <c r="J69" s="64">
        <v>0.63</v>
      </c>
      <c r="K69" s="64">
        <v>331.11</v>
      </c>
      <c r="L69" s="64">
        <v>29.84</v>
      </c>
      <c r="M69" s="64">
        <v>63.84</v>
      </c>
      <c r="N69" s="64">
        <v>281.39999999999998</v>
      </c>
      <c r="O69" s="64">
        <v>0</v>
      </c>
      <c r="P69" s="64">
        <v>0.43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7" t="s">
        <v>495</v>
      </c>
      <c r="B70" s="64">
        <v>8.2799999999999994</v>
      </c>
      <c r="C70" s="64">
        <v>3.32</v>
      </c>
      <c r="D70" s="64">
        <v>12.14</v>
      </c>
      <c r="E70" s="64">
        <v>4.0599999999999996</v>
      </c>
      <c r="F70" s="64">
        <v>3.6</v>
      </c>
      <c r="G70" s="64">
        <v>63.65</v>
      </c>
      <c r="H70" s="64">
        <v>19.760000000000002</v>
      </c>
      <c r="I70" s="64">
        <v>1.66</v>
      </c>
      <c r="J70" s="64">
        <v>0.66</v>
      </c>
      <c r="K70" s="64">
        <v>358.43</v>
      </c>
      <c r="L70" s="64">
        <v>29.39</v>
      </c>
      <c r="M70" s="64">
        <v>65.86</v>
      </c>
      <c r="N70" s="64">
        <v>328.3</v>
      </c>
      <c r="O70" s="64">
        <v>0</v>
      </c>
      <c r="P70" s="64">
        <v>0.45</v>
      </c>
      <c r="Q70" s="64">
        <v>9.31</v>
      </c>
      <c r="R70" s="198"/>
      <c r="S70" s="198"/>
      <c r="T70" s="198"/>
      <c r="U70" s="198"/>
    </row>
    <row r="71" spans="1:21" s="12" customFormat="1" x14ac:dyDescent="0.25">
      <c r="A71" s="217" t="s">
        <v>496</v>
      </c>
      <c r="B71" s="64">
        <v>8.24</v>
      </c>
      <c r="C71" s="64">
        <v>3.21</v>
      </c>
      <c r="D71" s="64">
        <v>12.06</v>
      </c>
      <c r="E71" s="64">
        <v>4.1399999999999997</v>
      </c>
      <c r="F71" s="64">
        <v>4.5</v>
      </c>
      <c r="G71" s="64">
        <v>61.39</v>
      </c>
      <c r="H71" s="64">
        <v>19.12</v>
      </c>
      <c r="I71" s="64">
        <v>1.72</v>
      </c>
      <c r="J71" s="64">
        <v>0.77</v>
      </c>
      <c r="K71" s="64">
        <v>3.65</v>
      </c>
      <c r="L71" s="64">
        <v>28.26</v>
      </c>
      <c r="M71" s="64">
        <v>70.78</v>
      </c>
      <c r="N71" s="64">
        <v>224</v>
      </c>
      <c r="O71" s="64">
        <v>0</v>
      </c>
      <c r="P71" s="64">
        <v>0.46</v>
      </c>
      <c r="Q71" s="64">
        <v>9.33</v>
      </c>
      <c r="R71" s="198"/>
      <c r="S71" s="198"/>
      <c r="T71" s="198"/>
      <c r="U71" s="198"/>
    </row>
    <row r="72" spans="1:21" s="12" customFormat="1" x14ac:dyDescent="0.25">
      <c r="A72" s="217" t="s">
        <v>497</v>
      </c>
      <c r="B72" s="64">
        <v>8.23</v>
      </c>
      <c r="C72" s="64">
        <v>3.25</v>
      </c>
      <c r="D72" s="64">
        <v>12.08</v>
      </c>
      <c r="E72" s="64">
        <v>4.33</v>
      </c>
      <c r="F72" s="64">
        <v>4.83</v>
      </c>
      <c r="G72" s="64">
        <v>59.95</v>
      </c>
      <c r="H72" s="64">
        <v>18.71</v>
      </c>
      <c r="I72" s="64">
        <v>1.8</v>
      </c>
      <c r="J72" s="64">
        <v>0.63</v>
      </c>
      <c r="K72" s="64">
        <v>0.17</v>
      </c>
      <c r="L72" s="64">
        <v>27.39</v>
      </c>
      <c r="M72" s="64">
        <v>71.69</v>
      </c>
      <c r="N72" s="64">
        <v>203.4</v>
      </c>
      <c r="O72" s="64">
        <v>0</v>
      </c>
      <c r="P72" s="64">
        <v>0.42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7" t="s">
        <v>498</v>
      </c>
      <c r="B73" s="64">
        <v>8.26</v>
      </c>
      <c r="C73" s="64">
        <v>3.3</v>
      </c>
      <c r="D73" s="64">
        <v>12.12</v>
      </c>
      <c r="E73" s="64">
        <v>4.54</v>
      </c>
      <c r="F73" s="64">
        <v>4.84</v>
      </c>
      <c r="G73" s="64">
        <v>59.95</v>
      </c>
      <c r="H73" s="64">
        <v>18.71</v>
      </c>
      <c r="I73" s="64">
        <v>1.76</v>
      </c>
      <c r="J73" s="64">
        <v>0.45</v>
      </c>
      <c r="K73" s="64">
        <v>3.7</v>
      </c>
      <c r="L73" s="64">
        <v>27.23</v>
      </c>
      <c r="M73" s="64">
        <v>73.2</v>
      </c>
      <c r="N73" s="64">
        <v>142.4</v>
      </c>
      <c r="O73" s="64">
        <v>0</v>
      </c>
      <c r="P73" s="64">
        <v>0.39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7" t="s">
        <v>499</v>
      </c>
      <c r="B74" s="64">
        <v>8.33</v>
      </c>
      <c r="C74" s="64">
        <v>3.5</v>
      </c>
      <c r="D74" s="64">
        <v>12.28</v>
      </c>
      <c r="E74" s="64">
        <v>4.38</v>
      </c>
      <c r="F74" s="64">
        <v>4.28</v>
      </c>
      <c r="G74" s="64">
        <v>59.95</v>
      </c>
      <c r="H74" s="64">
        <v>18.71</v>
      </c>
      <c r="I74" s="64">
        <v>1.62</v>
      </c>
      <c r="J74" s="64">
        <v>0.47</v>
      </c>
      <c r="K74" s="64">
        <v>20.16</v>
      </c>
      <c r="L74" s="64">
        <v>27.01</v>
      </c>
      <c r="M74" s="64">
        <v>75.03</v>
      </c>
      <c r="N74" s="64">
        <v>114</v>
      </c>
      <c r="O74" s="64">
        <v>0</v>
      </c>
      <c r="P74" s="64">
        <v>0.39</v>
      </c>
      <c r="Q74" s="64">
        <v>9.27</v>
      </c>
      <c r="R74" s="198"/>
      <c r="S74" s="198"/>
      <c r="T74" s="198"/>
      <c r="U74" s="198"/>
    </row>
    <row r="75" spans="1:21" s="12" customFormat="1" x14ac:dyDescent="0.25">
      <c r="A75" s="217" t="s">
        <v>500</v>
      </c>
      <c r="B75" s="64">
        <v>8.32</v>
      </c>
      <c r="C75" s="64">
        <v>3.45</v>
      </c>
      <c r="D75" s="64">
        <v>12.25</v>
      </c>
      <c r="E75" s="64">
        <v>4.32</v>
      </c>
      <c r="F75" s="64">
        <v>4.66</v>
      </c>
      <c r="G75" s="64">
        <v>51.7</v>
      </c>
      <c r="H75" s="64">
        <v>15.7</v>
      </c>
      <c r="I75" s="64">
        <v>1.53</v>
      </c>
      <c r="J75" s="64">
        <v>0.41</v>
      </c>
      <c r="K75" s="64">
        <v>11.92</v>
      </c>
      <c r="L75" s="64">
        <v>27.09</v>
      </c>
      <c r="M75" s="64">
        <v>74.650000000000006</v>
      </c>
      <c r="N75" s="64">
        <v>150.30000000000001</v>
      </c>
      <c r="O75" s="64">
        <v>0</v>
      </c>
      <c r="P75" s="64">
        <v>0.38</v>
      </c>
      <c r="Q75" s="64">
        <v>9.2799999999999994</v>
      </c>
      <c r="R75" s="198"/>
      <c r="S75" s="198"/>
      <c r="T75" s="198"/>
      <c r="U75" s="198"/>
    </row>
    <row r="76" spans="1:21" s="12" customFormat="1" x14ac:dyDescent="0.25">
      <c r="A76" s="217" t="s">
        <v>501</v>
      </c>
      <c r="B76" s="64">
        <v>8.25</v>
      </c>
      <c r="C76" s="64">
        <v>3.34</v>
      </c>
      <c r="D76" s="64">
        <v>12.14</v>
      </c>
      <c r="E76" s="64">
        <v>4.62</v>
      </c>
      <c r="F76" s="64">
        <v>3.8</v>
      </c>
      <c r="G76" s="64">
        <v>46.46</v>
      </c>
      <c r="H76" s="64">
        <v>13.8</v>
      </c>
      <c r="I76" s="64">
        <v>1.5</v>
      </c>
      <c r="J76" s="64">
        <v>0.48</v>
      </c>
      <c r="K76" s="64">
        <v>11.86</v>
      </c>
      <c r="L76" s="64">
        <v>27.27</v>
      </c>
      <c r="M76" s="64">
        <v>72.92</v>
      </c>
      <c r="N76" s="64">
        <v>90.4</v>
      </c>
      <c r="O76" s="64">
        <v>0</v>
      </c>
      <c r="P76" s="64">
        <v>0.39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7" t="s">
        <v>502</v>
      </c>
      <c r="B77" s="64">
        <v>8.2200000000000006</v>
      </c>
      <c r="C77" s="64">
        <v>3.17</v>
      </c>
      <c r="D77" s="64">
        <v>12.03</v>
      </c>
      <c r="E77" s="64">
        <v>4.41</v>
      </c>
      <c r="F77" s="64">
        <v>3.5</v>
      </c>
      <c r="G77" s="64">
        <v>46.46</v>
      </c>
      <c r="H77" s="64">
        <v>13.8</v>
      </c>
      <c r="I77" s="64">
        <v>1.51</v>
      </c>
      <c r="J77" s="64">
        <v>0.43</v>
      </c>
      <c r="K77" s="64">
        <v>17.309999999999999</v>
      </c>
      <c r="L77" s="64">
        <v>27.15</v>
      </c>
      <c r="M77" s="64">
        <v>74.849999999999994</v>
      </c>
      <c r="N77" s="64">
        <v>54.9</v>
      </c>
      <c r="O77" s="64">
        <v>0</v>
      </c>
      <c r="P77" s="64">
        <v>0.39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7" t="s">
        <v>503</v>
      </c>
      <c r="B78" s="64">
        <v>8.2200000000000006</v>
      </c>
      <c r="C78" s="64">
        <v>3.16</v>
      </c>
      <c r="D78" s="64">
        <v>12.02</v>
      </c>
      <c r="E78" s="64">
        <v>4.46</v>
      </c>
      <c r="F78" s="64">
        <v>3.6</v>
      </c>
      <c r="G78" s="64">
        <v>46.46</v>
      </c>
      <c r="H78" s="64">
        <v>13.8</v>
      </c>
      <c r="I78" s="64">
        <v>1.51</v>
      </c>
      <c r="J78" s="64">
        <v>0.59</v>
      </c>
      <c r="K78" s="64">
        <v>14.03</v>
      </c>
      <c r="L78" s="64">
        <v>26.93</v>
      </c>
      <c r="M78" s="64">
        <v>75.02</v>
      </c>
      <c r="N78" s="64">
        <v>37.799999999999997</v>
      </c>
      <c r="O78" s="64">
        <v>0</v>
      </c>
      <c r="P78" s="64">
        <v>0.39</v>
      </c>
      <c r="Q78" s="64">
        <v>9.2799999999999994</v>
      </c>
      <c r="R78" s="198"/>
      <c r="S78" s="198"/>
      <c r="T78" s="198"/>
      <c r="U78" s="198"/>
    </row>
    <row r="79" spans="1:21" s="12" customFormat="1" x14ac:dyDescent="0.25">
      <c r="A79" s="217" t="s">
        <v>504</v>
      </c>
      <c r="B79" s="64">
        <v>8.25</v>
      </c>
      <c r="C79" s="64">
        <v>3.15</v>
      </c>
      <c r="D79" s="64">
        <v>12.03</v>
      </c>
      <c r="E79" s="64">
        <v>4.3899999999999997</v>
      </c>
      <c r="F79" s="64">
        <v>3.68</v>
      </c>
      <c r="G79" s="64">
        <v>46.98</v>
      </c>
      <c r="H79" s="64">
        <v>16.11</v>
      </c>
      <c r="I79" s="64">
        <v>1.53</v>
      </c>
      <c r="J79" s="64">
        <v>0.64</v>
      </c>
      <c r="K79" s="64">
        <v>15.56</v>
      </c>
      <c r="L79" s="64">
        <v>26.91</v>
      </c>
      <c r="M79" s="64">
        <v>75.819999999999993</v>
      </c>
      <c r="N79" s="64">
        <v>35.299999999999997</v>
      </c>
      <c r="O79" s="64">
        <v>0</v>
      </c>
      <c r="P79" s="64">
        <v>0.4</v>
      </c>
      <c r="Q79" s="64">
        <v>9.3000000000000007</v>
      </c>
      <c r="R79" s="198"/>
      <c r="S79" s="198"/>
      <c r="T79" s="198"/>
      <c r="U79" s="198"/>
    </row>
    <row r="80" spans="1:21" s="12" customFormat="1" x14ac:dyDescent="0.25">
      <c r="A80" s="217" t="s">
        <v>505</v>
      </c>
      <c r="B80" s="64">
        <v>8.2799999999999994</v>
      </c>
      <c r="C80" s="64">
        <v>3.19</v>
      </c>
      <c r="D80" s="64">
        <v>12.08</v>
      </c>
      <c r="E80" s="64">
        <v>4.6399999999999997</v>
      </c>
      <c r="F80" s="64">
        <v>3.8</v>
      </c>
      <c r="G80" s="64">
        <v>47.3</v>
      </c>
      <c r="H80" s="64">
        <v>17.579999999999998</v>
      </c>
      <c r="I80" s="64">
        <v>1.59</v>
      </c>
      <c r="J80" s="64">
        <v>0.17</v>
      </c>
      <c r="K80" s="64">
        <v>1.97</v>
      </c>
      <c r="L80" s="64">
        <v>26.76</v>
      </c>
      <c r="M80" s="64">
        <v>76.760000000000005</v>
      </c>
      <c r="N80" s="64">
        <v>33.9</v>
      </c>
      <c r="O80" s="64">
        <v>0</v>
      </c>
      <c r="P80" s="64">
        <v>0.42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7" t="s">
        <v>506</v>
      </c>
      <c r="B81" s="64">
        <v>8.27</v>
      </c>
      <c r="C81" s="64">
        <v>3.22</v>
      </c>
      <c r="D81" s="64">
        <v>12.08</v>
      </c>
      <c r="E81" s="64">
        <v>4.55</v>
      </c>
      <c r="F81" s="64">
        <v>4.3899999999999997</v>
      </c>
      <c r="G81" s="64">
        <v>47.3</v>
      </c>
      <c r="H81" s="64">
        <v>17.579999999999998</v>
      </c>
      <c r="I81" s="64">
        <v>1.67</v>
      </c>
      <c r="J81" s="64">
        <v>0.13</v>
      </c>
      <c r="K81" s="64">
        <v>349.45</v>
      </c>
      <c r="L81" s="64">
        <v>26.37</v>
      </c>
      <c r="M81" s="64">
        <v>80.25</v>
      </c>
      <c r="N81" s="64">
        <v>31</v>
      </c>
      <c r="O81" s="64">
        <v>0</v>
      </c>
      <c r="P81" s="64">
        <v>0.4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7" t="s">
        <v>507</v>
      </c>
      <c r="B82" s="64">
        <v>8.26</v>
      </c>
      <c r="C82" s="64">
        <v>3.22</v>
      </c>
      <c r="D82" s="64">
        <v>12.08</v>
      </c>
      <c r="E82" s="64">
        <v>4.45</v>
      </c>
      <c r="F82" s="64">
        <v>4</v>
      </c>
      <c r="G82" s="64">
        <v>47.3</v>
      </c>
      <c r="H82" s="64">
        <v>17.579999999999998</v>
      </c>
      <c r="I82" s="64">
        <v>1.75</v>
      </c>
      <c r="J82" s="64">
        <v>0.56999999999999995</v>
      </c>
      <c r="K82" s="64">
        <v>177.21</v>
      </c>
      <c r="L82" s="64">
        <v>26.04</v>
      </c>
      <c r="M82" s="64">
        <v>82.49</v>
      </c>
      <c r="N82" s="64">
        <v>25.3</v>
      </c>
      <c r="O82" s="64">
        <v>0</v>
      </c>
      <c r="P82" s="64">
        <v>0.4</v>
      </c>
      <c r="Q82" s="64">
        <v>9.26</v>
      </c>
      <c r="R82" s="198"/>
      <c r="S82" s="198"/>
      <c r="T82" s="198"/>
      <c r="U82" s="198"/>
    </row>
    <row r="83" spans="1:26" s="12" customFormat="1" x14ac:dyDescent="0.25">
      <c r="A83" s="217" t="s">
        <v>508</v>
      </c>
      <c r="B83" s="64">
        <v>8.27</v>
      </c>
      <c r="C83" s="64">
        <v>3.22</v>
      </c>
      <c r="D83" s="64">
        <v>12.09</v>
      </c>
      <c r="E83" s="64">
        <v>4.7</v>
      </c>
      <c r="F83" s="64">
        <v>3.7</v>
      </c>
      <c r="G83" s="64">
        <v>48.82</v>
      </c>
      <c r="H83" s="64">
        <v>16.3</v>
      </c>
      <c r="I83" s="64">
        <v>1.85</v>
      </c>
      <c r="J83" s="64">
        <v>0.24</v>
      </c>
      <c r="K83" s="64">
        <v>180.71</v>
      </c>
      <c r="L83" s="64">
        <v>25.81</v>
      </c>
      <c r="M83" s="64">
        <v>83.26</v>
      </c>
      <c r="N83" s="64">
        <v>20.100000000000001</v>
      </c>
      <c r="O83" s="64">
        <v>0</v>
      </c>
      <c r="P83" s="64">
        <v>0.4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7" t="s">
        <v>509</v>
      </c>
      <c r="B84" s="64">
        <v>8.35</v>
      </c>
      <c r="C84" s="64">
        <v>3.34</v>
      </c>
      <c r="D84" s="64">
        <v>12.22</v>
      </c>
      <c r="E84" s="64">
        <v>4.8099999999999996</v>
      </c>
      <c r="F84" s="64">
        <v>3.35</v>
      </c>
      <c r="G84" s="64">
        <v>49.79</v>
      </c>
      <c r="H84" s="64">
        <v>15.48</v>
      </c>
      <c r="I84" s="64">
        <v>2.0299999999999998</v>
      </c>
      <c r="J84" s="64">
        <v>0.17</v>
      </c>
      <c r="K84" s="64">
        <v>14.88</v>
      </c>
      <c r="L84" s="64">
        <v>25.61</v>
      </c>
      <c r="M84" s="64">
        <v>83.62</v>
      </c>
      <c r="N84" s="64">
        <v>18.3</v>
      </c>
      <c r="O84" s="64">
        <v>0</v>
      </c>
      <c r="P84" s="64">
        <v>0.4</v>
      </c>
      <c r="Q84" s="64">
        <v>9.3000000000000007</v>
      </c>
      <c r="R84" s="198"/>
      <c r="S84" s="198"/>
      <c r="T84" s="198"/>
      <c r="U84" s="198"/>
    </row>
    <row r="85" spans="1:26" s="12" customFormat="1" x14ac:dyDescent="0.25">
      <c r="A85" s="217" t="s">
        <v>510</v>
      </c>
      <c r="B85" s="64">
        <v>8.3000000000000007</v>
      </c>
      <c r="C85" s="64">
        <v>3.23</v>
      </c>
      <c r="D85" s="64">
        <v>12.12</v>
      </c>
      <c r="E85" s="64">
        <v>4.95</v>
      </c>
      <c r="F85" s="64">
        <v>3.8</v>
      </c>
      <c r="G85" s="64">
        <v>49.79</v>
      </c>
      <c r="H85" s="64">
        <v>15.48</v>
      </c>
      <c r="I85" s="64">
        <v>2.39</v>
      </c>
      <c r="J85" s="64">
        <v>0.08</v>
      </c>
      <c r="K85" s="64">
        <v>77.14</v>
      </c>
      <c r="L85" s="64">
        <v>25.58</v>
      </c>
      <c r="M85" s="64">
        <v>83.94</v>
      </c>
      <c r="N85" s="64">
        <v>17.899999999999999</v>
      </c>
      <c r="O85" s="64">
        <v>0</v>
      </c>
      <c r="P85" s="64">
        <v>0.42</v>
      </c>
      <c r="Q85" s="64">
        <v>9.3000000000000007</v>
      </c>
      <c r="R85" s="198"/>
      <c r="S85" s="198"/>
      <c r="T85" s="198"/>
      <c r="U85" s="198"/>
    </row>
    <row r="86" spans="1:26" s="12" customFormat="1" x14ac:dyDescent="0.25">
      <c r="A86" s="217" t="s">
        <v>511</v>
      </c>
      <c r="B86" s="64">
        <v>8.31</v>
      </c>
      <c r="C86" s="64">
        <v>3.23</v>
      </c>
      <c r="D86" s="64">
        <v>12.12</v>
      </c>
      <c r="E86" s="64">
        <v>4.55</v>
      </c>
      <c r="F86" s="64">
        <v>3.53</v>
      </c>
      <c r="G86" s="64">
        <v>49.79</v>
      </c>
      <c r="H86" s="64">
        <v>15.48</v>
      </c>
      <c r="I86" s="64">
        <v>2.66</v>
      </c>
      <c r="J86" s="64">
        <v>0.05</v>
      </c>
      <c r="K86" s="64">
        <v>116.31</v>
      </c>
      <c r="L86" s="64">
        <v>25.5</v>
      </c>
      <c r="M86" s="64">
        <v>84.52</v>
      </c>
      <c r="N86" s="64">
        <v>18</v>
      </c>
      <c r="O86" s="64">
        <v>0</v>
      </c>
      <c r="P86" s="64">
        <v>0.44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7" t="s">
        <v>512</v>
      </c>
      <c r="B87" s="64">
        <v>8.2899999999999991</v>
      </c>
      <c r="C87" s="64">
        <v>3.23</v>
      </c>
      <c r="D87" s="64">
        <v>12.12</v>
      </c>
      <c r="E87" s="64">
        <v>4.68</v>
      </c>
      <c r="F87" s="64">
        <v>3.84</v>
      </c>
      <c r="G87" s="64">
        <v>46.78</v>
      </c>
      <c r="H87" s="64">
        <v>14.5</v>
      </c>
      <c r="I87" s="64">
        <v>2.8</v>
      </c>
      <c r="J87" s="64">
        <v>0.18</v>
      </c>
      <c r="K87" s="64">
        <v>41.1</v>
      </c>
      <c r="L87" s="64">
        <v>25.41</v>
      </c>
      <c r="M87" s="64">
        <v>85.45</v>
      </c>
      <c r="N87" s="64">
        <v>17.8</v>
      </c>
      <c r="O87" s="64">
        <v>0</v>
      </c>
      <c r="P87" s="64">
        <v>0.44</v>
      </c>
      <c r="Q87" s="64">
        <v>9.2899999999999991</v>
      </c>
      <c r="R87" s="198"/>
      <c r="S87" s="198"/>
      <c r="T87" s="198"/>
      <c r="U87" s="198"/>
    </row>
    <row r="88" spans="1:26" s="12" customFormat="1" x14ac:dyDescent="0.25">
      <c r="A88" s="217" t="s">
        <v>513</v>
      </c>
      <c r="B88" s="64">
        <v>8.2899999999999991</v>
      </c>
      <c r="C88" s="64">
        <v>3.27</v>
      </c>
      <c r="D88" s="64">
        <v>12.13</v>
      </c>
      <c r="E88" s="64">
        <v>3.07</v>
      </c>
      <c r="F88" s="64">
        <v>4.91</v>
      </c>
      <c r="G88" s="64">
        <v>44.95</v>
      </c>
      <c r="H88" s="64">
        <v>13.91</v>
      </c>
      <c r="I88" s="64">
        <v>2.96</v>
      </c>
      <c r="J88" s="64">
        <v>0.37</v>
      </c>
      <c r="K88" s="64">
        <v>348.81</v>
      </c>
      <c r="L88" s="64">
        <v>25.39</v>
      </c>
      <c r="M88" s="64">
        <v>86.1</v>
      </c>
      <c r="N88" s="64">
        <v>17.899999999999999</v>
      </c>
      <c r="O88" s="64">
        <v>0</v>
      </c>
      <c r="P88" s="64">
        <v>0.45</v>
      </c>
      <c r="Q88" s="64">
        <v>9.31</v>
      </c>
      <c r="R88" s="198"/>
      <c r="S88" s="198"/>
      <c r="T88" s="198"/>
      <c r="U88" s="198"/>
    </row>
    <row r="89" spans="1:26" s="12" customFormat="1" x14ac:dyDescent="0.25">
      <c r="A89" s="217" t="s">
        <v>514</v>
      </c>
      <c r="B89" s="64">
        <v>8.2799999999999994</v>
      </c>
      <c r="C89" s="64">
        <v>3.32</v>
      </c>
      <c r="D89" s="64">
        <v>12.15</v>
      </c>
      <c r="E89" s="64">
        <v>3.41</v>
      </c>
      <c r="F89" s="64">
        <v>2.97</v>
      </c>
      <c r="G89" s="64">
        <v>44.95</v>
      </c>
      <c r="H89" s="64">
        <v>13.91</v>
      </c>
      <c r="I89" s="64">
        <v>3.04</v>
      </c>
      <c r="J89" s="64">
        <v>0.56000000000000005</v>
      </c>
      <c r="K89" s="64">
        <v>15.44</v>
      </c>
      <c r="L89" s="64">
        <v>25.51</v>
      </c>
      <c r="M89" s="64">
        <v>85.73</v>
      </c>
      <c r="N89" s="64">
        <v>17.8</v>
      </c>
      <c r="O89" s="64">
        <v>0</v>
      </c>
      <c r="P89" s="64">
        <v>0.47</v>
      </c>
      <c r="Q89" s="64">
        <v>9.25</v>
      </c>
      <c r="R89" s="198"/>
      <c r="S89" s="198"/>
      <c r="T89" s="198"/>
      <c r="U89" s="198"/>
    </row>
    <row r="90" spans="1:26" s="12" customFormat="1" x14ac:dyDescent="0.25">
      <c r="A90" s="217" t="s">
        <v>515</v>
      </c>
      <c r="B90" s="64">
        <v>8.26</v>
      </c>
      <c r="C90" s="64">
        <v>3.21</v>
      </c>
      <c r="D90" s="64">
        <v>12.07</v>
      </c>
      <c r="E90" s="64">
        <v>2.91</v>
      </c>
      <c r="F90" s="64">
        <v>2.96</v>
      </c>
      <c r="G90" s="64">
        <v>44.95</v>
      </c>
      <c r="H90" s="64">
        <v>13.91</v>
      </c>
      <c r="I90" s="64">
        <v>3.06</v>
      </c>
      <c r="J90" s="64">
        <v>0.38</v>
      </c>
      <c r="K90" s="64">
        <v>21.6</v>
      </c>
      <c r="L90" s="64">
        <v>25.49</v>
      </c>
      <c r="M90" s="64">
        <v>85.5</v>
      </c>
      <c r="N90" s="64">
        <v>18.100000000000001</v>
      </c>
      <c r="O90" s="64">
        <v>0</v>
      </c>
      <c r="P90" s="64">
        <v>0.49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17" t="s">
        <v>516</v>
      </c>
      <c r="B91" s="64">
        <v>8.26</v>
      </c>
      <c r="C91" s="64">
        <v>3.16</v>
      </c>
      <c r="D91" s="64">
        <v>12.05</v>
      </c>
      <c r="E91" s="64">
        <v>3.3</v>
      </c>
      <c r="F91" s="64">
        <v>3.39</v>
      </c>
      <c r="G91" s="64">
        <v>46.79</v>
      </c>
      <c r="H91" s="64">
        <v>14.7</v>
      </c>
      <c r="I91" s="64">
        <v>3.08</v>
      </c>
      <c r="J91" s="64">
        <v>0.17</v>
      </c>
      <c r="K91" s="64">
        <v>13.55</v>
      </c>
      <c r="L91" s="64">
        <v>25.45</v>
      </c>
      <c r="M91" s="64">
        <v>85.57</v>
      </c>
      <c r="N91" s="64">
        <v>18.100000000000001</v>
      </c>
      <c r="O91" s="64">
        <v>0</v>
      </c>
      <c r="P91" s="64">
        <v>0.5</v>
      </c>
      <c r="Q91" s="64">
        <v>9.27</v>
      </c>
      <c r="R91" s="198"/>
      <c r="S91" s="198"/>
      <c r="T91" s="198"/>
      <c r="U91" s="198"/>
    </row>
    <row r="92" spans="1:26" s="12" customFormat="1" x14ac:dyDescent="0.25">
      <c r="A92" s="217" t="s">
        <v>517</v>
      </c>
      <c r="B92" s="64">
        <v>8.31</v>
      </c>
      <c r="C92" s="64">
        <v>3.31</v>
      </c>
      <c r="D92" s="64">
        <v>12.17</v>
      </c>
      <c r="E92" s="64">
        <v>2.93</v>
      </c>
      <c r="F92" s="64">
        <v>3.42</v>
      </c>
      <c r="G92" s="64">
        <v>47.9</v>
      </c>
      <c r="H92" s="64">
        <v>15.18</v>
      </c>
      <c r="I92" s="64">
        <v>3.08</v>
      </c>
      <c r="J92" s="64">
        <v>0.32</v>
      </c>
      <c r="K92" s="64">
        <v>197.54</v>
      </c>
      <c r="L92" s="64">
        <v>25.34</v>
      </c>
      <c r="M92" s="64">
        <v>86.31</v>
      </c>
      <c r="N92" s="64">
        <v>18.100000000000001</v>
      </c>
      <c r="O92" s="64">
        <v>0</v>
      </c>
      <c r="P92" s="64">
        <v>0.49</v>
      </c>
      <c r="Q92" s="64">
        <v>9.3000000000000007</v>
      </c>
      <c r="R92" s="198"/>
      <c r="S92" s="198"/>
      <c r="T92" s="198"/>
      <c r="U92" s="198"/>
    </row>
    <row r="93" spans="1:26" s="12" customFormat="1" x14ac:dyDescent="0.25">
      <c r="A93" s="217" t="s">
        <v>518</v>
      </c>
      <c r="B93" s="64">
        <v>8.31</v>
      </c>
      <c r="C93" s="64">
        <v>3.33</v>
      </c>
      <c r="D93" s="64">
        <v>12.18</v>
      </c>
      <c r="E93" s="64">
        <v>3.11</v>
      </c>
      <c r="F93" s="64">
        <v>3.65</v>
      </c>
      <c r="G93" s="64">
        <v>47.9</v>
      </c>
      <c r="H93" s="64">
        <v>15.18</v>
      </c>
      <c r="I93" s="64">
        <v>3.07</v>
      </c>
      <c r="J93" s="64">
        <v>0.36</v>
      </c>
      <c r="K93" s="64">
        <v>191.4</v>
      </c>
      <c r="L93" s="64">
        <v>25.22</v>
      </c>
      <c r="M93" s="64">
        <v>87.43</v>
      </c>
      <c r="N93" s="64">
        <v>18.100000000000001</v>
      </c>
      <c r="O93" s="64">
        <v>0</v>
      </c>
      <c r="P93" s="64">
        <v>0.48</v>
      </c>
      <c r="Q93" s="64">
        <v>9.32</v>
      </c>
      <c r="R93" s="198"/>
      <c r="S93" s="198"/>
      <c r="T93" s="198"/>
      <c r="U93" s="198"/>
    </row>
    <row r="94" spans="1:26" s="12" customFormat="1" x14ac:dyDescent="0.25">
      <c r="A94" s="217" t="s">
        <v>519</v>
      </c>
      <c r="B94" s="64">
        <v>8.26</v>
      </c>
      <c r="C94" s="64">
        <v>3.23</v>
      </c>
      <c r="D94" s="64">
        <v>12.09</v>
      </c>
      <c r="E94" s="64">
        <v>3.16</v>
      </c>
      <c r="F94" s="64">
        <v>4.47</v>
      </c>
      <c r="G94" s="64">
        <v>47.9</v>
      </c>
      <c r="H94" s="64">
        <v>15.18</v>
      </c>
      <c r="I94" s="64">
        <v>3.09</v>
      </c>
      <c r="J94" s="64">
        <v>0.15</v>
      </c>
      <c r="K94" s="64">
        <v>186.05</v>
      </c>
      <c r="L94" s="64">
        <v>24.99</v>
      </c>
      <c r="M94" s="64">
        <v>89.31</v>
      </c>
      <c r="N94" s="64">
        <v>18.100000000000001</v>
      </c>
      <c r="O94" s="64">
        <v>0</v>
      </c>
      <c r="P94" s="64">
        <v>0.5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7" t="s">
        <v>520</v>
      </c>
      <c r="B95" s="64">
        <v>8.42</v>
      </c>
      <c r="C95" s="64">
        <v>3.59</v>
      </c>
      <c r="D95" s="64">
        <v>12.4</v>
      </c>
      <c r="E95" s="64">
        <v>3.26</v>
      </c>
      <c r="F95" s="64">
        <v>3.55</v>
      </c>
      <c r="G95" s="64">
        <v>47.27</v>
      </c>
      <c r="H95" s="64">
        <v>13.36</v>
      </c>
      <c r="I95" s="64">
        <v>3.16</v>
      </c>
      <c r="J95" s="64">
        <v>0.52</v>
      </c>
      <c r="K95" s="64">
        <v>179.45</v>
      </c>
      <c r="L95" s="64">
        <v>24.85</v>
      </c>
      <c r="M95" s="64">
        <v>89.39</v>
      </c>
      <c r="N95" s="64">
        <v>17.8</v>
      </c>
      <c r="O95" s="64">
        <v>0</v>
      </c>
      <c r="P95" s="64">
        <v>0.49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7" t="s">
        <v>521</v>
      </c>
      <c r="B96" s="64">
        <v>8.31</v>
      </c>
      <c r="C96" s="64">
        <v>3.29</v>
      </c>
      <c r="D96" s="64">
        <v>12.16</v>
      </c>
      <c r="E96" s="64">
        <v>3.55</v>
      </c>
      <c r="F96" s="64">
        <v>3.05</v>
      </c>
      <c r="G96" s="64">
        <v>46.87</v>
      </c>
      <c r="H96" s="64">
        <v>12.2</v>
      </c>
      <c r="I96" s="64">
        <v>3.23</v>
      </c>
      <c r="J96" s="64">
        <v>0.19</v>
      </c>
      <c r="K96" s="64">
        <v>145.97</v>
      </c>
      <c r="L96" s="64">
        <v>24.79</v>
      </c>
      <c r="M96" s="64">
        <v>89.24</v>
      </c>
      <c r="N96" s="64">
        <v>18.100000000000001</v>
      </c>
      <c r="O96" s="64">
        <v>0</v>
      </c>
      <c r="P96" s="64">
        <v>0.48</v>
      </c>
      <c r="Q96" s="64">
        <v>9.2899999999999991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522</v>
      </c>
      <c r="B97" s="64">
        <v>8.31</v>
      </c>
      <c r="C97" s="64">
        <v>3.29</v>
      </c>
      <c r="D97" s="64">
        <v>12.16</v>
      </c>
      <c r="E97" s="64">
        <v>3.55</v>
      </c>
      <c r="F97" s="64">
        <v>3.05</v>
      </c>
      <c r="G97" s="64">
        <v>46.87</v>
      </c>
      <c r="H97" s="64">
        <v>12.2</v>
      </c>
      <c r="I97" s="64">
        <v>3.23</v>
      </c>
      <c r="J97" s="64">
        <v>0.19</v>
      </c>
      <c r="K97" s="64">
        <v>145.97</v>
      </c>
      <c r="L97" s="64">
        <v>24.79</v>
      </c>
      <c r="M97" s="64">
        <v>89.24</v>
      </c>
      <c r="N97" s="64">
        <v>18.100000000000001</v>
      </c>
      <c r="O97" s="64">
        <v>0</v>
      </c>
      <c r="P97" s="64">
        <v>0.48</v>
      </c>
      <c r="Q97" s="64">
        <v>9.2899999999999991</v>
      </c>
      <c r="R97" s="198"/>
      <c r="S97" s="198"/>
      <c r="T97" s="198"/>
      <c r="U97" s="198"/>
    </row>
    <row r="98" spans="1:33" s="12" customFormat="1" x14ac:dyDescent="0.25">
      <c r="A98" s="217" t="s">
        <v>523</v>
      </c>
      <c r="B98" s="64">
        <v>8.2899999999999991</v>
      </c>
      <c r="C98" s="64">
        <v>3.17</v>
      </c>
      <c r="D98" s="64">
        <v>12.07</v>
      </c>
      <c r="E98" s="64">
        <v>3.19</v>
      </c>
      <c r="F98" s="64">
        <v>3.34</v>
      </c>
      <c r="G98" s="64">
        <v>46.87</v>
      </c>
      <c r="H98" s="64">
        <v>12.2</v>
      </c>
      <c r="I98" s="64">
        <v>3.34</v>
      </c>
      <c r="J98" s="64">
        <v>0.3</v>
      </c>
      <c r="K98" s="64">
        <v>221.1</v>
      </c>
      <c r="L98" s="64">
        <v>24.67</v>
      </c>
      <c r="M98" s="64">
        <v>90.64</v>
      </c>
      <c r="N98" s="64">
        <v>18.100000000000001</v>
      </c>
      <c r="O98" s="64">
        <v>0</v>
      </c>
      <c r="P98" s="64">
        <v>0.46</v>
      </c>
      <c r="Q98" s="64">
        <v>9.3000000000000007</v>
      </c>
      <c r="R98" s="198"/>
      <c r="S98" s="198"/>
      <c r="T98" s="198"/>
      <c r="U98" s="198"/>
    </row>
    <row r="99" spans="1:33" s="12" customFormat="1" x14ac:dyDescent="0.25">
      <c r="A99" s="217" t="s">
        <v>524</v>
      </c>
      <c r="B99" s="64">
        <v>8.31</v>
      </c>
      <c r="C99" s="64">
        <v>3.23</v>
      </c>
      <c r="D99" s="64">
        <v>12.13</v>
      </c>
      <c r="E99" s="64">
        <v>2.96</v>
      </c>
      <c r="F99" s="64">
        <v>3.51</v>
      </c>
      <c r="G99" s="64">
        <v>46.72</v>
      </c>
      <c r="H99" s="64">
        <v>13.74</v>
      </c>
      <c r="I99" s="64">
        <v>3.35</v>
      </c>
      <c r="J99" s="64">
        <v>0.33</v>
      </c>
      <c r="K99" s="64">
        <v>172.96</v>
      </c>
      <c r="L99" s="64">
        <v>24.48</v>
      </c>
      <c r="M99" s="64">
        <v>91.08</v>
      </c>
      <c r="N99" s="64">
        <v>18.100000000000001</v>
      </c>
      <c r="O99" s="64">
        <v>0</v>
      </c>
      <c r="P99" s="64">
        <v>0.45</v>
      </c>
      <c r="Q99" s="64">
        <v>9.2899999999999991</v>
      </c>
      <c r="R99" s="198"/>
      <c r="S99" s="198"/>
      <c r="T99" s="198"/>
      <c r="U99" s="198"/>
    </row>
    <row r="100" spans="1:33" s="12" customFormat="1" x14ac:dyDescent="0.25">
      <c r="A100" s="217" t="s">
        <v>525</v>
      </c>
      <c r="B100" s="64">
        <v>8.2799999999999994</v>
      </c>
      <c r="C100" s="64">
        <v>3.13</v>
      </c>
      <c r="D100" s="64">
        <v>12.05</v>
      </c>
      <c r="E100" s="64">
        <v>3.05</v>
      </c>
      <c r="F100" s="64">
        <v>3.58</v>
      </c>
      <c r="G100" s="64">
        <v>46.62</v>
      </c>
      <c r="H100" s="64">
        <v>14.72</v>
      </c>
      <c r="I100" s="64">
        <v>3.46</v>
      </c>
      <c r="J100" s="64">
        <v>0.54</v>
      </c>
      <c r="K100" s="64">
        <v>168.82</v>
      </c>
      <c r="L100" s="64">
        <v>24.27</v>
      </c>
      <c r="M100" s="64">
        <v>89.56</v>
      </c>
      <c r="N100" s="64">
        <v>18.2</v>
      </c>
      <c r="O100" s="64">
        <v>0</v>
      </c>
      <c r="P100" s="64">
        <v>0.44</v>
      </c>
      <c r="Q100" s="64">
        <v>9.33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526</v>
      </c>
      <c r="B101" s="64">
        <v>8.2799999999999994</v>
      </c>
      <c r="C101" s="64">
        <v>3.17</v>
      </c>
      <c r="D101" s="64">
        <v>12.07</v>
      </c>
      <c r="E101" s="64">
        <v>3.18</v>
      </c>
      <c r="F101" s="64">
        <v>3.74</v>
      </c>
      <c r="G101" s="64">
        <v>46.62</v>
      </c>
      <c r="H101" s="64">
        <v>14.72</v>
      </c>
      <c r="I101" s="64">
        <v>3.6</v>
      </c>
      <c r="J101" s="64">
        <v>1.03</v>
      </c>
      <c r="K101" s="64">
        <v>155.26</v>
      </c>
      <c r="L101" s="64">
        <v>24.16</v>
      </c>
      <c r="M101" s="64">
        <v>90.61</v>
      </c>
      <c r="N101" s="64">
        <v>18.100000000000001</v>
      </c>
      <c r="O101" s="64">
        <v>0</v>
      </c>
      <c r="P101" s="64">
        <v>0.43</v>
      </c>
      <c r="Q101" s="64">
        <v>9.33</v>
      </c>
      <c r="R101" s="198"/>
      <c r="S101" s="198"/>
      <c r="T101" s="198"/>
      <c r="U101" s="198"/>
    </row>
    <row r="102" spans="1:33" s="12" customFormat="1" x14ac:dyDescent="0.25">
      <c r="A102" s="217" t="s">
        <v>527</v>
      </c>
      <c r="B102" s="64">
        <v>8.2799999999999994</v>
      </c>
      <c r="C102" s="64">
        <v>3.13</v>
      </c>
      <c r="D102" s="64">
        <v>12.05</v>
      </c>
      <c r="E102" s="64">
        <v>3.32</v>
      </c>
      <c r="F102" s="64">
        <v>3.89</v>
      </c>
      <c r="G102" s="64">
        <v>46.62</v>
      </c>
      <c r="H102" s="64">
        <v>14.72</v>
      </c>
      <c r="I102" s="64">
        <v>3.75</v>
      </c>
      <c r="J102" s="64">
        <v>0.88</v>
      </c>
      <c r="K102" s="64">
        <v>157.04</v>
      </c>
      <c r="L102" s="64">
        <v>24.05</v>
      </c>
      <c r="M102" s="64">
        <v>89.66</v>
      </c>
      <c r="N102" s="64">
        <v>18.100000000000001</v>
      </c>
      <c r="O102" s="64">
        <v>0</v>
      </c>
      <c r="P102" s="64">
        <v>0.42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7" t="s">
        <v>528</v>
      </c>
      <c r="B103" s="64">
        <v>8.3000000000000007</v>
      </c>
      <c r="C103" s="64">
        <v>3.18</v>
      </c>
      <c r="D103" s="64">
        <v>12.09</v>
      </c>
      <c r="E103" s="64">
        <v>3.42</v>
      </c>
      <c r="F103" s="64">
        <v>3.53</v>
      </c>
      <c r="G103" s="64">
        <v>39.17</v>
      </c>
      <c r="H103" s="64">
        <v>12.67</v>
      </c>
      <c r="I103" s="64">
        <v>3.87</v>
      </c>
      <c r="J103" s="64">
        <v>0.42</v>
      </c>
      <c r="K103" s="64">
        <v>172.65</v>
      </c>
      <c r="L103" s="64">
        <v>23.98</v>
      </c>
      <c r="M103" s="64">
        <v>89.76</v>
      </c>
      <c r="N103" s="64">
        <v>18.100000000000001</v>
      </c>
      <c r="O103" s="64">
        <v>0</v>
      </c>
      <c r="P103" s="64">
        <v>0.42</v>
      </c>
      <c r="Q103" s="64">
        <v>9.34</v>
      </c>
      <c r="R103" s="198"/>
      <c r="S103" s="198"/>
      <c r="T103" s="198"/>
      <c r="U103" s="198"/>
    </row>
    <row r="104" spans="1:33" s="12" customFormat="1" x14ac:dyDescent="0.25">
      <c r="A104" s="217" t="s">
        <v>529</v>
      </c>
      <c r="B104" s="64">
        <v>8.2899999999999991</v>
      </c>
      <c r="C104" s="64">
        <v>3.24</v>
      </c>
      <c r="D104" s="64">
        <v>12.11</v>
      </c>
      <c r="E104" s="64">
        <v>3.03</v>
      </c>
      <c r="F104" s="64">
        <v>3.51</v>
      </c>
      <c r="G104" s="64">
        <v>34.43</v>
      </c>
      <c r="H104" s="64">
        <v>11.37</v>
      </c>
      <c r="I104" s="64">
        <v>4.04</v>
      </c>
      <c r="J104" s="64">
        <v>0.63</v>
      </c>
      <c r="K104" s="64">
        <v>151.36000000000001</v>
      </c>
      <c r="L104" s="64">
        <v>23.86</v>
      </c>
      <c r="M104" s="64">
        <v>90.13</v>
      </c>
      <c r="N104" s="64">
        <v>18.100000000000001</v>
      </c>
      <c r="O104" s="64">
        <v>0</v>
      </c>
      <c r="P104" s="64">
        <v>0.41</v>
      </c>
      <c r="Q104" s="64">
        <v>9.36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8.08</v>
      </c>
      <c r="C106" s="67">
        <f>MIN(C9:C104)</f>
        <v>3.01</v>
      </c>
      <c r="D106" s="67">
        <f t="shared" ref="D106:Q106" si="0">MIN(D9:D104)</f>
        <v>11.83</v>
      </c>
      <c r="E106" s="67">
        <f t="shared" si="0"/>
        <v>2.91</v>
      </c>
      <c r="F106" s="67">
        <f t="shared" si="0"/>
        <v>2.7</v>
      </c>
      <c r="G106" s="67">
        <f t="shared" si="0"/>
        <v>8.52</v>
      </c>
      <c r="H106" s="67">
        <f t="shared" si="0"/>
        <v>1.53</v>
      </c>
      <c r="I106" s="67">
        <f t="shared" si="0"/>
        <v>0.56999999999999995</v>
      </c>
      <c r="J106" s="67">
        <f t="shared" si="0"/>
        <v>0.05</v>
      </c>
      <c r="K106" s="67">
        <f t="shared" si="0"/>
        <v>0.17</v>
      </c>
      <c r="L106" s="67">
        <f t="shared" si="0"/>
        <v>22.17</v>
      </c>
      <c r="M106" s="67">
        <f t="shared" si="0"/>
        <v>61.45</v>
      </c>
      <c r="N106" s="67">
        <f t="shared" si="0"/>
        <v>17.7</v>
      </c>
      <c r="O106" s="67">
        <f t="shared" si="0"/>
        <v>0</v>
      </c>
      <c r="P106" s="67">
        <f t="shared" si="0"/>
        <v>0.21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8.42</v>
      </c>
      <c r="C107" s="66">
        <f t="shared" ref="C107:Q107" si="1">MAX(C9:C104)</f>
        <v>3.59</v>
      </c>
      <c r="D107" s="66">
        <f t="shared" si="1"/>
        <v>12.4</v>
      </c>
      <c r="E107" s="66">
        <f t="shared" si="1"/>
        <v>4.9800000000000004</v>
      </c>
      <c r="F107" s="66">
        <f t="shared" si="1"/>
        <v>8.75</v>
      </c>
      <c r="G107" s="66">
        <f t="shared" si="1"/>
        <v>69.489999999999995</v>
      </c>
      <c r="H107" s="66">
        <f t="shared" si="1"/>
        <v>19.760000000000002</v>
      </c>
      <c r="I107" s="66">
        <f t="shared" si="1"/>
        <v>4.04</v>
      </c>
      <c r="J107" s="66">
        <f t="shared" si="1"/>
        <v>1.03</v>
      </c>
      <c r="K107" s="66">
        <f t="shared" si="1"/>
        <v>359.23</v>
      </c>
      <c r="L107" s="66">
        <f t="shared" si="1"/>
        <v>30.83</v>
      </c>
      <c r="M107" s="66">
        <f t="shared" si="1"/>
        <v>98.33</v>
      </c>
      <c r="N107" s="66">
        <f t="shared" si="1"/>
        <v>693.8</v>
      </c>
      <c r="O107" s="66">
        <f t="shared" si="1"/>
        <v>0</v>
      </c>
      <c r="P107" s="66">
        <f t="shared" si="1"/>
        <v>0.76</v>
      </c>
      <c r="Q107" s="66">
        <f t="shared" si="1"/>
        <v>9.36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8.2321874999999913</v>
      </c>
      <c r="C108" s="67">
        <f t="shared" ref="C108:Q108" si="2">AVERAGE(C9:C104)</f>
        <v>3.2198958333333341</v>
      </c>
      <c r="D108" s="67">
        <f t="shared" si="2"/>
        <v>12.058020833333336</v>
      </c>
      <c r="E108" s="67">
        <f t="shared" si="2"/>
        <v>4.067708333333333</v>
      </c>
      <c r="F108" s="67">
        <f t="shared" si="2"/>
        <v>4.4481249999999983</v>
      </c>
      <c r="G108" s="67">
        <f t="shared" si="2"/>
        <v>35.809462365591408</v>
      </c>
      <c r="H108" s="67">
        <f t="shared" si="2"/>
        <v>10.24516129032258</v>
      </c>
      <c r="I108" s="67">
        <f t="shared" si="2"/>
        <v>1.8420833333333333</v>
      </c>
      <c r="J108" s="67">
        <f t="shared" si="2"/>
        <v>0.51052083333333342</v>
      </c>
      <c r="K108" s="67">
        <f t="shared" si="2"/>
        <v>178.07739583333333</v>
      </c>
      <c r="L108" s="67">
        <f t="shared" si="2"/>
        <v>25.237187500000001</v>
      </c>
      <c r="M108" s="67">
        <f t="shared" si="2"/>
        <v>85.494583333333324</v>
      </c>
      <c r="N108" s="67">
        <f t="shared" si="2"/>
        <v>137.2677083333333</v>
      </c>
      <c r="O108" s="67">
        <f t="shared" si="2"/>
        <v>0</v>
      </c>
      <c r="P108" s="67">
        <f t="shared" si="2"/>
        <v>0.39552083333333338</v>
      </c>
      <c r="Q108" s="67">
        <f t="shared" si="2"/>
        <v>9.2434374999999935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6.2089970797900976E-2</v>
      </c>
      <c r="C109" s="67">
        <f t="shared" ref="C109:Q109" si="3">STDEV(C9:C104)</f>
        <v>0.11330903054703438</v>
      </c>
      <c r="D109" s="67">
        <f t="shared" si="3"/>
        <v>9.9447100898884935E-2</v>
      </c>
      <c r="E109" s="67">
        <f t="shared" si="3"/>
        <v>0.58688917480966718</v>
      </c>
      <c r="F109" s="67">
        <f t="shared" si="3"/>
        <v>0.96928330821228936</v>
      </c>
      <c r="G109" s="67">
        <f t="shared" si="3"/>
        <v>17.899514042807866</v>
      </c>
      <c r="H109" s="67">
        <f t="shared" si="3"/>
        <v>5.869348273742605</v>
      </c>
      <c r="I109" s="67">
        <f t="shared" si="3"/>
        <v>0.90756808260394617</v>
      </c>
      <c r="J109" s="67">
        <f t="shared" si="3"/>
        <v>0.17317693897566824</v>
      </c>
      <c r="K109" s="67">
        <f t="shared" si="3"/>
        <v>153.91568740022495</v>
      </c>
      <c r="L109" s="67">
        <f t="shared" si="3"/>
        <v>2.3596251723414396</v>
      </c>
      <c r="M109" s="67">
        <f t="shared" si="3"/>
        <v>11.055088175198149</v>
      </c>
      <c r="N109" s="67">
        <f t="shared" si="3"/>
        <v>159.16280674685001</v>
      </c>
      <c r="O109" s="67">
        <f t="shared" si="3"/>
        <v>0</v>
      </c>
      <c r="P109" s="67">
        <f t="shared" si="3"/>
        <v>0.13506232317101199</v>
      </c>
      <c r="Q109" s="67">
        <f t="shared" si="3"/>
        <v>5.759802856640877E-2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530</v>
      </c>
      <c r="B9" s="64">
        <v>8.3000000000000007</v>
      </c>
      <c r="C9" s="64">
        <v>3.22</v>
      </c>
      <c r="D9" s="64">
        <v>12.11</v>
      </c>
      <c r="E9" s="64">
        <v>4.32</v>
      </c>
      <c r="F9" s="64">
        <v>3.77</v>
      </c>
      <c r="G9" s="64">
        <v>34.43</v>
      </c>
      <c r="H9" s="64">
        <v>11.37</v>
      </c>
      <c r="I9" s="64">
        <v>4.22</v>
      </c>
      <c r="J9" s="64">
        <v>0.76</v>
      </c>
      <c r="K9" s="64">
        <v>162.68</v>
      </c>
      <c r="L9" s="64">
        <v>23.76</v>
      </c>
      <c r="M9" s="64">
        <v>90.4</v>
      </c>
      <c r="N9" s="64">
        <v>18.100000000000001</v>
      </c>
      <c r="O9" s="64">
        <v>0</v>
      </c>
      <c r="P9" s="64">
        <v>0.41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17" t="s">
        <v>531</v>
      </c>
      <c r="B10" s="64">
        <v>8.3000000000000007</v>
      </c>
      <c r="C10" s="64">
        <v>3.2</v>
      </c>
      <c r="D10" s="64">
        <v>12.1</v>
      </c>
      <c r="E10" s="64">
        <v>4.8600000000000003</v>
      </c>
      <c r="F10" s="64">
        <v>4.55</v>
      </c>
      <c r="G10" s="64">
        <v>34.43</v>
      </c>
      <c r="H10" s="64">
        <v>11.37</v>
      </c>
      <c r="I10" s="64">
        <v>4.3600000000000003</v>
      </c>
      <c r="J10" s="64">
        <v>0.47</v>
      </c>
      <c r="K10" s="64">
        <v>163.80000000000001</v>
      </c>
      <c r="L10" s="64">
        <v>23.75</v>
      </c>
      <c r="M10" s="64">
        <v>89.54</v>
      </c>
      <c r="N10" s="64">
        <v>18.100000000000001</v>
      </c>
      <c r="O10" s="64">
        <v>0</v>
      </c>
      <c r="P10" s="64">
        <v>0.41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17" t="s">
        <v>532</v>
      </c>
      <c r="B11" s="64">
        <v>8.24</v>
      </c>
      <c r="C11" s="64">
        <v>3.14</v>
      </c>
      <c r="D11" s="64">
        <v>12.02</v>
      </c>
      <c r="E11" s="64">
        <v>4.84</v>
      </c>
      <c r="F11" s="64">
        <v>3.24</v>
      </c>
      <c r="G11" s="64">
        <v>32.31</v>
      </c>
      <c r="H11" s="64">
        <v>9.58</v>
      </c>
      <c r="I11" s="64">
        <v>4.4000000000000004</v>
      </c>
      <c r="J11" s="64">
        <v>0.25</v>
      </c>
      <c r="K11" s="64">
        <v>234.56</v>
      </c>
      <c r="L11" s="64">
        <v>23.7</v>
      </c>
      <c r="M11" s="64">
        <v>89</v>
      </c>
      <c r="N11" s="64">
        <v>18.100000000000001</v>
      </c>
      <c r="O11" s="64">
        <v>0</v>
      </c>
      <c r="P11" s="64">
        <v>0.4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7" t="s">
        <v>533</v>
      </c>
      <c r="B12" s="64">
        <v>8.23</v>
      </c>
      <c r="C12" s="64">
        <v>3.11</v>
      </c>
      <c r="D12" s="64">
        <v>12</v>
      </c>
      <c r="E12" s="64">
        <v>4.5599999999999996</v>
      </c>
      <c r="F12" s="64">
        <v>3.03</v>
      </c>
      <c r="G12" s="64">
        <v>30.95</v>
      </c>
      <c r="H12" s="64">
        <v>8.44</v>
      </c>
      <c r="I12" s="64">
        <v>4.33</v>
      </c>
      <c r="J12" s="64">
        <v>0.01</v>
      </c>
      <c r="K12" s="64">
        <v>195.57</v>
      </c>
      <c r="L12" s="64">
        <v>23.66</v>
      </c>
      <c r="M12" s="64">
        <v>89.83</v>
      </c>
      <c r="N12" s="64">
        <v>18.100000000000001</v>
      </c>
      <c r="O12" s="64">
        <v>0</v>
      </c>
      <c r="P12" s="64">
        <v>0.38</v>
      </c>
      <c r="Q12" s="64">
        <v>9.24</v>
      </c>
      <c r="R12" s="198"/>
      <c r="S12" s="198"/>
      <c r="T12" s="198"/>
      <c r="U12" s="198"/>
    </row>
    <row r="13" spans="1:21" s="12" customFormat="1" x14ac:dyDescent="0.25">
      <c r="A13" s="217" t="s">
        <v>534</v>
      </c>
      <c r="B13" s="64">
        <v>8.2899999999999991</v>
      </c>
      <c r="C13" s="64">
        <v>3.24</v>
      </c>
      <c r="D13" s="64">
        <v>12.12</v>
      </c>
      <c r="E13" s="64">
        <v>4.53</v>
      </c>
      <c r="F13" s="64">
        <v>3.4</v>
      </c>
      <c r="G13" s="64">
        <v>30.95</v>
      </c>
      <c r="H13" s="64">
        <v>8.44</v>
      </c>
      <c r="I13" s="64">
        <v>4.22</v>
      </c>
      <c r="J13" s="64">
        <v>0.23</v>
      </c>
      <c r="K13" s="64">
        <v>341.82</v>
      </c>
      <c r="L13" s="64">
        <v>23.61</v>
      </c>
      <c r="M13" s="64">
        <v>90.91</v>
      </c>
      <c r="N13" s="64">
        <v>18.100000000000001</v>
      </c>
      <c r="O13" s="64">
        <v>0</v>
      </c>
      <c r="P13" s="64">
        <v>0.36</v>
      </c>
      <c r="Q13" s="64">
        <v>9.2799999999999994</v>
      </c>
      <c r="R13" s="198"/>
      <c r="S13" s="198"/>
      <c r="T13" s="198"/>
      <c r="U13" s="198"/>
    </row>
    <row r="14" spans="1:21" s="12" customFormat="1" x14ac:dyDescent="0.25">
      <c r="A14" s="217" t="s">
        <v>535</v>
      </c>
      <c r="B14" s="64">
        <v>8.3000000000000007</v>
      </c>
      <c r="C14" s="64">
        <v>3.22</v>
      </c>
      <c r="D14" s="64">
        <v>12.11</v>
      </c>
      <c r="E14" s="64">
        <v>4.2699999999999996</v>
      </c>
      <c r="F14" s="64">
        <v>3.64</v>
      </c>
      <c r="G14" s="64">
        <v>30.95</v>
      </c>
      <c r="H14" s="64">
        <v>8.44</v>
      </c>
      <c r="I14" s="64">
        <v>4.08</v>
      </c>
      <c r="J14" s="64">
        <v>0.53</v>
      </c>
      <c r="K14" s="64">
        <v>335.87</v>
      </c>
      <c r="L14" s="64">
        <v>23.67</v>
      </c>
      <c r="M14" s="64">
        <v>90.6</v>
      </c>
      <c r="N14" s="64">
        <v>18.100000000000001</v>
      </c>
      <c r="O14" s="64">
        <v>0</v>
      </c>
      <c r="P14" s="64">
        <v>0.35</v>
      </c>
      <c r="Q14" s="64">
        <v>9.2799999999999994</v>
      </c>
      <c r="R14" s="198"/>
      <c r="S14" s="198"/>
      <c r="T14" s="198"/>
      <c r="U14" s="198"/>
    </row>
    <row r="15" spans="1:21" s="12" customFormat="1" x14ac:dyDescent="0.25">
      <c r="A15" s="217" t="s">
        <v>536</v>
      </c>
      <c r="B15" s="64">
        <v>8.35</v>
      </c>
      <c r="C15" s="64">
        <v>3.31</v>
      </c>
      <c r="D15" s="64">
        <v>12.2</v>
      </c>
      <c r="E15" s="64">
        <v>4.54</v>
      </c>
      <c r="F15" s="64">
        <v>4.45</v>
      </c>
      <c r="G15" s="64">
        <v>30.4</v>
      </c>
      <c r="H15" s="64">
        <v>8.06</v>
      </c>
      <c r="I15" s="64">
        <v>4.0199999999999996</v>
      </c>
      <c r="J15" s="64">
        <v>0.53</v>
      </c>
      <c r="K15" s="64">
        <v>343.03</v>
      </c>
      <c r="L15" s="64">
        <v>23.77</v>
      </c>
      <c r="M15" s="64">
        <v>90.3</v>
      </c>
      <c r="N15" s="64">
        <v>18.100000000000001</v>
      </c>
      <c r="O15" s="64">
        <v>0</v>
      </c>
      <c r="P15" s="64">
        <v>0.34</v>
      </c>
      <c r="Q15" s="64">
        <v>9.27</v>
      </c>
      <c r="R15" s="198"/>
      <c r="S15" s="198"/>
      <c r="T15" s="198"/>
      <c r="U15" s="198"/>
    </row>
    <row r="16" spans="1:21" s="12" customFormat="1" x14ac:dyDescent="0.25">
      <c r="A16" s="217" t="s">
        <v>537</v>
      </c>
      <c r="B16" s="64">
        <v>8.2899999999999991</v>
      </c>
      <c r="C16" s="64">
        <v>3.25</v>
      </c>
      <c r="D16" s="64">
        <v>12.12</v>
      </c>
      <c r="E16" s="64">
        <v>4.6500000000000004</v>
      </c>
      <c r="F16" s="64">
        <v>4.75</v>
      </c>
      <c r="G16" s="64">
        <v>30.04</v>
      </c>
      <c r="H16" s="64">
        <v>7.82</v>
      </c>
      <c r="I16" s="64">
        <v>3.71</v>
      </c>
      <c r="J16" s="64">
        <v>0.5</v>
      </c>
      <c r="K16" s="64">
        <v>344.62</v>
      </c>
      <c r="L16" s="64">
        <v>23.73</v>
      </c>
      <c r="M16" s="64">
        <v>90.6</v>
      </c>
      <c r="N16" s="64">
        <v>18.100000000000001</v>
      </c>
      <c r="O16" s="64">
        <v>0</v>
      </c>
      <c r="P16" s="64">
        <v>0.35</v>
      </c>
      <c r="Q16" s="64">
        <v>9.2799999999999994</v>
      </c>
      <c r="R16" s="198"/>
      <c r="S16" s="198"/>
      <c r="T16" s="198"/>
      <c r="U16" s="198"/>
    </row>
    <row r="17" spans="1:21" s="12" customFormat="1" x14ac:dyDescent="0.25">
      <c r="A17" s="217" t="s">
        <v>538</v>
      </c>
      <c r="B17" s="64">
        <v>8.23</v>
      </c>
      <c r="C17" s="64">
        <v>3.13</v>
      </c>
      <c r="D17" s="64">
        <v>12.01</v>
      </c>
      <c r="E17" s="64">
        <v>4.8</v>
      </c>
      <c r="F17" s="64">
        <v>2.58</v>
      </c>
      <c r="G17" s="64">
        <v>30.04</v>
      </c>
      <c r="H17" s="64">
        <v>7.82</v>
      </c>
      <c r="I17" s="64">
        <v>3.51</v>
      </c>
      <c r="J17" s="64">
        <v>0.59</v>
      </c>
      <c r="K17" s="64">
        <v>13.58</v>
      </c>
      <c r="L17" s="64">
        <v>23.77</v>
      </c>
      <c r="M17" s="64">
        <v>91.09</v>
      </c>
      <c r="N17" s="64">
        <v>18.100000000000001</v>
      </c>
      <c r="O17" s="64">
        <v>0</v>
      </c>
      <c r="P17" s="64">
        <v>0.34</v>
      </c>
      <c r="Q17" s="64">
        <v>9.2200000000000006</v>
      </c>
      <c r="R17" s="198"/>
      <c r="S17" s="198"/>
      <c r="T17" s="198"/>
      <c r="U17" s="198"/>
    </row>
    <row r="18" spans="1:21" s="12" customFormat="1" x14ac:dyDescent="0.25">
      <c r="A18" s="217" t="s">
        <v>539</v>
      </c>
      <c r="B18" s="64">
        <v>8.2899999999999991</v>
      </c>
      <c r="C18" s="64">
        <v>3.27</v>
      </c>
      <c r="D18" s="64">
        <v>12.13</v>
      </c>
      <c r="E18" s="64">
        <v>4.8099999999999996</v>
      </c>
      <c r="F18" s="64">
        <v>3.13</v>
      </c>
      <c r="G18" s="64">
        <v>30.04</v>
      </c>
      <c r="H18" s="64">
        <v>7.82</v>
      </c>
      <c r="I18" s="64">
        <v>3.31</v>
      </c>
      <c r="J18" s="64">
        <v>0.77</v>
      </c>
      <c r="K18" s="64">
        <v>319.60000000000002</v>
      </c>
      <c r="L18" s="64">
        <v>23.73</v>
      </c>
      <c r="M18" s="64">
        <v>92.34</v>
      </c>
      <c r="N18" s="64">
        <v>18.100000000000001</v>
      </c>
      <c r="O18" s="64">
        <v>0</v>
      </c>
      <c r="P18" s="64">
        <v>0.33</v>
      </c>
      <c r="Q18" s="64">
        <v>9.23</v>
      </c>
      <c r="R18" s="198"/>
      <c r="S18" s="198"/>
      <c r="T18" s="198"/>
      <c r="U18" s="198"/>
    </row>
    <row r="19" spans="1:21" s="12" customFormat="1" x14ac:dyDescent="0.25">
      <c r="A19" s="217" t="s">
        <v>540</v>
      </c>
      <c r="B19" s="64">
        <v>8.25</v>
      </c>
      <c r="C19" s="64">
        <v>3.13</v>
      </c>
      <c r="D19" s="64">
        <v>12.02</v>
      </c>
      <c r="E19" s="64">
        <v>4.75</v>
      </c>
      <c r="F19" s="64">
        <v>3.22</v>
      </c>
      <c r="G19" s="64">
        <v>28.11</v>
      </c>
      <c r="H19" s="64">
        <v>8</v>
      </c>
      <c r="I19" s="64">
        <v>3.17</v>
      </c>
      <c r="J19" s="64">
        <v>1.41</v>
      </c>
      <c r="K19" s="64">
        <v>329.69</v>
      </c>
      <c r="L19" s="64">
        <v>23.78</v>
      </c>
      <c r="M19" s="64">
        <v>93.82</v>
      </c>
      <c r="N19" s="64">
        <v>18.2</v>
      </c>
      <c r="O19" s="64">
        <v>0</v>
      </c>
      <c r="P19" s="64">
        <v>0.33</v>
      </c>
      <c r="Q19" s="64">
        <v>9.23</v>
      </c>
      <c r="R19" s="198"/>
      <c r="S19" s="198"/>
      <c r="T19" s="198"/>
      <c r="U19" s="198"/>
    </row>
    <row r="20" spans="1:21" s="12" customFormat="1" x14ac:dyDescent="0.25">
      <c r="A20" s="217" t="s">
        <v>541</v>
      </c>
      <c r="B20" s="64">
        <v>8.27</v>
      </c>
      <c r="C20" s="64">
        <v>3.15</v>
      </c>
      <c r="D20" s="64">
        <v>12.06</v>
      </c>
      <c r="E20" s="64">
        <v>4.3600000000000003</v>
      </c>
      <c r="F20" s="64">
        <v>3.54</v>
      </c>
      <c r="G20" s="64">
        <v>26.88</v>
      </c>
      <c r="H20" s="64">
        <v>8.11</v>
      </c>
      <c r="I20" s="64">
        <v>3.13</v>
      </c>
      <c r="J20" s="64">
        <v>1.1399999999999999</v>
      </c>
      <c r="K20" s="64">
        <v>314.18</v>
      </c>
      <c r="L20" s="64">
        <v>23.59</v>
      </c>
      <c r="M20" s="64">
        <v>97.41</v>
      </c>
      <c r="N20" s="64">
        <v>18.2</v>
      </c>
      <c r="O20" s="64">
        <v>0</v>
      </c>
      <c r="P20" s="64">
        <v>0.32</v>
      </c>
      <c r="Q20" s="64">
        <v>9.25</v>
      </c>
      <c r="R20" s="198"/>
      <c r="S20" s="198"/>
      <c r="T20" s="198"/>
      <c r="U20" s="198"/>
    </row>
    <row r="21" spans="1:21" s="12" customFormat="1" x14ac:dyDescent="0.25">
      <c r="A21" s="217" t="s">
        <v>542</v>
      </c>
      <c r="B21" s="64">
        <v>8.2899999999999991</v>
      </c>
      <c r="C21" s="64">
        <v>3.22</v>
      </c>
      <c r="D21" s="64">
        <v>12.1</v>
      </c>
      <c r="E21" s="64">
        <v>4.28</v>
      </c>
      <c r="F21" s="64">
        <v>3.73</v>
      </c>
      <c r="G21" s="64">
        <v>26.88</v>
      </c>
      <c r="H21" s="64">
        <v>8.11</v>
      </c>
      <c r="I21" s="64">
        <v>3.02</v>
      </c>
      <c r="J21" s="64">
        <v>0.82</v>
      </c>
      <c r="K21" s="64">
        <v>317.08999999999997</v>
      </c>
      <c r="L21" s="64">
        <v>23.3</v>
      </c>
      <c r="M21" s="64">
        <v>98.33</v>
      </c>
      <c r="N21" s="64">
        <v>18</v>
      </c>
      <c r="O21" s="64">
        <v>0</v>
      </c>
      <c r="P21" s="64">
        <v>0.32</v>
      </c>
      <c r="Q21" s="64">
        <v>9.24</v>
      </c>
      <c r="R21" s="198"/>
      <c r="S21" s="198"/>
      <c r="T21" s="198"/>
      <c r="U21" s="198"/>
    </row>
    <row r="22" spans="1:21" s="12" customFormat="1" x14ac:dyDescent="0.25">
      <c r="A22" s="217" t="s">
        <v>543</v>
      </c>
      <c r="B22" s="64">
        <v>8.2899999999999991</v>
      </c>
      <c r="C22" s="64">
        <v>3.16</v>
      </c>
      <c r="D22" s="64">
        <v>12.08</v>
      </c>
      <c r="E22" s="64">
        <v>4.7699999999999996</v>
      </c>
      <c r="F22" s="64">
        <v>3.76</v>
      </c>
      <c r="G22" s="64">
        <v>26.88</v>
      </c>
      <c r="H22" s="64">
        <v>8.11</v>
      </c>
      <c r="I22" s="64">
        <v>2.9</v>
      </c>
      <c r="J22" s="64">
        <v>0.79</v>
      </c>
      <c r="K22" s="64">
        <v>310.95</v>
      </c>
      <c r="L22" s="64">
        <v>23.16</v>
      </c>
      <c r="M22" s="64">
        <v>98.33</v>
      </c>
      <c r="N22" s="64">
        <v>17.899999999999999</v>
      </c>
      <c r="O22" s="64">
        <v>0.2</v>
      </c>
      <c r="P22" s="64">
        <v>0.31</v>
      </c>
      <c r="Q22" s="64">
        <v>9.23</v>
      </c>
      <c r="R22" s="198"/>
      <c r="S22" s="198"/>
      <c r="T22" s="198"/>
      <c r="U22" s="198"/>
    </row>
    <row r="23" spans="1:21" s="12" customFormat="1" x14ac:dyDescent="0.25">
      <c r="A23" s="217" t="s">
        <v>544</v>
      </c>
      <c r="B23" s="64">
        <v>8.3000000000000007</v>
      </c>
      <c r="C23" s="64">
        <v>3.15</v>
      </c>
      <c r="D23" s="64">
        <v>12.07</v>
      </c>
      <c r="E23" s="64">
        <v>4.92</v>
      </c>
      <c r="F23" s="64">
        <v>3.56</v>
      </c>
      <c r="G23" s="64">
        <v>23.44</v>
      </c>
      <c r="H23" s="64">
        <v>8.14</v>
      </c>
      <c r="I23" s="64">
        <v>2.73</v>
      </c>
      <c r="J23" s="64">
        <v>0.88</v>
      </c>
      <c r="K23" s="64">
        <v>319</v>
      </c>
      <c r="L23" s="64">
        <v>22.9</v>
      </c>
      <c r="M23" s="64">
        <v>98.35</v>
      </c>
      <c r="N23" s="64">
        <v>18.399999999999999</v>
      </c>
      <c r="O23" s="64">
        <v>0.2</v>
      </c>
      <c r="P23" s="64">
        <v>0.31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7" t="s">
        <v>545</v>
      </c>
      <c r="B24" s="64">
        <v>8.2799999999999994</v>
      </c>
      <c r="C24" s="64">
        <v>3.16</v>
      </c>
      <c r="D24" s="64">
        <v>12.06</v>
      </c>
      <c r="E24" s="64">
        <v>3.57</v>
      </c>
      <c r="F24" s="64">
        <v>3.46</v>
      </c>
      <c r="G24" s="64">
        <v>21.26</v>
      </c>
      <c r="H24" s="64">
        <v>8.17</v>
      </c>
      <c r="I24" s="64">
        <v>2.65</v>
      </c>
      <c r="J24" s="64">
        <v>0.5</v>
      </c>
      <c r="K24" s="64">
        <v>309.87</v>
      </c>
      <c r="L24" s="64">
        <v>22.66</v>
      </c>
      <c r="M24" s="64">
        <v>98.35</v>
      </c>
      <c r="N24" s="64">
        <v>18.100000000000001</v>
      </c>
      <c r="O24" s="64">
        <v>0.2</v>
      </c>
      <c r="P24" s="64">
        <v>0.31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7" t="s">
        <v>546</v>
      </c>
      <c r="B25" s="64">
        <v>8.2799999999999994</v>
      </c>
      <c r="C25" s="64">
        <v>3.17</v>
      </c>
      <c r="D25" s="64">
        <v>12.07</v>
      </c>
      <c r="E25" s="64">
        <v>3.78</v>
      </c>
      <c r="F25" s="64">
        <v>3.46</v>
      </c>
      <c r="G25" s="64">
        <v>21.26</v>
      </c>
      <c r="H25" s="64">
        <v>8.17</v>
      </c>
      <c r="I25" s="64">
        <v>2.7</v>
      </c>
      <c r="J25" s="64">
        <v>0.69</v>
      </c>
      <c r="K25" s="64">
        <v>309.74</v>
      </c>
      <c r="L25" s="64">
        <v>22.57</v>
      </c>
      <c r="M25" s="64">
        <v>98.35</v>
      </c>
      <c r="N25" s="64">
        <v>18</v>
      </c>
      <c r="O25" s="64">
        <v>0</v>
      </c>
      <c r="P25" s="64">
        <v>0.31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7" t="s">
        <v>547</v>
      </c>
      <c r="B26" s="64">
        <v>8.33</v>
      </c>
      <c r="C26" s="64">
        <v>3.25</v>
      </c>
      <c r="D26" s="64">
        <v>12.15</v>
      </c>
      <c r="E26" s="64">
        <v>4</v>
      </c>
      <c r="F26" s="64">
        <v>3.78</v>
      </c>
      <c r="G26" s="64">
        <v>21.26</v>
      </c>
      <c r="H26" s="64">
        <v>8.17</v>
      </c>
      <c r="I26" s="64">
        <v>2.87</v>
      </c>
      <c r="J26" s="64">
        <v>0.56999999999999995</v>
      </c>
      <c r="K26" s="64">
        <v>265.19</v>
      </c>
      <c r="L26" s="64">
        <v>22.6</v>
      </c>
      <c r="M26" s="64">
        <v>98.35</v>
      </c>
      <c r="N26" s="64">
        <v>18.100000000000001</v>
      </c>
      <c r="O26" s="64">
        <v>0</v>
      </c>
      <c r="P26" s="64">
        <v>0.31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17" t="s">
        <v>548</v>
      </c>
      <c r="B27" s="64">
        <v>8.2899999999999991</v>
      </c>
      <c r="C27" s="64">
        <v>3.15</v>
      </c>
      <c r="D27" s="64">
        <v>12.07</v>
      </c>
      <c r="E27" s="64">
        <v>4.03</v>
      </c>
      <c r="F27" s="64">
        <v>3.61</v>
      </c>
      <c r="G27" s="64">
        <v>19.05</v>
      </c>
      <c r="H27" s="64">
        <v>7.58</v>
      </c>
      <c r="I27" s="64">
        <v>3.08</v>
      </c>
      <c r="J27" s="64">
        <v>0.56000000000000005</v>
      </c>
      <c r="K27" s="64">
        <v>296.52999999999997</v>
      </c>
      <c r="L27" s="64">
        <v>22.65</v>
      </c>
      <c r="M27" s="64">
        <v>98.4</v>
      </c>
      <c r="N27" s="64">
        <v>18.3</v>
      </c>
      <c r="O27" s="64">
        <v>0</v>
      </c>
      <c r="P27" s="64">
        <v>0.31</v>
      </c>
      <c r="Q27" s="64">
        <v>9.27</v>
      </c>
      <c r="R27" s="198"/>
      <c r="S27" s="198"/>
      <c r="T27" s="198"/>
      <c r="U27" s="198"/>
    </row>
    <row r="28" spans="1:21" s="12" customFormat="1" x14ac:dyDescent="0.25">
      <c r="A28" s="217" t="s">
        <v>549</v>
      </c>
      <c r="B28" s="64">
        <v>8.27</v>
      </c>
      <c r="C28" s="64">
        <v>3.18</v>
      </c>
      <c r="D28" s="64">
        <v>12.06</v>
      </c>
      <c r="E28" s="64">
        <v>3.66</v>
      </c>
      <c r="F28" s="64">
        <v>4.34</v>
      </c>
      <c r="G28" s="64">
        <v>17.649999999999999</v>
      </c>
      <c r="H28" s="64">
        <v>7.21</v>
      </c>
      <c r="I28" s="64">
        <v>3.3</v>
      </c>
      <c r="J28" s="64">
        <v>0.4</v>
      </c>
      <c r="K28" s="64">
        <v>341.49</v>
      </c>
      <c r="L28" s="64">
        <v>22.69</v>
      </c>
      <c r="M28" s="64">
        <v>98.38</v>
      </c>
      <c r="N28" s="64">
        <v>18.3</v>
      </c>
      <c r="O28" s="64">
        <v>0.2</v>
      </c>
      <c r="P28" s="64">
        <v>0.32</v>
      </c>
      <c r="Q28" s="64">
        <v>9.2799999999999994</v>
      </c>
      <c r="R28" s="198"/>
      <c r="S28" s="198"/>
      <c r="T28" s="198"/>
      <c r="U28" s="198"/>
    </row>
    <row r="29" spans="1:21" s="12" customFormat="1" x14ac:dyDescent="0.25">
      <c r="A29" s="217" t="s">
        <v>550</v>
      </c>
      <c r="B29" s="64">
        <v>8.25</v>
      </c>
      <c r="C29" s="64">
        <v>3.2</v>
      </c>
      <c r="D29" s="64">
        <v>12.06</v>
      </c>
      <c r="E29" s="64">
        <v>4.1100000000000003</v>
      </c>
      <c r="F29" s="64">
        <v>4.0999999999999996</v>
      </c>
      <c r="G29" s="64">
        <v>17.649999999999999</v>
      </c>
      <c r="H29" s="64">
        <v>7.21</v>
      </c>
      <c r="I29" s="64">
        <v>3.46</v>
      </c>
      <c r="J29" s="64">
        <v>0.38</v>
      </c>
      <c r="K29" s="64">
        <v>344.64</v>
      </c>
      <c r="L29" s="64">
        <v>22.65</v>
      </c>
      <c r="M29" s="64">
        <v>98.4</v>
      </c>
      <c r="N29" s="64">
        <v>18.2</v>
      </c>
      <c r="O29" s="64">
        <v>0.6</v>
      </c>
      <c r="P29" s="64">
        <v>0.32</v>
      </c>
      <c r="Q29" s="64">
        <v>9.26</v>
      </c>
      <c r="R29" s="198"/>
      <c r="S29" s="198"/>
      <c r="T29" s="198"/>
      <c r="U29" s="198"/>
    </row>
    <row r="30" spans="1:21" s="12" customFormat="1" x14ac:dyDescent="0.25">
      <c r="A30" s="217" t="s">
        <v>551</v>
      </c>
      <c r="B30" s="64">
        <v>8.26</v>
      </c>
      <c r="C30" s="64">
        <v>3.21</v>
      </c>
      <c r="D30" s="64">
        <v>12.07</v>
      </c>
      <c r="E30" s="64">
        <v>4.22</v>
      </c>
      <c r="F30" s="64">
        <v>3.33</v>
      </c>
      <c r="G30" s="64">
        <v>17.649999999999999</v>
      </c>
      <c r="H30" s="64">
        <v>7.21</v>
      </c>
      <c r="I30" s="64">
        <v>3.46</v>
      </c>
      <c r="J30" s="64">
        <v>0.52</v>
      </c>
      <c r="K30" s="64">
        <v>9.66</v>
      </c>
      <c r="L30" s="64">
        <v>22.39</v>
      </c>
      <c r="M30" s="64">
        <v>98.4</v>
      </c>
      <c r="N30" s="64">
        <v>19.100000000000001</v>
      </c>
      <c r="O30" s="64">
        <v>0.6</v>
      </c>
      <c r="P30" s="64">
        <v>0.31</v>
      </c>
      <c r="Q30" s="64">
        <v>9.2100000000000009</v>
      </c>
      <c r="R30" s="198"/>
      <c r="S30" s="198"/>
      <c r="T30" s="198"/>
      <c r="U30" s="198"/>
    </row>
    <row r="31" spans="1:21" s="12" customFormat="1" x14ac:dyDescent="0.25">
      <c r="A31" s="217" t="s">
        <v>552</v>
      </c>
      <c r="B31" s="64">
        <v>8.2899999999999991</v>
      </c>
      <c r="C31" s="64">
        <v>3.22</v>
      </c>
      <c r="D31" s="64">
        <v>12.1</v>
      </c>
      <c r="E31" s="64">
        <v>3.89</v>
      </c>
      <c r="F31" s="64">
        <v>3.78</v>
      </c>
      <c r="G31" s="64">
        <v>14.85</v>
      </c>
      <c r="H31" s="64">
        <v>6.43</v>
      </c>
      <c r="I31" s="64">
        <v>3.29</v>
      </c>
      <c r="J31" s="64">
        <v>0.51</v>
      </c>
      <c r="K31" s="64">
        <v>0.92</v>
      </c>
      <c r="L31" s="64">
        <v>22.14</v>
      </c>
      <c r="M31" s="64">
        <v>98.38</v>
      </c>
      <c r="N31" s="64">
        <v>19.899999999999999</v>
      </c>
      <c r="O31" s="64">
        <v>1.4</v>
      </c>
      <c r="P31" s="64">
        <v>0.28999999999999998</v>
      </c>
      <c r="Q31" s="64">
        <v>9.23</v>
      </c>
      <c r="R31" s="198"/>
      <c r="S31" s="198"/>
      <c r="T31" s="198"/>
      <c r="U31" s="198"/>
    </row>
    <row r="32" spans="1:21" s="12" customFormat="1" x14ac:dyDescent="0.25">
      <c r="A32" s="217" t="s">
        <v>553</v>
      </c>
      <c r="B32" s="64">
        <v>8.41</v>
      </c>
      <c r="C32" s="64">
        <v>3.56</v>
      </c>
      <c r="D32" s="64">
        <v>12.38</v>
      </c>
      <c r="E32" s="64">
        <v>3.89</v>
      </c>
      <c r="F32" s="64">
        <v>4.78</v>
      </c>
      <c r="G32" s="64">
        <v>13.07</v>
      </c>
      <c r="H32" s="64">
        <v>5.93</v>
      </c>
      <c r="I32" s="64">
        <v>2.96</v>
      </c>
      <c r="J32" s="64">
        <v>0.36</v>
      </c>
      <c r="K32" s="64">
        <v>3.49</v>
      </c>
      <c r="L32" s="64">
        <v>21.69</v>
      </c>
      <c r="M32" s="64">
        <v>98.4</v>
      </c>
      <c r="N32" s="64">
        <v>21.3</v>
      </c>
      <c r="O32" s="64">
        <v>1.8</v>
      </c>
      <c r="P32" s="64">
        <v>0.32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7" t="s">
        <v>554</v>
      </c>
      <c r="B33" s="64">
        <v>8.2799999999999994</v>
      </c>
      <c r="C33" s="64">
        <v>3.25</v>
      </c>
      <c r="D33" s="64">
        <v>12.11</v>
      </c>
      <c r="E33" s="64">
        <v>4.3</v>
      </c>
      <c r="F33" s="64">
        <v>3.43</v>
      </c>
      <c r="G33" s="64">
        <v>13.07</v>
      </c>
      <c r="H33" s="64">
        <v>5.93</v>
      </c>
      <c r="I33" s="64">
        <v>2.71</v>
      </c>
      <c r="J33" s="64">
        <v>0.51</v>
      </c>
      <c r="K33" s="64">
        <v>5.23</v>
      </c>
      <c r="L33" s="64">
        <v>21.61</v>
      </c>
      <c r="M33" s="64">
        <v>98.4</v>
      </c>
      <c r="N33" s="64">
        <v>22.3</v>
      </c>
      <c r="O33" s="64">
        <v>1</v>
      </c>
      <c r="P33" s="64">
        <v>0.32</v>
      </c>
      <c r="Q33" s="64">
        <v>9.26</v>
      </c>
      <c r="R33" s="198"/>
      <c r="S33" s="198"/>
      <c r="T33" s="198"/>
      <c r="U33" s="198"/>
    </row>
    <row r="34" spans="1:21" s="12" customFormat="1" x14ac:dyDescent="0.25">
      <c r="A34" s="217" t="s">
        <v>555</v>
      </c>
      <c r="B34" s="64">
        <v>8.23</v>
      </c>
      <c r="C34" s="64">
        <v>3.2</v>
      </c>
      <c r="D34" s="64">
        <v>12.05</v>
      </c>
      <c r="E34" s="64">
        <v>4.2300000000000004</v>
      </c>
      <c r="F34" s="64">
        <v>3.01</v>
      </c>
      <c r="G34" s="64">
        <v>13.07</v>
      </c>
      <c r="H34" s="64">
        <v>5.93</v>
      </c>
      <c r="I34" s="64">
        <v>2.62</v>
      </c>
      <c r="J34" s="64">
        <v>0.25</v>
      </c>
      <c r="K34" s="64">
        <v>0.79</v>
      </c>
      <c r="L34" s="64">
        <v>21.66</v>
      </c>
      <c r="M34" s="64">
        <v>98.4</v>
      </c>
      <c r="N34" s="64">
        <v>27.6</v>
      </c>
      <c r="O34" s="64">
        <v>0.8</v>
      </c>
      <c r="P34" s="64">
        <v>0.31</v>
      </c>
      <c r="Q34" s="64">
        <v>9.2200000000000006</v>
      </c>
      <c r="R34" s="198"/>
      <c r="S34" s="198"/>
      <c r="T34" s="198"/>
      <c r="U34" s="198"/>
    </row>
    <row r="35" spans="1:21" s="12" customFormat="1" x14ac:dyDescent="0.25">
      <c r="A35" s="217" t="s">
        <v>556</v>
      </c>
      <c r="B35" s="64">
        <v>8.24</v>
      </c>
      <c r="C35" s="64">
        <v>3.18</v>
      </c>
      <c r="D35" s="64">
        <v>12.04</v>
      </c>
      <c r="E35" s="64">
        <v>3.64</v>
      </c>
      <c r="F35" s="64">
        <v>3.9</v>
      </c>
      <c r="G35" s="64">
        <v>11.64</v>
      </c>
      <c r="H35" s="64">
        <v>6.69</v>
      </c>
      <c r="I35" s="64">
        <v>2.5</v>
      </c>
      <c r="J35" s="64">
        <v>0.08</v>
      </c>
      <c r="K35" s="64">
        <v>318.68</v>
      </c>
      <c r="L35" s="64">
        <v>21.73</v>
      </c>
      <c r="M35" s="64">
        <v>98.39</v>
      </c>
      <c r="N35" s="64">
        <v>37.5</v>
      </c>
      <c r="O35" s="64">
        <v>0.6</v>
      </c>
      <c r="P35" s="64">
        <v>0.3</v>
      </c>
      <c r="Q35" s="64">
        <v>9.19</v>
      </c>
      <c r="R35" s="198"/>
      <c r="S35" s="198"/>
      <c r="T35" s="198"/>
      <c r="U35" s="198"/>
    </row>
    <row r="36" spans="1:21" s="12" customFormat="1" x14ac:dyDescent="0.25">
      <c r="A36" s="217" t="s">
        <v>557</v>
      </c>
      <c r="B36" s="64">
        <v>8.25</v>
      </c>
      <c r="C36" s="64">
        <v>3.12</v>
      </c>
      <c r="D36" s="64">
        <v>12.02</v>
      </c>
      <c r="E36" s="64">
        <v>3.74</v>
      </c>
      <c r="F36" s="64">
        <v>4.63</v>
      </c>
      <c r="G36" s="64">
        <v>10.72</v>
      </c>
      <c r="H36" s="64">
        <v>7.18</v>
      </c>
      <c r="I36" s="64">
        <v>2.33</v>
      </c>
      <c r="J36" s="64">
        <v>0.11</v>
      </c>
      <c r="K36" s="64">
        <v>249.34</v>
      </c>
      <c r="L36" s="64">
        <v>21.84</v>
      </c>
      <c r="M36" s="64">
        <v>98.4</v>
      </c>
      <c r="N36" s="64">
        <v>40.200000000000003</v>
      </c>
      <c r="O36" s="64">
        <v>0.4</v>
      </c>
      <c r="P36" s="64">
        <v>0.31</v>
      </c>
      <c r="Q36" s="64">
        <v>9.2200000000000006</v>
      </c>
      <c r="R36" s="198"/>
      <c r="S36" s="198"/>
      <c r="T36" s="198"/>
      <c r="U36" s="198"/>
    </row>
    <row r="37" spans="1:21" s="12" customFormat="1" x14ac:dyDescent="0.25">
      <c r="A37" s="217" t="s">
        <v>558</v>
      </c>
      <c r="B37" s="64">
        <v>8.2100000000000009</v>
      </c>
      <c r="C37" s="64">
        <v>3.09</v>
      </c>
      <c r="D37" s="64">
        <v>11.97</v>
      </c>
      <c r="E37" s="64">
        <v>4.22</v>
      </c>
      <c r="F37" s="64">
        <v>3.39</v>
      </c>
      <c r="G37" s="64">
        <v>10.72</v>
      </c>
      <c r="H37" s="64">
        <v>7.18</v>
      </c>
      <c r="I37" s="64">
        <v>2.27</v>
      </c>
      <c r="J37" s="64">
        <v>0.35</v>
      </c>
      <c r="K37" s="64">
        <v>353.88</v>
      </c>
      <c r="L37" s="64">
        <v>21.74</v>
      </c>
      <c r="M37" s="64">
        <v>98.4</v>
      </c>
      <c r="N37" s="64">
        <v>46.5</v>
      </c>
      <c r="O37" s="64">
        <v>0.4</v>
      </c>
      <c r="P37" s="64">
        <v>0.31</v>
      </c>
      <c r="Q37" s="64">
        <v>9.2100000000000009</v>
      </c>
      <c r="R37" s="198"/>
      <c r="S37" s="198"/>
      <c r="T37" s="198"/>
      <c r="U37" s="198"/>
    </row>
    <row r="38" spans="1:21" s="12" customFormat="1" x14ac:dyDescent="0.25">
      <c r="A38" s="217" t="s">
        <v>559</v>
      </c>
      <c r="B38" s="64">
        <v>8.2200000000000006</v>
      </c>
      <c r="C38" s="64">
        <v>3.12</v>
      </c>
      <c r="D38" s="64">
        <v>12</v>
      </c>
      <c r="E38" s="64">
        <v>4.18</v>
      </c>
      <c r="F38" s="64">
        <v>3.52</v>
      </c>
      <c r="G38" s="64">
        <v>10.72</v>
      </c>
      <c r="H38" s="64">
        <v>7.18</v>
      </c>
      <c r="I38" s="64">
        <v>2.31</v>
      </c>
      <c r="J38" s="64">
        <v>0.46</v>
      </c>
      <c r="K38" s="64">
        <v>10.29</v>
      </c>
      <c r="L38" s="64">
        <v>21.72</v>
      </c>
      <c r="M38" s="64">
        <v>98.4</v>
      </c>
      <c r="N38" s="64">
        <v>55</v>
      </c>
      <c r="O38" s="64">
        <v>0.4</v>
      </c>
      <c r="P38" s="64">
        <v>0.3</v>
      </c>
      <c r="Q38" s="64">
        <v>9.1999999999999993</v>
      </c>
      <c r="R38" s="198"/>
      <c r="S38" s="198"/>
      <c r="T38" s="198"/>
      <c r="U38" s="198"/>
    </row>
    <row r="39" spans="1:21" s="12" customFormat="1" x14ac:dyDescent="0.25">
      <c r="A39" s="217" t="s">
        <v>560</v>
      </c>
      <c r="B39" s="64">
        <v>8.26</v>
      </c>
      <c r="C39" s="64">
        <v>3.17</v>
      </c>
      <c r="D39" s="64">
        <v>12.05</v>
      </c>
      <c r="E39" s="64">
        <v>4.16</v>
      </c>
      <c r="F39" s="64">
        <v>3.98</v>
      </c>
      <c r="G39" s="64">
        <v>8.92</v>
      </c>
      <c r="H39" s="64">
        <v>7.73</v>
      </c>
      <c r="I39" s="64">
        <v>2.21</v>
      </c>
      <c r="J39" s="64">
        <v>0.22</v>
      </c>
      <c r="K39" s="64">
        <v>36.299999999999997</v>
      </c>
      <c r="L39" s="64">
        <v>21.69</v>
      </c>
      <c r="M39" s="64">
        <v>98.4</v>
      </c>
      <c r="N39" s="64">
        <v>61.8</v>
      </c>
      <c r="O39" s="64">
        <v>0.6</v>
      </c>
      <c r="P39" s="64">
        <v>0.28999999999999998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17" t="s">
        <v>561</v>
      </c>
      <c r="B40" s="64">
        <v>8.26</v>
      </c>
      <c r="C40" s="64">
        <v>3.18</v>
      </c>
      <c r="D40" s="64">
        <v>12.06</v>
      </c>
      <c r="E40" s="64">
        <v>3.76</v>
      </c>
      <c r="F40" s="64">
        <v>4.18</v>
      </c>
      <c r="G40" s="64">
        <v>7.78</v>
      </c>
      <c r="H40" s="64">
        <v>8.09</v>
      </c>
      <c r="I40" s="64">
        <v>2.02</v>
      </c>
      <c r="J40" s="64">
        <v>0.16</v>
      </c>
      <c r="K40" s="64">
        <v>322.88</v>
      </c>
      <c r="L40" s="64">
        <v>21.77</v>
      </c>
      <c r="M40" s="64">
        <v>98.4</v>
      </c>
      <c r="N40" s="64">
        <v>87.2</v>
      </c>
      <c r="O40" s="64">
        <v>0.2</v>
      </c>
      <c r="P40" s="64">
        <v>0.28999999999999998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7" t="s">
        <v>562</v>
      </c>
      <c r="B41" s="64">
        <v>8.26</v>
      </c>
      <c r="C41" s="64">
        <v>3.17</v>
      </c>
      <c r="D41" s="64">
        <v>12.05</v>
      </c>
      <c r="E41" s="64">
        <v>3.9</v>
      </c>
      <c r="F41" s="64">
        <v>3.56</v>
      </c>
      <c r="G41" s="64">
        <v>7.78</v>
      </c>
      <c r="H41" s="64">
        <v>8.09</v>
      </c>
      <c r="I41" s="64">
        <v>1.97</v>
      </c>
      <c r="J41" s="64">
        <v>0.26</v>
      </c>
      <c r="K41" s="64">
        <v>195.26</v>
      </c>
      <c r="L41" s="64">
        <v>21.9</v>
      </c>
      <c r="M41" s="64">
        <v>98.4</v>
      </c>
      <c r="N41" s="64">
        <v>106.4</v>
      </c>
      <c r="O41" s="64">
        <v>0</v>
      </c>
      <c r="P41" s="64">
        <v>0.3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7" t="s">
        <v>563</v>
      </c>
      <c r="B42" s="64">
        <v>8.33</v>
      </c>
      <c r="C42" s="64">
        <v>3.32</v>
      </c>
      <c r="D42" s="64">
        <v>12.19</v>
      </c>
      <c r="E42" s="64">
        <v>4.2300000000000004</v>
      </c>
      <c r="F42" s="64">
        <v>3.5</v>
      </c>
      <c r="G42" s="64">
        <v>7.78</v>
      </c>
      <c r="H42" s="64">
        <v>8.09</v>
      </c>
      <c r="I42" s="64">
        <v>2.0299999999999998</v>
      </c>
      <c r="J42" s="64">
        <v>0.22</v>
      </c>
      <c r="K42" s="64">
        <v>173.36</v>
      </c>
      <c r="L42" s="64">
        <v>22.1</v>
      </c>
      <c r="M42" s="64">
        <v>98.4</v>
      </c>
      <c r="N42" s="64">
        <v>102.7</v>
      </c>
      <c r="O42" s="64">
        <v>0.2</v>
      </c>
      <c r="P42" s="64">
        <v>0.28999999999999998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7" t="s">
        <v>564</v>
      </c>
      <c r="B43" s="64">
        <v>8.32</v>
      </c>
      <c r="C43" s="64">
        <v>3.25</v>
      </c>
      <c r="D43" s="64">
        <v>12.15</v>
      </c>
      <c r="E43" s="64">
        <v>3.7</v>
      </c>
      <c r="F43" s="64">
        <v>3.49</v>
      </c>
      <c r="G43" s="64">
        <v>10.27</v>
      </c>
      <c r="H43" s="64">
        <v>6.75</v>
      </c>
      <c r="I43" s="64">
        <v>2.16</v>
      </c>
      <c r="J43" s="64">
        <v>0.2</v>
      </c>
      <c r="K43" s="64">
        <v>329.09</v>
      </c>
      <c r="L43" s="64">
        <v>22.16</v>
      </c>
      <c r="M43" s="64">
        <v>98.4</v>
      </c>
      <c r="N43" s="64">
        <v>120.5</v>
      </c>
      <c r="O43" s="64">
        <v>0.2</v>
      </c>
      <c r="P43" s="64">
        <v>0.28999999999999998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17" t="s">
        <v>565</v>
      </c>
      <c r="B44" s="64">
        <v>8.3000000000000007</v>
      </c>
      <c r="C44" s="64">
        <v>3.22</v>
      </c>
      <c r="D44" s="64">
        <v>12.11</v>
      </c>
      <c r="E44" s="64">
        <v>3.67</v>
      </c>
      <c r="F44" s="64">
        <v>3.75</v>
      </c>
      <c r="G44" s="64">
        <v>11.85</v>
      </c>
      <c r="H44" s="64">
        <v>5.9</v>
      </c>
      <c r="I44" s="64">
        <v>2.35</v>
      </c>
      <c r="J44" s="64">
        <v>0.36</v>
      </c>
      <c r="K44" s="64">
        <v>2.94</v>
      </c>
      <c r="L44" s="64">
        <v>22.29</v>
      </c>
      <c r="M44" s="64">
        <v>98.4</v>
      </c>
      <c r="N44" s="64">
        <v>155.30000000000001</v>
      </c>
      <c r="O44" s="64">
        <v>0</v>
      </c>
      <c r="P44" s="64">
        <v>0.28999999999999998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7" t="s">
        <v>566</v>
      </c>
      <c r="B45" s="64">
        <v>8.33</v>
      </c>
      <c r="C45" s="64">
        <v>3.24</v>
      </c>
      <c r="D45" s="64">
        <v>12.14</v>
      </c>
      <c r="E45" s="64">
        <v>3.59</v>
      </c>
      <c r="F45" s="64">
        <v>3.98</v>
      </c>
      <c r="G45" s="64">
        <v>11.85</v>
      </c>
      <c r="H45" s="64">
        <v>5.9</v>
      </c>
      <c r="I45" s="64">
        <v>2.4900000000000002</v>
      </c>
      <c r="J45" s="64">
        <v>0.26</v>
      </c>
      <c r="K45" s="64">
        <v>339.1</v>
      </c>
      <c r="L45" s="64">
        <v>22.53</v>
      </c>
      <c r="M45" s="64">
        <v>98.4</v>
      </c>
      <c r="N45" s="64">
        <v>264.7</v>
      </c>
      <c r="O45" s="64">
        <v>0</v>
      </c>
      <c r="P45" s="64">
        <v>0.3</v>
      </c>
      <c r="Q45" s="64">
        <v>9.23</v>
      </c>
      <c r="R45" s="198"/>
      <c r="S45" s="198"/>
      <c r="T45" s="198"/>
      <c r="U45" s="198"/>
    </row>
    <row r="46" spans="1:21" s="12" customFormat="1" x14ac:dyDescent="0.25">
      <c r="A46" s="217" t="s">
        <v>567</v>
      </c>
      <c r="B46" s="64">
        <v>8.3000000000000007</v>
      </c>
      <c r="C46" s="64">
        <v>3.21</v>
      </c>
      <c r="D46" s="64">
        <v>12.11</v>
      </c>
      <c r="E46" s="64">
        <v>3.82</v>
      </c>
      <c r="F46" s="64">
        <v>4.7</v>
      </c>
      <c r="G46" s="64">
        <v>11.85</v>
      </c>
      <c r="H46" s="64">
        <v>5.9</v>
      </c>
      <c r="I46" s="64">
        <v>2.52</v>
      </c>
      <c r="J46" s="64">
        <v>0.48</v>
      </c>
      <c r="K46" s="64">
        <v>354.14</v>
      </c>
      <c r="L46" s="64">
        <v>22.95</v>
      </c>
      <c r="M46" s="64">
        <v>98.4</v>
      </c>
      <c r="N46" s="64">
        <v>285.60000000000002</v>
      </c>
      <c r="O46" s="64">
        <v>0</v>
      </c>
      <c r="P46" s="64">
        <v>0.3</v>
      </c>
      <c r="Q46" s="64">
        <v>9.24</v>
      </c>
      <c r="R46" s="198"/>
      <c r="S46" s="198"/>
      <c r="T46" s="198"/>
      <c r="U46" s="198"/>
    </row>
    <row r="47" spans="1:21" s="12" customFormat="1" x14ac:dyDescent="0.25">
      <c r="A47" s="217" t="s">
        <v>568</v>
      </c>
      <c r="B47" s="64">
        <v>8.25</v>
      </c>
      <c r="C47" s="64">
        <v>3.19</v>
      </c>
      <c r="D47" s="64">
        <v>12.06</v>
      </c>
      <c r="E47" s="64">
        <v>4.16</v>
      </c>
      <c r="F47" s="64">
        <v>5.49</v>
      </c>
      <c r="G47" s="64">
        <v>10.6</v>
      </c>
      <c r="H47" s="64">
        <v>4.8899999999999997</v>
      </c>
      <c r="I47" s="64">
        <v>2.4700000000000002</v>
      </c>
      <c r="J47" s="64">
        <v>0.56000000000000005</v>
      </c>
      <c r="K47" s="64">
        <v>7.78</v>
      </c>
      <c r="L47" s="64">
        <v>23.28</v>
      </c>
      <c r="M47" s="64">
        <v>98.35</v>
      </c>
      <c r="N47" s="64">
        <v>270.39999999999998</v>
      </c>
      <c r="O47" s="64">
        <v>0</v>
      </c>
      <c r="P47" s="64">
        <v>0.32</v>
      </c>
      <c r="Q47" s="64">
        <v>9.2100000000000009</v>
      </c>
      <c r="R47" s="198"/>
      <c r="S47" s="198"/>
      <c r="T47" s="198"/>
      <c r="U47" s="198"/>
    </row>
    <row r="48" spans="1:21" s="12" customFormat="1" x14ac:dyDescent="0.25">
      <c r="A48" s="217" t="s">
        <v>569</v>
      </c>
      <c r="B48" s="64">
        <v>8.24</v>
      </c>
      <c r="C48" s="64">
        <v>3.15</v>
      </c>
      <c r="D48" s="64">
        <v>12.03</v>
      </c>
      <c r="E48" s="64">
        <v>4.0599999999999996</v>
      </c>
      <c r="F48" s="64">
        <v>3.08</v>
      </c>
      <c r="G48" s="64">
        <v>9.81</v>
      </c>
      <c r="H48" s="64">
        <v>4.25</v>
      </c>
      <c r="I48" s="64">
        <v>2.4</v>
      </c>
      <c r="J48" s="64">
        <v>0.53</v>
      </c>
      <c r="K48" s="64">
        <v>15.21</v>
      </c>
      <c r="L48" s="64">
        <v>23.54</v>
      </c>
      <c r="M48" s="64">
        <v>98.35</v>
      </c>
      <c r="N48" s="64">
        <v>224.6</v>
      </c>
      <c r="O48" s="64">
        <v>0</v>
      </c>
      <c r="P48" s="64">
        <v>0.34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7" t="s">
        <v>570</v>
      </c>
      <c r="B49" s="64">
        <v>8.25</v>
      </c>
      <c r="C49" s="64">
        <v>3.24</v>
      </c>
      <c r="D49" s="64">
        <v>12.08</v>
      </c>
      <c r="E49" s="64">
        <v>3.67</v>
      </c>
      <c r="F49" s="64">
        <v>3.17</v>
      </c>
      <c r="G49" s="64">
        <v>9.81</v>
      </c>
      <c r="H49" s="64">
        <v>4.25</v>
      </c>
      <c r="I49" s="64">
        <v>2.2999999999999998</v>
      </c>
      <c r="J49" s="64">
        <v>0.52</v>
      </c>
      <c r="K49" s="64">
        <v>4.34</v>
      </c>
      <c r="L49" s="64">
        <v>23.93</v>
      </c>
      <c r="M49" s="64">
        <v>98.33</v>
      </c>
      <c r="N49" s="64">
        <v>284.60000000000002</v>
      </c>
      <c r="O49" s="64">
        <v>0</v>
      </c>
      <c r="P49" s="64">
        <v>0.35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7" t="s">
        <v>571</v>
      </c>
      <c r="B50" s="64">
        <v>8.27</v>
      </c>
      <c r="C50" s="64">
        <v>3.28</v>
      </c>
      <c r="D50" s="64">
        <v>12.11</v>
      </c>
      <c r="E50" s="64">
        <v>3.95</v>
      </c>
      <c r="F50" s="64">
        <v>3.79</v>
      </c>
      <c r="G50" s="64">
        <v>9.81</v>
      </c>
      <c r="H50" s="64">
        <v>4.25</v>
      </c>
      <c r="I50" s="64">
        <v>2.06</v>
      </c>
      <c r="J50" s="64">
        <v>0.56999999999999995</v>
      </c>
      <c r="K50" s="64">
        <v>2.3199999999999998</v>
      </c>
      <c r="L50" s="64">
        <v>24.42</v>
      </c>
      <c r="M50" s="64">
        <v>98.06</v>
      </c>
      <c r="N50" s="64">
        <v>361</v>
      </c>
      <c r="O50" s="64">
        <v>0</v>
      </c>
      <c r="P50" s="64">
        <v>0.37</v>
      </c>
      <c r="Q50" s="64">
        <v>9.17</v>
      </c>
      <c r="R50" s="198"/>
      <c r="S50" s="198"/>
      <c r="T50" s="198"/>
      <c r="U50" s="198"/>
    </row>
    <row r="51" spans="1:21" s="12" customFormat="1" x14ac:dyDescent="0.25">
      <c r="A51" s="217" t="s">
        <v>572</v>
      </c>
      <c r="B51" s="64">
        <v>8.31</v>
      </c>
      <c r="C51" s="64">
        <v>3.37</v>
      </c>
      <c r="D51" s="64">
        <v>12.2</v>
      </c>
      <c r="E51" s="64">
        <v>4.2300000000000004</v>
      </c>
      <c r="F51" s="64">
        <v>5.29</v>
      </c>
      <c r="G51" s="64">
        <v>9.09</v>
      </c>
      <c r="H51" s="64">
        <v>3.63</v>
      </c>
      <c r="I51" s="64">
        <v>1.87</v>
      </c>
      <c r="J51" s="64">
        <v>0.6</v>
      </c>
      <c r="K51" s="64">
        <v>8.25</v>
      </c>
      <c r="L51" s="64">
        <v>24.73</v>
      </c>
      <c r="M51" s="64">
        <v>96.46</v>
      </c>
      <c r="N51" s="64">
        <v>286.5</v>
      </c>
      <c r="O51" s="64">
        <v>0</v>
      </c>
      <c r="P51" s="64">
        <v>0.39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7" t="s">
        <v>573</v>
      </c>
      <c r="B52" s="64">
        <v>8.31</v>
      </c>
      <c r="C52" s="64">
        <v>3.4</v>
      </c>
      <c r="D52" s="64">
        <v>12.21</v>
      </c>
      <c r="E52" s="64">
        <v>4.1399999999999997</v>
      </c>
      <c r="F52" s="64">
        <v>4.62</v>
      </c>
      <c r="G52" s="64">
        <v>8.6300000000000008</v>
      </c>
      <c r="H52" s="64">
        <v>3.24</v>
      </c>
      <c r="I52" s="64">
        <v>1.79</v>
      </c>
      <c r="J52" s="64">
        <v>0.6</v>
      </c>
      <c r="K52" s="64">
        <v>12.66</v>
      </c>
      <c r="L52" s="64">
        <v>24.91</v>
      </c>
      <c r="M52" s="64">
        <v>95.02</v>
      </c>
      <c r="N52" s="64">
        <v>335</v>
      </c>
      <c r="O52" s="64">
        <v>0</v>
      </c>
      <c r="P52" s="64">
        <v>0.39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7" t="s">
        <v>574</v>
      </c>
      <c r="B53" s="64">
        <v>8.2799999999999994</v>
      </c>
      <c r="C53" s="64">
        <v>3.24</v>
      </c>
      <c r="D53" s="64">
        <v>12.11</v>
      </c>
      <c r="E53" s="64">
        <v>4.2699999999999996</v>
      </c>
      <c r="F53" s="64">
        <v>4.47</v>
      </c>
      <c r="G53" s="64">
        <v>8.6300000000000008</v>
      </c>
      <c r="H53" s="64">
        <v>3.24</v>
      </c>
      <c r="I53" s="64">
        <v>1.66</v>
      </c>
      <c r="J53" s="64">
        <v>0.65</v>
      </c>
      <c r="K53" s="64">
        <v>358.65</v>
      </c>
      <c r="L53" s="64">
        <v>25.33</v>
      </c>
      <c r="M53" s="64">
        <v>90.84</v>
      </c>
      <c r="N53" s="64">
        <v>413.2</v>
      </c>
      <c r="O53" s="64">
        <v>0</v>
      </c>
      <c r="P53" s="64">
        <v>0.39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17" t="s">
        <v>575</v>
      </c>
      <c r="B54" s="64">
        <v>8.3000000000000007</v>
      </c>
      <c r="C54" s="64">
        <v>3.28</v>
      </c>
      <c r="D54" s="64">
        <v>12.14</v>
      </c>
      <c r="E54" s="64">
        <v>4</v>
      </c>
      <c r="F54" s="64">
        <v>5.4</v>
      </c>
      <c r="G54" s="64">
        <v>8.6300000000000008</v>
      </c>
      <c r="H54" s="64">
        <v>3.24</v>
      </c>
      <c r="I54" s="64">
        <v>1.5</v>
      </c>
      <c r="J54" s="64">
        <v>0.52</v>
      </c>
      <c r="K54" s="64">
        <v>356.35</v>
      </c>
      <c r="L54" s="64">
        <v>25.59</v>
      </c>
      <c r="M54" s="64">
        <v>90.46</v>
      </c>
      <c r="N54" s="64">
        <v>339.4</v>
      </c>
      <c r="O54" s="64">
        <v>0</v>
      </c>
      <c r="P54" s="64">
        <v>0.4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17" t="s">
        <v>576</v>
      </c>
      <c r="B55" s="64">
        <v>8.2899999999999991</v>
      </c>
      <c r="C55" s="64">
        <v>3.29</v>
      </c>
      <c r="D55" s="64">
        <v>12.14</v>
      </c>
      <c r="E55" s="64">
        <v>3.8</v>
      </c>
      <c r="F55" s="64">
        <v>4.95</v>
      </c>
      <c r="G55" s="64">
        <v>8.6300000000000008</v>
      </c>
      <c r="H55" s="64">
        <v>3.24</v>
      </c>
      <c r="I55" s="64">
        <v>1.4</v>
      </c>
      <c r="J55" s="64">
        <v>0.56000000000000005</v>
      </c>
      <c r="K55" s="64">
        <v>3.17</v>
      </c>
      <c r="L55" s="64">
        <v>25.6</v>
      </c>
      <c r="M55" s="64">
        <v>90.37</v>
      </c>
      <c r="N55" s="64">
        <v>275.39999999999998</v>
      </c>
      <c r="O55" s="64">
        <v>0</v>
      </c>
      <c r="P55" s="64">
        <v>0.42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7" t="s">
        <v>577</v>
      </c>
      <c r="B56" s="64">
        <v>8.32</v>
      </c>
      <c r="C56" s="64">
        <v>3.35</v>
      </c>
      <c r="D56" s="64">
        <v>12.2</v>
      </c>
      <c r="E56" s="64">
        <v>5.21</v>
      </c>
      <c r="F56" s="64">
        <v>2.73</v>
      </c>
      <c r="G56" s="64">
        <v>4.7</v>
      </c>
      <c r="H56" s="64">
        <v>1.76</v>
      </c>
      <c r="I56" s="64">
        <v>1.44</v>
      </c>
      <c r="J56" s="64">
        <v>0.55000000000000004</v>
      </c>
      <c r="K56" s="64">
        <v>350.59</v>
      </c>
      <c r="L56" s="64">
        <v>25.55</v>
      </c>
      <c r="M56" s="64">
        <v>89.72</v>
      </c>
      <c r="N56" s="64">
        <v>315.39999999999998</v>
      </c>
      <c r="O56" s="64">
        <v>0</v>
      </c>
      <c r="P56" s="64">
        <v>0.4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7" t="s">
        <v>578</v>
      </c>
      <c r="B57" s="64">
        <v>8.31</v>
      </c>
      <c r="C57" s="64">
        <v>3.3</v>
      </c>
      <c r="D57" s="64">
        <v>12.16</v>
      </c>
      <c r="E57" s="64">
        <v>4.99</v>
      </c>
      <c r="F57" s="64">
        <v>4.49</v>
      </c>
      <c r="G57" s="218" t="s">
        <v>40</v>
      </c>
      <c r="H57" s="218" t="s">
        <v>40</v>
      </c>
      <c r="I57" s="64">
        <v>1.49</v>
      </c>
      <c r="J57" s="64">
        <v>0.27</v>
      </c>
      <c r="K57" s="64">
        <v>345.33</v>
      </c>
      <c r="L57" s="64">
        <v>25.86</v>
      </c>
      <c r="M57" s="64">
        <v>88.55</v>
      </c>
      <c r="N57" s="64">
        <v>513.29999999999995</v>
      </c>
      <c r="O57" s="64">
        <v>0</v>
      </c>
      <c r="P57" s="64">
        <v>0.39</v>
      </c>
      <c r="Q57" s="64">
        <v>9.19</v>
      </c>
      <c r="R57" s="198"/>
      <c r="S57" s="198"/>
      <c r="T57" s="198"/>
      <c r="U57" s="198"/>
    </row>
    <row r="58" spans="1:21" s="12" customFormat="1" x14ac:dyDescent="0.25">
      <c r="A58" s="217" t="s">
        <v>579</v>
      </c>
      <c r="B58" s="64">
        <v>8.2799999999999994</v>
      </c>
      <c r="C58" s="64">
        <v>3.24</v>
      </c>
      <c r="D58" s="64">
        <v>12.11</v>
      </c>
      <c r="E58" s="64">
        <v>4.8899999999999997</v>
      </c>
      <c r="F58" s="64">
        <v>5.27</v>
      </c>
      <c r="G58" s="218" t="s">
        <v>40</v>
      </c>
      <c r="H58" s="218" t="s">
        <v>40</v>
      </c>
      <c r="I58" s="64">
        <v>1.46</v>
      </c>
      <c r="J58" s="64">
        <v>0.36</v>
      </c>
      <c r="K58" s="64">
        <v>347.44</v>
      </c>
      <c r="L58" s="64">
        <v>26.2</v>
      </c>
      <c r="M58" s="64">
        <v>86.1</v>
      </c>
      <c r="N58" s="64">
        <v>467.7</v>
      </c>
      <c r="O58" s="64">
        <v>0</v>
      </c>
      <c r="P58" s="64">
        <v>0.38</v>
      </c>
      <c r="Q58" s="64">
        <v>9.1999999999999993</v>
      </c>
      <c r="R58" s="198"/>
      <c r="S58" s="198"/>
      <c r="T58" s="198"/>
      <c r="U58" s="198"/>
    </row>
    <row r="59" spans="1:21" s="12" customFormat="1" x14ac:dyDescent="0.25">
      <c r="A59" s="217" t="s">
        <v>580</v>
      </c>
      <c r="B59" s="64">
        <v>8.2799999999999994</v>
      </c>
      <c r="C59" s="64">
        <v>3.24</v>
      </c>
      <c r="D59" s="64">
        <v>12.11</v>
      </c>
      <c r="E59" s="64">
        <v>4.71</v>
      </c>
      <c r="F59" s="64">
        <v>7.32</v>
      </c>
      <c r="G59" s="218" t="s">
        <v>40</v>
      </c>
      <c r="H59" s="218" t="s">
        <v>40</v>
      </c>
      <c r="I59" s="64">
        <v>1.45</v>
      </c>
      <c r="J59" s="64">
        <v>0.46</v>
      </c>
      <c r="K59" s="64">
        <v>348.94</v>
      </c>
      <c r="L59" s="64">
        <v>26.69</v>
      </c>
      <c r="M59" s="64">
        <v>82.49</v>
      </c>
      <c r="N59" s="64">
        <v>541.5</v>
      </c>
      <c r="O59" s="64">
        <v>0</v>
      </c>
      <c r="P59" s="64">
        <v>0.37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7" t="s">
        <v>581</v>
      </c>
      <c r="B60" s="64">
        <v>8.27</v>
      </c>
      <c r="C60" s="64">
        <v>3.26</v>
      </c>
      <c r="D60" s="64">
        <v>12.1</v>
      </c>
      <c r="E60" s="64">
        <v>4.88</v>
      </c>
      <c r="F60" s="64">
        <v>8.23</v>
      </c>
      <c r="G60" s="64">
        <v>44.41</v>
      </c>
      <c r="H60" s="64">
        <v>16.32</v>
      </c>
      <c r="I60" s="64">
        <v>1.36</v>
      </c>
      <c r="J60" s="64">
        <v>0.6</v>
      </c>
      <c r="K60" s="64">
        <v>341.26</v>
      </c>
      <c r="L60" s="64">
        <v>26.78</v>
      </c>
      <c r="M60" s="64">
        <v>81.27</v>
      </c>
      <c r="N60" s="64">
        <v>416.9</v>
      </c>
      <c r="O60" s="64">
        <v>0</v>
      </c>
      <c r="P60" s="64">
        <v>0.36</v>
      </c>
      <c r="Q60" s="64">
        <v>9.19</v>
      </c>
      <c r="R60" s="198"/>
      <c r="S60" s="198"/>
      <c r="T60" s="198"/>
      <c r="U60" s="198"/>
    </row>
    <row r="61" spans="1:21" s="12" customFormat="1" x14ac:dyDescent="0.25">
      <c r="A61" s="217" t="s">
        <v>582</v>
      </c>
      <c r="B61" s="64">
        <v>8.3000000000000007</v>
      </c>
      <c r="C61" s="64">
        <v>3.27</v>
      </c>
      <c r="D61" s="64">
        <v>12.14</v>
      </c>
      <c r="E61" s="64">
        <v>4.6399999999999997</v>
      </c>
      <c r="F61" s="64">
        <v>8.6300000000000008</v>
      </c>
      <c r="G61" s="64">
        <v>92.94</v>
      </c>
      <c r="H61" s="64">
        <v>34.17</v>
      </c>
      <c r="I61" s="64">
        <v>1.22</v>
      </c>
      <c r="J61" s="64">
        <v>0.54</v>
      </c>
      <c r="K61" s="64">
        <v>350.86</v>
      </c>
      <c r="L61" s="64">
        <v>26.7</v>
      </c>
      <c r="M61" s="64">
        <v>82.21</v>
      </c>
      <c r="N61" s="64">
        <v>431</v>
      </c>
      <c r="O61" s="64">
        <v>0</v>
      </c>
      <c r="P61" s="64">
        <v>0.35</v>
      </c>
      <c r="Q61" s="64">
        <v>9.2100000000000009</v>
      </c>
      <c r="R61" s="198"/>
      <c r="S61" s="198"/>
      <c r="T61" s="198"/>
      <c r="U61" s="198"/>
    </row>
    <row r="62" spans="1:21" s="12" customFormat="1" x14ac:dyDescent="0.25">
      <c r="A62" s="217" t="s">
        <v>583</v>
      </c>
      <c r="B62" s="64">
        <v>8.2899999999999991</v>
      </c>
      <c r="C62" s="64">
        <v>3.23</v>
      </c>
      <c r="D62" s="64">
        <v>12.11</v>
      </c>
      <c r="E62" s="64">
        <v>4.62</v>
      </c>
      <c r="F62" s="64">
        <v>7.68</v>
      </c>
      <c r="G62" s="64">
        <v>92.94</v>
      </c>
      <c r="H62" s="64">
        <v>34.17</v>
      </c>
      <c r="I62" s="64">
        <v>1.1499999999999999</v>
      </c>
      <c r="J62" s="64">
        <v>0.66</v>
      </c>
      <c r="K62" s="64">
        <v>1.36</v>
      </c>
      <c r="L62" s="64">
        <v>26.38</v>
      </c>
      <c r="M62" s="64">
        <v>80.650000000000006</v>
      </c>
      <c r="N62" s="64">
        <v>308.60000000000002</v>
      </c>
      <c r="O62" s="64">
        <v>0</v>
      </c>
      <c r="P62" s="64">
        <v>0.35</v>
      </c>
      <c r="Q62" s="64">
        <v>9.2100000000000009</v>
      </c>
      <c r="R62" s="198"/>
      <c r="S62" s="198"/>
      <c r="T62" s="198"/>
      <c r="U62" s="198"/>
    </row>
    <row r="63" spans="1:21" s="12" customFormat="1" x14ac:dyDescent="0.25">
      <c r="A63" s="217" t="s">
        <v>584</v>
      </c>
      <c r="B63" s="64">
        <v>8.27</v>
      </c>
      <c r="C63" s="64">
        <v>3.2</v>
      </c>
      <c r="D63" s="64">
        <v>12.08</v>
      </c>
      <c r="E63" s="64">
        <v>5.0999999999999996</v>
      </c>
      <c r="F63" s="64">
        <v>6.53</v>
      </c>
      <c r="G63" s="64">
        <v>92.94</v>
      </c>
      <c r="H63" s="64">
        <v>34.17</v>
      </c>
      <c r="I63" s="64">
        <v>1.1000000000000001</v>
      </c>
      <c r="J63" s="64">
        <v>0.61</v>
      </c>
      <c r="K63" s="64">
        <v>359.8</v>
      </c>
      <c r="L63" s="64">
        <v>26.24</v>
      </c>
      <c r="M63" s="64">
        <v>75.86</v>
      </c>
      <c r="N63" s="64">
        <v>393.3</v>
      </c>
      <c r="O63" s="64">
        <v>0</v>
      </c>
      <c r="P63" s="64">
        <v>0.34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17" t="s">
        <v>585</v>
      </c>
      <c r="B64" s="64">
        <v>8.27</v>
      </c>
      <c r="C64" s="64">
        <v>3.21</v>
      </c>
      <c r="D64" s="64">
        <v>12.08</v>
      </c>
      <c r="E64" s="64">
        <v>4.6100000000000003</v>
      </c>
      <c r="F64" s="64">
        <v>7.19</v>
      </c>
      <c r="G64" s="64">
        <v>77.400000000000006</v>
      </c>
      <c r="H64" s="64">
        <v>29.52</v>
      </c>
      <c r="I64" s="64">
        <v>1.04</v>
      </c>
      <c r="J64" s="64">
        <v>0.63</v>
      </c>
      <c r="K64" s="64">
        <v>337.66</v>
      </c>
      <c r="L64" s="64">
        <v>27.33</v>
      </c>
      <c r="M64" s="64">
        <v>73.77</v>
      </c>
      <c r="N64" s="64">
        <v>644.9</v>
      </c>
      <c r="O64" s="64">
        <v>0</v>
      </c>
      <c r="P64" s="64">
        <v>0.34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7" t="s">
        <v>586</v>
      </c>
      <c r="B65" s="64">
        <v>8.24</v>
      </c>
      <c r="C65" s="64">
        <v>3.14</v>
      </c>
      <c r="D65" s="64">
        <v>12.02</v>
      </c>
      <c r="E65" s="64">
        <v>4.76</v>
      </c>
      <c r="F65" s="64">
        <v>7.12</v>
      </c>
      <c r="G65" s="64">
        <v>60.41</v>
      </c>
      <c r="H65" s="64">
        <v>24.43</v>
      </c>
      <c r="I65" s="64">
        <v>1</v>
      </c>
      <c r="J65" s="64">
        <v>0.6</v>
      </c>
      <c r="K65" s="64">
        <v>337.99</v>
      </c>
      <c r="L65" s="64">
        <v>27.7</v>
      </c>
      <c r="M65" s="64">
        <v>72.900000000000006</v>
      </c>
      <c r="N65" s="64">
        <v>511.4</v>
      </c>
      <c r="O65" s="64">
        <v>0</v>
      </c>
      <c r="P65" s="64">
        <v>0.35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7" t="s">
        <v>587</v>
      </c>
      <c r="B66" s="64">
        <v>8.2100000000000009</v>
      </c>
      <c r="C66" s="64">
        <v>3.13</v>
      </c>
      <c r="D66" s="64">
        <v>11.99</v>
      </c>
      <c r="E66" s="64">
        <v>5.01</v>
      </c>
      <c r="F66" s="64">
        <v>5.42</v>
      </c>
      <c r="G66" s="64">
        <v>60.41</v>
      </c>
      <c r="H66" s="64">
        <v>24.43</v>
      </c>
      <c r="I66" s="64">
        <v>0.98</v>
      </c>
      <c r="J66" s="64">
        <v>0.57999999999999996</v>
      </c>
      <c r="K66" s="64">
        <v>337.3</v>
      </c>
      <c r="L66" s="64">
        <v>27.26</v>
      </c>
      <c r="M66" s="64">
        <v>76.31</v>
      </c>
      <c r="N66" s="64">
        <v>339.5</v>
      </c>
      <c r="O66" s="64">
        <v>0</v>
      </c>
      <c r="P66" s="64">
        <v>0.34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7" t="s">
        <v>588</v>
      </c>
      <c r="B67" s="64">
        <v>8.3000000000000007</v>
      </c>
      <c r="C67" s="64">
        <v>3.39</v>
      </c>
      <c r="D67" s="64">
        <v>12.2</v>
      </c>
      <c r="E67" s="64">
        <v>4.78</v>
      </c>
      <c r="F67" s="64">
        <v>5.16</v>
      </c>
      <c r="G67" s="64">
        <v>60.41</v>
      </c>
      <c r="H67" s="64">
        <v>24.43</v>
      </c>
      <c r="I67" s="64">
        <v>0.99</v>
      </c>
      <c r="J67" s="64">
        <v>0.59</v>
      </c>
      <c r="K67" s="64">
        <v>349.36</v>
      </c>
      <c r="L67" s="64">
        <v>27.34</v>
      </c>
      <c r="M67" s="64">
        <v>76.37</v>
      </c>
      <c r="N67" s="64">
        <v>261.89999999999998</v>
      </c>
      <c r="O67" s="64">
        <v>0</v>
      </c>
      <c r="P67" s="64">
        <v>0.33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7" t="s">
        <v>589</v>
      </c>
      <c r="B68" s="64">
        <v>8.31</v>
      </c>
      <c r="C68" s="64">
        <v>3.35</v>
      </c>
      <c r="D68" s="64">
        <v>12.18</v>
      </c>
      <c r="E68" s="64">
        <v>4.54</v>
      </c>
      <c r="F68" s="64">
        <v>4.92</v>
      </c>
      <c r="G68" s="64">
        <v>61.25</v>
      </c>
      <c r="H68" s="64">
        <v>23.5</v>
      </c>
      <c r="I68" s="64">
        <v>0.94</v>
      </c>
      <c r="J68" s="64">
        <v>0.45</v>
      </c>
      <c r="K68" s="64">
        <v>8.82</v>
      </c>
      <c r="L68" s="64">
        <v>27.07</v>
      </c>
      <c r="M68" s="64">
        <v>77.67</v>
      </c>
      <c r="N68" s="64">
        <v>262.7</v>
      </c>
      <c r="O68" s="64">
        <v>0</v>
      </c>
      <c r="P68" s="64">
        <v>0.34</v>
      </c>
      <c r="Q68" s="64">
        <v>9.1999999999999993</v>
      </c>
      <c r="R68" s="198"/>
      <c r="S68" s="198"/>
      <c r="T68" s="198"/>
      <c r="U68" s="198"/>
    </row>
    <row r="69" spans="1:21" s="12" customFormat="1" x14ac:dyDescent="0.25">
      <c r="A69" s="217" t="s">
        <v>590</v>
      </c>
      <c r="B69" s="64">
        <v>8.35</v>
      </c>
      <c r="C69" s="64">
        <v>3.54</v>
      </c>
      <c r="D69" s="64">
        <v>12.32</v>
      </c>
      <c r="E69" s="64">
        <v>4.87</v>
      </c>
      <c r="F69" s="64">
        <v>4.75</v>
      </c>
      <c r="G69" s="64">
        <v>62.2</v>
      </c>
      <c r="H69" s="64">
        <v>22.43</v>
      </c>
      <c r="I69" s="64">
        <v>0.89</v>
      </c>
      <c r="J69" s="64">
        <v>0.3</v>
      </c>
      <c r="K69" s="64">
        <v>345.76</v>
      </c>
      <c r="L69" s="64">
        <v>27.28</v>
      </c>
      <c r="M69" s="64">
        <v>78.209999999999994</v>
      </c>
      <c r="N69" s="64">
        <v>257.39999999999998</v>
      </c>
      <c r="O69" s="64">
        <v>0</v>
      </c>
      <c r="P69" s="64">
        <v>0.33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7" t="s">
        <v>591</v>
      </c>
      <c r="B70" s="64">
        <v>8.25</v>
      </c>
      <c r="C70" s="64">
        <v>3.19</v>
      </c>
      <c r="D70" s="64">
        <v>12.05</v>
      </c>
      <c r="E70" s="64">
        <v>4.75</v>
      </c>
      <c r="F70" s="64">
        <v>4.6500000000000004</v>
      </c>
      <c r="G70" s="64">
        <v>62.2</v>
      </c>
      <c r="H70" s="64">
        <v>22.43</v>
      </c>
      <c r="I70" s="64">
        <v>0.9</v>
      </c>
      <c r="J70" s="64">
        <v>0.27</v>
      </c>
      <c r="K70" s="64">
        <v>352.75</v>
      </c>
      <c r="L70" s="64">
        <v>26.98</v>
      </c>
      <c r="M70" s="64">
        <v>80.319999999999993</v>
      </c>
      <c r="N70" s="64">
        <v>133.4</v>
      </c>
      <c r="O70" s="64">
        <v>0</v>
      </c>
      <c r="P70" s="64">
        <v>0.33</v>
      </c>
      <c r="Q70" s="64">
        <v>9.2100000000000009</v>
      </c>
      <c r="R70" s="198"/>
      <c r="S70" s="198"/>
      <c r="T70" s="198"/>
      <c r="U70" s="198"/>
    </row>
    <row r="71" spans="1:21" s="12" customFormat="1" x14ac:dyDescent="0.25">
      <c r="A71" s="217" t="s">
        <v>592</v>
      </c>
      <c r="B71" s="64">
        <v>8.23</v>
      </c>
      <c r="C71" s="64">
        <v>3.13</v>
      </c>
      <c r="D71" s="64">
        <v>12.01</v>
      </c>
      <c r="E71" s="64">
        <v>4.71</v>
      </c>
      <c r="F71" s="64">
        <v>4.41</v>
      </c>
      <c r="G71" s="64">
        <v>62.2</v>
      </c>
      <c r="H71" s="64">
        <v>22.43</v>
      </c>
      <c r="I71" s="64">
        <v>0.93</v>
      </c>
      <c r="J71" s="64">
        <v>0.3</v>
      </c>
      <c r="K71" s="64">
        <v>344.13</v>
      </c>
      <c r="L71" s="64">
        <v>26.66</v>
      </c>
      <c r="M71" s="64">
        <v>82.67</v>
      </c>
      <c r="N71" s="64">
        <v>185.5</v>
      </c>
      <c r="O71" s="64">
        <v>0</v>
      </c>
      <c r="P71" s="64">
        <v>0.32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7" t="s">
        <v>593</v>
      </c>
      <c r="B72" s="64">
        <v>8.23</v>
      </c>
      <c r="C72" s="64">
        <v>3.1</v>
      </c>
      <c r="D72" s="64">
        <v>11.99</v>
      </c>
      <c r="E72" s="64">
        <v>3.88</v>
      </c>
      <c r="F72" s="64">
        <v>4.7300000000000004</v>
      </c>
      <c r="G72" s="64">
        <v>52.2</v>
      </c>
      <c r="H72" s="64">
        <v>19.760000000000002</v>
      </c>
      <c r="I72" s="64">
        <v>0.98</v>
      </c>
      <c r="J72" s="64">
        <v>0.18</v>
      </c>
      <c r="K72" s="64">
        <v>9.6199999999999992</v>
      </c>
      <c r="L72" s="64">
        <v>26.95</v>
      </c>
      <c r="M72" s="64">
        <v>82.27</v>
      </c>
      <c r="N72" s="64">
        <v>208.1</v>
      </c>
      <c r="O72" s="64">
        <v>0</v>
      </c>
      <c r="P72" s="64">
        <v>0.33</v>
      </c>
      <c r="Q72" s="64">
        <v>9.27</v>
      </c>
      <c r="R72" s="198"/>
      <c r="S72" s="198"/>
      <c r="T72" s="198"/>
      <c r="U72" s="198"/>
    </row>
    <row r="73" spans="1:21" s="12" customFormat="1" x14ac:dyDescent="0.25">
      <c r="A73" s="217" t="s">
        <v>594</v>
      </c>
      <c r="B73" s="64">
        <v>8.2200000000000006</v>
      </c>
      <c r="C73" s="64">
        <v>3.08</v>
      </c>
      <c r="D73" s="64">
        <v>11.98</v>
      </c>
      <c r="E73" s="64">
        <v>3.8</v>
      </c>
      <c r="F73" s="64">
        <v>4.05</v>
      </c>
      <c r="G73" s="64">
        <v>41.28</v>
      </c>
      <c r="H73" s="64">
        <v>16.84</v>
      </c>
      <c r="I73" s="64">
        <v>1.01</v>
      </c>
      <c r="J73" s="64">
        <v>0.49</v>
      </c>
      <c r="K73" s="64">
        <v>353.58</v>
      </c>
      <c r="L73" s="64">
        <v>27.17</v>
      </c>
      <c r="M73" s="64">
        <v>79.569999999999993</v>
      </c>
      <c r="N73" s="64">
        <v>188.5</v>
      </c>
      <c r="O73" s="64">
        <v>0</v>
      </c>
      <c r="P73" s="64">
        <v>0.32</v>
      </c>
      <c r="Q73" s="64">
        <v>9.26</v>
      </c>
      <c r="R73" s="198"/>
      <c r="S73" s="198"/>
      <c r="T73" s="198"/>
      <c r="U73" s="198"/>
    </row>
    <row r="74" spans="1:21" s="12" customFormat="1" x14ac:dyDescent="0.25">
      <c r="A74" s="217" t="s">
        <v>595</v>
      </c>
      <c r="B74" s="64">
        <v>8.23</v>
      </c>
      <c r="C74" s="64">
        <v>3.14</v>
      </c>
      <c r="D74" s="64">
        <v>12.02</v>
      </c>
      <c r="E74" s="64">
        <v>3.57</v>
      </c>
      <c r="F74" s="64">
        <v>4.43</v>
      </c>
      <c r="G74" s="64">
        <v>41.28</v>
      </c>
      <c r="H74" s="64">
        <v>16.84</v>
      </c>
      <c r="I74" s="64">
        <v>1.0900000000000001</v>
      </c>
      <c r="J74" s="64">
        <v>0.52</v>
      </c>
      <c r="K74" s="64">
        <v>354.35</v>
      </c>
      <c r="L74" s="64">
        <v>27.28</v>
      </c>
      <c r="M74" s="64">
        <v>78.150000000000006</v>
      </c>
      <c r="N74" s="64">
        <v>160.19999999999999</v>
      </c>
      <c r="O74" s="64">
        <v>0</v>
      </c>
      <c r="P74" s="64">
        <v>0.32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7" t="s">
        <v>596</v>
      </c>
      <c r="B75" s="64">
        <v>8.2200000000000006</v>
      </c>
      <c r="C75" s="64">
        <v>3.14</v>
      </c>
      <c r="D75" s="64">
        <v>12</v>
      </c>
      <c r="E75" s="64">
        <v>3.22</v>
      </c>
      <c r="F75" s="64">
        <v>4.7300000000000004</v>
      </c>
      <c r="G75" s="64">
        <v>41.28</v>
      </c>
      <c r="H75" s="64">
        <v>16.84</v>
      </c>
      <c r="I75" s="64">
        <v>1.08</v>
      </c>
      <c r="J75" s="64">
        <v>0.5</v>
      </c>
      <c r="K75" s="64">
        <v>337.73</v>
      </c>
      <c r="L75" s="64">
        <v>27.18</v>
      </c>
      <c r="M75" s="64">
        <v>77.56</v>
      </c>
      <c r="N75" s="64">
        <v>135.69999999999999</v>
      </c>
      <c r="O75" s="64">
        <v>0</v>
      </c>
      <c r="P75" s="64">
        <v>0.31</v>
      </c>
      <c r="Q75" s="64">
        <v>9.1999999999999993</v>
      </c>
      <c r="R75" s="198"/>
      <c r="S75" s="198"/>
      <c r="T75" s="198"/>
      <c r="U75" s="198"/>
    </row>
    <row r="76" spans="1:21" s="12" customFormat="1" x14ac:dyDescent="0.25">
      <c r="A76" s="217" t="s">
        <v>597</v>
      </c>
      <c r="B76" s="64">
        <v>8.25</v>
      </c>
      <c r="C76" s="64">
        <v>3.16</v>
      </c>
      <c r="D76" s="64">
        <v>12.04</v>
      </c>
      <c r="E76" s="64">
        <v>3.55</v>
      </c>
      <c r="F76" s="64">
        <v>4.6900000000000004</v>
      </c>
      <c r="G76" s="64">
        <v>44.05</v>
      </c>
      <c r="H76" s="64">
        <v>17.04</v>
      </c>
      <c r="I76" s="64">
        <v>1.04</v>
      </c>
      <c r="J76" s="64">
        <v>0.37</v>
      </c>
      <c r="K76" s="64">
        <v>4.5599999999999996</v>
      </c>
      <c r="L76" s="64">
        <v>27.31</v>
      </c>
      <c r="M76" s="64">
        <v>77.569999999999993</v>
      </c>
      <c r="N76" s="64">
        <v>116.4</v>
      </c>
      <c r="O76" s="64">
        <v>0</v>
      </c>
      <c r="P76" s="64">
        <v>0.31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7" t="s">
        <v>598</v>
      </c>
      <c r="B77" s="64">
        <v>8.3000000000000007</v>
      </c>
      <c r="C77" s="64">
        <v>3.29</v>
      </c>
      <c r="D77" s="64">
        <v>12.15</v>
      </c>
      <c r="E77" s="64">
        <v>3.4</v>
      </c>
      <c r="F77" s="64">
        <v>4.51</v>
      </c>
      <c r="G77" s="64">
        <v>47.22</v>
      </c>
      <c r="H77" s="64">
        <v>17.27</v>
      </c>
      <c r="I77" s="64">
        <v>1.04</v>
      </c>
      <c r="J77" s="64">
        <v>0.48</v>
      </c>
      <c r="K77" s="64">
        <v>0.33</v>
      </c>
      <c r="L77" s="64">
        <v>27.22</v>
      </c>
      <c r="M77" s="64">
        <v>77.25</v>
      </c>
      <c r="N77" s="64">
        <v>104.8</v>
      </c>
      <c r="O77" s="64">
        <v>0</v>
      </c>
      <c r="P77" s="64">
        <v>0.32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7" t="s">
        <v>599</v>
      </c>
      <c r="B78" s="64">
        <v>8.2899999999999991</v>
      </c>
      <c r="C78" s="64">
        <v>3.28</v>
      </c>
      <c r="D78" s="64">
        <v>12.14</v>
      </c>
      <c r="E78" s="64">
        <v>3.49</v>
      </c>
      <c r="F78" s="64">
        <v>4.46</v>
      </c>
      <c r="G78" s="64">
        <v>47.22</v>
      </c>
      <c r="H78" s="64">
        <v>17.27</v>
      </c>
      <c r="I78" s="64">
        <v>1.21</v>
      </c>
      <c r="J78" s="64">
        <v>0.53</v>
      </c>
      <c r="K78" s="64">
        <v>9.44</v>
      </c>
      <c r="L78" s="64">
        <v>27.16</v>
      </c>
      <c r="M78" s="64">
        <v>77.55</v>
      </c>
      <c r="N78" s="64">
        <v>105.8</v>
      </c>
      <c r="O78" s="64">
        <v>0</v>
      </c>
      <c r="P78" s="64">
        <v>0.33</v>
      </c>
      <c r="Q78" s="64">
        <v>9.1999999999999993</v>
      </c>
      <c r="R78" s="198"/>
      <c r="S78" s="198"/>
      <c r="T78" s="198"/>
      <c r="U78" s="198"/>
    </row>
    <row r="79" spans="1:21" s="12" customFormat="1" x14ac:dyDescent="0.25">
      <c r="A79" s="217" t="s">
        <v>600</v>
      </c>
      <c r="B79" s="64">
        <v>8.3000000000000007</v>
      </c>
      <c r="C79" s="64">
        <v>3.23</v>
      </c>
      <c r="D79" s="64">
        <v>12.12</v>
      </c>
      <c r="E79" s="64">
        <v>3.52</v>
      </c>
      <c r="F79" s="64">
        <v>3.87</v>
      </c>
      <c r="G79" s="64">
        <v>47.22</v>
      </c>
      <c r="H79" s="64">
        <v>17.27</v>
      </c>
      <c r="I79" s="64">
        <v>1.39</v>
      </c>
      <c r="J79" s="64">
        <v>0.36</v>
      </c>
      <c r="K79" s="64">
        <v>356.63</v>
      </c>
      <c r="L79" s="64">
        <v>27.13</v>
      </c>
      <c r="M79" s="64">
        <v>77.849999999999994</v>
      </c>
      <c r="N79" s="64">
        <v>81.400000000000006</v>
      </c>
      <c r="O79" s="64">
        <v>0</v>
      </c>
      <c r="P79" s="64">
        <v>0.33</v>
      </c>
      <c r="Q79" s="64">
        <v>9.2200000000000006</v>
      </c>
      <c r="R79" s="198"/>
      <c r="S79" s="198"/>
      <c r="T79" s="198"/>
      <c r="U79" s="198"/>
    </row>
    <row r="80" spans="1:21" s="12" customFormat="1" x14ac:dyDescent="0.25">
      <c r="A80" s="217" t="s">
        <v>601</v>
      </c>
      <c r="B80" s="64">
        <v>8.3000000000000007</v>
      </c>
      <c r="C80" s="64">
        <v>3.26</v>
      </c>
      <c r="D80" s="64">
        <v>12.13</v>
      </c>
      <c r="E80" s="64">
        <v>3.41</v>
      </c>
      <c r="F80" s="64">
        <v>3.73</v>
      </c>
      <c r="G80" s="64">
        <v>56.15</v>
      </c>
      <c r="H80" s="64">
        <v>17.440000000000001</v>
      </c>
      <c r="I80" s="64">
        <v>1.51</v>
      </c>
      <c r="J80" s="64">
        <v>0.43</v>
      </c>
      <c r="K80" s="64">
        <v>356.21</v>
      </c>
      <c r="L80" s="64">
        <v>26.99</v>
      </c>
      <c r="M80" s="64">
        <v>78.91</v>
      </c>
      <c r="N80" s="64">
        <v>57.2</v>
      </c>
      <c r="O80" s="64">
        <v>0</v>
      </c>
      <c r="P80" s="64">
        <v>0.34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7" t="s">
        <v>602</v>
      </c>
      <c r="B81" s="64">
        <v>8.31</v>
      </c>
      <c r="C81" s="64">
        <v>3.29</v>
      </c>
      <c r="D81" s="64">
        <v>12.16</v>
      </c>
      <c r="E81" s="64">
        <v>3.67</v>
      </c>
      <c r="F81" s="64">
        <v>3.95</v>
      </c>
      <c r="G81" s="64">
        <v>66.349999999999994</v>
      </c>
      <c r="H81" s="64">
        <v>17.64</v>
      </c>
      <c r="I81" s="64">
        <v>1.56</v>
      </c>
      <c r="J81" s="64">
        <v>0.47</v>
      </c>
      <c r="K81" s="64">
        <v>4.0199999999999996</v>
      </c>
      <c r="L81" s="64">
        <v>26.73</v>
      </c>
      <c r="M81" s="64">
        <v>79.64</v>
      </c>
      <c r="N81" s="64">
        <v>37.700000000000003</v>
      </c>
      <c r="O81" s="64">
        <v>0</v>
      </c>
      <c r="P81" s="64">
        <v>0.35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7" t="s">
        <v>603</v>
      </c>
      <c r="B82" s="64">
        <v>8.3000000000000007</v>
      </c>
      <c r="C82" s="64">
        <v>3.21</v>
      </c>
      <c r="D82" s="64">
        <v>12.11</v>
      </c>
      <c r="E82" s="64">
        <v>3.84</v>
      </c>
      <c r="F82" s="64">
        <v>4.0999999999999996</v>
      </c>
      <c r="G82" s="64">
        <v>66.349999999999994</v>
      </c>
      <c r="H82" s="64">
        <v>17.64</v>
      </c>
      <c r="I82" s="64">
        <v>1.74</v>
      </c>
      <c r="J82" s="64">
        <v>0.4</v>
      </c>
      <c r="K82" s="64">
        <v>358.23</v>
      </c>
      <c r="L82" s="64">
        <v>26.61</v>
      </c>
      <c r="M82" s="64">
        <v>78.84</v>
      </c>
      <c r="N82" s="64">
        <v>25.3</v>
      </c>
      <c r="O82" s="64">
        <v>0</v>
      </c>
      <c r="P82" s="64">
        <v>0.36</v>
      </c>
      <c r="Q82" s="64">
        <v>9.2200000000000006</v>
      </c>
      <c r="R82" s="198"/>
      <c r="S82" s="198"/>
      <c r="T82" s="198"/>
      <c r="U82" s="198"/>
    </row>
    <row r="83" spans="1:26" s="12" customFormat="1" x14ac:dyDescent="0.25">
      <c r="A83" s="217" t="s">
        <v>604</v>
      </c>
      <c r="B83" s="64">
        <v>8.24</v>
      </c>
      <c r="C83" s="64">
        <v>3.16</v>
      </c>
      <c r="D83" s="64">
        <v>12.03</v>
      </c>
      <c r="E83" s="64">
        <v>3.54</v>
      </c>
      <c r="F83" s="64">
        <v>4.88</v>
      </c>
      <c r="G83" s="64">
        <v>66.349999999999994</v>
      </c>
      <c r="H83" s="64">
        <v>17.64</v>
      </c>
      <c r="I83" s="64">
        <v>1.98</v>
      </c>
      <c r="J83" s="64">
        <v>0.48</v>
      </c>
      <c r="K83" s="64">
        <v>14.99</v>
      </c>
      <c r="L83" s="64">
        <v>26.39</v>
      </c>
      <c r="M83" s="64">
        <v>80.37</v>
      </c>
      <c r="N83" s="64">
        <v>19.899999999999999</v>
      </c>
      <c r="O83" s="64">
        <v>0</v>
      </c>
      <c r="P83" s="64">
        <v>0.39</v>
      </c>
      <c r="Q83" s="64">
        <v>9.26</v>
      </c>
      <c r="R83" s="198"/>
      <c r="S83" s="198"/>
      <c r="T83" s="198"/>
      <c r="U83" s="198"/>
    </row>
    <row r="84" spans="1:26" s="12" customFormat="1" x14ac:dyDescent="0.25">
      <c r="A84" s="217" t="s">
        <v>605</v>
      </c>
      <c r="B84" s="64">
        <v>8.2200000000000006</v>
      </c>
      <c r="C84" s="64">
        <v>3.16</v>
      </c>
      <c r="D84" s="64">
        <v>12.02</v>
      </c>
      <c r="E84" s="64">
        <v>3.97</v>
      </c>
      <c r="F84" s="64">
        <v>3.15</v>
      </c>
      <c r="G84" s="64">
        <v>66.97</v>
      </c>
      <c r="H84" s="64">
        <v>17.39</v>
      </c>
      <c r="I84" s="64">
        <v>2.16</v>
      </c>
      <c r="J84" s="64">
        <v>0.31</v>
      </c>
      <c r="K84" s="64">
        <v>15.75</v>
      </c>
      <c r="L84" s="64">
        <v>26.26</v>
      </c>
      <c r="M84" s="64">
        <v>81.27</v>
      </c>
      <c r="N84" s="64">
        <v>18.600000000000001</v>
      </c>
      <c r="O84" s="64">
        <v>0</v>
      </c>
      <c r="P84" s="64">
        <v>0.41</v>
      </c>
      <c r="Q84" s="64">
        <v>9.24</v>
      </c>
      <c r="R84" s="198"/>
      <c r="S84" s="198"/>
      <c r="T84" s="198"/>
      <c r="U84" s="198"/>
    </row>
    <row r="85" spans="1:26" s="12" customFormat="1" x14ac:dyDescent="0.25">
      <c r="A85" s="217" t="s">
        <v>606</v>
      </c>
      <c r="B85" s="64">
        <v>8.25</v>
      </c>
      <c r="C85" s="64">
        <v>3.22</v>
      </c>
      <c r="D85" s="64">
        <v>12.08</v>
      </c>
      <c r="E85" s="64">
        <v>3.92</v>
      </c>
      <c r="F85" s="64">
        <v>3.01</v>
      </c>
      <c r="G85" s="64">
        <v>67.650000000000006</v>
      </c>
      <c r="H85" s="64">
        <v>17.11</v>
      </c>
      <c r="I85" s="64">
        <v>2.3199999999999998</v>
      </c>
      <c r="J85" s="64">
        <v>0.21</v>
      </c>
      <c r="K85" s="64">
        <v>198.87</v>
      </c>
      <c r="L85" s="64">
        <v>26.06</v>
      </c>
      <c r="M85" s="64">
        <v>83.68</v>
      </c>
      <c r="N85" s="64">
        <v>18.5</v>
      </c>
      <c r="O85" s="64">
        <v>0</v>
      </c>
      <c r="P85" s="64">
        <v>0.4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7" t="s">
        <v>607</v>
      </c>
      <c r="B86" s="64">
        <v>8.24</v>
      </c>
      <c r="C86" s="64">
        <v>3.2</v>
      </c>
      <c r="D86" s="64">
        <v>12.05</v>
      </c>
      <c r="E86" s="64">
        <v>3.89</v>
      </c>
      <c r="F86" s="64">
        <v>4.1900000000000004</v>
      </c>
      <c r="G86" s="64">
        <v>67.650000000000006</v>
      </c>
      <c r="H86" s="64">
        <v>17.11</v>
      </c>
      <c r="I86" s="64">
        <v>2.54</v>
      </c>
      <c r="J86" s="64">
        <v>0.57999999999999996</v>
      </c>
      <c r="K86" s="64">
        <v>195.81</v>
      </c>
      <c r="L86" s="64">
        <v>25.75</v>
      </c>
      <c r="M86" s="64">
        <v>87.05</v>
      </c>
      <c r="N86" s="64">
        <v>18.600000000000001</v>
      </c>
      <c r="O86" s="64">
        <v>0</v>
      </c>
      <c r="P86" s="64">
        <v>0.43</v>
      </c>
      <c r="Q86" s="64">
        <v>9.26</v>
      </c>
      <c r="R86" s="198"/>
      <c r="S86" s="198"/>
      <c r="T86" s="198"/>
      <c r="U86" s="198"/>
    </row>
    <row r="87" spans="1:26" s="12" customFormat="1" x14ac:dyDescent="0.25">
      <c r="A87" s="217" t="s">
        <v>608</v>
      </c>
      <c r="B87" s="64">
        <v>8.24</v>
      </c>
      <c r="C87" s="64">
        <v>3.24</v>
      </c>
      <c r="D87" s="64">
        <v>12.08</v>
      </c>
      <c r="E87" s="64">
        <v>3.79</v>
      </c>
      <c r="F87" s="64">
        <v>2.33</v>
      </c>
      <c r="G87" s="64">
        <v>67.650000000000006</v>
      </c>
      <c r="H87" s="64">
        <v>17.11</v>
      </c>
      <c r="I87" s="64">
        <v>2.7</v>
      </c>
      <c r="J87" s="64">
        <v>0.44</v>
      </c>
      <c r="K87" s="64">
        <v>182.52</v>
      </c>
      <c r="L87" s="64">
        <v>25.42</v>
      </c>
      <c r="M87" s="64">
        <v>86.97</v>
      </c>
      <c r="N87" s="64">
        <v>18.5</v>
      </c>
      <c r="O87" s="64">
        <v>0</v>
      </c>
      <c r="P87" s="64">
        <v>0.43</v>
      </c>
      <c r="Q87" s="64">
        <v>9.24</v>
      </c>
      <c r="R87" s="198"/>
      <c r="S87" s="198"/>
      <c r="T87" s="198"/>
      <c r="U87" s="198"/>
    </row>
    <row r="88" spans="1:26" s="12" customFormat="1" x14ac:dyDescent="0.25">
      <c r="A88" s="217" t="s">
        <v>609</v>
      </c>
      <c r="B88" s="64">
        <v>8.25</v>
      </c>
      <c r="C88" s="64">
        <v>3.26</v>
      </c>
      <c r="D88" s="64">
        <v>12.09</v>
      </c>
      <c r="E88" s="64">
        <v>4.33</v>
      </c>
      <c r="F88" s="64">
        <v>3.45</v>
      </c>
      <c r="G88" s="64">
        <v>64.75</v>
      </c>
      <c r="H88" s="64">
        <v>16.559999999999999</v>
      </c>
      <c r="I88" s="64">
        <v>2.79</v>
      </c>
      <c r="J88" s="64">
        <v>0.35</v>
      </c>
      <c r="K88" s="64">
        <v>190.16</v>
      </c>
      <c r="L88" s="64">
        <v>25.24</v>
      </c>
      <c r="M88" s="64">
        <v>87.41</v>
      </c>
      <c r="N88" s="64">
        <v>18.5</v>
      </c>
      <c r="O88" s="64">
        <v>0</v>
      </c>
      <c r="P88" s="64">
        <v>0.42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17" t="s">
        <v>610</v>
      </c>
      <c r="B89" s="64">
        <v>8.25</v>
      </c>
      <c r="C89" s="64">
        <v>3.21</v>
      </c>
      <c r="D89" s="64">
        <v>12.07</v>
      </c>
      <c r="E89" s="64">
        <v>4.2</v>
      </c>
      <c r="F89" s="64">
        <v>3.42</v>
      </c>
      <c r="G89" s="64">
        <v>61.58</v>
      </c>
      <c r="H89" s="64">
        <v>15.93</v>
      </c>
      <c r="I89" s="64">
        <v>2.88</v>
      </c>
      <c r="J89" s="64">
        <v>0.2</v>
      </c>
      <c r="K89" s="64">
        <v>205.84</v>
      </c>
      <c r="L89" s="64">
        <v>25.09</v>
      </c>
      <c r="M89" s="64">
        <v>88.54</v>
      </c>
      <c r="N89" s="64">
        <v>18.5</v>
      </c>
      <c r="O89" s="64">
        <v>0</v>
      </c>
      <c r="P89" s="64">
        <v>0.42</v>
      </c>
      <c r="Q89" s="64">
        <v>9.26</v>
      </c>
      <c r="R89" s="198"/>
      <c r="S89" s="198"/>
      <c r="T89" s="198"/>
      <c r="U89" s="198"/>
    </row>
    <row r="90" spans="1:26" s="12" customFormat="1" x14ac:dyDescent="0.25">
      <c r="A90" s="217" t="s">
        <v>611</v>
      </c>
      <c r="B90" s="64">
        <v>8.2799999999999994</v>
      </c>
      <c r="C90" s="64">
        <v>3.28</v>
      </c>
      <c r="D90" s="64">
        <v>12.13</v>
      </c>
      <c r="E90" s="64">
        <v>4.32</v>
      </c>
      <c r="F90" s="64">
        <v>2.84</v>
      </c>
      <c r="G90" s="64">
        <v>61.58</v>
      </c>
      <c r="H90" s="64">
        <v>15.93</v>
      </c>
      <c r="I90" s="64">
        <v>2.93</v>
      </c>
      <c r="J90" s="64">
        <v>0.12</v>
      </c>
      <c r="K90" s="64">
        <v>116.25</v>
      </c>
      <c r="L90" s="64">
        <v>24.96</v>
      </c>
      <c r="M90" s="64">
        <v>89.7</v>
      </c>
      <c r="N90" s="64">
        <v>18.399999999999999</v>
      </c>
      <c r="O90" s="64">
        <v>0</v>
      </c>
      <c r="P90" s="64">
        <v>0.41</v>
      </c>
      <c r="Q90" s="64">
        <v>9.24</v>
      </c>
      <c r="R90" s="198"/>
      <c r="S90" s="198"/>
      <c r="T90" s="198"/>
      <c r="U90" s="198"/>
    </row>
    <row r="91" spans="1:26" s="12" customFormat="1" x14ac:dyDescent="0.25">
      <c r="A91" s="217" t="s">
        <v>612</v>
      </c>
      <c r="B91" s="64">
        <v>8.2799999999999994</v>
      </c>
      <c r="C91" s="64">
        <v>3.32</v>
      </c>
      <c r="D91" s="64">
        <v>12.15</v>
      </c>
      <c r="E91" s="64">
        <v>4.3899999999999997</v>
      </c>
      <c r="F91" s="64">
        <v>3.77</v>
      </c>
      <c r="G91" s="64">
        <v>61.58</v>
      </c>
      <c r="H91" s="64">
        <v>15.93</v>
      </c>
      <c r="I91" s="64">
        <v>2.97</v>
      </c>
      <c r="J91" s="64">
        <v>0.28999999999999998</v>
      </c>
      <c r="K91" s="64">
        <v>172.11</v>
      </c>
      <c r="L91" s="64">
        <v>24.86</v>
      </c>
      <c r="M91" s="64">
        <v>90.9</v>
      </c>
      <c r="N91" s="64">
        <v>18.399999999999999</v>
      </c>
      <c r="O91" s="64">
        <v>0</v>
      </c>
      <c r="P91" s="64">
        <v>0.42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7" t="s">
        <v>613</v>
      </c>
      <c r="B92" s="64">
        <v>8.4</v>
      </c>
      <c r="C92" s="64">
        <v>3.59</v>
      </c>
      <c r="D92" s="64">
        <v>12.39</v>
      </c>
      <c r="E92" s="64">
        <v>4.4000000000000004</v>
      </c>
      <c r="F92" s="64">
        <v>3.04</v>
      </c>
      <c r="G92" s="64">
        <v>58.08</v>
      </c>
      <c r="H92" s="64">
        <v>15.25</v>
      </c>
      <c r="I92" s="64">
        <v>3.02</v>
      </c>
      <c r="J92" s="64">
        <v>0.46</v>
      </c>
      <c r="K92" s="64">
        <v>185.46</v>
      </c>
      <c r="L92" s="64">
        <v>24.7</v>
      </c>
      <c r="M92" s="64">
        <v>91.47</v>
      </c>
      <c r="N92" s="64">
        <v>18.399999999999999</v>
      </c>
      <c r="O92" s="64">
        <v>0</v>
      </c>
      <c r="P92" s="64">
        <v>0.42</v>
      </c>
      <c r="Q92" s="64">
        <v>9.26</v>
      </c>
      <c r="R92" s="198"/>
      <c r="S92" s="198"/>
      <c r="T92" s="198"/>
      <c r="U92" s="198"/>
    </row>
    <row r="93" spans="1:26" s="12" customFormat="1" x14ac:dyDescent="0.25">
      <c r="A93" s="217" t="s">
        <v>614</v>
      </c>
      <c r="B93" s="64">
        <v>8.26</v>
      </c>
      <c r="C93" s="64">
        <v>3.23</v>
      </c>
      <c r="D93" s="64">
        <v>12.08</v>
      </c>
      <c r="E93" s="64">
        <v>4.5199999999999996</v>
      </c>
      <c r="F93" s="64">
        <v>4.32</v>
      </c>
      <c r="G93" s="64">
        <v>54.26</v>
      </c>
      <c r="H93" s="64">
        <v>14.5</v>
      </c>
      <c r="I93" s="64">
        <v>3.09</v>
      </c>
      <c r="J93" s="64">
        <v>0.04</v>
      </c>
      <c r="K93" s="64">
        <v>354.61</v>
      </c>
      <c r="L93" s="64">
        <v>24.61</v>
      </c>
      <c r="M93" s="64">
        <v>92.36</v>
      </c>
      <c r="N93" s="64">
        <v>18.3</v>
      </c>
      <c r="O93" s="64">
        <v>0</v>
      </c>
      <c r="P93" s="64">
        <v>0.43</v>
      </c>
      <c r="Q93" s="64">
        <v>9.25</v>
      </c>
      <c r="R93" s="198"/>
      <c r="S93" s="198"/>
      <c r="T93" s="198"/>
      <c r="U93" s="198"/>
    </row>
    <row r="94" spans="1:26" s="12" customFormat="1" x14ac:dyDescent="0.25">
      <c r="A94" s="217" t="s">
        <v>615</v>
      </c>
      <c r="B94" s="64">
        <v>8.24</v>
      </c>
      <c r="C94" s="64">
        <v>3.17</v>
      </c>
      <c r="D94" s="64">
        <v>12.04</v>
      </c>
      <c r="E94" s="64">
        <v>4.5</v>
      </c>
      <c r="F94" s="64">
        <v>2.56</v>
      </c>
      <c r="G94" s="64">
        <v>54.26</v>
      </c>
      <c r="H94" s="64">
        <v>14.5</v>
      </c>
      <c r="I94" s="64">
        <v>3.18</v>
      </c>
      <c r="J94" s="64">
        <v>0.41</v>
      </c>
      <c r="K94" s="64">
        <v>184.54</v>
      </c>
      <c r="L94" s="64">
        <v>24.48</v>
      </c>
      <c r="M94" s="64">
        <v>93.29</v>
      </c>
      <c r="N94" s="64">
        <v>18.399999999999999</v>
      </c>
      <c r="O94" s="64">
        <v>0</v>
      </c>
      <c r="P94" s="64">
        <v>0.41</v>
      </c>
      <c r="Q94" s="64">
        <v>9.25</v>
      </c>
      <c r="R94" s="198"/>
      <c r="S94" s="198"/>
      <c r="T94" s="198"/>
      <c r="U94" s="198"/>
    </row>
    <row r="95" spans="1:26" s="12" customFormat="1" x14ac:dyDescent="0.25">
      <c r="A95" s="217" t="s">
        <v>616</v>
      </c>
      <c r="B95" s="64">
        <v>8.24</v>
      </c>
      <c r="C95" s="64">
        <v>3.1</v>
      </c>
      <c r="D95" s="64">
        <v>12</v>
      </c>
      <c r="E95" s="64">
        <v>4.37</v>
      </c>
      <c r="F95" s="64">
        <v>3.33</v>
      </c>
      <c r="G95" s="64">
        <v>54.26</v>
      </c>
      <c r="H95" s="64">
        <v>14.5</v>
      </c>
      <c r="I95" s="64">
        <v>3.26</v>
      </c>
      <c r="J95" s="64">
        <v>0.36</v>
      </c>
      <c r="K95" s="64">
        <v>172.67</v>
      </c>
      <c r="L95" s="64">
        <v>24.38</v>
      </c>
      <c r="M95" s="64">
        <v>94.6</v>
      </c>
      <c r="N95" s="64">
        <v>18.3</v>
      </c>
      <c r="O95" s="64">
        <v>0</v>
      </c>
      <c r="P95" s="64">
        <v>0.41</v>
      </c>
      <c r="Q95" s="64">
        <v>9.26</v>
      </c>
      <c r="R95" s="198"/>
      <c r="S95" s="198"/>
      <c r="T95" s="198"/>
      <c r="U95" s="198"/>
    </row>
    <row r="96" spans="1:26" s="12" customFormat="1" x14ac:dyDescent="0.25">
      <c r="A96" s="217" t="s">
        <v>617</v>
      </c>
      <c r="B96" s="64">
        <v>8.26</v>
      </c>
      <c r="C96" s="64">
        <v>3.16</v>
      </c>
      <c r="D96" s="64">
        <v>12.05</v>
      </c>
      <c r="E96" s="64">
        <v>4.24</v>
      </c>
      <c r="F96" s="64">
        <v>3.35</v>
      </c>
      <c r="G96" s="64">
        <v>50.54</v>
      </c>
      <c r="H96" s="64">
        <v>14.42</v>
      </c>
      <c r="I96" s="64">
        <v>3.45</v>
      </c>
      <c r="J96" s="64">
        <v>0.31</v>
      </c>
      <c r="K96" s="64">
        <v>175.14</v>
      </c>
      <c r="L96" s="64">
        <v>24.31</v>
      </c>
      <c r="M96" s="64">
        <v>95.35</v>
      </c>
      <c r="N96" s="64">
        <v>18.2</v>
      </c>
      <c r="O96" s="64">
        <v>0</v>
      </c>
      <c r="P96" s="64">
        <v>0.41</v>
      </c>
      <c r="Q96" s="64">
        <v>9.27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618</v>
      </c>
      <c r="B97" s="64">
        <v>8.27</v>
      </c>
      <c r="C97" s="64">
        <v>3.14</v>
      </c>
      <c r="D97" s="64">
        <v>12.04</v>
      </c>
      <c r="E97" s="64">
        <v>4.13</v>
      </c>
      <c r="F97" s="64">
        <v>3.33</v>
      </c>
      <c r="G97" s="64">
        <v>46.47</v>
      </c>
      <c r="H97" s="64">
        <v>14.34</v>
      </c>
      <c r="I97" s="64">
        <v>3.71</v>
      </c>
      <c r="J97" s="64">
        <v>1.07</v>
      </c>
      <c r="K97" s="64">
        <v>149.71</v>
      </c>
      <c r="L97" s="64">
        <v>24.24</v>
      </c>
      <c r="M97" s="64">
        <v>96.21</v>
      </c>
      <c r="N97" s="64">
        <v>18.2</v>
      </c>
      <c r="O97" s="64">
        <v>0</v>
      </c>
      <c r="P97" s="64">
        <v>0.41</v>
      </c>
      <c r="Q97" s="64">
        <v>9.2899999999999991</v>
      </c>
      <c r="R97" s="198"/>
      <c r="S97" s="198"/>
      <c r="T97" s="198"/>
      <c r="U97" s="198"/>
    </row>
    <row r="98" spans="1:33" s="12" customFormat="1" x14ac:dyDescent="0.25">
      <c r="A98" s="217" t="s">
        <v>619</v>
      </c>
      <c r="B98" s="64">
        <v>8.2899999999999991</v>
      </c>
      <c r="C98" s="64">
        <v>3.19</v>
      </c>
      <c r="D98" s="64">
        <v>12.09</v>
      </c>
      <c r="E98" s="64">
        <v>4.05</v>
      </c>
      <c r="F98" s="64">
        <v>3.37</v>
      </c>
      <c r="G98" s="64">
        <v>46.47</v>
      </c>
      <c r="H98" s="64">
        <v>14.34</v>
      </c>
      <c r="I98" s="64">
        <v>3.97</v>
      </c>
      <c r="J98" s="64">
        <v>1.54</v>
      </c>
      <c r="K98" s="64">
        <v>144.69999999999999</v>
      </c>
      <c r="L98" s="64">
        <v>24.2</v>
      </c>
      <c r="M98" s="64">
        <v>96.56</v>
      </c>
      <c r="N98" s="64">
        <v>18.2</v>
      </c>
      <c r="O98" s="64">
        <v>0</v>
      </c>
      <c r="P98" s="64">
        <v>0.4</v>
      </c>
      <c r="Q98" s="64">
        <v>9.2799999999999994</v>
      </c>
      <c r="R98" s="198"/>
      <c r="S98" s="198"/>
      <c r="T98" s="198"/>
      <c r="U98" s="198"/>
    </row>
    <row r="99" spans="1:33" s="12" customFormat="1" x14ac:dyDescent="0.25">
      <c r="A99" s="217" t="s">
        <v>620</v>
      </c>
      <c r="B99" s="64">
        <v>8.32</v>
      </c>
      <c r="C99" s="64">
        <v>3.22</v>
      </c>
      <c r="D99" s="64">
        <v>12.12</v>
      </c>
      <c r="E99" s="64">
        <v>4.2699999999999996</v>
      </c>
      <c r="F99" s="64">
        <v>3.35</v>
      </c>
      <c r="G99" s="64">
        <v>46.47</v>
      </c>
      <c r="H99" s="64">
        <v>14.34</v>
      </c>
      <c r="I99" s="64">
        <v>4.2300000000000004</v>
      </c>
      <c r="J99" s="64">
        <v>0.6</v>
      </c>
      <c r="K99" s="64">
        <v>177.41</v>
      </c>
      <c r="L99" s="64">
        <v>24.15</v>
      </c>
      <c r="M99" s="64">
        <v>96.21</v>
      </c>
      <c r="N99" s="64">
        <v>18.399999999999999</v>
      </c>
      <c r="O99" s="64">
        <v>0</v>
      </c>
      <c r="P99" s="64">
        <v>0.4</v>
      </c>
      <c r="Q99" s="64">
        <v>9.32</v>
      </c>
      <c r="R99" s="198"/>
      <c r="S99" s="198"/>
      <c r="T99" s="198"/>
      <c r="U99" s="198"/>
    </row>
    <row r="100" spans="1:33" s="12" customFormat="1" x14ac:dyDescent="0.25">
      <c r="A100" s="217" t="s">
        <v>621</v>
      </c>
      <c r="B100" s="64">
        <v>8.31</v>
      </c>
      <c r="C100" s="64">
        <v>3.28</v>
      </c>
      <c r="D100" s="64">
        <v>12.16</v>
      </c>
      <c r="E100" s="64">
        <v>4.03</v>
      </c>
      <c r="F100" s="64">
        <v>3.31</v>
      </c>
      <c r="G100" s="64">
        <v>46.05</v>
      </c>
      <c r="H100" s="64">
        <v>14.37</v>
      </c>
      <c r="I100" s="64">
        <v>4.49</v>
      </c>
      <c r="J100" s="64">
        <v>0.64</v>
      </c>
      <c r="K100" s="64">
        <v>161.06</v>
      </c>
      <c r="L100" s="64">
        <v>24.04</v>
      </c>
      <c r="M100" s="64">
        <v>95.48</v>
      </c>
      <c r="N100" s="64">
        <v>18.5</v>
      </c>
      <c r="O100" s="64">
        <v>0</v>
      </c>
      <c r="P100" s="64">
        <v>0.39</v>
      </c>
      <c r="Q100" s="64">
        <v>9.3000000000000007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622</v>
      </c>
      <c r="B101" s="64">
        <v>8.33</v>
      </c>
      <c r="C101" s="64">
        <v>3.32</v>
      </c>
      <c r="D101" s="64">
        <v>12.19</v>
      </c>
      <c r="E101" s="64">
        <v>4.26</v>
      </c>
      <c r="F101" s="64">
        <v>3.78</v>
      </c>
      <c r="G101" s="64">
        <v>45.59</v>
      </c>
      <c r="H101" s="64">
        <v>14.41</v>
      </c>
      <c r="I101" s="64">
        <v>4.5199999999999996</v>
      </c>
      <c r="J101" s="64">
        <v>0.49</v>
      </c>
      <c r="K101" s="64">
        <v>182.69</v>
      </c>
      <c r="L101" s="64">
        <v>23.96</v>
      </c>
      <c r="M101" s="64">
        <v>94.78</v>
      </c>
      <c r="N101" s="64">
        <v>18.399999999999999</v>
      </c>
      <c r="O101" s="64">
        <v>0</v>
      </c>
      <c r="P101" s="64">
        <v>0.39</v>
      </c>
      <c r="Q101" s="64">
        <v>9.32</v>
      </c>
      <c r="R101" s="198"/>
      <c r="S101" s="198"/>
      <c r="T101" s="198"/>
      <c r="U101" s="198"/>
    </row>
    <row r="102" spans="1:33" s="12" customFormat="1" x14ac:dyDescent="0.25">
      <c r="A102" s="217" t="s">
        <v>623</v>
      </c>
      <c r="B102" s="64">
        <v>8.3000000000000007</v>
      </c>
      <c r="C102" s="64">
        <v>3.26</v>
      </c>
      <c r="D102" s="64">
        <v>12.14</v>
      </c>
      <c r="E102" s="64">
        <v>3.99</v>
      </c>
      <c r="F102" s="64">
        <v>3.82</v>
      </c>
      <c r="G102" s="64">
        <v>45.59</v>
      </c>
      <c r="H102" s="64">
        <v>14.41</v>
      </c>
      <c r="I102" s="64">
        <v>4.5199999999999996</v>
      </c>
      <c r="J102" s="64">
        <v>0.72</v>
      </c>
      <c r="K102" s="64">
        <v>163.36000000000001</v>
      </c>
      <c r="L102" s="64">
        <v>23.87</v>
      </c>
      <c r="M102" s="64">
        <v>94.91</v>
      </c>
      <c r="N102" s="64">
        <v>18.5</v>
      </c>
      <c r="O102" s="64">
        <v>0</v>
      </c>
      <c r="P102" s="64">
        <v>0.39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7" t="s">
        <v>624</v>
      </c>
      <c r="B103" s="64">
        <v>8.33</v>
      </c>
      <c r="C103" s="64">
        <v>3.37</v>
      </c>
      <c r="D103" s="64">
        <v>12.22</v>
      </c>
      <c r="E103" s="64">
        <v>4.3899999999999997</v>
      </c>
      <c r="F103" s="64">
        <v>4.2</v>
      </c>
      <c r="G103" s="64">
        <v>45.59</v>
      </c>
      <c r="H103" s="64">
        <v>14.41</v>
      </c>
      <c r="I103" s="64">
        <v>4.49</v>
      </c>
      <c r="J103" s="64">
        <v>0.39</v>
      </c>
      <c r="K103" s="64">
        <v>147.88999999999999</v>
      </c>
      <c r="L103" s="64">
        <v>23.78</v>
      </c>
      <c r="M103" s="64">
        <v>95.28</v>
      </c>
      <c r="N103" s="64">
        <v>18.5</v>
      </c>
      <c r="O103" s="64">
        <v>0</v>
      </c>
      <c r="P103" s="64">
        <v>0.39</v>
      </c>
      <c r="Q103" s="64">
        <v>9.3000000000000007</v>
      </c>
      <c r="R103" s="198"/>
      <c r="S103" s="198"/>
      <c r="T103" s="198"/>
      <c r="U103" s="198"/>
    </row>
    <row r="104" spans="1:33" s="12" customFormat="1" x14ac:dyDescent="0.25">
      <c r="A104" s="217" t="s">
        <v>625</v>
      </c>
      <c r="B104" s="64">
        <v>8.3800000000000008</v>
      </c>
      <c r="C104" s="64">
        <v>3.45</v>
      </c>
      <c r="D104" s="64">
        <v>12.3</v>
      </c>
      <c r="E104" s="64">
        <v>3.99</v>
      </c>
      <c r="F104" s="64">
        <v>3.35</v>
      </c>
      <c r="G104" s="64">
        <v>41.27</v>
      </c>
      <c r="H104" s="64">
        <v>12.78</v>
      </c>
      <c r="I104" s="64">
        <v>4.3499999999999996</v>
      </c>
      <c r="J104" s="64">
        <v>0.24</v>
      </c>
      <c r="K104" s="64">
        <v>153.41</v>
      </c>
      <c r="L104" s="64">
        <v>23.7</v>
      </c>
      <c r="M104" s="64">
        <v>95.71</v>
      </c>
      <c r="N104" s="64">
        <v>18.2</v>
      </c>
      <c r="O104" s="64">
        <v>0</v>
      </c>
      <c r="P104" s="64">
        <v>0.37</v>
      </c>
      <c r="Q104" s="64">
        <v>9.2899999999999991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8.2100000000000009</v>
      </c>
      <c r="C106" s="67">
        <f>MIN(C9:C104)</f>
        <v>3.08</v>
      </c>
      <c r="D106" s="67">
        <f t="shared" ref="D106:Q106" si="0">MIN(D9:D104)</f>
        <v>11.97</v>
      </c>
      <c r="E106" s="67">
        <f t="shared" si="0"/>
        <v>3.22</v>
      </c>
      <c r="F106" s="67">
        <f t="shared" si="0"/>
        <v>2.33</v>
      </c>
      <c r="G106" s="67">
        <f t="shared" si="0"/>
        <v>4.7</v>
      </c>
      <c r="H106" s="67">
        <f t="shared" si="0"/>
        <v>1.76</v>
      </c>
      <c r="I106" s="67">
        <f t="shared" si="0"/>
        <v>0.89</v>
      </c>
      <c r="J106" s="67">
        <f t="shared" si="0"/>
        <v>0.01</v>
      </c>
      <c r="K106" s="67">
        <f t="shared" si="0"/>
        <v>0.33</v>
      </c>
      <c r="L106" s="67">
        <f t="shared" si="0"/>
        <v>21.61</v>
      </c>
      <c r="M106" s="67">
        <f t="shared" si="0"/>
        <v>72.900000000000006</v>
      </c>
      <c r="N106" s="67">
        <f t="shared" si="0"/>
        <v>17.899999999999999</v>
      </c>
      <c r="O106" s="67">
        <f t="shared" si="0"/>
        <v>0</v>
      </c>
      <c r="P106" s="67">
        <f t="shared" si="0"/>
        <v>0.28999999999999998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8.41</v>
      </c>
      <c r="C107" s="66">
        <f t="shared" ref="C107:Q107" si="1">MAX(C9:C104)</f>
        <v>3.59</v>
      </c>
      <c r="D107" s="66">
        <f t="shared" si="1"/>
        <v>12.39</v>
      </c>
      <c r="E107" s="66">
        <f t="shared" si="1"/>
        <v>5.21</v>
      </c>
      <c r="F107" s="66">
        <f t="shared" si="1"/>
        <v>8.6300000000000008</v>
      </c>
      <c r="G107" s="66">
        <f t="shared" si="1"/>
        <v>92.94</v>
      </c>
      <c r="H107" s="66">
        <f t="shared" si="1"/>
        <v>34.17</v>
      </c>
      <c r="I107" s="66">
        <f t="shared" si="1"/>
        <v>4.5199999999999996</v>
      </c>
      <c r="J107" s="66">
        <f t="shared" si="1"/>
        <v>1.54</v>
      </c>
      <c r="K107" s="66">
        <f t="shared" si="1"/>
        <v>359.8</v>
      </c>
      <c r="L107" s="66">
        <f t="shared" si="1"/>
        <v>27.7</v>
      </c>
      <c r="M107" s="66">
        <f t="shared" si="1"/>
        <v>98.4</v>
      </c>
      <c r="N107" s="66">
        <f t="shared" si="1"/>
        <v>644.9</v>
      </c>
      <c r="O107" s="66">
        <f t="shared" si="1"/>
        <v>1.8</v>
      </c>
      <c r="P107" s="66">
        <f t="shared" si="1"/>
        <v>0.43</v>
      </c>
      <c r="Q107" s="66">
        <f t="shared" si="1"/>
        <v>9.33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8.2789583333333301</v>
      </c>
      <c r="C108" s="67">
        <f t="shared" ref="C108:Q108" si="2">AVERAGE(C9:C104)</f>
        <v>3.2295833333333324</v>
      </c>
      <c r="D108" s="67">
        <f t="shared" si="2"/>
        <v>12.100208333333335</v>
      </c>
      <c r="E108" s="67">
        <f t="shared" si="2"/>
        <v>4.2056249999999986</v>
      </c>
      <c r="F108" s="67">
        <f t="shared" si="2"/>
        <v>4.1684374999999996</v>
      </c>
      <c r="G108" s="67">
        <f t="shared" si="2"/>
        <v>37.072688172043016</v>
      </c>
      <c r="H108" s="67">
        <f t="shared" si="2"/>
        <v>12.578494623655908</v>
      </c>
      <c r="I108" s="67">
        <f t="shared" si="2"/>
        <v>2.4829166666666658</v>
      </c>
      <c r="J108" s="67">
        <f t="shared" si="2"/>
        <v>0.47864583333333327</v>
      </c>
      <c r="K108" s="67">
        <f t="shared" si="2"/>
        <v>208.71437499999999</v>
      </c>
      <c r="L108" s="67">
        <f t="shared" si="2"/>
        <v>24.532708333333332</v>
      </c>
      <c r="M108" s="67">
        <f t="shared" si="2"/>
        <v>90.29604166666671</v>
      </c>
      <c r="N108" s="67">
        <f t="shared" si="2"/>
        <v>127.66979166666665</v>
      </c>
      <c r="O108" s="67">
        <f t="shared" si="2"/>
        <v>0.10416666666666664</v>
      </c>
      <c r="P108" s="67">
        <f t="shared" si="2"/>
        <v>0.35229166666666661</v>
      </c>
      <c r="Q108" s="67">
        <f t="shared" si="2"/>
        <v>9.2331250000000029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3.9215441820703495E-2</v>
      </c>
      <c r="C109" s="67">
        <f t="shared" ref="C109:Q109" si="3">STDEV(C9:C104)</f>
        <v>9.5000461679395243E-2</v>
      </c>
      <c r="D109" s="67">
        <f t="shared" si="3"/>
        <v>7.8283952333683737E-2</v>
      </c>
      <c r="E109" s="67">
        <f t="shared" si="3"/>
        <v>0.45381148996148313</v>
      </c>
      <c r="F109" s="67">
        <f t="shared" si="3"/>
        <v>1.1867925177819276</v>
      </c>
      <c r="G109" s="67">
        <f t="shared" si="3"/>
        <v>23.115404807926584</v>
      </c>
      <c r="H109" s="67">
        <f t="shared" si="3"/>
        <v>7.2094180471640819</v>
      </c>
      <c r="I109" s="67">
        <f t="shared" si="3"/>
        <v>1.0887655169398029</v>
      </c>
      <c r="J109" s="67">
        <f t="shared" si="3"/>
        <v>0.24797970966090901</v>
      </c>
      <c r="K109" s="67">
        <f t="shared" si="3"/>
        <v>138.20791206548205</v>
      </c>
      <c r="L109" s="67">
        <f t="shared" si="3"/>
        <v>1.8454088003341906</v>
      </c>
      <c r="M109" s="67">
        <f t="shared" si="3"/>
        <v>8.017668053042101</v>
      </c>
      <c r="N109" s="67">
        <f t="shared" si="3"/>
        <v>154.87220410443791</v>
      </c>
      <c r="O109" s="67">
        <f t="shared" si="3"/>
        <v>0.29016027029236846</v>
      </c>
      <c r="P109" s="67">
        <f t="shared" si="3"/>
        <v>4.2537393250662463E-2</v>
      </c>
      <c r="Q109" s="67">
        <f t="shared" si="3"/>
        <v>3.9691242571152925E-2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626</v>
      </c>
      <c r="B9" s="64">
        <v>8.2799999999999994</v>
      </c>
      <c r="C9" s="64">
        <v>3.23</v>
      </c>
      <c r="D9" s="64">
        <v>12.1</v>
      </c>
      <c r="E9" s="64">
        <v>4.3600000000000003</v>
      </c>
      <c r="F9" s="64">
        <v>3.71</v>
      </c>
      <c r="G9" s="64">
        <v>36.33</v>
      </c>
      <c r="H9" s="64">
        <v>10.99</v>
      </c>
      <c r="I9" s="64">
        <v>4.2300000000000004</v>
      </c>
      <c r="J9" s="64">
        <v>0.61</v>
      </c>
      <c r="K9" s="64">
        <v>179.27</v>
      </c>
      <c r="L9" s="64">
        <v>23.63</v>
      </c>
      <c r="M9" s="64">
        <v>96.34</v>
      </c>
      <c r="N9" s="64">
        <v>18.100000000000001</v>
      </c>
      <c r="O9" s="64">
        <v>0</v>
      </c>
      <c r="P9" s="64">
        <v>0.37</v>
      </c>
      <c r="Q9" s="64">
        <v>9.2899999999999991</v>
      </c>
      <c r="R9" s="198"/>
      <c r="S9" s="198"/>
      <c r="T9" s="198"/>
      <c r="U9" s="198"/>
    </row>
    <row r="10" spans="1:21" s="12" customFormat="1" x14ac:dyDescent="0.25">
      <c r="A10" s="217" t="s">
        <v>627</v>
      </c>
      <c r="B10" s="64">
        <v>8.25</v>
      </c>
      <c r="C10" s="64">
        <v>3.14</v>
      </c>
      <c r="D10" s="64">
        <v>12.03</v>
      </c>
      <c r="E10" s="64">
        <v>4.58</v>
      </c>
      <c r="F10" s="64">
        <v>3.67</v>
      </c>
      <c r="G10" s="64">
        <v>36.33</v>
      </c>
      <c r="H10" s="64">
        <v>10.99</v>
      </c>
      <c r="I10" s="64">
        <v>4.16</v>
      </c>
      <c r="J10" s="64">
        <v>0.21</v>
      </c>
      <c r="K10" s="64">
        <v>152.52000000000001</v>
      </c>
      <c r="L10" s="64">
        <v>23.58</v>
      </c>
      <c r="M10" s="64">
        <v>96.32</v>
      </c>
      <c r="N10" s="64">
        <v>18.3</v>
      </c>
      <c r="O10" s="64">
        <v>0</v>
      </c>
      <c r="P10" s="64">
        <v>0.36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7" t="s">
        <v>628</v>
      </c>
      <c r="B11" s="64">
        <v>8.27</v>
      </c>
      <c r="C11" s="64">
        <v>3.2</v>
      </c>
      <c r="D11" s="64">
        <v>12.08</v>
      </c>
      <c r="E11" s="64">
        <v>4.78</v>
      </c>
      <c r="F11" s="64">
        <v>3.05</v>
      </c>
      <c r="G11" s="64">
        <v>36.33</v>
      </c>
      <c r="H11" s="64">
        <v>10.99</v>
      </c>
      <c r="I11" s="64">
        <v>4.05</v>
      </c>
      <c r="J11" s="64">
        <v>0.5</v>
      </c>
      <c r="K11" s="64">
        <v>156.84</v>
      </c>
      <c r="L11" s="64">
        <v>23.5</v>
      </c>
      <c r="M11" s="64">
        <v>96.62</v>
      </c>
      <c r="N11" s="64">
        <v>18.3</v>
      </c>
      <c r="O11" s="64">
        <v>0</v>
      </c>
      <c r="P11" s="64">
        <v>0.36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7" t="s">
        <v>629</v>
      </c>
      <c r="B12" s="64">
        <v>8.2799999999999994</v>
      </c>
      <c r="C12" s="64">
        <v>3.18</v>
      </c>
      <c r="D12" s="64">
        <v>12.08</v>
      </c>
      <c r="E12" s="64">
        <v>4.76</v>
      </c>
      <c r="F12" s="64">
        <v>3.61</v>
      </c>
      <c r="G12" s="64">
        <v>34.31</v>
      </c>
      <c r="H12" s="64">
        <v>9.6300000000000008</v>
      </c>
      <c r="I12" s="64">
        <v>3.95</v>
      </c>
      <c r="J12" s="64">
        <v>0.33</v>
      </c>
      <c r="K12" s="64">
        <v>157.43</v>
      </c>
      <c r="L12" s="64">
        <v>23.46</v>
      </c>
      <c r="M12" s="64">
        <v>96.55</v>
      </c>
      <c r="N12" s="64">
        <v>18.399999999999999</v>
      </c>
      <c r="O12" s="64">
        <v>0</v>
      </c>
      <c r="P12" s="64">
        <v>0.34</v>
      </c>
      <c r="Q12" s="64">
        <v>9.24</v>
      </c>
      <c r="R12" s="198"/>
      <c r="S12" s="198"/>
      <c r="T12" s="198"/>
      <c r="U12" s="198"/>
    </row>
    <row r="13" spans="1:21" s="12" customFormat="1" x14ac:dyDescent="0.25">
      <c r="A13" s="217" t="s">
        <v>630</v>
      </c>
      <c r="B13" s="64">
        <v>8.25</v>
      </c>
      <c r="C13" s="64">
        <v>3.18</v>
      </c>
      <c r="D13" s="64">
        <v>12.05</v>
      </c>
      <c r="E13" s="64">
        <v>4.54</v>
      </c>
      <c r="F13" s="64">
        <v>3.84</v>
      </c>
      <c r="G13" s="64">
        <v>32.1</v>
      </c>
      <c r="H13" s="64">
        <v>8.14</v>
      </c>
      <c r="I13" s="64">
        <v>3.85</v>
      </c>
      <c r="J13" s="64">
        <v>0.32</v>
      </c>
      <c r="K13" s="64">
        <v>200.31</v>
      </c>
      <c r="L13" s="64">
        <v>23.4</v>
      </c>
      <c r="M13" s="64">
        <v>95.82</v>
      </c>
      <c r="N13" s="64">
        <v>18.2</v>
      </c>
      <c r="O13" s="64">
        <v>0</v>
      </c>
      <c r="P13" s="64">
        <v>0.33</v>
      </c>
      <c r="Q13" s="64">
        <v>9.24</v>
      </c>
      <c r="R13" s="198"/>
      <c r="S13" s="198"/>
      <c r="T13" s="198"/>
      <c r="U13" s="198"/>
    </row>
    <row r="14" spans="1:21" s="12" customFormat="1" x14ac:dyDescent="0.25">
      <c r="A14" s="217" t="s">
        <v>631</v>
      </c>
      <c r="B14" s="64">
        <v>8.24</v>
      </c>
      <c r="C14" s="64">
        <v>3.12</v>
      </c>
      <c r="D14" s="64">
        <v>12.01</v>
      </c>
      <c r="E14" s="64">
        <v>4.67</v>
      </c>
      <c r="F14" s="64">
        <v>3.82</v>
      </c>
      <c r="G14" s="64">
        <v>32.1</v>
      </c>
      <c r="H14" s="64">
        <v>8.14</v>
      </c>
      <c r="I14" s="64">
        <v>3.78</v>
      </c>
      <c r="J14" s="64">
        <v>0.08</v>
      </c>
      <c r="K14" s="64">
        <v>231.44</v>
      </c>
      <c r="L14" s="64">
        <v>23.41</v>
      </c>
      <c r="M14" s="64">
        <v>95.19</v>
      </c>
      <c r="N14" s="64">
        <v>18.2</v>
      </c>
      <c r="O14" s="64">
        <v>0</v>
      </c>
      <c r="P14" s="64">
        <v>0.33</v>
      </c>
      <c r="Q14" s="64">
        <v>9.2200000000000006</v>
      </c>
      <c r="R14" s="198"/>
      <c r="S14" s="198"/>
      <c r="T14" s="198"/>
      <c r="U14" s="198"/>
    </row>
    <row r="15" spans="1:21" s="12" customFormat="1" x14ac:dyDescent="0.25">
      <c r="A15" s="217" t="s">
        <v>632</v>
      </c>
      <c r="B15" s="64">
        <v>8.24</v>
      </c>
      <c r="C15" s="64">
        <v>3.18</v>
      </c>
      <c r="D15" s="64">
        <v>12.05</v>
      </c>
      <c r="E15" s="64">
        <v>4.53</v>
      </c>
      <c r="F15" s="64">
        <v>2.95</v>
      </c>
      <c r="G15" s="64">
        <v>32.1</v>
      </c>
      <c r="H15" s="64">
        <v>8.14</v>
      </c>
      <c r="I15" s="64">
        <v>3.68</v>
      </c>
      <c r="J15" s="64">
        <v>0.19</v>
      </c>
      <c r="K15" s="64">
        <v>186.73</v>
      </c>
      <c r="L15" s="64">
        <v>23.38</v>
      </c>
      <c r="M15" s="64">
        <v>95.04</v>
      </c>
      <c r="N15" s="64">
        <v>18.2</v>
      </c>
      <c r="O15" s="64">
        <v>0</v>
      </c>
      <c r="P15" s="64">
        <v>0.33</v>
      </c>
      <c r="Q15" s="64">
        <v>9.23</v>
      </c>
      <c r="R15" s="198"/>
      <c r="S15" s="198"/>
      <c r="T15" s="198"/>
      <c r="U15" s="198"/>
    </row>
    <row r="16" spans="1:21" s="12" customFormat="1" x14ac:dyDescent="0.25">
      <c r="A16" s="217" t="s">
        <v>633</v>
      </c>
      <c r="B16" s="64">
        <v>8.2799999999999994</v>
      </c>
      <c r="C16" s="64">
        <v>3.22</v>
      </c>
      <c r="D16" s="64">
        <v>12.1</v>
      </c>
      <c r="E16" s="64">
        <v>4.4800000000000004</v>
      </c>
      <c r="F16" s="64">
        <v>3.15</v>
      </c>
      <c r="G16" s="64">
        <v>30.17</v>
      </c>
      <c r="H16" s="64">
        <v>8.07</v>
      </c>
      <c r="I16" s="64">
        <v>3.56</v>
      </c>
      <c r="J16" s="64">
        <v>0.43</v>
      </c>
      <c r="K16" s="64">
        <v>157.36000000000001</v>
      </c>
      <c r="L16" s="64">
        <v>23.24</v>
      </c>
      <c r="M16" s="64">
        <v>95.94</v>
      </c>
      <c r="N16" s="64">
        <v>18.2</v>
      </c>
      <c r="O16" s="64">
        <v>0</v>
      </c>
      <c r="P16" s="64">
        <v>0.32</v>
      </c>
      <c r="Q16" s="64">
        <v>9.24</v>
      </c>
      <c r="R16" s="198"/>
      <c r="S16" s="198"/>
      <c r="T16" s="198"/>
      <c r="U16" s="198"/>
    </row>
    <row r="17" spans="1:21" s="12" customFormat="1" x14ac:dyDescent="0.25">
      <c r="A17" s="217" t="s">
        <v>634</v>
      </c>
      <c r="B17" s="64">
        <v>8.4700000000000006</v>
      </c>
      <c r="C17" s="64">
        <v>3.58</v>
      </c>
      <c r="D17" s="64">
        <v>12.44</v>
      </c>
      <c r="E17" s="64">
        <v>4.38</v>
      </c>
      <c r="F17" s="64">
        <v>3.36</v>
      </c>
      <c r="G17" s="64">
        <v>27.96</v>
      </c>
      <c r="H17" s="64">
        <v>8</v>
      </c>
      <c r="I17" s="64">
        <v>3.57</v>
      </c>
      <c r="J17" s="64">
        <v>0.27</v>
      </c>
      <c r="K17" s="64">
        <v>151.28</v>
      </c>
      <c r="L17" s="64">
        <v>23.18</v>
      </c>
      <c r="M17" s="64">
        <v>96.44</v>
      </c>
      <c r="N17" s="64">
        <v>18.2</v>
      </c>
      <c r="O17" s="64">
        <v>0</v>
      </c>
      <c r="P17" s="64">
        <v>0.3</v>
      </c>
      <c r="Q17" s="64">
        <v>9.1999999999999993</v>
      </c>
      <c r="R17" s="198"/>
      <c r="S17" s="198"/>
      <c r="T17" s="198"/>
      <c r="U17" s="198"/>
    </row>
    <row r="18" spans="1:21" s="12" customFormat="1" x14ac:dyDescent="0.25">
      <c r="A18" s="217" t="s">
        <v>635</v>
      </c>
      <c r="B18" s="64">
        <v>8.34</v>
      </c>
      <c r="C18" s="64">
        <v>3.3</v>
      </c>
      <c r="D18" s="64">
        <v>12.18</v>
      </c>
      <c r="E18" s="64">
        <v>4.3899999999999997</v>
      </c>
      <c r="F18" s="64">
        <v>3.35</v>
      </c>
      <c r="G18" s="64">
        <v>27.96</v>
      </c>
      <c r="H18" s="64">
        <v>8</v>
      </c>
      <c r="I18" s="64">
        <v>3.75</v>
      </c>
      <c r="J18" s="64">
        <v>0.19</v>
      </c>
      <c r="K18" s="64">
        <v>218.16</v>
      </c>
      <c r="L18" s="64">
        <v>23.12</v>
      </c>
      <c r="M18" s="64">
        <v>97.21</v>
      </c>
      <c r="N18" s="64">
        <v>18.100000000000001</v>
      </c>
      <c r="O18" s="64">
        <v>0</v>
      </c>
      <c r="P18" s="64">
        <v>0.31</v>
      </c>
      <c r="Q18" s="64">
        <v>9.1999999999999993</v>
      </c>
      <c r="R18" s="198"/>
      <c r="S18" s="198"/>
      <c r="T18" s="198"/>
      <c r="U18" s="198"/>
    </row>
    <row r="19" spans="1:21" s="12" customFormat="1" x14ac:dyDescent="0.25">
      <c r="A19" s="217" t="s">
        <v>636</v>
      </c>
      <c r="B19" s="64">
        <v>8.27</v>
      </c>
      <c r="C19" s="64">
        <v>3.18</v>
      </c>
      <c r="D19" s="64">
        <v>12.06</v>
      </c>
      <c r="E19" s="64">
        <v>4.47</v>
      </c>
      <c r="F19" s="64">
        <v>3.46</v>
      </c>
      <c r="G19" s="64">
        <v>27.96</v>
      </c>
      <c r="H19" s="64">
        <v>8</v>
      </c>
      <c r="I19" s="64">
        <v>3.81</v>
      </c>
      <c r="J19" s="64">
        <v>0.34</v>
      </c>
      <c r="K19" s="64">
        <v>172.02</v>
      </c>
      <c r="L19" s="64">
        <v>23.07</v>
      </c>
      <c r="M19" s="64">
        <v>97.89</v>
      </c>
      <c r="N19" s="64">
        <v>18.100000000000001</v>
      </c>
      <c r="O19" s="64">
        <v>0</v>
      </c>
      <c r="P19" s="64">
        <v>0.3</v>
      </c>
      <c r="Q19" s="64">
        <v>9.23</v>
      </c>
      <c r="R19" s="198"/>
      <c r="S19" s="198"/>
      <c r="T19" s="198"/>
      <c r="U19" s="198"/>
    </row>
    <row r="20" spans="1:21" s="12" customFormat="1" x14ac:dyDescent="0.25">
      <c r="A20" s="217" t="s">
        <v>637</v>
      </c>
      <c r="B20" s="64">
        <v>8.26</v>
      </c>
      <c r="C20" s="64">
        <v>3.14</v>
      </c>
      <c r="D20" s="64">
        <v>12.04</v>
      </c>
      <c r="E20" s="64">
        <v>4.55</v>
      </c>
      <c r="F20" s="64">
        <v>3.43</v>
      </c>
      <c r="G20" s="64">
        <v>25.9</v>
      </c>
      <c r="H20" s="64">
        <v>7.4</v>
      </c>
      <c r="I20" s="64">
        <v>4.03</v>
      </c>
      <c r="J20" s="64">
        <v>0.28999999999999998</v>
      </c>
      <c r="K20" s="64">
        <v>341.34</v>
      </c>
      <c r="L20" s="64">
        <v>23.16</v>
      </c>
      <c r="M20" s="64">
        <v>97.65</v>
      </c>
      <c r="N20" s="64">
        <v>18.2</v>
      </c>
      <c r="O20" s="64">
        <v>0</v>
      </c>
      <c r="P20" s="64">
        <v>0.3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7" t="s">
        <v>638</v>
      </c>
      <c r="B21" s="64">
        <v>8.26</v>
      </c>
      <c r="C21" s="64">
        <v>3.12</v>
      </c>
      <c r="D21" s="64">
        <v>12.03</v>
      </c>
      <c r="E21" s="64">
        <v>4.29</v>
      </c>
      <c r="F21" s="64">
        <v>3.27</v>
      </c>
      <c r="G21" s="64">
        <v>23.54</v>
      </c>
      <c r="H21" s="64">
        <v>6.73</v>
      </c>
      <c r="I21" s="64">
        <v>4.3</v>
      </c>
      <c r="J21" s="64">
        <v>0.01</v>
      </c>
      <c r="K21" s="64">
        <v>306.94</v>
      </c>
      <c r="L21" s="64">
        <v>23.23</v>
      </c>
      <c r="M21" s="64">
        <v>97.42</v>
      </c>
      <c r="N21" s="64">
        <v>17.7</v>
      </c>
      <c r="O21" s="64">
        <v>0</v>
      </c>
      <c r="P21" s="64">
        <v>0.3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17" t="s">
        <v>639</v>
      </c>
      <c r="B22" s="64">
        <v>8.2799999999999994</v>
      </c>
      <c r="C22" s="64">
        <v>3.11</v>
      </c>
      <c r="D22" s="64">
        <v>12.04</v>
      </c>
      <c r="E22" s="64">
        <v>4.6100000000000003</v>
      </c>
      <c r="F22" s="64">
        <v>3.43</v>
      </c>
      <c r="G22" s="64">
        <v>23.54</v>
      </c>
      <c r="H22" s="64">
        <v>6.73</v>
      </c>
      <c r="I22" s="64">
        <v>4.4000000000000004</v>
      </c>
      <c r="J22" s="64">
        <v>0.35</v>
      </c>
      <c r="K22" s="64">
        <v>337.29</v>
      </c>
      <c r="L22" s="64">
        <v>23.13</v>
      </c>
      <c r="M22" s="64">
        <v>97.78</v>
      </c>
      <c r="N22" s="64">
        <v>18</v>
      </c>
      <c r="O22" s="64">
        <v>0.2</v>
      </c>
      <c r="P22" s="64">
        <v>0.28999999999999998</v>
      </c>
      <c r="Q22" s="64">
        <v>9.25</v>
      </c>
      <c r="R22" s="198"/>
      <c r="S22" s="198"/>
      <c r="T22" s="198"/>
      <c r="U22" s="198"/>
    </row>
    <row r="23" spans="1:21" s="12" customFormat="1" x14ac:dyDescent="0.25">
      <c r="A23" s="217" t="s">
        <v>640</v>
      </c>
      <c r="B23" s="64">
        <v>8.3000000000000007</v>
      </c>
      <c r="C23" s="64">
        <v>3.09</v>
      </c>
      <c r="D23" s="64">
        <v>12.05</v>
      </c>
      <c r="E23" s="64">
        <v>4.67</v>
      </c>
      <c r="F23" s="64">
        <v>3.78</v>
      </c>
      <c r="G23" s="64">
        <v>23.54</v>
      </c>
      <c r="H23" s="64">
        <v>6.73</v>
      </c>
      <c r="I23" s="64">
        <v>4.45</v>
      </c>
      <c r="J23" s="64">
        <v>0.49</v>
      </c>
      <c r="K23" s="64">
        <v>358.71</v>
      </c>
      <c r="L23" s="64">
        <v>22.88</v>
      </c>
      <c r="M23" s="64">
        <v>98.33</v>
      </c>
      <c r="N23" s="64">
        <v>18.100000000000001</v>
      </c>
      <c r="O23" s="64">
        <v>0</v>
      </c>
      <c r="P23" s="64">
        <v>0.28999999999999998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17" t="s">
        <v>641</v>
      </c>
      <c r="B24" s="64">
        <v>8.26</v>
      </c>
      <c r="C24" s="64">
        <v>3.09</v>
      </c>
      <c r="D24" s="64">
        <v>12.01</v>
      </c>
      <c r="E24" s="64">
        <v>3.82</v>
      </c>
      <c r="F24" s="64">
        <v>4.41</v>
      </c>
      <c r="G24" s="64">
        <v>22.78</v>
      </c>
      <c r="H24" s="64">
        <v>7.19</v>
      </c>
      <c r="I24" s="64">
        <v>4.43</v>
      </c>
      <c r="J24" s="64">
        <v>0.37</v>
      </c>
      <c r="K24" s="64">
        <v>354.59</v>
      </c>
      <c r="L24" s="64">
        <v>22.86</v>
      </c>
      <c r="M24" s="64">
        <v>98.33</v>
      </c>
      <c r="N24" s="64">
        <v>18.5</v>
      </c>
      <c r="O24" s="64">
        <v>0</v>
      </c>
      <c r="P24" s="64">
        <v>0.3</v>
      </c>
      <c r="Q24" s="64">
        <v>9.26</v>
      </c>
      <c r="R24" s="198"/>
      <c r="S24" s="198"/>
      <c r="T24" s="198"/>
      <c r="U24" s="198"/>
    </row>
    <row r="25" spans="1:21" s="12" customFormat="1" x14ac:dyDescent="0.25">
      <c r="A25" s="217" t="s">
        <v>642</v>
      </c>
      <c r="B25" s="64">
        <v>8.26</v>
      </c>
      <c r="C25" s="64">
        <v>3.16</v>
      </c>
      <c r="D25" s="64">
        <v>12.05</v>
      </c>
      <c r="E25" s="64">
        <v>4.68</v>
      </c>
      <c r="F25" s="64">
        <v>3.49</v>
      </c>
      <c r="G25" s="64">
        <v>21.91</v>
      </c>
      <c r="H25" s="64">
        <v>7.72</v>
      </c>
      <c r="I25" s="64">
        <v>4.2699999999999996</v>
      </c>
      <c r="J25" s="64">
        <v>0.41</v>
      </c>
      <c r="K25" s="64">
        <v>6.77</v>
      </c>
      <c r="L25" s="64">
        <v>22.88</v>
      </c>
      <c r="M25" s="64">
        <v>98.33</v>
      </c>
      <c r="N25" s="64">
        <v>18.5</v>
      </c>
      <c r="O25" s="64">
        <v>0</v>
      </c>
      <c r="P25" s="64">
        <v>0.28999999999999998</v>
      </c>
      <c r="Q25" s="64">
        <v>9.26</v>
      </c>
      <c r="R25" s="198"/>
      <c r="S25" s="198"/>
      <c r="T25" s="198"/>
      <c r="U25" s="198"/>
    </row>
    <row r="26" spans="1:21" s="12" customFormat="1" x14ac:dyDescent="0.25">
      <c r="A26" s="217" t="s">
        <v>643</v>
      </c>
      <c r="B26" s="64">
        <v>8.2799999999999994</v>
      </c>
      <c r="C26" s="64">
        <v>3.27</v>
      </c>
      <c r="D26" s="64">
        <v>12.13</v>
      </c>
      <c r="E26" s="64">
        <v>5.16</v>
      </c>
      <c r="F26" s="64">
        <v>3.63</v>
      </c>
      <c r="G26" s="64">
        <v>21.91</v>
      </c>
      <c r="H26" s="64">
        <v>7.72</v>
      </c>
      <c r="I26" s="64">
        <v>4.01</v>
      </c>
      <c r="J26" s="64">
        <v>0.44</v>
      </c>
      <c r="K26" s="64">
        <v>359.39</v>
      </c>
      <c r="L26" s="64">
        <v>22.99</v>
      </c>
      <c r="M26" s="64">
        <v>98.32</v>
      </c>
      <c r="N26" s="64">
        <v>18.5</v>
      </c>
      <c r="O26" s="64">
        <v>0</v>
      </c>
      <c r="P26" s="64">
        <v>0.28999999999999998</v>
      </c>
      <c r="Q26" s="64">
        <v>9.1999999999999993</v>
      </c>
      <c r="R26" s="198"/>
      <c r="S26" s="198"/>
      <c r="T26" s="198"/>
      <c r="U26" s="198"/>
    </row>
    <row r="27" spans="1:21" s="12" customFormat="1" x14ac:dyDescent="0.25">
      <c r="A27" s="217" t="s">
        <v>644</v>
      </c>
      <c r="B27" s="64">
        <v>8.2799999999999994</v>
      </c>
      <c r="C27" s="64">
        <v>3.24</v>
      </c>
      <c r="D27" s="64">
        <v>12.1</v>
      </c>
      <c r="E27" s="64">
        <v>4.75</v>
      </c>
      <c r="F27" s="64">
        <v>3.96</v>
      </c>
      <c r="G27" s="64">
        <v>21.91</v>
      </c>
      <c r="H27" s="64">
        <v>7.72</v>
      </c>
      <c r="I27" s="64">
        <v>3.79</v>
      </c>
      <c r="J27" s="64">
        <v>0.41</v>
      </c>
      <c r="K27" s="64">
        <v>18.600000000000001</v>
      </c>
      <c r="L27" s="64">
        <v>23.02</v>
      </c>
      <c r="M27" s="64">
        <v>98.32</v>
      </c>
      <c r="N27" s="64">
        <v>18.5</v>
      </c>
      <c r="O27" s="64">
        <v>0</v>
      </c>
      <c r="P27" s="64">
        <v>0.28000000000000003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17" t="s">
        <v>645</v>
      </c>
      <c r="B28" s="64">
        <v>8.2200000000000006</v>
      </c>
      <c r="C28" s="64">
        <v>3.14</v>
      </c>
      <c r="D28" s="64">
        <v>12.01</v>
      </c>
      <c r="E28" s="64">
        <v>5.01</v>
      </c>
      <c r="F28" s="64">
        <v>3.39</v>
      </c>
      <c r="G28" s="64">
        <v>21.24</v>
      </c>
      <c r="H28" s="64">
        <v>6.64</v>
      </c>
      <c r="I28" s="64">
        <v>3.55</v>
      </c>
      <c r="J28" s="64">
        <v>0.54</v>
      </c>
      <c r="K28" s="64">
        <v>348.95</v>
      </c>
      <c r="L28" s="64">
        <v>23.06</v>
      </c>
      <c r="M28" s="64">
        <v>98.21</v>
      </c>
      <c r="N28" s="64">
        <v>18.5</v>
      </c>
      <c r="O28" s="64">
        <v>0</v>
      </c>
      <c r="P28" s="64">
        <v>0.28000000000000003</v>
      </c>
      <c r="Q28" s="64">
        <v>9.1999999999999993</v>
      </c>
      <c r="R28" s="198"/>
      <c r="S28" s="198"/>
      <c r="T28" s="198"/>
      <c r="U28" s="198"/>
    </row>
    <row r="29" spans="1:21" s="12" customFormat="1" x14ac:dyDescent="0.25">
      <c r="A29" s="217" t="s">
        <v>646</v>
      </c>
      <c r="B29" s="64">
        <v>8.2200000000000006</v>
      </c>
      <c r="C29" s="64">
        <v>3.13</v>
      </c>
      <c r="D29" s="64">
        <v>12</v>
      </c>
      <c r="E29" s="64">
        <v>4.7</v>
      </c>
      <c r="F29" s="64">
        <v>4</v>
      </c>
      <c r="G29" s="64">
        <v>20.48</v>
      </c>
      <c r="H29" s="64">
        <v>5.4</v>
      </c>
      <c r="I29" s="64">
        <v>3.34</v>
      </c>
      <c r="J29" s="64">
        <v>0.66</v>
      </c>
      <c r="K29" s="64">
        <v>10.210000000000001</v>
      </c>
      <c r="L29" s="64">
        <v>23.16</v>
      </c>
      <c r="M29" s="64">
        <v>96.79</v>
      </c>
      <c r="N29" s="64">
        <v>18.899999999999999</v>
      </c>
      <c r="O29" s="64">
        <v>0</v>
      </c>
      <c r="P29" s="64">
        <v>0.28000000000000003</v>
      </c>
      <c r="Q29" s="64">
        <v>9.1999999999999993</v>
      </c>
      <c r="R29" s="198"/>
      <c r="S29" s="198"/>
      <c r="T29" s="198"/>
      <c r="U29" s="198"/>
    </row>
    <row r="30" spans="1:21" s="12" customFormat="1" x14ac:dyDescent="0.25">
      <c r="A30" s="217" t="s">
        <v>647</v>
      </c>
      <c r="B30" s="64">
        <v>8.23</v>
      </c>
      <c r="C30" s="64">
        <v>3.19</v>
      </c>
      <c r="D30" s="64">
        <v>12.04</v>
      </c>
      <c r="E30" s="64">
        <v>4.7</v>
      </c>
      <c r="F30" s="64">
        <v>3.57</v>
      </c>
      <c r="G30" s="64">
        <v>20.48</v>
      </c>
      <c r="H30" s="64">
        <v>5.4</v>
      </c>
      <c r="I30" s="64">
        <v>3.13</v>
      </c>
      <c r="J30" s="64">
        <v>0.55000000000000004</v>
      </c>
      <c r="K30" s="64">
        <v>11.1</v>
      </c>
      <c r="L30" s="64">
        <v>23.07</v>
      </c>
      <c r="M30" s="64">
        <v>95.73</v>
      </c>
      <c r="N30" s="64">
        <v>20.9</v>
      </c>
      <c r="O30" s="64">
        <v>0</v>
      </c>
      <c r="P30" s="64">
        <v>0.27</v>
      </c>
      <c r="Q30" s="64">
        <v>9.19</v>
      </c>
      <c r="R30" s="198"/>
      <c r="S30" s="198"/>
      <c r="T30" s="198"/>
      <c r="U30" s="198"/>
    </row>
    <row r="31" spans="1:21" s="12" customFormat="1" x14ac:dyDescent="0.25">
      <c r="A31" s="217" t="s">
        <v>648</v>
      </c>
      <c r="B31" s="64">
        <v>8.2200000000000006</v>
      </c>
      <c r="C31" s="64">
        <v>3.14</v>
      </c>
      <c r="D31" s="64">
        <v>12.01</v>
      </c>
      <c r="E31" s="64">
        <v>5.0999999999999996</v>
      </c>
      <c r="F31" s="64">
        <v>3.93</v>
      </c>
      <c r="G31" s="64">
        <v>20.48</v>
      </c>
      <c r="H31" s="64">
        <v>5.4</v>
      </c>
      <c r="I31" s="64">
        <v>2.88</v>
      </c>
      <c r="J31" s="64">
        <v>0.55000000000000004</v>
      </c>
      <c r="K31" s="64">
        <v>359.77</v>
      </c>
      <c r="L31" s="64">
        <v>22.88</v>
      </c>
      <c r="M31" s="64">
        <v>95.29</v>
      </c>
      <c r="N31" s="64">
        <v>31.2</v>
      </c>
      <c r="O31" s="64">
        <v>0</v>
      </c>
      <c r="P31" s="64">
        <v>0.28000000000000003</v>
      </c>
      <c r="Q31" s="64">
        <v>9.18</v>
      </c>
      <c r="R31" s="198"/>
      <c r="S31" s="198"/>
      <c r="T31" s="198"/>
      <c r="U31" s="198"/>
    </row>
    <row r="32" spans="1:21" s="12" customFormat="1" x14ac:dyDescent="0.25">
      <c r="A32" s="217" t="s">
        <v>649</v>
      </c>
      <c r="B32" s="64">
        <v>8.26</v>
      </c>
      <c r="C32" s="64">
        <v>3.25</v>
      </c>
      <c r="D32" s="64">
        <v>12.09</v>
      </c>
      <c r="E32" s="64">
        <v>4.84</v>
      </c>
      <c r="F32" s="64">
        <v>4.84</v>
      </c>
      <c r="G32" s="64">
        <v>18.579999999999998</v>
      </c>
      <c r="H32" s="64">
        <v>4.6500000000000004</v>
      </c>
      <c r="I32" s="64">
        <v>2.64</v>
      </c>
      <c r="J32" s="64">
        <v>0.52</v>
      </c>
      <c r="K32" s="64">
        <v>358.83</v>
      </c>
      <c r="L32" s="64">
        <v>22.86</v>
      </c>
      <c r="M32" s="64">
        <v>94.89</v>
      </c>
      <c r="N32" s="64">
        <v>45</v>
      </c>
      <c r="O32" s="64">
        <v>0</v>
      </c>
      <c r="P32" s="64">
        <v>0.28000000000000003</v>
      </c>
      <c r="Q32" s="64">
        <v>9.18</v>
      </c>
      <c r="R32" s="198"/>
      <c r="S32" s="198"/>
      <c r="T32" s="198"/>
      <c r="U32" s="198"/>
    </row>
    <row r="33" spans="1:21" s="12" customFormat="1" x14ac:dyDescent="0.25">
      <c r="A33" s="217" t="s">
        <v>650</v>
      </c>
      <c r="B33" s="64">
        <v>8.36</v>
      </c>
      <c r="C33" s="64">
        <v>3.57</v>
      </c>
      <c r="D33" s="64">
        <v>12.35</v>
      </c>
      <c r="E33" s="64">
        <v>4.95</v>
      </c>
      <c r="F33" s="64">
        <v>3.56</v>
      </c>
      <c r="G33" s="64">
        <v>16.420000000000002</v>
      </c>
      <c r="H33" s="64">
        <v>3.78</v>
      </c>
      <c r="I33" s="64">
        <v>2.34</v>
      </c>
      <c r="J33" s="64">
        <v>0.54</v>
      </c>
      <c r="K33" s="64">
        <v>354</v>
      </c>
      <c r="L33" s="64">
        <v>22.83</v>
      </c>
      <c r="M33" s="64">
        <v>95.46</v>
      </c>
      <c r="N33" s="64">
        <v>46.4</v>
      </c>
      <c r="O33" s="64">
        <v>0</v>
      </c>
      <c r="P33" s="64">
        <v>0.27</v>
      </c>
      <c r="Q33" s="64">
        <v>9.15</v>
      </c>
      <c r="R33" s="198"/>
      <c r="S33" s="198"/>
      <c r="T33" s="198"/>
      <c r="U33" s="198"/>
    </row>
    <row r="34" spans="1:21" s="12" customFormat="1" x14ac:dyDescent="0.25">
      <c r="A34" s="217" t="s">
        <v>651</v>
      </c>
      <c r="B34" s="64">
        <v>8.24</v>
      </c>
      <c r="C34" s="64">
        <v>3.19</v>
      </c>
      <c r="D34" s="64">
        <v>12.05</v>
      </c>
      <c r="E34" s="64">
        <v>4.7300000000000004</v>
      </c>
      <c r="F34" s="64">
        <v>4.04</v>
      </c>
      <c r="G34" s="64">
        <v>16.420000000000002</v>
      </c>
      <c r="H34" s="64">
        <v>3.78</v>
      </c>
      <c r="I34" s="64">
        <v>2.14</v>
      </c>
      <c r="J34" s="64">
        <v>0.55000000000000004</v>
      </c>
      <c r="K34" s="64">
        <v>10.7</v>
      </c>
      <c r="L34" s="64">
        <v>22.88</v>
      </c>
      <c r="M34" s="64">
        <v>94.98</v>
      </c>
      <c r="N34" s="64">
        <v>63.5</v>
      </c>
      <c r="O34" s="64">
        <v>0</v>
      </c>
      <c r="P34" s="64">
        <v>0.28000000000000003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7" t="s">
        <v>652</v>
      </c>
      <c r="B35" s="64">
        <v>8.26</v>
      </c>
      <c r="C35" s="64">
        <v>3.19</v>
      </c>
      <c r="D35" s="64">
        <v>12.07</v>
      </c>
      <c r="E35" s="64">
        <v>4.9000000000000004</v>
      </c>
      <c r="F35" s="64">
        <v>3.75</v>
      </c>
      <c r="G35" s="64">
        <v>16.420000000000002</v>
      </c>
      <c r="H35" s="64">
        <v>3.78</v>
      </c>
      <c r="I35" s="64">
        <v>2</v>
      </c>
      <c r="J35" s="64">
        <v>0.44</v>
      </c>
      <c r="K35" s="64">
        <v>359.95</v>
      </c>
      <c r="L35" s="64">
        <v>23.11</v>
      </c>
      <c r="M35" s="64">
        <v>93.58</v>
      </c>
      <c r="N35" s="64">
        <v>82.7</v>
      </c>
      <c r="O35" s="64">
        <v>0</v>
      </c>
      <c r="P35" s="64">
        <v>0.27</v>
      </c>
      <c r="Q35" s="64">
        <v>9.1300000000000008</v>
      </c>
      <c r="R35" s="198"/>
      <c r="S35" s="198"/>
      <c r="T35" s="198"/>
      <c r="U35" s="198"/>
    </row>
    <row r="36" spans="1:21" s="12" customFormat="1" x14ac:dyDescent="0.25">
      <c r="A36" s="217" t="s">
        <v>653</v>
      </c>
      <c r="B36" s="64">
        <v>8.27</v>
      </c>
      <c r="C36" s="64">
        <v>3.19</v>
      </c>
      <c r="D36" s="64">
        <v>12.08</v>
      </c>
      <c r="E36" s="64">
        <v>4.5599999999999996</v>
      </c>
      <c r="F36" s="64">
        <v>4.33</v>
      </c>
      <c r="G36" s="64">
        <v>19.78</v>
      </c>
      <c r="H36" s="64">
        <v>5.77</v>
      </c>
      <c r="I36" s="64">
        <v>1.83</v>
      </c>
      <c r="J36" s="64">
        <v>0.52</v>
      </c>
      <c r="K36" s="64">
        <v>353.63</v>
      </c>
      <c r="L36" s="64">
        <v>23.17</v>
      </c>
      <c r="M36" s="64">
        <v>93.49</v>
      </c>
      <c r="N36" s="64">
        <v>99.8</v>
      </c>
      <c r="O36" s="64">
        <v>0</v>
      </c>
      <c r="P36" s="64">
        <v>0.28000000000000003</v>
      </c>
      <c r="Q36" s="64">
        <v>9.1300000000000008</v>
      </c>
      <c r="R36" s="198"/>
      <c r="S36" s="198"/>
      <c r="T36" s="198"/>
      <c r="U36" s="198"/>
    </row>
    <row r="37" spans="1:21" s="12" customFormat="1" x14ac:dyDescent="0.25">
      <c r="A37" s="217" t="s">
        <v>654</v>
      </c>
      <c r="B37" s="64">
        <v>8.2899999999999991</v>
      </c>
      <c r="C37" s="64">
        <v>3.17</v>
      </c>
      <c r="D37" s="64">
        <v>12.08</v>
      </c>
      <c r="E37" s="64">
        <v>4.84</v>
      </c>
      <c r="F37" s="64">
        <v>4.28</v>
      </c>
      <c r="G37" s="64">
        <v>23.62</v>
      </c>
      <c r="H37" s="64">
        <v>8.0399999999999991</v>
      </c>
      <c r="I37" s="64">
        <v>1.69</v>
      </c>
      <c r="J37" s="64">
        <v>0.33</v>
      </c>
      <c r="K37" s="64">
        <v>339.78</v>
      </c>
      <c r="L37" s="64">
        <v>23.33</v>
      </c>
      <c r="M37" s="64">
        <v>93.46</v>
      </c>
      <c r="N37" s="64">
        <v>135.80000000000001</v>
      </c>
      <c r="O37" s="64">
        <v>0</v>
      </c>
      <c r="P37" s="64">
        <v>0.28000000000000003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7" t="s">
        <v>655</v>
      </c>
      <c r="B38" s="64">
        <v>8.2899999999999991</v>
      </c>
      <c r="C38" s="64">
        <v>3.2</v>
      </c>
      <c r="D38" s="64">
        <v>12.1</v>
      </c>
      <c r="E38" s="64">
        <v>4.51</v>
      </c>
      <c r="F38" s="64">
        <v>4.3099999999999996</v>
      </c>
      <c r="G38" s="64">
        <v>23.62</v>
      </c>
      <c r="H38" s="64">
        <v>8.0399999999999991</v>
      </c>
      <c r="I38" s="64">
        <v>1.61</v>
      </c>
      <c r="J38" s="64">
        <v>0.26</v>
      </c>
      <c r="K38" s="64">
        <v>345.72</v>
      </c>
      <c r="L38" s="64">
        <v>23.38</v>
      </c>
      <c r="M38" s="64">
        <v>93.63</v>
      </c>
      <c r="N38" s="64">
        <v>132.9</v>
      </c>
      <c r="O38" s="64">
        <v>0</v>
      </c>
      <c r="P38" s="64">
        <v>0.28000000000000003</v>
      </c>
      <c r="Q38" s="64">
        <v>9.17</v>
      </c>
      <c r="R38" s="198"/>
      <c r="S38" s="198"/>
      <c r="T38" s="198"/>
      <c r="U38" s="198"/>
    </row>
    <row r="39" spans="1:21" s="12" customFormat="1" x14ac:dyDescent="0.25">
      <c r="A39" s="217" t="s">
        <v>656</v>
      </c>
      <c r="B39" s="64">
        <v>8.26</v>
      </c>
      <c r="C39" s="64">
        <v>3.22</v>
      </c>
      <c r="D39" s="64">
        <v>12.08</v>
      </c>
      <c r="E39" s="64">
        <v>4.97</v>
      </c>
      <c r="F39" s="64">
        <v>3.84</v>
      </c>
      <c r="G39" s="64">
        <v>23.62</v>
      </c>
      <c r="H39" s="64">
        <v>8.0399999999999991</v>
      </c>
      <c r="I39" s="64">
        <v>1.63</v>
      </c>
      <c r="J39" s="64">
        <v>0.17</v>
      </c>
      <c r="K39" s="64">
        <v>351.43</v>
      </c>
      <c r="L39" s="64">
        <v>23.45</v>
      </c>
      <c r="M39" s="64">
        <v>94.07</v>
      </c>
      <c r="N39" s="64">
        <v>138</v>
      </c>
      <c r="O39" s="64">
        <v>0</v>
      </c>
      <c r="P39" s="64">
        <v>0.28000000000000003</v>
      </c>
      <c r="Q39" s="64">
        <v>9.18</v>
      </c>
      <c r="R39" s="198"/>
      <c r="S39" s="198"/>
      <c r="T39" s="198"/>
      <c r="U39" s="198"/>
    </row>
    <row r="40" spans="1:21" s="12" customFormat="1" x14ac:dyDescent="0.25">
      <c r="A40" s="217" t="s">
        <v>657</v>
      </c>
      <c r="B40" s="64">
        <v>8.26</v>
      </c>
      <c r="C40" s="64">
        <v>3.13</v>
      </c>
      <c r="D40" s="64">
        <v>12.04</v>
      </c>
      <c r="E40" s="64">
        <v>5.23</v>
      </c>
      <c r="F40" s="64">
        <v>3.25</v>
      </c>
      <c r="G40" s="64">
        <v>24.87</v>
      </c>
      <c r="H40" s="64">
        <v>7.52</v>
      </c>
      <c r="I40" s="64">
        <v>1.66</v>
      </c>
      <c r="J40" s="64">
        <v>0.42</v>
      </c>
      <c r="K40" s="64">
        <v>342.12</v>
      </c>
      <c r="L40" s="64">
        <v>23.66</v>
      </c>
      <c r="M40" s="64">
        <v>92.08</v>
      </c>
      <c r="N40" s="64">
        <v>178.5</v>
      </c>
      <c r="O40" s="64">
        <v>0</v>
      </c>
      <c r="P40" s="64">
        <v>0.28000000000000003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7" t="s">
        <v>658</v>
      </c>
      <c r="B41" s="64">
        <v>8.26</v>
      </c>
      <c r="C41" s="64">
        <v>3.18</v>
      </c>
      <c r="D41" s="64">
        <v>12.06</v>
      </c>
      <c r="E41" s="64">
        <v>4.59</v>
      </c>
      <c r="F41" s="64">
        <v>4.55</v>
      </c>
      <c r="G41" s="64">
        <v>26.22</v>
      </c>
      <c r="H41" s="64">
        <v>6.93</v>
      </c>
      <c r="I41" s="64">
        <v>1.7</v>
      </c>
      <c r="J41" s="64">
        <v>0.55000000000000004</v>
      </c>
      <c r="K41" s="64">
        <v>357.29</v>
      </c>
      <c r="L41" s="64">
        <v>23.72</v>
      </c>
      <c r="M41" s="64">
        <v>90.52</v>
      </c>
      <c r="N41" s="64">
        <v>201.3</v>
      </c>
      <c r="O41" s="64">
        <v>0</v>
      </c>
      <c r="P41" s="64">
        <v>0.28999999999999998</v>
      </c>
      <c r="Q41" s="64">
        <v>9.16</v>
      </c>
      <c r="R41" s="198"/>
      <c r="S41" s="198"/>
      <c r="T41" s="198"/>
      <c r="U41" s="198"/>
    </row>
    <row r="42" spans="1:21" s="12" customFormat="1" x14ac:dyDescent="0.25">
      <c r="A42" s="217" t="s">
        <v>659</v>
      </c>
      <c r="B42" s="64">
        <v>8.24</v>
      </c>
      <c r="C42" s="64">
        <v>3.14</v>
      </c>
      <c r="D42" s="64">
        <v>12.03</v>
      </c>
      <c r="E42" s="64">
        <v>4.42</v>
      </c>
      <c r="F42" s="64">
        <v>5.31</v>
      </c>
      <c r="G42" s="64">
        <v>26.22</v>
      </c>
      <c r="H42" s="64">
        <v>6.93</v>
      </c>
      <c r="I42" s="64">
        <v>1.71</v>
      </c>
      <c r="J42" s="64">
        <v>0.63</v>
      </c>
      <c r="K42" s="64">
        <v>6.15</v>
      </c>
      <c r="L42" s="64">
        <v>23.97</v>
      </c>
      <c r="M42" s="64">
        <v>89.31</v>
      </c>
      <c r="N42" s="64">
        <v>245</v>
      </c>
      <c r="O42" s="64">
        <v>0</v>
      </c>
      <c r="P42" s="64">
        <v>0.3</v>
      </c>
      <c r="Q42" s="64">
        <v>9.18</v>
      </c>
      <c r="R42" s="198"/>
      <c r="S42" s="198"/>
      <c r="T42" s="198"/>
      <c r="U42" s="198"/>
    </row>
    <row r="43" spans="1:21" s="12" customFormat="1" x14ac:dyDescent="0.25">
      <c r="A43" s="217" t="s">
        <v>660</v>
      </c>
      <c r="B43" s="64">
        <v>8.24</v>
      </c>
      <c r="C43" s="64">
        <v>3.16</v>
      </c>
      <c r="D43" s="64">
        <v>12.03</v>
      </c>
      <c r="E43" s="64">
        <v>4.7</v>
      </c>
      <c r="F43" s="64">
        <v>4.74</v>
      </c>
      <c r="G43" s="64">
        <v>26.22</v>
      </c>
      <c r="H43" s="64">
        <v>6.93</v>
      </c>
      <c r="I43" s="64">
        <v>1.68</v>
      </c>
      <c r="J43" s="64">
        <v>0.38</v>
      </c>
      <c r="K43" s="64">
        <v>348.61</v>
      </c>
      <c r="L43" s="64">
        <v>24.81</v>
      </c>
      <c r="M43" s="64">
        <v>86.85</v>
      </c>
      <c r="N43" s="64">
        <v>431.3</v>
      </c>
      <c r="O43" s="64">
        <v>0</v>
      </c>
      <c r="P43" s="64">
        <v>0.3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17" t="s">
        <v>661</v>
      </c>
      <c r="B44" s="64">
        <v>8.23</v>
      </c>
      <c r="C44" s="64">
        <v>3.16</v>
      </c>
      <c r="D44" s="64">
        <v>12.02</v>
      </c>
      <c r="E44" s="64">
        <v>4.43</v>
      </c>
      <c r="F44" s="64">
        <v>4.5599999999999996</v>
      </c>
      <c r="G44" s="64">
        <v>26.55</v>
      </c>
      <c r="H44" s="64">
        <v>6.08</v>
      </c>
      <c r="I44" s="64">
        <v>1.58</v>
      </c>
      <c r="J44" s="64">
        <v>0.39</v>
      </c>
      <c r="K44" s="64">
        <v>335.91</v>
      </c>
      <c r="L44" s="64">
        <v>25.19</v>
      </c>
      <c r="M44" s="64">
        <v>84.84</v>
      </c>
      <c r="N44" s="64">
        <v>408.3</v>
      </c>
      <c r="O44" s="64">
        <v>0</v>
      </c>
      <c r="P44" s="64">
        <v>0.31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7" t="s">
        <v>662</v>
      </c>
      <c r="B45" s="64">
        <v>8.1999999999999993</v>
      </c>
      <c r="C45" s="64">
        <v>3.16</v>
      </c>
      <c r="D45" s="64">
        <v>12</v>
      </c>
      <c r="E45" s="64">
        <v>4.49</v>
      </c>
      <c r="F45" s="64">
        <v>4.4800000000000004</v>
      </c>
      <c r="G45" s="64">
        <v>26.92</v>
      </c>
      <c r="H45" s="64">
        <v>5.0999999999999996</v>
      </c>
      <c r="I45" s="64">
        <v>1.57</v>
      </c>
      <c r="J45" s="64">
        <v>0.44</v>
      </c>
      <c r="K45" s="64">
        <v>353.2</v>
      </c>
      <c r="L45" s="64">
        <v>25.56</v>
      </c>
      <c r="M45" s="64">
        <v>83.69</v>
      </c>
      <c r="N45" s="64">
        <v>408.1</v>
      </c>
      <c r="O45" s="64">
        <v>0</v>
      </c>
      <c r="P45" s="64">
        <v>0.31</v>
      </c>
      <c r="Q45" s="64">
        <v>9.19</v>
      </c>
      <c r="R45" s="198"/>
      <c r="S45" s="198"/>
      <c r="T45" s="198"/>
      <c r="U45" s="198"/>
    </row>
    <row r="46" spans="1:21" s="12" customFormat="1" x14ac:dyDescent="0.25">
      <c r="A46" s="217" t="s">
        <v>663</v>
      </c>
      <c r="B46" s="64">
        <v>8.1999999999999993</v>
      </c>
      <c r="C46" s="64">
        <v>3.09</v>
      </c>
      <c r="D46" s="64">
        <v>11.97</v>
      </c>
      <c r="E46" s="64">
        <v>4.3899999999999997</v>
      </c>
      <c r="F46" s="64">
        <v>4.66</v>
      </c>
      <c r="G46" s="64">
        <v>26.92</v>
      </c>
      <c r="H46" s="64">
        <v>5.0999999999999996</v>
      </c>
      <c r="I46" s="64">
        <v>1.59</v>
      </c>
      <c r="J46" s="64">
        <v>0.34</v>
      </c>
      <c r="K46" s="64">
        <v>324.83</v>
      </c>
      <c r="L46" s="64">
        <v>25.87</v>
      </c>
      <c r="M46" s="64">
        <v>82.82</v>
      </c>
      <c r="N46" s="64">
        <v>514.79999999999995</v>
      </c>
      <c r="O46" s="64">
        <v>0</v>
      </c>
      <c r="P46" s="64">
        <v>0.3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7" t="s">
        <v>664</v>
      </c>
      <c r="B47" s="64">
        <v>8.27</v>
      </c>
      <c r="C47" s="64">
        <v>3.24</v>
      </c>
      <c r="D47" s="64">
        <v>12.1</v>
      </c>
      <c r="E47" s="64">
        <v>4.9000000000000004</v>
      </c>
      <c r="F47" s="64">
        <v>4.05</v>
      </c>
      <c r="G47" s="64">
        <v>26.92</v>
      </c>
      <c r="H47" s="64">
        <v>5.0999999999999996</v>
      </c>
      <c r="I47" s="64">
        <v>1.54</v>
      </c>
      <c r="J47" s="64">
        <v>0.15</v>
      </c>
      <c r="K47" s="64">
        <v>334.68</v>
      </c>
      <c r="L47" s="64">
        <v>26.95</v>
      </c>
      <c r="M47" s="64">
        <v>77.77</v>
      </c>
      <c r="N47" s="64">
        <v>797.1</v>
      </c>
      <c r="O47" s="64">
        <v>0</v>
      </c>
      <c r="P47" s="64">
        <v>0.31</v>
      </c>
      <c r="Q47" s="64">
        <v>9.17</v>
      </c>
      <c r="R47" s="198"/>
      <c r="S47" s="198"/>
      <c r="T47" s="198"/>
      <c r="U47" s="198"/>
    </row>
    <row r="48" spans="1:21" s="12" customFormat="1" x14ac:dyDescent="0.25">
      <c r="A48" s="217" t="s">
        <v>665</v>
      </c>
      <c r="B48" s="64">
        <v>8.34</v>
      </c>
      <c r="C48" s="64">
        <v>3.52</v>
      </c>
      <c r="D48" s="64">
        <v>12.3</v>
      </c>
      <c r="E48" s="64">
        <v>4.55</v>
      </c>
      <c r="F48" s="64">
        <v>4.78</v>
      </c>
      <c r="G48" s="64">
        <v>26.37</v>
      </c>
      <c r="H48" s="64">
        <v>4.5999999999999996</v>
      </c>
      <c r="I48" s="64">
        <v>1.48</v>
      </c>
      <c r="J48" s="64">
        <v>0.32</v>
      </c>
      <c r="K48" s="64">
        <v>337.22</v>
      </c>
      <c r="L48" s="64">
        <v>27.52</v>
      </c>
      <c r="M48" s="64">
        <v>74.38</v>
      </c>
      <c r="N48" s="64">
        <v>769.2</v>
      </c>
      <c r="O48" s="64">
        <v>0</v>
      </c>
      <c r="P48" s="64">
        <v>0.31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7" t="s">
        <v>666</v>
      </c>
      <c r="B49" s="64">
        <v>8.3000000000000007</v>
      </c>
      <c r="C49" s="64">
        <v>3.44</v>
      </c>
      <c r="D49" s="64">
        <v>12.22</v>
      </c>
      <c r="E49" s="64">
        <v>4.95</v>
      </c>
      <c r="F49" s="64">
        <v>4.5999999999999996</v>
      </c>
      <c r="G49" s="64">
        <v>25.76</v>
      </c>
      <c r="H49" s="64">
        <v>4.0199999999999996</v>
      </c>
      <c r="I49" s="64">
        <v>1.42</v>
      </c>
      <c r="J49" s="64">
        <v>0.2</v>
      </c>
      <c r="K49" s="64">
        <v>9.5500000000000007</v>
      </c>
      <c r="L49" s="64">
        <v>27.83</v>
      </c>
      <c r="M49" s="64">
        <v>73.489999999999995</v>
      </c>
      <c r="N49" s="64">
        <v>812.5</v>
      </c>
      <c r="O49" s="64">
        <v>0</v>
      </c>
      <c r="P49" s="64">
        <v>0.31</v>
      </c>
      <c r="Q49" s="64">
        <v>9.17</v>
      </c>
      <c r="R49" s="198"/>
      <c r="S49" s="198"/>
      <c r="T49" s="198"/>
      <c r="U49" s="198"/>
    </row>
    <row r="50" spans="1:21" s="12" customFormat="1" x14ac:dyDescent="0.25">
      <c r="A50" s="217" t="s">
        <v>667</v>
      </c>
      <c r="B50" s="64">
        <v>8.2200000000000006</v>
      </c>
      <c r="C50" s="64">
        <v>3.18</v>
      </c>
      <c r="D50" s="64">
        <v>12.02</v>
      </c>
      <c r="E50" s="64">
        <v>4.53</v>
      </c>
      <c r="F50" s="64">
        <v>4.93</v>
      </c>
      <c r="G50" s="64">
        <v>25.76</v>
      </c>
      <c r="H50" s="64">
        <v>4.0199999999999996</v>
      </c>
      <c r="I50" s="64">
        <v>1.38</v>
      </c>
      <c r="J50" s="64">
        <v>0.64</v>
      </c>
      <c r="K50" s="64">
        <v>2.73</v>
      </c>
      <c r="L50" s="64">
        <v>28.93</v>
      </c>
      <c r="M50" s="64">
        <v>70</v>
      </c>
      <c r="N50" s="64">
        <v>799.9</v>
      </c>
      <c r="O50" s="64">
        <v>0</v>
      </c>
      <c r="P50" s="64">
        <v>0.32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7" t="s">
        <v>668</v>
      </c>
      <c r="B51" s="64">
        <v>8.2100000000000009</v>
      </c>
      <c r="C51" s="64">
        <v>3.12</v>
      </c>
      <c r="D51" s="64">
        <v>11.99</v>
      </c>
      <c r="E51" s="64">
        <v>4.6500000000000004</v>
      </c>
      <c r="F51" s="64">
        <v>3.93</v>
      </c>
      <c r="G51" s="64">
        <v>25.76</v>
      </c>
      <c r="H51" s="64">
        <v>4.0199999999999996</v>
      </c>
      <c r="I51" s="64">
        <v>1.36</v>
      </c>
      <c r="J51" s="64">
        <v>0.56000000000000005</v>
      </c>
      <c r="K51" s="64">
        <v>8.2899999999999991</v>
      </c>
      <c r="L51" s="64">
        <v>29.94</v>
      </c>
      <c r="M51" s="64">
        <v>66.150000000000006</v>
      </c>
      <c r="N51" s="64">
        <v>631.20000000000005</v>
      </c>
      <c r="O51" s="64">
        <v>0</v>
      </c>
      <c r="P51" s="64">
        <v>0.33</v>
      </c>
      <c r="Q51" s="64">
        <v>9.15</v>
      </c>
      <c r="R51" s="198"/>
      <c r="S51" s="198"/>
      <c r="T51" s="198"/>
      <c r="U51" s="198"/>
    </row>
    <row r="52" spans="1:21" s="12" customFormat="1" x14ac:dyDescent="0.25">
      <c r="A52" s="217" t="s">
        <v>669</v>
      </c>
      <c r="B52" s="64">
        <v>8.2100000000000009</v>
      </c>
      <c r="C52" s="64">
        <v>3.12</v>
      </c>
      <c r="D52" s="64">
        <v>11.99</v>
      </c>
      <c r="E52" s="64">
        <v>4.75</v>
      </c>
      <c r="F52" s="64">
        <v>5.09</v>
      </c>
      <c r="G52" s="64">
        <v>27.68</v>
      </c>
      <c r="H52" s="64">
        <v>5.66</v>
      </c>
      <c r="I52" s="64">
        <v>1.37</v>
      </c>
      <c r="J52" s="64">
        <v>0.66</v>
      </c>
      <c r="K52" s="64">
        <v>354.35</v>
      </c>
      <c r="L52" s="64">
        <v>29.45</v>
      </c>
      <c r="M52" s="64">
        <v>67.08</v>
      </c>
      <c r="N52" s="64">
        <v>811.3</v>
      </c>
      <c r="O52" s="64">
        <v>0</v>
      </c>
      <c r="P52" s="64">
        <v>0.35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7" t="s">
        <v>670</v>
      </c>
      <c r="B53" s="64">
        <v>8.24</v>
      </c>
      <c r="C53" s="64">
        <v>3.14</v>
      </c>
      <c r="D53" s="64">
        <v>12.02</v>
      </c>
      <c r="E53" s="64">
        <v>4.7699999999999996</v>
      </c>
      <c r="F53" s="64">
        <v>4.34</v>
      </c>
      <c r="G53" s="64">
        <v>29.86</v>
      </c>
      <c r="H53" s="64">
        <v>7.54</v>
      </c>
      <c r="I53" s="64">
        <v>1.35</v>
      </c>
      <c r="J53" s="64">
        <v>0.72</v>
      </c>
      <c r="K53" s="64">
        <v>347.65</v>
      </c>
      <c r="L53" s="64">
        <v>28.93</v>
      </c>
      <c r="M53" s="64">
        <v>67.92</v>
      </c>
      <c r="N53" s="64">
        <v>494</v>
      </c>
      <c r="O53" s="64">
        <v>0</v>
      </c>
      <c r="P53" s="64">
        <v>0.35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7" t="s">
        <v>671</v>
      </c>
      <c r="B54" s="64">
        <v>8.24</v>
      </c>
      <c r="C54" s="64">
        <v>3.09</v>
      </c>
      <c r="D54" s="64">
        <v>12</v>
      </c>
      <c r="E54" s="64">
        <v>4.59</v>
      </c>
      <c r="F54" s="64">
        <v>5.52</v>
      </c>
      <c r="G54" s="64">
        <v>29.86</v>
      </c>
      <c r="H54" s="64">
        <v>7.54</v>
      </c>
      <c r="I54" s="64">
        <v>1.39</v>
      </c>
      <c r="J54" s="64">
        <v>0.56999999999999995</v>
      </c>
      <c r="K54" s="64">
        <v>345.95</v>
      </c>
      <c r="L54" s="64">
        <v>29.18</v>
      </c>
      <c r="M54" s="64">
        <v>67.42</v>
      </c>
      <c r="N54" s="64">
        <v>541.1</v>
      </c>
      <c r="O54" s="64">
        <v>0</v>
      </c>
      <c r="P54" s="64">
        <v>0.35</v>
      </c>
      <c r="Q54" s="64">
        <v>9.1199999999999992</v>
      </c>
      <c r="R54" s="198"/>
      <c r="S54" s="198"/>
      <c r="T54" s="198"/>
      <c r="U54" s="198"/>
    </row>
    <row r="55" spans="1:21" s="12" customFormat="1" x14ac:dyDescent="0.25">
      <c r="A55" s="217" t="s">
        <v>672</v>
      </c>
      <c r="B55" s="64">
        <v>8.25</v>
      </c>
      <c r="C55" s="64">
        <v>3.13</v>
      </c>
      <c r="D55" s="64">
        <v>12.02</v>
      </c>
      <c r="E55" s="64">
        <v>4.46</v>
      </c>
      <c r="F55" s="64">
        <v>5.41</v>
      </c>
      <c r="G55" s="64">
        <v>29.86</v>
      </c>
      <c r="H55" s="64">
        <v>7.54</v>
      </c>
      <c r="I55" s="64">
        <v>1.29</v>
      </c>
      <c r="J55" s="64">
        <v>0.61</v>
      </c>
      <c r="K55" s="64">
        <v>337.67</v>
      </c>
      <c r="L55" s="64">
        <v>28.61</v>
      </c>
      <c r="M55" s="64">
        <v>69.11</v>
      </c>
      <c r="N55" s="64">
        <v>460.5</v>
      </c>
      <c r="O55" s="64">
        <v>0</v>
      </c>
      <c r="P55" s="64">
        <v>0.35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7" t="s">
        <v>673</v>
      </c>
      <c r="B56" s="64">
        <v>8.24</v>
      </c>
      <c r="C56" s="64">
        <v>3.15</v>
      </c>
      <c r="D56" s="64">
        <v>12.03</v>
      </c>
      <c r="E56" s="64">
        <v>4.3899999999999997</v>
      </c>
      <c r="F56" s="64">
        <v>5.28</v>
      </c>
      <c r="G56" s="64">
        <v>31.82</v>
      </c>
      <c r="H56" s="64">
        <v>7.91</v>
      </c>
      <c r="I56" s="64">
        <v>1.25</v>
      </c>
      <c r="J56" s="64">
        <v>0.54</v>
      </c>
      <c r="K56" s="64">
        <v>342.94</v>
      </c>
      <c r="L56" s="64">
        <v>29.13</v>
      </c>
      <c r="M56" s="64">
        <v>67.66</v>
      </c>
      <c r="N56" s="64">
        <v>276.10000000000002</v>
      </c>
      <c r="O56" s="64">
        <v>0</v>
      </c>
      <c r="P56" s="64">
        <v>0.37</v>
      </c>
      <c r="Q56" s="64">
        <v>9.1300000000000008</v>
      </c>
      <c r="R56" s="198"/>
      <c r="S56" s="198"/>
      <c r="T56" s="198"/>
      <c r="U56" s="198"/>
    </row>
    <row r="57" spans="1:21" s="12" customFormat="1" x14ac:dyDescent="0.25">
      <c r="A57" s="217" t="s">
        <v>674</v>
      </c>
      <c r="B57" s="64">
        <v>8.26</v>
      </c>
      <c r="C57" s="64">
        <v>3.16</v>
      </c>
      <c r="D57" s="64">
        <v>12.05</v>
      </c>
      <c r="E57" s="64">
        <v>3.87</v>
      </c>
      <c r="F57" s="64">
        <v>5.09</v>
      </c>
      <c r="G57" s="64">
        <v>34.07</v>
      </c>
      <c r="H57" s="64">
        <v>8.32</v>
      </c>
      <c r="I57" s="64">
        <v>1.24</v>
      </c>
      <c r="J57" s="64">
        <v>0.54</v>
      </c>
      <c r="K57" s="64">
        <v>348.08</v>
      </c>
      <c r="L57" s="64">
        <v>28.19</v>
      </c>
      <c r="M57" s="64">
        <v>71.23</v>
      </c>
      <c r="N57" s="64">
        <v>279.10000000000002</v>
      </c>
      <c r="O57" s="64">
        <v>0</v>
      </c>
      <c r="P57" s="64">
        <v>0.37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7" t="s">
        <v>675</v>
      </c>
      <c r="B58" s="64">
        <v>8.2799999999999994</v>
      </c>
      <c r="C58" s="64">
        <v>3.2</v>
      </c>
      <c r="D58" s="64">
        <v>12.09</v>
      </c>
      <c r="E58" s="64">
        <v>4.1500000000000004</v>
      </c>
      <c r="F58" s="64">
        <v>5.27</v>
      </c>
      <c r="G58" s="64">
        <v>34.07</v>
      </c>
      <c r="H58" s="64">
        <v>8.32</v>
      </c>
      <c r="I58" s="64">
        <v>1.19</v>
      </c>
      <c r="J58" s="64">
        <v>0.56000000000000005</v>
      </c>
      <c r="K58" s="64">
        <v>347.52</v>
      </c>
      <c r="L58" s="64">
        <v>28.29</v>
      </c>
      <c r="M58" s="64">
        <v>71.92</v>
      </c>
      <c r="N58" s="64">
        <v>288.7</v>
      </c>
      <c r="O58" s="64">
        <v>0</v>
      </c>
      <c r="P58" s="64">
        <v>0.38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7" t="s">
        <v>676</v>
      </c>
      <c r="B59" s="64">
        <v>8.27</v>
      </c>
      <c r="C59" s="64">
        <v>3.18</v>
      </c>
      <c r="D59" s="64">
        <v>12.07</v>
      </c>
      <c r="E59" s="64">
        <v>3.84</v>
      </c>
      <c r="F59" s="64">
        <v>4.41</v>
      </c>
      <c r="G59" s="64">
        <v>34.07</v>
      </c>
      <c r="H59" s="64">
        <v>8.32</v>
      </c>
      <c r="I59" s="64">
        <v>1.2</v>
      </c>
      <c r="J59" s="64">
        <v>0.56999999999999995</v>
      </c>
      <c r="K59" s="64">
        <v>342.31</v>
      </c>
      <c r="L59" s="64">
        <v>28.93</v>
      </c>
      <c r="M59" s="64">
        <v>68.78</v>
      </c>
      <c r="N59" s="64">
        <v>349.7</v>
      </c>
      <c r="O59" s="64">
        <v>0</v>
      </c>
      <c r="P59" s="64">
        <v>0.39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7" t="s">
        <v>677</v>
      </c>
      <c r="B60" s="64">
        <v>8.27</v>
      </c>
      <c r="C60" s="64">
        <v>3.18</v>
      </c>
      <c r="D60" s="64">
        <v>12.06</v>
      </c>
      <c r="E60" s="64">
        <v>3.85</v>
      </c>
      <c r="F60" s="64">
        <v>4.5999999999999996</v>
      </c>
      <c r="G60" s="64">
        <v>35.78</v>
      </c>
      <c r="H60" s="64">
        <v>7.63</v>
      </c>
      <c r="I60" s="64">
        <v>1.24</v>
      </c>
      <c r="J60" s="64">
        <v>0.51</v>
      </c>
      <c r="K60" s="64">
        <v>343.98</v>
      </c>
      <c r="L60" s="64">
        <v>28.97</v>
      </c>
      <c r="M60" s="64">
        <v>68.239999999999995</v>
      </c>
      <c r="N60" s="64">
        <v>369.8</v>
      </c>
      <c r="O60" s="64">
        <v>0</v>
      </c>
      <c r="P60" s="64">
        <v>0.4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7" t="s">
        <v>678</v>
      </c>
      <c r="B61" s="64">
        <v>8.24</v>
      </c>
      <c r="C61" s="64">
        <v>3.16</v>
      </c>
      <c r="D61" s="64">
        <v>12.04</v>
      </c>
      <c r="E61" s="64">
        <v>4.12</v>
      </c>
      <c r="F61" s="64">
        <v>4.41</v>
      </c>
      <c r="G61" s="64">
        <v>37.74</v>
      </c>
      <c r="H61" s="64">
        <v>6.84</v>
      </c>
      <c r="I61" s="64">
        <v>1.29</v>
      </c>
      <c r="J61" s="64">
        <v>0.68</v>
      </c>
      <c r="K61" s="64">
        <v>351.42</v>
      </c>
      <c r="L61" s="64">
        <v>29.26</v>
      </c>
      <c r="M61" s="64">
        <v>67.3</v>
      </c>
      <c r="N61" s="64">
        <v>351.5</v>
      </c>
      <c r="O61" s="64">
        <v>0</v>
      </c>
      <c r="P61" s="64">
        <v>0.39</v>
      </c>
      <c r="Q61" s="64">
        <v>9.24</v>
      </c>
      <c r="R61" s="198"/>
      <c r="S61" s="198"/>
      <c r="T61" s="198"/>
      <c r="U61" s="198"/>
    </row>
    <row r="62" spans="1:21" s="12" customFormat="1" x14ac:dyDescent="0.25">
      <c r="A62" s="217" t="s">
        <v>679</v>
      </c>
      <c r="B62" s="64">
        <v>8.2200000000000006</v>
      </c>
      <c r="C62" s="64">
        <v>3.17</v>
      </c>
      <c r="D62" s="64">
        <v>12.03</v>
      </c>
      <c r="E62" s="64">
        <v>3.81</v>
      </c>
      <c r="F62" s="64">
        <v>4.5999999999999996</v>
      </c>
      <c r="G62" s="64">
        <v>37.74</v>
      </c>
      <c r="H62" s="64">
        <v>6.84</v>
      </c>
      <c r="I62" s="64">
        <v>1.34</v>
      </c>
      <c r="J62" s="64">
        <v>0.73</v>
      </c>
      <c r="K62" s="64">
        <v>322.91000000000003</v>
      </c>
      <c r="L62" s="64">
        <v>29.93</v>
      </c>
      <c r="M62" s="64">
        <v>64.78</v>
      </c>
      <c r="N62" s="64">
        <v>445.2</v>
      </c>
      <c r="O62" s="64">
        <v>0</v>
      </c>
      <c r="P62" s="64">
        <v>0.42</v>
      </c>
      <c r="Q62" s="64">
        <v>9.24</v>
      </c>
      <c r="R62" s="198"/>
      <c r="S62" s="198"/>
      <c r="T62" s="198"/>
      <c r="U62" s="198"/>
    </row>
    <row r="63" spans="1:21" s="12" customFormat="1" x14ac:dyDescent="0.25">
      <c r="A63" s="217" t="s">
        <v>680</v>
      </c>
      <c r="B63" s="64">
        <v>8.24</v>
      </c>
      <c r="C63" s="64">
        <v>3.18</v>
      </c>
      <c r="D63" s="64">
        <v>12.04</v>
      </c>
      <c r="E63" s="64">
        <v>4.22</v>
      </c>
      <c r="F63" s="64">
        <v>4.55</v>
      </c>
      <c r="G63" s="64">
        <v>37.74</v>
      </c>
      <c r="H63" s="64">
        <v>6.84</v>
      </c>
      <c r="I63" s="64">
        <v>1.41</v>
      </c>
      <c r="J63" s="64">
        <v>0.28000000000000003</v>
      </c>
      <c r="K63" s="64">
        <v>332.55</v>
      </c>
      <c r="L63" s="64">
        <v>28.94</v>
      </c>
      <c r="M63" s="64">
        <v>69.86</v>
      </c>
      <c r="N63" s="64">
        <v>407.8</v>
      </c>
      <c r="O63" s="64">
        <v>0</v>
      </c>
      <c r="P63" s="64">
        <v>0.43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17" t="s">
        <v>681</v>
      </c>
      <c r="B64" s="64">
        <v>8.31</v>
      </c>
      <c r="C64" s="64">
        <v>3.43</v>
      </c>
      <c r="D64" s="64">
        <v>12.23</v>
      </c>
      <c r="E64" s="64">
        <v>3.75</v>
      </c>
      <c r="F64" s="64">
        <v>4.8</v>
      </c>
      <c r="G64" s="64">
        <v>38.450000000000003</v>
      </c>
      <c r="H64" s="64">
        <v>9.5500000000000007</v>
      </c>
      <c r="I64" s="64">
        <v>1.47</v>
      </c>
      <c r="J64" s="64">
        <v>0.3</v>
      </c>
      <c r="K64" s="64">
        <v>170.67</v>
      </c>
      <c r="L64" s="64">
        <v>27.32</v>
      </c>
      <c r="M64" s="64">
        <v>76.540000000000006</v>
      </c>
      <c r="N64" s="64">
        <v>194.6</v>
      </c>
      <c r="O64" s="64">
        <v>0</v>
      </c>
      <c r="P64" s="64">
        <v>0.41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7" t="s">
        <v>682</v>
      </c>
      <c r="B65" s="64">
        <v>8.33</v>
      </c>
      <c r="C65" s="64">
        <v>3.5</v>
      </c>
      <c r="D65" s="64">
        <v>12.28</v>
      </c>
      <c r="E65" s="64">
        <v>4.2</v>
      </c>
      <c r="F65" s="64">
        <v>4.53</v>
      </c>
      <c r="G65" s="64">
        <v>39.25</v>
      </c>
      <c r="H65" s="64">
        <v>12.51</v>
      </c>
      <c r="I65" s="64">
        <v>1.49</v>
      </c>
      <c r="J65" s="64">
        <v>0.32</v>
      </c>
      <c r="K65" s="64">
        <v>354.34</v>
      </c>
      <c r="L65" s="64">
        <v>26.73</v>
      </c>
      <c r="M65" s="64">
        <v>77.930000000000007</v>
      </c>
      <c r="N65" s="64">
        <v>115.8</v>
      </c>
      <c r="O65" s="64">
        <v>0</v>
      </c>
      <c r="P65" s="64">
        <v>0.4</v>
      </c>
      <c r="Q65" s="64">
        <v>9.1999999999999993</v>
      </c>
      <c r="R65" s="198"/>
      <c r="S65" s="198"/>
      <c r="T65" s="198"/>
      <c r="U65" s="198"/>
    </row>
    <row r="66" spans="1:21" s="12" customFormat="1" x14ac:dyDescent="0.25">
      <c r="A66" s="217" t="s">
        <v>683</v>
      </c>
      <c r="B66" s="64">
        <v>8.31</v>
      </c>
      <c r="C66" s="64">
        <v>3.44</v>
      </c>
      <c r="D66" s="64">
        <v>12.23</v>
      </c>
      <c r="E66" s="64">
        <v>3.89</v>
      </c>
      <c r="F66" s="64">
        <v>4.58</v>
      </c>
      <c r="G66" s="64">
        <v>39.25</v>
      </c>
      <c r="H66" s="64">
        <v>12.51</v>
      </c>
      <c r="I66" s="64">
        <v>1.53</v>
      </c>
      <c r="J66" s="64">
        <v>0.37</v>
      </c>
      <c r="K66" s="64">
        <v>337.13</v>
      </c>
      <c r="L66" s="64">
        <v>26.85</v>
      </c>
      <c r="M66" s="64">
        <v>77.81</v>
      </c>
      <c r="N66" s="64">
        <v>124.4</v>
      </c>
      <c r="O66" s="64">
        <v>0</v>
      </c>
      <c r="P66" s="64">
        <v>0.4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17" t="s">
        <v>684</v>
      </c>
      <c r="B67" s="64">
        <v>8.2200000000000006</v>
      </c>
      <c r="C67" s="64">
        <v>3.18</v>
      </c>
      <c r="D67" s="64">
        <v>12.03</v>
      </c>
      <c r="E67" s="64">
        <v>4.21</v>
      </c>
      <c r="F67" s="64">
        <v>4.2300000000000004</v>
      </c>
      <c r="G67" s="64">
        <v>39.25</v>
      </c>
      <c r="H67" s="64">
        <v>12.51</v>
      </c>
      <c r="I67" s="64">
        <v>1.56</v>
      </c>
      <c r="J67" s="64">
        <v>0.52</v>
      </c>
      <c r="K67" s="64">
        <v>349.59</v>
      </c>
      <c r="L67" s="64">
        <v>27.16</v>
      </c>
      <c r="M67" s="64">
        <v>76.81</v>
      </c>
      <c r="N67" s="64">
        <v>155.69999999999999</v>
      </c>
      <c r="O67" s="64">
        <v>0</v>
      </c>
      <c r="P67" s="64">
        <v>0.4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7" t="s">
        <v>685</v>
      </c>
      <c r="B68" s="64">
        <v>8.1999999999999993</v>
      </c>
      <c r="C68" s="64">
        <v>3.17</v>
      </c>
      <c r="D68" s="64">
        <v>12.01</v>
      </c>
      <c r="E68" s="64">
        <v>3.78</v>
      </c>
      <c r="F68" s="64">
        <v>4.6100000000000003</v>
      </c>
      <c r="G68" s="64">
        <v>40.96</v>
      </c>
      <c r="H68" s="64">
        <v>12.38</v>
      </c>
      <c r="I68" s="64">
        <v>1.58</v>
      </c>
      <c r="J68" s="64">
        <v>0.39</v>
      </c>
      <c r="K68" s="64">
        <v>332.53</v>
      </c>
      <c r="L68" s="64">
        <v>27.87</v>
      </c>
      <c r="M68" s="64">
        <v>74.08</v>
      </c>
      <c r="N68" s="64">
        <v>193</v>
      </c>
      <c r="O68" s="64">
        <v>0</v>
      </c>
      <c r="P68" s="64">
        <v>0.4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7" t="s">
        <v>686</v>
      </c>
      <c r="B69" s="64">
        <v>8.2100000000000009</v>
      </c>
      <c r="C69" s="64">
        <v>3.16</v>
      </c>
      <c r="D69" s="64">
        <v>12.01</v>
      </c>
      <c r="E69" s="64">
        <v>4.04</v>
      </c>
      <c r="F69" s="64">
        <v>3.82</v>
      </c>
      <c r="G69" s="64">
        <v>42.9</v>
      </c>
      <c r="H69" s="64">
        <v>12.25</v>
      </c>
      <c r="I69" s="64">
        <v>1.58</v>
      </c>
      <c r="J69" s="64">
        <v>0.49</v>
      </c>
      <c r="K69" s="64">
        <v>335.17</v>
      </c>
      <c r="L69" s="64">
        <v>28.42</v>
      </c>
      <c r="M69" s="64">
        <v>72.319999999999993</v>
      </c>
      <c r="N69" s="64">
        <v>210.3</v>
      </c>
      <c r="O69" s="64">
        <v>0</v>
      </c>
      <c r="P69" s="64">
        <v>0.41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7" t="s">
        <v>687</v>
      </c>
      <c r="B70" s="64">
        <v>8.1999999999999993</v>
      </c>
      <c r="C70" s="64">
        <v>3.15</v>
      </c>
      <c r="D70" s="64">
        <v>12</v>
      </c>
      <c r="E70" s="64">
        <v>4.24</v>
      </c>
      <c r="F70" s="64">
        <v>4.24</v>
      </c>
      <c r="G70" s="64">
        <v>42.9</v>
      </c>
      <c r="H70" s="64">
        <v>12.25</v>
      </c>
      <c r="I70" s="64">
        <v>1.61</v>
      </c>
      <c r="J70" s="64">
        <v>0.47</v>
      </c>
      <c r="K70" s="64">
        <v>342.68</v>
      </c>
      <c r="L70" s="64">
        <v>28.63</v>
      </c>
      <c r="M70" s="64">
        <v>70.5</v>
      </c>
      <c r="N70" s="64">
        <v>189.4</v>
      </c>
      <c r="O70" s="64">
        <v>0</v>
      </c>
      <c r="P70" s="64">
        <v>0.42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17" t="s">
        <v>688</v>
      </c>
      <c r="B71" s="64">
        <v>8.1999999999999993</v>
      </c>
      <c r="C71" s="64">
        <v>3.12</v>
      </c>
      <c r="D71" s="64">
        <v>11.98</v>
      </c>
      <c r="E71" s="64">
        <v>4.0599999999999996</v>
      </c>
      <c r="F71" s="64">
        <v>3.24</v>
      </c>
      <c r="G71" s="64">
        <v>42.9</v>
      </c>
      <c r="H71" s="64">
        <v>12.25</v>
      </c>
      <c r="I71" s="64">
        <v>1.65</v>
      </c>
      <c r="J71" s="64">
        <v>0.49</v>
      </c>
      <c r="K71" s="64">
        <v>332.15</v>
      </c>
      <c r="L71" s="64">
        <v>29.22</v>
      </c>
      <c r="M71" s="64">
        <v>66.77</v>
      </c>
      <c r="N71" s="64">
        <v>265.3</v>
      </c>
      <c r="O71" s="64">
        <v>0</v>
      </c>
      <c r="P71" s="64">
        <v>0.42</v>
      </c>
      <c r="Q71" s="64">
        <v>9.1999999999999993</v>
      </c>
      <c r="R71" s="198"/>
      <c r="S71" s="198"/>
      <c r="T71" s="198"/>
      <c r="U71" s="198"/>
    </row>
    <row r="72" spans="1:21" s="12" customFormat="1" x14ac:dyDescent="0.25">
      <c r="A72" s="217" t="s">
        <v>689</v>
      </c>
      <c r="B72" s="64">
        <v>8.36</v>
      </c>
      <c r="C72" s="64">
        <v>3.5</v>
      </c>
      <c r="D72" s="64">
        <v>12.3</v>
      </c>
      <c r="E72" s="64">
        <v>3.34</v>
      </c>
      <c r="F72" s="64">
        <v>4.38</v>
      </c>
      <c r="G72" s="64">
        <v>44.38</v>
      </c>
      <c r="H72" s="64">
        <v>13.07</v>
      </c>
      <c r="I72" s="64">
        <v>1.67</v>
      </c>
      <c r="J72" s="64">
        <v>0.46</v>
      </c>
      <c r="K72" s="64">
        <v>343.87</v>
      </c>
      <c r="L72" s="64">
        <v>29.91</v>
      </c>
      <c r="M72" s="64">
        <v>64.11</v>
      </c>
      <c r="N72" s="64">
        <v>282.39999999999998</v>
      </c>
      <c r="O72" s="64">
        <v>0</v>
      </c>
      <c r="P72" s="64">
        <v>0.4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7" t="s">
        <v>690</v>
      </c>
      <c r="B73" s="64">
        <v>8.3000000000000007</v>
      </c>
      <c r="C73" s="64">
        <v>3.31</v>
      </c>
      <c r="D73" s="64">
        <v>12.16</v>
      </c>
      <c r="E73" s="64">
        <v>3.47</v>
      </c>
      <c r="F73" s="64">
        <v>4.5</v>
      </c>
      <c r="G73" s="64">
        <v>46</v>
      </c>
      <c r="H73" s="64">
        <v>13.96</v>
      </c>
      <c r="I73" s="64">
        <v>1.63</v>
      </c>
      <c r="J73" s="64">
        <v>0.49</v>
      </c>
      <c r="K73" s="64">
        <v>358.22</v>
      </c>
      <c r="L73" s="64">
        <v>29.61</v>
      </c>
      <c r="M73" s="64">
        <v>64.650000000000006</v>
      </c>
      <c r="N73" s="64">
        <v>215</v>
      </c>
      <c r="O73" s="64">
        <v>0</v>
      </c>
      <c r="P73" s="64">
        <v>0.4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7" t="s">
        <v>691</v>
      </c>
      <c r="B74" s="64">
        <v>8.27</v>
      </c>
      <c r="C74" s="64">
        <v>3.23</v>
      </c>
      <c r="D74" s="64">
        <v>12.09</v>
      </c>
      <c r="E74" s="64">
        <v>3.25</v>
      </c>
      <c r="F74" s="64">
        <v>4.34</v>
      </c>
      <c r="G74" s="64">
        <v>46</v>
      </c>
      <c r="H74" s="64">
        <v>13.96</v>
      </c>
      <c r="I74" s="64">
        <v>1.59</v>
      </c>
      <c r="J74" s="64">
        <v>0.5</v>
      </c>
      <c r="K74" s="64">
        <v>359.72</v>
      </c>
      <c r="L74" s="64">
        <v>29.42</v>
      </c>
      <c r="M74" s="64">
        <v>65.510000000000005</v>
      </c>
      <c r="N74" s="64">
        <v>169.6</v>
      </c>
      <c r="O74" s="64">
        <v>0</v>
      </c>
      <c r="P74" s="64">
        <v>0.4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7" t="s">
        <v>692</v>
      </c>
      <c r="B75" s="64">
        <v>8.26</v>
      </c>
      <c r="C75" s="64">
        <v>3.23</v>
      </c>
      <c r="D75" s="64">
        <v>12.09</v>
      </c>
      <c r="E75" s="64">
        <v>3.56</v>
      </c>
      <c r="F75" s="64">
        <v>3.9</v>
      </c>
      <c r="G75" s="64">
        <v>46</v>
      </c>
      <c r="H75" s="64">
        <v>13.96</v>
      </c>
      <c r="I75" s="64">
        <v>1.56</v>
      </c>
      <c r="J75" s="64">
        <v>0.57999999999999996</v>
      </c>
      <c r="K75" s="64">
        <v>346.5</v>
      </c>
      <c r="L75" s="64">
        <v>29.23</v>
      </c>
      <c r="M75" s="64">
        <v>66.11</v>
      </c>
      <c r="N75" s="64">
        <v>167.4</v>
      </c>
      <c r="O75" s="64">
        <v>0</v>
      </c>
      <c r="P75" s="64">
        <v>0.4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7" t="s">
        <v>693</v>
      </c>
      <c r="B76" s="64">
        <v>8.26</v>
      </c>
      <c r="C76" s="64">
        <v>3.18</v>
      </c>
      <c r="D76" s="64">
        <v>12.05</v>
      </c>
      <c r="E76" s="64">
        <v>3.5</v>
      </c>
      <c r="F76" s="64">
        <v>4.05</v>
      </c>
      <c r="G76" s="64">
        <v>46.85</v>
      </c>
      <c r="H76" s="64">
        <v>12.16</v>
      </c>
      <c r="I76" s="64">
        <v>1.67</v>
      </c>
      <c r="J76" s="64">
        <v>0.65</v>
      </c>
      <c r="K76" s="64">
        <v>314.97000000000003</v>
      </c>
      <c r="L76" s="64">
        <v>29.22</v>
      </c>
      <c r="M76" s="64">
        <v>70.55</v>
      </c>
      <c r="N76" s="64">
        <v>131.19999999999999</v>
      </c>
      <c r="O76" s="64">
        <v>0</v>
      </c>
      <c r="P76" s="64">
        <v>0.42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7" t="s">
        <v>694</v>
      </c>
      <c r="B77" s="64">
        <v>8.2899999999999991</v>
      </c>
      <c r="C77" s="64">
        <v>3.25</v>
      </c>
      <c r="D77" s="64">
        <v>12.12</v>
      </c>
      <c r="E77" s="64">
        <v>3.46</v>
      </c>
      <c r="F77" s="64">
        <v>3.85</v>
      </c>
      <c r="G77" s="64">
        <v>47.78</v>
      </c>
      <c r="H77" s="64">
        <v>10.09</v>
      </c>
      <c r="I77" s="64">
        <v>1.71</v>
      </c>
      <c r="J77" s="64">
        <v>0.36</v>
      </c>
      <c r="K77" s="64">
        <v>331.61</v>
      </c>
      <c r="L77" s="64">
        <v>29.04</v>
      </c>
      <c r="M77" s="64">
        <v>71.09</v>
      </c>
      <c r="N77" s="64">
        <v>113</v>
      </c>
      <c r="O77" s="64">
        <v>0</v>
      </c>
      <c r="P77" s="64">
        <v>0.44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7" t="s">
        <v>695</v>
      </c>
      <c r="B78" s="64">
        <v>8.31</v>
      </c>
      <c r="C78" s="64">
        <v>3.27</v>
      </c>
      <c r="D78" s="64">
        <v>12.14</v>
      </c>
      <c r="E78" s="64">
        <v>3.66</v>
      </c>
      <c r="F78" s="64">
        <v>3.78</v>
      </c>
      <c r="G78" s="64">
        <v>47.78</v>
      </c>
      <c r="H78" s="64">
        <v>10.09</v>
      </c>
      <c r="I78" s="64">
        <v>1.8</v>
      </c>
      <c r="J78" s="64">
        <v>0.51</v>
      </c>
      <c r="K78" s="64">
        <v>338.9</v>
      </c>
      <c r="L78" s="64">
        <v>28.86</v>
      </c>
      <c r="M78" s="64">
        <v>72.58</v>
      </c>
      <c r="N78" s="64">
        <v>85</v>
      </c>
      <c r="O78" s="64">
        <v>0</v>
      </c>
      <c r="P78" s="64">
        <v>0.46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7" t="s">
        <v>696</v>
      </c>
      <c r="B79" s="64">
        <v>8.24</v>
      </c>
      <c r="C79" s="64">
        <v>3.15</v>
      </c>
      <c r="D79" s="64">
        <v>12.03</v>
      </c>
      <c r="E79" s="64">
        <v>3.55</v>
      </c>
      <c r="F79" s="64">
        <v>3.64</v>
      </c>
      <c r="G79" s="64">
        <v>47.78</v>
      </c>
      <c r="H79" s="64">
        <v>10.09</v>
      </c>
      <c r="I79" s="64">
        <v>2.1800000000000002</v>
      </c>
      <c r="J79" s="64">
        <v>0.14000000000000001</v>
      </c>
      <c r="K79" s="64">
        <v>152.35</v>
      </c>
      <c r="L79" s="64">
        <v>28.17</v>
      </c>
      <c r="M79" s="64">
        <v>73.23</v>
      </c>
      <c r="N79" s="64">
        <v>66.2</v>
      </c>
      <c r="O79" s="64">
        <v>0</v>
      </c>
      <c r="P79" s="64">
        <v>0.5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7" t="s">
        <v>697</v>
      </c>
      <c r="B80" s="64">
        <v>8.26</v>
      </c>
      <c r="C80" s="64">
        <v>3.26</v>
      </c>
      <c r="D80" s="64">
        <v>12.1</v>
      </c>
      <c r="E80" s="64">
        <v>3.97</v>
      </c>
      <c r="F80" s="64">
        <v>3.88</v>
      </c>
      <c r="G80" s="64">
        <v>53.78</v>
      </c>
      <c r="H80" s="64">
        <v>12.11</v>
      </c>
      <c r="I80" s="64">
        <v>2.54</v>
      </c>
      <c r="J80" s="64">
        <v>0.34</v>
      </c>
      <c r="K80" s="64">
        <v>168.43</v>
      </c>
      <c r="L80" s="64">
        <v>27.91</v>
      </c>
      <c r="M80" s="64">
        <v>73.540000000000006</v>
      </c>
      <c r="N80" s="64">
        <v>52.4</v>
      </c>
      <c r="O80" s="64">
        <v>0</v>
      </c>
      <c r="P80" s="64">
        <v>0.5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7" t="s">
        <v>698</v>
      </c>
      <c r="B81" s="64">
        <v>8.27</v>
      </c>
      <c r="C81" s="64">
        <v>3.31</v>
      </c>
      <c r="D81" s="64">
        <v>12.13</v>
      </c>
      <c r="E81" s="64">
        <v>3.65</v>
      </c>
      <c r="F81" s="64">
        <v>3.91</v>
      </c>
      <c r="G81" s="64">
        <v>60.35</v>
      </c>
      <c r="H81" s="64">
        <v>14.31</v>
      </c>
      <c r="I81" s="64">
        <v>2.76</v>
      </c>
      <c r="J81" s="64">
        <v>0.74</v>
      </c>
      <c r="K81" s="64">
        <v>137.81</v>
      </c>
      <c r="L81" s="64">
        <v>27.74</v>
      </c>
      <c r="M81" s="64">
        <v>72.61</v>
      </c>
      <c r="N81" s="64">
        <v>40.299999999999997</v>
      </c>
      <c r="O81" s="64">
        <v>0</v>
      </c>
      <c r="P81" s="64">
        <v>0.5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7" t="s">
        <v>699</v>
      </c>
      <c r="B82" s="64">
        <v>8.2799999999999994</v>
      </c>
      <c r="C82" s="64">
        <v>3.29</v>
      </c>
      <c r="D82" s="64">
        <v>12.13</v>
      </c>
      <c r="E82" s="64">
        <v>3.52</v>
      </c>
      <c r="F82" s="64">
        <v>3.54</v>
      </c>
      <c r="G82" s="64">
        <v>60.35</v>
      </c>
      <c r="H82" s="64">
        <v>14.31</v>
      </c>
      <c r="I82" s="64">
        <v>2.96</v>
      </c>
      <c r="J82" s="64">
        <v>0.13</v>
      </c>
      <c r="K82" s="64">
        <v>329.91</v>
      </c>
      <c r="L82" s="64">
        <v>27.7</v>
      </c>
      <c r="M82" s="64">
        <v>72.66</v>
      </c>
      <c r="N82" s="64">
        <v>27.8</v>
      </c>
      <c r="O82" s="64">
        <v>0</v>
      </c>
      <c r="P82" s="64">
        <v>0.49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7" t="s">
        <v>700</v>
      </c>
      <c r="B83" s="64">
        <v>8.26</v>
      </c>
      <c r="C83" s="64">
        <v>3.26</v>
      </c>
      <c r="D83" s="64">
        <v>12.1</v>
      </c>
      <c r="E83" s="64">
        <v>3.57</v>
      </c>
      <c r="F83" s="64">
        <v>3.66</v>
      </c>
      <c r="G83" s="64">
        <v>60.35</v>
      </c>
      <c r="H83" s="64">
        <v>14.31</v>
      </c>
      <c r="I83" s="64">
        <v>3.14</v>
      </c>
      <c r="J83" s="64">
        <v>0.12</v>
      </c>
      <c r="K83" s="64">
        <v>125.26</v>
      </c>
      <c r="L83" s="64">
        <v>27.32</v>
      </c>
      <c r="M83" s="64">
        <v>74.78</v>
      </c>
      <c r="N83" s="64">
        <v>19.8</v>
      </c>
      <c r="O83" s="64">
        <v>0</v>
      </c>
      <c r="P83" s="64">
        <v>0.49</v>
      </c>
      <c r="Q83" s="64">
        <v>9.27</v>
      </c>
      <c r="R83" s="198"/>
      <c r="S83" s="198"/>
      <c r="T83" s="198"/>
      <c r="U83" s="198"/>
    </row>
    <row r="84" spans="1:26" s="12" customFormat="1" x14ac:dyDescent="0.25">
      <c r="A84" s="217" t="s">
        <v>701</v>
      </c>
      <c r="B84" s="64">
        <v>8.26</v>
      </c>
      <c r="C84" s="64">
        <v>3.29</v>
      </c>
      <c r="D84" s="64">
        <v>12.12</v>
      </c>
      <c r="E84" s="64">
        <v>4.09</v>
      </c>
      <c r="F84" s="64">
        <v>3.6</v>
      </c>
      <c r="G84" s="64">
        <v>56.97</v>
      </c>
      <c r="H84" s="64">
        <v>12.82</v>
      </c>
      <c r="I84" s="64">
        <v>3.22</v>
      </c>
      <c r="J84" s="64">
        <v>0.34</v>
      </c>
      <c r="K84" s="64">
        <v>147.33000000000001</v>
      </c>
      <c r="L84" s="64">
        <v>27.05</v>
      </c>
      <c r="M84" s="64">
        <v>77.14</v>
      </c>
      <c r="N84" s="64">
        <v>18.100000000000001</v>
      </c>
      <c r="O84" s="64">
        <v>0</v>
      </c>
      <c r="P84" s="64">
        <v>0.49</v>
      </c>
      <c r="Q84" s="64">
        <v>9.23</v>
      </c>
      <c r="R84" s="198"/>
      <c r="S84" s="198"/>
      <c r="T84" s="198"/>
      <c r="U84" s="198"/>
    </row>
    <row r="85" spans="1:26" s="12" customFormat="1" x14ac:dyDescent="0.25">
      <c r="A85" s="217" t="s">
        <v>702</v>
      </c>
      <c r="B85" s="64">
        <v>8.25</v>
      </c>
      <c r="C85" s="64">
        <v>3.26</v>
      </c>
      <c r="D85" s="64">
        <v>12.1</v>
      </c>
      <c r="E85" s="64">
        <v>3.58</v>
      </c>
      <c r="F85" s="64">
        <v>3.8</v>
      </c>
      <c r="G85" s="64">
        <v>53.11</v>
      </c>
      <c r="H85" s="64">
        <v>11.12</v>
      </c>
      <c r="I85" s="64">
        <v>3.27</v>
      </c>
      <c r="J85" s="64">
        <v>0.13</v>
      </c>
      <c r="K85" s="64">
        <v>229.3</v>
      </c>
      <c r="L85" s="64">
        <v>26.89</v>
      </c>
      <c r="M85" s="64">
        <v>77.61</v>
      </c>
      <c r="N85" s="64">
        <v>17.899999999999999</v>
      </c>
      <c r="O85" s="64">
        <v>0</v>
      </c>
      <c r="P85" s="64">
        <v>0.41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17" t="s">
        <v>703</v>
      </c>
      <c r="B86" s="64">
        <v>8.24</v>
      </c>
      <c r="C86" s="64">
        <v>3.23</v>
      </c>
      <c r="D86" s="64">
        <v>12.07</v>
      </c>
      <c r="E86" s="64">
        <v>3.65</v>
      </c>
      <c r="F86" s="64">
        <v>3.48</v>
      </c>
      <c r="G86" s="64">
        <v>53.11</v>
      </c>
      <c r="H86" s="64">
        <v>11.12</v>
      </c>
      <c r="I86" s="64">
        <v>3.39</v>
      </c>
      <c r="J86" s="64">
        <v>0.46</v>
      </c>
      <c r="K86" s="64">
        <v>204.41</v>
      </c>
      <c r="L86" s="64">
        <v>26.96</v>
      </c>
      <c r="M86" s="64">
        <v>78.180000000000007</v>
      </c>
      <c r="N86" s="64">
        <v>17.5</v>
      </c>
      <c r="O86" s="64">
        <v>0</v>
      </c>
      <c r="P86" s="64">
        <v>0.43</v>
      </c>
      <c r="Q86" s="64">
        <v>9.25</v>
      </c>
      <c r="R86" s="198"/>
      <c r="S86" s="198"/>
      <c r="T86" s="198"/>
      <c r="U86" s="198"/>
    </row>
    <row r="87" spans="1:26" s="12" customFormat="1" x14ac:dyDescent="0.25">
      <c r="A87" s="217" t="s">
        <v>704</v>
      </c>
      <c r="B87" s="64">
        <v>8.2799999999999994</v>
      </c>
      <c r="C87" s="64">
        <v>3.33</v>
      </c>
      <c r="D87" s="64">
        <v>12.16</v>
      </c>
      <c r="E87" s="64">
        <v>3.84</v>
      </c>
      <c r="F87" s="64">
        <v>3.57</v>
      </c>
      <c r="G87" s="64">
        <v>53.11</v>
      </c>
      <c r="H87" s="64">
        <v>11.12</v>
      </c>
      <c r="I87" s="64">
        <v>3.51</v>
      </c>
      <c r="J87" s="64">
        <v>0.21</v>
      </c>
      <c r="K87" s="64">
        <v>205.55</v>
      </c>
      <c r="L87" s="64">
        <v>26.82</v>
      </c>
      <c r="M87" s="64">
        <v>79.44</v>
      </c>
      <c r="N87" s="64">
        <v>17.7</v>
      </c>
      <c r="O87" s="64">
        <v>0</v>
      </c>
      <c r="P87" s="64">
        <v>0.44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7" t="s">
        <v>705</v>
      </c>
      <c r="B88" s="64">
        <v>8.48</v>
      </c>
      <c r="C88" s="64">
        <v>3.9</v>
      </c>
      <c r="D88" s="64">
        <v>12.61</v>
      </c>
      <c r="E88" s="64">
        <v>4.2300000000000004</v>
      </c>
      <c r="F88" s="64">
        <v>4.38</v>
      </c>
      <c r="G88" s="64">
        <v>52.56</v>
      </c>
      <c r="H88" s="64">
        <v>13.85</v>
      </c>
      <c r="I88" s="64">
        <v>3.55</v>
      </c>
      <c r="J88" s="64">
        <v>0.75</v>
      </c>
      <c r="K88" s="64">
        <v>17.96</v>
      </c>
      <c r="L88" s="64">
        <v>26.02</v>
      </c>
      <c r="M88" s="64">
        <v>78.08</v>
      </c>
      <c r="N88" s="64">
        <v>19</v>
      </c>
      <c r="O88" s="64">
        <v>0</v>
      </c>
      <c r="P88" s="64">
        <v>0.42</v>
      </c>
      <c r="Q88" s="64">
        <v>9.2899999999999991</v>
      </c>
      <c r="R88" s="198"/>
      <c r="S88" s="198"/>
      <c r="T88" s="198"/>
      <c r="U88" s="198"/>
    </row>
    <row r="89" spans="1:26" s="12" customFormat="1" x14ac:dyDescent="0.25">
      <c r="A89" s="217" t="s">
        <v>706</v>
      </c>
      <c r="B89" s="64">
        <v>8.2899999999999991</v>
      </c>
      <c r="C89" s="64">
        <v>3.38</v>
      </c>
      <c r="D89" s="64">
        <v>12.19</v>
      </c>
      <c r="E89" s="64">
        <v>3.41</v>
      </c>
      <c r="F89" s="64">
        <v>3.89</v>
      </c>
      <c r="G89" s="64">
        <v>51.94</v>
      </c>
      <c r="H89" s="64">
        <v>16.84</v>
      </c>
      <c r="I89" s="64">
        <v>3.45</v>
      </c>
      <c r="J89" s="64">
        <v>0.42</v>
      </c>
      <c r="K89" s="64">
        <v>30.34</v>
      </c>
      <c r="L89" s="64">
        <v>24.78</v>
      </c>
      <c r="M89" s="64">
        <v>85.27</v>
      </c>
      <c r="N89" s="64">
        <v>18.2</v>
      </c>
      <c r="O89" s="64">
        <v>0</v>
      </c>
      <c r="P89" s="64">
        <v>0.42</v>
      </c>
      <c r="Q89" s="64">
        <v>9.27</v>
      </c>
      <c r="R89" s="198"/>
      <c r="S89" s="198"/>
      <c r="T89" s="198"/>
      <c r="U89" s="198"/>
    </row>
    <row r="90" spans="1:26" s="12" customFormat="1" x14ac:dyDescent="0.25">
      <c r="A90" s="217" t="s">
        <v>707</v>
      </c>
      <c r="B90" s="64">
        <v>8.2200000000000006</v>
      </c>
      <c r="C90" s="64">
        <v>3.16</v>
      </c>
      <c r="D90" s="64">
        <v>12.02</v>
      </c>
      <c r="E90" s="64">
        <v>3.67</v>
      </c>
      <c r="F90" s="64">
        <v>3.63</v>
      </c>
      <c r="G90" s="64">
        <v>51.94</v>
      </c>
      <c r="H90" s="64">
        <v>16.84</v>
      </c>
      <c r="I90" s="64">
        <v>3.19</v>
      </c>
      <c r="J90" s="64">
        <v>0.68</v>
      </c>
      <c r="K90" s="64">
        <v>20.58</v>
      </c>
      <c r="L90" s="64">
        <v>24.01</v>
      </c>
      <c r="M90" s="64">
        <v>89.5</v>
      </c>
      <c r="N90" s="64">
        <v>17.7</v>
      </c>
      <c r="O90" s="64">
        <v>0</v>
      </c>
      <c r="P90" s="64">
        <v>0.41</v>
      </c>
      <c r="Q90" s="64">
        <v>9.23</v>
      </c>
      <c r="R90" s="198"/>
      <c r="S90" s="198"/>
      <c r="T90" s="198"/>
      <c r="U90" s="198"/>
    </row>
    <row r="91" spans="1:26" s="12" customFormat="1" x14ac:dyDescent="0.25">
      <c r="A91" s="217" t="s">
        <v>708</v>
      </c>
      <c r="B91" s="64">
        <v>8.26</v>
      </c>
      <c r="C91" s="64">
        <v>3.21</v>
      </c>
      <c r="D91" s="64">
        <v>12.07</v>
      </c>
      <c r="E91" s="64">
        <v>3.31</v>
      </c>
      <c r="F91" s="64">
        <v>3.94</v>
      </c>
      <c r="G91" s="64">
        <v>51.94</v>
      </c>
      <c r="H91" s="64">
        <v>16.84</v>
      </c>
      <c r="I91" s="64">
        <v>2.94</v>
      </c>
      <c r="J91" s="64">
        <v>0.04</v>
      </c>
      <c r="K91" s="64">
        <v>115.24</v>
      </c>
      <c r="L91" s="64">
        <v>23.73</v>
      </c>
      <c r="M91" s="64">
        <v>89.14</v>
      </c>
      <c r="N91" s="64">
        <v>18</v>
      </c>
      <c r="O91" s="64">
        <v>0</v>
      </c>
      <c r="P91" s="64">
        <v>0.41</v>
      </c>
      <c r="Q91" s="64">
        <v>9.19</v>
      </c>
      <c r="R91" s="198"/>
      <c r="S91" s="198"/>
      <c r="T91" s="198"/>
      <c r="U91" s="198"/>
    </row>
    <row r="92" spans="1:26" s="12" customFormat="1" x14ac:dyDescent="0.25">
      <c r="A92" s="217" t="s">
        <v>709</v>
      </c>
      <c r="B92" s="64">
        <v>8.27</v>
      </c>
      <c r="C92" s="64">
        <v>3.15</v>
      </c>
      <c r="D92" s="64">
        <v>12.05</v>
      </c>
      <c r="E92" s="64">
        <v>3.13</v>
      </c>
      <c r="F92" s="64">
        <v>3.54</v>
      </c>
      <c r="G92" s="64">
        <v>49.07</v>
      </c>
      <c r="H92" s="64">
        <v>14.55</v>
      </c>
      <c r="I92" s="64">
        <v>2.81</v>
      </c>
      <c r="J92" s="64">
        <v>0.4</v>
      </c>
      <c r="K92" s="64">
        <v>157.71</v>
      </c>
      <c r="L92" s="64">
        <v>23.87</v>
      </c>
      <c r="M92" s="64">
        <v>86.37</v>
      </c>
      <c r="N92" s="64">
        <v>17.899999999999999</v>
      </c>
      <c r="O92" s="64">
        <v>0</v>
      </c>
      <c r="P92" s="64">
        <v>0.4</v>
      </c>
      <c r="Q92" s="64">
        <v>9.19</v>
      </c>
      <c r="R92" s="198"/>
      <c r="S92" s="198"/>
      <c r="T92" s="198"/>
      <c r="U92" s="198"/>
    </row>
    <row r="93" spans="1:26" s="12" customFormat="1" x14ac:dyDescent="0.25">
      <c r="A93" s="217" t="s">
        <v>710</v>
      </c>
      <c r="B93" s="64">
        <v>8.2799999999999994</v>
      </c>
      <c r="C93" s="64">
        <v>3.14</v>
      </c>
      <c r="D93" s="64">
        <v>12.05</v>
      </c>
      <c r="E93" s="64">
        <v>3.36</v>
      </c>
      <c r="F93" s="64">
        <v>3.22</v>
      </c>
      <c r="G93" s="64">
        <v>45.94</v>
      </c>
      <c r="H93" s="64">
        <v>12.04</v>
      </c>
      <c r="I93" s="64">
        <v>2.8</v>
      </c>
      <c r="J93" s="64">
        <v>0.54</v>
      </c>
      <c r="K93" s="64">
        <v>152.21</v>
      </c>
      <c r="L93" s="64">
        <v>23.92</v>
      </c>
      <c r="M93" s="64">
        <v>85.69</v>
      </c>
      <c r="N93" s="64">
        <v>17.7</v>
      </c>
      <c r="O93" s="64">
        <v>0</v>
      </c>
      <c r="P93" s="64">
        <v>0.4</v>
      </c>
      <c r="Q93" s="64">
        <v>9.2100000000000009</v>
      </c>
      <c r="R93" s="198"/>
      <c r="S93" s="198"/>
      <c r="T93" s="198"/>
      <c r="U93" s="198"/>
    </row>
    <row r="94" spans="1:26" s="12" customFormat="1" x14ac:dyDescent="0.25">
      <c r="A94" s="217" t="s">
        <v>711</v>
      </c>
      <c r="B94" s="64">
        <v>8.26</v>
      </c>
      <c r="C94" s="64">
        <v>3.12</v>
      </c>
      <c r="D94" s="64">
        <v>12.03</v>
      </c>
      <c r="E94" s="64">
        <v>3.4</v>
      </c>
      <c r="F94" s="64">
        <v>3.49</v>
      </c>
      <c r="G94" s="64">
        <v>45.94</v>
      </c>
      <c r="H94" s="64">
        <v>12.04</v>
      </c>
      <c r="I94" s="64">
        <v>2.96</v>
      </c>
      <c r="J94" s="64">
        <v>0.3</v>
      </c>
      <c r="K94" s="64">
        <v>162.11000000000001</v>
      </c>
      <c r="L94" s="64">
        <v>24.14</v>
      </c>
      <c r="M94" s="64">
        <v>82.35</v>
      </c>
      <c r="N94" s="64">
        <v>17.600000000000001</v>
      </c>
      <c r="O94" s="64">
        <v>0</v>
      </c>
      <c r="P94" s="64">
        <v>0.4</v>
      </c>
      <c r="Q94" s="64">
        <v>9.19</v>
      </c>
      <c r="R94" s="198"/>
      <c r="S94" s="198"/>
      <c r="T94" s="198"/>
      <c r="U94" s="198"/>
    </row>
    <row r="95" spans="1:26" s="12" customFormat="1" x14ac:dyDescent="0.25">
      <c r="A95" s="217" t="s">
        <v>712</v>
      </c>
      <c r="B95" s="64">
        <v>8.2899999999999991</v>
      </c>
      <c r="C95" s="64">
        <v>3.11</v>
      </c>
      <c r="D95" s="64">
        <v>12.05</v>
      </c>
      <c r="E95" s="64">
        <v>3.11</v>
      </c>
      <c r="F95" s="64">
        <v>3.59</v>
      </c>
      <c r="G95" s="64">
        <v>45.94</v>
      </c>
      <c r="H95" s="64">
        <v>12.04</v>
      </c>
      <c r="I95" s="64">
        <v>3.2</v>
      </c>
      <c r="J95" s="64">
        <v>0.19</v>
      </c>
      <c r="K95" s="64">
        <v>11.48</v>
      </c>
      <c r="L95" s="64">
        <v>24.18</v>
      </c>
      <c r="M95" s="64">
        <v>82.28</v>
      </c>
      <c r="N95" s="64">
        <v>17.7</v>
      </c>
      <c r="O95" s="64">
        <v>0</v>
      </c>
      <c r="P95" s="64">
        <v>0.39</v>
      </c>
      <c r="Q95" s="64">
        <v>9.19</v>
      </c>
      <c r="R95" s="198"/>
      <c r="S95" s="198"/>
      <c r="T95" s="198"/>
      <c r="U95" s="198"/>
    </row>
    <row r="96" spans="1:26" s="12" customFormat="1" x14ac:dyDescent="0.25">
      <c r="A96" s="217" t="s">
        <v>713</v>
      </c>
      <c r="B96" s="64">
        <v>8.2799999999999994</v>
      </c>
      <c r="C96" s="64">
        <v>3.1</v>
      </c>
      <c r="D96" s="64">
        <v>12.03</v>
      </c>
      <c r="E96" s="64">
        <v>3.62</v>
      </c>
      <c r="F96" s="64">
        <v>3.44</v>
      </c>
      <c r="G96" s="64">
        <v>41.7</v>
      </c>
      <c r="H96" s="64">
        <v>10.32</v>
      </c>
      <c r="I96" s="64">
        <v>3.42</v>
      </c>
      <c r="J96" s="64">
        <v>0.32</v>
      </c>
      <c r="K96" s="64">
        <v>146.47999999999999</v>
      </c>
      <c r="L96" s="64">
        <v>24.07</v>
      </c>
      <c r="M96" s="64">
        <v>83.64</v>
      </c>
      <c r="N96" s="64">
        <v>17.8</v>
      </c>
      <c r="O96" s="64">
        <v>0</v>
      </c>
      <c r="P96" s="64">
        <v>0.39</v>
      </c>
      <c r="Q96" s="64">
        <v>9.24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714</v>
      </c>
      <c r="B97" s="64">
        <v>8.27</v>
      </c>
      <c r="C97" s="64">
        <v>3.09</v>
      </c>
      <c r="D97" s="64">
        <v>12.02</v>
      </c>
      <c r="E97" s="64">
        <v>3.37</v>
      </c>
      <c r="F97" s="64">
        <v>3.71</v>
      </c>
      <c r="G97" s="64">
        <v>37.06</v>
      </c>
      <c r="H97" s="64">
        <v>8.43</v>
      </c>
      <c r="I97" s="64">
        <v>3.61</v>
      </c>
      <c r="J97" s="64">
        <v>0.32</v>
      </c>
      <c r="K97" s="64">
        <v>188.64</v>
      </c>
      <c r="L97" s="64">
        <v>23.96</v>
      </c>
      <c r="M97" s="64">
        <v>83.03</v>
      </c>
      <c r="N97" s="64">
        <v>17.7</v>
      </c>
      <c r="O97" s="64">
        <v>0</v>
      </c>
      <c r="P97" s="64">
        <v>0.39</v>
      </c>
      <c r="Q97" s="64">
        <v>9.26</v>
      </c>
      <c r="R97" s="198"/>
      <c r="S97" s="198"/>
      <c r="T97" s="198"/>
      <c r="U97" s="198"/>
    </row>
    <row r="98" spans="1:33" s="12" customFormat="1" x14ac:dyDescent="0.25">
      <c r="A98" s="217" t="s">
        <v>715</v>
      </c>
      <c r="B98" s="64">
        <v>8.2200000000000006</v>
      </c>
      <c r="C98" s="64">
        <v>3.08</v>
      </c>
      <c r="D98" s="64">
        <v>11.98</v>
      </c>
      <c r="E98" s="64">
        <v>3.25</v>
      </c>
      <c r="F98" s="64">
        <v>3.63</v>
      </c>
      <c r="G98" s="64">
        <v>37.06</v>
      </c>
      <c r="H98" s="64">
        <v>8.43</v>
      </c>
      <c r="I98" s="64">
        <v>3.78</v>
      </c>
      <c r="J98" s="64">
        <v>0.42</v>
      </c>
      <c r="K98" s="64">
        <v>141.97</v>
      </c>
      <c r="L98" s="64">
        <v>24.11</v>
      </c>
      <c r="M98" s="64">
        <v>83.65</v>
      </c>
      <c r="N98" s="64">
        <v>17.600000000000001</v>
      </c>
      <c r="O98" s="64">
        <v>0</v>
      </c>
      <c r="P98" s="64">
        <v>0.38</v>
      </c>
      <c r="Q98" s="64">
        <v>9.25</v>
      </c>
      <c r="R98" s="198"/>
      <c r="S98" s="198"/>
      <c r="T98" s="198"/>
      <c r="U98" s="198"/>
    </row>
    <row r="99" spans="1:33" s="12" customFormat="1" x14ac:dyDescent="0.25">
      <c r="A99" s="217" t="s">
        <v>716</v>
      </c>
      <c r="B99" s="64">
        <v>8.1999999999999993</v>
      </c>
      <c r="C99" s="64">
        <v>3.11</v>
      </c>
      <c r="D99" s="64">
        <v>11.97</v>
      </c>
      <c r="E99" s="64">
        <v>3.63</v>
      </c>
      <c r="F99" s="64">
        <v>3.73</v>
      </c>
      <c r="G99" s="64">
        <v>37.06</v>
      </c>
      <c r="H99" s="64">
        <v>8.43</v>
      </c>
      <c r="I99" s="64">
        <v>3.84</v>
      </c>
      <c r="J99" s="64">
        <v>1.06</v>
      </c>
      <c r="K99" s="64">
        <v>141.15</v>
      </c>
      <c r="L99" s="64">
        <v>24.2</v>
      </c>
      <c r="M99" s="64">
        <v>85.67</v>
      </c>
      <c r="N99" s="64">
        <v>17.399999999999999</v>
      </c>
      <c r="O99" s="64">
        <v>0</v>
      </c>
      <c r="P99" s="64">
        <v>0.38</v>
      </c>
      <c r="Q99" s="64">
        <v>9.23</v>
      </c>
      <c r="R99" s="198"/>
      <c r="S99" s="198"/>
      <c r="T99" s="198"/>
      <c r="U99" s="198"/>
    </row>
    <row r="100" spans="1:33" s="12" customFormat="1" x14ac:dyDescent="0.25">
      <c r="A100" s="217" t="s">
        <v>717</v>
      </c>
      <c r="B100" s="64">
        <v>8.2200000000000006</v>
      </c>
      <c r="C100" s="64">
        <v>3.14</v>
      </c>
      <c r="D100" s="64">
        <v>12.01</v>
      </c>
      <c r="E100" s="64">
        <v>3.72</v>
      </c>
      <c r="F100" s="64">
        <v>3.73</v>
      </c>
      <c r="G100" s="64">
        <v>35.4</v>
      </c>
      <c r="H100" s="64">
        <v>8.49</v>
      </c>
      <c r="I100" s="64">
        <v>3.8</v>
      </c>
      <c r="J100" s="64">
        <v>0.65</v>
      </c>
      <c r="K100" s="64">
        <v>140.24</v>
      </c>
      <c r="L100" s="64">
        <v>24.21</v>
      </c>
      <c r="M100" s="64">
        <v>86.45</v>
      </c>
      <c r="N100" s="64">
        <v>17.7</v>
      </c>
      <c r="O100" s="64">
        <v>0</v>
      </c>
      <c r="P100" s="64">
        <v>0.37</v>
      </c>
      <c r="Q100" s="64">
        <v>9.2200000000000006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718</v>
      </c>
      <c r="B101" s="64">
        <v>8.2100000000000009</v>
      </c>
      <c r="C101" s="64">
        <v>3.14</v>
      </c>
      <c r="D101" s="64">
        <v>12</v>
      </c>
      <c r="E101" s="64">
        <v>3.5</v>
      </c>
      <c r="F101" s="64">
        <v>3.79</v>
      </c>
      <c r="G101" s="64">
        <v>33.58</v>
      </c>
      <c r="H101" s="64">
        <v>8.56</v>
      </c>
      <c r="I101" s="64">
        <v>3.8</v>
      </c>
      <c r="J101" s="64">
        <v>0.15</v>
      </c>
      <c r="K101" s="64">
        <v>257.88</v>
      </c>
      <c r="L101" s="64">
        <v>24.09</v>
      </c>
      <c r="M101" s="64">
        <v>88.21</v>
      </c>
      <c r="N101" s="64">
        <v>18</v>
      </c>
      <c r="O101" s="64">
        <v>0</v>
      </c>
      <c r="P101" s="64">
        <v>0.36</v>
      </c>
      <c r="Q101" s="64">
        <v>9.23</v>
      </c>
      <c r="R101" s="198"/>
      <c r="S101" s="198"/>
      <c r="T101" s="198"/>
      <c r="U101" s="198"/>
    </row>
    <row r="102" spans="1:33" s="12" customFormat="1" x14ac:dyDescent="0.25">
      <c r="A102" s="217" t="s">
        <v>719</v>
      </c>
      <c r="B102" s="64">
        <v>8.2100000000000009</v>
      </c>
      <c r="C102" s="64">
        <v>3.1</v>
      </c>
      <c r="D102" s="64">
        <v>11.98</v>
      </c>
      <c r="E102" s="64">
        <v>3.44</v>
      </c>
      <c r="F102" s="64">
        <v>3.57</v>
      </c>
      <c r="G102" s="64">
        <v>33.58</v>
      </c>
      <c r="H102" s="64">
        <v>8.56</v>
      </c>
      <c r="I102" s="64">
        <v>3.83</v>
      </c>
      <c r="J102" s="64">
        <v>0.12</v>
      </c>
      <c r="K102" s="64">
        <v>19.809999999999999</v>
      </c>
      <c r="L102" s="64">
        <v>23.99</v>
      </c>
      <c r="M102" s="64">
        <v>90.09</v>
      </c>
      <c r="N102" s="64">
        <v>17.8</v>
      </c>
      <c r="O102" s="64">
        <v>0</v>
      </c>
      <c r="P102" s="64">
        <v>0.35</v>
      </c>
      <c r="Q102" s="64">
        <v>9.24</v>
      </c>
      <c r="R102" s="198"/>
      <c r="S102" s="198"/>
      <c r="T102" s="198"/>
      <c r="U102" s="198"/>
    </row>
    <row r="103" spans="1:33" s="12" customFormat="1" x14ac:dyDescent="0.25">
      <c r="A103" s="217" t="s">
        <v>720</v>
      </c>
      <c r="B103" s="64">
        <v>8.24</v>
      </c>
      <c r="C103" s="64">
        <v>3.15</v>
      </c>
      <c r="D103" s="64">
        <v>12.03</v>
      </c>
      <c r="E103" s="64">
        <v>3.62</v>
      </c>
      <c r="F103" s="64">
        <v>3.46</v>
      </c>
      <c r="G103" s="64">
        <v>33.58</v>
      </c>
      <c r="H103" s="64">
        <v>8.56</v>
      </c>
      <c r="I103" s="64">
        <v>3.78</v>
      </c>
      <c r="J103" s="64">
        <v>0.53</v>
      </c>
      <c r="K103" s="64">
        <v>20.71</v>
      </c>
      <c r="L103" s="64">
        <v>24.1</v>
      </c>
      <c r="M103" s="64">
        <v>90.8</v>
      </c>
      <c r="N103" s="64">
        <v>17.7</v>
      </c>
      <c r="O103" s="64">
        <v>0</v>
      </c>
      <c r="P103" s="64">
        <v>0.34</v>
      </c>
      <c r="Q103" s="64">
        <v>9.14</v>
      </c>
      <c r="R103" s="198"/>
      <c r="S103" s="198"/>
      <c r="T103" s="198"/>
      <c r="U103" s="198"/>
    </row>
    <row r="104" spans="1:33" s="12" customFormat="1" x14ac:dyDescent="0.25">
      <c r="A104" s="217" t="s">
        <v>721</v>
      </c>
      <c r="B104" s="64">
        <v>8.25</v>
      </c>
      <c r="C104" s="64">
        <v>3.19</v>
      </c>
      <c r="D104" s="64">
        <v>12.06</v>
      </c>
      <c r="E104" s="64">
        <v>3.66</v>
      </c>
      <c r="F104" s="64">
        <v>3.71</v>
      </c>
      <c r="G104" s="64">
        <v>34.82</v>
      </c>
      <c r="H104" s="64">
        <v>9.08</v>
      </c>
      <c r="I104" s="64">
        <v>3.68</v>
      </c>
      <c r="J104" s="64">
        <v>0.59</v>
      </c>
      <c r="K104" s="64">
        <v>355.93</v>
      </c>
      <c r="L104" s="64">
        <v>24.28</v>
      </c>
      <c r="M104" s="64">
        <v>89.72</v>
      </c>
      <c r="N104" s="64">
        <v>17.8</v>
      </c>
      <c r="O104" s="64">
        <v>0</v>
      </c>
      <c r="P104" s="64">
        <v>0.34</v>
      </c>
      <c r="Q104" s="64">
        <v>9.2200000000000006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8.1999999999999993</v>
      </c>
      <c r="C106" s="67">
        <f>MIN(C9:C104)</f>
        <v>3.08</v>
      </c>
      <c r="D106" s="67">
        <f t="shared" ref="D106:Q106" si="0">MIN(D9:D104)</f>
        <v>11.97</v>
      </c>
      <c r="E106" s="67">
        <f t="shared" si="0"/>
        <v>3.11</v>
      </c>
      <c r="F106" s="67">
        <f t="shared" si="0"/>
        <v>2.95</v>
      </c>
      <c r="G106" s="67">
        <f t="shared" si="0"/>
        <v>16.420000000000002</v>
      </c>
      <c r="H106" s="67">
        <f t="shared" si="0"/>
        <v>3.78</v>
      </c>
      <c r="I106" s="67">
        <f t="shared" si="0"/>
        <v>1.19</v>
      </c>
      <c r="J106" s="67">
        <f t="shared" si="0"/>
        <v>0.01</v>
      </c>
      <c r="K106" s="67">
        <f t="shared" si="0"/>
        <v>2.73</v>
      </c>
      <c r="L106" s="67">
        <f t="shared" si="0"/>
        <v>22.83</v>
      </c>
      <c r="M106" s="67">
        <f t="shared" si="0"/>
        <v>64.11</v>
      </c>
      <c r="N106" s="67">
        <f t="shared" si="0"/>
        <v>17.399999999999999</v>
      </c>
      <c r="O106" s="67">
        <f t="shared" si="0"/>
        <v>0</v>
      </c>
      <c r="P106" s="67">
        <f t="shared" si="0"/>
        <v>0.27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8.48</v>
      </c>
      <c r="C107" s="66">
        <f t="shared" ref="C107:Q107" si="1">MAX(C9:C104)</f>
        <v>3.9</v>
      </c>
      <c r="D107" s="66">
        <f t="shared" si="1"/>
        <v>12.61</v>
      </c>
      <c r="E107" s="66">
        <f t="shared" si="1"/>
        <v>5.23</v>
      </c>
      <c r="F107" s="66">
        <f t="shared" si="1"/>
        <v>5.52</v>
      </c>
      <c r="G107" s="66">
        <f t="shared" si="1"/>
        <v>60.35</v>
      </c>
      <c r="H107" s="66">
        <f t="shared" si="1"/>
        <v>16.84</v>
      </c>
      <c r="I107" s="66">
        <f t="shared" si="1"/>
        <v>4.45</v>
      </c>
      <c r="J107" s="66">
        <f t="shared" si="1"/>
        <v>1.06</v>
      </c>
      <c r="K107" s="66">
        <f t="shared" si="1"/>
        <v>359.95</v>
      </c>
      <c r="L107" s="66">
        <f t="shared" si="1"/>
        <v>29.94</v>
      </c>
      <c r="M107" s="66">
        <f t="shared" si="1"/>
        <v>98.33</v>
      </c>
      <c r="N107" s="66">
        <f t="shared" si="1"/>
        <v>812.5</v>
      </c>
      <c r="O107" s="66">
        <f t="shared" si="1"/>
        <v>0.2</v>
      </c>
      <c r="P107" s="66">
        <f t="shared" si="1"/>
        <v>0.5</v>
      </c>
      <c r="Q107" s="66">
        <f t="shared" si="1"/>
        <v>9.2899999999999991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8.2627083333333307</v>
      </c>
      <c r="C108" s="67">
        <f t="shared" ref="C108:Q108" si="2">AVERAGE(C9:C104)</f>
        <v>3.2131249999999985</v>
      </c>
      <c r="D108" s="67">
        <f t="shared" si="2"/>
        <v>12.079374999999997</v>
      </c>
      <c r="E108" s="67">
        <f t="shared" si="2"/>
        <v>4.1686458333333336</v>
      </c>
      <c r="F108" s="67">
        <f t="shared" si="2"/>
        <v>4.0208333333333348</v>
      </c>
      <c r="G108" s="67">
        <f t="shared" si="2"/>
        <v>35.034270833333345</v>
      </c>
      <c r="H108" s="67">
        <f t="shared" si="2"/>
        <v>9.0636458333333305</v>
      </c>
      <c r="I108" s="67">
        <f t="shared" si="2"/>
        <v>2.5894791666666674</v>
      </c>
      <c r="J108" s="67">
        <f t="shared" si="2"/>
        <v>0.42552083333333329</v>
      </c>
      <c r="K108" s="67">
        <f t="shared" si="2"/>
        <v>238.1021875000001</v>
      </c>
      <c r="L108" s="67">
        <f t="shared" si="2"/>
        <v>25.68510416666668</v>
      </c>
      <c r="M108" s="67">
        <f t="shared" si="2"/>
        <v>83.157395833333311</v>
      </c>
      <c r="N108" s="67">
        <f t="shared" si="2"/>
        <v>162.96875000000003</v>
      </c>
      <c r="O108" s="67">
        <f t="shared" si="2"/>
        <v>2.0833333333333333E-3</v>
      </c>
      <c r="P108" s="67">
        <f t="shared" si="2"/>
        <v>0.35958333333333337</v>
      </c>
      <c r="Q108" s="67">
        <f t="shared" si="2"/>
        <v>9.2036458333333346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4.6757586869133373E-2</v>
      </c>
      <c r="C109" s="67">
        <f t="shared" ref="C109:Q109" si="3">STDEV(C9:C104)</f>
        <v>0.12879451197853686</v>
      </c>
      <c r="D109" s="67">
        <f t="shared" si="3"/>
        <v>9.9681730364300225E-2</v>
      </c>
      <c r="E109" s="67">
        <f t="shared" si="3"/>
        <v>0.55705923296817561</v>
      </c>
      <c r="F109" s="67">
        <f t="shared" si="3"/>
        <v>0.58130645358747424</v>
      </c>
      <c r="G109" s="67">
        <f t="shared" si="3"/>
        <v>11.284964169408088</v>
      </c>
      <c r="H109" s="67">
        <f t="shared" si="3"/>
        <v>3.2087059597918253</v>
      </c>
      <c r="I109" s="67">
        <f t="shared" si="3"/>
        <v>1.0782748109746694</v>
      </c>
      <c r="J109" s="67">
        <f t="shared" si="3"/>
        <v>0.18586848656575872</v>
      </c>
      <c r="K109" s="67">
        <f t="shared" si="3"/>
        <v>125.92877688935361</v>
      </c>
      <c r="L109" s="67">
        <f t="shared" si="3"/>
        <v>2.4803475965197705</v>
      </c>
      <c r="M109" s="67">
        <f t="shared" si="3"/>
        <v>11.365065609350108</v>
      </c>
      <c r="N109" s="67">
        <f t="shared" si="3"/>
        <v>212.45544390468521</v>
      </c>
      <c r="O109" s="67">
        <f t="shared" si="3"/>
        <v>2.0412414523193152E-2</v>
      </c>
      <c r="P109" s="67">
        <f t="shared" si="3"/>
        <v>6.2658920760552517E-2</v>
      </c>
      <c r="Q109" s="67">
        <f t="shared" si="3"/>
        <v>4.3142842101110954E-2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722</v>
      </c>
      <c r="B9" s="64">
        <v>8.5</v>
      </c>
      <c r="C9" s="64">
        <v>3.78</v>
      </c>
      <c r="D9" s="64">
        <v>12.57</v>
      </c>
      <c r="E9" s="64">
        <v>3.04</v>
      </c>
      <c r="F9" s="64">
        <v>3.98</v>
      </c>
      <c r="G9" s="64">
        <v>36.24</v>
      </c>
      <c r="H9" s="64">
        <v>9.65</v>
      </c>
      <c r="I9" s="64">
        <v>3.51</v>
      </c>
      <c r="J9" s="64">
        <v>0.46</v>
      </c>
      <c r="K9" s="64">
        <v>3.79</v>
      </c>
      <c r="L9" s="64">
        <v>24.1</v>
      </c>
      <c r="M9" s="64">
        <v>91.34</v>
      </c>
      <c r="N9" s="64">
        <v>17.899999999999999</v>
      </c>
      <c r="O9" s="64">
        <v>0</v>
      </c>
      <c r="P9" s="64">
        <v>0.33</v>
      </c>
      <c r="Q9" s="64">
        <v>9.19</v>
      </c>
      <c r="R9" s="198"/>
      <c r="S9" s="198"/>
      <c r="T9" s="198"/>
      <c r="U9" s="198"/>
    </row>
    <row r="10" spans="1:21" s="12" customFormat="1" x14ac:dyDescent="0.25">
      <c r="A10" s="217" t="s">
        <v>723</v>
      </c>
      <c r="B10" s="64">
        <v>8.3000000000000007</v>
      </c>
      <c r="C10" s="64">
        <v>3.29</v>
      </c>
      <c r="D10" s="64">
        <v>12.15</v>
      </c>
      <c r="E10" s="64">
        <v>3.23</v>
      </c>
      <c r="F10" s="64">
        <v>3.3</v>
      </c>
      <c r="G10" s="64">
        <v>36.24</v>
      </c>
      <c r="H10" s="64">
        <v>9.65</v>
      </c>
      <c r="I10" s="64">
        <v>3.29</v>
      </c>
      <c r="J10" s="64">
        <v>0.38</v>
      </c>
      <c r="K10" s="64">
        <v>351.29</v>
      </c>
      <c r="L10" s="64">
        <v>23.96</v>
      </c>
      <c r="M10" s="64">
        <v>92.64</v>
      </c>
      <c r="N10" s="64">
        <v>18</v>
      </c>
      <c r="O10" s="64">
        <v>0</v>
      </c>
      <c r="P10" s="64">
        <v>0.32</v>
      </c>
      <c r="Q10" s="64">
        <v>9.1999999999999993</v>
      </c>
      <c r="R10" s="198"/>
      <c r="S10" s="198"/>
      <c r="T10" s="198"/>
      <c r="U10" s="198"/>
    </row>
    <row r="11" spans="1:21" s="12" customFormat="1" x14ac:dyDescent="0.25">
      <c r="A11" s="217" t="s">
        <v>724</v>
      </c>
      <c r="B11" s="64">
        <v>8.1999999999999993</v>
      </c>
      <c r="C11" s="64">
        <v>3.13</v>
      </c>
      <c r="D11" s="64">
        <v>11.99</v>
      </c>
      <c r="E11" s="64">
        <v>2.9</v>
      </c>
      <c r="F11" s="64">
        <v>3.5</v>
      </c>
      <c r="G11" s="64">
        <v>36.24</v>
      </c>
      <c r="H11" s="64">
        <v>9.65</v>
      </c>
      <c r="I11" s="64">
        <v>3.12</v>
      </c>
      <c r="J11" s="64">
        <v>0.34</v>
      </c>
      <c r="K11" s="64">
        <v>16.91</v>
      </c>
      <c r="L11" s="64">
        <v>23.9</v>
      </c>
      <c r="M11" s="64">
        <v>93.29</v>
      </c>
      <c r="N11" s="64">
        <v>18</v>
      </c>
      <c r="O11" s="64">
        <v>0</v>
      </c>
      <c r="P11" s="64">
        <v>0.33</v>
      </c>
      <c r="Q11" s="64">
        <v>9.1999999999999993</v>
      </c>
      <c r="R11" s="198"/>
      <c r="S11" s="198"/>
      <c r="T11" s="198"/>
      <c r="U11" s="198"/>
    </row>
    <row r="12" spans="1:21" s="12" customFormat="1" x14ac:dyDescent="0.25">
      <c r="A12" s="217" t="s">
        <v>725</v>
      </c>
      <c r="B12" s="64">
        <v>8.2100000000000009</v>
      </c>
      <c r="C12" s="64">
        <v>3.1</v>
      </c>
      <c r="D12" s="64">
        <v>11.98</v>
      </c>
      <c r="E12" s="64">
        <v>2.84</v>
      </c>
      <c r="F12" s="64">
        <v>2.61</v>
      </c>
      <c r="G12" s="64">
        <v>34.47</v>
      </c>
      <c r="H12" s="64">
        <v>9.16</v>
      </c>
      <c r="I12" s="64">
        <v>2.91</v>
      </c>
      <c r="J12" s="64">
        <v>0.33</v>
      </c>
      <c r="K12" s="64">
        <v>239.2</v>
      </c>
      <c r="L12" s="64">
        <v>23.81</v>
      </c>
      <c r="M12" s="64">
        <v>93.89</v>
      </c>
      <c r="N12" s="64">
        <v>17.899999999999999</v>
      </c>
      <c r="O12" s="64">
        <v>0</v>
      </c>
      <c r="P12" s="64">
        <v>0.32</v>
      </c>
      <c r="Q12" s="64">
        <v>9.18</v>
      </c>
      <c r="R12" s="198"/>
      <c r="S12" s="198"/>
      <c r="T12" s="198"/>
      <c r="U12" s="198"/>
    </row>
    <row r="13" spans="1:21" s="12" customFormat="1" x14ac:dyDescent="0.25">
      <c r="A13" s="217" t="s">
        <v>726</v>
      </c>
      <c r="B13" s="64">
        <v>8.25</v>
      </c>
      <c r="C13" s="64">
        <v>3.14</v>
      </c>
      <c r="D13" s="64">
        <v>12.03</v>
      </c>
      <c r="E13" s="64">
        <v>2.66</v>
      </c>
      <c r="F13" s="64">
        <v>3.17</v>
      </c>
      <c r="G13" s="64">
        <v>32.54</v>
      </c>
      <c r="H13" s="64">
        <v>8.6199999999999992</v>
      </c>
      <c r="I13" s="64">
        <v>2.79</v>
      </c>
      <c r="J13" s="64">
        <v>0.22</v>
      </c>
      <c r="K13" s="64">
        <v>317.61</v>
      </c>
      <c r="L13" s="64">
        <v>23.68</v>
      </c>
      <c r="M13" s="64">
        <v>95.3</v>
      </c>
      <c r="N13" s="64">
        <v>18</v>
      </c>
      <c r="O13" s="64">
        <v>0</v>
      </c>
      <c r="P13" s="64">
        <v>0.3</v>
      </c>
      <c r="Q13" s="64">
        <v>9.15</v>
      </c>
      <c r="R13" s="198"/>
      <c r="S13" s="198"/>
      <c r="T13" s="198"/>
      <c r="U13" s="198"/>
    </row>
    <row r="14" spans="1:21" s="12" customFormat="1" x14ac:dyDescent="0.25">
      <c r="A14" s="217" t="s">
        <v>727</v>
      </c>
      <c r="B14" s="64">
        <v>8.2899999999999991</v>
      </c>
      <c r="C14" s="64">
        <v>3.13</v>
      </c>
      <c r="D14" s="64">
        <v>12.05</v>
      </c>
      <c r="E14" s="64">
        <v>3.09</v>
      </c>
      <c r="F14" s="64">
        <v>3.08</v>
      </c>
      <c r="G14" s="64">
        <v>32.54</v>
      </c>
      <c r="H14" s="64">
        <v>8.6199999999999992</v>
      </c>
      <c r="I14" s="64">
        <v>2.92</v>
      </c>
      <c r="J14" s="64">
        <v>0.5</v>
      </c>
      <c r="K14" s="64">
        <v>322.97000000000003</v>
      </c>
      <c r="L14" s="64">
        <v>23.58</v>
      </c>
      <c r="M14" s="64">
        <v>96.13</v>
      </c>
      <c r="N14" s="64">
        <v>18</v>
      </c>
      <c r="O14" s="64">
        <v>0</v>
      </c>
      <c r="P14" s="64">
        <v>0.3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7" t="s">
        <v>728</v>
      </c>
      <c r="B15" s="64">
        <v>8.26</v>
      </c>
      <c r="C15" s="64">
        <v>3.14</v>
      </c>
      <c r="D15" s="64">
        <v>12.04</v>
      </c>
      <c r="E15" s="64">
        <v>3.21</v>
      </c>
      <c r="F15" s="64">
        <v>3.36</v>
      </c>
      <c r="G15" s="64">
        <v>32.54</v>
      </c>
      <c r="H15" s="64">
        <v>8.6199999999999992</v>
      </c>
      <c r="I15" s="64">
        <v>3.05</v>
      </c>
      <c r="J15" s="64">
        <v>0.44</v>
      </c>
      <c r="K15" s="64">
        <v>343.94</v>
      </c>
      <c r="L15" s="64">
        <v>23.5</v>
      </c>
      <c r="M15" s="64">
        <v>97</v>
      </c>
      <c r="N15" s="64">
        <v>17.899999999999999</v>
      </c>
      <c r="O15" s="64">
        <v>0</v>
      </c>
      <c r="P15" s="64">
        <v>0.3</v>
      </c>
      <c r="Q15" s="64">
        <v>9.16</v>
      </c>
      <c r="R15" s="198"/>
      <c r="S15" s="198"/>
      <c r="T15" s="198"/>
      <c r="U15" s="198"/>
    </row>
    <row r="16" spans="1:21" s="12" customFormat="1" x14ac:dyDescent="0.25">
      <c r="A16" s="217" t="s">
        <v>729</v>
      </c>
      <c r="B16" s="64">
        <v>8.26</v>
      </c>
      <c r="C16" s="64">
        <v>3.15</v>
      </c>
      <c r="D16" s="64">
        <v>12.05</v>
      </c>
      <c r="E16" s="64">
        <v>3.04</v>
      </c>
      <c r="F16" s="64">
        <v>3.3</v>
      </c>
      <c r="G16" s="64">
        <v>29.52</v>
      </c>
      <c r="H16" s="64">
        <v>8.4600000000000009</v>
      </c>
      <c r="I16" s="64">
        <v>3.1</v>
      </c>
      <c r="J16" s="64">
        <v>0.3</v>
      </c>
      <c r="K16" s="64">
        <v>335.84</v>
      </c>
      <c r="L16" s="64">
        <v>23.42</v>
      </c>
      <c r="M16" s="64">
        <v>97.28</v>
      </c>
      <c r="N16" s="64">
        <v>17.8</v>
      </c>
      <c r="O16" s="64">
        <v>0</v>
      </c>
      <c r="P16" s="64">
        <v>0.28999999999999998</v>
      </c>
      <c r="Q16" s="64">
        <v>9.18</v>
      </c>
      <c r="R16" s="198"/>
      <c r="S16" s="198"/>
      <c r="T16" s="198"/>
      <c r="U16" s="198"/>
    </row>
    <row r="17" spans="1:21" s="12" customFormat="1" x14ac:dyDescent="0.25">
      <c r="A17" s="217" t="s">
        <v>730</v>
      </c>
      <c r="B17" s="64">
        <v>8.26</v>
      </c>
      <c r="C17" s="64">
        <v>3.11</v>
      </c>
      <c r="D17" s="64">
        <v>12.02</v>
      </c>
      <c r="E17" s="64">
        <v>2.81</v>
      </c>
      <c r="F17" s="64">
        <v>2.72</v>
      </c>
      <c r="G17" s="64">
        <v>26.05</v>
      </c>
      <c r="H17" s="64">
        <v>8.2799999999999994</v>
      </c>
      <c r="I17" s="64">
        <v>3.07</v>
      </c>
      <c r="J17" s="64">
        <v>0.36</v>
      </c>
      <c r="K17" s="64">
        <v>334.27</v>
      </c>
      <c r="L17" s="64">
        <v>23.36</v>
      </c>
      <c r="M17" s="64">
        <v>97.24</v>
      </c>
      <c r="N17" s="64">
        <v>17.8</v>
      </c>
      <c r="O17" s="64">
        <v>0</v>
      </c>
      <c r="P17" s="64">
        <v>0.28999999999999998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17" t="s">
        <v>731</v>
      </c>
      <c r="B18" s="64">
        <v>8.2799999999999994</v>
      </c>
      <c r="C18" s="64">
        <v>3.13</v>
      </c>
      <c r="D18" s="64">
        <v>12.05</v>
      </c>
      <c r="E18" s="64">
        <v>3.02</v>
      </c>
      <c r="F18" s="64">
        <v>3.37</v>
      </c>
      <c r="G18" s="64">
        <v>26.05</v>
      </c>
      <c r="H18" s="64">
        <v>8.2799999999999994</v>
      </c>
      <c r="I18" s="64">
        <v>3.08</v>
      </c>
      <c r="J18" s="64">
        <v>0.33</v>
      </c>
      <c r="K18" s="64">
        <v>336.98</v>
      </c>
      <c r="L18" s="64">
        <v>23.36</v>
      </c>
      <c r="M18" s="64">
        <v>97.55</v>
      </c>
      <c r="N18" s="64">
        <v>17.8</v>
      </c>
      <c r="O18" s="64">
        <v>0</v>
      </c>
      <c r="P18" s="64">
        <v>0.28000000000000003</v>
      </c>
      <c r="Q18" s="64">
        <v>9.1999999999999993</v>
      </c>
      <c r="R18" s="198"/>
      <c r="S18" s="198"/>
      <c r="T18" s="198"/>
      <c r="U18" s="198"/>
    </row>
    <row r="19" spans="1:21" s="12" customFormat="1" x14ac:dyDescent="0.25">
      <c r="A19" s="217" t="s">
        <v>732</v>
      </c>
      <c r="B19" s="64">
        <v>8.27</v>
      </c>
      <c r="C19" s="64">
        <v>3.15</v>
      </c>
      <c r="D19" s="64">
        <v>12.05</v>
      </c>
      <c r="E19" s="64">
        <v>2.91</v>
      </c>
      <c r="F19" s="64">
        <v>3.47</v>
      </c>
      <c r="G19" s="64">
        <v>26.05</v>
      </c>
      <c r="H19" s="64">
        <v>8.2799999999999994</v>
      </c>
      <c r="I19" s="64">
        <v>3.11</v>
      </c>
      <c r="J19" s="64">
        <v>0.32</v>
      </c>
      <c r="K19" s="64">
        <v>193.45</v>
      </c>
      <c r="L19" s="64">
        <v>23.29</v>
      </c>
      <c r="M19" s="64">
        <v>98.28</v>
      </c>
      <c r="N19" s="64">
        <v>17.8</v>
      </c>
      <c r="O19" s="64">
        <v>0</v>
      </c>
      <c r="P19" s="64">
        <v>0.28000000000000003</v>
      </c>
      <c r="Q19" s="64">
        <v>9.1999999999999993</v>
      </c>
      <c r="R19" s="198"/>
      <c r="S19" s="198"/>
      <c r="T19" s="198"/>
      <c r="U19" s="198"/>
    </row>
    <row r="20" spans="1:21" s="12" customFormat="1" x14ac:dyDescent="0.25">
      <c r="A20" s="217" t="s">
        <v>733</v>
      </c>
      <c r="B20" s="64">
        <v>8.24</v>
      </c>
      <c r="C20" s="64">
        <v>3.13</v>
      </c>
      <c r="D20" s="64">
        <v>12.01</v>
      </c>
      <c r="E20" s="64">
        <v>3.24</v>
      </c>
      <c r="F20" s="64">
        <v>3.64</v>
      </c>
      <c r="G20" s="64">
        <v>25.18</v>
      </c>
      <c r="H20" s="64">
        <v>7.78</v>
      </c>
      <c r="I20" s="64">
        <v>3.14</v>
      </c>
      <c r="J20" s="64">
        <v>0.38</v>
      </c>
      <c r="K20" s="64">
        <v>352.16</v>
      </c>
      <c r="L20" s="64">
        <v>23.29</v>
      </c>
      <c r="M20" s="64">
        <v>98.3</v>
      </c>
      <c r="N20" s="64">
        <v>17.899999999999999</v>
      </c>
      <c r="O20" s="64">
        <v>0</v>
      </c>
      <c r="P20" s="64">
        <v>0.27</v>
      </c>
      <c r="Q20" s="64">
        <v>9.23</v>
      </c>
      <c r="R20" s="198"/>
      <c r="S20" s="198"/>
      <c r="T20" s="198"/>
      <c r="U20" s="198"/>
    </row>
    <row r="21" spans="1:21" s="12" customFormat="1" x14ac:dyDescent="0.25">
      <c r="A21" s="217" t="s">
        <v>734</v>
      </c>
      <c r="B21" s="64">
        <v>8.1999999999999993</v>
      </c>
      <c r="C21" s="64">
        <v>3.09</v>
      </c>
      <c r="D21" s="64">
        <v>11.97</v>
      </c>
      <c r="E21" s="64">
        <v>3.5</v>
      </c>
      <c r="F21" s="64">
        <v>3.85</v>
      </c>
      <c r="G21" s="64">
        <v>24.19</v>
      </c>
      <c r="H21" s="64">
        <v>7.22</v>
      </c>
      <c r="I21" s="64">
        <v>3.16</v>
      </c>
      <c r="J21" s="64">
        <v>0.13</v>
      </c>
      <c r="K21" s="64">
        <v>339.62</v>
      </c>
      <c r="L21" s="64">
        <v>23.28</v>
      </c>
      <c r="M21" s="64">
        <v>98.25</v>
      </c>
      <c r="N21" s="64">
        <v>17.8</v>
      </c>
      <c r="O21" s="64">
        <v>0</v>
      </c>
      <c r="P21" s="64">
        <v>0.26</v>
      </c>
      <c r="Q21" s="64">
        <v>9.2100000000000009</v>
      </c>
      <c r="R21" s="198"/>
      <c r="S21" s="198"/>
      <c r="T21" s="198"/>
      <c r="U21" s="198"/>
    </row>
    <row r="22" spans="1:21" s="12" customFormat="1" x14ac:dyDescent="0.25">
      <c r="A22" s="217" t="s">
        <v>735</v>
      </c>
      <c r="B22" s="64">
        <v>8.19</v>
      </c>
      <c r="C22" s="64">
        <v>3.09</v>
      </c>
      <c r="D22" s="64">
        <v>11.96</v>
      </c>
      <c r="E22" s="64">
        <v>3.24</v>
      </c>
      <c r="F22" s="64">
        <v>3.66</v>
      </c>
      <c r="G22" s="64">
        <v>24.19</v>
      </c>
      <c r="H22" s="64">
        <v>7.22</v>
      </c>
      <c r="I22" s="64">
        <v>3.25</v>
      </c>
      <c r="J22" s="64">
        <v>0.35</v>
      </c>
      <c r="K22" s="64">
        <v>178.65</v>
      </c>
      <c r="L22" s="64">
        <v>23.21</v>
      </c>
      <c r="M22" s="64">
        <v>98.14</v>
      </c>
      <c r="N22" s="64">
        <v>17.8</v>
      </c>
      <c r="O22" s="64">
        <v>0</v>
      </c>
      <c r="P22" s="64">
        <v>0.26</v>
      </c>
      <c r="Q22" s="64">
        <v>9.1999999999999993</v>
      </c>
      <c r="R22" s="198"/>
      <c r="S22" s="198"/>
      <c r="T22" s="198"/>
      <c r="U22" s="198"/>
    </row>
    <row r="23" spans="1:21" s="12" customFormat="1" x14ac:dyDescent="0.25">
      <c r="A23" s="217" t="s">
        <v>736</v>
      </c>
      <c r="B23" s="64">
        <v>8.2200000000000006</v>
      </c>
      <c r="C23" s="64">
        <v>3.14</v>
      </c>
      <c r="D23" s="64">
        <v>12</v>
      </c>
      <c r="E23" s="64">
        <v>2.4700000000000002</v>
      </c>
      <c r="F23" s="64">
        <v>3.25</v>
      </c>
      <c r="G23" s="64">
        <v>24.19</v>
      </c>
      <c r="H23" s="64">
        <v>7.22</v>
      </c>
      <c r="I23" s="64">
        <v>3.26</v>
      </c>
      <c r="J23" s="64">
        <v>0.21</v>
      </c>
      <c r="K23" s="64">
        <v>194.59</v>
      </c>
      <c r="L23" s="64">
        <v>23.17</v>
      </c>
      <c r="M23" s="64">
        <v>98.05</v>
      </c>
      <c r="N23" s="64">
        <v>17.8</v>
      </c>
      <c r="O23" s="64">
        <v>0</v>
      </c>
      <c r="P23" s="64">
        <v>0.26</v>
      </c>
      <c r="Q23" s="64">
        <v>9.18</v>
      </c>
      <c r="R23" s="198"/>
      <c r="S23" s="198"/>
      <c r="T23" s="198"/>
      <c r="U23" s="198"/>
    </row>
    <row r="24" spans="1:21" s="12" customFormat="1" x14ac:dyDescent="0.25">
      <c r="A24" s="217" t="s">
        <v>737</v>
      </c>
      <c r="B24" s="64">
        <v>8.23</v>
      </c>
      <c r="C24" s="64">
        <v>3.14</v>
      </c>
      <c r="D24" s="64">
        <v>12.01</v>
      </c>
      <c r="E24" s="64">
        <v>3.98</v>
      </c>
      <c r="F24" s="64">
        <v>3.56</v>
      </c>
      <c r="G24" s="64">
        <v>24.09</v>
      </c>
      <c r="H24" s="64">
        <v>6.61</v>
      </c>
      <c r="I24" s="64">
        <v>3.19</v>
      </c>
      <c r="J24" s="64">
        <v>0.12</v>
      </c>
      <c r="K24" s="64">
        <v>315.60000000000002</v>
      </c>
      <c r="L24" s="64">
        <v>23.2</v>
      </c>
      <c r="M24" s="64">
        <v>97.39</v>
      </c>
      <c r="N24" s="64">
        <v>17.8</v>
      </c>
      <c r="O24" s="64">
        <v>0</v>
      </c>
      <c r="P24" s="64">
        <v>0.25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7" t="s">
        <v>738</v>
      </c>
      <c r="B25" s="64">
        <v>8.25</v>
      </c>
      <c r="C25" s="64">
        <v>3.18</v>
      </c>
      <c r="D25" s="64">
        <v>12.05</v>
      </c>
      <c r="E25" s="64">
        <v>4.29</v>
      </c>
      <c r="F25" s="64">
        <v>3.89</v>
      </c>
      <c r="G25" s="64">
        <v>23.98</v>
      </c>
      <c r="H25" s="64">
        <v>5.91</v>
      </c>
      <c r="I25" s="64">
        <v>3.11</v>
      </c>
      <c r="J25" s="64">
        <v>0.72</v>
      </c>
      <c r="K25" s="64">
        <v>174.68</v>
      </c>
      <c r="L25" s="64">
        <v>23.19</v>
      </c>
      <c r="M25" s="64">
        <v>96.1</v>
      </c>
      <c r="N25" s="64">
        <v>17.8</v>
      </c>
      <c r="O25" s="64">
        <v>0</v>
      </c>
      <c r="P25" s="64">
        <v>0.25</v>
      </c>
      <c r="Q25" s="64">
        <v>9.2100000000000009</v>
      </c>
      <c r="R25" s="198"/>
      <c r="S25" s="198"/>
      <c r="T25" s="198"/>
      <c r="U25" s="198"/>
    </row>
    <row r="26" spans="1:21" s="12" customFormat="1" x14ac:dyDescent="0.25">
      <c r="A26" s="217" t="s">
        <v>739</v>
      </c>
      <c r="B26" s="64">
        <v>8.2899999999999991</v>
      </c>
      <c r="C26" s="64">
        <v>3.33</v>
      </c>
      <c r="D26" s="64">
        <v>12.16</v>
      </c>
      <c r="E26" s="64">
        <v>3.59</v>
      </c>
      <c r="F26" s="64">
        <v>4.21</v>
      </c>
      <c r="G26" s="64">
        <v>23.98</v>
      </c>
      <c r="H26" s="64">
        <v>5.91</v>
      </c>
      <c r="I26" s="64">
        <v>3.03</v>
      </c>
      <c r="J26" s="64">
        <v>0.17</v>
      </c>
      <c r="K26" s="64">
        <v>45.41</v>
      </c>
      <c r="L26" s="64">
        <v>23.19</v>
      </c>
      <c r="M26" s="64">
        <v>95.09</v>
      </c>
      <c r="N26" s="64">
        <v>18</v>
      </c>
      <c r="O26" s="64">
        <v>0</v>
      </c>
      <c r="P26" s="64">
        <v>0.24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7" t="s">
        <v>740</v>
      </c>
      <c r="B27" s="64">
        <v>8.2799999999999994</v>
      </c>
      <c r="C27" s="64">
        <v>3.31</v>
      </c>
      <c r="D27" s="64">
        <v>12.14</v>
      </c>
      <c r="E27" s="64">
        <v>3.96</v>
      </c>
      <c r="F27" s="64">
        <v>3.99</v>
      </c>
      <c r="G27" s="64">
        <v>23.98</v>
      </c>
      <c r="H27" s="64">
        <v>5.91</v>
      </c>
      <c r="I27" s="64">
        <v>2.97</v>
      </c>
      <c r="J27" s="64">
        <v>0.18</v>
      </c>
      <c r="K27" s="64">
        <v>1.07</v>
      </c>
      <c r="L27" s="64">
        <v>23.22</v>
      </c>
      <c r="M27" s="64">
        <v>93.52</v>
      </c>
      <c r="N27" s="64">
        <v>17.8</v>
      </c>
      <c r="O27" s="64">
        <v>0</v>
      </c>
      <c r="P27" s="64">
        <v>0.23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7" t="s">
        <v>741</v>
      </c>
      <c r="B28" s="64">
        <v>8.31</v>
      </c>
      <c r="C28" s="64">
        <v>3.34</v>
      </c>
      <c r="D28" s="64">
        <v>12.19</v>
      </c>
      <c r="E28" s="64">
        <v>3.94</v>
      </c>
      <c r="F28" s="64">
        <v>4.63</v>
      </c>
      <c r="G28" s="64">
        <v>20.96</v>
      </c>
      <c r="H28" s="64">
        <v>5.24</v>
      </c>
      <c r="I28" s="64">
        <v>2.89</v>
      </c>
      <c r="J28" s="64">
        <v>0.51</v>
      </c>
      <c r="K28" s="64">
        <v>6.01</v>
      </c>
      <c r="L28" s="64">
        <v>23.18</v>
      </c>
      <c r="M28" s="64">
        <v>93.19</v>
      </c>
      <c r="N28" s="64">
        <v>17.8</v>
      </c>
      <c r="O28" s="64">
        <v>0</v>
      </c>
      <c r="P28" s="64">
        <v>0.22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7" t="s">
        <v>742</v>
      </c>
      <c r="B29" s="64">
        <v>8.3000000000000007</v>
      </c>
      <c r="C29" s="64">
        <v>3.35</v>
      </c>
      <c r="D29" s="64">
        <v>12.18</v>
      </c>
      <c r="E29" s="64">
        <v>3.98</v>
      </c>
      <c r="F29" s="64">
        <v>3.68</v>
      </c>
      <c r="G29" s="64">
        <v>17.52</v>
      </c>
      <c r="H29" s="64">
        <v>4.47</v>
      </c>
      <c r="I29" s="64">
        <v>2.75</v>
      </c>
      <c r="J29" s="64">
        <v>0.36</v>
      </c>
      <c r="K29" s="64">
        <v>1.01</v>
      </c>
      <c r="L29" s="64">
        <v>23.16</v>
      </c>
      <c r="M29" s="64">
        <v>92.78</v>
      </c>
      <c r="N29" s="64">
        <v>18.2</v>
      </c>
      <c r="O29" s="64">
        <v>0</v>
      </c>
      <c r="P29" s="64">
        <v>0.22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7" t="s">
        <v>743</v>
      </c>
      <c r="B30" s="64">
        <v>8.27</v>
      </c>
      <c r="C30" s="64">
        <v>3.21</v>
      </c>
      <c r="D30" s="64">
        <v>12.08</v>
      </c>
      <c r="E30" s="64">
        <v>3.84</v>
      </c>
      <c r="F30" s="64">
        <v>3.36</v>
      </c>
      <c r="G30" s="64">
        <v>17.52</v>
      </c>
      <c r="H30" s="64">
        <v>4.47</v>
      </c>
      <c r="I30" s="64">
        <v>2.62</v>
      </c>
      <c r="J30" s="64">
        <v>0.14000000000000001</v>
      </c>
      <c r="K30" s="64">
        <v>307.82</v>
      </c>
      <c r="L30" s="64">
        <v>23.15</v>
      </c>
      <c r="M30" s="64">
        <v>93</v>
      </c>
      <c r="N30" s="64">
        <v>20.399999999999999</v>
      </c>
      <c r="O30" s="64">
        <v>0</v>
      </c>
      <c r="P30" s="64">
        <v>0.21</v>
      </c>
      <c r="Q30" s="64">
        <v>9.15</v>
      </c>
      <c r="R30" s="198"/>
      <c r="S30" s="198"/>
      <c r="T30" s="198"/>
      <c r="U30" s="198"/>
    </row>
    <row r="31" spans="1:21" s="12" customFormat="1" x14ac:dyDescent="0.25">
      <c r="A31" s="217" t="s">
        <v>744</v>
      </c>
      <c r="B31" s="64">
        <v>8.33</v>
      </c>
      <c r="C31" s="64">
        <v>3.28</v>
      </c>
      <c r="D31" s="64">
        <v>12.17</v>
      </c>
      <c r="E31" s="64">
        <v>3.98</v>
      </c>
      <c r="F31" s="64">
        <v>3.5</v>
      </c>
      <c r="G31" s="64">
        <v>17.52</v>
      </c>
      <c r="H31" s="64">
        <v>4.47</v>
      </c>
      <c r="I31" s="64">
        <v>2.4700000000000002</v>
      </c>
      <c r="J31" s="64">
        <v>0.17</v>
      </c>
      <c r="K31" s="64">
        <v>199.85</v>
      </c>
      <c r="L31" s="64">
        <v>23.12</v>
      </c>
      <c r="M31" s="64">
        <v>93.45</v>
      </c>
      <c r="N31" s="64">
        <v>23.8</v>
      </c>
      <c r="O31" s="64">
        <v>0</v>
      </c>
      <c r="P31" s="64">
        <v>0.21</v>
      </c>
      <c r="Q31" s="64">
        <v>9.16</v>
      </c>
      <c r="R31" s="198"/>
      <c r="S31" s="198"/>
      <c r="T31" s="198"/>
      <c r="U31" s="198"/>
    </row>
    <row r="32" spans="1:21" s="12" customFormat="1" x14ac:dyDescent="0.25">
      <c r="A32" s="217" t="s">
        <v>745</v>
      </c>
      <c r="B32" s="64">
        <v>8.2799999999999994</v>
      </c>
      <c r="C32" s="64">
        <v>3.17</v>
      </c>
      <c r="D32" s="64">
        <v>12.07</v>
      </c>
      <c r="E32" s="64">
        <v>3.64</v>
      </c>
      <c r="F32" s="64">
        <v>3.3</v>
      </c>
      <c r="G32" s="64">
        <v>17.8</v>
      </c>
      <c r="H32" s="64">
        <v>4</v>
      </c>
      <c r="I32" s="64">
        <v>2.4300000000000002</v>
      </c>
      <c r="J32" s="64">
        <v>0.3</v>
      </c>
      <c r="K32" s="64">
        <v>235.92</v>
      </c>
      <c r="L32" s="64">
        <v>23.11</v>
      </c>
      <c r="M32" s="64">
        <v>93.95</v>
      </c>
      <c r="N32" s="64">
        <v>34.6</v>
      </c>
      <c r="O32" s="64">
        <v>0</v>
      </c>
      <c r="P32" s="64">
        <v>0.21</v>
      </c>
      <c r="Q32" s="64">
        <v>9.15</v>
      </c>
      <c r="R32" s="198"/>
      <c r="S32" s="198"/>
      <c r="T32" s="198"/>
      <c r="U32" s="198"/>
    </row>
    <row r="33" spans="1:21" s="12" customFormat="1" x14ac:dyDescent="0.25">
      <c r="A33" s="217" t="s">
        <v>746</v>
      </c>
      <c r="B33" s="64">
        <v>8.26</v>
      </c>
      <c r="C33" s="64">
        <v>3.13</v>
      </c>
      <c r="D33" s="64">
        <v>12.03</v>
      </c>
      <c r="E33" s="64">
        <v>3.99</v>
      </c>
      <c r="F33" s="64">
        <v>3.09</v>
      </c>
      <c r="G33" s="64">
        <v>18.13</v>
      </c>
      <c r="H33" s="64">
        <v>3.47</v>
      </c>
      <c r="I33" s="64">
        <v>2.57</v>
      </c>
      <c r="J33" s="64">
        <v>0.14000000000000001</v>
      </c>
      <c r="K33" s="64">
        <v>283.54000000000002</v>
      </c>
      <c r="L33" s="64">
        <v>23.17</v>
      </c>
      <c r="M33" s="64">
        <v>93.9</v>
      </c>
      <c r="N33" s="64">
        <v>47.2</v>
      </c>
      <c r="O33" s="64">
        <v>0</v>
      </c>
      <c r="P33" s="64">
        <v>0.21</v>
      </c>
      <c r="Q33" s="64">
        <v>9.18</v>
      </c>
      <c r="R33" s="198"/>
      <c r="S33" s="198"/>
      <c r="T33" s="198"/>
      <c r="U33" s="198"/>
    </row>
    <row r="34" spans="1:21" s="12" customFormat="1" x14ac:dyDescent="0.25">
      <c r="A34" s="217" t="s">
        <v>747</v>
      </c>
      <c r="B34" s="64">
        <v>8.26</v>
      </c>
      <c r="C34" s="64">
        <v>3.13</v>
      </c>
      <c r="D34" s="64">
        <v>12.03</v>
      </c>
      <c r="E34" s="64">
        <v>4.0199999999999996</v>
      </c>
      <c r="F34" s="64">
        <v>3.63</v>
      </c>
      <c r="G34" s="64">
        <v>18.13</v>
      </c>
      <c r="H34" s="64">
        <v>3.47</v>
      </c>
      <c r="I34" s="64">
        <v>2.82</v>
      </c>
      <c r="J34" s="64">
        <v>0.15</v>
      </c>
      <c r="K34" s="64">
        <v>281.42</v>
      </c>
      <c r="L34" s="64">
        <v>23.29</v>
      </c>
      <c r="M34" s="64">
        <v>93.37</v>
      </c>
      <c r="N34" s="64">
        <v>60.2</v>
      </c>
      <c r="O34" s="64">
        <v>0</v>
      </c>
      <c r="P34" s="64">
        <v>0.21</v>
      </c>
      <c r="Q34" s="64">
        <v>9.19</v>
      </c>
      <c r="R34" s="198"/>
      <c r="S34" s="198"/>
      <c r="T34" s="198"/>
      <c r="U34" s="198"/>
    </row>
    <row r="35" spans="1:21" s="12" customFormat="1" x14ac:dyDescent="0.25">
      <c r="A35" s="217" t="s">
        <v>748</v>
      </c>
      <c r="B35" s="64">
        <v>8.2799999999999994</v>
      </c>
      <c r="C35" s="64">
        <v>3.13</v>
      </c>
      <c r="D35" s="64">
        <v>12.05</v>
      </c>
      <c r="E35" s="64">
        <v>4.08</v>
      </c>
      <c r="F35" s="64">
        <v>3.42</v>
      </c>
      <c r="G35" s="64">
        <v>18.13</v>
      </c>
      <c r="H35" s="64">
        <v>3.47</v>
      </c>
      <c r="I35" s="64">
        <v>3.04</v>
      </c>
      <c r="J35" s="64">
        <v>0.26</v>
      </c>
      <c r="K35" s="64">
        <v>335.71</v>
      </c>
      <c r="L35" s="64">
        <v>23.47</v>
      </c>
      <c r="M35" s="64">
        <v>93</v>
      </c>
      <c r="N35" s="64">
        <v>70.7</v>
      </c>
      <c r="O35" s="64">
        <v>0</v>
      </c>
      <c r="P35" s="64">
        <v>0.21</v>
      </c>
      <c r="Q35" s="64">
        <v>9.17</v>
      </c>
      <c r="R35" s="198"/>
      <c r="S35" s="198"/>
      <c r="T35" s="198"/>
      <c r="U35" s="198"/>
    </row>
    <row r="36" spans="1:21" s="12" customFormat="1" x14ac:dyDescent="0.25">
      <c r="A36" s="217" t="s">
        <v>749</v>
      </c>
      <c r="B36" s="64">
        <v>8.31</v>
      </c>
      <c r="C36" s="64">
        <v>3.16</v>
      </c>
      <c r="D36" s="64">
        <v>12.09</v>
      </c>
      <c r="E36" s="64">
        <v>4.01</v>
      </c>
      <c r="F36" s="64">
        <v>4.59</v>
      </c>
      <c r="G36" s="64">
        <v>17.22</v>
      </c>
      <c r="H36" s="64">
        <v>5.44</v>
      </c>
      <c r="I36" s="64">
        <v>3.18</v>
      </c>
      <c r="J36" s="64">
        <v>0.55000000000000004</v>
      </c>
      <c r="K36" s="64">
        <v>355.38</v>
      </c>
      <c r="L36" s="64">
        <v>23.56</v>
      </c>
      <c r="M36" s="64">
        <v>92.73</v>
      </c>
      <c r="N36" s="64">
        <v>83.4</v>
      </c>
      <c r="O36" s="64">
        <v>0</v>
      </c>
      <c r="P36" s="64">
        <v>0.21</v>
      </c>
      <c r="Q36" s="64">
        <v>9.17</v>
      </c>
      <c r="R36" s="198"/>
      <c r="S36" s="198"/>
      <c r="T36" s="198"/>
      <c r="U36" s="198"/>
    </row>
    <row r="37" spans="1:21" s="12" customFormat="1" x14ac:dyDescent="0.25">
      <c r="A37" s="217" t="s">
        <v>750</v>
      </c>
      <c r="B37" s="64">
        <v>8.31</v>
      </c>
      <c r="C37" s="64">
        <v>3.19</v>
      </c>
      <c r="D37" s="64">
        <v>12.11</v>
      </c>
      <c r="E37" s="64">
        <v>3.8</v>
      </c>
      <c r="F37" s="64">
        <v>3.85</v>
      </c>
      <c r="G37" s="64">
        <v>16.190000000000001</v>
      </c>
      <c r="H37" s="64">
        <v>7.6</v>
      </c>
      <c r="I37" s="64">
        <v>3.26</v>
      </c>
      <c r="J37" s="64">
        <v>0.51</v>
      </c>
      <c r="K37" s="64">
        <v>342.79</v>
      </c>
      <c r="L37" s="64">
        <v>23.89</v>
      </c>
      <c r="M37" s="64">
        <v>90.75</v>
      </c>
      <c r="N37" s="64">
        <v>92.9</v>
      </c>
      <c r="O37" s="64">
        <v>0</v>
      </c>
      <c r="P37" s="64">
        <v>0.26</v>
      </c>
      <c r="Q37" s="64">
        <v>9.19</v>
      </c>
      <c r="R37" s="198"/>
      <c r="S37" s="198"/>
      <c r="T37" s="198"/>
      <c r="U37" s="198"/>
    </row>
    <row r="38" spans="1:21" s="12" customFormat="1" x14ac:dyDescent="0.25">
      <c r="A38" s="217" t="s">
        <v>751</v>
      </c>
      <c r="B38" s="64">
        <v>8.2899999999999991</v>
      </c>
      <c r="C38" s="64">
        <v>3.24</v>
      </c>
      <c r="D38" s="64">
        <v>12.11</v>
      </c>
      <c r="E38" s="64">
        <v>3.9</v>
      </c>
      <c r="F38" s="64">
        <v>4.16</v>
      </c>
      <c r="G38" s="64">
        <v>16.190000000000001</v>
      </c>
      <c r="H38" s="64">
        <v>7.6</v>
      </c>
      <c r="I38" s="64">
        <v>3.29</v>
      </c>
      <c r="J38" s="64">
        <v>0.57999999999999996</v>
      </c>
      <c r="K38" s="64">
        <v>357.55</v>
      </c>
      <c r="L38" s="64">
        <v>23.54</v>
      </c>
      <c r="M38" s="64">
        <v>92.16</v>
      </c>
      <c r="N38" s="64">
        <v>86.8</v>
      </c>
      <c r="O38" s="64">
        <v>0</v>
      </c>
      <c r="P38" s="64">
        <v>0.28999999999999998</v>
      </c>
      <c r="Q38" s="64">
        <v>9.24</v>
      </c>
      <c r="R38" s="198"/>
      <c r="S38" s="198"/>
      <c r="T38" s="198"/>
      <c r="U38" s="198"/>
    </row>
    <row r="39" spans="1:21" s="12" customFormat="1" x14ac:dyDescent="0.25">
      <c r="A39" s="217" t="s">
        <v>752</v>
      </c>
      <c r="B39" s="64">
        <v>8.2200000000000006</v>
      </c>
      <c r="C39" s="64">
        <v>3.12</v>
      </c>
      <c r="D39" s="64">
        <v>12</v>
      </c>
      <c r="E39" s="64">
        <v>4.26</v>
      </c>
      <c r="F39" s="64">
        <v>3.77</v>
      </c>
      <c r="G39" s="64">
        <v>16.190000000000001</v>
      </c>
      <c r="H39" s="64">
        <v>7.6</v>
      </c>
      <c r="I39" s="64">
        <v>3.19</v>
      </c>
      <c r="J39" s="64">
        <v>0.47</v>
      </c>
      <c r="K39" s="64">
        <v>350.83</v>
      </c>
      <c r="L39" s="64">
        <v>23.63</v>
      </c>
      <c r="M39" s="64">
        <v>91.65</v>
      </c>
      <c r="N39" s="64">
        <v>121.4</v>
      </c>
      <c r="O39" s="64">
        <v>0</v>
      </c>
      <c r="P39" s="64">
        <v>0.28999999999999998</v>
      </c>
      <c r="Q39" s="64">
        <v>9.24</v>
      </c>
      <c r="R39" s="198"/>
      <c r="S39" s="198"/>
      <c r="T39" s="198"/>
      <c r="U39" s="198"/>
    </row>
    <row r="40" spans="1:21" s="12" customFormat="1" x14ac:dyDescent="0.25">
      <c r="A40" s="217" t="s">
        <v>753</v>
      </c>
      <c r="B40" s="64">
        <v>8.2200000000000006</v>
      </c>
      <c r="C40" s="64">
        <v>3.13</v>
      </c>
      <c r="D40" s="64">
        <v>12</v>
      </c>
      <c r="E40" s="64">
        <v>4.51</v>
      </c>
      <c r="F40" s="64">
        <v>3.9</v>
      </c>
      <c r="G40" s="64">
        <v>17.28</v>
      </c>
      <c r="H40" s="64">
        <v>7.91</v>
      </c>
      <c r="I40" s="64">
        <v>3.05</v>
      </c>
      <c r="J40" s="64">
        <v>0.3</v>
      </c>
      <c r="K40" s="64">
        <v>353.82</v>
      </c>
      <c r="L40" s="64">
        <v>23.95</v>
      </c>
      <c r="M40" s="64">
        <v>90.47</v>
      </c>
      <c r="N40" s="64">
        <v>145.19999999999999</v>
      </c>
      <c r="O40" s="64">
        <v>0</v>
      </c>
      <c r="P40" s="64">
        <v>0.3</v>
      </c>
      <c r="Q40" s="64">
        <v>9.2100000000000009</v>
      </c>
      <c r="R40" s="198"/>
      <c r="S40" s="198"/>
      <c r="T40" s="198"/>
      <c r="U40" s="198"/>
    </row>
    <row r="41" spans="1:21" s="12" customFormat="1" x14ac:dyDescent="0.25">
      <c r="A41" s="217" t="s">
        <v>754</v>
      </c>
      <c r="B41" s="64">
        <v>8.27</v>
      </c>
      <c r="C41" s="64">
        <v>3.26</v>
      </c>
      <c r="D41" s="64">
        <v>12.11</v>
      </c>
      <c r="E41" s="64">
        <v>4.71</v>
      </c>
      <c r="F41" s="64">
        <v>3.77</v>
      </c>
      <c r="G41" s="64">
        <v>18.54</v>
      </c>
      <c r="H41" s="64">
        <v>8.24</v>
      </c>
      <c r="I41" s="64">
        <v>2.93</v>
      </c>
      <c r="J41" s="64">
        <v>0.14000000000000001</v>
      </c>
      <c r="K41" s="64">
        <v>286.27</v>
      </c>
      <c r="L41" s="64">
        <v>24.23</v>
      </c>
      <c r="M41" s="64">
        <v>89.14</v>
      </c>
      <c r="N41" s="64">
        <v>250.3</v>
      </c>
      <c r="O41" s="64">
        <v>0</v>
      </c>
      <c r="P41" s="64">
        <v>0.28999999999999998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7" t="s">
        <v>755</v>
      </c>
      <c r="B42" s="64">
        <v>8.24</v>
      </c>
      <c r="C42" s="64">
        <v>3.22</v>
      </c>
      <c r="D42" s="64">
        <v>12.06</v>
      </c>
      <c r="E42" s="64">
        <v>4.66</v>
      </c>
      <c r="F42" s="64">
        <v>3.65</v>
      </c>
      <c r="G42" s="64">
        <v>18.54</v>
      </c>
      <c r="H42" s="64">
        <v>8.24</v>
      </c>
      <c r="I42" s="64">
        <v>2.82</v>
      </c>
      <c r="J42" s="64">
        <v>0.1</v>
      </c>
      <c r="K42" s="64">
        <v>352.1</v>
      </c>
      <c r="L42" s="64">
        <v>24.61</v>
      </c>
      <c r="M42" s="64">
        <v>87.51</v>
      </c>
      <c r="N42" s="64">
        <v>252.7</v>
      </c>
      <c r="O42" s="64">
        <v>0</v>
      </c>
      <c r="P42" s="64">
        <v>0.3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7" t="s">
        <v>756</v>
      </c>
      <c r="B43" s="64">
        <v>8.2200000000000006</v>
      </c>
      <c r="C43" s="64">
        <v>3.18</v>
      </c>
      <c r="D43" s="64">
        <v>12.03</v>
      </c>
      <c r="E43" s="64">
        <v>4.3899999999999997</v>
      </c>
      <c r="F43" s="64">
        <v>4.0599999999999996</v>
      </c>
      <c r="G43" s="64">
        <v>18.54</v>
      </c>
      <c r="H43" s="64">
        <v>8.24</v>
      </c>
      <c r="I43" s="64">
        <v>2.74</v>
      </c>
      <c r="J43" s="64">
        <v>0.03</v>
      </c>
      <c r="K43" s="64">
        <v>204.12</v>
      </c>
      <c r="L43" s="64">
        <v>24.77</v>
      </c>
      <c r="M43" s="64">
        <v>87.09</v>
      </c>
      <c r="N43" s="64">
        <v>254.4</v>
      </c>
      <c r="O43" s="64">
        <v>0</v>
      </c>
      <c r="P43" s="64">
        <v>0.3</v>
      </c>
      <c r="Q43" s="64">
        <v>9.2200000000000006</v>
      </c>
      <c r="R43" s="198"/>
      <c r="S43" s="198"/>
      <c r="T43" s="198"/>
      <c r="U43" s="198"/>
    </row>
    <row r="44" spans="1:21" s="12" customFormat="1" x14ac:dyDescent="0.25">
      <c r="A44" s="217" t="s">
        <v>757</v>
      </c>
      <c r="B44" s="64">
        <v>8.32</v>
      </c>
      <c r="C44" s="64">
        <v>3.38</v>
      </c>
      <c r="D44" s="64">
        <v>12.21</v>
      </c>
      <c r="E44" s="64">
        <v>4.59</v>
      </c>
      <c r="F44" s="64">
        <v>4.46</v>
      </c>
      <c r="G44" s="64">
        <v>19.54</v>
      </c>
      <c r="H44" s="64">
        <v>7.11</v>
      </c>
      <c r="I44" s="64">
        <v>2.63</v>
      </c>
      <c r="J44" s="64">
        <v>0.08</v>
      </c>
      <c r="K44" s="64">
        <v>230.79</v>
      </c>
      <c r="L44" s="64">
        <v>25.29</v>
      </c>
      <c r="M44" s="64">
        <v>85.91</v>
      </c>
      <c r="N44" s="64">
        <v>459.9</v>
      </c>
      <c r="O44" s="64">
        <v>0</v>
      </c>
      <c r="P44" s="64">
        <v>0.28999999999999998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7" t="s">
        <v>758</v>
      </c>
      <c r="B45" s="64">
        <v>8.4700000000000006</v>
      </c>
      <c r="C45" s="64">
        <v>3.78</v>
      </c>
      <c r="D45" s="64">
        <v>12.55</v>
      </c>
      <c r="E45" s="64">
        <v>4.88</v>
      </c>
      <c r="F45" s="64">
        <v>3.72</v>
      </c>
      <c r="G45" s="64">
        <v>20.68</v>
      </c>
      <c r="H45" s="64">
        <v>5.86</v>
      </c>
      <c r="I45" s="64">
        <v>2.5</v>
      </c>
      <c r="J45" s="64">
        <v>0.19</v>
      </c>
      <c r="K45" s="64">
        <v>319.14999999999998</v>
      </c>
      <c r="L45" s="64">
        <v>26.2</v>
      </c>
      <c r="M45" s="64">
        <v>81.34</v>
      </c>
      <c r="N45" s="64">
        <v>474.9</v>
      </c>
      <c r="O45" s="64">
        <v>0</v>
      </c>
      <c r="P45" s="64">
        <v>0.28999999999999998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7" t="s">
        <v>759</v>
      </c>
      <c r="B46" s="64">
        <v>8.23</v>
      </c>
      <c r="C46" s="64">
        <v>3.19</v>
      </c>
      <c r="D46" s="64">
        <v>12.03</v>
      </c>
      <c r="E46" s="64">
        <v>4.6900000000000004</v>
      </c>
      <c r="F46" s="64">
        <v>4.2699999999999996</v>
      </c>
      <c r="G46" s="64">
        <v>20.68</v>
      </c>
      <c r="H46" s="64">
        <v>5.86</v>
      </c>
      <c r="I46" s="64">
        <v>2.44</v>
      </c>
      <c r="J46" s="64">
        <v>0.19</v>
      </c>
      <c r="K46" s="64">
        <v>327.84</v>
      </c>
      <c r="L46" s="64">
        <v>25.93</v>
      </c>
      <c r="M46" s="64">
        <v>82.43</v>
      </c>
      <c r="N46" s="64">
        <v>357.2</v>
      </c>
      <c r="O46" s="64">
        <v>0</v>
      </c>
      <c r="P46" s="64">
        <v>0.28999999999999998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7" t="s">
        <v>760</v>
      </c>
      <c r="B47" s="64">
        <v>8.1999999999999993</v>
      </c>
      <c r="C47" s="64">
        <v>3.15</v>
      </c>
      <c r="D47" s="64">
        <v>11.99</v>
      </c>
      <c r="E47" s="64">
        <v>4.74</v>
      </c>
      <c r="F47" s="64">
        <v>4.62</v>
      </c>
      <c r="G47" s="64">
        <v>20.68</v>
      </c>
      <c r="H47" s="64">
        <v>5.86</v>
      </c>
      <c r="I47" s="64">
        <v>2.37</v>
      </c>
      <c r="J47" s="64">
        <v>0.32</v>
      </c>
      <c r="K47" s="64">
        <v>346.7</v>
      </c>
      <c r="L47" s="64">
        <v>26.03</v>
      </c>
      <c r="M47" s="64">
        <v>82.19</v>
      </c>
      <c r="N47" s="64">
        <v>278.60000000000002</v>
      </c>
      <c r="O47" s="64">
        <v>0</v>
      </c>
      <c r="P47" s="64">
        <v>0.28999999999999998</v>
      </c>
      <c r="Q47" s="64">
        <v>9.15</v>
      </c>
      <c r="R47" s="198"/>
      <c r="S47" s="198"/>
      <c r="T47" s="198"/>
      <c r="U47" s="198"/>
    </row>
    <row r="48" spans="1:21" s="12" customFormat="1" x14ac:dyDescent="0.25">
      <c r="A48" s="217" t="s">
        <v>761</v>
      </c>
      <c r="B48" s="64">
        <v>8.1999999999999993</v>
      </c>
      <c r="C48" s="64">
        <v>3.09</v>
      </c>
      <c r="D48" s="64">
        <v>11.97</v>
      </c>
      <c r="E48" s="64">
        <v>4.66</v>
      </c>
      <c r="F48" s="64">
        <v>4.47</v>
      </c>
      <c r="G48" s="64">
        <v>19.88</v>
      </c>
      <c r="H48" s="64">
        <v>5.49</v>
      </c>
      <c r="I48" s="64">
        <v>2.2400000000000002</v>
      </c>
      <c r="J48" s="64">
        <v>0.44</v>
      </c>
      <c r="K48" s="64">
        <v>345.8</v>
      </c>
      <c r="L48" s="64">
        <v>25.97</v>
      </c>
      <c r="M48" s="64">
        <v>82.44</v>
      </c>
      <c r="N48" s="64">
        <v>331.6</v>
      </c>
      <c r="O48" s="64">
        <v>0</v>
      </c>
      <c r="P48" s="64">
        <v>0.3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7" t="s">
        <v>762</v>
      </c>
      <c r="B49" s="64">
        <v>8.2100000000000009</v>
      </c>
      <c r="C49" s="64">
        <v>3.08</v>
      </c>
      <c r="D49" s="64">
        <v>11.97</v>
      </c>
      <c r="E49" s="64">
        <v>4.4400000000000004</v>
      </c>
      <c r="F49" s="64">
        <v>4.2</v>
      </c>
      <c r="G49" s="64">
        <v>18.97</v>
      </c>
      <c r="H49" s="64">
        <v>5.07</v>
      </c>
      <c r="I49" s="64">
        <v>2.11</v>
      </c>
      <c r="J49" s="64">
        <v>0.24</v>
      </c>
      <c r="K49" s="64">
        <v>347.22</v>
      </c>
      <c r="L49" s="64">
        <v>26.39</v>
      </c>
      <c r="M49" s="64">
        <v>80.59</v>
      </c>
      <c r="N49" s="64">
        <v>251</v>
      </c>
      <c r="O49" s="64">
        <v>0</v>
      </c>
      <c r="P49" s="64">
        <v>0.28999999999999998</v>
      </c>
      <c r="Q49" s="64">
        <v>9.1</v>
      </c>
      <c r="R49" s="198"/>
      <c r="S49" s="198"/>
      <c r="T49" s="198"/>
      <c r="U49" s="198"/>
    </row>
    <row r="50" spans="1:21" s="12" customFormat="1" x14ac:dyDescent="0.25">
      <c r="A50" s="217" t="s">
        <v>763</v>
      </c>
      <c r="B50" s="64">
        <v>8.2100000000000009</v>
      </c>
      <c r="C50" s="64">
        <v>3.1</v>
      </c>
      <c r="D50" s="64">
        <v>11.98</v>
      </c>
      <c r="E50" s="64">
        <v>4.6100000000000003</v>
      </c>
      <c r="F50" s="64">
        <v>4.38</v>
      </c>
      <c r="G50" s="64">
        <v>18.97</v>
      </c>
      <c r="H50" s="64">
        <v>5.07</v>
      </c>
      <c r="I50" s="64">
        <v>1.85</v>
      </c>
      <c r="J50" s="64">
        <v>0.36</v>
      </c>
      <c r="K50" s="64">
        <v>332.33</v>
      </c>
      <c r="L50" s="64">
        <v>26.12</v>
      </c>
      <c r="M50" s="64">
        <v>82.39</v>
      </c>
      <c r="N50" s="64">
        <v>136.1</v>
      </c>
      <c r="O50" s="64">
        <v>0</v>
      </c>
      <c r="P50" s="64">
        <v>0.28999999999999998</v>
      </c>
      <c r="Q50" s="64">
        <v>9.11</v>
      </c>
      <c r="R50" s="198"/>
      <c r="S50" s="198"/>
      <c r="T50" s="198"/>
      <c r="U50" s="198"/>
    </row>
    <row r="51" spans="1:21" s="12" customFormat="1" x14ac:dyDescent="0.25">
      <c r="A51" s="217" t="s">
        <v>764</v>
      </c>
      <c r="B51" s="64">
        <v>8.26</v>
      </c>
      <c r="C51" s="64">
        <v>3.17</v>
      </c>
      <c r="D51" s="64">
        <v>12.05</v>
      </c>
      <c r="E51" s="64">
        <v>4.75</v>
      </c>
      <c r="F51" s="64">
        <v>4.13</v>
      </c>
      <c r="G51" s="64">
        <v>18.97</v>
      </c>
      <c r="H51" s="64">
        <v>5.07</v>
      </c>
      <c r="I51" s="64">
        <v>1.77</v>
      </c>
      <c r="J51" s="64">
        <v>0.41</v>
      </c>
      <c r="K51" s="64">
        <v>332.84</v>
      </c>
      <c r="L51" s="64">
        <v>26.1</v>
      </c>
      <c r="M51" s="64">
        <v>82.58</v>
      </c>
      <c r="N51" s="64">
        <v>279.7</v>
      </c>
      <c r="O51" s="64">
        <v>0</v>
      </c>
      <c r="P51" s="64">
        <v>0.3</v>
      </c>
      <c r="Q51" s="64">
        <v>9.1199999999999992</v>
      </c>
      <c r="R51" s="198"/>
      <c r="S51" s="198"/>
      <c r="T51" s="198"/>
      <c r="U51" s="198"/>
    </row>
    <row r="52" spans="1:21" s="12" customFormat="1" x14ac:dyDescent="0.25">
      <c r="A52" s="217" t="s">
        <v>765</v>
      </c>
      <c r="B52" s="64">
        <v>8.24</v>
      </c>
      <c r="C52" s="64">
        <v>3.14</v>
      </c>
      <c r="D52" s="64">
        <v>12.02</v>
      </c>
      <c r="E52" s="64">
        <v>4.53</v>
      </c>
      <c r="F52" s="64">
        <v>5.52</v>
      </c>
      <c r="G52" s="64">
        <v>16.82</v>
      </c>
      <c r="H52" s="64">
        <v>6.15</v>
      </c>
      <c r="I52" s="64">
        <v>1.73</v>
      </c>
      <c r="J52" s="64">
        <v>0.45</v>
      </c>
      <c r="K52" s="64">
        <v>336.43</v>
      </c>
      <c r="L52" s="64">
        <v>27.24</v>
      </c>
      <c r="M52" s="64">
        <v>77.430000000000007</v>
      </c>
      <c r="N52" s="64">
        <v>409.8</v>
      </c>
      <c r="O52" s="64">
        <v>0</v>
      </c>
      <c r="P52" s="64">
        <v>0.31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7" t="s">
        <v>766</v>
      </c>
      <c r="B53" s="64">
        <v>8.24</v>
      </c>
      <c r="C53" s="64">
        <v>3.12</v>
      </c>
      <c r="D53" s="64">
        <v>12.02</v>
      </c>
      <c r="E53" s="64">
        <v>4.67</v>
      </c>
      <c r="F53" s="64">
        <v>6.05</v>
      </c>
      <c r="G53" s="64">
        <v>14.46</v>
      </c>
      <c r="H53" s="64">
        <v>7.39</v>
      </c>
      <c r="I53" s="64">
        <v>1.66</v>
      </c>
      <c r="J53" s="64">
        <v>0.47</v>
      </c>
      <c r="K53" s="64">
        <v>337.68</v>
      </c>
      <c r="L53" s="64">
        <v>27.01</v>
      </c>
      <c r="M53" s="64">
        <v>77.7</v>
      </c>
      <c r="N53" s="64">
        <v>280</v>
      </c>
      <c r="O53" s="64">
        <v>0</v>
      </c>
      <c r="P53" s="64">
        <v>0.31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7" t="s">
        <v>767</v>
      </c>
      <c r="B54" s="64">
        <v>8.27</v>
      </c>
      <c r="C54" s="64">
        <v>3.14</v>
      </c>
      <c r="D54" s="64">
        <v>12.05</v>
      </c>
      <c r="E54" s="64">
        <v>4.58</v>
      </c>
      <c r="F54" s="64">
        <v>5.7</v>
      </c>
      <c r="G54" s="64">
        <v>14.46</v>
      </c>
      <c r="H54" s="64">
        <v>7.39</v>
      </c>
      <c r="I54" s="64">
        <v>1.54</v>
      </c>
      <c r="J54" s="64">
        <v>0.37</v>
      </c>
      <c r="K54" s="64">
        <v>349.26</v>
      </c>
      <c r="L54" s="64">
        <v>27.58</v>
      </c>
      <c r="M54" s="64">
        <v>75.87</v>
      </c>
      <c r="N54" s="64">
        <v>347.3</v>
      </c>
      <c r="O54" s="64">
        <v>0</v>
      </c>
      <c r="P54" s="64">
        <v>0.32</v>
      </c>
      <c r="Q54" s="64">
        <v>9.1999999999999993</v>
      </c>
      <c r="R54" s="198"/>
      <c r="S54" s="198"/>
      <c r="T54" s="198"/>
      <c r="U54" s="198"/>
    </row>
    <row r="55" spans="1:21" s="12" customFormat="1" x14ac:dyDescent="0.25">
      <c r="A55" s="217" t="s">
        <v>768</v>
      </c>
      <c r="B55" s="64">
        <v>8.24</v>
      </c>
      <c r="C55" s="64">
        <v>3.25</v>
      </c>
      <c r="D55" s="64">
        <v>12.08</v>
      </c>
      <c r="E55" s="64">
        <v>4.6399999999999997</v>
      </c>
      <c r="F55" s="64">
        <v>4.6500000000000004</v>
      </c>
      <c r="G55" s="64">
        <v>14.46</v>
      </c>
      <c r="H55" s="64">
        <v>7.39</v>
      </c>
      <c r="I55" s="64">
        <v>1.46</v>
      </c>
      <c r="J55" s="64">
        <v>0.24</v>
      </c>
      <c r="K55" s="64">
        <v>314.27</v>
      </c>
      <c r="L55" s="64">
        <v>27.62</v>
      </c>
      <c r="M55" s="64">
        <v>75.84</v>
      </c>
      <c r="N55" s="64">
        <v>462.5</v>
      </c>
      <c r="O55" s="64">
        <v>0</v>
      </c>
      <c r="P55" s="64">
        <v>0.32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7" t="s">
        <v>769</v>
      </c>
      <c r="B56" s="64">
        <v>8.14</v>
      </c>
      <c r="C56" s="64">
        <v>3.19</v>
      </c>
      <c r="D56" s="64">
        <v>11.97</v>
      </c>
      <c r="E56" s="64">
        <v>4.71</v>
      </c>
      <c r="F56" s="64">
        <v>4.5</v>
      </c>
      <c r="G56" s="64">
        <v>15.33</v>
      </c>
      <c r="H56" s="64">
        <v>8.36</v>
      </c>
      <c r="I56" s="64">
        <v>1.47</v>
      </c>
      <c r="J56" s="64">
        <v>0.13</v>
      </c>
      <c r="K56" s="64">
        <v>205.02</v>
      </c>
      <c r="L56" s="64">
        <v>27.9</v>
      </c>
      <c r="M56" s="64">
        <v>74.11</v>
      </c>
      <c r="N56" s="64">
        <v>1001</v>
      </c>
      <c r="O56" s="64">
        <v>0</v>
      </c>
      <c r="P56" s="64">
        <v>0.31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17" t="s">
        <v>770</v>
      </c>
      <c r="B57" s="64">
        <v>8.16</v>
      </c>
      <c r="C57" s="64">
        <v>3.14</v>
      </c>
      <c r="D57" s="64">
        <v>11.96</v>
      </c>
      <c r="E57" s="64">
        <v>4.21</v>
      </c>
      <c r="F57" s="64">
        <v>4.6900000000000004</v>
      </c>
      <c r="G57" s="64">
        <v>16.329999999999998</v>
      </c>
      <c r="H57" s="64">
        <v>9.42</v>
      </c>
      <c r="I57" s="64">
        <v>1.5</v>
      </c>
      <c r="J57" s="64">
        <v>0.25</v>
      </c>
      <c r="K57" s="64">
        <v>279.88</v>
      </c>
      <c r="L57" s="64">
        <v>28.85</v>
      </c>
      <c r="M57" s="64">
        <v>69.37</v>
      </c>
      <c r="N57" s="64">
        <v>732.1</v>
      </c>
      <c r="O57" s="64">
        <v>0</v>
      </c>
      <c r="P57" s="64">
        <v>0.32</v>
      </c>
      <c r="Q57" s="64">
        <v>9.2100000000000009</v>
      </c>
      <c r="R57" s="198"/>
      <c r="S57" s="198"/>
      <c r="T57" s="198"/>
      <c r="U57" s="198"/>
    </row>
    <row r="58" spans="1:21" s="12" customFormat="1" x14ac:dyDescent="0.25">
      <c r="A58" s="217" t="s">
        <v>771</v>
      </c>
      <c r="B58" s="64">
        <v>8.1300000000000008</v>
      </c>
      <c r="C58" s="64">
        <v>3.09</v>
      </c>
      <c r="D58" s="64">
        <v>11.91</v>
      </c>
      <c r="E58" s="64">
        <v>3.77</v>
      </c>
      <c r="F58" s="64">
        <v>4.88</v>
      </c>
      <c r="G58" s="64">
        <v>16.329999999999998</v>
      </c>
      <c r="H58" s="64">
        <v>9.42</v>
      </c>
      <c r="I58" s="64">
        <v>1.55</v>
      </c>
      <c r="J58" s="64">
        <v>0.27</v>
      </c>
      <c r="K58" s="64">
        <v>325.85000000000002</v>
      </c>
      <c r="L58" s="64">
        <v>28.58</v>
      </c>
      <c r="M58" s="64">
        <v>70.27</v>
      </c>
      <c r="N58" s="64">
        <v>406.6</v>
      </c>
      <c r="O58" s="64">
        <v>0</v>
      </c>
      <c r="P58" s="64">
        <v>0.31</v>
      </c>
      <c r="Q58" s="64">
        <v>9.24</v>
      </c>
      <c r="R58" s="198"/>
      <c r="S58" s="198"/>
      <c r="T58" s="198"/>
      <c r="U58" s="198"/>
    </row>
    <row r="59" spans="1:21" s="12" customFormat="1" x14ac:dyDescent="0.25">
      <c r="A59" s="217" t="s">
        <v>772</v>
      </c>
      <c r="B59" s="64">
        <v>8.08</v>
      </c>
      <c r="C59" s="64">
        <v>3.08</v>
      </c>
      <c r="D59" s="64">
        <v>11.86</v>
      </c>
      <c r="E59" s="64">
        <v>4.09</v>
      </c>
      <c r="F59" s="64">
        <v>5.39</v>
      </c>
      <c r="G59" s="64">
        <v>16.329999999999998</v>
      </c>
      <c r="H59" s="64">
        <v>9.42</v>
      </c>
      <c r="I59" s="64">
        <v>1.55</v>
      </c>
      <c r="J59" s="64">
        <v>0.37</v>
      </c>
      <c r="K59" s="64">
        <v>332.16</v>
      </c>
      <c r="L59" s="64">
        <v>28.39</v>
      </c>
      <c r="M59" s="64">
        <v>71.72</v>
      </c>
      <c r="N59" s="64">
        <v>535.4</v>
      </c>
      <c r="O59" s="64">
        <v>0</v>
      </c>
      <c r="P59" s="64">
        <v>0.3</v>
      </c>
      <c r="Q59" s="64">
        <v>9.25</v>
      </c>
      <c r="R59" s="198"/>
      <c r="S59" s="198"/>
      <c r="T59" s="198"/>
      <c r="U59" s="198"/>
    </row>
    <row r="60" spans="1:21" s="12" customFormat="1" x14ac:dyDescent="0.25">
      <c r="A60" s="217" t="s">
        <v>773</v>
      </c>
      <c r="B60" s="64">
        <v>8.08</v>
      </c>
      <c r="C60" s="64">
        <v>3.09</v>
      </c>
      <c r="D60" s="64">
        <v>11.87</v>
      </c>
      <c r="E60" s="64">
        <v>4.22</v>
      </c>
      <c r="F60" s="64">
        <v>4.96</v>
      </c>
      <c r="G60" s="64">
        <v>15.77</v>
      </c>
      <c r="H60" s="64">
        <v>8.24</v>
      </c>
      <c r="I60" s="64">
        <v>1.53</v>
      </c>
      <c r="J60" s="64">
        <v>0.52</v>
      </c>
      <c r="K60" s="64">
        <v>336.56</v>
      </c>
      <c r="L60" s="64">
        <v>29.92</v>
      </c>
      <c r="M60" s="64">
        <v>65.08</v>
      </c>
      <c r="N60" s="64">
        <v>674.5</v>
      </c>
      <c r="O60" s="64">
        <v>0</v>
      </c>
      <c r="P60" s="64">
        <v>0.3</v>
      </c>
      <c r="Q60" s="64">
        <v>9.23</v>
      </c>
      <c r="R60" s="198"/>
      <c r="S60" s="198"/>
      <c r="T60" s="198"/>
      <c r="U60" s="198"/>
    </row>
    <row r="61" spans="1:21" s="12" customFormat="1" x14ac:dyDescent="0.25">
      <c r="A61" s="217" t="s">
        <v>774</v>
      </c>
      <c r="B61" s="64">
        <v>8.1</v>
      </c>
      <c r="C61" s="64">
        <v>3.17</v>
      </c>
      <c r="D61" s="64">
        <v>11.93</v>
      </c>
      <c r="E61" s="64">
        <v>4.26</v>
      </c>
      <c r="F61" s="64">
        <v>5.27</v>
      </c>
      <c r="G61" s="64">
        <v>15.16</v>
      </c>
      <c r="H61" s="64">
        <v>6.9</v>
      </c>
      <c r="I61" s="64">
        <v>1.46</v>
      </c>
      <c r="J61" s="64">
        <v>0.36</v>
      </c>
      <c r="K61" s="64">
        <v>177.36</v>
      </c>
      <c r="L61" s="64">
        <v>29.11</v>
      </c>
      <c r="M61" s="64">
        <v>67.849999999999994</v>
      </c>
      <c r="N61" s="64">
        <v>538.29999999999995</v>
      </c>
      <c r="O61" s="64">
        <v>0</v>
      </c>
      <c r="P61" s="64">
        <v>0.28000000000000003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7" t="s">
        <v>775</v>
      </c>
      <c r="B62" s="64">
        <v>8.09</v>
      </c>
      <c r="C62" s="64">
        <v>3.15</v>
      </c>
      <c r="D62" s="64">
        <v>11.91</v>
      </c>
      <c r="E62" s="64">
        <v>3.87</v>
      </c>
      <c r="F62" s="64">
        <v>5.18</v>
      </c>
      <c r="G62" s="64">
        <v>15.16</v>
      </c>
      <c r="H62" s="64">
        <v>6.9</v>
      </c>
      <c r="I62" s="64">
        <v>1.4</v>
      </c>
      <c r="J62" s="64">
        <v>0.32</v>
      </c>
      <c r="K62" s="64">
        <v>332.17</v>
      </c>
      <c r="L62" s="64">
        <v>28.71</v>
      </c>
      <c r="M62" s="64">
        <v>69.010000000000005</v>
      </c>
      <c r="N62" s="64">
        <v>382.3</v>
      </c>
      <c r="O62" s="64">
        <v>0</v>
      </c>
      <c r="P62" s="64">
        <v>0.3</v>
      </c>
      <c r="Q62" s="64">
        <v>9.25</v>
      </c>
      <c r="R62" s="198"/>
      <c r="S62" s="198"/>
      <c r="T62" s="198"/>
      <c r="U62" s="198"/>
    </row>
    <row r="63" spans="1:21" s="12" customFormat="1" x14ac:dyDescent="0.25">
      <c r="A63" s="217" t="s">
        <v>776</v>
      </c>
      <c r="B63" s="64">
        <v>8.0500000000000007</v>
      </c>
      <c r="C63" s="64">
        <v>3.17</v>
      </c>
      <c r="D63" s="64">
        <v>11.88</v>
      </c>
      <c r="E63" s="64">
        <v>4.82</v>
      </c>
      <c r="F63" s="64">
        <v>2.93</v>
      </c>
      <c r="G63" s="64">
        <v>15.16</v>
      </c>
      <c r="H63" s="64">
        <v>6.9</v>
      </c>
      <c r="I63" s="64">
        <v>1.33</v>
      </c>
      <c r="J63" s="64">
        <v>0.37</v>
      </c>
      <c r="K63" s="64">
        <v>12.73</v>
      </c>
      <c r="L63" s="64">
        <v>29.11</v>
      </c>
      <c r="M63" s="64">
        <v>67.44</v>
      </c>
      <c r="N63" s="64">
        <v>533.1</v>
      </c>
      <c r="O63" s="64">
        <v>0</v>
      </c>
      <c r="P63" s="64">
        <v>0.3</v>
      </c>
      <c r="Q63" s="64">
        <v>9.23</v>
      </c>
      <c r="R63" s="198"/>
      <c r="S63" s="198"/>
      <c r="T63" s="198"/>
      <c r="U63" s="198"/>
    </row>
    <row r="64" spans="1:21" s="12" customFormat="1" x14ac:dyDescent="0.25">
      <c r="A64" s="217" t="s">
        <v>777</v>
      </c>
      <c r="B64" s="64">
        <v>8.1300000000000008</v>
      </c>
      <c r="C64" s="64">
        <v>3.19</v>
      </c>
      <c r="D64" s="64">
        <v>11.96</v>
      </c>
      <c r="E64" s="64">
        <v>4.1399999999999997</v>
      </c>
      <c r="F64" s="64">
        <v>5.14</v>
      </c>
      <c r="G64" s="64">
        <v>14.76</v>
      </c>
      <c r="H64" s="64">
        <v>8.2100000000000009</v>
      </c>
      <c r="I64" s="64">
        <v>1.31</v>
      </c>
      <c r="J64" s="64">
        <v>0.44</v>
      </c>
      <c r="K64" s="64">
        <v>343.76</v>
      </c>
      <c r="L64" s="64">
        <v>29.37</v>
      </c>
      <c r="M64" s="64">
        <v>66.22</v>
      </c>
      <c r="N64" s="64">
        <v>623.5</v>
      </c>
      <c r="O64" s="64">
        <v>0</v>
      </c>
      <c r="P64" s="64">
        <v>0.3</v>
      </c>
      <c r="Q64" s="64">
        <v>9.24</v>
      </c>
      <c r="R64" s="198"/>
      <c r="S64" s="198"/>
      <c r="T64" s="198"/>
      <c r="U64" s="198"/>
    </row>
    <row r="65" spans="1:21" s="12" customFormat="1" x14ac:dyDescent="0.25">
      <c r="A65" s="217" t="s">
        <v>778</v>
      </c>
      <c r="B65" s="64">
        <v>8.1199999999999992</v>
      </c>
      <c r="C65" s="64">
        <v>3.08</v>
      </c>
      <c r="D65" s="64">
        <v>11.9</v>
      </c>
      <c r="E65" s="64">
        <v>4.55</v>
      </c>
      <c r="F65" s="64">
        <v>5.96</v>
      </c>
      <c r="G65" s="64">
        <v>14.3</v>
      </c>
      <c r="H65" s="64">
        <v>9.65</v>
      </c>
      <c r="I65" s="64">
        <v>1.3</v>
      </c>
      <c r="J65" s="64">
        <v>0.45</v>
      </c>
      <c r="K65" s="64">
        <v>306.33</v>
      </c>
      <c r="L65" s="64">
        <v>30.8</v>
      </c>
      <c r="M65" s="64">
        <v>62.01</v>
      </c>
      <c r="N65" s="64">
        <v>695.9</v>
      </c>
      <c r="O65" s="64">
        <v>0</v>
      </c>
      <c r="P65" s="64">
        <v>0.32</v>
      </c>
      <c r="Q65" s="64">
        <v>9.2200000000000006</v>
      </c>
      <c r="R65" s="198"/>
      <c r="S65" s="198"/>
      <c r="T65" s="198"/>
      <c r="U65" s="198"/>
    </row>
    <row r="66" spans="1:21" s="12" customFormat="1" x14ac:dyDescent="0.25">
      <c r="A66" s="217" t="s">
        <v>779</v>
      </c>
      <c r="B66" s="64">
        <v>8.15</v>
      </c>
      <c r="C66" s="64">
        <v>3.13</v>
      </c>
      <c r="D66" s="64">
        <v>11.95</v>
      </c>
      <c r="E66" s="64">
        <v>4.1100000000000003</v>
      </c>
      <c r="F66" s="64">
        <v>5.18</v>
      </c>
      <c r="G66" s="64">
        <v>14.3</v>
      </c>
      <c r="H66" s="64">
        <v>9.65</v>
      </c>
      <c r="I66" s="64">
        <v>1.32</v>
      </c>
      <c r="J66" s="64">
        <v>0.33</v>
      </c>
      <c r="K66" s="64">
        <v>335.03</v>
      </c>
      <c r="L66" s="64">
        <v>30.88</v>
      </c>
      <c r="M66" s="64">
        <v>61.67</v>
      </c>
      <c r="N66" s="64">
        <v>621.70000000000005</v>
      </c>
      <c r="O66" s="64">
        <v>0</v>
      </c>
      <c r="P66" s="64">
        <v>0.33</v>
      </c>
      <c r="Q66" s="64">
        <v>9.23</v>
      </c>
      <c r="R66" s="198"/>
      <c r="S66" s="198"/>
      <c r="T66" s="198"/>
      <c r="U66" s="198"/>
    </row>
    <row r="67" spans="1:21" s="12" customFormat="1" x14ac:dyDescent="0.25">
      <c r="A67" s="217" t="s">
        <v>780</v>
      </c>
      <c r="B67" s="64">
        <v>8.32</v>
      </c>
      <c r="C67" s="64">
        <v>3.62</v>
      </c>
      <c r="D67" s="64">
        <v>12.34</v>
      </c>
      <c r="E67" s="64">
        <v>4.12</v>
      </c>
      <c r="F67" s="64">
        <v>4.29</v>
      </c>
      <c r="G67" s="64">
        <v>14.3</v>
      </c>
      <c r="H67" s="64">
        <v>9.65</v>
      </c>
      <c r="I67" s="64">
        <v>1.23</v>
      </c>
      <c r="J67" s="64">
        <v>1.18</v>
      </c>
      <c r="K67" s="64">
        <v>139.37</v>
      </c>
      <c r="L67" s="64">
        <v>29.84</v>
      </c>
      <c r="M67" s="64">
        <v>64.67</v>
      </c>
      <c r="N67" s="64">
        <v>231.6</v>
      </c>
      <c r="O67" s="64">
        <v>0</v>
      </c>
      <c r="P67" s="64">
        <v>0.32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7" t="s">
        <v>781</v>
      </c>
      <c r="B68" s="64">
        <v>8.2100000000000009</v>
      </c>
      <c r="C68" s="64">
        <v>3.3</v>
      </c>
      <c r="D68" s="64">
        <v>12.08</v>
      </c>
      <c r="E68" s="64">
        <v>4.29</v>
      </c>
      <c r="F68" s="64">
        <v>4.22</v>
      </c>
      <c r="G68" s="64">
        <v>25.2</v>
      </c>
      <c r="H68" s="64">
        <v>12.75</v>
      </c>
      <c r="I68" s="64">
        <v>1.1499999999999999</v>
      </c>
      <c r="J68" s="64">
        <v>0.27</v>
      </c>
      <c r="K68" s="64">
        <v>20.54</v>
      </c>
      <c r="L68" s="64">
        <v>29.76</v>
      </c>
      <c r="M68" s="64">
        <v>63.12</v>
      </c>
      <c r="N68" s="64">
        <v>233</v>
      </c>
      <c r="O68" s="64">
        <v>0</v>
      </c>
      <c r="P68" s="64">
        <v>0.32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7" t="s">
        <v>782</v>
      </c>
      <c r="B69" s="64">
        <v>8.16</v>
      </c>
      <c r="C69" s="64">
        <v>3.11</v>
      </c>
      <c r="D69" s="64">
        <v>11.95</v>
      </c>
      <c r="E69" s="64">
        <v>4.12</v>
      </c>
      <c r="F69" s="64">
        <v>4.03</v>
      </c>
      <c r="G69" s="64">
        <v>37.11</v>
      </c>
      <c r="H69" s="64">
        <v>16.149999999999999</v>
      </c>
      <c r="I69" s="64">
        <v>1.46</v>
      </c>
      <c r="J69" s="64">
        <v>0.39</v>
      </c>
      <c r="K69" s="64">
        <v>333.62</v>
      </c>
      <c r="L69" s="64">
        <v>30.03</v>
      </c>
      <c r="M69" s="64">
        <v>61.38</v>
      </c>
      <c r="N69" s="64">
        <v>190.1</v>
      </c>
      <c r="O69" s="64">
        <v>0</v>
      </c>
      <c r="P69" s="64">
        <v>0.32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17" t="s">
        <v>783</v>
      </c>
      <c r="B70" s="64">
        <v>8.16</v>
      </c>
      <c r="C70" s="64">
        <v>3.05</v>
      </c>
      <c r="D70" s="64">
        <v>11.91</v>
      </c>
      <c r="E70" s="64">
        <v>4.12</v>
      </c>
      <c r="F70" s="64">
        <v>4.0599999999999996</v>
      </c>
      <c r="G70" s="64">
        <v>37.11</v>
      </c>
      <c r="H70" s="64">
        <v>16.149999999999999</v>
      </c>
      <c r="I70" s="64">
        <v>1.83</v>
      </c>
      <c r="J70" s="64">
        <v>0.08</v>
      </c>
      <c r="K70" s="64">
        <v>12.36</v>
      </c>
      <c r="L70" s="64">
        <v>29.69</v>
      </c>
      <c r="M70" s="64">
        <v>61.53</v>
      </c>
      <c r="N70" s="64">
        <v>230.8</v>
      </c>
      <c r="O70" s="64">
        <v>0</v>
      </c>
      <c r="P70" s="64">
        <v>0.32</v>
      </c>
      <c r="Q70" s="64">
        <v>9.19</v>
      </c>
      <c r="R70" s="198"/>
      <c r="S70" s="198"/>
      <c r="T70" s="198"/>
      <c r="U70" s="198"/>
    </row>
    <row r="71" spans="1:21" s="12" customFormat="1" x14ac:dyDescent="0.25">
      <c r="A71" s="217" t="s">
        <v>784</v>
      </c>
      <c r="B71" s="64">
        <v>8.16</v>
      </c>
      <c r="C71" s="64">
        <v>3.02</v>
      </c>
      <c r="D71" s="64">
        <v>11.89</v>
      </c>
      <c r="E71" s="64">
        <v>3.96</v>
      </c>
      <c r="F71" s="64">
        <v>3.72</v>
      </c>
      <c r="G71" s="64">
        <v>37.11</v>
      </c>
      <c r="H71" s="64">
        <v>16.149999999999999</v>
      </c>
      <c r="I71" s="64">
        <v>1.93</v>
      </c>
      <c r="J71" s="64">
        <v>0.53</v>
      </c>
      <c r="K71" s="64">
        <v>343.82</v>
      </c>
      <c r="L71" s="64">
        <v>29.79</v>
      </c>
      <c r="M71" s="64">
        <v>61.07</v>
      </c>
      <c r="N71" s="64">
        <v>178.5</v>
      </c>
      <c r="O71" s="64">
        <v>0</v>
      </c>
      <c r="P71" s="64">
        <v>0.32</v>
      </c>
      <c r="Q71" s="64">
        <v>9.2100000000000009</v>
      </c>
      <c r="R71" s="198"/>
      <c r="S71" s="198"/>
      <c r="T71" s="198"/>
      <c r="U71" s="198"/>
    </row>
    <row r="72" spans="1:21" s="12" customFormat="1" x14ac:dyDescent="0.25">
      <c r="A72" s="217" t="s">
        <v>785</v>
      </c>
      <c r="B72" s="64">
        <v>8.17</v>
      </c>
      <c r="C72" s="64">
        <v>3.09</v>
      </c>
      <c r="D72" s="64">
        <v>11.94</v>
      </c>
      <c r="E72" s="64">
        <v>4.57</v>
      </c>
      <c r="F72" s="64">
        <v>4.03</v>
      </c>
      <c r="G72" s="64">
        <v>44.24</v>
      </c>
      <c r="H72" s="64">
        <v>16.350000000000001</v>
      </c>
      <c r="I72" s="64">
        <v>2.02</v>
      </c>
      <c r="J72" s="64">
        <v>0.36</v>
      </c>
      <c r="K72" s="64">
        <v>327.52</v>
      </c>
      <c r="L72" s="64">
        <v>29.66</v>
      </c>
      <c r="M72" s="64">
        <v>60.94</v>
      </c>
      <c r="N72" s="64">
        <v>185.5</v>
      </c>
      <c r="O72" s="64">
        <v>0</v>
      </c>
      <c r="P72" s="64">
        <v>0.32</v>
      </c>
      <c r="Q72" s="64">
        <v>9.19</v>
      </c>
      <c r="R72" s="198"/>
      <c r="S72" s="198"/>
      <c r="T72" s="198"/>
      <c r="U72" s="198"/>
    </row>
    <row r="73" spans="1:21" s="12" customFormat="1" x14ac:dyDescent="0.25">
      <c r="A73" s="217" t="s">
        <v>786</v>
      </c>
      <c r="B73" s="64">
        <v>8.16</v>
      </c>
      <c r="C73" s="64">
        <v>3.09</v>
      </c>
      <c r="D73" s="64">
        <v>11.93</v>
      </c>
      <c r="E73" s="64">
        <v>4.38</v>
      </c>
      <c r="F73" s="64">
        <v>4.22</v>
      </c>
      <c r="G73" s="64">
        <v>52.02</v>
      </c>
      <c r="H73" s="64">
        <v>16.57</v>
      </c>
      <c r="I73" s="64">
        <v>2.11</v>
      </c>
      <c r="J73" s="64">
        <v>0.31</v>
      </c>
      <c r="K73" s="64">
        <v>355.22</v>
      </c>
      <c r="L73" s="64">
        <v>29.79</v>
      </c>
      <c r="M73" s="64">
        <v>60.31</v>
      </c>
      <c r="N73" s="64">
        <v>210.4</v>
      </c>
      <c r="O73" s="64">
        <v>0</v>
      </c>
      <c r="P73" s="64">
        <v>0.31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17" t="s">
        <v>787</v>
      </c>
      <c r="B74" s="64">
        <v>8.1300000000000008</v>
      </c>
      <c r="C74" s="64">
        <v>3.07</v>
      </c>
      <c r="D74" s="64">
        <v>11.9</v>
      </c>
      <c r="E74" s="64">
        <v>4.5</v>
      </c>
      <c r="F74" s="64">
        <v>4.74</v>
      </c>
      <c r="G74" s="64">
        <v>52.02</v>
      </c>
      <c r="H74" s="64">
        <v>16.57</v>
      </c>
      <c r="I74" s="64">
        <v>2.14</v>
      </c>
      <c r="J74" s="64">
        <v>0.25</v>
      </c>
      <c r="K74" s="64">
        <v>359.85</v>
      </c>
      <c r="L74" s="64">
        <v>30.06</v>
      </c>
      <c r="M74" s="64">
        <v>59.08</v>
      </c>
      <c r="N74" s="64">
        <v>178.5</v>
      </c>
      <c r="O74" s="64">
        <v>0</v>
      </c>
      <c r="P74" s="64">
        <v>0.32</v>
      </c>
      <c r="Q74" s="64">
        <v>9.25</v>
      </c>
      <c r="R74" s="198"/>
      <c r="S74" s="198"/>
      <c r="T74" s="198"/>
      <c r="U74" s="198"/>
    </row>
    <row r="75" spans="1:21" s="12" customFormat="1" x14ac:dyDescent="0.25">
      <c r="A75" s="217" t="s">
        <v>788</v>
      </c>
      <c r="B75" s="64">
        <v>8.11</v>
      </c>
      <c r="C75" s="64">
        <v>3.05</v>
      </c>
      <c r="D75" s="64">
        <v>11.87</v>
      </c>
      <c r="E75" s="64">
        <v>4.45</v>
      </c>
      <c r="F75" s="64">
        <v>5.59</v>
      </c>
      <c r="G75" s="64">
        <v>52.02</v>
      </c>
      <c r="H75" s="64">
        <v>16.57</v>
      </c>
      <c r="I75" s="64">
        <v>2.17</v>
      </c>
      <c r="J75" s="64">
        <v>0.39</v>
      </c>
      <c r="K75" s="64">
        <v>359.57</v>
      </c>
      <c r="L75" s="64">
        <v>29.69</v>
      </c>
      <c r="M75" s="64">
        <v>60.67</v>
      </c>
      <c r="N75" s="64">
        <v>118.4</v>
      </c>
      <c r="O75" s="64">
        <v>0</v>
      </c>
      <c r="P75" s="64">
        <v>0.32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7" t="s">
        <v>789</v>
      </c>
      <c r="B76" s="64">
        <v>8.15</v>
      </c>
      <c r="C76" s="64">
        <v>3.13</v>
      </c>
      <c r="D76" s="64">
        <v>11.95</v>
      </c>
      <c r="E76" s="64">
        <v>4.46</v>
      </c>
      <c r="F76" s="64">
        <v>5.34</v>
      </c>
      <c r="G76" s="64">
        <v>52.25</v>
      </c>
      <c r="H76" s="64">
        <v>14.55</v>
      </c>
      <c r="I76" s="64">
        <v>2.15</v>
      </c>
      <c r="J76" s="64">
        <v>0.38</v>
      </c>
      <c r="K76" s="64">
        <v>350.73</v>
      </c>
      <c r="L76" s="64">
        <v>29.26</v>
      </c>
      <c r="M76" s="64">
        <v>61.34</v>
      </c>
      <c r="N76" s="64">
        <v>104.5</v>
      </c>
      <c r="O76" s="64">
        <v>0</v>
      </c>
      <c r="P76" s="64">
        <v>0.33</v>
      </c>
      <c r="Q76" s="64">
        <v>9.27</v>
      </c>
      <c r="R76" s="198"/>
      <c r="S76" s="198"/>
      <c r="T76" s="198"/>
      <c r="U76" s="198"/>
    </row>
    <row r="77" spans="1:21" s="12" customFormat="1" x14ac:dyDescent="0.25">
      <c r="A77" s="217" t="s">
        <v>790</v>
      </c>
      <c r="B77" s="64">
        <v>8.16</v>
      </c>
      <c r="C77" s="64">
        <v>3.15</v>
      </c>
      <c r="D77" s="64">
        <v>11.96</v>
      </c>
      <c r="E77" s="64">
        <v>5.17</v>
      </c>
      <c r="F77" s="64">
        <v>5.1100000000000003</v>
      </c>
      <c r="G77" s="64">
        <v>52.51</v>
      </c>
      <c r="H77" s="64">
        <v>12.33</v>
      </c>
      <c r="I77" s="64">
        <v>2.12</v>
      </c>
      <c r="J77" s="64">
        <v>0.37</v>
      </c>
      <c r="K77" s="64">
        <v>5.42</v>
      </c>
      <c r="L77" s="64">
        <v>28.96</v>
      </c>
      <c r="M77" s="64">
        <v>61.96</v>
      </c>
      <c r="N77" s="64">
        <v>96.6</v>
      </c>
      <c r="O77" s="64">
        <v>0</v>
      </c>
      <c r="P77" s="64">
        <v>0.32</v>
      </c>
      <c r="Q77" s="64">
        <v>9.24</v>
      </c>
      <c r="R77" s="198"/>
      <c r="S77" s="198"/>
      <c r="T77" s="198"/>
      <c r="U77" s="198"/>
    </row>
    <row r="78" spans="1:21" s="12" customFormat="1" x14ac:dyDescent="0.25">
      <c r="A78" s="217" t="s">
        <v>791</v>
      </c>
      <c r="B78" s="64">
        <v>8.1300000000000008</v>
      </c>
      <c r="C78" s="64">
        <v>3.12</v>
      </c>
      <c r="D78" s="64">
        <v>11.93</v>
      </c>
      <c r="E78" s="64">
        <v>4.78</v>
      </c>
      <c r="F78" s="64">
        <v>4.91</v>
      </c>
      <c r="G78" s="64">
        <v>52.51</v>
      </c>
      <c r="H78" s="64">
        <v>12.33</v>
      </c>
      <c r="I78" s="64">
        <v>2.06</v>
      </c>
      <c r="J78" s="64">
        <v>0.32</v>
      </c>
      <c r="K78" s="64">
        <v>1.49</v>
      </c>
      <c r="L78" s="64">
        <v>28.85</v>
      </c>
      <c r="M78" s="64">
        <v>63.35</v>
      </c>
      <c r="N78" s="64">
        <v>75.599999999999994</v>
      </c>
      <c r="O78" s="64">
        <v>0</v>
      </c>
      <c r="P78" s="64">
        <v>0.33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7" t="s">
        <v>792</v>
      </c>
      <c r="B79" s="64">
        <v>8.1300000000000008</v>
      </c>
      <c r="C79" s="64">
        <v>3.2</v>
      </c>
      <c r="D79" s="64">
        <v>11.97</v>
      </c>
      <c r="E79" s="64">
        <v>4.79</v>
      </c>
      <c r="F79" s="64">
        <v>5.25</v>
      </c>
      <c r="G79" s="64">
        <v>52.51</v>
      </c>
      <c r="H79" s="64">
        <v>12.33</v>
      </c>
      <c r="I79" s="64">
        <v>1.91</v>
      </c>
      <c r="J79" s="64">
        <v>0.42</v>
      </c>
      <c r="K79" s="64">
        <v>26.59</v>
      </c>
      <c r="L79" s="64">
        <v>28.69</v>
      </c>
      <c r="M79" s="64">
        <v>64.239999999999995</v>
      </c>
      <c r="N79" s="64">
        <v>60.6</v>
      </c>
      <c r="O79" s="64">
        <v>0</v>
      </c>
      <c r="P79" s="64">
        <v>0.36</v>
      </c>
      <c r="Q79" s="64">
        <v>9.2200000000000006</v>
      </c>
      <c r="R79" s="198"/>
      <c r="S79" s="198"/>
      <c r="T79" s="198"/>
      <c r="U79" s="198"/>
    </row>
    <row r="80" spans="1:21" s="12" customFormat="1" x14ac:dyDescent="0.25">
      <c r="A80" s="217" t="s">
        <v>793</v>
      </c>
      <c r="B80" s="64">
        <v>8.18</v>
      </c>
      <c r="C80" s="64">
        <v>3.24</v>
      </c>
      <c r="D80" s="64">
        <v>12.02</v>
      </c>
      <c r="E80" s="64">
        <v>5.0599999999999996</v>
      </c>
      <c r="F80" s="64">
        <v>3.28</v>
      </c>
      <c r="G80" s="64">
        <v>46.34</v>
      </c>
      <c r="H80" s="64">
        <v>11.95</v>
      </c>
      <c r="I80" s="64">
        <v>1.82</v>
      </c>
      <c r="J80" s="64">
        <v>0.3</v>
      </c>
      <c r="K80" s="64">
        <v>50.12</v>
      </c>
      <c r="L80" s="64">
        <v>28.49</v>
      </c>
      <c r="M80" s="64">
        <v>64.42</v>
      </c>
      <c r="N80" s="64">
        <v>54.7</v>
      </c>
      <c r="O80" s="64">
        <v>0</v>
      </c>
      <c r="P80" s="64">
        <v>0.37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17" t="s">
        <v>794</v>
      </c>
      <c r="B81" s="64">
        <v>8.23</v>
      </c>
      <c r="C81" s="64">
        <v>3.37</v>
      </c>
      <c r="D81" s="64">
        <v>12.13</v>
      </c>
      <c r="E81" s="64">
        <v>4.88</v>
      </c>
      <c r="F81" s="64">
        <v>3.33</v>
      </c>
      <c r="G81" s="64">
        <v>39.590000000000003</v>
      </c>
      <c r="H81" s="64">
        <v>11.52</v>
      </c>
      <c r="I81" s="64">
        <v>1.85</v>
      </c>
      <c r="J81" s="64">
        <v>0.11</v>
      </c>
      <c r="K81" s="64">
        <v>161.34</v>
      </c>
      <c r="L81" s="64">
        <v>28.33</v>
      </c>
      <c r="M81" s="64">
        <v>63.67</v>
      </c>
      <c r="N81" s="64">
        <v>58.1</v>
      </c>
      <c r="O81" s="64">
        <v>0</v>
      </c>
      <c r="P81" s="64">
        <v>0.37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7" t="s">
        <v>795</v>
      </c>
      <c r="B82" s="64">
        <v>8.1999999999999993</v>
      </c>
      <c r="C82" s="64">
        <v>3.28</v>
      </c>
      <c r="D82" s="64">
        <v>12.06</v>
      </c>
      <c r="E82" s="64">
        <v>4.76</v>
      </c>
      <c r="F82" s="64">
        <v>3.55</v>
      </c>
      <c r="G82" s="64">
        <v>39.590000000000003</v>
      </c>
      <c r="H82" s="64">
        <v>11.52</v>
      </c>
      <c r="I82" s="64">
        <v>1.94</v>
      </c>
      <c r="J82" s="64">
        <v>0.52</v>
      </c>
      <c r="K82" s="64">
        <v>202.01</v>
      </c>
      <c r="L82" s="64">
        <v>28.28</v>
      </c>
      <c r="M82" s="64">
        <v>64.61</v>
      </c>
      <c r="N82" s="64">
        <v>46.4</v>
      </c>
      <c r="O82" s="64">
        <v>0</v>
      </c>
      <c r="P82" s="64">
        <v>0.37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7" t="s">
        <v>796</v>
      </c>
      <c r="B83" s="64">
        <v>8.2100000000000009</v>
      </c>
      <c r="C83" s="64">
        <v>3.31</v>
      </c>
      <c r="D83" s="64">
        <v>12.08</v>
      </c>
      <c r="E83" s="64">
        <v>4.66</v>
      </c>
      <c r="F83" s="64">
        <v>4.22</v>
      </c>
      <c r="G83" s="64">
        <v>39.590000000000003</v>
      </c>
      <c r="H83" s="64">
        <v>11.52</v>
      </c>
      <c r="I83" s="64">
        <v>2.0299999999999998</v>
      </c>
      <c r="J83" s="64">
        <v>1.38</v>
      </c>
      <c r="K83" s="64">
        <v>146</v>
      </c>
      <c r="L83" s="64">
        <v>27.91</v>
      </c>
      <c r="M83" s="64">
        <v>69.319999999999993</v>
      </c>
      <c r="N83" s="64">
        <v>20.5</v>
      </c>
      <c r="O83" s="64">
        <v>0</v>
      </c>
      <c r="P83" s="64">
        <v>0.38</v>
      </c>
      <c r="Q83" s="64">
        <v>9.2200000000000006</v>
      </c>
      <c r="R83" s="198"/>
      <c r="S83" s="198"/>
      <c r="T83" s="198"/>
      <c r="U83" s="198"/>
    </row>
    <row r="84" spans="1:26" s="12" customFormat="1" x14ac:dyDescent="0.25">
      <c r="A84" s="217" t="s">
        <v>797</v>
      </c>
      <c r="B84" s="64">
        <v>8.15</v>
      </c>
      <c r="C84" s="64">
        <v>3.17</v>
      </c>
      <c r="D84" s="64">
        <v>11.97</v>
      </c>
      <c r="E84" s="64">
        <v>4.95</v>
      </c>
      <c r="F84" s="64">
        <v>3.04</v>
      </c>
      <c r="G84" s="64">
        <v>54.56</v>
      </c>
      <c r="H84" s="64">
        <v>14.29</v>
      </c>
      <c r="I84" s="64">
        <v>2.12</v>
      </c>
      <c r="J84" s="64">
        <v>0.62</v>
      </c>
      <c r="K84" s="64">
        <v>168.33</v>
      </c>
      <c r="L84" s="64">
        <v>27.48</v>
      </c>
      <c r="M84" s="64">
        <v>74.7</v>
      </c>
      <c r="N84" s="64">
        <v>17.8</v>
      </c>
      <c r="O84" s="64">
        <v>0</v>
      </c>
      <c r="P84" s="64">
        <v>0.37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7" t="s">
        <v>798</v>
      </c>
      <c r="B85" s="64">
        <v>8.17</v>
      </c>
      <c r="C85" s="64">
        <v>3.19</v>
      </c>
      <c r="D85" s="64">
        <v>11.99</v>
      </c>
      <c r="E85" s="64">
        <v>5.05</v>
      </c>
      <c r="F85" s="64">
        <v>3.3</v>
      </c>
      <c r="G85" s="64">
        <v>70.930000000000007</v>
      </c>
      <c r="H85" s="64">
        <v>17.45</v>
      </c>
      <c r="I85" s="64">
        <v>2.2599999999999998</v>
      </c>
      <c r="J85" s="64">
        <v>0.54</v>
      </c>
      <c r="K85" s="64">
        <v>168.79</v>
      </c>
      <c r="L85" s="64">
        <v>27.22</v>
      </c>
      <c r="M85" s="64">
        <v>76.930000000000007</v>
      </c>
      <c r="N85" s="64">
        <v>17.399999999999999</v>
      </c>
      <c r="O85" s="64">
        <v>0</v>
      </c>
      <c r="P85" s="64">
        <v>0.36</v>
      </c>
      <c r="Q85" s="64">
        <v>9.23</v>
      </c>
      <c r="R85" s="198"/>
      <c r="S85" s="198"/>
      <c r="T85" s="198"/>
      <c r="U85" s="198"/>
    </row>
    <row r="86" spans="1:26" s="12" customFormat="1" x14ac:dyDescent="0.25">
      <c r="A86" s="217" t="s">
        <v>799</v>
      </c>
      <c r="B86" s="64">
        <v>8.1999999999999993</v>
      </c>
      <c r="C86" s="64">
        <v>3.18</v>
      </c>
      <c r="D86" s="64">
        <v>12.01</v>
      </c>
      <c r="E86" s="64">
        <v>4.92</v>
      </c>
      <c r="F86" s="64">
        <v>4.82</v>
      </c>
      <c r="G86" s="64">
        <v>70.930000000000007</v>
      </c>
      <c r="H86" s="64">
        <v>17.45</v>
      </c>
      <c r="I86" s="64">
        <v>2.4300000000000002</v>
      </c>
      <c r="J86" s="64">
        <v>0.39</v>
      </c>
      <c r="K86" s="64">
        <v>164.42</v>
      </c>
      <c r="L86" s="64">
        <v>26.99</v>
      </c>
      <c r="M86" s="64">
        <v>77.92</v>
      </c>
      <c r="N86" s="64">
        <v>17.3</v>
      </c>
      <c r="O86" s="64">
        <v>0</v>
      </c>
      <c r="P86" s="64">
        <v>0.37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7" t="s">
        <v>800</v>
      </c>
      <c r="B87" s="64">
        <v>8.2200000000000006</v>
      </c>
      <c r="C87" s="64">
        <v>3.14</v>
      </c>
      <c r="D87" s="64">
        <v>12</v>
      </c>
      <c r="E87" s="64">
        <v>4.7300000000000004</v>
      </c>
      <c r="F87" s="64">
        <v>3.73</v>
      </c>
      <c r="G87" s="64">
        <v>70.930000000000007</v>
      </c>
      <c r="H87" s="64">
        <v>17.45</v>
      </c>
      <c r="I87" s="64">
        <v>2.61</v>
      </c>
      <c r="J87" s="64">
        <v>0.24</v>
      </c>
      <c r="K87" s="64">
        <v>178.26</v>
      </c>
      <c r="L87" s="64">
        <v>26.86</v>
      </c>
      <c r="M87" s="64">
        <v>78.41</v>
      </c>
      <c r="N87" s="64">
        <v>17.2</v>
      </c>
      <c r="O87" s="64">
        <v>0</v>
      </c>
      <c r="P87" s="64">
        <v>0.37</v>
      </c>
      <c r="Q87" s="64">
        <v>9.2100000000000009</v>
      </c>
      <c r="R87" s="198"/>
      <c r="S87" s="198"/>
      <c r="T87" s="198"/>
      <c r="U87" s="198"/>
    </row>
    <row r="88" spans="1:26" s="12" customFormat="1" x14ac:dyDescent="0.25">
      <c r="A88" s="217" t="s">
        <v>801</v>
      </c>
      <c r="B88" s="64">
        <v>8.1999999999999993</v>
      </c>
      <c r="C88" s="64">
        <v>3.11</v>
      </c>
      <c r="D88" s="64">
        <v>11.98</v>
      </c>
      <c r="E88" s="64">
        <v>4.62</v>
      </c>
      <c r="F88" s="64">
        <v>3.66</v>
      </c>
      <c r="G88" s="64">
        <v>69.23</v>
      </c>
      <c r="H88" s="64">
        <v>16.2</v>
      </c>
      <c r="I88" s="64">
        <v>2.82</v>
      </c>
      <c r="J88" s="64">
        <v>0.39</v>
      </c>
      <c r="K88" s="64">
        <v>157.47999999999999</v>
      </c>
      <c r="L88" s="64">
        <v>26.71</v>
      </c>
      <c r="M88" s="64">
        <v>79.19</v>
      </c>
      <c r="N88" s="64">
        <v>17.100000000000001</v>
      </c>
      <c r="O88" s="64">
        <v>0</v>
      </c>
      <c r="P88" s="64">
        <v>0.37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17" t="s">
        <v>802</v>
      </c>
      <c r="B89" s="64">
        <v>8.1999999999999993</v>
      </c>
      <c r="C89" s="64">
        <v>3.11</v>
      </c>
      <c r="D89" s="64">
        <v>11.98</v>
      </c>
      <c r="E89" s="64">
        <v>4.5199999999999996</v>
      </c>
      <c r="F89" s="64">
        <v>3.47</v>
      </c>
      <c r="G89" s="64">
        <v>67.39</v>
      </c>
      <c r="H89" s="64">
        <v>14.84</v>
      </c>
      <c r="I89" s="64">
        <v>3.03</v>
      </c>
      <c r="J89" s="64">
        <v>0.75</v>
      </c>
      <c r="K89" s="64">
        <v>145.41999999999999</v>
      </c>
      <c r="L89" s="64">
        <v>26.62</v>
      </c>
      <c r="M89" s="64">
        <v>80.09</v>
      </c>
      <c r="N89" s="64">
        <v>17</v>
      </c>
      <c r="O89" s="64">
        <v>0</v>
      </c>
      <c r="P89" s="64">
        <v>0.38</v>
      </c>
      <c r="Q89" s="64">
        <v>9.2799999999999994</v>
      </c>
      <c r="R89" s="198"/>
      <c r="S89" s="198"/>
      <c r="T89" s="198"/>
      <c r="U89" s="198"/>
    </row>
    <row r="90" spans="1:26" s="12" customFormat="1" x14ac:dyDescent="0.25">
      <c r="A90" s="217" t="s">
        <v>803</v>
      </c>
      <c r="B90" s="64">
        <v>8.2100000000000009</v>
      </c>
      <c r="C90" s="64">
        <v>3.15</v>
      </c>
      <c r="D90" s="64">
        <v>12</v>
      </c>
      <c r="E90" s="64">
        <v>4.7300000000000004</v>
      </c>
      <c r="F90" s="64">
        <v>3.71</v>
      </c>
      <c r="G90" s="64">
        <v>67.39</v>
      </c>
      <c r="H90" s="64">
        <v>14.84</v>
      </c>
      <c r="I90" s="64">
        <v>3.27</v>
      </c>
      <c r="J90" s="64">
        <v>0.38</v>
      </c>
      <c r="K90" s="64">
        <v>138.4</v>
      </c>
      <c r="L90" s="64">
        <v>26.56</v>
      </c>
      <c r="M90" s="64">
        <v>80.569999999999993</v>
      </c>
      <c r="N90" s="64">
        <v>17.100000000000001</v>
      </c>
      <c r="O90" s="64">
        <v>0</v>
      </c>
      <c r="P90" s="64">
        <v>0.38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17" t="s">
        <v>804</v>
      </c>
      <c r="B91" s="64">
        <v>8.23</v>
      </c>
      <c r="C91" s="64">
        <v>3.21</v>
      </c>
      <c r="D91" s="64">
        <v>12.05</v>
      </c>
      <c r="E91" s="64">
        <v>4.5999999999999996</v>
      </c>
      <c r="F91" s="64">
        <v>3.81</v>
      </c>
      <c r="G91" s="64">
        <v>67.39</v>
      </c>
      <c r="H91" s="64">
        <v>14.84</v>
      </c>
      <c r="I91" s="64">
        <v>3.58</v>
      </c>
      <c r="J91" s="64">
        <v>0.26</v>
      </c>
      <c r="K91" s="64">
        <v>189.62</v>
      </c>
      <c r="L91" s="64">
        <v>26.49</v>
      </c>
      <c r="M91" s="64">
        <v>81.28</v>
      </c>
      <c r="N91" s="64">
        <v>17.2</v>
      </c>
      <c r="O91" s="64">
        <v>0</v>
      </c>
      <c r="P91" s="64">
        <v>0.38</v>
      </c>
      <c r="Q91" s="64">
        <v>9.27</v>
      </c>
      <c r="R91" s="198"/>
      <c r="S91" s="198"/>
      <c r="T91" s="198"/>
      <c r="U91" s="198"/>
    </row>
    <row r="92" spans="1:26" s="12" customFormat="1" x14ac:dyDescent="0.25">
      <c r="A92" s="217" t="s">
        <v>805</v>
      </c>
      <c r="B92" s="64">
        <v>8.1999999999999993</v>
      </c>
      <c r="C92" s="64">
        <v>3.13</v>
      </c>
      <c r="D92" s="64">
        <v>11.99</v>
      </c>
      <c r="E92" s="64">
        <v>4.63</v>
      </c>
      <c r="F92" s="64">
        <v>3.44</v>
      </c>
      <c r="G92" s="64">
        <v>62.36</v>
      </c>
      <c r="H92" s="64">
        <v>14.65</v>
      </c>
      <c r="I92" s="64">
        <v>3.83</v>
      </c>
      <c r="J92" s="64">
        <v>0.43</v>
      </c>
      <c r="K92" s="64">
        <v>199.84</v>
      </c>
      <c r="L92" s="64">
        <v>26.43</v>
      </c>
      <c r="M92" s="64">
        <v>81.41</v>
      </c>
      <c r="N92" s="64">
        <v>17</v>
      </c>
      <c r="O92" s="64">
        <v>0</v>
      </c>
      <c r="P92" s="64">
        <v>0.38</v>
      </c>
      <c r="Q92" s="64">
        <v>9.2799999999999994</v>
      </c>
      <c r="R92" s="198"/>
      <c r="S92" s="198"/>
      <c r="T92" s="198"/>
      <c r="U92" s="198"/>
    </row>
    <row r="93" spans="1:26" s="12" customFormat="1" x14ac:dyDescent="0.25">
      <c r="A93" s="217" t="s">
        <v>806</v>
      </c>
      <c r="B93" s="64">
        <v>8.16</v>
      </c>
      <c r="C93" s="64">
        <v>3.16</v>
      </c>
      <c r="D93" s="64">
        <v>11.97</v>
      </c>
      <c r="E93" s="64">
        <v>4.3</v>
      </c>
      <c r="F93" s="64">
        <v>4.12</v>
      </c>
      <c r="G93" s="64">
        <v>56.87</v>
      </c>
      <c r="H93" s="64">
        <v>14.44</v>
      </c>
      <c r="I93" s="64">
        <v>3.98</v>
      </c>
      <c r="J93" s="64">
        <v>0.09</v>
      </c>
      <c r="K93" s="64">
        <v>218.14</v>
      </c>
      <c r="L93" s="64">
        <v>26.41</v>
      </c>
      <c r="M93" s="64">
        <v>81.58</v>
      </c>
      <c r="N93" s="64">
        <v>17.3</v>
      </c>
      <c r="O93" s="64">
        <v>0</v>
      </c>
      <c r="P93" s="64">
        <v>0.39</v>
      </c>
      <c r="Q93" s="64">
        <v>9.2899999999999991</v>
      </c>
      <c r="R93" s="198"/>
      <c r="S93" s="198"/>
      <c r="T93" s="198"/>
      <c r="U93" s="198"/>
    </row>
    <row r="94" spans="1:26" s="12" customFormat="1" x14ac:dyDescent="0.25">
      <c r="A94" s="217" t="s">
        <v>807</v>
      </c>
      <c r="B94" s="64">
        <v>8.1300000000000008</v>
      </c>
      <c r="C94" s="64">
        <v>3.13</v>
      </c>
      <c r="D94" s="64">
        <v>11.93</v>
      </c>
      <c r="E94" s="64">
        <v>4.91</v>
      </c>
      <c r="F94" s="64">
        <v>3.36</v>
      </c>
      <c r="G94" s="64">
        <v>56.87</v>
      </c>
      <c r="H94" s="64">
        <v>14.44</v>
      </c>
      <c r="I94" s="64">
        <v>3.91</v>
      </c>
      <c r="J94" s="64">
        <v>0.63</v>
      </c>
      <c r="K94" s="64">
        <v>145.61000000000001</v>
      </c>
      <c r="L94" s="64">
        <v>26.31</v>
      </c>
      <c r="M94" s="64">
        <v>82.32</v>
      </c>
      <c r="N94" s="64">
        <v>17.3</v>
      </c>
      <c r="O94" s="64">
        <v>0</v>
      </c>
      <c r="P94" s="64">
        <v>0.39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7" t="s">
        <v>808</v>
      </c>
      <c r="B95" s="64">
        <v>8.1199999999999992</v>
      </c>
      <c r="C95" s="64">
        <v>3.07</v>
      </c>
      <c r="D95" s="64">
        <v>11.89</v>
      </c>
      <c r="E95" s="64">
        <v>4.75</v>
      </c>
      <c r="F95" s="64">
        <v>3.5</v>
      </c>
      <c r="G95" s="64">
        <v>56.87</v>
      </c>
      <c r="H95" s="64">
        <v>14.44</v>
      </c>
      <c r="I95" s="64">
        <v>3.89</v>
      </c>
      <c r="J95" s="64">
        <v>0.56000000000000005</v>
      </c>
      <c r="K95" s="64">
        <v>147.63999999999999</v>
      </c>
      <c r="L95" s="64">
        <v>26.18</v>
      </c>
      <c r="M95" s="64">
        <v>83.32</v>
      </c>
      <c r="N95" s="64">
        <v>17.2</v>
      </c>
      <c r="O95" s="64">
        <v>0</v>
      </c>
      <c r="P95" s="64">
        <v>0.39</v>
      </c>
      <c r="Q95" s="64">
        <v>9.2899999999999991</v>
      </c>
      <c r="R95" s="198"/>
      <c r="S95" s="198"/>
      <c r="T95" s="198"/>
      <c r="U95" s="198"/>
    </row>
    <row r="96" spans="1:26" s="12" customFormat="1" x14ac:dyDescent="0.25">
      <c r="A96" s="217" t="s">
        <v>809</v>
      </c>
      <c r="B96" s="64">
        <v>8.14</v>
      </c>
      <c r="C96" s="64">
        <v>3.07</v>
      </c>
      <c r="D96" s="64">
        <v>11.91</v>
      </c>
      <c r="E96" s="64">
        <v>4.7300000000000004</v>
      </c>
      <c r="F96" s="64">
        <v>4.26</v>
      </c>
      <c r="G96" s="64">
        <v>59.03</v>
      </c>
      <c r="H96" s="64">
        <v>13.68</v>
      </c>
      <c r="I96" s="64">
        <v>3.96</v>
      </c>
      <c r="J96" s="64">
        <v>0.3</v>
      </c>
      <c r="K96" s="64">
        <v>173</v>
      </c>
      <c r="L96" s="64">
        <v>26.04</v>
      </c>
      <c r="M96" s="64">
        <v>84.13</v>
      </c>
      <c r="N96" s="64">
        <v>17.100000000000001</v>
      </c>
      <c r="O96" s="64">
        <v>0</v>
      </c>
      <c r="P96" s="64">
        <v>0.39</v>
      </c>
      <c r="Q96" s="64">
        <v>9.2899999999999991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810</v>
      </c>
      <c r="B97" s="64">
        <v>8.18</v>
      </c>
      <c r="C97" s="64">
        <v>3.11</v>
      </c>
      <c r="D97" s="64">
        <v>11.95</v>
      </c>
      <c r="E97" s="64">
        <v>4.88</v>
      </c>
      <c r="F97" s="64">
        <v>3.46</v>
      </c>
      <c r="G97" s="64">
        <v>61.4</v>
      </c>
      <c r="H97" s="64">
        <v>12.86</v>
      </c>
      <c r="I97" s="64">
        <v>3.96</v>
      </c>
      <c r="J97" s="64">
        <v>0.89</v>
      </c>
      <c r="K97" s="64">
        <v>143.18</v>
      </c>
      <c r="L97" s="64">
        <v>25.93</v>
      </c>
      <c r="M97" s="64">
        <v>85.13</v>
      </c>
      <c r="N97" s="64">
        <v>17</v>
      </c>
      <c r="O97" s="64">
        <v>0</v>
      </c>
      <c r="P97" s="64">
        <v>0.39</v>
      </c>
      <c r="Q97" s="64">
        <v>9.2899999999999991</v>
      </c>
      <c r="R97" s="198"/>
      <c r="S97" s="198"/>
      <c r="T97" s="198"/>
      <c r="U97" s="198"/>
    </row>
    <row r="98" spans="1:33" s="12" customFormat="1" x14ac:dyDescent="0.25">
      <c r="A98" s="217" t="s">
        <v>811</v>
      </c>
      <c r="B98" s="64">
        <v>8.3800000000000008</v>
      </c>
      <c r="C98" s="64">
        <v>3.57</v>
      </c>
      <c r="D98" s="64">
        <v>12.36</v>
      </c>
      <c r="E98" s="64">
        <v>4.82</v>
      </c>
      <c r="F98" s="64">
        <v>3.57</v>
      </c>
      <c r="G98" s="64">
        <v>61.4</v>
      </c>
      <c r="H98" s="64">
        <v>12.86</v>
      </c>
      <c r="I98" s="64">
        <v>3.98</v>
      </c>
      <c r="J98" s="64">
        <v>0.44</v>
      </c>
      <c r="K98" s="64">
        <v>194.53</v>
      </c>
      <c r="L98" s="64">
        <v>25.87</v>
      </c>
      <c r="M98" s="64">
        <v>85.63</v>
      </c>
      <c r="N98" s="64">
        <v>17.2</v>
      </c>
      <c r="O98" s="64">
        <v>0</v>
      </c>
      <c r="P98" s="64">
        <v>0.38</v>
      </c>
      <c r="Q98" s="64">
        <v>9.27</v>
      </c>
      <c r="R98" s="198"/>
      <c r="S98" s="198"/>
      <c r="T98" s="198"/>
      <c r="U98" s="198"/>
    </row>
    <row r="99" spans="1:33" s="12" customFormat="1" x14ac:dyDescent="0.25">
      <c r="A99" s="217" t="s">
        <v>812</v>
      </c>
      <c r="B99" s="64">
        <v>8.2200000000000006</v>
      </c>
      <c r="C99" s="64">
        <v>3.23</v>
      </c>
      <c r="D99" s="64">
        <v>12.05</v>
      </c>
      <c r="E99" s="64">
        <v>4.62</v>
      </c>
      <c r="F99" s="64">
        <v>3.62</v>
      </c>
      <c r="G99" s="64">
        <v>61.4</v>
      </c>
      <c r="H99" s="64">
        <v>12.86</v>
      </c>
      <c r="I99" s="64">
        <v>3.99</v>
      </c>
      <c r="J99" s="64">
        <v>0.91</v>
      </c>
      <c r="K99" s="64">
        <v>143.30000000000001</v>
      </c>
      <c r="L99" s="64">
        <v>25.81</v>
      </c>
      <c r="M99" s="64">
        <v>86.16</v>
      </c>
      <c r="N99" s="64">
        <v>17</v>
      </c>
      <c r="O99" s="64">
        <v>0</v>
      </c>
      <c r="P99" s="64">
        <v>0.37</v>
      </c>
      <c r="Q99" s="64">
        <v>9.2899999999999991</v>
      </c>
      <c r="R99" s="198"/>
      <c r="S99" s="198"/>
      <c r="T99" s="198"/>
      <c r="U99" s="198"/>
    </row>
    <row r="100" spans="1:33" s="12" customFormat="1" x14ac:dyDescent="0.25">
      <c r="A100" s="217" t="s">
        <v>813</v>
      </c>
      <c r="B100" s="64">
        <v>8.16</v>
      </c>
      <c r="C100" s="64">
        <v>3.14</v>
      </c>
      <c r="D100" s="64">
        <v>11.96</v>
      </c>
      <c r="E100" s="64">
        <v>4.41</v>
      </c>
      <c r="F100" s="64">
        <v>4.33</v>
      </c>
      <c r="G100" s="64">
        <v>57.37</v>
      </c>
      <c r="H100" s="64">
        <v>13.08</v>
      </c>
      <c r="I100" s="64">
        <v>3.96</v>
      </c>
      <c r="J100" s="64">
        <v>0.79</v>
      </c>
      <c r="K100" s="64">
        <v>136.88</v>
      </c>
      <c r="L100" s="64">
        <v>25.77</v>
      </c>
      <c r="M100" s="64">
        <v>86.63</v>
      </c>
      <c r="N100" s="64">
        <v>17.2</v>
      </c>
      <c r="O100" s="64">
        <v>0</v>
      </c>
      <c r="P100" s="64">
        <v>0.38</v>
      </c>
      <c r="Q100" s="64">
        <v>9.2899999999999991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814</v>
      </c>
      <c r="B101" s="64">
        <v>8.14</v>
      </c>
      <c r="C101" s="64">
        <v>3.14</v>
      </c>
      <c r="D101" s="64">
        <v>11.94</v>
      </c>
      <c r="E101" s="64">
        <v>4.8099999999999996</v>
      </c>
      <c r="F101" s="64">
        <v>3.21</v>
      </c>
      <c r="G101" s="64">
        <v>52.96</v>
      </c>
      <c r="H101" s="64">
        <v>13.33</v>
      </c>
      <c r="I101" s="64">
        <v>3.95</v>
      </c>
      <c r="J101" s="64">
        <v>0.97</v>
      </c>
      <c r="K101" s="64">
        <v>153.71</v>
      </c>
      <c r="L101" s="64">
        <v>25.65</v>
      </c>
      <c r="M101" s="64">
        <v>87.52</v>
      </c>
      <c r="N101" s="64">
        <v>17.3</v>
      </c>
      <c r="O101" s="64">
        <v>0</v>
      </c>
      <c r="P101" s="64">
        <v>0.38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17" t="s">
        <v>815</v>
      </c>
      <c r="B102" s="64">
        <v>8.17</v>
      </c>
      <c r="C102" s="64">
        <v>3.17</v>
      </c>
      <c r="D102" s="64">
        <v>11.98</v>
      </c>
      <c r="E102" s="64">
        <v>4.9400000000000004</v>
      </c>
      <c r="F102" s="64">
        <v>3.39</v>
      </c>
      <c r="G102" s="64">
        <v>52.96</v>
      </c>
      <c r="H102" s="64">
        <v>13.33</v>
      </c>
      <c r="I102" s="64">
        <v>4.03</v>
      </c>
      <c r="J102" s="64">
        <v>0.98</v>
      </c>
      <c r="K102" s="64">
        <v>146.66</v>
      </c>
      <c r="L102" s="64">
        <v>25.56</v>
      </c>
      <c r="M102" s="64">
        <v>88.34</v>
      </c>
      <c r="N102" s="64">
        <v>17.399999999999999</v>
      </c>
      <c r="O102" s="64">
        <v>0</v>
      </c>
      <c r="P102" s="64">
        <v>0.37</v>
      </c>
      <c r="Q102" s="64">
        <v>9.26</v>
      </c>
      <c r="R102" s="198"/>
      <c r="S102" s="198"/>
      <c r="T102" s="198"/>
      <c r="U102" s="198"/>
    </row>
    <row r="103" spans="1:33" s="12" customFormat="1" x14ac:dyDescent="0.25">
      <c r="A103" s="217" t="s">
        <v>816</v>
      </c>
      <c r="B103" s="64">
        <v>8.17</v>
      </c>
      <c r="C103" s="64">
        <v>3.13</v>
      </c>
      <c r="D103" s="64">
        <v>11.97</v>
      </c>
      <c r="E103" s="64">
        <v>4.74</v>
      </c>
      <c r="F103" s="64">
        <v>3.49</v>
      </c>
      <c r="G103" s="64">
        <v>52.96</v>
      </c>
      <c r="H103" s="64">
        <v>13.33</v>
      </c>
      <c r="I103" s="64">
        <v>4.09</v>
      </c>
      <c r="J103" s="64">
        <v>0.2</v>
      </c>
      <c r="K103" s="64">
        <v>5.5</v>
      </c>
      <c r="L103" s="64">
        <v>25.56</v>
      </c>
      <c r="M103" s="64">
        <v>86.11</v>
      </c>
      <c r="N103" s="64">
        <v>17.100000000000001</v>
      </c>
      <c r="O103" s="64">
        <v>0</v>
      </c>
      <c r="P103" s="64">
        <v>0.36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17" t="s">
        <v>817</v>
      </c>
      <c r="B104" s="64">
        <v>8.15</v>
      </c>
      <c r="C104" s="64">
        <v>3.07</v>
      </c>
      <c r="D104" s="64">
        <v>11.92</v>
      </c>
      <c r="E104" s="64">
        <v>5.55</v>
      </c>
      <c r="F104" s="64">
        <v>4.0599999999999996</v>
      </c>
      <c r="G104" s="64">
        <v>52.65</v>
      </c>
      <c r="H104" s="64">
        <v>13.1</v>
      </c>
      <c r="I104" s="64">
        <v>3.96</v>
      </c>
      <c r="J104" s="64">
        <v>0.59</v>
      </c>
      <c r="K104" s="64">
        <v>11.5</v>
      </c>
      <c r="L104" s="64">
        <v>25.11</v>
      </c>
      <c r="M104" s="64">
        <v>79.7</v>
      </c>
      <c r="N104" s="64">
        <v>17.8</v>
      </c>
      <c r="O104" s="64">
        <v>0</v>
      </c>
      <c r="P104" s="64">
        <v>0.34</v>
      </c>
      <c r="Q104" s="64">
        <v>9.27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8.0500000000000007</v>
      </c>
      <c r="C106" s="67">
        <f>MIN(C9:C104)</f>
        <v>3.02</v>
      </c>
      <c r="D106" s="67">
        <f t="shared" ref="D106:Q106" si="0">MIN(D9:D104)</f>
        <v>11.86</v>
      </c>
      <c r="E106" s="67">
        <f t="shared" si="0"/>
        <v>2.4700000000000002</v>
      </c>
      <c r="F106" s="67">
        <f t="shared" si="0"/>
        <v>2.61</v>
      </c>
      <c r="G106" s="67">
        <f t="shared" si="0"/>
        <v>14.3</v>
      </c>
      <c r="H106" s="67">
        <f t="shared" si="0"/>
        <v>3.47</v>
      </c>
      <c r="I106" s="67">
        <f t="shared" si="0"/>
        <v>1.1499999999999999</v>
      </c>
      <c r="J106" s="67">
        <f t="shared" si="0"/>
        <v>0.03</v>
      </c>
      <c r="K106" s="67">
        <f t="shared" si="0"/>
        <v>1.01</v>
      </c>
      <c r="L106" s="67">
        <f t="shared" si="0"/>
        <v>23.11</v>
      </c>
      <c r="M106" s="67">
        <f t="shared" si="0"/>
        <v>59.08</v>
      </c>
      <c r="N106" s="67">
        <f t="shared" si="0"/>
        <v>17</v>
      </c>
      <c r="O106" s="67">
        <f t="shared" si="0"/>
        <v>0</v>
      </c>
      <c r="P106" s="67">
        <f t="shared" si="0"/>
        <v>0.21</v>
      </c>
      <c r="Q106" s="67">
        <f t="shared" si="0"/>
        <v>9.1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</v>
      </c>
      <c r="C107" s="66">
        <f t="shared" ref="C107:Q107" si="1">MAX(C9:C104)</f>
        <v>3.78</v>
      </c>
      <c r="D107" s="66">
        <f t="shared" si="1"/>
        <v>12.57</v>
      </c>
      <c r="E107" s="66">
        <f t="shared" si="1"/>
        <v>5.55</v>
      </c>
      <c r="F107" s="66">
        <f t="shared" si="1"/>
        <v>6.05</v>
      </c>
      <c r="G107" s="66">
        <f t="shared" si="1"/>
        <v>70.930000000000007</v>
      </c>
      <c r="H107" s="66">
        <f t="shared" si="1"/>
        <v>17.45</v>
      </c>
      <c r="I107" s="66">
        <f t="shared" si="1"/>
        <v>4.09</v>
      </c>
      <c r="J107" s="66">
        <f t="shared" si="1"/>
        <v>1.38</v>
      </c>
      <c r="K107" s="66">
        <f t="shared" si="1"/>
        <v>359.85</v>
      </c>
      <c r="L107" s="66">
        <f t="shared" si="1"/>
        <v>30.88</v>
      </c>
      <c r="M107" s="66">
        <f t="shared" si="1"/>
        <v>98.3</v>
      </c>
      <c r="N107" s="66">
        <f t="shared" si="1"/>
        <v>1001</v>
      </c>
      <c r="O107" s="66">
        <f t="shared" si="1"/>
        <v>0</v>
      </c>
      <c r="P107" s="66">
        <f t="shared" si="1"/>
        <v>0.39</v>
      </c>
      <c r="Q107" s="66">
        <f t="shared" si="1"/>
        <v>9.2899999999999991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8.2139583333333324</v>
      </c>
      <c r="C108" s="67">
        <f t="shared" ref="C108:Q108" si="2">AVERAGE(C9:C104)</f>
        <v>3.1828124999999994</v>
      </c>
      <c r="D108" s="67">
        <f t="shared" si="2"/>
        <v>12.024166666666671</v>
      </c>
      <c r="E108" s="67">
        <f t="shared" si="2"/>
        <v>4.234791666666669</v>
      </c>
      <c r="F108" s="67">
        <f t="shared" si="2"/>
        <v>4.0391666666666675</v>
      </c>
      <c r="G108" s="67">
        <f t="shared" si="2"/>
        <v>33.583645833333321</v>
      </c>
      <c r="H108" s="67">
        <f t="shared" si="2"/>
        <v>9.90083333333334</v>
      </c>
      <c r="I108" s="67">
        <f t="shared" si="2"/>
        <v>2.6110416666666678</v>
      </c>
      <c r="J108" s="67">
        <f t="shared" si="2"/>
        <v>0.38989583333333316</v>
      </c>
      <c r="K108" s="67">
        <f t="shared" si="2"/>
        <v>227.96989583333334</v>
      </c>
      <c r="L108" s="67">
        <f t="shared" si="2"/>
        <v>26.15916666666665</v>
      </c>
      <c r="M108" s="67">
        <f t="shared" si="2"/>
        <v>81.220104166666644</v>
      </c>
      <c r="N108" s="67">
        <f t="shared" si="2"/>
        <v>160.08750000000001</v>
      </c>
      <c r="O108" s="67">
        <f t="shared" si="2"/>
        <v>0</v>
      </c>
      <c r="P108" s="67">
        <f t="shared" si="2"/>
        <v>0.31104166666666672</v>
      </c>
      <c r="Q108" s="67">
        <f t="shared" si="2"/>
        <v>9.2127083333333335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7.6164353682873345E-2</v>
      </c>
      <c r="C109" s="67">
        <f t="shared" ref="C109:Q109" si="3">STDEV(C9:C104)</f>
        <v>0.13064780397775744</v>
      </c>
      <c r="D109" s="67">
        <f t="shared" si="3"/>
        <v>0.11977757163453714</v>
      </c>
      <c r="E109" s="67">
        <f t="shared" si="3"/>
        <v>0.64635981370434292</v>
      </c>
      <c r="F109" s="67">
        <f t="shared" si="3"/>
        <v>0.75165174840293525</v>
      </c>
      <c r="G109" s="67">
        <f t="shared" si="3"/>
        <v>18.239957532256202</v>
      </c>
      <c r="H109" s="67">
        <f t="shared" si="3"/>
        <v>3.930749404018635</v>
      </c>
      <c r="I109" s="67">
        <f t="shared" si="3"/>
        <v>0.82872950214125563</v>
      </c>
      <c r="J109" s="67">
        <f t="shared" si="3"/>
        <v>0.23410071962688331</v>
      </c>
      <c r="K109" s="67">
        <f t="shared" si="3"/>
        <v>119.07378764530662</v>
      </c>
      <c r="L109" s="67">
        <f t="shared" si="3"/>
        <v>2.3950869302613564</v>
      </c>
      <c r="M109" s="67">
        <f t="shared" si="3"/>
        <v>12.402420773448547</v>
      </c>
      <c r="N109" s="67">
        <f t="shared" si="3"/>
        <v>208.39186682280743</v>
      </c>
      <c r="O109" s="67">
        <f t="shared" si="3"/>
        <v>0</v>
      </c>
      <c r="P109" s="67">
        <f t="shared" si="3"/>
        <v>5.0272503034994073E-2</v>
      </c>
      <c r="Q109" s="67">
        <f t="shared" si="3"/>
        <v>4.5894138294825297E-2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818</v>
      </c>
      <c r="B9" s="64">
        <v>8.2100000000000009</v>
      </c>
      <c r="C9" s="64">
        <v>3.16</v>
      </c>
      <c r="D9" s="64">
        <v>12.01</v>
      </c>
      <c r="E9" s="64">
        <v>5.79</v>
      </c>
      <c r="F9" s="64">
        <v>4.3</v>
      </c>
      <c r="G9" s="64">
        <v>52.32</v>
      </c>
      <c r="H9" s="64">
        <v>12.83</v>
      </c>
      <c r="I9" s="64">
        <v>3.69</v>
      </c>
      <c r="J9" s="64">
        <v>0.54</v>
      </c>
      <c r="K9" s="64">
        <v>11.55</v>
      </c>
      <c r="L9" s="64">
        <v>24.64</v>
      </c>
      <c r="M9" s="64">
        <v>79.23</v>
      </c>
      <c r="N9" s="64">
        <v>17.7</v>
      </c>
      <c r="O9" s="64">
        <v>0</v>
      </c>
      <c r="P9" s="64">
        <v>0.33</v>
      </c>
      <c r="Q9" s="64">
        <v>9.26</v>
      </c>
      <c r="R9" s="198"/>
      <c r="S9" s="198"/>
      <c r="T9" s="198"/>
      <c r="U9" s="198"/>
    </row>
    <row r="10" spans="1:21" s="12" customFormat="1" x14ac:dyDescent="0.25">
      <c r="A10" s="217" t="s">
        <v>819</v>
      </c>
      <c r="B10" s="64">
        <v>8.2100000000000009</v>
      </c>
      <c r="C10" s="64">
        <v>3.17</v>
      </c>
      <c r="D10" s="64">
        <v>12.01</v>
      </c>
      <c r="E10" s="64">
        <v>5.65</v>
      </c>
      <c r="F10" s="64">
        <v>4.68</v>
      </c>
      <c r="G10" s="64">
        <v>52.32</v>
      </c>
      <c r="H10" s="64">
        <v>12.83</v>
      </c>
      <c r="I10" s="64">
        <v>3.34</v>
      </c>
      <c r="J10" s="64">
        <v>0.39</v>
      </c>
      <c r="K10" s="64">
        <v>18.170000000000002</v>
      </c>
      <c r="L10" s="64">
        <v>24.33</v>
      </c>
      <c r="M10" s="64">
        <v>81.61</v>
      </c>
      <c r="N10" s="64">
        <v>17.399999999999999</v>
      </c>
      <c r="O10" s="64">
        <v>0</v>
      </c>
      <c r="P10" s="64">
        <v>0.31</v>
      </c>
      <c r="Q10" s="64">
        <v>9.24</v>
      </c>
      <c r="R10" s="198"/>
      <c r="S10" s="198"/>
      <c r="T10" s="198"/>
      <c r="U10" s="198"/>
    </row>
    <row r="11" spans="1:21" s="12" customFormat="1" x14ac:dyDescent="0.25">
      <c r="A11" s="217" t="s">
        <v>820</v>
      </c>
      <c r="B11" s="64">
        <v>8.2100000000000009</v>
      </c>
      <c r="C11" s="64">
        <v>3.17</v>
      </c>
      <c r="D11" s="64">
        <v>12.01</v>
      </c>
      <c r="E11" s="64">
        <v>5.65</v>
      </c>
      <c r="F11" s="64">
        <v>4.68</v>
      </c>
      <c r="G11" s="64">
        <v>52.32</v>
      </c>
      <c r="H11" s="64">
        <v>12.83</v>
      </c>
      <c r="I11" s="64">
        <v>3.34</v>
      </c>
      <c r="J11" s="64">
        <v>0.39</v>
      </c>
      <c r="K11" s="64">
        <v>18.170000000000002</v>
      </c>
      <c r="L11" s="64">
        <v>24.33</v>
      </c>
      <c r="M11" s="64">
        <v>81.61</v>
      </c>
      <c r="N11" s="64">
        <v>17.399999999999999</v>
      </c>
      <c r="O11" s="64">
        <v>0</v>
      </c>
      <c r="P11" s="64">
        <v>0.31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7" t="s">
        <v>821</v>
      </c>
      <c r="B12" s="64">
        <v>8.2100000000000009</v>
      </c>
      <c r="C12" s="64">
        <v>3.17</v>
      </c>
      <c r="D12" s="64">
        <v>12.02</v>
      </c>
      <c r="E12" s="64">
        <v>5.59</v>
      </c>
      <c r="F12" s="64">
        <v>4.53</v>
      </c>
      <c r="G12" s="64">
        <v>50.65</v>
      </c>
      <c r="H12" s="64">
        <v>12.11</v>
      </c>
      <c r="I12" s="64">
        <v>2.89</v>
      </c>
      <c r="J12" s="64">
        <v>0.35</v>
      </c>
      <c r="K12" s="64">
        <v>0.49</v>
      </c>
      <c r="L12" s="64">
        <v>23.86</v>
      </c>
      <c r="M12" s="64">
        <v>84.92</v>
      </c>
      <c r="N12" s="64">
        <v>17.3</v>
      </c>
      <c r="O12" s="64">
        <v>0</v>
      </c>
      <c r="P12" s="64">
        <v>0.3</v>
      </c>
      <c r="Q12" s="64">
        <v>8.66</v>
      </c>
      <c r="R12" s="198"/>
      <c r="S12" s="198"/>
      <c r="T12" s="198"/>
      <c r="U12" s="198"/>
    </row>
    <row r="13" spans="1:21" s="12" customFormat="1" x14ac:dyDescent="0.25">
      <c r="A13" s="217" t="s">
        <v>822</v>
      </c>
      <c r="B13" s="64">
        <v>8.1999999999999993</v>
      </c>
      <c r="C13" s="64">
        <v>3.16</v>
      </c>
      <c r="D13" s="64">
        <v>12</v>
      </c>
      <c r="E13" s="64">
        <v>5.88</v>
      </c>
      <c r="F13" s="64">
        <v>4.1900000000000004</v>
      </c>
      <c r="G13" s="64">
        <v>44.28</v>
      </c>
      <c r="H13" s="64">
        <v>9.24</v>
      </c>
      <c r="I13" s="64">
        <v>2.5299999999999998</v>
      </c>
      <c r="J13" s="64">
        <v>0.22</v>
      </c>
      <c r="K13" s="64">
        <v>342.41</v>
      </c>
      <c r="L13" s="64">
        <v>23.65</v>
      </c>
      <c r="M13" s="64">
        <v>87.96</v>
      </c>
      <c r="N13" s="64">
        <v>17.3</v>
      </c>
      <c r="O13" s="64">
        <v>0</v>
      </c>
      <c r="P13" s="64">
        <v>0.28999999999999998</v>
      </c>
      <c r="Q13" s="64">
        <v>9.2200000000000006</v>
      </c>
      <c r="R13" s="198"/>
      <c r="S13" s="198"/>
      <c r="T13" s="198"/>
      <c r="U13" s="198"/>
    </row>
    <row r="14" spans="1:21" s="12" customFormat="1" x14ac:dyDescent="0.25">
      <c r="A14" s="217" t="s">
        <v>823</v>
      </c>
      <c r="B14" s="64">
        <v>8.18</v>
      </c>
      <c r="C14" s="64">
        <v>3.15</v>
      </c>
      <c r="D14" s="64">
        <v>11.98</v>
      </c>
      <c r="E14" s="64">
        <v>5.96</v>
      </c>
      <c r="F14" s="64">
        <v>3.75</v>
      </c>
      <c r="G14" s="64">
        <v>44.28</v>
      </c>
      <c r="H14" s="64">
        <v>9.24</v>
      </c>
      <c r="I14" s="64">
        <v>2.4</v>
      </c>
      <c r="J14" s="64">
        <v>0.5</v>
      </c>
      <c r="K14" s="64">
        <v>159.76</v>
      </c>
      <c r="L14" s="64">
        <v>23.49</v>
      </c>
      <c r="M14" s="64">
        <v>89.67</v>
      </c>
      <c r="N14" s="64">
        <v>17.3</v>
      </c>
      <c r="O14" s="64">
        <v>0</v>
      </c>
      <c r="P14" s="64">
        <v>0.28999999999999998</v>
      </c>
      <c r="Q14" s="64">
        <v>9.2100000000000009</v>
      </c>
      <c r="R14" s="198"/>
      <c r="S14" s="198"/>
      <c r="T14" s="198"/>
      <c r="U14" s="198"/>
    </row>
    <row r="15" spans="1:21" s="12" customFormat="1" x14ac:dyDescent="0.25">
      <c r="A15" s="217" t="s">
        <v>824</v>
      </c>
      <c r="B15" s="64">
        <v>8.15</v>
      </c>
      <c r="C15" s="64">
        <v>3.11</v>
      </c>
      <c r="D15" s="64">
        <v>11.94</v>
      </c>
      <c r="E15" s="64">
        <v>5.93</v>
      </c>
      <c r="F15" s="64">
        <v>4.6100000000000003</v>
      </c>
      <c r="G15" s="64">
        <v>44.28</v>
      </c>
      <c r="H15" s="64">
        <v>9.24</v>
      </c>
      <c r="I15" s="64">
        <v>2.37</v>
      </c>
      <c r="J15" s="64">
        <v>0.32</v>
      </c>
      <c r="K15" s="64">
        <v>343.66</v>
      </c>
      <c r="L15" s="64">
        <v>23.47</v>
      </c>
      <c r="M15" s="64">
        <v>90.63</v>
      </c>
      <c r="N15" s="64">
        <v>17.100000000000001</v>
      </c>
      <c r="O15" s="64">
        <v>0</v>
      </c>
      <c r="P15" s="64">
        <v>0.28999999999999998</v>
      </c>
      <c r="Q15" s="64">
        <v>9.19</v>
      </c>
      <c r="R15" s="198"/>
      <c r="S15" s="198"/>
      <c r="T15" s="198"/>
      <c r="U15" s="198"/>
    </row>
    <row r="16" spans="1:21" s="12" customFormat="1" x14ac:dyDescent="0.25">
      <c r="A16" s="217" t="s">
        <v>825</v>
      </c>
      <c r="B16" s="64">
        <v>8.15</v>
      </c>
      <c r="C16" s="64">
        <v>3.1</v>
      </c>
      <c r="D16" s="64">
        <v>11.92</v>
      </c>
      <c r="E16" s="64">
        <v>6.05</v>
      </c>
      <c r="F16" s="64">
        <v>3.5</v>
      </c>
      <c r="G16" s="64">
        <v>40.39</v>
      </c>
      <c r="H16" s="64">
        <v>9.2799999999999994</v>
      </c>
      <c r="I16" s="64">
        <v>2.54</v>
      </c>
      <c r="J16" s="64">
        <v>0.56000000000000005</v>
      </c>
      <c r="K16" s="64">
        <v>13.59</v>
      </c>
      <c r="L16" s="64">
        <v>23.48</v>
      </c>
      <c r="M16" s="64">
        <v>91.16</v>
      </c>
      <c r="N16" s="64">
        <v>17</v>
      </c>
      <c r="O16" s="64">
        <v>0</v>
      </c>
      <c r="P16" s="64">
        <v>0.28999999999999998</v>
      </c>
      <c r="Q16" s="64">
        <v>9.19</v>
      </c>
      <c r="R16" s="198"/>
      <c r="S16" s="198"/>
      <c r="T16" s="198"/>
      <c r="U16" s="198"/>
    </row>
    <row r="17" spans="1:21" s="12" customFormat="1" x14ac:dyDescent="0.25">
      <c r="A17" s="217" t="s">
        <v>826</v>
      </c>
      <c r="B17" s="64">
        <v>8.14</v>
      </c>
      <c r="C17" s="64">
        <v>3.08</v>
      </c>
      <c r="D17" s="64">
        <v>11.91</v>
      </c>
      <c r="E17" s="64">
        <v>5.83</v>
      </c>
      <c r="F17" s="64">
        <v>3.62</v>
      </c>
      <c r="G17" s="64">
        <v>35.93</v>
      </c>
      <c r="H17" s="64">
        <v>9.32</v>
      </c>
      <c r="I17" s="64">
        <v>2.63</v>
      </c>
      <c r="J17" s="64">
        <v>0.51</v>
      </c>
      <c r="K17" s="64">
        <v>6.55</v>
      </c>
      <c r="L17" s="64">
        <v>23.56</v>
      </c>
      <c r="M17" s="64">
        <v>91.52</v>
      </c>
      <c r="N17" s="64">
        <v>17</v>
      </c>
      <c r="O17" s="64">
        <v>0</v>
      </c>
      <c r="P17" s="64">
        <v>0.27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17" t="s">
        <v>827</v>
      </c>
      <c r="B18" s="64">
        <v>8.16</v>
      </c>
      <c r="C18" s="64">
        <v>3.18</v>
      </c>
      <c r="D18" s="64">
        <v>11.98</v>
      </c>
      <c r="E18" s="64">
        <v>5.75</v>
      </c>
      <c r="F18" s="64">
        <v>5.08</v>
      </c>
      <c r="G18" s="64">
        <v>35.93</v>
      </c>
      <c r="H18" s="64">
        <v>9.32</v>
      </c>
      <c r="I18" s="64">
        <v>2.4900000000000002</v>
      </c>
      <c r="J18" s="64">
        <v>0.62</v>
      </c>
      <c r="K18" s="64">
        <v>3.9</v>
      </c>
      <c r="L18" s="64">
        <v>23.48</v>
      </c>
      <c r="M18" s="64">
        <v>92.81</v>
      </c>
      <c r="N18" s="64">
        <v>17</v>
      </c>
      <c r="O18" s="64">
        <v>0</v>
      </c>
      <c r="P18" s="64">
        <v>0.27</v>
      </c>
      <c r="Q18" s="64">
        <v>9.18</v>
      </c>
      <c r="R18" s="198"/>
      <c r="S18" s="198"/>
      <c r="T18" s="198"/>
      <c r="U18" s="198"/>
    </row>
    <row r="19" spans="1:21" s="12" customFormat="1" x14ac:dyDescent="0.25">
      <c r="A19" s="217" t="s">
        <v>828</v>
      </c>
      <c r="B19" s="64">
        <v>8.16</v>
      </c>
      <c r="C19" s="64">
        <v>3.13</v>
      </c>
      <c r="D19" s="64">
        <v>11.95</v>
      </c>
      <c r="E19" s="64">
        <v>5.49</v>
      </c>
      <c r="F19" s="64">
        <v>3.85</v>
      </c>
      <c r="G19" s="64">
        <v>35.93</v>
      </c>
      <c r="H19" s="64">
        <v>9.32</v>
      </c>
      <c r="I19" s="64">
        <v>2.37</v>
      </c>
      <c r="J19" s="64">
        <v>0.56000000000000005</v>
      </c>
      <c r="K19" s="64">
        <v>359.75</v>
      </c>
      <c r="L19" s="64">
        <v>23.39</v>
      </c>
      <c r="M19" s="64">
        <v>93.86</v>
      </c>
      <c r="N19" s="64">
        <v>17.3</v>
      </c>
      <c r="O19" s="64">
        <v>0</v>
      </c>
      <c r="P19" s="64">
        <v>0.27</v>
      </c>
      <c r="Q19" s="64">
        <v>9.19</v>
      </c>
      <c r="R19" s="198"/>
      <c r="S19" s="198"/>
      <c r="T19" s="198"/>
      <c r="U19" s="198"/>
    </row>
    <row r="20" spans="1:21" s="12" customFormat="1" x14ac:dyDescent="0.25">
      <c r="A20" s="217" t="s">
        <v>829</v>
      </c>
      <c r="B20" s="64">
        <v>8.23</v>
      </c>
      <c r="C20" s="64">
        <v>3.27</v>
      </c>
      <c r="D20" s="64">
        <v>12.08</v>
      </c>
      <c r="E20" s="64">
        <v>5.81</v>
      </c>
      <c r="F20" s="64">
        <v>4.08</v>
      </c>
      <c r="G20" s="64">
        <v>30.44</v>
      </c>
      <c r="H20" s="64">
        <v>8.2200000000000006</v>
      </c>
      <c r="I20" s="64">
        <v>2.25</v>
      </c>
      <c r="J20" s="64">
        <v>0.54</v>
      </c>
      <c r="K20" s="64">
        <v>357.63</v>
      </c>
      <c r="L20" s="64">
        <v>23.31</v>
      </c>
      <c r="M20" s="64">
        <v>94.82</v>
      </c>
      <c r="N20" s="64">
        <v>17.399999999999999</v>
      </c>
      <c r="O20" s="64">
        <v>0</v>
      </c>
      <c r="P20" s="64">
        <v>0.26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17" t="s">
        <v>830</v>
      </c>
      <c r="B21" s="64">
        <v>8.2200000000000006</v>
      </c>
      <c r="C21" s="64">
        <v>3.22</v>
      </c>
      <c r="D21" s="64">
        <v>12.05</v>
      </c>
      <c r="E21" s="64">
        <v>5.83</v>
      </c>
      <c r="F21" s="64">
        <v>5.08</v>
      </c>
      <c r="G21" s="64">
        <v>24.16</v>
      </c>
      <c r="H21" s="64">
        <v>7.01</v>
      </c>
      <c r="I21" s="64">
        <v>2.02</v>
      </c>
      <c r="J21" s="64">
        <v>0.37</v>
      </c>
      <c r="K21" s="64">
        <v>2.48</v>
      </c>
      <c r="L21" s="64">
        <v>23.19</v>
      </c>
      <c r="M21" s="64">
        <v>95.06</v>
      </c>
      <c r="N21" s="64">
        <v>17.3</v>
      </c>
      <c r="O21" s="64">
        <v>0</v>
      </c>
      <c r="P21" s="64">
        <v>0.25</v>
      </c>
      <c r="Q21" s="64">
        <v>9.18</v>
      </c>
      <c r="R21" s="198"/>
      <c r="S21" s="198"/>
      <c r="T21" s="198"/>
      <c r="U21" s="198"/>
    </row>
    <row r="22" spans="1:21" s="12" customFormat="1" x14ac:dyDescent="0.25">
      <c r="A22" s="217" t="s">
        <v>831</v>
      </c>
      <c r="B22" s="64">
        <v>8.15</v>
      </c>
      <c r="C22" s="64">
        <v>3.12</v>
      </c>
      <c r="D22" s="64">
        <v>11.94</v>
      </c>
      <c r="E22" s="64">
        <v>5.7</v>
      </c>
      <c r="F22" s="64">
        <v>3.83</v>
      </c>
      <c r="G22" s="64">
        <v>24.16</v>
      </c>
      <c r="H22" s="64">
        <v>7.01</v>
      </c>
      <c r="I22" s="64">
        <v>1.81</v>
      </c>
      <c r="J22" s="64">
        <v>0.4</v>
      </c>
      <c r="K22" s="64">
        <v>8.4</v>
      </c>
      <c r="L22" s="64">
        <v>23.05</v>
      </c>
      <c r="M22" s="64">
        <v>95.71</v>
      </c>
      <c r="N22" s="64">
        <v>17.100000000000001</v>
      </c>
      <c r="O22" s="64">
        <v>0</v>
      </c>
      <c r="P22" s="64">
        <v>0.25</v>
      </c>
      <c r="Q22" s="64">
        <v>9.19</v>
      </c>
      <c r="R22" s="198"/>
      <c r="S22" s="198"/>
      <c r="T22" s="198"/>
      <c r="U22" s="198"/>
    </row>
    <row r="23" spans="1:21" s="12" customFormat="1" x14ac:dyDescent="0.25">
      <c r="A23" s="217" t="s">
        <v>832</v>
      </c>
      <c r="B23" s="64">
        <v>8.15</v>
      </c>
      <c r="C23" s="64">
        <v>3.14</v>
      </c>
      <c r="D23" s="64">
        <v>11.95</v>
      </c>
      <c r="E23" s="64">
        <v>5.64</v>
      </c>
      <c r="F23" s="64">
        <v>3.79</v>
      </c>
      <c r="G23" s="64">
        <v>24.16</v>
      </c>
      <c r="H23" s="64">
        <v>7.01</v>
      </c>
      <c r="I23" s="64">
        <v>1.7</v>
      </c>
      <c r="J23" s="64">
        <v>0.45</v>
      </c>
      <c r="K23" s="64">
        <v>342.34</v>
      </c>
      <c r="L23" s="64">
        <v>22.99</v>
      </c>
      <c r="M23" s="64">
        <v>96.14</v>
      </c>
      <c r="N23" s="64">
        <v>17</v>
      </c>
      <c r="O23" s="64">
        <v>0</v>
      </c>
      <c r="P23" s="64">
        <v>0.24</v>
      </c>
      <c r="Q23" s="64">
        <v>9.17</v>
      </c>
      <c r="R23" s="198"/>
      <c r="S23" s="198"/>
      <c r="T23" s="198"/>
      <c r="U23" s="198"/>
    </row>
    <row r="24" spans="1:21" s="12" customFormat="1" x14ac:dyDescent="0.25">
      <c r="A24" s="217" t="s">
        <v>833</v>
      </c>
      <c r="B24" s="64">
        <v>8.15</v>
      </c>
      <c r="C24" s="64">
        <v>3.1</v>
      </c>
      <c r="D24" s="64">
        <v>11.93</v>
      </c>
      <c r="E24" s="64">
        <v>3.07</v>
      </c>
      <c r="F24" s="64">
        <v>4.54</v>
      </c>
      <c r="G24" s="64">
        <v>22.02</v>
      </c>
      <c r="H24" s="64">
        <v>6.54</v>
      </c>
      <c r="I24" s="64">
        <v>1.64</v>
      </c>
      <c r="J24" s="64">
        <v>0.49</v>
      </c>
      <c r="K24" s="64">
        <v>349.47</v>
      </c>
      <c r="L24" s="64">
        <v>22.97</v>
      </c>
      <c r="M24" s="64">
        <v>95.39</v>
      </c>
      <c r="N24" s="64">
        <v>17.2</v>
      </c>
      <c r="O24" s="64">
        <v>0</v>
      </c>
      <c r="P24" s="64">
        <v>0.25</v>
      </c>
      <c r="Q24" s="64">
        <v>9.17</v>
      </c>
      <c r="R24" s="198"/>
      <c r="S24" s="198"/>
      <c r="T24" s="198"/>
      <c r="U24" s="198"/>
    </row>
    <row r="25" spans="1:21" s="12" customFormat="1" x14ac:dyDescent="0.25">
      <c r="A25" s="217" t="s">
        <v>834</v>
      </c>
      <c r="B25" s="64">
        <v>8.15</v>
      </c>
      <c r="C25" s="64">
        <v>3.1</v>
      </c>
      <c r="D25" s="64">
        <v>11.93</v>
      </c>
      <c r="E25" s="64">
        <v>3.41</v>
      </c>
      <c r="F25" s="64">
        <v>3.92</v>
      </c>
      <c r="G25" s="64">
        <v>19.57</v>
      </c>
      <c r="H25" s="64">
        <v>5.99</v>
      </c>
      <c r="I25" s="64">
        <v>1.56</v>
      </c>
      <c r="J25" s="64">
        <v>0.42</v>
      </c>
      <c r="K25" s="64">
        <v>0.88</v>
      </c>
      <c r="L25" s="64">
        <v>22.93</v>
      </c>
      <c r="M25" s="64">
        <v>94.77</v>
      </c>
      <c r="N25" s="64">
        <v>17</v>
      </c>
      <c r="O25" s="64">
        <v>0</v>
      </c>
      <c r="P25" s="64">
        <v>0.24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7" t="s">
        <v>835</v>
      </c>
      <c r="B26" s="64">
        <v>8.17</v>
      </c>
      <c r="C26" s="64">
        <v>3.12</v>
      </c>
      <c r="D26" s="64">
        <v>11.95</v>
      </c>
      <c r="E26" s="64">
        <v>3.6</v>
      </c>
      <c r="F26" s="64">
        <v>3.77</v>
      </c>
      <c r="G26" s="64">
        <v>19.57</v>
      </c>
      <c r="H26" s="64">
        <v>5.99</v>
      </c>
      <c r="I26" s="64">
        <v>1.52</v>
      </c>
      <c r="J26" s="64">
        <v>0.51</v>
      </c>
      <c r="K26" s="64">
        <v>324.43</v>
      </c>
      <c r="L26" s="64">
        <v>22.88</v>
      </c>
      <c r="M26" s="64">
        <v>94.92</v>
      </c>
      <c r="N26" s="64">
        <v>17</v>
      </c>
      <c r="O26" s="64">
        <v>0</v>
      </c>
      <c r="P26" s="64">
        <v>0.23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7" t="s">
        <v>836</v>
      </c>
      <c r="B27" s="64">
        <v>8.18</v>
      </c>
      <c r="C27" s="64">
        <v>3.15</v>
      </c>
      <c r="D27" s="64">
        <v>11.98</v>
      </c>
      <c r="E27" s="64">
        <v>3.04</v>
      </c>
      <c r="F27" s="64">
        <v>4.03</v>
      </c>
      <c r="G27" s="64">
        <v>19.57</v>
      </c>
      <c r="H27" s="64">
        <v>5.99</v>
      </c>
      <c r="I27" s="64">
        <v>1.44</v>
      </c>
      <c r="J27" s="64">
        <v>0.43</v>
      </c>
      <c r="K27" s="64">
        <v>338.84</v>
      </c>
      <c r="L27" s="64">
        <v>22.79</v>
      </c>
      <c r="M27" s="64">
        <v>95.75</v>
      </c>
      <c r="N27" s="64">
        <v>17</v>
      </c>
      <c r="O27" s="64">
        <v>0</v>
      </c>
      <c r="P27" s="64">
        <v>0.24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7" t="s">
        <v>837</v>
      </c>
      <c r="B28" s="64">
        <v>8.2100000000000009</v>
      </c>
      <c r="C28" s="64">
        <v>3.12</v>
      </c>
      <c r="D28" s="64">
        <v>11.99</v>
      </c>
      <c r="E28" s="64">
        <v>3.05</v>
      </c>
      <c r="F28" s="64">
        <v>3.9</v>
      </c>
      <c r="G28" s="64">
        <v>16.920000000000002</v>
      </c>
      <c r="H28" s="64">
        <v>5.22</v>
      </c>
      <c r="I28" s="64">
        <v>1.42</v>
      </c>
      <c r="J28" s="64">
        <v>0.2</v>
      </c>
      <c r="K28" s="64">
        <v>332.96</v>
      </c>
      <c r="L28" s="64">
        <v>22.75</v>
      </c>
      <c r="M28" s="64">
        <v>96.42</v>
      </c>
      <c r="N28" s="64">
        <v>17</v>
      </c>
      <c r="O28" s="64">
        <v>0</v>
      </c>
      <c r="P28" s="64">
        <v>0.23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7" t="s">
        <v>838</v>
      </c>
      <c r="B29" s="64">
        <v>8.1999999999999993</v>
      </c>
      <c r="C29" s="64">
        <v>3.1</v>
      </c>
      <c r="D29" s="64">
        <v>11.97</v>
      </c>
      <c r="E29" s="64">
        <v>3.4</v>
      </c>
      <c r="F29" s="64">
        <v>3.82</v>
      </c>
      <c r="G29" s="64">
        <v>13.88</v>
      </c>
      <c r="H29" s="64">
        <v>4.38</v>
      </c>
      <c r="I29" s="64">
        <v>1.48</v>
      </c>
      <c r="J29" s="64">
        <v>0.41</v>
      </c>
      <c r="K29" s="64">
        <v>323.82</v>
      </c>
      <c r="L29" s="64">
        <v>22.73</v>
      </c>
      <c r="M29" s="64">
        <v>96.93</v>
      </c>
      <c r="N29" s="64">
        <v>17.399999999999999</v>
      </c>
      <c r="O29" s="64">
        <v>0</v>
      </c>
      <c r="P29" s="64">
        <v>0.23</v>
      </c>
      <c r="Q29" s="64">
        <v>9.16</v>
      </c>
      <c r="R29" s="198"/>
      <c r="S29" s="198"/>
      <c r="T29" s="198"/>
      <c r="U29" s="198"/>
    </row>
    <row r="30" spans="1:21" s="12" customFormat="1" x14ac:dyDescent="0.25">
      <c r="A30" s="217" t="s">
        <v>839</v>
      </c>
      <c r="B30" s="64">
        <v>8.18</v>
      </c>
      <c r="C30" s="64">
        <v>3.08</v>
      </c>
      <c r="D30" s="64">
        <v>11.94</v>
      </c>
      <c r="E30" s="64">
        <v>3.3</v>
      </c>
      <c r="F30" s="64">
        <v>3.72</v>
      </c>
      <c r="G30" s="64">
        <v>13.88</v>
      </c>
      <c r="H30" s="64">
        <v>4.38</v>
      </c>
      <c r="I30" s="64">
        <v>1.6</v>
      </c>
      <c r="J30" s="64">
        <v>0.39</v>
      </c>
      <c r="K30" s="64">
        <v>324.81</v>
      </c>
      <c r="L30" s="64">
        <v>22.77</v>
      </c>
      <c r="M30" s="64">
        <v>96.96</v>
      </c>
      <c r="N30" s="64">
        <v>20.100000000000001</v>
      </c>
      <c r="O30" s="64">
        <v>0</v>
      </c>
      <c r="P30" s="64">
        <v>0.23</v>
      </c>
      <c r="Q30" s="64">
        <v>9.17</v>
      </c>
      <c r="R30" s="198"/>
      <c r="S30" s="198"/>
      <c r="T30" s="198"/>
      <c r="U30" s="198"/>
    </row>
    <row r="31" spans="1:21" s="12" customFormat="1" x14ac:dyDescent="0.25">
      <c r="A31" s="217" t="s">
        <v>840</v>
      </c>
      <c r="B31" s="64">
        <v>8.1999999999999993</v>
      </c>
      <c r="C31" s="64">
        <v>3.09</v>
      </c>
      <c r="D31" s="64">
        <v>11.97</v>
      </c>
      <c r="E31" s="64">
        <v>3.4</v>
      </c>
      <c r="F31" s="64">
        <v>3.76</v>
      </c>
      <c r="G31" s="64">
        <v>13.88</v>
      </c>
      <c r="H31" s="64">
        <v>4.38</v>
      </c>
      <c r="I31" s="64">
        <v>1.71</v>
      </c>
      <c r="J31" s="64">
        <v>0.21</v>
      </c>
      <c r="K31" s="64">
        <v>318.25</v>
      </c>
      <c r="L31" s="64">
        <v>22.89</v>
      </c>
      <c r="M31" s="64">
        <v>96.8</v>
      </c>
      <c r="N31" s="64">
        <v>29.3</v>
      </c>
      <c r="O31" s="64">
        <v>0</v>
      </c>
      <c r="P31" s="64">
        <v>0.24</v>
      </c>
      <c r="Q31" s="64">
        <v>9.16</v>
      </c>
      <c r="R31" s="198"/>
      <c r="S31" s="198"/>
      <c r="T31" s="198"/>
      <c r="U31" s="198"/>
    </row>
    <row r="32" spans="1:21" s="12" customFormat="1" x14ac:dyDescent="0.25">
      <c r="A32" s="217" t="s">
        <v>841</v>
      </c>
      <c r="B32" s="64">
        <v>8.19</v>
      </c>
      <c r="C32" s="64">
        <v>3.11</v>
      </c>
      <c r="D32" s="64">
        <v>11.97</v>
      </c>
      <c r="E32" s="64">
        <v>3.27</v>
      </c>
      <c r="F32" s="64">
        <v>3.53</v>
      </c>
      <c r="G32" s="64">
        <v>17.649999999999999</v>
      </c>
      <c r="H32" s="64">
        <v>4.26</v>
      </c>
      <c r="I32" s="64">
        <v>1.79</v>
      </c>
      <c r="J32" s="64">
        <v>0.33</v>
      </c>
      <c r="K32" s="64">
        <v>355.97</v>
      </c>
      <c r="L32" s="64">
        <v>23.05</v>
      </c>
      <c r="M32" s="64">
        <v>95.9</v>
      </c>
      <c r="N32" s="64">
        <v>38.4</v>
      </c>
      <c r="O32" s="64">
        <v>0</v>
      </c>
      <c r="P32" s="64">
        <v>0.24</v>
      </c>
      <c r="Q32" s="64">
        <v>9.17</v>
      </c>
      <c r="R32" s="198"/>
      <c r="S32" s="198"/>
      <c r="T32" s="198"/>
      <c r="U32" s="198"/>
    </row>
    <row r="33" spans="1:21" s="12" customFormat="1" x14ac:dyDescent="0.25">
      <c r="A33" s="217" t="s">
        <v>842</v>
      </c>
      <c r="B33" s="64">
        <v>8.2100000000000009</v>
      </c>
      <c r="C33" s="64">
        <v>3.11</v>
      </c>
      <c r="D33" s="64">
        <v>11.98</v>
      </c>
      <c r="E33" s="64">
        <v>2.99</v>
      </c>
      <c r="F33" s="64">
        <v>3.86</v>
      </c>
      <c r="G33" s="64">
        <v>21.96</v>
      </c>
      <c r="H33" s="64">
        <v>4.12</v>
      </c>
      <c r="I33" s="64">
        <v>1.87</v>
      </c>
      <c r="J33" s="64">
        <v>0.54</v>
      </c>
      <c r="K33" s="64">
        <v>349.49</v>
      </c>
      <c r="L33" s="64">
        <v>22.99</v>
      </c>
      <c r="M33" s="64">
        <v>96.51</v>
      </c>
      <c r="N33" s="64">
        <v>52.3</v>
      </c>
      <c r="O33" s="64">
        <v>0</v>
      </c>
      <c r="P33" s="64">
        <v>0.25</v>
      </c>
      <c r="Q33" s="64">
        <v>9.2100000000000009</v>
      </c>
      <c r="R33" s="198"/>
      <c r="S33" s="198"/>
      <c r="T33" s="198"/>
      <c r="U33" s="198"/>
    </row>
    <row r="34" spans="1:21" s="12" customFormat="1" x14ac:dyDescent="0.25">
      <c r="A34" s="217" t="s">
        <v>843</v>
      </c>
      <c r="B34" s="64">
        <v>8.17</v>
      </c>
      <c r="C34" s="64">
        <v>3.07</v>
      </c>
      <c r="D34" s="64">
        <v>11.93</v>
      </c>
      <c r="E34" s="64">
        <v>3.51</v>
      </c>
      <c r="F34" s="64">
        <v>3.93</v>
      </c>
      <c r="G34" s="64">
        <v>21.96</v>
      </c>
      <c r="H34" s="64">
        <v>4.12</v>
      </c>
      <c r="I34" s="64">
        <v>1.95</v>
      </c>
      <c r="J34" s="64">
        <v>0.55000000000000004</v>
      </c>
      <c r="K34" s="64">
        <v>351.17</v>
      </c>
      <c r="L34" s="64">
        <v>23.17</v>
      </c>
      <c r="M34" s="64">
        <v>96.02</v>
      </c>
      <c r="N34" s="64">
        <v>72.400000000000006</v>
      </c>
      <c r="O34" s="64">
        <v>0</v>
      </c>
      <c r="P34" s="64">
        <v>0.26</v>
      </c>
      <c r="Q34" s="64">
        <v>9.2100000000000009</v>
      </c>
      <c r="R34" s="198"/>
      <c r="S34" s="198"/>
      <c r="T34" s="198"/>
      <c r="U34" s="198"/>
    </row>
    <row r="35" spans="1:21" s="12" customFormat="1" x14ac:dyDescent="0.25">
      <c r="A35" s="217" t="s">
        <v>844</v>
      </c>
      <c r="B35" s="64">
        <v>8.2200000000000006</v>
      </c>
      <c r="C35" s="64">
        <v>3.22</v>
      </c>
      <c r="D35" s="64">
        <v>12.04</v>
      </c>
      <c r="E35" s="64">
        <v>3.53</v>
      </c>
      <c r="F35" s="64">
        <v>3.48</v>
      </c>
      <c r="G35" s="64">
        <v>21.96</v>
      </c>
      <c r="H35" s="64">
        <v>4.12</v>
      </c>
      <c r="I35" s="64">
        <v>1.95</v>
      </c>
      <c r="J35" s="64">
        <v>0.43</v>
      </c>
      <c r="K35" s="64">
        <v>358.9</v>
      </c>
      <c r="L35" s="64">
        <v>23.46</v>
      </c>
      <c r="M35" s="64">
        <v>94.46</v>
      </c>
      <c r="N35" s="64">
        <v>88.6</v>
      </c>
      <c r="O35" s="64">
        <v>0</v>
      </c>
      <c r="P35" s="64">
        <v>0.26</v>
      </c>
      <c r="Q35" s="64">
        <v>9.2200000000000006</v>
      </c>
      <c r="R35" s="198"/>
      <c r="S35" s="198"/>
      <c r="T35" s="198"/>
      <c r="U35" s="198"/>
    </row>
    <row r="36" spans="1:21" s="12" customFormat="1" x14ac:dyDescent="0.25">
      <c r="A36" s="217" t="s">
        <v>845</v>
      </c>
      <c r="B36" s="64">
        <v>8.16</v>
      </c>
      <c r="C36" s="64">
        <v>3.13</v>
      </c>
      <c r="D36" s="64">
        <v>11.96</v>
      </c>
      <c r="E36" s="64">
        <v>2.95</v>
      </c>
      <c r="F36" s="64">
        <v>4.4800000000000004</v>
      </c>
      <c r="G36" s="64">
        <v>22.12</v>
      </c>
      <c r="H36" s="64">
        <v>4.4800000000000004</v>
      </c>
      <c r="I36" s="64">
        <v>1.89</v>
      </c>
      <c r="J36" s="64">
        <v>0.49</v>
      </c>
      <c r="K36" s="64">
        <v>349.07</v>
      </c>
      <c r="L36" s="64">
        <v>23.52</v>
      </c>
      <c r="M36" s="64">
        <v>94.07</v>
      </c>
      <c r="N36" s="64">
        <v>73.900000000000006</v>
      </c>
      <c r="O36" s="64">
        <v>0</v>
      </c>
      <c r="P36" s="64">
        <v>0.28000000000000003</v>
      </c>
      <c r="Q36" s="64">
        <v>9.2100000000000009</v>
      </c>
      <c r="R36" s="198"/>
      <c r="S36" s="198"/>
      <c r="T36" s="198"/>
      <c r="U36" s="198"/>
    </row>
    <row r="37" spans="1:21" s="12" customFormat="1" x14ac:dyDescent="0.25">
      <c r="A37" s="217" t="s">
        <v>846</v>
      </c>
      <c r="B37" s="64">
        <v>8.17</v>
      </c>
      <c r="C37" s="64">
        <v>3.13</v>
      </c>
      <c r="D37" s="64">
        <v>11.96</v>
      </c>
      <c r="E37" s="64">
        <v>3.49</v>
      </c>
      <c r="F37" s="64">
        <v>4.0999999999999996</v>
      </c>
      <c r="G37" s="64">
        <v>22.31</v>
      </c>
      <c r="H37" s="64">
        <v>4.88</v>
      </c>
      <c r="I37" s="64">
        <v>1.81</v>
      </c>
      <c r="J37" s="64">
        <v>0.55000000000000004</v>
      </c>
      <c r="K37" s="64">
        <v>358.63</v>
      </c>
      <c r="L37" s="64">
        <v>23.6</v>
      </c>
      <c r="M37" s="64">
        <v>93.56</v>
      </c>
      <c r="N37" s="64">
        <v>91.5</v>
      </c>
      <c r="O37" s="64">
        <v>0</v>
      </c>
      <c r="P37" s="64">
        <v>0.28000000000000003</v>
      </c>
      <c r="Q37" s="64">
        <v>9.19</v>
      </c>
      <c r="R37" s="198"/>
      <c r="S37" s="198"/>
      <c r="T37" s="198"/>
      <c r="U37" s="198"/>
    </row>
    <row r="38" spans="1:21" s="12" customFormat="1" x14ac:dyDescent="0.25">
      <c r="A38" s="217" t="s">
        <v>847</v>
      </c>
      <c r="B38" s="64">
        <v>8.17</v>
      </c>
      <c r="C38" s="64">
        <v>3.17</v>
      </c>
      <c r="D38" s="64">
        <v>11.98</v>
      </c>
      <c r="E38" s="64">
        <v>3.51</v>
      </c>
      <c r="F38" s="64">
        <v>3.75</v>
      </c>
      <c r="G38" s="64">
        <v>22.31</v>
      </c>
      <c r="H38" s="64">
        <v>4.88</v>
      </c>
      <c r="I38" s="64">
        <v>1.78</v>
      </c>
      <c r="J38" s="64">
        <v>0.46</v>
      </c>
      <c r="K38" s="64">
        <v>337.86</v>
      </c>
      <c r="L38" s="64">
        <v>23.66</v>
      </c>
      <c r="M38" s="64">
        <v>92.72</v>
      </c>
      <c r="N38" s="64">
        <v>155.6</v>
      </c>
      <c r="O38" s="64">
        <v>0</v>
      </c>
      <c r="P38" s="64">
        <v>0.28000000000000003</v>
      </c>
      <c r="Q38" s="64">
        <v>9.2100000000000009</v>
      </c>
      <c r="R38" s="198"/>
      <c r="S38" s="198"/>
      <c r="T38" s="198"/>
      <c r="U38" s="198"/>
    </row>
    <row r="39" spans="1:21" s="12" customFormat="1" x14ac:dyDescent="0.25">
      <c r="A39" s="217" t="s">
        <v>848</v>
      </c>
      <c r="B39" s="64">
        <v>8.18</v>
      </c>
      <c r="C39" s="64">
        <v>3.17</v>
      </c>
      <c r="D39" s="64">
        <v>11.99</v>
      </c>
      <c r="E39" s="64">
        <v>3.34</v>
      </c>
      <c r="F39" s="64">
        <v>4.5199999999999996</v>
      </c>
      <c r="G39" s="64">
        <v>22.31</v>
      </c>
      <c r="H39" s="64">
        <v>4.88</v>
      </c>
      <c r="I39" s="64">
        <v>1.73</v>
      </c>
      <c r="J39" s="64">
        <v>0.53</v>
      </c>
      <c r="K39" s="64">
        <v>2.2200000000000002</v>
      </c>
      <c r="L39" s="64">
        <v>24.06</v>
      </c>
      <c r="M39" s="64">
        <v>90.83</v>
      </c>
      <c r="N39" s="64">
        <v>194.5</v>
      </c>
      <c r="O39" s="64">
        <v>0</v>
      </c>
      <c r="P39" s="64">
        <v>0.28999999999999998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17" t="s">
        <v>849</v>
      </c>
      <c r="B40" s="64">
        <v>8.16</v>
      </c>
      <c r="C40" s="64">
        <v>3.13</v>
      </c>
      <c r="D40" s="64">
        <v>11.95</v>
      </c>
      <c r="E40" s="64">
        <v>3.57</v>
      </c>
      <c r="F40" s="64">
        <v>3.15</v>
      </c>
      <c r="G40" s="64">
        <v>23.09</v>
      </c>
      <c r="H40" s="64">
        <v>6.16</v>
      </c>
      <c r="I40" s="64">
        <v>1.65</v>
      </c>
      <c r="J40" s="64">
        <v>0.67</v>
      </c>
      <c r="K40" s="64">
        <v>356.9</v>
      </c>
      <c r="L40" s="64">
        <v>24.93</v>
      </c>
      <c r="M40" s="64">
        <v>86.54</v>
      </c>
      <c r="N40" s="64">
        <v>278.89999999999998</v>
      </c>
      <c r="O40" s="64">
        <v>0</v>
      </c>
      <c r="P40" s="64">
        <v>0.3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7" t="s">
        <v>850</v>
      </c>
      <c r="B41" s="64">
        <v>8.1300000000000008</v>
      </c>
      <c r="C41" s="64">
        <v>3.05</v>
      </c>
      <c r="D41" s="64">
        <v>11.89</v>
      </c>
      <c r="E41" s="64">
        <v>3.99</v>
      </c>
      <c r="F41" s="64">
        <v>4.6399999999999997</v>
      </c>
      <c r="G41" s="64">
        <v>23.99</v>
      </c>
      <c r="H41" s="64">
        <v>7.61</v>
      </c>
      <c r="I41" s="64">
        <v>1.63</v>
      </c>
      <c r="J41" s="64">
        <v>0.52</v>
      </c>
      <c r="K41" s="64">
        <v>0.68</v>
      </c>
      <c r="L41" s="64">
        <v>25.8</v>
      </c>
      <c r="M41" s="64">
        <v>82.93</v>
      </c>
      <c r="N41" s="64">
        <v>302.3</v>
      </c>
      <c r="O41" s="64">
        <v>0</v>
      </c>
      <c r="P41" s="64">
        <v>0.31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7" t="s">
        <v>851</v>
      </c>
      <c r="B42" s="64">
        <v>8.17</v>
      </c>
      <c r="C42" s="64">
        <v>3.13</v>
      </c>
      <c r="D42" s="64">
        <v>11.96</v>
      </c>
      <c r="E42" s="64">
        <v>3.91</v>
      </c>
      <c r="F42" s="64">
        <v>3.45</v>
      </c>
      <c r="G42" s="64">
        <v>23.99</v>
      </c>
      <c r="H42" s="64">
        <v>7.61</v>
      </c>
      <c r="I42" s="64">
        <v>1.48</v>
      </c>
      <c r="J42" s="64">
        <v>0.65</v>
      </c>
      <c r="K42" s="64">
        <v>6.37</v>
      </c>
      <c r="L42" s="64">
        <v>25.73</v>
      </c>
      <c r="M42" s="64">
        <v>83.85</v>
      </c>
      <c r="N42" s="64">
        <v>313</v>
      </c>
      <c r="O42" s="64">
        <v>0</v>
      </c>
      <c r="P42" s="64">
        <v>0.32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7" t="s">
        <v>852</v>
      </c>
      <c r="B43" s="64">
        <v>8.2200000000000006</v>
      </c>
      <c r="C43" s="64">
        <v>3.32</v>
      </c>
      <c r="D43" s="64">
        <v>12.1</v>
      </c>
      <c r="E43" s="64">
        <v>3.76</v>
      </c>
      <c r="F43" s="64">
        <v>3.86</v>
      </c>
      <c r="G43" s="64">
        <v>23.99</v>
      </c>
      <c r="H43" s="64">
        <v>7.61</v>
      </c>
      <c r="I43" s="64">
        <v>1.36</v>
      </c>
      <c r="J43" s="64">
        <v>0.62</v>
      </c>
      <c r="K43" s="64">
        <v>334.71</v>
      </c>
      <c r="L43" s="64">
        <v>25.7</v>
      </c>
      <c r="M43" s="64">
        <v>84.77</v>
      </c>
      <c r="N43" s="64">
        <v>315.8</v>
      </c>
      <c r="O43" s="64">
        <v>0</v>
      </c>
      <c r="P43" s="64">
        <v>0.32</v>
      </c>
      <c r="Q43" s="64">
        <v>9.1999999999999993</v>
      </c>
      <c r="R43" s="198"/>
      <c r="S43" s="198"/>
      <c r="T43" s="198"/>
      <c r="U43" s="198"/>
    </row>
    <row r="44" spans="1:21" s="12" customFormat="1" x14ac:dyDescent="0.25">
      <c r="A44" s="217" t="s">
        <v>853</v>
      </c>
      <c r="B44" s="64">
        <v>8.1999999999999993</v>
      </c>
      <c r="C44" s="64">
        <v>3.24</v>
      </c>
      <c r="D44" s="64">
        <v>12.04</v>
      </c>
      <c r="E44" s="64">
        <v>3.88</v>
      </c>
      <c r="F44" s="64">
        <v>3.99</v>
      </c>
      <c r="G44" s="64">
        <v>23.24</v>
      </c>
      <c r="H44" s="64">
        <v>6.7</v>
      </c>
      <c r="I44" s="64">
        <v>1.41</v>
      </c>
      <c r="J44" s="64">
        <v>0.66</v>
      </c>
      <c r="K44" s="64">
        <v>323.25</v>
      </c>
      <c r="L44" s="64">
        <v>26.29</v>
      </c>
      <c r="M44" s="64">
        <v>82.5</v>
      </c>
      <c r="N44" s="64">
        <v>303.7</v>
      </c>
      <c r="O44" s="64">
        <v>0</v>
      </c>
      <c r="P44" s="64">
        <v>0.33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17" t="s">
        <v>854</v>
      </c>
      <c r="B45" s="64">
        <v>8.2100000000000009</v>
      </c>
      <c r="C45" s="64">
        <v>3.22</v>
      </c>
      <c r="D45" s="64">
        <v>12.04</v>
      </c>
      <c r="E45" s="64">
        <v>3.69</v>
      </c>
      <c r="F45" s="64">
        <v>4.03</v>
      </c>
      <c r="G45" s="64">
        <v>22.39</v>
      </c>
      <c r="H45" s="64">
        <v>5.65</v>
      </c>
      <c r="I45" s="64">
        <v>1.31</v>
      </c>
      <c r="J45" s="64">
        <v>0.63</v>
      </c>
      <c r="K45" s="64">
        <v>341.89</v>
      </c>
      <c r="L45" s="64">
        <v>25.78</v>
      </c>
      <c r="M45" s="64">
        <v>82.74</v>
      </c>
      <c r="N45" s="64">
        <v>215.1</v>
      </c>
      <c r="O45" s="64">
        <v>0</v>
      </c>
      <c r="P45" s="64">
        <v>0.33</v>
      </c>
      <c r="Q45" s="64">
        <v>9.1999999999999993</v>
      </c>
      <c r="R45" s="198"/>
      <c r="S45" s="198"/>
      <c r="T45" s="198"/>
      <c r="U45" s="198"/>
    </row>
    <row r="46" spans="1:21" s="12" customFormat="1" x14ac:dyDescent="0.25">
      <c r="A46" s="217" t="s">
        <v>855</v>
      </c>
      <c r="B46" s="64">
        <v>8.2200000000000006</v>
      </c>
      <c r="C46" s="64">
        <v>3.19</v>
      </c>
      <c r="D46" s="64">
        <v>12.03</v>
      </c>
      <c r="E46" s="64">
        <v>3.79</v>
      </c>
      <c r="F46" s="64">
        <v>3.89</v>
      </c>
      <c r="G46" s="64">
        <v>22.39</v>
      </c>
      <c r="H46" s="64">
        <v>5.65</v>
      </c>
      <c r="I46" s="64">
        <v>1.2</v>
      </c>
      <c r="J46" s="64">
        <v>0.44</v>
      </c>
      <c r="K46" s="64">
        <v>327.14999999999998</v>
      </c>
      <c r="L46" s="64">
        <v>25.57</v>
      </c>
      <c r="M46" s="64">
        <v>83.42</v>
      </c>
      <c r="N46" s="64">
        <v>130.1</v>
      </c>
      <c r="O46" s="64">
        <v>0</v>
      </c>
      <c r="P46" s="64">
        <v>0.33</v>
      </c>
      <c r="Q46" s="64">
        <v>9.17</v>
      </c>
      <c r="R46" s="198"/>
      <c r="S46" s="198"/>
      <c r="T46" s="198"/>
      <c r="U46" s="198"/>
    </row>
    <row r="47" spans="1:21" s="12" customFormat="1" x14ac:dyDescent="0.25">
      <c r="A47" s="217" t="s">
        <v>856</v>
      </c>
      <c r="B47" s="64">
        <v>8.18</v>
      </c>
      <c r="C47" s="64">
        <v>3.08</v>
      </c>
      <c r="D47" s="64">
        <v>11.95</v>
      </c>
      <c r="E47" s="64">
        <v>3.65</v>
      </c>
      <c r="F47" s="64">
        <v>3.68</v>
      </c>
      <c r="G47" s="64">
        <v>22.39</v>
      </c>
      <c r="H47" s="64">
        <v>5.65</v>
      </c>
      <c r="I47" s="64">
        <v>1.21</v>
      </c>
      <c r="J47" s="64">
        <v>0.57999999999999996</v>
      </c>
      <c r="K47" s="64">
        <v>349.17</v>
      </c>
      <c r="L47" s="64">
        <v>25.23</v>
      </c>
      <c r="M47" s="64">
        <v>84.13</v>
      </c>
      <c r="N47" s="64">
        <v>155.30000000000001</v>
      </c>
      <c r="O47" s="64">
        <v>0</v>
      </c>
      <c r="P47" s="64">
        <v>0.36</v>
      </c>
      <c r="Q47" s="64">
        <v>9.16</v>
      </c>
      <c r="R47" s="198"/>
      <c r="S47" s="198"/>
      <c r="T47" s="198"/>
      <c r="U47" s="198"/>
    </row>
    <row r="48" spans="1:21" s="12" customFormat="1" x14ac:dyDescent="0.25">
      <c r="A48" s="217" t="s">
        <v>857</v>
      </c>
      <c r="B48" s="64">
        <v>8.19</v>
      </c>
      <c r="C48" s="64">
        <v>3.15</v>
      </c>
      <c r="D48" s="64">
        <v>11.98</v>
      </c>
      <c r="E48" s="64">
        <v>3.61</v>
      </c>
      <c r="F48" s="64">
        <v>3.95</v>
      </c>
      <c r="G48" s="64">
        <v>22.31</v>
      </c>
      <c r="H48" s="64">
        <v>4.87</v>
      </c>
      <c r="I48" s="64">
        <v>1.27</v>
      </c>
      <c r="J48" s="64">
        <v>0.49</v>
      </c>
      <c r="K48" s="64">
        <v>339.73</v>
      </c>
      <c r="L48" s="64">
        <v>25.34</v>
      </c>
      <c r="M48" s="64">
        <v>83.92</v>
      </c>
      <c r="N48" s="64">
        <v>167.3</v>
      </c>
      <c r="O48" s="64">
        <v>0</v>
      </c>
      <c r="P48" s="64">
        <v>0.37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7" t="s">
        <v>858</v>
      </c>
      <c r="B49" s="64">
        <v>8.18</v>
      </c>
      <c r="C49" s="64">
        <v>3.14</v>
      </c>
      <c r="D49" s="64">
        <v>11.98</v>
      </c>
      <c r="E49" s="64">
        <v>3.76</v>
      </c>
      <c r="F49" s="64">
        <v>3.8</v>
      </c>
      <c r="G49" s="64">
        <v>22.23</v>
      </c>
      <c r="H49" s="64">
        <v>3.98</v>
      </c>
      <c r="I49" s="64">
        <v>1.34</v>
      </c>
      <c r="J49" s="64">
        <v>0.53</v>
      </c>
      <c r="K49" s="64">
        <v>322.51</v>
      </c>
      <c r="L49" s="64">
        <v>25.69</v>
      </c>
      <c r="M49" s="64">
        <v>83.79</v>
      </c>
      <c r="N49" s="64">
        <v>143.4</v>
      </c>
      <c r="O49" s="64">
        <v>0</v>
      </c>
      <c r="P49" s="64">
        <v>0.37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7" t="s">
        <v>859</v>
      </c>
      <c r="B50" s="64">
        <v>8.1999999999999993</v>
      </c>
      <c r="C50" s="64">
        <v>3.16</v>
      </c>
      <c r="D50" s="64">
        <v>12</v>
      </c>
      <c r="E50" s="64">
        <v>4.16</v>
      </c>
      <c r="F50" s="64">
        <v>3.66</v>
      </c>
      <c r="G50" s="64">
        <v>22.23</v>
      </c>
      <c r="H50" s="64">
        <v>3.98</v>
      </c>
      <c r="I50" s="64">
        <v>1.44</v>
      </c>
      <c r="J50" s="64">
        <v>0.46</v>
      </c>
      <c r="K50" s="64">
        <v>322.12</v>
      </c>
      <c r="L50" s="64">
        <v>26</v>
      </c>
      <c r="M50" s="64">
        <v>82.19</v>
      </c>
      <c r="N50" s="64">
        <v>182.3</v>
      </c>
      <c r="O50" s="64">
        <v>0</v>
      </c>
      <c r="P50" s="64">
        <v>0.38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7" t="s">
        <v>860</v>
      </c>
      <c r="B51" s="64">
        <v>8.18</v>
      </c>
      <c r="C51" s="64">
        <v>3.12</v>
      </c>
      <c r="D51" s="64">
        <v>11.97</v>
      </c>
      <c r="E51" s="64">
        <v>4.12</v>
      </c>
      <c r="F51" s="64">
        <v>4.1399999999999997</v>
      </c>
      <c r="G51" s="64">
        <v>22.23</v>
      </c>
      <c r="H51" s="64">
        <v>3.98</v>
      </c>
      <c r="I51" s="64">
        <v>1.52</v>
      </c>
      <c r="J51" s="64">
        <v>0.49</v>
      </c>
      <c r="K51" s="64">
        <v>304.89</v>
      </c>
      <c r="L51" s="64">
        <v>26.24</v>
      </c>
      <c r="M51" s="64">
        <v>80.45</v>
      </c>
      <c r="N51" s="64">
        <v>203.4</v>
      </c>
      <c r="O51" s="64">
        <v>0</v>
      </c>
      <c r="P51" s="64">
        <v>0.41</v>
      </c>
      <c r="Q51" s="64">
        <v>9.1999999999999993</v>
      </c>
      <c r="R51" s="198"/>
      <c r="S51" s="198"/>
      <c r="T51" s="198"/>
      <c r="U51" s="198"/>
    </row>
    <row r="52" spans="1:21" s="12" customFormat="1" x14ac:dyDescent="0.25">
      <c r="A52" s="217" t="s">
        <v>861</v>
      </c>
      <c r="B52" s="64">
        <v>8.1999999999999993</v>
      </c>
      <c r="C52" s="64">
        <v>3.17</v>
      </c>
      <c r="D52" s="64">
        <v>12.01</v>
      </c>
      <c r="E52" s="64">
        <v>3.97</v>
      </c>
      <c r="F52" s="64">
        <v>4.82</v>
      </c>
      <c r="G52" s="64">
        <v>27.68</v>
      </c>
      <c r="H52" s="64">
        <v>6.75</v>
      </c>
      <c r="I52" s="64">
        <v>1.62</v>
      </c>
      <c r="J52" s="64">
        <v>0.45</v>
      </c>
      <c r="K52" s="64">
        <v>336.79</v>
      </c>
      <c r="L52" s="64">
        <v>25.72</v>
      </c>
      <c r="M52" s="64">
        <v>82.92</v>
      </c>
      <c r="N52" s="64">
        <v>238.3</v>
      </c>
      <c r="O52" s="64">
        <v>0</v>
      </c>
      <c r="P52" s="64">
        <v>0.44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17" t="s">
        <v>862</v>
      </c>
      <c r="B53" s="64">
        <v>8.15</v>
      </c>
      <c r="C53" s="64">
        <v>3.11</v>
      </c>
      <c r="D53" s="64">
        <v>11.93</v>
      </c>
      <c r="E53" s="64">
        <v>4.1900000000000004</v>
      </c>
      <c r="F53" s="64">
        <v>3.47</v>
      </c>
      <c r="G53" s="64">
        <v>33.909999999999997</v>
      </c>
      <c r="H53" s="64">
        <v>9.7799999999999994</v>
      </c>
      <c r="I53" s="64">
        <v>1.72</v>
      </c>
      <c r="J53" s="64">
        <v>0.37</v>
      </c>
      <c r="K53" s="64">
        <v>307.93</v>
      </c>
      <c r="L53" s="64">
        <v>26.61</v>
      </c>
      <c r="M53" s="64">
        <v>79.67</v>
      </c>
      <c r="N53" s="64">
        <v>197.2</v>
      </c>
      <c r="O53" s="64">
        <v>0</v>
      </c>
      <c r="P53" s="64">
        <v>0.45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17" t="s">
        <v>863</v>
      </c>
      <c r="B54" s="64">
        <v>8.1999999999999993</v>
      </c>
      <c r="C54" s="64">
        <v>3.23</v>
      </c>
      <c r="D54" s="64">
        <v>12.04</v>
      </c>
      <c r="E54" s="64">
        <v>4.04</v>
      </c>
      <c r="F54" s="64">
        <v>3.43</v>
      </c>
      <c r="G54" s="64">
        <v>33.909999999999997</v>
      </c>
      <c r="H54" s="64">
        <v>9.7799999999999994</v>
      </c>
      <c r="I54" s="64">
        <v>1.81</v>
      </c>
      <c r="J54" s="64">
        <v>0.6</v>
      </c>
      <c r="K54" s="64">
        <v>314.88</v>
      </c>
      <c r="L54" s="64">
        <v>27.05</v>
      </c>
      <c r="M54" s="64">
        <v>79.430000000000007</v>
      </c>
      <c r="N54" s="64">
        <v>265.8</v>
      </c>
      <c r="O54" s="64">
        <v>0</v>
      </c>
      <c r="P54" s="64">
        <v>0.47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17" t="s">
        <v>864</v>
      </c>
      <c r="B55" s="64">
        <v>8.35</v>
      </c>
      <c r="C55" s="64">
        <v>3.59</v>
      </c>
      <c r="D55" s="64">
        <v>12.34</v>
      </c>
      <c r="E55" s="64">
        <v>4.22</v>
      </c>
      <c r="F55" s="64">
        <v>4.1100000000000003</v>
      </c>
      <c r="G55" s="64">
        <v>33.909999999999997</v>
      </c>
      <c r="H55" s="64">
        <v>9.7799999999999994</v>
      </c>
      <c r="I55" s="64">
        <v>1.91</v>
      </c>
      <c r="J55" s="64">
        <v>0.81</v>
      </c>
      <c r="K55" s="64">
        <v>310.66000000000003</v>
      </c>
      <c r="L55" s="64">
        <v>28.26</v>
      </c>
      <c r="M55" s="64">
        <v>73.89</v>
      </c>
      <c r="N55" s="64">
        <v>280.3</v>
      </c>
      <c r="O55" s="64">
        <v>0</v>
      </c>
      <c r="P55" s="64">
        <v>0.5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7" t="s">
        <v>865</v>
      </c>
      <c r="B56" s="64">
        <v>8.25</v>
      </c>
      <c r="C56" s="64">
        <v>3.35</v>
      </c>
      <c r="D56" s="64">
        <v>12.14</v>
      </c>
      <c r="E56" s="64">
        <v>4.2300000000000004</v>
      </c>
      <c r="F56" s="64">
        <v>3.27</v>
      </c>
      <c r="G56" s="64">
        <v>36.520000000000003</v>
      </c>
      <c r="H56" s="64">
        <v>11.24</v>
      </c>
      <c r="I56" s="64">
        <v>2.04</v>
      </c>
      <c r="J56" s="64">
        <v>0.64</v>
      </c>
      <c r="K56" s="64">
        <v>314.33</v>
      </c>
      <c r="L56" s="64">
        <v>28.24</v>
      </c>
      <c r="M56" s="64">
        <v>72.97</v>
      </c>
      <c r="N56" s="64">
        <v>260.89999999999998</v>
      </c>
      <c r="O56" s="64">
        <v>0</v>
      </c>
      <c r="P56" s="64">
        <v>0.51</v>
      </c>
      <c r="Q56" s="64">
        <v>9.2799999999999994</v>
      </c>
      <c r="R56" s="198"/>
      <c r="S56" s="198"/>
      <c r="T56" s="198"/>
      <c r="U56" s="198"/>
    </row>
    <row r="57" spans="1:21" s="12" customFormat="1" x14ac:dyDescent="0.25">
      <c r="A57" s="217" t="s">
        <v>866</v>
      </c>
      <c r="B57" s="64">
        <v>8.18</v>
      </c>
      <c r="C57" s="64">
        <v>3.13</v>
      </c>
      <c r="D57" s="64">
        <v>11.97</v>
      </c>
      <c r="E57" s="64">
        <v>4.38</v>
      </c>
      <c r="F57" s="64">
        <v>3.34</v>
      </c>
      <c r="G57" s="64">
        <v>39.51</v>
      </c>
      <c r="H57" s="64">
        <v>12.91</v>
      </c>
      <c r="I57" s="64">
        <v>2.14</v>
      </c>
      <c r="J57" s="64">
        <v>0.81</v>
      </c>
      <c r="K57" s="64">
        <v>333.1</v>
      </c>
      <c r="L57" s="64">
        <v>28.7</v>
      </c>
      <c r="M57" s="64">
        <v>71.08</v>
      </c>
      <c r="N57" s="64">
        <v>313.10000000000002</v>
      </c>
      <c r="O57" s="64">
        <v>0</v>
      </c>
      <c r="P57" s="64">
        <v>0.53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7" t="s">
        <v>867</v>
      </c>
      <c r="B58" s="64">
        <v>8.17</v>
      </c>
      <c r="C58" s="64">
        <v>3.09</v>
      </c>
      <c r="D58" s="64">
        <v>11.94</v>
      </c>
      <c r="E58" s="64">
        <v>4.3</v>
      </c>
      <c r="F58" s="64">
        <v>4.34</v>
      </c>
      <c r="G58" s="64">
        <v>39.51</v>
      </c>
      <c r="H58" s="64">
        <v>12.91</v>
      </c>
      <c r="I58" s="64">
        <v>2.2200000000000002</v>
      </c>
      <c r="J58" s="64">
        <v>1.23</v>
      </c>
      <c r="K58" s="64">
        <v>335.71</v>
      </c>
      <c r="L58" s="64">
        <v>29.5</v>
      </c>
      <c r="M58" s="64">
        <v>68.680000000000007</v>
      </c>
      <c r="N58" s="64">
        <v>380.5</v>
      </c>
      <c r="O58" s="64">
        <v>0</v>
      </c>
      <c r="P58" s="64">
        <v>0.54</v>
      </c>
      <c r="Q58" s="64">
        <v>9.25</v>
      </c>
      <c r="R58" s="198"/>
      <c r="S58" s="198"/>
      <c r="T58" s="198"/>
      <c r="U58" s="198"/>
    </row>
    <row r="59" spans="1:21" s="12" customFormat="1" x14ac:dyDescent="0.25">
      <c r="A59" s="217" t="s">
        <v>868</v>
      </c>
      <c r="B59" s="64">
        <v>8.15</v>
      </c>
      <c r="C59" s="64">
        <v>3.08</v>
      </c>
      <c r="D59" s="64">
        <v>11.92</v>
      </c>
      <c r="E59" s="64">
        <v>4.3499999999999996</v>
      </c>
      <c r="F59" s="64">
        <v>3.33</v>
      </c>
      <c r="G59" s="64">
        <v>39.51</v>
      </c>
      <c r="H59" s="64">
        <v>12.91</v>
      </c>
      <c r="I59" s="64">
        <v>2.36</v>
      </c>
      <c r="J59" s="64">
        <v>1.38</v>
      </c>
      <c r="K59" s="64">
        <v>346.16</v>
      </c>
      <c r="L59" s="64">
        <v>30.48</v>
      </c>
      <c r="M59" s="64">
        <v>64.41</v>
      </c>
      <c r="N59" s="64">
        <v>570</v>
      </c>
      <c r="O59" s="64">
        <v>0</v>
      </c>
      <c r="P59" s="64">
        <v>0.56000000000000005</v>
      </c>
      <c r="Q59" s="64">
        <v>9.2899999999999991</v>
      </c>
      <c r="R59" s="198"/>
      <c r="S59" s="198"/>
      <c r="T59" s="198"/>
      <c r="U59" s="198"/>
    </row>
    <row r="60" spans="1:21" s="12" customFormat="1" x14ac:dyDescent="0.25">
      <c r="A60" s="217" t="s">
        <v>869</v>
      </c>
      <c r="B60" s="64">
        <v>8.17</v>
      </c>
      <c r="C60" s="64">
        <v>3.19</v>
      </c>
      <c r="D60" s="64">
        <v>12</v>
      </c>
      <c r="E60" s="64">
        <v>4.6100000000000003</v>
      </c>
      <c r="F60" s="64">
        <v>3.42</v>
      </c>
      <c r="G60" s="64">
        <v>43</v>
      </c>
      <c r="H60" s="64">
        <v>13.72</v>
      </c>
      <c r="I60" s="64">
        <v>2.4900000000000002</v>
      </c>
      <c r="J60" s="64">
        <v>0.37</v>
      </c>
      <c r="K60" s="64">
        <v>343.6</v>
      </c>
      <c r="L60" s="64">
        <v>30.24</v>
      </c>
      <c r="M60" s="64">
        <v>65.56</v>
      </c>
      <c r="N60" s="64">
        <v>528.29999999999995</v>
      </c>
      <c r="O60" s="64">
        <v>0</v>
      </c>
      <c r="P60" s="64">
        <v>0.56000000000000005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7" t="s">
        <v>870</v>
      </c>
      <c r="B61" s="64">
        <v>8.19</v>
      </c>
      <c r="C61" s="64">
        <v>3.23</v>
      </c>
      <c r="D61" s="64">
        <v>12.03</v>
      </c>
      <c r="E61" s="64">
        <v>4.4000000000000004</v>
      </c>
      <c r="F61" s="64">
        <v>4.03</v>
      </c>
      <c r="G61" s="64">
        <v>46.99</v>
      </c>
      <c r="H61" s="64">
        <v>14.62</v>
      </c>
      <c r="I61" s="64">
        <v>2.68</v>
      </c>
      <c r="J61" s="64">
        <v>0.05</v>
      </c>
      <c r="K61" s="64">
        <v>194.11</v>
      </c>
      <c r="L61" s="64">
        <v>29.73</v>
      </c>
      <c r="M61" s="64">
        <v>67.430000000000007</v>
      </c>
      <c r="N61" s="64">
        <v>408.1</v>
      </c>
      <c r="O61" s="64">
        <v>0</v>
      </c>
      <c r="P61" s="64">
        <v>0.5</v>
      </c>
      <c r="Q61" s="64">
        <v>9.25</v>
      </c>
      <c r="R61" s="198"/>
      <c r="S61" s="198"/>
      <c r="T61" s="198"/>
      <c r="U61" s="198"/>
    </row>
    <row r="62" spans="1:21" s="12" customFormat="1" x14ac:dyDescent="0.25">
      <c r="A62" s="217" t="s">
        <v>871</v>
      </c>
      <c r="B62" s="64">
        <v>8.23</v>
      </c>
      <c r="C62" s="64">
        <v>3.33</v>
      </c>
      <c r="D62" s="64">
        <v>12.12</v>
      </c>
      <c r="E62" s="64">
        <v>4.45</v>
      </c>
      <c r="F62" s="64">
        <v>3.62</v>
      </c>
      <c r="G62" s="64">
        <v>46.99</v>
      </c>
      <c r="H62" s="64">
        <v>14.62</v>
      </c>
      <c r="I62" s="64">
        <v>2.9</v>
      </c>
      <c r="J62" s="64">
        <v>0.19</v>
      </c>
      <c r="K62" s="64">
        <v>38.71</v>
      </c>
      <c r="L62" s="64">
        <v>28.71</v>
      </c>
      <c r="M62" s="64">
        <v>70.88</v>
      </c>
      <c r="N62" s="64">
        <v>374.2</v>
      </c>
      <c r="O62" s="64">
        <v>0</v>
      </c>
      <c r="P62" s="64">
        <v>0.52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7" t="s">
        <v>872</v>
      </c>
      <c r="B63" s="64">
        <v>8.2100000000000009</v>
      </c>
      <c r="C63" s="64">
        <v>3.27</v>
      </c>
      <c r="D63" s="64">
        <v>12.06</v>
      </c>
      <c r="E63" s="64">
        <v>4.96</v>
      </c>
      <c r="F63" s="64">
        <v>3.6</v>
      </c>
      <c r="G63" s="64">
        <v>46.99</v>
      </c>
      <c r="H63" s="64">
        <v>14.62</v>
      </c>
      <c r="I63" s="64">
        <v>3.06</v>
      </c>
      <c r="J63" s="64">
        <v>0.38</v>
      </c>
      <c r="K63" s="64">
        <v>332.13</v>
      </c>
      <c r="L63" s="64">
        <v>28.72</v>
      </c>
      <c r="M63" s="64">
        <v>70.48</v>
      </c>
      <c r="N63" s="64">
        <v>294.60000000000002</v>
      </c>
      <c r="O63" s="64">
        <v>0</v>
      </c>
      <c r="P63" s="64">
        <v>0.5</v>
      </c>
      <c r="Q63" s="64">
        <v>9.2799999999999994</v>
      </c>
      <c r="R63" s="198"/>
      <c r="S63" s="198"/>
      <c r="T63" s="198"/>
      <c r="U63" s="198"/>
    </row>
    <row r="64" spans="1:21" s="12" customFormat="1" x14ac:dyDescent="0.25">
      <c r="A64" s="217" t="s">
        <v>873</v>
      </c>
      <c r="B64" s="64">
        <v>8.24</v>
      </c>
      <c r="C64" s="64">
        <v>3.32</v>
      </c>
      <c r="D64" s="64">
        <v>12.12</v>
      </c>
      <c r="E64" s="64">
        <v>4.47</v>
      </c>
      <c r="F64" s="64">
        <v>4.5599999999999996</v>
      </c>
      <c r="G64" s="64">
        <v>47.5</v>
      </c>
      <c r="H64" s="64">
        <v>15.57</v>
      </c>
      <c r="I64" s="64">
        <v>3.45</v>
      </c>
      <c r="J64" s="64">
        <v>0.56999999999999995</v>
      </c>
      <c r="K64" s="64">
        <v>0.52</v>
      </c>
      <c r="L64" s="64">
        <v>26.24</v>
      </c>
      <c r="M64" s="64">
        <v>83.93</v>
      </c>
      <c r="N64" s="64">
        <v>168.9</v>
      </c>
      <c r="O64" s="64">
        <v>0</v>
      </c>
      <c r="P64" s="64">
        <v>0.49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7" t="s">
        <v>874</v>
      </c>
      <c r="B65" s="64">
        <v>8.2100000000000009</v>
      </c>
      <c r="C65" s="64">
        <v>3.23</v>
      </c>
      <c r="D65" s="64">
        <v>12.04</v>
      </c>
      <c r="E65" s="64">
        <v>4.76</v>
      </c>
      <c r="F65" s="64">
        <v>4.03</v>
      </c>
      <c r="G65" s="64">
        <v>48.07</v>
      </c>
      <c r="H65" s="64">
        <v>16.66</v>
      </c>
      <c r="I65" s="64">
        <v>3.66</v>
      </c>
      <c r="J65" s="64">
        <v>0.46</v>
      </c>
      <c r="K65" s="64">
        <v>349.7</v>
      </c>
      <c r="L65" s="64">
        <v>25.25</v>
      </c>
      <c r="M65" s="64">
        <v>89.82</v>
      </c>
      <c r="N65" s="64">
        <v>105.4</v>
      </c>
      <c r="O65" s="64">
        <v>0</v>
      </c>
      <c r="P65" s="64">
        <v>0.46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7" t="s">
        <v>875</v>
      </c>
      <c r="B66" s="64">
        <v>8.2100000000000009</v>
      </c>
      <c r="C66" s="64">
        <v>3.21</v>
      </c>
      <c r="D66" s="64">
        <v>12.04</v>
      </c>
      <c r="E66" s="64">
        <v>4.1900000000000004</v>
      </c>
      <c r="F66" s="64">
        <v>4.21</v>
      </c>
      <c r="G66" s="64">
        <v>48.07</v>
      </c>
      <c r="H66" s="64">
        <v>16.66</v>
      </c>
      <c r="I66" s="64">
        <v>3.42</v>
      </c>
      <c r="J66" s="64">
        <v>0.37</v>
      </c>
      <c r="K66" s="64">
        <v>339.12</v>
      </c>
      <c r="L66" s="64">
        <v>24.86</v>
      </c>
      <c r="M66" s="64">
        <v>93.45</v>
      </c>
      <c r="N66" s="64">
        <v>90.4</v>
      </c>
      <c r="O66" s="64">
        <v>0</v>
      </c>
      <c r="P66" s="64">
        <v>0.46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17" t="s">
        <v>876</v>
      </c>
      <c r="B67" s="64">
        <v>8.1999999999999993</v>
      </c>
      <c r="C67" s="64">
        <v>3.15</v>
      </c>
      <c r="D67" s="64">
        <v>11.99</v>
      </c>
      <c r="E67" s="64">
        <v>4.38</v>
      </c>
      <c r="F67" s="64">
        <v>4.03</v>
      </c>
      <c r="G67" s="64">
        <v>48.07</v>
      </c>
      <c r="H67" s="64">
        <v>16.66</v>
      </c>
      <c r="I67" s="64">
        <v>3.14</v>
      </c>
      <c r="J67" s="64">
        <v>0.28000000000000003</v>
      </c>
      <c r="K67" s="64">
        <v>328.33</v>
      </c>
      <c r="L67" s="64">
        <v>24.31</v>
      </c>
      <c r="M67" s="64">
        <v>97.24</v>
      </c>
      <c r="N67" s="64">
        <v>84.5</v>
      </c>
      <c r="O67" s="64">
        <v>0</v>
      </c>
      <c r="P67" s="64">
        <v>0.45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7" t="s">
        <v>877</v>
      </c>
      <c r="B68" s="64">
        <v>8.19</v>
      </c>
      <c r="C68" s="64">
        <v>3.17</v>
      </c>
      <c r="D68" s="64">
        <v>11.99</v>
      </c>
      <c r="E68" s="64">
        <v>4.55</v>
      </c>
      <c r="F68" s="64">
        <v>4.1500000000000004</v>
      </c>
      <c r="G68" s="64">
        <v>45.14</v>
      </c>
      <c r="H68" s="64">
        <v>15.8</v>
      </c>
      <c r="I68" s="64">
        <v>3</v>
      </c>
      <c r="J68" s="64">
        <v>0.45</v>
      </c>
      <c r="K68" s="64">
        <v>345.54</v>
      </c>
      <c r="L68" s="64">
        <v>23.76</v>
      </c>
      <c r="M68" s="64">
        <v>98.33</v>
      </c>
      <c r="N68" s="64">
        <v>87.4</v>
      </c>
      <c r="O68" s="64">
        <v>0.2</v>
      </c>
      <c r="P68" s="64">
        <v>0.42</v>
      </c>
      <c r="Q68" s="64">
        <v>9.1999999999999993</v>
      </c>
      <c r="R68" s="198"/>
      <c r="S68" s="198"/>
      <c r="T68" s="198"/>
      <c r="U68" s="198"/>
    </row>
    <row r="69" spans="1:21" s="12" customFormat="1" x14ac:dyDescent="0.25">
      <c r="A69" s="217" t="s">
        <v>878</v>
      </c>
      <c r="B69" s="64">
        <v>8.16</v>
      </c>
      <c r="C69" s="64">
        <v>3.06</v>
      </c>
      <c r="D69" s="64">
        <v>11.92</v>
      </c>
      <c r="E69" s="64">
        <v>4.37</v>
      </c>
      <c r="F69" s="64">
        <v>4.08</v>
      </c>
      <c r="G69" s="64">
        <v>41.79</v>
      </c>
      <c r="H69" s="64">
        <v>14.86</v>
      </c>
      <c r="I69" s="64">
        <v>2.77</v>
      </c>
      <c r="J69" s="64">
        <v>0.44</v>
      </c>
      <c r="K69" s="64">
        <v>351.59</v>
      </c>
      <c r="L69" s="64">
        <v>23.79</v>
      </c>
      <c r="M69" s="64">
        <v>98.34</v>
      </c>
      <c r="N69" s="64">
        <v>107.7</v>
      </c>
      <c r="O69" s="64">
        <v>0</v>
      </c>
      <c r="P69" s="64">
        <v>0.41</v>
      </c>
      <c r="Q69" s="64">
        <v>9.2100000000000009</v>
      </c>
      <c r="R69" s="198"/>
      <c r="S69" s="198"/>
      <c r="T69" s="198"/>
      <c r="U69" s="198"/>
    </row>
    <row r="70" spans="1:21" s="12" customFormat="1" x14ac:dyDescent="0.25">
      <c r="A70" s="217" t="s">
        <v>879</v>
      </c>
      <c r="B70" s="64">
        <v>8.18</v>
      </c>
      <c r="C70" s="64">
        <v>3.14</v>
      </c>
      <c r="D70" s="64">
        <v>11.97</v>
      </c>
      <c r="E70" s="64">
        <v>4.51</v>
      </c>
      <c r="F70" s="64">
        <v>4.66</v>
      </c>
      <c r="G70" s="64">
        <v>41.79</v>
      </c>
      <c r="H70" s="64">
        <v>14.86</v>
      </c>
      <c r="I70" s="64">
        <v>2.7</v>
      </c>
      <c r="J70" s="64">
        <v>0.53</v>
      </c>
      <c r="K70" s="64">
        <v>358.89</v>
      </c>
      <c r="L70" s="64">
        <v>24.04</v>
      </c>
      <c r="M70" s="64">
        <v>98.34</v>
      </c>
      <c r="N70" s="64">
        <v>104.5</v>
      </c>
      <c r="O70" s="64">
        <v>0</v>
      </c>
      <c r="P70" s="64">
        <v>0.42</v>
      </c>
      <c r="Q70" s="64">
        <v>9.2200000000000006</v>
      </c>
      <c r="R70" s="198"/>
      <c r="S70" s="198"/>
      <c r="T70" s="198"/>
      <c r="U70" s="198"/>
    </row>
    <row r="71" spans="1:21" s="12" customFormat="1" x14ac:dyDescent="0.25">
      <c r="A71" s="217" t="s">
        <v>880</v>
      </c>
      <c r="B71" s="64">
        <v>8.14</v>
      </c>
      <c r="C71" s="64">
        <v>3.14</v>
      </c>
      <c r="D71" s="64">
        <v>11.94</v>
      </c>
      <c r="E71" s="64">
        <v>4.3</v>
      </c>
      <c r="F71" s="64">
        <v>3.64</v>
      </c>
      <c r="G71" s="64">
        <v>41.79</v>
      </c>
      <c r="H71" s="64">
        <v>14.86</v>
      </c>
      <c r="I71" s="64">
        <v>2.71</v>
      </c>
      <c r="J71" s="64">
        <v>0.45</v>
      </c>
      <c r="K71" s="64">
        <v>329.83</v>
      </c>
      <c r="L71" s="64">
        <v>24.46</v>
      </c>
      <c r="M71" s="64">
        <v>98.33</v>
      </c>
      <c r="N71" s="64">
        <v>85.5</v>
      </c>
      <c r="O71" s="64">
        <v>0</v>
      </c>
      <c r="P71" s="64">
        <v>0.43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7" t="s">
        <v>881</v>
      </c>
      <c r="B72" s="64">
        <v>8.1199999999999992</v>
      </c>
      <c r="C72" s="64">
        <v>3.06</v>
      </c>
      <c r="D72" s="64">
        <v>11.89</v>
      </c>
      <c r="E72" s="64">
        <v>4.12</v>
      </c>
      <c r="F72" s="64">
        <v>3.58</v>
      </c>
      <c r="G72" s="64">
        <v>39.840000000000003</v>
      </c>
      <c r="H72" s="64">
        <v>14.15</v>
      </c>
      <c r="I72" s="64">
        <v>2.65</v>
      </c>
      <c r="J72" s="64">
        <v>0.44</v>
      </c>
      <c r="K72" s="64">
        <v>331.99</v>
      </c>
      <c r="L72" s="64">
        <v>24.81</v>
      </c>
      <c r="M72" s="64">
        <v>98.31</v>
      </c>
      <c r="N72" s="64">
        <v>115.3</v>
      </c>
      <c r="O72" s="64">
        <v>0</v>
      </c>
      <c r="P72" s="64">
        <v>0.44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7" t="s">
        <v>882</v>
      </c>
      <c r="B73" s="64">
        <v>8.1999999999999993</v>
      </c>
      <c r="C73" s="64">
        <v>3.18</v>
      </c>
      <c r="D73" s="64">
        <v>12.01</v>
      </c>
      <c r="E73" s="64">
        <v>4.3600000000000003</v>
      </c>
      <c r="F73" s="64">
        <v>4.17</v>
      </c>
      <c r="G73" s="64">
        <v>37.619999999999997</v>
      </c>
      <c r="H73" s="64">
        <v>13.38</v>
      </c>
      <c r="I73" s="64">
        <v>2.61</v>
      </c>
      <c r="J73" s="64">
        <v>0.49</v>
      </c>
      <c r="K73" s="64">
        <v>306.60000000000002</v>
      </c>
      <c r="L73" s="64">
        <v>25.27</v>
      </c>
      <c r="M73" s="64">
        <v>96.92</v>
      </c>
      <c r="N73" s="64">
        <v>115</v>
      </c>
      <c r="O73" s="64">
        <v>0</v>
      </c>
      <c r="P73" s="64">
        <v>0.45</v>
      </c>
      <c r="Q73" s="64">
        <v>9.2200000000000006</v>
      </c>
      <c r="R73" s="198"/>
      <c r="S73" s="198"/>
      <c r="T73" s="198"/>
      <c r="U73" s="198"/>
    </row>
    <row r="74" spans="1:21" s="12" customFormat="1" x14ac:dyDescent="0.25">
      <c r="A74" s="217" t="s">
        <v>883</v>
      </c>
      <c r="B74" s="64">
        <v>8.25</v>
      </c>
      <c r="C74" s="64">
        <v>3.35</v>
      </c>
      <c r="D74" s="64">
        <v>12.14</v>
      </c>
      <c r="E74" s="64">
        <v>4.3099999999999996</v>
      </c>
      <c r="F74" s="64">
        <v>3.73</v>
      </c>
      <c r="G74" s="64">
        <v>37.619999999999997</v>
      </c>
      <c r="H74" s="64">
        <v>13.38</v>
      </c>
      <c r="I74" s="64">
        <v>2.65</v>
      </c>
      <c r="J74" s="64">
        <v>0.39</v>
      </c>
      <c r="K74" s="64">
        <v>330.7</v>
      </c>
      <c r="L74" s="64">
        <v>25.69</v>
      </c>
      <c r="M74" s="64">
        <v>94.5</v>
      </c>
      <c r="N74" s="64">
        <v>109.2</v>
      </c>
      <c r="O74" s="64">
        <v>0</v>
      </c>
      <c r="P74" s="64">
        <v>0.47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7" t="s">
        <v>884</v>
      </c>
      <c r="B75" s="64">
        <v>8.1999999999999993</v>
      </c>
      <c r="C75" s="64">
        <v>3.24</v>
      </c>
      <c r="D75" s="64">
        <v>12.04</v>
      </c>
      <c r="E75" s="64">
        <v>4.43</v>
      </c>
      <c r="F75" s="64">
        <v>3.62</v>
      </c>
      <c r="G75" s="64">
        <v>37.619999999999997</v>
      </c>
      <c r="H75" s="64">
        <v>13.38</v>
      </c>
      <c r="I75" s="64">
        <v>2.76</v>
      </c>
      <c r="J75" s="64">
        <v>0.22</v>
      </c>
      <c r="K75" s="64">
        <v>315.85000000000002</v>
      </c>
      <c r="L75" s="64">
        <v>25.91</v>
      </c>
      <c r="M75" s="64">
        <v>89.36</v>
      </c>
      <c r="N75" s="64">
        <v>163.9</v>
      </c>
      <c r="O75" s="64">
        <v>0</v>
      </c>
      <c r="P75" s="64">
        <v>0.49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7" t="s">
        <v>885</v>
      </c>
      <c r="B76" s="64">
        <v>8.3800000000000008</v>
      </c>
      <c r="C76" s="64">
        <v>3.63</v>
      </c>
      <c r="D76" s="64">
        <v>12.39</v>
      </c>
      <c r="E76" s="64">
        <v>4.37</v>
      </c>
      <c r="F76" s="64">
        <v>3.66</v>
      </c>
      <c r="G76" s="64">
        <v>40.47</v>
      </c>
      <c r="H76" s="64">
        <v>12.39</v>
      </c>
      <c r="I76" s="64">
        <v>2.9</v>
      </c>
      <c r="J76" s="64">
        <v>0.28999999999999998</v>
      </c>
      <c r="K76" s="64">
        <v>312.56</v>
      </c>
      <c r="L76" s="64">
        <v>25.9</v>
      </c>
      <c r="M76" s="64">
        <v>88.07</v>
      </c>
      <c r="N76" s="64">
        <v>113.9</v>
      </c>
      <c r="O76" s="64">
        <v>0</v>
      </c>
      <c r="P76" s="64">
        <v>0.49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7" t="s">
        <v>886</v>
      </c>
      <c r="B77" s="64">
        <v>8.24</v>
      </c>
      <c r="C77" s="64">
        <v>3.29</v>
      </c>
      <c r="D77" s="64">
        <v>12.1</v>
      </c>
      <c r="E77" s="64">
        <v>3.9</v>
      </c>
      <c r="F77" s="64">
        <v>4.99</v>
      </c>
      <c r="G77" s="64">
        <v>43.58</v>
      </c>
      <c r="H77" s="64">
        <v>11.26</v>
      </c>
      <c r="I77" s="64">
        <v>2.99</v>
      </c>
      <c r="J77" s="64">
        <v>0.14000000000000001</v>
      </c>
      <c r="K77" s="64">
        <v>358.83</v>
      </c>
      <c r="L77" s="64">
        <v>26.03</v>
      </c>
      <c r="M77" s="64">
        <v>87.24</v>
      </c>
      <c r="N77" s="64">
        <v>105.2</v>
      </c>
      <c r="O77" s="64">
        <v>0</v>
      </c>
      <c r="P77" s="64">
        <v>0.49</v>
      </c>
      <c r="Q77" s="64">
        <v>9.27</v>
      </c>
      <c r="R77" s="198"/>
      <c r="S77" s="198"/>
      <c r="T77" s="198"/>
      <c r="U77" s="198"/>
    </row>
    <row r="78" spans="1:21" s="12" customFormat="1" x14ac:dyDescent="0.25">
      <c r="A78" s="217" t="s">
        <v>887</v>
      </c>
      <c r="B78" s="64">
        <v>8.15</v>
      </c>
      <c r="C78" s="64">
        <v>3.11</v>
      </c>
      <c r="D78" s="64">
        <v>11.94</v>
      </c>
      <c r="E78" s="64">
        <v>4.18</v>
      </c>
      <c r="F78" s="64">
        <v>3.95</v>
      </c>
      <c r="G78" s="64">
        <v>43.58</v>
      </c>
      <c r="H78" s="64">
        <v>11.26</v>
      </c>
      <c r="I78" s="64">
        <v>3.01</v>
      </c>
      <c r="J78" s="64">
        <v>0.33</v>
      </c>
      <c r="K78" s="64">
        <v>195.43</v>
      </c>
      <c r="L78" s="64">
        <v>26.34</v>
      </c>
      <c r="M78" s="64">
        <v>84.83</v>
      </c>
      <c r="N78" s="64">
        <v>96.7</v>
      </c>
      <c r="O78" s="64">
        <v>0</v>
      </c>
      <c r="P78" s="64">
        <v>0.48</v>
      </c>
      <c r="Q78" s="64">
        <v>9.2799999999999994</v>
      </c>
      <c r="R78" s="198"/>
      <c r="S78" s="198"/>
      <c r="T78" s="198"/>
      <c r="U78" s="198"/>
    </row>
    <row r="79" spans="1:21" s="12" customFormat="1" x14ac:dyDescent="0.25">
      <c r="A79" s="217" t="s">
        <v>888</v>
      </c>
      <c r="B79" s="64">
        <v>8.1199999999999992</v>
      </c>
      <c r="C79" s="64">
        <v>3.06</v>
      </c>
      <c r="D79" s="64">
        <v>11.88</v>
      </c>
      <c r="E79" s="64">
        <v>4.3499999999999996</v>
      </c>
      <c r="F79" s="64">
        <v>3.41</v>
      </c>
      <c r="G79" s="64">
        <v>43.58</v>
      </c>
      <c r="H79" s="64">
        <v>11.26</v>
      </c>
      <c r="I79" s="64">
        <v>3.04</v>
      </c>
      <c r="J79" s="64">
        <v>0.35</v>
      </c>
      <c r="K79" s="64">
        <v>147.02000000000001</v>
      </c>
      <c r="L79" s="64">
        <v>26.32</v>
      </c>
      <c r="M79" s="64">
        <v>84.52</v>
      </c>
      <c r="N79" s="64">
        <v>72</v>
      </c>
      <c r="O79" s="64">
        <v>0</v>
      </c>
      <c r="P79" s="64">
        <v>0.47</v>
      </c>
      <c r="Q79" s="64">
        <v>9.2799999999999994</v>
      </c>
      <c r="R79" s="198"/>
      <c r="S79" s="198"/>
      <c r="T79" s="198"/>
      <c r="U79" s="198"/>
    </row>
    <row r="80" spans="1:21" s="12" customFormat="1" x14ac:dyDescent="0.25">
      <c r="A80" s="217" t="s">
        <v>889</v>
      </c>
      <c r="B80" s="64">
        <v>8.1199999999999992</v>
      </c>
      <c r="C80" s="64">
        <v>3.03</v>
      </c>
      <c r="D80" s="64">
        <v>11.87</v>
      </c>
      <c r="E80" s="64">
        <v>4.2699999999999996</v>
      </c>
      <c r="F80" s="64">
        <v>3.54</v>
      </c>
      <c r="G80" s="64">
        <v>43.87</v>
      </c>
      <c r="H80" s="64">
        <v>11.19</v>
      </c>
      <c r="I80" s="64">
        <v>3.16</v>
      </c>
      <c r="J80" s="64">
        <v>0.48</v>
      </c>
      <c r="K80" s="64">
        <v>99.98</v>
      </c>
      <c r="L80" s="64">
        <v>26.39</v>
      </c>
      <c r="M80" s="64">
        <v>84.98</v>
      </c>
      <c r="N80" s="64">
        <v>66.7</v>
      </c>
      <c r="O80" s="64">
        <v>0</v>
      </c>
      <c r="P80" s="64">
        <v>0.46</v>
      </c>
      <c r="Q80" s="64">
        <v>9.24</v>
      </c>
      <c r="R80" s="198"/>
      <c r="S80" s="198"/>
      <c r="T80" s="198"/>
      <c r="U80" s="198"/>
    </row>
    <row r="81" spans="1:26" s="12" customFormat="1" x14ac:dyDescent="0.25">
      <c r="A81" s="217" t="s">
        <v>890</v>
      </c>
      <c r="B81" s="64">
        <v>8.16</v>
      </c>
      <c r="C81" s="64">
        <v>3.04</v>
      </c>
      <c r="D81" s="64">
        <v>11.9</v>
      </c>
      <c r="E81" s="64">
        <v>4.46</v>
      </c>
      <c r="F81" s="64">
        <v>3.1</v>
      </c>
      <c r="G81" s="64">
        <v>44.18</v>
      </c>
      <c r="H81" s="64">
        <v>11.12</v>
      </c>
      <c r="I81" s="64">
        <v>3.3</v>
      </c>
      <c r="J81" s="64">
        <v>0.54</v>
      </c>
      <c r="K81" s="64">
        <v>145.81</v>
      </c>
      <c r="L81" s="64">
        <v>26.42</v>
      </c>
      <c r="M81" s="64">
        <v>83.87</v>
      </c>
      <c r="N81" s="64">
        <v>49.9</v>
      </c>
      <c r="O81" s="64">
        <v>0</v>
      </c>
      <c r="P81" s="64">
        <v>0.46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7" t="s">
        <v>891</v>
      </c>
      <c r="B82" s="64">
        <v>8.17</v>
      </c>
      <c r="C82" s="64">
        <v>3.11</v>
      </c>
      <c r="D82" s="64">
        <v>11.95</v>
      </c>
      <c r="E82" s="64">
        <v>4.1900000000000004</v>
      </c>
      <c r="F82" s="64">
        <v>3.5</v>
      </c>
      <c r="G82" s="64">
        <v>44.18</v>
      </c>
      <c r="H82" s="64">
        <v>11.12</v>
      </c>
      <c r="I82" s="64">
        <v>3.49</v>
      </c>
      <c r="J82" s="64">
        <v>0.17</v>
      </c>
      <c r="K82" s="64">
        <v>131.34</v>
      </c>
      <c r="L82" s="64">
        <v>26.28</v>
      </c>
      <c r="M82" s="64">
        <v>83.82</v>
      </c>
      <c r="N82" s="64">
        <v>27.6</v>
      </c>
      <c r="O82" s="64">
        <v>0</v>
      </c>
      <c r="P82" s="64">
        <v>0.45</v>
      </c>
      <c r="Q82" s="64">
        <v>9.25</v>
      </c>
      <c r="R82" s="198"/>
      <c r="S82" s="198"/>
      <c r="T82" s="198"/>
      <c r="U82" s="198"/>
    </row>
    <row r="83" spans="1:26" s="12" customFormat="1" x14ac:dyDescent="0.25">
      <c r="A83" s="217" t="s">
        <v>892</v>
      </c>
      <c r="B83" s="64">
        <v>8.17</v>
      </c>
      <c r="C83" s="64">
        <v>3.14</v>
      </c>
      <c r="D83" s="64">
        <v>11.97</v>
      </c>
      <c r="E83" s="64">
        <v>4.2699999999999996</v>
      </c>
      <c r="F83" s="64">
        <v>3.37</v>
      </c>
      <c r="G83" s="64">
        <v>44.18</v>
      </c>
      <c r="H83" s="64">
        <v>11.12</v>
      </c>
      <c r="I83" s="64">
        <v>3.83</v>
      </c>
      <c r="J83" s="64">
        <v>0.39</v>
      </c>
      <c r="K83" s="64">
        <v>183.98</v>
      </c>
      <c r="L83" s="64">
        <v>26.03</v>
      </c>
      <c r="M83" s="64">
        <v>87.19</v>
      </c>
      <c r="N83" s="64">
        <v>19.2</v>
      </c>
      <c r="O83" s="64">
        <v>0</v>
      </c>
      <c r="P83" s="64">
        <v>0.45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7" t="s">
        <v>893</v>
      </c>
      <c r="B84" s="64">
        <v>8.15</v>
      </c>
      <c r="C84" s="64">
        <v>3.11</v>
      </c>
      <c r="D84" s="64">
        <v>11.94</v>
      </c>
      <c r="E84" s="64">
        <v>4.6100000000000003</v>
      </c>
      <c r="F84" s="64">
        <v>3.47</v>
      </c>
      <c r="G84" s="64">
        <v>42.46</v>
      </c>
      <c r="H84" s="64">
        <v>10.53</v>
      </c>
      <c r="I84" s="64">
        <v>4.16</v>
      </c>
      <c r="J84" s="64">
        <v>0.17</v>
      </c>
      <c r="K84" s="64">
        <v>331.78</v>
      </c>
      <c r="L84" s="64">
        <v>25.92</v>
      </c>
      <c r="M84" s="64">
        <v>86.67</v>
      </c>
      <c r="N84" s="64">
        <v>17.8</v>
      </c>
      <c r="O84" s="64">
        <v>0</v>
      </c>
      <c r="P84" s="64">
        <v>0.45</v>
      </c>
      <c r="Q84" s="64">
        <v>9.23</v>
      </c>
      <c r="R84" s="198"/>
      <c r="S84" s="198"/>
      <c r="T84" s="198"/>
      <c r="U84" s="198"/>
    </row>
    <row r="85" spans="1:26" s="12" customFormat="1" x14ac:dyDescent="0.25">
      <c r="A85" s="217" t="s">
        <v>894</v>
      </c>
      <c r="B85" s="64">
        <v>8.2200000000000006</v>
      </c>
      <c r="C85" s="64">
        <v>3.14</v>
      </c>
      <c r="D85" s="64">
        <v>12.01</v>
      </c>
      <c r="E85" s="64">
        <v>4.47</v>
      </c>
      <c r="F85" s="64">
        <v>3.64</v>
      </c>
      <c r="G85" s="64">
        <v>40.479999999999997</v>
      </c>
      <c r="H85" s="64">
        <v>9.9</v>
      </c>
      <c r="I85" s="64">
        <v>4.4000000000000004</v>
      </c>
      <c r="J85" s="64">
        <v>0.41</v>
      </c>
      <c r="K85" s="64">
        <v>149.36000000000001</v>
      </c>
      <c r="L85" s="64">
        <v>25.91</v>
      </c>
      <c r="M85" s="64">
        <v>87.1</v>
      </c>
      <c r="N85" s="64">
        <v>17.600000000000001</v>
      </c>
      <c r="O85" s="64">
        <v>0</v>
      </c>
      <c r="P85" s="64">
        <v>0.44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7" t="s">
        <v>895</v>
      </c>
      <c r="B86" s="64">
        <v>8.2100000000000009</v>
      </c>
      <c r="C86" s="64">
        <v>3.18</v>
      </c>
      <c r="D86" s="64">
        <v>12.02</v>
      </c>
      <c r="E86" s="64">
        <v>4.6100000000000003</v>
      </c>
      <c r="F86" s="64">
        <v>3.53</v>
      </c>
      <c r="G86" s="64">
        <v>40.479999999999997</v>
      </c>
      <c r="H86" s="64">
        <v>9.9</v>
      </c>
      <c r="I86" s="64">
        <v>4.6399999999999997</v>
      </c>
      <c r="J86" s="64">
        <v>1.17</v>
      </c>
      <c r="K86" s="64">
        <v>147.44</v>
      </c>
      <c r="L86" s="64">
        <v>25.91</v>
      </c>
      <c r="M86" s="64">
        <v>86.96</v>
      </c>
      <c r="N86" s="64">
        <v>17.3</v>
      </c>
      <c r="O86" s="64">
        <v>0</v>
      </c>
      <c r="P86" s="64">
        <v>0.45</v>
      </c>
      <c r="Q86" s="64">
        <v>9.2200000000000006</v>
      </c>
      <c r="R86" s="198"/>
      <c r="S86" s="198"/>
      <c r="T86" s="198"/>
      <c r="U86" s="198"/>
    </row>
    <row r="87" spans="1:26" s="12" customFormat="1" x14ac:dyDescent="0.25">
      <c r="A87" s="217" t="s">
        <v>896</v>
      </c>
      <c r="B87" s="64">
        <v>8.2200000000000006</v>
      </c>
      <c r="C87" s="64">
        <v>3.14</v>
      </c>
      <c r="D87" s="64">
        <v>12.01</v>
      </c>
      <c r="E87" s="64">
        <v>4.28</v>
      </c>
      <c r="F87" s="64">
        <v>3.4</v>
      </c>
      <c r="G87" s="64">
        <v>40.479999999999997</v>
      </c>
      <c r="H87" s="64">
        <v>9.9</v>
      </c>
      <c r="I87" s="64">
        <v>4.8899999999999997</v>
      </c>
      <c r="J87" s="64">
        <v>1.17</v>
      </c>
      <c r="K87" s="64">
        <v>148.66</v>
      </c>
      <c r="L87" s="64">
        <v>25.91</v>
      </c>
      <c r="M87" s="64">
        <v>86.68</v>
      </c>
      <c r="N87" s="64">
        <v>17.399999999999999</v>
      </c>
      <c r="O87" s="64">
        <v>0</v>
      </c>
      <c r="P87" s="64">
        <v>0.45</v>
      </c>
      <c r="Q87" s="64">
        <v>9.27</v>
      </c>
      <c r="R87" s="198"/>
      <c r="S87" s="198"/>
      <c r="T87" s="198"/>
      <c r="U87" s="198"/>
    </row>
    <row r="88" spans="1:26" s="12" customFormat="1" x14ac:dyDescent="0.25">
      <c r="A88" s="217" t="s">
        <v>897</v>
      </c>
      <c r="B88" s="64">
        <v>8.2100000000000009</v>
      </c>
      <c r="C88" s="64">
        <v>3.11</v>
      </c>
      <c r="D88" s="64">
        <v>11.99</v>
      </c>
      <c r="E88" s="64">
        <v>5.56</v>
      </c>
      <c r="F88" s="64">
        <v>3.92</v>
      </c>
      <c r="G88" s="64">
        <v>38.99</v>
      </c>
      <c r="H88" s="64">
        <v>10.5</v>
      </c>
      <c r="I88" s="64">
        <v>5.01</v>
      </c>
      <c r="J88" s="64">
        <v>0.86</v>
      </c>
      <c r="K88" s="64">
        <v>156.47999999999999</v>
      </c>
      <c r="L88" s="64">
        <v>25.88</v>
      </c>
      <c r="M88" s="64">
        <v>86.78</v>
      </c>
      <c r="N88" s="64">
        <v>17.5</v>
      </c>
      <c r="O88" s="64">
        <v>0</v>
      </c>
      <c r="P88" s="64">
        <v>0.45</v>
      </c>
      <c r="Q88" s="64">
        <v>9.26</v>
      </c>
      <c r="R88" s="198"/>
      <c r="S88" s="198"/>
      <c r="T88" s="198"/>
      <c r="U88" s="198"/>
    </row>
    <row r="89" spans="1:26" s="12" customFormat="1" x14ac:dyDescent="0.25">
      <c r="A89" s="217" t="s">
        <v>898</v>
      </c>
      <c r="B89" s="64">
        <v>8.17</v>
      </c>
      <c r="C89" s="64">
        <v>3.09</v>
      </c>
      <c r="D89" s="64">
        <v>11.94</v>
      </c>
      <c r="E89" s="64">
        <v>4.93</v>
      </c>
      <c r="F89" s="64">
        <v>3.95</v>
      </c>
      <c r="G89" s="64">
        <v>37.36</v>
      </c>
      <c r="H89" s="64">
        <v>11.19</v>
      </c>
      <c r="I89" s="64">
        <v>5.17</v>
      </c>
      <c r="J89" s="64">
        <v>0.85</v>
      </c>
      <c r="K89" s="64">
        <v>155.35</v>
      </c>
      <c r="L89" s="64">
        <v>25.78</v>
      </c>
      <c r="M89" s="64">
        <v>88.09</v>
      </c>
      <c r="N89" s="64">
        <v>17.5</v>
      </c>
      <c r="O89" s="64">
        <v>0</v>
      </c>
      <c r="P89" s="64">
        <v>0.46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7" t="s">
        <v>899</v>
      </c>
      <c r="B90" s="64">
        <v>8.1999999999999993</v>
      </c>
      <c r="C90" s="64">
        <v>3.17</v>
      </c>
      <c r="D90" s="64">
        <v>12.01</v>
      </c>
      <c r="E90" s="64">
        <v>5.29</v>
      </c>
      <c r="F90" s="64">
        <v>3.11</v>
      </c>
      <c r="G90" s="64">
        <v>37.36</v>
      </c>
      <c r="H90" s="64">
        <v>11.19</v>
      </c>
      <c r="I90" s="64">
        <v>5.42</v>
      </c>
      <c r="J90" s="64">
        <v>0.79</v>
      </c>
      <c r="K90" s="64">
        <v>160.28</v>
      </c>
      <c r="L90" s="64">
        <v>25.71</v>
      </c>
      <c r="M90" s="64">
        <v>89.04</v>
      </c>
      <c r="N90" s="64">
        <v>17.399999999999999</v>
      </c>
      <c r="O90" s="64">
        <v>0</v>
      </c>
      <c r="P90" s="64">
        <v>0.47</v>
      </c>
      <c r="Q90" s="64">
        <v>9.2799999999999994</v>
      </c>
      <c r="R90" s="198"/>
      <c r="S90" s="198"/>
      <c r="T90" s="198"/>
      <c r="U90" s="198"/>
    </row>
    <row r="91" spans="1:26" s="12" customFormat="1" x14ac:dyDescent="0.25">
      <c r="A91" s="217" t="s">
        <v>900</v>
      </c>
      <c r="B91" s="64">
        <v>8.2899999999999991</v>
      </c>
      <c r="C91" s="64">
        <v>3.41</v>
      </c>
      <c r="D91" s="64">
        <v>12.2</v>
      </c>
      <c r="E91" s="64">
        <v>4.55</v>
      </c>
      <c r="F91" s="64">
        <v>3.35</v>
      </c>
      <c r="G91" s="64">
        <v>37.36</v>
      </c>
      <c r="H91" s="64">
        <v>11.19</v>
      </c>
      <c r="I91" s="64">
        <v>5.49</v>
      </c>
      <c r="J91" s="64">
        <v>0.7</v>
      </c>
      <c r="K91" s="64">
        <v>158.44999999999999</v>
      </c>
      <c r="L91" s="64">
        <v>25.67</v>
      </c>
      <c r="M91" s="64">
        <v>88.9</v>
      </c>
      <c r="N91" s="64">
        <v>17.5</v>
      </c>
      <c r="O91" s="64">
        <v>0</v>
      </c>
      <c r="P91" s="64">
        <v>0.47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7" t="s">
        <v>901</v>
      </c>
      <c r="B92" s="64">
        <v>8.23</v>
      </c>
      <c r="C92" s="64">
        <v>3.29</v>
      </c>
      <c r="D92" s="64">
        <v>12.09</v>
      </c>
      <c r="E92" s="64">
        <v>4.87</v>
      </c>
      <c r="F92" s="64">
        <v>4.05</v>
      </c>
      <c r="G92" s="64">
        <v>36.54</v>
      </c>
      <c r="H92" s="64">
        <v>11.21</v>
      </c>
      <c r="I92" s="64">
        <v>5.43</v>
      </c>
      <c r="J92" s="64">
        <v>0.41</v>
      </c>
      <c r="K92" s="64">
        <v>148.52000000000001</v>
      </c>
      <c r="L92" s="64">
        <v>25.63</v>
      </c>
      <c r="M92" s="64">
        <v>89</v>
      </c>
      <c r="N92" s="64">
        <v>17.5</v>
      </c>
      <c r="O92" s="64">
        <v>0</v>
      </c>
      <c r="P92" s="64">
        <v>0.48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7" t="s">
        <v>902</v>
      </c>
      <c r="B93" s="64">
        <v>8.16</v>
      </c>
      <c r="C93" s="64">
        <v>3.13</v>
      </c>
      <c r="D93" s="64">
        <v>11.95</v>
      </c>
      <c r="E93" s="64">
        <v>4.7699999999999996</v>
      </c>
      <c r="F93" s="64">
        <v>3.14</v>
      </c>
      <c r="G93" s="64">
        <v>35.590000000000003</v>
      </c>
      <c r="H93" s="64">
        <v>11.23</v>
      </c>
      <c r="I93" s="64">
        <v>5.37</v>
      </c>
      <c r="J93" s="64">
        <v>0.25</v>
      </c>
      <c r="K93" s="64">
        <v>6.68</v>
      </c>
      <c r="L93" s="64">
        <v>25.47</v>
      </c>
      <c r="M93" s="64">
        <v>89.86</v>
      </c>
      <c r="N93" s="64">
        <v>17.8</v>
      </c>
      <c r="O93" s="64">
        <v>0</v>
      </c>
      <c r="P93" s="64">
        <v>0.49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7" t="s">
        <v>903</v>
      </c>
      <c r="B94" s="64">
        <v>8.18</v>
      </c>
      <c r="C94" s="64">
        <v>3.15</v>
      </c>
      <c r="D94" s="64">
        <v>11.98</v>
      </c>
      <c r="E94" s="64">
        <v>4.95</v>
      </c>
      <c r="F94" s="64">
        <v>3.43</v>
      </c>
      <c r="G94" s="64">
        <v>35.590000000000003</v>
      </c>
      <c r="H94" s="64">
        <v>11.23</v>
      </c>
      <c r="I94" s="64">
        <v>5.34</v>
      </c>
      <c r="J94" s="64">
        <v>0.16</v>
      </c>
      <c r="K94" s="64">
        <v>102.71</v>
      </c>
      <c r="L94" s="64">
        <v>25.46</v>
      </c>
      <c r="M94" s="64">
        <v>89.91</v>
      </c>
      <c r="N94" s="64">
        <v>17.5</v>
      </c>
      <c r="O94" s="64">
        <v>0</v>
      </c>
      <c r="P94" s="64">
        <v>0.49</v>
      </c>
      <c r="Q94" s="64">
        <v>9.3000000000000007</v>
      </c>
      <c r="R94" s="198"/>
      <c r="S94" s="198"/>
      <c r="T94" s="198"/>
      <c r="U94" s="198"/>
    </row>
    <row r="95" spans="1:26" s="12" customFormat="1" x14ac:dyDescent="0.25">
      <c r="A95" s="217" t="s">
        <v>904</v>
      </c>
      <c r="B95" s="64">
        <v>8.3800000000000008</v>
      </c>
      <c r="C95" s="64">
        <v>3.59</v>
      </c>
      <c r="D95" s="64">
        <v>12.37</v>
      </c>
      <c r="E95" s="64">
        <v>4.75</v>
      </c>
      <c r="F95" s="64">
        <v>3.71</v>
      </c>
      <c r="G95" s="64">
        <v>35.590000000000003</v>
      </c>
      <c r="H95" s="64">
        <v>11.23</v>
      </c>
      <c r="I95" s="64">
        <v>5.3</v>
      </c>
      <c r="J95" s="64">
        <v>0.24</v>
      </c>
      <c r="K95" s="64">
        <v>182.86</v>
      </c>
      <c r="L95" s="64">
        <v>25.46</v>
      </c>
      <c r="M95" s="64">
        <v>89.2</v>
      </c>
      <c r="N95" s="64">
        <v>17.5</v>
      </c>
      <c r="O95" s="64">
        <v>0</v>
      </c>
      <c r="P95" s="64">
        <v>0.5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7" t="s">
        <v>905</v>
      </c>
      <c r="B96" s="64">
        <v>8.24</v>
      </c>
      <c r="C96" s="64">
        <v>3.27</v>
      </c>
      <c r="D96" s="64">
        <v>12.09</v>
      </c>
      <c r="E96" s="64">
        <v>4.92</v>
      </c>
      <c r="F96" s="64">
        <v>4.1399999999999997</v>
      </c>
      <c r="G96" s="64">
        <v>34.97</v>
      </c>
      <c r="H96" s="64">
        <v>10.72</v>
      </c>
      <c r="I96" s="64">
        <v>5.24</v>
      </c>
      <c r="J96" s="64">
        <v>0.51</v>
      </c>
      <c r="K96" s="64">
        <v>318.68</v>
      </c>
      <c r="L96" s="64">
        <v>25.44</v>
      </c>
      <c r="M96" s="64">
        <v>91.72</v>
      </c>
      <c r="N96" s="64">
        <v>17.8</v>
      </c>
      <c r="O96" s="64">
        <v>0</v>
      </c>
      <c r="P96" s="64">
        <v>0.52</v>
      </c>
      <c r="Q96" s="64">
        <v>9.31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906</v>
      </c>
      <c r="B97" s="64">
        <v>8.2200000000000006</v>
      </c>
      <c r="C97" s="64">
        <v>3.25</v>
      </c>
      <c r="D97" s="64">
        <v>12.06</v>
      </c>
      <c r="E97" s="64">
        <v>5.05</v>
      </c>
      <c r="F97" s="64">
        <v>2.86</v>
      </c>
      <c r="G97" s="64">
        <v>34.299999999999997</v>
      </c>
      <c r="H97" s="64">
        <v>10.16</v>
      </c>
      <c r="I97" s="64">
        <v>5.21</v>
      </c>
      <c r="J97" s="64">
        <v>0.6</v>
      </c>
      <c r="K97" s="64">
        <v>348.67</v>
      </c>
      <c r="L97" s="64">
        <v>25.15</v>
      </c>
      <c r="M97" s="64">
        <v>95.96</v>
      </c>
      <c r="N97" s="64">
        <v>17.3</v>
      </c>
      <c r="O97" s="64">
        <v>0</v>
      </c>
      <c r="P97" s="64">
        <v>0.57999999999999996</v>
      </c>
      <c r="Q97" s="64">
        <v>9.3000000000000007</v>
      </c>
      <c r="R97" s="198"/>
      <c r="S97" s="198"/>
      <c r="T97" s="198"/>
      <c r="U97" s="198"/>
    </row>
    <row r="98" spans="1:33" s="12" customFormat="1" x14ac:dyDescent="0.25">
      <c r="A98" s="217" t="s">
        <v>907</v>
      </c>
      <c r="B98" s="64">
        <v>8.1999999999999993</v>
      </c>
      <c r="C98" s="64">
        <v>3.15</v>
      </c>
      <c r="D98" s="64">
        <v>11.99</v>
      </c>
      <c r="E98" s="64">
        <v>5.0599999999999996</v>
      </c>
      <c r="F98" s="64">
        <v>3.65</v>
      </c>
      <c r="G98" s="64">
        <v>34.299999999999997</v>
      </c>
      <c r="H98" s="64">
        <v>10.16</v>
      </c>
      <c r="I98" s="64">
        <v>5.26</v>
      </c>
      <c r="J98" s="64">
        <v>0.48</v>
      </c>
      <c r="K98" s="64">
        <v>40.479999999999997</v>
      </c>
      <c r="L98" s="64">
        <v>24.95</v>
      </c>
      <c r="M98" s="64">
        <v>95.97</v>
      </c>
      <c r="N98" s="64">
        <v>17.100000000000001</v>
      </c>
      <c r="O98" s="64">
        <v>0</v>
      </c>
      <c r="P98" s="64">
        <v>0.63</v>
      </c>
      <c r="Q98" s="64">
        <v>9.33</v>
      </c>
      <c r="R98" s="198"/>
      <c r="S98" s="198"/>
      <c r="T98" s="198"/>
      <c r="U98" s="198"/>
    </row>
    <row r="99" spans="1:33" s="12" customFormat="1" x14ac:dyDescent="0.25">
      <c r="A99" s="217" t="s">
        <v>908</v>
      </c>
      <c r="B99" s="64">
        <v>8.23</v>
      </c>
      <c r="C99" s="64">
        <v>3.17</v>
      </c>
      <c r="D99" s="64">
        <v>12.03</v>
      </c>
      <c r="E99" s="64">
        <v>4.8899999999999997</v>
      </c>
      <c r="F99" s="64">
        <v>3.86</v>
      </c>
      <c r="G99" s="64">
        <v>34.299999999999997</v>
      </c>
      <c r="H99" s="64">
        <v>10.16</v>
      </c>
      <c r="I99" s="64">
        <v>5.38</v>
      </c>
      <c r="J99" s="64">
        <v>0.56000000000000005</v>
      </c>
      <c r="K99" s="64">
        <v>72.650000000000006</v>
      </c>
      <c r="L99" s="64">
        <v>25.03</v>
      </c>
      <c r="M99" s="64">
        <v>95.88</v>
      </c>
      <c r="N99" s="64">
        <v>17.2</v>
      </c>
      <c r="O99" s="64">
        <v>0</v>
      </c>
      <c r="P99" s="64">
        <v>0.66</v>
      </c>
      <c r="Q99" s="64">
        <v>9.39</v>
      </c>
      <c r="R99" s="198"/>
      <c r="S99" s="198"/>
      <c r="T99" s="198"/>
      <c r="U99" s="198"/>
    </row>
    <row r="100" spans="1:33" s="12" customFormat="1" x14ac:dyDescent="0.25">
      <c r="A100" s="217" t="s">
        <v>909</v>
      </c>
      <c r="B100" s="64">
        <v>8.27</v>
      </c>
      <c r="C100" s="64">
        <v>3.22</v>
      </c>
      <c r="D100" s="64">
        <v>12.09</v>
      </c>
      <c r="E100" s="64">
        <v>5.27</v>
      </c>
      <c r="F100" s="64">
        <v>3.3</v>
      </c>
      <c r="G100" s="64">
        <v>43.72</v>
      </c>
      <c r="H100" s="64">
        <v>11.64</v>
      </c>
      <c r="I100" s="64">
        <v>5.51</v>
      </c>
      <c r="J100" s="64">
        <v>0.53</v>
      </c>
      <c r="K100" s="64">
        <v>324.67</v>
      </c>
      <c r="L100" s="64">
        <v>24.92</v>
      </c>
      <c r="M100" s="64">
        <v>97.73</v>
      </c>
      <c r="N100" s="64">
        <v>17.600000000000001</v>
      </c>
      <c r="O100" s="64">
        <v>0</v>
      </c>
      <c r="P100" s="64">
        <v>0.66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910</v>
      </c>
      <c r="B101" s="64">
        <v>8.4</v>
      </c>
      <c r="C101" s="64">
        <v>3.45</v>
      </c>
      <c r="D101" s="64">
        <v>12.32</v>
      </c>
      <c r="E101" s="64">
        <v>5.12</v>
      </c>
      <c r="F101" s="64">
        <v>3.28</v>
      </c>
      <c r="G101" s="64">
        <v>54.02</v>
      </c>
      <c r="H101" s="64">
        <v>13.34</v>
      </c>
      <c r="I101" s="64">
        <v>5.67</v>
      </c>
      <c r="J101" s="64">
        <v>0.31</v>
      </c>
      <c r="K101" s="64">
        <v>336.19</v>
      </c>
      <c r="L101" s="64">
        <v>24.69</v>
      </c>
      <c r="M101" s="64">
        <v>98.33</v>
      </c>
      <c r="N101" s="64">
        <v>17.600000000000001</v>
      </c>
      <c r="O101" s="64">
        <v>0</v>
      </c>
      <c r="P101" s="64">
        <v>0.69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7" t="s">
        <v>911</v>
      </c>
      <c r="B102" s="64">
        <v>8.65</v>
      </c>
      <c r="C102" s="64">
        <v>3.8</v>
      </c>
      <c r="D102" s="64">
        <v>12.7</v>
      </c>
      <c r="E102" s="64">
        <v>4.7699999999999996</v>
      </c>
      <c r="F102" s="64">
        <v>3.21</v>
      </c>
      <c r="G102" s="64">
        <v>54.02</v>
      </c>
      <c r="H102" s="64">
        <v>13.34</v>
      </c>
      <c r="I102" s="64">
        <v>5.88</v>
      </c>
      <c r="J102" s="64">
        <v>0.31</v>
      </c>
      <c r="K102" s="64">
        <v>263.85000000000002</v>
      </c>
      <c r="L102" s="64">
        <v>24.64</v>
      </c>
      <c r="M102" s="64">
        <v>98.28</v>
      </c>
      <c r="N102" s="64">
        <v>17.600000000000001</v>
      </c>
      <c r="O102" s="64">
        <v>0</v>
      </c>
      <c r="P102" s="64">
        <v>0.7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7" t="s">
        <v>912</v>
      </c>
      <c r="B103" s="64">
        <v>8.3699999999999992</v>
      </c>
      <c r="C103" s="64">
        <v>3.4</v>
      </c>
      <c r="D103" s="64">
        <v>12.26</v>
      </c>
      <c r="E103" s="64">
        <v>5.16</v>
      </c>
      <c r="F103" s="64">
        <v>3.25</v>
      </c>
      <c r="G103" s="64">
        <v>54.02</v>
      </c>
      <c r="H103" s="64">
        <v>13.34</v>
      </c>
      <c r="I103" s="64">
        <v>6.12</v>
      </c>
      <c r="J103" s="64">
        <v>0.56000000000000005</v>
      </c>
      <c r="K103" s="64">
        <v>178.72</v>
      </c>
      <c r="L103" s="64">
        <v>24.86</v>
      </c>
      <c r="M103" s="64">
        <v>96.16</v>
      </c>
      <c r="N103" s="64">
        <v>17.5</v>
      </c>
      <c r="O103" s="64">
        <v>0</v>
      </c>
      <c r="P103" s="64">
        <v>0.7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7" t="s">
        <v>913</v>
      </c>
      <c r="B104" s="64">
        <v>8.33</v>
      </c>
      <c r="C104" s="64">
        <v>3.35</v>
      </c>
      <c r="D104" s="64">
        <v>12.21</v>
      </c>
      <c r="E104" s="64">
        <v>5.04</v>
      </c>
      <c r="F104" s="64">
        <v>3.34</v>
      </c>
      <c r="G104" s="64">
        <v>56.51</v>
      </c>
      <c r="H104" s="64">
        <v>15.94</v>
      </c>
      <c r="I104" s="64">
        <v>6.25</v>
      </c>
      <c r="J104" s="64">
        <v>0.49</v>
      </c>
      <c r="K104" s="64">
        <v>176.77</v>
      </c>
      <c r="L104" s="64">
        <v>25.03</v>
      </c>
      <c r="M104" s="64">
        <v>95.22</v>
      </c>
      <c r="N104" s="64">
        <v>17.5</v>
      </c>
      <c r="O104" s="64">
        <v>0</v>
      </c>
      <c r="P104" s="64">
        <v>0.69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8.1199999999999992</v>
      </c>
      <c r="C106" s="67">
        <f>MIN(C9:C104)</f>
        <v>3.03</v>
      </c>
      <c r="D106" s="67">
        <f t="shared" ref="D106:Q106" si="0">MIN(D9:D104)</f>
        <v>11.87</v>
      </c>
      <c r="E106" s="67">
        <f t="shared" si="0"/>
        <v>2.95</v>
      </c>
      <c r="F106" s="67">
        <f t="shared" si="0"/>
        <v>2.86</v>
      </c>
      <c r="G106" s="67">
        <f t="shared" si="0"/>
        <v>13.88</v>
      </c>
      <c r="H106" s="67">
        <f t="shared" si="0"/>
        <v>3.98</v>
      </c>
      <c r="I106" s="67">
        <f t="shared" si="0"/>
        <v>1.2</v>
      </c>
      <c r="J106" s="67">
        <f t="shared" si="0"/>
        <v>0.05</v>
      </c>
      <c r="K106" s="67">
        <f t="shared" si="0"/>
        <v>0.49</v>
      </c>
      <c r="L106" s="67">
        <f t="shared" si="0"/>
        <v>22.73</v>
      </c>
      <c r="M106" s="67">
        <f t="shared" si="0"/>
        <v>64.41</v>
      </c>
      <c r="N106" s="67">
        <f t="shared" si="0"/>
        <v>17</v>
      </c>
      <c r="O106" s="67">
        <f t="shared" si="0"/>
        <v>0</v>
      </c>
      <c r="P106" s="67">
        <f t="shared" si="0"/>
        <v>0.23</v>
      </c>
      <c r="Q106" s="67">
        <f t="shared" si="0"/>
        <v>8.66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8.65</v>
      </c>
      <c r="C107" s="66">
        <f t="shared" ref="C107:Q107" si="1">MAX(C9:C104)</f>
        <v>3.8</v>
      </c>
      <c r="D107" s="66">
        <f t="shared" si="1"/>
        <v>12.7</v>
      </c>
      <c r="E107" s="66">
        <f t="shared" si="1"/>
        <v>6.05</v>
      </c>
      <c r="F107" s="66">
        <f t="shared" si="1"/>
        <v>5.08</v>
      </c>
      <c r="G107" s="66">
        <f t="shared" si="1"/>
        <v>56.51</v>
      </c>
      <c r="H107" s="66">
        <f t="shared" si="1"/>
        <v>16.66</v>
      </c>
      <c r="I107" s="66">
        <f t="shared" si="1"/>
        <v>6.25</v>
      </c>
      <c r="J107" s="66">
        <f t="shared" si="1"/>
        <v>1.38</v>
      </c>
      <c r="K107" s="66">
        <f t="shared" si="1"/>
        <v>359.75</v>
      </c>
      <c r="L107" s="66">
        <f t="shared" si="1"/>
        <v>30.48</v>
      </c>
      <c r="M107" s="66">
        <f t="shared" si="1"/>
        <v>98.34</v>
      </c>
      <c r="N107" s="66">
        <f t="shared" si="1"/>
        <v>570</v>
      </c>
      <c r="O107" s="66">
        <f t="shared" si="1"/>
        <v>0.2</v>
      </c>
      <c r="P107" s="66">
        <f t="shared" si="1"/>
        <v>0.7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8.2048958333333335</v>
      </c>
      <c r="C108" s="67">
        <f t="shared" ref="C108:Q108" si="2">AVERAGE(C9:C104)</f>
        <v>3.1898958333333329</v>
      </c>
      <c r="D108" s="67">
        <f t="shared" si="2"/>
        <v>12.020416666666664</v>
      </c>
      <c r="E108" s="67">
        <f t="shared" si="2"/>
        <v>4.4485416666666664</v>
      </c>
      <c r="F108" s="67">
        <f t="shared" si="2"/>
        <v>3.846562500000001</v>
      </c>
      <c r="G108" s="67">
        <f t="shared" si="2"/>
        <v>35.076041666666669</v>
      </c>
      <c r="H108" s="67">
        <f t="shared" si="2"/>
        <v>9.8484375000000028</v>
      </c>
      <c r="I108" s="67">
        <f t="shared" si="2"/>
        <v>2.9339583333333343</v>
      </c>
      <c r="J108" s="67">
        <f t="shared" si="2"/>
        <v>0.48947916666666685</v>
      </c>
      <c r="K108" s="67">
        <f t="shared" si="2"/>
        <v>237.24958333333328</v>
      </c>
      <c r="L108" s="67">
        <f t="shared" si="2"/>
        <v>25.16895833333334</v>
      </c>
      <c r="M108" s="67">
        <f t="shared" si="2"/>
        <v>88.35604166666667</v>
      </c>
      <c r="N108" s="67">
        <f t="shared" si="2"/>
        <v>106.83437500000002</v>
      </c>
      <c r="O108" s="67">
        <f t="shared" si="2"/>
        <v>2.0833333333333333E-3</v>
      </c>
      <c r="P108" s="67">
        <f t="shared" si="2"/>
        <v>0.40656249999999994</v>
      </c>
      <c r="Q108" s="67">
        <f t="shared" si="2"/>
        <v>9.2413541666666656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7.1421577038501993E-2</v>
      </c>
      <c r="C109" s="67">
        <f t="shared" ref="C109:Q109" si="3">STDEV(C9:C104)</f>
        <v>0.1300161511559372</v>
      </c>
      <c r="D109" s="67">
        <f t="shared" si="3"/>
        <v>0.12252532856659014</v>
      </c>
      <c r="E109" s="67">
        <f t="shared" si="3"/>
        <v>0.80234259537362174</v>
      </c>
      <c r="F109" s="67">
        <f t="shared" si="3"/>
        <v>0.47145871756540181</v>
      </c>
      <c r="G109" s="67">
        <f t="shared" si="3"/>
        <v>11.024286250118921</v>
      </c>
      <c r="H109" s="67">
        <f t="shared" si="3"/>
        <v>3.6305500027362725</v>
      </c>
      <c r="I109" s="67">
        <f t="shared" si="3"/>
        <v>1.4239141600137677</v>
      </c>
      <c r="J109" s="67">
        <f t="shared" si="3"/>
        <v>0.22264141474892613</v>
      </c>
      <c r="K109" s="67">
        <f t="shared" si="3"/>
        <v>130.3259708004806</v>
      </c>
      <c r="L109" s="67">
        <f t="shared" si="3"/>
        <v>1.751263891964385</v>
      </c>
      <c r="M109" s="67">
        <f t="shared" si="3"/>
        <v>8.2335814908620808</v>
      </c>
      <c r="N109" s="67">
        <f t="shared" si="3"/>
        <v>123.05139005876657</v>
      </c>
      <c r="O109" s="67">
        <f t="shared" si="3"/>
        <v>2.0412414523193152E-2</v>
      </c>
      <c r="P109" s="67">
        <f t="shared" si="3"/>
        <v>0.12538637653689794</v>
      </c>
      <c r="Q109" s="67">
        <f t="shared" si="3"/>
        <v>0.10864349997914886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0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914</v>
      </c>
      <c r="B9" s="64">
        <v>8.42</v>
      </c>
      <c r="C9" s="64">
        <v>3.47</v>
      </c>
      <c r="D9" s="64">
        <v>12.33</v>
      </c>
      <c r="E9" s="64">
        <v>5.03</v>
      </c>
      <c r="F9" s="64">
        <v>3.4</v>
      </c>
      <c r="G9" s="64">
        <v>59.24</v>
      </c>
      <c r="H9" s="64">
        <v>18.79</v>
      </c>
      <c r="I9" s="64">
        <v>6.4</v>
      </c>
      <c r="J9" s="64">
        <v>0.5</v>
      </c>
      <c r="K9" s="64">
        <v>165.59</v>
      </c>
      <c r="L9" s="64">
        <v>24.95</v>
      </c>
      <c r="M9" s="64">
        <v>96.91</v>
      </c>
      <c r="N9" s="64">
        <v>17.3</v>
      </c>
      <c r="O9" s="64">
        <v>0</v>
      </c>
      <c r="P9" s="64">
        <v>0.69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7" t="s">
        <v>915</v>
      </c>
      <c r="B10" s="64">
        <v>8.3699999999999992</v>
      </c>
      <c r="C10" s="64">
        <v>3.41</v>
      </c>
      <c r="D10" s="64">
        <v>12.27</v>
      </c>
      <c r="E10" s="64">
        <v>5.23</v>
      </c>
      <c r="F10" s="64">
        <v>3.39</v>
      </c>
      <c r="G10" s="64">
        <v>59.24</v>
      </c>
      <c r="H10" s="64">
        <v>18.79</v>
      </c>
      <c r="I10" s="64">
        <v>6.57</v>
      </c>
      <c r="J10" s="64">
        <v>0.36</v>
      </c>
      <c r="K10" s="64">
        <v>198.71</v>
      </c>
      <c r="L10" s="64">
        <v>24.94</v>
      </c>
      <c r="M10" s="64">
        <v>96.67</v>
      </c>
      <c r="N10" s="64">
        <v>17.7</v>
      </c>
      <c r="O10" s="64">
        <v>0</v>
      </c>
      <c r="P10" s="64">
        <v>0.68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7" t="s">
        <v>916</v>
      </c>
      <c r="B11" s="64">
        <v>8.3000000000000007</v>
      </c>
      <c r="C11" s="64">
        <v>3.31</v>
      </c>
      <c r="D11" s="64">
        <v>12.17</v>
      </c>
      <c r="E11" s="64">
        <v>4.93</v>
      </c>
      <c r="F11" s="64">
        <v>3.78</v>
      </c>
      <c r="G11" s="64">
        <v>59.24</v>
      </c>
      <c r="H11" s="64">
        <v>18.79</v>
      </c>
      <c r="I11" s="64">
        <v>6.69</v>
      </c>
      <c r="J11" s="64">
        <v>1.05</v>
      </c>
      <c r="K11" s="64">
        <v>138.06</v>
      </c>
      <c r="L11" s="64">
        <v>24.88</v>
      </c>
      <c r="M11" s="64">
        <v>97.42</v>
      </c>
      <c r="N11" s="64">
        <v>17.600000000000001</v>
      </c>
      <c r="O11" s="64">
        <v>0</v>
      </c>
      <c r="P11" s="64">
        <v>0.67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7" t="s">
        <v>917</v>
      </c>
      <c r="B12" s="64">
        <v>8.25</v>
      </c>
      <c r="C12" s="64">
        <v>3.27</v>
      </c>
      <c r="D12" s="64">
        <v>12.1</v>
      </c>
      <c r="E12" s="64">
        <v>5.43</v>
      </c>
      <c r="F12" s="64">
        <v>3.02</v>
      </c>
      <c r="G12" s="64">
        <v>53.55</v>
      </c>
      <c r="H12" s="64">
        <v>16.79</v>
      </c>
      <c r="I12" s="64">
        <v>6.73</v>
      </c>
      <c r="J12" s="64">
        <v>1.35</v>
      </c>
      <c r="K12" s="64">
        <v>142.41999999999999</v>
      </c>
      <c r="L12" s="64">
        <v>24.82</v>
      </c>
      <c r="M12" s="64">
        <v>97.29</v>
      </c>
      <c r="N12" s="64">
        <v>17.600000000000001</v>
      </c>
      <c r="O12" s="64">
        <v>0</v>
      </c>
      <c r="P12" s="64">
        <v>0.65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7" t="s">
        <v>918</v>
      </c>
      <c r="B13" s="64">
        <v>8.24</v>
      </c>
      <c r="C13" s="64">
        <v>3.16</v>
      </c>
      <c r="D13" s="64">
        <v>12.03</v>
      </c>
      <c r="E13" s="64">
        <v>5.1100000000000003</v>
      </c>
      <c r="F13" s="64">
        <v>3.8</v>
      </c>
      <c r="G13" s="64">
        <v>47.33</v>
      </c>
      <c r="H13" s="64">
        <v>14.61</v>
      </c>
      <c r="I13" s="64">
        <v>6.61</v>
      </c>
      <c r="J13" s="64">
        <v>1.18</v>
      </c>
      <c r="K13" s="64">
        <v>147.04</v>
      </c>
      <c r="L13" s="64">
        <v>24.85</v>
      </c>
      <c r="M13" s="64">
        <v>96.98</v>
      </c>
      <c r="N13" s="64">
        <v>17.7</v>
      </c>
      <c r="O13" s="64">
        <v>0</v>
      </c>
      <c r="P13" s="64">
        <v>0.6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7" t="s">
        <v>919</v>
      </c>
      <c r="B14" s="64">
        <v>8.23</v>
      </c>
      <c r="C14" s="64">
        <v>3.19</v>
      </c>
      <c r="D14" s="64">
        <v>12.04</v>
      </c>
      <c r="E14" s="64">
        <v>4.93</v>
      </c>
      <c r="F14" s="64">
        <v>3.31</v>
      </c>
      <c r="G14" s="64">
        <v>47.33</v>
      </c>
      <c r="H14" s="64">
        <v>14.61</v>
      </c>
      <c r="I14" s="64">
        <v>6.53</v>
      </c>
      <c r="J14" s="64">
        <v>0.87</v>
      </c>
      <c r="K14" s="64">
        <v>147.9</v>
      </c>
      <c r="L14" s="64">
        <v>24.82</v>
      </c>
      <c r="M14" s="64">
        <v>97.33</v>
      </c>
      <c r="N14" s="64">
        <v>17.7</v>
      </c>
      <c r="O14" s="64">
        <v>0</v>
      </c>
      <c r="P14" s="64">
        <v>0.61</v>
      </c>
      <c r="Q14" s="64">
        <v>9.5299999999999994</v>
      </c>
      <c r="R14" s="198"/>
      <c r="S14" s="198"/>
      <c r="T14" s="198"/>
      <c r="U14" s="198"/>
    </row>
    <row r="15" spans="1:21" s="12" customFormat="1" x14ac:dyDescent="0.25">
      <c r="A15" s="217" t="s">
        <v>920</v>
      </c>
      <c r="B15" s="64">
        <v>8.23</v>
      </c>
      <c r="C15" s="64">
        <v>3.24</v>
      </c>
      <c r="D15" s="64">
        <v>12.06</v>
      </c>
      <c r="E15" s="64">
        <v>5.36</v>
      </c>
      <c r="F15" s="64">
        <v>3.16</v>
      </c>
      <c r="G15" s="64">
        <v>47.33</v>
      </c>
      <c r="H15" s="64">
        <v>14.61</v>
      </c>
      <c r="I15" s="64">
        <v>6.42</v>
      </c>
      <c r="J15" s="64">
        <v>0.62</v>
      </c>
      <c r="K15" s="64">
        <v>148.85</v>
      </c>
      <c r="L15" s="64">
        <v>24.73</v>
      </c>
      <c r="M15" s="64">
        <v>97.98</v>
      </c>
      <c r="N15" s="64">
        <v>17.8</v>
      </c>
      <c r="O15" s="64">
        <v>0</v>
      </c>
      <c r="P15" s="64">
        <v>0.56999999999999995</v>
      </c>
      <c r="Q15" s="64">
        <v>9.48</v>
      </c>
      <c r="R15" s="198"/>
      <c r="S15" s="198"/>
      <c r="T15" s="198"/>
      <c r="U15" s="198"/>
    </row>
    <row r="16" spans="1:21" s="12" customFormat="1" x14ac:dyDescent="0.25">
      <c r="A16" s="217" t="s">
        <v>921</v>
      </c>
      <c r="B16" s="64">
        <v>8.24</v>
      </c>
      <c r="C16" s="64">
        <v>3.23</v>
      </c>
      <c r="D16" s="64">
        <v>12.07</v>
      </c>
      <c r="E16" s="64">
        <v>5.05</v>
      </c>
      <c r="F16" s="64">
        <v>3.56</v>
      </c>
      <c r="G16" s="64">
        <v>42.89</v>
      </c>
      <c r="H16" s="64">
        <v>13.79</v>
      </c>
      <c r="I16" s="64">
        <v>6.25</v>
      </c>
      <c r="J16" s="64">
        <v>0.16</v>
      </c>
      <c r="K16" s="64">
        <v>31.09</v>
      </c>
      <c r="L16" s="64">
        <v>24.67</v>
      </c>
      <c r="M16" s="64">
        <v>98.01</v>
      </c>
      <c r="N16" s="64">
        <v>17.600000000000001</v>
      </c>
      <c r="O16" s="64">
        <v>0</v>
      </c>
      <c r="P16" s="64">
        <v>0.55000000000000004</v>
      </c>
      <c r="Q16" s="64">
        <v>9.48</v>
      </c>
      <c r="R16" s="198"/>
      <c r="S16" s="198"/>
      <c r="T16" s="198"/>
      <c r="U16" s="198"/>
    </row>
    <row r="17" spans="1:21" s="12" customFormat="1" x14ac:dyDescent="0.25">
      <c r="A17" s="217" t="s">
        <v>922</v>
      </c>
      <c r="B17" s="64">
        <v>8.35</v>
      </c>
      <c r="C17" s="64">
        <v>3.41</v>
      </c>
      <c r="D17" s="64">
        <v>12.26</v>
      </c>
      <c r="E17" s="64">
        <v>5.12</v>
      </c>
      <c r="F17" s="64">
        <v>3.44</v>
      </c>
      <c r="G17" s="64">
        <v>37.81</v>
      </c>
      <c r="H17" s="64">
        <v>12.9</v>
      </c>
      <c r="I17" s="64">
        <v>6.07</v>
      </c>
      <c r="J17" s="64">
        <v>0.34</v>
      </c>
      <c r="K17" s="64">
        <v>5.47</v>
      </c>
      <c r="L17" s="64">
        <v>24.5</v>
      </c>
      <c r="M17" s="64">
        <v>98.29</v>
      </c>
      <c r="N17" s="64">
        <v>17.600000000000001</v>
      </c>
      <c r="O17" s="64">
        <v>0</v>
      </c>
      <c r="P17" s="64">
        <v>0.53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7" t="s">
        <v>923</v>
      </c>
      <c r="B18" s="64">
        <v>8.41</v>
      </c>
      <c r="C18" s="64">
        <v>3.49</v>
      </c>
      <c r="D18" s="64">
        <v>12.35</v>
      </c>
      <c r="E18" s="64">
        <v>4.9000000000000004</v>
      </c>
      <c r="F18" s="64">
        <v>2.84</v>
      </c>
      <c r="G18" s="64">
        <v>37.81</v>
      </c>
      <c r="H18" s="64">
        <v>12.9</v>
      </c>
      <c r="I18" s="64">
        <v>5.94</v>
      </c>
      <c r="J18" s="64">
        <v>0.33</v>
      </c>
      <c r="K18" s="64">
        <v>156.88</v>
      </c>
      <c r="L18" s="64">
        <v>24.53</v>
      </c>
      <c r="M18" s="64">
        <v>98.19</v>
      </c>
      <c r="N18" s="64">
        <v>17.399999999999999</v>
      </c>
      <c r="O18" s="64">
        <v>0</v>
      </c>
      <c r="P18" s="64">
        <v>0.51</v>
      </c>
      <c r="Q18" s="64">
        <v>9.4600000000000009</v>
      </c>
      <c r="R18" s="198"/>
      <c r="S18" s="198"/>
      <c r="T18" s="198"/>
      <c r="U18" s="198"/>
    </row>
    <row r="19" spans="1:21" s="12" customFormat="1" x14ac:dyDescent="0.25">
      <c r="A19" s="217" t="s">
        <v>924</v>
      </c>
      <c r="B19" s="64">
        <v>8.2200000000000006</v>
      </c>
      <c r="C19" s="64">
        <v>3.16</v>
      </c>
      <c r="D19" s="64">
        <v>12.02</v>
      </c>
      <c r="E19" s="64">
        <v>5.25</v>
      </c>
      <c r="F19" s="64">
        <v>3.38</v>
      </c>
      <c r="G19" s="64">
        <v>37.81</v>
      </c>
      <c r="H19" s="64">
        <v>12.9</v>
      </c>
      <c r="I19" s="64">
        <v>5.82</v>
      </c>
      <c r="J19" s="64">
        <v>0.66</v>
      </c>
      <c r="K19" s="64">
        <v>157</v>
      </c>
      <c r="L19" s="64">
        <v>24.57</v>
      </c>
      <c r="M19" s="64">
        <v>97.17</v>
      </c>
      <c r="N19" s="64">
        <v>17.399999999999999</v>
      </c>
      <c r="O19" s="64">
        <v>0</v>
      </c>
      <c r="P19" s="64">
        <v>0.49</v>
      </c>
      <c r="Q19" s="64">
        <v>9.41</v>
      </c>
      <c r="R19" s="198"/>
      <c r="S19" s="198"/>
      <c r="T19" s="198"/>
      <c r="U19" s="198"/>
    </row>
    <row r="20" spans="1:21" s="12" customFormat="1" x14ac:dyDescent="0.25">
      <c r="A20" s="217" t="s">
        <v>925</v>
      </c>
      <c r="B20" s="64">
        <v>8.1999999999999993</v>
      </c>
      <c r="C20" s="64">
        <v>3.11</v>
      </c>
      <c r="D20" s="64">
        <v>11.98</v>
      </c>
      <c r="E20" s="64">
        <v>4.8600000000000003</v>
      </c>
      <c r="F20" s="64">
        <v>3.97</v>
      </c>
      <c r="G20" s="64">
        <v>38.14</v>
      </c>
      <c r="H20" s="64">
        <v>12.71</v>
      </c>
      <c r="I20" s="64">
        <v>5.69</v>
      </c>
      <c r="J20" s="64">
        <v>0.94</v>
      </c>
      <c r="K20" s="64">
        <v>142.87</v>
      </c>
      <c r="L20" s="64">
        <v>24.6</v>
      </c>
      <c r="M20" s="64">
        <v>95.92</v>
      </c>
      <c r="N20" s="64">
        <v>17.600000000000001</v>
      </c>
      <c r="O20" s="64">
        <v>0</v>
      </c>
      <c r="P20" s="64">
        <v>0.49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7" t="s">
        <v>926</v>
      </c>
      <c r="B21" s="64">
        <v>8.26</v>
      </c>
      <c r="C21" s="64">
        <v>3.27</v>
      </c>
      <c r="D21" s="64">
        <v>12.11</v>
      </c>
      <c r="E21" s="64">
        <v>5.09</v>
      </c>
      <c r="F21" s="64">
        <v>3.17</v>
      </c>
      <c r="G21" s="64">
        <v>38.51</v>
      </c>
      <c r="H21" s="64">
        <v>12.48</v>
      </c>
      <c r="I21" s="64">
        <v>5.57</v>
      </c>
      <c r="J21" s="64">
        <v>0.94</v>
      </c>
      <c r="K21" s="64">
        <v>168.04</v>
      </c>
      <c r="L21" s="64">
        <v>24.6</v>
      </c>
      <c r="M21" s="64">
        <v>94.74</v>
      </c>
      <c r="N21" s="64">
        <v>17.7</v>
      </c>
      <c r="O21" s="64">
        <v>0</v>
      </c>
      <c r="P21" s="64">
        <v>0.46</v>
      </c>
      <c r="Q21" s="64">
        <v>9.42</v>
      </c>
      <c r="R21" s="198"/>
      <c r="S21" s="198"/>
      <c r="T21" s="198"/>
      <c r="U21" s="198"/>
    </row>
    <row r="22" spans="1:21" s="12" customFormat="1" x14ac:dyDescent="0.25">
      <c r="A22" s="217" t="s">
        <v>927</v>
      </c>
      <c r="B22" s="64">
        <v>8.27</v>
      </c>
      <c r="C22" s="64">
        <v>3.23</v>
      </c>
      <c r="D22" s="64">
        <v>12.09</v>
      </c>
      <c r="E22" s="64">
        <v>5.01</v>
      </c>
      <c r="F22" s="64">
        <v>3.29</v>
      </c>
      <c r="G22" s="64">
        <v>38.51</v>
      </c>
      <c r="H22" s="64">
        <v>12.48</v>
      </c>
      <c r="I22" s="64">
        <v>5.55</v>
      </c>
      <c r="J22" s="64">
        <v>0.92</v>
      </c>
      <c r="K22" s="64">
        <v>152.08000000000001</v>
      </c>
      <c r="L22" s="64">
        <v>24.62</v>
      </c>
      <c r="M22" s="64">
        <v>94.48</v>
      </c>
      <c r="N22" s="64">
        <v>17.8</v>
      </c>
      <c r="O22" s="64">
        <v>0</v>
      </c>
      <c r="P22" s="64">
        <v>0.44</v>
      </c>
      <c r="Q22" s="64">
        <v>9.34</v>
      </c>
      <c r="R22" s="198"/>
      <c r="S22" s="198"/>
      <c r="T22" s="198"/>
      <c r="U22" s="198"/>
    </row>
    <row r="23" spans="1:21" s="12" customFormat="1" x14ac:dyDescent="0.25">
      <c r="A23" s="217" t="s">
        <v>928</v>
      </c>
      <c r="B23" s="64">
        <v>8.24</v>
      </c>
      <c r="C23" s="64">
        <v>3.14</v>
      </c>
      <c r="D23" s="64">
        <v>12.03</v>
      </c>
      <c r="E23" s="64">
        <v>5.0199999999999996</v>
      </c>
      <c r="F23" s="64">
        <v>3.35</v>
      </c>
      <c r="G23" s="64">
        <v>38.51</v>
      </c>
      <c r="H23" s="64">
        <v>12.48</v>
      </c>
      <c r="I23" s="64">
        <v>5.56</v>
      </c>
      <c r="J23" s="64">
        <v>1.06</v>
      </c>
      <c r="K23" s="64">
        <v>154.25</v>
      </c>
      <c r="L23" s="64">
        <v>24.49</v>
      </c>
      <c r="M23" s="64">
        <v>95.47</v>
      </c>
      <c r="N23" s="64">
        <v>17.8</v>
      </c>
      <c r="O23" s="64">
        <v>0</v>
      </c>
      <c r="P23" s="64">
        <v>0.44</v>
      </c>
      <c r="Q23" s="64">
        <v>9.35</v>
      </c>
      <c r="R23" s="198"/>
      <c r="S23" s="198"/>
      <c r="T23" s="198"/>
      <c r="U23" s="198"/>
    </row>
    <row r="24" spans="1:21" s="12" customFormat="1" x14ac:dyDescent="0.25">
      <c r="A24" s="217" t="s">
        <v>929</v>
      </c>
      <c r="B24" s="64">
        <v>8.27</v>
      </c>
      <c r="C24" s="64">
        <v>3.19</v>
      </c>
      <c r="D24" s="64">
        <v>12.07</v>
      </c>
      <c r="E24" s="64">
        <v>5.93</v>
      </c>
      <c r="F24" s="64">
        <v>3.09</v>
      </c>
      <c r="G24" s="64">
        <v>32.04</v>
      </c>
      <c r="H24" s="64">
        <v>11.19</v>
      </c>
      <c r="I24" s="64">
        <v>5.61</v>
      </c>
      <c r="J24" s="64">
        <v>1.4</v>
      </c>
      <c r="K24" s="64">
        <v>145.81</v>
      </c>
      <c r="L24" s="64">
        <v>24.39</v>
      </c>
      <c r="M24" s="64">
        <v>96.65</v>
      </c>
      <c r="N24" s="64">
        <v>17.8</v>
      </c>
      <c r="O24" s="64">
        <v>0</v>
      </c>
      <c r="P24" s="64">
        <v>0.43</v>
      </c>
      <c r="Q24" s="64">
        <v>9.36</v>
      </c>
      <c r="R24" s="198"/>
      <c r="S24" s="198"/>
      <c r="T24" s="198"/>
      <c r="U24" s="198"/>
    </row>
    <row r="25" spans="1:21" s="12" customFormat="1" x14ac:dyDescent="0.25">
      <c r="A25" s="217" t="s">
        <v>930</v>
      </c>
      <c r="B25" s="64">
        <v>8.2799999999999994</v>
      </c>
      <c r="C25" s="64">
        <v>3.17</v>
      </c>
      <c r="D25" s="64">
        <v>12.07</v>
      </c>
      <c r="E25" s="64">
        <v>4.62</v>
      </c>
      <c r="F25" s="64">
        <v>3.2</v>
      </c>
      <c r="G25" s="64">
        <v>24.65</v>
      </c>
      <c r="H25" s="64">
        <v>9.77</v>
      </c>
      <c r="I25" s="64">
        <v>5.58</v>
      </c>
      <c r="J25" s="64">
        <v>1.43</v>
      </c>
      <c r="K25" s="64">
        <v>150.21</v>
      </c>
      <c r="L25" s="64">
        <v>24.31</v>
      </c>
      <c r="M25" s="64">
        <v>97.22</v>
      </c>
      <c r="N25" s="64">
        <v>17.8</v>
      </c>
      <c r="O25" s="64">
        <v>0</v>
      </c>
      <c r="P25" s="64">
        <v>0.42</v>
      </c>
      <c r="Q25" s="64">
        <v>9.35</v>
      </c>
      <c r="R25" s="198"/>
      <c r="S25" s="198"/>
      <c r="T25" s="198"/>
      <c r="U25" s="198"/>
    </row>
    <row r="26" spans="1:21" s="12" customFormat="1" x14ac:dyDescent="0.25">
      <c r="A26" s="217" t="s">
        <v>931</v>
      </c>
      <c r="B26" s="64">
        <v>8.2100000000000009</v>
      </c>
      <c r="C26" s="64">
        <v>3.09</v>
      </c>
      <c r="D26" s="64">
        <v>11.98</v>
      </c>
      <c r="E26" s="64">
        <v>4.6399999999999997</v>
      </c>
      <c r="F26" s="64">
        <v>3.1</v>
      </c>
      <c r="G26" s="64">
        <v>24.65</v>
      </c>
      <c r="H26" s="64">
        <v>9.77</v>
      </c>
      <c r="I26" s="64">
        <v>5.67</v>
      </c>
      <c r="J26" s="64">
        <v>0.47</v>
      </c>
      <c r="K26" s="64">
        <v>147.12</v>
      </c>
      <c r="L26" s="64">
        <v>24.21</v>
      </c>
      <c r="M26" s="64">
        <v>98.22</v>
      </c>
      <c r="N26" s="64">
        <v>18</v>
      </c>
      <c r="O26" s="64">
        <v>0</v>
      </c>
      <c r="P26" s="64">
        <v>0.41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7" t="s">
        <v>932</v>
      </c>
      <c r="B27" s="64">
        <v>8.2100000000000009</v>
      </c>
      <c r="C27" s="64">
        <v>3.14</v>
      </c>
      <c r="D27" s="64">
        <v>12</v>
      </c>
      <c r="E27" s="64">
        <v>4.79</v>
      </c>
      <c r="F27" s="64">
        <v>3.5</v>
      </c>
      <c r="G27" s="64">
        <v>24.65</v>
      </c>
      <c r="H27" s="64">
        <v>9.77</v>
      </c>
      <c r="I27" s="64">
        <v>5.84</v>
      </c>
      <c r="J27" s="64">
        <v>0.44</v>
      </c>
      <c r="K27" s="64">
        <v>3.3</v>
      </c>
      <c r="L27" s="64">
        <v>23.97</v>
      </c>
      <c r="M27" s="64">
        <v>95.92</v>
      </c>
      <c r="N27" s="64">
        <v>18.100000000000001</v>
      </c>
      <c r="O27" s="64">
        <v>0</v>
      </c>
      <c r="P27" s="64">
        <v>0.39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7" t="s">
        <v>933</v>
      </c>
      <c r="B28" s="64">
        <v>8.2100000000000009</v>
      </c>
      <c r="C28" s="64">
        <v>3.12</v>
      </c>
      <c r="D28" s="64">
        <v>11.99</v>
      </c>
      <c r="E28" s="64">
        <v>4.58</v>
      </c>
      <c r="F28" s="64">
        <v>3.76</v>
      </c>
      <c r="G28" s="64">
        <v>20.86</v>
      </c>
      <c r="H28" s="64">
        <v>8.48</v>
      </c>
      <c r="I28" s="64">
        <v>5.86</v>
      </c>
      <c r="J28" s="64">
        <v>0.36</v>
      </c>
      <c r="K28" s="64">
        <v>11.35</v>
      </c>
      <c r="L28" s="64">
        <v>23.65</v>
      </c>
      <c r="M28" s="64">
        <v>94.06</v>
      </c>
      <c r="N28" s="64">
        <v>18.100000000000001</v>
      </c>
      <c r="O28" s="64">
        <v>0</v>
      </c>
      <c r="P28" s="64">
        <v>0.37</v>
      </c>
      <c r="Q28" s="64">
        <v>9.35</v>
      </c>
      <c r="R28" s="198"/>
      <c r="S28" s="198"/>
      <c r="T28" s="198"/>
      <c r="U28" s="198"/>
    </row>
    <row r="29" spans="1:21" s="12" customFormat="1" x14ac:dyDescent="0.25">
      <c r="A29" s="217" t="s">
        <v>934</v>
      </c>
      <c r="B29" s="64">
        <v>8.18</v>
      </c>
      <c r="C29" s="64">
        <v>3.09</v>
      </c>
      <c r="D29" s="64">
        <v>11.95</v>
      </c>
      <c r="E29" s="64">
        <v>4.4800000000000004</v>
      </c>
      <c r="F29" s="64">
        <v>4.41</v>
      </c>
      <c r="G29" s="64">
        <v>16.53</v>
      </c>
      <c r="H29" s="64">
        <v>7.08</v>
      </c>
      <c r="I29" s="64">
        <v>5.49</v>
      </c>
      <c r="J29" s="64">
        <v>0.37</v>
      </c>
      <c r="K29" s="64">
        <v>348.01</v>
      </c>
      <c r="L29" s="64">
        <v>23.56</v>
      </c>
      <c r="M29" s="64">
        <v>94.89</v>
      </c>
      <c r="N29" s="64">
        <v>18.600000000000001</v>
      </c>
      <c r="O29" s="64">
        <v>0</v>
      </c>
      <c r="P29" s="64">
        <v>0.37</v>
      </c>
      <c r="Q29" s="64">
        <v>9.34</v>
      </c>
      <c r="R29" s="198"/>
      <c r="S29" s="198"/>
      <c r="T29" s="198"/>
      <c r="U29" s="198"/>
    </row>
    <row r="30" spans="1:21" s="12" customFormat="1" x14ac:dyDescent="0.25">
      <c r="A30" s="217" t="s">
        <v>935</v>
      </c>
      <c r="B30" s="64">
        <v>8.14</v>
      </c>
      <c r="C30" s="64">
        <v>3.1</v>
      </c>
      <c r="D30" s="64">
        <v>11.92</v>
      </c>
      <c r="E30" s="64">
        <v>4.53</v>
      </c>
      <c r="F30" s="64">
        <v>2.91</v>
      </c>
      <c r="G30" s="64">
        <v>16.53</v>
      </c>
      <c r="H30" s="64">
        <v>7.08</v>
      </c>
      <c r="I30" s="64">
        <v>5.03</v>
      </c>
      <c r="J30" s="64">
        <v>0.52</v>
      </c>
      <c r="K30" s="64">
        <v>338.87</v>
      </c>
      <c r="L30" s="64">
        <v>23.42</v>
      </c>
      <c r="M30" s="64">
        <v>95.82</v>
      </c>
      <c r="N30" s="64">
        <v>21.3</v>
      </c>
      <c r="O30" s="64">
        <v>0</v>
      </c>
      <c r="P30" s="64">
        <v>0.36</v>
      </c>
      <c r="Q30" s="64">
        <v>9.3000000000000007</v>
      </c>
      <c r="R30" s="198"/>
      <c r="S30" s="198"/>
      <c r="T30" s="198"/>
      <c r="U30" s="198"/>
    </row>
    <row r="31" spans="1:21" s="12" customFormat="1" x14ac:dyDescent="0.25">
      <c r="A31" s="217" t="s">
        <v>936</v>
      </c>
      <c r="B31" s="64">
        <v>8.11</v>
      </c>
      <c r="C31" s="64">
        <v>3.06</v>
      </c>
      <c r="D31" s="64">
        <v>11.88</v>
      </c>
      <c r="E31" s="64">
        <v>4.62</v>
      </c>
      <c r="F31" s="64">
        <v>3.52</v>
      </c>
      <c r="G31" s="64">
        <v>16.53</v>
      </c>
      <c r="H31" s="64">
        <v>7.08</v>
      </c>
      <c r="I31" s="64">
        <v>4.75</v>
      </c>
      <c r="J31" s="64">
        <v>0.35</v>
      </c>
      <c r="K31" s="64">
        <v>199.43</v>
      </c>
      <c r="L31" s="64">
        <v>23.34</v>
      </c>
      <c r="M31" s="64">
        <v>96.54</v>
      </c>
      <c r="N31" s="64">
        <v>21.6</v>
      </c>
      <c r="O31" s="64">
        <v>0</v>
      </c>
      <c r="P31" s="64">
        <v>0.33</v>
      </c>
      <c r="Q31" s="64">
        <v>9.32</v>
      </c>
      <c r="R31" s="198"/>
      <c r="S31" s="198"/>
      <c r="T31" s="198"/>
      <c r="U31" s="198"/>
    </row>
    <row r="32" spans="1:21" s="12" customFormat="1" x14ac:dyDescent="0.25">
      <c r="A32" s="217" t="s">
        <v>937</v>
      </c>
      <c r="B32" s="64">
        <v>8.16</v>
      </c>
      <c r="C32" s="64">
        <v>3.14</v>
      </c>
      <c r="D32" s="64">
        <v>11.95</v>
      </c>
      <c r="E32" s="64">
        <v>4.6900000000000004</v>
      </c>
      <c r="F32" s="64">
        <v>3.99</v>
      </c>
      <c r="G32" s="64">
        <v>20.38</v>
      </c>
      <c r="H32" s="64">
        <v>6.54</v>
      </c>
      <c r="I32" s="64">
        <v>4.47</v>
      </c>
      <c r="J32" s="64">
        <v>0.69</v>
      </c>
      <c r="K32" s="64">
        <v>158.52000000000001</v>
      </c>
      <c r="L32" s="64">
        <v>23.13</v>
      </c>
      <c r="M32" s="64">
        <v>98.19</v>
      </c>
      <c r="N32" s="64">
        <v>25.5</v>
      </c>
      <c r="O32" s="64">
        <v>0</v>
      </c>
      <c r="P32" s="64">
        <v>0.34</v>
      </c>
      <c r="Q32" s="64">
        <v>9.3000000000000007</v>
      </c>
      <c r="R32" s="198"/>
      <c r="S32" s="198"/>
      <c r="T32" s="198"/>
      <c r="U32" s="198"/>
    </row>
    <row r="33" spans="1:21" s="12" customFormat="1" x14ac:dyDescent="0.25">
      <c r="A33" s="217" t="s">
        <v>938</v>
      </c>
      <c r="B33" s="64">
        <v>8.31</v>
      </c>
      <c r="C33" s="64">
        <v>3.47</v>
      </c>
      <c r="D33" s="64">
        <v>12.25</v>
      </c>
      <c r="E33" s="64">
        <v>4.3099999999999996</v>
      </c>
      <c r="F33" s="64">
        <v>2.79</v>
      </c>
      <c r="G33" s="64">
        <v>24.79</v>
      </c>
      <c r="H33" s="64">
        <v>5.92</v>
      </c>
      <c r="I33" s="64">
        <v>4.24</v>
      </c>
      <c r="J33" s="64">
        <v>0.5</v>
      </c>
      <c r="K33" s="64">
        <v>165.7</v>
      </c>
      <c r="L33" s="64">
        <v>23</v>
      </c>
      <c r="M33" s="64">
        <v>98.33</v>
      </c>
      <c r="N33" s="64">
        <v>31.3</v>
      </c>
      <c r="O33" s="64">
        <v>0</v>
      </c>
      <c r="P33" s="64">
        <v>0.32</v>
      </c>
      <c r="Q33" s="64">
        <v>9.27</v>
      </c>
      <c r="R33" s="198"/>
      <c r="S33" s="198"/>
      <c r="T33" s="198"/>
      <c r="U33" s="198"/>
    </row>
    <row r="34" spans="1:21" s="12" customFormat="1" x14ac:dyDescent="0.25">
      <c r="A34" s="217" t="s">
        <v>939</v>
      </c>
      <c r="B34" s="64">
        <v>8.23</v>
      </c>
      <c r="C34" s="64">
        <v>3.32</v>
      </c>
      <c r="D34" s="64">
        <v>12.11</v>
      </c>
      <c r="E34" s="64">
        <v>4.3499999999999996</v>
      </c>
      <c r="F34" s="64">
        <v>3.63</v>
      </c>
      <c r="G34" s="64">
        <v>24.79</v>
      </c>
      <c r="H34" s="64">
        <v>5.92</v>
      </c>
      <c r="I34" s="64">
        <v>4.1100000000000003</v>
      </c>
      <c r="J34" s="64">
        <v>0.13</v>
      </c>
      <c r="K34" s="64">
        <v>192.95</v>
      </c>
      <c r="L34" s="64">
        <v>22.8</v>
      </c>
      <c r="M34" s="64">
        <v>98.33</v>
      </c>
      <c r="N34" s="64">
        <v>39.200000000000003</v>
      </c>
      <c r="O34" s="64">
        <v>0</v>
      </c>
      <c r="P34" s="64">
        <v>0.31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7" t="s">
        <v>940</v>
      </c>
      <c r="B35" s="64">
        <v>8.17</v>
      </c>
      <c r="C35" s="64">
        <v>3.15</v>
      </c>
      <c r="D35" s="64">
        <v>11.97</v>
      </c>
      <c r="E35" s="64">
        <v>4.47</v>
      </c>
      <c r="F35" s="64">
        <v>3.81</v>
      </c>
      <c r="G35" s="64">
        <v>24.79</v>
      </c>
      <c r="H35" s="64">
        <v>5.92</v>
      </c>
      <c r="I35" s="64">
        <v>3.94</v>
      </c>
      <c r="J35" s="64">
        <v>0.48</v>
      </c>
      <c r="K35" s="64">
        <v>191.94</v>
      </c>
      <c r="L35" s="64">
        <v>22.6</v>
      </c>
      <c r="M35" s="64">
        <v>98.34</v>
      </c>
      <c r="N35" s="64">
        <v>57.9</v>
      </c>
      <c r="O35" s="64">
        <v>0</v>
      </c>
      <c r="P35" s="64">
        <v>0.31</v>
      </c>
      <c r="Q35" s="64">
        <v>9.24</v>
      </c>
      <c r="R35" s="198"/>
      <c r="S35" s="198"/>
      <c r="T35" s="198"/>
      <c r="U35" s="198"/>
    </row>
    <row r="36" spans="1:21" s="12" customFormat="1" x14ac:dyDescent="0.25">
      <c r="A36" s="217" t="s">
        <v>941</v>
      </c>
      <c r="B36" s="64">
        <v>8.18</v>
      </c>
      <c r="C36" s="64">
        <v>3.16</v>
      </c>
      <c r="D36" s="64">
        <v>11.98</v>
      </c>
      <c r="E36" s="64">
        <v>4.63</v>
      </c>
      <c r="F36" s="64">
        <v>3.3</v>
      </c>
      <c r="G36" s="64">
        <v>21.64</v>
      </c>
      <c r="H36" s="64">
        <v>5.12</v>
      </c>
      <c r="I36" s="64">
        <v>3.76</v>
      </c>
      <c r="J36" s="64">
        <v>0.16</v>
      </c>
      <c r="K36" s="64">
        <v>234.88</v>
      </c>
      <c r="L36" s="64">
        <v>22.32</v>
      </c>
      <c r="M36" s="64">
        <v>98.35</v>
      </c>
      <c r="N36" s="64">
        <v>56.1</v>
      </c>
      <c r="O36" s="64">
        <v>0</v>
      </c>
      <c r="P36" s="64">
        <v>0.28999999999999998</v>
      </c>
      <c r="Q36" s="64">
        <v>9.1999999999999993</v>
      </c>
      <c r="R36" s="198"/>
      <c r="S36" s="198"/>
      <c r="T36" s="198"/>
      <c r="U36" s="198"/>
    </row>
    <row r="37" spans="1:21" s="12" customFormat="1" x14ac:dyDescent="0.25">
      <c r="A37" s="217" t="s">
        <v>942</v>
      </c>
      <c r="B37" s="64">
        <v>8.19</v>
      </c>
      <c r="C37" s="64">
        <v>3.16</v>
      </c>
      <c r="D37" s="64">
        <v>11.99</v>
      </c>
      <c r="E37" s="64">
        <v>4.7300000000000004</v>
      </c>
      <c r="F37" s="64">
        <v>4.2699999999999996</v>
      </c>
      <c r="G37" s="64">
        <v>18.03</v>
      </c>
      <c r="H37" s="64">
        <v>4.24</v>
      </c>
      <c r="I37" s="64">
        <v>3.61</v>
      </c>
      <c r="J37" s="64">
        <v>0.28999999999999998</v>
      </c>
      <c r="K37" s="64">
        <v>132.96</v>
      </c>
      <c r="L37" s="64">
        <v>22.11</v>
      </c>
      <c r="M37" s="64">
        <v>98.35</v>
      </c>
      <c r="N37" s="64">
        <v>46.5</v>
      </c>
      <c r="O37" s="64">
        <v>2.4</v>
      </c>
      <c r="P37" s="64">
        <v>0.3</v>
      </c>
      <c r="Q37" s="64">
        <v>9.2200000000000006</v>
      </c>
      <c r="R37" s="198"/>
      <c r="S37" s="198"/>
      <c r="T37" s="198"/>
      <c r="U37" s="198"/>
    </row>
    <row r="38" spans="1:21" s="12" customFormat="1" x14ac:dyDescent="0.25">
      <c r="A38" s="217" t="s">
        <v>943</v>
      </c>
      <c r="B38" s="64">
        <v>8.19</v>
      </c>
      <c r="C38" s="64">
        <v>3.13</v>
      </c>
      <c r="D38" s="64">
        <v>11.98</v>
      </c>
      <c r="E38" s="64">
        <v>4.4800000000000004</v>
      </c>
      <c r="F38" s="64">
        <v>3.79</v>
      </c>
      <c r="G38" s="64">
        <v>18.03</v>
      </c>
      <c r="H38" s="64">
        <v>4.24</v>
      </c>
      <c r="I38" s="64">
        <v>3.47</v>
      </c>
      <c r="J38" s="64">
        <v>0.1</v>
      </c>
      <c r="K38" s="64">
        <v>189.98</v>
      </c>
      <c r="L38" s="64">
        <v>21.93</v>
      </c>
      <c r="M38" s="64">
        <v>98.36</v>
      </c>
      <c r="N38" s="64">
        <v>52.2</v>
      </c>
      <c r="O38" s="64">
        <v>2.4</v>
      </c>
      <c r="P38" s="64">
        <v>0.31</v>
      </c>
      <c r="Q38" s="64">
        <v>9.2100000000000009</v>
      </c>
      <c r="R38" s="198"/>
      <c r="S38" s="198"/>
      <c r="T38" s="198"/>
      <c r="U38" s="198"/>
    </row>
    <row r="39" spans="1:21" s="12" customFormat="1" x14ac:dyDescent="0.25">
      <c r="A39" s="217" t="s">
        <v>944</v>
      </c>
      <c r="B39" s="64">
        <v>8.27</v>
      </c>
      <c r="C39" s="64">
        <v>3.33</v>
      </c>
      <c r="D39" s="64">
        <v>12.15</v>
      </c>
      <c r="E39" s="64">
        <v>4.62</v>
      </c>
      <c r="F39" s="64">
        <v>3.61</v>
      </c>
      <c r="G39" s="64">
        <v>18.03</v>
      </c>
      <c r="H39" s="64">
        <v>4.24</v>
      </c>
      <c r="I39" s="64">
        <v>3.39</v>
      </c>
      <c r="J39" s="64">
        <v>0.28999999999999998</v>
      </c>
      <c r="K39" s="64">
        <v>344.23</v>
      </c>
      <c r="L39" s="64">
        <v>21.96</v>
      </c>
      <c r="M39" s="64">
        <v>98.39</v>
      </c>
      <c r="N39" s="64">
        <v>50.5</v>
      </c>
      <c r="O39" s="64">
        <v>0.2</v>
      </c>
      <c r="P39" s="64">
        <v>0.31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17" t="s">
        <v>945</v>
      </c>
      <c r="B40" s="64">
        <v>8.24</v>
      </c>
      <c r="C40" s="64">
        <v>3.27</v>
      </c>
      <c r="D40" s="64">
        <v>12.09</v>
      </c>
      <c r="E40" s="64">
        <v>2.36</v>
      </c>
      <c r="F40" s="64">
        <v>2.77</v>
      </c>
      <c r="G40" s="64">
        <v>16.440000000000001</v>
      </c>
      <c r="H40" s="64">
        <v>4.0999999999999996</v>
      </c>
      <c r="I40" s="64">
        <v>3.3</v>
      </c>
      <c r="J40" s="64">
        <v>0.14000000000000001</v>
      </c>
      <c r="K40" s="64">
        <v>298.07</v>
      </c>
      <c r="L40" s="64">
        <v>22.09</v>
      </c>
      <c r="M40" s="64">
        <v>98.4</v>
      </c>
      <c r="N40" s="64">
        <v>60.8</v>
      </c>
      <c r="O40" s="64">
        <v>0.2</v>
      </c>
      <c r="P40" s="64">
        <v>0.3</v>
      </c>
      <c r="Q40" s="64">
        <v>9.2200000000000006</v>
      </c>
      <c r="R40" s="198"/>
      <c r="S40" s="198"/>
      <c r="T40" s="198"/>
      <c r="U40" s="198"/>
    </row>
    <row r="41" spans="1:21" s="12" customFormat="1" x14ac:dyDescent="0.25">
      <c r="A41" s="217" t="s">
        <v>946</v>
      </c>
      <c r="B41" s="64">
        <v>8.19</v>
      </c>
      <c r="C41" s="64">
        <v>3.13</v>
      </c>
      <c r="D41" s="64">
        <v>11.98</v>
      </c>
      <c r="E41" s="64">
        <v>3.84</v>
      </c>
      <c r="F41" s="64">
        <v>3.33</v>
      </c>
      <c r="G41" s="64">
        <v>14.62</v>
      </c>
      <c r="H41" s="64">
        <v>3.95</v>
      </c>
      <c r="I41" s="64">
        <v>3.18</v>
      </c>
      <c r="J41" s="64">
        <v>0.27</v>
      </c>
      <c r="K41" s="64">
        <v>218.89</v>
      </c>
      <c r="L41" s="64">
        <v>22.19</v>
      </c>
      <c r="M41" s="64">
        <v>98.4</v>
      </c>
      <c r="N41" s="64">
        <v>77.8</v>
      </c>
      <c r="O41" s="64">
        <v>0.2</v>
      </c>
      <c r="P41" s="64">
        <v>0.3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7" t="s">
        <v>947</v>
      </c>
      <c r="B42" s="64">
        <v>8.17</v>
      </c>
      <c r="C42" s="64">
        <v>3.1</v>
      </c>
      <c r="D42" s="64">
        <v>11.95</v>
      </c>
      <c r="E42" s="64">
        <v>4.28</v>
      </c>
      <c r="F42" s="64">
        <v>3.33</v>
      </c>
      <c r="G42" s="64">
        <v>14.62</v>
      </c>
      <c r="H42" s="64">
        <v>3.95</v>
      </c>
      <c r="I42" s="64">
        <v>3.22</v>
      </c>
      <c r="J42" s="64">
        <v>0.37</v>
      </c>
      <c r="K42" s="64">
        <v>243.94</v>
      </c>
      <c r="L42" s="64">
        <v>22.47</v>
      </c>
      <c r="M42" s="64">
        <v>98.4</v>
      </c>
      <c r="N42" s="64">
        <v>148.69999999999999</v>
      </c>
      <c r="O42" s="64">
        <v>0</v>
      </c>
      <c r="P42" s="64">
        <v>0.31</v>
      </c>
      <c r="Q42" s="64">
        <v>9.2100000000000009</v>
      </c>
      <c r="R42" s="198"/>
      <c r="S42" s="198"/>
      <c r="T42" s="198"/>
      <c r="U42" s="198"/>
    </row>
    <row r="43" spans="1:21" s="12" customFormat="1" x14ac:dyDescent="0.25">
      <c r="A43" s="217" t="s">
        <v>948</v>
      </c>
      <c r="B43" s="64">
        <v>8.2100000000000009</v>
      </c>
      <c r="C43" s="64">
        <v>3.11</v>
      </c>
      <c r="D43" s="64">
        <v>11.98</v>
      </c>
      <c r="E43" s="64">
        <v>3.9</v>
      </c>
      <c r="F43" s="64">
        <v>3.24</v>
      </c>
      <c r="G43" s="64">
        <v>14.62</v>
      </c>
      <c r="H43" s="64">
        <v>3.95</v>
      </c>
      <c r="I43" s="64">
        <v>3.38</v>
      </c>
      <c r="J43" s="64">
        <v>0.21</v>
      </c>
      <c r="K43" s="64">
        <v>300.27</v>
      </c>
      <c r="L43" s="64">
        <v>22.91</v>
      </c>
      <c r="M43" s="64">
        <v>98.4</v>
      </c>
      <c r="N43" s="64">
        <v>261.7</v>
      </c>
      <c r="O43" s="64">
        <v>0</v>
      </c>
      <c r="P43" s="64">
        <v>0.31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17" t="s">
        <v>949</v>
      </c>
      <c r="B44" s="64">
        <v>8.2100000000000009</v>
      </c>
      <c r="C44" s="64">
        <v>3.08</v>
      </c>
      <c r="D44" s="64">
        <v>11.97</v>
      </c>
      <c r="E44" s="64">
        <v>4.2300000000000004</v>
      </c>
      <c r="F44" s="64">
        <v>3.15</v>
      </c>
      <c r="G44" s="64">
        <v>13.78</v>
      </c>
      <c r="H44" s="64">
        <v>4.53</v>
      </c>
      <c r="I44" s="64">
        <v>3.53</v>
      </c>
      <c r="J44" s="64">
        <v>0.5</v>
      </c>
      <c r="K44" s="64">
        <v>338.62</v>
      </c>
      <c r="L44" s="64">
        <v>24.17</v>
      </c>
      <c r="M44" s="64">
        <v>98.37</v>
      </c>
      <c r="N44" s="64">
        <v>288.3</v>
      </c>
      <c r="O44" s="64">
        <v>0</v>
      </c>
      <c r="P44" s="64">
        <v>0.32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7" t="s">
        <v>950</v>
      </c>
      <c r="B45" s="64">
        <v>8.24</v>
      </c>
      <c r="C45" s="64">
        <v>3.15</v>
      </c>
      <c r="D45" s="64">
        <v>12.03</v>
      </c>
      <c r="E45" s="64">
        <v>4.1100000000000003</v>
      </c>
      <c r="F45" s="64">
        <v>3.39</v>
      </c>
      <c r="G45" s="64">
        <v>12.82</v>
      </c>
      <c r="H45" s="64">
        <v>5.19</v>
      </c>
      <c r="I45" s="64">
        <v>3.74</v>
      </c>
      <c r="J45" s="64">
        <v>0.44</v>
      </c>
      <c r="K45" s="64">
        <v>352.18</v>
      </c>
      <c r="L45" s="64">
        <v>24.15</v>
      </c>
      <c r="M45" s="64">
        <v>98.35</v>
      </c>
      <c r="N45" s="64">
        <v>200.3</v>
      </c>
      <c r="O45" s="64">
        <v>0</v>
      </c>
      <c r="P45" s="64">
        <v>0.33</v>
      </c>
      <c r="Q45" s="64">
        <v>9.2899999999999991</v>
      </c>
      <c r="R45" s="198"/>
      <c r="S45" s="198"/>
      <c r="T45" s="198"/>
      <c r="U45" s="198"/>
    </row>
    <row r="46" spans="1:21" s="12" customFormat="1" x14ac:dyDescent="0.25">
      <c r="A46" s="217" t="s">
        <v>951</v>
      </c>
      <c r="B46" s="64">
        <v>8.23</v>
      </c>
      <c r="C46" s="64">
        <v>3.2</v>
      </c>
      <c r="D46" s="64">
        <v>12.04</v>
      </c>
      <c r="E46" s="64">
        <v>4.07</v>
      </c>
      <c r="F46" s="64">
        <v>3.55</v>
      </c>
      <c r="G46" s="64">
        <v>12.82</v>
      </c>
      <c r="H46" s="64">
        <v>5.19</v>
      </c>
      <c r="I46" s="64">
        <v>3.97</v>
      </c>
      <c r="J46" s="64">
        <v>0.46</v>
      </c>
      <c r="K46" s="64">
        <v>317.39</v>
      </c>
      <c r="L46" s="64">
        <v>24.66</v>
      </c>
      <c r="M46" s="64">
        <v>98.34</v>
      </c>
      <c r="N46" s="64">
        <v>174.2</v>
      </c>
      <c r="O46" s="64">
        <v>0</v>
      </c>
      <c r="P46" s="64">
        <v>0.34</v>
      </c>
      <c r="Q46" s="64">
        <v>9.26</v>
      </c>
      <c r="R46" s="198"/>
      <c r="S46" s="198"/>
      <c r="T46" s="198"/>
      <c r="U46" s="198"/>
    </row>
    <row r="47" spans="1:21" s="12" customFormat="1" x14ac:dyDescent="0.25">
      <c r="A47" s="217" t="s">
        <v>952</v>
      </c>
      <c r="B47" s="64">
        <v>8.1999999999999993</v>
      </c>
      <c r="C47" s="64">
        <v>3.14</v>
      </c>
      <c r="D47" s="64">
        <v>12</v>
      </c>
      <c r="E47" s="64">
        <v>4.24</v>
      </c>
      <c r="F47" s="64">
        <v>4.37</v>
      </c>
      <c r="G47" s="64">
        <v>12.82</v>
      </c>
      <c r="H47" s="64">
        <v>5.19</v>
      </c>
      <c r="I47" s="64">
        <v>4.09</v>
      </c>
      <c r="J47" s="64">
        <v>0.37</v>
      </c>
      <c r="K47" s="64">
        <v>312.23</v>
      </c>
      <c r="L47" s="64">
        <v>24.91</v>
      </c>
      <c r="M47" s="64">
        <v>98.31</v>
      </c>
      <c r="N47" s="64">
        <v>166.7</v>
      </c>
      <c r="O47" s="64">
        <v>0</v>
      </c>
      <c r="P47" s="64">
        <v>0.35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17" t="s">
        <v>953</v>
      </c>
      <c r="B48" s="64">
        <v>8.2200000000000006</v>
      </c>
      <c r="C48" s="64">
        <v>3.24</v>
      </c>
      <c r="D48" s="64">
        <v>12.06</v>
      </c>
      <c r="E48" s="64">
        <v>4.16</v>
      </c>
      <c r="F48" s="64">
        <v>3.85</v>
      </c>
      <c r="G48" s="64">
        <v>11.15</v>
      </c>
      <c r="H48" s="64">
        <v>4.75</v>
      </c>
      <c r="I48" s="64">
        <v>4.12</v>
      </c>
      <c r="J48" s="64">
        <v>0.35</v>
      </c>
      <c r="K48" s="64">
        <v>308.19</v>
      </c>
      <c r="L48" s="64">
        <v>25.28</v>
      </c>
      <c r="M48" s="64">
        <v>98.02</v>
      </c>
      <c r="N48" s="64">
        <v>262.89999999999998</v>
      </c>
      <c r="O48" s="64">
        <v>0</v>
      </c>
      <c r="P48" s="64">
        <v>0.37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17" t="s">
        <v>954</v>
      </c>
      <c r="B49" s="64">
        <v>8.17</v>
      </c>
      <c r="C49" s="64">
        <v>3.15</v>
      </c>
      <c r="D49" s="64">
        <v>11.97</v>
      </c>
      <c r="E49" s="64">
        <v>4.1900000000000004</v>
      </c>
      <c r="F49" s="64">
        <v>3.59</v>
      </c>
      <c r="G49" s="64">
        <v>9.25</v>
      </c>
      <c r="H49" s="64">
        <v>4.25</v>
      </c>
      <c r="I49" s="64">
        <v>4.13</v>
      </c>
      <c r="J49" s="64">
        <v>0.41</v>
      </c>
      <c r="K49" s="64">
        <v>333.4</v>
      </c>
      <c r="L49" s="64">
        <v>26</v>
      </c>
      <c r="M49" s="64">
        <v>95.63</v>
      </c>
      <c r="N49" s="64">
        <v>379.9</v>
      </c>
      <c r="O49" s="64">
        <v>0</v>
      </c>
      <c r="P49" s="64">
        <v>0.38</v>
      </c>
      <c r="Q49" s="64">
        <v>9.31</v>
      </c>
      <c r="R49" s="198"/>
      <c r="S49" s="198"/>
      <c r="T49" s="198"/>
      <c r="U49" s="198"/>
    </row>
    <row r="50" spans="1:21" s="12" customFormat="1" x14ac:dyDescent="0.25">
      <c r="A50" s="217" t="s">
        <v>955</v>
      </c>
      <c r="B50" s="64">
        <v>8.16</v>
      </c>
      <c r="C50" s="64">
        <v>3.14</v>
      </c>
      <c r="D50" s="64">
        <v>11.96</v>
      </c>
      <c r="E50" s="64">
        <v>4.54</v>
      </c>
      <c r="F50" s="64">
        <v>4.2300000000000004</v>
      </c>
      <c r="G50" s="64">
        <v>9.25</v>
      </c>
      <c r="H50" s="64">
        <v>4.25</v>
      </c>
      <c r="I50" s="64">
        <v>4.0599999999999996</v>
      </c>
      <c r="J50" s="64">
        <v>0.5</v>
      </c>
      <c r="K50" s="64">
        <v>326.69</v>
      </c>
      <c r="L50" s="64">
        <v>27.28</v>
      </c>
      <c r="M50" s="64">
        <v>88.98</v>
      </c>
      <c r="N50" s="64">
        <v>351.5</v>
      </c>
      <c r="O50" s="64">
        <v>0</v>
      </c>
      <c r="P50" s="64">
        <v>0.4</v>
      </c>
      <c r="Q50" s="64">
        <v>9.25</v>
      </c>
      <c r="R50" s="198"/>
      <c r="S50" s="198"/>
      <c r="T50" s="198"/>
      <c r="U50" s="198"/>
    </row>
    <row r="51" spans="1:21" s="12" customFormat="1" x14ac:dyDescent="0.25">
      <c r="A51" s="217" t="s">
        <v>956</v>
      </c>
      <c r="B51" s="64">
        <v>8.2799999999999994</v>
      </c>
      <c r="C51" s="64">
        <v>3.4</v>
      </c>
      <c r="D51" s="64">
        <v>12.19</v>
      </c>
      <c r="E51" s="64">
        <v>4.17</v>
      </c>
      <c r="F51" s="64">
        <v>2.66</v>
      </c>
      <c r="G51" s="64">
        <v>9.25</v>
      </c>
      <c r="H51" s="64">
        <v>4.25</v>
      </c>
      <c r="I51" s="64">
        <v>4.03</v>
      </c>
      <c r="J51" s="64">
        <v>7.0000000000000007E-2</v>
      </c>
      <c r="K51" s="64">
        <v>127.86</v>
      </c>
      <c r="L51" s="64">
        <v>26.97</v>
      </c>
      <c r="M51" s="64">
        <v>88.84</v>
      </c>
      <c r="N51" s="64">
        <v>359.1</v>
      </c>
      <c r="O51" s="64">
        <v>0</v>
      </c>
      <c r="P51" s="64">
        <v>0.41</v>
      </c>
      <c r="Q51" s="64">
        <v>9.31</v>
      </c>
      <c r="R51" s="198"/>
      <c r="S51" s="198"/>
      <c r="T51" s="198"/>
      <c r="U51" s="198"/>
    </row>
    <row r="52" spans="1:21" s="12" customFormat="1" x14ac:dyDescent="0.25">
      <c r="A52" s="217" t="s">
        <v>957</v>
      </c>
      <c r="B52" s="64">
        <v>8.2200000000000006</v>
      </c>
      <c r="C52" s="64">
        <v>3.34</v>
      </c>
      <c r="D52" s="64">
        <v>12.11</v>
      </c>
      <c r="E52" s="64">
        <v>4.3099999999999996</v>
      </c>
      <c r="F52" s="64">
        <v>5.58</v>
      </c>
      <c r="G52" s="64">
        <v>12.6</v>
      </c>
      <c r="H52" s="64">
        <v>5.12</v>
      </c>
      <c r="I52" s="64">
        <v>3.99</v>
      </c>
      <c r="J52" s="64">
        <v>0.22</v>
      </c>
      <c r="K52" s="64">
        <v>325.64999999999998</v>
      </c>
      <c r="L52" s="64">
        <v>27.21</v>
      </c>
      <c r="M52" s="64">
        <v>88.37</v>
      </c>
      <c r="N52" s="64">
        <v>342.7</v>
      </c>
      <c r="O52" s="64">
        <v>0</v>
      </c>
      <c r="P52" s="64">
        <v>0.46</v>
      </c>
      <c r="Q52" s="64">
        <v>0</v>
      </c>
      <c r="R52" s="198"/>
      <c r="S52" s="198"/>
      <c r="T52" s="198"/>
      <c r="U52" s="198"/>
    </row>
    <row r="53" spans="1:21" s="12" customFormat="1" x14ac:dyDescent="0.25">
      <c r="A53" s="217" t="s">
        <v>958</v>
      </c>
      <c r="B53" s="64">
        <v>8.19</v>
      </c>
      <c r="C53" s="64">
        <v>3.26</v>
      </c>
      <c r="D53" s="64">
        <v>12.04</v>
      </c>
      <c r="E53" s="64">
        <v>4.1100000000000003</v>
      </c>
      <c r="F53" s="64">
        <v>5.55</v>
      </c>
      <c r="G53" s="64">
        <v>16.440000000000001</v>
      </c>
      <c r="H53" s="64">
        <v>6.07</v>
      </c>
      <c r="I53" s="64">
        <v>3.87</v>
      </c>
      <c r="J53" s="64">
        <v>0.22</v>
      </c>
      <c r="K53" s="64">
        <v>331.89</v>
      </c>
      <c r="L53" s="64">
        <v>27.32</v>
      </c>
      <c r="M53" s="64">
        <v>87.5</v>
      </c>
      <c r="N53" s="64">
        <v>439.4</v>
      </c>
      <c r="O53" s="64">
        <v>0</v>
      </c>
      <c r="P53" s="64">
        <v>0.48</v>
      </c>
      <c r="Q53" s="64">
        <v>0</v>
      </c>
      <c r="R53" s="198"/>
      <c r="S53" s="198"/>
      <c r="T53" s="198"/>
      <c r="U53" s="198"/>
    </row>
    <row r="54" spans="1:21" s="12" customFormat="1" x14ac:dyDescent="0.25">
      <c r="A54" s="217" t="s">
        <v>959</v>
      </c>
      <c r="B54" s="64">
        <v>8.19</v>
      </c>
      <c r="C54" s="64">
        <v>3.17</v>
      </c>
      <c r="D54" s="64">
        <v>12</v>
      </c>
      <c r="E54" s="64">
        <v>4.42</v>
      </c>
      <c r="F54" s="64">
        <v>2.58</v>
      </c>
      <c r="G54" s="64">
        <v>16.440000000000001</v>
      </c>
      <c r="H54" s="64">
        <v>6.07</v>
      </c>
      <c r="I54" s="64">
        <v>3.43</v>
      </c>
      <c r="J54" s="64">
        <v>0.35</v>
      </c>
      <c r="K54" s="64">
        <v>306.52</v>
      </c>
      <c r="L54" s="64">
        <v>28.18</v>
      </c>
      <c r="M54" s="64">
        <v>83.3</v>
      </c>
      <c r="N54" s="64">
        <v>609.20000000000005</v>
      </c>
      <c r="O54" s="64">
        <v>0</v>
      </c>
      <c r="P54" s="64">
        <v>0.48</v>
      </c>
      <c r="Q54" s="64">
        <v>0</v>
      </c>
      <c r="R54" s="198"/>
      <c r="S54" s="198"/>
      <c r="T54" s="198"/>
      <c r="U54" s="198"/>
    </row>
    <row r="55" spans="1:21" s="12" customFormat="1" x14ac:dyDescent="0.25">
      <c r="A55" s="217" t="s">
        <v>960</v>
      </c>
      <c r="B55" s="64">
        <v>8.2200000000000006</v>
      </c>
      <c r="C55" s="64">
        <v>3.23</v>
      </c>
      <c r="D55" s="64">
        <v>12.05</v>
      </c>
      <c r="E55" s="64">
        <v>4.3499999999999996</v>
      </c>
      <c r="F55" s="64">
        <v>3.33</v>
      </c>
      <c r="G55" s="64">
        <v>16.440000000000001</v>
      </c>
      <c r="H55" s="64">
        <v>6.07</v>
      </c>
      <c r="I55" s="64">
        <v>3.16</v>
      </c>
      <c r="J55" s="64">
        <v>0.4</v>
      </c>
      <c r="K55" s="64">
        <v>349.73</v>
      </c>
      <c r="L55" s="64">
        <v>28.37</v>
      </c>
      <c r="M55" s="64">
        <v>79.72</v>
      </c>
      <c r="N55" s="64">
        <v>805.7</v>
      </c>
      <c r="O55" s="64">
        <v>0</v>
      </c>
      <c r="P55" s="64">
        <v>0.47</v>
      </c>
      <c r="Q55" s="64">
        <v>0</v>
      </c>
      <c r="R55" s="198"/>
      <c r="S55" s="198"/>
      <c r="T55" s="198"/>
      <c r="U55" s="198"/>
    </row>
    <row r="56" spans="1:21" s="12" customFormat="1" x14ac:dyDescent="0.25">
      <c r="A56" s="217" t="s">
        <v>961</v>
      </c>
      <c r="B56" s="64">
        <v>8.18</v>
      </c>
      <c r="C56" s="64">
        <v>3.16</v>
      </c>
      <c r="D56" s="64">
        <v>11.99</v>
      </c>
      <c r="E56" s="64">
        <v>3.46</v>
      </c>
      <c r="F56" s="64">
        <v>4.07</v>
      </c>
      <c r="G56" s="64">
        <v>22.84</v>
      </c>
      <c r="H56" s="64">
        <v>5.97</v>
      </c>
      <c r="I56" s="64">
        <v>3.12</v>
      </c>
      <c r="J56" s="64">
        <v>0.34</v>
      </c>
      <c r="K56" s="64">
        <v>353.17</v>
      </c>
      <c r="L56" s="64">
        <v>28.81</v>
      </c>
      <c r="M56" s="64">
        <v>78.22</v>
      </c>
      <c r="N56" s="64">
        <v>748.2</v>
      </c>
      <c r="O56" s="64">
        <v>0</v>
      </c>
      <c r="P56" s="64">
        <v>0.46</v>
      </c>
      <c r="Q56" s="64">
        <v>0</v>
      </c>
      <c r="R56" s="198"/>
      <c r="S56" s="198"/>
      <c r="T56" s="198"/>
      <c r="U56" s="198"/>
    </row>
    <row r="57" spans="1:21" s="12" customFormat="1" x14ac:dyDescent="0.25">
      <c r="A57" s="217" t="s">
        <v>962</v>
      </c>
      <c r="B57" s="64">
        <v>8.18</v>
      </c>
      <c r="C57" s="64">
        <v>3.13</v>
      </c>
      <c r="D57" s="64">
        <v>11.97</v>
      </c>
      <c r="E57" s="64">
        <v>3.91</v>
      </c>
      <c r="F57" s="64">
        <v>8.26</v>
      </c>
      <c r="G57" s="64">
        <v>30.16</v>
      </c>
      <c r="H57" s="64">
        <v>5.86</v>
      </c>
      <c r="I57" s="64">
        <v>2.99</v>
      </c>
      <c r="J57" s="64">
        <v>0.55000000000000004</v>
      </c>
      <c r="K57" s="64">
        <v>311.26</v>
      </c>
      <c r="L57" s="64">
        <v>29.76</v>
      </c>
      <c r="M57" s="64">
        <v>73.84</v>
      </c>
      <c r="N57" s="64">
        <v>361.1</v>
      </c>
      <c r="O57" s="64">
        <v>0</v>
      </c>
      <c r="P57" s="64">
        <v>0.55000000000000004</v>
      </c>
      <c r="Q57" s="64">
        <v>0</v>
      </c>
      <c r="R57" s="198"/>
      <c r="S57" s="198"/>
      <c r="T57" s="198"/>
      <c r="U57" s="198"/>
    </row>
    <row r="58" spans="1:21" s="12" customFormat="1" x14ac:dyDescent="0.25">
      <c r="A58" s="217" t="s">
        <v>963</v>
      </c>
      <c r="B58" s="64">
        <v>8.1999999999999993</v>
      </c>
      <c r="C58" s="64">
        <v>3.19</v>
      </c>
      <c r="D58" s="64">
        <v>12.02</v>
      </c>
      <c r="E58" s="64">
        <v>4.2300000000000004</v>
      </c>
      <c r="F58" s="64">
        <v>5.31</v>
      </c>
      <c r="G58" s="64">
        <v>30.16</v>
      </c>
      <c r="H58" s="64">
        <v>5.86</v>
      </c>
      <c r="I58" s="64">
        <v>2.89</v>
      </c>
      <c r="J58" s="64">
        <v>0.27</v>
      </c>
      <c r="K58" s="64">
        <v>302.35000000000002</v>
      </c>
      <c r="L58" s="64">
        <v>28.21</v>
      </c>
      <c r="M58" s="64">
        <v>78.69</v>
      </c>
      <c r="N58" s="64">
        <v>211</v>
      </c>
      <c r="O58" s="64">
        <v>0</v>
      </c>
      <c r="P58" s="64">
        <v>0.63</v>
      </c>
      <c r="Q58" s="64">
        <v>9.7899999999999991</v>
      </c>
      <c r="R58" s="198"/>
      <c r="S58" s="198"/>
      <c r="T58" s="198"/>
      <c r="U58" s="198"/>
    </row>
    <row r="59" spans="1:21" s="12" customFormat="1" x14ac:dyDescent="0.25">
      <c r="A59" s="217" t="s">
        <v>964</v>
      </c>
      <c r="B59" s="64">
        <v>8.2100000000000009</v>
      </c>
      <c r="C59" s="64">
        <v>3.21</v>
      </c>
      <c r="D59" s="64">
        <v>12.04</v>
      </c>
      <c r="E59" s="64">
        <v>3.99</v>
      </c>
      <c r="F59" s="64">
        <v>4.18</v>
      </c>
      <c r="G59" s="64">
        <v>30.16</v>
      </c>
      <c r="H59" s="64">
        <v>5.86</v>
      </c>
      <c r="I59" s="64">
        <v>3.14</v>
      </c>
      <c r="J59" s="64">
        <v>0.3</v>
      </c>
      <c r="K59" s="64">
        <v>292.86</v>
      </c>
      <c r="L59" s="64">
        <v>27.48</v>
      </c>
      <c r="M59" s="64">
        <v>81.95</v>
      </c>
      <c r="N59" s="64">
        <v>176.6</v>
      </c>
      <c r="O59" s="64">
        <v>0</v>
      </c>
      <c r="P59" s="64">
        <v>0.65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7" t="s">
        <v>965</v>
      </c>
      <c r="B60" s="64">
        <v>8.2200000000000006</v>
      </c>
      <c r="C60" s="64">
        <v>3.25</v>
      </c>
      <c r="D60" s="64">
        <v>12.06</v>
      </c>
      <c r="E60" s="64">
        <v>4.01</v>
      </c>
      <c r="F60" s="64">
        <v>7.72</v>
      </c>
      <c r="G60" s="64">
        <v>49.31</v>
      </c>
      <c r="H60" s="64">
        <v>10.25</v>
      </c>
      <c r="I60" s="64">
        <v>3.55</v>
      </c>
      <c r="J60" s="64">
        <v>0.35</v>
      </c>
      <c r="K60" s="64">
        <v>269.08999999999997</v>
      </c>
      <c r="L60" s="64">
        <v>27.16</v>
      </c>
      <c r="M60" s="64">
        <v>82.45</v>
      </c>
      <c r="N60" s="64">
        <v>155.80000000000001</v>
      </c>
      <c r="O60" s="64">
        <v>0</v>
      </c>
      <c r="P60" s="64">
        <v>0.67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7" t="s">
        <v>966</v>
      </c>
      <c r="B61" s="64">
        <v>8.23</v>
      </c>
      <c r="C61" s="64">
        <v>3.29</v>
      </c>
      <c r="D61" s="64">
        <v>12.09</v>
      </c>
      <c r="E61" s="64">
        <v>4.16</v>
      </c>
      <c r="F61" s="64">
        <v>5.0999999999999996</v>
      </c>
      <c r="G61" s="64">
        <v>71.19</v>
      </c>
      <c r="H61" s="64">
        <v>15.25</v>
      </c>
      <c r="I61" s="64">
        <v>3.94</v>
      </c>
      <c r="J61" s="64">
        <v>0.12</v>
      </c>
      <c r="K61" s="64">
        <v>310.92</v>
      </c>
      <c r="L61" s="64">
        <v>27.65</v>
      </c>
      <c r="M61" s="64">
        <v>81.680000000000007</v>
      </c>
      <c r="N61" s="64">
        <v>147.30000000000001</v>
      </c>
      <c r="O61" s="64">
        <v>0</v>
      </c>
      <c r="P61" s="64">
        <v>0.6</v>
      </c>
      <c r="Q61" s="64">
        <v>9.2200000000000006</v>
      </c>
      <c r="R61" s="198"/>
      <c r="S61" s="198"/>
      <c r="T61" s="198"/>
      <c r="U61" s="198"/>
    </row>
    <row r="62" spans="1:21" s="12" customFormat="1" x14ac:dyDescent="0.25">
      <c r="A62" s="217" t="s">
        <v>967</v>
      </c>
      <c r="B62" s="64">
        <v>8.2200000000000006</v>
      </c>
      <c r="C62" s="64">
        <v>3.23</v>
      </c>
      <c r="D62" s="64">
        <v>12.06</v>
      </c>
      <c r="E62" s="64">
        <v>3.93</v>
      </c>
      <c r="F62" s="64">
        <v>5.24</v>
      </c>
      <c r="G62" s="64">
        <v>71.19</v>
      </c>
      <c r="H62" s="64">
        <v>15.25</v>
      </c>
      <c r="I62" s="64">
        <v>4.32</v>
      </c>
      <c r="J62" s="64">
        <v>0.69</v>
      </c>
      <c r="K62" s="64">
        <v>160.84</v>
      </c>
      <c r="L62" s="64">
        <v>27.63</v>
      </c>
      <c r="M62" s="64">
        <v>79.59</v>
      </c>
      <c r="N62" s="64">
        <v>180.9</v>
      </c>
      <c r="O62" s="64">
        <v>0</v>
      </c>
      <c r="P62" s="64">
        <v>0.63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7" t="s">
        <v>968</v>
      </c>
      <c r="B63" s="64">
        <v>8.23</v>
      </c>
      <c r="C63" s="64">
        <v>3.2</v>
      </c>
      <c r="D63" s="64">
        <v>12.05</v>
      </c>
      <c r="E63" s="64">
        <v>3.9</v>
      </c>
      <c r="F63" s="64">
        <v>6.1</v>
      </c>
      <c r="G63" s="64">
        <v>71.19</v>
      </c>
      <c r="H63" s="64">
        <v>15.25</v>
      </c>
      <c r="I63" s="64">
        <v>4.76</v>
      </c>
      <c r="J63" s="64">
        <v>0.61</v>
      </c>
      <c r="K63" s="64">
        <v>168.69</v>
      </c>
      <c r="L63" s="64">
        <v>27.64</v>
      </c>
      <c r="M63" s="64">
        <v>80.61</v>
      </c>
      <c r="N63" s="64">
        <v>405.7</v>
      </c>
      <c r="O63" s="64">
        <v>0</v>
      </c>
      <c r="P63" s="64">
        <v>0.62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7" t="s">
        <v>969</v>
      </c>
      <c r="B64" s="64">
        <v>8.25</v>
      </c>
      <c r="C64" s="64">
        <v>3.11</v>
      </c>
      <c r="D64" s="64">
        <v>12.01</v>
      </c>
      <c r="E64" s="64">
        <v>3.84</v>
      </c>
      <c r="F64" s="64">
        <v>6.15</v>
      </c>
      <c r="G64" s="64">
        <v>61.47</v>
      </c>
      <c r="H64" s="64">
        <v>15.85</v>
      </c>
      <c r="I64" s="64">
        <v>5.19</v>
      </c>
      <c r="J64" s="64">
        <v>0.66</v>
      </c>
      <c r="K64" s="64">
        <v>132.69999999999999</v>
      </c>
      <c r="L64" s="64">
        <v>28.53</v>
      </c>
      <c r="M64" s="64">
        <v>77.790000000000006</v>
      </c>
      <c r="N64" s="64">
        <v>814.1</v>
      </c>
      <c r="O64" s="64">
        <v>0</v>
      </c>
      <c r="P64" s="64">
        <v>0.62</v>
      </c>
      <c r="Q64" s="64">
        <v>9.2100000000000009</v>
      </c>
      <c r="R64" s="198"/>
      <c r="S64" s="198"/>
      <c r="T64" s="198"/>
      <c r="U64" s="198"/>
    </row>
    <row r="65" spans="1:21" s="12" customFormat="1" x14ac:dyDescent="0.25">
      <c r="A65" s="217" t="s">
        <v>970</v>
      </c>
      <c r="B65" s="64">
        <v>8.23</v>
      </c>
      <c r="C65" s="64">
        <v>3.12</v>
      </c>
      <c r="D65" s="64">
        <v>12.01</v>
      </c>
      <c r="E65" s="64">
        <v>3.89</v>
      </c>
      <c r="F65" s="64">
        <v>8.08</v>
      </c>
      <c r="G65" s="64">
        <v>50.36</v>
      </c>
      <c r="H65" s="64">
        <v>16.5</v>
      </c>
      <c r="I65" s="64">
        <v>5.52</v>
      </c>
      <c r="J65" s="64">
        <v>0.8</v>
      </c>
      <c r="K65" s="64">
        <v>353.91</v>
      </c>
      <c r="L65" s="64">
        <v>30.05</v>
      </c>
      <c r="M65" s="64">
        <v>71.56</v>
      </c>
      <c r="N65" s="64">
        <v>608.29999999999995</v>
      </c>
      <c r="O65" s="64">
        <v>0</v>
      </c>
      <c r="P65" s="64">
        <v>0.63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17" t="s">
        <v>971</v>
      </c>
      <c r="B66" s="64">
        <v>8.2100000000000009</v>
      </c>
      <c r="C66" s="64">
        <v>3.15</v>
      </c>
      <c r="D66" s="64">
        <v>12</v>
      </c>
      <c r="E66" s="64">
        <v>3.91</v>
      </c>
      <c r="F66" s="64">
        <v>6.37</v>
      </c>
      <c r="G66" s="64">
        <v>50.36</v>
      </c>
      <c r="H66" s="64">
        <v>16.5</v>
      </c>
      <c r="I66" s="64">
        <v>5.75</v>
      </c>
      <c r="J66" s="64">
        <v>0.56999999999999995</v>
      </c>
      <c r="K66" s="64">
        <v>133.13999999999999</v>
      </c>
      <c r="L66" s="64">
        <v>29.6</v>
      </c>
      <c r="M66" s="64">
        <v>71.05</v>
      </c>
      <c r="N66" s="64">
        <v>648.29999999999995</v>
      </c>
      <c r="O66" s="64">
        <v>0</v>
      </c>
      <c r="P66" s="64">
        <v>0.65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17" t="s">
        <v>972</v>
      </c>
      <c r="B67" s="64">
        <v>8.19</v>
      </c>
      <c r="C67" s="64">
        <v>3.12</v>
      </c>
      <c r="D67" s="64">
        <v>11.97</v>
      </c>
      <c r="E67" s="64">
        <v>3.99</v>
      </c>
      <c r="F67" s="64">
        <v>3.18</v>
      </c>
      <c r="G67" s="64">
        <v>50.36</v>
      </c>
      <c r="H67" s="64">
        <v>16.5</v>
      </c>
      <c r="I67" s="64">
        <v>5.95</v>
      </c>
      <c r="J67" s="64">
        <v>1.1100000000000001</v>
      </c>
      <c r="K67" s="64">
        <v>125.47</v>
      </c>
      <c r="L67" s="64">
        <v>28.78</v>
      </c>
      <c r="M67" s="64">
        <v>71.7</v>
      </c>
      <c r="N67" s="64">
        <v>212.5</v>
      </c>
      <c r="O67" s="64">
        <v>0</v>
      </c>
      <c r="P67" s="64">
        <v>0.65</v>
      </c>
      <c r="Q67" s="64">
        <v>9.2100000000000009</v>
      </c>
      <c r="R67" s="198"/>
      <c r="S67" s="198"/>
      <c r="T67" s="198"/>
      <c r="U67" s="198"/>
    </row>
    <row r="68" spans="1:21" s="12" customFormat="1" x14ac:dyDescent="0.25">
      <c r="A68" s="217" t="s">
        <v>973</v>
      </c>
      <c r="B68" s="64">
        <v>8.1999999999999993</v>
      </c>
      <c r="C68" s="64">
        <v>3.19</v>
      </c>
      <c r="D68" s="64">
        <v>12.02</v>
      </c>
      <c r="E68" s="64">
        <v>3.95</v>
      </c>
      <c r="F68" s="64">
        <v>3.68</v>
      </c>
      <c r="G68" s="64">
        <v>66.77</v>
      </c>
      <c r="H68" s="64">
        <v>19.13</v>
      </c>
      <c r="I68" s="64">
        <v>6.1</v>
      </c>
      <c r="J68" s="64">
        <v>0.99</v>
      </c>
      <c r="K68" s="64">
        <v>115.28</v>
      </c>
      <c r="L68" s="64">
        <v>28.8</v>
      </c>
      <c r="M68" s="64">
        <v>69.599999999999994</v>
      </c>
      <c r="N68" s="64">
        <v>212.8</v>
      </c>
      <c r="O68" s="64">
        <v>0</v>
      </c>
      <c r="P68" s="64">
        <v>0.64</v>
      </c>
      <c r="Q68" s="64">
        <v>9.14</v>
      </c>
      <c r="R68" s="198"/>
      <c r="S68" s="198"/>
      <c r="T68" s="198"/>
      <c r="U68" s="198"/>
    </row>
    <row r="69" spans="1:21" s="12" customFormat="1" x14ac:dyDescent="0.25">
      <c r="A69" s="217" t="s">
        <v>974</v>
      </c>
      <c r="B69" s="64">
        <v>8.1999999999999993</v>
      </c>
      <c r="C69" s="64">
        <v>3.21</v>
      </c>
      <c r="D69" s="64">
        <v>12.03</v>
      </c>
      <c r="E69" s="64">
        <v>4.22</v>
      </c>
      <c r="F69" s="64">
        <v>5.15</v>
      </c>
      <c r="G69" s="64">
        <v>85.52</v>
      </c>
      <c r="H69" s="64">
        <v>22.01</v>
      </c>
      <c r="I69" s="64">
        <v>6.25</v>
      </c>
      <c r="J69" s="64">
        <v>0.7</v>
      </c>
      <c r="K69" s="64">
        <v>99.24</v>
      </c>
      <c r="L69" s="64">
        <v>28.95</v>
      </c>
      <c r="M69" s="64">
        <v>70.150000000000006</v>
      </c>
      <c r="N69" s="64">
        <v>220.8</v>
      </c>
      <c r="O69" s="64">
        <v>0</v>
      </c>
      <c r="P69" s="64">
        <v>0.61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7" t="s">
        <v>975</v>
      </c>
      <c r="B70" s="64">
        <v>8.24</v>
      </c>
      <c r="C70" s="64">
        <v>3.28</v>
      </c>
      <c r="D70" s="64">
        <v>12.1</v>
      </c>
      <c r="E70" s="64">
        <v>3.69</v>
      </c>
      <c r="F70" s="64">
        <v>4.6100000000000003</v>
      </c>
      <c r="G70" s="64">
        <v>85.52</v>
      </c>
      <c r="H70" s="64">
        <v>22.01</v>
      </c>
      <c r="I70" s="64">
        <v>6.47</v>
      </c>
      <c r="J70" s="64">
        <v>0.3</v>
      </c>
      <c r="K70" s="64">
        <v>115.34</v>
      </c>
      <c r="L70" s="64">
        <v>29.23</v>
      </c>
      <c r="M70" s="64">
        <v>67.010000000000005</v>
      </c>
      <c r="N70" s="64">
        <v>280.39999999999998</v>
      </c>
      <c r="O70" s="64">
        <v>0</v>
      </c>
      <c r="P70" s="64">
        <v>0.59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17" t="s">
        <v>976</v>
      </c>
      <c r="B71" s="64">
        <v>8.2200000000000006</v>
      </c>
      <c r="C71" s="64">
        <v>3.19</v>
      </c>
      <c r="D71" s="64">
        <v>12.03</v>
      </c>
      <c r="E71" s="64">
        <v>3.7</v>
      </c>
      <c r="F71" s="64">
        <v>4.01</v>
      </c>
      <c r="G71" s="64">
        <v>85.52</v>
      </c>
      <c r="H71" s="64">
        <v>22.01</v>
      </c>
      <c r="I71" s="64">
        <v>6.78</v>
      </c>
      <c r="J71" s="64">
        <v>0.84</v>
      </c>
      <c r="K71" s="64">
        <v>105.63</v>
      </c>
      <c r="L71" s="64">
        <v>29.35</v>
      </c>
      <c r="M71" s="64">
        <v>65.52</v>
      </c>
      <c r="N71" s="64">
        <v>164.7</v>
      </c>
      <c r="O71" s="64">
        <v>0</v>
      </c>
      <c r="P71" s="64">
        <v>0.56999999999999995</v>
      </c>
      <c r="Q71" s="64">
        <v>9.2799999999999994</v>
      </c>
      <c r="R71" s="198"/>
      <c r="S71" s="198"/>
      <c r="T71" s="198"/>
      <c r="U71" s="198"/>
    </row>
    <row r="72" spans="1:21" s="12" customFormat="1" x14ac:dyDescent="0.25">
      <c r="A72" s="217" t="s">
        <v>977</v>
      </c>
      <c r="B72" s="64">
        <v>8.2200000000000006</v>
      </c>
      <c r="C72" s="64">
        <v>3.13</v>
      </c>
      <c r="D72" s="64">
        <v>12</v>
      </c>
      <c r="E72" s="64">
        <v>3.44</v>
      </c>
      <c r="F72" s="64">
        <v>3.85</v>
      </c>
      <c r="G72" s="64">
        <v>71.23</v>
      </c>
      <c r="H72" s="64">
        <v>21.91</v>
      </c>
      <c r="I72" s="64">
        <v>6.71</v>
      </c>
      <c r="J72" s="64">
        <v>1.07</v>
      </c>
      <c r="K72" s="64">
        <v>110.2</v>
      </c>
      <c r="L72" s="64">
        <v>29.2</v>
      </c>
      <c r="M72" s="64">
        <v>67.34</v>
      </c>
      <c r="N72" s="64">
        <v>167.8</v>
      </c>
      <c r="O72" s="64">
        <v>0</v>
      </c>
      <c r="P72" s="64">
        <v>0.54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7" t="s">
        <v>978</v>
      </c>
      <c r="B73" s="64">
        <v>8.2100000000000009</v>
      </c>
      <c r="C73" s="64">
        <v>3.15</v>
      </c>
      <c r="D73" s="64">
        <v>12.01</v>
      </c>
      <c r="E73" s="64">
        <v>4.72</v>
      </c>
      <c r="F73" s="64">
        <v>4.2</v>
      </c>
      <c r="G73" s="64">
        <v>54.9</v>
      </c>
      <c r="H73" s="64">
        <v>21.8</v>
      </c>
      <c r="I73" s="64">
        <v>6.52</v>
      </c>
      <c r="J73" s="64">
        <v>1.2</v>
      </c>
      <c r="K73" s="64">
        <v>167.1</v>
      </c>
      <c r="L73" s="64">
        <v>28.06</v>
      </c>
      <c r="M73" s="64">
        <v>79.45</v>
      </c>
      <c r="N73" s="64">
        <v>150.9</v>
      </c>
      <c r="O73" s="64">
        <v>0</v>
      </c>
      <c r="P73" s="64">
        <v>0.51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7" t="s">
        <v>979</v>
      </c>
      <c r="B74" s="64">
        <v>8.2200000000000006</v>
      </c>
      <c r="C74" s="64">
        <v>3.21</v>
      </c>
      <c r="D74" s="64">
        <v>12.05</v>
      </c>
      <c r="E74" s="64">
        <v>4.66</v>
      </c>
      <c r="F74" s="64">
        <v>4.29</v>
      </c>
      <c r="G74" s="64">
        <v>54.9</v>
      </c>
      <c r="H74" s="64">
        <v>21.8</v>
      </c>
      <c r="I74" s="64">
        <v>6.54</v>
      </c>
      <c r="J74" s="64">
        <v>1.36</v>
      </c>
      <c r="K74" s="64">
        <v>104.55</v>
      </c>
      <c r="L74" s="64">
        <v>27.18</v>
      </c>
      <c r="M74" s="64">
        <v>81.599999999999994</v>
      </c>
      <c r="N74" s="64">
        <v>88.8</v>
      </c>
      <c r="O74" s="64">
        <v>0</v>
      </c>
      <c r="P74" s="64">
        <v>0.5</v>
      </c>
      <c r="Q74" s="64">
        <v>9.36</v>
      </c>
      <c r="R74" s="198"/>
      <c r="S74" s="198"/>
      <c r="T74" s="198"/>
      <c r="U74" s="198"/>
    </row>
    <row r="75" spans="1:21" s="12" customFormat="1" x14ac:dyDescent="0.25">
      <c r="A75" s="217" t="s">
        <v>980</v>
      </c>
      <c r="B75" s="64">
        <v>8.24</v>
      </c>
      <c r="C75" s="64">
        <v>3.27</v>
      </c>
      <c r="D75" s="64">
        <v>12.09</v>
      </c>
      <c r="E75" s="64">
        <v>4.91</v>
      </c>
      <c r="F75" s="64">
        <v>3.4</v>
      </c>
      <c r="G75" s="64">
        <v>54.9</v>
      </c>
      <c r="H75" s="64">
        <v>21.8</v>
      </c>
      <c r="I75" s="64">
        <v>6.68</v>
      </c>
      <c r="J75" s="64">
        <v>0.63</v>
      </c>
      <c r="K75" s="64">
        <v>115.54</v>
      </c>
      <c r="L75" s="64">
        <v>26.75</v>
      </c>
      <c r="M75" s="64">
        <v>84.17</v>
      </c>
      <c r="N75" s="64">
        <v>97</v>
      </c>
      <c r="O75" s="64">
        <v>0</v>
      </c>
      <c r="P75" s="64">
        <v>0.47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7" t="s">
        <v>981</v>
      </c>
      <c r="B76" s="64">
        <v>8.2100000000000009</v>
      </c>
      <c r="C76" s="64">
        <v>3.19</v>
      </c>
      <c r="D76" s="64">
        <v>12.02</v>
      </c>
      <c r="E76" s="64">
        <v>4.76</v>
      </c>
      <c r="F76" s="64">
        <v>3.54</v>
      </c>
      <c r="G76" s="64">
        <v>41.4</v>
      </c>
      <c r="H76" s="64">
        <v>19.16</v>
      </c>
      <c r="I76" s="64">
        <v>6.81</v>
      </c>
      <c r="J76" s="64">
        <v>1</v>
      </c>
      <c r="K76" s="64">
        <v>109.61</v>
      </c>
      <c r="L76" s="64">
        <v>26.86</v>
      </c>
      <c r="M76" s="64">
        <v>84.82</v>
      </c>
      <c r="N76" s="64">
        <v>84.5</v>
      </c>
      <c r="O76" s="64">
        <v>0</v>
      </c>
      <c r="P76" s="64">
        <v>0.46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7" t="s">
        <v>982</v>
      </c>
      <c r="B77" s="64">
        <v>8.27</v>
      </c>
      <c r="C77" s="64">
        <v>3.24</v>
      </c>
      <c r="D77" s="64">
        <v>12.1</v>
      </c>
      <c r="E77" s="64">
        <v>4.83</v>
      </c>
      <c r="F77" s="64">
        <v>3.38</v>
      </c>
      <c r="G77" s="64">
        <v>25.97</v>
      </c>
      <c r="H77" s="64">
        <v>16.149999999999999</v>
      </c>
      <c r="I77" s="64">
        <v>6.74</v>
      </c>
      <c r="J77" s="64">
        <v>1</v>
      </c>
      <c r="K77" s="64">
        <v>161.47999999999999</v>
      </c>
      <c r="L77" s="64">
        <v>27.09</v>
      </c>
      <c r="M77" s="64">
        <v>82.44</v>
      </c>
      <c r="N77" s="64">
        <v>86.8</v>
      </c>
      <c r="O77" s="64">
        <v>0</v>
      </c>
      <c r="P77" s="64">
        <v>0.43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7" t="s">
        <v>983</v>
      </c>
      <c r="B78" s="64">
        <v>8.25</v>
      </c>
      <c r="C78" s="64">
        <v>3.19</v>
      </c>
      <c r="D78" s="64">
        <v>12.06</v>
      </c>
      <c r="E78" s="64">
        <v>4.3499999999999996</v>
      </c>
      <c r="F78" s="64">
        <v>3.79</v>
      </c>
      <c r="G78" s="64">
        <v>25.97</v>
      </c>
      <c r="H78" s="64">
        <v>16.149999999999999</v>
      </c>
      <c r="I78" s="64">
        <v>6.7</v>
      </c>
      <c r="J78" s="64">
        <v>0.78</v>
      </c>
      <c r="K78" s="64">
        <v>164.72</v>
      </c>
      <c r="L78" s="64">
        <v>27.19</v>
      </c>
      <c r="M78" s="64">
        <v>82.88</v>
      </c>
      <c r="N78" s="64">
        <v>80.2</v>
      </c>
      <c r="O78" s="64">
        <v>0</v>
      </c>
      <c r="P78" s="64">
        <v>0.42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7" t="s">
        <v>984</v>
      </c>
      <c r="B79" s="64">
        <v>8.25</v>
      </c>
      <c r="C79" s="64">
        <v>3.21</v>
      </c>
      <c r="D79" s="64">
        <v>12.07</v>
      </c>
      <c r="E79" s="64">
        <v>4.37</v>
      </c>
      <c r="F79" s="64">
        <v>3.54</v>
      </c>
      <c r="G79" s="64">
        <v>25.97</v>
      </c>
      <c r="H79" s="64">
        <v>16.149999999999999</v>
      </c>
      <c r="I79" s="64">
        <v>6.49</v>
      </c>
      <c r="J79" s="64">
        <v>0.86</v>
      </c>
      <c r="K79" s="64">
        <v>117.72</v>
      </c>
      <c r="L79" s="64">
        <v>27.25</v>
      </c>
      <c r="M79" s="64">
        <v>83.39</v>
      </c>
      <c r="N79" s="64">
        <v>56</v>
      </c>
      <c r="O79" s="64">
        <v>0</v>
      </c>
      <c r="P79" s="64">
        <v>0.41</v>
      </c>
      <c r="Q79" s="64">
        <v>9.2799999999999994</v>
      </c>
      <c r="R79" s="198"/>
      <c r="S79" s="198"/>
      <c r="T79" s="198"/>
      <c r="U79" s="198"/>
    </row>
    <row r="80" spans="1:21" s="12" customFormat="1" x14ac:dyDescent="0.25">
      <c r="A80" s="217" t="s">
        <v>985</v>
      </c>
      <c r="B80" s="64">
        <v>8.24</v>
      </c>
      <c r="C80" s="64">
        <v>3.12</v>
      </c>
      <c r="D80" s="64">
        <v>12.01</v>
      </c>
      <c r="E80" s="64">
        <v>4.78</v>
      </c>
      <c r="F80" s="64">
        <v>3.62</v>
      </c>
      <c r="G80" s="64">
        <v>26.77</v>
      </c>
      <c r="H80" s="64">
        <v>16.239999999999998</v>
      </c>
      <c r="I80" s="64">
        <v>6.28</v>
      </c>
      <c r="J80" s="64">
        <v>1.0900000000000001</v>
      </c>
      <c r="K80" s="64">
        <v>102.06</v>
      </c>
      <c r="L80" s="64">
        <v>27.29</v>
      </c>
      <c r="M80" s="64">
        <v>82.26</v>
      </c>
      <c r="N80" s="64">
        <v>40.700000000000003</v>
      </c>
      <c r="O80" s="64">
        <v>0</v>
      </c>
      <c r="P80" s="64">
        <v>0.4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7" t="s">
        <v>986</v>
      </c>
      <c r="B81" s="64">
        <v>8.24</v>
      </c>
      <c r="C81" s="64">
        <v>3.12</v>
      </c>
      <c r="D81" s="64">
        <v>12.02</v>
      </c>
      <c r="E81" s="64">
        <v>4.49</v>
      </c>
      <c r="F81" s="64">
        <v>3.49</v>
      </c>
      <c r="G81" s="64">
        <v>27.69</v>
      </c>
      <c r="H81" s="64">
        <v>16.329999999999998</v>
      </c>
      <c r="I81" s="64">
        <v>6.25</v>
      </c>
      <c r="J81" s="64">
        <v>0.53</v>
      </c>
      <c r="K81" s="64">
        <v>166.36</v>
      </c>
      <c r="L81" s="64">
        <v>27.31</v>
      </c>
      <c r="M81" s="64">
        <v>83.43</v>
      </c>
      <c r="N81" s="64">
        <v>36.799999999999997</v>
      </c>
      <c r="O81" s="64">
        <v>0</v>
      </c>
      <c r="P81" s="64">
        <v>0.39</v>
      </c>
      <c r="Q81" s="64">
        <v>9.32</v>
      </c>
      <c r="R81" s="198"/>
      <c r="S81" s="198"/>
      <c r="T81" s="198"/>
      <c r="U81" s="198"/>
    </row>
    <row r="82" spans="1:26" s="12" customFormat="1" x14ac:dyDescent="0.25">
      <c r="A82" s="217" t="s">
        <v>987</v>
      </c>
      <c r="B82" s="64">
        <v>8.2799999999999994</v>
      </c>
      <c r="C82" s="64">
        <v>3.24</v>
      </c>
      <c r="D82" s="64">
        <v>12.11</v>
      </c>
      <c r="E82" s="64">
        <v>4.5999999999999996</v>
      </c>
      <c r="F82" s="64">
        <v>3.32</v>
      </c>
      <c r="G82" s="64">
        <v>27.69</v>
      </c>
      <c r="H82" s="64">
        <v>16.329999999999998</v>
      </c>
      <c r="I82" s="64">
        <v>6.32</v>
      </c>
      <c r="J82" s="64">
        <v>0.85</v>
      </c>
      <c r="K82" s="64">
        <v>176.4</v>
      </c>
      <c r="L82" s="64">
        <v>27.2</v>
      </c>
      <c r="M82" s="64">
        <v>84.28</v>
      </c>
      <c r="N82" s="64">
        <v>27.4</v>
      </c>
      <c r="O82" s="64">
        <v>0</v>
      </c>
      <c r="P82" s="64">
        <v>0.39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17" t="s">
        <v>988</v>
      </c>
      <c r="B83" s="64">
        <v>8.3000000000000007</v>
      </c>
      <c r="C83" s="64">
        <v>3.27</v>
      </c>
      <c r="D83" s="64">
        <v>12.13</v>
      </c>
      <c r="E83" s="64">
        <v>4.7</v>
      </c>
      <c r="F83" s="64">
        <v>3.29</v>
      </c>
      <c r="G83" s="64">
        <v>27.69</v>
      </c>
      <c r="H83" s="64">
        <v>16.329999999999998</v>
      </c>
      <c r="I83" s="64">
        <v>6.36</v>
      </c>
      <c r="J83" s="64">
        <v>0.81</v>
      </c>
      <c r="K83" s="64">
        <v>157.53</v>
      </c>
      <c r="L83" s="64">
        <v>27.06</v>
      </c>
      <c r="M83" s="64">
        <v>85.42</v>
      </c>
      <c r="N83" s="64">
        <v>20.3</v>
      </c>
      <c r="O83" s="64">
        <v>0</v>
      </c>
      <c r="P83" s="64">
        <v>0.39</v>
      </c>
      <c r="Q83" s="64">
        <v>9.32</v>
      </c>
      <c r="R83" s="198"/>
      <c r="S83" s="198"/>
      <c r="T83" s="198"/>
      <c r="U83" s="198"/>
    </row>
    <row r="84" spans="1:26" s="12" customFormat="1" x14ac:dyDescent="0.25">
      <c r="A84" s="217" t="s">
        <v>989</v>
      </c>
      <c r="B84" s="64">
        <v>8.27</v>
      </c>
      <c r="C84" s="64">
        <v>3.2</v>
      </c>
      <c r="D84" s="64">
        <v>12.08</v>
      </c>
      <c r="E84" s="64">
        <v>4.88</v>
      </c>
      <c r="F84" s="64">
        <v>4.1399999999999997</v>
      </c>
      <c r="G84" s="64">
        <v>28.98</v>
      </c>
      <c r="H84" s="64">
        <v>15.46</v>
      </c>
      <c r="I84" s="64">
        <v>6.33</v>
      </c>
      <c r="J84" s="64">
        <v>0.28999999999999998</v>
      </c>
      <c r="K84" s="64">
        <v>239.27</v>
      </c>
      <c r="L84" s="64">
        <v>26.94</v>
      </c>
      <c r="M84" s="64">
        <v>86.24</v>
      </c>
      <c r="N84" s="64">
        <v>17.8</v>
      </c>
      <c r="O84" s="64">
        <v>0</v>
      </c>
      <c r="P84" s="64">
        <v>0.39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7" t="s">
        <v>990</v>
      </c>
      <c r="B85" s="64">
        <v>8.23</v>
      </c>
      <c r="C85" s="64">
        <v>3.18</v>
      </c>
      <c r="D85" s="64">
        <v>12.04</v>
      </c>
      <c r="E85" s="64">
        <v>4.82</v>
      </c>
      <c r="F85" s="64">
        <v>3.44</v>
      </c>
      <c r="G85" s="64">
        <v>30.39</v>
      </c>
      <c r="H85" s="64">
        <v>14.5</v>
      </c>
      <c r="I85" s="64">
        <v>6.33</v>
      </c>
      <c r="J85" s="64">
        <v>0.59</v>
      </c>
      <c r="K85" s="64">
        <v>345.35</v>
      </c>
      <c r="L85" s="64">
        <v>26.66</v>
      </c>
      <c r="M85" s="64">
        <v>90.34</v>
      </c>
      <c r="N85" s="64">
        <v>17.7</v>
      </c>
      <c r="O85" s="64">
        <v>0</v>
      </c>
      <c r="P85" s="64">
        <v>0.51</v>
      </c>
      <c r="Q85" s="64">
        <v>9.31</v>
      </c>
      <c r="R85" s="198"/>
      <c r="S85" s="198"/>
      <c r="T85" s="198"/>
      <c r="U85" s="198"/>
    </row>
    <row r="86" spans="1:26" s="12" customFormat="1" x14ac:dyDescent="0.25">
      <c r="A86" s="217" t="s">
        <v>991</v>
      </c>
      <c r="B86" s="64">
        <v>8.25</v>
      </c>
      <c r="C86" s="64">
        <v>3.24</v>
      </c>
      <c r="D86" s="64">
        <v>12.08</v>
      </c>
      <c r="E86" s="64">
        <v>4.4400000000000004</v>
      </c>
      <c r="F86" s="64">
        <v>3.02</v>
      </c>
      <c r="G86" s="64">
        <v>30.39</v>
      </c>
      <c r="H86" s="64">
        <v>14.5</v>
      </c>
      <c r="I86" s="64">
        <v>6.28</v>
      </c>
      <c r="J86" s="64">
        <v>0.45</v>
      </c>
      <c r="K86" s="64">
        <v>359.96</v>
      </c>
      <c r="L86" s="64">
        <v>26.31</v>
      </c>
      <c r="M86" s="64">
        <v>95.08</v>
      </c>
      <c r="N86" s="64">
        <v>17.600000000000001</v>
      </c>
      <c r="O86" s="64">
        <v>0</v>
      </c>
      <c r="P86" s="64">
        <v>0.63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7" t="s">
        <v>992</v>
      </c>
      <c r="B87" s="64">
        <v>8.3000000000000007</v>
      </c>
      <c r="C87" s="64">
        <v>3.3</v>
      </c>
      <c r="D87" s="64">
        <v>12.15</v>
      </c>
      <c r="E87" s="64">
        <v>4.8499999999999996</v>
      </c>
      <c r="F87" s="64">
        <v>3.27</v>
      </c>
      <c r="G87" s="64">
        <v>30.39</v>
      </c>
      <c r="H87" s="64">
        <v>14.5</v>
      </c>
      <c r="I87" s="64">
        <v>6.52</v>
      </c>
      <c r="J87" s="64">
        <v>0.23</v>
      </c>
      <c r="K87" s="64">
        <v>189.72</v>
      </c>
      <c r="L87" s="64">
        <v>26.12</v>
      </c>
      <c r="M87" s="64">
        <v>93.87</v>
      </c>
      <c r="N87" s="64">
        <v>17.3</v>
      </c>
      <c r="O87" s="64">
        <v>0</v>
      </c>
      <c r="P87" s="64">
        <v>0.72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7" t="s">
        <v>993</v>
      </c>
      <c r="B88" s="64">
        <v>8.4</v>
      </c>
      <c r="C88" s="64">
        <v>3.45</v>
      </c>
      <c r="D88" s="64">
        <v>12.31</v>
      </c>
      <c r="E88" s="64">
        <v>5.18</v>
      </c>
      <c r="F88" s="64">
        <v>3.47</v>
      </c>
      <c r="G88" s="64">
        <v>48.44</v>
      </c>
      <c r="H88" s="64">
        <v>17.170000000000002</v>
      </c>
      <c r="I88" s="64">
        <v>6.88</v>
      </c>
      <c r="J88" s="64">
        <v>0.47</v>
      </c>
      <c r="K88" s="64">
        <v>209.53</v>
      </c>
      <c r="L88" s="64">
        <v>26.13</v>
      </c>
      <c r="M88" s="64">
        <v>93.24</v>
      </c>
      <c r="N88" s="64">
        <v>17.2</v>
      </c>
      <c r="O88" s="64">
        <v>0</v>
      </c>
      <c r="P88" s="64">
        <v>0.75</v>
      </c>
      <c r="Q88" s="64">
        <v>9.49</v>
      </c>
      <c r="R88" s="198"/>
      <c r="S88" s="198"/>
      <c r="T88" s="198"/>
      <c r="U88" s="198"/>
    </row>
    <row r="89" spans="1:26" s="12" customFormat="1" x14ac:dyDescent="0.25">
      <c r="A89" s="217" t="s">
        <v>994</v>
      </c>
      <c r="B89" s="64">
        <v>8.3000000000000007</v>
      </c>
      <c r="C89" s="64">
        <v>3.28</v>
      </c>
      <c r="D89" s="64">
        <v>12.15</v>
      </c>
      <c r="E89" s="64">
        <v>4.88</v>
      </c>
      <c r="F89" s="64">
        <v>4.29</v>
      </c>
      <c r="G89" s="64">
        <v>69.069999999999993</v>
      </c>
      <c r="H89" s="64">
        <v>20.23</v>
      </c>
      <c r="I89" s="64">
        <v>7.05</v>
      </c>
      <c r="J89" s="64">
        <v>0.43</v>
      </c>
      <c r="K89" s="64">
        <v>193.06</v>
      </c>
      <c r="L89" s="64">
        <v>26.28</v>
      </c>
      <c r="M89" s="64">
        <v>92.74</v>
      </c>
      <c r="N89" s="64">
        <v>17.3</v>
      </c>
      <c r="O89" s="64">
        <v>0</v>
      </c>
      <c r="P89" s="64">
        <v>0.78</v>
      </c>
      <c r="Q89" s="64">
        <v>9.6199999999999992</v>
      </c>
      <c r="R89" s="198"/>
      <c r="S89" s="198"/>
      <c r="T89" s="198"/>
      <c r="U89" s="198"/>
    </row>
    <row r="90" spans="1:26" s="12" customFormat="1" x14ac:dyDescent="0.25">
      <c r="A90" s="217" t="s">
        <v>995</v>
      </c>
      <c r="B90" s="64">
        <v>8.34</v>
      </c>
      <c r="C90" s="64">
        <v>3.37</v>
      </c>
      <c r="D90" s="64">
        <v>12.22</v>
      </c>
      <c r="E90" s="64">
        <v>5.24</v>
      </c>
      <c r="F90" s="64">
        <v>2.7</v>
      </c>
      <c r="G90" s="64">
        <v>69.069999999999993</v>
      </c>
      <c r="H90" s="64">
        <v>20.23</v>
      </c>
      <c r="I90" s="64">
        <v>7.11</v>
      </c>
      <c r="J90" s="64">
        <v>0.22</v>
      </c>
      <c r="K90" s="64">
        <v>220.1</v>
      </c>
      <c r="L90" s="64">
        <v>26.19</v>
      </c>
      <c r="M90" s="64">
        <v>93.61</v>
      </c>
      <c r="N90" s="64">
        <v>17.399999999999999</v>
      </c>
      <c r="O90" s="64">
        <v>0</v>
      </c>
      <c r="P90" s="64">
        <v>0.8</v>
      </c>
      <c r="Q90" s="64">
        <v>9.57</v>
      </c>
      <c r="R90" s="198"/>
      <c r="S90" s="198"/>
      <c r="T90" s="198"/>
      <c r="U90" s="198"/>
    </row>
    <row r="91" spans="1:26" s="12" customFormat="1" x14ac:dyDescent="0.25">
      <c r="A91" s="217" t="s">
        <v>996</v>
      </c>
      <c r="B91" s="64">
        <v>8.36</v>
      </c>
      <c r="C91" s="64">
        <v>3.4</v>
      </c>
      <c r="D91" s="64">
        <v>12.26</v>
      </c>
      <c r="E91" s="64">
        <v>5.07</v>
      </c>
      <c r="F91" s="64">
        <v>3.14</v>
      </c>
      <c r="G91" s="64">
        <v>69.069999999999993</v>
      </c>
      <c r="H91" s="64">
        <v>20.23</v>
      </c>
      <c r="I91" s="64">
        <v>7.12</v>
      </c>
      <c r="J91" s="64">
        <v>0.37</v>
      </c>
      <c r="K91" s="64">
        <v>144.06</v>
      </c>
      <c r="L91" s="64">
        <v>25.88</v>
      </c>
      <c r="M91" s="64">
        <v>96.25</v>
      </c>
      <c r="N91" s="64">
        <v>17.5</v>
      </c>
      <c r="O91" s="64">
        <v>0</v>
      </c>
      <c r="P91" s="64">
        <v>0.79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7" t="s">
        <v>997</v>
      </c>
      <c r="B92" s="64">
        <v>8.32</v>
      </c>
      <c r="C92" s="64">
        <v>3.37</v>
      </c>
      <c r="D92" s="64">
        <v>12.21</v>
      </c>
      <c r="E92" s="64">
        <v>5.07</v>
      </c>
      <c r="F92" s="64">
        <v>3.05</v>
      </c>
      <c r="G92" s="64">
        <v>68.260000000000005</v>
      </c>
      <c r="H92" s="64">
        <v>21.69</v>
      </c>
      <c r="I92" s="64">
        <v>7.02</v>
      </c>
      <c r="J92" s="64">
        <v>0.52</v>
      </c>
      <c r="K92" s="64">
        <v>227.06</v>
      </c>
      <c r="L92" s="64">
        <v>25.81</v>
      </c>
      <c r="M92" s="64">
        <v>96.15</v>
      </c>
      <c r="N92" s="64">
        <v>17.399999999999999</v>
      </c>
      <c r="O92" s="64">
        <v>0</v>
      </c>
      <c r="P92" s="64">
        <v>0.78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7" t="s">
        <v>998</v>
      </c>
      <c r="B93" s="64">
        <v>8.26</v>
      </c>
      <c r="C93" s="64">
        <v>3.22</v>
      </c>
      <c r="D93" s="64">
        <v>12.08</v>
      </c>
      <c r="E93" s="64">
        <v>4.87</v>
      </c>
      <c r="F93" s="64">
        <v>3.2</v>
      </c>
      <c r="G93" s="64">
        <v>67.36</v>
      </c>
      <c r="H93" s="64">
        <v>23.29</v>
      </c>
      <c r="I93" s="64">
        <v>6.85</v>
      </c>
      <c r="J93" s="64">
        <v>0.57999999999999996</v>
      </c>
      <c r="K93" s="64">
        <v>248.58</v>
      </c>
      <c r="L93" s="64">
        <v>25.73</v>
      </c>
      <c r="M93" s="64">
        <v>96.54</v>
      </c>
      <c r="N93" s="64">
        <v>17.399999999999999</v>
      </c>
      <c r="O93" s="64">
        <v>0</v>
      </c>
      <c r="P93" s="64">
        <v>0.77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7" t="s">
        <v>999</v>
      </c>
      <c r="B94" s="64">
        <v>8.32</v>
      </c>
      <c r="C94" s="64">
        <v>3.32</v>
      </c>
      <c r="D94" s="64">
        <v>12.18</v>
      </c>
      <c r="E94" s="64">
        <v>4.5599999999999996</v>
      </c>
      <c r="F94" s="64">
        <v>3.94</v>
      </c>
      <c r="G94" s="64">
        <v>67.36</v>
      </c>
      <c r="H94" s="64">
        <v>23.29</v>
      </c>
      <c r="I94" s="64">
        <v>6.72</v>
      </c>
      <c r="J94" s="64">
        <v>0.51</v>
      </c>
      <c r="K94" s="64">
        <v>262.31</v>
      </c>
      <c r="L94" s="64">
        <v>25.67</v>
      </c>
      <c r="M94" s="64">
        <v>96.87</v>
      </c>
      <c r="N94" s="64">
        <v>17.399999999999999</v>
      </c>
      <c r="O94" s="64">
        <v>0</v>
      </c>
      <c r="P94" s="64">
        <v>0.76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7" t="s">
        <v>1000</v>
      </c>
      <c r="B95" s="64">
        <v>8.3699999999999992</v>
      </c>
      <c r="C95" s="64">
        <v>3.42</v>
      </c>
      <c r="D95" s="64">
        <v>12.27</v>
      </c>
      <c r="E95" s="64">
        <v>5.04</v>
      </c>
      <c r="F95" s="64">
        <v>3.1</v>
      </c>
      <c r="G95" s="64">
        <v>67.36</v>
      </c>
      <c r="H95" s="64">
        <v>23.29</v>
      </c>
      <c r="I95" s="64">
        <v>6.59</v>
      </c>
      <c r="J95" s="64">
        <v>0.19</v>
      </c>
      <c r="K95" s="64">
        <v>218.81</v>
      </c>
      <c r="L95" s="64">
        <v>25.79</v>
      </c>
      <c r="M95" s="64">
        <v>96.61</v>
      </c>
      <c r="N95" s="64">
        <v>17.2</v>
      </c>
      <c r="O95" s="64">
        <v>0</v>
      </c>
      <c r="P95" s="64">
        <v>0.77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7" t="s">
        <v>1001</v>
      </c>
      <c r="B96" s="64">
        <v>8.2899999999999991</v>
      </c>
      <c r="C96" s="64">
        <v>3.26</v>
      </c>
      <c r="D96" s="64">
        <v>12.13</v>
      </c>
      <c r="E96" s="64">
        <v>4.96</v>
      </c>
      <c r="F96" s="64">
        <v>3.86</v>
      </c>
      <c r="G96" s="64">
        <v>64.180000000000007</v>
      </c>
      <c r="H96" s="64">
        <v>20.59</v>
      </c>
      <c r="I96" s="64">
        <v>6.52</v>
      </c>
      <c r="J96" s="64">
        <v>0.23</v>
      </c>
      <c r="K96" s="64">
        <v>202.53</v>
      </c>
      <c r="L96" s="64">
        <v>25.98</v>
      </c>
      <c r="M96" s="64">
        <v>95.36</v>
      </c>
      <c r="N96" s="64">
        <v>17.399999999999999</v>
      </c>
      <c r="O96" s="64">
        <v>0</v>
      </c>
      <c r="P96" s="64">
        <v>0.75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1002</v>
      </c>
      <c r="B97" s="64">
        <v>8.27</v>
      </c>
      <c r="C97" s="64">
        <v>3.19</v>
      </c>
      <c r="D97" s="64">
        <v>12.07</v>
      </c>
      <c r="E97" s="64">
        <v>5.1100000000000003</v>
      </c>
      <c r="F97" s="64">
        <v>3.89</v>
      </c>
      <c r="G97" s="64">
        <v>60.7</v>
      </c>
      <c r="H97" s="64">
        <v>17.64</v>
      </c>
      <c r="I97" s="64">
        <v>6.58</v>
      </c>
      <c r="J97" s="64">
        <v>0.08</v>
      </c>
      <c r="K97" s="64">
        <v>73.180000000000007</v>
      </c>
      <c r="L97" s="64">
        <v>25.99</v>
      </c>
      <c r="M97" s="64">
        <v>95.32</v>
      </c>
      <c r="N97" s="64">
        <v>17.3</v>
      </c>
      <c r="O97" s="64">
        <v>0</v>
      </c>
      <c r="P97" s="64">
        <v>0.75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7" t="s">
        <v>1003</v>
      </c>
      <c r="B98" s="64">
        <v>8.2799999999999994</v>
      </c>
      <c r="C98" s="64">
        <v>3.24</v>
      </c>
      <c r="D98" s="64">
        <v>12.1</v>
      </c>
      <c r="E98" s="64">
        <v>4.71</v>
      </c>
      <c r="F98" s="64">
        <v>3.54</v>
      </c>
      <c r="G98" s="64">
        <v>60.7</v>
      </c>
      <c r="H98" s="64">
        <v>17.64</v>
      </c>
      <c r="I98" s="64">
        <v>6.67</v>
      </c>
      <c r="J98" s="64">
        <v>0.61</v>
      </c>
      <c r="K98" s="64">
        <v>333.88</v>
      </c>
      <c r="L98" s="64">
        <v>25.87</v>
      </c>
      <c r="M98" s="64">
        <v>97.68</v>
      </c>
      <c r="N98" s="64">
        <v>17.600000000000001</v>
      </c>
      <c r="O98" s="64">
        <v>0</v>
      </c>
      <c r="P98" s="64">
        <v>0.76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7" t="s">
        <v>1004</v>
      </c>
      <c r="B99" s="64">
        <v>8.27</v>
      </c>
      <c r="C99" s="64">
        <v>3.15</v>
      </c>
      <c r="D99" s="64">
        <v>12.05</v>
      </c>
      <c r="E99" s="64">
        <v>4.78</v>
      </c>
      <c r="F99" s="64">
        <v>3.06</v>
      </c>
      <c r="G99" s="64">
        <v>60.7</v>
      </c>
      <c r="H99" s="64">
        <v>17.64</v>
      </c>
      <c r="I99" s="64">
        <v>6.75</v>
      </c>
      <c r="J99" s="64">
        <v>0.6</v>
      </c>
      <c r="K99" s="64">
        <v>330.4</v>
      </c>
      <c r="L99" s="64">
        <v>25.57</v>
      </c>
      <c r="M99" s="64">
        <v>98.15</v>
      </c>
      <c r="N99" s="64">
        <v>17.399999999999999</v>
      </c>
      <c r="O99" s="64">
        <v>0</v>
      </c>
      <c r="P99" s="64">
        <v>0.79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7" t="s">
        <v>1005</v>
      </c>
      <c r="B100" s="64">
        <v>8.2899999999999991</v>
      </c>
      <c r="C100" s="64">
        <v>3.21</v>
      </c>
      <c r="D100" s="64">
        <v>12.1</v>
      </c>
      <c r="E100" s="64">
        <v>5.14</v>
      </c>
      <c r="F100" s="64">
        <v>3.08</v>
      </c>
      <c r="G100" s="64">
        <v>65.97</v>
      </c>
      <c r="H100" s="64">
        <v>17.809999999999999</v>
      </c>
      <c r="I100" s="64">
        <v>6.87</v>
      </c>
      <c r="J100" s="64">
        <v>0.54</v>
      </c>
      <c r="K100" s="64">
        <v>309.48</v>
      </c>
      <c r="L100" s="64">
        <v>25.72</v>
      </c>
      <c r="M100" s="64">
        <v>97.86</v>
      </c>
      <c r="N100" s="64">
        <v>17.600000000000001</v>
      </c>
      <c r="O100" s="64">
        <v>0</v>
      </c>
      <c r="P100" s="64">
        <v>0.8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1006</v>
      </c>
      <c r="B101" s="64">
        <v>8.35</v>
      </c>
      <c r="C101" s="64">
        <v>3.24</v>
      </c>
      <c r="D101" s="64">
        <v>12.16</v>
      </c>
      <c r="E101" s="64">
        <v>5.19</v>
      </c>
      <c r="F101" s="64">
        <v>3.43</v>
      </c>
      <c r="G101" s="64">
        <v>71.72</v>
      </c>
      <c r="H101" s="64">
        <v>18.010000000000002</v>
      </c>
      <c r="I101" s="64">
        <v>6.97</v>
      </c>
      <c r="J101" s="64">
        <v>0.74</v>
      </c>
      <c r="K101" s="64">
        <v>155.84</v>
      </c>
      <c r="L101" s="64">
        <v>25.72</v>
      </c>
      <c r="M101" s="64">
        <v>94.87</v>
      </c>
      <c r="N101" s="64">
        <v>17.3</v>
      </c>
      <c r="O101" s="64">
        <v>0</v>
      </c>
      <c r="P101" s="64">
        <v>0.79</v>
      </c>
      <c r="Q101" s="64">
        <v>9.73</v>
      </c>
      <c r="R101" s="198"/>
      <c r="S101" s="198"/>
      <c r="T101" s="198"/>
      <c r="U101" s="198"/>
    </row>
    <row r="102" spans="1:33" s="12" customFormat="1" x14ac:dyDescent="0.25">
      <c r="A102" s="217" t="s">
        <v>1007</v>
      </c>
      <c r="B102" s="64">
        <v>8.34</v>
      </c>
      <c r="C102" s="64">
        <v>3.28</v>
      </c>
      <c r="D102" s="64">
        <v>12.18</v>
      </c>
      <c r="E102" s="64">
        <v>4.96</v>
      </c>
      <c r="F102" s="64">
        <v>3.65</v>
      </c>
      <c r="G102" s="64">
        <v>71.72</v>
      </c>
      <c r="H102" s="64">
        <v>18.010000000000002</v>
      </c>
      <c r="I102" s="64">
        <v>7.05</v>
      </c>
      <c r="J102" s="64">
        <v>0.83</v>
      </c>
      <c r="K102" s="64">
        <v>146.97999999999999</v>
      </c>
      <c r="L102" s="64">
        <v>25.7</v>
      </c>
      <c r="M102" s="64">
        <v>93.87</v>
      </c>
      <c r="N102" s="64">
        <v>17.3</v>
      </c>
      <c r="O102" s="64">
        <v>0</v>
      </c>
      <c r="P102" s="64">
        <v>0.77</v>
      </c>
      <c r="Q102" s="64">
        <v>9.76</v>
      </c>
      <c r="R102" s="198"/>
      <c r="S102" s="198"/>
      <c r="T102" s="198"/>
      <c r="U102" s="198"/>
    </row>
    <row r="103" spans="1:33" s="12" customFormat="1" x14ac:dyDescent="0.25">
      <c r="A103" s="217" t="s">
        <v>1008</v>
      </c>
      <c r="B103" s="64">
        <v>8.3000000000000007</v>
      </c>
      <c r="C103" s="64">
        <v>3.28</v>
      </c>
      <c r="D103" s="64">
        <v>12.14</v>
      </c>
      <c r="E103" s="64">
        <v>5.0199999999999996</v>
      </c>
      <c r="F103" s="64">
        <v>4.51</v>
      </c>
      <c r="G103" s="64">
        <v>71.72</v>
      </c>
      <c r="H103" s="64">
        <v>18.010000000000002</v>
      </c>
      <c r="I103" s="64">
        <v>7.13</v>
      </c>
      <c r="J103" s="64">
        <v>1.04</v>
      </c>
      <c r="K103" s="64">
        <v>150.04</v>
      </c>
      <c r="L103" s="64">
        <v>25.79</v>
      </c>
      <c r="M103" s="64">
        <v>93.7</v>
      </c>
      <c r="N103" s="64">
        <v>17.3</v>
      </c>
      <c r="O103" s="64">
        <v>0</v>
      </c>
      <c r="P103" s="64">
        <v>0.76</v>
      </c>
      <c r="Q103" s="64">
        <v>9.8000000000000007</v>
      </c>
      <c r="R103" s="198"/>
      <c r="S103" s="198"/>
      <c r="T103" s="198"/>
      <c r="U103" s="198"/>
    </row>
    <row r="104" spans="1:33" s="12" customFormat="1" x14ac:dyDescent="0.25">
      <c r="A104" s="217" t="s">
        <v>1009</v>
      </c>
      <c r="B104" s="64">
        <v>8.2899999999999991</v>
      </c>
      <c r="C104" s="64">
        <v>3.19</v>
      </c>
      <c r="D104" s="64">
        <v>12.09</v>
      </c>
      <c r="E104" s="64">
        <v>4.33</v>
      </c>
      <c r="F104" s="64">
        <v>2.75</v>
      </c>
      <c r="G104" s="64">
        <v>64.88</v>
      </c>
      <c r="H104" s="64">
        <v>17.28</v>
      </c>
      <c r="I104" s="64">
        <v>7.04</v>
      </c>
      <c r="J104" s="64">
        <v>1.41</v>
      </c>
      <c r="K104" s="64">
        <v>148.44999999999999</v>
      </c>
      <c r="L104" s="64">
        <v>25.64</v>
      </c>
      <c r="M104" s="64">
        <v>96.83</v>
      </c>
      <c r="N104" s="64">
        <v>17.399999999999999</v>
      </c>
      <c r="O104" s="64">
        <v>0</v>
      </c>
      <c r="P104" s="64">
        <v>0.73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8.11</v>
      </c>
      <c r="C106" s="67">
        <f>MIN(C9:C104)</f>
        <v>3.06</v>
      </c>
      <c r="D106" s="67">
        <f t="shared" ref="D106:Q106" si="0">MIN(D9:D104)</f>
        <v>11.88</v>
      </c>
      <c r="E106" s="67">
        <f t="shared" si="0"/>
        <v>2.36</v>
      </c>
      <c r="F106" s="67">
        <f t="shared" si="0"/>
        <v>2.58</v>
      </c>
      <c r="G106" s="67">
        <f t="shared" si="0"/>
        <v>9.25</v>
      </c>
      <c r="H106" s="67">
        <f t="shared" si="0"/>
        <v>3.95</v>
      </c>
      <c r="I106" s="67">
        <f t="shared" si="0"/>
        <v>2.89</v>
      </c>
      <c r="J106" s="67">
        <f t="shared" si="0"/>
        <v>7.0000000000000007E-2</v>
      </c>
      <c r="K106" s="67">
        <f t="shared" si="0"/>
        <v>3.3</v>
      </c>
      <c r="L106" s="67">
        <f t="shared" si="0"/>
        <v>21.93</v>
      </c>
      <c r="M106" s="67">
        <f t="shared" si="0"/>
        <v>65.52</v>
      </c>
      <c r="N106" s="67">
        <f t="shared" si="0"/>
        <v>17.2</v>
      </c>
      <c r="O106" s="67">
        <f t="shared" si="0"/>
        <v>0</v>
      </c>
      <c r="P106" s="67">
        <f t="shared" si="0"/>
        <v>0.28999999999999998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8.42</v>
      </c>
      <c r="C107" s="66">
        <f t="shared" ref="C107:Q107" si="1">MAX(C9:C104)</f>
        <v>3.49</v>
      </c>
      <c r="D107" s="66">
        <f t="shared" si="1"/>
        <v>12.35</v>
      </c>
      <c r="E107" s="66">
        <f t="shared" si="1"/>
        <v>5.93</v>
      </c>
      <c r="F107" s="66">
        <f t="shared" si="1"/>
        <v>8.26</v>
      </c>
      <c r="G107" s="66">
        <f t="shared" si="1"/>
        <v>85.52</v>
      </c>
      <c r="H107" s="66">
        <f t="shared" si="1"/>
        <v>23.29</v>
      </c>
      <c r="I107" s="66">
        <f t="shared" si="1"/>
        <v>7.13</v>
      </c>
      <c r="J107" s="66">
        <f t="shared" si="1"/>
        <v>1.43</v>
      </c>
      <c r="K107" s="66">
        <f t="shared" si="1"/>
        <v>359.96</v>
      </c>
      <c r="L107" s="66">
        <f t="shared" si="1"/>
        <v>30.05</v>
      </c>
      <c r="M107" s="66">
        <f t="shared" si="1"/>
        <v>98.4</v>
      </c>
      <c r="N107" s="66">
        <f t="shared" si="1"/>
        <v>814.1</v>
      </c>
      <c r="O107" s="66">
        <f t="shared" si="1"/>
        <v>2.4</v>
      </c>
      <c r="P107" s="66">
        <f t="shared" si="1"/>
        <v>0.8</v>
      </c>
      <c r="Q107" s="66">
        <f t="shared" si="1"/>
        <v>9.8000000000000007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8.2460416666666685</v>
      </c>
      <c r="C108" s="67">
        <f t="shared" ref="C108:Q108" si="2">AVERAGE(C9:C104)</f>
        <v>3.2206249999999996</v>
      </c>
      <c r="D108" s="67">
        <f t="shared" si="2"/>
        <v>12.070208333333332</v>
      </c>
      <c r="E108" s="67">
        <f t="shared" si="2"/>
        <v>4.5475000000000003</v>
      </c>
      <c r="F108" s="67">
        <f t="shared" si="2"/>
        <v>3.8488541666666678</v>
      </c>
      <c r="G108" s="67">
        <f t="shared" si="2"/>
        <v>40.199166666666649</v>
      </c>
      <c r="H108" s="67">
        <f t="shared" si="2"/>
        <v>13.021770833333335</v>
      </c>
      <c r="I108" s="67">
        <f t="shared" si="2"/>
        <v>5.4574999999999996</v>
      </c>
      <c r="J108" s="67">
        <f t="shared" si="2"/>
        <v>0.58177083333333346</v>
      </c>
      <c r="K108" s="67">
        <f t="shared" si="2"/>
        <v>203.27895833333341</v>
      </c>
      <c r="L108" s="67">
        <f t="shared" si="2"/>
        <v>25.801979166666658</v>
      </c>
      <c r="M108" s="67">
        <f t="shared" si="2"/>
        <v>90.418854166666691</v>
      </c>
      <c r="N108" s="67">
        <f t="shared" si="2"/>
        <v>130.78333333333322</v>
      </c>
      <c r="O108" s="67">
        <f t="shared" si="2"/>
        <v>5.6250000000000001E-2</v>
      </c>
      <c r="P108" s="67">
        <f t="shared" si="2"/>
        <v>0.52489583333333323</v>
      </c>
      <c r="Q108" s="67">
        <f t="shared" si="2"/>
        <v>8.8040625000000006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5.9585924983508863E-2</v>
      </c>
      <c r="C109" s="67">
        <f t="shared" ref="C109:Q109" si="3">STDEV(C9:C104)</f>
        <v>9.707091818817179E-2</v>
      </c>
      <c r="D109" s="67">
        <f t="shared" si="3"/>
        <v>9.3425784411919441E-2</v>
      </c>
      <c r="E109" s="67">
        <f t="shared" si="3"/>
        <v>0.52800717698470923</v>
      </c>
      <c r="F109" s="67">
        <f t="shared" si="3"/>
        <v>1.072230208777023</v>
      </c>
      <c r="G109" s="67">
        <f t="shared" si="3"/>
        <v>21.767788740859</v>
      </c>
      <c r="H109" s="67">
        <f t="shared" si="3"/>
        <v>6.1948696931695793</v>
      </c>
      <c r="I109" s="67">
        <f t="shared" si="3"/>
        <v>1.3450360981264278</v>
      </c>
      <c r="J109" s="67">
        <f t="shared" si="3"/>
        <v>0.34148281852953771</v>
      </c>
      <c r="K109" s="67">
        <f t="shared" si="3"/>
        <v>91.220856900383978</v>
      </c>
      <c r="L109" s="67">
        <f t="shared" si="3"/>
        <v>2.0223694387845721</v>
      </c>
      <c r="M109" s="67">
        <f t="shared" si="3"/>
        <v>9.2560575749685547</v>
      </c>
      <c r="N109" s="67">
        <f t="shared" si="3"/>
        <v>185.56639536219723</v>
      </c>
      <c r="O109" s="67">
        <f t="shared" si="3"/>
        <v>0.34544022256885637</v>
      </c>
      <c r="P109" s="67">
        <f t="shared" si="3"/>
        <v>0.16051230345803261</v>
      </c>
      <c r="Q109" s="67">
        <f t="shared" si="3"/>
        <v>2.2914268494933268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1010</v>
      </c>
      <c r="B9" s="64">
        <v>8.2899999999999991</v>
      </c>
      <c r="C9" s="64">
        <v>3.21</v>
      </c>
      <c r="D9" s="64">
        <v>12.1</v>
      </c>
      <c r="E9" s="64">
        <v>3.82</v>
      </c>
      <c r="F9" s="64">
        <v>3.18</v>
      </c>
      <c r="G9" s="64">
        <v>57.41</v>
      </c>
      <c r="H9" s="64">
        <v>16.48</v>
      </c>
      <c r="I9" s="64">
        <v>6.93</v>
      </c>
      <c r="J9" s="64">
        <v>1.29</v>
      </c>
      <c r="K9" s="64">
        <v>155.43</v>
      </c>
      <c r="L9" s="64">
        <v>25.2</v>
      </c>
      <c r="M9" s="64">
        <v>96.83</v>
      </c>
      <c r="N9" s="64">
        <v>18</v>
      </c>
      <c r="O9" s="64">
        <v>0</v>
      </c>
      <c r="P9" s="64">
        <v>0.7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7" t="s">
        <v>1011</v>
      </c>
      <c r="B10" s="64">
        <v>8.3699999999999992</v>
      </c>
      <c r="C10" s="64">
        <v>3.41</v>
      </c>
      <c r="D10" s="64">
        <v>12.26</v>
      </c>
      <c r="E10" s="64">
        <v>4.08</v>
      </c>
      <c r="F10" s="64">
        <v>4</v>
      </c>
      <c r="G10" s="64">
        <v>57.41</v>
      </c>
      <c r="H10" s="64">
        <v>16.48</v>
      </c>
      <c r="I10" s="64">
        <v>6.85</v>
      </c>
      <c r="J10" s="64">
        <v>1.7</v>
      </c>
      <c r="K10" s="64">
        <v>147.44999999999999</v>
      </c>
      <c r="L10" s="64">
        <v>24.6</v>
      </c>
      <c r="M10" s="64">
        <v>90.94</v>
      </c>
      <c r="N10" s="64">
        <v>18.3</v>
      </c>
      <c r="O10" s="64">
        <v>0</v>
      </c>
      <c r="P10" s="64">
        <v>0.67</v>
      </c>
      <c r="Q10" s="64">
        <v>9.7200000000000006</v>
      </c>
      <c r="R10" s="198"/>
      <c r="S10" s="198"/>
      <c r="T10" s="198"/>
      <c r="U10" s="198"/>
    </row>
    <row r="11" spans="1:21" s="12" customFormat="1" x14ac:dyDescent="0.25">
      <c r="A11" s="217" t="s">
        <v>1012</v>
      </c>
      <c r="B11" s="64">
        <v>8.34</v>
      </c>
      <c r="C11" s="64">
        <v>3.39</v>
      </c>
      <c r="D11" s="64">
        <v>12.24</v>
      </c>
      <c r="E11" s="64">
        <v>4.21</v>
      </c>
      <c r="F11" s="64">
        <v>3.35</v>
      </c>
      <c r="G11" s="64">
        <v>57.41</v>
      </c>
      <c r="H11" s="64">
        <v>16.48</v>
      </c>
      <c r="I11" s="64">
        <v>6.74</v>
      </c>
      <c r="J11" s="64">
        <v>0.66</v>
      </c>
      <c r="K11" s="64">
        <v>162.86000000000001</v>
      </c>
      <c r="L11" s="64">
        <v>24.16</v>
      </c>
      <c r="M11" s="64">
        <v>93.18</v>
      </c>
      <c r="N11" s="64">
        <v>18.2</v>
      </c>
      <c r="O11" s="64">
        <v>0</v>
      </c>
      <c r="P11" s="64">
        <v>0.65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7" t="s">
        <v>1013</v>
      </c>
      <c r="B12" s="64">
        <v>8.33</v>
      </c>
      <c r="C12" s="64">
        <v>3.41</v>
      </c>
      <c r="D12" s="64">
        <v>12.24</v>
      </c>
      <c r="E12" s="64">
        <v>3.8</v>
      </c>
      <c r="F12" s="64">
        <v>3.11</v>
      </c>
      <c r="G12" s="64">
        <v>48.19</v>
      </c>
      <c r="H12" s="64">
        <v>14.31</v>
      </c>
      <c r="I12" s="64">
        <v>6.72</v>
      </c>
      <c r="J12" s="64">
        <v>0.3</v>
      </c>
      <c r="K12" s="64">
        <v>173.86</v>
      </c>
      <c r="L12" s="64">
        <v>23.75</v>
      </c>
      <c r="M12" s="64">
        <v>96.22</v>
      </c>
      <c r="N12" s="64">
        <v>18.2</v>
      </c>
      <c r="O12" s="64">
        <v>0</v>
      </c>
      <c r="P12" s="64">
        <v>0.61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7" t="s">
        <v>1014</v>
      </c>
      <c r="B13" s="64">
        <v>8.26</v>
      </c>
      <c r="C13" s="64">
        <v>3.24</v>
      </c>
      <c r="D13" s="64">
        <v>12.1</v>
      </c>
      <c r="E13" s="64">
        <v>3.75</v>
      </c>
      <c r="F13" s="64">
        <v>3.63</v>
      </c>
      <c r="G13" s="64">
        <v>38.130000000000003</v>
      </c>
      <c r="H13" s="64">
        <v>11.95</v>
      </c>
      <c r="I13" s="64">
        <v>6.52</v>
      </c>
      <c r="J13" s="64">
        <v>0.48</v>
      </c>
      <c r="K13" s="64">
        <v>157.72999999999999</v>
      </c>
      <c r="L13" s="64">
        <v>23.48</v>
      </c>
      <c r="M13" s="64">
        <v>98.09</v>
      </c>
      <c r="N13" s="64">
        <v>17.8</v>
      </c>
      <c r="O13" s="64">
        <v>0</v>
      </c>
      <c r="P13" s="64">
        <v>0.53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7" t="s">
        <v>1015</v>
      </c>
      <c r="B14" s="64">
        <v>8.25</v>
      </c>
      <c r="C14" s="64">
        <v>3.21</v>
      </c>
      <c r="D14" s="64">
        <v>12.07</v>
      </c>
      <c r="E14" s="64">
        <v>3.82</v>
      </c>
      <c r="F14" s="64">
        <v>4</v>
      </c>
      <c r="G14" s="64">
        <v>38.130000000000003</v>
      </c>
      <c r="H14" s="64">
        <v>11.95</v>
      </c>
      <c r="I14" s="64">
        <v>6.15</v>
      </c>
      <c r="J14" s="64">
        <v>0.08</v>
      </c>
      <c r="K14" s="64">
        <v>235.68</v>
      </c>
      <c r="L14" s="64">
        <v>23.29</v>
      </c>
      <c r="M14" s="64">
        <v>98.2</v>
      </c>
      <c r="N14" s="64">
        <v>17.399999999999999</v>
      </c>
      <c r="O14" s="64">
        <v>0</v>
      </c>
      <c r="P14" s="64">
        <v>0.54</v>
      </c>
      <c r="Q14" s="64">
        <v>9.58</v>
      </c>
      <c r="R14" s="198"/>
      <c r="S14" s="198"/>
      <c r="T14" s="198"/>
      <c r="U14" s="198"/>
    </row>
    <row r="15" spans="1:21" s="12" customFormat="1" x14ac:dyDescent="0.25">
      <c r="A15" s="217" t="s">
        <v>1016</v>
      </c>
      <c r="B15" s="64">
        <v>8.23</v>
      </c>
      <c r="C15" s="64">
        <v>3.2</v>
      </c>
      <c r="D15" s="64">
        <v>12.05</v>
      </c>
      <c r="E15" s="64">
        <v>3.92</v>
      </c>
      <c r="F15" s="64">
        <v>2.6</v>
      </c>
      <c r="G15" s="64">
        <v>38.130000000000003</v>
      </c>
      <c r="H15" s="64">
        <v>11.95</v>
      </c>
      <c r="I15" s="64">
        <v>5.83</v>
      </c>
      <c r="J15" s="64">
        <v>0.4</v>
      </c>
      <c r="K15" s="64">
        <v>164.63</v>
      </c>
      <c r="L15" s="64">
        <v>23.15</v>
      </c>
      <c r="M15" s="64">
        <v>98.03</v>
      </c>
      <c r="N15" s="64">
        <v>17.399999999999999</v>
      </c>
      <c r="O15" s="64">
        <v>0</v>
      </c>
      <c r="P15" s="64">
        <v>0.51</v>
      </c>
      <c r="Q15" s="64">
        <v>9.5</v>
      </c>
      <c r="R15" s="198"/>
      <c r="S15" s="198"/>
      <c r="T15" s="198"/>
      <c r="U15" s="198"/>
    </row>
    <row r="16" spans="1:21" s="12" customFormat="1" x14ac:dyDescent="0.25">
      <c r="A16" s="217" t="s">
        <v>1017</v>
      </c>
      <c r="B16" s="64">
        <v>8.2100000000000009</v>
      </c>
      <c r="C16" s="64">
        <v>3.17</v>
      </c>
      <c r="D16" s="64">
        <v>12.01</v>
      </c>
      <c r="E16" s="64">
        <v>3.87</v>
      </c>
      <c r="F16" s="64">
        <v>3.19</v>
      </c>
      <c r="G16" s="64">
        <v>30.89</v>
      </c>
      <c r="H16" s="64">
        <v>10.32</v>
      </c>
      <c r="I16" s="64">
        <v>5.58</v>
      </c>
      <c r="J16" s="64">
        <v>0.57999999999999996</v>
      </c>
      <c r="K16" s="64">
        <v>181</v>
      </c>
      <c r="L16" s="64">
        <v>23.04</v>
      </c>
      <c r="M16" s="64">
        <v>97.8</v>
      </c>
      <c r="N16" s="64">
        <v>17.2</v>
      </c>
      <c r="O16" s="64">
        <v>0</v>
      </c>
      <c r="P16" s="64">
        <v>0.48</v>
      </c>
      <c r="Q16" s="64">
        <v>9.5</v>
      </c>
      <c r="R16" s="198"/>
      <c r="S16" s="198"/>
      <c r="T16" s="198"/>
      <c r="U16" s="198"/>
    </row>
    <row r="17" spans="1:21" s="12" customFormat="1" x14ac:dyDescent="0.25">
      <c r="A17" s="217" t="s">
        <v>1018</v>
      </c>
      <c r="B17" s="64">
        <v>8.2100000000000009</v>
      </c>
      <c r="C17" s="64">
        <v>3.13</v>
      </c>
      <c r="D17" s="64">
        <v>12</v>
      </c>
      <c r="E17" s="64">
        <v>3.93</v>
      </c>
      <c r="F17" s="64">
        <v>3.68</v>
      </c>
      <c r="G17" s="64">
        <v>22.62</v>
      </c>
      <c r="H17" s="64">
        <v>8.4600000000000009</v>
      </c>
      <c r="I17" s="64">
        <v>5.31</v>
      </c>
      <c r="J17" s="64">
        <v>0.67</v>
      </c>
      <c r="K17" s="64">
        <v>130.87</v>
      </c>
      <c r="L17" s="64">
        <v>23.06</v>
      </c>
      <c r="M17" s="64">
        <v>97.8</v>
      </c>
      <c r="N17" s="64">
        <v>17.2</v>
      </c>
      <c r="O17" s="64">
        <v>0</v>
      </c>
      <c r="P17" s="64">
        <v>0.46</v>
      </c>
      <c r="Q17" s="64">
        <v>9.52</v>
      </c>
      <c r="R17" s="198"/>
      <c r="S17" s="198"/>
      <c r="T17" s="198"/>
      <c r="U17" s="198"/>
    </row>
    <row r="18" spans="1:21" s="12" customFormat="1" x14ac:dyDescent="0.25">
      <c r="A18" s="217" t="s">
        <v>1019</v>
      </c>
      <c r="B18" s="64">
        <v>8.23</v>
      </c>
      <c r="C18" s="64">
        <v>3.16</v>
      </c>
      <c r="D18" s="64">
        <v>12.03</v>
      </c>
      <c r="E18" s="64">
        <v>3.54</v>
      </c>
      <c r="F18" s="64">
        <v>3.89</v>
      </c>
      <c r="G18" s="64">
        <v>22.62</v>
      </c>
      <c r="H18" s="64">
        <v>8.4600000000000009</v>
      </c>
      <c r="I18" s="64">
        <v>5.08</v>
      </c>
      <c r="J18" s="64">
        <v>0.21</v>
      </c>
      <c r="K18" s="64">
        <v>47.23</v>
      </c>
      <c r="L18" s="64">
        <v>23.03</v>
      </c>
      <c r="M18" s="64">
        <v>98.31</v>
      </c>
      <c r="N18" s="64">
        <v>17.2</v>
      </c>
      <c r="O18" s="64">
        <v>0</v>
      </c>
      <c r="P18" s="64">
        <v>0.45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17" t="s">
        <v>1020</v>
      </c>
      <c r="B19" s="64">
        <v>8.25</v>
      </c>
      <c r="C19" s="64">
        <v>3.18</v>
      </c>
      <c r="D19" s="64">
        <v>12.05</v>
      </c>
      <c r="E19" s="64">
        <v>3.49</v>
      </c>
      <c r="F19" s="64">
        <v>3.87</v>
      </c>
      <c r="G19" s="64">
        <v>22.62</v>
      </c>
      <c r="H19" s="64">
        <v>8.4600000000000009</v>
      </c>
      <c r="I19" s="64">
        <v>5.03</v>
      </c>
      <c r="J19" s="64">
        <v>0.72</v>
      </c>
      <c r="K19" s="64">
        <v>314.81</v>
      </c>
      <c r="L19" s="64">
        <v>22.97</v>
      </c>
      <c r="M19" s="64">
        <v>98.32</v>
      </c>
      <c r="N19" s="64">
        <v>17.399999999999999</v>
      </c>
      <c r="O19" s="64">
        <v>0</v>
      </c>
      <c r="P19" s="64">
        <v>0.44</v>
      </c>
      <c r="Q19" s="64">
        <v>9.4499999999999993</v>
      </c>
      <c r="R19" s="198"/>
      <c r="S19" s="198"/>
      <c r="T19" s="198"/>
      <c r="U19" s="198"/>
    </row>
    <row r="20" spans="1:21" s="12" customFormat="1" x14ac:dyDescent="0.25">
      <c r="A20" s="217" t="s">
        <v>1021</v>
      </c>
      <c r="B20" s="64">
        <v>8.26</v>
      </c>
      <c r="C20" s="64">
        <v>3.18</v>
      </c>
      <c r="D20" s="64">
        <v>12.05</v>
      </c>
      <c r="E20" s="64">
        <v>3.7</v>
      </c>
      <c r="F20" s="64">
        <v>3.08</v>
      </c>
      <c r="G20" s="64">
        <v>21.13</v>
      </c>
      <c r="H20" s="64">
        <v>7.42</v>
      </c>
      <c r="I20" s="64">
        <v>5.14</v>
      </c>
      <c r="J20" s="64">
        <v>0.53</v>
      </c>
      <c r="K20" s="64">
        <v>176.5</v>
      </c>
      <c r="L20" s="64">
        <v>22.9</v>
      </c>
      <c r="M20" s="64">
        <v>98.24</v>
      </c>
      <c r="N20" s="64">
        <v>17.2</v>
      </c>
      <c r="O20" s="64">
        <v>0</v>
      </c>
      <c r="P20" s="64">
        <v>0.43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17" t="s">
        <v>1022</v>
      </c>
      <c r="B21" s="64">
        <v>8.27</v>
      </c>
      <c r="C21" s="64">
        <v>3.19</v>
      </c>
      <c r="D21" s="64">
        <v>12.08</v>
      </c>
      <c r="E21" s="64">
        <v>3.84</v>
      </c>
      <c r="F21" s="64">
        <v>3.49</v>
      </c>
      <c r="G21" s="64">
        <v>19.420000000000002</v>
      </c>
      <c r="H21" s="64">
        <v>6.23</v>
      </c>
      <c r="I21" s="64">
        <v>5.23</v>
      </c>
      <c r="J21" s="64">
        <v>0.39</v>
      </c>
      <c r="K21" s="64">
        <v>207.64</v>
      </c>
      <c r="L21" s="64">
        <v>22.98</v>
      </c>
      <c r="M21" s="64">
        <v>97.8</v>
      </c>
      <c r="N21" s="64">
        <v>17.2</v>
      </c>
      <c r="O21" s="64">
        <v>0</v>
      </c>
      <c r="P21" s="64">
        <v>0.42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7" t="s">
        <v>1023</v>
      </c>
      <c r="B22" s="64">
        <v>8.2799999999999994</v>
      </c>
      <c r="C22" s="64">
        <v>3.23</v>
      </c>
      <c r="D22" s="64">
        <v>12.1</v>
      </c>
      <c r="E22" s="64">
        <v>4.03</v>
      </c>
      <c r="F22" s="64">
        <v>3.89</v>
      </c>
      <c r="G22" s="64">
        <v>19.420000000000002</v>
      </c>
      <c r="H22" s="64">
        <v>6.23</v>
      </c>
      <c r="I22" s="64">
        <v>5.27</v>
      </c>
      <c r="J22" s="64">
        <v>0.28999999999999998</v>
      </c>
      <c r="K22" s="64">
        <v>42.51</v>
      </c>
      <c r="L22" s="64">
        <v>23</v>
      </c>
      <c r="M22" s="64">
        <v>97.98</v>
      </c>
      <c r="N22" s="64">
        <v>17.2</v>
      </c>
      <c r="O22" s="64">
        <v>0</v>
      </c>
      <c r="P22" s="64">
        <v>0.41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17" t="s">
        <v>1024</v>
      </c>
      <c r="B23" s="64">
        <v>8.2899999999999991</v>
      </c>
      <c r="C23" s="64">
        <v>3.2</v>
      </c>
      <c r="D23" s="64">
        <v>12.09</v>
      </c>
      <c r="E23" s="64">
        <v>3.46</v>
      </c>
      <c r="F23" s="64">
        <v>3.41</v>
      </c>
      <c r="G23" s="64">
        <v>19.420000000000002</v>
      </c>
      <c r="H23" s="64">
        <v>6.23</v>
      </c>
      <c r="I23" s="64">
        <v>5.33</v>
      </c>
      <c r="J23" s="64">
        <v>0.59</v>
      </c>
      <c r="K23" s="64">
        <v>19.25</v>
      </c>
      <c r="L23" s="64">
        <v>22.87</v>
      </c>
      <c r="M23" s="64">
        <v>98.14</v>
      </c>
      <c r="N23" s="64">
        <v>17.399999999999999</v>
      </c>
      <c r="O23" s="64">
        <v>0</v>
      </c>
      <c r="P23" s="64">
        <v>0.4</v>
      </c>
      <c r="Q23" s="64">
        <v>9.4600000000000009</v>
      </c>
      <c r="R23" s="198"/>
      <c r="S23" s="198"/>
      <c r="T23" s="198"/>
      <c r="U23" s="198"/>
    </row>
    <row r="24" spans="1:21" s="12" customFormat="1" x14ac:dyDescent="0.25">
      <c r="A24" s="217" t="s">
        <v>1025</v>
      </c>
      <c r="B24" s="64">
        <v>8.2799999999999994</v>
      </c>
      <c r="C24" s="64">
        <v>3.17</v>
      </c>
      <c r="D24" s="64">
        <v>12.07</v>
      </c>
      <c r="E24" s="64">
        <v>4.45</v>
      </c>
      <c r="F24" s="64">
        <v>4.04</v>
      </c>
      <c r="G24" s="64">
        <v>15.97</v>
      </c>
      <c r="H24" s="64">
        <v>5.69</v>
      </c>
      <c r="I24" s="64">
        <v>5.33</v>
      </c>
      <c r="J24" s="64">
        <v>0.34</v>
      </c>
      <c r="K24" s="64">
        <v>237.73</v>
      </c>
      <c r="L24" s="64">
        <v>22.86</v>
      </c>
      <c r="M24" s="64">
        <v>97.87</v>
      </c>
      <c r="N24" s="64">
        <v>17.3</v>
      </c>
      <c r="O24" s="64">
        <v>0</v>
      </c>
      <c r="P24" s="64">
        <v>0.4</v>
      </c>
      <c r="Q24" s="64">
        <v>9.4600000000000009</v>
      </c>
      <c r="R24" s="198"/>
      <c r="S24" s="198"/>
      <c r="T24" s="198"/>
      <c r="U24" s="198"/>
    </row>
    <row r="25" spans="1:21" s="12" customFormat="1" x14ac:dyDescent="0.25">
      <c r="A25" s="217" t="s">
        <v>1026</v>
      </c>
      <c r="B25" s="64">
        <v>8.2799999999999994</v>
      </c>
      <c r="C25" s="64">
        <v>3.2</v>
      </c>
      <c r="D25" s="64">
        <v>12.09</v>
      </c>
      <c r="E25" s="64">
        <v>3.7</v>
      </c>
      <c r="F25" s="64">
        <v>4.28</v>
      </c>
      <c r="G25" s="64">
        <v>12.04</v>
      </c>
      <c r="H25" s="64">
        <v>5.08</v>
      </c>
      <c r="I25" s="64">
        <v>5.36</v>
      </c>
      <c r="J25" s="64">
        <v>0.62</v>
      </c>
      <c r="K25" s="64">
        <v>186.6</v>
      </c>
      <c r="L25" s="64">
        <v>22.91</v>
      </c>
      <c r="M25" s="64">
        <v>98.11</v>
      </c>
      <c r="N25" s="64">
        <v>17.100000000000001</v>
      </c>
      <c r="O25" s="64">
        <v>0</v>
      </c>
      <c r="P25" s="64">
        <v>0.4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7" t="s">
        <v>1027</v>
      </c>
      <c r="B26" s="64">
        <v>8.3000000000000007</v>
      </c>
      <c r="C26" s="64">
        <v>3.3</v>
      </c>
      <c r="D26" s="64">
        <v>12.15</v>
      </c>
      <c r="E26" s="64">
        <v>4.18</v>
      </c>
      <c r="F26" s="64">
        <v>3.45</v>
      </c>
      <c r="G26" s="64">
        <v>12.04</v>
      </c>
      <c r="H26" s="64">
        <v>5.08</v>
      </c>
      <c r="I26" s="64">
        <v>5.26</v>
      </c>
      <c r="J26" s="64">
        <v>0.32</v>
      </c>
      <c r="K26" s="64">
        <v>170.33</v>
      </c>
      <c r="L26" s="64">
        <v>22.71</v>
      </c>
      <c r="M26" s="64">
        <v>98.33</v>
      </c>
      <c r="N26" s="64">
        <v>17.2</v>
      </c>
      <c r="O26" s="64">
        <v>0</v>
      </c>
      <c r="P26" s="64">
        <v>0.39</v>
      </c>
      <c r="Q26" s="64">
        <v>9.3000000000000007</v>
      </c>
      <c r="R26" s="198"/>
      <c r="S26" s="198"/>
      <c r="T26" s="198"/>
      <c r="U26" s="198"/>
    </row>
    <row r="27" spans="1:21" s="12" customFormat="1" x14ac:dyDescent="0.25">
      <c r="A27" s="217" t="s">
        <v>1028</v>
      </c>
      <c r="B27" s="64">
        <v>8.23</v>
      </c>
      <c r="C27" s="64">
        <v>3.18</v>
      </c>
      <c r="D27" s="64">
        <v>12.04</v>
      </c>
      <c r="E27" s="64">
        <v>3.77</v>
      </c>
      <c r="F27" s="64">
        <v>3.03</v>
      </c>
      <c r="G27" s="64">
        <v>12.04</v>
      </c>
      <c r="H27" s="64">
        <v>5.08</v>
      </c>
      <c r="I27" s="64">
        <v>5.09</v>
      </c>
      <c r="J27" s="64">
        <v>0.25</v>
      </c>
      <c r="K27" s="64">
        <v>356.21</v>
      </c>
      <c r="L27" s="64">
        <v>22.68</v>
      </c>
      <c r="M27" s="64">
        <v>98.35</v>
      </c>
      <c r="N27" s="64">
        <v>17.3</v>
      </c>
      <c r="O27" s="64">
        <v>0</v>
      </c>
      <c r="P27" s="64">
        <v>0.37</v>
      </c>
      <c r="Q27" s="64">
        <v>9.24</v>
      </c>
      <c r="R27" s="198"/>
      <c r="S27" s="198"/>
      <c r="T27" s="198"/>
      <c r="U27" s="198"/>
    </row>
    <row r="28" spans="1:21" s="12" customFormat="1" x14ac:dyDescent="0.25">
      <c r="A28" s="217" t="s">
        <v>1029</v>
      </c>
      <c r="B28" s="64">
        <v>8.24</v>
      </c>
      <c r="C28" s="64">
        <v>3.17</v>
      </c>
      <c r="D28" s="64">
        <v>12.03</v>
      </c>
      <c r="E28" s="64">
        <v>3.65</v>
      </c>
      <c r="F28" s="64">
        <v>3.05</v>
      </c>
      <c r="G28" s="64">
        <v>13.8</v>
      </c>
      <c r="H28" s="64">
        <v>4.37</v>
      </c>
      <c r="I28" s="64">
        <v>5.0599999999999996</v>
      </c>
      <c r="J28" s="64">
        <v>0.27</v>
      </c>
      <c r="K28" s="64">
        <v>54.09</v>
      </c>
      <c r="L28" s="64">
        <v>22.52</v>
      </c>
      <c r="M28" s="64">
        <v>97.85</v>
      </c>
      <c r="N28" s="64">
        <v>17.399999999999999</v>
      </c>
      <c r="O28" s="64">
        <v>0</v>
      </c>
      <c r="P28" s="64">
        <v>0.36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7" t="s">
        <v>1030</v>
      </c>
      <c r="B29" s="64">
        <v>8.27</v>
      </c>
      <c r="C29" s="64">
        <v>3.22</v>
      </c>
      <c r="D29" s="64">
        <v>12.09</v>
      </c>
      <c r="E29" s="64">
        <v>3.66</v>
      </c>
      <c r="F29" s="64">
        <v>3.6</v>
      </c>
      <c r="G29" s="64">
        <v>15.82</v>
      </c>
      <c r="H29" s="64">
        <v>3.56</v>
      </c>
      <c r="I29" s="64">
        <v>4.76</v>
      </c>
      <c r="J29" s="64">
        <v>0.38</v>
      </c>
      <c r="K29" s="64">
        <v>339.97</v>
      </c>
      <c r="L29" s="64">
        <v>22.53</v>
      </c>
      <c r="M29" s="64">
        <v>98.35</v>
      </c>
      <c r="N29" s="64">
        <v>19.100000000000001</v>
      </c>
      <c r="O29" s="64">
        <v>0</v>
      </c>
      <c r="P29" s="64">
        <v>0.36</v>
      </c>
      <c r="Q29" s="64">
        <v>9.3800000000000008</v>
      </c>
      <c r="R29" s="198"/>
      <c r="S29" s="198"/>
      <c r="T29" s="198"/>
      <c r="U29" s="198"/>
    </row>
    <row r="30" spans="1:21" s="12" customFormat="1" x14ac:dyDescent="0.25">
      <c r="A30" s="217" t="s">
        <v>1031</v>
      </c>
      <c r="B30" s="64">
        <v>8.2799999999999994</v>
      </c>
      <c r="C30" s="64">
        <v>3.32</v>
      </c>
      <c r="D30" s="64">
        <v>12.15</v>
      </c>
      <c r="E30" s="64">
        <v>4.18</v>
      </c>
      <c r="F30" s="64">
        <v>2.64</v>
      </c>
      <c r="G30" s="64">
        <v>15.82</v>
      </c>
      <c r="H30" s="64">
        <v>3.56</v>
      </c>
      <c r="I30" s="64">
        <v>4.49</v>
      </c>
      <c r="J30" s="64">
        <v>0.44</v>
      </c>
      <c r="K30" s="64">
        <v>168.13</v>
      </c>
      <c r="L30" s="64">
        <v>22.46</v>
      </c>
      <c r="M30" s="64">
        <v>98.33</v>
      </c>
      <c r="N30" s="64">
        <v>20.9</v>
      </c>
      <c r="O30" s="64">
        <v>0</v>
      </c>
      <c r="P30" s="64">
        <v>0.36</v>
      </c>
      <c r="Q30" s="64">
        <v>9.2899999999999991</v>
      </c>
      <c r="R30" s="198"/>
      <c r="S30" s="198"/>
      <c r="T30" s="198"/>
      <c r="U30" s="198"/>
    </row>
    <row r="31" spans="1:21" s="12" customFormat="1" x14ac:dyDescent="0.25">
      <c r="A31" s="217" t="s">
        <v>1032</v>
      </c>
      <c r="B31" s="64">
        <v>8.27</v>
      </c>
      <c r="C31" s="64">
        <v>3.25</v>
      </c>
      <c r="D31" s="64">
        <v>12.1</v>
      </c>
      <c r="E31" s="64">
        <v>3.93</v>
      </c>
      <c r="F31" s="64">
        <v>2.41</v>
      </c>
      <c r="G31" s="64">
        <v>15.82</v>
      </c>
      <c r="H31" s="64">
        <v>3.56</v>
      </c>
      <c r="I31" s="64">
        <v>4.4400000000000004</v>
      </c>
      <c r="J31" s="64">
        <v>0.17</v>
      </c>
      <c r="K31" s="64">
        <v>208.36</v>
      </c>
      <c r="L31" s="64">
        <v>22.68</v>
      </c>
      <c r="M31" s="64">
        <v>98.35</v>
      </c>
      <c r="N31" s="64">
        <v>30.8</v>
      </c>
      <c r="O31" s="64">
        <v>0</v>
      </c>
      <c r="P31" s="64">
        <v>0.34</v>
      </c>
      <c r="Q31" s="64">
        <v>9.31</v>
      </c>
      <c r="R31" s="198"/>
      <c r="S31" s="198"/>
      <c r="T31" s="198"/>
      <c r="U31" s="198"/>
    </row>
    <row r="32" spans="1:21" s="12" customFormat="1" x14ac:dyDescent="0.25">
      <c r="A32" s="217" t="s">
        <v>1033</v>
      </c>
      <c r="B32" s="64">
        <v>8.2200000000000006</v>
      </c>
      <c r="C32" s="64">
        <v>3.13</v>
      </c>
      <c r="D32" s="64">
        <v>12</v>
      </c>
      <c r="E32" s="64">
        <v>3.31</v>
      </c>
      <c r="F32" s="64">
        <v>3.45</v>
      </c>
      <c r="G32" s="64">
        <v>13.38</v>
      </c>
      <c r="H32" s="64">
        <v>3.06</v>
      </c>
      <c r="I32" s="64">
        <v>4.4800000000000004</v>
      </c>
      <c r="J32" s="64">
        <v>0.43</v>
      </c>
      <c r="K32" s="64">
        <v>219.23</v>
      </c>
      <c r="L32" s="64">
        <v>22.63</v>
      </c>
      <c r="M32" s="64">
        <v>97.82</v>
      </c>
      <c r="N32" s="64">
        <v>45.9</v>
      </c>
      <c r="O32" s="64">
        <v>0</v>
      </c>
      <c r="P32" s="64">
        <v>0.34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7" t="s">
        <v>1034</v>
      </c>
      <c r="B33" s="64">
        <v>8.19</v>
      </c>
      <c r="C33" s="64">
        <v>3.13</v>
      </c>
      <c r="D33" s="64">
        <v>11.97</v>
      </c>
      <c r="E33" s="64">
        <v>3.92</v>
      </c>
      <c r="F33" s="64">
        <v>3.94</v>
      </c>
      <c r="G33" s="64">
        <v>10.6</v>
      </c>
      <c r="H33" s="64">
        <v>2.4900000000000002</v>
      </c>
      <c r="I33" s="64">
        <v>4.4400000000000004</v>
      </c>
      <c r="J33" s="64">
        <v>0.49</v>
      </c>
      <c r="K33" s="64">
        <v>197.65</v>
      </c>
      <c r="L33" s="64">
        <v>22.89</v>
      </c>
      <c r="M33" s="64">
        <v>98.29</v>
      </c>
      <c r="N33" s="64">
        <v>60.4</v>
      </c>
      <c r="O33" s="64">
        <v>0</v>
      </c>
      <c r="P33" s="64">
        <v>0.34</v>
      </c>
      <c r="Q33" s="64">
        <v>9.4</v>
      </c>
      <c r="R33" s="198"/>
      <c r="S33" s="198"/>
      <c r="T33" s="198"/>
      <c r="U33" s="198"/>
    </row>
    <row r="34" spans="1:21" s="12" customFormat="1" x14ac:dyDescent="0.25">
      <c r="A34" s="217" t="s">
        <v>1035</v>
      </c>
      <c r="B34" s="64">
        <v>8.2100000000000009</v>
      </c>
      <c r="C34" s="64">
        <v>3.16</v>
      </c>
      <c r="D34" s="64">
        <v>12.01</v>
      </c>
      <c r="E34" s="64">
        <v>3.8</v>
      </c>
      <c r="F34" s="64">
        <v>2.7</v>
      </c>
      <c r="G34" s="64">
        <v>10.6</v>
      </c>
      <c r="H34" s="64">
        <v>2.4900000000000002</v>
      </c>
      <c r="I34" s="64">
        <v>4.3899999999999997</v>
      </c>
      <c r="J34" s="64">
        <v>0.39</v>
      </c>
      <c r="K34" s="64">
        <v>180.73</v>
      </c>
      <c r="L34" s="64">
        <v>22.93</v>
      </c>
      <c r="M34" s="64">
        <v>98.27</v>
      </c>
      <c r="N34" s="64">
        <v>67.2</v>
      </c>
      <c r="O34" s="64">
        <v>0</v>
      </c>
      <c r="P34" s="64">
        <v>0.33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17" t="s">
        <v>1036</v>
      </c>
      <c r="B35" s="64">
        <v>8.2100000000000009</v>
      </c>
      <c r="C35" s="64">
        <v>3.17</v>
      </c>
      <c r="D35" s="64">
        <v>12.01</v>
      </c>
      <c r="E35" s="64">
        <v>3.8</v>
      </c>
      <c r="F35" s="64">
        <v>3.83</v>
      </c>
      <c r="G35" s="64">
        <v>10.6</v>
      </c>
      <c r="H35" s="64">
        <v>2.4900000000000002</v>
      </c>
      <c r="I35" s="64">
        <v>4.22</v>
      </c>
      <c r="J35" s="64">
        <v>0.16</v>
      </c>
      <c r="K35" s="64">
        <v>191.97</v>
      </c>
      <c r="L35" s="64">
        <v>23.04</v>
      </c>
      <c r="M35" s="64">
        <v>98.33</v>
      </c>
      <c r="N35" s="64">
        <v>80.5</v>
      </c>
      <c r="O35" s="64">
        <v>0</v>
      </c>
      <c r="P35" s="64">
        <v>0.32</v>
      </c>
      <c r="Q35" s="64">
        <v>9.3699999999999992</v>
      </c>
      <c r="R35" s="198"/>
      <c r="S35" s="198"/>
      <c r="T35" s="198"/>
      <c r="U35" s="198"/>
    </row>
    <row r="36" spans="1:21" s="12" customFormat="1" x14ac:dyDescent="0.25">
      <c r="A36" s="217" t="s">
        <v>1037</v>
      </c>
      <c r="B36" s="64">
        <v>8.2100000000000009</v>
      </c>
      <c r="C36" s="64">
        <v>3.1</v>
      </c>
      <c r="D36" s="64">
        <v>11.98</v>
      </c>
      <c r="E36" s="64">
        <v>3.69</v>
      </c>
      <c r="F36" s="64">
        <v>3.72</v>
      </c>
      <c r="G36" s="64">
        <v>11.76</v>
      </c>
      <c r="H36" s="64">
        <v>2.13</v>
      </c>
      <c r="I36" s="64">
        <v>4.04</v>
      </c>
      <c r="J36" s="64">
        <v>0.1</v>
      </c>
      <c r="K36" s="64">
        <v>278.7</v>
      </c>
      <c r="L36" s="64">
        <v>23.21</v>
      </c>
      <c r="M36" s="64">
        <v>98.33</v>
      </c>
      <c r="N36" s="64">
        <v>80.400000000000006</v>
      </c>
      <c r="O36" s="64">
        <v>0</v>
      </c>
      <c r="P36" s="64">
        <v>0.3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7" t="s">
        <v>1038</v>
      </c>
      <c r="B37" s="64">
        <v>8.27</v>
      </c>
      <c r="C37" s="64">
        <v>3.23</v>
      </c>
      <c r="D37" s="64">
        <v>12.09</v>
      </c>
      <c r="E37" s="64">
        <v>3.78</v>
      </c>
      <c r="F37" s="64">
        <v>3.49</v>
      </c>
      <c r="G37" s="64">
        <v>13.09</v>
      </c>
      <c r="H37" s="64">
        <v>1.74</v>
      </c>
      <c r="I37" s="64">
        <v>3.94</v>
      </c>
      <c r="J37" s="64">
        <v>0.11</v>
      </c>
      <c r="K37" s="64">
        <v>306.63</v>
      </c>
      <c r="L37" s="64">
        <v>23.44</v>
      </c>
      <c r="M37" s="64">
        <v>98.22</v>
      </c>
      <c r="N37" s="64">
        <v>120.4</v>
      </c>
      <c r="O37" s="64">
        <v>0</v>
      </c>
      <c r="P37" s="64">
        <v>0.28999999999999998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7" t="s">
        <v>1039</v>
      </c>
      <c r="B38" s="64">
        <v>8.31</v>
      </c>
      <c r="C38" s="64">
        <v>3.27</v>
      </c>
      <c r="D38" s="64">
        <v>12.14</v>
      </c>
      <c r="E38" s="64">
        <v>4.07</v>
      </c>
      <c r="F38" s="64">
        <v>3.25</v>
      </c>
      <c r="G38" s="64">
        <v>13.09</v>
      </c>
      <c r="H38" s="64">
        <v>1.74</v>
      </c>
      <c r="I38" s="64">
        <v>3.92</v>
      </c>
      <c r="J38" s="64">
        <v>0.32</v>
      </c>
      <c r="K38" s="64">
        <v>156.47999999999999</v>
      </c>
      <c r="L38" s="64">
        <v>23.97</v>
      </c>
      <c r="M38" s="64">
        <v>95.4</v>
      </c>
      <c r="N38" s="64">
        <v>138.9</v>
      </c>
      <c r="O38" s="64">
        <v>0</v>
      </c>
      <c r="P38" s="64">
        <v>0.31</v>
      </c>
      <c r="Q38" s="64">
        <v>9.41</v>
      </c>
      <c r="R38" s="198"/>
      <c r="S38" s="198"/>
      <c r="T38" s="198"/>
      <c r="U38" s="198"/>
    </row>
    <row r="39" spans="1:21" s="12" customFormat="1" x14ac:dyDescent="0.25">
      <c r="A39" s="217" t="s">
        <v>1040</v>
      </c>
      <c r="B39" s="64">
        <v>8.3000000000000007</v>
      </c>
      <c r="C39" s="64">
        <v>3.22</v>
      </c>
      <c r="D39" s="64">
        <v>12.11</v>
      </c>
      <c r="E39" s="64">
        <v>4.04</v>
      </c>
      <c r="F39" s="64">
        <v>3.32</v>
      </c>
      <c r="G39" s="64">
        <v>13.09</v>
      </c>
      <c r="H39" s="64">
        <v>1.74</v>
      </c>
      <c r="I39" s="64">
        <v>3.94</v>
      </c>
      <c r="J39" s="64">
        <v>0.44</v>
      </c>
      <c r="K39" s="64">
        <v>163.72999999999999</v>
      </c>
      <c r="L39" s="64">
        <v>24.04</v>
      </c>
      <c r="M39" s="64">
        <v>94.86</v>
      </c>
      <c r="N39" s="64">
        <v>154.1</v>
      </c>
      <c r="O39" s="64">
        <v>0</v>
      </c>
      <c r="P39" s="64">
        <v>0.3</v>
      </c>
      <c r="Q39" s="64">
        <v>9.4</v>
      </c>
      <c r="R39" s="198"/>
      <c r="S39" s="198"/>
      <c r="T39" s="198"/>
      <c r="U39" s="198"/>
    </row>
    <row r="40" spans="1:21" s="12" customFormat="1" x14ac:dyDescent="0.25">
      <c r="A40" s="217" t="s">
        <v>1041</v>
      </c>
      <c r="B40" s="64">
        <v>8.3000000000000007</v>
      </c>
      <c r="C40" s="64">
        <v>3.17</v>
      </c>
      <c r="D40" s="64">
        <v>12.08</v>
      </c>
      <c r="E40" s="64">
        <v>5.29</v>
      </c>
      <c r="F40" s="64">
        <v>3.45</v>
      </c>
      <c r="G40" s="64">
        <v>12.69</v>
      </c>
      <c r="H40" s="64">
        <v>1.52</v>
      </c>
      <c r="I40" s="64">
        <v>4.0599999999999996</v>
      </c>
      <c r="J40" s="64">
        <v>0.95</v>
      </c>
      <c r="K40" s="64">
        <v>153.01</v>
      </c>
      <c r="L40" s="64">
        <v>24.33</v>
      </c>
      <c r="M40" s="64">
        <v>93.64</v>
      </c>
      <c r="N40" s="64">
        <v>234.1</v>
      </c>
      <c r="O40" s="64">
        <v>0</v>
      </c>
      <c r="P40" s="64">
        <v>0.3</v>
      </c>
      <c r="Q40" s="64">
        <v>9.4</v>
      </c>
      <c r="R40" s="198"/>
      <c r="S40" s="198"/>
      <c r="T40" s="198"/>
      <c r="U40" s="198"/>
    </row>
    <row r="41" spans="1:21" s="12" customFormat="1" x14ac:dyDescent="0.25">
      <c r="A41" s="217" t="s">
        <v>1042</v>
      </c>
      <c r="B41" s="64">
        <v>8.27</v>
      </c>
      <c r="C41" s="64">
        <v>3.15</v>
      </c>
      <c r="D41" s="64">
        <v>12.05</v>
      </c>
      <c r="E41" s="64">
        <v>4.72</v>
      </c>
      <c r="F41" s="64">
        <v>3.28</v>
      </c>
      <c r="G41" s="64">
        <v>12.22</v>
      </c>
      <c r="H41" s="64">
        <v>1.26</v>
      </c>
      <c r="I41" s="64">
        <v>4.22</v>
      </c>
      <c r="J41" s="64">
        <v>0.3</v>
      </c>
      <c r="K41" s="64">
        <v>150.38999999999999</v>
      </c>
      <c r="L41" s="64">
        <v>25.09</v>
      </c>
      <c r="M41" s="64">
        <v>91.22</v>
      </c>
      <c r="N41" s="64">
        <v>292.2</v>
      </c>
      <c r="O41" s="64">
        <v>0</v>
      </c>
      <c r="P41" s="64">
        <v>0.28999999999999998</v>
      </c>
      <c r="Q41" s="64">
        <v>9.4</v>
      </c>
      <c r="R41" s="198"/>
      <c r="S41" s="198"/>
      <c r="T41" s="198"/>
      <c r="U41" s="198"/>
    </row>
    <row r="42" spans="1:21" s="12" customFormat="1" x14ac:dyDescent="0.25">
      <c r="A42" s="217" t="s">
        <v>1043</v>
      </c>
      <c r="B42" s="64">
        <v>8.24</v>
      </c>
      <c r="C42" s="64">
        <v>3.15</v>
      </c>
      <c r="D42" s="64">
        <v>12.03</v>
      </c>
      <c r="E42" s="64">
        <v>4.87</v>
      </c>
      <c r="F42" s="64">
        <v>3.22</v>
      </c>
      <c r="G42" s="64">
        <v>12.22</v>
      </c>
      <c r="H42" s="64">
        <v>1.26</v>
      </c>
      <c r="I42" s="64">
        <v>4.4400000000000004</v>
      </c>
      <c r="J42" s="64">
        <v>0.22</v>
      </c>
      <c r="K42" s="64">
        <v>209.9</v>
      </c>
      <c r="L42" s="64">
        <v>25.12</v>
      </c>
      <c r="M42" s="64">
        <v>90.82</v>
      </c>
      <c r="N42" s="64">
        <v>257.3</v>
      </c>
      <c r="O42" s="64">
        <v>0</v>
      </c>
      <c r="P42" s="64">
        <v>0.28999999999999998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7" t="s">
        <v>1044</v>
      </c>
      <c r="B43" s="64">
        <v>8.24</v>
      </c>
      <c r="C43" s="64">
        <v>3.13</v>
      </c>
      <c r="D43" s="64">
        <v>12.01</v>
      </c>
      <c r="E43" s="64">
        <v>5.33</v>
      </c>
      <c r="F43" s="64">
        <v>3.93</v>
      </c>
      <c r="G43" s="64">
        <v>12.22</v>
      </c>
      <c r="H43" s="64">
        <v>1.26</v>
      </c>
      <c r="I43" s="64">
        <v>4.59</v>
      </c>
      <c r="J43" s="64">
        <v>0.21</v>
      </c>
      <c r="K43" s="64">
        <v>2.12</v>
      </c>
      <c r="L43" s="64">
        <v>25.89</v>
      </c>
      <c r="M43" s="64">
        <v>86.92</v>
      </c>
      <c r="N43" s="64">
        <v>309</v>
      </c>
      <c r="O43" s="64">
        <v>0</v>
      </c>
      <c r="P43" s="64">
        <v>0.3</v>
      </c>
      <c r="Q43" s="64">
        <v>9.44</v>
      </c>
      <c r="R43" s="198"/>
      <c r="S43" s="198"/>
      <c r="T43" s="198"/>
      <c r="U43" s="198"/>
    </row>
    <row r="44" spans="1:21" s="12" customFormat="1" x14ac:dyDescent="0.25">
      <c r="A44" s="217" t="s">
        <v>1045</v>
      </c>
      <c r="B44" s="64">
        <v>8.23</v>
      </c>
      <c r="C44" s="64">
        <v>3.2</v>
      </c>
      <c r="D44" s="64">
        <v>12.04</v>
      </c>
      <c r="E44" s="64">
        <v>4.5199999999999996</v>
      </c>
      <c r="F44" s="64">
        <v>3.59</v>
      </c>
      <c r="G44" s="64">
        <v>14.11</v>
      </c>
      <c r="H44" s="64">
        <v>1.23</v>
      </c>
      <c r="I44" s="64">
        <v>4.5999999999999996</v>
      </c>
      <c r="J44" s="64">
        <v>0.1</v>
      </c>
      <c r="K44" s="64">
        <v>44.61</v>
      </c>
      <c r="L44" s="64">
        <v>26.39</v>
      </c>
      <c r="M44" s="64">
        <v>86.04</v>
      </c>
      <c r="N44" s="64">
        <v>156.5</v>
      </c>
      <c r="O44" s="64">
        <v>0</v>
      </c>
      <c r="P44" s="64">
        <v>0.31</v>
      </c>
      <c r="Q44" s="64">
        <v>9.3800000000000008</v>
      </c>
      <c r="R44" s="198"/>
      <c r="S44" s="198"/>
      <c r="T44" s="198"/>
      <c r="U44" s="198"/>
    </row>
    <row r="45" spans="1:21" s="12" customFormat="1" x14ac:dyDescent="0.25">
      <c r="A45" s="217" t="s">
        <v>1046</v>
      </c>
      <c r="B45" s="64">
        <v>8.32</v>
      </c>
      <c r="C45" s="64">
        <v>3.38</v>
      </c>
      <c r="D45" s="64">
        <v>12.21</v>
      </c>
      <c r="E45" s="64">
        <v>5.01</v>
      </c>
      <c r="F45" s="64">
        <v>3.22</v>
      </c>
      <c r="G45" s="64">
        <v>16.260000000000002</v>
      </c>
      <c r="H45" s="64">
        <v>1.19</v>
      </c>
      <c r="I45" s="64">
        <v>4.4800000000000004</v>
      </c>
      <c r="J45" s="64">
        <v>0.42</v>
      </c>
      <c r="K45" s="64">
        <v>310.44</v>
      </c>
      <c r="L45" s="64">
        <v>28.28</v>
      </c>
      <c r="M45" s="64">
        <v>77.88</v>
      </c>
      <c r="N45" s="64">
        <v>207.1</v>
      </c>
      <c r="O45" s="64">
        <v>0</v>
      </c>
      <c r="P45" s="64">
        <v>0.31</v>
      </c>
      <c r="Q45" s="64">
        <v>9.2799999999999994</v>
      </c>
      <c r="R45" s="198"/>
      <c r="S45" s="198"/>
      <c r="T45" s="198"/>
      <c r="U45" s="198"/>
    </row>
    <row r="46" spans="1:21" s="12" customFormat="1" x14ac:dyDescent="0.25">
      <c r="A46" s="217" t="s">
        <v>1047</v>
      </c>
      <c r="B46" s="64">
        <v>8.27</v>
      </c>
      <c r="C46" s="64">
        <v>3.28</v>
      </c>
      <c r="D46" s="64">
        <v>12.12</v>
      </c>
      <c r="E46" s="64">
        <v>4.99</v>
      </c>
      <c r="F46" s="64">
        <v>3.66</v>
      </c>
      <c r="G46" s="64">
        <v>16.260000000000002</v>
      </c>
      <c r="H46" s="64">
        <v>1.19</v>
      </c>
      <c r="I46" s="64">
        <v>4.3</v>
      </c>
      <c r="J46" s="64">
        <v>0.24</v>
      </c>
      <c r="K46" s="64">
        <v>193.39</v>
      </c>
      <c r="L46" s="64">
        <v>27.34</v>
      </c>
      <c r="M46" s="64">
        <v>79.47</v>
      </c>
      <c r="N46" s="64">
        <v>705.3</v>
      </c>
      <c r="O46" s="64">
        <v>0</v>
      </c>
      <c r="P46" s="64">
        <v>0.31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17" t="s">
        <v>1048</v>
      </c>
      <c r="B47" s="64">
        <v>8.2200000000000006</v>
      </c>
      <c r="C47" s="64">
        <v>3.1</v>
      </c>
      <c r="D47" s="64">
        <v>11.99</v>
      </c>
      <c r="E47" s="64">
        <v>4.7300000000000004</v>
      </c>
      <c r="F47" s="64">
        <v>4.2699999999999996</v>
      </c>
      <c r="G47" s="64">
        <v>16.260000000000002</v>
      </c>
      <c r="H47" s="64">
        <v>1.19</v>
      </c>
      <c r="I47" s="64">
        <v>4.04</v>
      </c>
      <c r="J47" s="64">
        <v>0.27</v>
      </c>
      <c r="K47" s="64">
        <v>348.81</v>
      </c>
      <c r="L47" s="64">
        <v>27.85</v>
      </c>
      <c r="M47" s="64">
        <v>78.2</v>
      </c>
      <c r="N47" s="64">
        <v>692.2</v>
      </c>
      <c r="O47" s="64">
        <v>0</v>
      </c>
      <c r="P47" s="64">
        <v>0.31</v>
      </c>
      <c r="Q47" s="64">
        <v>9.4</v>
      </c>
      <c r="R47" s="198"/>
      <c r="S47" s="198"/>
      <c r="T47" s="198"/>
      <c r="U47" s="198"/>
    </row>
    <row r="48" spans="1:21" s="12" customFormat="1" x14ac:dyDescent="0.25">
      <c r="A48" s="217" t="s">
        <v>1049</v>
      </c>
      <c r="B48" s="64">
        <v>8.1999999999999993</v>
      </c>
      <c r="C48" s="64">
        <v>3.11</v>
      </c>
      <c r="D48" s="64">
        <v>11.98</v>
      </c>
      <c r="E48" s="64">
        <v>4.67</v>
      </c>
      <c r="F48" s="64">
        <v>4.82</v>
      </c>
      <c r="G48" s="64">
        <v>17.64</v>
      </c>
      <c r="H48" s="64">
        <v>1.41</v>
      </c>
      <c r="I48" s="64">
        <v>3.74</v>
      </c>
      <c r="J48" s="64">
        <v>0.59</v>
      </c>
      <c r="K48" s="64">
        <v>345.26</v>
      </c>
      <c r="L48" s="64">
        <v>30.13</v>
      </c>
      <c r="M48" s="64">
        <v>70.41</v>
      </c>
      <c r="N48" s="64">
        <v>525.5</v>
      </c>
      <c r="O48" s="64">
        <v>0</v>
      </c>
      <c r="P48" s="64">
        <v>0.32</v>
      </c>
      <c r="Q48" s="64">
        <v>9.43</v>
      </c>
      <c r="R48" s="198"/>
      <c r="S48" s="198"/>
      <c r="T48" s="198"/>
      <c r="U48" s="198"/>
    </row>
    <row r="49" spans="1:21" s="12" customFormat="1" x14ac:dyDescent="0.25">
      <c r="A49" s="217" t="s">
        <v>1050</v>
      </c>
      <c r="B49" s="64">
        <v>8.1999999999999993</v>
      </c>
      <c r="C49" s="64">
        <v>3.21</v>
      </c>
      <c r="D49" s="64">
        <v>12.03</v>
      </c>
      <c r="E49" s="64">
        <v>4.99</v>
      </c>
      <c r="F49" s="64">
        <v>3.36</v>
      </c>
      <c r="G49" s="64">
        <v>19.22</v>
      </c>
      <c r="H49" s="64">
        <v>1.65</v>
      </c>
      <c r="I49" s="64">
        <v>3.54</v>
      </c>
      <c r="J49" s="64">
        <v>0.37</v>
      </c>
      <c r="K49" s="64">
        <v>2.77</v>
      </c>
      <c r="L49" s="64">
        <v>29.25</v>
      </c>
      <c r="M49" s="64">
        <v>72.06</v>
      </c>
      <c r="N49" s="64">
        <v>0</v>
      </c>
      <c r="O49" s="64">
        <v>0</v>
      </c>
      <c r="P49" s="64">
        <v>0.33</v>
      </c>
      <c r="Q49" s="64">
        <v>9.32</v>
      </c>
      <c r="R49" s="198"/>
      <c r="S49" s="198"/>
      <c r="T49" s="198"/>
      <c r="U49" s="198"/>
    </row>
    <row r="50" spans="1:21" s="12" customFormat="1" x14ac:dyDescent="0.25">
      <c r="A50" s="217" t="s">
        <v>1051</v>
      </c>
      <c r="B50" s="64">
        <v>8.2100000000000009</v>
      </c>
      <c r="C50" s="64">
        <v>3.27</v>
      </c>
      <c r="D50" s="64">
        <v>12.07</v>
      </c>
      <c r="E50" s="64">
        <v>4.6500000000000004</v>
      </c>
      <c r="F50" s="64">
        <v>3.67</v>
      </c>
      <c r="G50" s="64">
        <v>19.22</v>
      </c>
      <c r="H50" s="64">
        <v>1.65</v>
      </c>
      <c r="I50" s="64">
        <v>3.44</v>
      </c>
      <c r="J50" s="64">
        <v>0.48</v>
      </c>
      <c r="K50" s="64">
        <v>300.98</v>
      </c>
      <c r="L50" s="64">
        <v>29.23</v>
      </c>
      <c r="M50" s="64">
        <v>72.19</v>
      </c>
      <c r="N50" s="64">
        <v>0</v>
      </c>
      <c r="O50" s="64">
        <v>0</v>
      </c>
      <c r="P50" s="64">
        <v>0.34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7" t="s">
        <v>1052</v>
      </c>
      <c r="B51" s="64">
        <v>8.25</v>
      </c>
      <c r="C51" s="64">
        <v>3.31</v>
      </c>
      <c r="D51" s="64">
        <v>12.12</v>
      </c>
      <c r="E51" s="64">
        <v>4.8099999999999996</v>
      </c>
      <c r="F51" s="64">
        <v>3.7</v>
      </c>
      <c r="G51" s="64">
        <v>19.22</v>
      </c>
      <c r="H51" s="64">
        <v>1.65</v>
      </c>
      <c r="I51" s="64">
        <v>3.36</v>
      </c>
      <c r="J51" s="64">
        <v>0.27</v>
      </c>
      <c r="K51" s="64">
        <v>345.35</v>
      </c>
      <c r="L51" s="64">
        <v>28.33</v>
      </c>
      <c r="M51" s="64">
        <v>75.599999999999994</v>
      </c>
      <c r="N51" s="64">
        <v>0</v>
      </c>
      <c r="O51" s="64">
        <v>0</v>
      </c>
      <c r="P51" s="64">
        <v>0.33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17" t="s">
        <v>1053</v>
      </c>
      <c r="B52" s="64">
        <v>8.24</v>
      </c>
      <c r="C52" s="64">
        <v>3.26</v>
      </c>
      <c r="D52" s="64">
        <v>12.09</v>
      </c>
      <c r="E52" s="64">
        <v>4.92</v>
      </c>
      <c r="F52" s="64">
        <v>4</v>
      </c>
      <c r="G52" s="64">
        <v>20.76</v>
      </c>
      <c r="H52" s="64">
        <v>2.09</v>
      </c>
      <c r="I52" s="64">
        <v>3.25</v>
      </c>
      <c r="J52" s="64">
        <v>0.35</v>
      </c>
      <c r="K52" s="64">
        <v>330.35</v>
      </c>
      <c r="L52" s="64">
        <v>29.72</v>
      </c>
      <c r="M52" s="64">
        <v>69.63</v>
      </c>
      <c r="N52" s="64">
        <v>62.4</v>
      </c>
      <c r="O52" s="64">
        <v>0</v>
      </c>
      <c r="P52" s="64">
        <v>0.34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7" t="s">
        <v>1054</v>
      </c>
      <c r="B53" s="64">
        <v>8.2200000000000006</v>
      </c>
      <c r="C53" s="64">
        <v>3.23</v>
      </c>
      <c r="D53" s="64">
        <v>12.06</v>
      </c>
      <c r="E53" s="64">
        <v>4.78</v>
      </c>
      <c r="F53" s="64">
        <v>4.24</v>
      </c>
      <c r="G53" s="64">
        <v>22.51</v>
      </c>
      <c r="H53" s="64">
        <v>2.57</v>
      </c>
      <c r="I53" s="64">
        <v>3.12</v>
      </c>
      <c r="J53" s="64">
        <v>0.18</v>
      </c>
      <c r="K53" s="64">
        <v>295.3</v>
      </c>
      <c r="L53" s="64">
        <v>29.16</v>
      </c>
      <c r="M53" s="64">
        <v>71.27</v>
      </c>
      <c r="N53" s="64">
        <v>480.1</v>
      </c>
      <c r="O53" s="64">
        <v>0</v>
      </c>
      <c r="P53" s="64">
        <v>0.35</v>
      </c>
      <c r="Q53" s="64">
        <v>9.3699999999999992</v>
      </c>
      <c r="R53" s="198"/>
      <c r="S53" s="198"/>
      <c r="T53" s="198"/>
      <c r="U53" s="198"/>
    </row>
    <row r="54" spans="1:21" s="12" customFormat="1" x14ac:dyDescent="0.25">
      <c r="A54" s="217" t="s">
        <v>1055</v>
      </c>
      <c r="B54" s="64">
        <v>8.23</v>
      </c>
      <c r="C54" s="64">
        <v>3.27</v>
      </c>
      <c r="D54" s="64">
        <v>12.08</v>
      </c>
      <c r="E54" s="64">
        <v>4.55</v>
      </c>
      <c r="F54" s="64">
        <v>3.09</v>
      </c>
      <c r="G54" s="64">
        <v>22.51</v>
      </c>
      <c r="H54" s="64">
        <v>2.57</v>
      </c>
      <c r="I54" s="64">
        <v>2.97</v>
      </c>
      <c r="J54" s="64">
        <v>0.3</v>
      </c>
      <c r="K54" s="64">
        <v>330.47</v>
      </c>
      <c r="L54" s="64">
        <v>28.72</v>
      </c>
      <c r="M54" s="64">
        <v>74.02</v>
      </c>
      <c r="N54" s="64">
        <v>496.9</v>
      </c>
      <c r="O54" s="64">
        <v>0</v>
      </c>
      <c r="P54" s="64">
        <v>0.35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17" t="s">
        <v>1056</v>
      </c>
      <c r="B55" s="64">
        <v>8.25</v>
      </c>
      <c r="C55" s="64">
        <v>3.23</v>
      </c>
      <c r="D55" s="64">
        <v>12.08</v>
      </c>
      <c r="E55" s="64">
        <v>4.5199999999999996</v>
      </c>
      <c r="F55" s="64">
        <v>4.08</v>
      </c>
      <c r="G55" s="64">
        <v>22.51</v>
      </c>
      <c r="H55" s="64">
        <v>2.57</v>
      </c>
      <c r="I55" s="64">
        <v>2.89</v>
      </c>
      <c r="J55" s="64">
        <v>0.15</v>
      </c>
      <c r="K55" s="64">
        <v>201.14</v>
      </c>
      <c r="L55" s="64">
        <v>28.5</v>
      </c>
      <c r="M55" s="64">
        <v>72.8</v>
      </c>
      <c r="N55" s="64">
        <v>249.6</v>
      </c>
      <c r="O55" s="64">
        <v>0</v>
      </c>
      <c r="P55" s="64">
        <v>0.35</v>
      </c>
      <c r="Q55" s="64">
        <v>9.27</v>
      </c>
      <c r="R55" s="198"/>
      <c r="S55" s="198"/>
      <c r="T55" s="198"/>
      <c r="U55" s="198"/>
    </row>
    <row r="56" spans="1:21" s="12" customFormat="1" x14ac:dyDescent="0.25">
      <c r="A56" s="217" t="s">
        <v>1057</v>
      </c>
      <c r="B56" s="64">
        <v>8.25</v>
      </c>
      <c r="C56" s="64">
        <v>3.23</v>
      </c>
      <c r="D56" s="64">
        <v>12.08</v>
      </c>
      <c r="E56" s="64">
        <v>4.46</v>
      </c>
      <c r="F56" s="64">
        <v>3.89</v>
      </c>
      <c r="G56" s="64">
        <v>24.87</v>
      </c>
      <c r="H56" s="64">
        <v>4.62</v>
      </c>
      <c r="I56" s="64">
        <v>2.92</v>
      </c>
      <c r="J56" s="64">
        <v>0.28999999999999998</v>
      </c>
      <c r="K56" s="64">
        <v>286.52</v>
      </c>
      <c r="L56" s="64">
        <v>28.85</v>
      </c>
      <c r="M56" s="64">
        <v>71.38</v>
      </c>
      <c r="N56" s="64">
        <v>386.8</v>
      </c>
      <c r="O56" s="64">
        <v>0</v>
      </c>
      <c r="P56" s="64">
        <v>0.35</v>
      </c>
      <c r="Q56" s="64">
        <v>9.27</v>
      </c>
      <c r="R56" s="198"/>
      <c r="S56" s="198"/>
      <c r="T56" s="198"/>
      <c r="U56" s="198"/>
    </row>
    <row r="57" spans="1:21" s="12" customFormat="1" x14ac:dyDescent="0.25">
      <c r="A57" s="217" t="s">
        <v>1058</v>
      </c>
      <c r="B57" s="64">
        <v>8.2100000000000009</v>
      </c>
      <c r="C57" s="64">
        <v>3.11</v>
      </c>
      <c r="D57" s="64">
        <v>11.98</v>
      </c>
      <c r="E57" s="64">
        <v>4.51</v>
      </c>
      <c r="F57" s="64">
        <v>3.33</v>
      </c>
      <c r="G57" s="64">
        <v>27.45</v>
      </c>
      <c r="H57" s="64">
        <v>6.86</v>
      </c>
      <c r="I57" s="64">
        <v>3.03</v>
      </c>
      <c r="J57" s="64">
        <v>0.42</v>
      </c>
      <c r="K57" s="64">
        <v>345.96</v>
      </c>
      <c r="L57" s="64">
        <v>30.26</v>
      </c>
      <c r="M57" s="64">
        <v>68.37</v>
      </c>
      <c r="N57" s="64">
        <v>822.1</v>
      </c>
      <c r="O57" s="64">
        <v>0</v>
      </c>
      <c r="P57" s="64">
        <v>0.36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7" t="s">
        <v>1059</v>
      </c>
      <c r="B58" s="64">
        <v>8.24</v>
      </c>
      <c r="C58" s="64">
        <v>3.13</v>
      </c>
      <c r="D58" s="64">
        <v>12.02</v>
      </c>
      <c r="E58" s="64">
        <v>4.13</v>
      </c>
      <c r="F58" s="64">
        <v>3.55</v>
      </c>
      <c r="G58" s="64">
        <v>27.45</v>
      </c>
      <c r="H58" s="64">
        <v>6.86</v>
      </c>
      <c r="I58" s="64">
        <v>3.17</v>
      </c>
      <c r="J58" s="64">
        <v>0.22</v>
      </c>
      <c r="K58" s="64">
        <v>308.95999999999998</v>
      </c>
      <c r="L58" s="64">
        <v>30.53</v>
      </c>
      <c r="M58" s="64">
        <v>66.48</v>
      </c>
      <c r="N58" s="64">
        <v>948.8</v>
      </c>
      <c r="O58" s="64">
        <v>0</v>
      </c>
      <c r="P58" s="64">
        <v>0.36</v>
      </c>
      <c r="Q58" s="64">
        <v>9.3000000000000007</v>
      </c>
      <c r="R58" s="198"/>
      <c r="S58" s="198"/>
      <c r="T58" s="198"/>
      <c r="U58" s="198"/>
    </row>
    <row r="59" spans="1:21" s="12" customFormat="1" x14ac:dyDescent="0.25">
      <c r="A59" s="217" t="s">
        <v>1060</v>
      </c>
      <c r="B59" s="64">
        <v>8.25</v>
      </c>
      <c r="C59" s="64">
        <v>3.13</v>
      </c>
      <c r="D59" s="64">
        <v>12.02</v>
      </c>
      <c r="E59" s="64">
        <v>4.08</v>
      </c>
      <c r="F59" s="64">
        <v>3.69</v>
      </c>
      <c r="G59" s="64">
        <v>27.45</v>
      </c>
      <c r="H59" s="64">
        <v>6.86</v>
      </c>
      <c r="I59" s="64">
        <v>3.21</v>
      </c>
      <c r="J59" s="64">
        <v>0.46</v>
      </c>
      <c r="K59" s="64">
        <v>319.41000000000003</v>
      </c>
      <c r="L59" s="64">
        <v>30.66</v>
      </c>
      <c r="M59" s="64">
        <v>65.819999999999993</v>
      </c>
      <c r="N59" s="64">
        <v>924.1</v>
      </c>
      <c r="O59" s="64">
        <v>0</v>
      </c>
      <c r="P59" s="64">
        <v>0.35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7" t="s">
        <v>1061</v>
      </c>
      <c r="B60" s="64">
        <v>8.23</v>
      </c>
      <c r="C60" s="64">
        <v>3.17</v>
      </c>
      <c r="D60" s="64">
        <v>12.03</v>
      </c>
      <c r="E60" s="64">
        <v>4.5199999999999996</v>
      </c>
      <c r="F60" s="64">
        <v>3.59</v>
      </c>
      <c r="G60" s="64">
        <v>30.7</v>
      </c>
      <c r="H60" s="64">
        <v>8.85</v>
      </c>
      <c r="I60" s="64">
        <v>3.36</v>
      </c>
      <c r="J60" s="64">
        <v>0.28000000000000003</v>
      </c>
      <c r="K60" s="64">
        <v>205.62</v>
      </c>
      <c r="L60" s="64">
        <v>31.56</v>
      </c>
      <c r="M60" s="64">
        <v>60.1</v>
      </c>
      <c r="N60" s="64">
        <v>886</v>
      </c>
      <c r="O60" s="64">
        <v>0</v>
      </c>
      <c r="P60" s="64">
        <v>0.36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7" t="s">
        <v>1062</v>
      </c>
      <c r="B61" s="64">
        <v>8.2200000000000006</v>
      </c>
      <c r="C61" s="64">
        <v>3.17</v>
      </c>
      <c r="D61" s="64">
        <v>12.02</v>
      </c>
      <c r="E61" s="64">
        <v>4.0999999999999996</v>
      </c>
      <c r="F61" s="64">
        <v>2.95</v>
      </c>
      <c r="G61" s="64">
        <v>34.409999999999997</v>
      </c>
      <c r="H61" s="64">
        <v>11.02</v>
      </c>
      <c r="I61" s="64">
        <v>3.49</v>
      </c>
      <c r="J61" s="64">
        <v>0.28000000000000003</v>
      </c>
      <c r="K61" s="64">
        <v>89.76</v>
      </c>
      <c r="L61" s="64">
        <v>30.69</v>
      </c>
      <c r="M61" s="64">
        <v>63.25</v>
      </c>
      <c r="N61" s="64">
        <v>804.7</v>
      </c>
      <c r="O61" s="64">
        <v>0</v>
      </c>
      <c r="P61" s="64">
        <v>0.35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7" t="s">
        <v>1063</v>
      </c>
      <c r="B62" s="64">
        <v>8.2100000000000009</v>
      </c>
      <c r="C62" s="64">
        <v>3.19</v>
      </c>
      <c r="D62" s="64">
        <v>12.03</v>
      </c>
      <c r="E62" s="64">
        <v>4.18</v>
      </c>
      <c r="F62" s="64">
        <v>3.83</v>
      </c>
      <c r="G62" s="64">
        <v>34.409999999999997</v>
      </c>
      <c r="H62" s="64">
        <v>11.02</v>
      </c>
      <c r="I62" s="64">
        <v>3.54</v>
      </c>
      <c r="J62" s="64">
        <v>1.19</v>
      </c>
      <c r="K62" s="64">
        <v>329.87</v>
      </c>
      <c r="L62" s="64">
        <v>32.99</v>
      </c>
      <c r="M62" s="64">
        <v>57.3</v>
      </c>
      <c r="N62" s="64">
        <v>1012</v>
      </c>
      <c r="O62" s="64">
        <v>0</v>
      </c>
      <c r="P62" s="64">
        <v>0.36</v>
      </c>
      <c r="Q62" s="64">
        <v>9.3699999999999992</v>
      </c>
      <c r="R62" s="198"/>
      <c r="S62" s="198"/>
      <c r="T62" s="198"/>
      <c r="U62" s="198"/>
    </row>
    <row r="63" spans="1:21" s="12" customFormat="1" x14ac:dyDescent="0.25">
      <c r="A63" s="217" t="s">
        <v>1064</v>
      </c>
      <c r="B63" s="64">
        <v>8.2100000000000009</v>
      </c>
      <c r="C63" s="64">
        <v>3.16</v>
      </c>
      <c r="D63" s="64">
        <v>12.01</v>
      </c>
      <c r="E63" s="64">
        <v>4.54</v>
      </c>
      <c r="F63" s="64">
        <v>3.98</v>
      </c>
      <c r="G63" s="64">
        <v>34.409999999999997</v>
      </c>
      <c r="H63" s="64">
        <v>11.02</v>
      </c>
      <c r="I63" s="64">
        <v>3.68</v>
      </c>
      <c r="J63" s="64">
        <v>0.32</v>
      </c>
      <c r="K63" s="64">
        <v>350.84</v>
      </c>
      <c r="L63" s="64">
        <v>33.58</v>
      </c>
      <c r="M63" s="64">
        <v>53.55</v>
      </c>
      <c r="N63" s="64">
        <v>560.79999999999995</v>
      </c>
      <c r="O63" s="64">
        <v>0</v>
      </c>
      <c r="P63" s="64">
        <v>0.38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7" t="s">
        <v>1065</v>
      </c>
      <c r="B64" s="64">
        <v>8.23</v>
      </c>
      <c r="C64" s="64">
        <v>3.17</v>
      </c>
      <c r="D64" s="64">
        <v>12.03</v>
      </c>
      <c r="E64" s="64">
        <v>4.49</v>
      </c>
      <c r="F64" s="64">
        <v>4.0999999999999996</v>
      </c>
      <c r="G64" s="64">
        <v>32.409999999999997</v>
      </c>
      <c r="H64" s="64">
        <v>9.85</v>
      </c>
      <c r="I64" s="64">
        <v>3.61</v>
      </c>
      <c r="J64" s="64">
        <v>0.31</v>
      </c>
      <c r="K64" s="64">
        <v>40.06</v>
      </c>
      <c r="L64" s="64">
        <v>31.94</v>
      </c>
      <c r="M64" s="64">
        <v>57.02</v>
      </c>
      <c r="N64" s="64">
        <v>665.7</v>
      </c>
      <c r="O64" s="64">
        <v>0</v>
      </c>
      <c r="P64" s="64">
        <v>0.38</v>
      </c>
      <c r="Q64" s="64">
        <v>9.36</v>
      </c>
      <c r="R64" s="198"/>
      <c r="S64" s="198"/>
      <c r="T64" s="198"/>
      <c r="U64" s="198"/>
    </row>
    <row r="65" spans="1:21" s="12" customFormat="1" x14ac:dyDescent="0.25">
      <c r="A65" s="217" t="s">
        <v>1066</v>
      </c>
      <c r="B65" s="64">
        <v>8.27</v>
      </c>
      <c r="C65" s="64">
        <v>3.34</v>
      </c>
      <c r="D65" s="64">
        <v>12.15</v>
      </c>
      <c r="E65" s="64">
        <v>4.0999999999999996</v>
      </c>
      <c r="F65" s="64">
        <v>4.34</v>
      </c>
      <c r="G65" s="64">
        <v>30.12</v>
      </c>
      <c r="H65" s="64">
        <v>8.57</v>
      </c>
      <c r="I65" s="64">
        <v>3.57</v>
      </c>
      <c r="J65" s="64">
        <v>0.23</v>
      </c>
      <c r="K65" s="64">
        <v>147.46</v>
      </c>
      <c r="L65" s="64">
        <v>30.88</v>
      </c>
      <c r="M65" s="64">
        <v>60.88</v>
      </c>
      <c r="N65" s="64">
        <v>666.8</v>
      </c>
      <c r="O65" s="64">
        <v>0</v>
      </c>
      <c r="P65" s="64">
        <v>0.38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17" t="s">
        <v>1067</v>
      </c>
      <c r="B66" s="64">
        <v>8.27</v>
      </c>
      <c r="C66" s="64">
        <v>3.29</v>
      </c>
      <c r="D66" s="64">
        <v>12.12</v>
      </c>
      <c r="E66" s="64">
        <v>4.5199999999999996</v>
      </c>
      <c r="F66" s="64">
        <v>3.76</v>
      </c>
      <c r="G66" s="64">
        <v>30.12</v>
      </c>
      <c r="H66" s="64">
        <v>8.57</v>
      </c>
      <c r="I66" s="64">
        <v>3.78</v>
      </c>
      <c r="J66" s="64">
        <v>0.5</v>
      </c>
      <c r="K66" s="64">
        <v>72.55</v>
      </c>
      <c r="L66" s="64">
        <v>31.08</v>
      </c>
      <c r="M66" s="64">
        <v>61.23</v>
      </c>
      <c r="N66" s="64">
        <v>322.10000000000002</v>
      </c>
      <c r="O66" s="64">
        <v>0</v>
      </c>
      <c r="P66" s="64">
        <v>0.39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7" t="s">
        <v>1068</v>
      </c>
      <c r="B67" s="64">
        <v>8.2100000000000009</v>
      </c>
      <c r="C67" s="64">
        <v>3.2</v>
      </c>
      <c r="D67" s="64">
        <v>12.03</v>
      </c>
      <c r="E67" s="64">
        <v>4.07</v>
      </c>
      <c r="F67" s="64">
        <v>3.92</v>
      </c>
      <c r="G67" s="64">
        <v>30.12</v>
      </c>
      <c r="H67" s="64">
        <v>8.57</v>
      </c>
      <c r="I67" s="64">
        <v>3.98</v>
      </c>
      <c r="J67" s="64">
        <v>0.91</v>
      </c>
      <c r="K67" s="64">
        <v>94.37</v>
      </c>
      <c r="L67" s="64">
        <v>29.44</v>
      </c>
      <c r="M67" s="64">
        <v>65.02</v>
      </c>
      <c r="N67" s="64">
        <v>159.80000000000001</v>
      </c>
      <c r="O67" s="64">
        <v>0</v>
      </c>
      <c r="P67" s="64">
        <v>0.39</v>
      </c>
      <c r="Q67" s="64">
        <v>9.36</v>
      </c>
      <c r="R67" s="198"/>
      <c r="S67" s="198"/>
      <c r="T67" s="198"/>
      <c r="U67" s="198"/>
    </row>
    <row r="68" spans="1:21" s="12" customFormat="1" x14ac:dyDescent="0.25">
      <c r="A68" s="217" t="s">
        <v>1069</v>
      </c>
      <c r="B68" s="64">
        <v>8.2100000000000009</v>
      </c>
      <c r="C68" s="64">
        <v>3.16</v>
      </c>
      <c r="D68" s="64">
        <v>12.01</v>
      </c>
      <c r="E68" s="64">
        <v>4.41</v>
      </c>
      <c r="F68" s="64">
        <v>4.08</v>
      </c>
      <c r="G68" s="64">
        <v>29.64</v>
      </c>
      <c r="H68" s="64">
        <v>8.41</v>
      </c>
      <c r="I68" s="64">
        <v>4.1500000000000004</v>
      </c>
      <c r="J68" s="64">
        <v>0.59</v>
      </c>
      <c r="K68" s="64">
        <v>151.29</v>
      </c>
      <c r="L68" s="64">
        <v>29.58</v>
      </c>
      <c r="M68" s="64">
        <v>64.09</v>
      </c>
      <c r="N68" s="64">
        <v>192.2</v>
      </c>
      <c r="O68" s="64">
        <v>0</v>
      </c>
      <c r="P68" s="64">
        <v>0.38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7" t="s">
        <v>1070</v>
      </c>
      <c r="B69" s="64">
        <v>8.2100000000000009</v>
      </c>
      <c r="C69" s="64">
        <v>3.14</v>
      </c>
      <c r="D69" s="64">
        <v>12</v>
      </c>
      <c r="E69" s="64">
        <v>4.54</v>
      </c>
      <c r="F69" s="64">
        <v>4.29</v>
      </c>
      <c r="G69" s="64">
        <v>29.1</v>
      </c>
      <c r="H69" s="64">
        <v>8.24</v>
      </c>
      <c r="I69" s="64">
        <v>4.37</v>
      </c>
      <c r="J69" s="64">
        <v>0.3</v>
      </c>
      <c r="K69" s="64">
        <v>167.35</v>
      </c>
      <c r="L69" s="64">
        <v>29.97</v>
      </c>
      <c r="M69" s="64">
        <v>62.03</v>
      </c>
      <c r="N69" s="64">
        <v>153.6</v>
      </c>
      <c r="O69" s="64">
        <v>0</v>
      </c>
      <c r="P69" s="64">
        <v>0.37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7" t="s">
        <v>1071</v>
      </c>
      <c r="B70" s="64">
        <v>8.2100000000000009</v>
      </c>
      <c r="C70" s="64">
        <v>3.2</v>
      </c>
      <c r="D70" s="64">
        <v>12.03</v>
      </c>
      <c r="E70" s="64">
        <v>4.3099999999999996</v>
      </c>
      <c r="F70" s="64">
        <v>4.51</v>
      </c>
      <c r="G70" s="64">
        <v>29.1</v>
      </c>
      <c r="H70" s="64">
        <v>8.24</v>
      </c>
      <c r="I70" s="64">
        <v>4.4800000000000004</v>
      </c>
      <c r="J70" s="64">
        <v>0.6</v>
      </c>
      <c r="K70" s="64">
        <v>152.21</v>
      </c>
      <c r="L70" s="64">
        <v>29.6</v>
      </c>
      <c r="M70" s="64">
        <v>62.06</v>
      </c>
      <c r="N70" s="64">
        <v>140.5</v>
      </c>
      <c r="O70" s="64">
        <v>0</v>
      </c>
      <c r="P70" s="64">
        <v>0.37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7" t="s">
        <v>1072</v>
      </c>
      <c r="B71" s="64">
        <v>8.2200000000000006</v>
      </c>
      <c r="C71" s="64">
        <v>3.21</v>
      </c>
      <c r="D71" s="64">
        <v>12.04</v>
      </c>
      <c r="E71" s="64">
        <v>4.6399999999999997</v>
      </c>
      <c r="F71" s="64">
        <v>3.93</v>
      </c>
      <c r="G71" s="64">
        <v>29.1</v>
      </c>
      <c r="H71" s="64">
        <v>8.24</v>
      </c>
      <c r="I71" s="64">
        <v>4.45</v>
      </c>
      <c r="J71" s="64">
        <v>0.55000000000000004</v>
      </c>
      <c r="K71" s="64">
        <v>162.9</v>
      </c>
      <c r="L71" s="64">
        <v>30</v>
      </c>
      <c r="M71" s="64">
        <v>60.62</v>
      </c>
      <c r="N71" s="64">
        <v>151.4</v>
      </c>
      <c r="O71" s="64">
        <v>0</v>
      </c>
      <c r="P71" s="64">
        <v>0.35</v>
      </c>
      <c r="Q71" s="64">
        <v>9.32</v>
      </c>
      <c r="R71" s="198"/>
      <c r="S71" s="198"/>
      <c r="T71" s="198"/>
      <c r="U71" s="198"/>
    </row>
    <row r="72" spans="1:21" s="12" customFormat="1" x14ac:dyDescent="0.25">
      <c r="A72" s="217" t="s">
        <v>1073</v>
      </c>
      <c r="B72" s="64">
        <v>8.2200000000000006</v>
      </c>
      <c r="C72" s="64">
        <v>3.21</v>
      </c>
      <c r="D72" s="64">
        <v>12.05</v>
      </c>
      <c r="E72" s="64">
        <v>4.2</v>
      </c>
      <c r="F72" s="64">
        <v>3.61</v>
      </c>
      <c r="G72" s="64">
        <v>28.99</v>
      </c>
      <c r="H72" s="64">
        <v>8.48</v>
      </c>
      <c r="I72" s="64">
        <v>4.43</v>
      </c>
      <c r="J72" s="64">
        <v>0.76</v>
      </c>
      <c r="K72" s="64">
        <v>106.19</v>
      </c>
      <c r="L72" s="64">
        <v>30.22</v>
      </c>
      <c r="M72" s="64">
        <v>60.81</v>
      </c>
      <c r="N72" s="64">
        <v>131.69999999999999</v>
      </c>
      <c r="O72" s="64">
        <v>0</v>
      </c>
      <c r="P72" s="64">
        <v>0.35</v>
      </c>
      <c r="Q72" s="64">
        <v>9.2899999999999991</v>
      </c>
      <c r="R72" s="198"/>
      <c r="S72" s="198"/>
      <c r="T72" s="198"/>
      <c r="U72" s="198"/>
    </row>
    <row r="73" spans="1:21" s="12" customFormat="1" x14ac:dyDescent="0.25">
      <c r="A73" s="217" t="s">
        <v>1074</v>
      </c>
      <c r="B73" s="64">
        <v>8.2100000000000009</v>
      </c>
      <c r="C73" s="64">
        <v>3.17</v>
      </c>
      <c r="D73" s="64">
        <v>12.02</v>
      </c>
      <c r="E73" s="64">
        <v>3.51</v>
      </c>
      <c r="F73" s="64">
        <v>3.43</v>
      </c>
      <c r="G73" s="64">
        <v>28.86</v>
      </c>
      <c r="H73" s="64">
        <v>8.74</v>
      </c>
      <c r="I73" s="64">
        <v>4.41</v>
      </c>
      <c r="J73" s="64">
        <v>0.87</v>
      </c>
      <c r="K73" s="64">
        <v>116.22</v>
      </c>
      <c r="L73" s="64">
        <v>30.11</v>
      </c>
      <c r="M73" s="64">
        <v>59.73</v>
      </c>
      <c r="N73" s="64">
        <v>134.4</v>
      </c>
      <c r="O73" s="64">
        <v>0</v>
      </c>
      <c r="P73" s="64">
        <v>0.34</v>
      </c>
      <c r="Q73" s="64">
        <v>9.27</v>
      </c>
      <c r="R73" s="198"/>
      <c r="S73" s="198"/>
      <c r="T73" s="198"/>
      <c r="U73" s="198"/>
    </row>
    <row r="74" spans="1:21" s="12" customFormat="1" x14ac:dyDescent="0.25">
      <c r="A74" s="217" t="s">
        <v>1075</v>
      </c>
      <c r="B74" s="64">
        <v>8.2200000000000006</v>
      </c>
      <c r="C74" s="64">
        <v>3.16</v>
      </c>
      <c r="D74" s="64">
        <v>12.02</v>
      </c>
      <c r="E74" s="64">
        <v>3.94</v>
      </c>
      <c r="F74" s="64">
        <v>3.8</v>
      </c>
      <c r="G74" s="64">
        <v>28.86</v>
      </c>
      <c r="H74" s="64">
        <v>8.74</v>
      </c>
      <c r="I74" s="64">
        <v>4.63</v>
      </c>
      <c r="J74" s="64">
        <v>0.63</v>
      </c>
      <c r="K74" s="64">
        <v>149.12</v>
      </c>
      <c r="L74" s="64">
        <v>30.05</v>
      </c>
      <c r="M74" s="64">
        <v>60.1</v>
      </c>
      <c r="N74" s="64">
        <v>164</v>
      </c>
      <c r="O74" s="64">
        <v>0</v>
      </c>
      <c r="P74" s="64">
        <v>0.34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7" t="s">
        <v>1076</v>
      </c>
      <c r="B75" s="64">
        <v>8.23</v>
      </c>
      <c r="C75" s="64">
        <v>3.17</v>
      </c>
      <c r="D75" s="64">
        <v>12.03</v>
      </c>
      <c r="E75" s="64">
        <v>3.72</v>
      </c>
      <c r="F75" s="64">
        <v>3.58</v>
      </c>
      <c r="G75" s="64">
        <v>28.86</v>
      </c>
      <c r="H75" s="64">
        <v>8.74</v>
      </c>
      <c r="I75" s="64">
        <v>4.91</v>
      </c>
      <c r="J75" s="64">
        <v>0.14000000000000001</v>
      </c>
      <c r="K75" s="64">
        <v>275.76</v>
      </c>
      <c r="L75" s="64">
        <v>30.09</v>
      </c>
      <c r="M75" s="64">
        <v>59.88</v>
      </c>
      <c r="N75" s="64">
        <v>135.30000000000001</v>
      </c>
      <c r="O75" s="64">
        <v>0</v>
      </c>
      <c r="P75" s="64">
        <v>0.33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7" t="s">
        <v>1077</v>
      </c>
      <c r="B76" s="64">
        <v>8.26</v>
      </c>
      <c r="C76" s="64">
        <v>3.2</v>
      </c>
      <c r="D76" s="64">
        <v>12.07</v>
      </c>
      <c r="E76" s="64">
        <v>3.88</v>
      </c>
      <c r="F76" s="64">
        <v>3.86</v>
      </c>
      <c r="G76" s="64">
        <v>28.2</v>
      </c>
      <c r="H76" s="64">
        <v>8.31</v>
      </c>
      <c r="I76" s="64">
        <v>5.04</v>
      </c>
      <c r="J76" s="64">
        <v>0.06</v>
      </c>
      <c r="K76" s="64">
        <v>287.11</v>
      </c>
      <c r="L76" s="64">
        <v>30.22</v>
      </c>
      <c r="M76" s="64">
        <v>59.15</v>
      </c>
      <c r="N76" s="64">
        <v>131.30000000000001</v>
      </c>
      <c r="O76" s="64">
        <v>0</v>
      </c>
      <c r="P76" s="64">
        <v>0.33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7" t="s">
        <v>1078</v>
      </c>
      <c r="B77" s="64">
        <v>8.24</v>
      </c>
      <c r="C77" s="64">
        <v>3.18</v>
      </c>
      <c r="D77" s="64">
        <v>12.04</v>
      </c>
      <c r="E77" s="64">
        <v>3.9</v>
      </c>
      <c r="F77" s="64">
        <v>3.7</v>
      </c>
      <c r="G77" s="64">
        <v>27.43</v>
      </c>
      <c r="H77" s="64">
        <v>7.84</v>
      </c>
      <c r="I77" s="64">
        <v>5.05</v>
      </c>
      <c r="J77" s="64">
        <v>0.75</v>
      </c>
      <c r="K77" s="64">
        <v>158.09</v>
      </c>
      <c r="L77" s="64">
        <v>30.04</v>
      </c>
      <c r="M77" s="64">
        <v>63.27</v>
      </c>
      <c r="N77" s="64">
        <v>126.7</v>
      </c>
      <c r="O77" s="64">
        <v>0</v>
      </c>
      <c r="P77" s="64">
        <v>0.32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7" t="s">
        <v>1079</v>
      </c>
      <c r="B78" s="64">
        <v>8.26</v>
      </c>
      <c r="C78" s="64">
        <v>3.17</v>
      </c>
      <c r="D78" s="64">
        <v>12.05</v>
      </c>
      <c r="E78" s="64">
        <v>3.64</v>
      </c>
      <c r="F78" s="64">
        <v>3.83</v>
      </c>
      <c r="G78" s="64">
        <v>27.43</v>
      </c>
      <c r="H78" s="64">
        <v>7.84</v>
      </c>
      <c r="I78" s="64">
        <v>4.99</v>
      </c>
      <c r="J78" s="64">
        <v>1.01</v>
      </c>
      <c r="K78" s="64">
        <v>154.96</v>
      </c>
      <c r="L78" s="64">
        <v>29.6</v>
      </c>
      <c r="M78" s="64">
        <v>65.55</v>
      </c>
      <c r="N78" s="64">
        <v>73.900000000000006</v>
      </c>
      <c r="O78" s="64">
        <v>0</v>
      </c>
      <c r="P78" s="64">
        <v>0.32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7" t="s">
        <v>1080</v>
      </c>
      <c r="B79" s="64">
        <v>8.26</v>
      </c>
      <c r="C79" s="64">
        <v>3.17</v>
      </c>
      <c r="D79" s="64">
        <v>12.05</v>
      </c>
      <c r="E79" s="64">
        <v>3.83</v>
      </c>
      <c r="F79" s="64">
        <v>4.0599999999999996</v>
      </c>
      <c r="G79" s="64">
        <v>27.43</v>
      </c>
      <c r="H79" s="64">
        <v>7.84</v>
      </c>
      <c r="I79" s="64">
        <v>5.01</v>
      </c>
      <c r="J79" s="64">
        <v>0.2</v>
      </c>
      <c r="K79" s="64">
        <v>287.58999999999997</v>
      </c>
      <c r="L79" s="64">
        <v>28.31</v>
      </c>
      <c r="M79" s="64">
        <v>81.7</v>
      </c>
      <c r="N79" s="64">
        <v>53.8</v>
      </c>
      <c r="O79" s="64">
        <v>1.4</v>
      </c>
      <c r="P79" s="64">
        <v>0.32</v>
      </c>
      <c r="Q79" s="64">
        <v>9.2899999999999991</v>
      </c>
      <c r="R79" s="198"/>
      <c r="S79" s="198"/>
      <c r="T79" s="198"/>
      <c r="U79" s="198"/>
    </row>
    <row r="80" spans="1:21" s="12" customFormat="1" x14ac:dyDescent="0.25">
      <c r="A80" s="217" t="s">
        <v>1081</v>
      </c>
      <c r="B80" s="64">
        <v>8.23</v>
      </c>
      <c r="C80" s="64">
        <v>3.13</v>
      </c>
      <c r="D80" s="64">
        <v>12.01</v>
      </c>
      <c r="E80" s="64">
        <v>4</v>
      </c>
      <c r="F80" s="64">
        <v>4.75</v>
      </c>
      <c r="G80" s="64">
        <v>28.56</v>
      </c>
      <c r="H80" s="64">
        <v>8.8800000000000008</v>
      </c>
      <c r="I80" s="64">
        <v>5.0999999999999996</v>
      </c>
      <c r="J80" s="64">
        <v>2.1</v>
      </c>
      <c r="K80" s="64">
        <v>113.93</v>
      </c>
      <c r="L80" s="64">
        <v>25.58</v>
      </c>
      <c r="M80" s="64">
        <v>95.2</v>
      </c>
      <c r="N80" s="64">
        <v>30.2</v>
      </c>
      <c r="O80" s="64">
        <v>1.6</v>
      </c>
      <c r="P80" s="64">
        <v>0.34</v>
      </c>
      <c r="Q80" s="64">
        <v>9.34</v>
      </c>
      <c r="R80" s="198"/>
      <c r="S80" s="198"/>
      <c r="T80" s="198"/>
      <c r="U80" s="198"/>
    </row>
    <row r="81" spans="1:26" s="12" customFormat="1" x14ac:dyDescent="0.25">
      <c r="A81" s="217" t="s">
        <v>1082</v>
      </c>
      <c r="B81" s="64">
        <v>8.18</v>
      </c>
      <c r="C81" s="64">
        <v>3.1</v>
      </c>
      <c r="D81" s="64">
        <v>11.95</v>
      </c>
      <c r="E81" s="64">
        <v>4.17</v>
      </c>
      <c r="F81" s="64">
        <v>7.28</v>
      </c>
      <c r="G81" s="64">
        <v>29.78</v>
      </c>
      <c r="H81" s="64">
        <v>10.02</v>
      </c>
      <c r="I81" s="64">
        <v>5.17</v>
      </c>
      <c r="J81" s="64">
        <v>0.56999999999999995</v>
      </c>
      <c r="K81" s="64">
        <v>48.8</v>
      </c>
      <c r="L81" s="64">
        <v>23.6</v>
      </c>
      <c r="M81" s="64">
        <v>98.36</v>
      </c>
      <c r="N81" s="64">
        <v>24</v>
      </c>
      <c r="O81" s="64">
        <v>4.4000000000000004</v>
      </c>
      <c r="P81" s="64">
        <v>0.34</v>
      </c>
      <c r="Q81" s="64">
        <v>9.3000000000000007</v>
      </c>
      <c r="R81" s="198"/>
      <c r="S81" s="198"/>
      <c r="T81" s="198"/>
      <c r="U81" s="198"/>
    </row>
    <row r="82" spans="1:26" s="12" customFormat="1" x14ac:dyDescent="0.25">
      <c r="A82" s="217" t="s">
        <v>1083</v>
      </c>
      <c r="B82" s="64">
        <v>8.1999999999999993</v>
      </c>
      <c r="C82" s="64">
        <v>3.18</v>
      </c>
      <c r="D82" s="64">
        <v>12.01</v>
      </c>
      <c r="E82" s="64">
        <v>4.09</v>
      </c>
      <c r="F82" s="64">
        <v>3.44</v>
      </c>
      <c r="G82" s="64">
        <v>29.78</v>
      </c>
      <c r="H82" s="64">
        <v>10.02</v>
      </c>
      <c r="I82" s="64">
        <v>5.33</v>
      </c>
      <c r="J82" s="64">
        <v>0.6</v>
      </c>
      <c r="K82" s="64">
        <v>341.31</v>
      </c>
      <c r="L82" s="64">
        <v>23.51</v>
      </c>
      <c r="M82" s="64">
        <v>98.38</v>
      </c>
      <c r="N82" s="64">
        <v>21.4</v>
      </c>
      <c r="O82" s="64">
        <v>0.2</v>
      </c>
      <c r="P82" s="64">
        <v>0.34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7" t="s">
        <v>1084</v>
      </c>
      <c r="B83" s="64">
        <v>8.1999999999999993</v>
      </c>
      <c r="C83" s="64">
        <v>3.12</v>
      </c>
      <c r="D83" s="64">
        <v>11.98</v>
      </c>
      <c r="E83" s="64">
        <v>3.82</v>
      </c>
      <c r="F83" s="64">
        <v>4.45</v>
      </c>
      <c r="G83" s="64">
        <v>29.78</v>
      </c>
      <c r="H83" s="64">
        <v>10.02</v>
      </c>
      <c r="I83" s="64">
        <v>5.27</v>
      </c>
      <c r="J83" s="64">
        <v>0.14000000000000001</v>
      </c>
      <c r="K83" s="64">
        <v>227.1</v>
      </c>
      <c r="L83" s="64">
        <v>23.05</v>
      </c>
      <c r="M83" s="64">
        <v>98.38</v>
      </c>
      <c r="N83" s="64">
        <v>21.5</v>
      </c>
      <c r="O83" s="64">
        <v>0</v>
      </c>
      <c r="P83" s="64">
        <v>0.37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7" t="s">
        <v>1085</v>
      </c>
      <c r="B84" s="64">
        <v>8.2200000000000006</v>
      </c>
      <c r="C84" s="64">
        <v>3.24</v>
      </c>
      <c r="D84" s="64">
        <v>12.06</v>
      </c>
      <c r="E84" s="64">
        <v>3.83</v>
      </c>
      <c r="F84" s="64">
        <v>3.39</v>
      </c>
      <c r="G84" s="64">
        <v>25.68</v>
      </c>
      <c r="H84" s="64">
        <v>9.49</v>
      </c>
      <c r="I84" s="64">
        <v>4.9800000000000004</v>
      </c>
      <c r="J84" s="64">
        <v>0.26</v>
      </c>
      <c r="K84" s="64">
        <v>50.83</v>
      </c>
      <c r="L84" s="64">
        <v>23.13</v>
      </c>
      <c r="M84" s="64">
        <v>98.38</v>
      </c>
      <c r="N84" s="64">
        <v>18.600000000000001</v>
      </c>
      <c r="O84" s="64">
        <v>0</v>
      </c>
      <c r="P84" s="64">
        <v>0.41</v>
      </c>
      <c r="Q84" s="64">
        <v>9.33</v>
      </c>
      <c r="R84" s="198"/>
      <c r="S84" s="198"/>
      <c r="T84" s="198"/>
      <c r="U84" s="198"/>
    </row>
    <row r="85" spans="1:26" s="12" customFormat="1" x14ac:dyDescent="0.25">
      <c r="A85" s="217" t="s">
        <v>1086</v>
      </c>
      <c r="B85" s="64">
        <v>8.2799999999999994</v>
      </c>
      <c r="C85" s="64">
        <v>3.38</v>
      </c>
      <c r="D85" s="64">
        <v>12.18</v>
      </c>
      <c r="E85" s="64">
        <v>3.72</v>
      </c>
      <c r="F85" s="64">
        <v>3.21</v>
      </c>
      <c r="G85" s="64">
        <v>21</v>
      </c>
      <c r="H85" s="64">
        <v>8.91</v>
      </c>
      <c r="I85" s="64">
        <v>4.83</v>
      </c>
      <c r="J85" s="64">
        <v>0.11</v>
      </c>
      <c r="K85" s="64">
        <v>238.13</v>
      </c>
      <c r="L85" s="64">
        <v>22.96</v>
      </c>
      <c r="M85" s="64">
        <v>98.38</v>
      </c>
      <c r="N85" s="64">
        <v>18.8</v>
      </c>
      <c r="O85" s="64">
        <v>0</v>
      </c>
      <c r="P85" s="64">
        <v>0.43</v>
      </c>
      <c r="Q85" s="64">
        <v>9.32</v>
      </c>
      <c r="R85" s="198"/>
      <c r="S85" s="198"/>
      <c r="T85" s="198"/>
      <c r="U85" s="198"/>
    </row>
    <row r="86" spans="1:26" s="12" customFormat="1" x14ac:dyDescent="0.25">
      <c r="A86" s="217" t="s">
        <v>1087</v>
      </c>
      <c r="B86" s="64">
        <v>8.24</v>
      </c>
      <c r="C86" s="64">
        <v>3.3</v>
      </c>
      <c r="D86" s="64">
        <v>12.11</v>
      </c>
      <c r="E86" s="64">
        <v>3.66</v>
      </c>
      <c r="F86" s="64">
        <v>4.17</v>
      </c>
      <c r="G86" s="64">
        <v>21</v>
      </c>
      <c r="H86" s="64">
        <v>8.91</v>
      </c>
      <c r="I86" s="64">
        <v>4.76</v>
      </c>
      <c r="J86" s="64">
        <v>0.39</v>
      </c>
      <c r="K86" s="64">
        <v>229.63</v>
      </c>
      <c r="L86" s="64">
        <v>23</v>
      </c>
      <c r="M86" s="64">
        <v>98.38</v>
      </c>
      <c r="N86" s="64">
        <v>17.8</v>
      </c>
      <c r="O86" s="64">
        <v>0</v>
      </c>
      <c r="P86" s="64">
        <v>0.48</v>
      </c>
      <c r="Q86" s="64">
        <v>9.4</v>
      </c>
      <c r="R86" s="198"/>
      <c r="S86" s="198"/>
      <c r="T86" s="198"/>
      <c r="U86" s="198"/>
    </row>
    <row r="87" spans="1:26" s="12" customFormat="1" x14ac:dyDescent="0.25">
      <c r="A87" s="217" t="s">
        <v>1088</v>
      </c>
      <c r="B87" s="64">
        <v>8.2100000000000009</v>
      </c>
      <c r="C87" s="64">
        <v>3.24</v>
      </c>
      <c r="D87" s="64">
        <v>12.05</v>
      </c>
      <c r="E87" s="64">
        <v>3.8</v>
      </c>
      <c r="F87" s="64">
        <v>3.17</v>
      </c>
      <c r="G87" s="64">
        <v>21</v>
      </c>
      <c r="H87" s="64">
        <v>8.91</v>
      </c>
      <c r="I87" s="64">
        <v>4.7</v>
      </c>
      <c r="J87" s="64">
        <v>0.74</v>
      </c>
      <c r="K87" s="64">
        <v>110.14</v>
      </c>
      <c r="L87" s="64">
        <v>23.56</v>
      </c>
      <c r="M87" s="64">
        <v>98.38</v>
      </c>
      <c r="N87" s="64">
        <v>17.5</v>
      </c>
      <c r="O87" s="64">
        <v>0</v>
      </c>
      <c r="P87" s="64">
        <v>0.56000000000000005</v>
      </c>
      <c r="Q87" s="64">
        <v>9.3699999999999992</v>
      </c>
      <c r="R87" s="198"/>
      <c r="S87" s="198"/>
      <c r="T87" s="198"/>
      <c r="U87" s="198"/>
    </row>
    <row r="88" spans="1:26" s="12" customFormat="1" x14ac:dyDescent="0.25">
      <c r="A88" s="217" t="s">
        <v>1089</v>
      </c>
      <c r="B88" s="64">
        <v>8.2200000000000006</v>
      </c>
      <c r="C88" s="64">
        <v>3.23</v>
      </c>
      <c r="D88" s="64">
        <v>12.05</v>
      </c>
      <c r="E88" s="64">
        <v>3.84</v>
      </c>
      <c r="F88" s="64">
        <v>2.88</v>
      </c>
      <c r="G88" s="64">
        <v>24.02</v>
      </c>
      <c r="H88" s="64">
        <v>9.43</v>
      </c>
      <c r="I88" s="64">
        <v>4.88</v>
      </c>
      <c r="J88" s="64">
        <v>0.66</v>
      </c>
      <c r="K88" s="64">
        <v>124.88</v>
      </c>
      <c r="L88" s="64">
        <v>23.75</v>
      </c>
      <c r="M88" s="64">
        <v>98.38</v>
      </c>
      <c r="N88" s="64">
        <v>18.899999999999999</v>
      </c>
      <c r="O88" s="64">
        <v>0</v>
      </c>
      <c r="P88" s="64">
        <v>0.59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7" t="s">
        <v>1090</v>
      </c>
      <c r="B89" s="64">
        <v>8.3000000000000007</v>
      </c>
      <c r="C89" s="64">
        <v>3.4</v>
      </c>
      <c r="D89" s="64">
        <v>12.21</v>
      </c>
      <c r="E89" s="64">
        <v>3.75</v>
      </c>
      <c r="F89" s="64">
        <v>4.13</v>
      </c>
      <c r="G89" s="64">
        <v>27.31</v>
      </c>
      <c r="H89" s="64">
        <v>10</v>
      </c>
      <c r="I89" s="64">
        <v>5.0999999999999996</v>
      </c>
      <c r="J89" s="64">
        <v>0.62</v>
      </c>
      <c r="K89" s="64">
        <v>219.54</v>
      </c>
      <c r="L89" s="64">
        <v>24.05</v>
      </c>
      <c r="M89" s="64">
        <v>98.38</v>
      </c>
      <c r="N89" s="64">
        <v>18.399999999999999</v>
      </c>
      <c r="O89" s="64">
        <v>0</v>
      </c>
      <c r="P89" s="64">
        <v>0.63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7" t="s">
        <v>1091</v>
      </c>
      <c r="B90" s="64">
        <v>8.31</v>
      </c>
      <c r="C90" s="64">
        <v>3.43</v>
      </c>
      <c r="D90" s="64">
        <v>12.23</v>
      </c>
      <c r="E90" s="64">
        <v>3.66</v>
      </c>
      <c r="F90" s="64">
        <v>3.16</v>
      </c>
      <c r="G90" s="64">
        <v>27.31</v>
      </c>
      <c r="H90" s="64">
        <v>10</v>
      </c>
      <c r="I90" s="64">
        <v>5.31</v>
      </c>
      <c r="J90" s="64">
        <v>1.1200000000000001</v>
      </c>
      <c r="K90" s="64">
        <v>178.09</v>
      </c>
      <c r="L90" s="64">
        <v>24.27</v>
      </c>
      <c r="M90" s="64">
        <v>98.38</v>
      </c>
      <c r="N90" s="64">
        <v>19.3</v>
      </c>
      <c r="O90" s="64">
        <v>0</v>
      </c>
      <c r="P90" s="64">
        <v>0.66</v>
      </c>
      <c r="Q90" s="64">
        <v>9.5299999999999994</v>
      </c>
      <c r="R90" s="198"/>
      <c r="S90" s="198"/>
      <c r="T90" s="198"/>
      <c r="U90" s="198"/>
    </row>
    <row r="91" spans="1:26" s="12" customFormat="1" x14ac:dyDescent="0.25">
      <c r="A91" s="217" t="s">
        <v>1092</v>
      </c>
      <c r="B91" s="64">
        <v>8.2200000000000006</v>
      </c>
      <c r="C91" s="64">
        <v>3.17</v>
      </c>
      <c r="D91" s="64">
        <v>12.02</v>
      </c>
      <c r="E91" s="64">
        <v>3.77</v>
      </c>
      <c r="F91" s="64">
        <v>3.32</v>
      </c>
      <c r="G91" s="64">
        <v>27.31</v>
      </c>
      <c r="H91" s="64">
        <v>10</v>
      </c>
      <c r="I91" s="64">
        <v>5.46</v>
      </c>
      <c r="J91" s="64">
        <v>1.23</v>
      </c>
      <c r="K91" s="64">
        <v>160.91999999999999</v>
      </c>
      <c r="L91" s="64">
        <v>24.71</v>
      </c>
      <c r="M91" s="64">
        <v>98.36</v>
      </c>
      <c r="N91" s="64">
        <v>19.600000000000001</v>
      </c>
      <c r="O91" s="64">
        <v>0</v>
      </c>
      <c r="P91" s="64">
        <v>0.65</v>
      </c>
      <c r="Q91" s="64">
        <v>9.51</v>
      </c>
      <c r="R91" s="198"/>
      <c r="S91" s="198"/>
      <c r="T91" s="198"/>
      <c r="U91" s="198"/>
    </row>
    <row r="92" spans="1:26" s="12" customFormat="1" x14ac:dyDescent="0.25">
      <c r="A92" s="217" t="s">
        <v>1093</v>
      </c>
      <c r="B92" s="64">
        <v>8.26</v>
      </c>
      <c r="C92" s="64">
        <v>3.2</v>
      </c>
      <c r="D92" s="64">
        <v>12.07</v>
      </c>
      <c r="E92" s="64">
        <v>3.2</v>
      </c>
      <c r="F92" s="64">
        <v>3.41</v>
      </c>
      <c r="G92" s="64">
        <v>26.19</v>
      </c>
      <c r="H92" s="64">
        <v>9.52</v>
      </c>
      <c r="I92" s="64">
        <v>5.56</v>
      </c>
      <c r="J92" s="64">
        <v>1.22</v>
      </c>
      <c r="K92" s="64">
        <v>143.4</v>
      </c>
      <c r="L92" s="64">
        <v>25</v>
      </c>
      <c r="M92" s="64">
        <v>98.33</v>
      </c>
      <c r="N92" s="64">
        <v>19.2</v>
      </c>
      <c r="O92" s="64">
        <v>0</v>
      </c>
      <c r="P92" s="64">
        <v>0.65</v>
      </c>
      <c r="Q92" s="64">
        <v>9.57</v>
      </c>
      <c r="R92" s="198"/>
      <c r="S92" s="198"/>
      <c r="T92" s="198"/>
      <c r="U92" s="198"/>
    </row>
    <row r="93" spans="1:26" s="12" customFormat="1" x14ac:dyDescent="0.25">
      <c r="A93" s="217" t="s">
        <v>1094</v>
      </c>
      <c r="B93" s="64">
        <v>8.31</v>
      </c>
      <c r="C93" s="64">
        <v>3.34</v>
      </c>
      <c r="D93" s="64">
        <v>12.19</v>
      </c>
      <c r="E93" s="64">
        <v>3.29</v>
      </c>
      <c r="F93" s="64">
        <v>3.26</v>
      </c>
      <c r="G93" s="64">
        <v>24.95</v>
      </c>
      <c r="H93" s="64">
        <v>9</v>
      </c>
      <c r="I93" s="64">
        <v>5.75</v>
      </c>
      <c r="J93" s="64">
        <v>0.5</v>
      </c>
      <c r="K93" s="64">
        <v>138.59</v>
      </c>
      <c r="L93" s="64">
        <v>25.08</v>
      </c>
      <c r="M93" s="64">
        <v>98.33</v>
      </c>
      <c r="N93" s="64">
        <v>18.899999999999999</v>
      </c>
      <c r="O93" s="64">
        <v>0</v>
      </c>
      <c r="P93" s="64">
        <v>0.64</v>
      </c>
      <c r="Q93" s="64">
        <v>9.6199999999999992</v>
      </c>
      <c r="R93" s="198"/>
      <c r="S93" s="198"/>
      <c r="T93" s="198"/>
      <c r="U93" s="198"/>
    </row>
    <row r="94" spans="1:26" s="12" customFormat="1" x14ac:dyDescent="0.25">
      <c r="A94" s="217" t="s">
        <v>1095</v>
      </c>
      <c r="B94" s="64">
        <v>8.34</v>
      </c>
      <c r="C94" s="64">
        <v>3.33</v>
      </c>
      <c r="D94" s="64">
        <v>12.2</v>
      </c>
      <c r="E94" s="64">
        <v>3.68</v>
      </c>
      <c r="F94" s="64">
        <v>3.1</v>
      </c>
      <c r="G94" s="64">
        <v>24.95</v>
      </c>
      <c r="H94" s="64">
        <v>9</v>
      </c>
      <c r="I94" s="64">
        <v>6.05</v>
      </c>
      <c r="J94" s="64">
        <v>0.34</v>
      </c>
      <c r="K94" s="64">
        <v>159.63</v>
      </c>
      <c r="L94" s="64">
        <v>24.95</v>
      </c>
      <c r="M94" s="64">
        <v>98.35</v>
      </c>
      <c r="N94" s="64">
        <v>18.600000000000001</v>
      </c>
      <c r="O94" s="64">
        <v>0</v>
      </c>
      <c r="P94" s="64">
        <v>0.63</v>
      </c>
      <c r="Q94" s="64">
        <v>9.64</v>
      </c>
      <c r="R94" s="198"/>
      <c r="S94" s="198"/>
      <c r="T94" s="198"/>
      <c r="U94" s="198"/>
    </row>
    <row r="95" spans="1:26" s="12" customFormat="1" x14ac:dyDescent="0.25">
      <c r="A95" s="217" t="s">
        <v>1096</v>
      </c>
      <c r="B95" s="64">
        <v>8.33</v>
      </c>
      <c r="C95" s="64">
        <v>3.27</v>
      </c>
      <c r="D95" s="64">
        <v>12.16</v>
      </c>
      <c r="E95" s="64">
        <v>3.83</v>
      </c>
      <c r="F95" s="64">
        <v>3.38</v>
      </c>
      <c r="G95" s="64">
        <v>24.95</v>
      </c>
      <c r="H95" s="64">
        <v>9</v>
      </c>
      <c r="I95" s="64">
        <v>6.29</v>
      </c>
      <c r="J95" s="64">
        <v>1.07</v>
      </c>
      <c r="K95" s="64">
        <v>142.01</v>
      </c>
      <c r="L95" s="64">
        <v>24.99</v>
      </c>
      <c r="M95" s="64">
        <v>98.34</v>
      </c>
      <c r="N95" s="64">
        <v>18.7</v>
      </c>
      <c r="O95" s="64">
        <v>0</v>
      </c>
      <c r="P95" s="64">
        <v>0.63</v>
      </c>
      <c r="Q95" s="64">
        <v>9.64</v>
      </c>
      <c r="R95" s="198"/>
      <c r="S95" s="198"/>
      <c r="T95" s="198"/>
      <c r="U95" s="198"/>
    </row>
    <row r="96" spans="1:26" s="12" customFormat="1" x14ac:dyDescent="0.25">
      <c r="A96" s="217" t="s">
        <v>1097</v>
      </c>
      <c r="B96" s="64">
        <v>8.3000000000000007</v>
      </c>
      <c r="C96" s="64">
        <v>3.24</v>
      </c>
      <c r="D96" s="64">
        <v>12.12</v>
      </c>
      <c r="E96" s="64">
        <v>3.54</v>
      </c>
      <c r="F96" s="64">
        <v>3.43</v>
      </c>
      <c r="G96" s="64">
        <v>28.27</v>
      </c>
      <c r="H96" s="64">
        <v>9.34</v>
      </c>
      <c r="I96" s="64">
        <v>6.34</v>
      </c>
      <c r="J96" s="64">
        <v>0.94</v>
      </c>
      <c r="K96" s="64">
        <v>143.65</v>
      </c>
      <c r="L96" s="64">
        <v>25.02</v>
      </c>
      <c r="M96" s="64">
        <v>98.32</v>
      </c>
      <c r="N96" s="64">
        <v>18.5</v>
      </c>
      <c r="O96" s="64">
        <v>0</v>
      </c>
      <c r="P96" s="64">
        <v>0.61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1098</v>
      </c>
      <c r="B97" s="64">
        <v>8.2899999999999991</v>
      </c>
      <c r="C97" s="64">
        <v>3.24</v>
      </c>
      <c r="D97" s="64">
        <v>12.12</v>
      </c>
      <c r="E97" s="64">
        <v>3.39</v>
      </c>
      <c r="F97" s="64">
        <v>2.77</v>
      </c>
      <c r="G97" s="64">
        <v>31.89</v>
      </c>
      <c r="H97" s="64">
        <v>9.6999999999999993</v>
      </c>
      <c r="I97" s="64">
        <v>6.44</v>
      </c>
      <c r="J97" s="64">
        <v>0.88</v>
      </c>
      <c r="K97" s="64">
        <v>143.24</v>
      </c>
      <c r="L97" s="64">
        <v>24.92</v>
      </c>
      <c r="M97" s="64">
        <v>98.28</v>
      </c>
      <c r="N97" s="64">
        <v>18.399999999999999</v>
      </c>
      <c r="O97" s="64">
        <v>0</v>
      </c>
      <c r="P97" s="64">
        <v>0.6</v>
      </c>
      <c r="Q97" s="64">
        <v>9.66</v>
      </c>
      <c r="R97" s="198"/>
      <c r="S97" s="198"/>
      <c r="T97" s="198"/>
      <c r="U97" s="198"/>
    </row>
    <row r="98" spans="1:33" s="12" customFormat="1" x14ac:dyDescent="0.25">
      <c r="A98" s="217" t="s">
        <v>1099</v>
      </c>
      <c r="B98" s="64">
        <v>8.2899999999999991</v>
      </c>
      <c r="C98" s="64">
        <v>3.2</v>
      </c>
      <c r="D98" s="64">
        <v>12.09</v>
      </c>
      <c r="E98" s="64">
        <v>3.61</v>
      </c>
      <c r="F98" s="64">
        <v>4.57</v>
      </c>
      <c r="G98" s="64">
        <v>31.89</v>
      </c>
      <c r="H98" s="64">
        <v>9.6999999999999993</v>
      </c>
      <c r="I98" s="64">
        <v>6.43</v>
      </c>
      <c r="J98" s="64">
        <v>0.64</v>
      </c>
      <c r="K98" s="64">
        <v>148.93</v>
      </c>
      <c r="L98" s="64">
        <v>24.78</v>
      </c>
      <c r="M98" s="64">
        <v>97.78</v>
      </c>
      <c r="N98" s="64">
        <v>18.399999999999999</v>
      </c>
      <c r="O98" s="64">
        <v>0</v>
      </c>
      <c r="P98" s="64">
        <v>0.59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7" t="s">
        <v>1100</v>
      </c>
      <c r="B99" s="64">
        <v>8.27</v>
      </c>
      <c r="C99" s="64">
        <v>3.24</v>
      </c>
      <c r="D99" s="64">
        <v>12.1</v>
      </c>
      <c r="E99" s="64">
        <v>3.68</v>
      </c>
      <c r="F99" s="64">
        <v>3.45</v>
      </c>
      <c r="G99" s="64">
        <v>31.89</v>
      </c>
      <c r="H99" s="64">
        <v>9.6999999999999993</v>
      </c>
      <c r="I99" s="64">
        <v>6.58</v>
      </c>
      <c r="J99" s="64">
        <v>0.48</v>
      </c>
      <c r="K99" s="64">
        <v>150.13</v>
      </c>
      <c r="L99" s="64">
        <v>24.74</v>
      </c>
      <c r="M99" s="64">
        <v>97.05</v>
      </c>
      <c r="N99" s="64">
        <v>18</v>
      </c>
      <c r="O99" s="64">
        <v>0</v>
      </c>
      <c r="P99" s="64">
        <v>0.56999999999999995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7" t="s">
        <v>1101</v>
      </c>
      <c r="B100" s="64">
        <v>8.31</v>
      </c>
      <c r="C100" s="64">
        <v>3.3</v>
      </c>
      <c r="D100" s="64">
        <v>12.16</v>
      </c>
      <c r="E100" s="64">
        <v>3.62</v>
      </c>
      <c r="F100" s="64">
        <v>3.49</v>
      </c>
      <c r="G100" s="64">
        <v>28.1</v>
      </c>
      <c r="H100" s="64">
        <v>9.59</v>
      </c>
      <c r="I100" s="64">
        <v>6.44</v>
      </c>
      <c r="J100" s="64">
        <v>0.36</v>
      </c>
      <c r="K100" s="64">
        <v>12.73</v>
      </c>
      <c r="L100" s="64">
        <v>24.64</v>
      </c>
      <c r="M100" s="64">
        <v>96.12</v>
      </c>
      <c r="N100" s="64">
        <v>18</v>
      </c>
      <c r="O100" s="64">
        <v>0</v>
      </c>
      <c r="P100" s="64">
        <v>0.53</v>
      </c>
      <c r="Q100" s="64">
        <v>9.51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1102</v>
      </c>
      <c r="B101" s="64">
        <v>8.25</v>
      </c>
      <c r="C101" s="64">
        <v>3.22</v>
      </c>
      <c r="D101" s="64">
        <v>12.07</v>
      </c>
      <c r="E101" s="64">
        <v>3.85</v>
      </c>
      <c r="F101" s="64">
        <v>5.29</v>
      </c>
      <c r="G101" s="64">
        <v>23.97</v>
      </c>
      <c r="H101" s="64">
        <v>9.4700000000000006</v>
      </c>
      <c r="I101" s="64">
        <v>5.98</v>
      </c>
      <c r="J101" s="64">
        <v>0.46</v>
      </c>
      <c r="K101" s="64">
        <v>1.88</v>
      </c>
      <c r="L101" s="64">
        <v>24.36</v>
      </c>
      <c r="M101" s="64">
        <v>93.17</v>
      </c>
      <c r="N101" s="64">
        <v>18.100000000000001</v>
      </c>
      <c r="O101" s="64">
        <v>0</v>
      </c>
      <c r="P101" s="64">
        <v>0.51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7" t="s">
        <v>1103</v>
      </c>
      <c r="B102" s="64">
        <v>8.2100000000000009</v>
      </c>
      <c r="C102" s="64">
        <v>3.24</v>
      </c>
      <c r="D102" s="64">
        <v>12.05</v>
      </c>
      <c r="E102" s="64">
        <v>3.53</v>
      </c>
      <c r="F102" s="64">
        <v>3.42</v>
      </c>
      <c r="G102" s="64">
        <v>23.97</v>
      </c>
      <c r="H102" s="64">
        <v>9.4700000000000006</v>
      </c>
      <c r="I102" s="64">
        <v>5.68</v>
      </c>
      <c r="J102" s="64">
        <v>0.37</v>
      </c>
      <c r="K102" s="64">
        <v>1.17</v>
      </c>
      <c r="L102" s="64">
        <v>24.01</v>
      </c>
      <c r="M102" s="64">
        <v>93.91</v>
      </c>
      <c r="N102" s="64">
        <v>18.100000000000001</v>
      </c>
      <c r="O102" s="64">
        <v>0</v>
      </c>
      <c r="P102" s="64">
        <v>0.49</v>
      </c>
      <c r="Q102" s="64">
        <v>9.44</v>
      </c>
      <c r="R102" s="198"/>
      <c r="S102" s="198"/>
      <c r="T102" s="198"/>
      <c r="U102" s="198"/>
    </row>
    <row r="103" spans="1:33" s="12" customFormat="1" x14ac:dyDescent="0.25">
      <c r="A103" s="217" t="s">
        <v>1104</v>
      </c>
      <c r="B103" s="64">
        <v>8.1999999999999993</v>
      </c>
      <c r="C103" s="64">
        <v>3.2</v>
      </c>
      <c r="D103" s="64">
        <v>12.03</v>
      </c>
      <c r="E103" s="64">
        <v>3.63</v>
      </c>
      <c r="F103" s="64">
        <v>3.5</v>
      </c>
      <c r="G103" s="64">
        <v>23.97</v>
      </c>
      <c r="H103" s="64">
        <v>9.4700000000000006</v>
      </c>
      <c r="I103" s="64">
        <v>5.2</v>
      </c>
      <c r="J103" s="64">
        <v>0.26</v>
      </c>
      <c r="K103" s="64">
        <v>5.93</v>
      </c>
      <c r="L103" s="64">
        <v>23.8</v>
      </c>
      <c r="M103" s="64">
        <v>95.39</v>
      </c>
      <c r="N103" s="64">
        <v>18</v>
      </c>
      <c r="O103" s="64">
        <v>0</v>
      </c>
      <c r="P103" s="64">
        <v>0.45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17" t="s">
        <v>1105</v>
      </c>
      <c r="B104" s="64">
        <v>8.2200000000000006</v>
      </c>
      <c r="C104" s="64">
        <v>3.2</v>
      </c>
      <c r="D104" s="64">
        <v>12.04</v>
      </c>
      <c r="E104" s="64">
        <v>4.6500000000000004</v>
      </c>
      <c r="F104" s="64">
        <v>4.1399999999999997</v>
      </c>
      <c r="G104" s="64">
        <v>22.57</v>
      </c>
      <c r="H104" s="64">
        <v>8.57</v>
      </c>
      <c r="I104" s="64">
        <v>4.7699999999999996</v>
      </c>
      <c r="J104" s="64">
        <v>0.33</v>
      </c>
      <c r="K104" s="64">
        <v>349.99</v>
      </c>
      <c r="L104" s="64">
        <v>23.67</v>
      </c>
      <c r="M104" s="64">
        <v>96.53</v>
      </c>
      <c r="N104" s="64">
        <v>17.8</v>
      </c>
      <c r="O104" s="64">
        <v>0</v>
      </c>
      <c r="P104" s="64">
        <v>0.45</v>
      </c>
      <c r="Q104" s="64">
        <v>9.48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8.18</v>
      </c>
      <c r="C106" s="67">
        <f>MIN(C9:C104)</f>
        <v>3.1</v>
      </c>
      <c r="D106" s="67">
        <f t="shared" ref="D106:Q106" si="0">MIN(D9:D104)</f>
        <v>11.95</v>
      </c>
      <c r="E106" s="67">
        <f t="shared" si="0"/>
        <v>3.2</v>
      </c>
      <c r="F106" s="67">
        <f t="shared" si="0"/>
        <v>2.41</v>
      </c>
      <c r="G106" s="67">
        <f t="shared" si="0"/>
        <v>10.6</v>
      </c>
      <c r="H106" s="67">
        <f t="shared" si="0"/>
        <v>1.19</v>
      </c>
      <c r="I106" s="67">
        <f t="shared" si="0"/>
        <v>2.89</v>
      </c>
      <c r="J106" s="67">
        <f t="shared" si="0"/>
        <v>0.06</v>
      </c>
      <c r="K106" s="67">
        <f t="shared" si="0"/>
        <v>1.17</v>
      </c>
      <c r="L106" s="67">
        <f t="shared" si="0"/>
        <v>22.46</v>
      </c>
      <c r="M106" s="67">
        <f t="shared" si="0"/>
        <v>53.55</v>
      </c>
      <c r="N106" s="67">
        <f t="shared" si="0"/>
        <v>0</v>
      </c>
      <c r="O106" s="67">
        <f t="shared" si="0"/>
        <v>0</v>
      </c>
      <c r="P106" s="67">
        <f t="shared" si="0"/>
        <v>0.28999999999999998</v>
      </c>
      <c r="Q106" s="67">
        <f t="shared" si="0"/>
        <v>9.24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8.3699999999999992</v>
      </c>
      <c r="C107" s="66">
        <f t="shared" ref="C107:Q107" si="1">MAX(C9:C104)</f>
        <v>3.43</v>
      </c>
      <c r="D107" s="66">
        <f t="shared" si="1"/>
        <v>12.26</v>
      </c>
      <c r="E107" s="66">
        <f t="shared" si="1"/>
        <v>5.33</v>
      </c>
      <c r="F107" s="66">
        <f t="shared" si="1"/>
        <v>7.28</v>
      </c>
      <c r="G107" s="66">
        <f t="shared" si="1"/>
        <v>57.41</v>
      </c>
      <c r="H107" s="66">
        <f t="shared" si="1"/>
        <v>16.48</v>
      </c>
      <c r="I107" s="66">
        <f t="shared" si="1"/>
        <v>6.93</v>
      </c>
      <c r="J107" s="66">
        <f t="shared" si="1"/>
        <v>2.1</v>
      </c>
      <c r="K107" s="66">
        <f t="shared" si="1"/>
        <v>356.21</v>
      </c>
      <c r="L107" s="66">
        <f t="shared" si="1"/>
        <v>33.58</v>
      </c>
      <c r="M107" s="66">
        <f t="shared" si="1"/>
        <v>98.38</v>
      </c>
      <c r="N107" s="66">
        <f t="shared" si="1"/>
        <v>1012</v>
      </c>
      <c r="O107" s="66">
        <f t="shared" si="1"/>
        <v>4.4000000000000004</v>
      </c>
      <c r="P107" s="66">
        <f t="shared" si="1"/>
        <v>0.7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8.2496875000000021</v>
      </c>
      <c r="C108" s="67">
        <f t="shared" ref="C108:Q108" si="2">AVERAGE(C9:C104)</f>
        <v>3.2161458333333317</v>
      </c>
      <c r="D108" s="67">
        <f t="shared" si="2"/>
        <v>12.07010416666666</v>
      </c>
      <c r="E108" s="67">
        <f t="shared" si="2"/>
        <v>4.0663541666666667</v>
      </c>
      <c r="F108" s="67">
        <f t="shared" si="2"/>
        <v>3.6700000000000004</v>
      </c>
      <c r="G108" s="67">
        <f t="shared" si="2"/>
        <v>24.639062499999984</v>
      </c>
      <c r="H108" s="67">
        <f t="shared" si="2"/>
        <v>7.0831250000000034</v>
      </c>
      <c r="I108" s="67">
        <f t="shared" si="2"/>
        <v>4.7663541666666669</v>
      </c>
      <c r="J108" s="67">
        <f t="shared" si="2"/>
        <v>0.49770833333333325</v>
      </c>
      <c r="K108" s="67">
        <f t="shared" si="2"/>
        <v>183.78156249999998</v>
      </c>
      <c r="L108" s="67">
        <f t="shared" si="2"/>
        <v>26.017604166666661</v>
      </c>
      <c r="M108" s="67">
        <f t="shared" si="2"/>
        <v>85.726458333333355</v>
      </c>
      <c r="N108" s="67">
        <f t="shared" si="2"/>
        <v>167.39166666666665</v>
      </c>
      <c r="O108" s="67">
        <f t="shared" si="2"/>
        <v>7.9166666666666677E-2</v>
      </c>
      <c r="P108" s="67">
        <f t="shared" si="2"/>
        <v>0.41687500000000016</v>
      </c>
      <c r="Q108" s="67">
        <f t="shared" si="2"/>
        <v>9.4122916666666647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3.9880165892068858E-2</v>
      </c>
      <c r="C109" s="67">
        <f t="shared" ref="C109:Q109" si="3">STDEV(C9:C104)</f>
        <v>7.5774871430777616E-2</v>
      </c>
      <c r="D109" s="67">
        <f t="shared" si="3"/>
        <v>6.5974393623853031E-2</v>
      </c>
      <c r="E109" s="67">
        <f t="shared" si="3"/>
        <v>0.46906204233704407</v>
      </c>
      <c r="F109" s="67">
        <f t="shared" si="3"/>
        <v>0.6242789524934429</v>
      </c>
      <c r="G109" s="67">
        <f t="shared" si="3"/>
        <v>9.6167384861938956</v>
      </c>
      <c r="H109" s="67">
        <f t="shared" si="3"/>
        <v>3.7922647899167128</v>
      </c>
      <c r="I109" s="67">
        <f t="shared" si="3"/>
        <v>1.0082920627337759</v>
      </c>
      <c r="J109" s="67">
        <f t="shared" si="3"/>
        <v>0.3513207536281121</v>
      </c>
      <c r="K109" s="67">
        <f t="shared" si="3"/>
        <v>98.13107152469874</v>
      </c>
      <c r="L109" s="67">
        <f t="shared" si="3"/>
        <v>3.1608941922023321</v>
      </c>
      <c r="M109" s="67">
        <f t="shared" si="3"/>
        <v>15.507161400236313</v>
      </c>
      <c r="N109" s="67">
        <f t="shared" si="3"/>
        <v>254.78984556592675</v>
      </c>
      <c r="O109" s="67">
        <f t="shared" si="3"/>
        <v>0.49543530390039547</v>
      </c>
      <c r="P109" s="67">
        <f t="shared" si="3"/>
        <v>0.11339091674380213</v>
      </c>
      <c r="Q109" s="67">
        <f t="shared" si="3"/>
        <v>0.11770148831207369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1106</v>
      </c>
      <c r="B9" s="64">
        <v>8.2200000000000006</v>
      </c>
      <c r="C9" s="64">
        <v>3.24</v>
      </c>
      <c r="D9" s="64">
        <v>12.06</v>
      </c>
      <c r="E9" s="64">
        <v>4.4000000000000004</v>
      </c>
      <c r="F9" s="64">
        <v>3.33</v>
      </c>
      <c r="G9" s="64">
        <v>20.98</v>
      </c>
      <c r="H9" s="64">
        <v>7.59</v>
      </c>
      <c r="I9" s="64">
        <v>4.4800000000000004</v>
      </c>
      <c r="J9" s="64">
        <v>0.28000000000000003</v>
      </c>
      <c r="K9" s="64">
        <v>12.04</v>
      </c>
      <c r="L9" s="64">
        <v>23.52</v>
      </c>
      <c r="M9" s="64">
        <v>95.84</v>
      </c>
      <c r="N9" s="64">
        <v>17.8</v>
      </c>
      <c r="O9" s="64">
        <v>0</v>
      </c>
      <c r="P9" s="64">
        <v>0.43</v>
      </c>
      <c r="Q9" s="64">
        <v>9.4600000000000009</v>
      </c>
      <c r="R9" s="198"/>
      <c r="S9" s="198"/>
      <c r="T9" s="198"/>
      <c r="U9" s="198"/>
    </row>
    <row r="10" spans="1:21" s="12" customFormat="1" x14ac:dyDescent="0.25">
      <c r="A10" s="217" t="s">
        <v>1107</v>
      </c>
      <c r="B10" s="64">
        <v>8.2899999999999991</v>
      </c>
      <c r="C10" s="64">
        <v>3.31</v>
      </c>
      <c r="D10" s="64">
        <v>12.15</v>
      </c>
      <c r="E10" s="64">
        <v>4.57</v>
      </c>
      <c r="F10" s="64">
        <v>2.95</v>
      </c>
      <c r="G10" s="64">
        <v>20.98</v>
      </c>
      <c r="H10" s="64">
        <v>7.59</v>
      </c>
      <c r="I10" s="64">
        <v>4.3</v>
      </c>
      <c r="J10" s="64">
        <v>0.3</v>
      </c>
      <c r="K10" s="64">
        <v>190.9</v>
      </c>
      <c r="L10" s="64">
        <v>23.26</v>
      </c>
      <c r="M10" s="64">
        <v>94.14</v>
      </c>
      <c r="N10" s="64">
        <v>17.899999999999999</v>
      </c>
      <c r="O10" s="64">
        <v>0</v>
      </c>
      <c r="P10" s="64">
        <v>0.4</v>
      </c>
      <c r="Q10" s="64">
        <v>9.3800000000000008</v>
      </c>
      <c r="R10" s="198"/>
      <c r="S10" s="198"/>
      <c r="T10" s="198"/>
      <c r="U10" s="198"/>
    </row>
    <row r="11" spans="1:21" s="12" customFormat="1" x14ac:dyDescent="0.25">
      <c r="A11" s="217" t="s">
        <v>1108</v>
      </c>
      <c r="B11" s="64">
        <v>8.25</v>
      </c>
      <c r="C11" s="64">
        <v>3.27</v>
      </c>
      <c r="D11" s="64">
        <v>12.1</v>
      </c>
      <c r="E11" s="64">
        <v>4.33</v>
      </c>
      <c r="F11" s="64">
        <v>4</v>
      </c>
      <c r="G11" s="64">
        <v>20.98</v>
      </c>
      <c r="H11" s="64">
        <v>7.59</v>
      </c>
      <c r="I11" s="64">
        <v>4.1100000000000003</v>
      </c>
      <c r="J11" s="64">
        <v>7.0000000000000007E-2</v>
      </c>
      <c r="K11" s="64">
        <v>196.17</v>
      </c>
      <c r="L11" s="64">
        <v>23.08</v>
      </c>
      <c r="M11" s="64">
        <v>94.69</v>
      </c>
      <c r="N11" s="64">
        <v>17.899999999999999</v>
      </c>
      <c r="O11" s="64">
        <v>0</v>
      </c>
      <c r="P11" s="64">
        <v>0.4</v>
      </c>
      <c r="Q11" s="64">
        <v>9.4</v>
      </c>
      <c r="R11" s="198"/>
      <c r="S11" s="198"/>
      <c r="T11" s="198"/>
      <c r="U11" s="198"/>
    </row>
    <row r="12" spans="1:21" s="12" customFormat="1" x14ac:dyDescent="0.25">
      <c r="A12" s="217" t="s">
        <v>1109</v>
      </c>
      <c r="B12" s="64">
        <v>8.2100000000000009</v>
      </c>
      <c r="C12" s="64">
        <v>3.16</v>
      </c>
      <c r="D12" s="64">
        <v>12.01</v>
      </c>
      <c r="E12" s="64">
        <v>4.45</v>
      </c>
      <c r="F12" s="64">
        <v>3.13</v>
      </c>
      <c r="G12" s="64">
        <v>18.309999999999999</v>
      </c>
      <c r="H12" s="64">
        <v>6.5</v>
      </c>
      <c r="I12" s="64">
        <v>3.87</v>
      </c>
      <c r="J12" s="64">
        <v>0.15</v>
      </c>
      <c r="K12" s="64">
        <v>321.11</v>
      </c>
      <c r="L12" s="64">
        <v>22.99</v>
      </c>
      <c r="M12" s="64">
        <v>95.84</v>
      </c>
      <c r="N12" s="64">
        <v>17.8</v>
      </c>
      <c r="O12" s="64">
        <v>0</v>
      </c>
      <c r="P12" s="64">
        <v>0.39</v>
      </c>
      <c r="Q12" s="64">
        <v>9.3800000000000008</v>
      </c>
      <c r="R12" s="198"/>
      <c r="S12" s="198"/>
      <c r="T12" s="198"/>
      <c r="U12" s="198"/>
    </row>
    <row r="13" spans="1:21" s="12" customFormat="1" x14ac:dyDescent="0.25">
      <c r="A13" s="217" t="s">
        <v>1110</v>
      </c>
      <c r="B13" s="64">
        <v>8.2200000000000006</v>
      </c>
      <c r="C13" s="64">
        <v>3.14</v>
      </c>
      <c r="D13" s="64">
        <v>12</v>
      </c>
      <c r="E13" s="64">
        <v>4.6100000000000003</v>
      </c>
      <c r="F13" s="64">
        <v>3.15</v>
      </c>
      <c r="G13" s="64">
        <v>15.39</v>
      </c>
      <c r="H13" s="64">
        <v>5.31</v>
      </c>
      <c r="I13" s="64">
        <v>3.74</v>
      </c>
      <c r="J13" s="64">
        <v>0.55000000000000004</v>
      </c>
      <c r="K13" s="64">
        <v>179.35</v>
      </c>
      <c r="L13" s="64">
        <v>22.84</v>
      </c>
      <c r="M13" s="64">
        <v>96.99</v>
      </c>
      <c r="N13" s="64">
        <v>17.8</v>
      </c>
      <c r="O13" s="64">
        <v>0</v>
      </c>
      <c r="P13" s="64">
        <v>0.36</v>
      </c>
      <c r="Q13" s="64">
        <v>9.3000000000000007</v>
      </c>
      <c r="R13" s="198"/>
      <c r="S13" s="198"/>
      <c r="T13" s="198"/>
      <c r="U13" s="198"/>
    </row>
    <row r="14" spans="1:21" s="12" customFormat="1" x14ac:dyDescent="0.25">
      <c r="A14" s="217" t="s">
        <v>1111</v>
      </c>
      <c r="B14" s="64">
        <v>8.23</v>
      </c>
      <c r="C14" s="64">
        <v>3.15</v>
      </c>
      <c r="D14" s="64">
        <v>12.02</v>
      </c>
      <c r="E14" s="64">
        <v>4.17</v>
      </c>
      <c r="F14" s="64">
        <v>3.61</v>
      </c>
      <c r="G14" s="64">
        <v>15.39</v>
      </c>
      <c r="H14" s="64">
        <v>5.31</v>
      </c>
      <c r="I14" s="64">
        <v>3.58</v>
      </c>
      <c r="J14" s="64">
        <v>0.08</v>
      </c>
      <c r="K14" s="64">
        <v>350.17</v>
      </c>
      <c r="L14" s="64">
        <v>22.75</v>
      </c>
      <c r="M14" s="64">
        <v>98.26</v>
      </c>
      <c r="N14" s="64">
        <v>17.8</v>
      </c>
      <c r="O14" s="64">
        <v>0</v>
      </c>
      <c r="P14" s="64">
        <v>0.36</v>
      </c>
      <c r="Q14" s="64">
        <v>9.2899999999999991</v>
      </c>
      <c r="R14" s="198"/>
      <c r="S14" s="198"/>
      <c r="T14" s="198"/>
      <c r="U14" s="198"/>
    </row>
    <row r="15" spans="1:21" s="12" customFormat="1" x14ac:dyDescent="0.25">
      <c r="A15" s="217" t="s">
        <v>1112</v>
      </c>
      <c r="B15" s="64">
        <v>8.24</v>
      </c>
      <c r="C15" s="64">
        <v>3.14</v>
      </c>
      <c r="D15" s="64">
        <v>12.02</v>
      </c>
      <c r="E15" s="64">
        <v>4.6399999999999997</v>
      </c>
      <c r="F15" s="64">
        <v>3.52</v>
      </c>
      <c r="G15" s="64">
        <v>15.39</v>
      </c>
      <c r="H15" s="64">
        <v>5.31</v>
      </c>
      <c r="I15" s="64">
        <v>3.51</v>
      </c>
      <c r="J15" s="64">
        <v>0.13</v>
      </c>
      <c r="K15" s="64">
        <v>165.26</v>
      </c>
      <c r="L15" s="64">
        <v>22.74</v>
      </c>
      <c r="M15" s="64">
        <v>98.3</v>
      </c>
      <c r="N15" s="64">
        <v>17.7</v>
      </c>
      <c r="O15" s="64">
        <v>0</v>
      </c>
      <c r="P15" s="64">
        <v>0.35</v>
      </c>
      <c r="Q15" s="64">
        <v>9.31</v>
      </c>
      <c r="R15" s="198"/>
      <c r="S15" s="198"/>
      <c r="T15" s="198"/>
      <c r="U15" s="198"/>
    </row>
    <row r="16" spans="1:21" s="12" customFormat="1" x14ac:dyDescent="0.25">
      <c r="A16" s="217" t="s">
        <v>1113</v>
      </c>
      <c r="B16" s="64">
        <v>8.24</v>
      </c>
      <c r="C16" s="64">
        <v>3.1</v>
      </c>
      <c r="D16" s="64">
        <v>12</v>
      </c>
      <c r="E16" s="64">
        <v>4.25</v>
      </c>
      <c r="F16" s="64">
        <v>4.04</v>
      </c>
      <c r="G16" s="64">
        <v>14.29</v>
      </c>
      <c r="H16" s="64">
        <v>5.16</v>
      </c>
      <c r="I16" s="64">
        <v>3.53</v>
      </c>
      <c r="J16" s="64">
        <v>0.34</v>
      </c>
      <c r="K16" s="64">
        <v>353.78</v>
      </c>
      <c r="L16" s="64">
        <v>22.68</v>
      </c>
      <c r="M16" s="64">
        <v>98.33</v>
      </c>
      <c r="N16" s="64">
        <v>17.7</v>
      </c>
      <c r="O16" s="64">
        <v>0</v>
      </c>
      <c r="P16" s="64">
        <v>0.35</v>
      </c>
      <c r="Q16" s="64">
        <v>8.93</v>
      </c>
      <c r="R16" s="198"/>
      <c r="S16" s="198"/>
      <c r="T16" s="198"/>
      <c r="U16" s="198"/>
    </row>
    <row r="17" spans="1:21" s="12" customFormat="1" x14ac:dyDescent="0.25">
      <c r="A17" s="217" t="s">
        <v>1114</v>
      </c>
      <c r="B17" s="64">
        <v>8.24</v>
      </c>
      <c r="C17" s="64">
        <v>3.1</v>
      </c>
      <c r="D17" s="64">
        <v>12</v>
      </c>
      <c r="E17" s="64">
        <v>4.25</v>
      </c>
      <c r="F17" s="64">
        <v>4.04</v>
      </c>
      <c r="G17" s="64">
        <v>14.29</v>
      </c>
      <c r="H17" s="64">
        <v>5.16</v>
      </c>
      <c r="I17" s="64">
        <v>3.53</v>
      </c>
      <c r="J17" s="64">
        <v>0.34</v>
      </c>
      <c r="K17" s="64">
        <v>353.78</v>
      </c>
      <c r="L17" s="64">
        <v>22.68</v>
      </c>
      <c r="M17" s="64">
        <v>98.33</v>
      </c>
      <c r="N17" s="64">
        <v>17.7</v>
      </c>
      <c r="O17" s="64">
        <v>0</v>
      </c>
      <c r="P17" s="64">
        <v>0.35</v>
      </c>
      <c r="Q17" s="64">
        <v>8.93</v>
      </c>
      <c r="R17" s="198"/>
      <c r="S17" s="198"/>
      <c r="T17" s="198"/>
      <c r="U17" s="198"/>
    </row>
    <row r="18" spans="1:21" s="12" customFormat="1" x14ac:dyDescent="0.25">
      <c r="A18" s="217" t="s">
        <v>1115</v>
      </c>
      <c r="B18" s="64">
        <v>8.26</v>
      </c>
      <c r="C18" s="64">
        <v>3.18</v>
      </c>
      <c r="D18" s="64">
        <v>12.06</v>
      </c>
      <c r="E18" s="64">
        <v>4.59</v>
      </c>
      <c r="F18" s="64">
        <v>3.61</v>
      </c>
      <c r="G18" s="64">
        <v>10.77</v>
      </c>
      <c r="H18" s="64">
        <v>4.6900000000000004</v>
      </c>
      <c r="I18" s="64">
        <v>3.51</v>
      </c>
      <c r="J18" s="64">
        <v>7.0000000000000007E-2</v>
      </c>
      <c r="K18" s="64">
        <v>61.94</v>
      </c>
      <c r="L18" s="64">
        <v>22.59</v>
      </c>
      <c r="M18" s="64">
        <v>98.33</v>
      </c>
      <c r="N18" s="64">
        <v>17.7</v>
      </c>
      <c r="O18" s="64">
        <v>0</v>
      </c>
      <c r="P18" s="64">
        <v>0.34</v>
      </c>
      <c r="Q18" s="64">
        <v>8.18</v>
      </c>
      <c r="R18" s="198"/>
      <c r="S18" s="198"/>
      <c r="T18" s="198"/>
      <c r="U18" s="198"/>
    </row>
    <row r="19" spans="1:21" s="12" customFormat="1" x14ac:dyDescent="0.25">
      <c r="A19" s="217" t="s">
        <v>1116</v>
      </c>
      <c r="B19" s="64">
        <v>8.27</v>
      </c>
      <c r="C19" s="64">
        <v>3.21</v>
      </c>
      <c r="D19" s="64">
        <v>12.09</v>
      </c>
      <c r="E19" s="64">
        <v>4.41</v>
      </c>
      <c r="F19" s="64">
        <v>3.41</v>
      </c>
      <c r="G19" s="64">
        <v>10.77</v>
      </c>
      <c r="H19" s="64">
        <v>4.6900000000000004</v>
      </c>
      <c r="I19" s="64">
        <v>3.63</v>
      </c>
      <c r="J19" s="64">
        <v>0.13</v>
      </c>
      <c r="K19" s="64">
        <v>76.81</v>
      </c>
      <c r="L19" s="64">
        <v>22.5</v>
      </c>
      <c r="M19" s="64">
        <v>98.33</v>
      </c>
      <c r="N19" s="64">
        <v>17.600000000000001</v>
      </c>
      <c r="O19" s="64">
        <v>0</v>
      </c>
      <c r="P19" s="64">
        <v>0.33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7" t="s">
        <v>1117</v>
      </c>
      <c r="B20" s="64">
        <v>8.2799999999999994</v>
      </c>
      <c r="C20" s="64">
        <v>3.21</v>
      </c>
      <c r="D20" s="64">
        <v>12.09</v>
      </c>
      <c r="E20" s="64">
        <v>4.55</v>
      </c>
      <c r="F20" s="64">
        <v>3.97</v>
      </c>
      <c r="G20" s="64">
        <v>10.71</v>
      </c>
      <c r="H20" s="64">
        <v>4.13</v>
      </c>
      <c r="I20" s="64">
        <v>3.72</v>
      </c>
      <c r="J20" s="64">
        <v>0.05</v>
      </c>
      <c r="K20" s="64">
        <v>306.04000000000002</v>
      </c>
      <c r="L20" s="64">
        <v>22.41</v>
      </c>
      <c r="M20" s="64">
        <v>98.33</v>
      </c>
      <c r="N20" s="64">
        <v>17.7</v>
      </c>
      <c r="O20" s="64">
        <v>0</v>
      </c>
      <c r="P20" s="64">
        <v>0.33</v>
      </c>
      <c r="Q20" s="64">
        <v>9.3800000000000008</v>
      </c>
      <c r="R20" s="198"/>
      <c r="S20" s="198"/>
      <c r="T20" s="198"/>
      <c r="U20" s="198"/>
    </row>
    <row r="21" spans="1:21" s="12" customFormat="1" x14ac:dyDescent="0.25">
      <c r="A21" s="217" t="s">
        <v>1118</v>
      </c>
      <c r="B21" s="64">
        <v>8.25</v>
      </c>
      <c r="C21" s="64">
        <v>3.18</v>
      </c>
      <c r="D21" s="64">
        <v>12.05</v>
      </c>
      <c r="E21" s="64">
        <v>4.34</v>
      </c>
      <c r="F21" s="64">
        <v>4.4400000000000004</v>
      </c>
      <c r="G21" s="64">
        <v>10.64</v>
      </c>
      <c r="H21" s="64">
        <v>3.5</v>
      </c>
      <c r="I21" s="64">
        <v>3.78</v>
      </c>
      <c r="J21" s="64">
        <v>0.36</v>
      </c>
      <c r="K21" s="64">
        <v>0.5</v>
      </c>
      <c r="L21" s="64">
        <v>22.38</v>
      </c>
      <c r="M21" s="64">
        <v>98.33</v>
      </c>
      <c r="N21" s="64">
        <v>17.7</v>
      </c>
      <c r="O21" s="64">
        <v>0</v>
      </c>
      <c r="P21" s="64">
        <v>0.33</v>
      </c>
      <c r="Q21" s="64">
        <v>9.36</v>
      </c>
      <c r="R21" s="198"/>
      <c r="S21" s="198"/>
      <c r="T21" s="198"/>
      <c r="U21" s="198"/>
    </row>
    <row r="22" spans="1:21" s="12" customFormat="1" x14ac:dyDescent="0.25">
      <c r="A22" s="217" t="s">
        <v>1119</v>
      </c>
      <c r="B22" s="64">
        <v>8.26</v>
      </c>
      <c r="C22" s="64">
        <v>3.25</v>
      </c>
      <c r="D22" s="64">
        <v>12.1</v>
      </c>
      <c r="E22" s="64">
        <v>4.6900000000000004</v>
      </c>
      <c r="F22" s="64">
        <v>3.31</v>
      </c>
      <c r="G22" s="64">
        <v>10.64</v>
      </c>
      <c r="H22" s="64">
        <v>3.5</v>
      </c>
      <c r="I22" s="64">
        <v>3.84</v>
      </c>
      <c r="J22" s="64">
        <v>0.04</v>
      </c>
      <c r="K22" s="64">
        <v>306.49</v>
      </c>
      <c r="L22" s="64">
        <v>22.36</v>
      </c>
      <c r="M22" s="64">
        <v>98.33</v>
      </c>
      <c r="N22" s="64">
        <v>17.7</v>
      </c>
      <c r="O22" s="64">
        <v>0</v>
      </c>
      <c r="P22" s="64">
        <v>0.31</v>
      </c>
      <c r="Q22" s="64">
        <v>9.24</v>
      </c>
      <c r="R22" s="198"/>
      <c r="S22" s="198"/>
      <c r="T22" s="198"/>
      <c r="U22" s="198"/>
    </row>
    <row r="23" spans="1:21" s="12" customFormat="1" x14ac:dyDescent="0.25">
      <c r="A23" s="217" t="s">
        <v>1120</v>
      </c>
      <c r="B23" s="64">
        <v>8.2100000000000009</v>
      </c>
      <c r="C23" s="64">
        <v>3.18</v>
      </c>
      <c r="D23" s="64">
        <v>12.02</v>
      </c>
      <c r="E23" s="64">
        <v>5.03</v>
      </c>
      <c r="F23" s="64">
        <v>3.53</v>
      </c>
      <c r="G23" s="64">
        <v>10.64</v>
      </c>
      <c r="H23" s="64">
        <v>3.5</v>
      </c>
      <c r="I23" s="64">
        <v>3.79</v>
      </c>
      <c r="J23" s="64">
        <v>0.52</v>
      </c>
      <c r="K23" s="64">
        <v>339.71</v>
      </c>
      <c r="L23" s="64">
        <v>22.36</v>
      </c>
      <c r="M23" s="64">
        <v>98.33</v>
      </c>
      <c r="N23" s="64">
        <v>17.5</v>
      </c>
      <c r="O23" s="64">
        <v>0</v>
      </c>
      <c r="P23" s="64">
        <v>0.3</v>
      </c>
      <c r="Q23" s="64">
        <v>9.2799999999999994</v>
      </c>
      <c r="R23" s="198"/>
      <c r="S23" s="198"/>
      <c r="T23" s="198"/>
      <c r="U23" s="198"/>
    </row>
    <row r="24" spans="1:21" s="12" customFormat="1" x14ac:dyDescent="0.25">
      <c r="A24" s="217" t="s">
        <v>1121</v>
      </c>
      <c r="B24" s="64">
        <v>8.1999999999999993</v>
      </c>
      <c r="C24" s="64">
        <v>3.15</v>
      </c>
      <c r="D24" s="64">
        <v>11.99</v>
      </c>
      <c r="E24" s="64">
        <v>4.37</v>
      </c>
      <c r="F24" s="64">
        <v>4.38</v>
      </c>
      <c r="G24" s="64">
        <v>10.63</v>
      </c>
      <c r="H24" s="64">
        <v>3.2</v>
      </c>
      <c r="I24" s="64">
        <v>3.61</v>
      </c>
      <c r="J24" s="64">
        <v>0.11</v>
      </c>
      <c r="K24" s="64">
        <v>182.85</v>
      </c>
      <c r="L24" s="64">
        <v>22.42</v>
      </c>
      <c r="M24" s="64">
        <v>98.33</v>
      </c>
      <c r="N24" s="64">
        <v>17.7</v>
      </c>
      <c r="O24" s="64">
        <v>0</v>
      </c>
      <c r="P24" s="64">
        <v>0.3</v>
      </c>
      <c r="Q24" s="64">
        <v>9.34</v>
      </c>
      <c r="R24" s="198"/>
      <c r="S24" s="198"/>
      <c r="T24" s="198"/>
      <c r="U24" s="198"/>
    </row>
    <row r="25" spans="1:21" s="12" customFormat="1" x14ac:dyDescent="0.25">
      <c r="A25" s="217" t="s">
        <v>1122</v>
      </c>
      <c r="B25" s="64">
        <v>8.2100000000000009</v>
      </c>
      <c r="C25" s="64">
        <v>3.15</v>
      </c>
      <c r="D25" s="64">
        <v>12.01</v>
      </c>
      <c r="E25" s="64">
        <v>4.93</v>
      </c>
      <c r="F25" s="64">
        <v>3.38</v>
      </c>
      <c r="G25" s="64">
        <v>10.6</v>
      </c>
      <c r="H25" s="64">
        <v>2.86</v>
      </c>
      <c r="I25" s="64">
        <v>3.41</v>
      </c>
      <c r="J25" s="64">
        <v>0.42</v>
      </c>
      <c r="K25" s="64">
        <v>200.57</v>
      </c>
      <c r="L25" s="64">
        <v>22.37</v>
      </c>
      <c r="M25" s="64">
        <v>98.33</v>
      </c>
      <c r="N25" s="64">
        <v>17.8</v>
      </c>
      <c r="O25" s="64">
        <v>0</v>
      </c>
      <c r="P25" s="64">
        <v>0.3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7" t="s">
        <v>1123</v>
      </c>
      <c r="B26" s="64">
        <v>8.1999999999999993</v>
      </c>
      <c r="C26" s="64">
        <v>3.13</v>
      </c>
      <c r="D26" s="64">
        <v>11.98</v>
      </c>
      <c r="E26" s="64">
        <v>5.33</v>
      </c>
      <c r="F26" s="64">
        <v>3.06</v>
      </c>
      <c r="G26" s="64">
        <v>10.6</v>
      </c>
      <c r="H26" s="64">
        <v>2.86</v>
      </c>
      <c r="I26" s="64">
        <v>3.33</v>
      </c>
      <c r="J26" s="64">
        <v>0.22</v>
      </c>
      <c r="K26" s="64">
        <v>180.04</v>
      </c>
      <c r="L26" s="64">
        <v>22.34</v>
      </c>
      <c r="M26" s="64">
        <v>98.33</v>
      </c>
      <c r="N26" s="64">
        <v>18.100000000000001</v>
      </c>
      <c r="O26" s="64">
        <v>0</v>
      </c>
      <c r="P26" s="64">
        <v>0.28000000000000003</v>
      </c>
      <c r="Q26" s="64">
        <v>9.27</v>
      </c>
      <c r="R26" s="198"/>
      <c r="S26" s="198"/>
      <c r="T26" s="198"/>
      <c r="U26" s="198"/>
    </row>
    <row r="27" spans="1:21" s="12" customFormat="1" x14ac:dyDescent="0.25">
      <c r="A27" s="217" t="s">
        <v>1124</v>
      </c>
      <c r="B27" s="64">
        <v>8.1999999999999993</v>
      </c>
      <c r="C27" s="64">
        <v>3.13</v>
      </c>
      <c r="D27" s="64">
        <v>11.98</v>
      </c>
      <c r="E27" s="64">
        <v>5.17</v>
      </c>
      <c r="F27" s="64">
        <v>4.04</v>
      </c>
      <c r="G27" s="64">
        <v>10.6</v>
      </c>
      <c r="H27" s="64">
        <v>2.86</v>
      </c>
      <c r="I27" s="64">
        <v>3.27</v>
      </c>
      <c r="J27" s="64">
        <v>0.03</v>
      </c>
      <c r="K27" s="64">
        <v>26.48</v>
      </c>
      <c r="L27" s="64">
        <v>22.4</v>
      </c>
      <c r="M27" s="64">
        <v>98.33</v>
      </c>
      <c r="N27" s="64">
        <v>18.100000000000001</v>
      </c>
      <c r="O27" s="64">
        <v>0</v>
      </c>
      <c r="P27" s="64">
        <v>0.28000000000000003</v>
      </c>
      <c r="Q27" s="64">
        <v>9.31</v>
      </c>
      <c r="R27" s="198"/>
      <c r="S27" s="198"/>
      <c r="T27" s="198"/>
      <c r="U27" s="198"/>
    </row>
    <row r="28" spans="1:21" s="12" customFormat="1" x14ac:dyDescent="0.25">
      <c r="A28" s="217" t="s">
        <v>1125</v>
      </c>
      <c r="B28" s="64">
        <v>8.1999999999999993</v>
      </c>
      <c r="C28" s="64">
        <v>3.19</v>
      </c>
      <c r="D28" s="64">
        <v>12.02</v>
      </c>
      <c r="E28" s="64">
        <v>5.33</v>
      </c>
      <c r="F28" s="64">
        <v>3.89</v>
      </c>
      <c r="G28" s="64">
        <v>11.01</v>
      </c>
      <c r="H28" s="64">
        <v>2.66</v>
      </c>
      <c r="I28" s="64">
        <v>3.18</v>
      </c>
      <c r="J28" s="64">
        <v>0.34</v>
      </c>
      <c r="K28" s="64">
        <v>180.76</v>
      </c>
      <c r="L28" s="64">
        <v>22.41</v>
      </c>
      <c r="M28" s="64">
        <v>98.33</v>
      </c>
      <c r="N28" s="64">
        <v>18.100000000000001</v>
      </c>
      <c r="O28" s="64">
        <v>0</v>
      </c>
      <c r="P28" s="64">
        <v>0.28000000000000003</v>
      </c>
      <c r="Q28" s="64">
        <v>9.34</v>
      </c>
      <c r="R28" s="198"/>
      <c r="S28" s="198"/>
      <c r="T28" s="198"/>
      <c r="U28" s="198"/>
    </row>
    <row r="29" spans="1:21" s="12" customFormat="1" x14ac:dyDescent="0.25">
      <c r="A29" s="217" t="s">
        <v>1126</v>
      </c>
      <c r="B29" s="64">
        <v>8.19</v>
      </c>
      <c r="C29" s="64">
        <v>3.17</v>
      </c>
      <c r="D29" s="64">
        <v>12</v>
      </c>
      <c r="E29" s="64">
        <v>5.39</v>
      </c>
      <c r="F29" s="64">
        <v>2.4</v>
      </c>
      <c r="G29" s="64">
        <v>11.47</v>
      </c>
      <c r="H29" s="64">
        <v>2.44</v>
      </c>
      <c r="I29" s="64">
        <v>3.14</v>
      </c>
      <c r="J29" s="64">
        <v>0.3</v>
      </c>
      <c r="K29" s="64">
        <v>179.58</v>
      </c>
      <c r="L29" s="64">
        <v>22.29</v>
      </c>
      <c r="M29" s="64">
        <v>98.35</v>
      </c>
      <c r="N29" s="64">
        <v>18.8</v>
      </c>
      <c r="O29" s="64">
        <v>0</v>
      </c>
      <c r="P29" s="64">
        <v>0.27</v>
      </c>
      <c r="Q29" s="64">
        <v>9.2899999999999991</v>
      </c>
      <c r="R29" s="198"/>
      <c r="S29" s="198"/>
      <c r="T29" s="198"/>
      <c r="U29" s="198"/>
    </row>
    <row r="30" spans="1:21" s="12" customFormat="1" x14ac:dyDescent="0.25">
      <c r="A30" s="217" t="s">
        <v>1127</v>
      </c>
      <c r="B30" s="64">
        <v>8.26</v>
      </c>
      <c r="C30" s="64">
        <v>3.28</v>
      </c>
      <c r="D30" s="64">
        <v>12.11</v>
      </c>
      <c r="E30" s="64">
        <v>5.12</v>
      </c>
      <c r="F30" s="64">
        <v>3.9</v>
      </c>
      <c r="G30" s="64">
        <v>11.47</v>
      </c>
      <c r="H30" s="64">
        <v>2.44</v>
      </c>
      <c r="I30" s="64">
        <v>3.12</v>
      </c>
      <c r="J30" s="64">
        <v>0.16</v>
      </c>
      <c r="K30" s="64">
        <v>135.77000000000001</v>
      </c>
      <c r="L30" s="64">
        <v>22.17</v>
      </c>
      <c r="M30" s="64">
        <v>98.35</v>
      </c>
      <c r="N30" s="64">
        <v>22.5</v>
      </c>
      <c r="O30" s="64">
        <v>0</v>
      </c>
      <c r="P30" s="64">
        <v>0.27</v>
      </c>
      <c r="Q30" s="64">
        <v>9.33</v>
      </c>
      <c r="R30" s="198"/>
      <c r="S30" s="198"/>
      <c r="T30" s="198"/>
      <c r="U30" s="198"/>
    </row>
    <row r="31" spans="1:21" s="12" customFormat="1" x14ac:dyDescent="0.25">
      <c r="A31" s="217" t="s">
        <v>1128</v>
      </c>
      <c r="B31" s="64">
        <v>8.23</v>
      </c>
      <c r="C31" s="64">
        <v>3.16</v>
      </c>
      <c r="D31" s="64">
        <v>12.02</v>
      </c>
      <c r="E31" s="64">
        <v>5.32</v>
      </c>
      <c r="F31" s="64">
        <v>3.01</v>
      </c>
      <c r="G31" s="64">
        <v>11.47</v>
      </c>
      <c r="H31" s="64">
        <v>2.44</v>
      </c>
      <c r="I31" s="64">
        <v>3.08</v>
      </c>
      <c r="J31" s="64">
        <v>0.08</v>
      </c>
      <c r="K31" s="64">
        <v>14.88</v>
      </c>
      <c r="L31" s="64">
        <v>22.18</v>
      </c>
      <c r="M31" s="64">
        <v>98.35</v>
      </c>
      <c r="N31" s="64">
        <v>33.700000000000003</v>
      </c>
      <c r="O31" s="64">
        <v>0</v>
      </c>
      <c r="P31" s="64">
        <v>0.26</v>
      </c>
      <c r="Q31" s="64">
        <v>9.33</v>
      </c>
      <c r="R31" s="198"/>
      <c r="S31" s="198"/>
      <c r="T31" s="198"/>
      <c r="U31" s="198"/>
    </row>
    <row r="32" spans="1:21" s="12" customFormat="1" x14ac:dyDescent="0.25">
      <c r="A32" s="217" t="s">
        <v>1129</v>
      </c>
      <c r="B32" s="64">
        <v>8.2100000000000009</v>
      </c>
      <c r="C32" s="64">
        <v>3.13</v>
      </c>
      <c r="D32" s="64">
        <v>12</v>
      </c>
      <c r="E32" s="64">
        <v>5.2</v>
      </c>
      <c r="F32" s="64">
        <v>3.29</v>
      </c>
      <c r="G32" s="64">
        <v>10.23</v>
      </c>
      <c r="H32" s="64">
        <v>2.14</v>
      </c>
      <c r="I32" s="64">
        <v>3.2</v>
      </c>
      <c r="J32" s="64">
        <v>0.38</v>
      </c>
      <c r="K32" s="64">
        <v>148.97999999999999</v>
      </c>
      <c r="L32" s="64">
        <v>22.34</v>
      </c>
      <c r="M32" s="64">
        <v>98.35</v>
      </c>
      <c r="N32" s="64">
        <v>49.1</v>
      </c>
      <c r="O32" s="64">
        <v>0</v>
      </c>
      <c r="P32" s="64">
        <v>0.26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17" t="s">
        <v>1130</v>
      </c>
      <c r="B33" s="64">
        <v>8.24</v>
      </c>
      <c r="C33" s="64">
        <v>3.2</v>
      </c>
      <c r="D33" s="64">
        <v>12.06</v>
      </c>
      <c r="E33" s="64">
        <v>4.8499999999999996</v>
      </c>
      <c r="F33" s="64">
        <v>3.49</v>
      </c>
      <c r="G33" s="64">
        <v>8.82</v>
      </c>
      <c r="H33" s="64">
        <v>1.82</v>
      </c>
      <c r="I33" s="64">
        <v>3.36</v>
      </c>
      <c r="J33" s="64">
        <v>0.27</v>
      </c>
      <c r="K33" s="64">
        <v>187.77</v>
      </c>
      <c r="L33" s="64">
        <v>22.47</v>
      </c>
      <c r="M33" s="64">
        <v>98.35</v>
      </c>
      <c r="N33" s="64">
        <v>58.3</v>
      </c>
      <c r="O33" s="64">
        <v>0</v>
      </c>
      <c r="P33" s="64">
        <v>0.25</v>
      </c>
      <c r="Q33" s="64">
        <v>9.31</v>
      </c>
      <c r="R33" s="198"/>
      <c r="S33" s="198"/>
      <c r="T33" s="198"/>
      <c r="U33" s="198"/>
    </row>
    <row r="34" spans="1:21" s="12" customFormat="1" x14ac:dyDescent="0.25">
      <c r="A34" s="217" t="s">
        <v>1131</v>
      </c>
      <c r="B34" s="64">
        <v>8.27</v>
      </c>
      <c r="C34" s="64">
        <v>3.19</v>
      </c>
      <c r="D34" s="64">
        <v>12.07</v>
      </c>
      <c r="E34" s="64">
        <v>4.8600000000000003</v>
      </c>
      <c r="F34" s="64">
        <v>3.25</v>
      </c>
      <c r="G34" s="64">
        <v>8.82</v>
      </c>
      <c r="H34" s="64">
        <v>1.82</v>
      </c>
      <c r="I34" s="64">
        <v>3.56</v>
      </c>
      <c r="J34" s="64">
        <v>0.22</v>
      </c>
      <c r="K34" s="64">
        <v>187.79</v>
      </c>
      <c r="L34" s="64">
        <v>22.6</v>
      </c>
      <c r="M34" s="64">
        <v>98.35</v>
      </c>
      <c r="N34" s="64">
        <v>85.2</v>
      </c>
      <c r="O34" s="64">
        <v>0</v>
      </c>
      <c r="P34" s="64">
        <v>0.26</v>
      </c>
      <c r="Q34" s="64">
        <v>9.35</v>
      </c>
      <c r="R34" s="198"/>
      <c r="S34" s="198"/>
      <c r="T34" s="198"/>
      <c r="U34" s="198"/>
    </row>
    <row r="35" spans="1:21" s="12" customFormat="1" x14ac:dyDescent="0.25">
      <c r="A35" s="217" t="s">
        <v>1132</v>
      </c>
      <c r="B35" s="64">
        <v>8.2899999999999991</v>
      </c>
      <c r="C35" s="64">
        <v>3.19</v>
      </c>
      <c r="D35" s="64">
        <v>12.09</v>
      </c>
      <c r="E35" s="64">
        <v>5.26</v>
      </c>
      <c r="F35" s="64">
        <v>2.59</v>
      </c>
      <c r="G35" s="64">
        <v>8.82</v>
      </c>
      <c r="H35" s="64">
        <v>1.82</v>
      </c>
      <c r="I35" s="64">
        <v>3.78</v>
      </c>
      <c r="J35" s="64">
        <v>0.49</v>
      </c>
      <c r="K35" s="64">
        <v>150.61000000000001</v>
      </c>
      <c r="L35" s="64">
        <v>22.91</v>
      </c>
      <c r="M35" s="64">
        <v>98.33</v>
      </c>
      <c r="N35" s="64">
        <v>124.5</v>
      </c>
      <c r="O35" s="64">
        <v>0</v>
      </c>
      <c r="P35" s="64">
        <v>0.25</v>
      </c>
      <c r="Q35" s="64">
        <v>9.36</v>
      </c>
      <c r="R35" s="198"/>
      <c r="S35" s="198"/>
      <c r="T35" s="198"/>
      <c r="U35" s="198"/>
    </row>
    <row r="36" spans="1:21" s="12" customFormat="1" x14ac:dyDescent="0.25">
      <c r="A36" s="217" t="s">
        <v>1133</v>
      </c>
      <c r="B36" s="64">
        <v>8.27</v>
      </c>
      <c r="C36" s="64">
        <v>3.14</v>
      </c>
      <c r="D36" s="64">
        <v>12.04</v>
      </c>
      <c r="E36" s="64">
        <v>5.34</v>
      </c>
      <c r="F36" s="64">
        <v>3.38</v>
      </c>
      <c r="G36" s="64">
        <v>9.67</v>
      </c>
      <c r="H36" s="64">
        <v>1.74</v>
      </c>
      <c r="I36" s="64">
        <v>3.94</v>
      </c>
      <c r="J36" s="64">
        <v>0.48</v>
      </c>
      <c r="K36" s="64">
        <v>155.99</v>
      </c>
      <c r="L36" s="64">
        <v>23.92</v>
      </c>
      <c r="M36" s="64">
        <v>96.52</v>
      </c>
      <c r="N36" s="64">
        <v>234.6</v>
      </c>
      <c r="O36" s="64">
        <v>0</v>
      </c>
      <c r="P36" s="64">
        <v>0.26</v>
      </c>
      <c r="Q36" s="64">
        <v>9.36</v>
      </c>
      <c r="R36" s="198"/>
      <c r="S36" s="198"/>
      <c r="T36" s="198"/>
      <c r="U36" s="198"/>
    </row>
    <row r="37" spans="1:21" s="12" customFormat="1" x14ac:dyDescent="0.25">
      <c r="A37" s="217" t="s">
        <v>1134</v>
      </c>
      <c r="B37" s="64">
        <v>8.2799999999999994</v>
      </c>
      <c r="C37" s="64">
        <v>3.23</v>
      </c>
      <c r="D37" s="64">
        <v>12.1</v>
      </c>
      <c r="E37" s="64">
        <v>5.47</v>
      </c>
      <c r="F37" s="64">
        <v>3.94</v>
      </c>
      <c r="G37" s="64">
        <v>10.64</v>
      </c>
      <c r="H37" s="64">
        <v>1.65</v>
      </c>
      <c r="I37" s="64">
        <v>4.09</v>
      </c>
      <c r="J37" s="64">
        <v>0.17</v>
      </c>
      <c r="K37" s="64">
        <v>12.88</v>
      </c>
      <c r="L37" s="64">
        <v>24.47</v>
      </c>
      <c r="M37" s="64">
        <v>93.99</v>
      </c>
      <c r="N37" s="64">
        <v>248</v>
      </c>
      <c r="O37" s="64">
        <v>0</v>
      </c>
      <c r="P37" s="64">
        <v>0.25</v>
      </c>
      <c r="Q37" s="64">
        <v>9.3800000000000008</v>
      </c>
      <c r="R37" s="198"/>
      <c r="S37" s="198"/>
      <c r="T37" s="198"/>
      <c r="U37" s="198"/>
    </row>
    <row r="38" spans="1:21" s="12" customFormat="1" x14ac:dyDescent="0.25">
      <c r="A38" s="217" t="s">
        <v>1135</v>
      </c>
      <c r="B38" s="64">
        <v>8.2799999999999994</v>
      </c>
      <c r="C38" s="64">
        <v>3.26</v>
      </c>
      <c r="D38" s="64">
        <v>12.12</v>
      </c>
      <c r="E38" s="64">
        <v>5.32</v>
      </c>
      <c r="F38" s="64">
        <v>3.48</v>
      </c>
      <c r="G38" s="64">
        <v>10.64</v>
      </c>
      <c r="H38" s="64">
        <v>1.65</v>
      </c>
      <c r="I38" s="64">
        <v>4.32</v>
      </c>
      <c r="J38" s="64">
        <v>0.1</v>
      </c>
      <c r="K38" s="64">
        <v>338.38</v>
      </c>
      <c r="L38" s="64">
        <v>24.84</v>
      </c>
      <c r="M38" s="64">
        <v>92.17</v>
      </c>
      <c r="N38" s="64">
        <v>273.39999999999998</v>
      </c>
      <c r="O38" s="64">
        <v>0</v>
      </c>
      <c r="P38" s="64">
        <v>0.25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17" t="s">
        <v>1136</v>
      </c>
      <c r="B39" s="64">
        <v>8.23</v>
      </c>
      <c r="C39" s="64">
        <v>3.11</v>
      </c>
      <c r="D39" s="64">
        <v>12</v>
      </c>
      <c r="E39" s="64">
        <v>5.55</v>
      </c>
      <c r="F39" s="64">
        <v>3.9</v>
      </c>
      <c r="G39" s="64">
        <v>10.64</v>
      </c>
      <c r="H39" s="64">
        <v>1.65</v>
      </c>
      <c r="I39" s="64">
        <v>4.3899999999999997</v>
      </c>
      <c r="J39" s="64">
        <v>0.19</v>
      </c>
      <c r="K39" s="64">
        <v>147.56</v>
      </c>
      <c r="L39" s="64">
        <v>24.67</v>
      </c>
      <c r="M39" s="64">
        <v>92.33</v>
      </c>
      <c r="N39" s="64">
        <v>256</v>
      </c>
      <c r="O39" s="64">
        <v>0</v>
      </c>
      <c r="P39" s="64">
        <v>0.26</v>
      </c>
      <c r="Q39" s="64">
        <v>9.44</v>
      </c>
      <c r="R39" s="198"/>
      <c r="S39" s="198"/>
      <c r="T39" s="198"/>
      <c r="U39" s="198"/>
    </row>
    <row r="40" spans="1:21" s="12" customFormat="1" x14ac:dyDescent="0.25">
      <c r="A40" s="217" t="s">
        <v>1137</v>
      </c>
      <c r="B40" s="64">
        <v>8.1999999999999993</v>
      </c>
      <c r="C40" s="64">
        <v>3.07</v>
      </c>
      <c r="D40" s="64">
        <v>11.95</v>
      </c>
      <c r="E40" s="64">
        <v>4.1100000000000003</v>
      </c>
      <c r="F40" s="64">
        <v>3.25</v>
      </c>
      <c r="G40" s="64">
        <v>11.4</v>
      </c>
      <c r="H40" s="64">
        <v>1.64</v>
      </c>
      <c r="I40" s="64">
        <v>4.26</v>
      </c>
      <c r="J40" s="64">
        <v>0.87</v>
      </c>
      <c r="K40" s="64">
        <v>152.38</v>
      </c>
      <c r="L40" s="64">
        <v>24.65</v>
      </c>
      <c r="M40" s="64">
        <v>92.41</v>
      </c>
      <c r="N40" s="64">
        <v>274.2</v>
      </c>
      <c r="O40" s="64">
        <v>0</v>
      </c>
      <c r="P40" s="64">
        <v>0.25</v>
      </c>
      <c r="Q40" s="64">
        <v>9.41</v>
      </c>
      <c r="R40" s="198"/>
      <c r="S40" s="198"/>
      <c r="T40" s="198"/>
      <c r="U40" s="198"/>
    </row>
    <row r="41" spans="1:21" s="12" customFormat="1" x14ac:dyDescent="0.25">
      <c r="A41" s="217" t="s">
        <v>1138</v>
      </c>
      <c r="B41" s="64">
        <v>8.2100000000000009</v>
      </c>
      <c r="C41" s="64">
        <v>3.22</v>
      </c>
      <c r="D41" s="64">
        <v>12.04</v>
      </c>
      <c r="E41" s="64">
        <v>4.28</v>
      </c>
      <c r="F41" s="64">
        <v>3.53</v>
      </c>
      <c r="G41" s="64">
        <v>12.26</v>
      </c>
      <c r="H41" s="64">
        <v>1.64</v>
      </c>
      <c r="I41" s="64">
        <v>4.13</v>
      </c>
      <c r="J41" s="64">
        <v>0.33</v>
      </c>
      <c r="K41" s="64">
        <v>19.66</v>
      </c>
      <c r="L41" s="64">
        <v>24.88</v>
      </c>
      <c r="M41" s="64">
        <v>90.78</v>
      </c>
      <c r="N41" s="64">
        <v>303.89999999999998</v>
      </c>
      <c r="O41" s="64">
        <v>0</v>
      </c>
      <c r="P41" s="64">
        <v>0.26</v>
      </c>
      <c r="Q41" s="64">
        <v>9.3800000000000008</v>
      </c>
      <c r="R41" s="198"/>
      <c r="S41" s="198"/>
      <c r="T41" s="198"/>
      <c r="U41" s="198"/>
    </row>
    <row r="42" spans="1:21" s="12" customFormat="1" x14ac:dyDescent="0.25">
      <c r="A42" s="217" t="s">
        <v>1139</v>
      </c>
      <c r="B42" s="64">
        <v>8.25</v>
      </c>
      <c r="C42" s="64">
        <v>3.34</v>
      </c>
      <c r="D42" s="64">
        <v>12.14</v>
      </c>
      <c r="E42" s="64">
        <v>4.07</v>
      </c>
      <c r="F42" s="64">
        <v>3.44</v>
      </c>
      <c r="G42" s="64">
        <v>12.26</v>
      </c>
      <c r="H42" s="64">
        <v>1.64</v>
      </c>
      <c r="I42" s="64">
        <v>4.1100000000000003</v>
      </c>
      <c r="J42" s="64">
        <v>0.25</v>
      </c>
      <c r="K42" s="64">
        <v>53.3</v>
      </c>
      <c r="L42" s="64">
        <v>25.54</v>
      </c>
      <c r="M42" s="64">
        <v>87.81</v>
      </c>
      <c r="N42" s="64">
        <v>53.9</v>
      </c>
      <c r="O42" s="64">
        <v>0</v>
      </c>
      <c r="P42" s="64">
        <v>0.26</v>
      </c>
      <c r="Q42" s="64">
        <v>9.3699999999999992</v>
      </c>
      <c r="R42" s="198"/>
      <c r="S42" s="198"/>
      <c r="T42" s="198"/>
      <c r="U42" s="198"/>
    </row>
    <row r="43" spans="1:21" s="12" customFormat="1" x14ac:dyDescent="0.25">
      <c r="A43" s="217" t="s">
        <v>1140</v>
      </c>
      <c r="B43" s="64">
        <v>8.2200000000000006</v>
      </c>
      <c r="C43" s="64">
        <v>3.26</v>
      </c>
      <c r="D43" s="64">
        <v>12.07</v>
      </c>
      <c r="E43" s="64">
        <v>3.79</v>
      </c>
      <c r="F43" s="64">
        <v>3.87</v>
      </c>
      <c r="G43" s="64">
        <v>12.26</v>
      </c>
      <c r="H43" s="64">
        <v>1.64</v>
      </c>
      <c r="I43" s="64">
        <v>4.0599999999999996</v>
      </c>
      <c r="J43" s="64">
        <v>0.15</v>
      </c>
      <c r="K43" s="64">
        <v>105.03</v>
      </c>
      <c r="L43" s="64">
        <v>25.21</v>
      </c>
      <c r="M43" s="64">
        <v>88.81</v>
      </c>
      <c r="N43" s="64">
        <v>73.099999999999994</v>
      </c>
      <c r="O43" s="64">
        <v>0</v>
      </c>
      <c r="P43" s="64">
        <v>0.25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7" t="s">
        <v>1141</v>
      </c>
      <c r="B44" s="64">
        <v>8.2100000000000009</v>
      </c>
      <c r="C44" s="64">
        <v>3.21</v>
      </c>
      <c r="D44" s="64">
        <v>12.04</v>
      </c>
      <c r="E44" s="64">
        <v>3.67</v>
      </c>
      <c r="F44" s="64">
        <v>4.01</v>
      </c>
      <c r="G44" s="64">
        <v>11.38</v>
      </c>
      <c r="H44" s="64">
        <v>1.56</v>
      </c>
      <c r="I44" s="64">
        <v>3.86</v>
      </c>
      <c r="J44" s="64">
        <v>0.06</v>
      </c>
      <c r="K44" s="64">
        <v>202.84</v>
      </c>
      <c r="L44" s="64">
        <v>25.13</v>
      </c>
      <c r="M44" s="64">
        <v>89.39</v>
      </c>
      <c r="N44" s="64">
        <v>162.9</v>
      </c>
      <c r="O44" s="64">
        <v>0</v>
      </c>
      <c r="P44" s="64">
        <v>0.25</v>
      </c>
      <c r="Q44" s="64">
        <v>9.34</v>
      </c>
      <c r="R44" s="198"/>
      <c r="S44" s="198"/>
      <c r="T44" s="198"/>
      <c r="U44" s="198"/>
    </row>
    <row r="45" spans="1:21" s="12" customFormat="1" x14ac:dyDescent="0.25">
      <c r="A45" s="217" t="s">
        <v>1142</v>
      </c>
      <c r="B45" s="64">
        <v>8.18</v>
      </c>
      <c r="C45" s="64">
        <v>3.18</v>
      </c>
      <c r="D45" s="64">
        <v>12</v>
      </c>
      <c r="E45" s="64">
        <v>3.92</v>
      </c>
      <c r="F45" s="64">
        <v>4.6900000000000004</v>
      </c>
      <c r="G45" s="64">
        <v>10.38</v>
      </c>
      <c r="H45" s="64">
        <v>1.48</v>
      </c>
      <c r="I45" s="64">
        <v>3.64</v>
      </c>
      <c r="J45" s="64">
        <v>0.15</v>
      </c>
      <c r="K45" s="64">
        <v>50.22</v>
      </c>
      <c r="L45" s="64">
        <v>25.41</v>
      </c>
      <c r="M45" s="64">
        <v>87.46</v>
      </c>
      <c r="N45" s="64">
        <v>142.19999999999999</v>
      </c>
      <c r="O45" s="64">
        <v>0</v>
      </c>
      <c r="P45" s="64">
        <v>0.26</v>
      </c>
      <c r="Q45" s="64">
        <v>9.3699999999999992</v>
      </c>
      <c r="R45" s="198"/>
      <c r="S45" s="198"/>
      <c r="T45" s="198"/>
      <c r="U45" s="198"/>
    </row>
    <row r="46" spans="1:21" s="12" customFormat="1" x14ac:dyDescent="0.25">
      <c r="A46" s="217" t="s">
        <v>1143</v>
      </c>
      <c r="B46" s="64">
        <v>8.1999999999999993</v>
      </c>
      <c r="C46" s="64">
        <v>3.28</v>
      </c>
      <c r="D46" s="64">
        <v>12.07</v>
      </c>
      <c r="E46" s="64">
        <v>4.09</v>
      </c>
      <c r="F46" s="64">
        <v>3.1</v>
      </c>
      <c r="G46" s="64">
        <v>10.38</v>
      </c>
      <c r="H46" s="64">
        <v>1.48</v>
      </c>
      <c r="I46" s="64">
        <v>3.56</v>
      </c>
      <c r="J46" s="64">
        <v>0.41</v>
      </c>
      <c r="K46" s="64">
        <v>19.510000000000002</v>
      </c>
      <c r="L46" s="64">
        <v>26.04</v>
      </c>
      <c r="M46" s="64">
        <v>84.75</v>
      </c>
      <c r="N46" s="64">
        <v>0</v>
      </c>
      <c r="O46" s="64">
        <v>0</v>
      </c>
      <c r="P46" s="64">
        <v>0.26</v>
      </c>
      <c r="Q46" s="64">
        <v>9.32</v>
      </c>
      <c r="R46" s="198"/>
      <c r="S46" s="198"/>
      <c r="T46" s="198"/>
      <c r="U46" s="198"/>
    </row>
    <row r="47" spans="1:21" s="12" customFormat="1" x14ac:dyDescent="0.25">
      <c r="A47" s="217" t="s">
        <v>1144</v>
      </c>
      <c r="B47" s="64">
        <v>8.19</v>
      </c>
      <c r="C47" s="64">
        <v>3.14</v>
      </c>
      <c r="D47" s="64">
        <v>11.98</v>
      </c>
      <c r="E47" s="64">
        <v>4.16</v>
      </c>
      <c r="F47" s="64">
        <v>3.96</v>
      </c>
      <c r="G47" s="64">
        <v>10.38</v>
      </c>
      <c r="H47" s="64">
        <v>1.48</v>
      </c>
      <c r="I47" s="64">
        <v>3.36</v>
      </c>
      <c r="J47" s="64">
        <v>0.08</v>
      </c>
      <c r="K47" s="64">
        <v>339.57</v>
      </c>
      <c r="L47" s="64">
        <v>26.7</v>
      </c>
      <c r="M47" s="64">
        <v>81.96</v>
      </c>
      <c r="N47" s="64">
        <v>0</v>
      </c>
      <c r="O47" s="64">
        <v>0</v>
      </c>
      <c r="P47" s="64">
        <v>0.27</v>
      </c>
      <c r="Q47" s="64">
        <v>9.31</v>
      </c>
      <c r="R47" s="198"/>
      <c r="S47" s="198"/>
      <c r="T47" s="198"/>
      <c r="U47" s="198"/>
    </row>
    <row r="48" spans="1:21" s="12" customFormat="1" x14ac:dyDescent="0.25">
      <c r="A48" s="217" t="s">
        <v>1145</v>
      </c>
      <c r="B48" s="64">
        <v>8.2200000000000006</v>
      </c>
      <c r="C48" s="64">
        <v>3.14</v>
      </c>
      <c r="D48" s="64">
        <v>12</v>
      </c>
      <c r="E48" s="64">
        <v>3.84</v>
      </c>
      <c r="F48" s="64">
        <v>4.57</v>
      </c>
      <c r="G48" s="64">
        <v>13.1</v>
      </c>
      <c r="H48" s="64">
        <v>1.4</v>
      </c>
      <c r="I48" s="64">
        <v>3.07</v>
      </c>
      <c r="J48" s="64">
        <v>0.22</v>
      </c>
      <c r="K48" s="64">
        <v>25.14</v>
      </c>
      <c r="L48" s="64">
        <v>26.82</v>
      </c>
      <c r="M48" s="64">
        <v>80.97</v>
      </c>
      <c r="N48" s="64">
        <v>0</v>
      </c>
      <c r="O48" s="64">
        <v>0</v>
      </c>
      <c r="P48" s="64">
        <v>0.28000000000000003</v>
      </c>
      <c r="Q48" s="64">
        <v>9.33</v>
      </c>
      <c r="R48" s="198"/>
      <c r="S48" s="198"/>
      <c r="T48" s="198"/>
      <c r="U48" s="198"/>
    </row>
    <row r="49" spans="1:21" s="12" customFormat="1" x14ac:dyDescent="0.25">
      <c r="A49" s="217" t="s">
        <v>1146</v>
      </c>
      <c r="B49" s="64">
        <v>8.23</v>
      </c>
      <c r="C49" s="64">
        <v>3.29</v>
      </c>
      <c r="D49" s="64">
        <v>12.09</v>
      </c>
      <c r="E49" s="64">
        <v>4.0999999999999996</v>
      </c>
      <c r="F49" s="64">
        <v>4.34</v>
      </c>
      <c r="G49" s="64">
        <v>16.2</v>
      </c>
      <c r="H49" s="64">
        <v>1.31</v>
      </c>
      <c r="I49" s="64">
        <v>2.84</v>
      </c>
      <c r="J49" s="64">
        <v>0.35</v>
      </c>
      <c r="K49" s="64">
        <v>46.02</v>
      </c>
      <c r="L49" s="64">
        <v>27.63</v>
      </c>
      <c r="M49" s="64">
        <v>78.5</v>
      </c>
      <c r="N49" s="64">
        <v>0</v>
      </c>
      <c r="O49" s="64">
        <v>0</v>
      </c>
      <c r="P49" s="64">
        <v>0.28999999999999998</v>
      </c>
      <c r="Q49" s="64">
        <v>9.34</v>
      </c>
      <c r="R49" s="198"/>
      <c r="S49" s="198"/>
      <c r="T49" s="198"/>
      <c r="U49" s="198"/>
    </row>
    <row r="50" spans="1:21" s="12" customFormat="1" x14ac:dyDescent="0.25">
      <c r="A50" s="217" t="s">
        <v>1147</v>
      </c>
      <c r="B50" s="64">
        <v>8.2200000000000006</v>
      </c>
      <c r="C50" s="64">
        <v>3.29</v>
      </c>
      <c r="D50" s="64">
        <v>12.08</v>
      </c>
      <c r="E50" s="64">
        <v>4.29</v>
      </c>
      <c r="F50" s="64">
        <v>3.19</v>
      </c>
      <c r="G50" s="64">
        <v>16.2</v>
      </c>
      <c r="H50" s="64">
        <v>1.31</v>
      </c>
      <c r="I50" s="64">
        <v>2.71</v>
      </c>
      <c r="J50" s="64">
        <v>0.3</v>
      </c>
      <c r="K50" s="64">
        <v>28.24</v>
      </c>
      <c r="L50" s="64">
        <v>28.82</v>
      </c>
      <c r="M50" s="64">
        <v>74.02</v>
      </c>
      <c r="N50" s="64">
        <v>0</v>
      </c>
      <c r="O50" s="64">
        <v>0</v>
      </c>
      <c r="P50" s="64">
        <v>0.28999999999999998</v>
      </c>
      <c r="Q50" s="64">
        <v>9.2200000000000006</v>
      </c>
      <c r="R50" s="198"/>
      <c r="S50" s="198"/>
      <c r="T50" s="198"/>
      <c r="U50" s="198"/>
    </row>
    <row r="51" spans="1:21" s="12" customFormat="1" x14ac:dyDescent="0.25">
      <c r="A51" s="217" t="s">
        <v>1148</v>
      </c>
      <c r="B51" s="64">
        <v>8.2100000000000009</v>
      </c>
      <c r="C51" s="64">
        <v>3.17</v>
      </c>
      <c r="D51" s="64">
        <v>12.02</v>
      </c>
      <c r="E51" s="64">
        <v>4.18</v>
      </c>
      <c r="F51" s="64">
        <v>4.38</v>
      </c>
      <c r="G51" s="64">
        <v>16.2</v>
      </c>
      <c r="H51" s="64">
        <v>1.31</v>
      </c>
      <c r="I51" s="64">
        <v>2.63</v>
      </c>
      <c r="J51" s="64">
        <v>0.42</v>
      </c>
      <c r="K51" s="64">
        <v>353.01</v>
      </c>
      <c r="L51" s="64">
        <v>30.52</v>
      </c>
      <c r="M51" s="64">
        <v>67.69</v>
      </c>
      <c r="N51" s="64">
        <v>298.89999999999998</v>
      </c>
      <c r="O51" s="64">
        <v>0</v>
      </c>
      <c r="P51" s="64">
        <v>0.3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7" t="s">
        <v>1149</v>
      </c>
      <c r="B52" s="64">
        <v>8.2200000000000006</v>
      </c>
      <c r="C52" s="64">
        <v>3.12</v>
      </c>
      <c r="D52" s="64">
        <v>12</v>
      </c>
      <c r="E52" s="64">
        <v>4.21</v>
      </c>
      <c r="F52" s="64">
        <v>5.68</v>
      </c>
      <c r="G52" s="64">
        <v>17.54</v>
      </c>
      <c r="H52" s="64">
        <v>1.89</v>
      </c>
      <c r="I52" s="64">
        <v>2.68</v>
      </c>
      <c r="J52" s="64">
        <v>0.13</v>
      </c>
      <c r="K52" s="64">
        <v>182.41</v>
      </c>
      <c r="L52" s="64">
        <v>29.37</v>
      </c>
      <c r="M52" s="64">
        <v>71.14</v>
      </c>
      <c r="N52" s="64">
        <v>639.70000000000005</v>
      </c>
      <c r="O52" s="64">
        <v>0</v>
      </c>
      <c r="P52" s="64">
        <v>0.3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7" t="s">
        <v>1150</v>
      </c>
      <c r="B53" s="64">
        <v>8.23</v>
      </c>
      <c r="C53" s="64">
        <v>3.17</v>
      </c>
      <c r="D53" s="64">
        <v>12.03</v>
      </c>
      <c r="E53" s="64">
        <v>4.49</v>
      </c>
      <c r="F53" s="64">
        <v>7.18</v>
      </c>
      <c r="G53" s="64">
        <v>19.079999999999998</v>
      </c>
      <c r="H53" s="64">
        <v>2.56</v>
      </c>
      <c r="I53" s="64">
        <v>2.68</v>
      </c>
      <c r="J53" s="64">
        <v>0.54</v>
      </c>
      <c r="K53" s="64">
        <v>342.99</v>
      </c>
      <c r="L53" s="64">
        <v>28.65</v>
      </c>
      <c r="M53" s="64">
        <v>73.03</v>
      </c>
      <c r="N53" s="64">
        <v>361.5</v>
      </c>
      <c r="O53" s="64">
        <v>0</v>
      </c>
      <c r="P53" s="64">
        <v>0.28999999999999998</v>
      </c>
      <c r="Q53" s="64">
        <v>9.25</v>
      </c>
      <c r="R53" s="198"/>
      <c r="S53" s="198"/>
      <c r="T53" s="198"/>
      <c r="U53" s="198"/>
    </row>
    <row r="54" spans="1:21" s="12" customFormat="1" x14ac:dyDescent="0.25">
      <c r="A54" s="217" t="s">
        <v>1151</v>
      </c>
      <c r="B54" s="64">
        <v>8.2200000000000006</v>
      </c>
      <c r="C54" s="64">
        <v>3.16</v>
      </c>
      <c r="D54" s="64">
        <v>12.02</v>
      </c>
      <c r="E54" s="64">
        <v>4.12</v>
      </c>
      <c r="F54" s="64">
        <v>6.16</v>
      </c>
      <c r="G54" s="64">
        <v>19.079999999999998</v>
      </c>
      <c r="H54" s="64">
        <v>2.56</v>
      </c>
      <c r="I54" s="64">
        <v>2.5099999999999998</v>
      </c>
      <c r="J54" s="64">
        <v>0.47</v>
      </c>
      <c r="K54" s="64">
        <v>336.49</v>
      </c>
      <c r="L54" s="64">
        <v>29.43</v>
      </c>
      <c r="M54" s="64">
        <v>70.67</v>
      </c>
      <c r="N54" s="64">
        <v>469.7</v>
      </c>
      <c r="O54" s="64">
        <v>0</v>
      </c>
      <c r="P54" s="64">
        <v>0.28999999999999998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7" t="s">
        <v>1152</v>
      </c>
      <c r="B55" s="64">
        <v>8.2200000000000006</v>
      </c>
      <c r="C55" s="64">
        <v>3.19</v>
      </c>
      <c r="D55" s="64">
        <v>12.04</v>
      </c>
      <c r="E55" s="64">
        <v>3.64</v>
      </c>
      <c r="F55" s="64">
        <v>4.7699999999999996</v>
      </c>
      <c r="G55" s="64">
        <v>19.079999999999998</v>
      </c>
      <c r="H55" s="64">
        <v>2.56</v>
      </c>
      <c r="I55" s="64">
        <v>2.33</v>
      </c>
      <c r="J55" s="64">
        <v>0.34</v>
      </c>
      <c r="K55" s="64">
        <v>330.88</v>
      </c>
      <c r="L55" s="64">
        <v>29.04</v>
      </c>
      <c r="M55" s="64">
        <v>71.290000000000006</v>
      </c>
      <c r="N55" s="64">
        <v>276.60000000000002</v>
      </c>
      <c r="O55" s="64">
        <v>0</v>
      </c>
      <c r="P55" s="64">
        <v>0.3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17" t="s">
        <v>1153</v>
      </c>
      <c r="B56" s="64">
        <v>8.24</v>
      </c>
      <c r="C56" s="64">
        <v>3.21</v>
      </c>
      <c r="D56" s="64">
        <v>12.06</v>
      </c>
      <c r="E56" s="64">
        <v>4.28</v>
      </c>
      <c r="F56" s="64">
        <v>10.74</v>
      </c>
      <c r="G56" s="64">
        <v>17.760000000000002</v>
      </c>
      <c r="H56" s="64">
        <v>4.55</v>
      </c>
      <c r="I56" s="64">
        <v>2.3199999999999998</v>
      </c>
      <c r="J56" s="64">
        <v>0.52</v>
      </c>
      <c r="K56" s="64">
        <v>321.8</v>
      </c>
      <c r="L56" s="64">
        <v>29.31</v>
      </c>
      <c r="M56" s="64">
        <v>71.959999999999994</v>
      </c>
      <c r="N56" s="64">
        <v>624.70000000000005</v>
      </c>
      <c r="O56" s="64">
        <v>0</v>
      </c>
      <c r="P56" s="64">
        <v>0.31</v>
      </c>
      <c r="Q56" s="64">
        <v>9.26</v>
      </c>
      <c r="R56" s="198"/>
      <c r="S56" s="198"/>
      <c r="T56" s="198"/>
      <c r="U56" s="198"/>
    </row>
    <row r="57" spans="1:21" s="12" customFormat="1" x14ac:dyDescent="0.25">
      <c r="A57" s="217" t="s">
        <v>1154</v>
      </c>
      <c r="B57" s="64">
        <v>8.2100000000000009</v>
      </c>
      <c r="C57" s="64">
        <v>3.21</v>
      </c>
      <c r="D57" s="64">
        <v>12.04</v>
      </c>
      <c r="E57" s="64">
        <v>4.93</v>
      </c>
      <c r="F57" s="64">
        <v>5.78</v>
      </c>
      <c r="G57" s="64">
        <v>16.25</v>
      </c>
      <c r="H57" s="64">
        <v>6.82</v>
      </c>
      <c r="I57" s="64">
        <v>2.2400000000000002</v>
      </c>
      <c r="J57" s="64">
        <v>0.59</v>
      </c>
      <c r="K57" s="64">
        <v>323.2</v>
      </c>
      <c r="L57" s="64">
        <v>30.63</v>
      </c>
      <c r="M57" s="64">
        <v>65.930000000000007</v>
      </c>
      <c r="N57" s="64">
        <v>363.5</v>
      </c>
      <c r="O57" s="64">
        <v>0</v>
      </c>
      <c r="P57" s="64">
        <v>0.33</v>
      </c>
      <c r="Q57" s="64">
        <v>9.34</v>
      </c>
      <c r="R57" s="198"/>
      <c r="S57" s="198"/>
      <c r="T57" s="198"/>
      <c r="U57" s="198"/>
    </row>
    <row r="58" spans="1:21" s="12" customFormat="1" x14ac:dyDescent="0.25">
      <c r="A58" s="217" t="s">
        <v>1155</v>
      </c>
      <c r="B58" s="64">
        <v>8.1999999999999993</v>
      </c>
      <c r="C58" s="64">
        <v>3.27</v>
      </c>
      <c r="D58" s="64">
        <v>12.06</v>
      </c>
      <c r="E58" s="64">
        <v>5.03</v>
      </c>
      <c r="F58" s="64">
        <v>4.12</v>
      </c>
      <c r="G58" s="64">
        <v>16.25</v>
      </c>
      <c r="H58" s="64">
        <v>6.82</v>
      </c>
      <c r="I58" s="64">
        <v>1.97</v>
      </c>
      <c r="J58" s="64">
        <v>0.67</v>
      </c>
      <c r="K58" s="64">
        <v>327.71</v>
      </c>
      <c r="L58" s="64">
        <v>29.31</v>
      </c>
      <c r="M58" s="64">
        <v>71.3</v>
      </c>
      <c r="N58" s="64">
        <v>249.9</v>
      </c>
      <c r="O58" s="64">
        <v>0</v>
      </c>
      <c r="P58" s="64">
        <v>0.34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7" t="s">
        <v>1156</v>
      </c>
      <c r="B59" s="64">
        <v>8.2200000000000006</v>
      </c>
      <c r="C59" s="64">
        <v>3.28</v>
      </c>
      <c r="D59" s="64">
        <v>12.08</v>
      </c>
      <c r="E59" s="64">
        <v>5.13</v>
      </c>
      <c r="F59" s="64">
        <v>4.72</v>
      </c>
      <c r="G59" s="64">
        <v>16.25</v>
      </c>
      <c r="H59" s="64">
        <v>6.82</v>
      </c>
      <c r="I59" s="64">
        <v>1.89</v>
      </c>
      <c r="J59" s="64">
        <v>0.49</v>
      </c>
      <c r="K59" s="64">
        <v>327.55</v>
      </c>
      <c r="L59" s="64">
        <v>29.75</v>
      </c>
      <c r="M59" s="64">
        <v>70.790000000000006</v>
      </c>
      <c r="N59" s="64">
        <v>221.5</v>
      </c>
      <c r="O59" s="64">
        <v>0</v>
      </c>
      <c r="P59" s="64">
        <v>0.41</v>
      </c>
      <c r="Q59" s="64">
        <v>9.31</v>
      </c>
      <c r="R59" s="198"/>
      <c r="S59" s="198"/>
      <c r="T59" s="198"/>
      <c r="U59" s="198"/>
    </row>
    <row r="60" spans="1:21" s="12" customFormat="1" x14ac:dyDescent="0.25">
      <c r="A60" s="217" t="s">
        <v>1157</v>
      </c>
      <c r="B60" s="64">
        <v>8.2100000000000009</v>
      </c>
      <c r="C60" s="64">
        <v>3.23</v>
      </c>
      <c r="D60" s="64">
        <v>12.04</v>
      </c>
      <c r="E60" s="64">
        <v>4.88</v>
      </c>
      <c r="F60" s="64">
        <v>3.78</v>
      </c>
      <c r="G60" s="64">
        <v>84.63</v>
      </c>
      <c r="H60" s="64">
        <v>10.23</v>
      </c>
      <c r="I60" s="64">
        <v>1.98</v>
      </c>
      <c r="J60" s="64">
        <v>0.72</v>
      </c>
      <c r="K60" s="64">
        <v>123.51</v>
      </c>
      <c r="L60" s="64">
        <v>28.33</v>
      </c>
      <c r="M60" s="64">
        <v>74.400000000000006</v>
      </c>
      <c r="N60" s="64">
        <v>159.19999999999999</v>
      </c>
      <c r="O60" s="64">
        <v>0</v>
      </c>
      <c r="P60" s="64">
        <v>0.44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7" t="s">
        <v>1158</v>
      </c>
      <c r="B61" s="64">
        <v>8.1999999999999993</v>
      </c>
      <c r="C61" s="64">
        <v>3.18</v>
      </c>
      <c r="D61" s="64">
        <v>12.01</v>
      </c>
      <c r="E61" s="64">
        <v>4.78</v>
      </c>
      <c r="F61" s="64">
        <v>5</v>
      </c>
      <c r="G61" s="64">
        <v>162.78</v>
      </c>
      <c r="H61" s="64">
        <v>13.97</v>
      </c>
      <c r="I61" s="64">
        <v>2.21</v>
      </c>
      <c r="J61" s="64">
        <v>0.44</v>
      </c>
      <c r="K61" s="64">
        <v>159.56</v>
      </c>
      <c r="L61" s="64">
        <v>28.04</v>
      </c>
      <c r="M61" s="64">
        <v>76.33</v>
      </c>
      <c r="N61" s="64">
        <v>126</v>
      </c>
      <c r="O61" s="64">
        <v>0</v>
      </c>
      <c r="P61" s="64">
        <v>0.42</v>
      </c>
      <c r="Q61" s="64">
        <v>9.3699999999999992</v>
      </c>
      <c r="R61" s="198"/>
      <c r="S61" s="198"/>
      <c r="T61" s="198"/>
      <c r="U61" s="198"/>
    </row>
    <row r="62" spans="1:21" s="12" customFormat="1" x14ac:dyDescent="0.25">
      <c r="A62" s="217" t="s">
        <v>1159</v>
      </c>
      <c r="B62" s="64">
        <v>8.2899999999999991</v>
      </c>
      <c r="C62" s="64">
        <v>3.28</v>
      </c>
      <c r="D62" s="64">
        <v>12.14</v>
      </c>
      <c r="E62" s="64">
        <v>4.76</v>
      </c>
      <c r="F62" s="64">
        <v>5.14</v>
      </c>
      <c r="G62" s="64">
        <v>162.78</v>
      </c>
      <c r="H62" s="64">
        <v>13.97</v>
      </c>
      <c r="I62" s="64">
        <v>2.5299999999999998</v>
      </c>
      <c r="J62" s="64">
        <v>0.64</v>
      </c>
      <c r="K62" s="64">
        <v>339.53</v>
      </c>
      <c r="L62" s="64">
        <v>27.31</v>
      </c>
      <c r="M62" s="64">
        <v>82.79</v>
      </c>
      <c r="N62" s="64">
        <v>59.1</v>
      </c>
      <c r="O62" s="64">
        <v>0</v>
      </c>
      <c r="P62" s="64">
        <v>0.44</v>
      </c>
      <c r="Q62" s="64">
        <v>9.41</v>
      </c>
      <c r="R62" s="198"/>
      <c r="S62" s="198"/>
      <c r="T62" s="198"/>
      <c r="U62" s="198"/>
    </row>
    <row r="63" spans="1:21" s="12" customFormat="1" x14ac:dyDescent="0.25">
      <c r="A63" s="217" t="s">
        <v>1160</v>
      </c>
      <c r="B63" s="64">
        <v>8.3000000000000007</v>
      </c>
      <c r="C63" s="64">
        <v>3.31</v>
      </c>
      <c r="D63" s="64">
        <v>12.16</v>
      </c>
      <c r="E63" s="64">
        <v>5.75</v>
      </c>
      <c r="F63" s="64">
        <v>5.86</v>
      </c>
      <c r="G63" s="64">
        <v>162.78</v>
      </c>
      <c r="H63" s="64">
        <v>13.97</v>
      </c>
      <c r="I63" s="64">
        <v>2.77</v>
      </c>
      <c r="J63" s="64">
        <v>0.56999999999999995</v>
      </c>
      <c r="K63" s="64">
        <v>331.66</v>
      </c>
      <c r="L63" s="64">
        <v>25.74</v>
      </c>
      <c r="M63" s="64">
        <v>94.47</v>
      </c>
      <c r="N63" s="64">
        <v>158.80000000000001</v>
      </c>
      <c r="O63" s="64">
        <v>0.2</v>
      </c>
      <c r="P63" s="64">
        <v>0.45</v>
      </c>
      <c r="Q63" s="64">
        <v>9.3800000000000008</v>
      </c>
      <c r="R63" s="198"/>
      <c r="S63" s="198"/>
      <c r="T63" s="198"/>
      <c r="U63" s="198"/>
    </row>
    <row r="64" spans="1:21" s="12" customFormat="1" x14ac:dyDescent="0.25">
      <c r="A64" s="217" t="s">
        <v>1161</v>
      </c>
      <c r="B64" s="64">
        <v>8.34</v>
      </c>
      <c r="C64" s="64">
        <v>3.39</v>
      </c>
      <c r="D64" s="64">
        <v>12.23</v>
      </c>
      <c r="E64" s="64">
        <v>4.8499999999999996</v>
      </c>
      <c r="F64" s="64">
        <v>5.41</v>
      </c>
      <c r="G64" s="64">
        <v>91.82</v>
      </c>
      <c r="H64" s="64">
        <v>14.17</v>
      </c>
      <c r="I64" s="64">
        <v>2.66</v>
      </c>
      <c r="J64" s="64">
        <v>0.44</v>
      </c>
      <c r="K64" s="64">
        <v>330.44</v>
      </c>
      <c r="L64" s="64">
        <v>25.52</v>
      </c>
      <c r="M64" s="64">
        <v>93.39</v>
      </c>
      <c r="N64" s="64">
        <v>454.4</v>
      </c>
      <c r="O64" s="64">
        <v>0</v>
      </c>
      <c r="P64" s="64">
        <v>0.44</v>
      </c>
      <c r="Q64" s="64">
        <v>9.3800000000000008</v>
      </c>
      <c r="R64" s="198"/>
      <c r="S64" s="198"/>
      <c r="T64" s="198"/>
      <c r="U64" s="198"/>
    </row>
    <row r="65" spans="1:21" s="12" customFormat="1" x14ac:dyDescent="0.25">
      <c r="A65" s="217" t="s">
        <v>1162</v>
      </c>
      <c r="B65" s="64">
        <v>8.36</v>
      </c>
      <c r="C65" s="64">
        <v>3.43</v>
      </c>
      <c r="D65" s="64">
        <v>12.27</v>
      </c>
      <c r="E65" s="64">
        <v>4.88</v>
      </c>
      <c r="F65" s="64">
        <v>5.59</v>
      </c>
      <c r="G65" s="64">
        <v>10.72</v>
      </c>
      <c r="H65" s="64">
        <v>14.39</v>
      </c>
      <c r="I65" s="64">
        <v>2.36</v>
      </c>
      <c r="J65" s="64">
        <v>0.57999999999999996</v>
      </c>
      <c r="K65" s="64">
        <v>324.5</v>
      </c>
      <c r="L65" s="64">
        <v>27.17</v>
      </c>
      <c r="M65" s="64">
        <v>86.08</v>
      </c>
      <c r="N65" s="64">
        <v>597.6</v>
      </c>
      <c r="O65" s="64">
        <v>0</v>
      </c>
      <c r="P65" s="64">
        <v>0.44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7" t="s">
        <v>1163</v>
      </c>
      <c r="B66" s="64">
        <v>8.31</v>
      </c>
      <c r="C66" s="64">
        <v>3.27</v>
      </c>
      <c r="D66" s="64">
        <v>12.14</v>
      </c>
      <c r="E66" s="64">
        <v>5.13</v>
      </c>
      <c r="F66" s="64">
        <v>3.24</v>
      </c>
      <c r="G66" s="64">
        <v>10.72</v>
      </c>
      <c r="H66" s="64">
        <v>14.39</v>
      </c>
      <c r="I66" s="64">
        <v>2.1</v>
      </c>
      <c r="J66" s="64">
        <v>0.56999999999999995</v>
      </c>
      <c r="K66" s="64">
        <v>301.06</v>
      </c>
      <c r="L66" s="64">
        <v>28.14</v>
      </c>
      <c r="M66" s="64">
        <v>80.25</v>
      </c>
      <c r="N66" s="64">
        <v>321.60000000000002</v>
      </c>
      <c r="O66" s="64">
        <v>0</v>
      </c>
      <c r="P66" s="64">
        <v>0.51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7" t="s">
        <v>1164</v>
      </c>
      <c r="B67" s="64">
        <v>8.32</v>
      </c>
      <c r="C67" s="64">
        <v>3.29</v>
      </c>
      <c r="D67" s="64">
        <v>12.17</v>
      </c>
      <c r="E67" s="64">
        <v>5.1100000000000003</v>
      </c>
      <c r="F67" s="64">
        <v>3.6</v>
      </c>
      <c r="G67" s="64">
        <v>10.72</v>
      </c>
      <c r="H67" s="64">
        <v>14.39</v>
      </c>
      <c r="I67" s="64">
        <v>2.06</v>
      </c>
      <c r="J67" s="64">
        <v>0.63</v>
      </c>
      <c r="K67" s="64">
        <v>311.83</v>
      </c>
      <c r="L67" s="64">
        <v>28.86</v>
      </c>
      <c r="M67" s="64">
        <v>76.09</v>
      </c>
      <c r="N67" s="64">
        <v>303.60000000000002</v>
      </c>
      <c r="O67" s="64">
        <v>0</v>
      </c>
      <c r="P67" s="64">
        <v>0.54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7" t="s">
        <v>1165</v>
      </c>
      <c r="B68" s="64">
        <v>8.33</v>
      </c>
      <c r="C68" s="64">
        <v>3.33</v>
      </c>
      <c r="D68" s="64">
        <v>12.2</v>
      </c>
      <c r="E68" s="64">
        <v>4.99</v>
      </c>
      <c r="F68" s="64">
        <v>3.44</v>
      </c>
      <c r="G68" s="64">
        <v>48</v>
      </c>
      <c r="H68" s="64">
        <v>15.87</v>
      </c>
      <c r="I68" s="64">
        <v>2.27</v>
      </c>
      <c r="J68" s="64">
        <v>0.6</v>
      </c>
      <c r="K68" s="64">
        <v>316.47000000000003</v>
      </c>
      <c r="L68" s="64">
        <v>29.57</v>
      </c>
      <c r="M68" s="64">
        <v>72.42</v>
      </c>
      <c r="N68" s="64">
        <v>272.10000000000002</v>
      </c>
      <c r="O68" s="64">
        <v>0</v>
      </c>
      <c r="P68" s="64">
        <v>0.55000000000000004</v>
      </c>
      <c r="Q68" s="64">
        <v>9.41</v>
      </c>
      <c r="R68" s="198"/>
      <c r="S68" s="198"/>
      <c r="T68" s="198"/>
      <c r="U68" s="198"/>
    </row>
    <row r="69" spans="1:21" s="12" customFormat="1" x14ac:dyDescent="0.25">
      <c r="A69" s="217" t="s">
        <v>1166</v>
      </c>
      <c r="B69" s="64">
        <v>8.34</v>
      </c>
      <c r="C69" s="64">
        <v>3.29</v>
      </c>
      <c r="D69" s="64">
        <v>12.19</v>
      </c>
      <c r="E69" s="64">
        <v>4.63</v>
      </c>
      <c r="F69" s="64">
        <v>3.91</v>
      </c>
      <c r="G69" s="64">
        <v>90.6</v>
      </c>
      <c r="H69" s="64">
        <v>17.57</v>
      </c>
      <c r="I69" s="64">
        <v>2.44</v>
      </c>
      <c r="J69" s="64">
        <v>0.46</v>
      </c>
      <c r="K69" s="64">
        <v>331</v>
      </c>
      <c r="L69" s="64">
        <v>29.46</v>
      </c>
      <c r="M69" s="64">
        <v>72.78</v>
      </c>
      <c r="N69" s="64">
        <v>229.9</v>
      </c>
      <c r="O69" s="64">
        <v>0</v>
      </c>
      <c r="P69" s="64">
        <v>0.56999999999999995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17" t="s">
        <v>1167</v>
      </c>
      <c r="B70" s="64">
        <v>8.34</v>
      </c>
      <c r="C70" s="64">
        <v>3.27</v>
      </c>
      <c r="D70" s="64">
        <v>12.17</v>
      </c>
      <c r="E70" s="64">
        <v>4.74</v>
      </c>
      <c r="F70" s="64">
        <v>3.58</v>
      </c>
      <c r="G70" s="64">
        <v>90.6</v>
      </c>
      <c r="H70" s="64">
        <v>17.57</v>
      </c>
      <c r="I70" s="64">
        <v>2.5099999999999998</v>
      </c>
      <c r="J70" s="64">
        <v>0.44</v>
      </c>
      <c r="K70" s="64">
        <v>306.13</v>
      </c>
      <c r="L70" s="64">
        <v>28.67</v>
      </c>
      <c r="M70" s="64">
        <v>77.16</v>
      </c>
      <c r="N70" s="64">
        <v>183.3</v>
      </c>
      <c r="O70" s="64">
        <v>0</v>
      </c>
      <c r="P70" s="64">
        <v>0.59</v>
      </c>
      <c r="Q70" s="64">
        <v>9.43</v>
      </c>
      <c r="R70" s="198"/>
      <c r="S70" s="198"/>
      <c r="T70" s="198"/>
      <c r="U70" s="198"/>
    </row>
    <row r="71" spans="1:21" s="12" customFormat="1" x14ac:dyDescent="0.25">
      <c r="A71" s="217" t="s">
        <v>1168</v>
      </c>
      <c r="B71" s="64">
        <v>8.33</v>
      </c>
      <c r="C71" s="64">
        <v>3.22</v>
      </c>
      <c r="D71" s="64">
        <v>12.14</v>
      </c>
      <c r="E71" s="64">
        <v>5.25</v>
      </c>
      <c r="F71" s="64">
        <v>3.47</v>
      </c>
      <c r="G71" s="64">
        <v>90.6</v>
      </c>
      <c r="H71" s="64">
        <v>17.57</v>
      </c>
      <c r="I71" s="64">
        <v>2.61</v>
      </c>
      <c r="J71" s="64">
        <v>0.63</v>
      </c>
      <c r="K71" s="64">
        <v>325.36</v>
      </c>
      <c r="L71" s="64">
        <v>28.67</v>
      </c>
      <c r="M71" s="64">
        <v>78.099999999999994</v>
      </c>
      <c r="N71" s="64">
        <v>164</v>
      </c>
      <c r="O71" s="64">
        <v>0</v>
      </c>
      <c r="P71" s="64">
        <v>0.6</v>
      </c>
      <c r="Q71" s="64">
        <v>9.42</v>
      </c>
      <c r="R71" s="198"/>
      <c r="S71" s="198"/>
      <c r="T71" s="198"/>
      <c r="U71" s="198"/>
    </row>
    <row r="72" spans="1:21" s="12" customFormat="1" x14ac:dyDescent="0.25">
      <c r="A72" s="217" t="s">
        <v>1169</v>
      </c>
      <c r="B72" s="64">
        <v>8.34</v>
      </c>
      <c r="C72" s="64">
        <v>3.29</v>
      </c>
      <c r="D72" s="64">
        <v>12.18</v>
      </c>
      <c r="E72" s="64">
        <v>4.24</v>
      </c>
      <c r="F72" s="64">
        <v>3.74</v>
      </c>
      <c r="G72" s="64">
        <v>83.37</v>
      </c>
      <c r="H72" s="64">
        <v>17.97</v>
      </c>
      <c r="I72" s="64">
        <v>2.83</v>
      </c>
      <c r="J72" s="64">
        <v>0.4</v>
      </c>
      <c r="K72" s="64">
        <v>340.73</v>
      </c>
      <c r="L72" s="64">
        <v>28.72</v>
      </c>
      <c r="M72" s="64">
        <v>75.05</v>
      </c>
      <c r="N72" s="64">
        <v>163.30000000000001</v>
      </c>
      <c r="O72" s="64">
        <v>0</v>
      </c>
      <c r="P72" s="64">
        <v>0.63</v>
      </c>
      <c r="Q72" s="64">
        <v>9.44</v>
      </c>
      <c r="R72" s="198"/>
      <c r="S72" s="198"/>
      <c r="T72" s="198"/>
      <c r="U72" s="198"/>
    </row>
    <row r="73" spans="1:21" s="12" customFormat="1" x14ac:dyDescent="0.25">
      <c r="A73" s="217" t="s">
        <v>1170</v>
      </c>
      <c r="B73" s="64">
        <v>8.3699999999999992</v>
      </c>
      <c r="C73" s="64">
        <v>3.28</v>
      </c>
      <c r="D73" s="64">
        <v>12.2</v>
      </c>
      <c r="E73" s="64">
        <v>3.68</v>
      </c>
      <c r="F73" s="64">
        <v>3.71</v>
      </c>
      <c r="G73" s="64">
        <v>75.11</v>
      </c>
      <c r="H73" s="64">
        <v>18.399999999999999</v>
      </c>
      <c r="I73" s="64">
        <v>3.07</v>
      </c>
      <c r="J73" s="64">
        <v>0.52</v>
      </c>
      <c r="K73" s="64">
        <v>333.05</v>
      </c>
      <c r="L73" s="64">
        <v>28.96</v>
      </c>
      <c r="M73" s="64">
        <v>72.39</v>
      </c>
      <c r="N73" s="64">
        <v>138.9</v>
      </c>
      <c r="O73" s="64">
        <v>0</v>
      </c>
      <c r="P73" s="64">
        <v>0.65</v>
      </c>
      <c r="Q73" s="64">
        <v>9.49</v>
      </c>
      <c r="R73" s="198"/>
      <c r="S73" s="198"/>
      <c r="T73" s="198"/>
      <c r="U73" s="198"/>
    </row>
    <row r="74" spans="1:21" s="12" customFormat="1" x14ac:dyDescent="0.25">
      <c r="A74" s="217" t="s">
        <v>1171</v>
      </c>
      <c r="B74" s="64">
        <v>8.35</v>
      </c>
      <c r="C74" s="64">
        <v>3.2</v>
      </c>
      <c r="D74" s="64">
        <v>12.14</v>
      </c>
      <c r="E74" s="64">
        <v>3.75</v>
      </c>
      <c r="F74" s="64">
        <v>3.7</v>
      </c>
      <c r="G74" s="64">
        <v>75.11</v>
      </c>
      <c r="H74" s="64">
        <v>18.399999999999999</v>
      </c>
      <c r="I74" s="64">
        <v>3.31</v>
      </c>
      <c r="J74" s="64">
        <v>0.37</v>
      </c>
      <c r="K74" s="64">
        <v>9.41</v>
      </c>
      <c r="L74" s="64">
        <v>28.76</v>
      </c>
      <c r="M74" s="64">
        <v>71.569999999999993</v>
      </c>
      <c r="N74" s="64">
        <v>118.8</v>
      </c>
      <c r="O74" s="64">
        <v>0</v>
      </c>
      <c r="P74" s="64">
        <v>0.68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7" t="s">
        <v>1172</v>
      </c>
      <c r="B75" s="64">
        <v>8.3699999999999992</v>
      </c>
      <c r="C75" s="64">
        <v>3.28</v>
      </c>
      <c r="D75" s="64">
        <v>12.2</v>
      </c>
      <c r="E75" s="64">
        <v>3.71</v>
      </c>
      <c r="F75" s="64">
        <v>4.18</v>
      </c>
      <c r="G75" s="64">
        <v>75.11</v>
      </c>
      <c r="H75" s="64">
        <v>18.399999999999999</v>
      </c>
      <c r="I75" s="64">
        <v>3.51</v>
      </c>
      <c r="J75" s="64">
        <v>0.35</v>
      </c>
      <c r="K75" s="64">
        <v>14.52</v>
      </c>
      <c r="L75" s="64">
        <v>28.6</v>
      </c>
      <c r="M75" s="64">
        <v>71.650000000000006</v>
      </c>
      <c r="N75" s="64">
        <v>103</v>
      </c>
      <c r="O75" s="64">
        <v>0</v>
      </c>
      <c r="P75" s="64">
        <v>0.7</v>
      </c>
      <c r="Q75" s="64">
        <v>9.52</v>
      </c>
      <c r="R75" s="198"/>
      <c r="S75" s="198"/>
      <c r="T75" s="198"/>
      <c r="U75" s="198"/>
    </row>
    <row r="76" spans="1:21" s="12" customFormat="1" x14ac:dyDescent="0.25">
      <c r="A76" s="217" t="s">
        <v>1173</v>
      </c>
      <c r="B76" s="64">
        <v>8.3699999999999992</v>
      </c>
      <c r="C76" s="64">
        <v>3.34</v>
      </c>
      <c r="D76" s="64">
        <v>12.23</v>
      </c>
      <c r="E76" s="64">
        <v>3.65</v>
      </c>
      <c r="F76" s="64">
        <v>4.83</v>
      </c>
      <c r="G76" s="64">
        <v>78.540000000000006</v>
      </c>
      <c r="H76" s="64">
        <v>17.47</v>
      </c>
      <c r="I76" s="64">
        <v>3.64</v>
      </c>
      <c r="J76" s="64">
        <v>0.39</v>
      </c>
      <c r="K76" s="64">
        <v>16.36</v>
      </c>
      <c r="L76" s="64">
        <v>28.24</v>
      </c>
      <c r="M76" s="64">
        <v>71.680000000000007</v>
      </c>
      <c r="N76" s="64">
        <v>71.099999999999994</v>
      </c>
      <c r="O76" s="64">
        <v>0</v>
      </c>
      <c r="P76" s="64">
        <v>0.71</v>
      </c>
      <c r="Q76" s="64">
        <v>9.58</v>
      </c>
      <c r="R76" s="198"/>
      <c r="S76" s="198"/>
      <c r="T76" s="198"/>
      <c r="U76" s="198"/>
    </row>
    <row r="77" spans="1:21" s="12" customFormat="1" x14ac:dyDescent="0.25">
      <c r="A77" s="217" t="s">
        <v>1174</v>
      </c>
      <c r="B77" s="64">
        <v>8.34</v>
      </c>
      <c r="C77" s="64">
        <v>3.36</v>
      </c>
      <c r="D77" s="64">
        <v>12.22</v>
      </c>
      <c r="E77" s="64">
        <v>3.88</v>
      </c>
      <c r="F77" s="64">
        <v>3.07</v>
      </c>
      <c r="G77" s="64">
        <v>82.45</v>
      </c>
      <c r="H77" s="64">
        <v>16.41</v>
      </c>
      <c r="I77" s="64">
        <v>3.73</v>
      </c>
      <c r="J77" s="64">
        <v>0.44</v>
      </c>
      <c r="K77" s="64">
        <v>2.89</v>
      </c>
      <c r="L77" s="64">
        <v>28.14</v>
      </c>
      <c r="M77" s="64">
        <v>72.709999999999994</v>
      </c>
      <c r="N77" s="64">
        <v>75.5</v>
      </c>
      <c r="O77" s="64">
        <v>0</v>
      </c>
      <c r="P77" s="64">
        <v>0.69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7" t="s">
        <v>1175</v>
      </c>
      <c r="B78" s="64">
        <v>8.3699999999999992</v>
      </c>
      <c r="C78" s="64">
        <v>3.47</v>
      </c>
      <c r="D78" s="64">
        <v>12.3</v>
      </c>
      <c r="E78" s="64">
        <v>4.0999999999999996</v>
      </c>
      <c r="F78" s="64">
        <v>3.81</v>
      </c>
      <c r="G78" s="64">
        <v>82.45</v>
      </c>
      <c r="H78" s="64">
        <v>16.41</v>
      </c>
      <c r="I78" s="64">
        <v>3.79</v>
      </c>
      <c r="J78" s="64">
        <v>0.44</v>
      </c>
      <c r="K78" s="64">
        <v>15.29</v>
      </c>
      <c r="L78" s="64">
        <v>28.19</v>
      </c>
      <c r="M78" s="64">
        <v>71.48</v>
      </c>
      <c r="N78" s="64">
        <v>72.2</v>
      </c>
      <c r="O78" s="64">
        <v>0</v>
      </c>
      <c r="P78" s="64">
        <v>0.7</v>
      </c>
      <c r="Q78" s="64">
        <v>9.39</v>
      </c>
      <c r="R78" s="198"/>
      <c r="S78" s="198"/>
      <c r="T78" s="198"/>
      <c r="U78" s="198"/>
    </row>
    <row r="79" spans="1:21" s="12" customFormat="1" x14ac:dyDescent="0.25">
      <c r="A79" s="217" t="s">
        <v>1176</v>
      </c>
      <c r="B79" s="64">
        <v>8.3800000000000008</v>
      </c>
      <c r="C79" s="64">
        <v>3.38</v>
      </c>
      <c r="D79" s="64">
        <v>12.26</v>
      </c>
      <c r="E79" s="64">
        <v>3.78</v>
      </c>
      <c r="F79" s="64">
        <v>3.51</v>
      </c>
      <c r="G79" s="64">
        <v>82.45</v>
      </c>
      <c r="H79" s="64">
        <v>16.41</v>
      </c>
      <c r="I79" s="64">
        <v>3.69</v>
      </c>
      <c r="J79" s="64">
        <v>0.49</v>
      </c>
      <c r="K79" s="64">
        <v>37.17</v>
      </c>
      <c r="L79" s="64">
        <v>28.12</v>
      </c>
      <c r="M79" s="64">
        <v>72.489999999999995</v>
      </c>
      <c r="N79" s="64">
        <v>60.3</v>
      </c>
      <c r="O79" s="64">
        <v>0</v>
      </c>
      <c r="P79" s="64">
        <v>0.73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7" t="s">
        <v>1177</v>
      </c>
      <c r="B80" s="64">
        <v>8.36</v>
      </c>
      <c r="C80" s="64">
        <v>3.3</v>
      </c>
      <c r="D80" s="64">
        <v>12.2</v>
      </c>
      <c r="E80" s="64">
        <v>3.87</v>
      </c>
      <c r="F80" s="64">
        <v>3.62</v>
      </c>
      <c r="G80" s="64">
        <v>46.69</v>
      </c>
      <c r="H80" s="64">
        <v>16.2</v>
      </c>
      <c r="I80" s="64">
        <v>3.61</v>
      </c>
      <c r="J80" s="64">
        <v>0.5</v>
      </c>
      <c r="K80" s="64">
        <v>13.63</v>
      </c>
      <c r="L80" s="64">
        <v>28.21</v>
      </c>
      <c r="M80" s="64">
        <v>73.63</v>
      </c>
      <c r="N80" s="64">
        <v>51.9</v>
      </c>
      <c r="O80" s="64">
        <v>0</v>
      </c>
      <c r="P80" s="64">
        <v>0.75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7" t="s">
        <v>1178</v>
      </c>
      <c r="B81" s="64">
        <v>8.34</v>
      </c>
      <c r="C81" s="64">
        <v>3.3</v>
      </c>
      <c r="D81" s="64">
        <v>12.19</v>
      </c>
      <c r="E81" s="64">
        <v>3.39</v>
      </c>
      <c r="F81" s="64">
        <v>4.29</v>
      </c>
      <c r="G81" s="64">
        <v>7.6</v>
      </c>
      <c r="H81" s="64">
        <v>15.98</v>
      </c>
      <c r="I81" s="64">
        <v>3.65</v>
      </c>
      <c r="J81" s="64">
        <v>0.45</v>
      </c>
      <c r="K81" s="64">
        <v>30.94</v>
      </c>
      <c r="L81" s="64">
        <v>27.97</v>
      </c>
      <c r="M81" s="64">
        <v>74.89</v>
      </c>
      <c r="N81" s="64">
        <v>37.299999999999997</v>
      </c>
      <c r="O81" s="64">
        <v>0</v>
      </c>
      <c r="P81" s="64">
        <v>0.76</v>
      </c>
      <c r="Q81" s="64">
        <v>9.59</v>
      </c>
      <c r="R81" s="198"/>
      <c r="S81" s="198"/>
      <c r="T81" s="198"/>
      <c r="U81" s="198"/>
    </row>
    <row r="82" spans="1:26" s="12" customFormat="1" x14ac:dyDescent="0.25">
      <c r="A82" s="217" t="s">
        <v>1179</v>
      </c>
      <c r="B82" s="64">
        <v>8.3800000000000008</v>
      </c>
      <c r="C82" s="64">
        <v>3.43</v>
      </c>
      <c r="D82" s="64">
        <v>12.28</v>
      </c>
      <c r="E82" s="64">
        <v>4.0999999999999996</v>
      </c>
      <c r="F82" s="64">
        <v>3.99</v>
      </c>
      <c r="G82" s="64">
        <v>7.6</v>
      </c>
      <c r="H82" s="64">
        <v>15.98</v>
      </c>
      <c r="I82" s="64">
        <v>3.7</v>
      </c>
      <c r="J82" s="64">
        <v>0.14000000000000001</v>
      </c>
      <c r="K82" s="64">
        <v>60.06</v>
      </c>
      <c r="L82" s="64">
        <v>27.63</v>
      </c>
      <c r="M82" s="64">
        <v>77.78</v>
      </c>
      <c r="N82" s="64">
        <v>25.6</v>
      </c>
      <c r="O82" s="64">
        <v>0</v>
      </c>
      <c r="P82" s="64">
        <v>0.77</v>
      </c>
      <c r="Q82" s="64">
        <v>9.58</v>
      </c>
      <c r="R82" s="198"/>
      <c r="S82" s="198"/>
      <c r="T82" s="198"/>
      <c r="U82" s="198"/>
    </row>
    <row r="83" spans="1:26" s="12" customFormat="1" x14ac:dyDescent="0.25">
      <c r="A83" s="217" t="s">
        <v>1180</v>
      </c>
      <c r="B83" s="64">
        <v>8.33</v>
      </c>
      <c r="C83" s="64">
        <v>3.31</v>
      </c>
      <c r="D83" s="64">
        <v>12.19</v>
      </c>
      <c r="E83" s="64">
        <v>3.66</v>
      </c>
      <c r="F83" s="64">
        <v>3.22</v>
      </c>
      <c r="G83" s="64">
        <v>7.6</v>
      </c>
      <c r="H83" s="64">
        <v>15.98</v>
      </c>
      <c r="I83" s="64">
        <v>3.75</v>
      </c>
      <c r="J83" s="64">
        <v>0.05</v>
      </c>
      <c r="K83" s="64">
        <v>332.65</v>
      </c>
      <c r="L83" s="64">
        <v>27.4</v>
      </c>
      <c r="M83" s="64">
        <v>79.7</v>
      </c>
      <c r="N83" s="64">
        <v>19.600000000000001</v>
      </c>
      <c r="O83" s="64">
        <v>0</v>
      </c>
      <c r="P83" s="64">
        <v>0.77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7" t="s">
        <v>1181</v>
      </c>
      <c r="B84" s="64">
        <v>8.36</v>
      </c>
      <c r="C84" s="64">
        <v>3.34</v>
      </c>
      <c r="D84" s="64">
        <v>12.22</v>
      </c>
      <c r="E84" s="64">
        <v>3.56</v>
      </c>
      <c r="F84" s="64">
        <v>3.31</v>
      </c>
      <c r="G84" s="64">
        <v>52.17</v>
      </c>
      <c r="H84" s="64">
        <v>13.74</v>
      </c>
      <c r="I84" s="64">
        <v>3.86</v>
      </c>
      <c r="J84" s="64">
        <v>0.4</v>
      </c>
      <c r="K84" s="64">
        <v>226.24</v>
      </c>
      <c r="L84" s="64">
        <v>27.22</v>
      </c>
      <c r="M84" s="64">
        <v>81.66</v>
      </c>
      <c r="N84" s="64">
        <v>17.600000000000001</v>
      </c>
      <c r="O84" s="64">
        <v>0</v>
      </c>
      <c r="P84" s="64">
        <v>0.75</v>
      </c>
      <c r="Q84" s="64">
        <v>9.5399999999999991</v>
      </c>
      <c r="R84" s="198"/>
      <c r="S84" s="198"/>
      <c r="T84" s="198"/>
      <c r="U84" s="198"/>
    </row>
    <row r="85" spans="1:26" s="12" customFormat="1" x14ac:dyDescent="0.25">
      <c r="A85" s="217" t="s">
        <v>1182</v>
      </c>
      <c r="B85" s="64">
        <v>8.34</v>
      </c>
      <c r="C85" s="64">
        <v>3.27</v>
      </c>
      <c r="D85" s="64">
        <v>12.17</v>
      </c>
      <c r="E85" s="64">
        <v>3.87</v>
      </c>
      <c r="F85" s="64">
        <v>3.29</v>
      </c>
      <c r="G85" s="64">
        <v>103.1</v>
      </c>
      <c r="H85" s="64">
        <v>11.28</v>
      </c>
      <c r="I85" s="64">
        <v>3.95</v>
      </c>
      <c r="J85" s="64">
        <v>0.39</v>
      </c>
      <c r="K85" s="64">
        <v>178.11</v>
      </c>
      <c r="L85" s="64">
        <v>27.18</v>
      </c>
      <c r="M85" s="64">
        <v>82.79</v>
      </c>
      <c r="N85" s="64">
        <v>17.3</v>
      </c>
      <c r="O85" s="64">
        <v>0</v>
      </c>
      <c r="P85" s="64">
        <v>0.67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7" t="s">
        <v>1183</v>
      </c>
      <c r="B86" s="64">
        <v>8.3699999999999992</v>
      </c>
      <c r="C86" s="64">
        <v>3.28</v>
      </c>
      <c r="D86" s="64">
        <v>12.2</v>
      </c>
      <c r="E86" s="64">
        <v>3.54</v>
      </c>
      <c r="F86" s="64">
        <v>3.62</v>
      </c>
      <c r="G86" s="64">
        <v>103.1</v>
      </c>
      <c r="H86" s="64">
        <v>11.28</v>
      </c>
      <c r="I86" s="64">
        <v>4.2</v>
      </c>
      <c r="J86" s="64">
        <v>0.42</v>
      </c>
      <c r="K86" s="64">
        <v>219.35</v>
      </c>
      <c r="L86" s="64">
        <v>27.02</v>
      </c>
      <c r="M86" s="64">
        <v>83.84</v>
      </c>
      <c r="N86" s="64">
        <v>17.3</v>
      </c>
      <c r="O86" s="64">
        <v>0</v>
      </c>
      <c r="P86" s="64">
        <v>0.7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7" t="s">
        <v>1184</v>
      </c>
      <c r="B87" s="64">
        <v>8.36</v>
      </c>
      <c r="C87" s="64">
        <v>3.29</v>
      </c>
      <c r="D87" s="64">
        <v>12.19</v>
      </c>
      <c r="E87" s="64">
        <v>3.63</v>
      </c>
      <c r="F87" s="64">
        <v>3.23</v>
      </c>
      <c r="G87" s="64">
        <v>103.1</v>
      </c>
      <c r="H87" s="64">
        <v>11.28</v>
      </c>
      <c r="I87" s="64">
        <v>4.45</v>
      </c>
      <c r="J87" s="64">
        <v>0.71</v>
      </c>
      <c r="K87" s="64">
        <v>174.55</v>
      </c>
      <c r="L87" s="64">
        <v>26.91</v>
      </c>
      <c r="M87" s="64">
        <v>84.4</v>
      </c>
      <c r="N87" s="64">
        <v>17.100000000000001</v>
      </c>
      <c r="O87" s="64">
        <v>0</v>
      </c>
      <c r="P87" s="64">
        <v>0.69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7" t="s">
        <v>1185</v>
      </c>
      <c r="B88" s="64">
        <v>8.34</v>
      </c>
      <c r="C88" s="64">
        <v>3.2</v>
      </c>
      <c r="D88" s="64">
        <v>12.13</v>
      </c>
      <c r="E88" s="64">
        <v>5.56</v>
      </c>
      <c r="F88" s="64">
        <v>3.3</v>
      </c>
      <c r="G88" s="64">
        <v>86.28</v>
      </c>
      <c r="H88" s="64">
        <v>17.38</v>
      </c>
      <c r="I88" s="64">
        <v>4.5999999999999996</v>
      </c>
      <c r="J88" s="64">
        <v>1.89</v>
      </c>
      <c r="K88" s="64">
        <v>143.26</v>
      </c>
      <c r="L88" s="64">
        <v>26.66</v>
      </c>
      <c r="M88" s="64">
        <v>84.64</v>
      </c>
      <c r="N88" s="64">
        <v>17.3</v>
      </c>
      <c r="O88" s="64">
        <v>0</v>
      </c>
      <c r="P88" s="64">
        <v>0.69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7" t="s">
        <v>1186</v>
      </c>
      <c r="B89" s="64">
        <v>8.34</v>
      </c>
      <c r="C89" s="64">
        <v>3.22</v>
      </c>
      <c r="D89" s="64">
        <v>12.14</v>
      </c>
      <c r="E89" s="64">
        <v>5.53</v>
      </c>
      <c r="F89" s="64">
        <v>3.24</v>
      </c>
      <c r="G89" s="64">
        <v>67.05</v>
      </c>
      <c r="H89" s="64">
        <v>24.04</v>
      </c>
      <c r="I89" s="64">
        <v>4.8499999999999996</v>
      </c>
      <c r="J89" s="64">
        <v>0.76</v>
      </c>
      <c r="K89" s="64">
        <v>172.48</v>
      </c>
      <c r="L89" s="64">
        <v>26.32</v>
      </c>
      <c r="M89" s="64">
        <v>83.69</v>
      </c>
      <c r="N89" s="64">
        <v>17.7</v>
      </c>
      <c r="O89" s="64">
        <v>0</v>
      </c>
      <c r="P89" s="64">
        <v>0.67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7" t="s">
        <v>1187</v>
      </c>
      <c r="B90" s="64">
        <v>8.3800000000000008</v>
      </c>
      <c r="C90" s="64">
        <v>3.35</v>
      </c>
      <c r="D90" s="64">
        <v>12.24</v>
      </c>
      <c r="E90" s="64">
        <v>5.49</v>
      </c>
      <c r="F90" s="64">
        <v>3.86</v>
      </c>
      <c r="G90" s="64">
        <v>67.05</v>
      </c>
      <c r="H90" s="64">
        <v>24.04</v>
      </c>
      <c r="I90" s="64">
        <v>5.32</v>
      </c>
      <c r="J90" s="64">
        <v>1.02</v>
      </c>
      <c r="K90" s="64">
        <v>154.97999999999999</v>
      </c>
      <c r="L90" s="64">
        <v>25.95</v>
      </c>
      <c r="M90" s="64">
        <v>83.26</v>
      </c>
      <c r="N90" s="64">
        <v>17.7</v>
      </c>
      <c r="O90" s="64">
        <v>0</v>
      </c>
      <c r="P90" s="64">
        <v>0.66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7" t="s">
        <v>1188</v>
      </c>
      <c r="B91" s="64">
        <v>8.3699999999999992</v>
      </c>
      <c r="C91" s="64">
        <v>3.28</v>
      </c>
      <c r="D91" s="64">
        <v>12.2</v>
      </c>
      <c r="E91" s="64">
        <v>5.34</v>
      </c>
      <c r="F91" s="64">
        <v>3.98</v>
      </c>
      <c r="G91" s="64">
        <v>67.05</v>
      </c>
      <c r="H91" s="64">
        <v>24.04</v>
      </c>
      <c r="I91" s="64">
        <v>5.68</v>
      </c>
      <c r="J91" s="64">
        <v>1.07</v>
      </c>
      <c r="K91" s="64">
        <v>145.04</v>
      </c>
      <c r="L91" s="64">
        <v>25.74</v>
      </c>
      <c r="M91" s="64">
        <v>84.68</v>
      </c>
      <c r="N91" s="64">
        <v>17.399999999999999</v>
      </c>
      <c r="O91" s="64">
        <v>0</v>
      </c>
      <c r="P91" s="64">
        <v>0.65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7" t="s">
        <v>1189</v>
      </c>
      <c r="B92" s="64">
        <v>8.3699999999999992</v>
      </c>
      <c r="C92" s="64">
        <v>3.25</v>
      </c>
      <c r="D92" s="64">
        <v>12.19</v>
      </c>
      <c r="E92" s="64">
        <v>5.82</v>
      </c>
      <c r="F92" s="64">
        <v>3.66</v>
      </c>
      <c r="G92" s="64">
        <v>54.03</v>
      </c>
      <c r="H92" s="64">
        <v>20.73</v>
      </c>
      <c r="I92" s="64">
        <v>5.86</v>
      </c>
      <c r="J92" s="64">
        <v>1.22</v>
      </c>
      <c r="K92" s="64">
        <v>153.18</v>
      </c>
      <c r="L92" s="64">
        <v>25.59</v>
      </c>
      <c r="M92" s="64">
        <v>86.47</v>
      </c>
      <c r="N92" s="64">
        <v>17.3</v>
      </c>
      <c r="O92" s="64">
        <v>0</v>
      </c>
      <c r="P92" s="64">
        <v>0.64</v>
      </c>
      <c r="Q92" s="64">
        <v>9.6199999999999992</v>
      </c>
      <c r="R92" s="198"/>
      <c r="S92" s="198"/>
      <c r="T92" s="198"/>
      <c r="U92" s="198"/>
    </row>
    <row r="93" spans="1:26" s="12" customFormat="1" x14ac:dyDescent="0.25">
      <c r="A93" s="217" t="s">
        <v>1190</v>
      </c>
      <c r="B93" s="64">
        <v>8.39</v>
      </c>
      <c r="C93" s="64">
        <v>3.32</v>
      </c>
      <c r="D93" s="64">
        <v>12.24</v>
      </c>
      <c r="E93" s="64">
        <v>5.81</v>
      </c>
      <c r="F93" s="64">
        <v>3.62</v>
      </c>
      <c r="G93" s="64">
        <v>39.14</v>
      </c>
      <c r="H93" s="64">
        <v>17.12</v>
      </c>
      <c r="I93" s="64">
        <v>6.01</v>
      </c>
      <c r="J93" s="64">
        <v>0.64</v>
      </c>
      <c r="K93" s="64">
        <v>156.36000000000001</v>
      </c>
      <c r="L93" s="64">
        <v>25.4</v>
      </c>
      <c r="M93" s="64">
        <v>88.73</v>
      </c>
      <c r="N93" s="64">
        <v>17.3</v>
      </c>
      <c r="O93" s="64">
        <v>0</v>
      </c>
      <c r="P93" s="64">
        <v>0.62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7" t="s">
        <v>1191</v>
      </c>
      <c r="B94" s="64">
        <v>8.3699999999999992</v>
      </c>
      <c r="C94" s="64">
        <v>3.3</v>
      </c>
      <c r="D94" s="64">
        <v>12.21</v>
      </c>
      <c r="E94" s="64">
        <v>5.68</v>
      </c>
      <c r="F94" s="64">
        <v>4.32</v>
      </c>
      <c r="G94" s="64">
        <v>39.14</v>
      </c>
      <c r="H94" s="64">
        <v>17.12</v>
      </c>
      <c r="I94" s="64">
        <v>6.3</v>
      </c>
      <c r="J94" s="64">
        <v>1</v>
      </c>
      <c r="K94" s="64">
        <v>142.41</v>
      </c>
      <c r="L94" s="64">
        <v>25.29</v>
      </c>
      <c r="M94" s="64">
        <v>90.57</v>
      </c>
      <c r="N94" s="64">
        <v>17.100000000000001</v>
      </c>
      <c r="O94" s="64">
        <v>0</v>
      </c>
      <c r="P94" s="64">
        <v>0.62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7" t="s">
        <v>1192</v>
      </c>
      <c r="B95" s="64">
        <v>8.42</v>
      </c>
      <c r="C95" s="64">
        <v>3.46</v>
      </c>
      <c r="D95" s="64">
        <v>12.33</v>
      </c>
      <c r="E95" s="64">
        <v>5.95</v>
      </c>
      <c r="F95" s="64">
        <v>3.26</v>
      </c>
      <c r="G95" s="64">
        <v>39.14</v>
      </c>
      <c r="H95" s="64">
        <v>17.12</v>
      </c>
      <c r="I95" s="64">
        <v>6.43</v>
      </c>
      <c r="J95" s="64">
        <v>1.71</v>
      </c>
      <c r="K95" s="64">
        <v>142.47</v>
      </c>
      <c r="L95" s="64">
        <v>25.27</v>
      </c>
      <c r="M95" s="64">
        <v>91.53</v>
      </c>
      <c r="N95" s="64">
        <v>17</v>
      </c>
      <c r="O95" s="64">
        <v>0</v>
      </c>
      <c r="P95" s="64">
        <v>0.61</v>
      </c>
      <c r="Q95" s="64">
        <v>9.48</v>
      </c>
      <c r="R95" s="198"/>
      <c r="S95" s="198"/>
      <c r="T95" s="198"/>
      <c r="U95" s="198"/>
    </row>
    <row r="96" spans="1:26" s="12" customFormat="1" x14ac:dyDescent="0.25">
      <c r="A96" s="217" t="s">
        <v>1193</v>
      </c>
      <c r="B96" s="64">
        <v>8.41</v>
      </c>
      <c r="C96" s="64">
        <v>3.43</v>
      </c>
      <c r="D96" s="64">
        <v>12.31</v>
      </c>
      <c r="E96" s="64">
        <v>5.72</v>
      </c>
      <c r="F96" s="64">
        <v>3.09</v>
      </c>
      <c r="G96" s="64">
        <v>40.51</v>
      </c>
      <c r="H96" s="64">
        <v>15.2</v>
      </c>
      <c r="I96" s="64">
        <v>6.38</v>
      </c>
      <c r="J96" s="64">
        <v>1.1200000000000001</v>
      </c>
      <c r="K96" s="64">
        <v>147.34</v>
      </c>
      <c r="L96" s="64">
        <v>25.27</v>
      </c>
      <c r="M96" s="64">
        <v>91</v>
      </c>
      <c r="N96" s="64">
        <v>17.3</v>
      </c>
      <c r="O96" s="64">
        <v>0</v>
      </c>
      <c r="P96" s="64">
        <v>0.56999999999999995</v>
      </c>
      <c r="Q96" s="64">
        <v>9.42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1194</v>
      </c>
      <c r="B97" s="64">
        <v>8.3800000000000008</v>
      </c>
      <c r="C97" s="64">
        <v>3.33</v>
      </c>
      <c r="D97" s="64">
        <v>12.23</v>
      </c>
      <c r="E97" s="64">
        <v>5.72</v>
      </c>
      <c r="F97" s="64">
        <v>3.75</v>
      </c>
      <c r="G97" s="64">
        <v>42</v>
      </c>
      <c r="H97" s="64">
        <v>13.1</v>
      </c>
      <c r="I97" s="64">
        <v>6.42</v>
      </c>
      <c r="J97" s="64">
        <v>0.41</v>
      </c>
      <c r="K97" s="64">
        <v>159.69999999999999</v>
      </c>
      <c r="L97" s="64">
        <v>25.16</v>
      </c>
      <c r="M97" s="64">
        <v>92.22</v>
      </c>
      <c r="N97" s="64">
        <v>17.399999999999999</v>
      </c>
      <c r="O97" s="64">
        <v>0</v>
      </c>
      <c r="P97" s="64">
        <v>0.55000000000000004</v>
      </c>
      <c r="Q97" s="64">
        <v>9.49</v>
      </c>
      <c r="R97" s="198"/>
      <c r="S97" s="198"/>
      <c r="T97" s="198"/>
      <c r="U97" s="198"/>
    </row>
    <row r="98" spans="1:33" s="12" customFormat="1" x14ac:dyDescent="0.25">
      <c r="A98" s="217" t="s">
        <v>1195</v>
      </c>
      <c r="B98" s="64">
        <v>8.4</v>
      </c>
      <c r="C98" s="64">
        <v>3.39</v>
      </c>
      <c r="D98" s="64">
        <v>12.28</v>
      </c>
      <c r="E98" s="64">
        <v>5.79</v>
      </c>
      <c r="F98" s="64">
        <v>4.5199999999999996</v>
      </c>
      <c r="G98" s="64">
        <v>42</v>
      </c>
      <c r="H98" s="64">
        <v>13.1</v>
      </c>
      <c r="I98" s="64">
        <v>6.42</v>
      </c>
      <c r="J98" s="64">
        <v>0.48</v>
      </c>
      <c r="K98" s="64">
        <v>145.27000000000001</v>
      </c>
      <c r="L98" s="64">
        <v>25.08</v>
      </c>
      <c r="M98" s="64">
        <v>93.09</v>
      </c>
      <c r="N98" s="64">
        <v>17.399999999999999</v>
      </c>
      <c r="O98" s="64">
        <v>0</v>
      </c>
      <c r="P98" s="64">
        <v>0.54</v>
      </c>
      <c r="Q98" s="64">
        <v>9.5399999999999991</v>
      </c>
      <c r="R98" s="198"/>
      <c r="S98" s="198"/>
      <c r="T98" s="198"/>
      <c r="U98" s="198"/>
    </row>
    <row r="99" spans="1:33" s="12" customFormat="1" x14ac:dyDescent="0.25">
      <c r="A99" s="217" t="s">
        <v>1196</v>
      </c>
      <c r="B99" s="64">
        <v>8.33</v>
      </c>
      <c r="C99" s="64">
        <v>3.22</v>
      </c>
      <c r="D99" s="64">
        <v>12.14</v>
      </c>
      <c r="E99" s="64">
        <v>5.84</v>
      </c>
      <c r="F99" s="64">
        <v>2.37</v>
      </c>
      <c r="G99" s="64">
        <v>42</v>
      </c>
      <c r="H99" s="64">
        <v>13.1</v>
      </c>
      <c r="I99" s="64">
        <v>6.24</v>
      </c>
      <c r="J99" s="64">
        <v>0.24</v>
      </c>
      <c r="K99" s="64">
        <v>136.87</v>
      </c>
      <c r="L99" s="64">
        <v>25.23</v>
      </c>
      <c r="M99" s="64">
        <v>92.61</v>
      </c>
      <c r="N99" s="64">
        <v>17.100000000000001</v>
      </c>
      <c r="O99" s="64">
        <v>0</v>
      </c>
      <c r="P99" s="64">
        <v>0.52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7" t="s">
        <v>1197</v>
      </c>
      <c r="B100" s="64">
        <v>8.3699999999999992</v>
      </c>
      <c r="C100" s="64">
        <v>3.28</v>
      </c>
      <c r="D100" s="64">
        <v>12.2</v>
      </c>
      <c r="E100" s="64">
        <v>5.7</v>
      </c>
      <c r="F100" s="64">
        <v>3.18</v>
      </c>
      <c r="G100" s="64">
        <v>32.619999999999997</v>
      </c>
      <c r="H100" s="64">
        <v>13.77</v>
      </c>
      <c r="I100" s="64">
        <v>6.04</v>
      </c>
      <c r="J100" s="64">
        <v>0.42</v>
      </c>
      <c r="K100" s="64">
        <v>26.48</v>
      </c>
      <c r="L100" s="64">
        <v>25.45</v>
      </c>
      <c r="M100" s="64">
        <v>90.64</v>
      </c>
      <c r="N100" s="64">
        <v>17</v>
      </c>
      <c r="O100" s="64">
        <v>0</v>
      </c>
      <c r="P100" s="64">
        <v>0.5</v>
      </c>
      <c r="Q100" s="64">
        <v>9.4499999999999993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1198</v>
      </c>
      <c r="B101" s="64">
        <v>8.36</v>
      </c>
      <c r="C101" s="64">
        <v>3.28</v>
      </c>
      <c r="D101" s="64">
        <v>12.19</v>
      </c>
      <c r="E101" s="64">
        <v>5.4</v>
      </c>
      <c r="F101" s="64">
        <v>3.74</v>
      </c>
      <c r="G101" s="64">
        <v>21.9</v>
      </c>
      <c r="H101" s="64">
        <v>14.51</v>
      </c>
      <c r="I101" s="64">
        <v>5.84</v>
      </c>
      <c r="J101" s="64">
        <v>0.55000000000000004</v>
      </c>
      <c r="K101" s="64">
        <v>5.29</v>
      </c>
      <c r="L101" s="64">
        <v>25.62</v>
      </c>
      <c r="M101" s="64">
        <v>87.87</v>
      </c>
      <c r="N101" s="64">
        <v>17</v>
      </c>
      <c r="O101" s="64">
        <v>0</v>
      </c>
      <c r="P101" s="64">
        <v>0.48</v>
      </c>
      <c r="Q101" s="64">
        <v>9.5</v>
      </c>
      <c r="R101" s="198"/>
      <c r="S101" s="198"/>
      <c r="T101" s="198"/>
      <c r="U101" s="198"/>
    </row>
    <row r="102" spans="1:33" s="12" customFormat="1" x14ac:dyDescent="0.25">
      <c r="A102" s="217" t="s">
        <v>1199</v>
      </c>
      <c r="B102" s="64">
        <v>8.35</v>
      </c>
      <c r="C102" s="64">
        <v>3.3</v>
      </c>
      <c r="D102" s="64">
        <v>12.2</v>
      </c>
      <c r="E102" s="64">
        <v>5.66</v>
      </c>
      <c r="F102" s="64">
        <v>3.79</v>
      </c>
      <c r="G102" s="64">
        <v>21.9</v>
      </c>
      <c r="H102" s="64">
        <v>14.51</v>
      </c>
      <c r="I102" s="64">
        <v>5.55</v>
      </c>
      <c r="J102" s="64">
        <v>0.37</v>
      </c>
      <c r="K102" s="64">
        <v>2.81</v>
      </c>
      <c r="L102" s="64">
        <v>25.54</v>
      </c>
      <c r="M102" s="64">
        <v>87.92</v>
      </c>
      <c r="N102" s="64">
        <v>17.399999999999999</v>
      </c>
      <c r="O102" s="64">
        <v>0</v>
      </c>
      <c r="P102" s="64">
        <v>0.47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7" t="s">
        <v>1200</v>
      </c>
      <c r="B103" s="64">
        <v>8.34</v>
      </c>
      <c r="C103" s="64">
        <v>3.24</v>
      </c>
      <c r="D103" s="64">
        <v>12.16</v>
      </c>
      <c r="E103" s="64">
        <v>6.04</v>
      </c>
      <c r="F103" s="64">
        <v>2.61</v>
      </c>
      <c r="G103" s="64">
        <v>21.9</v>
      </c>
      <c r="H103" s="64">
        <v>14.51</v>
      </c>
      <c r="I103" s="64">
        <v>5.22</v>
      </c>
      <c r="J103" s="64">
        <v>0.15</v>
      </c>
      <c r="K103" s="64">
        <v>25.73</v>
      </c>
      <c r="L103" s="64">
        <v>25.36</v>
      </c>
      <c r="M103" s="64">
        <v>89.21</v>
      </c>
      <c r="N103" s="64">
        <v>17.399999999999999</v>
      </c>
      <c r="O103" s="64">
        <v>0</v>
      </c>
      <c r="P103" s="64">
        <v>0.45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17" t="s">
        <v>1201</v>
      </c>
      <c r="B104" s="64">
        <v>8.3699999999999992</v>
      </c>
      <c r="C104" s="64">
        <v>3.35</v>
      </c>
      <c r="D104" s="64">
        <v>12.23</v>
      </c>
      <c r="E104" s="64">
        <v>4.42</v>
      </c>
      <c r="F104" s="64">
        <v>3.3</v>
      </c>
      <c r="G104" s="64">
        <v>27.3</v>
      </c>
      <c r="H104" s="64">
        <v>14.55</v>
      </c>
      <c r="I104" s="64">
        <v>4.93</v>
      </c>
      <c r="J104" s="64">
        <v>7.0000000000000007E-2</v>
      </c>
      <c r="K104" s="64">
        <v>247.35</v>
      </c>
      <c r="L104" s="64">
        <v>25.17</v>
      </c>
      <c r="M104" s="64">
        <v>90.65</v>
      </c>
      <c r="N104" s="64">
        <v>17.399999999999999</v>
      </c>
      <c r="O104" s="64">
        <v>0</v>
      </c>
      <c r="P104" s="64">
        <v>0.43</v>
      </c>
      <c r="Q104" s="64">
        <v>9.44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8.18</v>
      </c>
      <c r="C106" s="67">
        <f>MIN(C9:C104)</f>
        <v>3.07</v>
      </c>
      <c r="D106" s="67">
        <f t="shared" ref="D106:Q106" si="0">MIN(D9:D104)</f>
        <v>11.95</v>
      </c>
      <c r="E106" s="67">
        <f t="shared" si="0"/>
        <v>3.39</v>
      </c>
      <c r="F106" s="67">
        <f t="shared" si="0"/>
        <v>2.37</v>
      </c>
      <c r="G106" s="67">
        <f t="shared" si="0"/>
        <v>7.6</v>
      </c>
      <c r="H106" s="67">
        <f t="shared" si="0"/>
        <v>1.31</v>
      </c>
      <c r="I106" s="67">
        <f t="shared" si="0"/>
        <v>1.89</v>
      </c>
      <c r="J106" s="67">
        <f t="shared" si="0"/>
        <v>0.03</v>
      </c>
      <c r="K106" s="67">
        <f t="shared" si="0"/>
        <v>0.5</v>
      </c>
      <c r="L106" s="67">
        <f t="shared" si="0"/>
        <v>22.17</v>
      </c>
      <c r="M106" s="67">
        <f t="shared" si="0"/>
        <v>65.930000000000007</v>
      </c>
      <c r="N106" s="67">
        <f t="shared" si="0"/>
        <v>0</v>
      </c>
      <c r="O106" s="67">
        <f t="shared" si="0"/>
        <v>0</v>
      </c>
      <c r="P106" s="67">
        <f t="shared" si="0"/>
        <v>0.25</v>
      </c>
      <c r="Q106" s="67">
        <f t="shared" si="0"/>
        <v>8.18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8.42</v>
      </c>
      <c r="C107" s="66">
        <f t="shared" ref="C107:Q107" si="1">MAX(C9:C104)</f>
        <v>3.47</v>
      </c>
      <c r="D107" s="66">
        <f t="shared" si="1"/>
        <v>12.33</v>
      </c>
      <c r="E107" s="66">
        <f t="shared" si="1"/>
        <v>6.04</v>
      </c>
      <c r="F107" s="66">
        <f t="shared" si="1"/>
        <v>10.74</v>
      </c>
      <c r="G107" s="66">
        <f t="shared" si="1"/>
        <v>162.78</v>
      </c>
      <c r="H107" s="66">
        <f t="shared" si="1"/>
        <v>24.04</v>
      </c>
      <c r="I107" s="66">
        <f t="shared" si="1"/>
        <v>6.43</v>
      </c>
      <c r="J107" s="66">
        <f t="shared" si="1"/>
        <v>1.89</v>
      </c>
      <c r="K107" s="66">
        <f t="shared" si="1"/>
        <v>353.78</v>
      </c>
      <c r="L107" s="66">
        <f t="shared" si="1"/>
        <v>30.63</v>
      </c>
      <c r="M107" s="66">
        <f t="shared" si="1"/>
        <v>98.35</v>
      </c>
      <c r="N107" s="66">
        <f t="shared" si="1"/>
        <v>639.70000000000005</v>
      </c>
      <c r="O107" s="66">
        <f t="shared" si="1"/>
        <v>0.2</v>
      </c>
      <c r="P107" s="66">
        <f t="shared" si="1"/>
        <v>0.77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8.2856250000000049</v>
      </c>
      <c r="C108" s="67">
        <f t="shared" ref="C108:Q108" si="2">AVERAGE(C9:C104)</f>
        <v>3.2462500000000003</v>
      </c>
      <c r="D108" s="67">
        <f t="shared" si="2"/>
        <v>12.114791666666669</v>
      </c>
      <c r="E108" s="67">
        <f t="shared" si="2"/>
        <v>4.6880208333333337</v>
      </c>
      <c r="F108" s="67">
        <f t="shared" si="2"/>
        <v>3.9128125000000025</v>
      </c>
      <c r="G108" s="67">
        <f t="shared" si="2"/>
        <v>36.596874999999997</v>
      </c>
      <c r="H108" s="67">
        <f t="shared" si="2"/>
        <v>9.2254166666666659</v>
      </c>
      <c r="I108" s="67">
        <f t="shared" si="2"/>
        <v>3.7487500000000016</v>
      </c>
      <c r="J108" s="67">
        <f t="shared" si="2"/>
        <v>0.4271875</v>
      </c>
      <c r="K108" s="67">
        <f t="shared" si="2"/>
        <v>178.60322916666664</v>
      </c>
      <c r="L108" s="67">
        <f t="shared" si="2"/>
        <v>25.808645833333333</v>
      </c>
      <c r="M108" s="67">
        <f t="shared" si="2"/>
        <v>86.220833333333317</v>
      </c>
      <c r="N108" s="67">
        <f t="shared" si="2"/>
        <v>110.48645833333326</v>
      </c>
      <c r="O108" s="67">
        <f t="shared" si="2"/>
        <v>2.0833333333333333E-3</v>
      </c>
      <c r="P108" s="67">
        <f t="shared" si="2"/>
        <v>0.44177083333333322</v>
      </c>
      <c r="Q108" s="67">
        <f t="shared" si="2"/>
        <v>9.381354166666668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6.8867722177335833E-2</v>
      </c>
      <c r="C109" s="67">
        <f t="shared" ref="C109:Q109" si="3">STDEV(C9:C104)</f>
        <v>8.6465691401119801E-2</v>
      </c>
      <c r="D109" s="67">
        <f t="shared" si="3"/>
        <v>9.3628371393635626E-2</v>
      </c>
      <c r="E109" s="67">
        <f t="shared" si="3"/>
        <v>0.70249872791293599</v>
      </c>
      <c r="F109" s="67">
        <f t="shared" si="3"/>
        <v>1.0737212253358981</v>
      </c>
      <c r="G109" s="67">
        <f t="shared" si="3"/>
        <v>36.922442250080451</v>
      </c>
      <c r="H109" s="67">
        <f t="shared" si="3"/>
        <v>6.8368502930680437</v>
      </c>
      <c r="I109" s="67">
        <f t="shared" si="3"/>
        <v>1.1556363022845419</v>
      </c>
      <c r="J109" s="67">
        <f t="shared" si="3"/>
        <v>0.32110238775358346</v>
      </c>
      <c r="K109" s="67">
        <f t="shared" si="3"/>
        <v>119.91534674177262</v>
      </c>
      <c r="L109" s="67">
        <f t="shared" si="3"/>
        <v>2.5030901406447561</v>
      </c>
      <c r="M109" s="67">
        <f t="shared" si="3"/>
        <v>10.160836752392626</v>
      </c>
      <c r="N109" s="67">
        <f t="shared" si="3"/>
        <v>145.92198104307346</v>
      </c>
      <c r="O109" s="67">
        <f t="shared" si="3"/>
        <v>2.0412414523193152E-2</v>
      </c>
      <c r="P109" s="67">
        <f t="shared" si="3"/>
        <v>0.17046064396320632</v>
      </c>
      <c r="Q109" s="67">
        <f t="shared" si="3"/>
        <v>0.17764909107958721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1202</v>
      </c>
      <c r="B9" s="64">
        <v>8.36</v>
      </c>
      <c r="C9" s="64">
        <v>3.27</v>
      </c>
      <c r="D9" s="64">
        <v>12.19</v>
      </c>
      <c r="E9" s="64">
        <v>4.47</v>
      </c>
      <c r="F9" s="64">
        <v>3.26</v>
      </c>
      <c r="G9" s="64">
        <v>33.47</v>
      </c>
      <c r="H9" s="64">
        <v>14.59</v>
      </c>
      <c r="I9" s="64">
        <v>4.63</v>
      </c>
      <c r="J9" s="64">
        <v>0.06</v>
      </c>
      <c r="K9" s="64">
        <v>188.93</v>
      </c>
      <c r="L9" s="64">
        <v>24.94</v>
      </c>
      <c r="M9" s="64">
        <v>92.22</v>
      </c>
      <c r="N9" s="64">
        <v>17.2</v>
      </c>
      <c r="O9" s="64">
        <v>0</v>
      </c>
      <c r="P9" s="64">
        <v>0.41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7" t="s">
        <v>1203</v>
      </c>
      <c r="B10" s="64">
        <v>8.35</v>
      </c>
      <c r="C10" s="64">
        <v>3.23</v>
      </c>
      <c r="D10" s="64">
        <v>12.16</v>
      </c>
      <c r="E10" s="64">
        <v>4.8499999999999996</v>
      </c>
      <c r="F10" s="64">
        <v>3.49</v>
      </c>
      <c r="G10" s="64">
        <v>33.47</v>
      </c>
      <c r="H10" s="64">
        <v>14.59</v>
      </c>
      <c r="I10" s="64">
        <v>4.4400000000000004</v>
      </c>
      <c r="J10" s="64">
        <v>0.17</v>
      </c>
      <c r="K10" s="64">
        <v>334.92</v>
      </c>
      <c r="L10" s="64">
        <v>24.83</v>
      </c>
      <c r="M10" s="64">
        <v>92.58</v>
      </c>
      <c r="N10" s="64">
        <v>17.100000000000001</v>
      </c>
      <c r="O10" s="64">
        <v>0</v>
      </c>
      <c r="P10" s="64">
        <v>0.4</v>
      </c>
      <c r="Q10" s="64">
        <v>9.44</v>
      </c>
      <c r="R10" s="198"/>
      <c r="S10" s="198"/>
      <c r="T10" s="198"/>
      <c r="U10" s="198"/>
    </row>
    <row r="11" spans="1:21" s="12" customFormat="1" x14ac:dyDescent="0.25">
      <c r="A11" s="217" t="s">
        <v>1204</v>
      </c>
      <c r="B11" s="64">
        <v>8.35</v>
      </c>
      <c r="C11" s="64">
        <v>3.21</v>
      </c>
      <c r="D11" s="64">
        <v>12.15</v>
      </c>
      <c r="E11" s="64">
        <v>4.49</v>
      </c>
      <c r="F11" s="64">
        <v>3.45</v>
      </c>
      <c r="G11" s="64">
        <v>33.47</v>
      </c>
      <c r="H11" s="64">
        <v>14.59</v>
      </c>
      <c r="I11" s="64">
        <v>4.4800000000000004</v>
      </c>
      <c r="J11" s="64">
        <v>0.59</v>
      </c>
      <c r="K11" s="64">
        <v>156.41</v>
      </c>
      <c r="L11" s="64">
        <v>24.74</v>
      </c>
      <c r="M11" s="64">
        <v>92.83</v>
      </c>
      <c r="N11" s="64">
        <v>17.100000000000001</v>
      </c>
      <c r="O11" s="64">
        <v>0</v>
      </c>
      <c r="P11" s="64">
        <v>0.39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7" t="s">
        <v>1205</v>
      </c>
      <c r="B12" s="64">
        <v>8.35</v>
      </c>
      <c r="C12" s="64">
        <v>3.24</v>
      </c>
      <c r="D12" s="64">
        <v>12.17</v>
      </c>
      <c r="E12" s="64">
        <v>4.49</v>
      </c>
      <c r="F12" s="64">
        <v>3.56</v>
      </c>
      <c r="G12" s="64">
        <v>28.5</v>
      </c>
      <c r="H12" s="64">
        <v>14.46</v>
      </c>
      <c r="I12" s="64">
        <v>4.54</v>
      </c>
      <c r="J12" s="64">
        <v>0.23</v>
      </c>
      <c r="K12" s="64">
        <v>178.51</v>
      </c>
      <c r="L12" s="64">
        <v>24.49</v>
      </c>
      <c r="M12" s="64">
        <v>93.86</v>
      </c>
      <c r="N12" s="64">
        <v>17.100000000000001</v>
      </c>
      <c r="O12" s="64">
        <v>0</v>
      </c>
      <c r="P12" s="64">
        <v>0.38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17" t="s">
        <v>1206</v>
      </c>
      <c r="B13" s="64">
        <v>8.35</v>
      </c>
      <c r="C13" s="64">
        <v>3.24</v>
      </c>
      <c r="D13" s="64">
        <v>12.16</v>
      </c>
      <c r="E13" s="64">
        <v>4.75</v>
      </c>
      <c r="F13" s="64">
        <v>3.53</v>
      </c>
      <c r="G13" s="64">
        <v>23.06</v>
      </c>
      <c r="H13" s="64">
        <v>14.31</v>
      </c>
      <c r="I13" s="64">
        <v>4.58</v>
      </c>
      <c r="J13" s="64">
        <v>0.35</v>
      </c>
      <c r="K13" s="64">
        <v>142.04</v>
      </c>
      <c r="L13" s="64">
        <v>24.35</v>
      </c>
      <c r="M13" s="64">
        <v>94.31</v>
      </c>
      <c r="N13" s="64">
        <v>17.2</v>
      </c>
      <c r="O13" s="64">
        <v>0</v>
      </c>
      <c r="P13" s="64">
        <v>0.36</v>
      </c>
      <c r="Q13" s="64">
        <v>9.4499999999999993</v>
      </c>
      <c r="R13" s="198"/>
      <c r="S13" s="198"/>
      <c r="T13" s="198"/>
      <c r="U13" s="198"/>
    </row>
    <row r="14" spans="1:21" s="12" customFormat="1" x14ac:dyDescent="0.25">
      <c r="A14" s="217" t="s">
        <v>1207</v>
      </c>
      <c r="B14" s="64">
        <v>8.34</v>
      </c>
      <c r="C14" s="64">
        <v>3.24</v>
      </c>
      <c r="D14" s="64">
        <v>12.16</v>
      </c>
      <c r="E14" s="64">
        <v>4.7300000000000004</v>
      </c>
      <c r="F14" s="64">
        <v>3.62</v>
      </c>
      <c r="G14" s="64">
        <v>23.06</v>
      </c>
      <c r="H14" s="64">
        <v>14.31</v>
      </c>
      <c r="I14" s="64">
        <v>4.78</v>
      </c>
      <c r="J14" s="64">
        <v>0.3</v>
      </c>
      <c r="K14" s="64">
        <v>159.07</v>
      </c>
      <c r="L14" s="64">
        <v>24.23</v>
      </c>
      <c r="M14" s="64">
        <v>94.94</v>
      </c>
      <c r="N14" s="64">
        <v>17</v>
      </c>
      <c r="O14" s="64">
        <v>0</v>
      </c>
      <c r="P14" s="64">
        <v>0.36</v>
      </c>
      <c r="Q14" s="64">
        <v>9.4600000000000009</v>
      </c>
      <c r="R14" s="198"/>
      <c r="S14" s="198"/>
      <c r="T14" s="198"/>
      <c r="U14" s="198"/>
    </row>
    <row r="15" spans="1:21" s="12" customFormat="1" x14ac:dyDescent="0.25">
      <c r="A15" s="217" t="s">
        <v>1208</v>
      </c>
      <c r="B15" s="64">
        <v>8.33</v>
      </c>
      <c r="C15" s="64">
        <v>3.2</v>
      </c>
      <c r="D15" s="64">
        <v>12.13</v>
      </c>
      <c r="E15" s="64">
        <v>4.55</v>
      </c>
      <c r="F15" s="64">
        <v>3.71</v>
      </c>
      <c r="G15" s="64">
        <v>23.06</v>
      </c>
      <c r="H15" s="64">
        <v>14.31</v>
      </c>
      <c r="I15" s="64">
        <v>4.82</v>
      </c>
      <c r="J15" s="64">
        <v>0.2</v>
      </c>
      <c r="K15" s="64">
        <v>357.31</v>
      </c>
      <c r="L15" s="64">
        <v>24.13</v>
      </c>
      <c r="M15" s="64">
        <v>95.81</v>
      </c>
      <c r="N15" s="64">
        <v>17</v>
      </c>
      <c r="O15" s="64">
        <v>0</v>
      </c>
      <c r="P15" s="64">
        <v>0.36</v>
      </c>
      <c r="Q15" s="64">
        <v>9.4600000000000009</v>
      </c>
      <c r="R15" s="198"/>
      <c r="S15" s="198"/>
      <c r="T15" s="198"/>
      <c r="U15" s="198"/>
    </row>
    <row r="16" spans="1:21" s="12" customFormat="1" x14ac:dyDescent="0.25">
      <c r="A16" s="217" t="s">
        <v>1209</v>
      </c>
      <c r="B16" s="64">
        <v>8.32</v>
      </c>
      <c r="C16" s="64">
        <v>3.21</v>
      </c>
      <c r="D16" s="64">
        <v>12.12</v>
      </c>
      <c r="E16" s="64">
        <v>4.88</v>
      </c>
      <c r="F16" s="64">
        <v>4.25</v>
      </c>
      <c r="G16" s="64">
        <v>19.309999999999999</v>
      </c>
      <c r="H16" s="64">
        <v>13.56</v>
      </c>
      <c r="I16" s="64">
        <v>4.83</v>
      </c>
      <c r="J16" s="64">
        <v>0.15</v>
      </c>
      <c r="K16" s="64">
        <v>336.14</v>
      </c>
      <c r="L16" s="64">
        <v>24.15</v>
      </c>
      <c r="M16" s="64">
        <v>95.79</v>
      </c>
      <c r="N16" s="64">
        <v>16.899999999999999</v>
      </c>
      <c r="O16" s="64">
        <v>0</v>
      </c>
      <c r="P16" s="64">
        <v>0.35</v>
      </c>
      <c r="Q16" s="64">
        <v>9.44</v>
      </c>
      <c r="R16" s="198"/>
      <c r="S16" s="198"/>
      <c r="T16" s="198"/>
      <c r="U16" s="198"/>
    </row>
    <row r="17" spans="1:21" s="12" customFormat="1" x14ac:dyDescent="0.25">
      <c r="A17" s="217" t="s">
        <v>1210</v>
      </c>
      <c r="B17" s="64">
        <v>8.34</v>
      </c>
      <c r="C17" s="64">
        <v>3.24</v>
      </c>
      <c r="D17" s="64">
        <v>12.15</v>
      </c>
      <c r="E17" s="64">
        <v>4.92</v>
      </c>
      <c r="F17" s="64">
        <v>4.83</v>
      </c>
      <c r="G17" s="64">
        <v>15.03</v>
      </c>
      <c r="H17" s="64">
        <v>12.7</v>
      </c>
      <c r="I17" s="64">
        <v>4.9400000000000004</v>
      </c>
      <c r="J17" s="64">
        <v>0.53</v>
      </c>
      <c r="K17" s="64">
        <v>337.55</v>
      </c>
      <c r="L17" s="64">
        <v>24.11</v>
      </c>
      <c r="M17" s="64">
        <v>96.32</v>
      </c>
      <c r="N17" s="64">
        <v>16.2</v>
      </c>
      <c r="O17" s="64">
        <v>0</v>
      </c>
      <c r="P17" s="64">
        <v>0.35</v>
      </c>
      <c r="Q17" s="64">
        <v>9.36</v>
      </c>
      <c r="R17" s="198"/>
      <c r="S17" s="198"/>
      <c r="T17" s="198"/>
      <c r="U17" s="198"/>
    </row>
    <row r="18" spans="1:21" s="12" customFormat="1" x14ac:dyDescent="0.25">
      <c r="A18" s="217" t="s">
        <v>1211</v>
      </c>
      <c r="B18" s="64">
        <v>8.36</v>
      </c>
      <c r="C18" s="64">
        <v>3.32</v>
      </c>
      <c r="D18" s="64">
        <v>12.22</v>
      </c>
      <c r="E18" s="64">
        <v>4.88</v>
      </c>
      <c r="F18" s="64">
        <v>2.2200000000000002</v>
      </c>
      <c r="G18" s="64">
        <v>15.03</v>
      </c>
      <c r="H18" s="64">
        <v>12.7</v>
      </c>
      <c r="I18" s="64">
        <v>4.93</v>
      </c>
      <c r="J18" s="64">
        <v>0.35</v>
      </c>
      <c r="K18" s="64">
        <v>335.48</v>
      </c>
      <c r="L18" s="64">
        <v>24.06</v>
      </c>
      <c r="M18" s="64">
        <v>96.51</v>
      </c>
      <c r="N18" s="64">
        <v>0.2</v>
      </c>
      <c r="O18" s="64">
        <v>0</v>
      </c>
      <c r="P18" s="64">
        <v>0.33</v>
      </c>
      <c r="Q18" s="64">
        <v>9.19</v>
      </c>
      <c r="R18" s="198"/>
      <c r="S18" s="198"/>
      <c r="T18" s="198"/>
      <c r="U18" s="198"/>
    </row>
    <row r="19" spans="1:21" s="12" customFormat="1" x14ac:dyDescent="0.25">
      <c r="A19" s="217" t="s">
        <v>1212</v>
      </c>
      <c r="B19" s="64">
        <v>8.35</v>
      </c>
      <c r="C19" s="64">
        <v>3.29</v>
      </c>
      <c r="D19" s="64">
        <v>12.19</v>
      </c>
      <c r="E19" s="64">
        <v>4.76</v>
      </c>
      <c r="F19" s="64">
        <v>3.1</v>
      </c>
      <c r="G19" s="64">
        <v>15.03</v>
      </c>
      <c r="H19" s="64">
        <v>12.7</v>
      </c>
      <c r="I19" s="64">
        <v>4.78</v>
      </c>
      <c r="J19" s="64">
        <v>0.28000000000000003</v>
      </c>
      <c r="K19" s="64">
        <v>348.75</v>
      </c>
      <c r="L19" s="64">
        <v>23.95</v>
      </c>
      <c r="M19" s="64">
        <v>96.92</v>
      </c>
      <c r="N19" s="64">
        <v>17</v>
      </c>
      <c r="O19" s="64">
        <v>0</v>
      </c>
      <c r="P19" s="64">
        <v>0.31</v>
      </c>
      <c r="Q19" s="64">
        <v>9.25</v>
      </c>
      <c r="R19" s="198"/>
      <c r="S19" s="198"/>
      <c r="T19" s="198"/>
      <c r="U19" s="198"/>
    </row>
    <row r="20" spans="1:21" s="12" customFormat="1" x14ac:dyDescent="0.25">
      <c r="A20" s="217" t="s">
        <v>1213</v>
      </c>
      <c r="B20" s="64">
        <v>8.32</v>
      </c>
      <c r="C20" s="64">
        <v>3.22</v>
      </c>
      <c r="D20" s="64">
        <v>12.13</v>
      </c>
      <c r="E20" s="64">
        <v>4.57</v>
      </c>
      <c r="F20" s="64">
        <v>4.07</v>
      </c>
      <c r="G20" s="64">
        <v>18</v>
      </c>
      <c r="H20" s="64">
        <v>10.98</v>
      </c>
      <c r="I20" s="64">
        <v>4.54</v>
      </c>
      <c r="J20" s="64">
        <v>0.22</v>
      </c>
      <c r="K20" s="64">
        <v>359.39</v>
      </c>
      <c r="L20" s="64">
        <v>23.95</v>
      </c>
      <c r="M20" s="64">
        <v>96.73</v>
      </c>
      <c r="N20" s="64">
        <v>17</v>
      </c>
      <c r="O20" s="64">
        <v>0</v>
      </c>
      <c r="P20" s="64">
        <v>0.31</v>
      </c>
      <c r="Q20" s="64">
        <v>9.35</v>
      </c>
      <c r="R20" s="198"/>
      <c r="S20" s="198"/>
      <c r="T20" s="198"/>
      <c r="U20" s="198"/>
    </row>
    <row r="21" spans="1:21" s="12" customFormat="1" x14ac:dyDescent="0.25">
      <c r="A21" s="217" t="s">
        <v>1214</v>
      </c>
      <c r="B21" s="64">
        <v>8.31</v>
      </c>
      <c r="C21" s="64">
        <v>3.22</v>
      </c>
      <c r="D21" s="64">
        <v>12.12</v>
      </c>
      <c r="E21" s="64">
        <v>4.63</v>
      </c>
      <c r="F21" s="64">
        <v>4.0599999999999996</v>
      </c>
      <c r="G21" s="64">
        <v>21.4</v>
      </c>
      <c r="H21" s="64">
        <v>9.1</v>
      </c>
      <c r="I21" s="64">
        <v>4.28</v>
      </c>
      <c r="J21" s="64">
        <v>7.0000000000000007E-2</v>
      </c>
      <c r="K21" s="64">
        <v>197.44</v>
      </c>
      <c r="L21" s="64">
        <v>23.85</v>
      </c>
      <c r="M21" s="64">
        <v>97.59</v>
      </c>
      <c r="N21" s="64">
        <v>17</v>
      </c>
      <c r="O21" s="64">
        <v>0</v>
      </c>
      <c r="P21" s="64">
        <v>0.31</v>
      </c>
      <c r="Q21" s="64">
        <v>9.33</v>
      </c>
      <c r="R21" s="198"/>
      <c r="S21" s="198"/>
      <c r="T21" s="198"/>
      <c r="U21" s="198"/>
    </row>
    <row r="22" spans="1:21" s="12" customFormat="1" x14ac:dyDescent="0.25">
      <c r="A22" s="217" t="s">
        <v>1215</v>
      </c>
      <c r="B22" s="64">
        <v>8.32</v>
      </c>
      <c r="C22" s="64">
        <v>3.25</v>
      </c>
      <c r="D22" s="64">
        <v>12.14</v>
      </c>
      <c r="E22" s="64">
        <v>4.6399999999999997</v>
      </c>
      <c r="F22" s="64">
        <v>2.36</v>
      </c>
      <c r="G22" s="64">
        <v>21.4</v>
      </c>
      <c r="H22" s="64">
        <v>9.1</v>
      </c>
      <c r="I22" s="64">
        <v>4.16</v>
      </c>
      <c r="J22" s="64">
        <v>0.2</v>
      </c>
      <c r="K22" s="64">
        <v>349.97</v>
      </c>
      <c r="L22" s="64">
        <v>23.73</v>
      </c>
      <c r="M22" s="64">
        <v>98.16</v>
      </c>
      <c r="N22" s="64">
        <v>17</v>
      </c>
      <c r="O22" s="64">
        <v>0</v>
      </c>
      <c r="P22" s="64">
        <v>0.3</v>
      </c>
      <c r="Q22" s="64">
        <v>9.23</v>
      </c>
      <c r="R22" s="198"/>
      <c r="S22" s="198"/>
      <c r="T22" s="198"/>
      <c r="U22" s="198"/>
    </row>
    <row r="23" spans="1:21" s="12" customFormat="1" x14ac:dyDescent="0.25">
      <c r="A23" s="217" t="s">
        <v>1216</v>
      </c>
      <c r="B23" s="64">
        <v>8.35</v>
      </c>
      <c r="C23" s="64">
        <v>3.29</v>
      </c>
      <c r="D23" s="64">
        <v>12.19</v>
      </c>
      <c r="E23" s="64">
        <v>4.83</v>
      </c>
      <c r="F23" s="64">
        <v>3.44</v>
      </c>
      <c r="G23" s="64">
        <v>21.4</v>
      </c>
      <c r="H23" s="64">
        <v>9.1</v>
      </c>
      <c r="I23" s="64">
        <v>4.09</v>
      </c>
      <c r="J23" s="64">
        <v>0.51</v>
      </c>
      <c r="K23" s="64">
        <v>4.83</v>
      </c>
      <c r="L23" s="64">
        <v>23.71</v>
      </c>
      <c r="M23" s="64">
        <v>98.28</v>
      </c>
      <c r="N23" s="64">
        <v>17</v>
      </c>
      <c r="O23" s="64">
        <v>0</v>
      </c>
      <c r="P23" s="64">
        <v>0.27</v>
      </c>
      <c r="Q23" s="64">
        <v>9.2799999999999994</v>
      </c>
      <c r="R23" s="198"/>
      <c r="S23" s="198"/>
      <c r="T23" s="198"/>
      <c r="U23" s="198"/>
    </row>
    <row r="24" spans="1:21" s="12" customFormat="1" x14ac:dyDescent="0.25">
      <c r="A24" s="217" t="s">
        <v>1217</v>
      </c>
      <c r="B24" s="64">
        <v>8.33</v>
      </c>
      <c r="C24" s="64">
        <v>3.22</v>
      </c>
      <c r="D24" s="64">
        <v>12.14</v>
      </c>
      <c r="E24" s="64">
        <v>3.59</v>
      </c>
      <c r="F24" s="64">
        <v>4.49</v>
      </c>
      <c r="G24" s="64">
        <v>19.91</v>
      </c>
      <c r="H24" s="64">
        <v>8.07</v>
      </c>
      <c r="I24" s="64">
        <v>3.97</v>
      </c>
      <c r="J24" s="64">
        <v>0.35</v>
      </c>
      <c r="K24" s="64">
        <v>354.19</v>
      </c>
      <c r="L24" s="64">
        <v>23.64</v>
      </c>
      <c r="M24" s="64">
        <v>98.3</v>
      </c>
      <c r="N24" s="64">
        <v>17</v>
      </c>
      <c r="O24" s="64">
        <v>0</v>
      </c>
      <c r="P24" s="64">
        <v>0.28000000000000003</v>
      </c>
      <c r="Q24" s="64">
        <v>9.36</v>
      </c>
      <c r="R24" s="198"/>
      <c r="S24" s="198"/>
      <c r="T24" s="198"/>
      <c r="U24" s="198"/>
    </row>
    <row r="25" spans="1:21" s="12" customFormat="1" x14ac:dyDescent="0.25">
      <c r="A25" s="217" t="s">
        <v>1218</v>
      </c>
      <c r="B25" s="64">
        <v>8.36</v>
      </c>
      <c r="C25" s="64">
        <v>3.24</v>
      </c>
      <c r="D25" s="64">
        <v>12.17</v>
      </c>
      <c r="E25" s="64">
        <v>3.81</v>
      </c>
      <c r="F25" s="64">
        <v>3.75</v>
      </c>
      <c r="G25" s="64">
        <v>18.21</v>
      </c>
      <c r="H25" s="64">
        <v>6.91</v>
      </c>
      <c r="I25" s="64">
        <v>3.8</v>
      </c>
      <c r="J25" s="64">
        <v>0.31</v>
      </c>
      <c r="K25" s="64">
        <v>344.75</v>
      </c>
      <c r="L25" s="64">
        <v>23.63</v>
      </c>
      <c r="M25" s="64">
        <v>98.33</v>
      </c>
      <c r="N25" s="64">
        <v>17</v>
      </c>
      <c r="O25" s="64">
        <v>0</v>
      </c>
      <c r="P25" s="64">
        <v>0.27</v>
      </c>
      <c r="Q25" s="64">
        <v>9.32</v>
      </c>
      <c r="R25" s="198"/>
      <c r="S25" s="198"/>
      <c r="T25" s="198"/>
      <c r="U25" s="198"/>
    </row>
    <row r="26" spans="1:21" s="12" customFormat="1" x14ac:dyDescent="0.25">
      <c r="A26" s="217" t="s">
        <v>1219</v>
      </c>
      <c r="B26" s="64">
        <v>8.31</v>
      </c>
      <c r="C26" s="64">
        <v>3.23</v>
      </c>
      <c r="D26" s="64">
        <v>12.13</v>
      </c>
      <c r="E26" s="64">
        <v>3.91</v>
      </c>
      <c r="F26" s="64">
        <v>2.54</v>
      </c>
      <c r="G26" s="64">
        <v>18.21</v>
      </c>
      <c r="H26" s="64">
        <v>6.91</v>
      </c>
      <c r="I26" s="64">
        <v>3.71</v>
      </c>
      <c r="J26" s="64">
        <v>0.21</v>
      </c>
      <c r="K26" s="64">
        <v>350.61</v>
      </c>
      <c r="L26" s="64">
        <v>23.68</v>
      </c>
      <c r="M26" s="64">
        <v>98.33</v>
      </c>
      <c r="N26" s="64">
        <v>17</v>
      </c>
      <c r="O26" s="64">
        <v>0</v>
      </c>
      <c r="P26" s="64">
        <v>0.26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17" t="s">
        <v>1220</v>
      </c>
      <c r="B27" s="64">
        <v>8.35</v>
      </c>
      <c r="C27" s="64">
        <v>3.35</v>
      </c>
      <c r="D27" s="64">
        <v>12.22</v>
      </c>
      <c r="E27" s="64">
        <v>4.28</v>
      </c>
      <c r="F27" s="64">
        <v>3.98</v>
      </c>
      <c r="G27" s="64">
        <v>18.21</v>
      </c>
      <c r="H27" s="64">
        <v>6.91</v>
      </c>
      <c r="I27" s="64">
        <v>3.77</v>
      </c>
      <c r="J27" s="64">
        <v>0.4</v>
      </c>
      <c r="K27" s="64">
        <v>138.03</v>
      </c>
      <c r="L27" s="64">
        <v>23.54</v>
      </c>
      <c r="M27" s="64">
        <v>98.33</v>
      </c>
      <c r="N27" s="64">
        <v>17.3</v>
      </c>
      <c r="O27" s="64">
        <v>0</v>
      </c>
      <c r="P27" s="64">
        <v>0.25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17" t="s">
        <v>1221</v>
      </c>
      <c r="B28" s="64">
        <v>8.34</v>
      </c>
      <c r="C28" s="64">
        <v>3.26</v>
      </c>
      <c r="D28" s="64">
        <v>12.16</v>
      </c>
      <c r="E28" s="64">
        <v>3.82</v>
      </c>
      <c r="F28" s="64">
        <v>2.99</v>
      </c>
      <c r="G28" s="64">
        <v>20.059999999999999</v>
      </c>
      <c r="H28" s="64">
        <v>5.94</v>
      </c>
      <c r="I28" s="64">
        <v>3.59</v>
      </c>
      <c r="J28" s="64">
        <v>0.3</v>
      </c>
      <c r="K28" s="64">
        <v>181.19</v>
      </c>
      <c r="L28" s="64">
        <v>23.42</v>
      </c>
      <c r="M28" s="64">
        <v>98.33</v>
      </c>
      <c r="N28" s="64">
        <v>17</v>
      </c>
      <c r="O28" s="64">
        <v>0</v>
      </c>
      <c r="P28" s="64">
        <v>0.25</v>
      </c>
      <c r="Q28" s="64">
        <v>9.31</v>
      </c>
      <c r="R28" s="198"/>
      <c r="S28" s="198"/>
      <c r="T28" s="198"/>
      <c r="U28" s="198"/>
    </row>
    <row r="29" spans="1:21" s="12" customFormat="1" x14ac:dyDescent="0.25">
      <c r="A29" s="217" t="s">
        <v>1222</v>
      </c>
      <c r="B29" s="64">
        <v>8.35</v>
      </c>
      <c r="C29" s="64">
        <v>3.21</v>
      </c>
      <c r="D29" s="64">
        <v>12.15</v>
      </c>
      <c r="E29" s="64">
        <v>3.96</v>
      </c>
      <c r="F29" s="64">
        <v>3.26</v>
      </c>
      <c r="G29" s="64">
        <v>22.17</v>
      </c>
      <c r="H29" s="64">
        <v>4.84</v>
      </c>
      <c r="I29" s="64">
        <v>3.71</v>
      </c>
      <c r="J29" s="64">
        <v>0.28000000000000003</v>
      </c>
      <c r="K29" s="64">
        <v>211.21</v>
      </c>
      <c r="L29" s="64">
        <v>23.45</v>
      </c>
      <c r="M29" s="64">
        <v>98.33</v>
      </c>
      <c r="N29" s="64">
        <v>17.600000000000001</v>
      </c>
      <c r="O29" s="64">
        <v>0</v>
      </c>
      <c r="P29" s="64">
        <v>0.25</v>
      </c>
      <c r="Q29" s="64">
        <v>9.35</v>
      </c>
      <c r="R29" s="198"/>
      <c r="S29" s="198"/>
      <c r="T29" s="198"/>
      <c r="U29" s="198"/>
    </row>
    <row r="30" spans="1:21" s="12" customFormat="1" x14ac:dyDescent="0.25">
      <c r="A30" s="217" t="s">
        <v>1223</v>
      </c>
      <c r="B30" s="64">
        <v>8.33</v>
      </c>
      <c r="C30" s="64">
        <v>3.15</v>
      </c>
      <c r="D30" s="64">
        <v>12.1</v>
      </c>
      <c r="E30" s="64">
        <v>3.98</v>
      </c>
      <c r="F30" s="64">
        <v>3.54</v>
      </c>
      <c r="G30" s="64">
        <v>22.17</v>
      </c>
      <c r="H30" s="64">
        <v>4.84</v>
      </c>
      <c r="I30" s="64">
        <v>4.0999999999999996</v>
      </c>
      <c r="J30" s="64">
        <v>0.25</v>
      </c>
      <c r="K30" s="64">
        <v>251.97</v>
      </c>
      <c r="L30" s="64">
        <v>23.46</v>
      </c>
      <c r="M30" s="64">
        <v>98.33</v>
      </c>
      <c r="N30" s="64">
        <v>21.5</v>
      </c>
      <c r="O30" s="64">
        <v>0</v>
      </c>
      <c r="P30" s="64">
        <v>0.25</v>
      </c>
      <c r="Q30" s="64">
        <v>9.36</v>
      </c>
      <c r="R30" s="198"/>
      <c r="S30" s="198"/>
      <c r="T30" s="198"/>
      <c r="U30" s="198"/>
    </row>
    <row r="31" spans="1:21" s="12" customFormat="1" x14ac:dyDescent="0.25">
      <c r="A31" s="217" t="s">
        <v>1224</v>
      </c>
      <c r="B31" s="64">
        <v>8.32</v>
      </c>
      <c r="C31" s="64">
        <v>3.18</v>
      </c>
      <c r="D31" s="64">
        <v>12.11</v>
      </c>
      <c r="E31" s="64">
        <v>3.6</v>
      </c>
      <c r="F31" s="64">
        <v>3.72</v>
      </c>
      <c r="G31" s="64">
        <v>22.17</v>
      </c>
      <c r="H31" s="64">
        <v>4.84</v>
      </c>
      <c r="I31" s="64">
        <v>4.33</v>
      </c>
      <c r="J31" s="64">
        <v>0.15</v>
      </c>
      <c r="K31" s="64">
        <v>240.16</v>
      </c>
      <c r="L31" s="64">
        <v>23.42</v>
      </c>
      <c r="M31" s="64">
        <v>98.33</v>
      </c>
      <c r="N31" s="64">
        <v>31.9</v>
      </c>
      <c r="O31" s="64">
        <v>0</v>
      </c>
      <c r="P31" s="64">
        <v>0.24</v>
      </c>
      <c r="Q31" s="64">
        <v>9.3699999999999992</v>
      </c>
      <c r="R31" s="198"/>
      <c r="S31" s="198"/>
      <c r="T31" s="198"/>
      <c r="U31" s="198"/>
    </row>
    <row r="32" spans="1:21" s="12" customFormat="1" x14ac:dyDescent="0.25">
      <c r="A32" s="217" t="s">
        <v>1225</v>
      </c>
      <c r="B32" s="64">
        <v>8.3699999999999992</v>
      </c>
      <c r="C32" s="64">
        <v>3.23</v>
      </c>
      <c r="D32" s="64">
        <v>12.18</v>
      </c>
      <c r="E32" s="64">
        <v>3.77</v>
      </c>
      <c r="F32" s="64">
        <v>3.54</v>
      </c>
      <c r="G32" s="64">
        <v>24.35</v>
      </c>
      <c r="H32" s="64">
        <v>4.16</v>
      </c>
      <c r="I32" s="64">
        <v>4.4800000000000004</v>
      </c>
      <c r="J32" s="64">
        <v>0.43</v>
      </c>
      <c r="K32" s="64">
        <v>164.88</v>
      </c>
      <c r="L32" s="64">
        <v>23.46</v>
      </c>
      <c r="M32" s="64">
        <v>98.33</v>
      </c>
      <c r="N32" s="64">
        <v>46.6</v>
      </c>
      <c r="O32" s="64">
        <v>0</v>
      </c>
      <c r="P32" s="64">
        <v>0.24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7" t="s">
        <v>1226</v>
      </c>
      <c r="B33" s="64">
        <v>8.36</v>
      </c>
      <c r="C33" s="64">
        <v>3.23</v>
      </c>
      <c r="D33" s="64">
        <v>12.17</v>
      </c>
      <c r="E33" s="64">
        <v>3.89</v>
      </c>
      <c r="F33" s="64">
        <v>3.32</v>
      </c>
      <c r="G33" s="64">
        <v>26.85</v>
      </c>
      <c r="H33" s="64">
        <v>3.39</v>
      </c>
      <c r="I33" s="64">
        <v>4.62</v>
      </c>
      <c r="J33" s="64">
        <v>0.35</v>
      </c>
      <c r="K33" s="64">
        <v>156.68</v>
      </c>
      <c r="L33" s="64">
        <v>23.53</v>
      </c>
      <c r="M33" s="64">
        <v>98.33</v>
      </c>
      <c r="N33" s="64">
        <v>58.3</v>
      </c>
      <c r="O33" s="64">
        <v>0</v>
      </c>
      <c r="P33" s="64">
        <v>0.24</v>
      </c>
      <c r="Q33" s="64">
        <v>9.3800000000000008</v>
      </c>
      <c r="R33" s="198"/>
      <c r="S33" s="198"/>
      <c r="T33" s="198"/>
      <c r="U33" s="198"/>
    </row>
    <row r="34" spans="1:21" s="12" customFormat="1" x14ac:dyDescent="0.25">
      <c r="A34" s="217" t="s">
        <v>1227</v>
      </c>
      <c r="B34" s="64">
        <v>8.35</v>
      </c>
      <c r="C34" s="64">
        <v>3.24</v>
      </c>
      <c r="D34" s="64">
        <v>12.16</v>
      </c>
      <c r="E34" s="64">
        <v>3.88</v>
      </c>
      <c r="F34" s="64">
        <v>3.48</v>
      </c>
      <c r="G34" s="64">
        <v>26.85</v>
      </c>
      <c r="H34" s="64">
        <v>3.39</v>
      </c>
      <c r="I34" s="64">
        <v>4.8</v>
      </c>
      <c r="J34" s="64">
        <v>0.28999999999999998</v>
      </c>
      <c r="K34" s="64">
        <v>172.74</v>
      </c>
      <c r="L34" s="64">
        <v>23.7</v>
      </c>
      <c r="M34" s="64">
        <v>98.33</v>
      </c>
      <c r="N34" s="64">
        <v>80.7</v>
      </c>
      <c r="O34" s="64">
        <v>0</v>
      </c>
      <c r="P34" s="64">
        <v>0.25</v>
      </c>
      <c r="Q34" s="64">
        <v>9.3699999999999992</v>
      </c>
      <c r="R34" s="198"/>
      <c r="S34" s="198"/>
      <c r="T34" s="198"/>
      <c r="U34" s="198"/>
    </row>
    <row r="35" spans="1:21" s="12" customFormat="1" x14ac:dyDescent="0.25">
      <c r="A35" s="217" t="s">
        <v>1228</v>
      </c>
      <c r="B35" s="64">
        <v>8.35</v>
      </c>
      <c r="C35" s="64">
        <v>3.28</v>
      </c>
      <c r="D35" s="64">
        <v>12.19</v>
      </c>
      <c r="E35" s="64">
        <v>4.22</v>
      </c>
      <c r="F35" s="64">
        <v>4.29</v>
      </c>
      <c r="G35" s="64">
        <v>26.85</v>
      </c>
      <c r="H35" s="64">
        <v>3.39</v>
      </c>
      <c r="I35" s="64">
        <v>5</v>
      </c>
      <c r="J35" s="64">
        <v>0.28000000000000003</v>
      </c>
      <c r="K35" s="64">
        <v>346.38</v>
      </c>
      <c r="L35" s="64">
        <v>24.04</v>
      </c>
      <c r="M35" s="64">
        <v>98.32</v>
      </c>
      <c r="N35" s="64">
        <v>107.6</v>
      </c>
      <c r="O35" s="64">
        <v>0</v>
      </c>
      <c r="P35" s="64">
        <v>0.25</v>
      </c>
      <c r="Q35" s="64">
        <v>9.3800000000000008</v>
      </c>
      <c r="R35" s="198"/>
      <c r="S35" s="198"/>
      <c r="T35" s="198"/>
      <c r="U35" s="198"/>
    </row>
    <row r="36" spans="1:21" s="12" customFormat="1" x14ac:dyDescent="0.25">
      <c r="A36" s="217" t="s">
        <v>1229</v>
      </c>
      <c r="B36" s="64">
        <v>8.31</v>
      </c>
      <c r="C36" s="64">
        <v>3.17</v>
      </c>
      <c r="D36" s="64">
        <v>12.09</v>
      </c>
      <c r="E36" s="64">
        <v>4.09</v>
      </c>
      <c r="F36" s="64">
        <v>3.1</v>
      </c>
      <c r="G36" s="64">
        <v>29.89</v>
      </c>
      <c r="H36" s="64">
        <v>2.91</v>
      </c>
      <c r="I36" s="64">
        <v>5.09</v>
      </c>
      <c r="J36" s="64">
        <v>0.49</v>
      </c>
      <c r="K36" s="64">
        <v>344.27</v>
      </c>
      <c r="L36" s="64">
        <v>24.26</v>
      </c>
      <c r="M36" s="64">
        <v>97.92</v>
      </c>
      <c r="N36" s="64">
        <v>72.599999999999994</v>
      </c>
      <c r="O36" s="64">
        <v>0</v>
      </c>
      <c r="P36" s="64">
        <v>0.26</v>
      </c>
      <c r="Q36" s="64">
        <v>9.24</v>
      </c>
      <c r="R36" s="198"/>
      <c r="S36" s="198"/>
      <c r="T36" s="198"/>
      <c r="U36" s="198"/>
    </row>
    <row r="37" spans="1:21" s="12" customFormat="1" x14ac:dyDescent="0.25">
      <c r="A37" s="217" t="s">
        <v>1230</v>
      </c>
      <c r="B37" s="64">
        <v>8.31</v>
      </c>
      <c r="C37" s="64">
        <v>3.2</v>
      </c>
      <c r="D37" s="64">
        <v>12.11</v>
      </c>
      <c r="E37" s="64">
        <v>4.05</v>
      </c>
      <c r="F37" s="64">
        <v>3.1</v>
      </c>
      <c r="G37" s="64">
        <v>33.36</v>
      </c>
      <c r="H37" s="64">
        <v>2.37</v>
      </c>
      <c r="I37" s="64">
        <v>5.03</v>
      </c>
      <c r="J37" s="64">
        <v>0.34</v>
      </c>
      <c r="K37" s="64">
        <v>349.64</v>
      </c>
      <c r="L37" s="64">
        <v>24.58</v>
      </c>
      <c r="M37" s="64">
        <v>96.61</v>
      </c>
      <c r="N37" s="64">
        <v>60.7</v>
      </c>
      <c r="O37" s="64">
        <v>0</v>
      </c>
      <c r="P37" s="64">
        <v>0.24</v>
      </c>
      <c r="Q37" s="64">
        <v>9.2100000000000009</v>
      </c>
      <c r="R37" s="198"/>
      <c r="S37" s="198"/>
      <c r="T37" s="198"/>
      <c r="U37" s="198"/>
    </row>
    <row r="38" spans="1:21" s="12" customFormat="1" x14ac:dyDescent="0.25">
      <c r="A38" s="217" t="s">
        <v>1231</v>
      </c>
      <c r="B38" s="64">
        <v>8.32</v>
      </c>
      <c r="C38" s="64">
        <v>3.23</v>
      </c>
      <c r="D38" s="64">
        <v>12.14</v>
      </c>
      <c r="E38" s="64">
        <v>3.86</v>
      </c>
      <c r="F38" s="64">
        <v>4.05</v>
      </c>
      <c r="G38" s="64">
        <v>33.36</v>
      </c>
      <c r="H38" s="64">
        <v>2.37</v>
      </c>
      <c r="I38" s="64">
        <v>4.8099999999999996</v>
      </c>
      <c r="J38" s="64">
        <v>0.41</v>
      </c>
      <c r="K38" s="64">
        <v>350.17</v>
      </c>
      <c r="L38" s="64">
        <v>24.61</v>
      </c>
      <c r="M38" s="64">
        <v>96.22</v>
      </c>
      <c r="N38" s="64">
        <v>87.3</v>
      </c>
      <c r="O38" s="64">
        <v>0</v>
      </c>
      <c r="P38" s="64">
        <v>0.25</v>
      </c>
      <c r="Q38" s="64">
        <v>9.3000000000000007</v>
      </c>
      <c r="R38" s="198"/>
      <c r="S38" s="198"/>
      <c r="T38" s="198"/>
      <c r="U38" s="198"/>
    </row>
    <row r="39" spans="1:21" s="12" customFormat="1" x14ac:dyDescent="0.25">
      <c r="A39" s="217" t="s">
        <v>1232</v>
      </c>
      <c r="B39" s="64">
        <v>8.31</v>
      </c>
      <c r="C39" s="64">
        <v>3.28</v>
      </c>
      <c r="D39" s="64">
        <v>12.15</v>
      </c>
      <c r="E39" s="64">
        <v>3.95</v>
      </c>
      <c r="F39" s="64">
        <v>4.75</v>
      </c>
      <c r="G39" s="64">
        <v>33.36</v>
      </c>
      <c r="H39" s="64">
        <v>2.37</v>
      </c>
      <c r="I39" s="64">
        <v>4.4400000000000004</v>
      </c>
      <c r="J39" s="64">
        <v>0.5</v>
      </c>
      <c r="K39" s="64">
        <v>355.16</v>
      </c>
      <c r="L39" s="64">
        <v>24.62</v>
      </c>
      <c r="M39" s="64">
        <v>95.78</v>
      </c>
      <c r="N39" s="64">
        <v>0</v>
      </c>
      <c r="O39" s="64">
        <v>0</v>
      </c>
      <c r="P39" s="64">
        <v>0.27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7" t="s">
        <v>1233</v>
      </c>
      <c r="B40" s="64">
        <v>8.4</v>
      </c>
      <c r="C40" s="64">
        <v>3.44</v>
      </c>
      <c r="D40" s="64">
        <v>12.31</v>
      </c>
      <c r="E40" s="64">
        <v>4.28</v>
      </c>
      <c r="F40" s="64">
        <v>2.77</v>
      </c>
      <c r="G40" s="64">
        <v>36.369999999999997</v>
      </c>
      <c r="H40" s="64">
        <v>9.2899999999999991</v>
      </c>
      <c r="I40" s="64">
        <v>4.21</v>
      </c>
      <c r="J40" s="64">
        <v>0.21</v>
      </c>
      <c r="K40" s="64">
        <v>300.14999999999998</v>
      </c>
      <c r="L40" s="64">
        <v>24.95</v>
      </c>
      <c r="M40" s="64">
        <v>94.21</v>
      </c>
      <c r="N40" s="64">
        <v>0</v>
      </c>
      <c r="O40" s="64">
        <v>0</v>
      </c>
      <c r="P40" s="64">
        <v>0.27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7" t="s">
        <v>1234</v>
      </c>
      <c r="B41" s="64">
        <v>8.34</v>
      </c>
      <c r="C41" s="64">
        <v>3.3</v>
      </c>
      <c r="D41" s="64">
        <v>12.19</v>
      </c>
      <c r="E41" s="64">
        <v>4.82</v>
      </c>
      <c r="F41" s="64">
        <v>2.69</v>
      </c>
      <c r="G41" s="64">
        <v>39.799999999999997</v>
      </c>
      <c r="H41" s="64">
        <v>16.86</v>
      </c>
      <c r="I41" s="64">
        <v>4.09</v>
      </c>
      <c r="J41" s="64">
        <v>0.49</v>
      </c>
      <c r="K41" s="64">
        <v>1.21</v>
      </c>
      <c r="L41" s="64">
        <v>25.34</v>
      </c>
      <c r="M41" s="64">
        <v>92.31</v>
      </c>
      <c r="N41" s="64">
        <v>0</v>
      </c>
      <c r="O41" s="64">
        <v>0</v>
      </c>
      <c r="P41" s="64">
        <v>0.26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17" t="s">
        <v>1235</v>
      </c>
      <c r="B42" s="64">
        <v>8.31</v>
      </c>
      <c r="C42" s="64">
        <v>3.24</v>
      </c>
      <c r="D42" s="64">
        <v>12.13</v>
      </c>
      <c r="E42" s="64">
        <v>4.68</v>
      </c>
      <c r="F42" s="64">
        <v>3.86</v>
      </c>
      <c r="G42" s="64">
        <v>39.799999999999997</v>
      </c>
      <c r="H42" s="64">
        <v>16.86</v>
      </c>
      <c r="I42" s="64">
        <v>3.9</v>
      </c>
      <c r="J42" s="64">
        <v>0.4</v>
      </c>
      <c r="K42" s="64">
        <v>347.1</v>
      </c>
      <c r="L42" s="64">
        <v>25.6</v>
      </c>
      <c r="M42" s="64">
        <v>91.22</v>
      </c>
      <c r="N42" s="64">
        <v>0</v>
      </c>
      <c r="O42" s="64">
        <v>0</v>
      </c>
      <c r="P42" s="64">
        <v>0.26</v>
      </c>
      <c r="Q42" s="64">
        <v>9.31</v>
      </c>
      <c r="R42" s="198"/>
      <c r="S42" s="198"/>
      <c r="T42" s="198"/>
      <c r="U42" s="198"/>
    </row>
    <row r="43" spans="1:21" s="12" customFormat="1" x14ac:dyDescent="0.25">
      <c r="A43" s="217" t="s">
        <v>1236</v>
      </c>
      <c r="B43" s="64">
        <v>8.2799999999999994</v>
      </c>
      <c r="C43" s="64">
        <v>3.15</v>
      </c>
      <c r="D43" s="64">
        <v>12.06</v>
      </c>
      <c r="E43" s="64">
        <v>4.63</v>
      </c>
      <c r="F43" s="64">
        <v>4.59</v>
      </c>
      <c r="G43" s="64">
        <v>39.799999999999997</v>
      </c>
      <c r="H43" s="64">
        <v>16.86</v>
      </c>
      <c r="I43" s="64">
        <v>3.66</v>
      </c>
      <c r="J43" s="64">
        <v>0.02</v>
      </c>
      <c r="K43" s="64">
        <v>24.55</v>
      </c>
      <c r="L43" s="64">
        <v>25.45</v>
      </c>
      <c r="M43" s="64">
        <v>91.84</v>
      </c>
      <c r="N43" s="64">
        <v>0</v>
      </c>
      <c r="O43" s="64">
        <v>0</v>
      </c>
      <c r="P43" s="64">
        <v>0.27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7" t="s">
        <v>1237</v>
      </c>
      <c r="B44" s="64">
        <v>8.2799999999999994</v>
      </c>
      <c r="C44" s="64">
        <v>3.15</v>
      </c>
      <c r="D44" s="64">
        <v>12.06</v>
      </c>
      <c r="E44" s="64">
        <v>4.74</v>
      </c>
      <c r="F44" s="64">
        <v>2.57</v>
      </c>
      <c r="G44" s="64">
        <v>43.08</v>
      </c>
      <c r="H44" s="64">
        <v>14.29</v>
      </c>
      <c r="I44" s="64">
        <v>3.52</v>
      </c>
      <c r="J44" s="64">
        <v>0.25</v>
      </c>
      <c r="K44" s="64">
        <v>354.3</v>
      </c>
      <c r="L44" s="64">
        <v>25.74</v>
      </c>
      <c r="M44" s="64">
        <v>90.83</v>
      </c>
      <c r="N44" s="64">
        <v>135.1</v>
      </c>
      <c r="O44" s="64">
        <v>0</v>
      </c>
      <c r="P44" s="64">
        <v>0.26</v>
      </c>
      <c r="Q44" s="64">
        <v>9.23</v>
      </c>
      <c r="R44" s="198"/>
      <c r="S44" s="198"/>
      <c r="T44" s="198"/>
      <c r="U44" s="198"/>
    </row>
    <row r="45" spans="1:21" s="12" customFormat="1" x14ac:dyDescent="0.25">
      <c r="A45" s="217" t="s">
        <v>1238</v>
      </c>
      <c r="B45" s="64">
        <v>8.31</v>
      </c>
      <c r="C45" s="64">
        <v>3.23</v>
      </c>
      <c r="D45" s="64">
        <v>12.13</v>
      </c>
      <c r="E45" s="64">
        <v>4.8</v>
      </c>
      <c r="F45" s="64">
        <v>3.58</v>
      </c>
      <c r="G45" s="64">
        <v>46.83</v>
      </c>
      <c r="H45" s="64">
        <v>11.47</v>
      </c>
      <c r="I45" s="64">
        <v>3.43</v>
      </c>
      <c r="J45" s="64">
        <v>0.13</v>
      </c>
      <c r="K45" s="64">
        <v>7.2</v>
      </c>
      <c r="L45" s="64">
        <v>25.94</v>
      </c>
      <c r="M45" s="64">
        <v>89.69</v>
      </c>
      <c r="N45" s="64">
        <v>245.7</v>
      </c>
      <c r="O45" s="64">
        <v>0</v>
      </c>
      <c r="P45" s="64">
        <v>0.25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7" t="s">
        <v>1239</v>
      </c>
      <c r="B46" s="64">
        <v>8.34</v>
      </c>
      <c r="C46" s="64">
        <v>3.32</v>
      </c>
      <c r="D46" s="64">
        <v>12.19</v>
      </c>
      <c r="E46" s="64">
        <v>4.33</v>
      </c>
      <c r="F46" s="64">
        <v>4.0199999999999996</v>
      </c>
      <c r="G46" s="64">
        <v>46.83</v>
      </c>
      <c r="H46" s="64">
        <v>11.47</v>
      </c>
      <c r="I46" s="64">
        <v>3.13</v>
      </c>
      <c r="J46" s="64">
        <v>0.68</v>
      </c>
      <c r="K46" s="64">
        <v>359.71</v>
      </c>
      <c r="L46" s="64">
        <v>26.74</v>
      </c>
      <c r="M46" s="64">
        <v>83.72</v>
      </c>
      <c r="N46" s="64">
        <v>336.7</v>
      </c>
      <c r="O46" s="64">
        <v>0</v>
      </c>
      <c r="P46" s="64">
        <v>0.26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7" t="s">
        <v>1240</v>
      </c>
      <c r="B47" s="64">
        <v>8.3800000000000008</v>
      </c>
      <c r="C47" s="64">
        <v>3.39</v>
      </c>
      <c r="D47" s="64">
        <v>12.26</v>
      </c>
      <c r="E47" s="64">
        <v>4.2699999999999996</v>
      </c>
      <c r="F47" s="64">
        <v>4.47</v>
      </c>
      <c r="G47" s="64">
        <v>46.83</v>
      </c>
      <c r="H47" s="64">
        <v>11.47</v>
      </c>
      <c r="I47" s="64">
        <v>2.94</v>
      </c>
      <c r="J47" s="64">
        <v>0.51</v>
      </c>
      <c r="K47" s="64">
        <v>345.44</v>
      </c>
      <c r="L47" s="64">
        <v>27.42</v>
      </c>
      <c r="M47" s="64">
        <v>80.84</v>
      </c>
      <c r="N47" s="64">
        <v>345.4</v>
      </c>
      <c r="O47" s="64">
        <v>0</v>
      </c>
      <c r="P47" s="64">
        <v>0.27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7" t="s">
        <v>1241</v>
      </c>
      <c r="B48" s="64">
        <v>8.34</v>
      </c>
      <c r="C48" s="64">
        <v>3.29</v>
      </c>
      <c r="D48" s="64">
        <v>12.18</v>
      </c>
      <c r="E48" s="64">
        <v>4.6100000000000003</v>
      </c>
      <c r="F48" s="64">
        <v>4.3499999999999996</v>
      </c>
      <c r="G48" s="64">
        <v>43.03</v>
      </c>
      <c r="H48" s="64">
        <v>10.95</v>
      </c>
      <c r="I48" s="64">
        <v>2.8</v>
      </c>
      <c r="J48" s="64">
        <v>0.57999999999999996</v>
      </c>
      <c r="K48" s="64">
        <v>357.37</v>
      </c>
      <c r="L48" s="64">
        <v>27.92</v>
      </c>
      <c r="M48" s="64">
        <v>79.98</v>
      </c>
      <c r="N48" s="64">
        <v>415.3</v>
      </c>
      <c r="O48" s="64">
        <v>0</v>
      </c>
      <c r="P48" s="64">
        <v>0.28999999999999998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7" t="s">
        <v>1242</v>
      </c>
      <c r="B49" s="64">
        <v>8.36</v>
      </c>
      <c r="C49" s="64">
        <v>3.34</v>
      </c>
      <c r="D49" s="64">
        <v>12.23</v>
      </c>
      <c r="E49" s="64">
        <v>4.63</v>
      </c>
      <c r="F49" s="64">
        <v>4.6500000000000004</v>
      </c>
      <c r="G49" s="64">
        <v>38.69</v>
      </c>
      <c r="H49" s="64">
        <v>10.36</v>
      </c>
      <c r="I49" s="64">
        <v>2.6</v>
      </c>
      <c r="J49" s="64">
        <v>0.6</v>
      </c>
      <c r="K49" s="64">
        <v>4.3600000000000003</v>
      </c>
      <c r="L49" s="64">
        <v>28.22</v>
      </c>
      <c r="M49" s="64">
        <v>77.17</v>
      </c>
      <c r="N49" s="64">
        <v>596.4</v>
      </c>
      <c r="O49" s="64">
        <v>0</v>
      </c>
      <c r="P49" s="64">
        <v>0.3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7" t="s">
        <v>1243</v>
      </c>
      <c r="B50" s="64">
        <v>8.35</v>
      </c>
      <c r="C50" s="64">
        <v>3.31</v>
      </c>
      <c r="D50" s="64">
        <v>12.21</v>
      </c>
      <c r="E50" s="64">
        <v>4.7</v>
      </c>
      <c r="F50" s="64">
        <v>4.8899999999999997</v>
      </c>
      <c r="G50" s="64">
        <v>38.69</v>
      </c>
      <c r="H50" s="64">
        <v>10.36</v>
      </c>
      <c r="I50" s="64">
        <v>2.62</v>
      </c>
      <c r="J50" s="64">
        <v>0.61</v>
      </c>
      <c r="K50" s="64">
        <v>349.47</v>
      </c>
      <c r="L50" s="64">
        <v>28.29</v>
      </c>
      <c r="M50" s="64">
        <v>78.010000000000005</v>
      </c>
      <c r="N50" s="64">
        <v>522.70000000000005</v>
      </c>
      <c r="O50" s="64">
        <v>0</v>
      </c>
      <c r="P50" s="64">
        <v>0.31</v>
      </c>
      <c r="Q50" s="64">
        <v>9.2899999999999991</v>
      </c>
      <c r="R50" s="198"/>
      <c r="S50" s="198"/>
      <c r="T50" s="198"/>
      <c r="U50" s="198"/>
    </row>
    <row r="51" spans="1:21" s="12" customFormat="1" x14ac:dyDescent="0.25">
      <c r="A51" s="217" t="s">
        <v>1244</v>
      </c>
      <c r="B51" s="64">
        <v>8.34</v>
      </c>
      <c r="C51" s="64">
        <v>3.3</v>
      </c>
      <c r="D51" s="64">
        <v>12.18</v>
      </c>
      <c r="E51" s="64">
        <v>4.66</v>
      </c>
      <c r="F51" s="64">
        <v>7.1</v>
      </c>
      <c r="G51" s="64">
        <v>38.69</v>
      </c>
      <c r="H51" s="64">
        <v>10.36</v>
      </c>
      <c r="I51" s="64">
        <v>2.5299999999999998</v>
      </c>
      <c r="J51" s="64">
        <v>0.68</v>
      </c>
      <c r="K51" s="64">
        <v>348.82</v>
      </c>
      <c r="L51" s="64">
        <v>28.41</v>
      </c>
      <c r="M51" s="64">
        <v>77.41</v>
      </c>
      <c r="N51" s="64">
        <v>586.29999999999995</v>
      </c>
      <c r="O51" s="64">
        <v>0</v>
      </c>
      <c r="P51" s="64">
        <v>0.31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17" t="s">
        <v>1245</v>
      </c>
      <c r="B52" s="64">
        <v>8.32</v>
      </c>
      <c r="C52" s="64">
        <v>3.27</v>
      </c>
      <c r="D52" s="64">
        <v>12.16</v>
      </c>
      <c r="E52" s="64">
        <v>4.3600000000000003</v>
      </c>
      <c r="F52" s="64">
        <v>7</v>
      </c>
      <c r="G52" s="64">
        <v>33.729999999999997</v>
      </c>
      <c r="H52" s="64">
        <v>9.75</v>
      </c>
      <c r="I52" s="64">
        <v>2.2999999999999998</v>
      </c>
      <c r="J52" s="64">
        <v>0.7</v>
      </c>
      <c r="K52" s="64">
        <v>5.13</v>
      </c>
      <c r="L52" s="64">
        <v>29</v>
      </c>
      <c r="M52" s="64">
        <v>74.94</v>
      </c>
      <c r="N52" s="64">
        <v>636.9</v>
      </c>
      <c r="O52" s="64">
        <v>0</v>
      </c>
      <c r="P52" s="64">
        <v>0.31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7" t="s">
        <v>1246</v>
      </c>
      <c r="B53" s="64">
        <v>8.2899999999999991</v>
      </c>
      <c r="C53" s="64">
        <v>3.26</v>
      </c>
      <c r="D53" s="64">
        <v>12.13</v>
      </c>
      <c r="E53" s="64">
        <v>4.24</v>
      </c>
      <c r="F53" s="64">
        <v>7.1</v>
      </c>
      <c r="G53" s="64">
        <v>17.07</v>
      </c>
      <c r="H53" s="64">
        <v>7.26</v>
      </c>
      <c r="I53" s="64">
        <v>1.98</v>
      </c>
      <c r="J53" s="64">
        <v>0.62</v>
      </c>
      <c r="K53" s="64">
        <v>0.71</v>
      </c>
      <c r="L53" s="64">
        <v>28.56</v>
      </c>
      <c r="M53" s="64">
        <v>76.03</v>
      </c>
      <c r="N53" s="64">
        <v>830</v>
      </c>
      <c r="O53" s="64">
        <v>0</v>
      </c>
      <c r="P53" s="64">
        <v>0.32</v>
      </c>
      <c r="Q53" s="64">
        <v>9.26</v>
      </c>
      <c r="R53" s="198"/>
      <c r="S53" s="198"/>
      <c r="T53" s="198"/>
      <c r="U53" s="198"/>
    </row>
    <row r="54" spans="1:21" s="12" customFormat="1" x14ac:dyDescent="0.25">
      <c r="A54" s="217" t="s">
        <v>1247</v>
      </c>
      <c r="B54" s="64">
        <v>8.3000000000000007</v>
      </c>
      <c r="C54" s="64">
        <v>3.18</v>
      </c>
      <c r="D54" s="64">
        <v>12.09</v>
      </c>
      <c r="E54" s="64">
        <v>4.5</v>
      </c>
      <c r="F54" s="64">
        <v>7.23</v>
      </c>
      <c r="G54" s="64">
        <v>17.07</v>
      </c>
      <c r="H54" s="64">
        <v>7.26</v>
      </c>
      <c r="I54" s="64">
        <v>1.8</v>
      </c>
      <c r="J54" s="64">
        <v>0.63</v>
      </c>
      <c r="K54" s="64">
        <v>353.92</v>
      </c>
      <c r="L54" s="64">
        <v>29.32</v>
      </c>
      <c r="M54" s="64">
        <v>74.17</v>
      </c>
      <c r="N54" s="64">
        <v>349.8</v>
      </c>
      <c r="O54" s="64">
        <v>0</v>
      </c>
      <c r="P54" s="64">
        <v>0.28999999999999998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7" t="s">
        <v>1248</v>
      </c>
      <c r="B55" s="64">
        <v>8.2899999999999991</v>
      </c>
      <c r="C55" s="64">
        <v>3.17</v>
      </c>
      <c r="D55" s="64">
        <v>12.08</v>
      </c>
      <c r="E55" s="64">
        <v>4.68</v>
      </c>
      <c r="F55" s="64">
        <v>6.44</v>
      </c>
      <c r="G55" s="64">
        <v>17.07</v>
      </c>
      <c r="H55" s="64">
        <v>7.26</v>
      </c>
      <c r="I55" s="64">
        <v>1.6</v>
      </c>
      <c r="J55" s="64">
        <v>0.52</v>
      </c>
      <c r="K55" s="64">
        <v>334.35</v>
      </c>
      <c r="L55" s="64">
        <v>29.6</v>
      </c>
      <c r="M55" s="64">
        <v>75.12</v>
      </c>
      <c r="N55" s="64">
        <v>343.5</v>
      </c>
      <c r="O55" s="64">
        <v>0</v>
      </c>
      <c r="P55" s="64">
        <v>0.28999999999999998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7" t="s">
        <v>1249</v>
      </c>
      <c r="B56" s="64">
        <v>8.2899999999999991</v>
      </c>
      <c r="C56" s="64">
        <v>3.18</v>
      </c>
      <c r="D56" s="64">
        <v>12.08</v>
      </c>
      <c r="E56" s="64">
        <v>2.89</v>
      </c>
      <c r="F56" s="64">
        <v>5.44</v>
      </c>
      <c r="G56" s="64">
        <v>17.07</v>
      </c>
      <c r="H56" s="64">
        <v>7.26</v>
      </c>
      <c r="I56" s="64">
        <v>1.37</v>
      </c>
      <c r="J56" s="64">
        <v>0.4</v>
      </c>
      <c r="K56" s="64">
        <v>346.23</v>
      </c>
      <c r="L56" s="64">
        <v>30.02</v>
      </c>
      <c r="M56" s="64">
        <v>72.58</v>
      </c>
      <c r="N56" s="64">
        <v>573.6</v>
      </c>
      <c r="O56" s="64">
        <v>0</v>
      </c>
      <c r="P56" s="64">
        <v>0.31</v>
      </c>
      <c r="Q56" s="64">
        <v>9.26</v>
      </c>
      <c r="R56" s="198"/>
      <c r="S56" s="198"/>
      <c r="T56" s="198"/>
      <c r="U56" s="198"/>
    </row>
    <row r="57" spans="1:21" s="12" customFormat="1" x14ac:dyDescent="0.25">
      <c r="A57" s="217" t="s">
        <v>1250</v>
      </c>
      <c r="B57" s="64">
        <v>8.3000000000000007</v>
      </c>
      <c r="C57" s="64">
        <v>3.25</v>
      </c>
      <c r="D57" s="64">
        <v>12.13</v>
      </c>
      <c r="E57" s="64">
        <v>3.35</v>
      </c>
      <c r="F57" s="64">
        <v>3.49</v>
      </c>
      <c r="G57" s="64">
        <v>17.07</v>
      </c>
      <c r="H57" s="64">
        <v>7.26</v>
      </c>
      <c r="I57" s="64">
        <v>1.35</v>
      </c>
      <c r="J57" s="64">
        <v>0.65</v>
      </c>
      <c r="K57" s="64">
        <v>339.84</v>
      </c>
      <c r="L57" s="64">
        <v>30.03</v>
      </c>
      <c r="M57" s="64">
        <v>71.260000000000005</v>
      </c>
      <c r="N57" s="64">
        <v>305.2</v>
      </c>
      <c r="O57" s="64">
        <v>0</v>
      </c>
      <c r="P57" s="64">
        <v>0.3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7" t="s">
        <v>1251</v>
      </c>
      <c r="B58" s="64">
        <v>8.31</v>
      </c>
      <c r="C58" s="64">
        <v>3.27</v>
      </c>
      <c r="D58" s="64">
        <v>12.14</v>
      </c>
      <c r="E58" s="64">
        <v>3.62</v>
      </c>
      <c r="F58" s="64">
        <v>5.8</v>
      </c>
      <c r="G58" s="64">
        <v>17.07</v>
      </c>
      <c r="H58" s="64">
        <v>7.26</v>
      </c>
      <c r="I58" s="64">
        <v>1.4</v>
      </c>
      <c r="J58" s="64">
        <v>0.8</v>
      </c>
      <c r="K58" s="64">
        <v>355.88</v>
      </c>
      <c r="L58" s="64">
        <v>27.79</v>
      </c>
      <c r="M58" s="64">
        <v>78.31</v>
      </c>
      <c r="N58" s="64">
        <v>109.3</v>
      </c>
      <c r="O58" s="64">
        <v>0</v>
      </c>
      <c r="P58" s="64">
        <v>0.3</v>
      </c>
      <c r="Q58" s="64">
        <v>9.23</v>
      </c>
      <c r="R58" s="198"/>
      <c r="S58" s="198"/>
      <c r="T58" s="198"/>
      <c r="U58" s="198"/>
    </row>
    <row r="59" spans="1:21" s="12" customFormat="1" x14ac:dyDescent="0.25">
      <c r="A59" s="217" t="s">
        <v>1252</v>
      </c>
      <c r="B59" s="64">
        <v>8.33</v>
      </c>
      <c r="C59" s="64">
        <v>3.31</v>
      </c>
      <c r="D59" s="64">
        <v>12.18</v>
      </c>
      <c r="E59" s="64">
        <v>3.48</v>
      </c>
      <c r="F59" s="64">
        <v>4.99</v>
      </c>
      <c r="G59" s="64">
        <v>17.07</v>
      </c>
      <c r="H59" s="64">
        <v>7.26</v>
      </c>
      <c r="I59" s="64">
        <v>1.37</v>
      </c>
      <c r="J59" s="64">
        <v>0.76</v>
      </c>
      <c r="K59" s="64">
        <v>351.7</v>
      </c>
      <c r="L59" s="64">
        <v>25.42</v>
      </c>
      <c r="M59" s="64">
        <v>91.75</v>
      </c>
      <c r="N59" s="64">
        <v>286.2</v>
      </c>
      <c r="O59" s="64">
        <v>0.2</v>
      </c>
      <c r="P59" s="64">
        <v>0.28999999999999998</v>
      </c>
      <c r="Q59" s="64">
        <v>9.25</v>
      </c>
      <c r="R59" s="198"/>
      <c r="S59" s="198"/>
      <c r="T59" s="198"/>
      <c r="U59" s="198"/>
    </row>
    <row r="60" spans="1:21" s="12" customFormat="1" x14ac:dyDescent="0.25">
      <c r="A60" s="217" t="s">
        <v>1253</v>
      </c>
      <c r="B60" s="64">
        <v>8.33</v>
      </c>
      <c r="C60" s="64">
        <v>3.3</v>
      </c>
      <c r="D60" s="64">
        <v>12.18</v>
      </c>
      <c r="E60" s="64">
        <v>3.59</v>
      </c>
      <c r="F60" s="64">
        <v>6.26</v>
      </c>
      <c r="G60" s="64">
        <v>17.07</v>
      </c>
      <c r="H60" s="64">
        <v>7.26</v>
      </c>
      <c r="I60" s="64">
        <v>1.32</v>
      </c>
      <c r="J60" s="64">
        <v>0.62</v>
      </c>
      <c r="K60" s="64">
        <v>5.84</v>
      </c>
      <c r="L60" s="64">
        <v>25.1</v>
      </c>
      <c r="M60" s="64">
        <v>92.31</v>
      </c>
      <c r="N60" s="64">
        <v>349.9</v>
      </c>
      <c r="O60" s="64">
        <v>0</v>
      </c>
      <c r="P60" s="64">
        <v>0.27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7" t="s">
        <v>1254</v>
      </c>
      <c r="B61" s="64">
        <v>8.33</v>
      </c>
      <c r="C61" s="64">
        <v>3.3</v>
      </c>
      <c r="D61" s="64">
        <v>12.18</v>
      </c>
      <c r="E61" s="64">
        <v>3.52</v>
      </c>
      <c r="F61" s="64">
        <v>5.46</v>
      </c>
      <c r="G61" s="64">
        <v>17.07</v>
      </c>
      <c r="H61" s="64">
        <v>7.26</v>
      </c>
      <c r="I61" s="64">
        <v>1.22</v>
      </c>
      <c r="J61" s="64">
        <v>0.5</v>
      </c>
      <c r="K61" s="64">
        <v>355.87</v>
      </c>
      <c r="L61" s="64">
        <v>26.16</v>
      </c>
      <c r="M61" s="64">
        <v>86.23</v>
      </c>
      <c r="N61" s="64">
        <v>773.2</v>
      </c>
      <c r="O61" s="64">
        <v>0</v>
      </c>
      <c r="P61" s="64">
        <v>0.31</v>
      </c>
      <c r="Q61" s="64">
        <v>9.27</v>
      </c>
      <c r="R61" s="198"/>
      <c r="S61" s="198"/>
      <c r="T61" s="198"/>
      <c r="U61" s="198"/>
    </row>
    <row r="62" spans="1:21" s="12" customFormat="1" x14ac:dyDescent="0.25">
      <c r="A62" s="217" t="s">
        <v>1255</v>
      </c>
      <c r="B62" s="64">
        <v>8.36</v>
      </c>
      <c r="C62" s="64">
        <v>3.39</v>
      </c>
      <c r="D62" s="64">
        <v>12.25</v>
      </c>
      <c r="E62" s="64">
        <v>3.77</v>
      </c>
      <c r="F62" s="64">
        <v>6.24</v>
      </c>
      <c r="G62" s="64">
        <v>17.07</v>
      </c>
      <c r="H62" s="64">
        <v>7.26</v>
      </c>
      <c r="I62" s="64">
        <v>1.2</v>
      </c>
      <c r="J62" s="64">
        <v>0.3</v>
      </c>
      <c r="K62" s="64">
        <v>359.02</v>
      </c>
      <c r="L62" s="64">
        <v>27.18</v>
      </c>
      <c r="M62" s="64">
        <v>81.680000000000007</v>
      </c>
      <c r="N62" s="64">
        <v>853.8</v>
      </c>
      <c r="O62" s="64">
        <v>0</v>
      </c>
      <c r="P62" s="64">
        <v>0.32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7" t="s">
        <v>1256</v>
      </c>
      <c r="B63" s="64">
        <v>8.33</v>
      </c>
      <c r="C63" s="64">
        <v>3.26</v>
      </c>
      <c r="D63" s="64">
        <v>12.16</v>
      </c>
      <c r="E63" s="64">
        <v>3.77</v>
      </c>
      <c r="F63" s="64">
        <v>4.63</v>
      </c>
      <c r="G63" s="64">
        <v>10.43</v>
      </c>
      <c r="H63" s="64">
        <v>4.43</v>
      </c>
      <c r="I63" s="64">
        <v>1.1000000000000001</v>
      </c>
      <c r="J63" s="64">
        <v>0.69</v>
      </c>
      <c r="K63" s="64">
        <v>358.17</v>
      </c>
      <c r="L63" s="64">
        <v>27.85</v>
      </c>
      <c r="M63" s="64">
        <v>77.819999999999993</v>
      </c>
      <c r="N63" s="64">
        <v>832.7</v>
      </c>
      <c r="O63" s="64">
        <v>0</v>
      </c>
      <c r="P63" s="64">
        <v>0.32</v>
      </c>
      <c r="Q63" s="64">
        <v>9.23</v>
      </c>
      <c r="R63" s="198"/>
      <c r="S63" s="198"/>
      <c r="T63" s="198"/>
      <c r="U63" s="198"/>
    </row>
    <row r="64" spans="1:21" s="12" customFormat="1" x14ac:dyDescent="0.25">
      <c r="A64" s="217" t="s">
        <v>1257</v>
      </c>
      <c r="B64" s="64">
        <v>8.2799999999999994</v>
      </c>
      <c r="C64" s="64">
        <v>3.21</v>
      </c>
      <c r="D64" s="64">
        <v>12.09</v>
      </c>
      <c r="E64" s="64">
        <v>3.54</v>
      </c>
      <c r="F64" s="64">
        <v>6.74</v>
      </c>
      <c r="G64" s="212" t="s">
        <v>40</v>
      </c>
      <c r="H64" s="212" t="s">
        <v>40</v>
      </c>
      <c r="I64" s="64">
        <v>1.05</v>
      </c>
      <c r="J64" s="64">
        <v>0.61</v>
      </c>
      <c r="K64" s="64">
        <v>344.71</v>
      </c>
      <c r="L64" s="64">
        <v>28.53</v>
      </c>
      <c r="M64" s="64">
        <v>75.069999999999993</v>
      </c>
      <c r="N64" s="64">
        <v>694.5</v>
      </c>
      <c r="O64" s="64">
        <v>0</v>
      </c>
      <c r="P64" s="64">
        <v>0.33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7" t="s">
        <v>1258</v>
      </c>
      <c r="B65" s="64">
        <v>8.33</v>
      </c>
      <c r="C65" s="64">
        <v>3.28</v>
      </c>
      <c r="D65" s="64">
        <v>12.16</v>
      </c>
      <c r="E65" s="64">
        <v>3.61</v>
      </c>
      <c r="F65" s="64">
        <v>8.23</v>
      </c>
      <c r="G65" s="212" t="s">
        <v>40</v>
      </c>
      <c r="H65" s="212" t="s">
        <v>40</v>
      </c>
      <c r="I65" s="64">
        <v>1.08</v>
      </c>
      <c r="J65" s="64">
        <v>0.44</v>
      </c>
      <c r="K65" s="64">
        <v>347.89</v>
      </c>
      <c r="L65" s="64">
        <v>28.6</v>
      </c>
      <c r="M65" s="64">
        <v>73.81</v>
      </c>
      <c r="N65" s="64">
        <v>714.1</v>
      </c>
      <c r="O65" s="64">
        <v>0</v>
      </c>
      <c r="P65" s="64">
        <v>0.33</v>
      </c>
      <c r="Q65" s="64">
        <v>9.24</v>
      </c>
      <c r="R65" s="198"/>
      <c r="S65" s="198"/>
      <c r="T65" s="198"/>
      <c r="U65" s="198"/>
    </row>
    <row r="66" spans="1:21" s="12" customFormat="1" x14ac:dyDescent="0.25">
      <c r="A66" s="217" t="s">
        <v>1259</v>
      </c>
      <c r="B66" s="64">
        <v>8.33</v>
      </c>
      <c r="C66" s="64">
        <v>3.29</v>
      </c>
      <c r="D66" s="64">
        <v>12.17</v>
      </c>
      <c r="E66" s="64">
        <v>3.98</v>
      </c>
      <c r="F66" s="64">
        <v>7.25</v>
      </c>
      <c r="G66" s="212" t="s">
        <v>40</v>
      </c>
      <c r="H66" s="212" t="s">
        <v>40</v>
      </c>
      <c r="I66" s="64">
        <v>1.08</v>
      </c>
      <c r="J66" s="64">
        <v>0.48</v>
      </c>
      <c r="K66" s="64">
        <v>352.45</v>
      </c>
      <c r="L66" s="64">
        <v>28.16</v>
      </c>
      <c r="M66" s="64">
        <v>74.680000000000007</v>
      </c>
      <c r="N66" s="64">
        <v>440.9</v>
      </c>
      <c r="O66" s="64">
        <v>0</v>
      </c>
      <c r="P66" s="64">
        <v>0.32</v>
      </c>
      <c r="Q66" s="64">
        <v>9.25</v>
      </c>
      <c r="R66" s="198"/>
      <c r="S66" s="198"/>
      <c r="T66" s="198"/>
      <c r="U66" s="198"/>
    </row>
    <row r="67" spans="1:21" s="12" customFormat="1" x14ac:dyDescent="0.25">
      <c r="A67" s="217" t="s">
        <v>1260</v>
      </c>
      <c r="B67" s="64">
        <v>8.33</v>
      </c>
      <c r="C67" s="64">
        <v>3.22</v>
      </c>
      <c r="D67" s="64">
        <v>12.14</v>
      </c>
      <c r="E67" s="64">
        <v>3.17</v>
      </c>
      <c r="F67" s="64">
        <v>6.85</v>
      </c>
      <c r="G67" s="64">
        <v>32.67</v>
      </c>
      <c r="H67" s="64">
        <v>4.5199999999999996</v>
      </c>
      <c r="I67" s="64">
        <v>1.06</v>
      </c>
      <c r="J67" s="64">
        <v>0.28000000000000003</v>
      </c>
      <c r="K67" s="64">
        <v>343.72</v>
      </c>
      <c r="L67" s="64">
        <v>27.98</v>
      </c>
      <c r="M67" s="64">
        <v>74.91</v>
      </c>
      <c r="N67" s="64">
        <v>229.7</v>
      </c>
      <c r="O67" s="64">
        <v>0</v>
      </c>
      <c r="P67" s="64">
        <v>0.33</v>
      </c>
      <c r="Q67" s="64">
        <v>9.26</v>
      </c>
      <c r="R67" s="198"/>
      <c r="S67" s="198"/>
      <c r="T67" s="198"/>
      <c r="U67" s="198"/>
    </row>
    <row r="68" spans="1:21" s="12" customFormat="1" x14ac:dyDescent="0.25">
      <c r="A68" s="217" t="s">
        <v>1261</v>
      </c>
      <c r="B68" s="64">
        <v>8.33</v>
      </c>
      <c r="C68" s="64">
        <v>3.22</v>
      </c>
      <c r="D68" s="64">
        <v>12.14</v>
      </c>
      <c r="E68" s="64">
        <v>3.21</v>
      </c>
      <c r="F68" s="64">
        <v>6.12</v>
      </c>
      <c r="G68" s="64">
        <v>81.66</v>
      </c>
      <c r="H68" s="64">
        <v>11.3</v>
      </c>
      <c r="I68" s="64">
        <v>1.01</v>
      </c>
      <c r="J68" s="64">
        <v>0.31</v>
      </c>
      <c r="K68" s="64">
        <v>347.71</v>
      </c>
      <c r="L68" s="64">
        <v>28.17</v>
      </c>
      <c r="M68" s="64">
        <v>73.959999999999994</v>
      </c>
      <c r="N68" s="64">
        <v>212.6</v>
      </c>
      <c r="O68" s="64">
        <v>0</v>
      </c>
      <c r="P68" s="64">
        <v>0.32</v>
      </c>
      <c r="Q68" s="64">
        <v>9.25</v>
      </c>
      <c r="R68" s="198"/>
      <c r="S68" s="198"/>
      <c r="T68" s="198"/>
      <c r="U68" s="198"/>
    </row>
    <row r="69" spans="1:21" s="12" customFormat="1" x14ac:dyDescent="0.25">
      <c r="A69" s="217" t="s">
        <v>1262</v>
      </c>
      <c r="B69" s="64">
        <v>8.32</v>
      </c>
      <c r="C69" s="64">
        <v>3.2</v>
      </c>
      <c r="D69" s="64">
        <v>12.12</v>
      </c>
      <c r="E69" s="64">
        <v>3.17</v>
      </c>
      <c r="F69" s="64">
        <v>5.67</v>
      </c>
      <c r="G69" s="64">
        <v>81.66</v>
      </c>
      <c r="H69" s="64">
        <v>11.3</v>
      </c>
      <c r="I69" s="64">
        <v>1</v>
      </c>
      <c r="J69" s="64">
        <v>0.56999999999999995</v>
      </c>
      <c r="K69" s="64">
        <v>357.65</v>
      </c>
      <c r="L69" s="64">
        <v>28.37</v>
      </c>
      <c r="M69" s="64">
        <v>73.75</v>
      </c>
      <c r="N69" s="64">
        <v>238.8</v>
      </c>
      <c r="O69" s="64">
        <v>0</v>
      </c>
      <c r="P69" s="64">
        <v>0.33</v>
      </c>
      <c r="Q69" s="64">
        <v>9.24</v>
      </c>
      <c r="R69" s="198"/>
      <c r="S69" s="198"/>
      <c r="T69" s="198"/>
      <c r="U69" s="198"/>
    </row>
    <row r="70" spans="1:21" s="12" customFormat="1" x14ac:dyDescent="0.25">
      <c r="A70" s="217" t="s">
        <v>1263</v>
      </c>
      <c r="B70" s="64">
        <v>8.33</v>
      </c>
      <c r="C70" s="64">
        <v>3.24</v>
      </c>
      <c r="D70" s="64">
        <v>12.14</v>
      </c>
      <c r="E70" s="64">
        <v>3</v>
      </c>
      <c r="F70" s="64">
        <v>5.69</v>
      </c>
      <c r="G70" s="64">
        <v>81.66</v>
      </c>
      <c r="H70" s="64">
        <v>11.3</v>
      </c>
      <c r="I70" s="64">
        <v>1.04</v>
      </c>
      <c r="J70" s="64">
        <v>0.55000000000000004</v>
      </c>
      <c r="K70" s="64">
        <v>344.54</v>
      </c>
      <c r="L70" s="64">
        <v>29.09</v>
      </c>
      <c r="M70" s="64">
        <v>69.69</v>
      </c>
      <c r="N70" s="64">
        <v>334.2</v>
      </c>
      <c r="O70" s="64">
        <v>0</v>
      </c>
      <c r="P70" s="64">
        <v>0.33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7" t="s">
        <v>1264</v>
      </c>
      <c r="B71" s="64">
        <v>8.33</v>
      </c>
      <c r="C71" s="64">
        <v>3.21</v>
      </c>
      <c r="D71" s="64">
        <v>12.13</v>
      </c>
      <c r="E71" s="64">
        <v>3.22</v>
      </c>
      <c r="F71" s="64">
        <v>6.32</v>
      </c>
      <c r="G71" s="64">
        <v>72.12</v>
      </c>
      <c r="H71" s="64">
        <v>10.9</v>
      </c>
      <c r="I71" s="64">
        <v>1.06</v>
      </c>
      <c r="J71" s="64">
        <v>0.57999999999999996</v>
      </c>
      <c r="K71" s="64">
        <v>356.42</v>
      </c>
      <c r="L71" s="64">
        <v>29.26</v>
      </c>
      <c r="M71" s="64">
        <v>68.94</v>
      </c>
      <c r="N71" s="64">
        <v>166.9</v>
      </c>
      <c r="O71" s="64">
        <v>0</v>
      </c>
      <c r="P71" s="64">
        <v>0.34</v>
      </c>
      <c r="Q71" s="64">
        <v>9.2799999999999994</v>
      </c>
      <c r="R71" s="198"/>
      <c r="S71" s="198"/>
      <c r="T71" s="198"/>
      <c r="U71" s="198"/>
    </row>
    <row r="72" spans="1:21" s="12" customFormat="1" x14ac:dyDescent="0.25">
      <c r="A72" s="217" t="s">
        <v>1265</v>
      </c>
      <c r="B72" s="64">
        <v>8.32</v>
      </c>
      <c r="C72" s="64">
        <v>3.23</v>
      </c>
      <c r="D72" s="64">
        <v>12.13</v>
      </c>
      <c r="E72" s="64">
        <v>3.94</v>
      </c>
      <c r="F72" s="64">
        <v>5.78</v>
      </c>
      <c r="G72" s="64">
        <v>57.82</v>
      </c>
      <c r="H72" s="64">
        <v>10.32</v>
      </c>
      <c r="I72" s="64">
        <v>1.05</v>
      </c>
      <c r="J72" s="64">
        <v>0.57999999999999996</v>
      </c>
      <c r="K72" s="64">
        <v>3.74</v>
      </c>
      <c r="L72" s="64">
        <v>28.87</v>
      </c>
      <c r="M72" s="64">
        <v>71.25</v>
      </c>
      <c r="N72" s="64">
        <v>183.8</v>
      </c>
      <c r="O72" s="64">
        <v>0</v>
      </c>
      <c r="P72" s="64">
        <v>0.36</v>
      </c>
      <c r="Q72" s="64">
        <v>9.2899999999999991</v>
      </c>
      <c r="R72" s="198"/>
      <c r="S72" s="198"/>
      <c r="T72" s="198"/>
      <c r="U72" s="198"/>
    </row>
    <row r="73" spans="1:21" s="12" customFormat="1" x14ac:dyDescent="0.25">
      <c r="A73" s="217" t="s">
        <v>1266</v>
      </c>
      <c r="B73" s="64">
        <v>8.2899999999999991</v>
      </c>
      <c r="C73" s="64">
        <v>3.2</v>
      </c>
      <c r="D73" s="64">
        <v>12.09</v>
      </c>
      <c r="E73" s="64">
        <v>3.58</v>
      </c>
      <c r="F73" s="64">
        <v>5.12</v>
      </c>
      <c r="G73" s="64">
        <v>57.82</v>
      </c>
      <c r="H73" s="64">
        <v>10.32</v>
      </c>
      <c r="I73" s="64">
        <v>1.06</v>
      </c>
      <c r="J73" s="64">
        <v>0.71</v>
      </c>
      <c r="K73" s="64">
        <v>7.55</v>
      </c>
      <c r="L73" s="64">
        <v>28.64</v>
      </c>
      <c r="M73" s="64">
        <v>72.209999999999994</v>
      </c>
      <c r="N73" s="64">
        <v>148.9</v>
      </c>
      <c r="O73" s="64">
        <v>0</v>
      </c>
      <c r="P73" s="64">
        <v>0.36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7" t="s">
        <v>1267</v>
      </c>
      <c r="B74" s="64">
        <v>8.2899999999999991</v>
      </c>
      <c r="C74" s="64">
        <v>3.19</v>
      </c>
      <c r="D74" s="64">
        <v>12.09</v>
      </c>
      <c r="E74" s="64">
        <v>3.19</v>
      </c>
      <c r="F74" s="64">
        <v>5.38</v>
      </c>
      <c r="G74" s="64">
        <v>57.82</v>
      </c>
      <c r="H74" s="64">
        <v>10.32</v>
      </c>
      <c r="I74" s="64">
        <v>1.0900000000000001</v>
      </c>
      <c r="J74" s="64">
        <v>0.61</v>
      </c>
      <c r="K74" s="64">
        <v>357.57</v>
      </c>
      <c r="L74" s="64">
        <v>28.72</v>
      </c>
      <c r="M74" s="64">
        <v>72.61</v>
      </c>
      <c r="N74" s="64">
        <v>115.3</v>
      </c>
      <c r="O74" s="64">
        <v>0</v>
      </c>
      <c r="P74" s="64">
        <v>0.37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7" t="s">
        <v>1268</v>
      </c>
      <c r="B75" s="64">
        <v>8.2799999999999994</v>
      </c>
      <c r="C75" s="64">
        <v>3.19</v>
      </c>
      <c r="D75" s="64">
        <v>12.08</v>
      </c>
      <c r="E75" s="64">
        <v>3.42</v>
      </c>
      <c r="F75" s="64">
        <v>4.88</v>
      </c>
      <c r="G75" s="64">
        <v>54.66</v>
      </c>
      <c r="H75" s="64">
        <v>9.3000000000000007</v>
      </c>
      <c r="I75" s="64">
        <v>1.0900000000000001</v>
      </c>
      <c r="J75" s="64">
        <v>0.73</v>
      </c>
      <c r="K75" s="64">
        <v>24.53</v>
      </c>
      <c r="L75" s="64">
        <v>28.81</v>
      </c>
      <c r="M75" s="64">
        <v>71.75</v>
      </c>
      <c r="N75" s="64">
        <v>116.9</v>
      </c>
      <c r="O75" s="64">
        <v>0</v>
      </c>
      <c r="P75" s="64">
        <v>0.38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7" t="s">
        <v>1269</v>
      </c>
      <c r="B76" s="64">
        <v>8.2899999999999991</v>
      </c>
      <c r="C76" s="64">
        <v>3.18</v>
      </c>
      <c r="D76" s="64">
        <v>12.08</v>
      </c>
      <c r="E76" s="64">
        <v>3.16</v>
      </c>
      <c r="F76" s="64">
        <v>5.81</v>
      </c>
      <c r="G76" s="64">
        <v>50.15</v>
      </c>
      <c r="H76" s="64">
        <v>7.85</v>
      </c>
      <c r="I76" s="64">
        <v>1.1599999999999999</v>
      </c>
      <c r="J76" s="64">
        <v>0.67</v>
      </c>
      <c r="K76" s="64">
        <v>6.96</v>
      </c>
      <c r="L76" s="64">
        <v>28.94</v>
      </c>
      <c r="M76" s="64">
        <v>70.75</v>
      </c>
      <c r="N76" s="64">
        <v>146.4</v>
      </c>
      <c r="O76" s="64">
        <v>0</v>
      </c>
      <c r="P76" s="64">
        <v>0.4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7" t="s">
        <v>1270</v>
      </c>
      <c r="B77" s="64">
        <v>8.2799999999999994</v>
      </c>
      <c r="C77" s="64">
        <v>3.21</v>
      </c>
      <c r="D77" s="64">
        <v>12.09</v>
      </c>
      <c r="E77" s="64">
        <v>3.69</v>
      </c>
      <c r="F77" s="64">
        <v>3.81</v>
      </c>
      <c r="G77" s="64">
        <v>50.15</v>
      </c>
      <c r="H77" s="64">
        <v>7.85</v>
      </c>
      <c r="I77" s="64">
        <v>1.26</v>
      </c>
      <c r="J77" s="64">
        <v>0.65</v>
      </c>
      <c r="K77" s="64">
        <v>13.55</v>
      </c>
      <c r="L77" s="64">
        <v>29.14</v>
      </c>
      <c r="M77" s="64">
        <v>69.98</v>
      </c>
      <c r="N77" s="64">
        <v>118.8</v>
      </c>
      <c r="O77" s="64">
        <v>0</v>
      </c>
      <c r="P77" s="64">
        <v>0.4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7" t="s">
        <v>1271</v>
      </c>
      <c r="B78" s="64">
        <v>8.2799999999999994</v>
      </c>
      <c r="C78" s="64">
        <v>3.24</v>
      </c>
      <c r="D78" s="64">
        <v>12.11</v>
      </c>
      <c r="E78" s="64">
        <v>3.58</v>
      </c>
      <c r="F78" s="64">
        <v>4.42</v>
      </c>
      <c r="G78" s="64">
        <v>50.15</v>
      </c>
      <c r="H78" s="64">
        <v>7.85</v>
      </c>
      <c r="I78" s="64">
        <v>1.23</v>
      </c>
      <c r="J78" s="64">
        <v>0.64</v>
      </c>
      <c r="K78" s="64">
        <v>25.51</v>
      </c>
      <c r="L78" s="64">
        <v>28.98</v>
      </c>
      <c r="M78" s="64">
        <v>71.3</v>
      </c>
      <c r="N78" s="64">
        <v>87.3</v>
      </c>
      <c r="O78" s="64">
        <v>0</v>
      </c>
      <c r="P78" s="64">
        <v>0.41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7" t="s">
        <v>1272</v>
      </c>
      <c r="B79" s="64">
        <v>8.2899999999999991</v>
      </c>
      <c r="C79" s="64">
        <v>3.22</v>
      </c>
      <c r="D79" s="64">
        <v>12.1</v>
      </c>
      <c r="E79" s="64">
        <v>3.42</v>
      </c>
      <c r="F79" s="64">
        <v>4.43</v>
      </c>
      <c r="G79" s="64">
        <v>48.64</v>
      </c>
      <c r="H79" s="64">
        <v>9.3800000000000008</v>
      </c>
      <c r="I79" s="64">
        <v>1.19</v>
      </c>
      <c r="J79" s="64">
        <v>0.76</v>
      </c>
      <c r="K79" s="64">
        <v>17.13</v>
      </c>
      <c r="L79" s="64">
        <v>28.71</v>
      </c>
      <c r="M79" s="64">
        <v>72.400000000000006</v>
      </c>
      <c r="N79" s="64">
        <v>66.900000000000006</v>
      </c>
      <c r="O79" s="64">
        <v>0</v>
      </c>
      <c r="P79" s="64">
        <v>0.42</v>
      </c>
      <c r="Q79" s="64">
        <v>9.25</v>
      </c>
      <c r="R79" s="198"/>
      <c r="S79" s="198"/>
      <c r="T79" s="198"/>
      <c r="U79" s="198"/>
    </row>
    <row r="80" spans="1:21" s="12" customFormat="1" x14ac:dyDescent="0.25">
      <c r="A80" s="217" t="s">
        <v>1273</v>
      </c>
      <c r="B80" s="64">
        <v>8.32</v>
      </c>
      <c r="C80" s="64">
        <v>3.38</v>
      </c>
      <c r="D80" s="64">
        <v>12.21</v>
      </c>
      <c r="E80" s="64">
        <v>3.18</v>
      </c>
      <c r="F80" s="64">
        <v>5.38</v>
      </c>
      <c r="G80" s="64">
        <v>46.38</v>
      </c>
      <c r="H80" s="64">
        <v>11.57</v>
      </c>
      <c r="I80" s="64">
        <v>1.2</v>
      </c>
      <c r="J80" s="64">
        <v>0.67</v>
      </c>
      <c r="K80" s="64">
        <v>13.84</v>
      </c>
      <c r="L80" s="64">
        <v>28.33</v>
      </c>
      <c r="M80" s="64">
        <v>73.97</v>
      </c>
      <c r="N80" s="64">
        <v>44.9</v>
      </c>
      <c r="O80" s="64">
        <v>0</v>
      </c>
      <c r="P80" s="64">
        <v>0.44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7" t="s">
        <v>1274</v>
      </c>
      <c r="B81" s="64">
        <v>8.27</v>
      </c>
      <c r="C81" s="64">
        <v>3.22</v>
      </c>
      <c r="D81" s="64">
        <v>12.09</v>
      </c>
      <c r="E81" s="64">
        <v>3.15</v>
      </c>
      <c r="F81" s="64">
        <v>4.01</v>
      </c>
      <c r="G81" s="64">
        <v>46.38</v>
      </c>
      <c r="H81" s="64">
        <v>11.57</v>
      </c>
      <c r="I81" s="64">
        <v>1.26</v>
      </c>
      <c r="J81" s="64">
        <v>0.71</v>
      </c>
      <c r="K81" s="64">
        <v>22.36</v>
      </c>
      <c r="L81" s="64">
        <v>27.96</v>
      </c>
      <c r="M81" s="64">
        <v>76.150000000000006</v>
      </c>
      <c r="N81" s="64">
        <v>30.6</v>
      </c>
      <c r="O81" s="64">
        <v>0</v>
      </c>
      <c r="P81" s="64">
        <v>0.46</v>
      </c>
      <c r="Q81" s="64">
        <v>9.2799999999999994</v>
      </c>
      <c r="R81" s="198"/>
      <c r="S81" s="198"/>
      <c r="T81" s="198"/>
      <c r="U81" s="198"/>
    </row>
    <row r="82" spans="1:26" s="12" customFormat="1" x14ac:dyDescent="0.25">
      <c r="A82" s="217" t="s">
        <v>1275</v>
      </c>
      <c r="B82" s="64">
        <v>8.27</v>
      </c>
      <c r="C82" s="64">
        <v>3.22</v>
      </c>
      <c r="D82" s="64">
        <v>12.09</v>
      </c>
      <c r="E82" s="64">
        <v>3.33</v>
      </c>
      <c r="F82" s="64">
        <v>3.65</v>
      </c>
      <c r="G82" s="64">
        <v>46.38</v>
      </c>
      <c r="H82" s="64">
        <v>11.57</v>
      </c>
      <c r="I82" s="64">
        <v>1.35</v>
      </c>
      <c r="J82" s="64">
        <v>0.47</v>
      </c>
      <c r="K82" s="64">
        <v>24.96</v>
      </c>
      <c r="L82" s="64">
        <v>27.7</v>
      </c>
      <c r="M82" s="64">
        <v>77.989999999999995</v>
      </c>
      <c r="N82" s="64">
        <v>23.7</v>
      </c>
      <c r="O82" s="64">
        <v>0</v>
      </c>
      <c r="P82" s="64">
        <v>0.47</v>
      </c>
      <c r="Q82" s="64">
        <v>9.1999999999999993</v>
      </c>
      <c r="R82" s="198"/>
      <c r="S82" s="198"/>
      <c r="T82" s="198"/>
      <c r="U82" s="198"/>
    </row>
    <row r="83" spans="1:26" s="12" customFormat="1" x14ac:dyDescent="0.25">
      <c r="A83" s="217" t="s">
        <v>1276</v>
      </c>
      <c r="B83" s="64">
        <v>8.2899999999999991</v>
      </c>
      <c r="C83" s="64">
        <v>3.21</v>
      </c>
      <c r="D83" s="64">
        <v>12.1</v>
      </c>
      <c r="E83" s="64">
        <v>3.51</v>
      </c>
      <c r="F83" s="64">
        <v>4.07</v>
      </c>
      <c r="G83" s="64">
        <v>47.04</v>
      </c>
      <c r="H83" s="64">
        <v>11.39</v>
      </c>
      <c r="I83" s="64">
        <v>1.45</v>
      </c>
      <c r="J83" s="64">
        <v>0.56000000000000005</v>
      </c>
      <c r="K83" s="64">
        <v>14.72</v>
      </c>
      <c r="L83" s="64">
        <v>27.56</v>
      </c>
      <c r="M83" s="64">
        <v>79.319999999999993</v>
      </c>
      <c r="N83" s="64">
        <v>18.100000000000001</v>
      </c>
      <c r="O83" s="64">
        <v>0</v>
      </c>
      <c r="P83" s="64">
        <v>0.49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7" t="s">
        <v>1277</v>
      </c>
      <c r="B84" s="64">
        <v>8.3000000000000007</v>
      </c>
      <c r="C84" s="64">
        <v>3.24</v>
      </c>
      <c r="D84" s="64">
        <v>12.12</v>
      </c>
      <c r="E84" s="64">
        <v>2.85</v>
      </c>
      <c r="F84" s="64">
        <v>3.82</v>
      </c>
      <c r="G84" s="64">
        <v>47.98</v>
      </c>
      <c r="H84" s="64">
        <v>11.14</v>
      </c>
      <c r="I84" s="64">
        <v>1.54</v>
      </c>
      <c r="J84" s="64">
        <v>0.55000000000000004</v>
      </c>
      <c r="K84" s="64">
        <v>19.920000000000002</v>
      </c>
      <c r="L84" s="64">
        <v>27.55</v>
      </c>
      <c r="M84" s="64">
        <v>79.959999999999994</v>
      </c>
      <c r="N84" s="64">
        <v>16.7</v>
      </c>
      <c r="O84" s="64">
        <v>0</v>
      </c>
      <c r="P84" s="64">
        <v>0.5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7" t="s">
        <v>1278</v>
      </c>
      <c r="B85" s="64">
        <v>8.3699999999999992</v>
      </c>
      <c r="C85" s="64">
        <v>3.38</v>
      </c>
      <c r="D85" s="64">
        <v>12.25</v>
      </c>
      <c r="E85" s="64">
        <v>3.03</v>
      </c>
      <c r="F85" s="64">
        <v>3.61</v>
      </c>
      <c r="G85" s="64">
        <v>47.98</v>
      </c>
      <c r="H85" s="64">
        <v>11.14</v>
      </c>
      <c r="I85" s="64">
        <v>1.66</v>
      </c>
      <c r="J85" s="64">
        <v>0.25</v>
      </c>
      <c r="K85" s="64">
        <v>23.24</v>
      </c>
      <c r="L85" s="64">
        <v>27.13</v>
      </c>
      <c r="M85" s="64">
        <v>78.31</v>
      </c>
      <c r="N85" s="64">
        <v>16.899999999999999</v>
      </c>
      <c r="O85" s="64">
        <v>0</v>
      </c>
      <c r="P85" s="64">
        <v>0.45</v>
      </c>
      <c r="Q85" s="64">
        <v>9.2799999999999994</v>
      </c>
      <c r="R85" s="198"/>
      <c r="S85" s="198"/>
      <c r="T85" s="198"/>
      <c r="U85" s="198"/>
    </row>
    <row r="86" spans="1:26" s="12" customFormat="1" x14ac:dyDescent="0.25">
      <c r="A86" s="217" t="s">
        <v>1279</v>
      </c>
      <c r="B86" s="64">
        <v>8.35</v>
      </c>
      <c r="C86" s="64">
        <v>3.31</v>
      </c>
      <c r="D86" s="64">
        <v>12.2</v>
      </c>
      <c r="E86" s="64">
        <v>3</v>
      </c>
      <c r="F86" s="64">
        <v>3.85</v>
      </c>
      <c r="G86" s="64">
        <v>47.98</v>
      </c>
      <c r="H86" s="64">
        <v>11.14</v>
      </c>
      <c r="I86" s="64">
        <v>1.79</v>
      </c>
      <c r="J86" s="64">
        <v>0.56999999999999995</v>
      </c>
      <c r="K86" s="64">
        <v>7.17</v>
      </c>
      <c r="L86" s="64">
        <v>25.97</v>
      </c>
      <c r="M86" s="64">
        <v>77.680000000000007</v>
      </c>
      <c r="N86" s="64">
        <v>17.600000000000001</v>
      </c>
      <c r="O86" s="64">
        <v>0</v>
      </c>
      <c r="P86" s="64">
        <v>0.47</v>
      </c>
      <c r="Q86" s="64">
        <v>9.2899999999999991</v>
      </c>
      <c r="R86" s="198"/>
      <c r="S86" s="198"/>
      <c r="T86" s="198"/>
      <c r="U86" s="198"/>
    </row>
    <row r="87" spans="1:26" s="12" customFormat="1" x14ac:dyDescent="0.25">
      <c r="A87" s="217" t="s">
        <v>1280</v>
      </c>
      <c r="B87" s="64">
        <v>8.34</v>
      </c>
      <c r="C87" s="64">
        <v>3.3</v>
      </c>
      <c r="D87" s="64">
        <v>12.19</v>
      </c>
      <c r="E87" s="64">
        <v>3.17</v>
      </c>
      <c r="F87" s="64">
        <v>3.9</v>
      </c>
      <c r="G87" s="64">
        <v>45.33</v>
      </c>
      <c r="H87" s="64">
        <v>10.23</v>
      </c>
      <c r="I87" s="64">
        <v>1.9</v>
      </c>
      <c r="J87" s="64">
        <v>0.21</v>
      </c>
      <c r="K87" s="64">
        <v>1.77</v>
      </c>
      <c r="L87" s="64">
        <v>25.48</v>
      </c>
      <c r="M87" s="64">
        <v>82.34</v>
      </c>
      <c r="N87" s="64">
        <v>17</v>
      </c>
      <c r="O87" s="64">
        <v>0</v>
      </c>
      <c r="P87" s="64">
        <v>0.46</v>
      </c>
      <c r="Q87" s="64">
        <v>9.32</v>
      </c>
      <c r="R87" s="198"/>
      <c r="S87" s="198"/>
      <c r="T87" s="198"/>
      <c r="U87" s="198"/>
    </row>
    <row r="88" spans="1:26" s="12" customFormat="1" x14ac:dyDescent="0.25">
      <c r="A88" s="217" t="s">
        <v>1281</v>
      </c>
      <c r="B88" s="64">
        <v>8.33</v>
      </c>
      <c r="C88" s="64">
        <v>3.23</v>
      </c>
      <c r="D88" s="64">
        <v>12.14</v>
      </c>
      <c r="E88" s="64">
        <v>3.61</v>
      </c>
      <c r="F88" s="64">
        <v>3.61</v>
      </c>
      <c r="G88" s="64">
        <v>41.54</v>
      </c>
      <c r="H88" s="64">
        <v>8.93</v>
      </c>
      <c r="I88" s="64">
        <v>1.97</v>
      </c>
      <c r="J88" s="64">
        <v>0.22</v>
      </c>
      <c r="K88" s="64">
        <v>15.25</v>
      </c>
      <c r="L88" s="64">
        <v>25.3</v>
      </c>
      <c r="M88" s="64">
        <v>84.59</v>
      </c>
      <c r="N88" s="64">
        <v>16.5</v>
      </c>
      <c r="O88" s="64">
        <v>0</v>
      </c>
      <c r="P88" s="64">
        <v>0.47</v>
      </c>
      <c r="Q88" s="64">
        <v>9.3000000000000007</v>
      </c>
      <c r="R88" s="198"/>
      <c r="S88" s="198"/>
      <c r="T88" s="198"/>
      <c r="U88" s="198"/>
    </row>
    <row r="89" spans="1:26" s="12" customFormat="1" x14ac:dyDescent="0.25">
      <c r="A89" s="217" t="s">
        <v>1282</v>
      </c>
      <c r="B89" s="64">
        <v>8.34</v>
      </c>
      <c r="C89" s="64">
        <v>3.17</v>
      </c>
      <c r="D89" s="64">
        <v>12.11</v>
      </c>
      <c r="E89" s="64">
        <v>3.39</v>
      </c>
      <c r="F89" s="64">
        <v>3.87</v>
      </c>
      <c r="G89" s="64">
        <v>41.54</v>
      </c>
      <c r="H89" s="64">
        <v>8.93</v>
      </c>
      <c r="I89" s="64">
        <v>2.0499999999999998</v>
      </c>
      <c r="J89" s="64">
        <v>0.4</v>
      </c>
      <c r="K89" s="64">
        <v>5.81</v>
      </c>
      <c r="L89" s="64">
        <v>25.53</v>
      </c>
      <c r="M89" s="64">
        <v>83.73</v>
      </c>
      <c r="N89" s="64">
        <v>16.2</v>
      </c>
      <c r="O89" s="64">
        <v>0</v>
      </c>
      <c r="P89" s="64">
        <v>0.48</v>
      </c>
      <c r="Q89" s="64">
        <v>9.31</v>
      </c>
      <c r="R89" s="198"/>
      <c r="S89" s="198"/>
      <c r="T89" s="198"/>
      <c r="U89" s="198"/>
    </row>
    <row r="90" spans="1:26" s="12" customFormat="1" x14ac:dyDescent="0.25">
      <c r="A90" s="217" t="s">
        <v>1283</v>
      </c>
      <c r="B90" s="64">
        <v>8.36</v>
      </c>
      <c r="C90" s="64">
        <v>3.27</v>
      </c>
      <c r="D90" s="64">
        <v>12.19</v>
      </c>
      <c r="E90" s="64">
        <v>3.56</v>
      </c>
      <c r="F90" s="64">
        <v>4.42</v>
      </c>
      <c r="G90" s="64">
        <v>41.54</v>
      </c>
      <c r="H90" s="64">
        <v>8.93</v>
      </c>
      <c r="I90" s="64">
        <v>2.31</v>
      </c>
      <c r="J90" s="64">
        <v>0.61</v>
      </c>
      <c r="K90" s="64">
        <v>15.79</v>
      </c>
      <c r="L90" s="64">
        <v>25.61</v>
      </c>
      <c r="M90" s="64">
        <v>83.65</v>
      </c>
      <c r="N90" s="64">
        <v>16.3</v>
      </c>
      <c r="O90" s="64">
        <v>0</v>
      </c>
      <c r="P90" s="64">
        <v>0.5</v>
      </c>
      <c r="Q90" s="64">
        <v>9.35</v>
      </c>
      <c r="R90" s="198"/>
      <c r="S90" s="198"/>
      <c r="T90" s="198"/>
      <c r="U90" s="198"/>
    </row>
    <row r="91" spans="1:26" s="12" customFormat="1" x14ac:dyDescent="0.25">
      <c r="A91" s="217" t="s">
        <v>1284</v>
      </c>
      <c r="B91" s="64">
        <v>8.32</v>
      </c>
      <c r="C91" s="64">
        <v>3.27</v>
      </c>
      <c r="D91" s="64">
        <v>12.15</v>
      </c>
      <c r="E91" s="64">
        <v>3.56</v>
      </c>
      <c r="F91" s="64">
        <v>2.85</v>
      </c>
      <c r="G91" s="64">
        <v>42.4</v>
      </c>
      <c r="H91" s="64">
        <v>10.01</v>
      </c>
      <c r="I91" s="64">
        <v>2.48</v>
      </c>
      <c r="J91" s="64">
        <v>0.6</v>
      </c>
      <c r="K91" s="64">
        <v>22.8</v>
      </c>
      <c r="L91" s="64">
        <v>25.53</v>
      </c>
      <c r="M91" s="64">
        <v>85.54</v>
      </c>
      <c r="N91" s="64">
        <v>16.399999999999999</v>
      </c>
      <c r="O91" s="64">
        <v>0</v>
      </c>
      <c r="P91" s="64">
        <v>0.52</v>
      </c>
      <c r="Q91" s="64">
        <v>9.24</v>
      </c>
      <c r="R91" s="198"/>
      <c r="S91" s="198"/>
      <c r="T91" s="198"/>
      <c r="U91" s="198"/>
    </row>
    <row r="92" spans="1:26" s="12" customFormat="1" x14ac:dyDescent="0.25">
      <c r="A92" s="217" t="s">
        <v>1285</v>
      </c>
      <c r="B92" s="64">
        <v>8.2799999999999994</v>
      </c>
      <c r="C92" s="64">
        <v>3.15</v>
      </c>
      <c r="D92" s="64">
        <v>12.06</v>
      </c>
      <c r="E92" s="64">
        <v>3.43</v>
      </c>
      <c r="F92" s="64">
        <v>3.58</v>
      </c>
      <c r="G92" s="64">
        <v>43.64</v>
      </c>
      <c r="H92" s="64">
        <v>11.63</v>
      </c>
      <c r="I92" s="64">
        <v>2.44</v>
      </c>
      <c r="J92" s="64">
        <v>0.56999999999999995</v>
      </c>
      <c r="K92" s="64">
        <v>4.6500000000000004</v>
      </c>
      <c r="L92" s="64">
        <v>25.37</v>
      </c>
      <c r="M92" s="64">
        <v>86.97</v>
      </c>
      <c r="N92" s="64">
        <v>16.2</v>
      </c>
      <c r="O92" s="64">
        <v>0</v>
      </c>
      <c r="P92" s="64">
        <v>0.52</v>
      </c>
      <c r="Q92" s="64">
        <v>9.25</v>
      </c>
      <c r="R92" s="198"/>
      <c r="S92" s="198"/>
      <c r="T92" s="198"/>
      <c r="U92" s="198"/>
    </row>
    <row r="93" spans="1:26" s="12" customFormat="1" x14ac:dyDescent="0.25">
      <c r="A93" s="217" t="s">
        <v>1286</v>
      </c>
      <c r="B93" s="64">
        <v>8.3000000000000007</v>
      </c>
      <c r="C93" s="64">
        <v>3.24</v>
      </c>
      <c r="D93" s="64">
        <v>12.12</v>
      </c>
      <c r="E93" s="64">
        <v>3.56</v>
      </c>
      <c r="F93" s="64">
        <v>4.58</v>
      </c>
      <c r="G93" s="64">
        <v>43.64</v>
      </c>
      <c r="H93" s="64">
        <v>11.63</v>
      </c>
      <c r="I93" s="64">
        <v>2.5299999999999998</v>
      </c>
      <c r="J93" s="64">
        <v>0.61</v>
      </c>
      <c r="K93" s="64">
        <v>27.55</v>
      </c>
      <c r="L93" s="64">
        <v>25.42</v>
      </c>
      <c r="M93" s="64">
        <v>86.24</v>
      </c>
      <c r="N93" s="64">
        <v>16.2</v>
      </c>
      <c r="O93" s="64">
        <v>0</v>
      </c>
      <c r="P93" s="64">
        <v>0.55000000000000004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7" t="s">
        <v>1287</v>
      </c>
      <c r="B94" s="64">
        <v>8.27</v>
      </c>
      <c r="C94" s="64">
        <v>3.17</v>
      </c>
      <c r="D94" s="64">
        <v>12.06</v>
      </c>
      <c r="E94" s="64">
        <v>3.21</v>
      </c>
      <c r="F94" s="64">
        <v>2.75</v>
      </c>
      <c r="G94" s="64">
        <v>43.64</v>
      </c>
      <c r="H94" s="64">
        <v>11.63</v>
      </c>
      <c r="I94" s="64">
        <v>2.5099999999999998</v>
      </c>
      <c r="J94" s="64">
        <v>0.51</v>
      </c>
      <c r="K94" s="64">
        <v>10.79</v>
      </c>
      <c r="L94" s="64">
        <v>25.34</v>
      </c>
      <c r="M94" s="64">
        <v>86.61</v>
      </c>
      <c r="N94" s="64">
        <v>16.2</v>
      </c>
      <c r="O94" s="64">
        <v>0</v>
      </c>
      <c r="P94" s="64">
        <v>0.56000000000000005</v>
      </c>
      <c r="Q94" s="64">
        <v>9.32</v>
      </c>
      <c r="R94" s="198"/>
      <c r="S94" s="198"/>
      <c r="T94" s="198"/>
      <c r="U94" s="198"/>
    </row>
    <row r="95" spans="1:26" s="12" customFormat="1" x14ac:dyDescent="0.25">
      <c r="A95" s="217" t="s">
        <v>1288</v>
      </c>
      <c r="B95" s="64">
        <v>8.27</v>
      </c>
      <c r="C95" s="64">
        <v>3.18</v>
      </c>
      <c r="D95" s="64">
        <v>12.07</v>
      </c>
      <c r="E95" s="64">
        <v>3.3</v>
      </c>
      <c r="F95" s="64">
        <v>2.87</v>
      </c>
      <c r="G95" s="64">
        <v>45</v>
      </c>
      <c r="H95" s="64">
        <v>11.72</v>
      </c>
      <c r="I95" s="64">
        <v>2.46</v>
      </c>
      <c r="J95" s="64">
        <v>0.41</v>
      </c>
      <c r="K95" s="64">
        <v>0.39</v>
      </c>
      <c r="L95" s="64">
        <v>25.28</v>
      </c>
      <c r="M95" s="64">
        <v>86.71</v>
      </c>
      <c r="N95" s="64">
        <v>16.3</v>
      </c>
      <c r="O95" s="64">
        <v>0</v>
      </c>
      <c r="P95" s="64">
        <v>0.56999999999999995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7" t="s">
        <v>1289</v>
      </c>
      <c r="B96" s="64">
        <v>8.36</v>
      </c>
      <c r="C96" s="64">
        <v>3.4</v>
      </c>
      <c r="D96" s="64">
        <v>12.25</v>
      </c>
      <c r="E96" s="64">
        <v>3.29</v>
      </c>
      <c r="F96" s="64">
        <v>4.2300000000000004</v>
      </c>
      <c r="G96" s="64">
        <v>46.93</v>
      </c>
      <c r="H96" s="64">
        <v>11.86</v>
      </c>
      <c r="I96" s="64">
        <v>2.5099999999999998</v>
      </c>
      <c r="J96" s="64">
        <v>0.56999999999999995</v>
      </c>
      <c r="K96" s="64">
        <v>14.05</v>
      </c>
      <c r="L96" s="64">
        <v>25.08</v>
      </c>
      <c r="M96" s="64">
        <v>88.02</v>
      </c>
      <c r="N96" s="64">
        <v>16.5</v>
      </c>
      <c r="O96" s="64">
        <v>0</v>
      </c>
      <c r="P96" s="64">
        <v>0.59</v>
      </c>
      <c r="Q96" s="64">
        <v>9.4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1290</v>
      </c>
      <c r="B97" s="64">
        <v>8.3800000000000008</v>
      </c>
      <c r="C97" s="64">
        <v>3.46</v>
      </c>
      <c r="D97" s="64">
        <v>12.3</v>
      </c>
      <c r="E97" s="64">
        <v>3.14</v>
      </c>
      <c r="F97" s="64">
        <v>3.41</v>
      </c>
      <c r="G97" s="64">
        <v>46.93</v>
      </c>
      <c r="H97" s="64">
        <v>11.86</v>
      </c>
      <c r="I97" s="64">
        <v>2.56</v>
      </c>
      <c r="J97" s="64">
        <v>0.57999999999999996</v>
      </c>
      <c r="K97" s="64">
        <v>17.29</v>
      </c>
      <c r="L97" s="64">
        <v>25</v>
      </c>
      <c r="M97" s="64">
        <v>87.37</v>
      </c>
      <c r="N97" s="64">
        <v>16.399999999999999</v>
      </c>
      <c r="O97" s="64">
        <v>0</v>
      </c>
      <c r="P97" s="64">
        <v>0.6</v>
      </c>
      <c r="Q97" s="64">
        <v>9.42</v>
      </c>
      <c r="R97" s="198"/>
      <c r="S97" s="198"/>
      <c r="T97" s="198"/>
      <c r="U97" s="198"/>
    </row>
    <row r="98" spans="1:33" s="12" customFormat="1" x14ac:dyDescent="0.25">
      <c r="A98" s="217" t="s">
        <v>1291</v>
      </c>
      <c r="B98" s="64">
        <v>8.36</v>
      </c>
      <c r="C98" s="64">
        <v>3.41</v>
      </c>
      <c r="D98" s="64">
        <v>12.26</v>
      </c>
      <c r="E98" s="64">
        <v>3.55</v>
      </c>
      <c r="F98" s="64">
        <v>2.94</v>
      </c>
      <c r="G98" s="64">
        <v>46.93</v>
      </c>
      <c r="H98" s="64">
        <v>11.86</v>
      </c>
      <c r="I98" s="64">
        <v>2.59</v>
      </c>
      <c r="J98" s="64">
        <v>0.5</v>
      </c>
      <c r="K98" s="64">
        <v>2.0099999999999998</v>
      </c>
      <c r="L98" s="64">
        <v>24.88</v>
      </c>
      <c r="M98" s="64">
        <v>87.95</v>
      </c>
      <c r="N98" s="64">
        <v>16.3</v>
      </c>
      <c r="O98" s="64">
        <v>0</v>
      </c>
      <c r="P98" s="64">
        <v>0.57999999999999996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7" t="s">
        <v>1292</v>
      </c>
      <c r="B99" s="64">
        <v>8.35</v>
      </c>
      <c r="C99" s="64">
        <v>3.35</v>
      </c>
      <c r="D99" s="64">
        <v>12.22</v>
      </c>
      <c r="E99" s="64">
        <v>3.51</v>
      </c>
      <c r="F99" s="64">
        <v>3.6</v>
      </c>
      <c r="G99" s="64">
        <v>44.95</v>
      </c>
      <c r="H99" s="64">
        <v>10.57</v>
      </c>
      <c r="I99" s="64">
        <v>2.58</v>
      </c>
      <c r="J99" s="64">
        <v>0.3</v>
      </c>
      <c r="K99" s="64">
        <v>6.14</v>
      </c>
      <c r="L99" s="64">
        <v>24.81</v>
      </c>
      <c r="M99" s="64">
        <v>87.98</v>
      </c>
      <c r="N99" s="64">
        <v>16.3</v>
      </c>
      <c r="O99" s="64">
        <v>0</v>
      </c>
      <c r="P99" s="64">
        <v>0.56000000000000005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7" t="s">
        <v>1293</v>
      </c>
      <c r="B100" s="64">
        <v>8.35</v>
      </c>
      <c r="C100" s="64">
        <v>3.32</v>
      </c>
      <c r="D100" s="64">
        <v>12.2</v>
      </c>
      <c r="E100" s="64">
        <v>3.1</v>
      </c>
      <c r="F100" s="64">
        <v>3.26</v>
      </c>
      <c r="G100" s="64">
        <v>42.11</v>
      </c>
      <c r="H100" s="64">
        <v>8.73</v>
      </c>
      <c r="I100" s="64">
        <v>2.5099999999999998</v>
      </c>
      <c r="J100" s="64">
        <v>0.44</v>
      </c>
      <c r="K100" s="64">
        <v>18.600000000000001</v>
      </c>
      <c r="L100" s="64">
        <v>24.73</v>
      </c>
      <c r="M100" s="64">
        <v>88.05</v>
      </c>
      <c r="N100" s="64">
        <v>16.3</v>
      </c>
      <c r="O100" s="64">
        <v>0</v>
      </c>
      <c r="P100" s="64">
        <v>0.55000000000000004</v>
      </c>
      <c r="Q100" s="64">
        <v>9.4600000000000009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1294</v>
      </c>
      <c r="B101" s="64">
        <v>8.3699999999999992</v>
      </c>
      <c r="C101" s="64">
        <v>3.34</v>
      </c>
      <c r="D101" s="64">
        <v>12.23</v>
      </c>
      <c r="E101" s="64">
        <v>3.24</v>
      </c>
      <c r="F101" s="64">
        <v>3.06</v>
      </c>
      <c r="G101" s="64">
        <v>42.11</v>
      </c>
      <c r="H101" s="64">
        <v>8.73</v>
      </c>
      <c r="I101" s="64">
        <v>2.46</v>
      </c>
      <c r="J101" s="64">
        <v>0.51</v>
      </c>
      <c r="K101" s="64">
        <v>356.31</v>
      </c>
      <c r="L101" s="64">
        <v>24.75</v>
      </c>
      <c r="M101" s="64">
        <v>87.82</v>
      </c>
      <c r="N101" s="64">
        <v>16.2</v>
      </c>
      <c r="O101" s="64">
        <v>0</v>
      </c>
      <c r="P101" s="64">
        <v>0.52</v>
      </c>
      <c r="Q101" s="64">
        <v>9.42</v>
      </c>
      <c r="R101" s="198"/>
      <c r="S101" s="198"/>
      <c r="T101" s="198"/>
      <c r="U101" s="198"/>
    </row>
    <row r="102" spans="1:33" s="12" customFormat="1" x14ac:dyDescent="0.25">
      <c r="A102" s="217" t="s">
        <v>1295</v>
      </c>
      <c r="B102" s="64">
        <v>8.3699999999999992</v>
      </c>
      <c r="C102" s="64">
        <v>3.27</v>
      </c>
      <c r="D102" s="64">
        <v>12.19</v>
      </c>
      <c r="E102" s="64">
        <v>3.12</v>
      </c>
      <c r="F102" s="64">
        <v>3.32</v>
      </c>
      <c r="G102" s="64">
        <v>42.11</v>
      </c>
      <c r="H102" s="64">
        <v>8.73</v>
      </c>
      <c r="I102" s="64">
        <v>2.44</v>
      </c>
      <c r="J102" s="64">
        <v>0.4</v>
      </c>
      <c r="K102" s="64">
        <v>345.88</v>
      </c>
      <c r="L102" s="64">
        <v>24.71</v>
      </c>
      <c r="M102" s="64">
        <v>88.75</v>
      </c>
      <c r="N102" s="64">
        <v>16.5</v>
      </c>
      <c r="O102" s="64">
        <v>0</v>
      </c>
      <c r="P102" s="64">
        <v>0.52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7" t="s">
        <v>1296</v>
      </c>
      <c r="B103" s="64">
        <v>8.34</v>
      </c>
      <c r="C103" s="64">
        <v>3.21</v>
      </c>
      <c r="D103" s="64">
        <v>12.14</v>
      </c>
      <c r="E103" s="64">
        <v>3.4</v>
      </c>
      <c r="F103" s="64">
        <v>3.32</v>
      </c>
      <c r="G103" s="64">
        <v>42.19</v>
      </c>
      <c r="H103" s="64">
        <v>9.98</v>
      </c>
      <c r="I103" s="64">
        <v>2.44</v>
      </c>
      <c r="J103" s="64">
        <v>0.19</v>
      </c>
      <c r="K103" s="64">
        <v>338.82</v>
      </c>
      <c r="L103" s="64">
        <v>24.56</v>
      </c>
      <c r="M103" s="64">
        <v>89.95</v>
      </c>
      <c r="N103" s="64">
        <v>16.600000000000001</v>
      </c>
      <c r="O103" s="64">
        <v>0</v>
      </c>
      <c r="P103" s="64">
        <v>0.5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7" t="s">
        <v>1297</v>
      </c>
      <c r="B104" s="64">
        <v>8.33</v>
      </c>
      <c r="C104" s="64">
        <v>3.18</v>
      </c>
      <c r="D104" s="64">
        <v>12.12</v>
      </c>
      <c r="E104" s="64">
        <v>5.01</v>
      </c>
      <c r="F104" s="64">
        <v>3.31</v>
      </c>
      <c r="G104" s="64">
        <v>42.31</v>
      </c>
      <c r="H104" s="64">
        <v>11.77</v>
      </c>
      <c r="I104" s="64">
        <v>2.6</v>
      </c>
      <c r="J104" s="64">
        <v>0.16</v>
      </c>
      <c r="K104" s="64">
        <v>297.66000000000003</v>
      </c>
      <c r="L104" s="64">
        <v>24.5</v>
      </c>
      <c r="M104" s="64">
        <v>90.41</v>
      </c>
      <c r="N104" s="64">
        <v>16.600000000000001</v>
      </c>
      <c r="O104" s="64">
        <v>0</v>
      </c>
      <c r="P104" s="64">
        <v>0.49</v>
      </c>
      <c r="Q104" s="64">
        <v>9.4600000000000009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8.27</v>
      </c>
      <c r="C106" s="67">
        <f>MIN(C9:C104)</f>
        <v>3.15</v>
      </c>
      <c r="D106" s="67">
        <f t="shared" ref="D106:Q106" si="0">MIN(D9:D104)</f>
        <v>12.06</v>
      </c>
      <c r="E106" s="67">
        <f t="shared" si="0"/>
        <v>2.85</v>
      </c>
      <c r="F106" s="67">
        <f t="shared" si="0"/>
        <v>2.2200000000000002</v>
      </c>
      <c r="G106" s="67">
        <f t="shared" si="0"/>
        <v>10.43</v>
      </c>
      <c r="H106" s="67">
        <f t="shared" si="0"/>
        <v>2.37</v>
      </c>
      <c r="I106" s="67">
        <f t="shared" si="0"/>
        <v>1</v>
      </c>
      <c r="J106" s="67">
        <f t="shared" si="0"/>
        <v>0.02</v>
      </c>
      <c r="K106" s="67">
        <f t="shared" si="0"/>
        <v>0.39</v>
      </c>
      <c r="L106" s="67">
        <f t="shared" si="0"/>
        <v>23.42</v>
      </c>
      <c r="M106" s="67">
        <f t="shared" si="0"/>
        <v>68.94</v>
      </c>
      <c r="N106" s="67">
        <f t="shared" si="0"/>
        <v>0</v>
      </c>
      <c r="O106" s="67">
        <f t="shared" si="0"/>
        <v>0</v>
      </c>
      <c r="P106" s="67">
        <f t="shared" si="0"/>
        <v>0.24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</v>
      </c>
      <c r="C107" s="66">
        <f t="shared" ref="C107:Q107" si="1">MAX(C9:C104)</f>
        <v>3.46</v>
      </c>
      <c r="D107" s="66">
        <f t="shared" si="1"/>
        <v>12.31</v>
      </c>
      <c r="E107" s="66">
        <f t="shared" si="1"/>
        <v>5.01</v>
      </c>
      <c r="F107" s="66">
        <f t="shared" si="1"/>
        <v>8.23</v>
      </c>
      <c r="G107" s="66">
        <f t="shared" si="1"/>
        <v>81.66</v>
      </c>
      <c r="H107" s="66">
        <f t="shared" si="1"/>
        <v>16.86</v>
      </c>
      <c r="I107" s="66">
        <f t="shared" si="1"/>
        <v>5.09</v>
      </c>
      <c r="J107" s="66">
        <f t="shared" si="1"/>
        <v>0.8</v>
      </c>
      <c r="K107" s="66">
        <f t="shared" si="1"/>
        <v>359.71</v>
      </c>
      <c r="L107" s="66">
        <f t="shared" si="1"/>
        <v>30.03</v>
      </c>
      <c r="M107" s="66">
        <f t="shared" si="1"/>
        <v>98.33</v>
      </c>
      <c r="N107" s="66">
        <f t="shared" si="1"/>
        <v>853.8</v>
      </c>
      <c r="O107" s="66">
        <f t="shared" si="1"/>
        <v>0.2</v>
      </c>
      <c r="P107" s="66">
        <f t="shared" si="1"/>
        <v>0.6</v>
      </c>
      <c r="Q107" s="66">
        <f t="shared" si="1"/>
        <v>9.4700000000000006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8.3267708333333328</v>
      </c>
      <c r="C108" s="67">
        <f t="shared" ref="C108:Q108" si="2">AVERAGE(C9:C104)</f>
        <v>3.2539583333333333</v>
      </c>
      <c r="D108" s="67">
        <f t="shared" si="2"/>
        <v>12.151666666666669</v>
      </c>
      <c r="E108" s="67">
        <f t="shared" si="2"/>
        <v>3.886458333333334</v>
      </c>
      <c r="F108" s="67">
        <f t="shared" si="2"/>
        <v>4.3150000000000004</v>
      </c>
      <c r="G108" s="67">
        <f t="shared" si="2"/>
        <v>35.977526881720422</v>
      </c>
      <c r="H108" s="67">
        <f t="shared" si="2"/>
        <v>9.589784946236561</v>
      </c>
      <c r="I108" s="67">
        <f t="shared" si="2"/>
        <v>2.7771875000000001</v>
      </c>
      <c r="J108" s="67">
        <f t="shared" si="2"/>
        <v>0.44416666666666643</v>
      </c>
      <c r="K108" s="67">
        <f t="shared" si="2"/>
        <v>197.33864583333323</v>
      </c>
      <c r="L108" s="67">
        <f t="shared" si="2"/>
        <v>26.076666666666679</v>
      </c>
      <c r="M108" s="67">
        <f t="shared" si="2"/>
        <v>85.852604166666637</v>
      </c>
      <c r="N108" s="67">
        <f t="shared" si="2"/>
        <v>154.32604166666667</v>
      </c>
      <c r="O108" s="67">
        <f t="shared" si="2"/>
        <v>2.0833333333333333E-3</v>
      </c>
      <c r="P108" s="67">
        <f t="shared" si="2"/>
        <v>0.36177083333333321</v>
      </c>
      <c r="Q108" s="67">
        <f t="shared" si="2"/>
        <v>9.3049999999999997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2.9468798545568487E-2</v>
      </c>
      <c r="C109" s="67">
        <f t="shared" ref="C109:Q109" si="3">STDEV(C9:C104)</f>
        <v>6.6672477816904399E-2</v>
      </c>
      <c r="D109" s="67">
        <f t="shared" si="3"/>
        <v>5.379623674309663E-2</v>
      </c>
      <c r="E109" s="67">
        <f t="shared" si="3"/>
        <v>0.61078031052030612</v>
      </c>
      <c r="F109" s="67">
        <f t="shared" si="3"/>
        <v>1.3011468625388649</v>
      </c>
      <c r="G109" s="67">
        <f t="shared" si="3"/>
        <v>15.627135377974865</v>
      </c>
      <c r="H109" s="67">
        <f t="shared" si="3"/>
        <v>3.3803151314680333</v>
      </c>
      <c r="I109" s="67">
        <f t="shared" si="3"/>
        <v>1.3834280101293752</v>
      </c>
      <c r="J109" s="67">
        <f t="shared" si="3"/>
        <v>0.18768207533887982</v>
      </c>
      <c r="K109" s="67">
        <f t="shared" si="3"/>
        <v>155.32795854083304</v>
      </c>
      <c r="L109" s="67">
        <f t="shared" si="3"/>
        <v>2.017520973173013</v>
      </c>
      <c r="M109" s="67">
        <f t="shared" si="3"/>
        <v>9.698074713412753</v>
      </c>
      <c r="N109" s="67">
        <f t="shared" si="3"/>
        <v>225.53800858102173</v>
      </c>
      <c r="O109" s="67">
        <f t="shared" si="3"/>
        <v>2.0412414523193152E-2</v>
      </c>
      <c r="P109" s="67">
        <f t="shared" si="3"/>
        <v>0.10238209950106379</v>
      </c>
      <c r="Q109" s="67">
        <f t="shared" si="3"/>
        <v>7.839172888701168E-2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1298</v>
      </c>
      <c r="B9" s="64">
        <v>8.34</v>
      </c>
      <c r="C9" s="64">
        <v>3.17</v>
      </c>
      <c r="D9" s="64">
        <v>12.12</v>
      </c>
      <c r="E9" s="64">
        <v>4.7300000000000004</v>
      </c>
      <c r="F9" s="64">
        <v>3.58</v>
      </c>
      <c r="G9" s="64">
        <v>42.31</v>
      </c>
      <c r="H9" s="64">
        <v>11.77</v>
      </c>
      <c r="I9" s="64">
        <v>2.75</v>
      </c>
      <c r="J9" s="64">
        <v>0.44</v>
      </c>
      <c r="K9" s="64">
        <v>349.37</v>
      </c>
      <c r="L9" s="64">
        <v>24.36</v>
      </c>
      <c r="M9" s="64">
        <v>90.96</v>
      </c>
      <c r="N9" s="64">
        <v>16.600000000000001</v>
      </c>
      <c r="O9" s="64">
        <v>0</v>
      </c>
      <c r="P9" s="64">
        <v>0.48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7" t="s">
        <v>1299</v>
      </c>
      <c r="B10" s="64">
        <v>8.32</v>
      </c>
      <c r="C10" s="64">
        <v>3.17</v>
      </c>
      <c r="D10" s="64">
        <v>12.11</v>
      </c>
      <c r="E10" s="64">
        <v>4.76</v>
      </c>
      <c r="F10" s="64">
        <v>3.68</v>
      </c>
      <c r="G10" s="64">
        <v>42.31</v>
      </c>
      <c r="H10" s="64">
        <v>11.77</v>
      </c>
      <c r="I10" s="64">
        <v>2.87</v>
      </c>
      <c r="J10" s="64">
        <v>0.18</v>
      </c>
      <c r="K10" s="64">
        <v>330.43</v>
      </c>
      <c r="L10" s="64">
        <v>24.35</v>
      </c>
      <c r="M10" s="64">
        <v>91.49</v>
      </c>
      <c r="N10" s="64">
        <v>16.600000000000001</v>
      </c>
      <c r="O10" s="64">
        <v>0</v>
      </c>
      <c r="P10" s="64">
        <v>0.46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7" t="s">
        <v>1300</v>
      </c>
      <c r="B11" s="64">
        <v>8.34</v>
      </c>
      <c r="C11" s="64">
        <v>3.19</v>
      </c>
      <c r="D11" s="64">
        <v>12.13</v>
      </c>
      <c r="E11" s="64">
        <v>4.8</v>
      </c>
      <c r="F11" s="64">
        <v>3.86</v>
      </c>
      <c r="G11" s="64">
        <v>41.27</v>
      </c>
      <c r="H11" s="64">
        <v>10.93</v>
      </c>
      <c r="I11" s="64">
        <v>2.94</v>
      </c>
      <c r="J11" s="64">
        <v>0.46</v>
      </c>
      <c r="K11" s="64">
        <v>356.86</v>
      </c>
      <c r="L11" s="64">
        <v>24.28</v>
      </c>
      <c r="M11" s="64">
        <v>92.21</v>
      </c>
      <c r="N11" s="64">
        <v>16.5</v>
      </c>
      <c r="O11" s="64">
        <v>0</v>
      </c>
      <c r="P11" s="64">
        <v>0.46</v>
      </c>
      <c r="Q11" s="64">
        <v>9.43</v>
      </c>
      <c r="R11" s="198"/>
      <c r="S11" s="198"/>
      <c r="T11" s="198"/>
      <c r="U11" s="198"/>
    </row>
    <row r="12" spans="1:21" s="12" customFormat="1" x14ac:dyDescent="0.25">
      <c r="A12" s="217" t="s">
        <v>1301</v>
      </c>
      <c r="B12" s="64">
        <v>8.34</v>
      </c>
      <c r="C12" s="64">
        <v>3.21</v>
      </c>
      <c r="D12" s="64">
        <v>12.14</v>
      </c>
      <c r="E12" s="64">
        <v>4.6500000000000004</v>
      </c>
      <c r="F12" s="64">
        <v>4.34</v>
      </c>
      <c r="G12" s="64">
        <v>39.78</v>
      </c>
      <c r="H12" s="64">
        <v>9.73</v>
      </c>
      <c r="I12" s="64">
        <v>2.95</v>
      </c>
      <c r="J12" s="64">
        <v>0.2</v>
      </c>
      <c r="K12" s="64">
        <v>331.74</v>
      </c>
      <c r="L12" s="64">
        <v>24.24</v>
      </c>
      <c r="M12" s="64">
        <v>92.09</v>
      </c>
      <c r="N12" s="64">
        <v>16.399999999999999</v>
      </c>
      <c r="O12" s="64">
        <v>0</v>
      </c>
      <c r="P12" s="64">
        <v>0.45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17" t="s">
        <v>1302</v>
      </c>
      <c r="B13" s="64">
        <v>8.31</v>
      </c>
      <c r="C13" s="64">
        <v>3.23</v>
      </c>
      <c r="D13" s="64">
        <v>12.13</v>
      </c>
      <c r="E13" s="64">
        <v>4.8499999999999996</v>
      </c>
      <c r="F13" s="64">
        <v>3.12</v>
      </c>
      <c r="G13" s="64">
        <v>39.78</v>
      </c>
      <c r="H13" s="64">
        <v>9.73</v>
      </c>
      <c r="I13" s="64">
        <v>3.04</v>
      </c>
      <c r="J13" s="64">
        <v>0.21</v>
      </c>
      <c r="K13" s="64">
        <v>6.14</v>
      </c>
      <c r="L13" s="64">
        <v>24.18</v>
      </c>
      <c r="M13" s="64">
        <v>92.72</v>
      </c>
      <c r="N13" s="64">
        <v>16.600000000000001</v>
      </c>
      <c r="O13" s="64">
        <v>0</v>
      </c>
      <c r="P13" s="64">
        <v>0.42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17" t="s">
        <v>1303</v>
      </c>
      <c r="B14" s="64">
        <v>8.36</v>
      </c>
      <c r="C14" s="64">
        <v>3.33</v>
      </c>
      <c r="D14" s="64">
        <v>12.22</v>
      </c>
      <c r="E14" s="64">
        <v>4.8</v>
      </c>
      <c r="F14" s="64">
        <v>2.85</v>
      </c>
      <c r="G14" s="64">
        <v>39.78</v>
      </c>
      <c r="H14" s="64">
        <v>9.73</v>
      </c>
      <c r="I14" s="64">
        <v>3.1</v>
      </c>
      <c r="J14" s="64">
        <v>0.38</v>
      </c>
      <c r="K14" s="64">
        <v>195.01</v>
      </c>
      <c r="L14" s="64">
        <v>24.02</v>
      </c>
      <c r="M14" s="64">
        <v>94.14</v>
      </c>
      <c r="N14" s="64">
        <v>16.600000000000001</v>
      </c>
      <c r="O14" s="64">
        <v>0</v>
      </c>
      <c r="P14" s="64">
        <v>0.41</v>
      </c>
      <c r="Q14" s="64">
        <v>9.27</v>
      </c>
      <c r="R14" s="198"/>
      <c r="S14" s="198"/>
      <c r="T14" s="198"/>
      <c r="U14" s="198"/>
    </row>
    <row r="15" spans="1:21" s="12" customFormat="1" x14ac:dyDescent="0.25">
      <c r="A15" s="217" t="s">
        <v>1304</v>
      </c>
      <c r="B15" s="64">
        <v>8.4</v>
      </c>
      <c r="C15" s="64">
        <v>3.43</v>
      </c>
      <c r="D15" s="64">
        <v>12.3</v>
      </c>
      <c r="E15" s="64">
        <v>4.76</v>
      </c>
      <c r="F15" s="64">
        <v>3.99</v>
      </c>
      <c r="G15" s="64">
        <v>36.99</v>
      </c>
      <c r="H15" s="64">
        <v>9.91</v>
      </c>
      <c r="I15" s="64">
        <v>3.02</v>
      </c>
      <c r="J15" s="64">
        <v>0.22</v>
      </c>
      <c r="K15" s="64">
        <v>181.39</v>
      </c>
      <c r="L15" s="64">
        <v>23.9</v>
      </c>
      <c r="M15" s="64">
        <v>95.5</v>
      </c>
      <c r="N15" s="64">
        <v>16.5</v>
      </c>
      <c r="O15" s="64">
        <v>0</v>
      </c>
      <c r="P15" s="64">
        <v>0.41</v>
      </c>
      <c r="Q15" s="64">
        <v>9.33</v>
      </c>
      <c r="R15" s="198"/>
      <c r="S15" s="198"/>
      <c r="T15" s="198"/>
      <c r="U15" s="198"/>
    </row>
    <row r="16" spans="1:21" s="12" customFormat="1" x14ac:dyDescent="0.25">
      <c r="A16" s="217" t="s">
        <v>1305</v>
      </c>
      <c r="B16" s="64">
        <v>8.2899999999999991</v>
      </c>
      <c r="C16" s="64">
        <v>3.22</v>
      </c>
      <c r="D16" s="64">
        <v>12.11</v>
      </c>
      <c r="E16" s="64">
        <v>4.8099999999999996</v>
      </c>
      <c r="F16" s="64">
        <v>4.3099999999999996</v>
      </c>
      <c r="G16" s="64">
        <v>32.799999999999997</v>
      </c>
      <c r="H16" s="64">
        <v>10.18</v>
      </c>
      <c r="I16" s="64">
        <v>2.99</v>
      </c>
      <c r="J16" s="64">
        <v>0.06</v>
      </c>
      <c r="K16" s="64">
        <v>280.33</v>
      </c>
      <c r="L16" s="64">
        <v>23.81</v>
      </c>
      <c r="M16" s="64">
        <v>96.38</v>
      </c>
      <c r="N16" s="64">
        <v>16.399999999999999</v>
      </c>
      <c r="O16" s="64">
        <v>0</v>
      </c>
      <c r="P16" s="64">
        <v>0.4</v>
      </c>
      <c r="Q16" s="64">
        <v>9.34</v>
      </c>
      <c r="R16" s="198"/>
      <c r="S16" s="198"/>
      <c r="T16" s="198"/>
      <c r="U16" s="198"/>
    </row>
    <row r="17" spans="1:21" s="12" customFormat="1" x14ac:dyDescent="0.25">
      <c r="A17" s="217" t="s">
        <v>1306</v>
      </c>
      <c r="B17" s="64">
        <v>8.27</v>
      </c>
      <c r="C17" s="64">
        <v>3.23</v>
      </c>
      <c r="D17" s="64">
        <v>12.1</v>
      </c>
      <c r="E17" s="64">
        <v>4.99</v>
      </c>
      <c r="F17" s="64">
        <v>2.42</v>
      </c>
      <c r="G17" s="64">
        <v>32.799999999999997</v>
      </c>
      <c r="H17" s="64">
        <v>10.18</v>
      </c>
      <c r="I17" s="64">
        <v>3.03</v>
      </c>
      <c r="J17" s="64">
        <v>0.3</v>
      </c>
      <c r="K17" s="64">
        <v>196.47</v>
      </c>
      <c r="L17" s="64">
        <v>23.77</v>
      </c>
      <c r="M17" s="64">
        <v>96.27</v>
      </c>
      <c r="N17" s="64">
        <v>16.3</v>
      </c>
      <c r="O17" s="64">
        <v>0</v>
      </c>
      <c r="P17" s="64">
        <v>0.38</v>
      </c>
      <c r="Q17" s="64">
        <v>9.23</v>
      </c>
      <c r="R17" s="198"/>
      <c r="S17" s="198"/>
      <c r="T17" s="198"/>
      <c r="U17" s="198"/>
    </row>
    <row r="18" spans="1:21" s="12" customFormat="1" x14ac:dyDescent="0.25">
      <c r="A18" s="217" t="s">
        <v>1307</v>
      </c>
      <c r="B18" s="64">
        <v>8.2899999999999991</v>
      </c>
      <c r="C18" s="64">
        <v>3.2</v>
      </c>
      <c r="D18" s="64">
        <v>12.1</v>
      </c>
      <c r="E18" s="64">
        <v>4.55</v>
      </c>
      <c r="F18" s="64">
        <v>3.28</v>
      </c>
      <c r="G18" s="64">
        <v>32.799999999999997</v>
      </c>
      <c r="H18" s="64">
        <v>10.18</v>
      </c>
      <c r="I18" s="64">
        <v>3.09</v>
      </c>
      <c r="J18" s="64">
        <v>0.09</v>
      </c>
      <c r="K18" s="64">
        <v>322.13</v>
      </c>
      <c r="L18" s="64">
        <v>23.69</v>
      </c>
      <c r="M18" s="64">
        <v>96.77</v>
      </c>
      <c r="N18" s="64">
        <v>16.3</v>
      </c>
      <c r="O18" s="64">
        <v>0</v>
      </c>
      <c r="P18" s="64">
        <v>0.37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7" t="s">
        <v>1308</v>
      </c>
      <c r="B19" s="64">
        <v>8.2799999999999994</v>
      </c>
      <c r="C19" s="64">
        <v>3.2</v>
      </c>
      <c r="D19" s="64">
        <v>12.09</v>
      </c>
      <c r="E19" s="64">
        <v>4.63</v>
      </c>
      <c r="F19" s="64">
        <v>4.33</v>
      </c>
      <c r="G19" s="64">
        <v>29.67</v>
      </c>
      <c r="H19" s="64">
        <v>9.0500000000000007</v>
      </c>
      <c r="I19" s="64">
        <v>3.13</v>
      </c>
      <c r="J19" s="64">
        <v>0.32</v>
      </c>
      <c r="K19" s="64">
        <v>196.21</v>
      </c>
      <c r="L19" s="64">
        <v>23.69</v>
      </c>
      <c r="M19" s="64">
        <v>96.74</v>
      </c>
      <c r="N19" s="64">
        <v>16.2</v>
      </c>
      <c r="O19" s="64">
        <v>0</v>
      </c>
      <c r="P19" s="64">
        <v>0.36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7" t="s">
        <v>1309</v>
      </c>
      <c r="B20" s="64">
        <v>8.3000000000000007</v>
      </c>
      <c r="C20" s="64">
        <v>3.3</v>
      </c>
      <c r="D20" s="64">
        <v>12.16</v>
      </c>
      <c r="E20" s="64">
        <v>4.95</v>
      </c>
      <c r="F20" s="64">
        <v>3.82</v>
      </c>
      <c r="G20" s="64">
        <v>24.97</v>
      </c>
      <c r="H20" s="64">
        <v>7.34</v>
      </c>
      <c r="I20" s="64">
        <v>3.02</v>
      </c>
      <c r="J20" s="64">
        <v>0.54</v>
      </c>
      <c r="K20" s="64">
        <v>187.83</v>
      </c>
      <c r="L20" s="64">
        <v>23.55</v>
      </c>
      <c r="M20" s="64">
        <v>97.95</v>
      </c>
      <c r="N20" s="64">
        <v>16.3</v>
      </c>
      <c r="O20" s="64">
        <v>0</v>
      </c>
      <c r="P20" s="64">
        <v>0.36</v>
      </c>
      <c r="Q20" s="64">
        <v>9.3699999999999992</v>
      </c>
      <c r="R20" s="198"/>
      <c r="S20" s="198"/>
      <c r="T20" s="198"/>
      <c r="U20" s="198"/>
    </row>
    <row r="21" spans="1:21" s="12" customFormat="1" x14ac:dyDescent="0.25">
      <c r="A21" s="217" t="s">
        <v>1310</v>
      </c>
      <c r="B21" s="64">
        <v>8.33</v>
      </c>
      <c r="C21" s="64">
        <v>3.34</v>
      </c>
      <c r="D21" s="64">
        <v>12.2</v>
      </c>
      <c r="E21" s="64">
        <v>4.8</v>
      </c>
      <c r="F21" s="64">
        <v>2.5299999999999998</v>
      </c>
      <c r="G21" s="64">
        <v>24.97</v>
      </c>
      <c r="H21" s="64">
        <v>7.34</v>
      </c>
      <c r="I21" s="64">
        <v>2.95</v>
      </c>
      <c r="J21" s="64">
        <v>0.49</v>
      </c>
      <c r="K21" s="64">
        <v>153.57</v>
      </c>
      <c r="L21" s="64">
        <v>23.43</v>
      </c>
      <c r="M21" s="64">
        <v>98.32</v>
      </c>
      <c r="N21" s="64">
        <v>16.3</v>
      </c>
      <c r="O21" s="64">
        <v>0</v>
      </c>
      <c r="P21" s="64">
        <v>0.34</v>
      </c>
      <c r="Q21" s="64">
        <v>9.3000000000000007</v>
      </c>
      <c r="R21" s="198"/>
      <c r="S21" s="198"/>
      <c r="T21" s="198"/>
      <c r="U21" s="198"/>
    </row>
    <row r="22" spans="1:21" s="12" customFormat="1" x14ac:dyDescent="0.25">
      <c r="A22" s="217" t="s">
        <v>1311</v>
      </c>
      <c r="B22" s="64">
        <v>8.31</v>
      </c>
      <c r="C22" s="64">
        <v>3.28</v>
      </c>
      <c r="D22" s="64">
        <v>12.16</v>
      </c>
      <c r="E22" s="64">
        <v>4.8899999999999997</v>
      </c>
      <c r="F22" s="64">
        <v>3.08</v>
      </c>
      <c r="G22" s="64">
        <v>24.97</v>
      </c>
      <c r="H22" s="64">
        <v>7.34</v>
      </c>
      <c r="I22" s="64">
        <v>3.01</v>
      </c>
      <c r="J22" s="64">
        <v>0.15</v>
      </c>
      <c r="K22" s="64">
        <v>298.57</v>
      </c>
      <c r="L22" s="64">
        <v>23.44</v>
      </c>
      <c r="M22" s="64">
        <v>98.29</v>
      </c>
      <c r="N22" s="64">
        <v>16.3</v>
      </c>
      <c r="O22" s="64">
        <v>0</v>
      </c>
      <c r="P22" s="64">
        <v>0.33</v>
      </c>
      <c r="Q22" s="64">
        <v>9.35</v>
      </c>
      <c r="R22" s="198"/>
      <c r="S22" s="198"/>
      <c r="T22" s="198"/>
      <c r="U22" s="198"/>
    </row>
    <row r="23" spans="1:21" s="12" customFormat="1" x14ac:dyDescent="0.25">
      <c r="A23" s="217" t="s">
        <v>1312</v>
      </c>
      <c r="B23" s="64">
        <v>8.3699999999999992</v>
      </c>
      <c r="C23" s="64">
        <v>3.28</v>
      </c>
      <c r="D23" s="64">
        <v>12.2</v>
      </c>
      <c r="E23" s="64">
        <v>4.3499999999999996</v>
      </c>
      <c r="F23" s="64">
        <v>3.36</v>
      </c>
      <c r="G23" s="64">
        <v>24.12</v>
      </c>
      <c r="H23" s="64">
        <v>7.07</v>
      </c>
      <c r="I23" s="64">
        <v>3.1</v>
      </c>
      <c r="J23" s="64">
        <v>0.18</v>
      </c>
      <c r="K23" s="64">
        <v>196.5</v>
      </c>
      <c r="L23" s="64">
        <v>23.41</v>
      </c>
      <c r="M23" s="64">
        <v>98.29</v>
      </c>
      <c r="N23" s="64">
        <v>16.3</v>
      </c>
      <c r="O23" s="64">
        <v>0</v>
      </c>
      <c r="P23" s="64">
        <v>0.32</v>
      </c>
      <c r="Q23" s="64">
        <v>9.3699999999999992</v>
      </c>
      <c r="R23" s="198"/>
      <c r="S23" s="198"/>
      <c r="T23" s="198"/>
      <c r="U23" s="198"/>
    </row>
    <row r="24" spans="1:21" s="12" customFormat="1" x14ac:dyDescent="0.25">
      <c r="A24" s="217" t="s">
        <v>1313</v>
      </c>
      <c r="B24" s="64">
        <v>8.34</v>
      </c>
      <c r="C24" s="64">
        <v>3.28</v>
      </c>
      <c r="D24" s="64">
        <v>12.18</v>
      </c>
      <c r="E24" s="64">
        <v>4.3099999999999996</v>
      </c>
      <c r="F24" s="64">
        <v>3.42</v>
      </c>
      <c r="G24" s="64">
        <v>22.86</v>
      </c>
      <c r="H24" s="64">
        <v>6.67</v>
      </c>
      <c r="I24" s="64">
        <v>3.15</v>
      </c>
      <c r="J24" s="64">
        <v>0.22</v>
      </c>
      <c r="K24" s="64">
        <v>160.66999999999999</v>
      </c>
      <c r="L24" s="64">
        <v>23.35</v>
      </c>
      <c r="M24" s="64">
        <v>98.28</v>
      </c>
      <c r="N24" s="64">
        <v>16.2</v>
      </c>
      <c r="O24" s="64">
        <v>0</v>
      </c>
      <c r="P24" s="64">
        <v>0.32</v>
      </c>
      <c r="Q24" s="64">
        <v>9.39</v>
      </c>
      <c r="R24" s="198"/>
      <c r="S24" s="198"/>
      <c r="T24" s="198"/>
      <c r="U24" s="198"/>
    </row>
    <row r="25" spans="1:21" s="12" customFormat="1" x14ac:dyDescent="0.25">
      <c r="A25" s="217" t="s">
        <v>1314</v>
      </c>
      <c r="B25" s="64">
        <v>8.36</v>
      </c>
      <c r="C25" s="64">
        <v>3.25</v>
      </c>
      <c r="D25" s="64">
        <v>12.17</v>
      </c>
      <c r="E25" s="64">
        <v>4.9400000000000004</v>
      </c>
      <c r="F25" s="64">
        <v>3.56</v>
      </c>
      <c r="G25" s="64">
        <v>22.86</v>
      </c>
      <c r="H25" s="64">
        <v>6.67</v>
      </c>
      <c r="I25" s="64">
        <v>3.31</v>
      </c>
      <c r="J25" s="64">
        <v>0.09</v>
      </c>
      <c r="K25" s="64">
        <v>79.63</v>
      </c>
      <c r="L25" s="64">
        <v>23.36</v>
      </c>
      <c r="M25" s="64">
        <v>98.27</v>
      </c>
      <c r="N25" s="64">
        <v>16.3</v>
      </c>
      <c r="O25" s="64">
        <v>0</v>
      </c>
      <c r="P25" s="64">
        <v>0.32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7" t="s">
        <v>1315</v>
      </c>
      <c r="B26" s="64">
        <v>8.36</v>
      </c>
      <c r="C26" s="64">
        <v>3.3</v>
      </c>
      <c r="D26" s="64">
        <v>12.21</v>
      </c>
      <c r="E26" s="64">
        <v>4.66</v>
      </c>
      <c r="F26" s="64">
        <v>3.44</v>
      </c>
      <c r="G26" s="64">
        <v>22.86</v>
      </c>
      <c r="H26" s="64">
        <v>6.67</v>
      </c>
      <c r="I26" s="64">
        <v>3.54</v>
      </c>
      <c r="J26" s="64">
        <v>0.4</v>
      </c>
      <c r="K26" s="64">
        <v>299.32</v>
      </c>
      <c r="L26" s="64">
        <v>23.36</v>
      </c>
      <c r="M26" s="64">
        <v>98.2</v>
      </c>
      <c r="N26" s="64">
        <v>16.3</v>
      </c>
      <c r="O26" s="64">
        <v>0</v>
      </c>
      <c r="P26" s="64">
        <v>0.31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7" t="s">
        <v>1316</v>
      </c>
      <c r="B27" s="64">
        <v>8.3699999999999992</v>
      </c>
      <c r="C27" s="64">
        <v>3.3</v>
      </c>
      <c r="D27" s="64">
        <v>12.21</v>
      </c>
      <c r="E27" s="64">
        <v>4.54</v>
      </c>
      <c r="F27" s="64">
        <v>3.49</v>
      </c>
      <c r="G27" s="64">
        <v>21.78</v>
      </c>
      <c r="H27" s="64">
        <v>5.87</v>
      </c>
      <c r="I27" s="64">
        <v>3.72</v>
      </c>
      <c r="J27" s="64">
        <v>0.13</v>
      </c>
      <c r="K27" s="64">
        <v>247.81</v>
      </c>
      <c r="L27" s="64">
        <v>23.31</v>
      </c>
      <c r="M27" s="64">
        <v>98.06</v>
      </c>
      <c r="N27" s="64">
        <v>16.2</v>
      </c>
      <c r="O27" s="64">
        <v>0</v>
      </c>
      <c r="P27" s="64">
        <v>0.31</v>
      </c>
      <c r="Q27" s="64">
        <v>9.42</v>
      </c>
      <c r="R27" s="198"/>
      <c r="S27" s="198"/>
      <c r="T27" s="198"/>
      <c r="U27" s="198"/>
    </row>
    <row r="28" spans="1:21" s="12" customFormat="1" x14ac:dyDescent="0.25">
      <c r="A28" s="217" t="s">
        <v>1317</v>
      </c>
      <c r="B28" s="64">
        <v>8.3699999999999992</v>
      </c>
      <c r="C28" s="64">
        <v>3.22</v>
      </c>
      <c r="D28" s="64">
        <v>12.17</v>
      </c>
      <c r="E28" s="64">
        <v>4.74</v>
      </c>
      <c r="F28" s="64">
        <v>3.3</v>
      </c>
      <c r="G28" s="64">
        <v>20.149999999999999</v>
      </c>
      <c r="H28" s="64">
        <v>4.67</v>
      </c>
      <c r="I28" s="64">
        <v>3.85</v>
      </c>
      <c r="J28" s="64">
        <v>0.08</v>
      </c>
      <c r="K28" s="64">
        <v>306.38</v>
      </c>
      <c r="L28" s="64">
        <v>23.28</v>
      </c>
      <c r="M28" s="64">
        <v>97.79</v>
      </c>
      <c r="N28" s="64">
        <v>16.3</v>
      </c>
      <c r="O28" s="64">
        <v>0</v>
      </c>
      <c r="P28" s="64">
        <v>0.31</v>
      </c>
      <c r="Q28" s="64">
        <v>9.42</v>
      </c>
      <c r="R28" s="198"/>
      <c r="S28" s="198"/>
      <c r="T28" s="198"/>
      <c r="U28" s="198"/>
    </row>
    <row r="29" spans="1:21" s="12" customFormat="1" x14ac:dyDescent="0.25">
      <c r="A29" s="217" t="s">
        <v>1318</v>
      </c>
      <c r="B29" s="64">
        <v>8.36</v>
      </c>
      <c r="C29" s="64">
        <v>3.18</v>
      </c>
      <c r="D29" s="64">
        <v>12.14</v>
      </c>
      <c r="E29" s="64">
        <v>5.08</v>
      </c>
      <c r="F29" s="64">
        <v>3.21</v>
      </c>
      <c r="G29" s="64">
        <v>20.149999999999999</v>
      </c>
      <c r="H29" s="64">
        <v>4.67</v>
      </c>
      <c r="I29" s="64">
        <v>4.0199999999999996</v>
      </c>
      <c r="J29" s="64">
        <v>0.09</v>
      </c>
      <c r="K29" s="64">
        <v>280.63</v>
      </c>
      <c r="L29" s="64">
        <v>23.22</v>
      </c>
      <c r="M29" s="64">
        <v>98</v>
      </c>
      <c r="N29" s="64">
        <v>16.5</v>
      </c>
      <c r="O29" s="64">
        <v>0</v>
      </c>
      <c r="P29" s="64">
        <v>0.3</v>
      </c>
      <c r="Q29" s="64">
        <v>9.42</v>
      </c>
      <c r="R29" s="198"/>
      <c r="S29" s="198"/>
      <c r="T29" s="198"/>
      <c r="U29" s="198"/>
    </row>
    <row r="30" spans="1:21" s="12" customFormat="1" x14ac:dyDescent="0.25">
      <c r="A30" s="217" t="s">
        <v>1319</v>
      </c>
      <c r="B30" s="64">
        <v>8.35</v>
      </c>
      <c r="C30" s="64">
        <v>3.19</v>
      </c>
      <c r="D30" s="64">
        <v>12.14</v>
      </c>
      <c r="E30" s="64">
        <v>4.8899999999999997</v>
      </c>
      <c r="F30" s="64">
        <v>3.89</v>
      </c>
      <c r="G30" s="64">
        <v>20.149999999999999</v>
      </c>
      <c r="H30" s="64">
        <v>4.67</v>
      </c>
      <c r="I30" s="64">
        <v>4.34</v>
      </c>
      <c r="J30" s="64">
        <v>0.18</v>
      </c>
      <c r="K30" s="64">
        <v>232.38</v>
      </c>
      <c r="L30" s="64">
        <v>23.22</v>
      </c>
      <c r="M30" s="64">
        <v>97.89</v>
      </c>
      <c r="N30" s="64">
        <v>18.5</v>
      </c>
      <c r="O30" s="64">
        <v>0</v>
      </c>
      <c r="P30" s="64">
        <v>0.3</v>
      </c>
      <c r="Q30" s="64">
        <v>9.43</v>
      </c>
      <c r="R30" s="198"/>
      <c r="S30" s="198"/>
      <c r="T30" s="198"/>
      <c r="U30" s="198"/>
    </row>
    <row r="31" spans="1:21" s="12" customFormat="1" x14ac:dyDescent="0.25">
      <c r="A31" s="217" t="s">
        <v>1320</v>
      </c>
      <c r="B31" s="64">
        <v>8.32</v>
      </c>
      <c r="C31" s="64">
        <v>3.26</v>
      </c>
      <c r="D31" s="64">
        <v>12.15</v>
      </c>
      <c r="E31" s="64">
        <v>5.12</v>
      </c>
      <c r="F31" s="64">
        <v>4.26</v>
      </c>
      <c r="G31" s="64">
        <v>20.420000000000002</v>
      </c>
      <c r="H31" s="64">
        <v>4.22</v>
      </c>
      <c r="I31" s="64">
        <v>4.5599999999999996</v>
      </c>
      <c r="J31" s="64">
        <v>0.28000000000000003</v>
      </c>
      <c r="K31" s="64">
        <v>208.3</v>
      </c>
      <c r="L31" s="64">
        <v>23.19</v>
      </c>
      <c r="M31" s="64">
        <v>98.27</v>
      </c>
      <c r="N31" s="64">
        <v>26.6</v>
      </c>
      <c r="O31" s="64">
        <v>0</v>
      </c>
      <c r="P31" s="64">
        <v>0.31</v>
      </c>
      <c r="Q31" s="64">
        <v>9.4</v>
      </c>
      <c r="R31" s="198"/>
      <c r="S31" s="198"/>
      <c r="T31" s="198"/>
      <c r="U31" s="198"/>
    </row>
    <row r="32" spans="1:21" s="12" customFormat="1" x14ac:dyDescent="0.25">
      <c r="A32" s="217" t="s">
        <v>1321</v>
      </c>
      <c r="B32" s="64">
        <v>8.31</v>
      </c>
      <c r="C32" s="64">
        <v>3.25</v>
      </c>
      <c r="D32" s="64">
        <v>12.13</v>
      </c>
      <c r="E32" s="64">
        <v>5.28</v>
      </c>
      <c r="F32" s="64">
        <v>3.09</v>
      </c>
      <c r="G32" s="64">
        <v>20.83</v>
      </c>
      <c r="H32" s="64">
        <v>3.55</v>
      </c>
      <c r="I32" s="64">
        <v>4.38</v>
      </c>
      <c r="J32" s="64">
        <v>0.21</v>
      </c>
      <c r="K32" s="64">
        <v>232.76</v>
      </c>
      <c r="L32" s="64">
        <v>23.21</v>
      </c>
      <c r="M32" s="64">
        <v>98.29</v>
      </c>
      <c r="N32" s="64">
        <v>36</v>
      </c>
      <c r="O32" s="64">
        <v>0</v>
      </c>
      <c r="P32" s="64">
        <v>0.3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7" t="s">
        <v>1322</v>
      </c>
      <c r="B33" s="64">
        <v>8.35</v>
      </c>
      <c r="C33" s="64">
        <v>3.33</v>
      </c>
      <c r="D33" s="64">
        <v>12.21</v>
      </c>
      <c r="E33" s="64">
        <v>4.95</v>
      </c>
      <c r="F33" s="64">
        <v>2.9</v>
      </c>
      <c r="G33" s="64">
        <v>20.83</v>
      </c>
      <c r="H33" s="64">
        <v>3.55</v>
      </c>
      <c r="I33" s="64">
        <v>4.21</v>
      </c>
      <c r="J33" s="64">
        <v>0.38</v>
      </c>
      <c r="K33" s="64">
        <v>352.1</v>
      </c>
      <c r="L33" s="64">
        <v>23.4</v>
      </c>
      <c r="M33" s="64">
        <v>98.19</v>
      </c>
      <c r="N33" s="64">
        <v>45.7</v>
      </c>
      <c r="O33" s="64">
        <v>0</v>
      </c>
      <c r="P33" s="64">
        <v>0.28999999999999998</v>
      </c>
      <c r="Q33" s="64">
        <v>9.2100000000000009</v>
      </c>
      <c r="R33" s="198"/>
      <c r="S33" s="198"/>
      <c r="T33" s="198"/>
      <c r="U33" s="198"/>
    </row>
    <row r="34" spans="1:21" s="12" customFormat="1" x14ac:dyDescent="0.25">
      <c r="A34" s="217" t="s">
        <v>1323</v>
      </c>
      <c r="B34" s="64">
        <v>8.4499999999999993</v>
      </c>
      <c r="C34" s="64">
        <v>3.52</v>
      </c>
      <c r="D34" s="64">
        <v>12.39</v>
      </c>
      <c r="E34" s="64">
        <v>4.84</v>
      </c>
      <c r="F34" s="64">
        <v>4.45</v>
      </c>
      <c r="G34" s="64">
        <v>20.83</v>
      </c>
      <c r="H34" s="64">
        <v>3.55</v>
      </c>
      <c r="I34" s="64">
        <v>4.1399999999999997</v>
      </c>
      <c r="J34" s="64">
        <v>0.24</v>
      </c>
      <c r="K34" s="64">
        <v>354.1</v>
      </c>
      <c r="L34" s="64">
        <v>23.54</v>
      </c>
      <c r="M34" s="64">
        <v>97.54</v>
      </c>
      <c r="N34" s="64">
        <v>47.1</v>
      </c>
      <c r="O34" s="64">
        <v>0</v>
      </c>
      <c r="P34" s="64">
        <v>0.28999999999999998</v>
      </c>
      <c r="Q34" s="64">
        <v>9.33</v>
      </c>
      <c r="R34" s="198"/>
      <c r="S34" s="198"/>
      <c r="T34" s="198"/>
      <c r="U34" s="198"/>
    </row>
    <row r="35" spans="1:21" s="12" customFormat="1" x14ac:dyDescent="0.25">
      <c r="A35" s="217" t="s">
        <v>1324</v>
      </c>
      <c r="B35" s="64">
        <v>8.32</v>
      </c>
      <c r="C35" s="64">
        <v>3.26</v>
      </c>
      <c r="D35" s="64">
        <v>12.15</v>
      </c>
      <c r="E35" s="64">
        <v>4.96</v>
      </c>
      <c r="F35" s="64">
        <v>3.44</v>
      </c>
      <c r="G35" s="64">
        <v>19.350000000000001</v>
      </c>
      <c r="H35" s="64">
        <v>4.41</v>
      </c>
      <c r="I35" s="64">
        <v>4.0199999999999996</v>
      </c>
      <c r="J35" s="64">
        <v>0.27</v>
      </c>
      <c r="K35" s="64">
        <v>21.1</v>
      </c>
      <c r="L35" s="64">
        <v>23.68</v>
      </c>
      <c r="M35" s="64">
        <v>96.56</v>
      </c>
      <c r="N35" s="64">
        <v>59.9</v>
      </c>
      <c r="O35" s="64">
        <v>0</v>
      </c>
      <c r="P35" s="64">
        <v>0.3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17" t="s">
        <v>1325</v>
      </c>
      <c r="B36" s="64">
        <v>8.31</v>
      </c>
      <c r="C36" s="64">
        <v>3.25</v>
      </c>
      <c r="D36" s="64">
        <v>12.14</v>
      </c>
      <c r="E36" s="64">
        <v>5.12</v>
      </c>
      <c r="F36" s="64">
        <v>2.7</v>
      </c>
      <c r="G36" s="64">
        <v>17.12</v>
      </c>
      <c r="H36" s="64">
        <v>5.7</v>
      </c>
      <c r="I36" s="64">
        <v>4.03</v>
      </c>
      <c r="J36" s="64">
        <v>0.52</v>
      </c>
      <c r="K36" s="64">
        <v>326.94</v>
      </c>
      <c r="L36" s="64">
        <v>23.93</v>
      </c>
      <c r="M36" s="64">
        <v>95.74</v>
      </c>
      <c r="N36" s="64">
        <v>87.2</v>
      </c>
      <c r="O36" s="64">
        <v>0</v>
      </c>
      <c r="P36" s="64">
        <v>0.28999999999999998</v>
      </c>
      <c r="Q36" s="64">
        <v>9.3000000000000007</v>
      </c>
      <c r="R36" s="198"/>
      <c r="S36" s="198"/>
      <c r="T36" s="198"/>
      <c r="U36" s="198"/>
    </row>
    <row r="37" spans="1:21" s="12" customFormat="1" x14ac:dyDescent="0.25">
      <c r="A37" s="217" t="s">
        <v>1326</v>
      </c>
      <c r="B37" s="64">
        <v>8.31</v>
      </c>
      <c r="C37" s="64">
        <v>3.2</v>
      </c>
      <c r="D37" s="64">
        <v>12.11</v>
      </c>
      <c r="E37" s="64">
        <v>4.91</v>
      </c>
      <c r="F37" s="64">
        <v>3.38</v>
      </c>
      <c r="G37" s="64">
        <v>17.12</v>
      </c>
      <c r="H37" s="64">
        <v>5.7</v>
      </c>
      <c r="I37" s="64">
        <v>4</v>
      </c>
      <c r="J37" s="64">
        <v>0.57999999999999996</v>
      </c>
      <c r="K37" s="64">
        <v>356.05</v>
      </c>
      <c r="L37" s="64">
        <v>24.25</v>
      </c>
      <c r="M37" s="64">
        <v>94.45</v>
      </c>
      <c r="N37" s="64">
        <v>98.4</v>
      </c>
      <c r="O37" s="64">
        <v>0</v>
      </c>
      <c r="P37" s="64">
        <v>0.28000000000000003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7" t="s">
        <v>1327</v>
      </c>
      <c r="B38" s="64">
        <v>8.3000000000000007</v>
      </c>
      <c r="C38" s="64">
        <v>3.19</v>
      </c>
      <c r="D38" s="64">
        <v>12.1</v>
      </c>
      <c r="E38" s="64">
        <v>4.87</v>
      </c>
      <c r="F38" s="64">
        <v>4.4800000000000004</v>
      </c>
      <c r="G38" s="64">
        <v>17.12</v>
      </c>
      <c r="H38" s="64">
        <v>5.7</v>
      </c>
      <c r="I38" s="64">
        <v>3.7</v>
      </c>
      <c r="J38" s="64">
        <v>0.45</v>
      </c>
      <c r="K38" s="64">
        <v>338.32</v>
      </c>
      <c r="L38" s="64">
        <v>24.24</v>
      </c>
      <c r="M38" s="64">
        <v>94.79</v>
      </c>
      <c r="N38" s="64">
        <v>111.2</v>
      </c>
      <c r="O38" s="64">
        <v>0</v>
      </c>
      <c r="P38" s="64">
        <v>0.32</v>
      </c>
      <c r="Q38" s="64">
        <v>9.43</v>
      </c>
      <c r="R38" s="198"/>
      <c r="S38" s="198"/>
      <c r="T38" s="198"/>
      <c r="U38" s="198"/>
    </row>
    <row r="39" spans="1:21" s="12" customFormat="1" x14ac:dyDescent="0.25">
      <c r="A39" s="217" t="s">
        <v>1328</v>
      </c>
      <c r="B39" s="64">
        <v>8.2899999999999991</v>
      </c>
      <c r="C39" s="64">
        <v>3.2</v>
      </c>
      <c r="D39" s="64">
        <v>12.09</v>
      </c>
      <c r="E39" s="64">
        <v>4.8499999999999996</v>
      </c>
      <c r="F39" s="64">
        <v>2.96</v>
      </c>
      <c r="G39" s="64">
        <v>20.53</v>
      </c>
      <c r="H39" s="64">
        <v>5.0199999999999996</v>
      </c>
      <c r="I39" s="64">
        <v>3.42</v>
      </c>
      <c r="J39" s="64">
        <v>0.36</v>
      </c>
      <c r="K39" s="64">
        <v>335.28</v>
      </c>
      <c r="L39" s="64">
        <v>24.29</v>
      </c>
      <c r="M39" s="64">
        <v>94.51</v>
      </c>
      <c r="N39" s="64">
        <v>62.8</v>
      </c>
      <c r="O39" s="64">
        <v>0</v>
      </c>
      <c r="P39" s="64">
        <v>0.32</v>
      </c>
      <c r="Q39" s="64">
        <v>9.3699999999999992</v>
      </c>
      <c r="R39" s="198"/>
      <c r="S39" s="198"/>
      <c r="T39" s="198"/>
      <c r="U39" s="198"/>
    </row>
    <row r="40" spans="1:21" s="12" customFormat="1" x14ac:dyDescent="0.25">
      <c r="A40" s="217" t="s">
        <v>1329</v>
      </c>
      <c r="B40" s="64">
        <v>8.31</v>
      </c>
      <c r="C40" s="64">
        <v>3.17</v>
      </c>
      <c r="D40" s="64">
        <v>12.09</v>
      </c>
      <c r="E40" s="64">
        <v>3.72</v>
      </c>
      <c r="F40" s="64">
        <v>2.65</v>
      </c>
      <c r="G40" s="64">
        <v>25.64</v>
      </c>
      <c r="H40" s="64">
        <v>3.99</v>
      </c>
      <c r="I40" s="64">
        <v>3.32</v>
      </c>
      <c r="J40" s="64">
        <v>0.42</v>
      </c>
      <c r="K40" s="64">
        <v>333.02</v>
      </c>
      <c r="L40" s="64">
        <v>24.16</v>
      </c>
      <c r="M40" s="64">
        <v>97.23</v>
      </c>
      <c r="N40" s="64">
        <v>93</v>
      </c>
      <c r="O40" s="64">
        <v>0.2</v>
      </c>
      <c r="P40" s="64">
        <v>0.31</v>
      </c>
      <c r="Q40" s="64">
        <v>9.35</v>
      </c>
      <c r="R40" s="198"/>
      <c r="S40" s="198"/>
      <c r="T40" s="198"/>
      <c r="U40" s="198"/>
    </row>
    <row r="41" spans="1:21" s="12" customFormat="1" x14ac:dyDescent="0.25">
      <c r="A41" s="217" t="s">
        <v>1330</v>
      </c>
      <c r="B41" s="64">
        <v>8.36</v>
      </c>
      <c r="C41" s="64">
        <v>3.29</v>
      </c>
      <c r="D41" s="64">
        <v>12.2</v>
      </c>
      <c r="E41" s="64">
        <v>4.2699999999999996</v>
      </c>
      <c r="F41" s="64">
        <v>3.08</v>
      </c>
      <c r="G41" s="64">
        <v>25.64</v>
      </c>
      <c r="H41" s="64">
        <v>3.99</v>
      </c>
      <c r="I41" s="64">
        <v>3.22</v>
      </c>
      <c r="J41" s="64">
        <v>0.35</v>
      </c>
      <c r="K41" s="64">
        <v>355.07</v>
      </c>
      <c r="L41" s="64">
        <v>23.88</v>
      </c>
      <c r="M41" s="64">
        <v>98.33</v>
      </c>
      <c r="N41" s="64">
        <v>162.1</v>
      </c>
      <c r="O41" s="64">
        <v>0</v>
      </c>
      <c r="P41" s="64">
        <v>0.31</v>
      </c>
      <c r="Q41" s="64">
        <v>9.39</v>
      </c>
      <c r="R41" s="198"/>
      <c r="S41" s="198"/>
      <c r="T41" s="198"/>
      <c r="U41" s="198"/>
    </row>
    <row r="42" spans="1:21" s="12" customFormat="1" x14ac:dyDescent="0.25">
      <c r="A42" s="217" t="s">
        <v>1331</v>
      </c>
      <c r="B42" s="64">
        <v>8.34</v>
      </c>
      <c r="C42" s="64">
        <v>3.29</v>
      </c>
      <c r="D42" s="64">
        <v>12.18</v>
      </c>
      <c r="E42" s="64">
        <v>4.21</v>
      </c>
      <c r="F42" s="64">
        <v>3.39</v>
      </c>
      <c r="G42" s="64">
        <v>25.64</v>
      </c>
      <c r="H42" s="64">
        <v>3.99</v>
      </c>
      <c r="I42" s="64">
        <v>3.1</v>
      </c>
      <c r="J42" s="64">
        <v>0.39</v>
      </c>
      <c r="K42" s="64">
        <v>327.04000000000002</v>
      </c>
      <c r="L42" s="64">
        <v>24.63</v>
      </c>
      <c r="M42" s="64">
        <v>97.74</v>
      </c>
      <c r="N42" s="64">
        <v>290.7</v>
      </c>
      <c r="O42" s="64">
        <v>0</v>
      </c>
      <c r="P42" s="64">
        <v>0.32</v>
      </c>
      <c r="Q42" s="64">
        <v>9.4</v>
      </c>
      <c r="R42" s="198"/>
      <c r="S42" s="198"/>
      <c r="T42" s="198"/>
      <c r="U42" s="198"/>
    </row>
    <row r="43" spans="1:21" s="12" customFormat="1" x14ac:dyDescent="0.25">
      <c r="A43" s="217" t="s">
        <v>1332</v>
      </c>
      <c r="B43" s="64">
        <v>8.3699999999999992</v>
      </c>
      <c r="C43" s="64">
        <v>3.31</v>
      </c>
      <c r="D43" s="64">
        <v>12.21</v>
      </c>
      <c r="E43" s="64">
        <v>4.49</v>
      </c>
      <c r="F43" s="64">
        <v>3.39</v>
      </c>
      <c r="G43" s="64">
        <v>25.95</v>
      </c>
      <c r="H43" s="64">
        <v>3.51</v>
      </c>
      <c r="I43" s="64">
        <v>3.06</v>
      </c>
      <c r="J43" s="64">
        <v>0.24</v>
      </c>
      <c r="K43" s="64">
        <v>341.06</v>
      </c>
      <c r="L43" s="64">
        <v>25.75</v>
      </c>
      <c r="M43" s="64">
        <v>94.15</v>
      </c>
      <c r="N43" s="64">
        <v>410.6</v>
      </c>
      <c r="O43" s="64">
        <v>0</v>
      </c>
      <c r="P43" s="64">
        <v>0.32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7" t="s">
        <v>1333</v>
      </c>
      <c r="B44" s="64">
        <v>8.36</v>
      </c>
      <c r="C44" s="64">
        <v>3.24</v>
      </c>
      <c r="D44" s="64">
        <v>12.17</v>
      </c>
      <c r="E44" s="64">
        <v>4.03</v>
      </c>
      <c r="F44" s="64">
        <v>3.27</v>
      </c>
      <c r="G44" s="64">
        <v>26.41</v>
      </c>
      <c r="H44" s="64">
        <v>2.8</v>
      </c>
      <c r="I44" s="64">
        <v>3.07</v>
      </c>
      <c r="J44" s="64">
        <v>0.59</v>
      </c>
      <c r="K44" s="64">
        <v>338.62</v>
      </c>
      <c r="L44" s="64">
        <v>26.69</v>
      </c>
      <c r="M44" s="64">
        <v>87.11</v>
      </c>
      <c r="N44" s="64">
        <v>351.2</v>
      </c>
      <c r="O44" s="64">
        <v>0</v>
      </c>
      <c r="P44" s="64">
        <v>0.33</v>
      </c>
      <c r="Q44" s="64">
        <v>9.44</v>
      </c>
      <c r="R44" s="198"/>
      <c r="S44" s="198"/>
      <c r="T44" s="198"/>
      <c r="U44" s="198"/>
    </row>
    <row r="45" spans="1:21" s="12" customFormat="1" x14ac:dyDescent="0.25">
      <c r="A45" s="217" t="s">
        <v>1334</v>
      </c>
      <c r="B45" s="64">
        <v>8.3800000000000008</v>
      </c>
      <c r="C45" s="64">
        <v>3.3</v>
      </c>
      <c r="D45" s="64">
        <v>12.22</v>
      </c>
      <c r="E45" s="64">
        <v>4.28</v>
      </c>
      <c r="F45" s="64">
        <v>3.69</v>
      </c>
      <c r="G45" s="64">
        <v>26.41</v>
      </c>
      <c r="H45" s="64">
        <v>2.8</v>
      </c>
      <c r="I45" s="64">
        <v>3.07</v>
      </c>
      <c r="J45" s="64">
        <v>0.62</v>
      </c>
      <c r="K45" s="64">
        <v>353.33</v>
      </c>
      <c r="L45" s="64">
        <v>26.86</v>
      </c>
      <c r="M45" s="64">
        <v>83.5</v>
      </c>
      <c r="N45" s="64">
        <v>224.8</v>
      </c>
      <c r="O45" s="64">
        <v>0</v>
      </c>
      <c r="P45" s="64">
        <v>0.33</v>
      </c>
      <c r="Q45" s="64">
        <v>9.44</v>
      </c>
      <c r="R45" s="198"/>
      <c r="S45" s="198"/>
      <c r="T45" s="198"/>
      <c r="U45" s="198"/>
    </row>
    <row r="46" spans="1:21" s="12" customFormat="1" x14ac:dyDescent="0.25">
      <c r="A46" s="217" t="s">
        <v>1335</v>
      </c>
      <c r="B46" s="64">
        <v>8.39</v>
      </c>
      <c r="C46" s="64">
        <v>3.35</v>
      </c>
      <c r="D46" s="64">
        <v>12.25</v>
      </c>
      <c r="E46" s="64">
        <v>4.04</v>
      </c>
      <c r="F46" s="64">
        <v>4.41</v>
      </c>
      <c r="G46" s="64">
        <v>26.41</v>
      </c>
      <c r="H46" s="64">
        <v>2.8</v>
      </c>
      <c r="I46" s="64">
        <v>2.96</v>
      </c>
      <c r="J46" s="64">
        <v>0.66</v>
      </c>
      <c r="K46" s="64">
        <v>355.95</v>
      </c>
      <c r="L46" s="64">
        <v>26.68</v>
      </c>
      <c r="M46" s="64">
        <v>82.81</v>
      </c>
      <c r="N46" s="64">
        <v>318.8</v>
      </c>
      <c r="O46" s="64">
        <v>0</v>
      </c>
      <c r="P46" s="64">
        <v>0.34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7" t="s">
        <v>1336</v>
      </c>
      <c r="B47" s="64">
        <v>8.36</v>
      </c>
      <c r="C47" s="64">
        <v>3.28</v>
      </c>
      <c r="D47" s="64">
        <v>12.19</v>
      </c>
      <c r="E47" s="64">
        <v>4.32</v>
      </c>
      <c r="F47" s="64">
        <v>4.46</v>
      </c>
      <c r="G47" s="64">
        <v>27.82</v>
      </c>
      <c r="H47" s="64">
        <v>8.92</v>
      </c>
      <c r="I47" s="64">
        <v>2.71</v>
      </c>
      <c r="J47" s="64">
        <v>0.67</v>
      </c>
      <c r="K47" s="64">
        <v>8.85</v>
      </c>
      <c r="L47" s="64">
        <v>26.89</v>
      </c>
      <c r="M47" s="64">
        <v>81.75</v>
      </c>
      <c r="N47" s="64">
        <v>321.3</v>
      </c>
      <c r="O47" s="64">
        <v>0</v>
      </c>
      <c r="P47" s="64">
        <v>0.36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7" t="s">
        <v>1337</v>
      </c>
      <c r="B48" s="64">
        <v>8.35</v>
      </c>
      <c r="C48" s="64">
        <v>3.28</v>
      </c>
      <c r="D48" s="64">
        <v>12.19</v>
      </c>
      <c r="E48" s="64">
        <v>4.3899999999999997</v>
      </c>
      <c r="F48" s="64">
        <v>7.74</v>
      </c>
      <c r="G48" s="64">
        <v>29.92</v>
      </c>
      <c r="H48" s="64">
        <v>17.7</v>
      </c>
      <c r="I48" s="64">
        <v>2.44</v>
      </c>
      <c r="J48" s="64">
        <v>0.54</v>
      </c>
      <c r="K48" s="64">
        <v>354.1</v>
      </c>
      <c r="L48" s="64">
        <v>27.41</v>
      </c>
      <c r="M48" s="64">
        <v>80.010000000000005</v>
      </c>
      <c r="N48" s="64">
        <v>372.5</v>
      </c>
      <c r="O48" s="64">
        <v>0</v>
      </c>
      <c r="P48" s="64">
        <v>0.42</v>
      </c>
      <c r="Q48" s="64">
        <v>9.33</v>
      </c>
      <c r="R48" s="198"/>
      <c r="S48" s="198"/>
      <c r="T48" s="198"/>
      <c r="U48" s="198"/>
    </row>
    <row r="49" spans="1:21" s="12" customFormat="1" x14ac:dyDescent="0.25">
      <c r="A49" s="217" t="s">
        <v>1338</v>
      </c>
      <c r="B49" s="64">
        <v>8.32</v>
      </c>
      <c r="C49" s="64">
        <v>3.36</v>
      </c>
      <c r="D49" s="64">
        <v>12.2</v>
      </c>
      <c r="E49" s="64">
        <v>4.84</v>
      </c>
      <c r="F49" s="64">
        <v>5.73</v>
      </c>
      <c r="G49" s="64">
        <v>29.92</v>
      </c>
      <c r="H49" s="64">
        <v>17.7</v>
      </c>
      <c r="I49" s="64">
        <v>2.25</v>
      </c>
      <c r="J49" s="64">
        <v>0.53</v>
      </c>
      <c r="K49" s="64">
        <v>349.11</v>
      </c>
      <c r="L49" s="64">
        <v>27.67</v>
      </c>
      <c r="M49" s="64">
        <v>79.23</v>
      </c>
      <c r="N49" s="64">
        <v>443.4</v>
      </c>
      <c r="O49" s="64">
        <v>0</v>
      </c>
      <c r="P49" s="64">
        <v>0.57999999999999996</v>
      </c>
      <c r="Q49" s="64">
        <v>9.26</v>
      </c>
      <c r="R49" s="198"/>
      <c r="S49" s="198"/>
      <c r="T49" s="198"/>
      <c r="U49" s="198"/>
    </row>
    <row r="50" spans="1:21" s="12" customFormat="1" x14ac:dyDescent="0.25">
      <c r="A50" s="217" t="s">
        <v>1339</v>
      </c>
      <c r="B50" s="64">
        <v>8.33</v>
      </c>
      <c r="C50" s="64">
        <v>3.46</v>
      </c>
      <c r="D50" s="64">
        <v>12.26</v>
      </c>
      <c r="E50" s="64">
        <v>4.18</v>
      </c>
      <c r="F50" s="64">
        <v>5.58</v>
      </c>
      <c r="G50" s="64">
        <v>29.92</v>
      </c>
      <c r="H50" s="64">
        <v>17.7</v>
      </c>
      <c r="I50" s="64">
        <v>2.52</v>
      </c>
      <c r="J50" s="64">
        <v>0.61</v>
      </c>
      <c r="K50" s="64">
        <v>3.79</v>
      </c>
      <c r="L50" s="64">
        <v>27.86</v>
      </c>
      <c r="M50" s="64">
        <v>77.14</v>
      </c>
      <c r="N50" s="64">
        <v>348.9</v>
      </c>
      <c r="O50" s="64">
        <v>0</v>
      </c>
      <c r="P50" s="64">
        <v>0.56999999999999995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7" t="s">
        <v>1340</v>
      </c>
      <c r="B51" s="64">
        <v>8.31</v>
      </c>
      <c r="C51" s="64">
        <v>3.33</v>
      </c>
      <c r="D51" s="64">
        <v>12.18</v>
      </c>
      <c r="E51" s="64">
        <v>4.34</v>
      </c>
      <c r="F51" s="64">
        <v>6.62</v>
      </c>
      <c r="G51" s="64">
        <v>27.79</v>
      </c>
      <c r="H51" s="64">
        <v>15.96</v>
      </c>
      <c r="I51" s="64">
        <v>2.77</v>
      </c>
      <c r="J51" s="64">
        <v>0.57999999999999996</v>
      </c>
      <c r="K51" s="64">
        <v>356.25</v>
      </c>
      <c r="L51" s="64">
        <v>27.59</v>
      </c>
      <c r="M51" s="64">
        <v>77.739999999999995</v>
      </c>
      <c r="N51" s="64">
        <v>483.2</v>
      </c>
      <c r="O51" s="64">
        <v>0</v>
      </c>
      <c r="P51" s="64">
        <v>0.55000000000000004</v>
      </c>
      <c r="Q51" s="64">
        <v>9.3699999999999992</v>
      </c>
      <c r="R51" s="198"/>
      <c r="S51" s="198"/>
      <c r="T51" s="198"/>
      <c r="U51" s="198"/>
    </row>
    <row r="52" spans="1:21" s="12" customFormat="1" x14ac:dyDescent="0.25">
      <c r="A52" s="217" t="s">
        <v>1341</v>
      </c>
      <c r="B52" s="64">
        <v>8.31</v>
      </c>
      <c r="C52" s="64">
        <v>3.33</v>
      </c>
      <c r="D52" s="64">
        <v>12.18</v>
      </c>
      <c r="E52" s="64">
        <v>4.4000000000000004</v>
      </c>
      <c r="F52" s="64">
        <v>5.32</v>
      </c>
      <c r="G52" s="64">
        <v>24.6</v>
      </c>
      <c r="H52" s="64">
        <v>13.48</v>
      </c>
      <c r="I52" s="64">
        <v>2.64</v>
      </c>
      <c r="J52" s="64">
        <v>0.63</v>
      </c>
      <c r="K52" s="64">
        <v>358.03</v>
      </c>
      <c r="L52" s="64">
        <v>27.73</v>
      </c>
      <c r="M52" s="64">
        <v>76.41</v>
      </c>
      <c r="N52" s="64">
        <v>401.3</v>
      </c>
      <c r="O52" s="64">
        <v>0</v>
      </c>
      <c r="P52" s="64">
        <v>0.55000000000000004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7" t="s">
        <v>1342</v>
      </c>
      <c r="B53" s="64">
        <v>8.27</v>
      </c>
      <c r="C53" s="64">
        <v>3.25</v>
      </c>
      <c r="D53" s="64">
        <v>12.11</v>
      </c>
      <c r="E53" s="64">
        <v>4.2300000000000004</v>
      </c>
      <c r="F53" s="64">
        <v>4.0199999999999996</v>
      </c>
      <c r="G53" s="64">
        <v>24.6</v>
      </c>
      <c r="H53" s="64">
        <v>13.48</v>
      </c>
      <c r="I53" s="64">
        <v>2.4700000000000002</v>
      </c>
      <c r="J53" s="64">
        <v>0.59</v>
      </c>
      <c r="K53" s="64">
        <v>347.54</v>
      </c>
      <c r="L53" s="64">
        <v>29.18</v>
      </c>
      <c r="M53" s="64">
        <v>70.849999999999994</v>
      </c>
      <c r="N53" s="64">
        <v>663.2</v>
      </c>
      <c r="O53" s="64">
        <v>0</v>
      </c>
      <c r="P53" s="64">
        <v>0.55000000000000004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7" t="s">
        <v>1343</v>
      </c>
      <c r="B54" s="64">
        <v>8.3000000000000007</v>
      </c>
      <c r="C54" s="64">
        <v>3.27</v>
      </c>
      <c r="D54" s="64">
        <v>12.14</v>
      </c>
      <c r="E54" s="64">
        <v>4.55</v>
      </c>
      <c r="F54" s="64">
        <v>6.39</v>
      </c>
      <c r="G54" s="64">
        <v>24.6</v>
      </c>
      <c r="H54" s="64">
        <v>13.48</v>
      </c>
      <c r="I54" s="64">
        <v>2.37</v>
      </c>
      <c r="J54" s="64">
        <v>0.51</v>
      </c>
      <c r="K54" s="64">
        <v>351.46</v>
      </c>
      <c r="L54" s="64">
        <v>29.11</v>
      </c>
      <c r="M54" s="64">
        <v>70.61</v>
      </c>
      <c r="N54" s="64">
        <v>487.5</v>
      </c>
      <c r="O54" s="64">
        <v>0</v>
      </c>
      <c r="P54" s="64">
        <v>0.55000000000000004</v>
      </c>
      <c r="Q54" s="64">
        <v>9.2899999999999991</v>
      </c>
      <c r="R54" s="198"/>
      <c r="S54" s="198"/>
      <c r="T54" s="198"/>
      <c r="U54" s="198"/>
    </row>
    <row r="55" spans="1:21" s="12" customFormat="1" x14ac:dyDescent="0.25">
      <c r="A55" s="217" t="s">
        <v>1344</v>
      </c>
      <c r="B55" s="64">
        <v>8.3000000000000007</v>
      </c>
      <c r="C55" s="64">
        <v>3.34</v>
      </c>
      <c r="D55" s="64">
        <v>12.17</v>
      </c>
      <c r="E55" s="64">
        <v>4.1399999999999997</v>
      </c>
      <c r="F55" s="64">
        <v>6.32</v>
      </c>
      <c r="G55" s="64">
        <v>32.56</v>
      </c>
      <c r="H55" s="64">
        <v>13.84</v>
      </c>
      <c r="I55" s="64">
        <v>2.31</v>
      </c>
      <c r="J55" s="64">
        <v>0.59</v>
      </c>
      <c r="K55" s="64">
        <v>341.51</v>
      </c>
      <c r="L55" s="64">
        <v>28.93</v>
      </c>
      <c r="M55" s="64">
        <v>72.05</v>
      </c>
      <c r="N55" s="64">
        <v>779.3</v>
      </c>
      <c r="O55" s="64">
        <v>0</v>
      </c>
      <c r="P55" s="64">
        <v>0.54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7" t="s">
        <v>1345</v>
      </c>
      <c r="B56" s="64">
        <v>8.3000000000000007</v>
      </c>
      <c r="C56" s="64">
        <v>3.23</v>
      </c>
      <c r="D56" s="64">
        <v>12.12</v>
      </c>
      <c r="E56" s="64">
        <v>4.17</v>
      </c>
      <c r="F56" s="64">
        <v>5.22</v>
      </c>
      <c r="G56" s="64">
        <v>44.51</v>
      </c>
      <c r="H56" s="64">
        <v>14.38</v>
      </c>
      <c r="I56" s="64">
        <v>2.21</v>
      </c>
      <c r="J56" s="64">
        <v>0.52</v>
      </c>
      <c r="K56" s="64">
        <v>345.94</v>
      </c>
      <c r="L56" s="64">
        <v>29.43</v>
      </c>
      <c r="M56" s="64">
        <v>70.27</v>
      </c>
      <c r="N56" s="64">
        <v>647.9</v>
      </c>
      <c r="O56" s="64">
        <v>0</v>
      </c>
      <c r="P56" s="64">
        <v>0.54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17" t="s">
        <v>1346</v>
      </c>
      <c r="B57" s="64">
        <v>8.27</v>
      </c>
      <c r="C57" s="64">
        <v>3.23</v>
      </c>
      <c r="D57" s="64">
        <v>12.09</v>
      </c>
      <c r="E57" s="64">
        <v>4.0999999999999996</v>
      </c>
      <c r="F57" s="64">
        <v>4.76</v>
      </c>
      <c r="G57" s="64">
        <v>44.51</v>
      </c>
      <c r="H57" s="64">
        <v>14.38</v>
      </c>
      <c r="I57" s="64">
        <v>2.13</v>
      </c>
      <c r="J57" s="64">
        <v>0.63</v>
      </c>
      <c r="K57" s="64">
        <v>337.12</v>
      </c>
      <c r="L57" s="64">
        <v>30.36</v>
      </c>
      <c r="M57" s="64">
        <v>66.03</v>
      </c>
      <c r="N57" s="64">
        <v>860.9</v>
      </c>
      <c r="O57" s="64">
        <v>0</v>
      </c>
      <c r="P57" s="64">
        <v>0.53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7" t="s">
        <v>1347</v>
      </c>
      <c r="B58" s="64">
        <v>8.2899999999999991</v>
      </c>
      <c r="C58" s="64">
        <v>3.23</v>
      </c>
      <c r="D58" s="64">
        <v>12.11</v>
      </c>
      <c r="E58" s="64">
        <v>3.98</v>
      </c>
      <c r="F58" s="64">
        <v>6.5</v>
      </c>
      <c r="G58" s="64">
        <v>44.51</v>
      </c>
      <c r="H58" s="64">
        <v>14.38</v>
      </c>
      <c r="I58" s="64">
        <v>2.08</v>
      </c>
      <c r="J58" s="64">
        <v>0.62</v>
      </c>
      <c r="K58" s="64">
        <v>328.78</v>
      </c>
      <c r="L58" s="64">
        <v>31.56</v>
      </c>
      <c r="M58" s="64">
        <v>63.23</v>
      </c>
      <c r="N58" s="64">
        <v>669.7</v>
      </c>
      <c r="O58" s="64">
        <v>0</v>
      </c>
      <c r="P58" s="64">
        <v>0.52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7" t="s">
        <v>1348</v>
      </c>
      <c r="B59" s="64">
        <v>8.32</v>
      </c>
      <c r="C59" s="64">
        <v>3.41</v>
      </c>
      <c r="D59" s="64">
        <v>12.23</v>
      </c>
      <c r="E59" s="64">
        <v>3.64</v>
      </c>
      <c r="F59" s="64">
        <v>6.9</v>
      </c>
      <c r="G59" s="64">
        <v>40.69</v>
      </c>
      <c r="H59" s="64">
        <v>12.6</v>
      </c>
      <c r="I59" s="64">
        <v>2.02</v>
      </c>
      <c r="J59" s="64">
        <v>0.85</v>
      </c>
      <c r="K59" s="64">
        <v>325.7</v>
      </c>
      <c r="L59" s="64">
        <v>31.37</v>
      </c>
      <c r="M59" s="64">
        <v>63.1</v>
      </c>
      <c r="N59" s="64">
        <v>589</v>
      </c>
      <c r="O59" s="64">
        <v>0</v>
      </c>
      <c r="P59" s="64">
        <v>0.51</v>
      </c>
      <c r="Q59" s="64">
        <v>9.31</v>
      </c>
      <c r="R59" s="198"/>
      <c r="S59" s="198"/>
      <c r="T59" s="198"/>
      <c r="U59" s="198"/>
    </row>
    <row r="60" spans="1:21" s="12" customFormat="1" x14ac:dyDescent="0.25">
      <c r="A60" s="217" t="s">
        <v>1349</v>
      </c>
      <c r="B60" s="64">
        <v>8.32</v>
      </c>
      <c r="C60" s="64">
        <v>3.34</v>
      </c>
      <c r="D60" s="64">
        <v>12.19</v>
      </c>
      <c r="E60" s="64">
        <v>3.55</v>
      </c>
      <c r="F60" s="64">
        <v>5.8</v>
      </c>
      <c r="G60" s="64">
        <v>34.97</v>
      </c>
      <c r="H60" s="64">
        <v>10.06</v>
      </c>
      <c r="I60" s="64">
        <v>1.92</v>
      </c>
      <c r="J60" s="64">
        <v>0.71</v>
      </c>
      <c r="K60" s="64">
        <v>328.19</v>
      </c>
      <c r="L60" s="64">
        <v>31.66</v>
      </c>
      <c r="M60" s="64">
        <v>62.1</v>
      </c>
      <c r="N60" s="64">
        <v>378</v>
      </c>
      <c r="O60" s="64">
        <v>0</v>
      </c>
      <c r="P60" s="64">
        <v>0.49</v>
      </c>
      <c r="Q60" s="64">
        <v>9.2799999999999994</v>
      </c>
      <c r="R60" s="198"/>
      <c r="S60" s="198"/>
      <c r="T60" s="198"/>
      <c r="U60" s="198"/>
    </row>
    <row r="61" spans="1:21" s="12" customFormat="1" x14ac:dyDescent="0.25">
      <c r="A61" s="217" t="s">
        <v>1350</v>
      </c>
      <c r="B61" s="64">
        <v>8.33</v>
      </c>
      <c r="C61" s="64">
        <v>3.29</v>
      </c>
      <c r="D61" s="64">
        <v>12.17</v>
      </c>
      <c r="E61" s="64">
        <v>3.74</v>
      </c>
      <c r="F61" s="64">
        <v>5.84</v>
      </c>
      <c r="G61" s="64">
        <v>34.97</v>
      </c>
      <c r="H61" s="64">
        <v>10.06</v>
      </c>
      <c r="I61" s="64">
        <v>1.82</v>
      </c>
      <c r="J61" s="64">
        <v>0.63</v>
      </c>
      <c r="K61" s="64">
        <v>326.89</v>
      </c>
      <c r="L61" s="64">
        <v>31.06</v>
      </c>
      <c r="M61" s="64">
        <v>63.67</v>
      </c>
      <c r="N61" s="64">
        <v>400.8</v>
      </c>
      <c r="O61" s="64">
        <v>0</v>
      </c>
      <c r="P61" s="64">
        <v>0.47</v>
      </c>
      <c r="Q61" s="64">
        <v>9.3000000000000007</v>
      </c>
      <c r="R61" s="198"/>
      <c r="S61" s="198"/>
      <c r="T61" s="198"/>
      <c r="U61" s="198"/>
    </row>
    <row r="62" spans="1:21" s="12" customFormat="1" x14ac:dyDescent="0.25">
      <c r="A62" s="217" t="s">
        <v>1351</v>
      </c>
      <c r="B62" s="64">
        <v>8.34</v>
      </c>
      <c r="C62" s="64">
        <v>3.25</v>
      </c>
      <c r="D62" s="64">
        <v>12.16</v>
      </c>
      <c r="E62" s="64">
        <v>3.23</v>
      </c>
      <c r="F62" s="64">
        <v>6.23</v>
      </c>
      <c r="G62" s="64">
        <v>34.97</v>
      </c>
      <c r="H62" s="64">
        <v>10.06</v>
      </c>
      <c r="I62" s="64">
        <v>1.76</v>
      </c>
      <c r="J62" s="64">
        <v>0.57999999999999996</v>
      </c>
      <c r="K62" s="64">
        <v>342.58</v>
      </c>
      <c r="L62" s="64">
        <v>29.93</v>
      </c>
      <c r="M62" s="64">
        <v>66.42</v>
      </c>
      <c r="N62" s="64">
        <v>306.5</v>
      </c>
      <c r="O62" s="64">
        <v>0</v>
      </c>
      <c r="P62" s="64">
        <v>0.47</v>
      </c>
      <c r="Q62" s="64">
        <v>9.35</v>
      </c>
      <c r="R62" s="198"/>
      <c r="S62" s="198"/>
      <c r="T62" s="198"/>
      <c r="U62" s="198"/>
    </row>
    <row r="63" spans="1:21" s="12" customFormat="1" x14ac:dyDescent="0.25">
      <c r="A63" s="217" t="s">
        <v>1352</v>
      </c>
      <c r="B63" s="64">
        <v>8.32</v>
      </c>
      <c r="C63" s="64">
        <v>3.19</v>
      </c>
      <c r="D63" s="64">
        <v>12.12</v>
      </c>
      <c r="E63" s="64">
        <v>4.4000000000000004</v>
      </c>
      <c r="F63" s="64">
        <v>5.76</v>
      </c>
      <c r="G63" s="64">
        <v>44.38</v>
      </c>
      <c r="H63" s="64">
        <v>12</v>
      </c>
      <c r="I63" s="64">
        <v>1.7</v>
      </c>
      <c r="J63" s="64">
        <v>0.4</v>
      </c>
      <c r="K63" s="64">
        <v>345.25</v>
      </c>
      <c r="L63" s="64">
        <v>30.1</v>
      </c>
      <c r="M63" s="64">
        <v>67.040000000000006</v>
      </c>
      <c r="N63" s="64">
        <v>253.1</v>
      </c>
      <c r="O63" s="64">
        <v>0</v>
      </c>
      <c r="P63" s="64">
        <v>0.5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7" t="s">
        <v>1353</v>
      </c>
      <c r="B64" s="64">
        <v>8.3000000000000007</v>
      </c>
      <c r="C64" s="64">
        <v>3.19</v>
      </c>
      <c r="D64" s="64">
        <v>12.1</v>
      </c>
      <c r="E64" s="64">
        <v>3.77</v>
      </c>
      <c r="F64" s="64">
        <v>5.46</v>
      </c>
      <c r="G64" s="64">
        <v>57.86</v>
      </c>
      <c r="H64" s="64">
        <v>14.91</v>
      </c>
      <c r="I64" s="64">
        <v>1.66</v>
      </c>
      <c r="J64" s="64">
        <v>0.56999999999999995</v>
      </c>
      <c r="K64" s="64">
        <v>345.97</v>
      </c>
      <c r="L64" s="64">
        <v>29.59</v>
      </c>
      <c r="M64" s="64">
        <v>69.2</v>
      </c>
      <c r="N64" s="64">
        <v>264.5</v>
      </c>
      <c r="O64" s="64">
        <v>0</v>
      </c>
      <c r="P64" s="64">
        <v>0.52</v>
      </c>
      <c r="Q64" s="64">
        <v>9.3699999999999992</v>
      </c>
      <c r="R64" s="198"/>
      <c r="S64" s="198"/>
      <c r="T64" s="198"/>
      <c r="U64" s="198"/>
    </row>
    <row r="65" spans="1:21" s="12" customFormat="1" x14ac:dyDescent="0.25">
      <c r="A65" s="217" t="s">
        <v>1354</v>
      </c>
      <c r="B65" s="64">
        <v>8.33</v>
      </c>
      <c r="C65" s="64">
        <v>3.22</v>
      </c>
      <c r="D65" s="64">
        <v>12.14</v>
      </c>
      <c r="E65" s="64">
        <v>3.89</v>
      </c>
      <c r="F65" s="64">
        <v>8.91</v>
      </c>
      <c r="G65" s="64">
        <v>57.86</v>
      </c>
      <c r="H65" s="64">
        <v>14.91</v>
      </c>
      <c r="I65" s="64">
        <v>1.72</v>
      </c>
      <c r="J65" s="64">
        <v>0.54</v>
      </c>
      <c r="K65" s="64">
        <v>341.3</v>
      </c>
      <c r="L65" s="64">
        <v>29.62</v>
      </c>
      <c r="M65" s="64">
        <v>68.55</v>
      </c>
      <c r="N65" s="64">
        <v>246.1</v>
      </c>
      <c r="O65" s="64">
        <v>0</v>
      </c>
      <c r="P65" s="64">
        <v>0.55000000000000004</v>
      </c>
      <c r="Q65" s="64">
        <v>9.4</v>
      </c>
      <c r="R65" s="198"/>
      <c r="S65" s="198"/>
      <c r="T65" s="198"/>
      <c r="U65" s="198"/>
    </row>
    <row r="66" spans="1:21" s="12" customFormat="1" x14ac:dyDescent="0.25">
      <c r="A66" s="217" t="s">
        <v>1355</v>
      </c>
      <c r="B66" s="64">
        <v>8.31</v>
      </c>
      <c r="C66" s="64">
        <v>3.21</v>
      </c>
      <c r="D66" s="64">
        <v>12.11</v>
      </c>
      <c r="E66" s="64">
        <v>4.47</v>
      </c>
      <c r="F66" s="64">
        <v>16.649999999999999</v>
      </c>
      <c r="G66" s="64">
        <v>57.86</v>
      </c>
      <c r="H66" s="64">
        <v>14.91</v>
      </c>
      <c r="I66" s="64">
        <v>1.85</v>
      </c>
      <c r="J66" s="64">
        <v>0.46</v>
      </c>
      <c r="K66" s="64">
        <v>355.97</v>
      </c>
      <c r="L66" s="64">
        <v>29.11</v>
      </c>
      <c r="M66" s="64">
        <v>69.44</v>
      </c>
      <c r="N66" s="64">
        <v>245.1</v>
      </c>
      <c r="O66" s="64">
        <v>0</v>
      </c>
      <c r="P66" s="64">
        <v>0.43</v>
      </c>
      <c r="Q66" s="64">
        <v>9.43</v>
      </c>
      <c r="R66" s="198"/>
      <c r="S66" s="198"/>
      <c r="T66" s="198"/>
      <c r="U66" s="198"/>
    </row>
    <row r="67" spans="1:21" s="12" customFormat="1" x14ac:dyDescent="0.25">
      <c r="A67" s="217" t="s">
        <v>1356</v>
      </c>
      <c r="B67" s="64">
        <v>8.2799999999999994</v>
      </c>
      <c r="C67" s="64">
        <v>3.19</v>
      </c>
      <c r="D67" s="64">
        <v>12.08</v>
      </c>
      <c r="E67" s="64">
        <v>4.0599999999999996</v>
      </c>
      <c r="F67" s="64">
        <v>8.24</v>
      </c>
      <c r="G67" s="64">
        <v>49.31</v>
      </c>
      <c r="H67" s="64">
        <v>13.71</v>
      </c>
      <c r="I67" s="64">
        <v>1.75</v>
      </c>
      <c r="J67" s="64">
        <v>0.64</v>
      </c>
      <c r="K67" s="64">
        <v>1.27</v>
      </c>
      <c r="L67" s="64">
        <v>28.7</v>
      </c>
      <c r="M67" s="64">
        <v>73.33</v>
      </c>
      <c r="N67" s="64">
        <v>217.4</v>
      </c>
      <c r="O67" s="64">
        <v>0</v>
      </c>
      <c r="P67" s="64">
        <v>0.42</v>
      </c>
      <c r="Q67" s="64">
        <v>9.42</v>
      </c>
      <c r="R67" s="198"/>
      <c r="S67" s="198"/>
      <c r="T67" s="198"/>
      <c r="U67" s="198"/>
    </row>
    <row r="68" spans="1:21" s="12" customFormat="1" x14ac:dyDescent="0.25">
      <c r="A68" s="217" t="s">
        <v>1357</v>
      </c>
      <c r="B68" s="64">
        <v>8.27</v>
      </c>
      <c r="C68" s="64">
        <v>3.17</v>
      </c>
      <c r="D68" s="64">
        <v>12.06</v>
      </c>
      <c r="E68" s="64">
        <v>4.3899999999999997</v>
      </c>
      <c r="F68" s="64">
        <v>6.16</v>
      </c>
      <c r="G68" s="64">
        <v>37.07</v>
      </c>
      <c r="H68" s="64">
        <v>12.01</v>
      </c>
      <c r="I68" s="64">
        <v>1.47</v>
      </c>
      <c r="J68" s="64">
        <v>0.19</v>
      </c>
      <c r="K68" s="64">
        <v>346.77</v>
      </c>
      <c r="L68" s="64">
        <v>28.17</v>
      </c>
      <c r="M68" s="64">
        <v>76.02</v>
      </c>
      <c r="N68" s="64">
        <v>133.1</v>
      </c>
      <c r="O68" s="64">
        <v>0</v>
      </c>
      <c r="P68" s="64">
        <v>0.4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7" t="s">
        <v>1358</v>
      </c>
      <c r="B69" s="64">
        <v>8.31</v>
      </c>
      <c r="C69" s="64">
        <v>3.27</v>
      </c>
      <c r="D69" s="64">
        <v>12.14</v>
      </c>
      <c r="E69" s="64">
        <v>3.99</v>
      </c>
      <c r="F69" s="64">
        <v>5.24</v>
      </c>
      <c r="G69" s="64">
        <v>37.07</v>
      </c>
      <c r="H69" s="64">
        <v>12.01</v>
      </c>
      <c r="I69" s="64">
        <v>1.33</v>
      </c>
      <c r="J69" s="64">
        <v>0.12</v>
      </c>
      <c r="K69" s="64">
        <v>174.94</v>
      </c>
      <c r="L69" s="64">
        <v>27.38</v>
      </c>
      <c r="M69" s="64">
        <v>77.510000000000005</v>
      </c>
      <c r="N69" s="64">
        <v>121.9</v>
      </c>
      <c r="O69" s="64">
        <v>0</v>
      </c>
      <c r="P69" s="64">
        <v>0.39</v>
      </c>
      <c r="Q69" s="64">
        <v>9.33</v>
      </c>
      <c r="R69" s="198"/>
      <c r="S69" s="198"/>
      <c r="T69" s="198"/>
      <c r="U69" s="198"/>
    </row>
    <row r="70" spans="1:21" s="12" customFormat="1" x14ac:dyDescent="0.25">
      <c r="A70" s="217" t="s">
        <v>1359</v>
      </c>
      <c r="B70" s="64">
        <v>8.31</v>
      </c>
      <c r="C70" s="64">
        <v>3.27</v>
      </c>
      <c r="D70" s="64">
        <v>12.14</v>
      </c>
      <c r="E70" s="64">
        <v>3.38</v>
      </c>
      <c r="F70" s="64">
        <v>4.59</v>
      </c>
      <c r="G70" s="64">
        <v>37.07</v>
      </c>
      <c r="H70" s="64">
        <v>12.01</v>
      </c>
      <c r="I70" s="64">
        <v>1.35</v>
      </c>
      <c r="J70" s="64">
        <v>0.17</v>
      </c>
      <c r="K70" s="64">
        <v>313.92</v>
      </c>
      <c r="L70" s="64">
        <v>27.58</v>
      </c>
      <c r="M70" s="64">
        <v>77.66</v>
      </c>
      <c r="N70" s="64">
        <v>124.3</v>
      </c>
      <c r="O70" s="64">
        <v>0</v>
      </c>
      <c r="P70" s="64">
        <v>0.39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7" t="s">
        <v>1360</v>
      </c>
      <c r="B71" s="64">
        <v>8.35</v>
      </c>
      <c r="C71" s="64">
        <v>3.39</v>
      </c>
      <c r="D71" s="64">
        <v>12.24</v>
      </c>
      <c r="E71" s="64">
        <v>3.76</v>
      </c>
      <c r="F71" s="64">
        <v>4.03</v>
      </c>
      <c r="G71" s="64">
        <v>46.37</v>
      </c>
      <c r="H71" s="64">
        <v>10.58</v>
      </c>
      <c r="I71" s="64">
        <v>1.44</v>
      </c>
      <c r="J71" s="64">
        <v>0.49</v>
      </c>
      <c r="K71" s="64">
        <v>312.18</v>
      </c>
      <c r="L71" s="64">
        <v>27.98</v>
      </c>
      <c r="M71" s="64">
        <v>77.48</v>
      </c>
      <c r="N71" s="64">
        <v>128.69999999999999</v>
      </c>
      <c r="O71" s="64">
        <v>0</v>
      </c>
      <c r="P71" s="64">
        <v>0.39</v>
      </c>
      <c r="Q71" s="64">
        <v>9.33</v>
      </c>
      <c r="R71" s="198"/>
      <c r="S71" s="198"/>
      <c r="T71" s="198"/>
      <c r="U71" s="198"/>
    </row>
    <row r="72" spans="1:21" s="12" customFormat="1" x14ac:dyDescent="0.25">
      <c r="A72" s="217" t="s">
        <v>1361</v>
      </c>
      <c r="B72" s="64">
        <v>8.32</v>
      </c>
      <c r="C72" s="64">
        <v>3.28</v>
      </c>
      <c r="D72" s="64">
        <v>12.16</v>
      </c>
      <c r="E72" s="64">
        <v>3.95</v>
      </c>
      <c r="F72" s="64">
        <v>3.88</v>
      </c>
      <c r="G72" s="64">
        <v>60.32</v>
      </c>
      <c r="H72" s="64">
        <v>8.5299999999999994</v>
      </c>
      <c r="I72" s="64">
        <v>1.57</v>
      </c>
      <c r="J72" s="64">
        <v>0.44</v>
      </c>
      <c r="K72" s="64">
        <v>317.24</v>
      </c>
      <c r="L72" s="64">
        <v>28.54</v>
      </c>
      <c r="M72" s="64">
        <v>75.739999999999995</v>
      </c>
      <c r="N72" s="64">
        <v>128.30000000000001</v>
      </c>
      <c r="O72" s="64">
        <v>0</v>
      </c>
      <c r="P72" s="64">
        <v>0.4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7" t="s">
        <v>1362</v>
      </c>
      <c r="B73" s="64">
        <v>8.34</v>
      </c>
      <c r="C73" s="64">
        <v>3.23</v>
      </c>
      <c r="D73" s="64">
        <v>12.15</v>
      </c>
      <c r="E73" s="64">
        <v>3.48</v>
      </c>
      <c r="F73" s="64">
        <v>4.13</v>
      </c>
      <c r="G73" s="64">
        <v>60.32</v>
      </c>
      <c r="H73" s="64">
        <v>8.5299999999999994</v>
      </c>
      <c r="I73" s="64">
        <v>1.77</v>
      </c>
      <c r="J73" s="64">
        <v>0.28000000000000003</v>
      </c>
      <c r="K73" s="64">
        <v>301.36</v>
      </c>
      <c r="L73" s="64">
        <v>28.51</v>
      </c>
      <c r="M73" s="64">
        <v>76.02</v>
      </c>
      <c r="N73" s="64">
        <v>128.5</v>
      </c>
      <c r="O73" s="64">
        <v>0</v>
      </c>
      <c r="P73" s="64">
        <v>0.42</v>
      </c>
      <c r="Q73" s="64">
        <v>9.33</v>
      </c>
      <c r="R73" s="198"/>
      <c r="S73" s="198"/>
      <c r="T73" s="198"/>
      <c r="U73" s="198"/>
    </row>
    <row r="74" spans="1:21" s="12" customFormat="1" x14ac:dyDescent="0.25">
      <c r="A74" s="217" t="s">
        <v>1363</v>
      </c>
      <c r="B74" s="64">
        <v>8.32</v>
      </c>
      <c r="C74" s="64">
        <v>3.21</v>
      </c>
      <c r="D74" s="64">
        <v>12.13</v>
      </c>
      <c r="E74" s="64">
        <v>3.49</v>
      </c>
      <c r="F74" s="64">
        <v>4.43</v>
      </c>
      <c r="G74" s="64">
        <v>60.32</v>
      </c>
      <c r="H74" s="64">
        <v>8.5299999999999994</v>
      </c>
      <c r="I74" s="64">
        <v>2.09</v>
      </c>
      <c r="J74" s="64">
        <v>1.1200000000000001</v>
      </c>
      <c r="K74" s="64">
        <v>326.12</v>
      </c>
      <c r="L74" s="64">
        <v>28.71</v>
      </c>
      <c r="M74" s="64">
        <v>76.14</v>
      </c>
      <c r="N74" s="64">
        <v>79.3</v>
      </c>
      <c r="O74" s="64">
        <v>0</v>
      </c>
      <c r="P74" s="64">
        <v>0.45</v>
      </c>
      <c r="Q74" s="64">
        <v>9.4700000000000006</v>
      </c>
      <c r="R74" s="198"/>
      <c r="S74" s="198"/>
      <c r="T74" s="198"/>
      <c r="U74" s="198"/>
    </row>
    <row r="75" spans="1:21" s="12" customFormat="1" x14ac:dyDescent="0.25">
      <c r="A75" s="217" t="s">
        <v>1364</v>
      </c>
      <c r="B75" s="64">
        <v>8.2799999999999994</v>
      </c>
      <c r="C75" s="64">
        <v>3.18</v>
      </c>
      <c r="D75" s="64">
        <v>12.08</v>
      </c>
      <c r="E75" s="64">
        <v>3.93</v>
      </c>
      <c r="F75" s="64">
        <v>3.07</v>
      </c>
      <c r="G75" s="64">
        <v>63.93</v>
      </c>
      <c r="H75" s="64">
        <v>10.75</v>
      </c>
      <c r="I75" s="64">
        <v>2.44</v>
      </c>
      <c r="J75" s="64">
        <v>2.36</v>
      </c>
      <c r="K75" s="64">
        <v>338.47</v>
      </c>
      <c r="L75" s="64">
        <v>27.24</v>
      </c>
      <c r="M75" s="64">
        <v>78.48</v>
      </c>
      <c r="N75" s="64">
        <v>48.9</v>
      </c>
      <c r="O75" s="64">
        <v>0</v>
      </c>
      <c r="P75" s="64">
        <v>0.45</v>
      </c>
      <c r="Q75" s="64">
        <v>9.42</v>
      </c>
      <c r="R75" s="198"/>
      <c r="S75" s="198"/>
      <c r="T75" s="198"/>
      <c r="U75" s="198"/>
    </row>
    <row r="76" spans="1:21" s="12" customFormat="1" x14ac:dyDescent="0.25">
      <c r="A76" s="217" t="s">
        <v>1365</v>
      </c>
      <c r="B76" s="64">
        <v>8.3000000000000007</v>
      </c>
      <c r="C76" s="64">
        <v>3.22</v>
      </c>
      <c r="D76" s="64">
        <v>12.11</v>
      </c>
      <c r="E76" s="64">
        <v>3.96</v>
      </c>
      <c r="F76" s="64">
        <v>3.33</v>
      </c>
      <c r="G76" s="64">
        <v>69.099999999999994</v>
      </c>
      <c r="H76" s="64">
        <v>13.94</v>
      </c>
      <c r="I76" s="64">
        <v>2.65</v>
      </c>
      <c r="J76" s="64">
        <v>1.65</v>
      </c>
      <c r="K76" s="64">
        <v>334.24</v>
      </c>
      <c r="L76" s="64">
        <v>26.47</v>
      </c>
      <c r="M76" s="64">
        <v>81.52</v>
      </c>
      <c r="N76" s="64">
        <v>74.599999999999994</v>
      </c>
      <c r="O76" s="64">
        <v>0</v>
      </c>
      <c r="P76" s="64">
        <v>0.46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7" t="s">
        <v>1366</v>
      </c>
      <c r="B77" s="64">
        <v>8.32</v>
      </c>
      <c r="C77" s="64">
        <v>3.27</v>
      </c>
      <c r="D77" s="64">
        <v>12.16</v>
      </c>
      <c r="E77" s="64">
        <v>3.88</v>
      </c>
      <c r="F77" s="64">
        <v>4.09</v>
      </c>
      <c r="G77" s="64">
        <v>69.099999999999994</v>
      </c>
      <c r="H77" s="64">
        <v>13.94</v>
      </c>
      <c r="I77" s="64">
        <v>2.7</v>
      </c>
      <c r="J77" s="64">
        <v>1.42</v>
      </c>
      <c r="K77" s="64">
        <v>334.44</v>
      </c>
      <c r="L77" s="64">
        <v>26.27</v>
      </c>
      <c r="M77" s="64">
        <v>82.74</v>
      </c>
      <c r="N77" s="64">
        <v>64</v>
      </c>
      <c r="O77" s="64">
        <v>0</v>
      </c>
      <c r="P77" s="64">
        <v>0.48</v>
      </c>
      <c r="Q77" s="64">
        <v>9.49</v>
      </c>
      <c r="R77" s="198"/>
      <c r="S77" s="198"/>
      <c r="T77" s="198"/>
      <c r="U77" s="198"/>
    </row>
    <row r="78" spans="1:21" s="12" customFormat="1" x14ac:dyDescent="0.25">
      <c r="A78" s="217" t="s">
        <v>1367</v>
      </c>
      <c r="B78" s="64">
        <v>8.35</v>
      </c>
      <c r="C78" s="64">
        <v>3.26</v>
      </c>
      <c r="D78" s="64">
        <v>12.17</v>
      </c>
      <c r="E78" s="64">
        <v>4.01</v>
      </c>
      <c r="F78" s="64">
        <v>3.22</v>
      </c>
      <c r="G78" s="64">
        <v>69.099999999999994</v>
      </c>
      <c r="H78" s="64">
        <v>13.94</v>
      </c>
      <c r="I78" s="64">
        <v>2.77</v>
      </c>
      <c r="J78" s="64">
        <v>1.72</v>
      </c>
      <c r="K78" s="64">
        <v>339.46</v>
      </c>
      <c r="L78" s="64">
        <v>26.21</v>
      </c>
      <c r="M78" s="64">
        <v>84.11</v>
      </c>
      <c r="N78" s="64">
        <v>54.7</v>
      </c>
      <c r="O78" s="64">
        <v>0</v>
      </c>
      <c r="P78" s="64">
        <v>0.5</v>
      </c>
      <c r="Q78" s="64">
        <v>9.51</v>
      </c>
      <c r="R78" s="198"/>
      <c r="S78" s="198"/>
      <c r="T78" s="198"/>
      <c r="U78" s="198"/>
    </row>
    <row r="79" spans="1:21" s="12" customFormat="1" x14ac:dyDescent="0.25">
      <c r="A79" s="217" t="s">
        <v>1368</v>
      </c>
      <c r="B79" s="64">
        <v>8.43</v>
      </c>
      <c r="C79" s="64">
        <v>3.43</v>
      </c>
      <c r="D79" s="64">
        <v>12.33</v>
      </c>
      <c r="E79" s="64">
        <v>3.85</v>
      </c>
      <c r="F79" s="64">
        <v>3.33</v>
      </c>
      <c r="G79" s="64">
        <v>72.34</v>
      </c>
      <c r="H79" s="64">
        <v>12.22</v>
      </c>
      <c r="I79" s="64">
        <v>2.94</v>
      </c>
      <c r="J79" s="64">
        <v>2.12</v>
      </c>
      <c r="K79" s="64">
        <v>339.65</v>
      </c>
      <c r="L79" s="64">
        <v>25.89</v>
      </c>
      <c r="M79" s="64">
        <v>85.01</v>
      </c>
      <c r="N79" s="64">
        <v>48.9</v>
      </c>
      <c r="O79" s="64">
        <v>0</v>
      </c>
      <c r="P79" s="64">
        <v>0.52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7" t="s">
        <v>1369</v>
      </c>
      <c r="B80" s="64">
        <v>8.43</v>
      </c>
      <c r="C80" s="64">
        <v>3.39</v>
      </c>
      <c r="D80" s="64">
        <v>12.31</v>
      </c>
      <c r="E80" s="64">
        <v>4.1900000000000004</v>
      </c>
      <c r="F80" s="64">
        <v>3.48</v>
      </c>
      <c r="G80" s="64">
        <v>76.98</v>
      </c>
      <c r="H80" s="64">
        <v>9.76</v>
      </c>
      <c r="I80" s="64">
        <v>3.16</v>
      </c>
      <c r="J80" s="64">
        <v>2.0699999999999998</v>
      </c>
      <c r="K80" s="64">
        <v>333.81</v>
      </c>
      <c r="L80" s="64">
        <v>25.46</v>
      </c>
      <c r="M80" s="64">
        <v>86.74</v>
      </c>
      <c r="N80" s="64">
        <v>33.200000000000003</v>
      </c>
      <c r="O80" s="64">
        <v>0</v>
      </c>
      <c r="P80" s="64">
        <v>0.54</v>
      </c>
      <c r="Q80" s="64">
        <v>9.6</v>
      </c>
      <c r="R80" s="198"/>
      <c r="S80" s="198"/>
      <c r="T80" s="198"/>
      <c r="U80" s="198"/>
    </row>
    <row r="81" spans="1:26" s="12" customFormat="1" x14ac:dyDescent="0.25">
      <c r="A81" s="217" t="s">
        <v>1370</v>
      </c>
      <c r="B81" s="64">
        <v>8.39</v>
      </c>
      <c r="C81" s="64">
        <v>3.29</v>
      </c>
      <c r="D81" s="64">
        <v>12.22</v>
      </c>
      <c r="E81" s="64">
        <v>4.2</v>
      </c>
      <c r="F81" s="64">
        <v>3.62</v>
      </c>
      <c r="G81" s="64">
        <v>76.98</v>
      </c>
      <c r="H81" s="64">
        <v>9.76</v>
      </c>
      <c r="I81" s="64">
        <v>3.31</v>
      </c>
      <c r="J81" s="64">
        <v>1.83</v>
      </c>
      <c r="K81" s="64">
        <v>329.48</v>
      </c>
      <c r="L81" s="64">
        <v>24.94</v>
      </c>
      <c r="M81" s="64">
        <v>91.77</v>
      </c>
      <c r="N81" s="64">
        <v>29.3</v>
      </c>
      <c r="O81" s="64">
        <v>0</v>
      </c>
      <c r="P81" s="64">
        <v>0.56000000000000005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7" t="s">
        <v>1371</v>
      </c>
      <c r="B82" s="64">
        <v>8.3699999999999992</v>
      </c>
      <c r="C82" s="64">
        <v>3.27</v>
      </c>
      <c r="D82" s="64">
        <v>12.19</v>
      </c>
      <c r="E82" s="64">
        <v>4.09</v>
      </c>
      <c r="F82" s="64">
        <v>3.54</v>
      </c>
      <c r="G82" s="64">
        <v>76.98</v>
      </c>
      <c r="H82" s="64">
        <v>9.76</v>
      </c>
      <c r="I82" s="64">
        <v>3.32</v>
      </c>
      <c r="J82" s="64">
        <v>2.02</v>
      </c>
      <c r="K82" s="64">
        <v>342.8</v>
      </c>
      <c r="L82" s="64">
        <v>24.51</v>
      </c>
      <c r="M82" s="64">
        <v>93.47</v>
      </c>
      <c r="N82" s="64">
        <v>21.6</v>
      </c>
      <c r="O82" s="64">
        <v>0</v>
      </c>
      <c r="P82" s="64">
        <v>0.57999999999999996</v>
      </c>
      <c r="Q82" s="64">
        <v>9.7100000000000009</v>
      </c>
      <c r="R82" s="198"/>
      <c r="S82" s="198"/>
      <c r="T82" s="198"/>
      <c r="U82" s="198"/>
    </row>
    <row r="83" spans="1:26" s="12" customFormat="1" x14ac:dyDescent="0.25">
      <c r="A83" s="217" t="s">
        <v>1372</v>
      </c>
      <c r="B83" s="64">
        <v>8.41</v>
      </c>
      <c r="C83" s="64">
        <v>3.32</v>
      </c>
      <c r="D83" s="64">
        <v>12.25</v>
      </c>
      <c r="E83" s="64">
        <v>4.0199999999999996</v>
      </c>
      <c r="F83" s="64">
        <v>3.4</v>
      </c>
      <c r="G83" s="64">
        <v>79.7</v>
      </c>
      <c r="H83" s="64">
        <v>19.52</v>
      </c>
      <c r="I83" s="64">
        <v>3.24</v>
      </c>
      <c r="J83" s="64">
        <v>2.1</v>
      </c>
      <c r="K83" s="64">
        <v>339.87</v>
      </c>
      <c r="L83" s="64">
        <v>24.3</v>
      </c>
      <c r="M83" s="64">
        <v>92.75</v>
      </c>
      <c r="N83" s="64">
        <v>17.600000000000001</v>
      </c>
      <c r="O83" s="64">
        <v>0</v>
      </c>
      <c r="P83" s="64">
        <v>0.59</v>
      </c>
      <c r="Q83" s="64">
        <v>9.74</v>
      </c>
      <c r="R83" s="198"/>
      <c r="S83" s="198"/>
      <c r="T83" s="198"/>
      <c r="U83" s="198"/>
    </row>
    <row r="84" spans="1:26" s="12" customFormat="1" x14ac:dyDescent="0.25">
      <c r="A84" s="217" t="s">
        <v>1373</v>
      </c>
      <c r="B84" s="64">
        <v>8.52</v>
      </c>
      <c r="C84" s="64">
        <v>3.58</v>
      </c>
      <c r="D84" s="64">
        <v>12.48</v>
      </c>
      <c r="E84" s="64">
        <v>4.33</v>
      </c>
      <c r="F84" s="64">
        <v>3.21</v>
      </c>
      <c r="G84" s="64">
        <v>83.78</v>
      </c>
      <c r="H84" s="64">
        <v>33.520000000000003</v>
      </c>
      <c r="I84" s="64">
        <v>3.19</v>
      </c>
      <c r="J84" s="64">
        <v>1.4</v>
      </c>
      <c r="K84" s="64">
        <v>336.39</v>
      </c>
      <c r="L84" s="64">
        <v>24.32</v>
      </c>
      <c r="M84" s="64">
        <v>89.66</v>
      </c>
      <c r="N84" s="64">
        <v>16.399999999999999</v>
      </c>
      <c r="O84" s="64">
        <v>0</v>
      </c>
      <c r="P84" s="64">
        <v>0.59</v>
      </c>
      <c r="Q84" s="64">
        <v>9.7799999999999994</v>
      </c>
      <c r="R84" s="198"/>
      <c r="S84" s="198"/>
      <c r="T84" s="198"/>
      <c r="U84" s="198"/>
    </row>
    <row r="85" spans="1:26" s="12" customFormat="1" x14ac:dyDescent="0.25">
      <c r="A85" s="217" t="s">
        <v>1374</v>
      </c>
      <c r="B85" s="64">
        <v>8.51</v>
      </c>
      <c r="C85" s="64">
        <v>3.53</v>
      </c>
      <c r="D85" s="64">
        <v>12.44</v>
      </c>
      <c r="E85" s="64">
        <v>4.3899999999999997</v>
      </c>
      <c r="F85" s="64">
        <v>4.13</v>
      </c>
      <c r="G85" s="64">
        <v>83.78</v>
      </c>
      <c r="H85" s="64">
        <v>33.520000000000003</v>
      </c>
      <c r="I85" s="64">
        <v>3.26</v>
      </c>
      <c r="J85" s="64">
        <v>0.81</v>
      </c>
      <c r="K85" s="64">
        <v>322.08</v>
      </c>
      <c r="L85" s="64">
        <v>24.4</v>
      </c>
      <c r="M85" s="64">
        <v>88.2</v>
      </c>
      <c r="N85" s="64">
        <v>16.399999999999999</v>
      </c>
      <c r="O85" s="64">
        <v>0</v>
      </c>
      <c r="P85" s="64">
        <v>0.56000000000000005</v>
      </c>
      <c r="Q85" s="64">
        <v>9.82</v>
      </c>
      <c r="R85" s="198"/>
      <c r="S85" s="198"/>
      <c r="T85" s="198"/>
      <c r="U85" s="198"/>
    </row>
    <row r="86" spans="1:26" s="12" customFormat="1" x14ac:dyDescent="0.25">
      <c r="A86" s="217" t="s">
        <v>1375</v>
      </c>
      <c r="B86" s="64">
        <v>8.49</v>
      </c>
      <c r="C86" s="64">
        <v>3.5</v>
      </c>
      <c r="D86" s="64">
        <v>12.41</v>
      </c>
      <c r="E86" s="64">
        <v>4.26</v>
      </c>
      <c r="F86" s="64">
        <v>3.62</v>
      </c>
      <c r="G86" s="64">
        <v>83.78</v>
      </c>
      <c r="H86" s="64">
        <v>33.520000000000003</v>
      </c>
      <c r="I86" s="64">
        <v>3.34</v>
      </c>
      <c r="J86" s="64">
        <v>0.41</v>
      </c>
      <c r="K86" s="64">
        <v>334.35</v>
      </c>
      <c r="L86" s="64">
        <v>24.46</v>
      </c>
      <c r="M86" s="64">
        <v>88.18</v>
      </c>
      <c r="N86" s="64">
        <v>16.399999999999999</v>
      </c>
      <c r="O86" s="64">
        <v>0</v>
      </c>
      <c r="P86" s="64">
        <v>0.6</v>
      </c>
      <c r="Q86" s="64">
        <v>9.76</v>
      </c>
      <c r="R86" s="198"/>
      <c r="S86" s="198"/>
      <c r="T86" s="198"/>
      <c r="U86" s="198"/>
    </row>
    <row r="87" spans="1:26" s="12" customFormat="1" x14ac:dyDescent="0.25">
      <c r="A87" s="217" t="s">
        <v>1376</v>
      </c>
      <c r="B87" s="64">
        <v>8.44</v>
      </c>
      <c r="C87" s="64">
        <v>3.45</v>
      </c>
      <c r="D87" s="64">
        <v>12.34</v>
      </c>
      <c r="E87" s="64">
        <v>4.45</v>
      </c>
      <c r="F87" s="64">
        <v>3.33</v>
      </c>
      <c r="G87" s="64">
        <v>78.12</v>
      </c>
      <c r="H87" s="64">
        <v>30.32</v>
      </c>
      <c r="I87" s="64">
        <v>3.44</v>
      </c>
      <c r="J87" s="64">
        <v>0.54</v>
      </c>
      <c r="K87" s="64">
        <v>1.03</v>
      </c>
      <c r="L87" s="64">
        <v>24.52</v>
      </c>
      <c r="M87" s="64">
        <v>86.9</v>
      </c>
      <c r="N87" s="64">
        <v>16.600000000000001</v>
      </c>
      <c r="O87" s="64">
        <v>0</v>
      </c>
      <c r="P87" s="64">
        <v>0.6</v>
      </c>
      <c r="Q87" s="64">
        <v>9.7100000000000009</v>
      </c>
      <c r="R87" s="198"/>
      <c r="S87" s="198"/>
      <c r="T87" s="198"/>
      <c r="U87" s="198"/>
    </row>
    <row r="88" spans="1:26" s="12" customFormat="1" x14ac:dyDescent="0.25">
      <c r="A88" s="217" t="s">
        <v>1377</v>
      </c>
      <c r="B88" s="64">
        <v>8.42</v>
      </c>
      <c r="C88" s="64">
        <v>3.41</v>
      </c>
      <c r="D88" s="64">
        <v>12.31</v>
      </c>
      <c r="E88" s="64">
        <v>3.98</v>
      </c>
      <c r="F88" s="64">
        <v>3.65</v>
      </c>
      <c r="G88" s="64">
        <v>70.02</v>
      </c>
      <c r="H88" s="64">
        <v>25.53</v>
      </c>
      <c r="I88" s="64">
        <v>3.53</v>
      </c>
      <c r="J88" s="64">
        <v>0.17</v>
      </c>
      <c r="K88" s="64">
        <v>46.74</v>
      </c>
      <c r="L88" s="64">
        <v>23.96</v>
      </c>
      <c r="M88" s="64">
        <v>97.67</v>
      </c>
      <c r="N88" s="64">
        <v>17</v>
      </c>
      <c r="O88" s="64">
        <v>0</v>
      </c>
      <c r="P88" s="64">
        <v>0.59</v>
      </c>
      <c r="Q88" s="64">
        <v>9.7899999999999991</v>
      </c>
      <c r="R88" s="198"/>
      <c r="S88" s="198"/>
      <c r="T88" s="198"/>
      <c r="U88" s="198"/>
    </row>
    <row r="89" spans="1:26" s="12" customFormat="1" x14ac:dyDescent="0.25">
      <c r="A89" s="217" t="s">
        <v>1378</v>
      </c>
      <c r="B89" s="64">
        <v>8.3699999999999992</v>
      </c>
      <c r="C89" s="64">
        <v>3.28</v>
      </c>
      <c r="D89" s="64">
        <v>12.2</v>
      </c>
      <c r="E89" s="64">
        <v>4.43</v>
      </c>
      <c r="F89" s="64">
        <v>3.51</v>
      </c>
      <c r="G89" s="64">
        <v>70.02</v>
      </c>
      <c r="H89" s="64">
        <v>25.53</v>
      </c>
      <c r="I89" s="64">
        <v>3.5</v>
      </c>
      <c r="J89" s="64">
        <v>0.21</v>
      </c>
      <c r="K89" s="64">
        <v>196.35</v>
      </c>
      <c r="L89" s="64">
        <v>23.64</v>
      </c>
      <c r="M89" s="64">
        <v>98.33</v>
      </c>
      <c r="N89" s="64">
        <v>16.899999999999999</v>
      </c>
      <c r="O89" s="64">
        <v>0</v>
      </c>
      <c r="P89" s="64">
        <v>0.56999999999999995</v>
      </c>
      <c r="Q89" s="64">
        <v>9.7899999999999991</v>
      </c>
      <c r="R89" s="198"/>
      <c r="S89" s="198"/>
      <c r="T89" s="198"/>
      <c r="U89" s="198"/>
    </row>
    <row r="90" spans="1:26" s="12" customFormat="1" x14ac:dyDescent="0.25">
      <c r="A90" s="217" t="s">
        <v>1379</v>
      </c>
      <c r="B90" s="64">
        <v>8.36</v>
      </c>
      <c r="C90" s="64">
        <v>3.26</v>
      </c>
      <c r="D90" s="64">
        <v>12.18</v>
      </c>
      <c r="E90" s="64">
        <v>4.41</v>
      </c>
      <c r="F90" s="64">
        <v>3.33</v>
      </c>
      <c r="G90" s="64">
        <v>70.02</v>
      </c>
      <c r="H90" s="64">
        <v>25.53</v>
      </c>
      <c r="I90" s="64">
        <v>3.45</v>
      </c>
      <c r="J90" s="64">
        <v>0.37</v>
      </c>
      <c r="K90" s="64">
        <v>181.2</v>
      </c>
      <c r="L90" s="64">
        <v>23.65</v>
      </c>
      <c r="M90" s="64">
        <v>98.33</v>
      </c>
      <c r="N90" s="64">
        <v>16.600000000000001</v>
      </c>
      <c r="O90" s="64">
        <v>0</v>
      </c>
      <c r="P90" s="64">
        <v>0.56000000000000005</v>
      </c>
      <c r="Q90" s="64">
        <v>9.74</v>
      </c>
      <c r="R90" s="198"/>
      <c r="S90" s="198"/>
      <c r="T90" s="198"/>
      <c r="U90" s="198"/>
    </row>
    <row r="91" spans="1:26" s="12" customFormat="1" x14ac:dyDescent="0.25">
      <c r="A91" s="217" t="s">
        <v>1380</v>
      </c>
      <c r="B91" s="64">
        <v>8.41</v>
      </c>
      <c r="C91" s="64">
        <v>3.39</v>
      </c>
      <c r="D91" s="64">
        <v>12.29</v>
      </c>
      <c r="E91" s="64">
        <v>4.07</v>
      </c>
      <c r="F91" s="64">
        <v>3.31</v>
      </c>
      <c r="G91" s="64">
        <v>65.88</v>
      </c>
      <c r="H91" s="64">
        <v>24.08</v>
      </c>
      <c r="I91" s="64">
        <v>3.51</v>
      </c>
      <c r="J91" s="64">
        <v>0.74</v>
      </c>
      <c r="K91" s="64">
        <v>163.75</v>
      </c>
      <c r="L91" s="64">
        <v>23.55</v>
      </c>
      <c r="M91" s="64">
        <v>98.33</v>
      </c>
      <c r="N91" s="64">
        <v>16.8</v>
      </c>
      <c r="O91" s="64">
        <v>0</v>
      </c>
      <c r="P91" s="64">
        <v>0.55000000000000004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7" t="s">
        <v>1381</v>
      </c>
      <c r="B92" s="64">
        <v>8.3699999999999992</v>
      </c>
      <c r="C92" s="64">
        <v>3.29</v>
      </c>
      <c r="D92" s="64">
        <v>12.2</v>
      </c>
      <c r="E92" s="64">
        <v>3.96</v>
      </c>
      <c r="F92" s="64">
        <v>3.39</v>
      </c>
      <c r="G92" s="64">
        <v>59.68</v>
      </c>
      <c r="H92" s="64">
        <v>21.9</v>
      </c>
      <c r="I92" s="64">
        <v>3.64</v>
      </c>
      <c r="J92" s="64">
        <v>0.46</v>
      </c>
      <c r="K92" s="64">
        <v>159.09</v>
      </c>
      <c r="L92" s="64">
        <v>23.34</v>
      </c>
      <c r="M92" s="64">
        <v>98.33</v>
      </c>
      <c r="N92" s="64">
        <v>16.7</v>
      </c>
      <c r="O92" s="64">
        <v>0</v>
      </c>
      <c r="P92" s="64">
        <v>0.53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7" t="s">
        <v>1382</v>
      </c>
      <c r="B93" s="64">
        <v>8.4600000000000009</v>
      </c>
      <c r="C93" s="64">
        <v>3.45</v>
      </c>
      <c r="D93" s="64">
        <v>12.36</v>
      </c>
      <c r="E93" s="64">
        <v>3.92</v>
      </c>
      <c r="F93" s="64">
        <v>3.59</v>
      </c>
      <c r="G93" s="64">
        <v>59.68</v>
      </c>
      <c r="H93" s="64">
        <v>21.9</v>
      </c>
      <c r="I93" s="64">
        <v>3.78</v>
      </c>
      <c r="J93" s="64">
        <v>0.46</v>
      </c>
      <c r="K93" s="64">
        <v>175.63</v>
      </c>
      <c r="L93" s="64">
        <v>23.2</v>
      </c>
      <c r="M93" s="64">
        <v>98.33</v>
      </c>
      <c r="N93" s="64">
        <v>16.5</v>
      </c>
      <c r="O93" s="64">
        <v>0</v>
      </c>
      <c r="P93" s="64">
        <v>0.52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7" t="s">
        <v>1383</v>
      </c>
      <c r="B94" s="64">
        <v>8.39</v>
      </c>
      <c r="C94" s="64">
        <v>3.34</v>
      </c>
      <c r="D94" s="64">
        <v>12.25</v>
      </c>
      <c r="E94" s="64">
        <v>3.97</v>
      </c>
      <c r="F94" s="64">
        <v>3.21</v>
      </c>
      <c r="G94" s="64">
        <v>59.68</v>
      </c>
      <c r="H94" s="64">
        <v>21.9</v>
      </c>
      <c r="I94" s="64">
        <v>3.9</v>
      </c>
      <c r="J94" s="64">
        <v>0.34</v>
      </c>
      <c r="K94" s="64">
        <v>158.88</v>
      </c>
      <c r="L94" s="64">
        <v>23.21</v>
      </c>
      <c r="M94" s="64">
        <v>98.32</v>
      </c>
      <c r="N94" s="64">
        <v>16.5</v>
      </c>
      <c r="O94" s="64">
        <v>0</v>
      </c>
      <c r="P94" s="64">
        <v>0.5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7" t="s">
        <v>1384</v>
      </c>
      <c r="B95" s="64">
        <v>8.4499999999999993</v>
      </c>
      <c r="C95" s="64">
        <v>3.46</v>
      </c>
      <c r="D95" s="64">
        <v>12.36</v>
      </c>
      <c r="E95" s="64">
        <v>3.15</v>
      </c>
      <c r="F95" s="64">
        <v>3.4</v>
      </c>
      <c r="G95" s="64">
        <v>53.66</v>
      </c>
      <c r="H95" s="64">
        <v>22.21</v>
      </c>
      <c r="I95" s="64">
        <v>3.95</v>
      </c>
      <c r="J95" s="64">
        <v>0.13</v>
      </c>
      <c r="K95" s="64">
        <v>136.93</v>
      </c>
      <c r="L95" s="64">
        <v>23.25</v>
      </c>
      <c r="M95" s="64">
        <v>98.25</v>
      </c>
      <c r="N95" s="64">
        <v>16.3</v>
      </c>
      <c r="O95" s="64">
        <v>0</v>
      </c>
      <c r="P95" s="64">
        <v>0.49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7" t="s">
        <v>1385</v>
      </c>
      <c r="B96" s="64">
        <v>8.39</v>
      </c>
      <c r="C96" s="64">
        <v>3.33</v>
      </c>
      <c r="D96" s="64">
        <v>12.24</v>
      </c>
      <c r="E96" s="64">
        <v>3.88</v>
      </c>
      <c r="F96" s="64">
        <v>3.45</v>
      </c>
      <c r="G96" s="64">
        <v>45.03</v>
      </c>
      <c r="H96" s="64">
        <v>22.65</v>
      </c>
      <c r="I96" s="64">
        <v>3.97</v>
      </c>
      <c r="J96" s="64">
        <v>0.61</v>
      </c>
      <c r="K96" s="64">
        <v>158.09</v>
      </c>
      <c r="L96" s="64">
        <v>23.04</v>
      </c>
      <c r="M96" s="64">
        <v>98.29</v>
      </c>
      <c r="N96" s="64">
        <v>16.5</v>
      </c>
      <c r="O96" s="64">
        <v>0</v>
      </c>
      <c r="P96" s="64">
        <v>0.49</v>
      </c>
      <c r="Q96" s="64">
        <v>9.64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1386</v>
      </c>
      <c r="B97" s="64">
        <v>8.39</v>
      </c>
      <c r="C97" s="64">
        <v>3.29</v>
      </c>
      <c r="D97" s="64">
        <v>12.22</v>
      </c>
      <c r="E97" s="64">
        <v>4.1500000000000004</v>
      </c>
      <c r="F97" s="64">
        <v>3.35</v>
      </c>
      <c r="G97" s="64">
        <v>45.03</v>
      </c>
      <c r="H97" s="64">
        <v>22.65</v>
      </c>
      <c r="I97" s="64">
        <v>4.0599999999999996</v>
      </c>
      <c r="J97" s="64">
        <v>0.41</v>
      </c>
      <c r="K97" s="64">
        <v>212.29</v>
      </c>
      <c r="L97" s="64">
        <v>23.03</v>
      </c>
      <c r="M97" s="64">
        <v>98.23</v>
      </c>
      <c r="N97" s="64">
        <v>16.100000000000001</v>
      </c>
      <c r="O97" s="64">
        <v>0</v>
      </c>
      <c r="P97" s="64">
        <v>0.48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7" t="s">
        <v>1387</v>
      </c>
      <c r="B98" s="64">
        <v>8.4</v>
      </c>
      <c r="C98" s="64">
        <v>3.25</v>
      </c>
      <c r="D98" s="64">
        <v>12.21</v>
      </c>
      <c r="E98" s="64">
        <v>3.86</v>
      </c>
      <c r="F98" s="64">
        <v>3.12</v>
      </c>
      <c r="G98" s="64">
        <v>45.03</v>
      </c>
      <c r="H98" s="64">
        <v>22.65</v>
      </c>
      <c r="I98" s="64">
        <v>4.26</v>
      </c>
      <c r="J98" s="64">
        <v>0.42</v>
      </c>
      <c r="K98" s="64">
        <v>182.42</v>
      </c>
      <c r="L98" s="64">
        <v>22.96</v>
      </c>
      <c r="M98" s="64">
        <v>98.32</v>
      </c>
      <c r="N98" s="64">
        <v>15.6</v>
      </c>
      <c r="O98" s="64">
        <v>0</v>
      </c>
      <c r="P98" s="64">
        <v>0.47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7" t="s">
        <v>1388</v>
      </c>
      <c r="B99" s="64">
        <v>8.3800000000000008</v>
      </c>
      <c r="C99" s="64">
        <v>3.23</v>
      </c>
      <c r="D99" s="64">
        <v>12.18</v>
      </c>
      <c r="E99" s="64">
        <v>4.22</v>
      </c>
      <c r="F99" s="64">
        <v>3.99</v>
      </c>
      <c r="G99" s="64">
        <v>42.14</v>
      </c>
      <c r="H99" s="64">
        <v>19.899999999999999</v>
      </c>
      <c r="I99" s="64">
        <v>4.43</v>
      </c>
      <c r="J99" s="64">
        <v>0.17</v>
      </c>
      <c r="K99" s="64">
        <v>192.84</v>
      </c>
      <c r="L99" s="64">
        <v>22.77</v>
      </c>
      <c r="M99" s="64">
        <v>98.33</v>
      </c>
      <c r="N99" s="64">
        <v>15.8</v>
      </c>
      <c r="O99" s="64">
        <v>0</v>
      </c>
      <c r="P99" s="64">
        <v>0.46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7" t="s">
        <v>1389</v>
      </c>
      <c r="B100" s="64">
        <v>8.41</v>
      </c>
      <c r="C100" s="64">
        <v>3.29</v>
      </c>
      <c r="D100" s="64">
        <v>12.24</v>
      </c>
      <c r="E100" s="64">
        <v>3.99</v>
      </c>
      <c r="F100" s="64">
        <v>3.38</v>
      </c>
      <c r="G100" s="64">
        <v>37.99</v>
      </c>
      <c r="H100" s="64">
        <v>15.96</v>
      </c>
      <c r="I100" s="64">
        <v>4.5599999999999996</v>
      </c>
      <c r="J100" s="64">
        <v>7.0000000000000007E-2</v>
      </c>
      <c r="K100" s="64">
        <v>354.95</v>
      </c>
      <c r="L100" s="64">
        <v>22.56</v>
      </c>
      <c r="M100" s="64">
        <v>98.34</v>
      </c>
      <c r="N100" s="64">
        <v>15.9</v>
      </c>
      <c r="O100" s="64">
        <v>0</v>
      </c>
      <c r="P100" s="64">
        <v>0.46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1390</v>
      </c>
      <c r="B101" s="64">
        <v>8.4</v>
      </c>
      <c r="C101" s="64">
        <v>3.3</v>
      </c>
      <c r="D101" s="64">
        <v>12.23</v>
      </c>
      <c r="E101" s="64">
        <v>4.55</v>
      </c>
      <c r="F101" s="64">
        <v>3.45</v>
      </c>
      <c r="G101" s="64">
        <v>37.99</v>
      </c>
      <c r="H101" s="64">
        <v>15.96</v>
      </c>
      <c r="I101" s="64">
        <v>4.6500000000000004</v>
      </c>
      <c r="J101" s="64">
        <v>0.19</v>
      </c>
      <c r="K101" s="64">
        <v>22.2</v>
      </c>
      <c r="L101" s="64">
        <v>22.5</v>
      </c>
      <c r="M101" s="64">
        <v>98.33</v>
      </c>
      <c r="N101" s="64">
        <v>15.7</v>
      </c>
      <c r="O101" s="64">
        <v>0</v>
      </c>
      <c r="P101" s="64">
        <v>0.44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7" t="s">
        <v>1391</v>
      </c>
      <c r="B102" s="64">
        <v>8.39</v>
      </c>
      <c r="C102" s="64">
        <v>3.3</v>
      </c>
      <c r="D102" s="64">
        <v>12.23</v>
      </c>
      <c r="E102" s="64">
        <v>4.3099999999999996</v>
      </c>
      <c r="F102" s="64">
        <v>3.39</v>
      </c>
      <c r="G102" s="64">
        <v>37.99</v>
      </c>
      <c r="H102" s="64">
        <v>15.96</v>
      </c>
      <c r="I102" s="64">
        <v>4.66</v>
      </c>
      <c r="J102" s="64">
        <v>0.3</v>
      </c>
      <c r="K102" s="64">
        <v>232.67</v>
      </c>
      <c r="L102" s="64">
        <v>22.6</v>
      </c>
      <c r="M102" s="64">
        <v>98.33</v>
      </c>
      <c r="N102" s="64">
        <v>15.9</v>
      </c>
      <c r="O102" s="64">
        <v>0</v>
      </c>
      <c r="P102" s="64">
        <v>0.44</v>
      </c>
      <c r="Q102" s="64">
        <v>9.6</v>
      </c>
      <c r="R102" s="198"/>
      <c r="S102" s="198"/>
      <c r="T102" s="198"/>
      <c r="U102" s="198"/>
    </row>
    <row r="103" spans="1:33" s="12" customFormat="1" x14ac:dyDescent="0.25">
      <c r="A103" s="217" t="s">
        <v>1392</v>
      </c>
      <c r="B103" s="64">
        <v>8.34</v>
      </c>
      <c r="C103" s="64">
        <v>3.19</v>
      </c>
      <c r="D103" s="64">
        <v>12.13</v>
      </c>
      <c r="E103" s="64">
        <v>4.4400000000000004</v>
      </c>
      <c r="F103" s="64">
        <v>3.59</v>
      </c>
      <c r="G103" s="64">
        <v>34.880000000000003</v>
      </c>
      <c r="H103" s="64">
        <v>14.16</v>
      </c>
      <c r="I103" s="64">
        <v>4.6399999999999997</v>
      </c>
      <c r="J103" s="64">
        <v>0.09</v>
      </c>
      <c r="K103" s="64">
        <v>235.4</v>
      </c>
      <c r="L103" s="64">
        <v>22.63</v>
      </c>
      <c r="M103" s="64">
        <v>98.33</v>
      </c>
      <c r="N103" s="64">
        <v>16.2</v>
      </c>
      <c r="O103" s="64">
        <v>0</v>
      </c>
      <c r="P103" s="64">
        <v>0.43</v>
      </c>
      <c r="Q103" s="64">
        <v>9.6</v>
      </c>
      <c r="R103" s="198"/>
      <c r="S103" s="198"/>
      <c r="T103" s="198"/>
      <c r="U103" s="198"/>
    </row>
    <row r="104" spans="1:33" s="12" customFormat="1" x14ac:dyDescent="0.25">
      <c r="A104" s="217" t="s">
        <v>1393</v>
      </c>
      <c r="B104" s="64">
        <v>8.35</v>
      </c>
      <c r="C104" s="64">
        <v>3.21</v>
      </c>
      <c r="D104" s="64">
        <v>12.15</v>
      </c>
      <c r="E104" s="64">
        <v>5.55</v>
      </c>
      <c r="F104" s="64">
        <v>4.45</v>
      </c>
      <c r="G104" s="64">
        <v>30.44</v>
      </c>
      <c r="H104" s="64">
        <v>11.59</v>
      </c>
      <c r="I104" s="64">
        <v>4.6900000000000004</v>
      </c>
      <c r="J104" s="64">
        <v>0.14000000000000001</v>
      </c>
      <c r="K104" s="64">
        <v>38.520000000000003</v>
      </c>
      <c r="L104" s="64">
        <v>22.62</v>
      </c>
      <c r="M104" s="64">
        <v>98.33</v>
      </c>
      <c r="N104" s="64">
        <v>16.5</v>
      </c>
      <c r="O104" s="64">
        <v>0</v>
      </c>
      <c r="P104" s="64">
        <v>0.43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8.27</v>
      </c>
      <c r="C106" s="67">
        <f>MIN(C9:C104)</f>
        <v>3.17</v>
      </c>
      <c r="D106" s="67">
        <f t="shared" ref="D106:Q106" si="0">MIN(D9:D104)</f>
        <v>12.06</v>
      </c>
      <c r="E106" s="67">
        <f t="shared" si="0"/>
        <v>3.15</v>
      </c>
      <c r="F106" s="67">
        <f t="shared" si="0"/>
        <v>2.42</v>
      </c>
      <c r="G106" s="67">
        <f t="shared" si="0"/>
        <v>17.12</v>
      </c>
      <c r="H106" s="67">
        <f t="shared" si="0"/>
        <v>2.8</v>
      </c>
      <c r="I106" s="67">
        <f t="shared" si="0"/>
        <v>1.33</v>
      </c>
      <c r="J106" s="67">
        <f t="shared" si="0"/>
        <v>0.06</v>
      </c>
      <c r="K106" s="67">
        <f t="shared" si="0"/>
        <v>1.03</v>
      </c>
      <c r="L106" s="67">
        <f t="shared" si="0"/>
        <v>22.5</v>
      </c>
      <c r="M106" s="67">
        <f t="shared" si="0"/>
        <v>62.1</v>
      </c>
      <c r="N106" s="67">
        <f t="shared" si="0"/>
        <v>15.6</v>
      </c>
      <c r="O106" s="67">
        <f t="shared" si="0"/>
        <v>0</v>
      </c>
      <c r="P106" s="67">
        <f t="shared" si="0"/>
        <v>0.28000000000000003</v>
      </c>
      <c r="Q106" s="67">
        <f t="shared" si="0"/>
        <v>9.2100000000000009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8.52</v>
      </c>
      <c r="C107" s="66">
        <f t="shared" ref="C107:Q107" si="1">MAX(C9:C104)</f>
        <v>3.58</v>
      </c>
      <c r="D107" s="66">
        <f t="shared" si="1"/>
        <v>12.48</v>
      </c>
      <c r="E107" s="66">
        <f t="shared" si="1"/>
        <v>5.55</v>
      </c>
      <c r="F107" s="66">
        <f t="shared" si="1"/>
        <v>16.649999999999999</v>
      </c>
      <c r="G107" s="66">
        <f t="shared" si="1"/>
        <v>83.78</v>
      </c>
      <c r="H107" s="66">
        <f t="shared" si="1"/>
        <v>33.520000000000003</v>
      </c>
      <c r="I107" s="66">
        <f t="shared" si="1"/>
        <v>4.6900000000000004</v>
      </c>
      <c r="J107" s="66">
        <f t="shared" si="1"/>
        <v>2.36</v>
      </c>
      <c r="K107" s="66">
        <f t="shared" si="1"/>
        <v>358.03</v>
      </c>
      <c r="L107" s="66">
        <f t="shared" si="1"/>
        <v>31.66</v>
      </c>
      <c r="M107" s="66">
        <f t="shared" si="1"/>
        <v>98.34</v>
      </c>
      <c r="N107" s="66">
        <f t="shared" si="1"/>
        <v>860.9</v>
      </c>
      <c r="O107" s="66">
        <f t="shared" si="1"/>
        <v>0.2</v>
      </c>
      <c r="P107" s="66">
        <f t="shared" si="1"/>
        <v>0.6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8.3492708333333336</v>
      </c>
      <c r="C108" s="67">
        <f t="shared" ref="C108:Q108" si="2">AVERAGE(C9:C104)</f>
        <v>3.2871874999999999</v>
      </c>
      <c r="D108" s="67">
        <f t="shared" si="2"/>
        <v>12.187604166666667</v>
      </c>
      <c r="E108" s="67">
        <f t="shared" si="2"/>
        <v>4.3296874999999995</v>
      </c>
      <c r="F108" s="67">
        <f t="shared" si="2"/>
        <v>4.2524999999999977</v>
      </c>
      <c r="G108" s="67">
        <f t="shared" si="2"/>
        <v>41.686249999999994</v>
      </c>
      <c r="H108" s="67">
        <f t="shared" si="2"/>
        <v>12.528854166666671</v>
      </c>
      <c r="I108" s="67">
        <f t="shared" si="2"/>
        <v>3.0649999999999995</v>
      </c>
      <c r="J108" s="67">
        <f t="shared" si="2"/>
        <v>0.55114583333333333</v>
      </c>
      <c r="K108" s="67">
        <f t="shared" si="2"/>
        <v>263.33916666666676</v>
      </c>
      <c r="L108" s="67">
        <f t="shared" si="2"/>
        <v>25.487812500000004</v>
      </c>
      <c r="M108" s="67">
        <f t="shared" si="2"/>
        <v>88.008437499999999</v>
      </c>
      <c r="N108" s="67">
        <f t="shared" si="2"/>
        <v>143.21250000000001</v>
      </c>
      <c r="O108" s="67">
        <f t="shared" si="2"/>
        <v>2.0833333333333333E-3</v>
      </c>
      <c r="P108" s="67">
        <f t="shared" si="2"/>
        <v>0.43729166666666669</v>
      </c>
      <c r="Q108" s="67">
        <f t="shared" si="2"/>
        <v>9.4436458333333348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5.2959662736775215E-2</v>
      </c>
      <c r="C109" s="67">
        <f t="shared" ref="C109:Q109" si="3">STDEV(C9:C104)</f>
        <v>8.8635303944100977E-2</v>
      </c>
      <c r="D109" s="67">
        <f t="shared" si="3"/>
        <v>8.2356667089162228E-2</v>
      </c>
      <c r="E109" s="67">
        <f t="shared" si="3"/>
        <v>0.47334521312619043</v>
      </c>
      <c r="F109" s="67">
        <f t="shared" si="3"/>
        <v>1.7996175032197124</v>
      </c>
      <c r="G109" s="67">
        <f t="shared" si="3"/>
        <v>19.033251526846659</v>
      </c>
      <c r="H109" s="67">
        <f t="shared" si="3"/>
        <v>7.247524712805002</v>
      </c>
      <c r="I109" s="67">
        <f t="shared" si="3"/>
        <v>0.87003206232511343</v>
      </c>
      <c r="J109" s="67">
        <f t="shared" si="3"/>
        <v>0.50423860223356176</v>
      </c>
      <c r="K109" s="67">
        <f t="shared" si="3"/>
        <v>106.17989415849276</v>
      </c>
      <c r="L109" s="67">
        <f t="shared" si="3"/>
        <v>2.5526189659889145</v>
      </c>
      <c r="M109" s="67">
        <f t="shared" si="3"/>
        <v>11.456747341115543</v>
      </c>
      <c r="N109" s="67">
        <f t="shared" si="3"/>
        <v>196.52456348413949</v>
      </c>
      <c r="O109" s="67">
        <f t="shared" si="3"/>
        <v>2.0412414523193152E-2</v>
      </c>
      <c r="P109" s="67">
        <f t="shared" si="3"/>
        <v>9.6534467983057218E-2</v>
      </c>
      <c r="Q109" s="67">
        <f t="shared" si="3"/>
        <v>0.1564952986794553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1394</v>
      </c>
      <c r="B9" s="64">
        <v>8.35</v>
      </c>
      <c r="C9" s="64">
        <v>3.21</v>
      </c>
      <c r="D9" s="64">
        <v>12.15</v>
      </c>
      <c r="E9" s="64">
        <v>4.6900000000000004</v>
      </c>
      <c r="F9" s="64">
        <v>2.81</v>
      </c>
      <c r="G9" s="64">
        <v>30.44</v>
      </c>
      <c r="H9" s="64">
        <v>11.59</v>
      </c>
      <c r="I9" s="64">
        <v>4.72</v>
      </c>
      <c r="J9" s="64">
        <v>0.49</v>
      </c>
      <c r="K9" s="64">
        <v>8.82</v>
      </c>
      <c r="L9" s="64">
        <v>22.72</v>
      </c>
      <c r="M9" s="64">
        <v>98.33</v>
      </c>
      <c r="N9" s="64">
        <v>16.5</v>
      </c>
      <c r="O9" s="64">
        <v>0</v>
      </c>
      <c r="P9" s="64">
        <v>0.41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17" t="s">
        <v>1395</v>
      </c>
      <c r="B10" s="64">
        <v>8.36</v>
      </c>
      <c r="C10" s="64">
        <v>3.25</v>
      </c>
      <c r="D10" s="64">
        <v>12.18</v>
      </c>
      <c r="E10" s="64">
        <v>4.83</v>
      </c>
      <c r="F10" s="64">
        <v>3.54</v>
      </c>
      <c r="G10" s="64">
        <v>30.44</v>
      </c>
      <c r="H10" s="64">
        <v>11.59</v>
      </c>
      <c r="I10" s="64">
        <v>4.68</v>
      </c>
      <c r="J10" s="64">
        <v>0.4</v>
      </c>
      <c r="K10" s="64">
        <v>355.32</v>
      </c>
      <c r="L10" s="64">
        <v>22.73</v>
      </c>
      <c r="M10" s="64">
        <v>98.33</v>
      </c>
      <c r="N10" s="64">
        <v>16.600000000000001</v>
      </c>
      <c r="O10" s="64">
        <v>0</v>
      </c>
      <c r="P10" s="64">
        <v>0.38</v>
      </c>
      <c r="Q10" s="64">
        <v>9.44</v>
      </c>
      <c r="R10" s="198"/>
      <c r="S10" s="198"/>
      <c r="T10" s="198"/>
      <c r="U10" s="198"/>
    </row>
    <row r="11" spans="1:21" s="12" customFormat="1" x14ac:dyDescent="0.25">
      <c r="A11" s="217" t="s">
        <v>1396</v>
      </c>
      <c r="B11" s="64">
        <v>8.32</v>
      </c>
      <c r="C11" s="64">
        <v>3.22</v>
      </c>
      <c r="D11" s="64">
        <v>12.13</v>
      </c>
      <c r="E11" s="64">
        <v>4.42</v>
      </c>
      <c r="F11" s="64">
        <v>4.32</v>
      </c>
      <c r="G11" s="64">
        <v>27.03</v>
      </c>
      <c r="H11" s="64">
        <v>10.210000000000001</v>
      </c>
      <c r="I11" s="64">
        <v>4.51</v>
      </c>
      <c r="J11" s="64">
        <v>0.34</v>
      </c>
      <c r="K11" s="64">
        <v>4.51</v>
      </c>
      <c r="L11" s="64">
        <v>22.74</v>
      </c>
      <c r="M11" s="64">
        <v>98.33</v>
      </c>
      <c r="N11" s="64">
        <v>16.600000000000001</v>
      </c>
      <c r="O11" s="64">
        <v>0</v>
      </c>
      <c r="P11" s="64">
        <v>0.39</v>
      </c>
      <c r="Q11" s="64">
        <v>9.52</v>
      </c>
      <c r="R11" s="198"/>
      <c r="S11" s="198"/>
      <c r="T11" s="198"/>
      <c r="U11" s="198"/>
    </row>
    <row r="12" spans="1:21" s="12" customFormat="1" x14ac:dyDescent="0.25">
      <c r="A12" s="217" t="s">
        <v>1397</v>
      </c>
      <c r="B12" s="64">
        <v>8.35</v>
      </c>
      <c r="C12" s="64">
        <v>3.32</v>
      </c>
      <c r="D12" s="64">
        <v>12.2</v>
      </c>
      <c r="E12" s="64">
        <v>4.5</v>
      </c>
      <c r="F12" s="64">
        <v>2.96</v>
      </c>
      <c r="G12" s="64">
        <v>21.92</v>
      </c>
      <c r="H12" s="64">
        <v>8.23</v>
      </c>
      <c r="I12" s="64">
        <v>4.28</v>
      </c>
      <c r="J12" s="64">
        <v>0.17</v>
      </c>
      <c r="K12" s="64">
        <v>352.18</v>
      </c>
      <c r="L12" s="64">
        <v>22.74</v>
      </c>
      <c r="M12" s="64">
        <v>98.33</v>
      </c>
      <c r="N12" s="64">
        <v>16.399999999999999</v>
      </c>
      <c r="O12" s="64">
        <v>0</v>
      </c>
      <c r="P12" s="64">
        <v>0.37</v>
      </c>
      <c r="Q12" s="64">
        <v>9.4700000000000006</v>
      </c>
      <c r="R12" s="198"/>
      <c r="S12" s="198"/>
      <c r="T12" s="198"/>
      <c r="U12" s="198"/>
    </row>
    <row r="13" spans="1:21" s="12" customFormat="1" x14ac:dyDescent="0.25">
      <c r="A13" s="217" t="s">
        <v>1398</v>
      </c>
      <c r="B13" s="64">
        <v>8.3000000000000007</v>
      </c>
      <c r="C13" s="64">
        <v>3.2</v>
      </c>
      <c r="D13" s="64">
        <v>12.1</v>
      </c>
      <c r="E13" s="64">
        <v>4.58</v>
      </c>
      <c r="F13" s="64">
        <v>3.17</v>
      </c>
      <c r="G13" s="64">
        <v>21.92</v>
      </c>
      <c r="H13" s="64">
        <v>8.23</v>
      </c>
      <c r="I13" s="64">
        <v>4.17</v>
      </c>
      <c r="J13" s="64">
        <v>0.19</v>
      </c>
      <c r="K13" s="64">
        <v>27.11</v>
      </c>
      <c r="L13" s="64">
        <v>22.8</v>
      </c>
      <c r="M13" s="64">
        <v>98.33</v>
      </c>
      <c r="N13" s="64">
        <v>16.399999999999999</v>
      </c>
      <c r="O13" s="64">
        <v>0</v>
      </c>
      <c r="P13" s="64">
        <v>0.35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7" t="s">
        <v>1399</v>
      </c>
      <c r="B14" s="64">
        <v>8.31</v>
      </c>
      <c r="C14" s="64">
        <v>3.21</v>
      </c>
      <c r="D14" s="64">
        <v>12.11</v>
      </c>
      <c r="E14" s="64">
        <v>4.47</v>
      </c>
      <c r="F14" s="64">
        <v>4.17</v>
      </c>
      <c r="G14" s="64">
        <v>21.92</v>
      </c>
      <c r="H14" s="64">
        <v>8.23</v>
      </c>
      <c r="I14" s="64">
        <v>4.1100000000000003</v>
      </c>
      <c r="J14" s="64">
        <v>7.0000000000000007E-2</v>
      </c>
      <c r="K14" s="64">
        <v>142.94</v>
      </c>
      <c r="L14" s="64">
        <v>22.89</v>
      </c>
      <c r="M14" s="64">
        <v>98.33</v>
      </c>
      <c r="N14" s="64">
        <v>16.5</v>
      </c>
      <c r="O14" s="64">
        <v>0</v>
      </c>
      <c r="P14" s="64">
        <v>0.36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17" t="s">
        <v>1400</v>
      </c>
      <c r="B15" s="64">
        <v>8.36</v>
      </c>
      <c r="C15" s="64">
        <v>3.3</v>
      </c>
      <c r="D15" s="64">
        <v>12.2</v>
      </c>
      <c r="E15" s="64">
        <v>4.6500000000000004</v>
      </c>
      <c r="F15" s="64">
        <v>3.01</v>
      </c>
      <c r="G15" s="64">
        <v>20.88</v>
      </c>
      <c r="H15" s="64">
        <v>7.32</v>
      </c>
      <c r="I15" s="64">
        <v>3.9</v>
      </c>
      <c r="J15" s="64">
        <v>0.98</v>
      </c>
      <c r="K15" s="64">
        <v>143.27000000000001</v>
      </c>
      <c r="L15" s="64">
        <v>22.76</v>
      </c>
      <c r="M15" s="64">
        <v>98.33</v>
      </c>
      <c r="N15" s="64">
        <v>16.7</v>
      </c>
      <c r="O15" s="64">
        <v>0</v>
      </c>
      <c r="P15" s="64">
        <v>0.34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7" t="s">
        <v>1401</v>
      </c>
      <c r="B16" s="64">
        <v>8.39</v>
      </c>
      <c r="C16" s="64">
        <v>3.36</v>
      </c>
      <c r="D16" s="64">
        <v>12.26</v>
      </c>
      <c r="E16" s="64">
        <v>4.5999999999999996</v>
      </c>
      <c r="F16" s="64">
        <v>3.36</v>
      </c>
      <c r="G16" s="64">
        <v>19.329999999999998</v>
      </c>
      <c r="H16" s="64">
        <v>5.97</v>
      </c>
      <c r="I16" s="64">
        <v>3.76</v>
      </c>
      <c r="J16" s="64">
        <v>0.23</v>
      </c>
      <c r="K16" s="64">
        <v>2.34</v>
      </c>
      <c r="L16" s="64">
        <v>22.76</v>
      </c>
      <c r="M16" s="64">
        <v>98.33</v>
      </c>
      <c r="N16" s="64">
        <v>16.600000000000001</v>
      </c>
      <c r="O16" s="64">
        <v>0</v>
      </c>
      <c r="P16" s="64">
        <v>0.33</v>
      </c>
      <c r="Q16" s="64">
        <v>9.43</v>
      </c>
      <c r="R16" s="198"/>
      <c r="S16" s="198"/>
      <c r="T16" s="198"/>
      <c r="U16" s="198"/>
    </row>
    <row r="17" spans="1:21" s="12" customFormat="1" x14ac:dyDescent="0.25">
      <c r="A17" s="217" t="s">
        <v>1402</v>
      </c>
      <c r="B17" s="64">
        <v>8.34</v>
      </c>
      <c r="C17" s="64">
        <v>3.25</v>
      </c>
      <c r="D17" s="64">
        <v>12.16</v>
      </c>
      <c r="E17" s="64">
        <v>4.25</v>
      </c>
      <c r="F17" s="64">
        <v>3.87</v>
      </c>
      <c r="G17" s="64">
        <v>19.329999999999998</v>
      </c>
      <c r="H17" s="64">
        <v>5.97</v>
      </c>
      <c r="I17" s="64">
        <v>3.89</v>
      </c>
      <c r="J17" s="64">
        <v>0.63</v>
      </c>
      <c r="K17" s="64">
        <v>141.94999999999999</v>
      </c>
      <c r="L17" s="64">
        <v>22.82</v>
      </c>
      <c r="M17" s="64">
        <v>98.33</v>
      </c>
      <c r="N17" s="64">
        <v>16.5</v>
      </c>
      <c r="O17" s="64">
        <v>0</v>
      </c>
      <c r="P17" s="64">
        <v>0.34</v>
      </c>
      <c r="Q17" s="64">
        <v>9.4499999999999993</v>
      </c>
      <c r="R17" s="198"/>
      <c r="S17" s="198"/>
      <c r="T17" s="198"/>
      <c r="U17" s="198"/>
    </row>
    <row r="18" spans="1:21" s="12" customFormat="1" x14ac:dyDescent="0.25">
      <c r="A18" s="217" t="s">
        <v>1403</v>
      </c>
      <c r="B18" s="64">
        <v>8.2899999999999991</v>
      </c>
      <c r="C18" s="64">
        <v>3.2</v>
      </c>
      <c r="D18" s="64">
        <v>12.1</v>
      </c>
      <c r="E18" s="64">
        <v>4.76</v>
      </c>
      <c r="F18" s="64">
        <v>2.94</v>
      </c>
      <c r="G18" s="64">
        <v>19.329999999999998</v>
      </c>
      <c r="H18" s="64">
        <v>5.97</v>
      </c>
      <c r="I18" s="64">
        <v>4.0199999999999996</v>
      </c>
      <c r="J18" s="64">
        <v>1.23</v>
      </c>
      <c r="K18" s="64">
        <v>145.85</v>
      </c>
      <c r="L18" s="64">
        <v>22.89</v>
      </c>
      <c r="M18" s="64">
        <v>98.33</v>
      </c>
      <c r="N18" s="64">
        <v>16.3</v>
      </c>
      <c r="O18" s="64">
        <v>0</v>
      </c>
      <c r="P18" s="64">
        <v>0.33</v>
      </c>
      <c r="Q18" s="64">
        <v>9.43</v>
      </c>
      <c r="R18" s="198"/>
      <c r="S18" s="198"/>
      <c r="T18" s="198"/>
      <c r="U18" s="198"/>
    </row>
    <row r="19" spans="1:21" s="12" customFormat="1" x14ac:dyDescent="0.25">
      <c r="A19" s="217" t="s">
        <v>1404</v>
      </c>
      <c r="B19" s="64">
        <v>8.34</v>
      </c>
      <c r="C19" s="64">
        <v>3.29</v>
      </c>
      <c r="D19" s="64">
        <v>12.18</v>
      </c>
      <c r="E19" s="64">
        <v>4.63</v>
      </c>
      <c r="F19" s="64">
        <v>3.37</v>
      </c>
      <c r="G19" s="64">
        <v>19.420000000000002</v>
      </c>
      <c r="H19" s="64">
        <v>5.23</v>
      </c>
      <c r="I19" s="64">
        <v>4.12</v>
      </c>
      <c r="J19" s="64">
        <v>1.17</v>
      </c>
      <c r="K19" s="64">
        <v>152.54</v>
      </c>
      <c r="L19" s="64">
        <v>22.97</v>
      </c>
      <c r="M19" s="64">
        <v>98.33</v>
      </c>
      <c r="N19" s="64">
        <v>16.399999999999999</v>
      </c>
      <c r="O19" s="64">
        <v>0</v>
      </c>
      <c r="P19" s="64">
        <v>0.31</v>
      </c>
      <c r="Q19" s="64">
        <v>9.41</v>
      </c>
      <c r="R19" s="198"/>
      <c r="S19" s="198"/>
      <c r="T19" s="198"/>
      <c r="U19" s="198"/>
    </row>
    <row r="20" spans="1:21" s="12" customFormat="1" x14ac:dyDescent="0.25">
      <c r="A20" s="217" t="s">
        <v>1405</v>
      </c>
      <c r="B20" s="64">
        <v>8.39</v>
      </c>
      <c r="C20" s="64">
        <v>3.3</v>
      </c>
      <c r="D20" s="64">
        <v>12.22</v>
      </c>
      <c r="E20" s="64">
        <v>4.21</v>
      </c>
      <c r="F20" s="64">
        <v>3.33</v>
      </c>
      <c r="G20" s="64">
        <v>19.559999999999999</v>
      </c>
      <c r="H20" s="64">
        <v>4.18</v>
      </c>
      <c r="I20" s="64">
        <v>4.38</v>
      </c>
      <c r="J20" s="64">
        <v>0.13</v>
      </c>
      <c r="K20" s="64">
        <v>299.64999999999998</v>
      </c>
      <c r="L20" s="64">
        <v>22.99</v>
      </c>
      <c r="M20" s="64">
        <v>98.33</v>
      </c>
      <c r="N20" s="64">
        <v>16.600000000000001</v>
      </c>
      <c r="O20" s="64">
        <v>0</v>
      </c>
      <c r="P20" s="64">
        <v>0.31</v>
      </c>
      <c r="Q20" s="64">
        <v>9.43</v>
      </c>
      <c r="R20" s="198"/>
      <c r="S20" s="198"/>
      <c r="T20" s="198"/>
      <c r="U20" s="198"/>
    </row>
    <row r="21" spans="1:21" s="12" customFormat="1" x14ac:dyDescent="0.25">
      <c r="A21" s="217" t="s">
        <v>1406</v>
      </c>
      <c r="B21" s="64">
        <v>8.41</v>
      </c>
      <c r="C21" s="64">
        <v>3.33</v>
      </c>
      <c r="D21" s="64">
        <v>12.25</v>
      </c>
      <c r="E21" s="64">
        <v>4.1900000000000004</v>
      </c>
      <c r="F21" s="64">
        <v>3.48</v>
      </c>
      <c r="G21" s="64">
        <v>19.559999999999999</v>
      </c>
      <c r="H21" s="64">
        <v>4.18</v>
      </c>
      <c r="I21" s="64">
        <v>4.71</v>
      </c>
      <c r="J21" s="64">
        <v>0.47</v>
      </c>
      <c r="K21" s="64">
        <v>162.86000000000001</v>
      </c>
      <c r="L21" s="64">
        <v>22.9</v>
      </c>
      <c r="M21" s="64">
        <v>98.33</v>
      </c>
      <c r="N21" s="64">
        <v>16.600000000000001</v>
      </c>
      <c r="O21" s="64">
        <v>0</v>
      </c>
      <c r="P21" s="64">
        <v>0.3</v>
      </c>
      <c r="Q21" s="64">
        <v>9.44</v>
      </c>
      <c r="R21" s="198"/>
      <c r="S21" s="198"/>
      <c r="T21" s="198"/>
      <c r="U21" s="198"/>
    </row>
    <row r="22" spans="1:21" s="12" customFormat="1" x14ac:dyDescent="0.25">
      <c r="A22" s="217" t="s">
        <v>1407</v>
      </c>
      <c r="B22" s="64">
        <v>8.3699999999999992</v>
      </c>
      <c r="C22" s="64">
        <v>3.2</v>
      </c>
      <c r="D22" s="64">
        <v>12.16</v>
      </c>
      <c r="E22" s="64">
        <v>4.68</v>
      </c>
      <c r="F22" s="64">
        <v>3.25</v>
      </c>
      <c r="G22" s="64">
        <v>19.559999999999999</v>
      </c>
      <c r="H22" s="64">
        <v>4.18</v>
      </c>
      <c r="I22" s="64">
        <v>4.8600000000000003</v>
      </c>
      <c r="J22" s="64">
        <v>0.57999999999999996</v>
      </c>
      <c r="K22" s="64">
        <v>162.13</v>
      </c>
      <c r="L22" s="64">
        <v>22.82</v>
      </c>
      <c r="M22" s="64">
        <v>98.35</v>
      </c>
      <c r="N22" s="64">
        <v>16.600000000000001</v>
      </c>
      <c r="O22" s="64">
        <v>0</v>
      </c>
      <c r="P22" s="64">
        <v>0.31</v>
      </c>
      <c r="Q22" s="64">
        <v>9.31</v>
      </c>
      <c r="R22" s="198"/>
      <c r="S22" s="198"/>
      <c r="T22" s="198"/>
      <c r="U22" s="198"/>
    </row>
    <row r="23" spans="1:21" s="12" customFormat="1" x14ac:dyDescent="0.25">
      <c r="A23" s="217" t="s">
        <v>1408</v>
      </c>
      <c r="B23" s="64">
        <v>8.3800000000000008</v>
      </c>
      <c r="C23" s="64">
        <v>3.19</v>
      </c>
      <c r="D23" s="64">
        <v>12.17</v>
      </c>
      <c r="E23" s="64">
        <v>4.18</v>
      </c>
      <c r="F23" s="64">
        <v>3.57</v>
      </c>
      <c r="G23" s="64">
        <v>19.260000000000002</v>
      </c>
      <c r="H23" s="64">
        <v>4.78</v>
      </c>
      <c r="I23" s="64">
        <v>4.91</v>
      </c>
      <c r="J23" s="64">
        <v>0.43</v>
      </c>
      <c r="K23" s="64">
        <v>142.11000000000001</v>
      </c>
      <c r="L23" s="64">
        <v>22.71</v>
      </c>
      <c r="M23" s="64">
        <v>98.35</v>
      </c>
      <c r="N23" s="64">
        <v>16.600000000000001</v>
      </c>
      <c r="O23" s="64">
        <v>0</v>
      </c>
      <c r="P23" s="64">
        <v>0.3</v>
      </c>
      <c r="Q23" s="64">
        <v>9.42</v>
      </c>
      <c r="R23" s="198"/>
      <c r="S23" s="198"/>
      <c r="T23" s="198"/>
      <c r="U23" s="198"/>
    </row>
    <row r="24" spans="1:21" s="12" customFormat="1" x14ac:dyDescent="0.25">
      <c r="A24" s="217" t="s">
        <v>1409</v>
      </c>
      <c r="B24" s="64">
        <v>8.35</v>
      </c>
      <c r="C24" s="64">
        <v>3.19</v>
      </c>
      <c r="D24" s="64">
        <v>12.13</v>
      </c>
      <c r="E24" s="64">
        <v>4.59</v>
      </c>
      <c r="F24" s="64">
        <v>3.47</v>
      </c>
      <c r="G24" s="64">
        <v>18.809999999999999</v>
      </c>
      <c r="H24" s="64">
        <v>5.69</v>
      </c>
      <c r="I24" s="64">
        <v>4.99</v>
      </c>
      <c r="J24" s="64">
        <v>0.38</v>
      </c>
      <c r="K24" s="64">
        <v>174.93</v>
      </c>
      <c r="L24" s="64">
        <v>22.67</v>
      </c>
      <c r="M24" s="64">
        <v>98.35</v>
      </c>
      <c r="N24" s="64">
        <v>16.3</v>
      </c>
      <c r="O24" s="64">
        <v>0</v>
      </c>
      <c r="P24" s="64">
        <v>0.28999999999999998</v>
      </c>
      <c r="Q24" s="64">
        <v>9.44</v>
      </c>
      <c r="R24" s="198"/>
      <c r="S24" s="198"/>
      <c r="T24" s="198"/>
      <c r="U24" s="198"/>
    </row>
    <row r="25" spans="1:21" s="12" customFormat="1" x14ac:dyDescent="0.25">
      <c r="A25" s="217" t="s">
        <v>1410</v>
      </c>
      <c r="B25" s="64">
        <v>8.35</v>
      </c>
      <c r="C25" s="64">
        <v>3.22</v>
      </c>
      <c r="D25" s="64">
        <v>12.15</v>
      </c>
      <c r="E25" s="64">
        <v>4.78</v>
      </c>
      <c r="F25" s="64">
        <v>3.28</v>
      </c>
      <c r="G25" s="64">
        <v>18.809999999999999</v>
      </c>
      <c r="H25" s="64">
        <v>5.69</v>
      </c>
      <c r="I25" s="64">
        <v>5.09</v>
      </c>
      <c r="J25" s="64">
        <v>1.1100000000000001</v>
      </c>
      <c r="K25" s="64">
        <v>147.12</v>
      </c>
      <c r="L25" s="64">
        <v>22.65</v>
      </c>
      <c r="M25" s="64">
        <v>98.35</v>
      </c>
      <c r="N25" s="64">
        <v>16.3</v>
      </c>
      <c r="O25" s="64">
        <v>0</v>
      </c>
      <c r="P25" s="64">
        <v>0.28999999999999998</v>
      </c>
      <c r="Q25" s="64">
        <v>9.43</v>
      </c>
      <c r="R25" s="198"/>
      <c r="S25" s="198"/>
      <c r="T25" s="198"/>
      <c r="U25" s="198"/>
    </row>
    <row r="26" spans="1:21" s="12" customFormat="1" x14ac:dyDescent="0.25">
      <c r="A26" s="217" t="s">
        <v>1411</v>
      </c>
      <c r="B26" s="64">
        <v>8.34</v>
      </c>
      <c r="C26" s="64">
        <v>3.21</v>
      </c>
      <c r="D26" s="64">
        <v>12.14</v>
      </c>
      <c r="E26" s="64">
        <v>4.3499999999999996</v>
      </c>
      <c r="F26" s="64">
        <v>4.22</v>
      </c>
      <c r="G26" s="64">
        <v>18.809999999999999</v>
      </c>
      <c r="H26" s="64">
        <v>5.69</v>
      </c>
      <c r="I26" s="64">
        <v>5.19</v>
      </c>
      <c r="J26" s="64">
        <v>0.48</v>
      </c>
      <c r="K26" s="64">
        <v>176.04</v>
      </c>
      <c r="L26" s="64">
        <v>22.66</v>
      </c>
      <c r="M26" s="64">
        <v>98.35</v>
      </c>
      <c r="N26" s="64">
        <v>16.3</v>
      </c>
      <c r="O26" s="64">
        <v>0</v>
      </c>
      <c r="P26" s="64">
        <v>0.3</v>
      </c>
      <c r="Q26" s="64">
        <v>9.4600000000000009</v>
      </c>
      <c r="R26" s="198"/>
      <c r="S26" s="198"/>
      <c r="T26" s="198"/>
      <c r="U26" s="198"/>
    </row>
    <row r="27" spans="1:21" s="12" customFormat="1" x14ac:dyDescent="0.25">
      <c r="A27" s="217" t="s">
        <v>1412</v>
      </c>
      <c r="B27" s="64">
        <v>8.34</v>
      </c>
      <c r="C27" s="64">
        <v>3.23</v>
      </c>
      <c r="D27" s="64">
        <v>12.15</v>
      </c>
      <c r="E27" s="64">
        <v>4.45</v>
      </c>
      <c r="F27" s="64">
        <v>3.18</v>
      </c>
      <c r="G27" s="64">
        <v>19.27</v>
      </c>
      <c r="H27" s="64">
        <v>5.51</v>
      </c>
      <c r="I27" s="64">
        <v>5.46</v>
      </c>
      <c r="J27" s="64">
        <v>0.35</v>
      </c>
      <c r="K27" s="64">
        <v>201.69</v>
      </c>
      <c r="L27" s="64">
        <v>22.6</v>
      </c>
      <c r="M27" s="64">
        <v>98.35</v>
      </c>
      <c r="N27" s="64">
        <v>16.399999999999999</v>
      </c>
      <c r="O27" s="64">
        <v>0</v>
      </c>
      <c r="P27" s="64">
        <v>0.28999999999999998</v>
      </c>
      <c r="Q27" s="64">
        <v>9.3800000000000008</v>
      </c>
      <c r="R27" s="198"/>
      <c r="S27" s="198"/>
      <c r="T27" s="198"/>
      <c r="U27" s="198"/>
    </row>
    <row r="28" spans="1:21" s="12" customFormat="1" x14ac:dyDescent="0.25">
      <c r="A28" s="217" t="s">
        <v>1413</v>
      </c>
      <c r="B28" s="64">
        <v>8.36</v>
      </c>
      <c r="C28" s="64">
        <v>3.25</v>
      </c>
      <c r="D28" s="64">
        <v>12.17</v>
      </c>
      <c r="E28" s="64">
        <v>4.37</v>
      </c>
      <c r="F28" s="64">
        <v>3.29</v>
      </c>
      <c r="G28" s="64">
        <v>19.96</v>
      </c>
      <c r="H28" s="64">
        <v>5.23</v>
      </c>
      <c r="I28" s="64">
        <v>5.46</v>
      </c>
      <c r="J28" s="64">
        <v>0.21</v>
      </c>
      <c r="K28" s="64">
        <v>173.96</v>
      </c>
      <c r="L28" s="64">
        <v>22.55</v>
      </c>
      <c r="M28" s="64">
        <v>98.35</v>
      </c>
      <c r="N28" s="64">
        <v>16.3</v>
      </c>
      <c r="O28" s="64">
        <v>0</v>
      </c>
      <c r="P28" s="64">
        <v>0.27</v>
      </c>
      <c r="Q28" s="64">
        <v>9.35</v>
      </c>
      <c r="R28" s="198"/>
      <c r="S28" s="198"/>
      <c r="T28" s="198"/>
      <c r="U28" s="198"/>
    </row>
    <row r="29" spans="1:21" s="12" customFormat="1" x14ac:dyDescent="0.25">
      <c r="A29" s="217" t="s">
        <v>1414</v>
      </c>
      <c r="B29" s="64">
        <v>8.33</v>
      </c>
      <c r="C29" s="64">
        <v>3.13</v>
      </c>
      <c r="D29" s="64">
        <v>12.09</v>
      </c>
      <c r="E29" s="64">
        <v>4.76</v>
      </c>
      <c r="F29" s="64">
        <v>4.1500000000000004</v>
      </c>
      <c r="G29" s="64">
        <v>19.96</v>
      </c>
      <c r="H29" s="64">
        <v>5.23</v>
      </c>
      <c r="I29" s="64">
        <v>5.23</v>
      </c>
      <c r="J29" s="64">
        <v>7.0000000000000007E-2</v>
      </c>
      <c r="K29" s="64">
        <v>75.45</v>
      </c>
      <c r="L29" s="64">
        <v>22.57</v>
      </c>
      <c r="M29" s="64">
        <v>98.35</v>
      </c>
      <c r="N29" s="64">
        <v>17.100000000000001</v>
      </c>
      <c r="O29" s="64">
        <v>0</v>
      </c>
      <c r="P29" s="64">
        <v>0.28000000000000003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17" t="s">
        <v>1415</v>
      </c>
      <c r="B30" s="64">
        <v>8.33</v>
      </c>
      <c r="C30" s="64">
        <v>3.2</v>
      </c>
      <c r="D30" s="64">
        <v>12.13</v>
      </c>
      <c r="E30" s="64">
        <v>4.47</v>
      </c>
      <c r="F30" s="64">
        <v>2.5299999999999998</v>
      </c>
      <c r="G30" s="64">
        <v>19.96</v>
      </c>
      <c r="H30" s="64">
        <v>5.23</v>
      </c>
      <c r="I30" s="64">
        <v>5.24</v>
      </c>
      <c r="J30" s="64">
        <v>0.23</v>
      </c>
      <c r="K30" s="64">
        <v>284.95999999999998</v>
      </c>
      <c r="L30" s="64">
        <v>22.64</v>
      </c>
      <c r="M30" s="64">
        <v>98.35</v>
      </c>
      <c r="N30" s="64">
        <v>21.1</v>
      </c>
      <c r="O30" s="64">
        <v>0</v>
      </c>
      <c r="P30" s="64">
        <v>0.28000000000000003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7" t="s">
        <v>1416</v>
      </c>
      <c r="B31" s="64">
        <v>8.35</v>
      </c>
      <c r="C31" s="64">
        <v>3.27</v>
      </c>
      <c r="D31" s="64">
        <v>12.18</v>
      </c>
      <c r="E31" s="64">
        <v>4.59</v>
      </c>
      <c r="F31" s="64">
        <v>3.24</v>
      </c>
      <c r="G31" s="64">
        <v>19.82</v>
      </c>
      <c r="H31" s="64">
        <v>4.8499999999999996</v>
      </c>
      <c r="I31" s="64">
        <v>5.29</v>
      </c>
      <c r="J31" s="64">
        <v>0.47</v>
      </c>
      <c r="K31" s="64">
        <v>344.73</v>
      </c>
      <c r="L31" s="64">
        <v>22.82</v>
      </c>
      <c r="M31" s="64">
        <v>98.35</v>
      </c>
      <c r="N31" s="64">
        <v>26.3</v>
      </c>
      <c r="O31" s="64">
        <v>0</v>
      </c>
      <c r="P31" s="64">
        <v>0.27</v>
      </c>
      <c r="Q31" s="64">
        <v>9.41</v>
      </c>
      <c r="R31" s="198"/>
      <c r="S31" s="198"/>
      <c r="T31" s="198"/>
      <c r="U31" s="198"/>
    </row>
    <row r="32" spans="1:21" s="12" customFormat="1" x14ac:dyDescent="0.25">
      <c r="A32" s="217" t="s">
        <v>1417</v>
      </c>
      <c r="B32" s="64">
        <v>8.36</v>
      </c>
      <c r="C32" s="64">
        <v>3.27</v>
      </c>
      <c r="D32" s="64">
        <v>12.19</v>
      </c>
      <c r="E32" s="64">
        <v>4.4800000000000004</v>
      </c>
      <c r="F32" s="64">
        <v>4.1500000000000004</v>
      </c>
      <c r="G32" s="64">
        <v>19.61</v>
      </c>
      <c r="H32" s="64">
        <v>4.3099999999999996</v>
      </c>
      <c r="I32" s="64">
        <v>5.05</v>
      </c>
      <c r="J32" s="64">
        <v>0.38</v>
      </c>
      <c r="K32" s="64">
        <v>351.06</v>
      </c>
      <c r="L32" s="64">
        <v>23.04</v>
      </c>
      <c r="M32" s="64">
        <v>98.35</v>
      </c>
      <c r="N32" s="64">
        <v>29</v>
      </c>
      <c r="O32" s="64">
        <v>0</v>
      </c>
      <c r="P32" s="64">
        <v>0.28000000000000003</v>
      </c>
      <c r="Q32" s="64">
        <v>9.44</v>
      </c>
      <c r="R32" s="198"/>
      <c r="S32" s="198"/>
      <c r="T32" s="198"/>
      <c r="U32" s="198"/>
    </row>
    <row r="33" spans="1:21" s="12" customFormat="1" x14ac:dyDescent="0.25">
      <c r="A33" s="217" t="s">
        <v>1418</v>
      </c>
      <c r="B33" s="64">
        <v>8.32</v>
      </c>
      <c r="C33" s="64">
        <v>3.21</v>
      </c>
      <c r="D33" s="64">
        <v>12.13</v>
      </c>
      <c r="E33" s="64">
        <v>4.45</v>
      </c>
      <c r="F33" s="64">
        <v>3.19</v>
      </c>
      <c r="G33" s="64">
        <v>19.61</v>
      </c>
      <c r="H33" s="64">
        <v>4.3099999999999996</v>
      </c>
      <c r="I33" s="64">
        <v>4.76</v>
      </c>
      <c r="J33" s="64">
        <v>0.33</v>
      </c>
      <c r="K33" s="64">
        <v>355.79</v>
      </c>
      <c r="L33" s="64">
        <v>23.19</v>
      </c>
      <c r="M33" s="64">
        <v>98.35</v>
      </c>
      <c r="N33" s="64">
        <v>35.200000000000003</v>
      </c>
      <c r="O33" s="64">
        <v>0</v>
      </c>
      <c r="P33" s="64">
        <v>0.27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7" t="s">
        <v>1419</v>
      </c>
      <c r="B34" s="64">
        <v>8.35</v>
      </c>
      <c r="C34" s="64">
        <v>3.25</v>
      </c>
      <c r="D34" s="64">
        <v>12.17</v>
      </c>
      <c r="E34" s="64">
        <v>4.5999999999999996</v>
      </c>
      <c r="F34" s="64">
        <v>3.19</v>
      </c>
      <c r="G34" s="64">
        <v>19.61</v>
      </c>
      <c r="H34" s="64">
        <v>4.3099999999999996</v>
      </c>
      <c r="I34" s="64">
        <v>4.6100000000000003</v>
      </c>
      <c r="J34" s="64">
        <v>0.35</v>
      </c>
      <c r="K34" s="64">
        <v>343.72</v>
      </c>
      <c r="L34" s="64">
        <v>23.28</v>
      </c>
      <c r="M34" s="64">
        <v>98.35</v>
      </c>
      <c r="N34" s="64">
        <v>53.7</v>
      </c>
      <c r="O34" s="64">
        <v>0</v>
      </c>
      <c r="P34" s="64">
        <v>0.26</v>
      </c>
      <c r="Q34" s="64">
        <v>9.39</v>
      </c>
      <c r="R34" s="198"/>
      <c r="S34" s="198"/>
      <c r="T34" s="198"/>
      <c r="U34" s="198"/>
    </row>
    <row r="35" spans="1:21" s="12" customFormat="1" x14ac:dyDescent="0.25">
      <c r="A35" s="217" t="s">
        <v>1420</v>
      </c>
      <c r="B35" s="64">
        <v>8.33</v>
      </c>
      <c r="C35" s="64">
        <v>3.24</v>
      </c>
      <c r="D35" s="64">
        <v>12.15</v>
      </c>
      <c r="E35" s="64">
        <v>4.3</v>
      </c>
      <c r="F35" s="64">
        <v>3.99</v>
      </c>
      <c r="G35" s="64">
        <v>21.08</v>
      </c>
      <c r="H35" s="64">
        <v>3.84</v>
      </c>
      <c r="I35" s="64">
        <v>4.51</v>
      </c>
      <c r="J35" s="64">
        <v>0.51</v>
      </c>
      <c r="K35" s="64">
        <v>351.45</v>
      </c>
      <c r="L35" s="64">
        <v>23.55</v>
      </c>
      <c r="M35" s="64">
        <v>98.33</v>
      </c>
      <c r="N35" s="64">
        <v>87.4</v>
      </c>
      <c r="O35" s="64">
        <v>0</v>
      </c>
      <c r="P35" s="64">
        <v>0.27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7" t="s">
        <v>1421</v>
      </c>
      <c r="B36" s="64">
        <v>8.33</v>
      </c>
      <c r="C36" s="64">
        <v>3.23</v>
      </c>
      <c r="D36" s="64">
        <v>12.14</v>
      </c>
      <c r="E36" s="64">
        <v>4.3499999999999996</v>
      </c>
      <c r="F36" s="64">
        <v>3.53</v>
      </c>
      <c r="G36" s="64">
        <v>23.28</v>
      </c>
      <c r="H36" s="64">
        <v>3.12</v>
      </c>
      <c r="I36" s="64">
        <v>4.2</v>
      </c>
      <c r="J36" s="64">
        <v>0.4</v>
      </c>
      <c r="K36" s="64">
        <v>1.58</v>
      </c>
      <c r="L36" s="64">
        <v>23.91</v>
      </c>
      <c r="M36" s="64">
        <v>98.33</v>
      </c>
      <c r="N36" s="64">
        <v>163.19999999999999</v>
      </c>
      <c r="O36" s="64">
        <v>0</v>
      </c>
      <c r="P36" s="64">
        <v>0.27</v>
      </c>
      <c r="Q36" s="64">
        <v>9.43</v>
      </c>
      <c r="R36" s="198"/>
      <c r="S36" s="198"/>
      <c r="T36" s="198"/>
      <c r="U36" s="198"/>
    </row>
    <row r="37" spans="1:21" s="12" customFormat="1" x14ac:dyDescent="0.25">
      <c r="A37" s="217" t="s">
        <v>1422</v>
      </c>
      <c r="B37" s="64">
        <v>8.35</v>
      </c>
      <c r="C37" s="64">
        <v>3.27</v>
      </c>
      <c r="D37" s="64">
        <v>12.18</v>
      </c>
      <c r="E37" s="64">
        <v>4.8899999999999997</v>
      </c>
      <c r="F37" s="64">
        <v>3.27</v>
      </c>
      <c r="G37" s="64">
        <v>23.28</v>
      </c>
      <c r="H37" s="64">
        <v>3.12</v>
      </c>
      <c r="I37" s="64">
        <v>3.95</v>
      </c>
      <c r="J37" s="64">
        <v>0.5</v>
      </c>
      <c r="K37" s="64">
        <v>337.81</v>
      </c>
      <c r="L37" s="64">
        <v>24.57</v>
      </c>
      <c r="M37" s="64">
        <v>97.44</v>
      </c>
      <c r="N37" s="64">
        <v>173.2</v>
      </c>
      <c r="O37" s="64">
        <v>0</v>
      </c>
      <c r="P37" s="64">
        <v>0.32</v>
      </c>
      <c r="Q37" s="64">
        <v>9.41</v>
      </c>
      <c r="R37" s="198"/>
      <c r="S37" s="198"/>
      <c r="T37" s="198"/>
      <c r="U37" s="198"/>
    </row>
    <row r="38" spans="1:21" s="12" customFormat="1" x14ac:dyDescent="0.25">
      <c r="A38" s="217" t="s">
        <v>1423</v>
      </c>
      <c r="B38" s="64">
        <v>8.3699999999999992</v>
      </c>
      <c r="C38" s="64">
        <v>3.28</v>
      </c>
      <c r="D38" s="64">
        <v>12.2</v>
      </c>
      <c r="E38" s="64">
        <v>4.37</v>
      </c>
      <c r="F38" s="64">
        <v>3.46</v>
      </c>
      <c r="G38" s="64">
        <v>23.28</v>
      </c>
      <c r="H38" s="64">
        <v>3.12</v>
      </c>
      <c r="I38" s="64">
        <v>3.74</v>
      </c>
      <c r="J38" s="64">
        <v>0.64</v>
      </c>
      <c r="K38" s="64">
        <v>321.18</v>
      </c>
      <c r="L38" s="64">
        <v>25.11</v>
      </c>
      <c r="M38" s="64">
        <v>96.45</v>
      </c>
      <c r="N38" s="64">
        <v>200.1</v>
      </c>
      <c r="O38" s="64">
        <v>0</v>
      </c>
      <c r="P38" s="64">
        <v>0.34</v>
      </c>
      <c r="Q38" s="64">
        <v>9.3800000000000008</v>
      </c>
      <c r="R38" s="198"/>
      <c r="S38" s="198"/>
      <c r="T38" s="198"/>
      <c r="U38" s="198"/>
    </row>
    <row r="39" spans="1:21" s="12" customFormat="1" x14ac:dyDescent="0.25">
      <c r="A39" s="217" t="s">
        <v>1424</v>
      </c>
      <c r="B39" s="64">
        <v>8.3699999999999992</v>
      </c>
      <c r="C39" s="64">
        <v>3.25</v>
      </c>
      <c r="D39" s="64">
        <v>12.19</v>
      </c>
      <c r="E39" s="64">
        <v>4.4000000000000004</v>
      </c>
      <c r="F39" s="64">
        <v>3.39</v>
      </c>
      <c r="G39" s="64">
        <v>24.51</v>
      </c>
      <c r="H39" s="64">
        <v>2.74</v>
      </c>
      <c r="I39" s="64">
        <v>3.52</v>
      </c>
      <c r="J39" s="64">
        <v>0.68</v>
      </c>
      <c r="K39" s="64">
        <v>321.58</v>
      </c>
      <c r="L39" s="64">
        <v>26.23</v>
      </c>
      <c r="M39" s="64">
        <v>91.04</v>
      </c>
      <c r="N39" s="64">
        <v>199.6</v>
      </c>
      <c r="O39" s="64">
        <v>0</v>
      </c>
      <c r="P39" s="64">
        <v>0.36</v>
      </c>
      <c r="Q39" s="64">
        <v>9.39</v>
      </c>
      <c r="R39" s="198"/>
      <c r="S39" s="198"/>
      <c r="T39" s="198"/>
      <c r="U39" s="198"/>
    </row>
    <row r="40" spans="1:21" s="12" customFormat="1" x14ac:dyDescent="0.25">
      <c r="A40" s="217" t="s">
        <v>1425</v>
      </c>
      <c r="B40" s="64">
        <v>8.3800000000000008</v>
      </c>
      <c r="C40" s="64">
        <v>3.27</v>
      </c>
      <c r="D40" s="64">
        <v>12.2</v>
      </c>
      <c r="E40" s="64">
        <v>4.18</v>
      </c>
      <c r="F40" s="64">
        <v>3.24</v>
      </c>
      <c r="G40" s="64">
        <v>26.36</v>
      </c>
      <c r="H40" s="64">
        <v>2.1800000000000002</v>
      </c>
      <c r="I40" s="64">
        <v>3.43</v>
      </c>
      <c r="J40" s="64">
        <v>0.64</v>
      </c>
      <c r="K40" s="64">
        <v>329.04</v>
      </c>
      <c r="L40" s="64">
        <v>26.77</v>
      </c>
      <c r="M40" s="64">
        <v>88.19</v>
      </c>
      <c r="N40" s="64">
        <v>195.8</v>
      </c>
      <c r="O40" s="64">
        <v>0</v>
      </c>
      <c r="P40" s="64">
        <v>0.37</v>
      </c>
      <c r="Q40" s="64">
        <v>9.4</v>
      </c>
      <c r="R40" s="198"/>
      <c r="S40" s="198"/>
      <c r="T40" s="198"/>
      <c r="U40" s="198"/>
    </row>
    <row r="41" spans="1:21" s="12" customFormat="1" x14ac:dyDescent="0.25">
      <c r="A41" s="217" t="s">
        <v>1426</v>
      </c>
      <c r="B41" s="64">
        <v>8.39</v>
      </c>
      <c r="C41" s="64">
        <v>3.26</v>
      </c>
      <c r="D41" s="64">
        <v>12.21</v>
      </c>
      <c r="E41" s="64">
        <v>3.78</v>
      </c>
      <c r="F41" s="64">
        <v>3.28</v>
      </c>
      <c r="G41" s="64">
        <v>26.36</v>
      </c>
      <c r="H41" s="64">
        <v>2.1800000000000002</v>
      </c>
      <c r="I41" s="64">
        <v>3.42</v>
      </c>
      <c r="J41" s="64">
        <v>0.93</v>
      </c>
      <c r="K41" s="64">
        <v>308.88</v>
      </c>
      <c r="L41" s="64">
        <v>27</v>
      </c>
      <c r="M41" s="64">
        <v>86.49</v>
      </c>
      <c r="N41" s="64">
        <v>178.8</v>
      </c>
      <c r="O41" s="64">
        <v>0</v>
      </c>
      <c r="P41" s="64">
        <v>0.39</v>
      </c>
      <c r="Q41" s="64">
        <v>9.41</v>
      </c>
      <c r="R41" s="198"/>
      <c r="S41" s="198"/>
      <c r="T41" s="198"/>
      <c r="U41" s="198"/>
    </row>
    <row r="42" spans="1:21" s="12" customFormat="1" x14ac:dyDescent="0.25">
      <c r="A42" s="217" t="s">
        <v>1427</v>
      </c>
      <c r="B42" s="64">
        <v>8.39</v>
      </c>
      <c r="C42" s="64">
        <v>3.28</v>
      </c>
      <c r="D42" s="64">
        <v>12.22</v>
      </c>
      <c r="E42" s="64">
        <v>3.4</v>
      </c>
      <c r="F42" s="64">
        <v>3.23</v>
      </c>
      <c r="G42" s="64">
        <v>26.36</v>
      </c>
      <c r="H42" s="64">
        <v>2.1800000000000002</v>
      </c>
      <c r="I42" s="64">
        <v>3.45</v>
      </c>
      <c r="J42" s="64">
        <v>0.77</v>
      </c>
      <c r="K42" s="64">
        <v>317.52999999999997</v>
      </c>
      <c r="L42" s="64">
        <v>27.28</v>
      </c>
      <c r="M42" s="64">
        <v>84.92</v>
      </c>
      <c r="N42" s="64">
        <v>188</v>
      </c>
      <c r="O42" s="64">
        <v>0</v>
      </c>
      <c r="P42" s="64">
        <v>0.39</v>
      </c>
      <c r="Q42" s="64">
        <v>9.4499999999999993</v>
      </c>
      <c r="R42" s="198"/>
      <c r="S42" s="198"/>
      <c r="T42" s="198"/>
      <c r="U42" s="198"/>
    </row>
    <row r="43" spans="1:21" s="12" customFormat="1" x14ac:dyDescent="0.25">
      <c r="A43" s="217" t="s">
        <v>1428</v>
      </c>
      <c r="B43" s="64">
        <v>8.36</v>
      </c>
      <c r="C43" s="64">
        <v>3.23</v>
      </c>
      <c r="D43" s="64">
        <v>12.17</v>
      </c>
      <c r="E43" s="64">
        <v>3.84</v>
      </c>
      <c r="F43" s="64">
        <v>3.04</v>
      </c>
      <c r="G43" s="64">
        <v>31.13</v>
      </c>
      <c r="H43" s="64">
        <v>3.84</v>
      </c>
      <c r="I43" s="64">
        <v>3.55</v>
      </c>
      <c r="J43" s="64">
        <v>0.5</v>
      </c>
      <c r="K43" s="64">
        <v>309.67</v>
      </c>
      <c r="L43" s="64">
        <v>27.58</v>
      </c>
      <c r="M43" s="64">
        <v>83.61</v>
      </c>
      <c r="N43" s="64">
        <v>263.89999999999998</v>
      </c>
      <c r="O43" s="64">
        <v>0</v>
      </c>
      <c r="P43" s="64">
        <v>0.4</v>
      </c>
      <c r="Q43" s="64">
        <v>9.48</v>
      </c>
      <c r="R43" s="198"/>
      <c r="S43" s="198"/>
      <c r="T43" s="198"/>
      <c r="U43" s="198"/>
    </row>
    <row r="44" spans="1:21" s="12" customFormat="1" x14ac:dyDescent="0.25">
      <c r="A44" s="217" t="s">
        <v>1429</v>
      </c>
      <c r="B44" s="64">
        <v>8.34</v>
      </c>
      <c r="C44" s="64">
        <v>3.17</v>
      </c>
      <c r="D44" s="64">
        <v>12.12</v>
      </c>
      <c r="E44" s="64">
        <v>3.37</v>
      </c>
      <c r="F44" s="64">
        <v>3.74</v>
      </c>
      <c r="G44" s="64">
        <v>38.270000000000003</v>
      </c>
      <c r="H44" s="64">
        <v>6.23</v>
      </c>
      <c r="I44" s="64">
        <v>3.48</v>
      </c>
      <c r="J44" s="64">
        <v>0.71</v>
      </c>
      <c r="K44" s="64">
        <v>313.05</v>
      </c>
      <c r="L44" s="64">
        <v>27.47</v>
      </c>
      <c r="M44" s="64">
        <v>83.87</v>
      </c>
      <c r="N44" s="64">
        <v>219.7</v>
      </c>
      <c r="O44" s="64">
        <v>0</v>
      </c>
      <c r="P44" s="64">
        <v>0.41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7" t="s">
        <v>1430</v>
      </c>
      <c r="B45" s="64">
        <v>8.32</v>
      </c>
      <c r="C45" s="64">
        <v>3.15</v>
      </c>
      <c r="D45" s="64">
        <v>12.09</v>
      </c>
      <c r="E45" s="64">
        <v>3.66</v>
      </c>
      <c r="F45" s="64">
        <v>3.33</v>
      </c>
      <c r="G45" s="64">
        <v>38.270000000000003</v>
      </c>
      <c r="H45" s="64">
        <v>6.23</v>
      </c>
      <c r="I45" s="64">
        <v>3.41</v>
      </c>
      <c r="J45" s="64">
        <v>0.82</v>
      </c>
      <c r="K45" s="64">
        <v>312.81</v>
      </c>
      <c r="L45" s="64">
        <v>27.88</v>
      </c>
      <c r="M45" s="64">
        <v>80.77</v>
      </c>
      <c r="N45" s="64">
        <v>215.1</v>
      </c>
      <c r="O45" s="64">
        <v>0</v>
      </c>
      <c r="P45" s="64">
        <v>0.42</v>
      </c>
      <c r="Q45" s="64">
        <v>9.5</v>
      </c>
      <c r="R45" s="198"/>
      <c r="S45" s="198"/>
      <c r="T45" s="198"/>
      <c r="U45" s="198"/>
    </row>
    <row r="46" spans="1:21" s="12" customFormat="1" x14ac:dyDescent="0.25">
      <c r="A46" s="217" t="s">
        <v>1431</v>
      </c>
      <c r="B46" s="64">
        <v>8.34</v>
      </c>
      <c r="C46" s="64">
        <v>3.24</v>
      </c>
      <c r="D46" s="64">
        <v>12.16</v>
      </c>
      <c r="E46" s="64">
        <v>3.46</v>
      </c>
      <c r="F46" s="64">
        <v>3.53</v>
      </c>
      <c r="G46" s="64">
        <v>38.270000000000003</v>
      </c>
      <c r="H46" s="64">
        <v>6.23</v>
      </c>
      <c r="I46" s="64">
        <v>3.42</v>
      </c>
      <c r="J46" s="64">
        <v>0.82</v>
      </c>
      <c r="K46" s="64">
        <v>319.56</v>
      </c>
      <c r="L46" s="64">
        <v>28.67</v>
      </c>
      <c r="M46" s="64">
        <v>78.650000000000006</v>
      </c>
      <c r="N46" s="64">
        <v>336.9</v>
      </c>
      <c r="O46" s="64">
        <v>0</v>
      </c>
      <c r="P46" s="64">
        <v>0.42</v>
      </c>
      <c r="Q46" s="64">
        <v>9.4499999999999993</v>
      </c>
      <c r="R46" s="198"/>
      <c r="S46" s="198"/>
      <c r="T46" s="198"/>
      <c r="U46" s="198"/>
    </row>
    <row r="47" spans="1:21" s="12" customFormat="1" x14ac:dyDescent="0.25">
      <c r="A47" s="217" t="s">
        <v>1432</v>
      </c>
      <c r="B47" s="64">
        <v>8.32</v>
      </c>
      <c r="C47" s="64">
        <v>3.21</v>
      </c>
      <c r="D47" s="64">
        <v>12.12</v>
      </c>
      <c r="E47" s="64">
        <v>3.7</v>
      </c>
      <c r="F47" s="64">
        <v>3.66</v>
      </c>
      <c r="G47" s="64">
        <v>40.020000000000003</v>
      </c>
      <c r="H47" s="64">
        <v>6.85</v>
      </c>
      <c r="I47" s="64">
        <v>3.31</v>
      </c>
      <c r="J47" s="64">
        <v>0.16</v>
      </c>
      <c r="K47" s="64">
        <v>327.35000000000002</v>
      </c>
      <c r="L47" s="64">
        <v>27.96</v>
      </c>
      <c r="M47" s="64">
        <v>81.27</v>
      </c>
      <c r="N47" s="64">
        <v>303</v>
      </c>
      <c r="O47" s="64">
        <v>0</v>
      </c>
      <c r="P47" s="64">
        <v>0.43</v>
      </c>
      <c r="Q47" s="64">
        <v>9.48</v>
      </c>
      <c r="R47" s="198"/>
      <c r="S47" s="198"/>
      <c r="T47" s="198"/>
      <c r="U47" s="198"/>
    </row>
    <row r="48" spans="1:21" s="12" customFormat="1" x14ac:dyDescent="0.25">
      <c r="A48" s="217" t="s">
        <v>1433</v>
      </c>
      <c r="B48" s="64">
        <v>8.3800000000000008</v>
      </c>
      <c r="C48" s="64">
        <v>3.35</v>
      </c>
      <c r="D48" s="64">
        <v>12.25</v>
      </c>
      <c r="E48" s="64">
        <v>3.79</v>
      </c>
      <c r="F48" s="64">
        <v>3.39</v>
      </c>
      <c r="G48" s="64">
        <v>42.64</v>
      </c>
      <c r="H48" s="64">
        <v>7.73</v>
      </c>
      <c r="I48" s="64">
        <v>3.2</v>
      </c>
      <c r="J48" s="64">
        <v>0.45</v>
      </c>
      <c r="K48" s="64">
        <v>322.67</v>
      </c>
      <c r="L48" s="64">
        <v>28.13</v>
      </c>
      <c r="M48" s="64">
        <v>80.58</v>
      </c>
      <c r="N48" s="64">
        <v>282.3</v>
      </c>
      <c r="O48" s="64">
        <v>0</v>
      </c>
      <c r="P48" s="64">
        <v>0.44</v>
      </c>
      <c r="Q48" s="64">
        <v>9.49</v>
      </c>
      <c r="R48" s="198"/>
      <c r="S48" s="198"/>
      <c r="T48" s="198"/>
      <c r="U48" s="198"/>
    </row>
    <row r="49" spans="1:21" s="12" customFormat="1" x14ac:dyDescent="0.25">
      <c r="A49" s="217" t="s">
        <v>1434</v>
      </c>
      <c r="B49" s="64">
        <v>8.3800000000000008</v>
      </c>
      <c r="C49" s="64">
        <v>3.45</v>
      </c>
      <c r="D49" s="64">
        <v>12.29</v>
      </c>
      <c r="E49" s="64">
        <v>3.41</v>
      </c>
      <c r="F49" s="64">
        <v>3.58</v>
      </c>
      <c r="G49" s="64">
        <v>42.64</v>
      </c>
      <c r="H49" s="64">
        <v>7.73</v>
      </c>
      <c r="I49" s="64">
        <v>3.2</v>
      </c>
      <c r="J49" s="64">
        <v>0.5</v>
      </c>
      <c r="K49" s="64">
        <v>312.93</v>
      </c>
      <c r="L49" s="64">
        <v>28.85</v>
      </c>
      <c r="M49" s="64">
        <v>76.099999999999994</v>
      </c>
      <c r="N49" s="64">
        <v>300</v>
      </c>
      <c r="O49" s="64">
        <v>0</v>
      </c>
      <c r="P49" s="64">
        <v>0.46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7" t="s">
        <v>1435</v>
      </c>
      <c r="B50" s="64">
        <v>8.33</v>
      </c>
      <c r="C50" s="64">
        <v>3.33</v>
      </c>
      <c r="D50" s="64">
        <v>12.2</v>
      </c>
      <c r="E50" s="64">
        <v>3.71</v>
      </c>
      <c r="F50" s="64">
        <v>5.0599999999999996</v>
      </c>
      <c r="G50" s="64">
        <v>42.64</v>
      </c>
      <c r="H50" s="64">
        <v>7.73</v>
      </c>
      <c r="I50" s="64">
        <v>3.21</v>
      </c>
      <c r="J50" s="64">
        <v>0.51</v>
      </c>
      <c r="K50" s="64">
        <v>304.57</v>
      </c>
      <c r="L50" s="64">
        <v>29.04</v>
      </c>
      <c r="M50" s="64">
        <v>74.34</v>
      </c>
      <c r="N50" s="64">
        <v>258.3</v>
      </c>
      <c r="O50" s="64">
        <v>0</v>
      </c>
      <c r="P50" s="64">
        <v>0.48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7" t="s">
        <v>1436</v>
      </c>
      <c r="B51" s="64">
        <v>8.31</v>
      </c>
      <c r="C51" s="64">
        <v>3.33</v>
      </c>
      <c r="D51" s="64">
        <v>12.18</v>
      </c>
      <c r="E51" s="64">
        <v>3.83</v>
      </c>
      <c r="F51" s="64">
        <v>5.38</v>
      </c>
      <c r="G51" s="64">
        <v>41.7</v>
      </c>
      <c r="H51" s="64">
        <v>8.1999999999999993</v>
      </c>
      <c r="I51" s="64">
        <v>3.2</v>
      </c>
      <c r="J51" s="64">
        <v>0.91</v>
      </c>
      <c r="K51" s="64">
        <v>314.02999999999997</v>
      </c>
      <c r="L51" s="64">
        <v>28.93</v>
      </c>
      <c r="M51" s="64">
        <v>74.52</v>
      </c>
      <c r="N51" s="64">
        <v>241.8</v>
      </c>
      <c r="O51" s="64">
        <v>0</v>
      </c>
      <c r="P51" s="64">
        <v>0.49</v>
      </c>
      <c r="Q51" s="64">
        <v>9.3699999999999992</v>
      </c>
      <c r="R51" s="198"/>
      <c r="S51" s="198"/>
      <c r="T51" s="198"/>
      <c r="U51" s="198"/>
    </row>
    <row r="52" spans="1:21" s="12" customFormat="1" x14ac:dyDescent="0.25">
      <c r="A52" s="217" t="s">
        <v>1437</v>
      </c>
      <c r="B52" s="64">
        <v>8.2799999999999994</v>
      </c>
      <c r="C52" s="64">
        <v>3.25</v>
      </c>
      <c r="D52" s="64">
        <v>12.11</v>
      </c>
      <c r="E52" s="64">
        <v>4.12</v>
      </c>
      <c r="F52" s="64">
        <v>5.89</v>
      </c>
      <c r="G52" s="64">
        <v>40.299999999999997</v>
      </c>
      <c r="H52" s="64">
        <v>8.9</v>
      </c>
      <c r="I52" s="64">
        <v>3.35</v>
      </c>
      <c r="J52" s="64">
        <v>1.28</v>
      </c>
      <c r="K52" s="64">
        <v>316.83999999999997</v>
      </c>
      <c r="L52" s="64">
        <v>29.41</v>
      </c>
      <c r="M52" s="64">
        <v>73.17</v>
      </c>
      <c r="N52" s="64">
        <v>306.39999999999998</v>
      </c>
      <c r="O52" s="64">
        <v>0</v>
      </c>
      <c r="P52" s="64">
        <v>0.51</v>
      </c>
      <c r="Q52" s="64">
        <v>9.1199999999999992</v>
      </c>
      <c r="R52" s="198"/>
      <c r="S52" s="198"/>
      <c r="T52" s="198"/>
      <c r="U52" s="198"/>
    </row>
    <row r="53" spans="1:21" s="12" customFormat="1" x14ac:dyDescent="0.25">
      <c r="A53" s="217" t="s">
        <v>1438</v>
      </c>
      <c r="B53" s="64">
        <v>8.39</v>
      </c>
      <c r="C53" s="64">
        <v>3.55</v>
      </c>
      <c r="D53" s="64">
        <v>12.36</v>
      </c>
      <c r="E53" s="64">
        <v>3.9</v>
      </c>
      <c r="F53" s="64">
        <v>6.22</v>
      </c>
      <c r="G53" s="64">
        <v>40.299999999999997</v>
      </c>
      <c r="H53" s="64">
        <v>8.9</v>
      </c>
      <c r="I53" s="64">
        <v>3.46</v>
      </c>
      <c r="J53" s="64">
        <v>1.1100000000000001</v>
      </c>
      <c r="K53" s="64">
        <v>322.54000000000002</v>
      </c>
      <c r="L53" s="64">
        <v>29.99</v>
      </c>
      <c r="M53" s="64">
        <v>72.13</v>
      </c>
      <c r="N53" s="64">
        <v>301.10000000000002</v>
      </c>
      <c r="O53" s="64">
        <v>0</v>
      </c>
      <c r="P53" s="64">
        <v>0.53</v>
      </c>
      <c r="Q53" s="64">
        <v>8.94</v>
      </c>
      <c r="R53" s="198"/>
      <c r="S53" s="198"/>
      <c r="T53" s="198"/>
      <c r="U53" s="198"/>
    </row>
    <row r="54" spans="1:21" s="12" customFormat="1" x14ac:dyDescent="0.25">
      <c r="A54" s="217" t="s">
        <v>1439</v>
      </c>
      <c r="B54" s="64">
        <v>8.32</v>
      </c>
      <c r="C54" s="64">
        <v>3.41</v>
      </c>
      <c r="D54" s="64">
        <v>12.22</v>
      </c>
      <c r="E54" s="64">
        <v>4.26</v>
      </c>
      <c r="F54" s="64">
        <v>6.31</v>
      </c>
      <c r="G54" s="64">
        <v>40.299999999999997</v>
      </c>
      <c r="H54" s="64">
        <v>8.9</v>
      </c>
      <c r="I54" s="64">
        <v>3.48</v>
      </c>
      <c r="J54" s="64">
        <v>0.65</v>
      </c>
      <c r="K54" s="64">
        <v>321.99</v>
      </c>
      <c r="L54" s="64">
        <v>29.88</v>
      </c>
      <c r="M54" s="64">
        <v>72.349999999999994</v>
      </c>
      <c r="N54" s="64">
        <v>439.6</v>
      </c>
      <c r="O54" s="64">
        <v>0</v>
      </c>
      <c r="P54" s="64">
        <v>0.54</v>
      </c>
      <c r="Q54" s="64">
        <v>8.85</v>
      </c>
      <c r="R54" s="198"/>
      <c r="S54" s="198"/>
      <c r="T54" s="198"/>
      <c r="U54" s="198"/>
    </row>
    <row r="55" spans="1:21" s="12" customFormat="1" x14ac:dyDescent="0.25">
      <c r="A55" s="217" t="s">
        <v>1440</v>
      </c>
      <c r="B55" s="64">
        <v>8.4600000000000009</v>
      </c>
      <c r="C55" s="64">
        <v>3.74</v>
      </c>
      <c r="D55" s="64">
        <v>12.51</v>
      </c>
      <c r="E55" s="64">
        <v>4.51</v>
      </c>
      <c r="F55" s="64">
        <v>3.18</v>
      </c>
      <c r="G55" s="64">
        <v>43.18</v>
      </c>
      <c r="H55" s="64">
        <v>9.2799999999999994</v>
      </c>
      <c r="I55" s="64">
        <v>3.55</v>
      </c>
      <c r="J55" s="64">
        <v>0.53</v>
      </c>
      <c r="K55" s="64">
        <v>333.05</v>
      </c>
      <c r="L55" s="64">
        <v>28.11</v>
      </c>
      <c r="M55" s="64">
        <v>84.63</v>
      </c>
      <c r="N55" s="64">
        <v>371.7</v>
      </c>
      <c r="O55" s="64">
        <v>0.8</v>
      </c>
      <c r="P55" s="64">
        <v>0.54</v>
      </c>
      <c r="Q55" s="64">
        <v>8.84</v>
      </c>
      <c r="R55" s="198"/>
      <c r="S55" s="198"/>
      <c r="T55" s="198"/>
      <c r="U55" s="198"/>
    </row>
    <row r="56" spans="1:21" s="12" customFormat="1" x14ac:dyDescent="0.25">
      <c r="A56" s="217" t="s">
        <v>1441</v>
      </c>
      <c r="B56" s="64">
        <v>8.36</v>
      </c>
      <c r="C56" s="64">
        <v>3.47</v>
      </c>
      <c r="D56" s="64">
        <v>12.29</v>
      </c>
      <c r="E56" s="64">
        <v>4.28</v>
      </c>
      <c r="F56" s="64">
        <v>4.3</v>
      </c>
      <c r="G56" s="64">
        <v>47.5</v>
      </c>
      <c r="H56" s="64">
        <v>9.85</v>
      </c>
      <c r="I56" s="64">
        <v>3.56</v>
      </c>
      <c r="J56" s="64">
        <v>0.42</v>
      </c>
      <c r="K56" s="64">
        <v>330.85</v>
      </c>
      <c r="L56" s="64">
        <v>26.32</v>
      </c>
      <c r="M56" s="64">
        <v>94.75</v>
      </c>
      <c r="N56" s="64">
        <v>641.9</v>
      </c>
      <c r="O56" s="64">
        <v>0</v>
      </c>
      <c r="P56" s="64">
        <v>0.52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7" t="s">
        <v>1442</v>
      </c>
      <c r="B57" s="64">
        <v>8.34</v>
      </c>
      <c r="C57" s="64">
        <v>3.32</v>
      </c>
      <c r="D57" s="64">
        <v>12.19</v>
      </c>
      <c r="E57" s="64">
        <v>4.37</v>
      </c>
      <c r="F57" s="64">
        <v>4.22</v>
      </c>
      <c r="G57" s="64">
        <v>47.5</v>
      </c>
      <c r="H57" s="64">
        <v>9.85</v>
      </c>
      <c r="I57" s="64">
        <v>3.5</v>
      </c>
      <c r="J57" s="64">
        <v>0.45</v>
      </c>
      <c r="K57" s="64">
        <v>315.52999999999997</v>
      </c>
      <c r="L57" s="64">
        <v>28.09</v>
      </c>
      <c r="M57" s="64">
        <v>90.27</v>
      </c>
      <c r="N57" s="64">
        <v>1191.3</v>
      </c>
      <c r="O57" s="64">
        <v>0</v>
      </c>
      <c r="P57" s="64">
        <v>0.52</v>
      </c>
      <c r="Q57" s="64">
        <v>9.27</v>
      </c>
      <c r="R57" s="198"/>
      <c r="S57" s="198"/>
      <c r="T57" s="198"/>
      <c r="U57" s="198"/>
    </row>
    <row r="58" spans="1:21" s="12" customFormat="1" x14ac:dyDescent="0.25">
      <c r="A58" s="217" t="s">
        <v>1443</v>
      </c>
      <c r="B58" s="64">
        <v>8.33</v>
      </c>
      <c r="C58" s="64">
        <v>3.28</v>
      </c>
      <c r="D58" s="64">
        <v>12.17</v>
      </c>
      <c r="E58" s="64">
        <v>4.01</v>
      </c>
      <c r="F58" s="64">
        <v>4.05</v>
      </c>
      <c r="G58" s="64">
        <v>47.5</v>
      </c>
      <c r="H58" s="64">
        <v>9.85</v>
      </c>
      <c r="I58" s="64">
        <v>3.42</v>
      </c>
      <c r="J58" s="64">
        <v>0.49</v>
      </c>
      <c r="K58" s="64">
        <v>324.49</v>
      </c>
      <c r="L58" s="64">
        <v>29.9</v>
      </c>
      <c r="M58" s="64">
        <v>79.650000000000006</v>
      </c>
      <c r="N58" s="64">
        <v>1053.3</v>
      </c>
      <c r="O58" s="64">
        <v>0</v>
      </c>
      <c r="P58" s="64">
        <v>0.52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7" t="s">
        <v>1444</v>
      </c>
      <c r="B59" s="64">
        <v>8.33</v>
      </c>
      <c r="C59" s="64">
        <v>3.24</v>
      </c>
      <c r="D59" s="64">
        <v>12.15</v>
      </c>
      <c r="E59" s="64">
        <v>4.0199999999999996</v>
      </c>
      <c r="F59" s="64">
        <v>4.12</v>
      </c>
      <c r="G59" s="64">
        <v>46.24</v>
      </c>
      <c r="H59" s="64">
        <v>11.3</v>
      </c>
      <c r="I59" s="64">
        <v>3.37</v>
      </c>
      <c r="J59" s="64">
        <v>0.3</v>
      </c>
      <c r="K59" s="64">
        <v>339.04</v>
      </c>
      <c r="L59" s="64">
        <v>28.74</v>
      </c>
      <c r="M59" s="64">
        <v>81.56</v>
      </c>
      <c r="N59" s="64">
        <v>378.7</v>
      </c>
      <c r="O59" s="64">
        <v>0</v>
      </c>
      <c r="P59" s="64">
        <v>0.53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7" t="s">
        <v>1445</v>
      </c>
      <c r="B60" s="64">
        <v>8.32</v>
      </c>
      <c r="C60" s="64">
        <v>3.15</v>
      </c>
      <c r="D60" s="64">
        <v>12.09</v>
      </c>
      <c r="E60" s="64">
        <v>4.21</v>
      </c>
      <c r="F60" s="64">
        <v>3.82</v>
      </c>
      <c r="G60" s="64">
        <v>44.35</v>
      </c>
      <c r="H60" s="64">
        <v>13.39</v>
      </c>
      <c r="I60" s="64">
        <v>3.33</v>
      </c>
      <c r="J60" s="64">
        <v>1.41</v>
      </c>
      <c r="K60" s="64">
        <v>336.06</v>
      </c>
      <c r="L60" s="64">
        <v>28.04</v>
      </c>
      <c r="M60" s="64">
        <v>87.48</v>
      </c>
      <c r="N60" s="64">
        <v>144.69999999999999</v>
      </c>
      <c r="O60" s="64">
        <v>2</v>
      </c>
      <c r="P60" s="64">
        <v>0.54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7" t="s">
        <v>1446</v>
      </c>
      <c r="B61" s="64">
        <v>8.33</v>
      </c>
      <c r="C61" s="64">
        <v>3.16</v>
      </c>
      <c r="D61" s="64">
        <v>12.11</v>
      </c>
      <c r="E61" s="64">
        <v>4.0599999999999996</v>
      </c>
      <c r="F61" s="64">
        <v>3.35</v>
      </c>
      <c r="G61" s="64">
        <v>44.35</v>
      </c>
      <c r="H61" s="64">
        <v>13.39</v>
      </c>
      <c r="I61" s="64">
        <v>3.38</v>
      </c>
      <c r="J61" s="64">
        <v>0.68</v>
      </c>
      <c r="K61" s="64">
        <v>94.68</v>
      </c>
      <c r="L61" s="64">
        <v>24.38</v>
      </c>
      <c r="M61" s="64">
        <v>98.61</v>
      </c>
      <c r="N61" s="64">
        <v>142.4</v>
      </c>
      <c r="O61" s="64">
        <v>1.8</v>
      </c>
      <c r="P61" s="64">
        <v>0.44</v>
      </c>
      <c r="Q61" s="64">
        <v>9.59</v>
      </c>
      <c r="R61" s="198"/>
      <c r="S61" s="198"/>
      <c r="T61" s="198"/>
      <c r="U61" s="198"/>
    </row>
    <row r="62" spans="1:21" s="12" customFormat="1" x14ac:dyDescent="0.25">
      <c r="A62" s="217" t="s">
        <v>1447</v>
      </c>
      <c r="B62" s="64">
        <v>8.3699999999999992</v>
      </c>
      <c r="C62" s="64">
        <v>3.23</v>
      </c>
      <c r="D62" s="64">
        <v>12.17</v>
      </c>
      <c r="E62" s="64">
        <v>3.82</v>
      </c>
      <c r="F62" s="64">
        <v>7.17</v>
      </c>
      <c r="G62" s="64">
        <v>44.35</v>
      </c>
      <c r="H62" s="64">
        <v>13.39</v>
      </c>
      <c r="I62" s="64">
        <v>3.56</v>
      </c>
      <c r="J62" s="64">
        <v>0.3</v>
      </c>
      <c r="K62" s="64">
        <v>232.95</v>
      </c>
      <c r="L62" s="64">
        <v>23.45</v>
      </c>
      <c r="M62" s="64">
        <v>98.65</v>
      </c>
      <c r="N62" s="64">
        <v>103.3</v>
      </c>
      <c r="O62" s="64">
        <v>13.8</v>
      </c>
      <c r="P62" s="64">
        <v>0.46</v>
      </c>
      <c r="Q62" s="64">
        <v>9.59</v>
      </c>
      <c r="R62" s="198"/>
      <c r="S62" s="198"/>
      <c r="T62" s="198"/>
      <c r="U62" s="198"/>
    </row>
    <row r="63" spans="1:21" s="12" customFormat="1" x14ac:dyDescent="0.25">
      <c r="A63" s="217" t="s">
        <v>1448</v>
      </c>
      <c r="B63" s="64">
        <v>8.35</v>
      </c>
      <c r="C63" s="64">
        <v>3.23</v>
      </c>
      <c r="D63" s="64">
        <v>12.16</v>
      </c>
      <c r="E63" s="64">
        <v>4.1500000000000004</v>
      </c>
      <c r="F63" s="64">
        <v>5.47</v>
      </c>
      <c r="G63" s="64">
        <v>43.16</v>
      </c>
      <c r="H63" s="64">
        <v>13.43</v>
      </c>
      <c r="I63" s="64">
        <v>3.89</v>
      </c>
      <c r="J63" s="64">
        <v>0.33</v>
      </c>
      <c r="K63" s="64">
        <v>191.13</v>
      </c>
      <c r="L63" s="64">
        <v>22.04</v>
      </c>
      <c r="M63" s="64">
        <v>98.68</v>
      </c>
      <c r="N63" s="64">
        <v>93.5</v>
      </c>
      <c r="O63" s="64">
        <v>9.6</v>
      </c>
      <c r="P63" s="64">
        <v>0.46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7" t="s">
        <v>1449</v>
      </c>
      <c r="B64" s="64">
        <v>8.35</v>
      </c>
      <c r="C64" s="64">
        <v>3.32</v>
      </c>
      <c r="D64" s="64">
        <v>12.2</v>
      </c>
      <c r="E64" s="64">
        <v>4.21</v>
      </c>
      <c r="F64" s="64">
        <v>3.24</v>
      </c>
      <c r="G64" s="64">
        <v>41.38</v>
      </c>
      <c r="H64" s="64">
        <v>13.49</v>
      </c>
      <c r="I64" s="64">
        <v>3.96</v>
      </c>
      <c r="J64" s="64">
        <v>0.7</v>
      </c>
      <c r="K64" s="64">
        <v>116.86</v>
      </c>
      <c r="L64" s="64">
        <v>21.73</v>
      </c>
      <c r="M64" s="64">
        <v>98.7</v>
      </c>
      <c r="N64" s="64">
        <v>127.7</v>
      </c>
      <c r="O64" s="64">
        <v>0.6</v>
      </c>
      <c r="P64" s="64">
        <v>0.44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7" t="s">
        <v>1450</v>
      </c>
      <c r="B65" s="64">
        <v>8.33</v>
      </c>
      <c r="C65" s="64">
        <v>3.26</v>
      </c>
      <c r="D65" s="64">
        <v>12.16</v>
      </c>
      <c r="E65" s="64">
        <v>4.05</v>
      </c>
      <c r="F65" s="64">
        <v>4.66</v>
      </c>
      <c r="G65" s="64">
        <v>41.38</v>
      </c>
      <c r="H65" s="64">
        <v>13.49</v>
      </c>
      <c r="I65" s="64">
        <v>3.79</v>
      </c>
      <c r="J65" s="64">
        <v>0.72</v>
      </c>
      <c r="K65" s="64">
        <v>333.45</v>
      </c>
      <c r="L65" s="64">
        <v>22.47</v>
      </c>
      <c r="M65" s="64">
        <v>98.7</v>
      </c>
      <c r="N65" s="64">
        <v>137.69999999999999</v>
      </c>
      <c r="O65" s="64">
        <v>0.2</v>
      </c>
      <c r="P65" s="64">
        <v>0.44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7" t="s">
        <v>1451</v>
      </c>
      <c r="B66" s="64">
        <v>8.32</v>
      </c>
      <c r="C66" s="64">
        <v>3.24</v>
      </c>
      <c r="D66" s="64">
        <v>12.14</v>
      </c>
      <c r="E66" s="64">
        <v>4.25</v>
      </c>
      <c r="F66" s="64">
        <v>3.14</v>
      </c>
      <c r="G66" s="64">
        <v>41.38</v>
      </c>
      <c r="H66" s="64">
        <v>13.49</v>
      </c>
      <c r="I66" s="64">
        <v>3.86</v>
      </c>
      <c r="J66" s="64">
        <v>0.6</v>
      </c>
      <c r="K66" s="64">
        <v>10.18</v>
      </c>
      <c r="L66" s="64">
        <v>22.51</v>
      </c>
      <c r="M66" s="64">
        <v>98.72</v>
      </c>
      <c r="N66" s="64">
        <v>164.4</v>
      </c>
      <c r="O66" s="64">
        <v>0</v>
      </c>
      <c r="P66" s="64">
        <v>0.44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7" t="s">
        <v>1452</v>
      </c>
      <c r="B67" s="64">
        <v>8.31</v>
      </c>
      <c r="C67" s="64">
        <v>3.21</v>
      </c>
      <c r="D67" s="64">
        <v>12.11</v>
      </c>
      <c r="E67" s="64">
        <v>4.13</v>
      </c>
      <c r="F67" s="64">
        <v>4.3600000000000003</v>
      </c>
      <c r="G67" s="64">
        <v>39.22</v>
      </c>
      <c r="H67" s="64">
        <v>11.88</v>
      </c>
      <c r="I67" s="64">
        <v>3.84</v>
      </c>
      <c r="J67" s="64">
        <v>0.49</v>
      </c>
      <c r="K67" s="64">
        <v>17.71</v>
      </c>
      <c r="L67" s="64">
        <v>22.33</v>
      </c>
      <c r="M67" s="64">
        <v>98.83</v>
      </c>
      <c r="N67" s="64">
        <v>146.4</v>
      </c>
      <c r="O67" s="64">
        <v>0</v>
      </c>
      <c r="P67" s="64">
        <v>0.42</v>
      </c>
      <c r="Q67" s="64">
        <v>9.59</v>
      </c>
      <c r="R67" s="198"/>
      <c r="S67" s="198"/>
      <c r="T67" s="198"/>
      <c r="U67" s="198"/>
    </row>
    <row r="68" spans="1:21" s="12" customFormat="1" x14ac:dyDescent="0.25">
      <c r="A68" s="217" t="s">
        <v>1453</v>
      </c>
      <c r="B68" s="64">
        <v>8.2799999999999994</v>
      </c>
      <c r="C68" s="64">
        <v>3.23</v>
      </c>
      <c r="D68" s="64">
        <v>12.11</v>
      </c>
      <c r="E68" s="64">
        <v>3.83</v>
      </c>
      <c r="F68" s="64">
        <v>3.66</v>
      </c>
      <c r="G68" s="64">
        <v>36.130000000000003</v>
      </c>
      <c r="H68" s="64">
        <v>9.58</v>
      </c>
      <c r="I68" s="64">
        <v>3.56</v>
      </c>
      <c r="J68" s="64">
        <v>0.48</v>
      </c>
      <c r="K68" s="64">
        <v>22.5</v>
      </c>
      <c r="L68" s="64">
        <v>22.32</v>
      </c>
      <c r="M68" s="64">
        <v>98.85</v>
      </c>
      <c r="N68" s="64">
        <v>129.69999999999999</v>
      </c>
      <c r="O68" s="64">
        <v>0</v>
      </c>
      <c r="P68" s="64">
        <v>0.42</v>
      </c>
      <c r="Q68" s="64">
        <v>9.57</v>
      </c>
      <c r="R68" s="198"/>
      <c r="S68" s="198"/>
      <c r="T68" s="198"/>
      <c r="U68" s="198"/>
    </row>
    <row r="69" spans="1:21" s="12" customFormat="1" x14ac:dyDescent="0.25">
      <c r="A69" s="217" t="s">
        <v>1454</v>
      </c>
      <c r="B69" s="64">
        <v>8.31</v>
      </c>
      <c r="C69" s="64">
        <v>3.26</v>
      </c>
      <c r="D69" s="64">
        <v>12.14</v>
      </c>
      <c r="E69" s="64">
        <v>3.92</v>
      </c>
      <c r="F69" s="64">
        <v>4.2</v>
      </c>
      <c r="G69" s="64">
        <v>36.130000000000003</v>
      </c>
      <c r="H69" s="64">
        <v>9.58</v>
      </c>
      <c r="I69" s="64">
        <v>3.3</v>
      </c>
      <c r="J69" s="64">
        <v>0.56000000000000005</v>
      </c>
      <c r="K69" s="64">
        <v>341.83</v>
      </c>
      <c r="L69" s="64">
        <v>22.37</v>
      </c>
      <c r="M69" s="64">
        <v>98.85</v>
      </c>
      <c r="N69" s="64">
        <v>159.19999999999999</v>
      </c>
      <c r="O69" s="64">
        <v>0</v>
      </c>
      <c r="P69" s="64">
        <v>0.41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7" t="s">
        <v>1455</v>
      </c>
      <c r="B70" s="64">
        <v>8.2899999999999991</v>
      </c>
      <c r="C70" s="64">
        <v>3.18</v>
      </c>
      <c r="D70" s="64">
        <v>12.09</v>
      </c>
      <c r="E70" s="64">
        <v>4.24</v>
      </c>
      <c r="F70" s="64">
        <v>3.29</v>
      </c>
      <c r="G70" s="64">
        <v>36.130000000000003</v>
      </c>
      <c r="H70" s="64">
        <v>9.58</v>
      </c>
      <c r="I70" s="64">
        <v>3.12</v>
      </c>
      <c r="J70" s="64">
        <v>0.42</v>
      </c>
      <c r="K70" s="64">
        <v>356.14</v>
      </c>
      <c r="L70" s="64">
        <v>22.24</v>
      </c>
      <c r="M70" s="64">
        <v>98.85</v>
      </c>
      <c r="N70" s="64">
        <v>166.1</v>
      </c>
      <c r="O70" s="64">
        <v>0</v>
      </c>
      <c r="P70" s="64">
        <v>0.42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17" t="s">
        <v>1456</v>
      </c>
      <c r="B71" s="64">
        <v>8.31</v>
      </c>
      <c r="C71" s="64">
        <v>3.24</v>
      </c>
      <c r="D71" s="64">
        <v>12.13</v>
      </c>
      <c r="E71" s="64">
        <v>4.13</v>
      </c>
      <c r="F71" s="64">
        <v>3.67</v>
      </c>
      <c r="G71" s="64">
        <v>31.09</v>
      </c>
      <c r="H71" s="64">
        <v>8.86</v>
      </c>
      <c r="I71" s="64">
        <v>3.03</v>
      </c>
      <c r="J71" s="64">
        <v>0.5</v>
      </c>
      <c r="K71" s="64">
        <v>353.73</v>
      </c>
      <c r="L71" s="64">
        <v>22.69</v>
      </c>
      <c r="M71" s="64">
        <v>98.85</v>
      </c>
      <c r="N71" s="64">
        <v>237.1</v>
      </c>
      <c r="O71" s="64">
        <v>0</v>
      </c>
      <c r="P71" s="64">
        <v>0.4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7" t="s">
        <v>1457</v>
      </c>
      <c r="B72" s="64">
        <v>8.36</v>
      </c>
      <c r="C72" s="64">
        <v>3.35</v>
      </c>
      <c r="D72" s="64">
        <v>12.23</v>
      </c>
      <c r="E72" s="64">
        <v>4.72</v>
      </c>
      <c r="F72" s="64">
        <v>4.01</v>
      </c>
      <c r="G72" s="64">
        <v>23.87</v>
      </c>
      <c r="H72" s="64">
        <v>7.82</v>
      </c>
      <c r="I72" s="64">
        <v>2.89</v>
      </c>
      <c r="J72" s="64">
        <v>0.47</v>
      </c>
      <c r="K72" s="64">
        <v>356.07</v>
      </c>
      <c r="L72" s="64">
        <v>23.01</v>
      </c>
      <c r="M72" s="64">
        <v>98.85</v>
      </c>
      <c r="N72" s="64">
        <v>169.1</v>
      </c>
      <c r="O72" s="64">
        <v>0</v>
      </c>
      <c r="P72" s="64">
        <v>0.42</v>
      </c>
      <c r="Q72" s="64">
        <v>9.52</v>
      </c>
      <c r="R72" s="198"/>
      <c r="S72" s="198"/>
      <c r="T72" s="198"/>
      <c r="U72" s="198"/>
    </row>
    <row r="73" spans="1:21" s="12" customFormat="1" x14ac:dyDescent="0.25">
      <c r="A73" s="217" t="s">
        <v>1458</v>
      </c>
      <c r="B73" s="64">
        <v>8.33</v>
      </c>
      <c r="C73" s="64">
        <v>3.28</v>
      </c>
      <c r="D73" s="64">
        <v>12.17</v>
      </c>
      <c r="E73" s="64">
        <v>4.7300000000000004</v>
      </c>
      <c r="F73" s="64">
        <v>2.78</v>
      </c>
      <c r="G73" s="64">
        <v>23.87</v>
      </c>
      <c r="H73" s="64">
        <v>7.82</v>
      </c>
      <c r="I73" s="64">
        <v>2.76</v>
      </c>
      <c r="J73" s="64">
        <v>0.5</v>
      </c>
      <c r="K73" s="64">
        <v>3.82</v>
      </c>
      <c r="L73" s="64">
        <v>23.03</v>
      </c>
      <c r="M73" s="64">
        <v>98.85</v>
      </c>
      <c r="N73" s="64">
        <v>167.5</v>
      </c>
      <c r="O73" s="64">
        <v>0</v>
      </c>
      <c r="P73" s="64">
        <v>0.41</v>
      </c>
      <c r="Q73" s="64">
        <v>9.4700000000000006</v>
      </c>
      <c r="R73" s="198"/>
      <c r="S73" s="198"/>
      <c r="T73" s="198"/>
      <c r="U73" s="198"/>
    </row>
    <row r="74" spans="1:21" s="12" customFormat="1" x14ac:dyDescent="0.25">
      <c r="A74" s="217" t="s">
        <v>1459</v>
      </c>
      <c r="B74" s="64">
        <v>8.34</v>
      </c>
      <c r="C74" s="64">
        <v>3.24</v>
      </c>
      <c r="D74" s="64">
        <v>12.15</v>
      </c>
      <c r="E74" s="64">
        <v>4.6500000000000004</v>
      </c>
      <c r="F74" s="64">
        <v>3.56</v>
      </c>
      <c r="G74" s="64">
        <v>23.87</v>
      </c>
      <c r="H74" s="64">
        <v>7.82</v>
      </c>
      <c r="I74" s="64">
        <v>2.72</v>
      </c>
      <c r="J74" s="64">
        <v>0.37</v>
      </c>
      <c r="K74" s="64">
        <v>357.18</v>
      </c>
      <c r="L74" s="64">
        <v>23.58</v>
      </c>
      <c r="M74" s="64">
        <v>98.84</v>
      </c>
      <c r="N74" s="64">
        <v>222.1</v>
      </c>
      <c r="O74" s="64">
        <v>0</v>
      </c>
      <c r="P74" s="64">
        <v>0.42</v>
      </c>
      <c r="Q74" s="64">
        <v>9.3699999999999992</v>
      </c>
      <c r="R74" s="198"/>
      <c r="S74" s="198"/>
      <c r="T74" s="198"/>
      <c r="U74" s="198"/>
    </row>
    <row r="75" spans="1:21" s="12" customFormat="1" x14ac:dyDescent="0.25">
      <c r="A75" s="217" t="s">
        <v>1460</v>
      </c>
      <c r="B75" s="64">
        <v>8.3800000000000008</v>
      </c>
      <c r="C75" s="64">
        <v>3.36</v>
      </c>
      <c r="D75" s="64">
        <v>12.25</v>
      </c>
      <c r="E75" s="64">
        <v>4.58</v>
      </c>
      <c r="F75" s="64">
        <v>3.17</v>
      </c>
      <c r="G75" s="64">
        <v>23.5</v>
      </c>
      <c r="H75" s="64">
        <v>7.17</v>
      </c>
      <c r="I75" s="64">
        <v>2.66</v>
      </c>
      <c r="J75" s="64">
        <v>0.53</v>
      </c>
      <c r="K75" s="64">
        <v>354.06</v>
      </c>
      <c r="L75" s="64">
        <v>23.85</v>
      </c>
      <c r="M75" s="64">
        <v>98.82</v>
      </c>
      <c r="N75" s="64">
        <v>188.4</v>
      </c>
      <c r="O75" s="64">
        <v>0</v>
      </c>
      <c r="P75" s="64">
        <v>0.44</v>
      </c>
      <c r="Q75" s="64">
        <v>9.4</v>
      </c>
      <c r="R75" s="198"/>
      <c r="S75" s="198"/>
      <c r="T75" s="198"/>
      <c r="U75" s="198"/>
    </row>
    <row r="76" spans="1:21" s="12" customFormat="1" x14ac:dyDescent="0.25">
      <c r="A76" s="217" t="s">
        <v>1461</v>
      </c>
      <c r="B76" s="64">
        <v>8.42</v>
      </c>
      <c r="C76" s="64">
        <v>3.48</v>
      </c>
      <c r="D76" s="64">
        <v>12.35</v>
      </c>
      <c r="E76" s="64">
        <v>4.62</v>
      </c>
      <c r="F76" s="64">
        <v>3.6</v>
      </c>
      <c r="G76" s="64">
        <v>22.94</v>
      </c>
      <c r="H76" s="64">
        <v>6.24</v>
      </c>
      <c r="I76" s="64">
        <v>2.66</v>
      </c>
      <c r="J76" s="64">
        <v>0.61</v>
      </c>
      <c r="K76" s="64">
        <v>352.79</v>
      </c>
      <c r="L76" s="64">
        <v>24.13</v>
      </c>
      <c r="M76" s="64">
        <v>98.81</v>
      </c>
      <c r="N76" s="64">
        <v>172.1</v>
      </c>
      <c r="O76" s="64">
        <v>0</v>
      </c>
      <c r="P76" s="64">
        <v>0.45</v>
      </c>
      <c r="Q76" s="64">
        <v>9.44</v>
      </c>
      <c r="R76" s="198"/>
      <c r="S76" s="198"/>
      <c r="T76" s="198"/>
      <c r="U76" s="198"/>
    </row>
    <row r="77" spans="1:21" s="12" customFormat="1" x14ac:dyDescent="0.25">
      <c r="A77" s="217" t="s">
        <v>1462</v>
      </c>
      <c r="B77" s="64">
        <v>8.3800000000000008</v>
      </c>
      <c r="C77" s="64">
        <v>3.31</v>
      </c>
      <c r="D77" s="64">
        <v>12.23</v>
      </c>
      <c r="E77" s="64">
        <v>4.74</v>
      </c>
      <c r="F77" s="64">
        <v>3.86</v>
      </c>
      <c r="G77" s="64">
        <v>22.94</v>
      </c>
      <c r="H77" s="64">
        <v>6.24</v>
      </c>
      <c r="I77" s="64">
        <v>2.71</v>
      </c>
      <c r="J77" s="64">
        <v>0.38</v>
      </c>
      <c r="K77" s="64">
        <v>353.91</v>
      </c>
      <c r="L77" s="64">
        <v>24.08</v>
      </c>
      <c r="M77" s="64">
        <v>98.78</v>
      </c>
      <c r="N77" s="64">
        <v>133.30000000000001</v>
      </c>
      <c r="O77" s="64">
        <v>0</v>
      </c>
      <c r="P77" s="64">
        <v>0.45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7" t="s">
        <v>1463</v>
      </c>
      <c r="B78" s="64">
        <v>8.3800000000000008</v>
      </c>
      <c r="C78" s="64">
        <v>3.32</v>
      </c>
      <c r="D78" s="64">
        <v>12.23</v>
      </c>
      <c r="E78" s="64">
        <v>4.5199999999999996</v>
      </c>
      <c r="F78" s="64">
        <v>4.09</v>
      </c>
      <c r="G78" s="64">
        <v>22.94</v>
      </c>
      <c r="H78" s="64">
        <v>6.24</v>
      </c>
      <c r="I78" s="64">
        <v>2.71</v>
      </c>
      <c r="J78" s="64">
        <v>0.4</v>
      </c>
      <c r="K78" s="64">
        <v>328.48</v>
      </c>
      <c r="L78" s="64">
        <v>23.83</v>
      </c>
      <c r="M78" s="64">
        <v>98.81</v>
      </c>
      <c r="N78" s="64">
        <v>92.9</v>
      </c>
      <c r="O78" s="64">
        <v>0</v>
      </c>
      <c r="P78" s="64">
        <v>0.44</v>
      </c>
      <c r="Q78" s="64">
        <v>9.42</v>
      </c>
      <c r="R78" s="198"/>
      <c r="S78" s="198"/>
      <c r="T78" s="198"/>
      <c r="U78" s="198"/>
    </row>
    <row r="79" spans="1:21" s="12" customFormat="1" x14ac:dyDescent="0.25">
      <c r="A79" s="217" t="s">
        <v>1464</v>
      </c>
      <c r="B79" s="64">
        <v>8.36</v>
      </c>
      <c r="C79" s="64">
        <v>3.2</v>
      </c>
      <c r="D79" s="64">
        <v>12.15</v>
      </c>
      <c r="E79" s="64">
        <v>4.29</v>
      </c>
      <c r="F79" s="64">
        <v>3.79</v>
      </c>
      <c r="G79" s="64">
        <v>26.8</v>
      </c>
      <c r="H79" s="64">
        <v>7.03</v>
      </c>
      <c r="I79" s="64">
        <v>2.7</v>
      </c>
      <c r="J79" s="64">
        <v>0.59</v>
      </c>
      <c r="K79" s="64">
        <v>320.23</v>
      </c>
      <c r="L79" s="64">
        <v>23.89</v>
      </c>
      <c r="M79" s="64">
        <v>98.78</v>
      </c>
      <c r="N79" s="64">
        <v>73</v>
      </c>
      <c r="O79" s="64">
        <v>0</v>
      </c>
      <c r="P79" s="64">
        <v>0.45</v>
      </c>
      <c r="Q79" s="64">
        <v>9.43</v>
      </c>
      <c r="R79" s="198"/>
      <c r="S79" s="198"/>
      <c r="T79" s="198"/>
      <c r="U79" s="198"/>
    </row>
    <row r="80" spans="1:21" s="12" customFormat="1" x14ac:dyDescent="0.25">
      <c r="A80" s="217" t="s">
        <v>1465</v>
      </c>
      <c r="B80" s="64">
        <v>8.36</v>
      </c>
      <c r="C80" s="64">
        <v>3.21</v>
      </c>
      <c r="D80" s="64">
        <v>12.16</v>
      </c>
      <c r="E80" s="64">
        <v>4.67</v>
      </c>
      <c r="F80" s="64">
        <v>2.76</v>
      </c>
      <c r="G80" s="64">
        <v>32.58</v>
      </c>
      <c r="H80" s="64">
        <v>8.17</v>
      </c>
      <c r="I80" s="64">
        <v>2.74</v>
      </c>
      <c r="J80" s="64">
        <v>0.6</v>
      </c>
      <c r="K80" s="64">
        <v>332.57</v>
      </c>
      <c r="L80" s="64">
        <v>23.76</v>
      </c>
      <c r="M80" s="64">
        <v>98.81</v>
      </c>
      <c r="N80" s="64">
        <v>66.8</v>
      </c>
      <c r="O80" s="64">
        <v>0</v>
      </c>
      <c r="P80" s="64">
        <v>0.47</v>
      </c>
      <c r="Q80" s="64">
        <v>9.44</v>
      </c>
      <c r="R80" s="198"/>
      <c r="S80" s="198"/>
      <c r="T80" s="198"/>
      <c r="U80" s="198"/>
    </row>
    <row r="81" spans="1:26" s="12" customFormat="1" x14ac:dyDescent="0.25">
      <c r="A81" s="217" t="s">
        <v>1466</v>
      </c>
      <c r="B81" s="64">
        <v>8.35</v>
      </c>
      <c r="C81" s="64">
        <v>3.3</v>
      </c>
      <c r="D81" s="64">
        <v>12.19</v>
      </c>
      <c r="E81" s="64">
        <v>4.7</v>
      </c>
      <c r="F81" s="64">
        <v>3.9</v>
      </c>
      <c r="G81" s="64">
        <v>32.58</v>
      </c>
      <c r="H81" s="64">
        <v>8.17</v>
      </c>
      <c r="I81" s="64">
        <v>2.85</v>
      </c>
      <c r="J81" s="64">
        <v>0.65</v>
      </c>
      <c r="K81" s="64">
        <v>312.89999999999998</v>
      </c>
      <c r="L81" s="64">
        <v>23.7</v>
      </c>
      <c r="M81" s="64">
        <v>98.83</v>
      </c>
      <c r="N81" s="64">
        <v>60.9</v>
      </c>
      <c r="O81" s="64">
        <v>0.8</v>
      </c>
      <c r="P81" s="64">
        <v>0.5</v>
      </c>
      <c r="Q81" s="64">
        <v>9.5</v>
      </c>
      <c r="R81" s="198"/>
      <c r="S81" s="198"/>
      <c r="T81" s="198"/>
      <c r="U81" s="198"/>
    </row>
    <row r="82" spans="1:26" s="12" customFormat="1" x14ac:dyDescent="0.25">
      <c r="A82" s="217" t="s">
        <v>1467</v>
      </c>
      <c r="B82" s="64">
        <v>8.34</v>
      </c>
      <c r="C82" s="64">
        <v>3.32</v>
      </c>
      <c r="D82" s="64">
        <v>12.2</v>
      </c>
      <c r="E82" s="64">
        <v>4.8</v>
      </c>
      <c r="F82" s="64">
        <v>2.91</v>
      </c>
      <c r="G82" s="64">
        <v>32.58</v>
      </c>
      <c r="H82" s="64">
        <v>8.17</v>
      </c>
      <c r="I82" s="64">
        <v>2.97</v>
      </c>
      <c r="J82" s="64">
        <v>0.2</v>
      </c>
      <c r="K82" s="64">
        <v>340.02</v>
      </c>
      <c r="L82" s="64">
        <v>23.06</v>
      </c>
      <c r="M82" s="64">
        <v>98.84</v>
      </c>
      <c r="N82" s="64">
        <v>60.7</v>
      </c>
      <c r="O82" s="64">
        <v>0.8</v>
      </c>
      <c r="P82" s="64">
        <v>0.51</v>
      </c>
      <c r="Q82" s="64">
        <v>9.42</v>
      </c>
      <c r="R82" s="198"/>
      <c r="S82" s="198"/>
      <c r="T82" s="198"/>
      <c r="U82" s="198"/>
    </row>
    <row r="83" spans="1:26" s="12" customFormat="1" x14ac:dyDescent="0.25">
      <c r="A83" s="217" t="s">
        <v>1468</v>
      </c>
      <c r="B83" s="64">
        <v>8.35</v>
      </c>
      <c r="C83" s="64">
        <v>3.32</v>
      </c>
      <c r="D83" s="64">
        <v>12.21</v>
      </c>
      <c r="E83" s="64">
        <v>4.76</v>
      </c>
      <c r="F83" s="64">
        <v>4.04</v>
      </c>
      <c r="G83" s="64">
        <v>33.44</v>
      </c>
      <c r="H83" s="64">
        <v>8.8699999999999992</v>
      </c>
      <c r="I83" s="64">
        <v>3.02</v>
      </c>
      <c r="J83" s="64">
        <v>0.48</v>
      </c>
      <c r="K83" s="64">
        <v>15.04</v>
      </c>
      <c r="L83" s="64">
        <v>22.86</v>
      </c>
      <c r="M83" s="64">
        <v>98.85</v>
      </c>
      <c r="N83" s="64">
        <v>58.3</v>
      </c>
      <c r="O83" s="64">
        <v>0</v>
      </c>
      <c r="P83" s="64">
        <v>0.54</v>
      </c>
      <c r="Q83" s="64">
        <v>9.43</v>
      </c>
      <c r="R83" s="198"/>
      <c r="S83" s="198"/>
      <c r="T83" s="198"/>
      <c r="U83" s="198"/>
    </row>
    <row r="84" spans="1:26" s="12" customFormat="1" x14ac:dyDescent="0.25">
      <c r="A84" s="217" t="s">
        <v>1469</v>
      </c>
      <c r="B84" s="64">
        <v>8.39</v>
      </c>
      <c r="C84" s="64">
        <v>3.37</v>
      </c>
      <c r="D84" s="64">
        <v>12.26</v>
      </c>
      <c r="E84" s="64">
        <v>4.8099999999999996</v>
      </c>
      <c r="F84" s="64">
        <v>2.67</v>
      </c>
      <c r="G84" s="64">
        <v>34.729999999999997</v>
      </c>
      <c r="H84" s="64">
        <v>9.8699999999999992</v>
      </c>
      <c r="I84" s="64">
        <v>3.07</v>
      </c>
      <c r="J84" s="64">
        <v>0.53</v>
      </c>
      <c r="K84" s="64">
        <v>18.54</v>
      </c>
      <c r="L84" s="64">
        <v>22.84</v>
      </c>
      <c r="M84" s="64">
        <v>98.86</v>
      </c>
      <c r="N84" s="64">
        <v>57.5</v>
      </c>
      <c r="O84" s="64">
        <v>0</v>
      </c>
      <c r="P84" s="64">
        <v>0.55000000000000004</v>
      </c>
      <c r="Q84" s="64">
        <v>9.42</v>
      </c>
      <c r="R84" s="198"/>
      <c r="S84" s="198"/>
      <c r="T84" s="198"/>
      <c r="U84" s="198"/>
    </row>
    <row r="85" spans="1:26" s="12" customFormat="1" x14ac:dyDescent="0.25">
      <c r="A85" s="217" t="s">
        <v>1470</v>
      </c>
      <c r="B85" s="64">
        <v>8.36</v>
      </c>
      <c r="C85" s="64">
        <v>3.36</v>
      </c>
      <c r="D85" s="64">
        <v>12.23</v>
      </c>
      <c r="E85" s="64">
        <v>4.5999999999999996</v>
      </c>
      <c r="F85" s="64">
        <v>3.61</v>
      </c>
      <c r="G85" s="64">
        <v>34.729999999999997</v>
      </c>
      <c r="H85" s="64">
        <v>9.8699999999999992</v>
      </c>
      <c r="I85" s="64">
        <v>3.15</v>
      </c>
      <c r="J85" s="64">
        <v>0.28000000000000003</v>
      </c>
      <c r="K85" s="64">
        <v>6.1</v>
      </c>
      <c r="L85" s="64">
        <v>22.9</v>
      </c>
      <c r="M85" s="64">
        <v>98.87</v>
      </c>
      <c r="N85" s="64">
        <v>57.5</v>
      </c>
      <c r="O85" s="64">
        <v>0</v>
      </c>
      <c r="P85" s="64">
        <v>0.55000000000000004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17" t="s">
        <v>1471</v>
      </c>
      <c r="B86" s="64">
        <v>8.33</v>
      </c>
      <c r="C86" s="64">
        <v>3.33</v>
      </c>
      <c r="D86" s="64">
        <v>12.2</v>
      </c>
      <c r="E86" s="64">
        <v>4.8</v>
      </c>
      <c r="F86" s="64">
        <v>3.45</v>
      </c>
      <c r="G86" s="64">
        <v>34.729999999999997</v>
      </c>
      <c r="H86" s="64">
        <v>9.8699999999999992</v>
      </c>
      <c r="I86" s="64">
        <v>3.04</v>
      </c>
      <c r="J86" s="64">
        <v>0.5</v>
      </c>
      <c r="K86" s="64">
        <v>4.88</v>
      </c>
      <c r="L86" s="64">
        <v>22.85</v>
      </c>
      <c r="M86" s="64">
        <v>98.87</v>
      </c>
      <c r="N86" s="64">
        <v>57.7</v>
      </c>
      <c r="O86" s="64">
        <v>0</v>
      </c>
      <c r="P86" s="64">
        <v>0.59</v>
      </c>
      <c r="Q86" s="64">
        <v>9.4600000000000009</v>
      </c>
      <c r="R86" s="198"/>
      <c r="S86" s="198"/>
      <c r="T86" s="198"/>
      <c r="U86" s="198"/>
    </row>
    <row r="87" spans="1:26" s="12" customFormat="1" x14ac:dyDescent="0.25">
      <c r="A87" s="217" t="s">
        <v>1472</v>
      </c>
      <c r="B87" s="64">
        <v>8.34</v>
      </c>
      <c r="C87" s="64">
        <v>3.27</v>
      </c>
      <c r="D87" s="64">
        <v>12.17</v>
      </c>
      <c r="E87" s="64">
        <v>5</v>
      </c>
      <c r="F87" s="64">
        <v>3.24</v>
      </c>
      <c r="G87" s="64">
        <v>33.04</v>
      </c>
      <c r="H87" s="64">
        <v>9.98</v>
      </c>
      <c r="I87" s="64">
        <v>3.12</v>
      </c>
      <c r="J87" s="64">
        <v>0.31</v>
      </c>
      <c r="K87" s="64">
        <v>10.78</v>
      </c>
      <c r="L87" s="64">
        <v>22.89</v>
      </c>
      <c r="M87" s="64">
        <v>98.87</v>
      </c>
      <c r="N87" s="64">
        <v>57.5</v>
      </c>
      <c r="O87" s="64">
        <v>0</v>
      </c>
      <c r="P87" s="64">
        <v>0.6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7" t="s">
        <v>1473</v>
      </c>
      <c r="B88" s="64">
        <v>8.35</v>
      </c>
      <c r="C88" s="64">
        <v>3.33</v>
      </c>
      <c r="D88" s="64">
        <v>12.21</v>
      </c>
      <c r="E88" s="64">
        <v>4.4000000000000004</v>
      </c>
      <c r="F88" s="64">
        <v>4.1100000000000003</v>
      </c>
      <c r="G88" s="64">
        <v>30.63</v>
      </c>
      <c r="H88" s="64">
        <v>10.15</v>
      </c>
      <c r="I88" s="64">
        <v>3.14</v>
      </c>
      <c r="J88" s="64">
        <v>0.44</v>
      </c>
      <c r="K88" s="64">
        <v>17.52</v>
      </c>
      <c r="L88" s="64">
        <v>22.85</v>
      </c>
      <c r="M88" s="64">
        <v>98.88</v>
      </c>
      <c r="N88" s="64">
        <v>57.5</v>
      </c>
      <c r="O88" s="64">
        <v>0</v>
      </c>
      <c r="P88" s="64">
        <v>0.62</v>
      </c>
      <c r="Q88" s="64">
        <v>9.5299999999999994</v>
      </c>
      <c r="R88" s="198"/>
      <c r="S88" s="198"/>
      <c r="T88" s="198"/>
      <c r="U88" s="198"/>
    </row>
    <row r="89" spans="1:26" s="12" customFormat="1" x14ac:dyDescent="0.25">
      <c r="A89" s="217" t="s">
        <v>1474</v>
      </c>
      <c r="B89" s="64">
        <v>8.4</v>
      </c>
      <c r="C89" s="64">
        <v>3.45</v>
      </c>
      <c r="D89" s="64">
        <v>12.32</v>
      </c>
      <c r="E89" s="64">
        <v>4.03</v>
      </c>
      <c r="F89" s="64">
        <v>2.63</v>
      </c>
      <c r="G89" s="64">
        <v>30.63</v>
      </c>
      <c r="H89" s="64">
        <v>10.15</v>
      </c>
      <c r="I89" s="64">
        <v>3.11</v>
      </c>
      <c r="J89" s="64">
        <v>0.49</v>
      </c>
      <c r="K89" s="64">
        <v>358.56</v>
      </c>
      <c r="L89" s="64">
        <v>22.81</v>
      </c>
      <c r="M89" s="64">
        <v>98.88</v>
      </c>
      <c r="N89" s="64">
        <v>57.8</v>
      </c>
      <c r="O89" s="64">
        <v>0</v>
      </c>
      <c r="P89" s="64">
        <v>0.62</v>
      </c>
      <c r="Q89" s="64">
        <v>9.51</v>
      </c>
      <c r="R89" s="198"/>
      <c r="S89" s="198"/>
      <c r="T89" s="198"/>
      <c r="U89" s="198"/>
    </row>
    <row r="90" spans="1:26" s="12" customFormat="1" x14ac:dyDescent="0.25">
      <c r="A90" s="217" t="s">
        <v>1475</v>
      </c>
      <c r="B90" s="64">
        <v>8.4</v>
      </c>
      <c r="C90" s="64">
        <v>3.49</v>
      </c>
      <c r="D90" s="64">
        <v>12.33</v>
      </c>
      <c r="E90" s="64">
        <v>4.2699999999999996</v>
      </c>
      <c r="F90" s="64">
        <v>3.96</v>
      </c>
      <c r="G90" s="64">
        <v>30.63</v>
      </c>
      <c r="H90" s="64">
        <v>10.15</v>
      </c>
      <c r="I90" s="64">
        <v>3.21</v>
      </c>
      <c r="J90" s="64">
        <v>0.47</v>
      </c>
      <c r="K90" s="64">
        <v>11.09</v>
      </c>
      <c r="L90" s="64">
        <v>22.8</v>
      </c>
      <c r="M90" s="64">
        <v>98.88</v>
      </c>
      <c r="N90" s="64">
        <v>57.8</v>
      </c>
      <c r="O90" s="64">
        <v>0</v>
      </c>
      <c r="P90" s="64">
        <v>0.63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17" t="s">
        <v>1476</v>
      </c>
      <c r="B91" s="64">
        <v>8.33</v>
      </c>
      <c r="C91" s="64">
        <v>3.29</v>
      </c>
      <c r="D91" s="64">
        <v>12.17</v>
      </c>
      <c r="E91" s="64">
        <v>4.18</v>
      </c>
      <c r="F91" s="64">
        <v>3.33</v>
      </c>
      <c r="G91" s="64">
        <v>28.71</v>
      </c>
      <c r="H91" s="64">
        <v>9.06</v>
      </c>
      <c r="I91" s="64">
        <v>3.25</v>
      </c>
      <c r="J91" s="64">
        <v>0.5</v>
      </c>
      <c r="K91" s="64">
        <v>8.7100000000000009</v>
      </c>
      <c r="L91" s="64">
        <v>22.79</v>
      </c>
      <c r="M91" s="64">
        <v>98.88</v>
      </c>
      <c r="N91" s="64">
        <v>57.9</v>
      </c>
      <c r="O91" s="64">
        <v>0</v>
      </c>
      <c r="P91" s="64">
        <v>0.63</v>
      </c>
      <c r="Q91" s="64">
        <v>9.56</v>
      </c>
      <c r="R91" s="198"/>
      <c r="S91" s="198"/>
      <c r="T91" s="198"/>
      <c r="U91" s="198"/>
    </row>
    <row r="92" spans="1:26" s="12" customFormat="1" x14ac:dyDescent="0.25">
      <c r="A92" s="217" t="s">
        <v>1477</v>
      </c>
      <c r="B92" s="64">
        <v>8.3699999999999992</v>
      </c>
      <c r="C92" s="64">
        <v>3.35</v>
      </c>
      <c r="D92" s="64">
        <v>12.24</v>
      </c>
      <c r="E92" s="64">
        <v>4.33</v>
      </c>
      <c r="F92" s="64">
        <v>3.19</v>
      </c>
      <c r="G92" s="64">
        <v>25.95</v>
      </c>
      <c r="H92" s="64">
        <v>7.41</v>
      </c>
      <c r="I92" s="64">
        <v>3.27</v>
      </c>
      <c r="J92" s="64">
        <v>0.45</v>
      </c>
      <c r="K92" s="64">
        <v>350.05</v>
      </c>
      <c r="L92" s="64">
        <v>22.76</v>
      </c>
      <c r="M92" s="64">
        <v>98.88</v>
      </c>
      <c r="N92" s="64">
        <v>58</v>
      </c>
      <c r="O92" s="64">
        <v>0</v>
      </c>
      <c r="P92" s="64">
        <v>0.62</v>
      </c>
      <c r="Q92" s="64">
        <v>9.4700000000000006</v>
      </c>
      <c r="R92" s="198"/>
      <c r="S92" s="198"/>
      <c r="T92" s="198"/>
      <c r="U92" s="198"/>
    </row>
    <row r="93" spans="1:26" s="12" customFormat="1" x14ac:dyDescent="0.25">
      <c r="A93" s="217" t="s">
        <v>1478</v>
      </c>
      <c r="B93" s="64">
        <v>8.34</v>
      </c>
      <c r="C93" s="64">
        <v>3.23</v>
      </c>
      <c r="D93" s="64">
        <v>12.15</v>
      </c>
      <c r="E93" s="64">
        <v>4.24</v>
      </c>
      <c r="F93" s="64">
        <v>3.58</v>
      </c>
      <c r="G93" s="64">
        <v>25.95</v>
      </c>
      <c r="H93" s="64">
        <v>7.41</v>
      </c>
      <c r="I93" s="64">
        <v>3.27</v>
      </c>
      <c r="J93" s="64">
        <v>0.34</v>
      </c>
      <c r="K93" s="64">
        <v>0.56999999999999995</v>
      </c>
      <c r="L93" s="64">
        <v>22.74</v>
      </c>
      <c r="M93" s="64">
        <v>98.88</v>
      </c>
      <c r="N93" s="64">
        <v>58.2</v>
      </c>
      <c r="O93" s="64">
        <v>0</v>
      </c>
      <c r="P93" s="64">
        <v>0.63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7" t="s">
        <v>1479</v>
      </c>
      <c r="B94" s="64">
        <v>8.35</v>
      </c>
      <c r="C94" s="64">
        <v>3.17</v>
      </c>
      <c r="D94" s="64">
        <v>12.13</v>
      </c>
      <c r="E94" s="64">
        <v>3.83</v>
      </c>
      <c r="F94" s="64">
        <v>3.52</v>
      </c>
      <c r="G94" s="64">
        <v>25.95</v>
      </c>
      <c r="H94" s="64">
        <v>7.41</v>
      </c>
      <c r="I94" s="64">
        <v>3.29</v>
      </c>
      <c r="J94" s="64">
        <v>0.13</v>
      </c>
      <c r="K94" s="64">
        <v>6.3</v>
      </c>
      <c r="L94" s="64">
        <v>22.74</v>
      </c>
      <c r="M94" s="64">
        <v>98.88</v>
      </c>
      <c r="N94" s="64">
        <v>58.2</v>
      </c>
      <c r="O94" s="64">
        <v>0</v>
      </c>
      <c r="P94" s="64">
        <v>0.63</v>
      </c>
      <c r="Q94" s="64">
        <v>9.51</v>
      </c>
      <c r="R94" s="198"/>
      <c r="S94" s="198"/>
      <c r="T94" s="198"/>
      <c r="U94" s="198"/>
    </row>
    <row r="95" spans="1:26" s="12" customFormat="1" x14ac:dyDescent="0.25">
      <c r="A95" s="217" t="s">
        <v>1480</v>
      </c>
      <c r="B95" s="64">
        <v>8.35</v>
      </c>
      <c r="C95" s="64">
        <v>3.14</v>
      </c>
      <c r="D95" s="64">
        <v>12.11</v>
      </c>
      <c r="E95" s="64">
        <v>4.18</v>
      </c>
      <c r="F95" s="64">
        <v>3.44</v>
      </c>
      <c r="G95" s="64">
        <v>26.15</v>
      </c>
      <c r="H95" s="64">
        <v>6.8</v>
      </c>
      <c r="I95" s="64">
        <v>3.37</v>
      </c>
      <c r="J95" s="64">
        <v>0.39</v>
      </c>
      <c r="K95" s="64">
        <v>347.75</v>
      </c>
      <c r="L95" s="64">
        <v>22.75</v>
      </c>
      <c r="M95" s="64">
        <v>98.87</v>
      </c>
      <c r="N95" s="64">
        <v>58.2</v>
      </c>
      <c r="O95" s="64">
        <v>0</v>
      </c>
      <c r="P95" s="64">
        <v>0.63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7" t="s">
        <v>1481</v>
      </c>
      <c r="B96" s="64">
        <v>8.3699999999999992</v>
      </c>
      <c r="C96" s="64">
        <v>3.2</v>
      </c>
      <c r="D96" s="64">
        <v>12.16</v>
      </c>
      <c r="E96" s="64">
        <v>4.38</v>
      </c>
      <c r="F96" s="64">
        <v>3.29</v>
      </c>
      <c r="G96" s="64">
        <v>26.46</v>
      </c>
      <c r="H96" s="64">
        <v>5.93</v>
      </c>
      <c r="I96" s="64">
        <v>3.71</v>
      </c>
      <c r="J96" s="64">
        <v>0.43</v>
      </c>
      <c r="K96" s="64">
        <v>2.37</v>
      </c>
      <c r="L96" s="64">
        <v>22.76</v>
      </c>
      <c r="M96" s="64">
        <v>98.87</v>
      </c>
      <c r="N96" s="64">
        <v>58.2</v>
      </c>
      <c r="O96" s="64">
        <v>0</v>
      </c>
      <c r="P96" s="64">
        <v>0.62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1482</v>
      </c>
      <c r="B97" s="64">
        <v>8.36</v>
      </c>
      <c r="C97" s="64">
        <v>3.21</v>
      </c>
      <c r="D97" s="64">
        <v>12.15</v>
      </c>
      <c r="E97" s="64">
        <v>4.17</v>
      </c>
      <c r="F97" s="64">
        <v>3.06</v>
      </c>
      <c r="G97" s="64">
        <v>26.46</v>
      </c>
      <c r="H97" s="64">
        <v>5.93</v>
      </c>
      <c r="I97" s="64">
        <v>3.96</v>
      </c>
      <c r="J97" s="64">
        <v>0.49</v>
      </c>
      <c r="K97" s="64">
        <v>354.22</v>
      </c>
      <c r="L97" s="64">
        <v>22.77</v>
      </c>
      <c r="M97" s="64">
        <v>98.87</v>
      </c>
      <c r="N97" s="64">
        <v>58.3</v>
      </c>
      <c r="O97" s="64">
        <v>0</v>
      </c>
      <c r="P97" s="64">
        <v>0.61</v>
      </c>
      <c r="Q97" s="64">
        <v>9.5500000000000007</v>
      </c>
      <c r="R97" s="198"/>
      <c r="S97" s="198"/>
      <c r="T97" s="198"/>
      <c r="U97" s="198"/>
    </row>
    <row r="98" spans="1:33" s="12" customFormat="1" x14ac:dyDescent="0.25">
      <c r="A98" s="217" t="s">
        <v>1483</v>
      </c>
      <c r="B98" s="64">
        <v>8.35</v>
      </c>
      <c r="C98" s="64">
        <v>3.2</v>
      </c>
      <c r="D98" s="64">
        <v>12.14</v>
      </c>
      <c r="E98" s="64">
        <v>4.25</v>
      </c>
      <c r="F98" s="64">
        <v>3.26</v>
      </c>
      <c r="G98" s="64">
        <v>26.46</v>
      </c>
      <c r="H98" s="64">
        <v>5.93</v>
      </c>
      <c r="I98" s="64">
        <v>4.07</v>
      </c>
      <c r="J98" s="64">
        <v>0.36</v>
      </c>
      <c r="K98" s="64">
        <v>335.39</v>
      </c>
      <c r="L98" s="64">
        <v>22.76</v>
      </c>
      <c r="M98" s="64">
        <v>98.88</v>
      </c>
      <c r="N98" s="64">
        <v>58.5</v>
      </c>
      <c r="O98" s="64">
        <v>0</v>
      </c>
      <c r="P98" s="64">
        <v>0.61</v>
      </c>
      <c r="Q98" s="64">
        <v>9.5500000000000007</v>
      </c>
      <c r="R98" s="198"/>
      <c r="S98" s="198"/>
      <c r="T98" s="198"/>
      <c r="U98" s="198"/>
    </row>
    <row r="99" spans="1:33" s="12" customFormat="1" x14ac:dyDescent="0.25">
      <c r="A99" s="217" t="s">
        <v>1484</v>
      </c>
      <c r="B99" s="64">
        <v>8.34</v>
      </c>
      <c r="C99" s="64">
        <v>3.18</v>
      </c>
      <c r="D99" s="64">
        <v>12.13</v>
      </c>
      <c r="E99" s="64">
        <v>4.17</v>
      </c>
      <c r="F99" s="64">
        <v>3.78</v>
      </c>
      <c r="G99" s="64">
        <v>25.11</v>
      </c>
      <c r="H99" s="64">
        <v>5.81</v>
      </c>
      <c r="I99" s="64">
        <v>4.16</v>
      </c>
      <c r="J99" s="64">
        <v>0.28999999999999998</v>
      </c>
      <c r="K99" s="64">
        <v>333.64</v>
      </c>
      <c r="L99" s="64">
        <v>22.78</v>
      </c>
      <c r="M99" s="64">
        <v>98.88</v>
      </c>
      <c r="N99" s="64">
        <v>58.3</v>
      </c>
      <c r="O99" s="64">
        <v>0</v>
      </c>
      <c r="P99" s="64">
        <v>0.6</v>
      </c>
      <c r="Q99" s="64">
        <v>9.56</v>
      </c>
      <c r="R99" s="198"/>
      <c r="S99" s="198"/>
      <c r="T99" s="198"/>
      <c r="U99" s="198"/>
    </row>
    <row r="100" spans="1:33" s="12" customFormat="1" x14ac:dyDescent="0.25">
      <c r="A100" s="217" t="s">
        <v>1485</v>
      </c>
      <c r="B100" s="64">
        <v>8.34</v>
      </c>
      <c r="C100" s="64">
        <v>3.18</v>
      </c>
      <c r="D100" s="64">
        <v>12.12</v>
      </c>
      <c r="E100" s="64">
        <v>4.3099999999999996</v>
      </c>
      <c r="F100" s="64">
        <v>3.48</v>
      </c>
      <c r="G100" s="64">
        <v>23.18</v>
      </c>
      <c r="H100" s="64">
        <v>5.65</v>
      </c>
      <c r="I100" s="64">
        <v>4.17</v>
      </c>
      <c r="J100" s="64">
        <v>0.44</v>
      </c>
      <c r="K100" s="64">
        <v>353.98</v>
      </c>
      <c r="L100" s="64">
        <v>22.8</v>
      </c>
      <c r="M100" s="64">
        <v>98.88</v>
      </c>
      <c r="N100" s="64">
        <v>58.3</v>
      </c>
      <c r="O100" s="64">
        <v>0</v>
      </c>
      <c r="P100" s="64">
        <v>0.57999999999999996</v>
      </c>
      <c r="Q100" s="64">
        <v>9.5500000000000007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1486</v>
      </c>
      <c r="B101" s="64">
        <v>8.34</v>
      </c>
      <c r="C101" s="64">
        <v>3.17</v>
      </c>
      <c r="D101" s="64">
        <v>12.12</v>
      </c>
      <c r="E101" s="64">
        <v>4.5999999999999996</v>
      </c>
      <c r="F101" s="64">
        <v>3.47</v>
      </c>
      <c r="G101" s="64">
        <v>23.18</v>
      </c>
      <c r="H101" s="64">
        <v>5.65</v>
      </c>
      <c r="I101" s="64">
        <v>4.17</v>
      </c>
      <c r="J101" s="64">
        <v>0.52</v>
      </c>
      <c r="K101" s="64">
        <v>2.54</v>
      </c>
      <c r="L101" s="64">
        <v>22.8</v>
      </c>
      <c r="M101" s="64">
        <v>98.88</v>
      </c>
      <c r="N101" s="64">
        <v>58.3</v>
      </c>
      <c r="O101" s="64">
        <v>0</v>
      </c>
      <c r="P101" s="64">
        <v>0.56000000000000005</v>
      </c>
      <c r="Q101" s="64">
        <v>9.4600000000000009</v>
      </c>
      <c r="R101" s="198"/>
      <c r="S101" s="198"/>
      <c r="T101" s="198"/>
      <c r="U101" s="198"/>
    </row>
    <row r="102" spans="1:33" s="12" customFormat="1" x14ac:dyDescent="0.25">
      <c r="A102" s="217" t="s">
        <v>1487</v>
      </c>
      <c r="B102" s="64">
        <v>8.31</v>
      </c>
      <c r="C102" s="64">
        <v>3.2</v>
      </c>
      <c r="D102" s="64">
        <v>12.11</v>
      </c>
      <c r="E102" s="64">
        <v>4.0999999999999996</v>
      </c>
      <c r="F102" s="64">
        <v>3.65</v>
      </c>
      <c r="G102" s="64">
        <v>23.18</v>
      </c>
      <c r="H102" s="64">
        <v>5.65</v>
      </c>
      <c r="I102" s="64">
        <v>4.13</v>
      </c>
      <c r="J102" s="64">
        <v>0.52</v>
      </c>
      <c r="K102" s="64">
        <v>0.78</v>
      </c>
      <c r="L102" s="64">
        <v>22.83</v>
      </c>
      <c r="M102" s="64">
        <v>98.88</v>
      </c>
      <c r="N102" s="64">
        <v>58.3</v>
      </c>
      <c r="O102" s="64">
        <v>0</v>
      </c>
      <c r="P102" s="64">
        <v>0.56000000000000005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17" t="s">
        <v>1488</v>
      </c>
      <c r="B103" s="64">
        <v>8.3000000000000007</v>
      </c>
      <c r="C103" s="64">
        <v>3.18</v>
      </c>
      <c r="D103" s="64">
        <v>12.09</v>
      </c>
      <c r="E103" s="64">
        <v>4.68</v>
      </c>
      <c r="F103" s="64">
        <v>2.75</v>
      </c>
      <c r="G103" s="64">
        <v>21.18</v>
      </c>
      <c r="H103" s="64">
        <v>5.0199999999999996</v>
      </c>
      <c r="I103" s="64">
        <v>4.04</v>
      </c>
      <c r="J103" s="64">
        <v>0.39</v>
      </c>
      <c r="K103" s="64">
        <v>0.24</v>
      </c>
      <c r="L103" s="64">
        <v>22.79</v>
      </c>
      <c r="M103" s="64">
        <v>98.88</v>
      </c>
      <c r="N103" s="64">
        <v>58.4</v>
      </c>
      <c r="O103" s="64">
        <v>0</v>
      </c>
      <c r="P103" s="64">
        <v>0.53</v>
      </c>
      <c r="Q103" s="64">
        <v>9.4499999999999993</v>
      </c>
      <c r="R103" s="198"/>
      <c r="S103" s="198"/>
      <c r="T103" s="198"/>
      <c r="U103" s="198"/>
    </row>
    <row r="104" spans="1:33" s="12" customFormat="1" x14ac:dyDescent="0.25">
      <c r="A104" s="217" t="s">
        <v>1489</v>
      </c>
      <c r="B104" s="64">
        <v>8.2899999999999991</v>
      </c>
      <c r="C104" s="64">
        <v>3.2</v>
      </c>
      <c r="D104" s="64">
        <v>12.09</v>
      </c>
      <c r="E104" s="64">
        <v>2.95</v>
      </c>
      <c r="F104" s="64">
        <v>3.85</v>
      </c>
      <c r="G104" s="64">
        <v>18.329999999999998</v>
      </c>
      <c r="H104" s="64">
        <v>4.13</v>
      </c>
      <c r="I104" s="64">
        <v>3.98</v>
      </c>
      <c r="J104" s="64">
        <v>0.43</v>
      </c>
      <c r="K104" s="64">
        <v>19.73</v>
      </c>
      <c r="L104" s="64">
        <v>22.79</v>
      </c>
      <c r="M104" s="64">
        <v>98.88</v>
      </c>
      <c r="N104" s="64">
        <v>58.5</v>
      </c>
      <c r="O104" s="64">
        <v>0</v>
      </c>
      <c r="P104" s="64">
        <v>0.53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8.2799999999999994</v>
      </c>
      <c r="C106" s="67">
        <f>MIN(C9:C104)</f>
        <v>3.13</v>
      </c>
      <c r="D106" s="67">
        <f t="shared" ref="D106:Q106" si="0">MIN(D9:D104)</f>
        <v>12.09</v>
      </c>
      <c r="E106" s="67">
        <f t="shared" si="0"/>
        <v>2.95</v>
      </c>
      <c r="F106" s="67">
        <f t="shared" si="0"/>
        <v>2.5299999999999998</v>
      </c>
      <c r="G106" s="67">
        <f t="shared" si="0"/>
        <v>18.329999999999998</v>
      </c>
      <c r="H106" s="67">
        <f t="shared" si="0"/>
        <v>2.1800000000000002</v>
      </c>
      <c r="I106" s="67">
        <f t="shared" si="0"/>
        <v>2.66</v>
      </c>
      <c r="J106" s="67">
        <f t="shared" si="0"/>
        <v>7.0000000000000007E-2</v>
      </c>
      <c r="K106" s="67">
        <f t="shared" si="0"/>
        <v>0.24</v>
      </c>
      <c r="L106" s="67">
        <f t="shared" si="0"/>
        <v>21.73</v>
      </c>
      <c r="M106" s="67">
        <f t="shared" si="0"/>
        <v>72.13</v>
      </c>
      <c r="N106" s="67">
        <f t="shared" si="0"/>
        <v>16.3</v>
      </c>
      <c r="O106" s="67">
        <f t="shared" si="0"/>
        <v>0</v>
      </c>
      <c r="P106" s="67">
        <f t="shared" si="0"/>
        <v>0.26</v>
      </c>
      <c r="Q106" s="67">
        <f t="shared" si="0"/>
        <v>8.84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8.4600000000000009</v>
      </c>
      <c r="C107" s="66">
        <f t="shared" ref="C107:Q107" si="1">MAX(C9:C104)</f>
        <v>3.74</v>
      </c>
      <c r="D107" s="66">
        <f t="shared" si="1"/>
        <v>12.51</v>
      </c>
      <c r="E107" s="66">
        <f t="shared" si="1"/>
        <v>5</v>
      </c>
      <c r="F107" s="66">
        <f t="shared" si="1"/>
        <v>7.17</v>
      </c>
      <c r="G107" s="66">
        <f t="shared" si="1"/>
        <v>47.5</v>
      </c>
      <c r="H107" s="66">
        <f t="shared" si="1"/>
        <v>13.49</v>
      </c>
      <c r="I107" s="66">
        <f t="shared" si="1"/>
        <v>5.46</v>
      </c>
      <c r="J107" s="66">
        <f t="shared" si="1"/>
        <v>1.41</v>
      </c>
      <c r="K107" s="66">
        <f t="shared" si="1"/>
        <v>358.56</v>
      </c>
      <c r="L107" s="66">
        <f t="shared" si="1"/>
        <v>29.99</v>
      </c>
      <c r="M107" s="66">
        <f t="shared" si="1"/>
        <v>98.88</v>
      </c>
      <c r="N107" s="66">
        <f t="shared" si="1"/>
        <v>1191.3</v>
      </c>
      <c r="O107" s="66">
        <f t="shared" si="1"/>
        <v>13.8</v>
      </c>
      <c r="P107" s="66">
        <f t="shared" si="1"/>
        <v>0.63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8.3476041666666667</v>
      </c>
      <c r="C108" s="67">
        <f t="shared" ref="C108:Q108" si="2">AVERAGE(C9:C104)</f>
        <v>3.2704166666666672</v>
      </c>
      <c r="D108" s="67">
        <f t="shared" si="2"/>
        <v>12.177395833333335</v>
      </c>
      <c r="E108" s="67">
        <f t="shared" si="2"/>
        <v>4.2968750000000009</v>
      </c>
      <c r="F108" s="67">
        <f t="shared" si="2"/>
        <v>3.6796874999999996</v>
      </c>
      <c r="G108" s="67">
        <f t="shared" si="2"/>
        <v>29.41010416666666</v>
      </c>
      <c r="H108" s="67">
        <f t="shared" si="2"/>
        <v>7.4284374999999914</v>
      </c>
      <c r="I108" s="67">
        <f t="shared" si="2"/>
        <v>3.7496875000000003</v>
      </c>
      <c r="J108" s="67">
        <f t="shared" si="2"/>
        <v>0.51270833333333354</v>
      </c>
      <c r="K108" s="67">
        <f t="shared" si="2"/>
        <v>218.55291666666668</v>
      </c>
      <c r="L108" s="67">
        <f t="shared" si="2"/>
        <v>24.17114583333333</v>
      </c>
      <c r="M108" s="67">
        <f t="shared" si="2"/>
        <v>94.753020833333309</v>
      </c>
      <c r="N108" s="67">
        <f t="shared" si="2"/>
        <v>139.99166666666665</v>
      </c>
      <c r="O108" s="67">
        <f t="shared" si="2"/>
        <v>0.31666666666666671</v>
      </c>
      <c r="P108" s="67">
        <f t="shared" si="2"/>
        <v>0.44135416666666688</v>
      </c>
      <c r="Q108" s="67">
        <f t="shared" si="2"/>
        <v>9.4443749999999973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3.1144646973239626E-2</v>
      </c>
      <c r="C109" s="67">
        <f t="shared" ref="C109:Q109" si="3">STDEV(C9:C104)</f>
        <v>9.5033696701601222E-2</v>
      </c>
      <c r="D109" s="67">
        <f t="shared" si="3"/>
        <v>6.7702830410655904E-2</v>
      </c>
      <c r="E109" s="67">
        <f t="shared" si="3"/>
        <v>0.38679060702686474</v>
      </c>
      <c r="F109" s="67">
        <f t="shared" si="3"/>
        <v>0.78626961108501769</v>
      </c>
      <c r="G109" s="67">
        <f t="shared" si="3"/>
        <v>8.9071205690245545</v>
      </c>
      <c r="H109" s="67">
        <f t="shared" si="3"/>
        <v>2.8540166812941625</v>
      </c>
      <c r="I109" s="67">
        <f t="shared" si="3"/>
        <v>0.7255871714832397</v>
      </c>
      <c r="J109" s="67">
        <f t="shared" si="3"/>
        <v>0.25522942895267486</v>
      </c>
      <c r="K109" s="67">
        <f t="shared" si="3"/>
        <v>140.41269774577239</v>
      </c>
      <c r="L109" s="67">
        <f t="shared" si="3"/>
        <v>2.3197816910860913</v>
      </c>
      <c r="M109" s="67">
        <f t="shared" si="3"/>
        <v>7.7018037695610335</v>
      </c>
      <c r="N109" s="67">
        <f t="shared" si="3"/>
        <v>183.64184459898914</v>
      </c>
      <c r="O109" s="67">
        <f t="shared" si="3"/>
        <v>1.7245390942855714</v>
      </c>
      <c r="P109" s="67">
        <f t="shared" si="3"/>
        <v>0.11127604169874186</v>
      </c>
      <c r="Q109" s="67">
        <f t="shared" si="3"/>
        <v>0.13735710278034607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1490</v>
      </c>
      <c r="B9" s="64">
        <v>8.32</v>
      </c>
      <c r="C9" s="64">
        <v>3.22</v>
      </c>
      <c r="D9" s="64">
        <v>12.13</v>
      </c>
      <c r="E9" s="64">
        <v>5.16</v>
      </c>
      <c r="F9" s="64">
        <v>2.96</v>
      </c>
      <c r="G9" s="64">
        <v>18.329999999999998</v>
      </c>
      <c r="H9" s="64">
        <v>4.13</v>
      </c>
      <c r="I9" s="64">
        <v>3.92</v>
      </c>
      <c r="J9" s="64">
        <v>0.4</v>
      </c>
      <c r="K9" s="64">
        <v>355.14</v>
      </c>
      <c r="L9" s="64">
        <v>22.81</v>
      </c>
      <c r="M9" s="64">
        <v>98.88</v>
      </c>
      <c r="N9" s="64">
        <v>58.6</v>
      </c>
      <c r="O9" s="64">
        <v>0</v>
      </c>
      <c r="P9" s="64">
        <v>0.5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17" t="s">
        <v>1491</v>
      </c>
      <c r="B10" s="64">
        <v>8.36</v>
      </c>
      <c r="C10" s="64">
        <v>3.34</v>
      </c>
      <c r="D10" s="64">
        <v>12.23</v>
      </c>
      <c r="E10" s="64">
        <v>4.68</v>
      </c>
      <c r="F10" s="64">
        <v>4.13</v>
      </c>
      <c r="G10" s="64">
        <v>18.329999999999998</v>
      </c>
      <c r="H10" s="64">
        <v>4.13</v>
      </c>
      <c r="I10" s="64">
        <v>3.87</v>
      </c>
      <c r="J10" s="64">
        <v>0.34</v>
      </c>
      <c r="K10" s="64">
        <v>358.56</v>
      </c>
      <c r="L10" s="64">
        <v>22.81</v>
      </c>
      <c r="M10" s="64">
        <v>98.88</v>
      </c>
      <c r="N10" s="64">
        <v>58.6</v>
      </c>
      <c r="O10" s="64">
        <v>0</v>
      </c>
      <c r="P10" s="64">
        <v>0.48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17" t="s">
        <v>1492</v>
      </c>
      <c r="B11" s="64">
        <v>8.34</v>
      </c>
      <c r="C11" s="64">
        <v>3.29</v>
      </c>
      <c r="D11" s="64">
        <v>12.18</v>
      </c>
      <c r="E11" s="64">
        <v>4.5599999999999996</v>
      </c>
      <c r="F11" s="64">
        <v>2.5</v>
      </c>
      <c r="G11" s="64">
        <v>18.47</v>
      </c>
      <c r="H11" s="64">
        <v>4.55</v>
      </c>
      <c r="I11" s="64">
        <v>3.77</v>
      </c>
      <c r="J11" s="64">
        <v>0.49</v>
      </c>
      <c r="K11" s="64">
        <v>10.93</v>
      </c>
      <c r="L11" s="64">
        <v>22.79</v>
      </c>
      <c r="M11" s="64">
        <v>98.88</v>
      </c>
      <c r="N11" s="64">
        <v>58.7</v>
      </c>
      <c r="O11" s="64">
        <v>0</v>
      </c>
      <c r="P11" s="64">
        <v>0.47</v>
      </c>
      <c r="Q11" s="64">
        <v>9.4499999999999993</v>
      </c>
      <c r="R11" s="198"/>
      <c r="S11" s="198"/>
      <c r="T11" s="198"/>
      <c r="U11" s="198"/>
    </row>
    <row r="12" spans="1:21" s="12" customFormat="1" x14ac:dyDescent="0.25">
      <c r="A12" s="217" t="s">
        <v>1493</v>
      </c>
      <c r="B12" s="64">
        <v>8.34</v>
      </c>
      <c r="C12" s="64">
        <v>3.28</v>
      </c>
      <c r="D12" s="64">
        <v>12.18</v>
      </c>
      <c r="E12" s="64">
        <v>4.8</v>
      </c>
      <c r="F12" s="64">
        <v>3.88</v>
      </c>
      <c r="G12" s="64">
        <v>18.68</v>
      </c>
      <c r="H12" s="64">
        <v>5.14</v>
      </c>
      <c r="I12" s="64">
        <v>3.64</v>
      </c>
      <c r="J12" s="64">
        <v>0.53</v>
      </c>
      <c r="K12" s="64">
        <v>4.71</v>
      </c>
      <c r="L12" s="64">
        <v>22.76</v>
      </c>
      <c r="M12" s="64">
        <v>98.88</v>
      </c>
      <c r="N12" s="64">
        <v>58.9</v>
      </c>
      <c r="O12" s="64">
        <v>0</v>
      </c>
      <c r="P12" s="64">
        <v>0.45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17" t="s">
        <v>1494</v>
      </c>
      <c r="B13" s="64">
        <v>8.33</v>
      </c>
      <c r="C13" s="64">
        <v>3.25</v>
      </c>
      <c r="D13" s="64">
        <v>12.15</v>
      </c>
      <c r="E13" s="64">
        <v>4.3899999999999997</v>
      </c>
      <c r="F13" s="64">
        <v>3.08</v>
      </c>
      <c r="G13" s="64">
        <v>18.68</v>
      </c>
      <c r="H13" s="64">
        <v>5.14</v>
      </c>
      <c r="I13" s="64">
        <v>3.48</v>
      </c>
      <c r="J13" s="64">
        <v>0.38</v>
      </c>
      <c r="K13" s="64">
        <v>349.61</v>
      </c>
      <c r="L13" s="64">
        <v>22.75</v>
      </c>
      <c r="M13" s="64">
        <v>98.88</v>
      </c>
      <c r="N13" s="64">
        <v>59</v>
      </c>
      <c r="O13" s="64">
        <v>0</v>
      </c>
      <c r="P13" s="64">
        <v>0.45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7" t="s">
        <v>1495</v>
      </c>
      <c r="B14" s="64">
        <v>8.33</v>
      </c>
      <c r="C14" s="64">
        <v>3.15</v>
      </c>
      <c r="D14" s="64">
        <v>12.1</v>
      </c>
      <c r="E14" s="64">
        <v>4.46</v>
      </c>
      <c r="F14" s="64">
        <v>3.35</v>
      </c>
      <c r="G14" s="64">
        <v>18.68</v>
      </c>
      <c r="H14" s="64">
        <v>5.14</v>
      </c>
      <c r="I14" s="64">
        <v>3.32</v>
      </c>
      <c r="J14" s="64">
        <v>0.36</v>
      </c>
      <c r="K14" s="64">
        <v>349.88</v>
      </c>
      <c r="L14" s="64">
        <v>22.79</v>
      </c>
      <c r="M14" s="64">
        <v>98.88</v>
      </c>
      <c r="N14" s="64">
        <v>59.3</v>
      </c>
      <c r="O14" s="64">
        <v>0</v>
      </c>
      <c r="P14" s="64">
        <v>0.45</v>
      </c>
      <c r="Q14" s="64">
        <v>9.3800000000000008</v>
      </c>
      <c r="R14" s="198"/>
      <c r="S14" s="198"/>
      <c r="T14" s="198"/>
      <c r="U14" s="198"/>
    </row>
    <row r="15" spans="1:21" s="12" customFormat="1" x14ac:dyDescent="0.25">
      <c r="A15" s="217" t="s">
        <v>1496</v>
      </c>
      <c r="B15" s="64">
        <v>8.34</v>
      </c>
      <c r="C15" s="64">
        <v>3.13</v>
      </c>
      <c r="D15" s="64">
        <v>12.09</v>
      </c>
      <c r="E15" s="64">
        <v>4.24</v>
      </c>
      <c r="F15" s="64">
        <v>3.82</v>
      </c>
      <c r="G15" s="64">
        <v>17.73</v>
      </c>
      <c r="H15" s="64">
        <v>4.62</v>
      </c>
      <c r="I15" s="64">
        <v>3.16</v>
      </c>
      <c r="J15" s="64">
        <v>0.37</v>
      </c>
      <c r="K15" s="64">
        <v>13.86</v>
      </c>
      <c r="L15" s="64">
        <v>22.86</v>
      </c>
      <c r="M15" s="64">
        <v>98.86</v>
      </c>
      <c r="N15" s="64">
        <v>59.5</v>
      </c>
      <c r="O15" s="64">
        <v>0</v>
      </c>
      <c r="P15" s="64">
        <v>0.43</v>
      </c>
      <c r="Q15" s="64">
        <v>9.3800000000000008</v>
      </c>
      <c r="R15" s="198"/>
      <c r="S15" s="198"/>
      <c r="T15" s="198"/>
      <c r="U15" s="198"/>
    </row>
    <row r="16" spans="1:21" s="12" customFormat="1" x14ac:dyDescent="0.25">
      <c r="A16" s="217" t="s">
        <v>1497</v>
      </c>
      <c r="B16" s="64">
        <v>8.33</v>
      </c>
      <c r="C16" s="64">
        <v>3.15</v>
      </c>
      <c r="D16" s="64">
        <v>12.1</v>
      </c>
      <c r="E16" s="64">
        <v>4.71</v>
      </c>
      <c r="F16" s="64">
        <v>3.92</v>
      </c>
      <c r="G16" s="64">
        <v>16.3</v>
      </c>
      <c r="H16" s="64">
        <v>3.84</v>
      </c>
      <c r="I16" s="64">
        <v>2.96</v>
      </c>
      <c r="J16" s="64">
        <v>0.56000000000000005</v>
      </c>
      <c r="K16" s="64">
        <v>8.65</v>
      </c>
      <c r="L16" s="64">
        <v>22.89</v>
      </c>
      <c r="M16" s="64">
        <v>98.85</v>
      </c>
      <c r="N16" s="64">
        <v>59.4</v>
      </c>
      <c r="O16" s="64">
        <v>0</v>
      </c>
      <c r="P16" s="64">
        <v>0.41</v>
      </c>
      <c r="Q16" s="64">
        <v>9.41</v>
      </c>
      <c r="R16" s="198"/>
      <c r="S16" s="198"/>
      <c r="T16" s="198"/>
      <c r="U16" s="198"/>
    </row>
    <row r="17" spans="1:21" s="12" customFormat="1" x14ac:dyDescent="0.25">
      <c r="A17" s="217" t="s">
        <v>1498</v>
      </c>
      <c r="B17" s="64">
        <v>8.35</v>
      </c>
      <c r="C17" s="64">
        <v>3.24</v>
      </c>
      <c r="D17" s="64">
        <v>12.16</v>
      </c>
      <c r="E17" s="64">
        <v>4.62</v>
      </c>
      <c r="F17" s="64">
        <v>4.17</v>
      </c>
      <c r="G17" s="64">
        <v>16.3</v>
      </c>
      <c r="H17" s="64">
        <v>3.84</v>
      </c>
      <c r="I17" s="64">
        <v>2.8</v>
      </c>
      <c r="J17" s="64">
        <v>0.44</v>
      </c>
      <c r="K17" s="64">
        <v>0.19</v>
      </c>
      <c r="L17" s="64">
        <v>22.91</v>
      </c>
      <c r="M17" s="64">
        <v>98.85</v>
      </c>
      <c r="N17" s="64">
        <v>59.5</v>
      </c>
      <c r="O17" s="64">
        <v>0</v>
      </c>
      <c r="P17" s="64">
        <v>0.39</v>
      </c>
      <c r="Q17" s="64">
        <v>9.39</v>
      </c>
      <c r="R17" s="198"/>
      <c r="S17" s="198"/>
      <c r="T17" s="198"/>
      <c r="U17" s="198"/>
    </row>
    <row r="18" spans="1:21" s="12" customFormat="1" x14ac:dyDescent="0.25">
      <c r="A18" s="217" t="s">
        <v>1499</v>
      </c>
      <c r="B18" s="64">
        <v>8.36</v>
      </c>
      <c r="C18" s="64">
        <v>3.21</v>
      </c>
      <c r="D18" s="64">
        <v>12.16</v>
      </c>
      <c r="E18" s="64">
        <v>4.72</v>
      </c>
      <c r="F18" s="64">
        <v>4.18</v>
      </c>
      <c r="G18" s="64">
        <v>16.3</v>
      </c>
      <c r="H18" s="64">
        <v>3.84</v>
      </c>
      <c r="I18" s="64">
        <v>2.61</v>
      </c>
      <c r="J18" s="64">
        <v>0.56999999999999995</v>
      </c>
      <c r="K18" s="64">
        <v>359.15</v>
      </c>
      <c r="L18" s="64">
        <v>22.87</v>
      </c>
      <c r="M18" s="64">
        <v>98.85</v>
      </c>
      <c r="N18" s="64">
        <v>59.4</v>
      </c>
      <c r="O18" s="64">
        <v>0</v>
      </c>
      <c r="P18" s="64">
        <v>0.37</v>
      </c>
      <c r="Q18" s="64">
        <v>9.39</v>
      </c>
      <c r="R18" s="198"/>
      <c r="S18" s="198"/>
      <c r="T18" s="198"/>
      <c r="U18" s="198"/>
    </row>
    <row r="19" spans="1:21" s="12" customFormat="1" x14ac:dyDescent="0.25">
      <c r="A19" s="217" t="s">
        <v>1500</v>
      </c>
      <c r="B19" s="64">
        <v>8.35</v>
      </c>
      <c r="C19" s="64">
        <v>3.18</v>
      </c>
      <c r="D19" s="64">
        <v>12.13</v>
      </c>
      <c r="E19" s="64">
        <v>4.33</v>
      </c>
      <c r="F19" s="64">
        <v>4.34</v>
      </c>
      <c r="G19" s="64">
        <v>14.37</v>
      </c>
      <c r="H19" s="64">
        <v>3.6</v>
      </c>
      <c r="I19" s="64">
        <v>2.42</v>
      </c>
      <c r="J19" s="64">
        <v>0.57999999999999996</v>
      </c>
      <c r="K19" s="64">
        <v>12.95</v>
      </c>
      <c r="L19" s="64">
        <v>22.87</v>
      </c>
      <c r="M19" s="64">
        <v>98.85</v>
      </c>
      <c r="N19" s="64">
        <v>59.6</v>
      </c>
      <c r="O19" s="64">
        <v>0</v>
      </c>
      <c r="P19" s="64">
        <v>0.35</v>
      </c>
      <c r="Q19" s="64">
        <v>9.3699999999999992</v>
      </c>
      <c r="R19" s="198"/>
      <c r="S19" s="198"/>
      <c r="T19" s="198"/>
      <c r="U19" s="198"/>
    </row>
    <row r="20" spans="1:21" s="12" customFormat="1" x14ac:dyDescent="0.25">
      <c r="A20" s="217" t="s">
        <v>1501</v>
      </c>
      <c r="B20" s="64">
        <v>8.34</v>
      </c>
      <c r="C20" s="64">
        <v>3.2</v>
      </c>
      <c r="D20" s="64">
        <v>12.13</v>
      </c>
      <c r="E20" s="64">
        <v>4.3</v>
      </c>
      <c r="F20" s="64">
        <v>3.69</v>
      </c>
      <c r="G20" s="64">
        <v>11.46</v>
      </c>
      <c r="H20" s="64">
        <v>3.23</v>
      </c>
      <c r="I20" s="64">
        <v>2.29</v>
      </c>
      <c r="J20" s="64">
        <v>0.49</v>
      </c>
      <c r="K20" s="64">
        <v>4.47</v>
      </c>
      <c r="L20" s="64">
        <v>22.86</v>
      </c>
      <c r="M20" s="64">
        <v>98.85</v>
      </c>
      <c r="N20" s="64">
        <v>59.5</v>
      </c>
      <c r="O20" s="64">
        <v>0</v>
      </c>
      <c r="P20" s="64">
        <v>0.34</v>
      </c>
      <c r="Q20" s="64">
        <v>9.36</v>
      </c>
      <c r="R20" s="198"/>
      <c r="S20" s="198"/>
      <c r="T20" s="198"/>
      <c r="U20" s="198"/>
    </row>
    <row r="21" spans="1:21" s="12" customFormat="1" x14ac:dyDescent="0.25">
      <c r="A21" s="217" t="s">
        <v>1502</v>
      </c>
      <c r="B21" s="64">
        <v>8.33</v>
      </c>
      <c r="C21" s="64">
        <v>3.16</v>
      </c>
      <c r="D21" s="64">
        <v>12.1</v>
      </c>
      <c r="E21" s="64">
        <v>4.74</v>
      </c>
      <c r="F21" s="64">
        <v>4.16</v>
      </c>
      <c r="G21" s="64">
        <v>11.46</v>
      </c>
      <c r="H21" s="64">
        <v>3.23</v>
      </c>
      <c r="I21" s="64">
        <v>2.04</v>
      </c>
      <c r="J21" s="64">
        <v>0.43</v>
      </c>
      <c r="K21" s="64">
        <v>3.76</v>
      </c>
      <c r="L21" s="64">
        <v>22.83</v>
      </c>
      <c r="M21" s="64">
        <v>98.85</v>
      </c>
      <c r="N21" s="64">
        <v>59.5</v>
      </c>
      <c r="O21" s="64">
        <v>0</v>
      </c>
      <c r="P21" s="64">
        <v>0.33</v>
      </c>
      <c r="Q21" s="64">
        <v>9.34</v>
      </c>
      <c r="R21" s="198"/>
      <c r="S21" s="198"/>
      <c r="T21" s="198"/>
      <c r="U21" s="198"/>
    </row>
    <row r="22" spans="1:21" s="12" customFormat="1" x14ac:dyDescent="0.25">
      <c r="A22" s="217" t="s">
        <v>1503</v>
      </c>
      <c r="B22" s="64">
        <v>8.33</v>
      </c>
      <c r="C22" s="64">
        <v>3.16</v>
      </c>
      <c r="D22" s="64">
        <v>12.1</v>
      </c>
      <c r="E22" s="64">
        <v>4.4400000000000004</v>
      </c>
      <c r="F22" s="64">
        <v>4.6500000000000004</v>
      </c>
      <c r="G22" s="64">
        <v>11.46</v>
      </c>
      <c r="H22" s="64">
        <v>3.23</v>
      </c>
      <c r="I22" s="64">
        <v>1.95</v>
      </c>
      <c r="J22" s="64">
        <v>0.44</v>
      </c>
      <c r="K22" s="64">
        <v>2.96</v>
      </c>
      <c r="L22" s="64">
        <v>22.8</v>
      </c>
      <c r="M22" s="64">
        <v>98.85</v>
      </c>
      <c r="N22" s="64">
        <v>59.5</v>
      </c>
      <c r="O22" s="64">
        <v>0</v>
      </c>
      <c r="P22" s="64">
        <v>0.33</v>
      </c>
      <c r="Q22" s="64">
        <v>9.33</v>
      </c>
      <c r="R22" s="198"/>
      <c r="S22" s="198"/>
      <c r="T22" s="198"/>
      <c r="U22" s="198"/>
    </row>
    <row r="23" spans="1:21" s="12" customFormat="1" x14ac:dyDescent="0.25">
      <c r="A23" s="217" t="s">
        <v>1504</v>
      </c>
      <c r="B23" s="64">
        <v>8.33</v>
      </c>
      <c r="C23" s="64">
        <v>3.27</v>
      </c>
      <c r="D23" s="64">
        <v>12.17</v>
      </c>
      <c r="E23" s="64">
        <v>4.55</v>
      </c>
      <c r="F23" s="64">
        <v>3.06</v>
      </c>
      <c r="G23" s="64">
        <v>12.43</v>
      </c>
      <c r="H23" s="64">
        <v>3.57</v>
      </c>
      <c r="I23" s="64">
        <v>1.87</v>
      </c>
      <c r="J23" s="64">
        <v>0.38</v>
      </c>
      <c r="K23" s="64">
        <v>342.65</v>
      </c>
      <c r="L23" s="64">
        <v>22.87</v>
      </c>
      <c r="M23" s="64">
        <v>98.85</v>
      </c>
      <c r="N23" s="64">
        <v>59.4</v>
      </c>
      <c r="O23" s="64">
        <v>0</v>
      </c>
      <c r="P23" s="64">
        <v>0.31</v>
      </c>
      <c r="Q23" s="64">
        <v>9.2100000000000009</v>
      </c>
      <c r="R23" s="198"/>
      <c r="S23" s="198"/>
      <c r="T23" s="198"/>
      <c r="U23" s="198"/>
    </row>
    <row r="24" spans="1:21" s="12" customFormat="1" x14ac:dyDescent="0.25">
      <c r="A24" s="217" t="s">
        <v>1505</v>
      </c>
      <c r="B24" s="64">
        <v>8.34</v>
      </c>
      <c r="C24" s="64">
        <v>3.23</v>
      </c>
      <c r="D24" s="64">
        <v>12.15</v>
      </c>
      <c r="E24" s="64">
        <v>3.28</v>
      </c>
      <c r="F24" s="64">
        <v>4.3</v>
      </c>
      <c r="G24" s="64">
        <v>13.87</v>
      </c>
      <c r="H24" s="64">
        <v>4.07</v>
      </c>
      <c r="I24" s="64">
        <v>1.78</v>
      </c>
      <c r="J24" s="64">
        <v>0.5</v>
      </c>
      <c r="K24" s="64">
        <v>358.95</v>
      </c>
      <c r="L24" s="64">
        <v>22.81</v>
      </c>
      <c r="M24" s="64">
        <v>98.85</v>
      </c>
      <c r="N24" s="64">
        <v>59.5</v>
      </c>
      <c r="O24" s="64">
        <v>0</v>
      </c>
      <c r="P24" s="64">
        <v>0.32</v>
      </c>
      <c r="Q24" s="64">
        <v>9.2100000000000009</v>
      </c>
      <c r="R24" s="198"/>
      <c r="S24" s="198"/>
      <c r="T24" s="198"/>
      <c r="U24" s="198"/>
    </row>
    <row r="25" spans="1:21" s="12" customFormat="1" x14ac:dyDescent="0.25">
      <c r="A25" s="217" t="s">
        <v>1506</v>
      </c>
      <c r="B25" s="64">
        <v>8.3000000000000007</v>
      </c>
      <c r="C25" s="64">
        <v>3.18</v>
      </c>
      <c r="D25" s="64">
        <v>12.1</v>
      </c>
      <c r="E25" s="64">
        <v>3.61</v>
      </c>
      <c r="F25" s="64">
        <v>2.52</v>
      </c>
      <c r="G25" s="64">
        <v>13.87</v>
      </c>
      <c r="H25" s="64">
        <v>4.07</v>
      </c>
      <c r="I25" s="64">
        <v>1.74</v>
      </c>
      <c r="J25" s="64">
        <v>0.35</v>
      </c>
      <c r="K25" s="64">
        <v>336.32</v>
      </c>
      <c r="L25" s="64">
        <v>22.76</v>
      </c>
      <c r="M25" s="64">
        <v>98.85</v>
      </c>
      <c r="N25" s="64">
        <v>59.2</v>
      </c>
      <c r="O25" s="64">
        <v>0</v>
      </c>
      <c r="P25" s="64">
        <v>0.3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7" t="s">
        <v>1507</v>
      </c>
      <c r="B26" s="64">
        <v>8.31</v>
      </c>
      <c r="C26" s="64">
        <v>3.23</v>
      </c>
      <c r="D26" s="64">
        <v>12.13</v>
      </c>
      <c r="E26" s="64">
        <v>3.47</v>
      </c>
      <c r="F26" s="64">
        <v>4.42</v>
      </c>
      <c r="G26" s="64">
        <v>13.87</v>
      </c>
      <c r="H26" s="64">
        <v>4.07</v>
      </c>
      <c r="I26" s="64">
        <v>1.69</v>
      </c>
      <c r="J26" s="64">
        <v>0.38</v>
      </c>
      <c r="K26" s="64">
        <v>332.84</v>
      </c>
      <c r="L26" s="64">
        <v>22.71</v>
      </c>
      <c r="M26" s="64">
        <v>98.86</v>
      </c>
      <c r="N26" s="64">
        <v>59</v>
      </c>
      <c r="O26" s="64">
        <v>0</v>
      </c>
      <c r="P26" s="64">
        <v>0.3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7" t="s">
        <v>1508</v>
      </c>
      <c r="B27" s="64">
        <v>8.2899999999999991</v>
      </c>
      <c r="C27" s="64">
        <v>3.15</v>
      </c>
      <c r="D27" s="64">
        <v>12.06</v>
      </c>
      <c r="E27" s="64">
        <v>3.6</v>
      </c>
      <c r="F27" s="64">
        <v>2.9</v>
      </c>
      <c r="G27" s="64">
        <v>14.06</v>
      </c>
      <c r="H27" s="64">
        <v>3.75</v>
      </c>
      <c r="I27" s="64">
        <v>1.67</v>
      </c>
      <c r="J27" s="64">
        <v>0.45</v>
      </c>
      <c r="K27" s="64">
        <v>332.41</v>
      </c>
      <c r="L27" s="64">
        <v>22.66</v>
      </c>
      <c r="M27" s="64">
        <v>98.87</v>
      </c>
      <c r="N27" s="64">
        <v>59.1</v>
      </c>
      <c r="O27" s="64">
        <v>0</v>
      </c>
      <c r="P27" s="64">
        <v>0.3</v>
      </c>
      <c r="Q27" s="64">
        <v>9.3000000000000007</v>
      </c>
      <c r="R27" s="198"/>
      <c r="S27" s="198"/>
      <c r="T27" s="198"/>
      <c r="U27" s="198"/>
    </row>
    <row r="28" spans="1:21" s="12" customFormat="1" x14ac:dyDescent="0.25">
      <c r="A28" s="217" t="s">
        <v>1509</v>
      </c>
      <c r="B28" s="64">
        <v>8.31</v>
      </c>
      <c r="C28" s="64">
        <v>3.15</v>
      </c>
      <c r="D28" s="64">
        <v>12.09</v>
      </c>
      <c r="E28" s="64">
        <v>3.88</v>
      </c>
      <c r="F28" s="64">
        <v>3.56</v>
      </c>
      <c r="G28" s="64">
        <v>14.35</v>
      </c>
      <c r="H28" s="64">
        <v>3.27</v>
      </c>
      <c r="I28" s="64">
        <v>1.71</v>
      </c>
      <c r="J28" s="64">
        <v>0.06</v>
      </c>
      <c r="K28" s="64">
        <v>53.88</v>
      </c>
      <c r="L28" s="64">
        <v>22.63</v>
      </c>
      <c r="M28" s="64">
        <v>98.88</v>
      </c>
      <c r="N28" s="64">
        <v>59.1</v>
      </c>
      <c r="O28" s="64">
        <v>0</v>
      </c>
      <c r="P28" s="64">
        <v>0.28999999999999998</v>
      </c>
      <c r="Q28" s="64">
        <v>9.27</v>
      </c>
      <c r="R28" s="198"/>
      <c r="S28" s="198"/>
      <c r="T28" s="198"/>
      <c r="U28" s="198"/>
    </row>
    <row r="29" spans="1:21" s="12" customFormat="1" x14ac:dyDescent="0.25">
      <c r="A29" s="217" t="s">
        <v>1510</v>
      </c>
      <c r="B29" s="64">
        <v>8.3000000000000007</v>
      </c>
      <c r="C29" s="64">
        <v>3.21</v>
      </c>
      <c r="D29" s="64">
        <v>12.1</v>
      </c>
      <c r="E29" s="64">
        <v>3.68</v>
      </c>
      <c r="F29" s="64">
        <v>4.5</v>
      </c>
      <c r="G29" s="64">
        <v>14.35</v>
      </c>
      <c r="H29" s="64">
        <v>3.27</v>
      </c>
      <c r="I29" s="64">
        <v>1.75</v>
      </c>
      <c r="J29" s="64">
        <v>0.31</v>
      </c>
      <c r="K29" s="64">
        <v>171.97</v>
      </c>
      <c r="L29" s="64">
        <v>22.55</v>
      </c>
      <c r="M29" s="64">
        <v>98.88</v>
      </c>
      <c r="N29" s="64">
        <v>59.4</v>
      </c>
      <c r="O29" s="64">
        <v>0</v>
      </c>
      <c r="P29" s="64">
        <v>0.3</v>
      </c>
      <c r="Q29" s="64">
        <v>9.34</v>
      </c>
      <c r="R29" s="198"/>
      <c r="S29" s="198"/>
      <c r="T29" s="198"/>
      <c r="U29" s="198"/>
    </row>
    <row r="30" spans="1:21" s="12" customFormat="1" x14ac:dyDescent="0.25">
      <c r="A30" s="217" t="s">
        <v>1511</v>
      </c>
      <c r="B30" s="64">
        <v>8.31</v>
      </c>
      <c r="C30" s="64">
        <v>3.21</v>
      </c>
      <c r="D30" s="64">
        <v>12.12</v>
      </c>
      <c r="E30" s="64">
        <v>3.85</v>
      </c>
      <c r="F30" s="64">
        <v>2.78</v>
      </c>
      <c r="G30" s="64">
        <v>14.35</v>
      </c>
      <c r="H30" s="64">
        <v>3.27</v>
      </c>
      <c r="I30" s="64">
        <v>1.8</v>
      </c>
      <c r="J30" s="64">
        <v>0.48</v>
      </c>
      <c r="K30" s="64">
        <v>164</v>
      </c>
      <c r="L30" s="64">
        <v>22.54</v>
      </c>
      <c r="M30" s="64">
        <v>98.9</v>
      </c>
      <c r="N30" s="64">
        <v>61.1</v>
      </c>
      <c r="O30" s="64">
        <v>0</v>
      </c>
      <c r="P30" s="64">
        <v>0.28999999999999998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17" t="s">
        <v>1512</v>
      </c>
      <c r="B31" s="64">
        <v>8.33</v>
      </c>
      <c r="C31" s="64">
        <v>3.27</v>
      </c>
      <c r="D31" s="64">
        <v>12.16</v>
      </c>
      <c r="E31" s="64">
        <v>3.56</v>
      </c>
      <c r="F31" s="64">
        <v>3.82</v>
      </c>
      <c r="G31" s="64">
        <v>14.19</v>
      </c>
      <c r="H31" s="64">
        <v>2.97</v>
      </c>
      <c r="I31" s="64">
        <v>2.08</v>
      </c>
      <c r="J31" s="64">
        <v>0.34</v>
      </c>
      <c r="K31" s="64">
        <v>226.34</v>
      </c>
      <c r="L31" s="64">
        <v>22.59</v>
      </c>
      <c r="M31" s="64">
        <v>98.9</v>
      </c>
      <c r="N31" s="64">
        <v>70.3</v>
      </c>
      <c r="O31" s="64">
        <v>0</v>
      </c>
      <c r="P31" s="64">
        <v>0.3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7" t="s">
        <v>1513</v>
      </c>
      <c r="B32" s="64">
        <v>8.33</v>
      </c>
      <c r="C32" s="64">
        <v>3.23</v>
      </c>
      <c r="D32" s="64">
        <v>12.14</v>
      </c>
      <c r="E32" s="64">
        <v>3.95</v>
      </c>
      <c r="F32" s="64">
        <v>2.4700000000000002</v>
      </c>
      <c r="G32" s="64">
        <v>13.96</v>
      </c>
      <c r="H32" s="64">
        <v>2.5</v>
      </c>
      <c r="I32" s="64">
        <v>2.2799999999999998</v>
      </c>
      <c r="J32" s="64">
        <v>0.26</v>
      </c>
      <c r="K32" s="64">
        <v>199.79</v>
      </c>
      <c r="L32" s="64">
        <v>22.66</v>
      </c>
      <c r="M32" s="64">
        <v>98.89</v>
      </c>
      <c r="N32" s="64">
        <v>86.2</v>
      </c>
      <c r="O32" s="64">
        <v>0</v>
      </c>
      <c r="P32" s="64">
        <v>0.28999999999999998</v>
      </c>
      <c r="Q32" s="64">
        <v>9.33</v>
      </c>
      <c r="R32" s="198"/>
      <c r="S32" s="198"/>
      <c r="T32" s="198"/>
      <c r="U32" s="198"/>
    </row>
    <row r="33" spans="1:21" s="12" customFormat="1" x14ac:dyDescent="0.25">
      <c r="A33" s="217" t="s">
        <v>1514</v>
      </c>
      <c r="B33" s="64">
        <v>8.35</v>
      </c>
      <c r="C33" s="64">
        <v>3.22</v>
      </c>
      <c r="D33" s="64">
        <v>12.15</v>
      </c>
      <c r="E33" s="64">
        <v>3.66</v>
      </c>
      <c r="F33" s="64">
        <v>2.9</v>
      </c>
      <c r="G33" s="64">
        <v>13.96</v>
      </c>
      <c r="H33" s="64">
        <v>2.5</v>
      </c>
      <c r="I33" s="64">
        <v>2.4</v>
      </c>
      <c r="J33" s="64">
        <v>0.16</v>
      </c>
      <c r="K33" s="64">
        <v>225.63</v>
      </c>
      <c r="L33" s="64">
        <v>22.81</v>
      </c>
      <c r="M33" s="64">
        <v>98.88</v>
      </c>
      <c r="N33" s="64">
        <v>96</v>
      </c>
      <c r="O33" s="64">
        <v>0</v>
      </c>
      <c r="P33" s="64">
        <v>0.28000000000000003</v>
      </c>
      <c r="Q33" s="64">
        <v>9.31</v>
      </c>
      <c r="R33" s="198"/>
      <c r="S33" s="198"/>
      <c r="T33" s="198"/>
      <c r="U33" s="198"/>
    </row>
    <row r="34" spans="1:21" s="12" customFormat="1" x14ac:dyDescent="0.25">
      <c r="A34" s="217" t="s">
        <v>1515</v>
      </c>
      <c r="B34" s="64">
        <v>8.33</v>
      </c>
      <c r="C34" s="64">
        <v>3.18</v>
      </c>
      <c r="D34" s="64">
        <v>12.11</v>
      </c>
      <c r="E34" s="64">
        <v>3.47</v>
      </c>
      <c r="F34" s="64">
        <v>3.21</v>
      </c>
      <c r="G34" s="64">
        <v>13.96</v>
      </c>
      <c r="H34" s="64">
        <v>2.5</v>
      </c>
      <c r="I34" s="64">
        <v>2.63</v>
      </c>
      <c r="J34" s="64">
        <v>0.33</v>
      </c>
      <c r="K34" s="64">
        <v>356.45</v>
      </c>
      <c r="L34" s="64">
        <v>22.99</v>
      </c>
      <c r="M34" s="64">
        <v>98.88</v>
      </c>
      <c r="N34" s="64">
        <v>108.1</v>
      </c>
      <c r="O34" s="64">
        <v>0</v>
      </c>
      <c r="P34" s="64">
        <v>0.28999999999999998</v>
      </c>
      <c r="Q34" s="64">
        <v>9.34</v>
      </c>
      <c r="R34" s="198"/>
      <c r="S34" s="198"/>
      <c r="T34" s="198"/>
      <c r="U34" s="198"/>
    </row>
    <row r="35" spans="1:21" s="12" customFormat="1" x14ac:dyDescent="0.25">
      <c r="A35" s="217" t="s">
        <v>1516</v>
      </c>
      <c r="B35" s="64">
        <v>8.33</v>
      </c>
      <c r="C35" s="64">
        <v>3.18</v>
      </c>
      <c r="D35" s="64">
        <v>12.12</v>
      </c>
      <c r="E35" s="64">
        <v>3.51</v>
      </c>
      <c r="F35" s="64">
        <v>3.27</v>
      </c>
      <c r="G35" s="64">
        <v>12.94</v>
      </c>
      <c r="H35" s="64">
        <v>2.2999999999999998</v>
      </c>
      <c r="I35" s="64">
        <v>2.85</v>
      </c>
      <c r="J35" s="64">
        <v>0.36</v>
      </c>
      <c r="K35" s="64">
        <v>345.71</v>
      </c>
      <c r="L35" s="64">
        <v>23.16</v>
      </c>
      <c r="M35" s="64">
        <v>98.87</v>
      </c>
      <c r="N35" s="64">
        <v>127.9</v>
      </c>
      <c r="O35" s="64">
        <v>0</v>
      </c>
      <c r="P35" s="64">
        <v>0.28999999999999998</v>
      </c>
      <c r="Q35" s="64">
        <v>9.3699999999999992</v>
      </c>
      <c r="R35" s="198"/>
      <c r="S35" s="198"/>
      <c r="T35" s="198"/>
      <c r="U35" s="198"/>
    </row>
    <row r="36" spans="1:21" s="12" customFormat="1" x14ac:dyDescent="0.25">
      <c r="A36" s="217" t="s">
        <v>1517</v>
      </c>
      <c r="B36" s="64">
        <v>8.33</v>
      </c>
      <c r="C36" s="64">
        <v>3.17</v>
      </c>
      <c r="D36" s="64">
        <v>12.11</v>
      </c>
      <c r="E36" s="64">
        <v>3.57</v>
      </c>
      <c r="F36" s="64">
        <v>3.4</v>
      </c>
      <c r="G36" s="64">
        <v>11.42</v>
      </c>
      <c r="H36" s="64">
        <v>2</v>
      </c>
      <c r="I36" s="64">
        <v>3.01</v>
      </c>
      <c r="J36" s="64">
        <v>0.5</v>
      </c>
      <c r="K36" s="64">
        <v>4.6100000000000003</v>
      </c>
      <c r="L36" s="64">
        <v>23.7</v>
      </c>
      <c r="M36" s="64">
        <v>98.85</v>
      </c>
      <c r="N36" s="64">
        <v>217.8</v>
      </c>
      <c r="O36" s="64">
        <v>0</v>
      </c>
      <c r="P36" s="64">
        <v>0.3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7" t="s">
        <v>1518</v>
      </c>
      <c r="B37" s="64">
        <v>8.34</v>
      </c>
      <c r="C37" s="64">
        <v>3.2</v>
      </c>
      <c r="D37" s="64">
        <v>12.14</v>
      </c>
      <c r="E37" s="64">
        <v>3.7</v>
      </c>
      <c r="F37" s="64">
        <v>3.56</v>
      </c>
      <c r="G37" s="64">
        <v>11.42</v>
      </c>
      <c r="H37" s="64">
        <v>2</v>
      </c>
      <c r="I37" s="64">
        <v>3.08</v>
      </c>
      <c r="J37" s="64">
        <v>0.53</v>
      </c>
      <c r="K37" s="64">
        <v>350.84</v>
      </c>
      <c r="L37" s="64">
        <v>24.88</v>
      </c>
      <c r="M37" s="64">
        <v>96.18</v>
      </c>
      <c r="N37" s="64">
        <v>270</v>
      </c>
      <c r="O37" s="64">
        <v>0</v>
      </c>
      <c r="P37" s="64">
        <v>0.28999999999999998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7" t="s">
        <v>1519</v>
      </c>
      <c r="B38" s="64">
        <v>8.34</v>
      </c>
      <c r="C38" s="64">
        <v>3.2</v>
      </c>
      <c r="D38" s="64">
        <v>12.14</v>
      </c>
      <c r="E38" s="64">
        <v>3.67</v>
      </c>
      <c r="F38" s="64">
        <v>3.43</v>
      </c>
      <c r="G38" s="64">
        <v>11.42</v>
      </c>
      <c r="H38" s="64">
        <v>2</v>
      </c>
      <c r="I38" s="64">
        <v>3</v>
      </c>
      <c r="J38" s="64">
        <v>0.48</v>
      </c>
      <c r="K38" s="64">
        <v>353.84</v>
      </c>
      <c r="L38" s="64">
        <v>25.42</v>
      </c>
      <c r="M38" s="64">
        <v>93.47</v>
      </c>
      <c r="N38" s="64">
        <v>300.7</v>
      </c>
      <c r="O38" s="64">
        <v>0</v>
      </c>
      <c r="P38" s="64">
        <v>0.31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7" t="s">
        <v>1520</v>
      </c>
      <c r="B39" s="64">
        <v>8.33</v>
      </c>
      <c r="C39" s="64">
        <v>3.21</v>
      </c>
      <c r="D39" s="64">
        <v>12.13</v>
      </c>
      <c r="E39" s="64">
        <v>3.74</v>
      </c>
      <c r="F39" s="64">
        <v>3.77</v>
      </c>
      <c r="G39" s="64">
        <v>13.19</v>
      </c>
      <c r="H39" s="64">
        <v>2.57</v>
      </c>
      <c r="I39" s="64">
        <v>2.78</v>
      </c>
      <c r="J39" s="64">
        <v>0.56000000000000005</v>
      </c>
      <c r="K39" s="64">
        <v>357.42</v>
      </c>
      <c r="L39" s="64">
        <v>25.11</v>
      </c>
      <c r="M39" s="64">
        <v>95.45</v>
      </c>
      <c r="N39" s="64">
        <v>354.4</v>
      </c>
      <c r="O39" s="64">
        <v>0</v>
      </c>
      <c r="P39" s="64">
        <v>0.31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7" t="s">
        <v>1521</v>
      </c>
      <c r="B40" s="64">
        <v>8.36</v>
      </c>
      <c r="C40" s="64">
        <v>3.33</v>
      </c>
      <c r="D40" s="64">
        <v>12.22</v>
      </c>
      <c r="E40" s="64">
        <v>4.46</v>
      </c>
      <c r="F40" s="64">
        <v>4.37</v>
      </c>
      <c r="G40" s="64">
        <v>15.84</v>
      </c>
      <c r="H40" s="64">
        <v>3.37</v>
      </c>
      <c r="I40" s="64">
        <v>2.57</v>
      </c>
      <c r="J40" s="64">
        <v>0.55000000000000004</v>
      </c>
      <c r="K40" s="64">
        <v>354.37</v>
      </c>
      <c r="L40" s="64">
        <v>24.83</v>
      </c>
      <c r="M40" s="64">
        <v>96.24</v>
      </c>
      <c r="N40" s="64">
        <v>223.4</v>
      </c>
      <c r="O40" s="64">
        <v>0</v>
      </c>
      <c r="P40" s="64">
        <v>0.33</v>
      </c>
      <c r="Q40" s="64">
        <v>9.39</v>
      </c>
      <c r="R40" s="198"/>
      <c r="S40" s="198"/>
      <c r="T40" s="198"/>
      <c r="U40" s="198"/>
    </row>
    <row r="41" spans="1:21" s="12" customFormat="1" x14ac:dyDescent="0.25">
      <c r="A41" s="217" t="s">
        <v>1522</v>
      </c>
      <c r="B41" s="64">
        <v>8.32</v>
      </c>
      <c r="C41" s="64">
        <v>3.23</v>
      </c>
      <c r="D41" s="64">
        <v>12.14</v>
      </c>
      <c r="E41" s="64">
        <v>4.7699999999999996</v>
      </c>
      <c r="F41" s="64">
        <v>2.89</v>
      </c>
      <c r="G41" s="64">
        <v>15.84</v>
      </c>
      <c r="H41" s="64">
        <v>3.37</v>
      </c>
      <c r="I41" s="64">
        <v>2.44</v>
      </c>
      <c r="J41" s="64">
        <v>0.59</v>
      </c>
      <c r="K41" s="64">
        <v>353.86</v>
      </c>
      <c r="L41" s="64">
        <v>24.46</v>
      </c>
      <c r="M41" s="64">
        <v>97.88</v>
      </c>
      <c r="N41" s="64">
        <v>222</v>
      </c>
      <c r="O41" s="64">
        <v>0</v>
      </c>
      <c r="P41" s="64">
        <v>0.34</v>
      </c>
      <c r="Q41" s="64">
        <v>9.27</v>
      </c>
      <c r="R41" s="198"/>
      <c r="S41" s="198"/>
      <c r="T41" s="198"/>
      <c r="U41" s="198"/>
    </row>
    <row r="42" spans="1:21" s="12" customFormat="1" x14ac:dyDescent="0.25">
      <c r="A42" s="217" t="s">
        <v>1523</v>
      </c>
      <c r="B42" s="64">
        <v>8.3000000000000007</v>
      </c>
      <c r="C42" s="64">
        <v>3.23</v>
      </c>
      <c r="D42" s="64">
        <v>12.12</v>
      </c>
      <c r="E42" s="64">
        <v>4.7699999999999996</v>
      </c>
      <c r="F42" s="64">
        <v>4</v>
      </c>
      <c r="G42" s="64">
        <v>15.84</v>
      </c>
      <c r="H42" s="64">
        <v>3.37</v>
      </c>
      <c r="I42" s="64">
        <v>2.39</v>
      </c>
      <c r="J42" s="64">
        <v>0.52</v>
      </c>
      <c r="K42" s="64">
        <v>337.66</v>
      </c>
      <c r="L42" s="64">
        <v>24.48</v>
      </c>
      <c r="M42" s="64">
        <v>97.93</v>
      </c>
      <c r="N42" s="64">
        <v>241</v>
      </c>
      <c r="O42" s="64">
        <v>0</v>
      </c>
      <c r="P42" s="64">
        <v>0.35</v>
      </c>
      <c r="Q42" s="64">
        <v>9.27</v>
      </c>
      <c r="R42" s="198"/>
      <c r="S42" s="198"/>
      <c r="T42" s="198"/>
      <c r="U42" s="198"/>
    </row>
    <row r="43" spans="1:21" s="12" customFormat="1" x14ac:dyDescent="0.25">
      <c r="A43" s="217" t="s">
        <v>1524</v>
      </c>
      <c r="B43" s="64">
        <v>8.3000000000000007</v>
      </c>
      <c r="C43" s="64">
        <v>3.24</v>
      </c>
      <c r="D43" s="64">
        <v>12.12</v>
      </c>
      <c r="E43" s="64">
        <v>4.8</v>
      </c>
      <c r="F43" s="64">
        <v>3.45</v>
      </c>
      <c r="G43" s="64">
        <v>18.16</v>
      </c>
      <c r="H43" s="64">
        <v>3.64</v>
      </c>
      <c r="I43" s="64">
        <v>2.4</v>
      </c>
      <c r="J43" s="64">
        <v>0.56999999999999995</v>
      </c>
      <c r="K43" s="64">
        <v>340.06</v>
      </c>
      <c r="L43" s="64">
        <v>25.03</v>
      </c>
      <c r="M43" s="64">
        <v>95.91</v>
      </c>
      <c r="N43" s="64">
        <v>472.4</v>
      </c>
      <c r="O43" s="64">
        <v>0</v>
      </c>
      <c r="P43" s="64">
        <v>0.38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7" t="s">
        <v>1525</v>
      </c>
      <c r="B44" s="64">
        <v>8.31</v>
      </c>
      <c r="C44" s="64">
        <v>3.18</v>
      </c>
      <c r="D44" s="64">
        <v>12.1</v>
      </c>
      <c r="E44" s="64">
        <v>4.71</v>
      </c>
      <c r="F44" s="64">
        <v>3.42</v>
      </c>
      <c r="G44" s="64">
        <v>21.64</v>
      </c>
      <c r="H44" s="64">
        <v>4.0199999999999996</v>
      </c>
      <c r="I44" s="64">
        <v>2.46</v>
      </c>
      <c r="J44" s="64">
        <v>0.41</v>
      </c>
      <c r="K44" s="64">
        <v>355.22</v>
      </c>
      <c r="L44" s="64">
        <v>26.61</v>
      </c>
      <c r="M44" s="64">
        <v>88.35</v>
      </c>
      <c r="N44" s="64">
        <v>628</v>
      </c>
      <c r="O44" s="64">
        <v>0</v>
      </c>
      <c r="P44" s="64">
        <v>0.4</v>
      </c>
      <c r="Q44" s="64">
        <v>9.32</v>
      </c>
      <c r="R44" s="198"/>
      <c r="S44" s="198"/>
      <c r="T44" s="198"/>
      <c r="U44" s="198"/>
    </row>
    <row r="45" spans="1:21" s="12" customFormat="1" x14ac:dyDescent="0.25">
      <c r="A45" s="217" t="s">
        <v>1526</v>
      </c>
      <c r="B45" s="64">
        <v>8.35</v>
      </c>
      <c r="C45" s="64">
        <v>3.33</v>
      </c>
      <c r="D45" s="64">
        <v>12.21</v>
      </c>
      <c r="E45" s="64">
        <v>4.43</v>
      </c>
      <c r="F45" s="64">
        <v>4.43</v>
      </c>
      <c r="G45" s="64">
        <v>21.64</v>
      </c>
      <c r="H45" s="64">
        <v>4.0199999999999996</v>
      </c>
      <c r="I45" s="64">
        <v>2.5299999999999998</v>
      </c>
      <c r="J45" s="64">
        <v>0.39</v>
      </c>
      <c r="K45" s="64">
        <v>12.68</v>
      </c>
      <c r="L45" s="64">
        <v>27.1</v>
      </c>
      <c r="M45" s="64">
        <v>86.38</v>
      </c>
      <c r="N45" s="64">
        <v>776.9</v>
      </c>
      <c r="O45" s="64">
        <v>0</v>
      </c>
      <c r="P45" s="64">
        <v>0.44</v>
      </c>
      <c r="Q45" s="64">
        <v>9.3800000000000008</v>
      </c>
      <c r="R45" s="198"/>
      <c r="S45" s="198"/>
      <c r="T45" s="198"/>
      <c r="U45" s="198"/>
    </row>
    <row r="46" spans="1:21" s="12" customFormat="1" x14ac:dyDescent="0.25">
      <c r="A46" s="217" t="s">
        <v>1527</v>
      </c>
      <c r="B46" s="64">
        <v>8.36</v>
      </c>
      <c r="C46" s="64">
        <v>3.38</v>
      </c>
      <c r="D46" s="64">
        <v>12.24</v>
      </c>
      <c r="E46" s="64">
        <v>4.72</v>
      </c>
      <c r="F46" s="64">
        <v>2.8</v>
      </c>
      <c r="G46" s="64">
        <v>21.64</v>
      </c>
      <c r="H46" s="64">
        <v>4.0199999999999996</v>
      </c>
      <c r="I46" s="64">
        <v>2.59</v>
      </c>
      <c r="J46" s="64">
        <v>0.49</v>
      </c>
      <c r="K46" s="64">
        <v>349.74</v>
      </c>
      <c r="L46" s="64">
        <v>28.88</v>
      </c>
      <c r="M46" s="64">
        <v>78.959999999999994</v>
      </c>
      <c r="N46" s="64">
        <v>726.3</v>
      </c>
      <c r="O46" s="64">
        <v>0</v>
      </c>
      <c r="P46" s="64">
        <v>0.48</v>
      </c>
      <c r="Q46" s="64">
        <v>9.39</v>
      </c>
      <c r="R46" s="198"/>
      <c r="S46" s="198"/>
      <c r="T46" s="198"/>
      <c r="U46" s="198"/>
    </row>
    <row r="47" spans="1:21" s="12" customFormat="1" x14ac:dyDescent="0.25">
      <c r="A47" s="217" t="s">
        <v>1528</v>
      </c>
      <c r="B47" s="64">
        <v>8.3699999999999992</v>
      </c>
      <c r="C47" s="64">
        <v>3.36</v>
      </c>
      <c r="D47" s="64">
        <v>12.24</v>
      </c>
      <c r="E47" s="64">
        <v>4.66</v>
      </c>
      <c r="F47" s="64">
        <v>3.39</v>
      </c>
      <c r="G47" s="64">
        <v>24.91</v>
      </c>
      <c r="H47" s="64">
        <v>4.4000000000000004</v>
      </c>
      <c r="I47" s="64">
        <v>2.67</v>
      </c>
      <c r="J47" s="64">
        <v>0.54</v>
      </c>
      <c r="K47" s="64">
        <v>2.0499999999999998</v>
      </c>
      <c r="L47" s="64">
        <v>28.81</v>
      </c>
      <c r="M47" s="64">
        <v>80.319999999999993</v>
      </c>
      <c r="N47" s="64">
        <v>674.9</v>
      </c>
      <c r="O47" s="64">
        <v>0</v>
      </c>
      <c r="P47" s="64">
        <v>0.49</v>
      </c>
      <c r="Q47" s="64">
        <v>9.36</v>
      </c>
      <c r="R47" s="198"/>
      <c r="S47" s="198"/>
      <c r="T47" s="198"/>
      <c r="U47" s="198"/>
    </row>
    <row r="48" spans="1:21" s="12" customFormat="1" x14ac:dyDescent="0.25">
      <c r="A48" s="217" t="s">
        <v>1529</v>
      </c>
      <c r="B48" s="64">
        <v>8.33</v>
      </c>
      <c r="C48" s="64">
        <v>3.28</v>
      </c>
      <c r="D48" s="64">
        <v>12.17</v>
      </c>
      <c r="E48" s="64">
        <v>4.25</v>
      </c>
      <c r="F48" s="64">
        <v>4.3600000000000003</v>
      </c>
      <c r="G48" s="64">
        <v>29.81</v>
      </c>
      <c r="H48" s="64">
        <v>4.96</v>
      </c>
      <c r="I48" s="64">
        <v>2.7</v>
      </c>
      <c r="J48" s="64">
        <v>0.54</v>
      </c>
      <c r="K48" s="64">
        <v>351.38</v>
      </c>
      <c r="L48" s="64">
        <v>29.15</v>
      </c>
      <c r="M48" s="64">
        <v>78.27</v>
      </c>
      <c r="N48" s="64">
        <v>712.8</v>
      </c>
      <c r="O48" s="64">
        <v>0</v>
      </c>
      <c r="P48" s="64">
        <v>0.53</v>
      </c>
      <c r="Q48" s="64">
        <v>9.4499999999999993</v>
      </c>
      <c r="R48" s="198"/>
      <c r="S48" s="198"/>
      <c r="T48" s="198"/>
      <c r="U48" s="198"/>
    </row>
    <row r="49" spans="1:21" s="12" customFormat="1" x14ac:dyDescent="0.25">
      <c r="A49" s="217" t="s">
        <v>1530</v>
      </c>
      <c r="B49" s="64">
        <v>8.33</v>
      </c>
      <c r="C49" s="64">
        <v>3.28</v>
      </c>
      <c r="D49" s="64">
        <v>12.17</v>
      </c>
      <c r="E49" s="64">
        <v>4.8</v>
      </c>
      <c r="F49" s="64">
        <v>3.43</v>
      </c>
      <c r="G49" s="64">
        <v>29.81</v>
      </c>
      <c r="H49" s="64">
        <v>4.96</v>
      </c>
      <c r="I49" s="64">
        <v>2.7</v>
      </c>
      <c r="J49" s="64">
        <v>0.57999999999999996</v>
      </c>
      <c r="K49" s="64">
        <v>333.35</v>
      </c>
      <c r="L49" s="64">
        <v>29.25</v>
      </c>
      <c r="M49" s="64">
        <v>79.45</v>
      </c>
      <c r="N49" s="64">
        <v>828.4</v>
      </c>
      <c r="O49" s="64">
        <v>0</v>
      </c>
      <c r="P49" s="64">
        <v>0.55000000000000004</v>
      </c>
      <c r="Q49" s="64">
        <v>9.42</v>
      </c>
      <c r="R49" s="198"/>
      <c r="S49" s="198"/>
      <c r="T49" s="198"/>
      <c r="U49" s="198"/>
    </row>
    <row r="50" spans="1:21" s="12" customFormat="1" x14ac:dyDescent="0.25">
      <c r="A50" s="217" t="s">
        <v>1531</v>
      </c>
      <c r="B50" s="64">
        <v>8.31</v>
      </c>
      <c r="C50" s="64">
        <v>3.27</v>
      </c>
      <c r="D50" s="64">
        <v>12.14</v>
      </c>
      <c r="E50" s="64">
        <v>4.5</v>
      </c>
      <c r="F50" s="64">
        <v>3.73</v>
      </c>
      <c r="G50" s="64">
        <v>29.81</v>
      </c>
      <c r="H50" s="64">
        <v>4.96</v>
      </c>
      <c r="I50" s="64">
        <v>2.69</v>
      </c>
      <c r="J50" s="64">
        <v>0.38</v>
      </c>
      <c r="K50" s="64">
        <v>11.15</v>
      </c>
      <c r="L50" s="64">
        <v>28.86</v>
      </c>
      <c r="M50" s="64">
        <v>79.959999999999994</v>
      </c>
      <c r="N50" s="64">
        <v>660.1</v>
      </c>
      <c r="O50" s="64">
        <v>0</v>
      </c>
      <c r="P50" s="64">
        <v>0.56999999999999995</v>
      </c>
      <c r="Q50" s="64">
        <v>9.3800000000000008</v>
      </c>
      <c r="R50" s="198"/>
      <c r="S50" s="198"/>
      <c r="T50" s="198"/>
      <c r="U50" s="198"/>
    </row>
    <row r="51" spans="1:21" s="12" customFormat="1" x14ac:dyDescent="0.25">
      <c r="A51" s="217" t="s">
        <v>1532</v>
      </c>
      <c r="B51" s="64">
        <v>8.32</v>
      </c>
      <c r="C51" s="64">
        <v>3.21</v>
      </c>
      <c r="D51" s="64">
        <v>12.12</v>
      </c>
      <c r="E51" s="64">
        <v>4.6399999999999997</v>
      </c>
      <c r="F51" s="64">
        <v>3.16</v>
      </c>
      <c r="G51" s="64">
        <v>34.700000000000003</v>
      </c>
      <c r="H51" s="64">
        <v>4.3499999999999996</v>
      </c>
      <c r="I51" s="64">
        <v>2.66</v>
      </c>
      <c r="J51" s="64">
        <v>0.52</v>
      </c>
      <c r="K51" s="64">
        <v>352.22</v>
      </c>
      <c r="L51" s="64">
        <v>28.55</v>
      </c>
      <c r="M51" s="64">
        <v>80.959999999999994</v>
      </c>
      <c r="N51" s="64">
        <v>557.1</v>
      </c>
      <c r="O51" s="64">
        <v>0</v>
      </c>
      <c r="P51" s="64">
        <v>0.6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17" t="s">
        <v>1533</v>
      </c>
      <c r="B52" s="64">
        <v>8.35</v>
      </c>
      <c r="C52" s="64">
        <v>3.22</v>
      </c>
      <c r="D52" s="64">
        <v>12.15</v>
      </c>
      <c r="E52" s="64">
        <v>4.51</v>
      </c>
      <c r="F52" s="64">
        <v>3.67</v>
      </c>
      <c r="G52" s="64">
        <v>41.7</v>
      </c>
      <c r="H52" s="64">
        <v>3.47</v>
      </c>
      <c r="I52" s="64">
        <v>2.67</v>
      </c>
      <c r="J52" s="64">
        <v>0.47</v>
      </c>
      <c r="K52" s="64">
        <v>340.52</v>
      </c>
      <c r="L52" s="64">
        <v>28.03</v>
      </c>
      <c r="M52" s="64">
        <v>83.5</v>
      </c>
      <c r="N52" s="64">
        <v>369.4</v>
      </c>
      <c r="O52" s="64">
        <v>0</v>
      </c>
      <c r="P52" s="64">
        <v>0.61</v>
      </c>
      <c r="Q52" s="64">
        <v>9.3800000000000008</v>
      </c>
      <c r="R52" s="198"/>
      <c r="S52" s="198"/>
      <c r="T52" s="198"/>
      <c r="U52" s="198"/>
    </row>
    <row r="53" spans="1:21" s="12" customFormat="1" x14ac:dyDescent="0.25">
      <c r="A53" s="217" t="s">
        <v>1534</v>
      </c>
      <c r="B53" s="64">
        <v>8.36</v>
      </c>
      <c r="C53" s="64">
        <v>3.28</v>
      </c>
      <c r="D53" s="64">
        <v>12.19</v>
      </c>
      <c r="E53" s="64">
        <v>4.5</v>
      </c>
      <c r="F53" s="64">
        <v>3.74</v>
      </c>
      <c r="G53" s="64">
        <v>41.7</v>
      </c>
      <c r="H53" s="64">
        <v>3.47</v>
      </c>
      <c r="I53" s="64">
        <v>2.68</v>
      </c>
      <c r="J53" s="64">
        <v>0.51</v>
      </c>
      <c r="K53" s="64">
        <v>334.87</v>
      </c>
      <c r="L53" s="64">
        <v>28.58</v>
      </c>
      <c r="M53" s="64">
        <v>81.37</v>
      </c>
      <c r="N53" s="64">
        <v>491.9</v>
      </c>
      <c r="O53" s="64">
        <v>0</v>
      </c>
      <c r="P53" s="64">
        <v>0.61</v>
      </c>
      <c r="Q53" s="64">
        <v>9.3800000000000008</v>
      </c>
      <c r="R53" s="198"/>
      <c r="S53" s="198"/>
      <c r="T53" s="198"/>
      <c r="U53" s="198"/>
    </row>
    <row r="54" spans="1:21" s="12" customFormat="1" x14ac:dyDescent="0.25">
      <c r="A54" s="217" t="s">
        <v>1535</v>
      </c>
      <c r="B54" s="64">
        <v>8.33</v>
      </c>
      <c r="C54" s="64">
        <v>3.21</v>
      </c>
      <c r="D54" s="64">
        <v>12.13</v>
      </c>
      <c r="E54" s="64">
        <v>4.6399999999999997</v>
      </c>
      <c r="F54" s="64">
        <v>3.74</v>
      </c>
      <c r="G54" s="64">
        <v>41.7</v>
      </c>
      <c r="H54" s="64">
        <v>3.47</v>
      </c>
      <c r="I54" s="64">
        <v>2.69</v>
      </c>
      <c r="J54" s="64">
        <v>0.23</v>
      </c>
      <c r="K54" s="64">
        <v>313.94</v>
      </c>
      <c r="L54" s="64">
        <v>27.97</v>
      </c>
      <c r="M54" s="64">
        <v>84.21</v>
      </c>
      <c r="N54" s="64">
        <v>322.10000000000002</v>
      </c>
      <c r="O54" s="64">
        <v>0</v>
      </c>
      <c r="P54" s="64">
        <v>0.61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17" t="s">
        <v>1536</v>
      </c>
      <c r="B55" s="64">
        <v>8.3699999999999992</v>
      </c>
      <c r="C55" s="64">
        <v>3.28</v>
      </c>
      <c r="D55" s="64">
        <v>12.2</v>
      </c>
      <c r="E55" s="64">
        <v>4.16</v>
      </c>
      <c r="F55" s="64">
        <v>3.68</v>
      </c>
      <c r="G55" s="64">
        <v>41.94</v>
      </c>
      <c r="H55" s="64">
        <v>6.56</v>
      </c>
      <c r="I55" s="64">
        <v>2.74</v>
      </c>
      <c r="J55" s="64">
        <v>0.45</v>
      </c>
      <c r="K55" s="64">
        <v>358.43</v>
      </c>
      <c r="L55" s="64">
        <v>28.59</v>
      </c>
      <c r="M55" s="64">
        <v>82.37</v>
      </c>
      <c r="N55" s="64">
        <v>752.8</v>
      </c>
      <c r="O55" s="64">
        <v>0</v>
      </c>
      <c r="P55" s="64">
        <v>0.61</v>
      </c>
      <c r="Q55" s="64">
        <v>9.4</v>
      </c>
      <c r="R55" s="198"/>
      <c r="S55" s="198"/>
      <c r="T55" s="198"/>
      <c r="U55" s="198"/>
    </row>
    <row r="56" spans="1:21" s="12" customFormat="1" x14ac:dyDescent="0.25">
      <c r="A56" s="217" t="s">
        <v>1537</v>
      </c>
      <c r="B56" s="64">
        <v>8.41</v>
      </c>
      <c r="C56" s="64">
        <v>3.39</v>
      </c>
      <c r="D56" s="64">
        <v>12.29</v>
      </c>
      <c r="E56" s="64">
        <v>4.78</v>
      </c>
      <c r="F56" s="64">
        <v>3.71</v>
      </c>
      <c r="G56" s="64">
        <v>42.29</v>
      </c>
      <c r="H56" s="64">
        <v>10.98</v>
      </c>
      <c r="I56" s="64">
        <v>2.85</v>
      </c>
      <c r="J56" s="64">
        <v>0.14000000000000001</v>
      </c>
      <c r="K56" s="64">
        <v>356.29</v>
      </c>
      <c r="L56" s="64">
        <v>29.65</v>
      </c>
      <c r="M56" s="64">
        <v>77</v>
      </c>
      <c r="N56" s="64">
        <v>1031.9000000000001</v>
      </c>
      <c r="O56" s="64">
        <v>0</v>
      </c>
      <c r="P56" s="64">
        <v>0.6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7" t="s">
        <v>1538</v>
      </c>
      <c r="B57" s="64">
        <v>8.3800000000000008</v>
      </c>
      <c r="C57" s="64">
        <v>3.32</v>
      </c>
      <c r="D57" s="64">
        <v>12.23</v>
      </c>
      <c r="E57" s="64">
        <v>5.1100000000000003</v>
      </c>
      <c r="F57" s="64">
        <v>3.74</v>
      </c>
      <c r="G57" s="64">
        <v>42.29</v>
      </c>
      <c r="H57" s="64">
        <v>10.98</v>
      </c>
      <c r="I57" s="64">
        <v>2.96</v>
      </c>
      <c r="J57" s="64">
        <v>0.82</v>
      </c>
      <c r="K57" s="64">
        <v>153.94999999999999</v>
      </c>
      <c r="L57" s="64">
        <v>29.42</v>
      </c>
      <c r="M57" s="64">
        <v>77.83</v>
      </c>
      <c r="N57" s="64">
        <v>801.6</v>
      </c>
      <c r="O57" s="64">
        <v>0</v>
      </c>
      <c r="P57" s="64">
        <v>0.61</v>
      </c>
      <c r="Q57" s="64">
        <v>9.39</v>
      </c>
      <c r="R57" s="198"/>
      <c r="S57" s="198"/>
      <c r="T57" s="198"/>
      <c r="U57" s="198"/>
    </row>
    <row r="58" spans="1:21" s="12" customFormat="1" x14ac:dyDescent="0.25">
      <c r="A58" s="217" t="s">
        <v>1539</v>
      </c>
      <c r="B58" s="64">
        <v>8.36</v>
      </c>
      <c r="C58" s="64">
        <v>3.24</v>
      </c>
      <c r="D58" s="64">
        <v>12.17</v>
      </c>
      <c r="E58" s="64">
        <v>4.88</v>
      </c>
      <c r="F58" s="64">
        <v>4.3600000000000003</v>
      </c>
      <c r="G58" s="64">
        <v>42.29</v>
      </c>
      <c r="H58" s="64">
        <v>10.98</v>
      </c>
      <c r="I58" s="64">
        <v>3.06</v>
      </c>
      <c r="J58" s="64">
        <v>0.22</v>
      </c>
      <c r="K58" s="64">
        <v>342.42</v>
      </c>
      <c r="L58" s="64">
        <v>29.7</v>
      </c>
      <c r="M58" s="64">
        <v>77.040000000000006</v>
      </c>
      <c r="N58" s="64">
        <v>1030.9000000000001</v>
      </c>
      <c r="O58" s="64">
        <v>0</v>
      </c>
      <c r="P58" s="64">
        <v>0.61</v>
      </c>
      <c r="Q58" s="64">
        <v>9.4</v>
      </c>
      <c r="R58" s="198"/>
      <c r="S58" s="198"/>
      <c r="T58" s="198"/>
      <c r="U58" s="198"/>
    </row>
    <row r="59" spans="1:21" s="12" customFormat="1" x14ac:dyDescent="0.25">
      <c r="A59" s="217" t="s">
        <v>1540</v>
      </c>
      <c r="B59" s="64">
        <v>8.32</v>
      </c>
      <c r="C59" s="64">
        <v>3.25</v>
      </c>
      <c r="D59" s="64">
        <v>12.14</v>
      </c>
      <c r="E59" s="64">
        <v>4.9400000000000004</v>
      </c>
      <c r="F59" s="64">
        <v>3.92</v>
      </c>
      <c r="G59" s="64">
        <v>43.71</v>
      </c>
      <c r="H59" s="64">
        <v>11.78</v>
      </c>
      <c r="I59" s="64">
        <v>3.5</v>
      </c>
      <c r="J59" s="64">
        <v>0.56000000000000005</v>
      </c>
      <c r="K59" s="64">
        <v>154.63999999999999</v>
      </c>
      <c r="L59" s="64">
        <v>29.89</v>
      </c>
      <c r="M59" s="64">
        <v>74.52</v>
      </c>
      <c r="N59" s="64">
        <v>767.3</v>
      </c>
      <c r="O59" s="64">
        <v>0</v>
      </c>
      <c r="P59" s="64">
        <v>0.6</v>
      </c>
      <c r="Q59" s="64">
        <v>9.39</v>
      </c>
      <c r="R59" s="198"/>
      <c r="S59" s="198"/>
      <c r="T59" s="198"/>
      <c r="U59" s="198"/>
    </row>
    <row r="60" spans="1:21" s="12" customFormat="1" x14ac:dyDescent="0.25">
      <c r="A60" s="217" t="s">
        <v>1541</v>
      </c>
      <c r="B60" s="64">
        <v>8.2899999999999991</v>
      </c>
      <c r="C60" s="64">
        <v>3.23</v>
      </c>
      <c r="D60" s="64">
        <v>12.11</v>
      </c>
      <c r="E60" s="64">
        <v>5.24</v>
      </c>
      <c r="F60" s="64">
        <v>4.13</v>
      </c>
      <c r="G60" s="64">
        <v>45.76</v>
      </c>
      <c r="H60" s="64">
        <v>12.93</v>
      </c>
      <c r="I60" s="64">
        <v>3.78</v>
      </c>
      <c r="J60" s="64">
        <v>0.28999999999999998</v>
      </c>
      <c r="K60" s="64">
        <v>36.28</v>
      </c>
      <c r="L60" s="64">
        <v>29.18</v>
      </c>
      <c r="M60" s="64">
        <v>78.209999999999994</v>
      </c>
      <c r="N60" s="64">
        <v>483.4</v>
      </c>
      <c r="O60" s="64">
        <v>0</v>
      </c>
      <c r="P60" s="64">
        <v>0.59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7" t="s">
        <v>1542</v>
      </c>
      <c r="B61" s="64">
        <v>8.32</v>
      </c>
      <c r="C61" s="64">
        <v>3.22</v>
      </c>
      <c r="D61" s="64">
        <v>12.13</v>
      </c>
      <c r="E61" s="64">
        <v>4.7300000000000004</v>
      </c>
      <c r="F61" s="64">
        <v>4.5999999999999996</v>
      </c>
      <c r="G61" s="64">
        <v>45.76</v>
      </c>
      <c r="H61" s="64">
        <v>12.93</v>
      </c>
      <c r="I61" s="64">
        <v>3.86</v>
      </c>
      <c r="J61" s="64">
        <v>0.43</v>
      </c>
      <c r="K61" s="64">
        <v>337.99</v>
      </c>
      <c r="L61" s="64">
        <v>29.43</v>
      </c>
      <c r="M61" s="64">
        <v>77.430000000000007</v>
      </c>
      <c r="N61" s="64">
        <v>474.9</v>
      </c>
      <c r="O61" s="64">
        <v>0</v>
      </c>
      <c r="P61" s="64">
        <v>0.54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7" t="s">
        <v>1543</v>
      </c>
      <c r="B62" s="64">
        <v>8.3000000000000007</v>
      </c>
      <c r="C62" s="64">
        <v>3.22</v>
      </c>
      <c r="D62" s="64">
        <v>12.11</v>
      </c>
      <c r="E62" s="64">
        <v>4.75</v>
      </c>
      <c r="F62" s="64">
        <v>4.37</v>
      </c>
      <c r="G62" s="64">
        <v>45.76</v>
      </c>
      <c r="H62" s="64">
        <v>12.93</v>
      </c>
      <c r="I62" s="64">
        <v>3.85</v>
      </c>
      <c r="J62" s="64">
        <v>0.35</v>
      </c>
      <c r="K62" s="64">
        <v>326.17</v>
      </c>
      <c r="L62" s="64">
        <v>28.78</v>
      </c>
      <c r="M62" s="64">
        <v>78.400000000000006</v>
      </c>
      <c r="N62" s="64">
        <v>204.2</v>
      </c>
      <c r="O62" s="64">
        <v>0</v>
      </c>
      <c r="P62" s="64">
        <v>0.56000000000000005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7" t="s">
        <v>1544</v>
      </c>
      <c r="B63" s="64">
        <v>8.2899999999999991</v>
      </c>
      <c r="C63" s="64">
        <v>3.18</v>
      </c>
      <c r="D63" s="64">
        <v>12.08</v>
      </c>
      <c r="E63" s="64">
        <v>4.74</v>
      </c>
      <c r="F63" s="64">
        <v>4.5199999999999996</v>
      </c>
      <c r="G63" s="64">
        <v>44.59</v>
      </c>
      <c r="H63" s="64">
        <v>13.69</v>
      </c>
      <c r="I63" s="64">
        <v>3.74</v>
      </c>
      <c r="J63" s="64">
        <v>0.34</v>
      </c>
      <c r="K63" s="64">
        <v>302.79000000000002</v>
      </c>
      <c r="L63" s="64">
        <v>28.01</v>
      </c>
      <c r="M63" s="64">
        <v>82.07</v>
      </c>
      <c r="N63" s="64">
        <v>155.80000000000001</v>
      </c>
      <c r="O63" s="64">
        <v>0</v>
      </c>
      <c r="P63" s="64">
        <v>0.55000000000000004</v>
      </c>
      <c r="Q63" s="64">
        <v>9.34</v>
      </c>
      <c r="R63" s="198"/>
      <c r="S63" s="198"/>
      <c r="T63" s="198"/>
      <c r="U63" s="198"/>
    </row>
    <row r="64" spans="1:21" s="12" customFormat="1" x14ac:dyDescent="0.25">
      <c r="A64" s="217" t="s">
        <v>1545</v>
      </c>
      <c r="B64" s="64">
        <v>8.2899999999999991</v>
      </c>
      <c r="C64" s="64">
        <v>3.18</v>
      </c>
      <c r="D64" s="64">
        <v>12.09</v>
      </c>
      <c r="E64" s="64">
        <v>4.84</v>
      </c>
      <c r="F64" s="64">
        <v>4.84</v>
      </c>
      <c r="G64" s="64">
        <v>42.92</v>
      </c>
      <c r="H64" s="64">
        <v>14.83</v>
      </c>
      <c r="I64" s="64">
        <v>3.62</v>
      </c>
      <c r="J64" s="64">
        <v>0.45</v>
      </c>
      <c r="K64" s="64">
        <v>346.17</v>
      </c>
      <c r="L64" s="64">
        <v>27.88</v>
      </c>
      <c r="M64" s="64">
        <v>84.44</v>
      </c>
      <c r="N64" s="64">
        <v>303</v>
      </c>
      <c r="O64" s="64">
        <v>0</v>
      </c>
      <c r="P64" s="64">
        <v>0.55000000000000004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7" t="s">
        <v>1546</v>
      </c>
      <c r="B65" s="64">
        <v>8.2899999999999991</v>
      </c>
      <c r="C65" s="64">
        <v>3.17</v>
      </c>
      <c r="D65" s="64">
        <v>12.08</v>
      </c>
      <c r="E65" s="64">
        <v>4.87</v>
      </c>
      <c r="F65" s="64">
        <v>4.04</v>
      </c>
      <c r="G65" s="64">
        <v>42.92</v>
      </c>
      <c r="H65" s="64">
        <v>14.83</v>
      </c>
      <c r="I65" s="64">
        <v>3.58</v>
      </c>
      <c r="J65" s="64">
        <v>0.21</v>
      </c>
      <c r="K65" s="64">
        <v>336.29</v>
      </c>
      <c r="L65" s="64">
        <v>27.68</v>
      </c>
      <c r="M65" s="64">
        <v>87.63</v>
      </c>
      <c r="N65" s="64">
        <v>257.8</v>
      </c>
      <c r="O65" s="64">
        <v>0.4</v>
      </c>
      <c r="P65" s="64">
        <v>0.54</v>
      </c>
      <c r="Q65" s="64">
        <v>9.36</v>
      </c>
      <c r="R65" s="198"/>
      <c r="S65" s="198"/>
      <c r="T65" s="198"/>
      <c r="U65" s="198"/>
    </row>
    <row r="66" spans="1:21" s="12" customFormat="1" x14ac:dyDescent="0.25">
      <c r="A66" s="217" t="s">
        <v>1547</v>
      </c>
      <c r="B66" s="64">
        <v>8.2899999999999991</v>
      </c>
      <c r="C66" s="64">
        <v>3.19</v>
      </c>
      <c r="D66" s="64">
        <v>12.09</v>
      </c>
      <c r="E66" s="64">
        <v>4.66</v>
      </c>
      <c r="F66" s="64">
        <v>4.17</v>
      </c>
      <c r="G66" s="64">
        <v>42.92</v>
      </c>
      <c r="H66" s="64">
        <v>14.83</v>
      </c>
      <c r="I66" s="64">
        <v>3.55</v>
      </c>
      <c r="J66" s="64">
        <v>0.28999999999999998</v>
      </c>
      <c r="K66" s="64">
        <v>319.83999999999997</v>
      </c>
      <c r="L66" s="64">
        <v>26.72</v>
      </c>
      <c r="M66" s="64">
        <v>92.15</v>
      </c>
      <c r="N66" s="64">
        <v>200.3</v>
      </c>
      <c r="O66" s="64">
        <v>0.2</v>
      </c>
      <c r="P66" s="64">
        <v>0.53</v>
      </c>
      <c r="Q66" s="64">
        <v>9.3000000000000007</v>
      </c>
      <c r="R66" s="198"/>
      <c r="S66" s="198"/>
      <c r="T66" s="198"/>
      <c r="U66" s="198"/>
    </row>
    <row r="67" spans="1:21" s="12" customFormat="1" x14ac:dyDescent="0.25">
      <c r="A67" s="217" t="s">
        <v>1548</v>
      </c>
      <c r="B67" s="64">
        <v>8.33</v>
      </c>
      <c r="C67" s="64">
        <v>3.23</v>
      </c>
      <c r="D67" s="64">
        <v>12.14</v>
      </c>
      <c r="E67" s="64">
        <v>4.9400000000000004</v>
      </c>
      <c r="F67" s="64">
        <v>4.5999999999999996</v>
      </c>
      <c r="G67" s="64">
        <v>40.840000000000003</v>
      </c>
      <c r="H67" s="64">
        <v>15.28</v>
      </c>
      <c r="I67" s="64">
        <v>3.48</v>
      </c>
      <c r="J67" s="64">
        <v>0.44</v>
      </c>
      <c r="K67" s="64">
        <v>309.47000000000003</v>
      </c>
      <c r="L67" s="64">
        <v>26.61</v>
      </c>
      <c r="M67" s="64">
        <v>95.46</v>
      </c>
      <c r="N67" s="64">
        <v>186.1</v>
      </c>
      <c r="O67" s="64">
        <v>0.2</v>
      </c>
      <c r="P67" s="64">
        <v>0.52</v>
      </c>
      <c r="Q67" s="64">
        <v>9.33</v>
      </c>
      <c r="R67" s="198"/>
      <c r="S67" s="198"/>
      <c r="T67" s="198"/>
      <c r="U67" s="198"/>
    </row>
    <row r="68" spans="1:21" s="12" customFormat="1" x14ac:dyDescent="0.25">
      <c r="A68" s="217" t="s">
        <v>1549</v>
      </c>
      <c r="B68" s="64">
        <v>8.33</v>
      </c>
      <c r="C68" s="64">
        <v>3.31</v>
      </c>
      <c r="D68" s="64">
        <v>12.18</v>
      </c>
      <c r="E68" s="64">
        <v>4.84</v>
      </c>
      <c r="F68" s="64">
        <v>4.4400000000000004</v>
      </c>
      <c r="G68" s="64">
        <v>37.72</v>
      </c>
      <c r="H68" s="64">
        <v>15.93</v>
      </c>
      <c r="I68" s="64">
        <v>3.47</v>
      </c>
      <c r="J68" s="64">
        <v>0.55000000000000004</v>
      </c>
      <c r="K68" s="64">
        <v>289.48</v>
      </c>
      <c r="L68" s="64">
        <v>26.77</v>
      </c>
      <c r="M68" s="64">
        <v>98.21</v>
      </c>
      <c r="N68" s="64">
        <v>115.2</v>
      </c>
      <c r="O68" s="64">
        <v>0</v>
      </c>
      <c r="P68" s="64">
        <v>0.53</v>
      </c>
      <c r="Q68" s="64">
        <v>9.33</v>
      </c>
      <c r="R68" s="198"/>
      <c r="S68" s="198"/>
      <c r="T68" s="198"/>
      <c r="U68" s="198"/>
    </row>
    <row r="69" spans="1:21" s="12" customFormat="1" x14ac:dyDescent="0.25">
      <c r="A69" s="217" t="s">
        <v>1550</v>
      </c>
      <c r="B69" s="64">
        <v>8.33</v>
      </c>
      <c r="C69" s="64">
        <v>3.36</v>
      </c>
      <c r="D69" s="64">
        <v>12.21</v>
      </c>
      <c r="E69" s="64">
        <v>5.0999999999999996</v>
      </c>
      <c r="F69" s="64">
        <v>2.98</v>
      </c>
      <c r="G69" s="64">
        <v>37.72</v>
      </c>
      <c r="H69" s="64">
        <v>15.93</v>
      </c>
      <c r="I69" s="64">
        <v>3.55</v>
      </c>
      <c r="J69" s="64">
        <v>0.23</v>
      </c>
      <c r="K69" s="64">
        <v>109.11</v>
      </c>
      <c r="L69" s="64">
        <v>26.11</v>
      </c>
      <c r="M69" s="64">
        <v>95.53</v>
      </c>
      <c r="N69" s="64">
        <v>115.9</v>
      </c>
      <c r="O69" s="64">
        <v>0</v>
      </c>
      <c r="P69" s="64">
        <v>0.53</v>
      </c>
      <c r="Q69" s="64">
        <v>9.26</v>
      </c>
      <c r="R69" s="198"/>
      <c r="S69" s="198"/>
      <c r="T69" s="198"/>
      <c r="U69" s="198"/>
    </row>
    <row r="70" spans="1:21" s="12" customFormat="1" x14ac:dyDescent="0.25">
      <c r="A70" s="217" t="s">
        <v>1551</v>
      </c>
      <c r="B70" s="64">
        <v>8.35</v>
      </c>
      <c r="C70" s="64">
        <v>3.31</v>
      </c>
      <c r="D70" s="64">
        <v>12.2</v>
      </c>
      <c r="E70" s="64">
        <v>5.1100000000000003</v>
      </c>
      <c r="F70" s="64">
        <v>4.12</v>
      </c>
      <c r="G70" s="64">
        <v>37.72</v>
      </c>
      <c r="H70" s="64">
        <v>15.93</v>
      </c>
      <c r="I70" s="64">
        <v>3.73</v>
      </c>
      <c r="J70" s="64">
        <v>0.44</v>
      </c>
      <c r="K70" s="64">
        <v>295.8</v>
      </c>
      <c r="L70" s="64">
        <v>25.67</v>
      </c>
      <c r="M70" s="64">
        <v>97.27</v>
      </c>
      <c r="N70" s="64">
        <v>106.6</v>
      </c>
      <c r="O70" s="64">
        <v>0</v>
      </c>
      <c r="P70" s="64">
        <v>0.52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7" t="s">
        <v>1552</v>
      </c>
      <c r="B71" s="64">
        <v>8.36</v>
      </c>
      <c r="C71" s="64">
        <v>3.36</v>
      </c>
      <c r="D71" s="64">
        <v>12.24</v>
      </c>
      <c r="E71" s="64">
        <v>4.62</v>
      </c>
      <c r="F71" s="64">
        <v>3.89</v>
      </c>
      <c r="G71" s="64">
        <v>35.840000000000003</v>
      </c>
      <c r="H71" s="64">
        <v>15.75</v>
      </c>
      <c r="I71" s="64">
        <v>3.87</v>
      </c>
      <c r="J71" s="64">
        <v>0.48</v>
      </c>
      <c r="K71" s="64">
        <v>20.62</v>
      </c>
      <c r="L71" s="64">
        <v>25</v>
      </c>
      <c r="M71" s="64">
        <v>98.27</v>
      </c>
      <c r="N71" s="64">
        <v>85.8</v>
      </c>
      <c r="O71" s="64">
        <v>0.4</v>
      </c>
      <c r="P71" s="64">
        <v>0.51</v>
      </c>
      <c r="Q71" s="64">
        <v>9.2799999999999994</v>
      </c>
      <c r="R71" s="198"/>
      <c r="S71" s="198"/>
      <c r="T71" s="198"/>
      <c r="U71" s="198"/>
    </row>
    <row r="72" spans="1:21" s="12" customFormat="1" x14ac:dyDescent="0.25">
      <c r="A72" s="217" t="s">
        <v>1553</v>
      </c>
      <c r="B72" s="64">
        <v>8.34</v>
      </c>
      <c r="C72" s="64">
        <v>3.23</v>
      </c>
      <c r="D72" s="64">
        <v>12.15</v>
      </c>
      <c r="E72" s="64">
        <v>2.95</v>
      </c>
      <c r="F72" s="64">
        <v>3.83</v>
      </c>
      <c r="G72" s="64">
        <v>33.15</v>
      </c>
      <c r="H72" s="64">
        <v>15.49</v>
      </c>
      <c r="I72" s="64">
        <v>4</v>
      </c>
      <c r="J72" s="64">
        <v>0.57999999999999996</v>
      </c>
      <c r="K72" s="64">
        <v>7.03</v>
      </c>
      <c r="L72" s="64">
        <v>24.41</v>
      </c>
      <c r="M72" s="64">
        <v>98.86</v>
      </c>
      <c r="N72" s="64">
        <v>98.1</v>
      </c>
      <c r="O72" s="64">
        <v>0.6</v>
      </c>
      <c r="P72" s="64">
        <v>0.5</v>
      </c>
      <c r="Q72" s="64">
        <v>9.31</v>
      </c>
      <c r="R72" s="198"/>
      <c r="S72" s="198"/>
      <c r="T72" s="198"/>
      <c r="U72" s="198"/>
    </row>
    <row r="73" spans="1:21" s="12" customFormat="1" x14ac:dyDescent="0.25">
      <c r="A73" s="217" t="s">
        <v>1554</v>
      </c>
      <c r="B73" s="64">
        <v>8.33</v>
      </c>
      <c r="C73" s="64">
        <v>3.18</v>
      </c>
      <c r="D73" s="64">
        <v>12.11</v>
      </c>
      <c r="E73" s="64">
        <v>3.08</v>
      </c>
      <c r="F73" s="64">
        <v>5.0599999999999996</v>
      </c>
      <c r="G73" s="64">
        <v>33.15</v>
      </c>
      <c r="H73" s="64">
        <v>15.49</v>
      </c>
      <c r="I73" s="64">
        <v>4.1100000000000003</v>
      </c>
      <c r="J73" s="64">
        <v>0.56000000000000005</v>
      </c>
      <c r="K73" s="64">
        <v>7.13</v>
      </c>
      <c r="L73" s="64">
        <v>24.16</v>
      </c>
      <c r="M73" s="64">
        <v>98.88</v>
      </c>
      <c r="N73" s="64">
        <v>149.19999999999999</v>
      </c>
      <c r="O73" s="64">
        <v>0</v>
      </c>
      <c r="P73" s="64">
        <v>0.49</v>
      </c>
      <c r="Q73" s="64">
        <v>9.33</v>
      </c>
      <c r="R73" s="198"/>
      <c r="S73" s="198"/>
      <c r="T73" s="198"/>
      <c r="U73" s="198"/>
    </row>
    <row r="74" spans="1:21" s="12" customFormat="1" x14ac:dyDescent="0.25">
      <c r="A74" s="217" t="s">
        <v>1555</v>
      </c>
      <c r="B74" s="64">
        <v>8.33</v>
      </c>
      <c r="C74" s="64">
        <v>3.15</v>
      </c>
      <c r="D74" s="64">
        <v>12.1</v>
      </c>
      <c r="E74" s="64">
        <v>3.04</v>
      </c>
      <c r="F74" s="64">
        <v>5.54</v>
      </c>
      <c r="G74" s="64">
        <v>33.15</v>
      </c>
      <c r="H74" s="64">
        <v>15.49</v>
      </c>
      <c r="I74" s="64">
        <v>3.98</v>
      </c>
      <c r="J74" s="64">
        <v>0.56999999999999995</v>
      </c>
      <c r="K74" s="64">
        <v>330.64</v>
      </c>
      <c r="L74" s="64">
        <v>24.31</v>
      </c>
      <c r="M74" s="64">
        <v>98.88</v>
      </c>
      <c r="N74" s="64">
        <v>121.4</v>
      </c>
      <c r="O74" s="64">
        <v>0</v>
      </c>
      <c r="P74" s="64">
        <v>0.48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7" t="s">
        <v>1556</v>
      </c>
      <c r="B75" s="64">
        <v>8.35</v>
      </c>
      <c r="C75" s="64">
        <v>3.19</v>
      </c>
      <c r="D75" s="64">
        <v>12.14</v>
      </c>
      <c r="E75" s="64">
        <v>2.81</v>
      </c>
      <c r="F75" s="64">
        <v>4.33</v>
      </c>
      <c r="G75" s="64">
        <v>30.97</v>
      </c>
      <c r="H75" s="64">
        <v>14.42</v>
      </c>
      <c r="I75" s="64">
        <v>3.61</v>
      </c>
      <c r="J75" s="64">
        <v>0.39</v>
      </c>
      <c r="K75" s="64">
        <v>340.94</v>
      </c>
      <c r="L75" s="64">
        <v>24.4</v>
      </c>
      <c r="M75" s="64">
        <v>98.88</v>
      </c>
      <c r="N75" s="64">
        <v>126.9</v>
      </c>
      <c r="O75" s="64">
        <v>0</v>
      </c>
      <c r="P75" s="64">
        <v>0.48</v>
      </c>
      <c r="Q75" s="64">
        <v>9.32</v>
      </c>
      <c r="R75" s="198"/>
      <c r="S75" s="198"/>
      <c r="T75" s="198"/>
      <c r="U75" s="198"/>
    </row>
    <row r="76" spans="1:21" s="12" customFormat="1" x14ac:dyDescent="0.25">
      <c r="A76" s="217" t="s">
        <v>1557</v>
      </c>
      <c r="B76" s="64">
        <v>8.34</v>
      </c>
      <c r="C76" s="64">
        <v>3.23</v>
      </c>
      <c r="D76" s="64">
        <v>12.15</v>
      </c>
      <c r="E76" s="64">
        <v>2.96</v>
      </c>
      <c r="F76" s="64">
        <v>4.43</v>
      </c>
      <c r="G76" s="64">
        <v>27.84</v>
      </c>
      <c r="H76" s="64">
        <v>12.88</v>
      </c>
      <c r="I76" s="64">
        <v>3.33</v>
      </c>
      <c r="J76" s="64">
        <v>0.51</v>
      </c>
      <c r="K76" s="64">
        <v>303.68</v>
      </c>
      <c r="L76" s="64">
        <v>24.84</v>
      </c>
      <c r="M76" s="64">
        <v>98.88</v>
      </c>
      <c r="N76" s="64">
        <v>125.7</v>
      </c>
      <c r="O76" s="64">
        <v>0</v>
      </c>
      <c r="P76" s="64">
        <v>0.49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7" t="s">
        <v>1558</v>
      </c>
      <c r="B77" s="64">
        <v>8.31</v>
      </c>
      <c r="C77" s="64">
        <v>3.21</v>
      </c>
      <c r="D77" s="64">
        <v>12.11</v>
      </c>
      <c r="E77" s="64">
        <v>2.73</v>
      </c>
      <c r="F77" s="64">
        <v>4.43</v>
      </c>
      <c r="G77" s="64">
        <v>27.84</v>
      </c>
      <c r="H77" s="64">
        <v>12.88</v>
      </c>
      <c r="I77" s="64">
        <v>3.26</v>
      </c>
      <c r="J77" s="64">
        <v>0.86</v>
      </c>
      <c r="K77" s="64">
        <v>322.52</v>
      </c>
      <c r="L77" s="64">
        <v>25.2</v>
      </c>
      <c r="M77" s="64">
        <v>98.88</v>
      </c>
      <c r="N77" s="64">
        <v>159.80000000000001</v>
      </c>
      <c r="O77" s="64">
        <v>0</v>
      </c>
      <c r="P77" s="64">
        <v>0.51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7" t="s">
        <v>1559</v>
      </c>
      <c r="B78" s="64">
        <v>8.2799999999999994</v>
      </c>
      <c r="C78" s="64">
        <v>3.21</v>
      </c>
      <c r="D78" s="64">
        <v>12.09</v>
      </c>
      <c r="E78" s="64">
        <v>2.76</v>
      </c>
      <c r="F78" s="64">
        <v>3.35</v>
      </c>
      <c r="G78" s="64">
        <v>27.84</v>
      </c>
      <c r="H78" s="64">
        <v>12.88</v>
      </c>
      <c r="I78" s="64">
        <v>3.33</v>
      </c>
      <c r="J78" s="64">
        <v>0.87</v>
      </c>
      <c r="K78" s="64">
        <v>317.35000000000002</v>
      </c>
      <c r="L78" s="64">
        <v>25.49</v>
      </c>
      <c r="M78" s="64">
        <v>98.42</v>
      </c>
      <c r="N78" s="64">
        <v>148.6</v>
      </c>
      <c r="O78" s="64">
        <v>0</v>
      </c>
      <c r="P78" s="64">
        <v>0.52</v>
      </c>
      <c r="Q78" s="64">
        <v>9.26</v>
      </c>
      <c r="R78" s="198"/>
      <c r="S78" s="198"/>
      <c r="T78" s="198"/>
      <c r="U78" s="198"/>
    </row>
    <row r="79" spans="1:21" s="12" customFormat="1" x14ac:dyDescent="0.25">
      <c r="A79" s="217" t="s">
        <v>1560</v>
      </c>
      <c r="B79" s="64">
        <v>8.3000000000000007</v>
      </c>
      <c r="C79" s="64">
        <v>3.21</v>
      </c>
      <c r="D79" s="64">
        <v>12.1</v>
      </c>
      <c r="E79" s="64">
        <v>2.5299999999999998</v>
      </c>
      <c r="F79" s="64">
        <v>4.13</v>
      </c>
      <c r="G79" s="64">
        <v>26.39</v>
      </c>
      <c r="H79" s="64">
        <v>12.81</v>
      </c>
      <c r="I79" s="64">
        <v>3.38</v>
      </c>
      <c r="J79" s="64">
        <v>0.3</v>
      </c>
      <c r="K79" s="64">
        <v>297.64999999999998</v>
      </c>
      <c r="L79" s="64">
        <v>25.43</v>
      </c>
      <c r="M79" s="64">
        <v>97.71</v>
      </c>
      <c r="N79" s="64">
        <v>125.5</v>
      </c>
      <c r="O79" s="64">
        <v>0</v>
      </c>
      <c r="P79" s="64">
        <v>0.53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7" t="s">
        <v>1561</v>
      </c>
      <c r="B80" s="64">
        <v>8.3000000000000007</v>
      </c>
      <c r="C80" s="64">
        <v>3.16</v>
      </c>
      <c r="D80" s="64">
        <v>12.08</v>
      </c>
      <c r="E80" s="64">
        <v>2.52</v>
      </c>
      <c r="F80" s="64">
        <v>3.64</v>
      </c>
      <c r="G80" s="64">
        <v>24.21</v>
      </c>
      <c r="H80" s="64">
        <v>12.71</v>
      </c>
      <c r="I80" s="64">
        <v>3.36</v>
      </c>
      <c r="J80" s="64">
        <v>0.57999999999999996</v>
      </c>
      <c r="K80" s="64">
        <v>300.37</v>
      </c>
      <c r="L80" s="64">
        <v>25.32</v>
      </c>
      <c r="M80" s="64">
        <v>98.85</v>
      </c>
      <c r="N80" s="64">
        <v>106.5</v>
      </c>
      <c r="O80" s="64">
        <v>0</v>
      </c>
      <c r="P80" s="64">
        <v>0.56000000000000005</v>
      </c>
      <c r="Q80" s="64">
        <v>9.41</v>
      </c>
      <c r="R80" s="198"/>
      <c r="S80" s="198"/>
      <c r="T80" s="198"/>
      <c r="U80" s="198"/>
    </row>
    <row r="81" spans="1:26" s="12" customFormat="1" x14ac:dyDescent="0.25">
      <c r="A81" s="217" t="s">
        <v>1562</v>
      </c>
      <c r="B81" s="64">
        <v>8.36</v>
      </c>
      <c r="C81" s="64">
        <v>3.3</v>
      </c>
      <c r="D81" s="64">
        <v>12.2</v>
      </c>
      <c r="E81" s="64">
        <v>2.72</v>
      </c>
      <c r="F81" s="64">
        <v>3.22</v>
      </c>
      <c r="G81" s="64">
        <v>24.21</v>
      </c>
      <c r="H81" s="64">
        <v>12.71</v>
      </c>
      <c r="I81" s="64">
        <v>3.39</v>
      </c>
      <c r="J81" s="64">
        <v>0.72</v>
      </c>
      <c r="K81" s="64">
        <v>316.85000000000002</v>
      </c>
      <c r="L81" s="64">
        <v>25.18</v>
      </c>
      <c r="M81" s="64">
        <v>98.31</v>
      </c>
      <c r="N81" s="64">
        <v>78.900000000000006</v>
      </c>
      <c r="O81" s="64">
        <v>0</v>
      </c>
      <c r="P81" s="64">
        <v>0.56999999999999995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7" t="s">
        <v>1563</v>
      </c>
      <c r="B82" s="64">
        <v>8.3800000000000008</v>
      </c>
      <c r="C82" s="64">
        <v>3.36</v>
      </c>
      <c r="D82" s="64">
        <v>12.25</v>
      </c>
      <c r="E82" s="64">
        <v>2.83</v>
      </c>
      <c r="F82" s="64">
        <v>3.57</v>
      </c>
      <c r="G82" s="64">
        <v>24.21</v>
      </c>
      <c r="H82" s="64">
        <v>12.71</v>
      </c>
      <c r="I82" s="64">
        <v>3.55</v>
      </c>
      <c r="J82" s="64">
        <v>0.92</v>
      </c>
      <c r="K82" s="64">
        <v>329.95</v>
      </c>
      <c r="L82" s="64">
        <v>24.95</v>
      </c>
      <c r="M82" s="64">
        <v>98.65</v>
      </c>
      <c r="N82" s="64">
        <v>60.3</v>
      </c>
      <c r="O82" s="64">
        <v>0</v>
      </c>
      <c r="P82" s="64">
        <v>0.57999999999999996</v>
      </c>
      <c r="Q82" s="64">
        <v>9.39</v>
      </c>
      <c r="R82" s="198"/>
      <c r="S82" s="198"/>
      <c r="T82" s="198"/>
      <c r="U82" s="198"/>
    </row>
    <row r="83" spans="1:26" s="12" customFormat="1" x14ac:dyDescent="0.25">
      <c r="A83" s="217" t="s">
        <v>1564</v>
      </c>
      <c r="B83" s="64">
        <v>8.34</v>
      </c>
      <c r="C83" s="64">
        <v>3.23</v>
      </c>
      <c r="D83" s="64">
        <v>12.15</v>
      </c>
      <c r="E83" s="64">
        <v>2.64</v>
      </c>
      <c r="F83" s="64">
        <v>3.99</v>
      </c>
      <c r="G83" s="64">
        <v>29.18</v>
      </c>
      <c r="H83" s="64">
        <v>12.3</v>
      </c>
      <c r="I83" s="64">
        <v>3.67</v>
      </c>
      <c r="J83" s="64">
        <v>0.56000000000000005</v>
      </c>
      <c r="K83" s="64">
        <v>262.95</v>
      </c>
      <c r="L83" s="64">
        <v>24.49</v>
      </c>
      <c r="M83" s="64">
        <v>98.85</v>
      </c>
      <c r="N83" s="64">
        <v>52.2</v>
      </c>
      <c r="O83" s="64">
        <v>0</v>
      </c>
      <c r="P83" s="64">
        <v>0.61</v>
      </c>
      <c r="Q83" s="64">
        <v>9.48</v>
      </c>
      <c r="R83" s="198"/>
      <c r="S83" s="198"/>
      <c r="T83" s="198"/>
      <c r="U83" s="198"/>
    </row>
    <row r="84" spans="1:26" s="12" customFormat="1" x14ac:dyDescent="0.25">
      <c r="A84" s="217" t="s">
        <v>1565</v>
      </c>
      <c r="B84" s="64">
        <v>8.32</v>
      </c>
      <c r="C84" s="64">
        <v>3.19</v>
      </c>
      <c r="D84" s="64">
        <v>12.11</v>
      </c>
      <c r="E84" s="64">
        <v>2.81</v>
      </c>
      <c r="F84" s="64">
        <v>2.71</v>
      </c>
      <c r="G84" s="64">
        <v>36.630000000000003</v>
      </c>
      <c r="H84" s="64">
        <v>11.68</v>
      </c>
      <c r="I84" s="64">
        <v>3.74</v>
      </c>
      <c r="J84" s="64">
        <v>0.22</v>
      </c>
      <c r="K84" s="64">
        <v>286.26</v>
      </c>
      <c r="L84" s="64">
        <v>24.44</v>
      </c>
      <c r="M84" s="64">
        <v>98.85</v>
      </c>
      <c r="N84" s="64">
        <v>52.3</v>
      </c>
      <c r="O84" s="64">
        <v>0</v>
      </c>
      <c r="P84" s="64">
        <v>0.6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7" t="s">
        <v>1566</v>
      </c>
      <c r="B85" s="64">
        <v>8.33</v>
      </c>
      <c r="C85" s="64">
        <v>3.26</v>
      </c>
      <c r="D85" s="64">
        <v>12.16</v>
      </c>
      <c r="E85" s="64">
        <v>2.91</v>
      </c>
      <c r="F85" s="64">
        <v>3.31</v>
      </c>
      <c r="G85" s="64">
        <v>36.630000000000003</v>
      </c>
      <c r="H85" s="64">
        <v>11.68</v>
      </c>
      <c r="I85" s="64">
        <v>3.88</v>
      </c>
      <c r="J85" s="64">
        <v>0.77</v>
      </c>
      <c r="K85" s="64">
        <v>339.27</v>
      </c>
      <c r="L85" s="64">
        <v>24.51</v>
      </c>
      <c r="M85" s="64">
        <v>98.87</v>
      </c>
      <c r="N85" s="64">
        <v>52.6</v>
      </c>
      <c r="O85" s="64">
        <v>0</v>
      </c>
      <c r="P85" s="64">
        <v>0.63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7" t="s">
        <v>1567</v>
      </c>
      <c r="B86" s="64">
        <v>8.35</v>
      </c>
      <c r="C86" s="64">
        <v>3.33</v>
      </c>
      <c r="D86" s="64">
        <v>12.22</v>
      </c>
      <c r="E86" s="64">
        <v>2.85</v>
      </c>
      <c r="F86" s="64">
        <v>4.2300000000000004</v>
      </c>
      <c r="G86" s="64">
        <v>36.630000000000003</v>
      </c>
      <c r="H86" s="64">
        <v>11.68</v>
      </c>
      <c r="I86" s="64">
        <v>4.1100000000000003</v>
      </c>
      <c r="J86" s="64">
        <v>0.01</v>
      </c>
      <c r="K86" s="64">
        <v>1.86</v>
      </c>
      <c r="L86" s="64">
        <v>24.34</v>
      </c>
      <c r="M86" s="64">
        <v>98.87</v>
      </c>
      <c r="N86" s="64">
        <v>52.1</v>
      </c>
      <c r="O86" s="64">
        <v>0</v>
      </c>
      <c r="P86" s="64">
        <v>0.67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7" t="s">
        <v>1568</v>
      </c>
      <c r="B87" s="64">
        <v>8.3000000000000007</v>
      </c>
      <c r="C87" s="64">
        <v>3.22</v>
      </c>
      <c r="D87" s="64">
        <v>12.11</v>
      </c>
      <c r="E87" s="64">
        <v>2.88</v>
      </c>
      <c r="F87" s="64">
        <v>3.27</v>
      </c>
      <c r="G87" s="64">
        <v>36.270000000000003</v>
      </c>
      <c r="H87" s="64">
        <v>10.68</v>
      </c>
      <c r="I87" s="64">
        <v>4.34</v>
      </c>
      <c r="J87" s="64">
        <v>0.62</v>
      </c>
      <c r="K87" s="64">
        <v>336.11</v>
      </c>
      <c r="L87" s="64">
        <v>24.28</v>
      </c>
      <c r="M87" s="64">
        <v>98.88</v>
      </c>
      <c r="N87" s="64">
        <v>51.9</v>
      </c>
      <c r="O87" s="64">
        <v>0.2</v>
      </c>
      <c r="P87" s="64">
        <v>0.69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7" t="s">
        <v>1569</v>
      </c>
      <c r="B88" s="64">
        <v>8.43</v>
      </c>
      <c r="C88" s="64">
        <v>3.41</v>
      </c>
      <c r="D88" s="64">
        <v>12.32</v>
      </c>
      <c r="E88" s="64">
        <v>2.75</v>
      </c>
      <c r="F88" s="64">
        <v>3.23</v>
      </c>
      <c r="G88" s="64">
        <v>35.76</v>
      </c>
      <c r="H88" s="64">
        <v>9.24</v>
      </c>
      <c r="I88" s="64">
        <v>4.5599999999999996</v>
      </c>
      <c r="J88" s="64">
        <v>0.66</v>
      </c>
      <c r="K88" s="64">
        <v>135.56</v>
      </c>
      <c r="L88" s="64">
        <v>24.11</v>
      </c>
      <c r="M88" s="64">
        <v>98.88</v>
      </c>
      <c r="N88" s="64">
        <v>52.5</v>
      </c>
      <c r="O88" s="64">
        <v>0.4</v>
      </c>
      <c r="P88" s="64">
        <v>0.71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7" t="s">
        <v>1570</v>
      </c>
      <c r="B89" s="64">
        <v>8.3800000000000008</v>
      </c>
      <c r="C89" s="64">
        <v>3.32</v>
      </c>
      <c r="D89" s="64">
        <v>12.23</v>
      </c>
      <c r="E89" s="64">
        <v>3.67</v>
      </c>
      <c r="F89" s="64">
        <v>3.4</v>
      </c>
      <c r="G89" s="64">
        <v>35.76</v>
      </c>
      <c r="H89" s="64">
        <v>9.24</v>
      </c>
      <c r="I89" s="64">
        <v>4.87</v>
      </c>
      <c r="J89" s="64">
        <v>0.39</v>
      </c>
      <c r="K89" s="64">
        <v>254.16</v>
      </c>
      <c r="L89" s="64">
        <v>24.04</v>
      </c>
      <c r="M89" s="64">
        <v>98.88</v>
      </c>
      <c r="N89" s="64">
        <v>52.1</v>
      </c>
      <c r="O89" s="64">
        <v>0</v>
      </c>
      <c r="P89" s="64">
        <v>0.72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7" t="s">
        <v>1571</v>
      </c>
      <c r="B90" s="64">
        <v>8.4</v>
      </c>
      <c r="C90" s="64">
        <v>3.33</v>
      </c>
      <c r="D90" s="64">
        <v>12.25</v>
      </c>
      <c r="E90" s="64">
        <v>3.74</v>
      </c>
      <c r="F90" s="64">
        <v>3.27</v>
      </c>
      <c r="G90" s="64">
        <v>35.76</v>
      </c>
      <c r="H90" s="64">
        <v>9.24</v>
      </c>
      <c r="I90" s="64">
        <v>5.19</v>
      </c>
      <c r="J90" s="64">
        <v>0.27</v>
      </c>
      <c r="K90" s="64">
        <v>138.24</v>
      </c>
      <c r="L90" s="64">
        <v>23.95</v>
      </c>
      <c r="M90" s="64">
        <v>98.9</v>
      </c>
      <c r="N90" s="64">
        <v>52.1</v>
      </c>
      <c r="O90" s="64">
        <v>0</v>
      </c>
      <c r="P90" s="64">
        <v>0.74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7" t="s">
        <v>1572</v>
      </c>
      <c r="B91" s="64">
        <v>8.42</v>
      </c>
      <c r="C91" s="64">
        <v>3.36</v>
      </c>
      <c r="D91" s="64">
        <v>12.28</v>
      </c>
      <c r="E91" s="64">
        <v>3.68</v>
      </c>
      <c r="F91" s="64">
        <v>3.24</v>
      </c>
      <c r="G91" s="64">
        <v>37.729999999999997</v>
      </c>
      <c r="H91" s="64">
        <v>10.01</v>
      </c>
      <c r="I91" s="64">
        <v>5.45</v>
      </c>
      <c r="J91" s="64">
        <v>0.78</v>
      </c>
      <c r="K91" s="64">
        <v>176.72</v>
      </c>
      <c r="L91" s="64">
        <v>23.97</v>
      </c>
      <c r="M91" s="64">
        <v>98.9</v>
      </c>
      <c r="N91" s="64">
        <v>52.8</v>
      </c>
      <c r="O91" s="64">
        <v>0</v>
      </c>
      <c r="P91" s="64">
        <v>0.75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7" t="s">
        <v>1573</v>
      </c>
      <c r="B92" s="64">
        <v>8.4</v>
      </c>
      <c r="C92" s="64">
        <v>3.32</v>
      </c>
      <c r="D92" s="64">
        <v>12.25</v>
      </c>
      <c r="E92" s="64">
        <v>3.91</v>
      </c>
      <c r="F92" s="64">
        <v>3.27</v>
      </c>
      <c r="G92" s="64">
        <v>40.700000000000003</v>
      </c>
      <c r="H92" s="64">
        <v>11.12</v>
      </c>
      <c r="I92" s="64">
        <v>5.69</v>
      </c>
      <c r="J92" s="64">
        <v>0.33</v>
      </c>
      <c r="K92" s="64">
        <v>278.58999999999997</v>
      </c>
      <c r="L92" s="64">
        <v>24</v>
      </c>
      <c r="M92" s="64">
        <v>98.9</v>
      </c>
      <c r="N92" s="64">
        <v>52.8</v>
      </c>
      <c r="O92" s="64">
        <v>0</v>
      </c>
      <c r="P92" s="64">
        <v>0.77</v>
      </c>
      <c r="Q92" s="64">
        <v>9.76</v>
      </c>
      <c r="R92" s="198"/>
      <c r="S92" s="198"/>
      <c r="T92" s="198"/>
      <c r="U92" s="198"/>
    </row>
    <row r="93" spans="1:26" s="12" customFormat="1" x14ac:dyDescent="0.25">
      <c r="A93" s="217" t="s">
        <v>1574</v>
      </c>
      <c r="B93" s="64">
        <v>8.4</v>
      </c>
      <c r="C93" s="64">
        <v>3.28</v>
      </c>
      <c r="D93" s="64">
        <v>12.22</v>
      </c>
      <c r="E93" s="64">
        <v>4.29</v>
      </c>
      <c r="F93" s="64">
        <v>3.1</v>
      </c>
      <c r="G93" s="64">
        <v>40.700000000000003</v>
      </c>
      <c r="H93" s="64">
        <v>11.12</v>
      </c>
      <c r="I93" s="64">
        <v>5.94</v>
      </c>
      <c r="J93" s="64">
        <v>7.0000000000000007E-2</v>
      </c>
      <c r="K93" s="64">
        <v>226.66</v>
      </c>
      <c r="L93" s="64">
        <v>23.94</v>
      </c>
      <c r="M93" s="64">
        <v>98.9</v>
      </c>
      <c r="N93" s="64">
        <v>52.5</v>
      </c>
      <c r="O93" s="64">
        <v>0</v>
      </c>
      <c r="P93" s="64">
        <v>0.78</v>
      </c>
      <c r="Q93" s="64">
        <v>9.7799999999999994</v>
      </c>
      <c r="R93" s="198"/>
      <c r="S93" s="198"/>
      <c r="T93" s="198"/>
      <c r="U93" s="198"/>
    </row>
    <row r="94" spans="1:26" s="12" customFormat="1" x14ac:dyDescent="0.25">
      <c r="A94" s="217" t="s">
        <v>1575</v>
      </c>
      <c r="B94" s="64">
        <v>8.42</v>
      </c>
      <c r="C94" s="64">
        <v>3.27</v>
      </c>
      <c r="D94" s="64">
        <v>12.24</v>
      </c>
      <c r="E94" s="64">
        <v>4.05</v>
      </c>
      <c r="F94" s="64">
        <v>3.37</v>
      </c>
      <c r="G94" s="64">
        <v>40.700000000000003</v>
      </c>
      <c r="H94" s="64">
        <v>11.12</v>
      </c>
      <c r="I94" s="64">
        <v>6.14</v>
      </c>
      <c r="J94" s="64">
        <v>0.54</v>
      </c>
      <c r="K94" s="64">
        <v>137.87</v>
      </c>
      <c r="L94" s="64">
        <v>23.9</v>
      </c>
      <c r="M94" s="64">
        <v>98.9</v>
      </c>
      <c r="N94" s="64">
        <v>52.3</v>
      </c>
      <c r="O94" s="64">
        <v>0</v>
      </c>
      <c r="P94" s="64">
        <v>0.78</v>
      </c>
      <c r="Q94" s="64">
        <v>9.82</v>
      </c>
      <c r="R94" s="198"/>
      <c r="S94" s="198"/>
      <c r="T94" s="198"/>
      <c r="U94" s="198"/>
    </row>
    <row r="95" spans="1:26" s="12" customFormat="1" x14ac:dyDescent="0.25">
      <c r="A95" s="217" t="s">
        <v>1576</v>
      </c>
      <c r="B95" s="64">
        <v>8.43</v>
      </c>
      <c r="C95" s="64">
        <v>3.35</v>
      </c>
      <c r="D95" s="64">
        <v>12.29</v>
      </c>
      <c r="E95" s="64">
        <v>4.2</v>
      </c>
      <c r="F95" s="64">
        <v>4.0999999999999996</v>
      </c>
      <c r="G95" s="64">
        <v>37.19</v>
      </c>
      <c r="H95" s="64">
        <v>12.72</v>
      </c>
      <c r="I95" s="64">
        <v>6.23</v>
      </c>
      <c r="J95" s="64">
        <v>0.14000000000000001</v>
      </c>
      <c r="K95" s="64">
        <v>192.79</v>
      </c>
      <c r="L95" s="64">
        <v>23.88</v>
      </c>
      <c r="M95" s="64">
        <v>98.91</v>
      </c>
      <c r="N95" s="64">
        <v>52.4</v>
      </c>
      <c r="O95" s="64">
        <v>0</v>
      </c>
      <c r="P95" s="64">
        <v>0.78</v>
      </c>
      <c r="Q95" s="64">
        <v>9.86</v>
      </c>
      <c r="R95" s="198"/>
      <c r="S95" s="198"/>
      <c r="T95" s="198"/>
      <c r="U95" s="198"/>
    </row>
    <row r="96" spans="1:26" s="12" customFormat="1" x14ac:dyDescent="0.25">
      <c r="A96" s="217" t="s">
        <v>1577</v>
      </c>
      <c r="B96" s="64">
        <v>8.4600000000000009</v>
      </c>
      <c r="C96" s="64">
        <v>3.43</v>
      </c>
      <c r="D96" s="64">
        <v>12.35</v>
      </c>
      <c r="E96" s="64">
        <v>4.05</v>
      </c>
      <c r="F96" s="64">
        <v>3.22</v>
      </c>
      <c r="G96" s="64">
        <v>32.159999999999997</v>
      </c>
      <c r="H96" s="64">
        <v>15.02</v>
      </c>
      <c r="I96" s="64">
        <v>6.32</v>
      </c>
      <c r="J96" s="64">
        <v>0.39</v>
      </c>
      <c r="K96" s="64">
        <v>6.41</v>
      </c>
      <c r="L96" s="64">
        <v>23.9</v>
      </c>
      <c r="M96" s="64">
        <v>98.92</v>
      </c>
      <c r="N96" s="64">
        <v>52.4</v>
      </c>
      <c r="O96" s="64">
        <v>0</v>
      </c>
      <c r="P96" s="64">
        <v>0.78</v>
      </c>
      <c r="Q96" s="64">
        <v>9.77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1578</v>
      </c>
      <c r="B97" s="64">
        <v>8.44</v>
      </c>
      <c r="C97" s="64">
        <v>3.43</v>
      </c>
      <c r="D97" s="64">
        <v>12.34</v>
      </c>
      <c r="E97" s="64">
        <v>4.0199999999999996</v>
      </c>
      <c r="F97" s="64">
        <v>3.05</v>
      </c>
      <c r="G97" s="64">
        <v>32.159999999999997</v>
      </c>
      <c r="H97" s="64">
        <v>15.02</v>
      </c>
      <c r="I97" s="64">
        <v>6.37</v>
      </c>
      <c r="J97" s="64">
        <v>0.26</v>
      </c>
      <c r="K97" s="64">
        <v>66.78</v>
      </c>
      <c r="L97" s="64">
        <v>23.96</v>
      </c>
      <c r="M97" s="64">
        <v>98.93</v>
      </c>
      <c r="N97" s="64">
        <v>52.6</v>
      </c>
      <c r="O97" s="64">
        <v>0</v>
      </c>
      <c r="P97" s="64">
        <v>0.78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7" t="s">
        <v>1579</v>
      </c>
      <c r="B98" s="64">
        <v>8.3699999999999992</v>
      </c>
      <c r="C98" s="64">
        <v>3.27</v>
      </c>
      <c r="D98" s="64">
        <v>12.2</v>
      </c>
      <c r="E98" s="64">
        <v>3.89</v>
      </c>
      <c r="F98" s="64">
        <v>4.22</v>
      </c>
      <c r="G98" s="64">
        <v>32.159999999999997</v>
      </c>
      <c r="H98" s="64">
        <v>15.02</v>
      </c>
      <c r="I98" s="64">
        <v>6.35</v>
      </c>
      <c r="J98" s="64">
        <v>0.47</v>
      </c>
      <c r="K98" s="64">
        <v>5.9</v>
      </c>
      <c r="L98" s="64">
        <v>23.93</v>
      </c>
      <c r="M98" s="64">
        <v>98.93</v>
      </c>
      <c r="N98" s="64">
        <v>53</v>
      </c>
      <c r="O98" s="64">
        <v>0</v>
      </c>
      <c r="P98" s="64">
        <v>0.8</v>
      </c>
      <c r="Q98" s="64">
        <v>9.8000000000000007</v>
      </c>
      <c r="R98" s="198"/>
      <c r="S98" s="198"/>
      <c r="T98" s="198"/>
      <c r="U98" s="198"/>
    </row>
    <row r="99" spans="1:33" s="12" customFormat="1" x14ac:dyDescent="0.25">
      <c r="A99" s="217" t="s">
        <v>1580</v>
      </c>
      <c r="B99" s="64">
        <v>8.34</v>
      </c>
      <c r="C99" s="64">
        <v>3.25</v>
      </c>
      <c r="D99" s="64">
        <v>12.16</v>
      </c>
      <c r="E99" s="64">
        <v>4.1100000000000003</v>
      </c>
      <c r="F99" s="64">
        <v>2.91</v>
      </c>
      <c r="G99" s="64">
        <v>31.05</v>
      </c>
      <c r="H99" s="64">
        <v>14.44</v>
      </c>
      <c r="I99" s="64">
        <v>6.34</v>
      </c>
      <c r="J99" s="64">
        <v>0.36</v>
      </c>
      <c r="K99" s="64">
        <v>291.54000000000002</v>
      </c>
      <c r="L99" s="64">
        <v>23.87</v>
      </c>
      <c r="M99" s="64">
        <v>98.93</v>
      </c>
      <c r="N99" s="64">
        <v>53.4</v>
      </c>
      <c r="O99" s="64">
        <v>0</v>
      </c>
      <c r="P99" s="64">
        <v>0.8</v>
      </c>
      <c r="Q99" s="64">
        <v>9.77</v>
      </c>
      <c r="R99" s="198"/>
      <c r="S99" s="198"/>
      <c r="T99" s="198"/>
      <c r="U99" s="198"/>
    </row>
    <row r="100" spans="1:33" s="12" customFormat="1" x14ac:dyDescent="0.25">
      <c r="A100" s="217" t="s">
        <v>1581</v>
      </c>
      <c r="B100" s="64">
        <v>8.39</v>
      </c>
      <c r="C100" s="64">
        <v>3.33</v>
      </c>
      <c r="D100" s="64">
        <v>12.25</v>
      </c>
      <c r="E100" s="64">
        <v>3.9</v>
      </c>
      <c r="F100" s="64">
        <v>3.12</v>
      </c>
      <c r="G100" s="64">
        <v>29.38</v>
      </c>
      <c r="H100" s="64">
        <v>13.61</v>
      </c>
      <c r="I100" s="64">
        <v>6.26</v>
      </c>
      <c r="J100" s="64">
        <v>0.31</v>
      </c>
      <c r="K100" s="64">
        <v>317.27</v>
      </c>
      <c r="L100" s="64">
        <v>23.76</v>
      </c>
      <c r="M100" s="64">
        <v>98.92</v>
      </c>
      <c r="N100" s="64">
        <v>53.6</v>
      </c>
      <c r="O100" s="64">
        <v>0</v>
      </c>
      <c r="P100" s="64">
        <v>0.8</v>
      </c>
      <c r="Q100" s="64">
        <v>9.7899999999999991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1582</v>
      </c>
      <c r="B101" s="64">
        <v>8.35</v>
      </c>
      <c r="C101" s="64">
        <v>3.26</v>
      </c>
      <c r="D101" s="64">
        <v>12.18</v>
      </c>
      <c r="E101" s="64">
        <v>3.93</v>
      </c>
      <c r="F101" s="64">
        <v>3.4</v>
      </c>
      <c r="G101" s="64">
        <v>29.38</v>
      </c>
      <c r="H101" s="64">
        <v>13.61</v>
      </c>
      <c r="I101" s="64">
        <v>6.18</v>
      </c>
      <c r="J101" s="64">
        <v>0.48</v>
      </c>
      <c r="K101" s="64">
        <v>351.54</v>
      </c>
      <c r="L101" s="64">
        <v>23.78</v>
      </c>
      <c r="M101" s="64">
        <v>98.93</v>
      </c>
      <c r="N101" s="64">
        <v>53.3</v>
      </c>
      <c r="O101" s="64">
        <v>0</v>
      </c>
      <c r="P101" s="64">
        <v>0.8</v>
      </c>
      <c r="Q101" s="64">
        <v>9.84</v>
      </c>
      <c r="R101" s="198"/>
      <c r="S101" s="198"/>
      <c r="T101" s="198"/>
      <c r="U101" s="198"/>
    </row>
    <row r="102" spans="1:33" s="12" customFormat="1" x14ac:dyDescent="0.25">
      <c r="A102" s="217" t="s">
        <v>1583</v>
      </c>
      <c r="B102" s="64">
        <v>8.36</v>
      </c>
      <c r="C102" s="64">
        <v>3.3</v>
      </c>
      <c r="D102" s="64">
        <v>12.2</v>
      </c>
      <c r="E102" s="64">
        <v>3.69</v>
      </c>
      <c r="F102" s="64">
        <v>3.4</v>
      </c>
      <c r="G102" s="64">
        <v>29.38</v>
      </c>
      <c r="H102" s="64">
        <v>13.61</v>
      </c>
      <c r="I102" s="64">
        <v>6.15</v>
      </c>
      <c r="J102" s="64">
        <v>0.15</v>
      </c>
      <c r="K102" s="64">
        <v>277.14999999999998</v>
      </c>
      <c r="L102" s="64">
        <v>23.78</v>
      </c>
      <c r="M102" s="64">
        <v>98.93</v>
      </c>
      <c r="N102" s="64">
        <v>53.2</v>
      </c>
      <c r="O102" s="64">
        <v>0</v>
      </c>
      <c r="P102" s="64">
        <v>0.79</v>
      </c>
      <c r="Q102" s="64">
        <v>9.81</v>
      </c>
      <c r="R102" s="198"/>
      <c r="S102" s="198"/>
      <c r="T102" s="198"/>
      <c r="U102" s="198"/>
    </row>
    <row r="103" spans="1:33" s="12" customFormat="1" x14ac:dyDescent="0.25">
      <c r="A103" s="217" t="s">
        <v>1584</v>
      </c>
      <c r="B103" s="64">
        <v>8.42</v>
      </c>
      <c r="C103" s="64">
        <v>3.39</v>
      </c>
      <c r="D103" s="64">
        <v>12.3</v>
      </c>
      <c r="E103" s="64">
        <v>4.0999999999999996</v>
      </c>
      <c r="F103" s="64">
        <v>3.15</v>
      </c>
      <c r="G103" s="64">
        <v>30.56</v>
      </c>
      <c r="H103" s="64">
        <v>13.51</v>
      </c>
      <c r="I103" s="64">
        <v>6.15</v>
      </c>
      <c r="J103" s="64">
        <v>0.24</v>
      </c>
      <c r="K103" s="64">
        <v>323.89999999999998</v>
      </c>
      <c r="L103" s="64">
        <v>23.78</v>
      </c>
      <c r="M103" s="64">
        <v>98.93</v>
      </c>
      <c r="N103" s="64">
        <v>53.4</v>
      </c>
      <c r="O103" s="64">
        <v>0</v>
      </c>
      <c r="P103" s="64">
        <v>0.78</v>
      </c>
      <c r="Q103" s="64">
        <v>9.77</v>
      </c>
      <c r="R103" s="198"/>
      <c r="S103" s="198"/>
      <c r="T103" s="198"/>
      <c r="U103" s="198"/>
    </row>
    <row r="104" spans="1:33" s="12" customFormat="1" x14ac:dyDescent="0.25">
      <c r="A104" s="217" t="s">
        <v>1585</v>
      </c>
      <c r="B104" s="64">
        <v>8.4</v>
      </c>
      <c r="C104" s="64">
        <v>3.32</v>
      </c>
      <c r="D104" s="64">
        <v>12.24</v>
      </c>
      <c r="E104" s="64">
        <v>4.53</v>
      </c>
      <c r="F104" s="64">
        <v>3.24</v>
      </c>
      <c r="G104" s="64">
        <v>32.32</v>
      </c>
      <c r="H104" s="64">
        <v>13.37</v>
      </c>
      <c r="I104" s="64">
        <v>6.15</v>
      </c>
      <c r="J104" s="64">
        <v>0.43</v>
      </c>
      <c r="K104" s="64">
        <v>352.73</v>
      </c>
      <c r="L104" s="64">
        <v>23.83</v>
      </c>
      <c r="M104" s="64">
        <v>98.92</v>
      </c>
      <c r="N104" s="64">
        <v>53.3</v>
      </c>
      <c r="O104" s="64">
        <v>0</v>
      </c>
      <c r="P104" s="64">
        <v>0.76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8.2799999999999994</v>
      </c>
      <c r="C106" s="67">
        <f>MIN(C9:C104)</f>
        <v>3.13</v>
      </c>
      <c r="D106" s="67">
        <f t="shared" ref="D106:Q106" si="0">MIN(D9:D104)</f>
        <v>12.06</v>
      </c>
      <c r="E106" s="67">
        <f t="shared" si="0"/>
        <v>2.52</v>
      </c>
      <c r="F106" s="67">
        <f t="shared" si="0"/>
        <v>2.4700000000000002</v>
      </c>
      <c r="G106" s="67">
        <f t="shared" si="0"/>
        <v>11.42</v>
      </c>
      <c r="H106" s="67">
        <f t="shared" si="0"/>
        <v>2</v>
      </c>
      <c r="I106" s="67">
        <f t="shared" si="0"/>
        <v>1.67</v>
      </c>
      <c r="J106" s="67">
        <f t="shared" si="0"/>
        <v>0.01</v>
      </c>
      <c r="K106" s="67">
        <f t="shared" si="0"/>
        <v>0.19</v>
      </c>
      <c r="L106" s="67">
        <f t="shared" si="0"/>
        <v>22.54</v>
      </c>
      <c r="M106" s="67">
        <f t="shared" si="0"/>
        <v>74.52</v>
      </c>
      <c r="N106" s="67">
        <f t="shared" si="0"/>
        <v>51.9</v>
      </c>
      <c r="O106" s="67">
        <f t="shared" si="0"/>
        <v>0</v>
      </c>
      <c r="P106" s="67">
        <f t="shared" si="0"/>
        <v>0.28000000000000003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8.4600000000000009</v>
      </c>
      <c r="C107" s="66">
        <f t="shared" ref="C107:Q107" si="1">MAX(C9:C104)</f>
        <v>3.43</v>
      </c>
      <c r="D107" s="66">
        <f t="shared" si="1"/>
        <v>12.35</v>
      </c>
      <c r="E107" s="66">
        <f t="shared" si="1"/>
        <v>5.24</v>
      </c>
      <c r="F107" s="66">
        <f t="shared" si="1"/>
        <v>5.54</v>
      </c>
      <c r="G107" s="66">
        <f t="shared" si="1"/>
        <v>45.76</v>
      </c>
      <c r="H107" s="66">
        <f t="shared" si="1"/>
        <v>15.93</v>
      </c>
      <c r="I107" s="66">
        <f t="shared" si="1"/>
        <v>6.37</v>
      </c>
      <c r="J107" s="66">
        <f t="shared" si="1"/>
        <v>0.92</v>
      </c>
      <c r="K107" s="66">
        <f t="shared" si="1"/>
        <v>359.15</v>
      </c>
      <c r="L107" s="66">
        <f t="shared" si="1"/>
        <v>29.89</v>
      </c>
      <c r="M107" s="66">
        <f t="shared" si="1"/>
        <v>98.93</v>
      </c>
      <c r="N107" s="66">
        <f t="shared" si="1"/>
        <v>1031.9000000000001</v>
      </c>
      <c r="O107" s="66">
        <f t="shared" si="1"/>
        <v>0.6</v>
      </c>
      <c r="P107" s="66">
        <f t="shared" si="1"/>
        <v>0.8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8.3430208333333358</v>
      </c>
      <c r="C108" s="67">
        <f t="shared" ref="C108:Q108" si="2">AVERAGE(C9:C104)</f>
        <v>3.2520833333333332</v>
      </c>
      <c r="D108" s="67">
        <f t="shared" si="2"/>
        <v>12.163958333333335</v>
      </c>
      <c r="E108" s="67">
        <f t="shared" si="2"/>
        <v>4.0614583333333343</v>
      </c>
      <c r="F108" s="67">
        <f t="shared" si="2"/>
        <v>3.699166666666668</v>
      </c>
      <c r="G108" s="67">
        <f t="shared" si="2"/>
        <v>27.531666666666677</v>
      </c>
      <c r="H108" s="67">
        <f t="shared" si="2"/>
        <v>8.4871874999999992</v>
      </c>
      <c r="I108" s="67">
        <f t="shared" si="2"/>
        <v>3.5183333333333331</v>
      </c>
      <c r="J108" s="67">
        <f t="shared" si="2"/>
        <v>0.43854166666666661</v>
      </c>
      <c r="K108" s="67">
        <f t="shared" si="2"/>
        <v>234.60052083333346</v>
      </c>
      <c r="L108" s="67">
        <f t="shared" si="2"/>
        <v>25.023541666666677</v>
      </c>
      <c r="M108" s="67">
        <f t="shared" si="2"/>
        <v>94.353645833333317</v>
      </c>
      <c r="N108" s="67">
        <f t="shared" si="2"/>
        <v>212.25104166666657</v>
      </c>
      <c r="O108" s="67">
        <f t="shared" si="2"/>
        <v>2.5000000000000005E-2</v>
      </c>
      <c r="P108" s="67">
        <f t="shared" si="2"/>
        <v>0.51708333333333334</v>
      </c>
      <c r="Q108" s="67">
        <f t="shared" si="2"/>
        <v>9.4298958333333349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3.7560331584957134E-2</v>
      </c>
      <c r="C109" s="67">
        <f t="shared" ref="C109:Q109" si="3">STDEV(C9:C104)</f>
        <v>7.1139842514461968E-2</v>
      </c>
      <c r="D109" s="67">
        <f t="shared" si="3"/>
        <v>6.4113044352458848E-2</v>
      </c>
      <c r="E109" s="67">
        <f t="shared" si="3"/>
        <v>0.74196322673334203</v>
      </c>
      <c r="F109" s="67">
        <f t="shared" si="3"/>
        <v>0.60971894589429354</v>
      </c>
      <c r="G109" s="67">
        <f t="shared" si="3"/>
        <v>11.141520605532627</v>
      </c>
      <c r="H109" s="67">
        <f t="shared" si="3"/>
        <v>4.9290910239483736</v>
      </c>
      <c r="I109" s="67">
        <f t="shared" si="3"/>
        <v>1.3016860860693986</v>
      </c>
      <c r="J109" s="67">
        <f t="shared" si="3"/>
        <v>0.17350248999679432</v>
      </c>
      <c r="K109" s="67">
        <f t="shared" si="3"/>
        <v>135.38892224270646</v>
      </c>
      <c r="L109" s="67">
        <f t="shared" si="3"/>
        <v>2.238586480309519</v>
      </c>
      <c r="M109" s="67">
        <f t="shared" si="3"/>
        <v>7.6847084141226683</v>
      </c>
      <c r="N109" s="67">
        <f t="shared" si="3"/>
        <v>248.69938183521765</v>
      </c>
      <c r="O109" s="67">
        <f t="shared" si="3"/>
        <v>9.7332852678457524E-2</v>
      </c>
      <c r="P109" s="67">
        <f t="shared" si="3"/>
        <v>0.16062979121122373</v>
      </c>
      <c r="Q109" s="67">
        <f t="shared" si="3"/>
        <v>0.16673644372681887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1586</v>
      </c>
      <c r="B9" s="64">
        <v>8.3800000000000008</v>
      </c>
      <c r="C9" s="64">
        <v>3.3</v>
      </c>
      <c r="D9" s="64">
        <v>12.22</v>
      </c>
      <c r="E9" s="64">
        <v>4.5</v>
      </c>
      <c r="F9" s="64">
        <v>3.35</v>
      </c>
      <c r="G9" s="64">
        <v>32.32</v>
      </c>
      <c r="H9" s="64">
        <v>13.37</v>
      </c>
      <c r="I9" s="64">
        <v>6.1</v>
      </c>
      <c r="J9" s="64">
        <v>1.1000000000000001</v>
      </c>
      <c r="K9" s="64">
        <v>326.57</v>
      </c>
      <c r="L9" s="64">
        <v>23.82</v>
      </c>
      <c r="M9" s="64">
        <v>98.91</v>
      </c>
      <c r="N9" s="64">
        <v>53.7</v>
      </c>
      <c r="O9" s="64">
        <v>0</v>
      </c>
      <c r="P9" s="64">
        <v>0.74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7" t="s">
        <v>1587</v>
      </c>
      <c r="B10" s="64">
        <v>8.3699999999999992</v>
      </c>
      <c r="C10" s="64">
        <v>3.23</v>
      </c>
      <c r="D10" s="64">
        <v>12.18</v>
      </c>
      <c r="E10" s="64">
        <v>4.18</v>
      </c>
      <c r="F10" s="64">
        <v>3.15</v>
      </c>
      <c r="G10" s="64">
        <v>32.32</v>
      </c>
      <c r="H10" s="64">
        <v>13.37</v>
      </c>
      <c r="I10" s="64">
        <v>6.03</v>
      </c>
      <c r="J10" s="64">
        <v>0.84</v>
      </c>
      <c r="K10" s="64">
        <v>319.08</v>
      </c>
      <c r="L10" s="64">
        <v>23.88</v>
      </c>
      <c r="M10" s="64">
        <v>98.91</v>
      </c>
      <c r="N10" s="64">
        <v>53.5</v>
      </c>
      <c r="O10" s="64">
        <v>0</v>
      </c>
      <c r="P10" s="64">
        <v>0.73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7" t="s">
        <v>1588</v>
      </c>
      <c r="B11" s="64">
        <v>8.3699999999999992</v>
      </c>
      <c r="C11" s="64">
        <v>3.28</v>
      </c>
      <c r="D11" s="64">
        <v>12.2</v>
      </c>
      <c r="E11" s="64">
        <v>4.1900000000000004</v>
      </c>
      <c r="F11" s="64">
        <v>3.57</v>
      </c>
      <c r="G11" s="64">
        <v>29.42</v>
      </c>
      <c r="H11" s="64">
        <v>13.46</v>
      </c>
      <c r="I11" s="64">
        <v>5.9</v>
      </c>
      <c r="J11" s="64">
        <v>0.33</v>
      </c>
      <c r="K11" s="64">
        <v>316.5</v>
      </c>
      <c r="L11" s="64">
        <v>23.86</v>
      </c>
      <c r="M11" s="64">
        <v>98.92</v>
      </c>
      <c r="N11" s="64">
        <v>53.4</v>
      </c>
      <c r="O11" s="64">
        <v>0</v>
      </c>
      <c r="P11" s="64">
        <v>0.71</v>
      </c>
      <c r="Q11" s="64">
        <v>9.68</v>
      </c>
      <c r="R11" s="198"/>
      <c r="S11" s="198"/>
      <c r="T11" s="198"/>
      <c r="U11" s="198"/>
    </row>
    <row r="12" spans="1:21" s="12" customFormat="1" x14ac:dyDescent="0.25">
      <c r="A12" s="217" t="s">
        <v>1589</v>
      </c>
      <c r="B12" s="64">
        <v>8.34</v>
      </c>
      <c r="C12" s="64">
        <v>3.24</v>
      </c>
      <c r="D12" s="64">
        <v>12.15</v>
      </c>
      <c r="E12" s="64">
        <v>4.22</v>
      </c>
      <c r="F12" s="64">
        <v>3.02</v>
      </c>
      <c r="G12" s="64">
        <v>25.27</v>
      </c>
      <c r="H12" s="64">
        <v>13.6</v>
      </c>
      <c r="I12" s="64">
        <v>5.83</v>
      </c>
      <c r="J12" s="64">
        <v>0.69</v>
      </c>
      <c r="K12" s="64">
        <v>311.74</v>
      </c>
      <c r="L12" s="64">
        <v>23.9</v>
      </c>
      <c r="M12" s="64">
        <v>98.91</v>
      </c>
      <c r="N12" s="64">
        <v>53.6</v>
      </c>
      <c r="O12" s="64">
        <v>0</v>
      </c>
      <c r="P12" s="64">
        <v>0.71</v>
      </c>
      <c r="Q12" s="64">
        <v>9.7200000000000006</v>
      </c>
      <c r="R12" s="198"/>
      <c r="S12" s="198"/>
      <c r="T12" s="198"/>
      <c r="U12" s="198"/>
    </row>
    <row r="13" spans="1:21" s="12" customFormat="1" x14ac:dyDescent="0.25">
      <c r="A13" s="217" t="s">
        <v>1590</v>
      </c>
      <c r="B13" s="64">
        <v>8.34</v>
      </c>
      <c r="C13" s="64">
        <v>3.19</v>
      </c>
      <c r="D13" s="64">
        <v>12.13</v>
      </c>
      <c r="E13" s="64">
        <v>4.2300000000000004</v>
      </c>
      <c r="F13" s="64">
        <v>3.13</v>
      </c>
      <c r="G13" s="64">
        <v>25.27</v>
      </c>
      <c r="H13" s="64">
        <v>13.6</v>
      </c>
      <c r="I13" s="64">
        <v>5.87</v>
      </c>
      <c r="J13" s="64">
        <v>0.74</v>
      </c>
      <c r="K13" s="64">
        <v>308.70999999999998</v>
      </c>
      <c r="L13" s="64">
        <v>23.85</v>
      </c>
      <c r="M13" s="64">
        <v>98.91</v>
      </c>
      <c r="N13" s="64">
        <v>53.7</v>
      </c>
      <c r="O13" s="64">
        <v>0</v>
      </c>
      <c r="P13" s="64">
        <v>0.62</v>
      </c>
      <c r="Q13" s="64">
        <v>9.7200000000000006</v>
      </c>
      <c r="R13" s="198"/>
      <c r="S13" s="198"/>
      <c r="T13" s="198"/>
      <c r="U13" s="198"/>
    </row>
    <row r="14" spans="1:21" s="12" customFormat="1" x14ac:dyDescent="0.25">
      <c r="A14" s="217" t="s">
        <v>1591</v>
      </c>
      <c r="B14" s="64">
        <v>8.35</v>
      </c>
      <c r="C14" s="64">
        <v>3.2</v>
      </c>
      <c r="D14" s="64">
        <v>12.14</v>
      </c>
      <c r="E14" s="64">
        <v>3.83</v>
      </c>
      <c r="F14" s="64">
        <v>3.19</v>
      </c>
      <c r="G14" s="64">
        <v>25.27</v>
      </c>
      <c r="H14" s="64">
        <v>13.6</v>
      </c>
      <c r="I14" s="64">
        <v>5.85</v>
      </c>
      <c r="J14" s="64">
        <v>0.52</v>
      </c>
      <c r="K14" s="64">
        <v>357.46</v>
      </c>
      <c r="L14" s="64">
        <v>23.81</v>
      </c>
      <c r="M14" s="64">
        <v>98.9</v>
      </c>
      <c r="N14" s="64">
        <v>53.8</v>
      </c>
      <c r="O14" s="64">
        <v>0</v>
      </c>
      <c r="P14" s="64">
        <v>0.64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7" t="s">
        <v>1592</v>
      </c>
      <c r="B15" s="64">
        <v>8.39</v>
      </c>
      <c r="C15" s="64">
        <v>3.26</v>
      </c>
      <c r="D15" s="64">
        <v>12.21</v>
      </c>
      <c r="E15" s="64">
        <v>4.12</v>
      </c>
      <c r="F15" s="64">
        <v>3.27</v>
      </c>
      <c r="G15" s="64">
        <v>25.91</v>
      </c>
      <c r="H15" s="64">
        <v>14.36</v>
      </c>
      <c r="I15" s="64">
        <v>5.68</v>
      </c>
      <c r="J15" s="64">
        <v>0.6</v>
      </c>
      <c r="K15" s="64">
        <v>298.49</v>
      </c>
      <c r="L15" s="64">
        <v>23.72</v>
      </c>
      <c r="M15" s="64">
        <v>98.9</v>
      </c>
      <c r="N15" s="64">
        <v>53.9</v>
      </c>
      <c r="O15" s="64">
        <v>0</v>
      </c>
      <c r="P15" s="64">
        <v>0.62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7" t="s">
        <v>1593</v>
      </c>
      <c r="B16" s="64">
        <v>8.41</v>
      </c>
      <c r="C16" s="64">
        <v>3.31</v>
      </c>
      <c r="D16" s="64">
        <v>12.25</v>
      </c>
      <c r="E16" s="64">
        <v>4.63</v>
      </c>
      <c r="F16" s="64">
        <v>3.42</v>
      </c>
      <c r="G16" s="64">
        <v>26.86</v>
      </c>
      <c r="H16" s="64">
        <v>15.5</v>
      </c>
      <c r="I16" s="64">
        <v>5.44</v>
      </c>
      <c r="J16" s="64">
        <v>0.5</v>
      </c>
      <c r="K16" s="64">
        <v>311.01</v>
      </c>
      <c r="L16" s="64">
        <v>23.57</v>
      </c>
      <c r="M16" s="64">
        <v>98.9</v>
      </c>
      <c r="N16" s="64">
        <v>53.8</v>
      </c>
      <c r="O16" s="64">
        <v>0</v>
      </c>
      <c r="P16" s="64">
        <v>0.62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7" t="s">
        <v>1594</v>
      </c>
      <c r="B17" s="64">
        <v>8.3800000000000008</v>
      </c>
      <c r="C17" s="64">
        <v>3.25</v>
      </c>
      <c r="D17" s="64">
        <v>12.19</v>
      </c>
      <c r="E17" s="64">
        <v>4.13</v>
      </c>
      <c r="F17" s="64">
        <v>4.55</v>
      </c>
      <c r="G17" s="64">
        <v>26.86</v>
      </c>
      <c r="H17" s="64">
        <v>15.5</v>
      </c>
      <c r="I17" s="64">
        <v>5.39</v>
      </c>
      <c r="J17" s="64">
        <v>0.52</v>
      </c>
      <c r="K17" s="64">
        <v>317.88</v>
      </c>
      <c r="L17" s="64">
        <v>23.51</v>
      </c>
      <c r="M17" s="64">
        <v>98.9</v>
      </c>
      <c r="N17" s="64">
        <v>53.8</v>
      </c>
      <c r="O17" s="64">
        <v>0</v>
      </c>
      <c r="P17" s="64">
        <v>0.61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7" t="s">
        <v>1595</v>
      </c>
      <c r="B18" s="64">
        <v>8.35</v>
      </c>
      <c r="C18" s="64">
        <v>3.21</v>
      </c>
      <c r="D18" s="64">
        <v>12.15</v>
      </c>
      <c r="E18" s="64">
        <v>4.5599999999999996</v>
      </c>
      <c r="F18" s="64">
        <v>2.92</v>
      </c>
      <c r="G18" s="64">
        <v>26.86</v>
      </c>
      <c r="H18" s="64">
        <v>15.5</v>
      </c>
      <c r="I18" s="64">
        <v>5.51</v>
      </c>
      <c r="J18" s="64">
        <v>0.52</v>
      </c>
      <c r="K18" s="64">
        <v>332.09</v>
      </c>
      <c r="L18" s="64">
        <v>23.52</v>
      </c>
      <c r="M18" s="64">
        <v>98.9</v>
      </c>
      <c r="N18" s="64">
        <v>53.7</v>
      </c>
      <c r="O18" s="64">
        <v>0</v>
      </c>
      <c r="P18" s="64">
        <v>0.6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7" t="s">
        <v>1596</v>
      </c>
      <c r="B19" s="64">
        <v>8.33</v>
      </c>
      <c r="C19" s="64">
        <v>3.2</v>
      </c>
      <c r="D19" s="64">
        <v>12.13</v>
      </c>
      <c r="E19" s="64">
        <v>4.58</v>
      </c>
      <c r="F19" s="64">
        <v>3.03</v>
      </c>
      <c r="G19" s="64">
        <v>28.31</v>
      </c>
      <c r="H19" s="64">
        <v>13.85</v>
      </c>
      <c r="I19" s="64">
        <v>5.61</v>
      </c>
      <c r="J19" s="64">
        <v>0.84</v>
      </c>
      <c r="K19" s="64">
        <v>305.3</v>
      </c>
      <c r="L19" s="64">
        <v>23.52</v>
      </c>
      <c r="M19" s="64">
        <v>98.9</v>
      </c>
      <c r="N19" s="64">
        <v>53.7</v>
      </c>
      <c r="O19" s="64">
        <v>0</v>
      </c>
      <c r="P19" s="64">
        <v>0.57999999999999996</v>
      </c>
      <c r="Q19" s="64">
        <v>9.5</v>
      </c>
      <c r="R19" s="198"/>
      <c r="S19" s="198"/>
      <c r="T19" s="198"/>
      <c r="U19" s="198"/>
    </row>
    <row r="20" spans="1:21" s="12" customFormat="1" x14ac:dyDescent="0.25">
      <c r="A20" s="217" t="s">
        <v>1597</v>
      </c>
      <c r="B20" s="64">
        <v>8.35</v>
      </c>
      <c r="C20" s="64">
        <v>3.3</v>
      </c>
      <c r="D20" s="64">
        <v>12.2</v>
      </c>
      <c r="E20" s="64">
        <v>4.1900000000000004</v>
      </c>
      <c r="F20" s="64">
        <v>4.4000000000000004</v>
      </c>
      <c r="G20" s="64">
        <v>30.49</v>
      </c>
      <c r="H20" s="64">
        <v>11.39</v>
      </c>
      <c r="I20" s="64">
        <v>5.54</v>
      </c>
      <c r="J20" s="64">
        <v>0.64</v>
      </c>
      <c r="K20" s="64">
        <v>305.45</v>
      </c>
      <c r="L20" s="64">
        <v>23.46</v>
      </c>
      <c r="M20" s="64">
        <v>98.9</v>
      </c>
      <c r="N20" s="64">
        <v>53.4</v>
      </c>
      <c r="O20" s="64">
        <v>0</v>
      </c>
      <c r="P20" s="64">
        <v>0.57999999999999996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7" t="s">
        <v>1598</v>
      </c>
      <c r="B21" s="64">
        <v>8.44</v>
      </c>
      <c r="C21" s="64">
        <v>3.51</v>
      </c>
      <c r="D21" s="64">
        <v>12.37</v>
      </c>
      <c r="E21" s="64">
        <v>4.4400000000000004</v>
      </c>
      <c r="F21" s="64">
        <v>4.5599999999999996</v>
      </c>
      <c r="G21" s="64">
        <v>30.49</v>
      </c>
      <c r="H21" s="64">
        <v>11.39</v>
      </c>
      <c r="I21" s="64">
        <v>5.4</v>
      </c>
      <c r="J21" s="64">
        <v>0.59</v>
      </c>
      <c r="K21" s="64">
        <v>317.08999999999997</v>
      </c>
      <c r="L21" s="64">
        <v>23.53</v>
      </c>
      <c r="M21" s="64">
        <v>98.9</v>
      </c>
      <c r="N21" s="64">
        <v>53.6</v>
      </c>
      <c r="O21" s="64">
        <v>0</v>
      </c>
      <c r="P21" s="64">
        <v>0.57999999999999996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17" t="s">
        <v>1599</v>
      </c>
      <c r="B22" s="64">
        <v>8.33</v>
      </c>
      <c r="C22" s="64">
        <v>3.32</v>
      </c>
      <c r="D22" s="64">
        <v>12.19</v>
      </c>
      <c r="E22" s="64">
        <v>4.74</v>
      </c>
      <c r="F22" s="64">
        <v>5.03</v>
      </c>
      <c r="G22" s="64">
        <v>30.49</v>
      </c>
      <c r="H22" s="64">
        <v>11.39</v>
      </c>
      <c r="I22" s="64">
        <v>5.29</v>
      </c>
      <c r="J22" s="64">
        <v>0.66</v>
      </c>
      <c r="K22" s="64">
        <v>310.08</v>
      </c>
      <c r="L22" s="64">
        <v>23.5</v>
      </c>
      <c r="M22" s="64">
        <v>98.9</v>
      </c>
      <c r="N22" s="64">
        <v>53.5</v>
      </c>
      <c r="O22" s="64">
        <v>0</v>
      </c>
      <c r="P22" s="64">
        <v>0.57999999999999996</v>
      </c>
      <c r="Q22" s="64">
        <v>9.18</v>
      </c>
      <c r="R22" s="198"/>
      <c r="S22" s="198"/>
      <c r="T22" s="198"/>
      <c r="U22" s="198"/>
    </row>
    <row r="23" spans="1:21" s="12" customFormat="1" x14ac:dyDescent="0.25">
      <c r="A23" s="217" t="s">
        <v>1600</v>
      </c>
      <c r="B23" s="64">
        <v>8.31</v>
      </c>
      <c r="C23" s="64">
        <v>3.28</v>
      </c>
      <c r="D23" s="64">
        <v>12.15</v>
      </c>
      <c r="E23" s="64">
        <v>4.7699999999999996</v>
      </c>
      <c r="F23" s="64">
        <v>6.24</v>
      </c>
      <c r="G23" s="64">
        <v>31.74</v>
      </c>
      <c r="H23" s="64">
        <v>11.3</v>
      </c>
      <c r="I23" s="64">
        <v>5.22</v>
      </c>
      <c r="J23" s="64">
        <v>0.42</v>
      </c>
      <c r="K23" s="64">
        <v>343.98</v>
      </c>
      <c r="L23" s="64">
        <v>23.45</v>
      </c>
      <c r="M23" s="64">
        <v>98.9</v>
      </c>
      <c r="N23" s="64">
        <v>53.6</v>
      </c>
      <c r="O23" s="64">
        <v>0</v>
      </c>
      <c r="P23" s="64">
        <v>0.56999999999999995</v>
      </c>
      <c r="Q23" s="64">
        <v>9.0399999999999991</v>
      </c>
      <c r="R23" s="198"/>
      <c r="S23" s="198"/>
      <c r="T23" s="198"/>
      <c r="U23" s="198"/>
    </row>
    <row r="24" spans="1:21" s="12" customFormat="1" x14ac:dyDescent="0.25">
      <c r="A24" s="217" t="s">
        <v>1601</v>
      </c>
      <c r="B24" s="64">
        <v>8.3000000000000007</v>
      </c>
      <c r="C24" s="64">
        <v>3.33</v>
      </c>
      <c r="D24" s="64">
        <v>12.17</v>
      </c>
      <c r="E24" s="64">
        <v>5.28</v>
      </c>
      <c r="F24" s="64">
        <v>4.3099999999999996</v>
      </c>
      <c r="G24" s="64">
        <v>33.619999999999997</v>
      </c>
      <c r="H24" s="64">
        <v>11.18</v>
      </c>
      <c r="I24" s="64">
        <v>5.23</v>
      </c>
      <c r="J24" s="64">
        <v>0.59</v>
      </c>
      <c r="K24" s="64">
        <v>143.15</v>
      </c>
      <c r="L24" s="64">
        <v>23.41</v>
      </c>
      <c r="M24" s="64">
        <v>98.91</v>
      </c>
      <c r="N24" s="64">
        <v>53.7</v>
      </c>
      <c r="O24" s="64">
        <v>0</v>
      </c>
      <c r="P24" s="64">
        <v>0.56999999999999995</v>
      </c>
      <c r="Q24" s="64">
        <v>8.9600000000000009</v>
      </c>
      <c r="R24" s="198"/>
      <c r="S24" s="198"/>
      <c r="T24" s="198"/>
      <c r="U24" s="198"/>
    </row>
    <row r="25" spans="1:21" s="12" customFormat="1" x14ac:dyDescent="0.25">
      <c r="A25" s="217" t="s">
        <v>1602</v>
      </c>
      <c r="B25" s="64">
        <v>8.42</v>
      </c>
      <c r="C25" s="64">
        <v>3.62</v>
      </c>
      <c r="D25" s="64">
        <v>12.42</v>
      </c>
      <c r="E25" s="64">
        <v>5.17</v>
      </c>
      <c r="F25" s="64">
        <v>4.1100000000000003</v>
      </c>
      <c r="G25" s="64">
        <v>33.619999999999997</v>
      </c>
      <c r="H25" s="64">
        <v>11.18</v>
      </c>
      <c r="I25" s="64">
        <v>5.31</v>
      </c>
      <c r="J25" s="64">
        <v>0.61</v>
      </c>
      <c r="K25" s="64">
        <v>129.25</v>
      </c>
      <c r="L25" s="64">
        <v>23.32</v>
      </c>
      <c r="M25" s="64">
        <v>98.92</v>
      </c>
      <c r="N25" s="64">
        <v>53.9</v>
      </c>
      <c r="O25" s="64">
        <v>0</v>
      </c>
      <c r="P25" s="64">
        <v>0.56000000000000005</v>
      </c>
      <c r="Q25" s="64">
        <v>8.94</v>
      </c>
      <c r="R25" s="198"/>
      <c r="S25" s="198"/>
      <c r="T25" s="198"/>
      <c r="U25" s="198"/>
    </row>
    <row r="26" spans="1:21" s="12" customFormat="1" x14ac:dyDescent="0.25">
      <c r="A26" s="217" t="s">
        <v>1603</v>
      </c>
      <c r="B26" s="64">
        <v>8.42</v>
      </c>
      <c r="C26" s="64">
        <v>3.58</v>
      </c>
      <c r="D26" s="64">
        <v>12.4</v>
      </c>
      <c r="E26" s="64">
        <v>5.19</v>
      </c>
      <c r="F26" s="64">
        <v>4.5599999999999996</v>
      </c>
      <c r="G26" s="64">
        <v>33.619999999999997</v>
      </c>
      <c r="H26" s="64">
        <v>11.18</v>
      </c>
      <c r="I26" s="64">
        <v>5.5</v>
      </c>
      <c r="J26" s="64">
        <v>0.31</v>
      </c>
      <c r="K26" s="64">
        <v>144.82</v>
      </c>
      <c r="L26" s="64">
        <v>23.34</v>
      </c>
      <c r="M26" s="64">
        <v>98.94</v>
      </c>
      <c r="N26" s="64">
        <v>53.8</v>
      </c>
      <c r="O26" s="64">
        <v>0</v>
      </c>
      <c r="P26" s="64">
        <v>0.56000000000000005</v>
      </c>
      <c r="Q26" s="64">
        <v>8.93</v>
      </c>
      <c r="R26" s="198"/>
      <c r="S26" s="198"/>
      <c r="T26" s="198"/>
      <c r="U26" s="198"/>
    </row>
    <row r="27" spans="1:21" s="12" customFormat="1" x14ac:dyDescent="0.25">
      <c r="A27" s="217" t="s">
        <v>1604</v>
      </c>
      <c r="B27" s="64">
        <v>8.31</v>
      </c>
      <c r="C27" s="64">
        <v>3.35</v>
      </c>
      <c r="D27" s="64">
        <v>12.19</v>
      </c>
      <c r="E27" s="64">
        <v>4.9800000000000004</v>
      </c>
      <c r="F27" s="64">
        <v>4.38</v>
      </c>
      <c r="G27" s="64">
        <v>36.49</v>
      </c>
      <c r="H27" s="64">
        <v>11.62</v>
      </c>
      <c r="I27" s="64">
        <v>5.81</v>
      </c>
      <c r="J27" s="64">
        <v>0.91</v>
      </c>
      <c r="K27" s="64">
        <v>146.16999999999999</v>
      </c>
      <c r="L27" s="64">
        <v>23.36</v>
      </c>
      <c r="M27" s="64">
        <v>98.98</v>
      </c>
      <c r="N27" s="64">
        <v>54.2</v>
      </c>
      <c r="O27" s="64">
        <v>0</v>
      </c>
      <c r="P27" s="64">
        <v>0.56000000000000005</v>
      </c>
      <c r="Q27" s="64">
        <v>8.9600000000000009</v>
      </c>
      <c r="R27" s="198"/>
      <c r="S27" s="198"/>
      <c r="T27" s="198"/>
      <c r="U27" s="198"/>
    </row>
    <row r="28" spans="1:21" s="12" customFormat="1" x14ac:dyDescent="0.25">
      <c r="A28" s="217" t="s">
        <v>1605</v>
      </c>
      <c r="B28" s="64">
        <v>8.31</v>
      </c>
      <c r="C28" s="64">
        <v>3.38</v>
      </c>
      <c r="D28" s="64">
        <v>12.21</v>
      </c>
      <c r="E28" s="64">
        <v>4.5199999999999996</v>
      </c>
      <c r="F28" s="64">
        <v>2.76</v>
      </c>
      <c r="G28" s="64">
        <v>40.81</v>
      </c>
      <c r="H28" s="64">
        <v>12.29</v>
      </c>
      <c r="I28" s="64">
        <v>6.06</v>
      </c>
      <c r="J28" s="64">
        <v>0.54</v>
      </c>
      <c r="K28" s="64">
        <v>146.47</v>
      </c>
      <c r="L28" s="64">
        <v>23.24</v>
      </c>
      <c r="M28" s="64">
        <v>98.99</v>
      </c>
      <c r="N28" s="64">
        <v>54.2</v>
      </c>
      <c r="O28" s="64">
        <v>0</v>
      </c>
      <c r="P28" s="64">
        <v>0.53</v>
      </c>
      <c r="Q28" s="64">
        <v>9.07</v>
      </c>
      <c r="R28" s="198"/>
      <c r="S28" s="198"/>
      <c r="T28" s="198"/>
      <c r="U28" s="198"/>
    </row>
    <row r="29" spans="1:21" s="12" customFormat="1" x14ac:dyDescent="0.25">
      <c r="A29" s="217" t="s">
        <v>1606</v>
      </c>
      <c r="B29" s="64">
        <v>8.2899999999999991</v>
      </c>
      <c r="C29" s="64">
        <v>3.28</v>
      </c>
      <c r="D29" s="64">
        <v>12.13</v>
      </c>
      <c r="E29" s="64">
        <v>3.94</v>
      </c>
      <c r="F29" s="64">
        <v>3.09</v>
      </c>
      <c r="G29" s="64">
        <v>40.81</v>
      </c>
      <c r="H29" s="64">
        <v>12.29</v>
      </c>
      <c r="I29" s="64">
        <v>6.24</v>
      </c>
      <c r="J29" s="64">
        <v>0.2</v>
      </c>
      <c r="K29" s="64">
        <v>314.68</v>
      </c>
      <c r="L29" s="64">
        <v>23.26</v>
      </c>
      <c r="M29" s="64">
        <v>98.97</v>
      </c>
      <c r="N29" s="64">
        <v>53.8</v>
      </c>
      <c r="O29" s="64">
        <v>0</v>
      </c>
      <c r="P29" s="64">
        <v>0.5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7" t="s">
        <v>1607</v>
      </c>
      <c r="B30" s="64">
        <v>8.35</v>
      </c>
      <c r="C30" s="64">
        <v>3.29</v>
      </c>
      <c r="D30" s="64">
        <v>12.19</v>
      </c>
      <c r="E30" s="64">
        <v>3.83</v>
      </c>
      <c r="F30" s="64">
        <v>3.61</v>
      </c>
      <c r="G30" s="64">
        <v>40.81</v>
      </c>
      <c r="H30" s="64">
        <v>12.29</v>
      </c>
      <c r="I30" s="64">
        <v>6.38</v>
      </c>
      <c r="J30" s="64">
        <v>0.25</v>
      </c>
      <c r="K30" s="64">
        <v>142.13</v>
      </c>
      <c r="L30" s="64">
        <v>23.32</v>
      </c>
      <c r="M30" s="64">
        <v>98.97</v>
      </c>
      <c r="N30" s="64">
        <v>56.3</v>
      </c>
      <c r="O30" s="64">
        <v>0</v>
      </c>
      <c r="P30" s="64">
        <v>0.5</v>
      </c>
      <c r="Q30" s="64">
        <v>9.76</v>
      </c>
      <c r="R30" s="198"/>
      <c r="S30" s="198"/>
      <c r="T30" s="198"/>
      <c r="U30" s="198"/>
    </row>
    <row r="31" spans="1:21" s="12" customFormat="1" x14ac:dyDescent="0.25">
      <c r="A31" s="217" t="s">
        <v>1608</v>
      </c>
      <c r="B31" s="64">
        <v>8.4600000000000009</v>
      </c>
      <c r="C31" s="64">
        <v>3.45</v>
      </c>
      <c r="D31" s="64">
        <v>12.36</v>
      </c>
      <c r="E31" s="64">
        <v>3.77</v>
      </c>
      <c r="F31" s="64">
        <v>3.02</v>
      </c>
      <c r="G31" s="64">
        <v>35.81</v>
      </c>
      <c r="H31" s="64">
        <v>11.51</v>
      </c>
      <c r="I31" s="64">
        <v>6.27</v>
      </c>
      <c r="J31" s="64">
        <v>0.27</v>
      </c>
      <c r="K31" s="64">
        <v>278.47000000000003</v>
      </c>
      <c r="L31" s="64">
        <v>23.31</v>
      </c>
      <c r="M31" s="64">
        <v>98.95</v>
      </c>
      <c r="N31" s="64">
        <v>75.8</v>
      </c>
      <c r="O31" s="64">
        <v>0</v>
      </c>
      <c r="P31" s="64">
        <v>0.48</v>
      </c>
      <c r="Q31" s="64">
        <v>9.92</v>
      </c>
      <c r="R31" s="198"/>
      <c r="S31" s="198"/>
      <c r="T31" s="198"/>
      <c r="U31" s="198"/>
    </row>
    <row r="32" spans="1:21" s="12" customFormat="1" x14ac:dyDescent="0.25">
      <c r="A32" s="217" t="s">
        <v>1609</v>
      </c>
      <c r="B32" s="64">
        <v>8.48</v>
      </c>
      <c r="C32" s="64">
        <v>3.44</v>
      </c>
      <c r="D32" s="64">
        <v>12.37</v>
      </c>
      <c r="E32" s="64">
        <v>3.76</v>
      </c>
      <c r="F32" s="64">
        <v>3.1</v>
      </c>
      <c r="G32" s="64">
        <v>28.32</v>
      </c>
      <c r="H32" s="64">
        <v>10.34</v>
      </c>
      <c r="I32" s="64">
        <v>6.22</v>
      </c>
      <c r="J32" s="64">
        <v>0.32</v>
      </c>
      <c r="K32" s="64">
        <v>268.57</v>
      </c>
      <c r="L32" s="64">
        <v>23.44</v>
      </c>
      <c r="M32" s="64">
        <v>98.95</v>
      </c>
      <c r="N32" s="64">
        <v>88.5</v>
      </c>
      <c r="O32" s="64">
        <v>0</v>
      </c>
      <c r="P32" s="64">
        <v>0.46</v>
      </c>
      <c r="Q32" s="64">
        <v>9.9499999999999993</v>
      </c>
      <c r="R32" s="198"/>
      <c r="S32" s="198"/>
      <c r="T32" s="198"/>
      <c r="U32" s="198"/>
    </row>
    <row r="33" spans="1:21" s="12" customFormat="1" x14ac:dyDescent="0.25">
      <c r="A33" s="217" t="s">
        <v>1610</v>
      </c>
      <c r="B33" s="64">
        <v>8.44</v>
      </c>
      <c r="C33" s="64">
        <v>3.39</v>
      </c>
      <c r="D33" s="64">
        <v>12.32</v>
      </c>
      <c r="E33" s="64">
        <v>4.22</v>
      </c>
      <c r="F33" s="64">
        <v>3.3</v>
      </c>
      <c r="G33" s="64">
        <v>28.32</v>
      </c>
      <c r="H33" s="64">
        <v>10.34</v>
      </c>
      <c r="I33" s="64">
        <v>6.34</v>
      </c>
      <c r="J33" s="64">
        <v>0.13</v>
      </c>
      <c r="K33" s="64">
        <v>296.94</v>
      </c>
      <c r="L33" s="64">
        <v>23.6</v>
      </c>
      <c r="M33" s="64">
        <v>98.95</v>
      </c>
      <c r="N33" s="64">
        <v>110.4</v>
      </c>
      <c r="O33" s="64">
        <v>0</v>
      </c>
      <c r="P33" s="64">
        <v>0.46</v>
      </c>
      <c r="Q33" s="64">
        <v>9.93</v>
      </c>
      <c r="R33" s="198"/>
      <c r="S33" s="198"/>
      <c r="T33" s="198"/>
      <c r="U33" s="198"/>
    </row>
    <row r="34" spans="1:21" s="12" customFormat="1" x14ac:dyDescent="0.25">
      <c r="A34" s="217" t="s">
        <v>1611</v>
      </c>
      <c r="B34" s="64">
        <v>8.44</v>
      </c>
      <c r="C34" s="64">
        <v>3.36</v>
      </c>
      <c r="D34" s="64">
        <v>12.3</v>
      </c>
      <c r="E34" s="64">
        <v>4.07</v>
      </c>
      <c r="F34" s="64">
        <v>3.3</v>
      </c>
      <c r="G34" s="64">
        <v>28.32</v>
      </c>
      <c r="H34" s="64">
        <v>10.34</v>
      </c>
      <c r="I34" s="64">
        <v>6.4</v>
      </c>
      <c r="J34" s="64">
        <v>0.48</v>
      </c>
      <c r="K34" s="64">
        <v>343.94</v>
      </c>
      <c r="L34" s="64">
        <v>23.92</v>
      </c>
      <c r="M34" s="64">
        <v>98.93</v>
      </c>
      <c r="N34" s="64">
        <v>153.5</v>
      </c>
      <c r="O34" s="64">
        <v>0</v>
      </c>
      <c r="P34" s="64">
        <v>0.45</v>
      </c>
      <c r="Q34" s="64">
        <v>9.93</v>
      </c>
      <c r="R34" s="198"/>
      <c r="S34" s="198"/>
      <c r="T34" s="198"/>
      <c r="U34" s="198"/>
    </row>
    <row r="35" spans="1:21" s="12" customFormat="1" x14ac:dyDescent="0.25">
      <c r="A35" s="217" t="s">
        <v>1612</v>
      </c>
      <c r="B35" s="64">
        <v>8.36</v>
      </c>
      <c r="C35" s="64">
        <v>3.2</v>
      </c>
      <c r="D35" s="64">
        <v>12.15</v>
      </c>
      <c r="E35" s="64">
        <v>4.0599999999999996</v>
      </c>
      <c r="F35" s="64">
        <v>2.96</v>
      </c>
      <c r="G35" s="64">
        <v>28.2</v>
      </c>
      <c r="H35" s="64">
        <v>9.4600000000000009</v>
      </c>
      <c r="I35" s="64">
        <v>6.35</v>
      </c>
      <c r="J35" s="64">
        <v>0.46</v>
      </c>
      <c r="K35" s="64">
        <v>328.7</v>
      </c>
      <c r="L35" s="64">
        <v>24.41</v>
      </c>
      <c r="M35" s="64">
        <v>98.92</v>
      </c>
      <c r="N35" s="64">
        <v>149.69999999999999</v>
      </c>
      <c r="O35" s="64">
        <v>0</v>
      </c>
      <c r="P35" s="64">
        <v>0.44</v>
      </c>
      <c r="Q35" s="64">
        <v>9.92</v>
      </c>
      <c r="R35" s="198"/>
      <c r="S35" s="198"/>
      <c r="T35" s="198"/>
      <c r="U35" s="198"/>
    </row>
    <row r="36" spans="1:21" s="12" customFormat="1" x14ac:dyDescent="0.25">
      <c r="A36" s="217" t="s">
        <v>1613</v>
      </c>
      <c r="B36" s="64">
        <v>8.32</v>
      </c>
      <c r="C36" s="64">
        <v>3.11</v>
      </c>
      <c r="D36" s="64">
        <v>12.07</v>
      </c>
      <c r="E36" s="64">
        <v>3.7</v>
      </c>
      <c r="F36" s="64">
        <v>3.11</v>
      </c>
      <c r="G36" s="64">
        <v>28.03</v>
      </c>
      <c r="H36" s="64">
        <v>8.18</v>
      </c>
      <c r="I36" s="64">
        <v>6.23</v>
      </c>
      <c r="J36" s="64">
        <v>0.52</v>
      </c>
      <c r="K36" s="64">
        <v>347.38</v>
      </c>
      <c r="L36" s="64">
        <v>24.46</v>
      </c>
      <c r="M36" s="64">
        <v>98.93</v>
      </c>
      <c r="N36" s="64">
        <v>148.80000000000001</v>
      </c>
      <c r="O36" s="64">
        <v>0</v>
      </c>
      <c r="P36" s="64">
        <v>0.44</v>
      </c>
      <c r="Q36" s="64">
        <v>9.92</v>
      </c>
      <c r="R36" s="198"/>
      <c r="S36" s="198"/>
      <c r="T36" s="198"/>
      <c r="U36" s="198"/>
    </row>
    <row r="37" spans="1:21" s="12" customFormat="1" x14ac:dyDescent="0.25">
      <c r="A37" s="217" t="s">
        <v>1614</v>
      </c>
      <c r="B37" s="64">
        <v>8.32</v>
      </c>
      <c r="C37" s="64">
        <v>3.16</v>
      </c>
      <c r="D37" s="64">
        <v>12.1</v>
      </c>
      <c r="E37" s="64">
        <v>3.86</v>
      </c>
      <c r="F37" s="64">
        <v>2.48</v>
      </c>
      <c r="G37" s="64">
        <v>28.03</v>
      </c>
      <c r="H37" s="64">
        <v>8.18</v>
      </c>
      <c r="I37" s="64">
        <v>6.07</v>
      </c>
      <c r="J37" s="64">
        <v>0.37</v>
      </c>
      <c r="K37" s="64">
        <v>309.99</v>
      </c>
      <c r="L37" s="64">
        <v>24.7</v>
      </c>
      <c r="M37" s="64">
        <v>98.93</v>
      </c>
      <c r="N37" s="64">
        <v>107</v>
      </c>
      <c r="O37" s="64">
        <v>0</v>
      </c>
      <c r="P37" s="64">
        <v>0.45</v>
      </c>
      <c r="Q37" s="64">
        <v>9.91</v>
      </c>
      <c r="R37" s="198"/>
      <c r="S37" s="198"/>
      <c r="T37" s="198"/>
      <c r="U37" s="198"/>
    </row>
    <row r="38" spans="1:21" s="12" customFormat="1" x14ac:dyDescent="0.25">
      <c r="A38" s="217" t="s">
        <v>1615</v>
      </c>
      <c r="B38" s="64">
        <v>8.35</v>
      </c>
      <c r="C38" s="64">
        <v>3.2</v>
      </c>
      <c r="D38" s="64">
        <v>12.14</v>
      </c>
      <c r="E38" s="64">
        <v>4.0199999999999996</v>
      </c>
      <c r="F38" s="64">
        <v>2.96</v>
      </c>
      <c r="G38" s="64">
        <v>28.03</v>
      </c>
      <c r="H38" s="64">
        <v>8.18</v>
      </c>
      <c r="I38" s="64">
        <v>5.87</v>
      </c>
      <c r="J38" s="64">
        <v>0.28000000000000003</v>
      </c>
      <c r="K38" s="64">
        <v>296.08999999999997</v>
      </c>
      <c r="L38" s="64">
        <v>24.68</v>
      </c>
      <c r="M38" s="64">
        <v>98.93</v>
      </c>
      <c r="N38" s="64">
        <v>140.80000000000001</v>
      </c>
      <c r="O38" s="64">
        <v>0</v>
      </c>
      <c r="P38" s="64">
        <v>0.47</v>
      </c>
      <c r="Q38" s="64">
        <v>9.89</v>
      </c>
      <c r="R38" s="198"/>
      <c r="S38" s="198"/>
      <c r="T38" s="198"/>
      <c r="U38" s="198"/>
    </row>
    <row r="39" spans="1:21" s="12" customFormat="1" x14ac:dyDescent="0.25">
      <c r="A39" s="217" t="s">
        <v>1616</v>
      </c>
      <c r="B39" s="64">
        <v>8.31</v>
      </c>
      <c r="C39" s="64">
        <v>3.17</v>
      </c>
      <c r="D39" s="64">
        <v>12.1</v>
      </c>
      <c r="E39" s="64">
        <v>3.73</v>
      </c>
      <c r="F39" s="64">
        <v>3.4</v>
      </c>
      <c r="G39" s="64">
        <v>32.82</v>
      </c>
      <c r="H39" s="64">
        <v>9.84</v>
      </c>
      <c r="I39" s="64">
        <v>5.66</v>
      </c>
      <c r="J39" s="64">
        <v>0.56999999999999995</v>
      </c>
      <c r="K39" s="64">
        <v>331.96</v>
      </c>
      <c r="L39" s="64">
        <v>25.25</v>
      </c>
      <c r="M39" s="64">
        <v>98.91</v>
      </c>
      <c r="N39" s="64">
        <v>205.9</v>
      </c>
      <c r="O39" s="64">
        <v>0</v>
      </c>
      <c r="P39" s="64">
        <v>0.49</v>
      </c>
      <c r="Q39" s="64">
        <v>9.9600000000000009</v>
      </c>
      <c r="R39" s="198"/>
      <c r="S39" s="198"/>
      <c r="T39" s="198"/>
      <c r="U39" s="198"/>
    </row>
    <row r="40" spans="1:21" s="12" customFormat="1" x14ac:dyDescent="0.25">
      <c r="A40" s="217" t="s">
        <v>1617</v>
      </c>
      <c r="B40" s="64">
        <v>8.3699999999999992</v>
      </c>
      <c r="C40" s="64">
        <v>3.27</v>
      </c>
      <c r="D40" s="64">
        <v>12.19</v>
      </c>
      <c r="E40" s="64">
        <v>4.6399999999999997</v>
      </c>
      <c r="F40" s="64">
        <v>3.99</v>
      </c>
      <c r="G40" s="64">
        <v>40.01</v>
      </c>
      <c r="H40" s="64">
        <v>12.32</v>
      </c>
      <c r="I40" s="64">
        <v>5.48</v>
      </c>
      <c r="J40" s="64">
        <v>0.71</v>
      </c>
      <c r="K40" s="64">
        <v>317.73</v>
      </c>
      <c r="L40" s="64">
        <v>25.88</v>
      </c>
      <c r="M40" s="64">
        <v>98.63</v>
      </c>
      <c r="N40" s="64">
        <v>196.9</v>
      </c>
      <c r="O40" s="64">
        <v>0</v>
      </c>
      <c r="P40" s="64">
        <v>0.5</v>
      </c>
      <c r="Q40" s="64">
        <v>9.91</v>
      </c>
      <c r="R40" s="198"/>
      <c r="S40" s="198"/>
      <c r="T40" s="198"/>
      <c r="U40" s="198"/>
    </row>
    <row r="41" spans="1:21" s="12" customFormat="1" x14ac:dyDescent="0.25">
      <c r="A41" s="217" t="s">
        <v>1618</v>
      </c>
      <c r="B41" s="64">
        <v>8.35</v>
      </c>
      <c r="C41" s="64">
        <v>3.24</v>
      </c>
      <c r="D41" s="64">
        <v>12.17</v>
      </c>
      <c r="E41" s="64">
        <v>4.63</v>
      </c>
      <c r="F41" s="64">
        <v>3.39</v>
      </c>
      <c r="G41" s="64">
        <v>40.01</v>
      </c>
      <c r="H41" s="64">
        <v>12.32</v>
      </c>
      <c r="I41" s="64">
        <v>5.37</v>
      </c>
      <c r="J41" s="64">
        <v>0.98</v>
      </c>
      <c r="K41" s="64">
        <v>339.22</v>
      </c>
      <c r="L41" s="64">
        <v>26.5</v>
      </c>
      <c r="M41" s="64">
        <v>96.22</v>
      </c>
      <c r="N41" s="64">
        <v>284.39999999999998</v>
      </c>
      <c r="O41" s="64">
        <v>0</v>
      </c>
      <c r="P41" s="64">
        <v>0.51</v>
      </c>
      <c r="Q41" s="64">
        <v>9.94</v>
      </c>
      <c r="R41" s="198"/>
      <c r="S41" s="198"/>
      <c r="T41" s="198"/>
      <c r="U41" s="198"/>
    </row>
    <row r="42" spans="1:21" s="12" customFormat="1" x14ac:dyDescent="0.25">
      <c r="A42" s="217" t="s">
        <v>1619</v>
      </c>
      <c r="B42" s="64">
        <v>8.35</v>
      </c>
      <c r="C42" s="64">
        <v>3.28</v>
      </c>
      <c r="D42" s="64">
        <v>12.18</v>
      </c>
      <c r="E42" s="64">
        <v>4.88</v>
      </c>
      <c r="F42" s="64">
        <v>3.53</v>
      </c>
      <c r="G42" s="64">
        <v>40.01</v>
      </c>
      <c r="H42" s="64">
        <v>12.32</v>
      </c>
      <c r="I42" s="64">
        <v>5.32</v>
      </c>
      <c r="J42" s="64">
        <v>0.98</v>
      </c>
      <c r="K42" s="64">
        <v>327.68</v>
      </c>
      <c r="L42" s="64">
        <v>27.22</v>
      </c>
      <c r="M42" s="64">
        <v>92.24</v>
      </c>
      <c r="N42" s="64">
        <v>262.2</v>
      </c>
      <c r="O42" s="64">
        <v>0</v>
      </c>
      <c r="P42" s="64">
        <v>0.52</v>
      </c>
      <c r="Q42" s="64">
        <v>9.8800000000000008</v>
      </c>
      <c r="R42" s="198"/>
      <c r="S42" s="198"/>
      <c r="T42" s="198"/>
      <c r="U42" s="198"/>
    </row>
    <row r="43" spans="1:21" s="12" customFormat="1" x14ac:dyDescent="0.25">
      <c r="A43" s="217" t="s">
        <v>1620</v>
      </c>
      <c r="B43" s="64">
        <v>8.3699999999999992</v>
      </c>
      <c r="C43" s="64">
        <v>3.25</v>
      </c>
      <c r="D43" s="64">
        <v>12.19</v>
      </c>
      <c r="E43" s="64">
        <v>4.82</v>
      </c>
      <c r="F43" s="64">
        <v>3.61</v>
      </c>
      <c r="G43" s="64">
        <v>46.09</v>
      </c>
      <c r="H43" s="64">
        <v>12.56</v>
      </c>
      <c r="I43" s="64">
        <v>5.44</v>
      </c>
      <c r="J43" s="64">
        <v>1</v>
      </c>
      <c r="K43" s="64">
        <v>325.45</v>
      </c>
      <c r="L43" s="64">
        <v>27.48</v>
      </c>
      <c r="M43" s="64">
        <v>90.61</v>
      </c>
      <c r="N43" s="64">
        <v>246.9</v>
      </c>
      <c r="O43" s="64">
        <v>0</v>
      </c>
      <c r="P43" s="64">
        <v>0.54</v>
      </c>
      <c r="Q43" s="64">
        <v>9.94</v>
      </c>
      <c r="R43" s="198"/>
      <c r="S43" s="198"/>
      <c r="T43" s="198"/>
      <c r="U43" s="198"/>
    </row>
    <row r="44" spans="1:21" s="12" customFormat="1" x14ac:dyDescent="0.25">
      <c r="A44" s="217" t="s">
        <v>1621</v>
      </c>
      <c r="B44" s="64">
        <v>8.34</v>
      </c>
      <c r="C44" s="64">
        <v>3.17</v>
      </c>
      <c r="D44" s="64">
        <v>12.11</v>
      </c>
      <c r="E44" s="64">
        <v>4.54</v>
      </c>
      <c r="F44" s="64">
        <v>3.49</v>
      </c>
      <c r="G44" s="64">
        <v>55.21</v>
      </c>
      <c r="H44" s="64">
        <v>12.92</v>
      </c>
      <c r="I44" s="64">
        <v>5.48</v>
      </c>
      <c r="J44" s="64">
        <v>1.29</v>
      </c>
      <c r="K44" s="64">
        <v>335.81</v>
      </c>
      <c r="L44" s="64">
        <v>27.43</v>
      </c>
      <c r="M44" s="64">
        <v>90.52</v>
      </c>
      <c r="N44" s="64">
        <v>240.5</v>
      </c>
      <c r="O44" s="64">
        <v>0</v>
      </c>
      <c r="P44" s="64">
        <v>0.53</v>
      </c>
      <c r="Q44" s="64">
        <v>9.9</v>
      </c>
      <c r="R44" s="198"/>
      <c r="S44" s="198"/>
      <c r="T44" s="198"/>
      <c r="U44" s="198"/>
    </row>
    <row r="45" spans="1:21" s="12" customFormat="1" x14ac:dyDescent="0.25">
      <c r="A45" s="217" t="s">
        <v>1622</v>
      </c>
      <c r="B45" s="64">
        <v>8.33</v>
      </c>
      <c r="C45" s="64">
        <v>3.24</v>
      </c>
      <c r="D45" s="64">
        <v>12.15</v>
      </c>
      <c r="E45" s="64">
        <v>4.75</v>
      </c>
      <c r="F45" s="64">
        <v>4.01</v>
      </c>
      <c r="G45" s="64">
        <v>55.21</v>
      </c>
      <c r="H45" s="64">
        <v>12.92</v>
      </c>
      <c r="I45" s="64">
        <v>5.38</v>
      </c>
      <c r="J45" s="64">
        <v>1.45</v>
      </c>
      <c r="K45" s="64">
        <v>335.9</v>
      </c>
      <c r="L45" s="64">
        <v>27.62</v>
      </c>
      <c r="M45" s="64">
        <v>89.44</v>
      </c>
      <c r="N45" s="64">
        <v>329.8</v>
      </c>
      <c r="O45" s="64">
        <v>0</v>
      </c>
      <c r="P45" s="64">
        <v>0.55000000000000004</v>
      </c>
      <c r="Q45" s="64">
        <v>9.92</v>
      </c>
      <c r="R45" s="198"/>
      <c r="S45" s="198"/>
      <c r="T45" s="198"/>
      <c r="U45" s="198"/>
    </row>
    <row r="46" spans="1:21" s="12" customFormat="1" x14ac:dyDescent="0.25">
      <c r="A46" s="217" t="s">
        <v>1623</v>
      </c>
      <c r="B46" s="64">
        <v>8.3800000000000008</v>
      </c>
      <c r="C46" s="64">
        <v>3.33</v>
      </c>
      <c r="D46" s="64">
        <v>12.23</v>
      </c>
      <c r="E46" s="64">
        <v>5.0199999999999996</v>
      </c>
      <c r="F46" s="64">
        <v>3.38</v>
      </c>
      <c r="G46" s="64">
        <v>55.21</v>
      </c>
      <c r="H46" s="64">
        <v>12.92</v>
      </c>
      <c r="I46" s="64">
        <v>5.27</v>
      </c>
      <c r="J46" s="64">
        <v>1.52</v>
      </c>
      <c r="K46" s="64">
        <v>344.24</v>
      </c>
      <c r="L46" s="64">
        <v>28</v>
      </c>
      <c r="M46" s="64">
        <v>86.88</v>
      </c>
      <c r="N46" s="64">
        <v>202</v>
      </c>
      <c r="O46" s="64">
        <v>0</v>
      </c>
      <c r="P46" s="64">
        <v>0.56999999999999995</v>
      </c>
      <c r="Q46" s="64">
        <v>9.91</v>
      </c>
      <c r="R46" s="198"/>
      <c r="S46" s="198"/>
      <c r="T46" s="198"/>
      <c r="U46" s="198"/>
    </row>
    <row r="47" spans="1:21" s="12" customFormat="1" x14ac:dyDescent="0.25">
      <c r="A47" s="217" t="s">
        <v>1624</v>
      </c>
      <c r="B47" s="64">
        <v>8.3699999999999992</v>
      </c>
      <c r="C47" s="64">
        <v>3.27</v>
      </c>
      <c r="D47" s="64">
        <v>12.19</v>
      </c>
      <c r="E47" s="64">
        <v>4.71</v>
      </c>
      <c r="F47" s="64">
        <v>3.17</v>
      </c>
      <c r="G47" s="64">
        <v>59.76</v>
      </c>
      <c r="H47" s="64">
        <v>15.17</v>
      </c>
      <c r="I47" s="64">
        <v>5.21</v>
      </c>
      <c r="J47" s="64">
        <v>1.3</v>
      </c>
      <c r="K47" s="64">
        <v>336.89</v>
      </c>
      <c r="L47" s="64">
        <v>27.39</v>
      </c>
      <c r="M47" s="64">
        <v>89.44</v>
      </c>
      <c r="N47" s="64">
        <v>246.3</v>
      </c>
      <c r="O47" s="64">
        <v>0.2</v>
      </c>
      <c r="P47" s="64">
        <v>0.57999999999999996</v>
      </c>
      <c r="Q47" s="64">
        <v>9.8000000000000007</v>
      </c>
      <c r="R47" s="198"/>
      <c r="S47" s="198"/>
      <c r="T47" s="198"/>
      <c r="U47" s="198"/>
    </row>
    <row r="48" spans="1:21" s="12" customFormat="1" x14ac:dyDescent="0.25">
      <c r="A48" s="217" t="s">
        <v>1625</v>
      </c>
      <c r="B48" s="64">
        <v>8.6199999999999992</v>
      </c>
      <c r="C48" s="64">
        <v>3.66</v>
      </c>
      <c r="D48" s="64">
        <v>12.6</v>
      </c>
      <c r="E48" s="64">
        <v>4.63</v>
      </c>
      <c r="F48" s="64">
        <v>3.64</v>
      </c>
      <c r="G48" s="64">
        <v>66.260000000000005</v>
      </c>
      <c r="H48" s="64">
        <v>18.53</v>
      </c>
      <c r="I48" s="64">
        <v>5.23</v>
      </c>
      <c r="J48" s="64">
        <v>1.19</v>
      </c>
      <c r="K48" s="64">
        <v>333.33</v>
      </c>
      <c r="L48" s="64">
        <v>27.07</v>
      </c>
      <c r="M48" s="64">
        <v>94.16</v>
      </c>
      <c r="N48" s="64">
        <v>353</v>
      </c>
      <c r="O48" s="64">
        <v>0.2</v>
      </c>
      <c r="P48" s="64">
        <v>0.6</v>
      </c>
      <c r="Q48" s="64">
        <v>9.86</v>
      </c>
      <c r="R48" s="198"/>
      <c r="S48" s="198"/>
      <c r="T48" s="198"/>
      <c r="U48" s="198"/>
    </row>
    <row r="49" spans="1:21" s="12" customFormat="1" x14ac:dyDescent="0.25">
      <c r="A49" s="217" t="s">
        <v>1626</v>
      </c>
      <c r="B49" s="64">
        <v>8.43</v>
      </c>
      <c r="C49" s="64">
        <v>3.34</v>
      </c>
      <c r="D49" s="64">
        <v>12.28</v>
      </c>
      <c r="E49" s="64">
        <v>4.47</v>
      </c>
      <c r="F49" s="64">
        <v>2.85</v>
      </c>
      <c r="G49" s="64">
        <v>66.260000000000005</v>
      </c>
      <c r="H49" s="64">
        <v>18.53</v>
      </c>
      <c r="I49" s="64">
        <v>5.42</v>
      </c>
      <c r="J49" s="64">
        <v>1.32</v>
      </c>
      <c r="K49" s="64">
        <v>335.88</v>
      </c>
      <c r="L49" s="64">
        <v>27.51</v>
      </c>
      <c r="M49" s="64">
        <v>93.71</v>
      </c>
      <c r="N49" s="64">
        <v>531.79999999999995</v>
      </c>
      <c r="O49" s="64">
        <v>0</v>
      </c>
      <c r="P49" s="64">
        <v>0.62</v>
      </c>
      <c r="Q49" s="64">
        <v>9.9</v>
      </c>
      <c r="R49" s="198"/>
      <c r="S49" s="198"/>
      <c r="T49" s="198"/>
      <c r="U49" s="198"/>
    </row>
    <row r="50" spans="1:21" s="12" customFormat="1" x14ac:dyDescent="0.25">
      <c r="A50" s="217" t="s">
        <v>1627</v>
      </c>
      <c r="B50" s="64">
        <v>8.41</v>
      </c>
      <c r="C50" s="64">
        <v>3.3</v>
      </c>
      <c r="D50" s="64">
        <v>12.25</v>
      </c>
      <c r="E50" s="64">
        <v>4.71</v>
      </c>
      <c r="F50" s="64">
        <v>3.16</v>
      </c>
      <c r="G50" s="64">
        <v>66.260000000000005</v>
      </c>
      <c r="H50" s="64">
        <v>18.53</v>
      </c>
      <c r="I50" s="64">
        <v>5.67</v>
      </c>
      <c r="J50" s="64">
        <v>1.3</v>
      </c>
      <c r="K50" s="64">
        <v>341.46</v>
      </c>
      <c r="L50" s="64">
        <v>29.2</v>
      </c>
      <c r="M50" s="64">
        <v>83.36</v>
      </c>
      <c r="N50" s="64">
        <v>636.70000000000005</v>
      </c>
      <c r="O50" s="64">
        <v>0</v>
      </c>
      <c r="P50" s="64">
        <v>0.64</v>
      </c>
      <c r="Q50" s="64">
        <v>9.9499999999999993</v>
      </c>
      <c r="R50" s="198"/>
      <c r="S50" s="198"/>
      <c r="T50" s="198"/>
      <c r="U50" s="198"/>
    </row>
    <row r="51" spans="1:21" s="12" customFormat="1" x14ac:dyDescent="0.25">
      <c r="A51" s="217" t="s">
        <v>1628</v>
      </c>
      <c r="B51" s="64">
        <v>8.4499999999999993</v>
      </c>
      <c r="C51" s="64">
        <v>3.32</v>
      </c>
      <c r="D51" s="64">
        <v>12.29</v>
      </c>
      <c r="E51" s="64">
        <v>4.75</v>
      </c>
      <c r="F51" s="64">
        <v>3.26</v>
      </c>
      <c r="G51" s="64">
        <v>68.069999999999993</v>
      </c>
      <c r="H51" s="64">
        <v>19.32</v>
      </c>
      <c r="I51" s="64">
        <v>5.87</v>
      </c>
      <c r="J51" s="64">
        <v>1.02</v>
      </c>
      <c r="K51" s="64">
        <v>338.97</v>
      </c>
      <c r="L51" s="64">
        <v>29.39</v>
      </c>
      <c r="M51" s="64">
        <v>80.099999999999994</v>
      </c>
      <c r="N51" s="64">
        <v>446.1</v>
      </c>
      <c r="O51" s="64">
        <v>0</v>
      </c>
      <c r="P51" s="64">
        <v>0.65</v>
      </c>
      <c r="Q51" s="64">
        <v>9.9700000000000006</v>
      </c>
      <c r="R51" s="198"/>
      <c r="S51" s="198"/>
      <c r="T51" s="198"/>
      <c r="U51" s="198"/>
    </row>
    <row r="52" spans="1:21" s="12" customFormat="1" x14ac:dyDescent="0.25">
      <c r="A52" s="217" t="s">
        <v>1629</v>
      </c>
      <c r="B52" s="64">
        <v>8.43</v>
      </c>
      <c r="C52" s="64">
        <v>3.34</v>
      </c>
      <c r="D52" s="64">
        <v>12.28</v>
      </c>
      <c r="E52" s="64">
        <v>4.84</v>
      </c>
      <c r="F52" s="64">
        <v>3.2</v>
      </c>
      <c r="G52" s="64">
        <v>70.78</v>
      </c>
      <c r="H52" s="64">
        <v>20.440000000000001</v>
      </c>
      <c r="I52" s="64">
        <v>6.03</v>
      </c>
      <c r="J52" s="64">
        <v>0.57999999999999996</v>
      </c>
      <c r="K52" s="64">
        <v>351.1</v>
      </c>
      <c r="L52" s="64">
        <v>28.98</v>
      </c>
      <c r="M52" s="64">
        <v>81.93</v>
      </c>
      <c r="N52" s="64">
        <v>522.9</v>
      </c>
      <c r="O52" s="64">
        <v>0</v>
      </c>
      <c r="P52" s="64">
        <v>0.66</v>
      </c>
      <c r="Q52" s="64">
        <v>10.029999999999999</v>
      </c>
      <c r="R52" s="198"/>
      <c r="S52" s="198"/>
      <c r="T52" s="198"/>
      <c r="U52" s="198"/>
    </row>
    <row r="53" spans="1:21" s="12" customFormat="1" x14ac:dyDescent="0.25">
      <c r="A53" s="217" t="s">
        <v>1630</v>
      </c>
      <c r="B53" s="64">
        <v>8.42</v>
      </c>
      <c r="C53" s="64">
        <v>3.33</v>
      </c>
      <c r="D53" s="64">
        <v>12.26</v>
      </c>
      <c r="E53" s="64">
        <v>4.8499999999999996</v>
      </c>
      <c r="F53" s="64">
        <v>3.29</v>
      </c>
      <c r="G53" s="64">
        <v>70.78</v>
      </c>
      <c r="H53" s="64">
        <v>20.440000000000001</v>
      </c>
      <c r="I53" s="64">
        <v>6.22</v>
      </c>
      <c r="J53" s="64">
        <v>0.85</v>
      </c>
      <c r="K53" s="64">
        <v>110.04</v>
      </c>
      <c r="L53" s="64">
        <v>27.51</v>
      </c>
      <c r="M53" s="64">
        <v>88.64</v>
      </c>
      <c r="N53" s="64">
        <v>266.5</v>
      </c>
      <c r="O53" s="64">
        <v>0</v>
      </c>
      <c r="P53" s="64">
        <v>0.67</v>
      </c>
      <c r="Q53" s="64">
        <v>10.07</v>
      </c>
      <c r="R53" s="198"/>
      <c r="S53" s="198"/>
      <c r="T53" s="198"/>
      <c r="U53" s="198"/>
    </row>
    <row r="54" spans="1:21" s="12" customFormat="1" x14ac:dyDescent="0.25">
      <c r="A54" s="217" t="s">
        <v>1631</v>
      </c>
      <c r="B54" s="64">
        <v>8.39</v>
      </c>
      <c r="C54" s="64">
        <v>3.31</v>
      </c>
      <c r="D54" s="64">
        <v>12.23</v>
      </c>
      <c r="E54" s="64">
        <v>5.16</v>
      </c>
      <c r="F54" s="64">
        <v>3.37</v>
      </c>
      <c r="G54" s="64">
        <v>70.78</v>
      </c>
      <c r="H54" s="64">
        <v>20.440000000000001</v>
      </c>
      <c r="I54" s="64">
        <v>6.44</v>
      </c>
      <c r="J54" s="64">
        <v>0.73</v>
      </c>
      <c r="K54" s="64">
        <v>98.71</v>
      </c>
      <c r="L54" s="64">
        <v>26.95</v>
      </c>
      <c r="M54" s="64">
        <v>91.34</v>
      </c>
      <c r="N54" s="64">
        <v>425.1</v>
      </c>
      <c r="O54" s="64">
        <v>0</v>
      </c>
      <c r="P54" s="64">
        <v>0.67</v>
      </c>
      <c r="Q54" s="64">
        <v>10.130000000000001</v>
      </c>
      <c r="R54" s="198"/>
      <c r="S54" s="198"/>
      <c r="T54" s="198"/>
      <c r="U54" s="198"/>
    </row>
    <row r="55" spans="1:21" s="12" customFormat="1" x14ac:dyDescent="0.25">
      <c r="A55" s="217" t="s">
        <v>1632</v>
      </c>
      <c r="B55" s="64">
        <v>8.4600000000000009</v>
      </c>
      <c r="C55" s="64">
        <v>3.39</v>
      </c>
      <c r="D55" s="64">
        <v>12.33</v>
      </c>
      <c r="E55" s="64">
        <v>5.12</v>
      </c>
      <c r="F55" s="64">
        <v>3.4</v>
      </c>
      <c r="G55" s="64">
        <v>72.89</v>
      </c>
      <c r="H55" s="64">
        <v>21.42</v>
      </c>
      <c r="I55" s="64">
        <v>6.8</v>
      </c>
      <c r="J55" s="64">
        <v>0.79</v>
      </c>
      <c r="K55" s="64">
        <v>350.69</v>
      </c>
      <c r="L55" s="64">
        <v>28.58</v>
      </c>
      <c r="M55" s="64">
        <v>83.78</v>
      </c>
      <c r="N55" s="64">
        <v>704.2</v>
      </c>
      <c r="O55" s="64">
        <v>0</v>
      </c>
      <c r="P55" s="64">
        <v>0.68</v>
      </c>
      <c r="Q55" s="64">
        <v>10.1</v>
      </c>
      <c r="R55" s="198"/>
      <c r="S55" s="198"/>
      <c r="T55" s="198"/>
      <c r="U55" s="198"/>
    </row>
    <row r="56" spans="1:21" s="12" customFormat="1" x14ac:dyDescent="0.25">
      <c r="A56" s="217" t="s">
        <v>1633</v>
      </c>
      <c r="B56" s="64">
        <v>8.4499999999999993</v>
      </c>
      <c r="C56" s="64">
        <v>3.46</v>
      </c>
      <c r="D56" s="64">
        <v>12.36</v>
      </c>
      <c r="E56" s="64">
        <v>4.71</v>
      </c>
      <c r="F56" s="64">
        <v>3.59</v>
      </c>
      <c r="G56" s="64">
        <v>76.06</v>
      </c>
      <c r="H56" s="64">
        <v>22.88</v>
      </c>
      <c r="I56" s="64">
        <v>7.16</v>
      </c>
      <c r="J56" s="64">
        <v>0.65</v>
      </c>
      <c r="K56" s="64">
        <v>333.23</v>
      </c>
      <c r="L56" s="64">
        <v>29.72</v>
      </c>
      <c r="M56" s="64">
        <v>78.709999999999994</v>
      </c>
      <c r="N56" s="64">
        <v>725.1</v>
      </c>
      <c r="O56" s="64">
        <v>0</v>
      </c>
      <c r="P56" s="64">
        <v>0.69</v>
      </c>
      <c r="Q56" s="64">
        <v>10.15</v>
      </c>
      <c r="R56" s="198"/>
      <c r="S56" s="198"/>
      <c r="T56" s="198"/>
      <c r="U56" s="198"/>
    </row>
    <row r="57" spans="1:21" s="12" customFormat="1" x14ac:dyDescent="0.25">
      <c r="A57" s="217" t="s">
        <v>1634</v>
      </c>
      <c r="B57" s="64">
        <v>8.6</v>
      </c>
      <c r="C57" s="64">
        <v>3.72</v>
      </c>
      <c r="D57" s="64">
        <v>12.61</v>
      </c>
      <c r="E57" s="64">
        <v>4.28</v>
      </c>
      <c r="F57" s="64">
        <v>3.44</v>
      </c>
      <c r="G57" s="64">
        <v>76.06</v>
      </c>
      <c r="H57" s="64">
        <v>22.88</v>
      </c>
      <c r="I57" s="64">
        <v>7.3</v>
      </c>
      <c r="J57" s="64">
        <v>0.67</v>
      </c>
      <c r="K57" s="64">
        <v>108.81</v>
      </c>
      <c r="L57" s="64">
        <v>28.62</v>
      </c>
      <c r="M57" s="64">
        <v>82.97</v>
      </c>
      <c r="N57" s="64">
        <v>281.2</v>
      </c>
      <c r="O57" s="64">
        <v>0</v>
      </c>
      <c r="P57" s="64">
        <v>0.68</v>
      </c>
      <c r="Q57" s="64">
        <v>10.06</v>
      </c>
      <c r="R57" s="198"/>
      <c r="S57" s="198"/>
      <c r="T57" s="198"/>
      <c r="U57" s="198"/>
    </row>
    <row r="58" spans="1:21" s="12" customFormat="1" x14ac:dyDescent="0.25">
      <c r="A58" s="217" t="s">
        <v>1635</v>
      </c>
      <c r="B58" s="64">
        <v>8.58</v>
      </c>
      <c r="C58" s="64">
        <v>3.67</v>
      </c>
      <c r="D58" s="64">
        <v>12.57</v>
      </c>
      <c r="E58" s="64">
        <v>4.0999999999999996</v>
      </c>
      <c r="F58" s="64">
        <v>3.8</v>
      </c>
      <c r="G58" s="64">
        <v>76.06</v>
      </c>
      <c r="H58" s="64">
        <v>22.88</v>
      </c>
      <c r="I58" s="64">
        <v>7.26</v>
      </c>
      <c r="J58" s="64">
        <v>2.12</v>
      </c>
      <c r="K58" s="64">
        <v>115.26</v>
      </c>
      <c r="L58" s="64">
        <v>27.03</v>
      </c>
      <c r="M58" s="64">
        <v>89.32</v>
      </c>
      <c r="N58" s="64">
        <v>395.1</v>
      </c>
      <c r="O58" s="64">
        <v>0</v>
      </c>
      <c r="P58" s="64">
        <v>0.68</v>
      </c>
      <c r="Q58" s="64">
        <v>10.06</v>
      </c>
      <c r="R58" s="198"/>
      <c r="S58" s="198"/>
      <c r="T58" s="198"/>
      <c r="U58" s="198"/>
    </row>
    <row r="59" spans="1:21" s="12" customFormat="1" x14ac:dyDescent="0.25">
      <c r="A59" s="217" t="s">
        <v>1636</v>
      </c>
      <c r="B59" s="64">
        <v>8.44</v>
      </c>
      <c r="C59" s="64">
        <v>3.45</v>
      </c>
      <c r="D59" s="64">
        <v>12.34</v>
      </c>
      <c r="E59" s="64">
        <v>4.3099999999999996</v>
      </c>
      <c r="F59" s="64">
        <v>3.56</v>
      </c>
      <c r="G59" s="64">
        <v>74.7</v>
      </c>
      <c r="H59" s="64">
        <v>23.08</v>
      </c>
      <c r="I59" s="64">
        <v>7.26</v>
      </c>
      <c r="J59" s="64">
        <v>1.72</v>
      </c>
      <c r="K59" s="64">
        <v>112.13</v>
      </c>
      <c r="L59" s="64">
        <v>26.96</v>
      </c>
      <c r="M59" s="64">
        <v>89.21</v>
      </c>
      <c r="N59" s="64">
        <v>513.1</v>
      </c>
      <c r="O59" s="64">
        <v>0</v>
      </c>
      <c r="P59" s="64">
        <v>0.67</v>
      </c>
      <c r="Q59" s="64">
        <v>10.08</v>
      </c>
      <c r="R59" s="198"/>
      <c r="S59" s="198"/>
      <c r="T59" s="198"/>
      <c r="U59" s="198"/>
    </row>
    <row r="60" spans="1:21" s="12" customFormat="1" x14ac:dyDescent="0.25">
      <c r="A60" s="217" t="s">
        <v>1637</v>
      </c>
      <c r="B60" s="64">
        <v>8.3699999999999992</v>
      </c>
      <c r="C60" s="64">
        <v>3.32</v>
      </c>
      <c r="D60" s="64">
        <v>12.22</v>
      </c>
      <c r="E60" s="64">
        <v>4.1900000000000004</v>
      </c>
      <c r="F60" s="64">
        <v>3.39</v>
      </c>
      <c r="G60" s="64">
        <v>72.67</v>
      </c>
      <c r="H60" s="64">
        <v>23.39</v>
      </c>
      <c r="I60" s="64">
        <v>7.41</v>
      </c>
      <c r="J60" s="64">
        <v>1.73</v>
      </c>
      <c r="K60" s="64">
        <v>109.04</v>
      </c>
      <c r="L60" s="64">
        <v>27.56</v>
      </c>
      <c r="M60" s="64">
        <v>86.09</v>
      </c>
      <c r="N60" s="64">
        <v>740.4</v>
      </c>
      <c r="O60" s="64">
        <v>0</v>
      </c>
      <c r="P60" s="64">
        <v>0.65</v>
      </c>
      <c r="Q60" s="64">
        <v>9.9700000000000006</v>
      </c>
      <c r="R60" s="198"/>
      <c r="S60" s="198"/>
      <c r="T60" s="198"/>
      <c r="U60" s="198"/>
    </row>
    <row r="61" spans="1:21" s="12" customFormat="1" x14ac:dyDescent="0.25">
      <c r="A61" s="217" t="s">
        <v>1638</v>
      </c>
      <c r="B61" s="64">
        <v>8.33</v>
      </c>
      <c r="C61" s="64">
        <v>3.23</v>
      </c>
      <c r="D61" s="64">
        <v>12.15</v>
      </c>
      <c r="E61" s="64">
        <v>3.96</v>
      </c>
      <c r="F61" s="64">
        <v>3.77</v>
      </c>
      <c r="G61" s="64">
        <v>72.67</v>
      </c>
      <c r="H61" s="64">
        <v>23.39</v>
      </c>
      <c r="I61" s="64">
        <v>7.73</v>
      </c>
      <c r="J61" s="64">
        <v>0.83</v>
      </c>
      <c r="K61" s="64">
        <v>108.77</v>
      </c>
      <c r="L61" s="64">
        <v>27.75</v>
      </c>
      <c r="M61" s="64">
        <v>86.61</v>
      </c>
      <c r="N61" s="64">
        <v>476.3</v>
      </c>
      <c r="O61" s="64">
        <v>0</v>
      </c>
      <c r="P61" s="64">
        <v>0.56000000000000005</v>
      </c>
      <c r="Q61" s="64">
        <v>9.92</v>
      </c>
      <c r="R61" s="198"/>
      <c r="S61" s="198"/>
      <c r="T61" s="198"/>
      <c r="U61" s="198"/>
    </row>
    <row r="62" spans="1:21" s="12" customFormat="1" x14ac:dyDescent="0.25">
      <c r="A62" s="217" t="s">
        <v>1639</v>
      </c>
      <c r="B62" s="64">
        <v>8.35</v>
      </c>
      <c r="C62" s="64">
        <v>3.28</v>
      </c>
      <c r="D62" s="64">
        <v>12.18</v>
      </c>
      <c r="E62" s="64">
        <v>4.1399999999999997</v>
      </c>
      <c r="F62" s="64">
        <v>3.82</v>
      </c>
      <c r="G62" s="64">
        <v>72.67</v>
      </c>
      <c r="H62" s="64">
        <v>23.39</v>
      </c>
      <c r="I62" s="64">
        <v>7.99</v>
      </c>
      <c r="J62" s="64">
        <v>1.23</v>
      </c>
      <c r="K62" s="64">
        <v>101.99</v>
      </c>
      <c r="L62" s="64">
        <v>28.26</v>
      </c>
      <c r="M62" s="64">
        <v>83.49</v>
      </c>
      <c r="N62" s="64">
        <v>474.1</v>
      </c>
      <c r="O62" s="64">
        <v>0</v>
      </c>
      <c r="P62" s="64">
        <v>0.57999999999999996</v>
      </c>
      <c r="Q62" s="64">
        <v>9.8699999999999992</v>
      </c>
      <c r="R62" s="198"/>
      <c r="S62" s="198"/>
      <c r="T62" s="198"/>
      <c r="U62" s="198"/>
    </row>
    <row r="63" spans="1:21" s="12" customFormat="1" x14ac:dyDescent="0.25">
      <c r="A63" s="217" t="s">
        <v>1640</v>
      </c>
      <c r="B63" s="64">
        <v>8.33</v>
      </c>
      <c r="C63" s="64">
        <v>3.24</v>
      </c>
      <c r="D63" s="64">
        <v>12.15</v>
      </c>
      <c r="E63" s="64">
        <v>4.49</v>
      </c>
      <c r="F63" s="64">
        <v>3.42</v>
      </c>
      <c r="G63" s="64">
        <v>69.459999999999994</v>
      </c>
      <c r="H63" s="64">
        <v>24.03</v>
      </c>
      <c r="I63" s="64">
        <v>8.06</v>
      </c>
      <c r="J63" s="64">
        <v>0.99</v>
      </c>
      <c r="K63" s="64">
        <v>121.27</v>
      </c>
      <c r="L63" s="64">
        <v>28.06</v>
      </c>
      <c r="M63" s="64">
        <v>85.22</v>
      </c>
      <c r="N63" s="64">
        <v>197.1</v>
      </c>
      <c r="O63" s="64">
        <v>0</v>
      </c>
      <c r="P63" s="64">
        <v>0.56000000000000005</v>
      </c>
      <c r="Q63" s="64">
        <v>9.77</v>
      </c>
      <c r="R63" s="198"/>
      <c r="S63" s="198"/>
      <c r="T63" s="198"/>
      <c r="U63" s="198"/>
    </row>
    <row r="64" spans="1:21" s="12" customFormat="1" x14ac:dyDescent="0.25">
      <c r="A64" s="217" t="s">
        <v>1641</v>
      </c>
      <c r="B64" s="64">
        <v>8.35</v>
      </c>
      <c r="C64" s="64">
        <v>3.31</v>
      </c>
      <c r="D64" s="64">
        <v>12.2</v>
      </c>
      <c r="E64" s="64">
        <v>3.87</v>
      </c>
      <c r="F64" s="64">
        <v>3.88</v>
      </c>
      <c r="G64" s="64">
        <v>64.63</v>
      </c>
      <c r="H64" s="64">
        <v>24.99</v>
      </c>
      <c r="I64" s="64">
        <v>8.09</v>
      </c>
      <c r="J64" s="64">
        <v>1.08</v>
      </c>
      <c r="K64" s="64">
        <v>159.65</v>
      </c>
      <c r="L64" s="64">
        <v>27.05</v>
      </c>
      <c r="M64" s="64">
        <v>94.2</v>
      </c>
      <c r="N64" s="64">
        <v>221.8</v>
      </c>
      <c r="O64" s="64">
        <v>0</v>
      </c>
      <c r="P64" s="64">
        <v>0.55000000000000004</v>
      </c>
      <c r="Q64" s="64">
        <v>9.7200000000000006</v>
      </c>
      <c r="R64" s="198"/>
      <c r="S64" s="198"/>
      <c r="T64" s="198"/>
      <c r="U64" s="198"/>
    </row>
    <row r="65" spans="1:21" s="12" customFormat="1" x14ac:dyDescent="0.25">
      <c r="A65" s="217" t="s">
        <v>1642</v>
      </c>
      <c r="B65" s="64">
        <v>8.32</v>
      </c>
      <c r="C65" s="64">
        <v>3.25</v>
      </c>
      <c r="D65" s="64">
        <v>12.14</v>
      </c>
      <c r="E65" s="64">
        <v>4.0599999999999996</v>
      </c>
      <c r="F65" s="64">
        <v>2.96</v>
      </c>
      <c r="G65" s="64">
        <v>64.63</v>
      </c>
      <c r="H65" s="64">
        <v>24.99</v>
      </c>
      <c r="I65" s="64">
        <v>8.07</v>
      </c>
      <c r="J65" s="64">
        <v>1.2</v>
      </c>
      <c r="K65" s="64">
        <v>152.68</v>
      </c>
      <c r="L65" s="64">
        <v>27.11</v>
      </c>
      <c r="M65" s="64">
        <v>92.73</v>
      </c>
      <c r="N65" s="64">
        <v>343.4</v>
      </c>
      <c r="O65" s="64">
        <v>0</v>
      </c>
      <c r="P65" s="64">
        <v>0.54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7" t="s">
        <v>1643</v>
      </c>
      <c r="B66" s="64">
        <v>8.36</v>
      </c>
      <c r="C66" s="64">
        <v>3.33</v>
      </c>
      <c r="D66" s="64">
        <v>12.22</v>
      </c>
      <c r="E66" s="64">
        <v>4.33</v>
      </c>
      <c r="F66" s="64">
        <v>3.67</v>
      </c>
      <c r="G66" s="64">
        <v>64.63</v>
      </c>
      <c r="H66" s="64">
        <v>24.99</v>
      </c>
      <c r="I66" s="64">
        <v>7.95</v>
      </c>
      <c r="J66" s="64">
        <v>0.74</v>
      </c>
      <c r="K66" s="64">
        <v>159.21</v>
      </c>
      <c r="L66" s="64">
        <v>28.15</v>
      </c>
      <c r="M66" s="64">
        <v>87.87</v>
      </c>
      <c r="N66" s="64">
        <v>471.4</v>
      </c>
      <c r="O66" s="64">
        <v>0</v>
      </c>
      <c r="P66" s="64">
        <v>0.53</v>
      </c>
      <c r="Q66" s="64">
        <v>9.57</v>
      </c>
      <c r="R66" s="198"/>
      <c r="S66" s="198"/>
      <c r="T66" s="198"/>
      <c r="U66" s="198"/>
    </row>
    <row r="67" spans="1:21" s="12" customFormat="1" x14ac:dyDescent="0.25">
      <c r="A67" s="217" t="s">
        <v>1644</v>
      </c>
      <c r="B67" s="64">
        <v>8.36</v>
      </c>
      <c r="C67" s="64">
        <v>3.25</v>
      </c>
      <c r="D67" s="64">
        <v>12.17</v>
      </c>
      <c r="E67" s="64">
        <v>3.94</v>
      </c>
      <c r="F67" s="64">
        <v>3.9</v>
      </c>
      <c r="G67" s="64">
        <v>61.61</v>
      </c>
      <c r="H67" s="64">
        <v>24.46</v>
      </c>
      <c r="I67" s="64">
        <v>7.84</v>
      </c>
      <c r="J67" s="64">
        <v>0.97</v>
      </c>
      <c r="K67" s="64">
        <v>162.4</v>
      </c>
      <c r="L67" s="64">
        <v>28.11</v>
      </c>
      <c r="M67" s="64">
        <v>87.39</v>
      </c>
      <c r="N67" s="64">
        <v>148.5</v>
      </c>
      <c r="O67" s="64">
        <v>0</v>
      </c>
      <c r="P67" s="64">
        <v>0.51</v>
      </c>
      <c r="Q67" s="64">
        <v>9.58</v>
      </c>
      <c r="R67" s="198"/>
      <c r="S67" s="198"/>
      <c r="T67" s="198"/>
      <c r="U67" s="198"/>
    </row>
    <row r="68" spans="1:21" s="12" customFormat="1" x14ac:dyDescent="0.25">
      <c r="A68" s="217" t="s">
        <v>1645</v>
      </c>
      <c r="B68" s="64">
        <v>8.35</v>
      </c>
      <c r="C68" s="64">
        <v>3.22</v>
      </c>
      <c r="D68" s="64">
        <v>12.15</v>
      </c>
      <c r="E68" s="64">
        <v>4.1900000000000004</v>
      </c>
      <c r="F68" s="64">
        <v>3.84</v>
      </c>
      <c r="G68" s="64">
        <v>57.29</v>
      </c>
      <c r="H68" s="64">
        <v>23.67</v>
      </c>
      <c r="I68" s="64">
        <v>7.7</v>
      </c>
      <c r="J68" s="64">
        <v>0.68</v>
      </c>
      <c r="K68" s="64">
        <v>165.08</v>
      </c>
      <c r="L68" s="64">
        <v>27.61</v>
      </c>
      <c r="M68" s="64">
        <v>89.91</v>
      </c>
      <c r="N68" s="64">
        <v>163.19999999999999</v>
      </c>
      <c r="O68" s="64">
        <v>0</v>
      </c>
      <c r="P68" s="64">
        <v>0.51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7" t="s">
        <v>1646</v>
      </c>
      <c r="B69" s="64">
        <v>8.3699999999999992</v>
      </c>
      <c r="C69" s="64">
        <v>3.21</v>
      </c>
      <c r="D69" s="64">
        <v>12.17</v>
      </c>
      <c r="E69" s="64">
        <v>4.03</v>
      </c>
      <c r="F69" s="64">
        <v>3.65</v>
      </c>
      <c r="G69" s="64">
        <v>57.29</v>
      </c>
      <c r="H69" s="64">
        <v>23.67</v>
      </c>
      <c r="I69" s="64">
        <v>7.61</v>
      </c>
      <c r="J69" s="64">
        <v>0.21</v>
      </c>
      <c r="K69" s="64">
        <v>328.86</v>
      </c>
      <c r="L69" s="64">
        <v>26.97</v>
      </c>
      <c r="M69" s="64">
        <v>95.85</v>
      </c>
      <c r="N69" s="64">
        <v>77</v>
      </c>
      <c r="O69" s="64">
        <v>0</v>
      </c>
      <c r="P69" s="64">
        <v>0.5</v>
      </c>
      <c r="Q69" s="64">
        <v>9.5299999999999994</v>
      </c>
      <c r="R69" s="198"/>
      <c r="S69" s="198"/>
      <c r="T69" s="198"/>
      <c r="U69" s="198"/>
    </row>
    <row r="70" spans="1:21" s="12" customFormat="1" x14ac:dyDescent="0.25">
      <c r="A70" s="217" t="s">
        <v>1647</v>
      </c>
      <c r="B70" s="64">
        <v>8.4</v>
      </c>
      <c r="C70" s="64">
        <v>3.31</v>
      </c>
      <c r="D70" s="64">
        <v>12.24</v>
      </c>
      <c r="E70" s="64">
        <v>3.86</v>
      </c>
      <c r="F70" s="64">
        <v>3.57</v>
      </c>
      <c r="G70" s="64">
        <v>57.29</v>
      </c>
      <c r="H70" s="64">
        <v>23.67</v>
      </c>
      <c r="I70" s="64">
        <v>7.53</v>
      </c>
      <c r="J70" s="64">
        <v>0.47</v>
      </c>
      <c r="K70" s="64">
        <v>321.82</v>
      </c>
      <c r="L70" s="64">
        <v>26</v>
      </c>
      <c r="M70" s="64">
        <v>97.79</v>
      </c>
      <c r="N70" s="64">
        <v>83.4</v>
      </c>
      <c r="O70" s="64">
        <v>0.2</v>
      </c>
      <c r="P70" s="64">
        <v>0.49</v>
      </c>
      <c r="Q70" s="64">
        <v>9.51</v>
      </c>
      <c r="R70" s="198"/>
      <c r="S70" s="198"/>
      <c r="T70" s="198"/>
      <c r="U70" s="198"/>
    </row>
    <row r="71" spans="1:21" s="12" customFormat="1" x14ac:dyDescent="0.25">
      <c r="A71" s="217" t="s">
        <v>1648</v>
      </c>
      <c r="B71" s="64">
        <v>8.3699999999999992</v>
      </c>
      <c r="C71" s="64">
        <v>3.31</v>
      </c>
      <c r="D71" s="64">
        <v>12.21</v>
      </c>
      <c r="E71" s="64">
        <v>4</v>
      </c>
      <c r="F71" s="64">
        <v>3.73</v>
      </c>
      <c r="G71" s="64">
        <v>54.9</v>
      </c>
      <c r="H71" s="64">
        <v>23.59</v>
      </c>
      <c r="I71" s="64">
        <v>7.31</v>
      </c>
      <c r="J71" s="64">
        <v>0.25</v>
      </c>
      <c r="K71" s="64">
        <v>208.66</v>
      </c>
      <c r="L71" s="64">
        <v>25.56</v>
      </c>
      <c r="M71" s="64">
        <v>98.9</v>
      </c>
      <c r="N71" s="64">
        <v>98.1</v>
      </c>
      <c r="O71" s="64">
        <v>0</v>
      </c>
      <c r="P71" s="64">
        <v>0.49</v>
      </c>
      <c r="Q71" s="64">
        <v>9.51</v>
      </c>
      <c r="R71" s="198"/>
      <c r="S71" s="198"/>
      <c r="T71" s="198"/>
      <c r="U71" s="198"/>
    </row>
    <row r="72" spans="1:21" s="12" customFormat="1" x14ac:dyDescent="0.25">
      <c r="A72" s="217" t="s">
        <v>1649</v>
      </c>
      <c r="B72" s="64">
        <v>8.3699999999999992</v>
      </c>
      <c r="C72" s="64">
        <v>3.29</v>
      </c>
      <c r="D72" s="64">
        <v>12.2</v>
      </c>
      <c r="E72" s="64">
        <v>3.58</v>
      </c>
      <c r="F72" s="64">
        <v>3.95</v>
      </c>
      <c r="G72" s="64">
        <v>51.49</v>
      </c>
      <c r="H72" s="64">
        <v>23.48</v>
      </c>
      <c r="I72" s="64">
        <v>7.09</v>
      </c>
      <c r="J72" s="64">
        <v>1.21</v>
      </c>
      <c r="K72" s="64">
        <v>149.63999999999999</v>
      </c>
      <c r="L72" s="64">
        <v>25.39</v>
      </c>
      <c r="M72" s="64">
        <v>98.9</v>
      </c>
      <c r="N72" s="64">
        <v>124.1</v>
      </c>
      <c r="O72" s="64">
        <v>0</v>
      </c>
      <c r="P72" s="64">
        <v>0.49</v>
      </c>
      <c r="Q72" s="64">
        <v>9.51</v>
      </c>
      <c r="R72" s="198"/>
      <c r="S72" s="198"/>
      <c r="T72" s="198"/>
      <c r="U72" s="198"/>
    </row>
    <row r="73" spans="1:21" s="12" customFormat="1" x14ac:dyDescent="0.25">
      <c r="A73" s="217" t="s">
        <v>1650</v>
      </c>
      <c r="B73" s="64">
        <v>8.35</v>
      </c>
      <c r="C73" s="64">
        <v>3.31</v>
      </c>
      <c r="D73" s="64">
        <v>12.2</v>
      </c>
      <c r="E73" s="64">
        <v>4.45</v>
      </c>
      <c r="F73" s="64">
        <v>3.64</v>
      </c>
      <c r="G73" s="64">
        <v>51.49</v>
      </c>
      <c r="H73" s="64">
        <v>23.48</v>
      </c>
      <c r="I73" s="64">
        <v>6.93</v>
      </c>
      <c r="J73" s="64">
        <v>1.1000000000000001</v>
      </c>
      <c r="K73" s="64">
        <v>168.44</v>
      </c>
      <c r="L73" s="64">
        <v>25</v>
      </c>
      <c r="M73" s="64">
        <v>98.92</v>
      </c>
      <c r="N73" s="64">
        <v>75.900000000000006</v>
      </c>
      <c r="O73" s="64">
        <v>0.2</v>
      </c>
      <c r="P73" s="64">
        <v>0.47</v>
      </c>
      <c r="Q73" s="64">
        <v>9.5</v>
      </c>
      <c r="R73" s="198"/>
      <c r="S73" s="198"/>
      <c r="T73" s="198"/>
      <c r="U73" s="198"/>
    </row>
    <row r="74" spans="1:21" s="12" customFormat="1" x14ac:dyDescent="0.25">
      <c r="A74" s="217" t="s">
        <v>1651</v>
      </c>
      <c r="B74" s="64">
        <v>8.32</v>
      </c>
      <c r="C74" s="64">
        <v>3.23</v>
      </c>
      <c r="D74" s="64">
        <v>12.13</v>
      </c>
      <c r="E74" s="64">
        <v>4.3899999999999997</v>
      </c>
      <c r="F74" s="64">
        <v>4.32</v>
      </c>
      <c r="G74" s="64">
        <v>51.49</v>
      </c>
      <c r="H74" s="64">
        <v>23.48</v>
      </c>
      <c r="I74" s="64">
        <v>6.87</v>
      </c>
      <c r="J74" s="64">
        <v>1.54</v>
      </c>
      <c r="K74" s="64">
        <v>129.77000000000001</v>
      </c>
      <c r="L74" s="64">
        <v>23.36</v>
      </c>
      <c r="M74" s="64">
        <v>98.96</v>
      </c>
      <c r="N74" s="64">
        <v>77</v>
      </c>
      <c r="O74" s="64">
        <v>2</v>
      </c>
      <c r="P74" s="64">
        <v>0.46</v>
      </c>
      <c r="Q74" s="64">
        <v>9.4700000000000006</v>
      </c>
      <c r="R74" s="198"/>
      <c r="S74" s="198"/>
      <c r="T74" s="198"/>
      <c r="U74" s="198"/>
    </row>
    <row r="75" spans="1:21" s="12" customFormat="1" x14ac:dyDescent="0.25">
      <c r="A75" s="217" t="s">
        <v>1652</v>
      </c>
      <c r="B75" s="64">
        <v>8.31</v>
      </c>
      <c r="C75" s="64">
        <v>3.27</v>
      </c>
      <c r="D75" s="64">
        <v>12.15</v>
      </c>
      <c r="E75" s="64">
        <v>4.21</v>
      </c>
      <c r="F75" s="64">
        <v>3.74</v>
      </c>
      <c r="G75" s="64">
        <v>48.49</v>
      </c>
      <c r="H75" s="64">
        <v>22.11</v>
      </c>
      <c r="I75" s="64">
        <v>6.74</v>
      </c>
      <c r="J75" s="64">
        <v>0.09</v>
      </c>
      <c r="K75" s="64">
        <v>317.38</v>
      </c>
      <c r="L75" s="64">
        <v>22.71</v>
      </c>
      <c r="M75" s="64">
        <v>99</v>
      </c>
      <c r="N75" s="64">
        <v>87.4</v>
      </c>
      <c r="O75" s="64">
        <v>2.2000000000000002</v>
      </c>
      <c r="P75" s="64">
        <v>0.45</v>
      </c>
      <c r="Q75" s="64">
        <v>9.48</v>
      </c>
      <c r="R75" s="198"/>
      <c r="S75" s="198"/>
      <c r="T75" s="198"/>
      <c r="U75" s="198"/>
    </row>
    <row r="76" spans="1:21" s="12" customFormat="1" x14ac:dyDescent="0.25">
      <c r="A76" s="217" t="s">
        <v>1653</v>
      </c>
      <c r="B76" s="64">
        <v>8.34</v>
      </c>
      <c r="C76" s="64">
        <v>3.29</v>
      </c>
      <c r="D76" s="64">
        <v>12.18</v>
      </c>
      <c r="E76" s="64">
        <v>4.43</v>
      </c>
      <c r="F76" s="64">
        <v>3.99</v>
      </c>
      <c r="G76" s="64">
        <v>43.99</v>
      </c>
      <c r="H76" s="64">
        <v>20.16</v>
      </c>
      <c r="I76" s="64">
        <v>6.65</v>
      </c>
      <c r="J76" s="64">
        <v>0.38</v>
      </c>
      <c r="K76" s="64">
        <v>142.13999999999999</v>
      </c>
      <c r="L76" s="64">
        <v>22.85</v>
      </c>
      <c r="M76" s="64">
        <v>99</v>
      </c>
      <c r="N76" s="64">
        <v>83.4</v>
      </c>
      <c r="O76" s="64">
        <v>0.2</v>
      </c>
      <c r="P76" s="64">
        <v>0.45</v>
      </c>
      <c r="Q76" s="64">
        <v>9.41</v>
      </c>
      <c r="R76" s="198"/>
      <c r="S76" s="198"/>
      <c r="T76" s="198"/>
      <c r="U76" s="198"/>
    </row>
    <row r="77" spans="1:21" s="12" customFormat="1" x14ac:dyDescent="0.25">
      <c r="A77" s="217" t="s">
        <v>1654</v>
      </c>
      <c r="B77" s="64">
        <v>8.35</v>
      </c>
      <c r="C77" s="64">
        <v>3.32</v>
      </c>
      <c r="D77" s="64">
        <v>12.2</v>
      </c>
      <c r="E77" s="64">
        <v>4.07</v>
      </c>
      <c r="F77" s="64">
        <v>3.65</v>
      </c>
      <c r="G77" s="64">
        <v>43.99</v>
      </c>
      <c r="H77" s="64">
        <v>20.16</v>
      </c>
      <c r="I77" s="64">
        <v>6.46</v>
      </c>
      <c r="J77" s="64">
        <v>0.12</v>
      </c>
      <c r="K77" s="64">
        <v>238.58</v>
      </c>
      <c r="L77" s="64">
        <v>22.89</v>
      </c>
      <c r="M77" s="64">
        <v>99</v>
      </c>
      <c r="N77" s="64">
        <v>74.099999999999994</v>
      </c>
      <c r="O77" s="64">
        <v>0</v>
      </c>
      <c r="P77" s="64">
        <v>0.46</v>
      </c>
      <c r="Q77" s="64">
        <v>9.41</v>
      </c>
      <c r="R77" s="198"/>
      <c r="S77" s="198"/>
      <c r="T77" s="198"/>
      <c r="U77" s="198"/>
    </row>
    <row r="78" spans="1:21" s="12" customFormat="1" x14ac:dyDescent="0.25">
      <c r="A78" s="217" t="s">
        <v>1655</v>
      </c>
      <c r="B78" s="64">
        <v>8.32</v>
      </c>
      <c r="C78" s="64">
        <v>3.24</v>
      </c>
      <c r="D78" s="64">
        <v>12.14</v>
      </c>
      <c r="E78" s="64">
        <v>4.4000000000000004</v>
      </c>
      <c r="F78" s="64">
        <v>3.58</v>
      </c>
      <c r="G78" s="64">
        <v>43.99</v>
      </c>
      <c r="H78" s="64">
        <v>20.16</v>
      </c>
      <c r="I78" s="64">
        <v>6.19</v>
      </c>
      <c r="J78" s="64">
        <v>0.1</v>
      </c>
      <c r="K78" s="64">
        <v>18.309999999999999</v>
      </c>
      <c r="L78" s="64">
        <v>22.69</v>
      </c>
      <c r="M78" s="64">
        <v>99</v>
      </c>
      <c r="N78" s="64">
        <v>67.8</v>
      </c>
      <c r="O78" s="64">
        <v>0</v>
      </c>
      <c r="P78" s="64">
        <v>0.45</v>
      </c>
      <c r="Q78" s="64">
        <v>9.41</v>
      </c>
      <c r="R78" s="198"/>
      <c r="S78" s="198"/>
      <c r="T78" s="198"/>
      <c r="U78" s="198"/>
    </row>
    <row r="79" spans="1:21" s="12" customFormat="1" x14ac:dyDescent="0.25">
      <c r="A79" s="217" t="s">
        <v>1656</v>
      </c>
      <c r="B79" s="64">
        <v>8.32</v>
      </c>
      <c r="C79" s="64">
        <v>3.17</v>
      </c>
      <c r="D79" s="64">
        <v>12.1</v>
      </c>
      <c r="E79" s="64">
        <v>4.1399999999999997</v>
      </c>
      <c r="F79" s="64">
        <v>3.34</v>
      </c>
      <c r="G79" s="64">
        <v>38.75</v>
      </c>
      <c r="H79" s="64">
        <v>18.84</v>
      </c>
      <c r="I79" s="64">
        <v>5.96</v>
      </c>
      <c r="J79" s="64">
        <v>0.57999999999999996</v>
      </c>
      <c r="K79" s="64">
        <v>348.09</v>
      </c>
      <c r="L79" s="64">
        <v>22.72</v>
      </c>
      <c r="M79" s="64">
        <v>99</v>
      </c>
      <c r="N79" s="64">
        <v>69.7</v>
      </c>
      <c r="O79" s="64">
        <v>0</v>
      </c>
      <c r="P79" s="64">
        <v>0.45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7" t="s">
        <v>1657</v>
      </c>
      <c r="B80" s="64">
        <v>8.34</v>
      </c>
      <c r="C80" s="64">
        <v>3.25</v>
      </c>
      <c r="D80" s="64">
        <v>12.16</v>
      </c>
      <c r="E80" s="64">
        <v>4.6100000000000003</v>
      </c>
      <c r="F80" s="64">
        <v>3.21</v>
      </c>
      <c r="G80" s="64">
        <v>31.24</v>
      </c>
      <c r="H80" s="64">
        <v>16.940000000000001</v>
      </c>
      <c r="I80" s="64">
        <v>5.73</v>
      </c>
      <c r="J80" s="64">
        <v>0.68</v>
      </c>
      <c r="K80" s="64">
        <v>336.72</v>
      </c>
      <c r="L80" s="64">
        <v>23</v>
      </c>
      <c r="M80" s="64">
        <v>99</v>
      </c>
      <c r="N80" s="64">
        <v>78.599999999999994</v>
      </c>
      <c r="O80" s="64">
        <v>0</v>
      </c>
      <c r="P80" s="64">
        <v>0.49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7" t="s">
        <v>1658</v>
      </c>
      <c r="B81" s="64">
        <v>8.4600000000000009</v>
      </c>
      <c r="C81" s="64">
        <v>3.54</v>
      </c>
      <c r="D81" s="64">
        <v>12.41</v>
      </c>
      <c r="E81" s="64">
        <v>4.4000000000000004</v>
      </c>
      <c r="F81" s="64">
        <v>3.56</v>
      </c>
      <c r="G81" s="64">
        <v>31.24</v>
      </c>
      <c r="H81" s="64">
        <v>16.940000000000001</v>
      </c>
      <c r="I81" s="64">
        <v>5.59</v>
      </c>
      <c r="J81" s="64">
        <v>0.39</v>
      </c>
      <c r="K81" s="64">
        <v>330.71</v>
      </c>
      <c r="L81" s="64">
        <v>22.78</v>
      </c>
      <c r="M81" s="64">
        <v>98.47</v>
      </c>
      <c r="N81" s="64">
        <v>67.400000000000006</v>
      </c>
      <c r="O81" s="64">
        <v>0</v>
      </c>
      <c r="P81" s="64">
        <v>0.53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7" t="s">
        <v>1659</v>
      </c>
      <c r="B82" s="64">
        <v>8.5</v>
      </c>
      <c r="C82" s="64">
        <v>3.68</v>
      </c>
      <c r="D82" s="64">
        <v>12.52</v>
      </c>
      <c r="E82" s="64">
        <v>4.0199999999999996</v>
      </c>
      <c r="F82" s="64">
        <v>3.1</v>
      </c>
      <c r="G82" s="64">
        <v>31.24</v>
      </c>
      <c r="H82" s="64">
        <v>16.940000000000001</v>
      </c>
      <c r="I82" s="64">
        <v>5.54</v>
      </c>
      <c r="J82" s="64">
        <v>0.56999999999999995</v>
      </c>
      <c r="K82" s="64">
        <v>352.63</v>
      </c>
      <c r="L82" s="64">
        <v>22.89</v>
      </c>
      <c r="M82" s="64">
        <v>98.46</v>
      </c>
      <c r="N82" s="64">
        <v>56.7</v>
      </c>
      <c r="O82" s="64">
        <v>0</v>
      </c>
      <c r="P82" s="64">
        <v>0.55000000000000004</v>
      </c>
      <c r="Q82" s="64">
        <v>9.52</v>
      </c>
      <c r="R82" s="198"/>
      <c r="S82" s="198"/>
      <c r="T82" s="198"/>
      <c r="U82" s="198"/>
    </row>
    <row r="83" spans="1:26" s="12" customFormat="1" x14ac:dyDescent="0.25">
      <c r="A83" s="217" t="s">
        <v>1660</v>
      </c>
      <c r="B83" s="64">
        <v>8.4</v>
      </c>
      <c r="C83" s="64">
        <v>3.41</v>
      </c>
      <c r="D83" s="64">
        <v>12.29</v>
      </c>
      <c r="E83" s="64">
        <v>4.24</v>
      </c>
      <c r="F83" s="64">
        <v>3.38</v>
      </c>
      <c r="G83" s="64">
        <v>27.28</v>
      </c>
      <c r="H83" s="64">
        <v>16.39</v>
      </c>
      <c r="I83" s="64">
        <v>5.71</v>
      </c>
      <c r="J83" s="64">
        <v>0.36</v>
      </c>
      <c r="K83" s="64">
        <v>323.70999999999998</v>
      </c>
      <c r="L83" s="64">
        <v>22.94</v>
      </c>
      <c r="M83" s="64">
        <v>99</v>
      </c>
      <c r="N83" s="64">
        <v>52.4</v>
      </c>
      <c r="O83" s="64">
        <v>0</v>
      </c>
      <c r="P83" s="64">
        <v>0.57999999999999996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17" t="s">
        <v>1661</v>
      </c>
      <c r="B84" s="64">
        <v>8.3800000000000008</v>
      </c>
      <c r="C84" s="64">
        <v>3.34</v>
      </c>
      <c r="D84" s="64">
        <v>12.24</v>
      </c>
      <c r="E84" s="64">
        <v>3.92</v>
      </c>
      <c r="F84" s="64">
        <v>3.32</v>
      </c>
      <c r="G84" s="64">
        <v>21.61</v>
      </c>
      <c r="H84" s="64">
        <v>15.59</v>
      </c>
      <c r="I84" s="64">
        <v>5.83</v>
      </c>
      <c r="J84" s="64">
        <v>0.18</v>
      </c>
      <c r="K84" s="64">
        <v>118.51</v>
      </c>
      <c r="L84" s="64">
        <v>23.03</v>
      </c>
      <c r="M84" s="64">
        <v>99</v>
      </c>
      <c r="N84" s="64">
        <v>51.5</v>
      </c>
      <c r="O84" s="64">
        <v>0</v>
      </c>
      <c r="P84" s="64">
        <v>0.61</v>
      </c>
      <c r="Q84" s="64">
        <v>9.58</v>
      </c>
      <c r="R84" s="198"/>
      <c r="S84" s="198"/>
      <c r="T84" s="198"/>
      <c r="U84" s="198"/>
    </row>
    <row r="85" spans="1:26" s="12" customFormat="1" x14ac:dyDescent="0.25">
      <c r="A85" s="217" t="s">
        <v>1662</v>
      </c>
      <c r="B85" s="64">
        <v>8.3800000000000008</v>
      </c>
      <c r="C85" s="64">
        <v>3.22</v>
      </c>
      <c r="D85" s="64">
        <v>12.17</v>
      </c>
      <c r="E85" s="64">
        <v>4.05</v>
      </c>
      <c r="F85" s="64">
        <v>3.19</v>
      </c>
      <c r="G85" s="64">
        <v>21.61</v>
      </c>
      <c r="H85" s="64">
        <v>15.59</v>
      </c>
      <c r="I85" s="64">
        <v>5.91</v>
      </c>
      <c r="J85" s="64">
        <v>0.39</v>
      </c>
      <c r="K85" s="64">
        <v>248.17</v>
      </c>
      <c r="L85" s="64">
        <v>23.16</v>
      </c>
      <c r="M85" s="64">
        <v>99</v>
      </c>
      <c r="N85" s="64">
        <v>51.4</v>
      </c>
      <c r="O85" s="64">
        <v>0</v>
      </c>
      <c r="P85" s="64">
        <v>0.61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7" t="s">
        <v>1663</v>
      </c>
      <c r="B86" s="64">
        <v>8.39</v>
      </c>
      <c r="C86" s="64">
        <v>3.23</v>
      </c>
      <c r="D86" s="64">
        <v>12.19</v>
      </c>
      <c r="E86" s="64">
        <v>4.01</v>
      </c>
      <c r="F86" s="64">
        <v>3.28</v>
      </c>
      <c r="G86" s="64">
        <v>21.61</v>
      </c>
      <c r="H86" s="64">
        <v>15.59</v>
      </c>
      <c r="I86" s="64">
        <v>6.06</v>
      </c>
      <c r="J86" s="64">
        <v>1.25</v>
      </c>
      <c r="K86" s="64">
        <v>152.35</v>
      </c>
      <c r="L86" s="64">
        <v>23.27</v>
      </c>
      <c r="M86" s="64">
        <v>98.58</v>
      </c>
      <c r="N86" s="64">
        <v>51.3</v>
      </c>
      <c r="O86" s="64">
        <v>0</v>
      </c>
      <c r="P86" s="64">
        <v>0.65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7" t="s">
        <v>1664</v>
      </c>
      <c r="B87" s="64">
        <v>8.39</v>
      </c>
      <c r="C87" s="64">
        <v>3.26</v>
      </c>
      <c r="D87" s="64">
        <v>12.2</v>
      </c>
      <c r="E87" s="64">
        <v>4.46</v>
      </c>
      <c r="F87" s="64">
        <v>3.39</v>
      </c>
      <c r="G87" s="64">
        <v>25.81</v>
      </c>
      <c r="H87" s="64">
        <v>14.65</v>
      </c>
      <c r="I87" s="64">
        <v>6.2</v>
      </c>
      <c r="J87" s="64">
        <v>0.6</v>
      </c>
      <c r="K87" s="64">
        <v>187.13</v>
      </c>
      <c r="L87" s="64">
        <v>23.15</v>
      </c>
      <c r="M87" s="64">
        <v>98.74</v>
      </c>
      <c r="N87" s="64">
        <v>51.8</v>
      </c>
      <c r="O87" s="64">
        <v>0</v>
      </c>
      <c r="P87" s="64">
        <v>0.67</v>
      </c>
      <c r="Q87" s="64">
        <v>9.69</v>
      </c>
      <c r="R87" s="198"/>
      <c r="S87" s="198"/>
      <c r="T87" s="198"/>
      <c r="U87" s="198"/>
    </row>
    <row r="88" spans="1:26" s="12" customFormat="1" x14ac:dyDescent="0.25">
      <c r="A88" s="217" t="s">
        <v>1665</v>
      </c>
      <c r="B88" s="64">
        <v>8.42</v>
      </c>
      <c r="C88" s="64">
        <v>3.33</v>
      </c>
      <c r="D88" s="64">
        <v>12.26</v>
      </c>
      <c r="E88" s="64">
        <v>5.42</v>
      </c>
      <c r="F88" s="64">
        <v>3.44</v>
      </c>
      <c r="G88" s="64">
        <v>31.84</v>
      </c>
      <c r="H88" s="64">
        <v>13.3</v>
      </c>
      <c r="I88" s="64">
        <v>6.44</v>
      </c>
      <c r="J88" s="64">
        <v>0.23</v>
      </c>
      <c r="K88" s="64">
        <v>42.93</v>
      </c>
      <c r="L88" s="64">
        <v>23.35</v>
      </c>
      <c r="M88" s="64">
        <v>98.76</v>
      </c>
      <c r="N88" s="64">
        <v>51.3</v>
      </c>
      <c r="O88" s="64">
        <v>0</v>
      </c>
      <c r="P88" s="64">
        <v>0.69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7" t="s">
        <v>1666</v>
      </c>
      <c r="B89" s="64">
        <v>8.4700000000000006</v>
      </c>
      <c r="C89" s="64">
        <v>3.36</v>
      </c>
      <c r="D89" s="64">
        <v>12.32</v>
      </c>
      <c r="E89" s="64">
        <v>5.0999999999999996</v>
      </c>
      <c r="F89" s="64">
        <v>3.3</v>
      </c>
      <c r="G89" s="64">
        <v>31.84</v>
      </c>
      <c r="H89" s="64">
        <v>13.3</v>
      </c>
      <c r="I89" s="64">
        <v>6.69</v>
      </c>
      <c r="J89" s="64">
        <v>0.57999999999999996</v>
      </c>
      <c r="K89" s="64">
        <v>136.6</v>
      </c>
      <c r="L89" s="64">
        <v>23.28</v>
      </c>
      <c r="M89" s="64">
        <v>99</v>
      </c>
      <c r="N89" s="64">
        <v>51.6</v>
      </c>
      <c r="O89" s="64">
        <v>0</v>
      </c>
      <c r="P89" s="64">
        <v>0.72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7" t="s">
        <v>1667</v>
      </c>
      <c r="B90" s="64">
        <v>8.4</v>
      </c>
      <c r="C90" s="64">
        <v>3.25</v>
      </c>
      <c r="D90" s="64">
        <v>12.21</v>
      </c>
      <c r="E90" s="64">
        <v>5.25</v>
      </c>
      <c r="F90" s="64">
        <v>3.37</v>
      </c>
      <c r="G90" s="64">
        <v>31.84</v>
      </c>
      <c r="H90" s="64">
        <v>13.3</v>
      </c>
      <c r="I90" s="64">
        <v>6.85</v>
      </c>
      <c r="J90" s="64">
        <v>0.34</v>
      </c>
      <c r="K90" s="64">
        <v>187.07</v>
      </c>
      <c r="L90" s="64">
        <v>23.12</v>
      </c>
      <c r="M90" s="64">
        <v>99</v>
      </c>
      <c r="N90" s="64">
        <v>51.8</v>
      </c>
      <c r="O90" s="64">
        <v>0</v>
      </c>
      <c r="P90" s="64">
        <v>0.75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17" t="s">
        <v>1668</v>
      </c>
      <c r="B91" s="64">
        <v>8.3800000000000008</v>
      </c>
      <c r="C91" s="64">
        <v>3.2</v>
      </c>
      <c r="D91" s="64">
        <v>12.17</v>
      </c>
      <c r="E91" s="64">
        <v>5.01</v>
      </c>
      <c r="F91" s="64">
        <v>3.97</v>
      </c>
      <c r="G91" s="64">
        <v>31.74</v>
      </c>
      <c r="H91" s="64">
        <v>14.33</v>
      </c>
      <c r="I91" s="64">
        <v>6.95</v>
      </c>
      <c r="J91" s="64">
        <v>0.46</v>
      </c>
      <c r="K91" s="64">
        <v>352.37</v>
      </c>
      <c r="L91" s="64">
        <v>23.19</v>
      </c>
      <c r="M91" s="64">
        <v>99</v>
      </c>
      <c r="N91" s="64">
        <v>51.6</v>
      </c>
      <c r="O91" s="64">
        <v>0</v>
      </c>
      <c r="P91" s="64">
        <v>0.77</v>
      </c>
      <c r="Q91" s="64">
        <v>9.77</v>
      </c>
      <c r="R91" s="198"/>
      <c r="S91" s="198"/>
      <c r="T91" s="198"/>
      <c r="U91" s="198"/>
    </row>
    <row r="92" spans="1:26" s="12" customFormat="1" x14ac:dyDescent="0.25">
      <c r="A92" s="217" t="s">
        <v>1669</v>
      </c>
      <c r="B92" s="64">
        <v>8.41</v>
      </c>
      <c r="C92" s="64">
        <v>3.43</v>
      </c>
      <c r="D92" s="64">
        <v>12.32</v>
      </c>
      <c r="E92" s="64">
        <v>5.32</v>
      </c>
      <c r="F92" s="64">
        <v>2.65</v>
      </c>
      <c r="G92" s="64">
        <v>31.6</v>
      </c>
      <c r="H92" s="64">
        <v>15.81</v>
      </c>
      <c r="I92" s="64">
        <v>7</v>
      </c>
      <c r="J92" s="64">
        <v>0.25</v>
      </c>
      <c r="K92" s="64">
        <v>138.26</v>
      </c>
      <c r="L92" s="64">
        <v>23.15</v>
      </c>
      <c r="M92" s="64">
        <v>99</v>
      </c>
      <c r="N92" s="64">
        <v>51.4</v>
      </c>
      <c r="O92" s="64">
        <v>0</v>
      </c>
      <c r="P92" s="64">
        <v>0.8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7" t="s">
        <v>1670</v>
      </c>
      <c r="B93" s="64">
        <v>8.39</v>
      </c>
      <c r="C93" s="64">
        <v>3.38</v>
      </c>
      <c r="D93" s="64">
        <v>12.27</v>
      </c>
      <c r="E93" s="64">
        <v>5.07</v>
      </c>
      <c r="F93" s="64">
        <v>3.97</v>
      </c>
      <c r="G93" s="64">
        <v>31.6</v>
      </c>
      <c r="H93" s="64">
        <v>15.81</v>
      </c>
      <c r="I93" s="64">
        <v>7.06</v>
      </c>
      <c r="J93" s="64">
        <v>0.24</v>
      </c>
      <c r="K93" s="64">
        <v>178.55</v>
      </c>
      <c r="L93" s="64">
        <v>23.09</v>
      </c>
      <c r="M93" s="64">
        <v>98.46</v>
      </c>
      <c r="N93" s="64">
        <v>51.5</v>
      </c>
      <c r="O93" s="64">
        <v>0</v>
      </c>
      <c r="P93" s="64">
        <v>0.82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7" t="s">
        <v>1671</v>
      </c>
      <c r="B94" s="64">
        <v>8.3699999999999992</v>
      </c>
      <c r="C94" s="64">
        <v>3.32</v>
      </c>
      <c r="D94" s="64">
        <v>12.22</v>
      </c>
      <c r="E94" s="64">
        <v>5.24</v>
      </c>
      <c r="F94" s="64">
        <v>2.6</v>
      </c>
      <c r="G94" s="64">
        <v>31.6</v>
      </c>
      <c r="H94" s="64">
        <v>15.81</v>
      </c>
      <c r="I94" s="64">
        <v>7.1</v>
      </c>
      <c r="J94" s="64">
        <v>0.6</v>
      </c>
      <c r="K94" s="64">
        <v>291.33</v>
      </c>
      <c r="L94" s="64">
        <v>23.2</v>
      </c>
      <c r="M94" s="64">
        <v>99</v>
      </c>
      <c r="N94" s="64">
        <v>51.3</v>
      </c>
      <c r="O94" s="64">
        <v>0</v>
      </c>
      <c r="P94" s="64">
        <v>0.85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7" t="s">
        <v>1672</v>
      </c>
      <c r="B95" s="64">
        <v>8.31</v>
      </c>
      <c r="C95" s="64">
        <v>3.23</v>
      </c>
      <c r="D95" s="64">
        <v>12.13</v>
      </c>
      <c r="E95" s="64">
        <v>5.16</v>
      </c>
      <c r="F95" s="64">
        <v>3.45</v>
      </c>
      <c r="G95" s="64">
        <v>33.58</v>
      </c>
      <c r="H95" s="64">
        <v>16.73</v>
      </c>
      <c r="I95" s="64">
        <v>7.13</v>
      </c>
      <c r="J95" s="64">
        <v>0.15</v>
      </c>
      <c r="K95" s="64">
        <v>264.29000000000002</v>
      </c>
      <c r="L95" s="64">
        <v>23.3</v>
      </c>
      <c r="M95" s="64">
        <v>99</v>
      </c>
      <c r="N95" s="64">
        <v>51</v>
      </c>
      <c r="O95" s="64">
        <v>0</v>
      </c>
      <c r="P95" s="64">
        <v>0.9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7" t="s">
        <v>1673</v>
      </c>
      <c r="B96" s="64">
        <v>8.3800000000000008</v>
      </c>
      <c r="C96" s="64">
        <v>3.3</v>
      </c>
      <c r="D96" s="64">
        <v>12.21</v>
      </c>
      <c r="E96" s="64">
        <v>5.21</v>
      </c>
      <c r="F96" s="64">
        <v>3.6</v>
      </c>
      <c r="G96" s="64">
        <v>36.409999999999997</v>
      </c>
      <c r="H96" s="64">
        <v>18.13</v>
      </c>
      <c r="I96" s="64">
        <v>7.14</v>
      </c>
      <c r="J96" s="64">
        <v>0.3</v>
      </c>
      <c r="K96" s="64">
        <v>288.12</v>
      </c>
      <c r="L96" s="64">
        <v>23.3</v>
      </c>
      <c r="M96" s="64">
        <v>99</v>
      </c>
      <c r="N96" s="64">
        <v>51.1</v>
      </c>
      <c r="O96" s="64">
        <v>0</v>
      </c>
      <c r="P96" s="64">
        <v>0.95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1674</v>
      </c>
      <c r="B97" s="64">
        <v>8.4</v>
      </c>
      <c r="C97" s="64">
        <v>3.32</v>
      </c>
      <c r="D97" s="64">
        <v>12.24</v>
      </c>
      <c r="E97" s="64">
        <v>5.18</v>
      </c>
      <c r="F97" s="64">
        <v>2.64</v>
      </c>
      <c r="G97" s="64">
        <v>36.409999999999997</v>
      </c>
      <c r="H97" s="64">
        <v>18.13</v>
      </c>
      <c r="I97" s="64">
        <v>7.23</v>
      </c>
      <c r="J97" s="64">
        <v>0.04</v>
      </c>
      <c r="K97" s="64">
        <v>291.5</v>
      </c>
      <c r="L97" s="64">
        <v>23.21</v>
      </c>
      <c r="M97" s="64">
        <v>99</v>
      </c>
      <c r="N97" s="64">
        <v>51.1</v>
      </c>
      <c r="O97" s="64">
        <v>0</v>
      </c>
      <c r="P97" s="64">
        <v>0.98</v>
      </c>
      <c r="Q97" s="64">
        <v>9.7899999999999991</v>
      </c>
      <c r="R97" s="198"/>
      <c r="S97" s="198"/>
      <c r="T97" s="198"/>
      <c r="U97" s="198"/>
    </row>
    <row r="98" spans="1:33" s="12" customFormat="1" x14ac:dyDescent="0.25">
      <c r="A98" s="217" t="s">
        <v>1675</v>
      </c>
      <c r="B98" s="64">
        <v>8.4</v>
      </c>
      <c r="C98" s="64">
        <v>3.36</v>
      </c>
      <c r="D98" s="64">
        <v>12.27</v>
      </c>
      <c r="E98" s="64">
        <v>5.13</v>
      </c>
      <c r="F98" s="64">
        <v>3.97</v>
      </c>
      <c r="G98" s="64">
        <v>36.409999999999997</v>
      </c>
      <c r="H98" s="64">
        <v>18.13</v>
      </c>
      <c r="I98" s="64">
        <v>7.32</v>
      </c>
      <c r="J98" s="64">
        <v>0.35</v>
      </c>
      <c r="K98" s="64">
        <v>172.88</v>
      </c>
      <c r="L98" s="64">
        <v>23.2</v>
      </c>
      <c r="M98" s="64">
        <v>98.47</v>
      </c>
      <c r="N98" s="64">
        <v>51.4</v>
      </c>
      <c r="O98" s="64">
        <v>0</v>
      </c>
      <c r="P98" s="64">
        <v>0.99</v>
      </c>
      <c r="Q98" s="64">
        <v>9.9</v>
      </c>
      <c r="R98" s="198"/>
      <c r="S98" s="198"/>
      <c r="T98" s="198"/>
      <c r="U98" s="198"/>
    </row>
    <row r="99" spans="1:33" s="12" customFormat="1" x14ac:dyDescent="0.25">
      <c r="A99" s="217" t="s">
        <v>1676</v>
      </c>
      <c r="B99" s="64">
        <v>8.33</v>
      </c>
      <c r="C99" s="64">
        <v>3.17</v>
      </c>
      <c r="D99" s="64">
        <v>12.12</v>
      </c>
      <c r="E99" s="64">
        <v>5.26</v>
      </c>
      <c r="F99" s="64">
        <v>3.07</v>
      </c>
      <c r="G99" s="64">
        <v>38.950000000000003</v>
      </c>
      <c r="H99" s="64">
        <v>17.559999999999999</v>
      </c>
      <c r="I99" s="64">
        <v>7.36</v>
      </c>
      <c r="J99" s="64">
        <v>0.55000000000000004</v>
      </c>
      <c r="K99" s="64">
        <v>237.71</v>
      </c>
      <c r="L99" s="64">
        <v>23.03</v>
      </c>
      <c r="M99" s="64">
        <v>99</v>
      </c>
      <c r="N99" s="64">
        <v>51.7</v>
      </c>
      <c r="O99" s="64">
        <v>0</v>
      </c>
      <c r="P99" s="64">
        <v>0.99</v>
      </c>
      <c r="Q99" s="64">
        <v>10</v>
      </c>
      <c r="R99" s="198"/>
      <c r="S99" s="198"/>
      <c r="T99" s="198"/>
      <c r="U99" s="198"/>
    </row>
    <row r="100" spans="1:33" s="12" customFormat="1" x14ac:dyDescent="0.25">
      <c r="A100" s="217" t="s">
        <v>1677</v>
      </c>
      <c r="B100" s="64">
        <v>8.36</v>
      </c>
      <c r="C100" s="64">
        <v>3.27</v>
      </c>
      <c r="D100" s="64">
        <v>12.19</v>
      </c>
      <c r="E100" s="64">
        <v>5.16</v>
      </c>
      <c r="F100" s="64">
        <v>3.07</v>
      </c>
      <c r="G100" s="64">
        <v>42.6</v>
      </c>
      <c r="H100" s="64">
        <v>16.760000000000002</v>
      </c>
      <c r="I100" s="64">
        <v>7.41</v>
      </c>
      <c r="J100" s="64">
        <v>0.57999999999999996</v>
      </c>
      <c r="K100" s="64">
        <v>271.26</v>
      </c>
      <c r="L100" s="64">
        <v>23.13</v>
      </c>
      <c r="M100" s="64">
        <v>98.98</v>
      </c>
      <c r="N100" s="64">
        <v>51.5</v>
      </c>
      <c r="O100" s="64">
        <v>0</v>
      </c>
      <c r="P100" s="64">
        <v>0.98</v>
      </c>
      <c r="Q100" s="64">
        <v>9.99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1678</v>
      </c>
      <c r="B101" s="64">
        <v>8.4</v>
      </c>
      <c r="C101" s="64">
        <v>3.34</v>
      </c>
      <c r="D101" s="64">
        <v>12.25</v>
      </c>
      <c r="E101" s="64">
        <v>5.04</v>
      </c>
      <c r="F101" s="64">
        <v>3.45</v>
      </c>
      <c r="G101" s="64">
        <v>42.6</v>
      </c>
      <c r="H101" s="64">
        <v>16.760000000000002</v>
      </c>
      <c r="I101" s="64">
        <v>7.35</v>
      </c>
      <c r="J101" s="64">
        <v>0.45</v>
      </c>
      <c r="K101" s="64">
        <v>232.8</v>
      </c>
      <c r="L101" s="64">
        <v>23.27</v>
      </c>
      <c r="M101" s="64">
        <v>98.47</v>
      </c>
      <c r="N101" s="64">
        <v>51.2</v>
      </c>
      <c r="O101" s="64">
        <v>0</v>
      </c>
      <c r="P101" s="64">
        <v>0.96</v>
      </c>
      <c r="Q101" s="64">
        <v>10.02</v>
      </c>
      <c r="R101" s="198"/>
      <c r="S101" s="198"/>
      <c r="T101" s="198"/>
      <c r="U101" s="198"/>
    </row>
    <row r="102" spans="1:33" s="12" customFormat="1" x14ac:dyDescent="0.25">
      <c r="A102" s="217" t="s">
        <v>1679</v>
      </c>
      <c r="B102" s="64">
        <v>8.3800000000000008</v>
      </c>
      <c r="C102" s="64">
        <v>3.29</v>
      </c>
      <c r="D102" s="64">
        <v>12.21</v>
      </c>
      <c r="E102" s="64">
        <v>5.1100000000000003</v>
      </c>
      <c r="F102" s="64">
        <v>2.93</v>
      </c>
      <c r="G102" s="64">
        <v>42.6</v>
      </c>
      <c r="H102" s="64">
        <v>16.760000000000002</v>
      </c>
      <c r="I102" s="64">
        <v>7.29</v>
      </c>
      <c r="J102" s="64">
        <v>0.6</v>
      </c>
      <c r="K102" s="64">
        <v>240.58</v>
      </c>
      <c r="L102" s="64">
        <v>23.27</v>
      </c>
      <c r="M102" s="64">
        <v>99</v>
      </c>
      <c r="N102" s="64">
        <v>51.5</v>
      </c>
      <c r="O102" s="64">
        <v>0</v>
      </c>
      <c r="P102" s="64">
        <v>0.94</v>
      </c>
      <c r="Q102" s="64">
        <v>10.01</v>
      </c>
      <c r="R102" s="198"/>
      <c r="S102" s="198"/>
      <c r="T102" s="198"/>
      <c r="U102" s="198"/>
    </row>
    <row r="103" spans="1:33" s="12" customFormat="1" x14ac:dyDescent="0.25">
      <c r="A103" s="217" t="s">
        <v>1680</v>
      </c>
      <c r="B103" s="64">
        <v>8.41</v>
      </c>
      <c r="C103" s="64">
        <v>3.35</v>
      </c>
      <c r="D103" s="64">
        <v>12.27</v>
      </c>
      <c r="E103" s="64">
        <v>4.8</v>
      </c>
      <c r="F103" s="64">
        <v>3.37</v>
      </c>
      <c r="G103" s="64">
        <v>43.61</v>
      </c>
      <c r="H103" s="64">
        <v>18.02</v>
      </c>
      <c r="I103" s="64">
        <v>7.31</v>
      </c>
      <c r="J103" s="64">
        <v>0.49</v>
      </c>
      <c r="K103" s="64">
        <v>175.37</v>
      </c>
      <c r="L103" s="64">
        <v>23.25</v>
      </c>
      <c r="M103" s="64">
        <v>98.47</v>
      </c>
      <c r="N103" s="64">
        <v>51.3</v>
      </c>
      <c r="O103" s="64">
        <v>0</v>
      </c>
      <c r="P103" s="64">
        <v>0.93</v>
      </c>
      <c r="Q103" s="64">
        <v>9.98</v>
      </c>
      <c r="R103" s="198"/>
      <c r="S103" s="198"/>
      <c r="T103" s="198"/>
      <c r="U103" s="198"/>
    </row>
    <row r="104" spans="1:33" s="12" customFormat="1" x14ac:dyDescent="0.25">
      <c r="A104" s="217" t="s">
        <v>1681</v>
      </c>
      <c r="B104" s="64">
        <v>8.44</v>
      </c>
      <c r="C104" s="64">
        <v>3.33</v>
      </c>
      <c r="D104" s="64">
        <v>12.28</v>
      </c>
      <c r="E104" s="64">
        <v>4.28</v>
      </c>
      <c r="F104" s="64">
        <v>3.17</v>
      </c>
      <c r="G104" s="64">
        <v>45.14</v>
      </c>
      <c r="H104" s="64">
        <v>19.829999999999998</v>
      </c>
      <c r="I104" s="64">
        <v>7.36</v>
      </c>
      <c r="J104" s="64">
        <v>0.56000000000000005</v>
      </c>
      <c r="K104" s="64">
        <v>203.28</v>
      </c>
      <c r="L104" s="64">
        <v>23.17</v>
      </c>
      <c r="M104" s="64">
        <v>98.98</v>
      </c>
      <c r="N104" s="64">
        <v>51.5</v>
      </c>
      <c r="O104" s="64">
        <v>0</v>
      </c>
      <c r="P104" s="64">
        <v>0.92</v>
      </c>
      <c r="Q104" s="64">
        <v>9.98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8.2899999999999991</v>
      </c>
      <c r="C106" s="67">
        <f>MIN(C9:C104)</f>
        <v>3.11</v>
      </c>
      <c r="D106" s="67">
        <f t="shared" ref="D106:Q106" si="0">MIN(D9:D104)</f>
        <v>12.07</v>
      </c>
      <c r="E106" s="67">
        <f t="shared" si="0"/>
        <v>3.58</v>
      </c>
      <c r="F106" s="67">
        <f t="shared" si="0"/>
        <v>2.48</v>
      </c>
      <c r="G106" s="67">
        <f t="shared" si="0"/>
        <v>21.61</v>
      </c>
      <c r="H106" s="67">
        <f t="shared" si="0"/>
        <v>8.18</v>
      </c>
      <c r="I106" s="67">
        <f t="shared" si="0"/>
        <v>5.21</v>
      </c>
      <c r="J106" s="67">
        <f t="shared" si="0"/>
        <v>0.04</v>
      </c>
      <c r="K106" s="67">
        <f t="shared" si="0"/>
        <v>18.309999999999999</v>
      </c>
      <c r="L106" s="67">
        <f t="shared" si="0"/>
        <v>22.69</v>
      </c>
      <c r="M106" s="67">
        <f t="shared" si="0"/>
        <v>78.709999999999994</v>
      </c>
      <c r="N106" s="67">
        <f t="shared" si="0"/>
        <v>51</v>
      </c>
      <c r="O106" s="67">
        <f t="shared" si="0"/>
        <v>0</v>
      </c>
      <c r="P106" s="67">
        <f t="shared" si="0"/>
        <v>0.44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8.6199999999999992</v>
      </c>
      <c r="C107" s="66">
        <f t="shared" ref="C107:Q107" si="1">MAX(C9:C104)</f>
        <v>3.72</v>
      </c>
      <c r="D107" s="66">
        <f t="shared" si="1"/>
        <v>12.61</v>
      </c>
      <c r="E107" s="66">
        <f t="shared" si="1"/>
        <v>5.42</v>
      </c>
      <c r="F107" s="66">
        <f t="shared" si="1"/>
        <v>6.24</v>
      </c>
      <c r="G107" s="66">
        <f t="shared" si="1"/>
        <v>76.06</v>
      </c>
      <c r="H107" s="66">
        <f t="shared" si="1"/>
        <v>24.99</v>
      </c>
      <c r="I107" s="66">
        <f t="shared" si="1"/>
        <v>8.09</v>
      </c>
      <c r="J107" s="66">
        <f t="shared" si="1"/>
        <v>2.12</v>
      </c>
      <c r="K107" s="66">
        <f t="shared" si="1"/>
        <v>357.46</v>
      </c>
      <c r="L107" s="66">
        <f t="shared" si="1"/>
        <v>29.72</v>
      </c>
      <c r="M107" s="66">
        <f t="shared" si="1"/>
        <v>99</v>
      </c>
      <c r="N107" s="66">
        <f t="shared" si="1"/>
        <v>740.4</v>
      </c>
      <c r="O107" s="66">
        <f t="shared" si="1"/>
        <v>2.2000000000000002</v>
      </c>
      <c r="P107" s="66">
        <f t="shared" si="1"/>
        <v>0.99</v>
      </c>
      <c r="Q107" s="66">
        <f t="shared" si="1"/>
        <v>10.15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8.3821875000000006</v>
      </c>
      <c r="C108" s="67">
        <f t="shared" ref="C108:Q108" si="2">AVERAGE(C9:C104)</f>
        <v>3.3153124999999997</v>
      </c>
      <c r="D108" s="67">
        <f t="shared" si="2"/>
        <v>12.228229166666667</v>
      </c>
      <c r="E108" s="67">
        <f t="shared" si="2"/>
        <v>4.4844791666666657</v>
      </c>
      <c r="F108" s="67">
        <f t="shared" si="2"/>
        <v>3.5069791666666661</v>
      </c>
      <c r="G108" s="67">
        <f t="shared" si="2"/>
        <v>43.494166666666644</v>
      </c>
      <c r="H108" s="67">
        <f t="shared" si="2"/>
        <v>16.558333333333334</v>
      </c>
      <c r="I108" s="67">
        <f t="shared" si="2"/>
        <v>6.3953124999999984</v>
      </c>
      <c r="J108" s="67">
        <f t="shared" si="2"/>
        <v>0.67895833333333322</v>
      </c>
      <c r="K108" s="67">
        <f t="shared" si="2"/>
        <v>246.97166666666655</v>
      </c>
      <c r="L108" s="67">
        <f t="shared" si="2"/>
        <v>24.848854166666673</v>
      </c>
      <c r="M108" s="67">
        <f t="shared" si="2"/>
        <v>95.692916666666619</v>
      </c>
      <c r="N108" s="67">
        <f t="shared" si="2"/>
        <v>163.16458333333333</v>
      </c>
      <c r="O108" s="67">
        <f t="shared" si="2"/>
        <v>5.4166666666666669E-2</v>
      </c>
      <c r="P108" s="67">
        <f t="shared" si="2"/>
        <v>0.61875000000000013</v>
      </c>
      <c r="Q108" s="67">
        <f t="shared" si="2"/>
        <v>9.7036458333333311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6.0248662356847976E-2</v>
      </c>
      <c r="C109" s="67">
        <f t="shared" ref="C109:Q109" si="3">STDEV(C9:C104)</f>
        <v>0.1173026057502112</v>
      </c>
      <c r="D109" s="67">
        <f t="shared" si="3"/>
        <v>0.10402423595810086</v>
      </c>
      <c r="E109" s="67">
        <f t="shared" si="3"/>
        <v>0.47433470259693356</v>
      </c>
      <c r="F109" s="67">
        <f t="shared" si="3"/>
        <v>0.54380166622858361</v>
      </c>
      <c r="G109" s="67">
        <f t="shared" si="3"/>
        <v>16.323706085043316</v>
      </c>
      <c r="H109" s="67">
        <f t="shared" si="3"/>
        <v>4.716386812105549</v>
      </c>
      <c r="I109" s="67">
        <f t="shared" si="3"/>
        <v>0.84097306186909249</v>
      </c>
      <c r="J109" s="67">
        <f t="shared" si="3"/>
        <v>0.41520186381963464</v>
      </c>
      <c r="K109" s="67">
        <f t="shared" si="3"/>
        <v>92.470247820203468</v>
      </c>
      <c r="L109" s="67">
        <f t="shared" si="3"/>
        <v>2.0864893051760491</v>
      </c>
      <c r="M109" s="67">
        <f t="shared" si="3"/>
        <v>5.471434703923487</v>
      </c>
      <c r="N109" s="67">
        <f t="shared" si="3"/>
        <v>174.05765286803626</v>
      </c>
      <c r="O109" s="67">
        <f t="shared" si="3"/>
        <v>0.30363297326894578</v>
      </c>
      <c r="P109" s="67">
        <f t="shared" si="3"/>
        <v>0.14756443730755192</v>
      </c>
      <c r="Q109" s="67">
        <f t="shared" si="3"/>
        <v>0.28174314465733413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9" t="s">
        <v>1682</v>
      </c>
      <c r="B9" s="25">
        <v>8.49</v>
      </c>
      <c r="C9" s="25">
        <v>3.4</v>
      </c>
      <c r="D9" s="25">
        <v>12.36</v>
      </c>
      <c r="E9" s="25">
        <v>3.93</v>
      </c>
      <c r="F9" s="25">
        <v>3.05</v>
      </c>
      <c r="G9" s="25">
        <v>45.14</v>
      </c>
      <c r="H9" s="25">
        <v>19.829999999999998</v>
      </c>
      <c r="I9" s="25">
        <v>7.47</v>
      </c>
      <c r="J9" s="25">
        <v>0.13</v>
      </c>
      <c r="K9" s="25">
        <v>295.49</v>
      </c>
      <c r="L9" s="25">
        <v>23.24</v>
      </c>
      <c r="M9" s="25">
        <v>98.48</v>
      </c>
      <c r="N9" s="25">
        <v>51.2</v>
      </c>
      <c r="O9" s="25">
        <v>0</v>
      </c>
      <c r="P9" s="25">
        <v>0.91</v>
      </c>
      <c r="Q9" s="25">
        <v>9.9600000000000009</v>
      </c>
      <c r="R9" s="198"/>
      <c r="S9" s="198"/>
      <c r="T9" s="198"/>
      <c r="U9" s="198"/>
    </row>
    <row r="10" spans="1:21" s="12" customFormat="1" x14ac:dyDescent="0.25">
      <c r="A10" s="219" t="s">
        <v>1683</v>
      </c>
      <c r="B10" s="25">
        <v>8.4499999999999993</v>
      </c>
      <c r="C10" s="25">
        <v>3.36</v>
      </c>
      <c r="D10" s="25">
        <v>12.31</v>
      </c>
      <c r="E10" s="25">
        <v>4.16</v>
      </c>
      <c r="F10" s="25">
        <v>3.22</v>
      </c>
      <c r="G10" s="25">
        <v>45.14</v>
      </c>
      <c r="H10" s="25">
        <v>19.829999999999998</v>
      </c>
      <c r="I10" s="25">
        <v>7.55</v>
      </c>
      <c r="J10" s="25">
        <v>0.28000000000000003</v>
      </c>
      <c r="K10" s="25">
        <v>186.07</v>
      </c>
      <c r="L10" s="25">
        <v>23.34</v>
      </c>
      <c r="M10" s="25">
        <v>98.46</v>
      </c>
      <c r="N10" s="25">
        <v>51.2</v>
      </c>
      <c r="O10" s="25">
        <v>0</v>
      </c>
      <c r="P10" s="25">
        <v>0.89</v>
      </c>
      <c r="Q10" s="25">
        <v>9.93</v>
      </c>
      <c r="R10" s="198"/>
      <c r="S10" s="198"/>
      <c r="T10" s="198"/>
      <c r="U10" s="198"/>
    </row>
    <row r="11" spans="1:21" s="12" customFormat="1" x14ac:dyDescent="0.25">
      <c r="A11" s="219" t="s">
        <v>1684</v>
      </c>
      <c r="B11" s="25">
        <v>8.4</v>
      </c>
      <c r="C11" s="25">
        <v>3.27</v>
      </c>
      <c r="D11" s="25">
        <v>12.21</v>
      </c>
      <c r="E11" s="25">
        <v>4.2</v>
      </c>
      <c r="F11" s="25">
        <v>3.43</v>
      </c>
      <c r="G11" s="25">
        <v>43.05</v>
      </c>
      <c r="H11" s="25">
        <v>18.52</v>
      </c>
      <c r="I11" s="25">
        <v>7.55</v>
      </c>
      <c r="J11" s="25">
        <v>0.53</v>
      </c>
      <c r="K11" s="25">
        <v>295.33999999999997</v>
      </c>
      <c r="L11" s="25">
        <v>23.44</v>
      </c>
      <c r="M11" s="25">
        <v>98.46</v>
      </c>
      <c r="N11" s="25">
        <v>51.1</v>
      </c>
      <c r="O11" s="25">
        <v>0</v>
      </c>
      <c r="P11" s="25">
        <v>0.87</v>
      </c>
      <c r="Q11" s="25">
        <v>9.9499999999999993</v>
      </c>
      <c r="R11" s="198"/>
      <c r="S11" s="198"/>
      <c r="T11" s="198"/>
      <c r="U11" s="198"/>
    </row>
    <row r="12" spans="1:21" s="12" customFormat="1" x14ac:dyDescent="0.25">
      <c r="A12" s="219" t="s">
        <v>1685</v>
      </c>
      <c r="B12" s="25">
        <v>8.39</v>
      </c>
      <c r="C12" s="25">
        <v>3.26</v>
      </c>
      <c r="D12" s="25">
        <v>12.21</v>
      </c>
      <c r="E12" s="25">
        <v>4.1500000000000004</v>
      </c>
      <c r="F12" s="25">
        <v>3.42</v>
      </c>
      <c r="G12" s="25">
        <v>40.06</v>
      </c>
      <c r="H12" s="25">
        <v>16.64</v>
      </c>
      <c r="I12" s="25">
        <v>7.63</v>
      </c>
      <c r="J12" s="25">
        <v>0.46</v>
      </c>
      <c r="K12" s="25">
        <v>9.34</v>
      </c>
      <c r="L12" s="25">
        <v>23.43</v>
      </c>
      <c r="M12" s="25">
        <v>98.92</v>
      </c>
      <c r="N12" s="25">
        <v>50.9</v>
      </c>
      <c r="O12" s="25">
        <v>0</v>
      </c>
      <c r="P12" s="25">
        <v>0.87</v>
      </c>
      <c r="Q12" s="25">
        <v>9.93</v>
      </c>
      <c r="R12" s="198"/>
      <c r="S12" s="198"/>
      <c r="T12" s="198"/>
      <c r="U12" s="198"/>
    </row>
    <row r="13" spans="1:21" s="12" customFormat="1" x14ac:dyDescent="0.25">
      <c r="A13" s="219" t="s">
        <v>1686</v>
      </c>
      <c r="B13" s="25">
        <v>8.39</v>
      </c>
      <c r="C13" s="25">
        <v>3.31</v>
      </c>
      <c r="D13" s="25">
        <v>12.23</v>
      </c>
      <c r="E13" s="25">
        <v>4.54</v>
      </c>
      <c r="F13" s="25">
        <v>4.0599999999999996</v>
      </c>
      <c r="G13" s="25">
        <v>40.06</v>
      </c>
      <c r="H13" s="25">
        <v>16.64</v>
      </c>
      <c r="I13" s="25">
        <v>7.72</v>
      </c>
      <c r="J13" s="25">
        <v>0.32</v>
      </c>
      <c r="K13" s="25">
        <v>31.29</v>
      </c>
      <c r="L13" s="25">
        <v>23.35</v>
      </c>
      <c r="M13" s="25">
        <v>98.55</v>
      </c>
      <c r="N13" s="25">
        <v>51.1</v>
      </c>
      <c r="O13" s="25">
        <v>0</v>
      </c>
      <c r="P13" s="25">
        <v>0.78</v>
      </c>
      <c r="Q13" s="25">
        <v>9.93</v>
      </c>
      <c r="R13" s="198"/>
      <c r="S13" s="198"/>
      <c r="T13" s="198"/>
      <c r="U13" s="198"/>
    </row>
    <row r="14" spans="1:21" s="12" customFormat="1" x14ac:dyDescent="0.25">
      <c r="A14" s="219" t="s">
        <v>1687</v>
      </c>
      <c r="B14" s="25">
        <v>8.42</v>
      </c>
      <c r="C14" s="25">
        <v>3.39</v>
      </c>
      <c r="D14" s="25">
        <v>12.3</v>
      </c>
      <c r="E14" s="25">
        <v>4.32</v>
      </c>
      <c r="F14" s="25">
        <v>2.46</v>
      </c>
      <c r="G14" s="25">
        <v>40.06</v>
      </c>
      <c r="H14" s="25">
        <v>16.64</v>
      </c>
      <c r="I14" s="25">
        <v>7.82</v>
      </c>
      <c r="J14" s="25">
        <v>0.65</v>
      </c>
      <c r="K14" s="25">
        <v>349.19</v>
      </c>
      <c r="L14" s="25">
        <v>23.48</v>
      </c>
      <c r="M14" s="25">
        <v>98.99</v>
      </c>
      <c r="N14" s="25">
        <v>50.8</v>
      </c>
      <c r="O14" s="25">
        <v>0</v>
      </c>
      <c r="P14" s="25">
        <v>0.79</v>
      </c>
      <c r="Q14" s="25">
        <v>9.8000000000000007</v>
      </c>
      <c r="R14" s="198"/>
      <c r="S14" s="198"/>
      <c r="T14" s="198"/>
      <c r="U14" s="198"/>
    </row>
    <row r="15" spans="1:21" s="12" customFormat="1" x14ac:dyDescent="0.25">
      <c r="A15" s="219" t="s">
        <v>1688</v>
      </c>
      <c r="B15" s="25">
        <v>8.43</v>
      </c>
      <c r="C15" s="25">
        <v>3.39</v>
      </c>
      <c r="D15" s="25">
        <v>12.31</v>
      </c>
      <c r="E15" s="25">
        <v>4.5</v>
      </c>
      <c r="F15" s="25">
        <v>3.21</v>
      </c>
      <c r="G15" s="25">
        <v>40.78</v>
      </c>
      <c r="H15" s="25">
        <v>16.18</v>
      </c>
      <c r="I15" s="25">
        <v>7.8</v>
      </c>
      <c r="J15" s="25">
        <v>0.7</v>
      </c>
      <c r="K15" s="25">
        <v>341.97</v>
      </c>
      <c r="L15" s="25">
        <v>23.46</v>
      </c>
      <c r="M15" s="25">
        <v>98.82</v>
      </c>
      <c r="N15" s="25">
        <v>50.7</v>
      </c>
      <c r="O15" s="25">
        <v>0</v>
      </c>
      <c r="P15" s="25">
        <v>0.77</v>
      </c>
      <c r="Q15" s="25">
        <v>9.8000000000000007</v>
      </c>
      <c r="R15" s="198"/>
      <c r="S15" s="198"/>
      <c r="T15" s="198"/>
      <c r="U15" s="198"/>
    </row>
    <row r="16" spans="1:21" s="12" customFormat="1" x14ac:dyDescent="0.25">
      <c r="A16" s="219" t="s">
        <v>1689</v>
      </c>
      <c r="B16" s="25">
        <v>8.4499999999999993</v>
      </c>
      <c r="C16" s="25">
        <v>3.49</v>
      </c>
      <c r="D16" s="25">
        <v>12.38</v>
      </c>
      <c r="E16" s="25">
        <v>3.94</v>
      </c>
      <c r="F16" s="25">
        <v>3.71</v>
      </c>
      <c r="G16" s="25">
        <v>41.85</v>
      </c>
      <c r="H16" s="25">
        <v>15.49</v>
      </c>
      <c r="I16" s="25">
        <v>7.64</v>
      </c>
      <c r="J16" s="25">
        <v>0.64</v>
      </c>
      <c r="K16" s="25">
        <v>354.72</v>
      </c>
      <c r="L16" s="25">
        <v>23.38</v>
      </c>
      <c r="M16" s="25">
        <v>99.01</v>
      </c>
      <c r="N16" s="25">
        <v>50.8</v>
      </c>
      <c r="O16" s="25">
        <v>0</v>
      </c>
      <c r="P16" s="25">
        <v>0.76</v>
      </c>
      <c r="Q16" s="25">
        <v>9.86</v>
      </c>
      <c r="R16" s="198"/>
      <c r="S16" s="198"/>
      <c r="T16" s="198"/>
      <c r="U16" s="198"/>
    </row>
    <row r="17" spans="1:21" s="12" customFormat="1" x14ac:dyDescent="0.25">
      <c r="A17" s="219" t="s">
        <v>1690</v>
      </c>
      <c r="B17" s="25">
        <v>8.34</v>
      </c>
      <c r="C17" s="25">
        <v>3.23</v>
      </c>
      <c r="D17" s="25">
        <v>12.15</v>
      </c>
      <c r="E17" s="25">
        <v>4.13</v>
      </c>
      <c r="F17" s="25">
        <v>2.36</v>
      </c>
      <c r="G17" s="25">
        <v>41.85</v>
      </c>
      <c r="H17" s="25">
        <v>15.49</v>
      </c>
      <c r="I17" s="25">
        <v>7.53</v>
      </c>
      <c r="J17" s="25">
        <v>1.03</v>
      </c>
      <c r="K17" s="25">
        <v>346.06</v>
      </c>
      <c r="L17" s="25">
        <v>23.6</v>
      </c>
      <c r="M17" s="25">
        <v>99.05</v>
      </c>
      <c r="N17" s="25">
        <v>50.8</v>
      </c>
      <c r="O17" s="25">
        <v>0</v>
      </c>
      <c r="P17" s="25">
        <v>0.74</v>
      </c>
      <c r="Q17" s="25">
        <v>9.73</v>
      </c>
      <c r="R17" s="198"/>
      <c r="S17" s="198"/>
      <c r="T17" s="198"/>
      <c r="U17" s="198"/>
    </row>
    <row r="18" spans="1:21" s="12" customFormat="1" x14ac:dyDescent="0.25">
      <c r="A18" s="219" t="s">
        <v>1691</v>
      </c>
      <c r="B18" s="25">
        <v>8.34</v>
      </c>
      <c r="C18" s="25">
        <v>3.23</v>
      </c>
      <c r="D18" s="25">
        <v>12.15</v>
      </c>
      <c r="E18" s="25">
        <v>4.04</v>
      </c>
      <c r="F18" s="25">
        <v>3.99</v>
      </c>
      <c r="G18" s="25">
        <v>41.85</v>
      </c>
      <c r="H18" s="25">
        <v>15.49</v>
      </c>
      <c r="I18" s="25">
        <v>7.47</v>
      </c>
      <c r="J18" s="25">
        <v>0.98</v>
      </c>
      <c r="K18" s="25">
        <v>342.39</v>
      </c>
      <c r="L18" s="25">
        <v>23.66</v>
      </c>
      <c r="M18" s="25">
        <v>99.03</v>
      </c>
      <c r="N18" s="25">
        <v>51</v>
      </c>
      <c r="O18" s="25">
        <v>0</v>
      </c>
      <c r="P18" s="25">
        <v>0.74</v>
      </c>
      <c r="Q18" s="25">
        <v>9.7899999999999991</v>
      </c>
      <c r="R18" s="198"/>
      <c r="S18" s="198"/>
      <c r="T18" s="198"/>
      <c r="U18" s="198"/>
    </row>
    <row r="19" spans="1:21" s="12" customFormat="1" x14ac:dyDescent="0.25">
      <c r="A19" s="219" t="s">
        <v>1692</v>
      </c>
      <c r="B19" s="25">
        <v>8.4499999999999993</v>
      </c>
      <c r="C19" s="25">
        <v>3.44</v>
      </c>
      <c r="D19" s="25">
        <v>12.34</v>
      </c>
      <c r="E19" s="25">
        <v>4.3499999999999996</v>
      </c>
      <c r="F19" s="25">
        <v>2.9</v>
      </c>
      <c r="G19" s="25">
        <v>40.659999999999997</v>
      </c>
      <c r="H19" s="25">
        <v>14.86</v>
      </c>
      <c r="I19" s="25">
        <v>7.39</v>
      </c>
      <c r="J19" s="25">
        <v>0.66</v>
      </c>
      <c r="K19" s="25">
        <v>338.81</v>
      </c>
      <c r="L19" s="25">
        <v>23.73</v>
      </c>
      <c r="M19" s="25">
        <v>99.04</v>
      </c>
      <c r="N19" s="25">
        <v>51.2</v>
      </c>
      <c r="O19" s="25">
        <v>0</v>
      </c>
      <c r="P19" s="25">
        <v>0.73</v>
      </c>
      <c r="Q19" s="25">
        <v>9.77</v>
      </c>
      <c r="R19" s="198"/>
      <c r="S19" s="198"/>
      <c r="T19" s="198"/>
      <c r="U19" s="198"/>
    </row>
    <row r="20" spans="1:21" s="12" customFormat="1" x14ac:dyDescent="0.25">
      <c r="A20" s="219" t="s">
        <v>1693</v>
      </c>
      <c r="B20" s="25">
        <v>8.41</v>
      </c>
      <c r="C20" s="25">
        <v>3.31</v>
      </c>
      <c r="D20" s="25">
        <v>12.25</v>
      </c>
      <c r="E20" s="25">
        <v>3.97</v>
      </c>
      <c r="F20" s="25">
        <v>3.7</v>
      </c>
      <c r="G20" s="25">
        <v>38.880000000000003</v>
      </c>
      <c r="H20" s="25">
        <v>13.93</v>
      </c>
      <c r="I20" s="25">
        <v>7.31</v>
      </c>
      <c r="J20" s="25">
        <v>0.45</v>
      </c>
      <c r="K20" s="25">
        <v>315.10000000000002</v>
      </c>
      <c r="L20" s="25">
        <v>23.73</v>
      </c>
      <c r="M20" s="25">
        <v>99.03</v>
      </c>
      <c r="N20" s="25">
        <v>51.2</v>
      </c>
      <c r="O20" s="25">
        <v>0</v>
      </c>
      <c r="P20" s="25">
        <v>0.72</v>
      </c>
      <c r="Q20" s="25">
        <v>9.8000000000000007</v>
      </c>
      <c r="R20" s="198"/>
      <c r="S20" s="198"/>
      <c r="T20" s="198"/>
      <c r="U20" s="198"/>
    </row>
    <row r="21" spans="1:21" s="12" customFormat="1" x14ac:dyDescent="0.25">
      <c r="A21" s="219" t="s">
        <v>1694</v>
      </c>
      <c r="B21" s="25">
        <v>8.3699999999999992</v>
      </c>
      <c r="C21" s="25">
        <v>3.3</v>
      </c>
      <c r="D21" s="25">
        <v>12.2</v>
      </c>
      <c r="E21" s="25">
        <v>4.13</v>
      </c>
      <c r="F21" s="25">
        <v>2.82</v>
      </c>
      <c r="G21" s="25">
        <v>38.880000000000003</v>
      </c>
      <c r="H21" s="25">
        <v>13.93</v>
      </c>
      <c r="I21" s="25">
        <v>7.28</v>
      </c>
      <c r="J21" s="25">
        <v>0.9</v>
      </c>
      <c r="K21" s="25">
        <v>332.44</v>
      </c>
      <c r="L21" s="25">
        <v>23.73</v>
      </c>
      <c r="M21" s="25">
        <v>99</v>
      </c>
      <c r="N21" s="25">
        <v>51.3</v>
      </c>
      <c r="O21" s="25">
        <v>0</v>
      </c>
      <c r="P21" s="25">
        <v>0.73</v>
      </c>
      <c r="Q21" s="25">
        <v>9.7899999999999991</v>
      </c>
      <c r="R21" s="198"/>
      <c r="S21" s="198"/>
      <c r="T21" s="198"/>
      <c r="U21" s="198"/>
    </row>
    <row r="22" spans="1:21" s="12" customFormat="1" x14ac:dyDescent="0.25">
      <c r="A22" s="219" t="s">
        <v>1695</v>
      </c>
      <c r="B22" s="25">
        <v>8.36</v>
      </c>
      <c r="C22" s="25">
        <v>3.28</v>
      </c>
      <c r="D22" s="25">
        <v>12.19</v>
      </c>
      <c r="E22" s="25">
        <v>4.1500000000000004</v>
      </c>
      <c r="F22" s="25">
        <v>3.24</v>
      </c>
      <c r="G22" s="25">
        <v>38.880000000000003</v>
      </c>
      <c r="H22" s="25">
        <v>13.93</v>
      </c>
      <c r="I22" s="25">
        <v>7.32</v>
      </c>
      <c r="J22" s="25">
        <v>0.79</v>
      </c>
      <c r="K22" s="25">
        <v>334.91</v>
      </c>
      <c r="L22" s="25">
        <v>23.82</v>
      </c>
      <c r="M22" s="25">
        <v>99</v>
      </c>
      <c r="N22" s="25">
        <v>51.2</v>
      </c>
      <c r="O22" s="25">
        <v>0</v>
      </c>
      <c r="P22" s="25">
        <v>0.71</v>
      </c>
      <c r="Q22" s="25">
        <v>9.75</v>
      </c>
      <c r="R22" s="198"/>
      <c r="S22" s="198"/>
      <c r="T22" s="198"/>
      <c r="U22" s="198"/>
    </row>
    <row r="23" spans="1:21" s="12" customFormat="1" x14ac:dyDescent="0.25">
      <c r="A23" s="219" t="s">
        <v>1696</v>
      </c>
      <c r="B23" s="25">
        <v>8.3699999999999992</v>
      </c>
      <c r="C23" s="25">
        <v>3.29</v>
      </c>
      <c r="D23" s="25">
        <v>12.21</v>
      </c>
      <c r="E23" s="25">
        <v>4.12</v>
      </c>
      <c r="F23" s="25">
        <v>3.95</v>
      </c>
      <c r="G23" s="25">
        <v>42.23</v>
      </c>
      <c r="H23" s="25">
        <v>15.57</v>
      </c>
      <c r="I23" s="25">
        <v>7.28</v>
      </c>
      <c r="J23" s="25">
        <v>0.37</v>
      </c>
      <c r="K23" s="25">
        <v>102.61</v>
      </c>
      <c r="L23" s="25">
        <v>23.71</v>
      </c>
      <c r="M23" s="25">
        <v>99</v>
      </c>
      <c r="N23" s="25">
        <v>51.3</v>
      </c>
      <c r="O23" s="25">
        <v>0</v>
      </c>
      <c r="P23" s="25">
        <v>0.7</v>
      </c>
      <c r="Q23" s="25">
        <v>9.7899999999999991</v>
      </c>
      <c r="R23" s="198"/>
      <c r="S23" s="198"/>
      <c r="T23" s="198"/>
      <c r="U23" s="198"/>
    </row>
    <row r="24" spans="1:21" s="12" customFormat="1" x14ac:dyDescent="0.25">
      <c r="A24" s="219" t="s">
        <v>1697</v>
      </c>
      <c r="B24" s="25">
        <v>8.3699999999999992</v>
      </c>
      <c r="C24" s="25">
        <v>3.25</v>
      </c>
      <c r="D24" s="25">
        <v>12.19</v>
      </c>
      <c r="E24" s="25">
        <v>3.38</v>
      </c>
      <c r="F24" s="25">
        <v>2.62</v>
      </c>
      <c r="G24" s="25">
        <v>47.26</v>
      </c>
      <c r="H24" s="25">
        <v>18.03</v>
      </c>
      <c r="I24" s="25">
        <v>7.22</v>
      </c>
      <c r="J24" s="25">
        <v>0.15</v>
      </c>
      <c r="K24" s="25">
        <v>88.33</v>
      </c>
      <c r="L24" s="25">
        <v>23.75</v>
      </c>
      <c r="M24" s="25">
        <v>99</v>
      </c>
      <c r="N24" s="25">
        <v>50.9</v>
      </c>
      <c r="O24" s="25">
        <v>0.2</v>
      </c>
      <c r="P24" s="25">
        <v>0.69</v>
      </c>
      <c r="Q24" s="25">
        <v>9.8000000000000007</v>
      </c>
      <c r="R24" s="198"/>
      <c r="S24" s="198"/>
      <c r="T24" s="198"/>
      <c r="U24" s="198"/>
    </row>
    <row r="25" spans="1:21" s="12" customFormat="1" x14ac:dyDescent="0.25">
      <c r="A25" s="219" t="s">
        <v>1698</v>
      </c>
      <c r="B25" s="25">
        <v>8.43</v>
      </c>
      <c r="C25" s="25">
        <v>3.35</v>
      </c>
      <c r="D25" s="25">
        <v>12.29</v>
      </c>
      <c r="E25" s="25">
        <v>3.13</v>
      </c>
      <c r="F25" s="25">
        <v>3.34</v>
      </c>
      <c r="G25" s="25">
        <v>47.26</v>
      </c>
      <c r="H25" s="25">
        <v>18.03</v>
      </c>
      <c r="I25" s="25">
        <v>7.25</v>
      </c>
      <c r="J25" s="25">
        <v>0.49</v>
      </c>
      <c r="K25" s="25">
        <v>109.29</v>
      </c>
      <c r="L25" s="25">
        <v>23.65</v>
      </c>
      <c r="M25" s="25">
        <v>99</v>
      </c>
      <c r="N25" s="25">
        <v>50.8</v>
      </c>
      <c r="O25" s="25">
        <v>0</v>
      </c>
      <c r="P25" s="25">
        <v>0.68</v>
      </c>
      <c r="Q25" s="25">
        <v>9.81</v>
      </c>
      <c r="R25" s="198"/>
      <c r="S25" s="198"/>
      <c r="T25" s="198"/>
      <c r="U25" s="198"/>
    </row>
    <row r="26" spans="1:21" s="12" customFormat="1" x14ac:dyDescent="0.25">
      <c r="A26" s="219" t="s">
        <v>1699</v>
      </c>
      <c r="B26" s="25">
        <v>8.41</v>
      </c>
      <c r="C26" s="25">
        <v>3.31</v>
      </c>
      <c r="D26" s="25">
        <v>12.25</v>
      </c>
      <c r="E26" s="25">
        <v>3.58</v>
      </c>
      <c r="F26" s="25">
        <v>3.28</v>
      </c>
      <c r="G26" s="25">
        <v>47.26</v>
      </c>
      <c r="H26" s="25">
        <v>18.03</v>
      </c>
      <c r="I26" s="25">
        <v>7.37</v>
      </c>
      <c r="J26" s="25">
        <v>1.24</v>
      </c>
      <c r="K26" s="25">
        <v>115.42</v>
      </c>
      <c r="L26" s="25">
        <v>23.53</v>
      </c>
      <c r="M26" s="25">
        <v>99</v>
      </c>
      <c r="N26" s="25">
        <v>51.2</v>
      </c>
      <c r="O26" s="25">
        <v>0</v>
      </c>
      <c r="P26" s="25">
        <v>0.67</v>
      </c>
      <c r="Q26" s="25">
        <v>9.8000000000000007</v>
      </c>
      <c r="R26" s="198"/>
      <c r="S26" s="198"/>
      <c r="T26" s="198"/>
      <c r="U26" s="198"/>
    </row>
    <row r="27" spans="1:21" s="12" customFormat="1" x14ac:dyDescent="0.25">
      <c r="A27" s="219" t="s">
        <v>1700</v>
      </c>
      <c r="B27" s="25">
        <v>8.35</v>
      </c>
      <c r="C27" s="25">
        <v>3.21</v>
      </c>
      <c r="D27" s="25">
        <v>12.15</v>
      </c>
      <c r="E27" s="25">
        <v>3.59</v>
      </c>
      <c r="F27" s="25">
        <v>3.3</v>
      </c>
      <c r="G27" s="25">
        <v>47.25</v>
      </c>
      <c r="H27" s="25">
        <v>19.63</v>
      </c>
      <c r="I27" s="25">
        <v>7.55</v>
      </c>
      <c r="J27" s="25">
        <v>0.82</v>
      </c>
      <c r="K27" s="25">
        <v>115.2</v>
      </c>
      <c r="L27" s="25">
        <v>23.17</v>
      </c>
      <c r="M27" s="25">
        <v>99</v>
      </c>
      <c r="N27" s="25">
        <v>51.5</v>
      </c>
      <c r="O27" s="25">
        <v>0</v>
      </c>
      <c r="P27" s="25">
        <v>0.66</v>
      </c>
      <c r="Q27" s="25">
        <v>9.82</v>
      </c>
      <c r="R27" s="198"/>
      <c r="S27" s="198"/>
      <c r="T27" s="198"/>
      <c r="U27" s="198"/>
    </row>
    <row r="28" spans="1:21" s="12" customFormat="1" x14ac:dyDescent="0.25">
      <c r="A28" s="219" t="s">
        <v>1701</v>
      </c>
      <c r="B28" s="25">
        <v>8.36</v>
      </c>
      <c r="C28" s="25">
        <v>3.21</v>
      </c>
      <c r="D28" s="25">
        <v>12.16</v>
      </c>
      <c r="E28" s="25">
        <v>3.33</v>
      </c>
      <c r="F28" s="25">
        <v>3.28</v>
      </c>
      <c r="G28" s="25">
        <v>47.22</v>
      </c>
      <c r="H28" s="25">
        <v>22.04</v>
      </c>
      <c r="I28" s="25">
        <v>7.87</v>
      </c>
      <c r="J28" s="25">
        <v>0.16</v>
      </c>
      <c r="K28" s="25">
        <v>47.72</v>
      </c>
      <c r="L28" s="25">
        <v>23.08</v>
      </c>
      <c r="M28" s="25">
        <v>99</v>
      </c>
      <c r="N28" s="25">
        <v>50.9</v>
      </c>
      <c r="O28" s="25">
        <v>0</v>
      </c>
      <c r="P28" s="25">
        <v>0.64</v>
      </c>
      <c r="Q28" s="25">
        <v>9.82</v>
      </c>
      <c r="R28" s="198"/>
      <c r="S28" s="198"/>
      <c r="T28" s="198"/>
      <c r="U28" s="198"/>
    </row>
    <row r="29" spans="1:21" s="12" customFormat="1" x14ac:dyDescent="0.25">
      <c r="A29" s="219" t="s">
        <v>1702</v>
      </c>
      <c r="B29" s="25">
        <v>8.36</v>
      </c>
      <c r="C29" s="25">
        <v>3.22</v>
      </c>
      <c r="D29" s="25">
        <v>12.16</v>
      </c>
      <c r="E29" s="25">
        <v>3.45</v>
      </c>
      <c r="F29" s="25">
        <v>3.39</v>
      </c>
      <c r="G29" s="25">
        <v>47.22</v>
      </c>
      <c r="H29" s="25">
        <v>22.04</v>
      </c>
      <c r="I29" s="25">
        <v>8.24</v>
      </c>
      <c r="J29" s="25">
        <v>0.12</v>
      </c>
      <c r="K29" s="25">
        <v>12</v>
      </c>
      <c r="L29" s="25">
        <v>23.07</v>
      </c>
      <c r="M29" s="25">
        <v>99</v>
      </c>
      <c r="N29" s="25">
        <v>50.6</v>
      </c>
      <c r="O29" s="25">
        <v>0</v>
      </c>
      <c r="P29" s="25">
        <v>0.64</v>
      </c>
      <c r="Q29" s="25">
        <v>9.8000000000000007</v>
      </c>
      <c r="R29" s="198"/>
      <c r="S29" s="198"/>
      <c r="T29" s="198"/>
      <c r="U29" s="198"/>
    </row>
    <row r="30" spans="1:21" s="12" customFormat="1" x14ac:dyDescent="0.25">
      <c r="A30" s="219" t="s">
        <v>1703</v>
      </c>
      <c r="B30" s="25">
        <v>8.41</v>
      </c>
      <c r="C30" s="25">
        <v>3.29</v>
      </c>
      <c r="D30" s="25">
        <v>12.23</v>
      </c>
      <c r="E30" s="25">
        <v>3.36</v>
      </c>
      <c r="F30" s="25">
        <v>3.34</v>
      </c>
      <c r="G30" s="25">
        <v>47.22</v>
      </c>
      <c r="H30" s="25">
        <v>22.04</v>
      </c>
      <c r="I30" s="25">
        <v>8.42</v>
      </c>
      <c r="J30" s="25">
        <v>0.31</v>
      </c>
      <c r="K30" s="25">
        <v>127.79</v>
      </c>
      <c r="L30" s="25">
        <v>23</v>
      </c>
      <c r="M30" s="25">
        <v>99</v>
      </c>
      <c r="N30" s="25">
        <v>51.3</v>
      </c>
      <c r="O30" s="25">
        <v>0</v>
      </c>
      <c r="P30" s="25">
        <v>0.62</v>
      </c>
      <c r="Q30" s="25">
        <v>9.7799999999999994</v>
      </c>
      <c r="R30" s="198"/>
      <c r="S30" s="198"/>
      <c r="T30" s="198"/>
      <c r="U30" s="198"/>
    </row>
    <row r="31" spans="1:21" s="12" customFormat="1" x14ac:dyDescent="0.25">
      <c r="A31" s="219" t="s">
        <v>1704</v>
      </c>
      <c r="B31" s="25">
        <v>8.42</v>
      </c>
      <c r="C31" s="25">
        <v>3.3</v>
      </c>
      <c r="D31" s="25">
        <v>12.25</v>
      </c>
      <c r="E31" s="25">
        <v>3.65</v>
      </c>
      <c r="F31" s="25">
        <v>3.56</v>
      </c>
      <c r="G31" s="25">
        <v>44.53</v>
      </c>
      <c r="H31" s="25">
        <v>19.399999999999999</v>
      </c>
      <c r="I31" s="25">
        <v>8.44</v>
      </c>
      <c r="J31" s="25">
        <v>0.41</v>
      </c>
      <c r="K31" s="25">
        <v>99.15</v>
      </c>
      <c r="L31" s="25">
        <v>23.14</v>
      </c>
      <c r="M31" s="25">
        <v>99</v>
      </c>
      <c r="N31" s="25">
        <v>56.5</v>
      </c>
      <c r="O31" s="25">
        <v>0</v>
      </c>
      <c r="P31" s="25">
        <v>0.61</v>
      </c>
      <c r="Q31" s="25">
        <v>9.75</v>
      </c>
      <c r="R31" s="198"/>
      <c r="S31" s="198"/>
      <c r="T31" s="198"/>
      <c r="U31" s="198"/>
    </row>
    <row r="32" spans="1:21" s="12" customFormat="1" x14ac:dyDescent="0.25">
      <c r="A32" s="219" t="s">
        <v>1705</v>
      </c>
      <c r="B32" s="25">
        <v>8.3699999999999992</v>
      </c>
      <c r="C32" s="25">
        <v>3.29</v>
      </c>
      <c r="D32" s="25">
        <v>12.21</v>
      </c>
      <c r="E32" s="25">
        <v>3.64</v>
      </c>
      <c r="F32" s="25">
        <v>3.51</v>
      </c>
      <c r="G32" s="25">
        <v>40.49</v>
      </c>
      <c r="H32" s="25">
        <v>15.43</v>
      </c>
      <c r="I32" s="25">
        <v>8.4</v>
      </c>
      <c r="J32" s="25">
        <v>0.69</v>
      </c>
      <c r="K32" s="25">
        <v>139.63</v>
      </c>
      <c r="L32" s="25">
        <v>23.32</v>
      </c>
      <c r="M32" s="25">
        <v>99</v>
      </c>
      <c r="N32" s="25">
        <v>76.2</v>
      </c>
      <c r="O32" s="25">
        <v>0</v>
      </c>
      <c r="P32" s="25">
        <v>0.6</v>
      </c>
      <c r="Q32" s="25">
        <v>9.73</v>
      </c>
      <c r="R32" s="198"/>
      <c r="S32" s="198"/>
      <c r="T32" s="198"/>
      <c r="U32" s="198"/>
    </row>
    <row r="33" spans="1:21" s="12" customFormat="1" x14ac:dyDescent="0.25">
      <c r="A33" s="219" t="s">
        <v>1706</v>
      </c>
      <c r="B33" s="25">
        <v>8.3699999999999992</v>
      </c>
      <c r="C33" s="25">
        <v>3.25</v>
      </c>
      <c r="D33" s="25">
        <v>12.18</v>
      </c>
      <c r="E33" s="25">
        <v>3.81</v>
      </c>
      <c r="F33" s="25">
        <v>3</v>
      </c>
      <c r="G33" s="25">
        <v>40.49</v>
      </c>
      <c r="H33" s="25">
        <v>15.43</v>
      </c>
      <c r="I33" s="25">
        <v>8.33</v>
      </c>
      <c r="J33" s="25">
        <v>0.56999999999999995</v>
      </c>
      <c r="K33" s="25">
        <v>116.35</v>
      </c>
      <c r="L33" s="25">
        <v>23.6</v>
      </c>
      <c r="M33" s="25">
        <v>98.98</v>
      </c>
      <c r="N33" s="25">
        <v>101.9</v>
      </c>
      <c r="O33" s="25">
        <v>0</v>
      </c>
      <c r="P33" s="25">
        <v>0.57999999999999996</v>
      </c>
      <c r="Q33" s="25">
        <v>9.66</v>
      </c>
      <c r="R33" s="198"/>
      <c r="S33" s="198"/>
      <c r="T33" s="198"/>
      <c r="U33" s="198"/>
    </row>
    <row r="34" spans="1:21" s="12" customFormat="1" x14ac:dyDescent="0.25">
      <c r="A34" s="219" t="s">
        <v>1707</v>
      </c>
      <c r="B34" s="25">
        <v>8.36</v>
      </c>
      <c r="C34" s="25">
        <v>3.27</v>
      </c>
      <c r="D34" s="25">
        <v>12.19</v>
      </c>
      <c r="E34" s="25">
        <v>3.67</v>
      </c>
      <c r="F34" s="25">
        <v>4.0599999999999996</v>
      </c>
      <c r="G34" s="25">
        <v>40.49</v>
      </c>
      <c r="H34" s="25">
        <v>15.43</v>
      </c>
      <c r="I34" s="25">
        <v>7.98</v>
      </c>
      <c r="J34" s="25">
        <v>0.24</v>
      </c>
      <c r="K34" s="25">
        <v>75.209999999999994</v>
      </c>
      <c r="L34" s="25">
        <v>23.97</v>
      </c>
      <c r="M34" s="25">
        <v>98.98</v>
      </c>
      <c r="N34" s="25">
        <v>129.30000000000001</v>
      </c>
      <c r="O34" s="25">
        <v>0</v>
      </c>
      <c r="P34" s="25">
        <v>0.56999999999999995</v>
      </c>
      <c r="Q34" s="25">
        <v>9.6999999999999993</v>
      </c>
      <c r="R34" s="198"/>
      <c r="S34" s="198"/>
      <c r="T34" s="198"/>
      <c r="U34" s="198"/>
    </row>
    <row r="35" spans="1:21" s="12" customFormat="1" x14ac:dyDescent="0.25">
      <c r="A35" s="219" t="s">
        <v>1708</v>
      </c>
      <c r="B35" s="25">
        <v>8.35</v>
      </c>
      <c r="C35" s="25">
        <v>3.28</v>
      </c>
      <c r="D35" s="25">
        <v>12.19</v>
      </c>
      <c r="E35" s="25">
        <v>3.62</v>
      </c>
      <c r="F35" s="25">
        <v>2.67</v>
      </c>
      <c r="G35" s="25">
        <v>38.619999999999997</v>
      </c>
      <c r="H35" s="25">
        <v>14.85</v>
      </c>
      <c r="I35" s="25">
        <v>7.88</v>
      </c>
      <c r="J35" s="25">
        <v>7.0000000000000007E-2</v>
      </c>
      <c r="K35" s="25">
        <v>224.33</v>
      </c>
      <c r="L35" s="25">
        <v>24.35</v>
      </c>
      <c r="M35" s="25">
        <v>98.98</v>
      </c>
      <c r="N35" s="25">
        <v>144.80000000000001</v>
      </c>
      <c r="O35" s="25">
        <v>0</v>
      </c>
      <c r="P35" s="25">
        <v>0.56999999999999995</v>
      </c>
      <c r="Q35" s="25">
        <v>9.6300000000000008</v>
      </c>
      <c r="R35" s="198"/>
      <c r="S35" s="198"/>
      <c r="T35" s="198"/>
      <c r="U35" s="198"/>
    </row>
    <row r="36" spans="1:21" s="12" customFormat="1" x14ac:dyDescent="0.25">
      <c r="A36" s="219" t="s">
        <v>1709</v>
      </c>
      <c r="B36" s="25">
        <v>8.36</v>
      </c>
      <c r="C36" s="25">
        <v>3.27</v>
      </c>
      <c r="D36" s="25">
        <v>12.18</v>
      </c>
      <c r="E36" s="25">
        <v>3.57</v>
      </c>
      <c r="F36" s="25">
        <v>4.1500000000000004</v>
      </c>
      <c r="G36" s="25">
        <v>35.57</v>
      </c>
      <c r="H36" s="25">
        <v>13.95</v>
      </c>
      <c r="I36" s="25">
        <v>7.92</v>
      </c>
      <c r="J36" s="25">
        <v>1</v>
      </c>
      <c r="K36" s="25">
        <v>114.57</v>
      </c>
      <c r="L36" s="25">
        <v>24.43</v>
      </c>
      <c r="M36" s="25">
        <v>98.98</v>
      </c>
      <c r="N36" s="25">
        <v>157.30000000000001</v>
      </c>
      <c r="O36" s="25">
        <v>0</v>
      </c>
      <c r="P36" s="25">
        <v>0.56999999999999995</v>
      </c>
      <c r="Q36" s="25">
        <v>9.68</v>
      </c>
      <c r="R36" s="198"/>
      <c r="S36" s="198"/>
      <c r="T36" s="198"/>
      <c r="U36" s="198"/>
    </row>
    <row r="37" spans="1:21" s="12" customFormat="1" x14ac:dyDescent="0.25">
      <c r="A37" s="219" t="s">
        <v>1710</v>
      </c>
      <c r="B37" s="25">
        <v>8.4499999999999993</v>
      </c>
      <c r="C37" s="25">
        <v>3.45</v>
      </c>
      <c r="D37" s="25">
        <v>12.36</v>
      </c>
      <c r="E37" s="25">
        <v>3.89</v>
      </c>
      <c r="F37" s="25">
        <v>2.61</v>
      </c>
      <c r="G37" s="25">
        <v>35.57</v>
      </c>
      <c r="H37" s="25">
        <v>13.95</v>
      </c>
      <c r="I37" s="25">
        <v>7.85</v>
      </c>
      <c r="J37" s="25">
        <v>1.18</v>
      </c>
      <c r="K37" s="25">
        <v>118.76</v>
      </c>
      <c r="L37" s="25">
        <v>24.44</v>
      </c>
      <c r="M37" s="25">
        <v>98.98</v>
      </c>
      <c r="N37" s="25">
        <v>185.3</v>
      </c>
      <c r="O37" s="25">
        <v>0</v>
      </c>
      <c r="P37" s="25">
        <v>0.57999999999999996</v>
      </c>
      <c r="Q37" s="25">
        <v>9.7100000000000009</v>
      </c>
      <c r="R37" s="198"/>
      <c r="S37" s="198"/>
      <c r="T37" s="198"/>
      <c r="U37" s="198"/>
    </row>
    <row r="38" spans="1:21" s="12" customFormat="1" x14ac:dyDescent="0.25">
      <c r="A38" s="219" t="s">
        <v>1711</v>
      </c>
      <c r="B38" s="25">
        <v>8.44</v>
      </c>
      <c r="C38" s="25">
        <v>3.45</v>
      </c>
      <c r="D38" s="25">
        <v>12.34</v>
      </c>
      <c r="E38" s="25">
        <v>3.51</v>
      </c>
      <c r="F38" s="25">
        <v>3.26</v>
      </c>
      <c r="G38" s="25">
        <v>35.57</v>
      </c>
      <c r="H38" s="25">
        <v>13.95</v>
      </c>
      <c r="I38" s="25">
        <v>7.89</v>
      </c>
      <c r="J38" s="25">
        <v>0.84</v>
      </c>
      <c r="K38" s="25">
        <v>108</v>
      </c>
      <c r="L38" s="25">
        <v>25.02</v>
      </c>
      <c r="M38" s="25">
        <v>98.92</v>
      </c>
      <c r="N38" s="25">
        <v>319.8</v>
      </c>
      <c r="O38" s="25">
        <v>0</v>
      </c>
      <c r="P38" s="25">
        <v>0.6</v>
      </c>
      <c r="Q38" s="25">
        <v>9.6999999999999993</v>
      </c>
      <c r="R38" s="198"/>
      <c r="S38" s="198"/>
      <c r="T38" s="198"/>
      <c r="U38" s="198"/>
    </row>
    <row r="39" spans="1:21" s="12" customFormat="1" x14ac:dyDescent="0.25">
      <c r="A39" s="219" t="s">
        <v>1712</v>
      </c>
      <c r="B39" s="25">
        <v>8.36</v>
      </c>
      <c r="C39" s="25">
        <v>3.3</v>
      </c>
      <c r="D39" s="25">
        <v>12.2</v>
      </c>
      <c r="E39" s="25">
        <v>3.41</v>
      </c>
      <c r="F39" s="25">
        <v>3.91</v>
      </c>
      <c r="G39" s="25">
        <v>35.76</v>
      </c>
      <c r="H39" s="25">
        <v>13.44</v>
      </c>
      <c r="I39" s="25">
        <v>8.01</v>
      </c>
      <c r="J39" s="25">
        <v>1.23</v>
      </c>
      <c r="K39" s="25">
        <v>116.33</v>
      </c>
      <c r="L39" s="25">
        <v>25.53</v>
      </c>
      <c r="M39" s="25">
        <v>98.55</v>
      </c>
      <c r="N39" s="25">
        <v>275.39999999999998</v>
      </c>
      <c r="O39" s="25">
        <v>0</v>
      </c>
      <c r="P39" s="25">
        <v>0.6</v>
      </c>
      <c r="Q39" s="25">
        <v>9.74</v>
      </c>
      <c r="R39" s="198"/>
      <c r="S39" s="198"/>
      <c r="T39" s="198"/>
      <c r="U39" s="198"/>
    </row>
    <row r="40" spans="1:21" s="12" customFormat="1" x14ac:dyDescent="0.25">
      <c r="A40" s="219" t="s">
        <v>1713</v>
      </c>
      <c r="B40" s="25">
        <v>8.35</v>
      </c>
      <c r="C40" s="25">
        <v>3.26</v>
      </c>
      <c r="D40" s="25">
        <v>12.17</v>
      </c>
      <c r="E40" s="25">
        <v>3.57</v>
      </c>
      <c r="F40" s="25">
        <v>2.91</v>
      </c>
      <c r="G40" s="25">
        <v>36.049999999999997</v>
      </c>
      <c r="H40" s="25">
        <v>12.67</v>
      </c>
      <c r="I40" s="25">
        <v>7.93</v>
      </c>
      <c r="J40" s="25">
        <v>1.63</v>
      </c>
      <c r="K40" s="25">
        <v>114.87</v>
      </c>
      <c r="L40" s="25">
        <v>25.48</v>
      </c>
      <c r="M40" s="25">
        <v>98.85</v>
      </c>
      <c r="N40" s="25">
        <v>370.1</v>
      </c>
      <c r="O40" s="25">
        <v>0</v>
      </c>
      <c r="P40" s="25">
        <v>0.57999999999999996</v>
      </c>
      <c r="Q40" s="25">
        <v>9.66</v>
      </c>
      <c r="R40" s="198"/>
      <c r="S40" s="198"/>
      <c r="T40" s="198"/>
      <c r="U40" s="198"/>
    </row>
    <row r="41" spans="1:21" s="12" customFormat="1" x14ac:dyDescent="0.25">
      <c r="A41" s="219" t="s">
        <v>1714</v>
      </c>
      <c r="B41" s="25">
        <v>8.5</v>
      </c>
      <c r="C41" s="25">
        <v>3.54</v>
      </c>
      <c r="D41" s="25">
        <v>12.44</v>
      </c>
      <c r="E41" s="25">
        <v>3.86</v>
      </c>
      <c r="F41" s="25">
        <v>3.33</v>
      </c>
      <c r="G41" s="25">
        <v>36.049999999999997</v>
      </c>
      <c r="H41" s="25">
        <v>12.67</v>
      </c>
      <c r="I41" s="25">
        <v>7.97</v>
      </c>
      <c r="J41" s="25">
        <v>0.96</v>
      </c>
      <c r="K41" s="25">
        <v>107.23</v>
      </c>
      <c r="L41" s="25">
        <v>26.16</v>
      </c>
      <c r="M41" s="25">
        <v>96.84</v>
      </c>
      <c r="N41" s="25">
        <v>329.8</v>
      </c>
      <c r="O41" s="25">
        <v>0</v>
      </c>
      <c r="P41" s="25">
        <v>0.56000000000000005</v>
      </c>
      <c r="Q41" s="25">
        <v>9.64</v>
      </c>
      <c r="R41" s="198"/>
      <c r="S41" s="198"/>
      <c r="T41" s="198"/>
      <c r="U41" s="198"/>
    </row>
    <row r="42" spans="1:21" s="12" customFormat="1" x14ac:dyDescent="0.25">
      <c r="A42" s="219" t="s">
        <v>1715</v>
      </c>
      <c r="B42" s="25">
        <v>8.39</v>
      </c>
      <c r="C42" s="25">
        <v>3.29</v>
      </c>
      <c r="D42" s="25">
        <v>12.22</v>
      </c>
      <c r="E42" s="25">
        <v>3.67</v>
      </c>
      <c r="F42" s="25">
        <v>3.46</v>
      </c>
      <c r="G42" s="25">
        <v>36.049999999999997</v>
      </c>
      <c r="H42" s="25">
        <v>12.67</v>
      </c>
      <c r="I42" s="25">
        <v>8.25</v>
      </c>
      <c r="J42" s="25">
        <v>0.49</v>
      </c>
      <c r="K42" s="25">
        <v>99.91</v>
      </c>
      <c r="L42" s="25">
        <v>26.09</v>
      </c>
      <c r="M42" s="25">
        <v>97.42</v>
      </c>
      <c r="N42" s="25">
        <v>292.7</v>
      </c>
      <c r="O42" s="25">
        <v>0</v>
      </c>
      <c r="P42" s="25">
        <v>0.56000000000000005</v>
      </c>
      <c r="Q42" s="25">
        <v>9.66</v>
      </c>
      <c r="R42" s="198"/>
      <c r="S42" s="198"/>
      <c r="T42" s="198"/>
      <c r="U42" s="198"/>
    </row>
    <row r="43" spans="1:21" s="12" customFormat="1" x14ac:dyDescent="0.25">
      <c r="A43" s="219" t="s">
        <v>1716</v>
      </c>
      <c r="B43" s="25">
        <v>8.4499999999999993</v>
      </c>
      <c r="C43" s="25">
        <v>3.37</v>
      </c>
      <c r="D43" s="25">
        <v>12.31</v>
      </c>
      <c r="E43" s="25">
        <v>3.76</v>
      </c>
      <c r="F43" s="25">
        <v>3.46</v>
      </c>
      <c r="G43" s="25">
        <v>35.409999999999997</v>
      </c>
      <c r="H43" s="25">
        <v>14.29</v>
      </c>
      <c r="I43" s="25">
        <v>8.41</v>
      </c>
      <c r="J43" s="25">
        <v>2.06</v>
      </c>
      <c r="K43" s="25">
        <v>113.62</v>
      </c>
      <c r="L43" s="25">
        <v>25.62</v>
      </c>
      <c r="M43" s="25">
        <v>98.19</v>
      </c>
      <c r="N43" s="25">
        <v>285.5</v>
      </c>
      <c r="O43" s="25">
        <v>0</v>
      </c>
      <c r="P43" s="25">
        <v>0.55000000000000004</v>
      </c>
      <c r="Q43" s="25">
        <v>9.6300000000000008</v>
      </c>
      <c r="R43" s="198"/>
      <c r="S43" s="198"/>
      <c r="T43" s="198"/>
      <c r="U43" s="198"/>
    </row>
    <row r="44" spans="1:21" s="12" customFormat="1" x14ac:dyDescent="0.25">
      <c r="A44" s="219" t="s">
        <v>1717</v>
      </c>
      <c r="B44" s="25">
        <v>8.43</v>
      </c>
      <c r="C44" s="25">
        <v>3.33</v>
      </c>
      <c r="D44" s="25">
        <v>12.27</v>
      </c>
      <c r="E44" s="25">
        <v>3.83</v>
      </c>
      <c r="F44" s="25">
        <v>3.51</v>
      </c>
      <c r="G44" s="25">
        <v>34.450000000000003</v>
      </c>
      <c r="H44" s="25">
        <v>16.600000000000001</v>
      </c>
      <c r="I44" s="25">
        <v>8.49</v>
      </c>
      <c r="J44" s="25">
        <v>1.82</v>
      </c>
      <c r="K44" s="25">
        <v>113.62</v>
      </c>
      <c r="L44" s="25">
        <v>25.45</v>
      </c>
      <c r="M44" s="25">
        <v>98.31</v>
      </c>
      <c r="N44" s="25">
        <v>277.3</v>
      </c>
      <c r="O44" s="25">
        <v>0</v>
      </c>
      <c r="P44" s="25">
        <v>0.54</v>
      </c>
      <c r="Q44" s="25">
        <v>9.66</v>
      </c>
      <c r="R44" s="198"/>
      <c r="S44" s="198"/>
      <c r="T44" s="198"/>
      <c r="U44" s="198"/>
    </row>
    <row r="45" spans="1:21" s="12" customFormat="1" x14ac:dyDescent="0.25">
      <c r="A45" s="219" t="s">
        <v>1718</v>
      </c>
      <c r="B45" s="25">
        <v>8.3699999999999992</v>
      </c>
      <c r="C45" s="25">
        <v>3.24</v>
      </c>
      <c r="D45" s="25">
        <v>12.18</v>
      </c>
      <c r="E45" s="25">
        <v>3.81</v>
      </c>
      <c r="F45" s="25">
        <v>3.46</v>
      </c>
      <c r="G45" s="25">
        <v>34.450000000000003</v>
      </c>
      <c r="H45" s="25">
        <v>16.600000000000001</v>
      </c>
      <c r="I45" s="25">
        <v>8.91</v>
      </c>
      <c r="J45" s="25">
        <v>1.26</v>
      </c>
      <c r="K45" s="25">
        <v>111.03</v>
      </c>
      <c r="L45" s="25">
        <v>25.79</v>
      </c>
      <c r="M45" s="25">
        <v>97</v>
      </c>
      <c r="N45" s="25">
        <v>314.89999999999998</v>
      </c>
      <c r="O45" s="25">
        <v>0</v>
      </c>
      <c r="P45" s="25">
        <v>0.52</v>
      </c>
      <c r="Q45" s="25">
        <v>9.68</v>
      </c>
      <c r="R45" s="198"/>
      <c r="S45" s="198"/>
      <c r="T45" s="198"/>
      <c r="U45" s="198"/>
    </row>
    <row r="46" spans="1:21" s="12" customFormat="1" x14ac:dyDescent="0.25">
      <c r="A46" s="219" t="s">
        <v>1719</v>
      </c>
      <c r="B46" s="25">
        <v>8.3699999999999992</v>
      </c>
      <c r="C46" s="25">
        <v>3.2</v>
      </c>
      <c r="D46" s="25">
        <v>12.16</v>
      </c>
      <c r="E46" s="25">
        <v>3.76</v>
      </c>
      <c r="F46" s="25">
        <v>3.19</v>
      </c>
      <c r="G46" s="25">
        <v>34.450000000000003</v>
      </c>
      <c r="H46" s="25">
        <v>16.600000000000001</v>
      </c>
      <c r="I46" s="25">
        <v>9.4</v>
      </c>
      <c r="J46" s="25">
        <v>1.54</v>
      </c>
      <c r="K46" s="25">
        <v>115.79</v>
      </c>
      <c r="L46" s="25">
        <v>26.08</v>
      </c>
      <c r="M46" s="25">
        <v>95.72</v>
      </c>
      <c r="N46" s="25">
        <v>348.8</v>
      </c>
      <c r="O46" s="25">
        <v>0</v>
      </c>
      <c r="P46" s="25">
        <v>0.51</v>
      </c>
      <c r="Q46" s="25">
        <v>9.66</v>
      </c>
      <c r="R46" s="198"/>
      <c r="S46" s="198"/>
      <c r="T46" s="198"/>
      <c r="U46" s="198"/>
    </row>
    <row r="47" spans="1:21" s="12" customFormat="1" x14ac:dyDescent="0.25">
      <c r="A47" s="219" t="s">
        <v>1720</v>
      </c>
      <c r="B47" s="25">
        <v>8.35</v>
      </c>
      <c r="C47" s="25">
        <v>3.19</v>
      </c>
      <c r="D47" s="25">
        <v>12.14</v>
      </c>
      <c r="E47" s="25">
        <v>4.03</v>
      </c>
      <c r="F47" s="25">
        <v>3.48</v>
      </c>
      <c r="G47" s="25">
        <v>33.69</v>
      </c>
      <c r="H47" s="25">
        <v>15.23</v>
      </c>
      <c r="I47" s="25">
        <v>9.59</v>
      </c>
      <c r="J47" s="25">
        <v>1.7</v>
      </c>
      <c r="K47" s="25">
        <v>110.79</v>
      </c>
      <c r="L47" s="25">
        <v>26.02</v>
      </c>
      <c r="M47" s="25">
        <v>95.3</v>
      </c>
      <c r="N47" s="25">
        <v>383</v>
      </c>
      <c r="O47" s="25">
        <v>0</v>
      </c>
      <c r="P47" s="25">
        <v>0.5</v>
      </c>
      <c r="Q47" s="25">
        <v>9.67</v>
      </c>
      <c r="R47" s="198"/>
      <c r="S47" s="198"/>
      <c r="T47" s="198"/>
      <c r="U47" s="198"/>
    </row>
    <row r="48" spans="1:21" s="12" customFormat="1" x14ac:dyDescent="0.25">
      <c r="A48" s="219" t="s">
        <v>1721</v>
      </c>
      <c r="B48" s="25">
        <v>8.34</v>
      </c>
      <c r="C48" s="25">
        <v>3.21</v>
      </c>
      <c r="D48" s="25">
        <v>12.14</v>
      </c>
      <c r="E48" s="25">
        <v>4.03</v>
      </c>
      <c r="F48" s="25">
        <v>3.33</v>
      </c>
      <c r="G48" s="25">
        <v>32.549999999999997</v>
      </c>
      <c r="H48" s="25">
        <v>13.26</v>
      </c>
      <c r="I48" s="25">
        <v>9.67</v>
      </c>
      <c r="J48" s="25">
        <v>1.19</v>
      </c>
      <c r="K48" s="25">
        <v>106.87</v>
      </c>
      <c r="L48" s="25">
        <v>26.5</v>
      </c>
      <c r="M48" s="25">
        <v>91.53</v>
      </c>
      <c r="N48" s="25">
        <v>573.20000000000005</v>
      </c>
      <c r="O48" s="25">
        <v>0</v>
      </c>
      <c r="P48" s="25">
        <v>0.49</v>
      </c>
      <c r="Q48" s="25">
        <v>9.6300000000000008</v>
      </c>
      <c r="R48" s="198"/>
      <c r="S48" s="198"/>
      <c r="T48" s="198"/>
      <c r="U48" s="198"/>
    </row>
    <row r="49" spans="1:21" s="12" customFormat="1" x14ac:dyDescent="0.25">
      <c r="A49" s="219" t="s">
        <v>1722</v>
      </c>
      <c r="B49" s="25">
        <v>8.4</v>
      </c>
      <c r="C49" s="25">
        <v>3.29</v>
      </c>
      <c r="D49" s="25">
        <v>12.23</v>
      </c>
      <c r="E49" s="25">
        <v>3.89</v>
      </c>
      <c r="F49" s="25">
        <v>3.47</v>
      </c>
      <c r="G49" s="25">
        <v>32.549999999999997</v>
      </c>
      <c r="H49" s="25">
        <v>13.26</v>
      </c>
      <c r="I49" s="25">
        <v>9.84</v>
      </c>
      <c r="J49" s="25">
        <v>0.61</v>
      </c>
      <c r="K49" s="25">
        <v>107.83</v>
      </c>
      <c r="L49" s="25">
        <v>27.65</v>
      </c>
      <c r="M49" s="25">
        <v>89.43</v>
      </c>
      <c r="N49" s="25">
        <v>746.3</v>
      </c>
      <c r="O49" s="25">
        <v>0</v>
      </c>
      <c r="P49" s="25">
        <v>0.48</v>
      </c>
      <c r="Q49" s="25">
        <v>9.61</v>
      </c>
      <c r="R49" s="198"/>
      <c r="S49" s="198"/>
      <c r="T49" s="198"/>
      <c r="U49" s="198"/>
    </row>
    <row r="50" spans="1:21" s="12" customFormat="1" x14ac:dyDescent="0.25">
      <c r="A50" s="219" t="s">
        <v>1723</v>
      </c>
      <c r="B50" s="25">
        <v>8.39</v>
      </c>
      <c r="C50" s="25">
        <v>3.34</v>
      </c>
      <c r="D50" s="25">
        <v>12.25</v>
      </c>
      <c r="E50" s="25">
        <v>4.01</v>
      </c>
      <c r="F50" s="25">
        <v>3.91</v>
      </c>
      <c r="G50" s="25">
        <v>32.549999999999997</v>
      </c>
      <c r="H50" s="25">
        <v>13.26</v>
      </c>
      <c r="I50" s="25">
        <v>9.9600000000000009</v>
      </c>
      <c r="J50" s="25">
        <v>0.49</v>
      </c>
      <c r="K50" s="25">
        <v>100.14</v>
      </c>
      <c r="L50" s="25">
        <v>28.33</v>
      </c>
      <c r="M50" s="25">
        <v>84.79</v>
      </c>
      <c r="N50" s="25">
        <v>851.7</v>
      </c>
      <c r="O50" s="25">
        <v>0</v>
      </c>
      <c r="P50" s="25">
        <v>0.49</v>
      </c>
      <c r="Q50" s="25">
        <v>9.59</v>
      </c>
      <c r="R50" s="198"/>
      <c r="S50" s="198"/>
      <c r="T50" s="198"/>
      <c r="U50" s="198"/>
    </row>
    <row r="51" spans="1:21" s="12" customFormat="1" x14ac:dyDescent="0.25">
      <c r="A51" s="219" t="s">
        <v>1724</v>
      </c>
      <c r="B51" s="25">
        <v>8.34</v>
      </c>
      <c r="C51" s="25">
        <v>3.28</v>
      </c>
      <c r="D51" s="25">
        <v>12.17</v>
      </c>
      <c r="E51" s="25">
        <v>3.83</v>
      </c>
      <c r="F51" s="25">
        <v>3</v>
      </c>
      <c r="G51" s="25">
        <v>30.61</v>
      </c>
      <c r="H51" s="25">
        <v>12.25</v>
      </c>
      <c r="I51" s="25">
        <v>9.85</v>
      </c>
      <c r="J51" s="25">
        <v>2.0299999999999998</v>
      </c>
      <c r="K51" s="25">
        <v>114.55</v>
      </c>
      <c r="L51" s="25">
        <v>28.25</v>
      </c>
      <c r="M51" s="25">
        <v>81.400000000000006</v>
      </c>
      <c r="N51" s="25">
        <v>1143.5</v>
      </c>
      <c r="O51" s="25">
        <v>0</v>
      </c>
      <c r="P51" s="25">
        <v>0.48</v>
      </c>
      <c r="Q51" s="25">
        <v>9.48</v>
      </c>
      <c r="R51" s="198"/>
      <c r="S51" s="198"/>
      <c r="T51" s="198"/>
      <c r="U51" s="198"/>
    </row>
    <row r="52" spans="1:21" s="12" customFormat="1" x14ac:dyDescent="0.25">
      <c r="A52" s="219" t="s">
        <v>1725</v>
      </c>
      <c r="B52" s="25">
        <v>8.34</v>
      </c>
      <c r="C52" s="25">
        <v>3.2</v>
      </c>
      <c r="D52" s="25">
        <v>12.13</v>
      </c>
      <c r="E52" s="25">
        <v>4.1900000000000004</v>
      </c>
      <c r="F52" s="25">
        <v>3.51</v>
      </c>
      <c r="G52" s="25">
        <v>27.71</v>
      </c>
      <c r="H52" s="25">
        <v>10.8</v>
      </c>
      <c r="I52" s="25">
        <v>9.56</v>
      </c>
      <c r="J52" s="25">
        <v>1.36</v>
      </c>
      <c r="K52" s="25">
        <v>116.37</v>
      </c>
      <c r="L52" s="25">
        <v>28.65</v>
      </c>
      <c r="M52" s="25">
        <v>80.72</v>
      </c>
      <c r="N52" s="25">
        <v>1099</v>
      </c>
      <c r="O52" s="25">
        <v>0</v>
      </c>
      <c r="P52" s="25">
        <v>0.46</v>
      </c>
      <c r="Q52" s="25">
        <v>9.52</v>
      </c>
      <c r="R52" s="198"/>
      <c r="S52" s="198"/>
      <c r="T52" s="198"/>
      <c r="U52" s="198"/>
    </row>
    <row r="53" spans="1:21" s="12" customFormat="1" x14ac:dyDescent="0.25">
      <c r="A53" s="219" t="s">
        <v>1726</v>
      </c>
      <c r="B53" s="25">
        <v>8.36</v>
      </c>
      <c r="C53" s="25">
        <v>3.28</v>
      </c>
      <c r="D53" s="25">
        <v>12.19</v>
      </c>
      <c r="E53" s="25">
        <v>3.77</v>
      </c>
      <c r="F53" s="25">
        <v>4.08</v>
      </c>
      <c r="G53" s="25">
        <v>27.71</v>
      </c>
      <c r="H53" s="25">
        <v>10.8</v>
      </c>
      <c r="I53" s="25">
        <v>9.42</v>
      </c>
      <c r="J53" s="25">
        <v>1.66</v>
      </c>
      <c r="K53" s="25">
        <v>109.42</v>
      </c>
      <c r="L53" s="25">
        <v>28.62</v>
      </c>
      <c r="M53" s="25">
        <v>78.650000000000006</v>
      </c>
      <c r="N53" s="25">
        <v>1132.9000000000001</v>
      </c>
      <c r="O53" s="25">
        <v>0</v>
      </c>
      <c r="P53" s="25">
        <v>0.46</v>
      </c>
      <c r="Q53" s="25">
        <v>9.59</v>
      </c>
      <c r="R53" s="198"/>
      <c r="S53" s="198"/>
      <c r="T53" s="198"/>
      <c r="U53" s="198"/>
    </row>
    <row r="54" spans="1:21" s="12" customFormat="1" x14ac:dyDescent="0.25">
      <c r="A54" s="219" t="s">
        <v>1727</v>
      </c>
      <c r="B54" s="25">
        <v>8.32</v>
      </c>
      <c r="C54" s="25">
        <v>3.25</v>
      </c>
      <c r="D54" s="25">
        <v>12.15</v>
      </c>
      <c r="E54" s="25">
        <v>4.0999999999999996</v>
      </c>
      <c r="F54" s="25">
        <v>3.23</v>
      </c>
      <c r="G54" s="25">
        <v>27.71</v>
      </c>
      <c r="H54" s="25">
        <v>10.8</v>
      </c>
      <c r="I54" s="25">
        <v>9.33</v>
      </c>
      <c r="J54" s="25">
        <v>1.1499999999999999</v>
      </c>
      <c r="K54" s="25">
        <v>115.7</v>
      </c>
      <c r="L54" s="25">
        <v>28.87</v>
      </c>
      <c r="M54" s="25">
        <v>76.930000000000007</v>
      </c>
      <c r="N54" s="25">
        <v>844.3</v>
      </c>
      <c r="O54" s="25">
        <v>0</v>
      </c>
      <c r="P54" s="25">
        <v>0.45</v>
      </c>
      <c r="Q54" s="25">
        <v>9.5399999999999991</v>
      </c>
      <c r="R54" s="198"/>
      <c r="S54" s="198"/>
      <c r="T54" s="198"/>
      <c r="U54" s="198"/>
    </row>
    <row r="55" spans="1:21" s="12" customFormat="1" x14ac:dyDescent="0.25">
      <c r="A55" s="219" t="s">
        <v>1728</v>
      </c>
      <c r="B55" s="25">
        <v>8.31</v>
      </c>
      <c r="C55" s="25">
        <v>3.18</v>
      </c>
      <c r="D55" s="25">
        <v>12.1</v>
      </c>
      <c r="E55" s="25">
        <v>3.41</v>
      </c>
      <c r="F55" s="25">
        <v>3.6</v>
      </c>
      <c r="G55" s="25">
        <v>27.53</v>
      </c>
      <c r="H55" s="25">
        <v>9.76</v>
      </c>
      <c r="I55" s="25">
        <v>9.25</v>
      </c>
      <c r="J55" s="25">
        <v>1.4</v>
      </c>
      <c r="K55" s="25">
        <v>110.52</v>
      </c>
      <c r="L55" s="25">
        <v>28.81</v>
      </c>
      <c r="M55" s="25">
        <v>77.97</v>
      </c>
      <c r="N55" s="25">
        <v>1051.5999999999999</v>
      </c>
      <c r="O55" s="25">
        <v>0</v>
      </c>
      <c r="P55" s="25">
        <v>0.44</v>
      </c>
      <c r="Q55" s="25">
        <v>9.48</v>
      </c>
      <c r="R55" s="198"/>
      <c r="S55" s="198"/>
      <c r="T55" s="198"/>
      <c r="U55" s="198"/>
    </row>
    <row r="56" spans="1:21" s="12" customFormat="1" x14ac:dyDescent="0.25">
      <c r="A56" s="219" t="s">
        <v>1729</v>
      </c>
      <c r="B56" s="25">
        <v>8.31</v>
      </c>
      <c r="C56" s="25">
        <v>3.18</v>
      </c>
      <c r="D56" s="25">
        <v>12.1</v>
      </c>
      <c r="E56" s="25">
        <v>3.99</v>
      </c>
      <c r="F56" s="25">
        <v>4.05</v>
      </c>
      <c r="G56" s="25">
        <v>27.27</v>
      </c>
      <c r="H56" s="25">
        <v>8.19</v>
      </c>
      <c r="I56" s="25">
        <v>9.16</v>
      </c>
      <c r="J56" s="25">
        <v>1.04</v>
      </c>
      <c r="K56" s="25">
        <v>106.92</v>
      </c>
      <c r="L56" s="25">
        <v>28.91</v>
      </c>
      <c r="M56" s="25">
        <v>77.900000000000006</v>
      </c>
      <c r="N56" s="25">
        <v>879.5</v>
      </c>
      <c r="O56" s="25">
        <v>0</v>
      </c>
      <c r="P56" s="25">
        <v>0.43</v>
      </c>
      <c r="Q56" s="25">
        <v>9.5</v>
      </c>
      <c r="R56" s="198"/>
      <c r="S56" s="198"/>
      <c r="T56" s="198"/>
      <c r="U56" s="198"/>
    </row>
    <row r="57" spans="1:21" s="12" customFormat="1" x14ac:dyDescent="0.25">
      <c r="A57" s="219" t="s">
        <v>1730</v>
      </c>
      <c r="B57" s="25">
        <v>8.33</v>
      </c>
      <c r="C57" s="25">
        <v>3.23</v>
      </c>
      <c r="D57" s="25">
        <v>12.14</v>
      </c>
      <c r="E57" s="25">
        <v>4.57</v>
      </c>
      <c r="F57" s="25">
        <v>4.0599999999999996</v>
      </c>
      <c r="G57" s="25">
        <v>27.27</v>
      </c>
      <c r="H57" s="25">
        <v>8.19</v>
      </c>
      <c r="I57" s="25">
        <v>9.0299999999999994</v>
      </c>
      <c r="J57" s="25">
        <v>1.44</v>
      </c>
      <c r="K57" s="25">
        <v>112.18</v>
      </c>
      <c r="L57" s="25">
        <v>29.12</v>
      </c>
      <c r="M57" s="25">
        <v>75.64</v>
      </c>
      <c r="N57" s="25">
        <v>1151.5</v>
      </c>
      <c r="O57" s="25">
        <v>0</v>
      </c>
      <c r="P57" s="25">
        <v>0.42</v>
      </c>
      <c r="Q57" s="25">
        <v>9.5399999999999991</v>
      </c>
      <c r="R57" s="198"/>
      <c r="S57" s="198"/>
      <c r="T57" s="198"/>
      <c r="U57" s="198"/>
    </row>
    <row r="58" spans="1:21" s="12" customFormat="1" x14ac:dyDescent="0.25">
      <c r="A58" s="219" t="s">
        <v>1731</v>
      </c>
      <c r="B58" s="25">
        <v>8.34</v>
      </c>
      <c r="C58" s="25">
        <v>3.27</v>
      </c>
      <c r="D58" s="25">
        <v>12.17</v>
      </c>
      <c r="E58" s="25">
        <v>4.67</v>
      </c>
      <c r="F58" s="25">
        <v>4.12</v>
      </c>
      <c r="G58" s="25">
        <v>27.27</v>
      </c>
      <c r="H58" s="25">
        <v>8.19</v>
      </c>
      <c r="I58" s="25">
        <v>8.9499999999999993</v>
      </c>
      <c r="J58" s="25">
        <v>1.1200000000000001</v>
      </c>
      <c r="K58" s="25">
        <v>101.57</v>
      </c>
      <c r="L58" s="25">
        <v>29.61</v>
      </c>
      <c r="M58" s="25">
        <v>73.09</v>
      </c>
      <c r="N58" s="25">
        <v>921.1</v>
      </c>
      <c r="O58" s="25">
        <v>0</v>
      </c>
      <c r="P58" s="25">
        <v>0.41</v>
      </c>
      <c r="Q58" s="25">
        <v>9.5</v>
      </c>
      <c r="R58" s="198"/>
      <c r="S58" s="198"/>
      <c r="T58" s="198"/>
      <c r="U58" s="198"/>
    </row>
    <row r="59" spans="1:21" s="12" customFormat="1" x14ac:dyDescent="0.25">
      <c r="A59" s="219" t="s">
        <v>1732</v>
      </c>
      <c r="B59" s="25">
        <v>8.35</v>
      </c>
      <c r="C59" s="25">
        <v>3.31</v>
      </c>
      <c r="D59" s="25">
        <v>12.2</v>
      </c>
      <c r="E59" s="25">
        <v>4.47</v>
      </c>
      <c r="F59" s="25">
        <v>3.66</v>
      </c>
      <c r="G59" s="25">
        <v>25.9</v>
      </c>
      <c r="H59" s="25">
        <v>8.24</v>
      </c>
      <c r="I59" s="25">
        <v>8.91</v>
      </c>
      <c r="J59" s="25">
        <v>1.38</v>
      </c>
      <c r="K59" s="25">
        <v>110.12</v>
      </c>
      <c r="L59" s="25">
        <v>29.22</v>
      </c>
      <c r="M59" s="25">
        <v>78.209999999999994</v>
      </c>
      <c r="N59" s="25">
        <v>971.8</v>
      </c>
      <c r="O59" s="25">
        <v>0</v>
      </c>
      <c r="P59" s="25">
        <v>0.4</v>
      </c>
      <c r="Q59" s="25">
        <v>9.4600000000000009</v>
      </c>
      <c r="R59" s="198"/>
      <c r="S59" s="198"/>
      <c r="T59" s="198"/>
      <c r="U59" s="198"/>
    </row>
    <row r="60" spans="1:21" s="12" customFormat="1" x14ac:dyDescent="0.25">
      <c r="A60" s="219" t="s">
        <v>1733</v>
      </c>
      <c r="B60" s="25">
        <v>8.4</v>
      </c>
      <c r="C60" s="25">
        <v>3.42</v>
      </c>
      <c r="D60" s="25">
        <v>12.3</v>
      </c>
      <c r="E60" s="25">
        <v>4.5599999999999996</v>
      </c>
      <c r="F60" s="25">
        <v>3.84</v>
      </c>
      <c r="G60" s="25">
        <v>23.92</v>
      </c>
      <c r="H60" s="25">
        <v>8.3000000000000007</v>
      </c>
      <c r="I60" s="25">
        <v>8.7799999999999994</v>
      </c>
      <c r="J60" s="25">
        <v>0.18</v>
      </c>
      <c r="K60" s="25">
        <v>77.680000000000007</v>
      </c>
      <c r="L60" s="25">
        <v>29.7</v>
      </c>
      <c r="M60" s="25">
        <v>75.959999999999994</v>
      </c>
      <c r="N60" s="25">
        <v>1011.1</v>
      </c>
      <c r="O60" s="25">
        <v>0</v>
      </c>
      <c r="P60" s="25">
        <v>0.39</v>
      </c>
      <c r="Q60" s="25">
        <v>9.4499999999999993</v>
      </c>
      <c r="R60" s="198"/>
      <c r="S60" s="198"/>
      <c r="T60" s="198"/>
      <c r="U60" s="198"/>
    </row>
    <row r="61" spans="1:21" s="12" customFormat="1" x14ac:dyDescent="0.25">
      <c r="A61" s="219" t="s">
        <v>1734</v>
      </c>
      <c r="B61" s="25">
        <v>8.3800000000000008</v>
      </c>
      <c r="C61" s="25">
        <v>3.3</v>
      </c>
      <c r="D61" s="25">
        <v>12.22</v>
      </c>
      <c r="E61" s="25">
        <v>4.46</v>
      </c>
      <c r="F61" s="25">
        <v>3.64</v>
      </c>
      <c r="G61" s="25">
        <v>23.92</v>
      </c>
      <c r="H61" s="25">
        <v>8.3000000000000007</v>
      </c>
      <c r="I61" s="25">
        <v>8.6300000000000008</v>
      </c>
      <c r="J61" s="25">
        <v>0.48</v>
      </c>
      <c r="K61" s="25">
        <v>107.11</v>
      </c>
      <c r="L61" s="25">
        <v>29.75</v>
      </c>
      <c r="M61" s="25">
        <v>74.41</v>
      </c>
      <c r="N61" s="25">
        <v>875.7</v>
      </c>
      <c r="O61" s="25">
        <v>0</v>
      </c>
      <c r="P61" s="25">
        <v>0.42</v>
      </c>
      <c r="Q61" s="25">
        <v>9.4499999999999993</v>
      </c>
      <c r="R61" s="198"/>
      <c r="S61" s="198"/>
      <c r="T61" s="198"/>
      <c r="U61" s="198"/>
    </row>
    <row r="62" spans="1:21" s="12" customFormat="1" x14ac:dyDescent="0.25">
      <c r="A62" s="219" t="s">
        <v>1735</v>
      </c>
      <c r="B62" s="25">
        <v>8.3699999999999992</v>
      </c>
      <c r="C62" s="25">
        <v>3.21</v>
      </c>
      <c r="D62" s="25">
        <v>12.16</v>
      </c>
      <c r="E62" s="25">
        <v>4.84</v>
      </c>
      <c r="F62" s="25">
        <v>3.79</v>
      </c>
      <c r="G62" s="25">
        <v>23.92</v>
      </c>
      <c r="H62" s="25">
        <v>8.3000000000000007</v>
      </c>
      <c r="I62" s="25">
        <v>8.5</v>
      </c>
      <c r="J62" s="25">
        <v>0.31</v>
      </c>
      <c r="K62" s="25">
        <v>348.72</v>
      </c>
      <c r="L62" s="25">
        <v>29.71</v>
      </c>
      <c r="M62" s="25">
        <v>73.709999999999994</v>
      </c>
      <c r="N62" s="25">
        <v>528.20000000000005</v>
      </c>
      <c r="O62" s="25">
        <v>0</v>
      </c>
      <c r="P62" s="25">
        <v>0.44</v>
      </c>
      <c r="Q62" s="25">
        <v>9.4499999999999993</v>
      </c>
      <c r="R62" s="198"/>
      <c r="S62" s="198"/>
      <c r="T62" s="198"/>
      <c r="U62" s="198"/>
    </row>
    <row r="63" spans="1:21" s="12" customFormat="1" x14ac:dyDescent="0.25">
      <c r="A63" s="219" t="s">
        <v>1736</v>
      </c>
      <c r="B63" s="25">
        <v>8.36</v>
      </c>
      <c r="C63" s="25">
        <v>3.22</v>
      </c>
      <c r="D63" s="25">
        <v>12.16</v>
      </c>
      <c r="E63" s="25">
        <v>4.83</v>
      </c>
      <c r="F63" s="25">
        <v>3.51</v>
      </c>
      <c r="G63" s="25">
        <v>24.08</v>
      </c>
      <c r="H63" s="25">
        <v>8.3000000000000007</v>
      </c>
      <c r="I63" s="25">
        <v>8.3699999999999992</v>
      </c>
      <c r="J63" s="25">
        <v>0.28000000000000003</v>
      </c>
      <c r="K63" s="25">
        <v>345.74</v>
      </c>
      <c r="L63" s="25">
        <v>29.5</v>
      </c>
      <c r="M63" s="25">
        <v>74.83</v>
      </c>
      <c r="N63" s="25">
        <v>789.2</v>
      </c>
      <c r="O63" s="25">
        <v>0</v>
      </c>
      <c r="P63" s="25">
        <v>0.43</v>
      </c>
      <c r="Q63" s="25">
        <v>9.4499999999999993</v>
      </c>
      <c r="R63" s="198"/>
      <c r="S63" s="198"/>
      <c r="T63" s="198"/>
      <c r="U63" s="198"/>
    </row>
    <row r="64" spans="1:21" s="12" customFormat="1" x14ac:dyDescent="0.25">
      <c r="A64" s="219" t="s">
        <v>1737</v>
      </c>
      <c r="B64" s="25">
        <v>8.36</v>
      </c>
      <c r="C64" s="25">
        <v>3.21</v>
      </c>
      <c r="D64" s="25">
        <v>12.15</v>
      </c>
      <c r="E64" s="25">
        <v>4.45</v>
      </c>
      <c r="F64" s="25">
        <v>3.46</v>
      </c>
      <c r="G64" s="25">
        <v>24.31</v>
      </c>
      <c r="H64" s="25">
        <v>8.2899999999999991</v>
      </c>
      <c r="I64" s="25">
        <v>8.2200000000000006</v>
      </c>
      <c r="J64" s="25">
        <v>1.24</v>
      </c>
      <c r="K64" s="25">
        <v>113.16</v>
      </c>
      <c r="L64" s="25">
        <v>29.17</v>
      </c>
      <c r="M64" s="25">
        <v>76.77</v>
      </c>
      <c r="N64" s="25">
        <v>379.9</v>
      </c>
      <c r="O64" s="25">
        <v>0</v>
      </c>
      <c r="P64" s="25">
        <v>0.44</v>
      </c>
      <c r="Q64" s="25">
        <v>9.49</v>
      </c>
      <c r="R64" s="198"/>
      <c r="S64" s="198"/>
      <c r="T64" s="198"/>
      <c r="U64" s="198"/>
    </row>
    <row r="65" spans="1:21" s="12" customFormat="1" x14ac:dyDescent="0.25">
      <c r="A65" s="219" t="s">
        <v>1738</v>
      </c>
      <c r="B65" s="25">
        <v>8.3800000000000008</v>
      </c>
      <c r="C65" s="25">
        <v>3.24</v>
      </c>
      <c r="D65" s="25">
        <v>12.19</v>
      </c>
      <c r="E65" s="25">
        <v>4.3600000000000003</v>
      </c>
      <c r="F65" s="25">
        <v>3.68</v>
      </c>
      <c r="G65" s="25">
        <v>24.31</v>
      </c>
      <c r="H65" s="25">
        <v>8.2899999999999991</v>
      </c>
      <c r="I65" s="25">
        <v>8.1199999999999992</v>
      </c>
      <c r="J65" s="25">
        <v>1.52</v>
      </c>
      <c r="K65" s="25">
        <v>117.99</v>
      </c>
      <c r="L65" s="25">
        <v>28.31</v>
      </c>
      <c r="M65" s="25">
        <v>78.84</v>
      </c>
      <c r="N65" s="25">
        <v>727.1</v>
      </c>
      <c r="O65" s="25">
        <v>0</v>
      </c>
      <c r="P65" s="25">
        <v>0.44</v>
      </c>
      <c r="Q65" s="25">
        <v>9.5299999999999994</v>
      </c>
      <c r="R65" s="198"/>
      <c r="S65" s="198"/>
      <c r="T65" s="198"/>
      <c r="U65" s="198"/>
    </row>
    <row r="66" spans="1:21" s="12" customFormat="1" x14ac:dyDescent="0.25">
      <c r="A66" s="219" t="s">
        <v>1739</v>
      </c>
      <c r="B66" s="25">
        <v>8.34</v>
      </c>
      <c r="C66" s="25">
        <v>3.15</v>
      </c>
      <c r="D66" s="25">
        <v>12.11</v>
      </c>
      <c r="E66" s="25">
        <v>4.2699999999999996</v>
      </c>
      <c r="F66" s="25">
        <v>3.65</v>
      </c>
      <c r="G66" s="25">
        <v>24.31</v>
      </c>
      <c r="H66" s="25">
        <v>8.2899999999999991</v>
      </c>
      <c r="I66" s="25">
        <v>8.19</v>
      </c>
      <c r="J66" s="25">
        <v>1.19</v>
      </c>
      <c r="K66" s="25">
        <v>148.84</v>
      </c>
      <c r="L66" s="25">
        <v>28.07</v>
      </c>
      <c r="M66" s="25">
        <v>82.45</v>
      </c>
      <c r="N66" s="25">
        <v>422.3</v>
      </c>
      <c r="O66" s="25">
        <v>0</v>
      </c>
      <c r="P66" s="25">
        <v>0.43</v>
      </c>
      <c r="Q66" s="25">
        <v>9.5299999999999994</v>
      </c>
      <c r="R66" s="198"/>
      <c r="S66" s="198"/>
      <c r="T66" s="198"/>
      <c r="U66" s="198"/>
    </row>
    <row r="67" spans="1:21" s="12" customFormat="1" x14ac:dyDescent="0.25">
      <c r="A67" s="219" t="s">
        <v>1740</v>
      </c>
      <c r="B67" s="25">
        <v>8.3699999999999992</v>
      </c>
      <c r="C67" s="25">
        <v>3.21</v>
      </c>
      <c r="D67" s="25">
        <v>12.16</v>
      </c>
      <c r="E67" s="25">
        <v>4.71</v>
      </c>
      <c r="F67" s="25">
        <v>3.67</v>
      </c>
      <c r="G67" s="25">
        <v>25.83</v>
      </c>
      <c r="H67" s="25">
        <v>8.8000000000000007</v>
      </c>
      <c r="I67" s="25">
        <v>8.41</v>
      </c>
      <c r="J67" s="25">
        <v>1.65</v>
      </c>
      <c r="K67" s="25">
        <v>151.93</v>
      </c>
      <c r="L67" s="25">
        <v>27.64</v>
      </c>
      <c r="M67" s="25">
        <v>85.53</v>
      </c>
      <c r="N67" s="25">
        <v>388.6</v>
      </c>
      <c r="O67" s="25">
        <v>0</v>
      </c>
      <c r="P67" s="25">
        <v>0.42</v>
      </c>
      <c r="Q67" s="25">
        <v>9.52</v>
      </c>
      <c r="R67" s="198"/>
      <c r="S67" s="198"/>
      <c r="T67" s="198"/>
      <c r="U67" s="198"/>
    </row>
    <row r="68" spans="1:21" s="12" customFormat="1" x14ac:dyDescent="0.25">
      <c r="A68" s="219" t="s">
        <v>1741</v>
      </c>
      <c r="B68" s="25">
        <v>8.3800000000000008</v>
      </c>
      <c r="C68" s="25">
        <v>3.27</v>
      </c>
      <c r="D68" s="25">
        <v>12.21</v>
      </c>
      <c r="E68" s="25">
        <v>4.4000000000000004</v>
      </c>
      <c r="F68" s="25">
        <v>4.62</v>
      </c>
      <c r="G68" s="25">
        <v>28.1</v>
      </c>
      <c r="H68" s="25">
        <v>9.56</v>
      </c>
      <c r="I68" s="25">
        <v>8.44</v>
      </c>
      <c r="J68" s="25">
        <v>0.61</v>
      </c>
      <c r="K68" s="25">
        <v>155.29</v>
      </c>
      <c r="L68" s="25">
        <v>27.6</v>
      </c>
      <c r="M68" s="25">
        <v>86.84</v>
      </c>
      <c r="N68" s="25">
        <v>387.4</v>
      </c>
      <c r="O68" s="25">
        <v>0</v>
      </c>
      <c r="P68" s="25">
        <v>0.42</v>
      </c>
      <c r="Q68" s="25">
        <v>9.5399999999999991</v>
      </c>
      <c r="R68" s="198"/>
      <c r="S68" s="198"/>
      <c r="T68" s="198"/>
      <c r="U68" s="198"/>
    </row>
    <row r="69" spans="1:21" s="12" customFormat="1" x14ac:dyDescent="0.25">
      <c r="A69" s="219" t="s">
        <v>1742</v>
      </c>
      <c r="B69" s="25">
        <v>8.34</v>
      </c>
      <c r="C69" s="25">
        <v>3.28</v>
      </c>
      <c r="D69" s="25">
        <v>12.18</v>
      </c>
      <c r="E69" s="25">
        <v>4.78</v>
      </c>
      <c r="F69" s="25">
        <v>3.11</v>
      </c>
      <c r="G69" s="25">
        <v>28.1</v>
      </c>
      <c r="H69" s="25">
        <v>9.56</v>
      </c>
      <c r="I69" s="25">
        <v>8.31</v>
      </c>
      <c r="J69" s="25">
        <v>0.15</v>
      </c>
      <c r="K69" s="25">
        <v>358.65</v>
      </c>
      <c r="L69" s="25">
        <v>27.94</v>
      </c>
      <c r="M69" s="25">
        <v>87.09</v>
      </c>
      <c r="N69" s="25">
        <v>326.7</v>
      </c>
      <c r="O69" s="25">
        <v>0</v>
      </c>
      <c r="P69" s="25">
        <v>0.4</v>
      </c>
      <c r="Q69" s="25">
        <v>9.4499999999999993</v>
      </c>
      <c r="R69" s="198"/>
      <c r="S69" s="198"/>
      <c r="T69" s="198"/>
      <c r="U69" s="198"/>
    </row>
    <row r="70" spans="1:21" s="12" customFormat="1" x14ac:dyDescent="0.25">
      <c r="A70" s="219" t="s">
        <v>1743</v>
      </c>
      <c r="B70" s="25">
        <v>8.3000000000000007</v>
      </c>
      <c r="C70" s="25">
        <v>3.19</v>
      </c>
      <c r="D70" s="25">
        <v>12.09</v>
      </c>
      <c r="E70" s="25">
        <v>4.58</v>
      </c>
      <c r="F70" s="25">
        <v>3.82</v>
      </c>
      <c r="G70" s="25">
        <v>28.1</v>
      </c>
      <c r="H70" s="25">
        <v>9.56</v>
      </c>
      <c r="I70" s="25">
        <v>7.99</v>
      </c>
      <c r="J70" s="25">
        <v>1.1399999999999999</v>
      </c>
      <c r="K70" s="25">
        <v>150.72999999999999</v>
      </c>
      <c r="L70" s="25">
        <v>28.05</v>
      </c>
      <c r="M70" s="25">
        <v>86.19</v>
      </c>
      <c r="N70" s="25">
        <v>330.3</v>
      </c>
      <c r="O70" s="25">
        <v>0</v>
      </c>
      <c r="P70" s="25">
        <v>0.39</v>
      </c>
      <c r="Q70" s="25">
        <v>9.41</v>
      </c>
      <c r="R70" s="198"/>
      <c r="S70" s="198"/>
      <c r="T70" s="198"/>
      <c r="U70" s="198"/>
    </row>
    <row r="71" spans="1:21" s="12" customFormat="1" x14ac:dyDescent="0.25">
      <c r="A71" s="219" t="s">
        <v>1744</v>
      </c>
      <c r="B71" s="25">
        <v>8.31</v>
      </c>
      <c r="C71" s="25">
        <v>3.2</v>
      </c>
      <c r="D71" s="25">
        <v>12.11</v>
      </c>
      <c r="E71" s="25">
        <v>4.68</v>
      </c>
      <c r="F71" s="25">
        <v>3.82</v>
      </c>
      <c r="G71" s="25">
        <v>25.4</v>
      </c>
      <c r="H71" s="25">
        <v>8.56</v>
      </c>
      <c r="I71" s="25">
        <v>7.38</v>
      </c>
      <c r="J71" s="25">
        <v>1.1399999999999999</v>
      </c>
      <c r="K71" s="25">
        <v>147.06</v>
      </c>
      <c r="L71" s="25">
        <v>27.28</v>
      </c>
      <c r="M71" s="25">
        <v>88.52</v>
      </c>
      <c r="N71" s="25">
        <v>204.2</v>
      </c>
      <c r="O71" s="25">
        <v>0</v>
      </c>
      <c r="P71" s="25">
        <v>0.38</v>
      </c>
      <c r="Q71" s="25">
        <v>9.41</v>
      </c>
      <c r="R71" s="198"/>
      <c r="S71" s="198"/>
      <c r="T71" s="198"/>
      <c r="U71" s="198"/>
    </row>
    <row r="72" spans="1:21" s="12" customFormat="1" x14ac:dyDescent="0.25">
      <c r="A72" s="219" t="s">
        <v>1745</v>
      </c>
      <c r="B72" s="25">
        <v>8.34</v>
      </c>
      <c r="C72" s="25">
        <v>3.27</v>
      </c>
      <c r="D72" s="25">
        <v>12.17</v>
      </c>
      <c r="E72" s="25">
        <v>3.96</v>
      </c>
      <c r="F72" s="25">
        <v>4.72</v>
      </c>
      <c r="G72" s="25">
        <v>21.52</v>
      </c>
      <c r="H72" s="25">
        <v>7.05</v>
      </c>
      <c r="I72" s="25">
        <v>6.92</v>
      </c>
      <c r="J72" s="25">
        <v>0.52</v>
      </c>
      <c r="K72" s="25">
        <v>156.53</v>
      </c>
      <c r="L72" s="25">
        <v>27.26</v>
      </c>
      <c r="M72" s="25">
        <v>87.39</v>
      </c>
      <c r="N72" s="25">
        <v>227.3</v>
      </c>
      <c r="O72" s="25">
        <v>0</v>
      </c>
      <c r="P72" s="25">
        <v>0.39</v>
      </c>
      <c r="Q72" s="25">
        <v>9.48</v>
      </c>
      <c r="R72" s="198"/>
      <c r="S72" s="198"/>
      <c r="T72" s="198"/>
      <c r="U72" s="198"/>
    </row>
    <row r="73" spans="1:21" s="12" customFormat="1" x14ac:dyDescent="0.25">
      <c r="A73" s="219" t="s">
        <v>1746</v>
      </c>
      <c r="B73" s="25">
        <v>8.2899999999999991</v>
      </c>
      <c r="C73" s="25">
        <v>3.28</v>
      </c>
      <c r="D73" s="25">
        <v>12.14</v>
      </c>
      <c r="E73" s="25">
        <v>3.8</v>
      </c>
      <c r="F73" s="25">
        <v>5.04</v>
      </c>
      <c r="G73" s="25">
        <v>21.52</v>
      </c>
      <c r="H73" s="25">
        <v>7.05</v>
      </c>
      <c r="I73" s="25">
        <v>6.83</v>
      </c>
      <c r="J73" s="25">
        <v>1.19</v>
      </c>
      <c r="K73" s="25">
        <v>128.63999999999999</v>
      </c>
      <c r="L73" s="25">
        <v>27.75</v>
      </c>
      <c r="M73" s="25">
        <v>86.62</v>
      </c>
      <c r="N73" s="25">
        <v>214.2</v>
      </c>
      <c r="O73" s="25">
        <v>0</v>
      </c>
      <c r="P73" s="25">
        <v>0.4</v>
      </c>
      <c r="Q73" s="25">
        <v>9.2899999999999991</v>
      </c>
      <c r="R73" s="198"/>
      <c r="S73" s="198"/>
      <c r="T73" s="198"/>
      <c r="U73" s="198"/>
    </row>
    <row r="74" spans="1:21" s="12" customFormat="1" x14ac:dyDescent="0.25">
      <c r="A74" s="219" t="s">
        <v>1747</v>
      </c>
      <c r="B74" s="25">
        <v>8.31</v>
      </c>
      <c r="C74" s="25">
        <v>3.35</v>
      </c>
      <c r="D74" s="25">
        <v>12.19</v>
      </c>
      <c r="E74" s="25">
        <v>4.0999999999999996</v>
      </c>
      <c r="F74" s="25">
        <v>2.15</v>
      </c>
      <c r="G74" s="25">
        <v>21.52</v>
      </c>
      <c r="H74" s="25">
        <v>7.05</v>
      </c>
      <c r="I74" s="25">
        <v>6.87</v>
      </c>
      <c r="J74" s="25">
        <v>1.36</v>
      </c>
      <c r="K74" s="25">
        <v>148.58000000000001</v>
      </c>
      <c r="L74" s="25">
        <v>27.85</v>
      </c>
      <c r="M74" s="25">
        <v>84.35</v>
      </c>
      <c r="N74" s="25">
        <v>281.3</v>
      </c>
      <c r="O74" s="25">
        <v>0</v>
      </c>
      <c r="P74" s="25">
        <v>0.39</v>
      </c>
      <c r="Q74" s="25">
        <v>9.0500000000000007</v>
      </c>
      <c r="R74" s="198"/>
      <c r="S74" s="198"/>
      <c r="T74" s="198"/>
      <c r="U74" s="198"/>
    </row>
    <row r="75" spans="1:21" s="12" customFormat="1" x14ac:dyDescent="0.25">
      <c r="A75" s="219" t="s">
        <v>1748</v>
      </c>
      <c r="B75" s="25">
        <v>8.2899999999999991</v>
      </c>
      <c r="C75" s="25">
        <v>3.25</v>
      </c>
      <c r="D75" s="25">
        <v>12.12</v>
      </c>
      <c r="E75" s="25">
        <v>3.99</v>
      </c>
      <c r="F75" s="25">
        <v>3.04</v>
      </c>
      <c r="G75" s="25">
        <v>20.86</v>
      </c>
      <c r="H75" s="25">
        <v>6.41</v>
      </c>
      <c r="I75" s="25">
        <v>6.83</v>
      </c>
      <c r="J75" s="25">
        <v>0.86</v>
      </c>
      <c r="K75" s="25">
        <v>153.78</v>
      </c>
      <c r="L75" s="25">
        <v>28</v>
      </c>
      <c r="M75" s="25">
        <v>83.61</v>
      </c>
      <c r="N75" s="25">
        <v>300.10000000000002</v>
      </c>
      <c r="O75" s="25">
        <v>0</v>
      </c>
      <c r="P75" s="25">
        <v>0.38</v>
      </c>
      <c r="Q75" s="25">
        <v>9.07</v>
      </c>
      <c r="R75" s="198"/>
      <c r="S75" s="198"/>
      <c r="T75" s="198"/>
      <c r="U75" s="198"/>
    </row>
    <row r="76" spans="1:21" s="12" customFormat="1" x14ac:dyDescent="0.25">
      <c r="A76" s="219" t="s">
        <v>1749</v>
      </c>
      <c r="B76" s="25">
        <v>8.3000000000000007</v>
      </c>
      <c r="C76" s="25">
        <v>3.25</v>
      </c>
      <c r="D76" s="25">
        <v>12.13</v>
      </c>
      <c r="E76" s="25">
        <v>3.92</v>
      </c>
      <c r="F76" s="25">
        <v>3.69</v>
      </c>
      <c r="G76" s="25">
        <v>19.899999999999999</v>
      </c>
      <c r="H76" s="25">
        <v>5.48</v>
      </c>
      <c r="I76" s="25">
        <v>6.68</v>
      </c>
      <c r="J76" s="25">
        <v>1.61</v>
      </c>
      <c r="K76" s="25">
        <v>147.75</v>
      </c>
      <c r="L76" s="25">
        <v>28.16</v>
      </c>
      <c r="M76" s="25">
        <v>83.61</v>
      </c>
      <c r="N76" s="25">
        <v>268</v>
      </c>
      <c r="O76" s="25">
        <v>0</v>
      </c>
      <c r="P76" s="25">
        <v>0.37</v>
      </c>
      <c r="Q76" s="25">
        <v>9.1999999999999993</v>
      </c>
      <c r="R76" s="198"/>
      <c r="S76" s="198"/>
      <c r="T76" s="198"/>
      <c r="U76" s="198"/>
    </row>
    <row r="77" spans="1:21" s="12" customFormat="1" x14ac:dyDescent="0.25">
      <c r="A77" s="219" t="s">
        <v>1750</v>
      </c>
      <c r="B77" s="25">
        <v>8.36</v>
      </c>
      <c r="C77" s="25">
        <v>3.4</v>
      </c>
      <c r="D77" s="25">
        <v>12.25</v>
      </c>
      <c r="E77" s="25">
        <v>3.77</v>
      </c>
      <c r="F77" s="25">
        <v>4.0599999999999996</v>
      </c>
      <c r="G77" s="25">
        <v>19.899999999999999</v>
      </c>
      <c r="H77" s="25">
        <v>5.48</v>
      </c>
      <c r="I77" s="25">
        <v>6.55</v>
      </c>
      <c r="J77" s="25">
        <v>0.78</v>
      </c>
      <c r="K77" s="25">
        <v>164.98</v>
      </c>
      <c r="L77" s="25">
        <v>28.23</v>
      </c>
      <c r="M77" s="25">
        <v>83.44</v>
      </c>
      <c r="N77" s="25">
        <v>248.3</v>
      </c>
      <c r="O77" s="25">
        <v>0</v>
      </c>
      <c r="P77" s="25">
        <v>0.36</v>
      </c>
      <c r="Q77" s="25">
        <v>9.26</v>
      </c>
      <c r="R77" s="198"/>
      <c r="S77" s="198"/>
      <c r="T77" s="198"/>
      <c r="U77" s="198"/>
    </row>
    <row r="78" spans="1:21" s="12" customFormat="1" x14ac:dyDescent="0.25">
      <c r="A78" s="219" t="s">
        <v>1751</v>
      </c>
      <c r="B78" s="25">
        <v>8.34</v>
      </c>
      <c r="C78" s="25">
        <v>3.3</v>
      </c>
      <c r="D78" s="25">
        <v>12.18</v>
      </c>
      <c r="E78" s="25">
        <v>3.69</v>
      </c>
      <c r="F78" s="25">
        <v>4.18</v>
      </c>
      <c r="G78" s="25">
        <v>19.899999999999999</v>
      </c>
      <c r="H78" s="25">
        <v>5.48</v>
      </c>
      <c r="I78" s="25">
        <v>6.48</v>
      </c>
      <c r="J78" s="25">
        <v>0.56999999999999995</v>
      </c>
      <c r="K78" s="25">
        <v>140.38999999999999</v>
      </c>
      <c r="L78" s="25">
        <v>28.23</v>
      </c>
      <c r="M78" s="25">
        <v>81.849999999999994</v>
      </c>
      <c r="N78" s="25">
        <v>227.2</v>
      </c>
      <c r="O78" s="25">
        <v>0</v>
      </c>
      <c r="P78" s="25">
        <v>0.35</v>
      </c>
      <c r="Q78" s="25">
        <v>9.32</v>
      </c>
      <c r="R78" s="198"/>
      <c r="S78" s="198"/>
      <c r="T78" s="198"/>
      <c r="U78" s="198"/>
    </row>
    <row r="79" spans="1:21" s="12" customFormat="1" x14ac:dyDescent="0.25">
      <c r="A79" s="219" t="s">
        <v>1752</v>
      </c>
      <c r="B79" s="25">
        <v>8.33</v>
      </c>
      <c r="C79" s="25">
        <v>3.3</v>
      </c>
      <c r="D79" s="25">
        <v>12.18</v>
      </c>
      <c r="E79" s="25">
        <v>3.72</v>
      </c>
      <c r="F79" s="25">
        <v>4.09</v>
      </c>
      <c r="G79" s="25">
        <v>20.350000000000001</v>
      </c>
      <c r="H79" s="25">
        <v>6.56</v>
      </c>
      <c r="I79" s="25">
        <v>6.33</v>
      </c>
      <c r="J79" s="25">
        <v>1.02</v>
      </c>
      <c r="K79" s="25">
        <v>148.58000000000001</v>
      </c>
      <c r="L79" s="25">
        <v>27.37</v>
      </c>
      <c r="M79" s="25">
        <v>90.43</v>
      </c>
      <c r="N79" s="25">
        <v>181.1</v>
      </c>
      <c r="O79" s="25">
        <v>4.8</v>
      </c>
      <c r="P79" s="25">
        <v>0.35</v>
      </c>
      <c r="Q79" s="25">
        <v>9.39</v>
      </c>
      <c r="R79" s="198"/>
      <c r="S79" s="198"/>
      <c r="T79" s="198"/>
      <c r="U79" s="198"/>
    </row>
    <row r="80" spans="1:21" s="12" customFormat="1" x14ac:dyDescent="0.25">
      <c r="A80" s="219" t="s">
        <v>1753</v>
      </c>
      <c r="B80" s="25">
        <v>8.31</v>
      </c>
      <c r="C80" s="25">
        <v>3.2</v>
      </c>
      <c r="D80" s="25">
        <v>12.11</v>
      </c>
      <c r="E80" s="25">
        <v>3.36</v>
      </c>
      <c r="F80" s="25">
        <v>4.1100000000000003</v>
      </c>
      <c r="G80" s="25">
        <v>21</v>
      </c>
      <c r="H80" s="25">
        <v>8.09</v>
      </c>
      <c r="I80" s="25">
        <v>6.21</v>
      </c>
      <c r="J80" s="25">
        <v>1.93</v>
      </c>
      <c r="K80" s="25">
        <v>336.56</v>
      </c>
      <c r="L80" s="25">
        <v>24.61</v>
      </c>
      <c r="M80" s="25">
        <v>99.01</v>
      </c>
      <c r="N80" s="25">
        <v>178.8</v>
      </c>
      <c r="O80" s="25">
        <v>2.4</v>
      </c>
      <c r="P80" s="25">
        <v>0.35</v>
      </c>
      <c r="Q80" s="25">
        <v>9.39</v>
      </c>
      <c r="R80" s="198"/>
      <c r="S80" s="198"/>
      <c r="T80" s="198"/>
      <c r="U80" s="198"/>
    </row>
    <row r="81" spans="1:26" s="12" customFormat="1" x14ac:dyDescent="0.25">
      <c r="A81" s="219" t="s">
        <v>1754</v>
      </c>
      <c r="B81" s="25">
        <v>8.32</v>
      </c>
      <c r="C81" s="25">
        <v>3.19</v>
      </c>
      <c r="D81" s="25">
        <v>12.11</v>
      </c>
      <c r="E81" s="25">
        <v>3.66</v>
      </c>
      <c r="F81" s="25">
        <v>3.29</v>
      </c>
      <c r="G81" s="25">
        <v>21</v>
      </c>
      <c r="H81" s="25">
        <v>8.09</v>
      </c>
      <c r="I81" s="25">
        <v>6.27</v>
      </c>
      <c r="J81" s="25">
        <v>0.7</v>
      </c>
      <c r="K81" s="25">
        <v>321.27999999999997</v>
      </c>
      <c r="L81" s="25">
        <v>24.11</v>
      </c>
      <c r="M81" s="25">
        <v>99.04</v>
      </c>
      <c r="N81" s="25">
        <v>166.4</v>
      </c>
      <c r="O81" s="25">
        <v>0</v>
      </c>
      <c r="P81" s="25">
        <v>0.36</v>
      </c>
      <c r="Q81" s="25">
        <v>9.43</v>
      </c>
      <c r="R81" s="198"/>
      <c r="S81" s="198"/>
      <c r="T81" s="198"/>
      <c r="U81" s="198"/>
    </row>
    <row r="82" spans="1:26" s="12" customFormat="1" x14ac:dyDescent="0.25">
      <c r="A82" s="219" t="s">
        <v>1755</v>
      </c>
      <c r="B82" s="25">
        <v>8.36</v>
      </c>
      <c r="C82" s="25">
        <v>3.19</v>
      </c>
      <c r="D82" s="25">
        <v>12.15</v>
      </c>
      <c r="E82" s="25">
        <v>3.92</v>
      </c>
      <c r="F82" s="25">
        <v>3.32</v>
      </c>
      <c r="G82" s="25">
        <v>21</v>
      </c>
      <c r="H82" s="25">
        <v>8.09</v>
      </c>
      <c r="I82" s="25">
        <v>6.1</v>
      </c>
      <c r="J82" s="25">
        <v>0.44</v>
      </c>
      <c r="K82" s="25">
        <v>223.57</v>
      </c>
      <c r="L82" s="25">
        <v>24.01</v>
      </c>
      <c r="M82" s="25">
        <v>99.05</v>
      </c>
      <c r="N82" s="25">
        <v>153.1</v>
      </c>
      <c r="O82" s="25">
        <v>0</v>
      </c>
      <c r="P82" s="25">
        <v>0.38</v>
      </c>
      <c r="Q82" s="25">
        <v>9.4600000000000009</v>
      </c>
      <c r="R82" s="198"/>
      <c r="S82" s="198"/>
      <c r="T82" s="198"/>
      <c r="U82" s="198"/>
    </row>
    <row r="83" spans="1:26" s="12" customFormat="1" x14ac:dyDescent="0.25">
      <c r="A83" s="219" t="s">
        <v>1756</v>
      </c>
      <c r="B83" s="25">
        <v>8.3699999999999992</v>
      </c>
      <c r="C83" s="25">
        <v>3.25</v>
      </c>
      <c r="D83" s="25">
        <v>12.18</v>
      </c>
      <c r="E83" s="25">
        <v>3.64</v>
      </c>
      <c r="F83" s="25">
        <v>3.39</v>
      </c>
      <c r="G83" s="25">
        <v>22.21</v>
      </c>
      <c r="H83" s="25">
        <v>7.75</v>
      </c>
      <c r="I83" s="25">
        <v>5.85</v>
      </c>
      <c r="J83" s="25">
        <v>0.42</v>
      </c>
      <c r="K83" s="25">
        <v>251.59</v>
      </c>
      <c r="L83" s="25">
        <v>24.23</v>
      </c>
      <c r="M83" s="25">
        <v>99.05</v>
      </c>
      <c r="N83" s="25">
        <v>143.30000000000001</v>
      </c>
      <c r="O83" s="25">
        <v>0</v>
      </c>
      <c r="P83" s="25">
        <v>0.41</v>
      </c>
      <c r="Q83" s="25">
        <v>9.5</v>
      </c>
      <c r="R83" s="198"/>
      <c r="S83" s="198"/>
      <c r="T83" s="198"/>
      <c r="U83" s="198"/>
    </row>
    <row r="84" spans="1:26" s="12" customFormat="1" x14ac:dyDescent="0.25">
      <c r="A84" s="219" t="s">
        <v>1757</v>
      </c>
      <c r="B84" s="25">
        <v>8.36</v>
      </c>
      <c r="C84" s="25">
        <v>3.23</v>
      </c>
      <c r="D84" s="25">
        <v>12.17</v>
      </c>
      <c r="E84" s="25">
        <v>3.83</v>
      </c>
      <c r="F84" s="25">
        <v>3.35</v>
      </c>
      <c r="G84" s="25">
        <v>23.93</v>
      </c>
      <c r="H84" s="25">
        <v>7.25</v>
      </c>
      <c r="I84" s="25">
        <v>5.65</v>
      </c>
      <c r="J84" s="25">
        <v>0.19</v>
      </c>
      <c r="K84" s="25">
        <v>73.489999999999995</v>
      </c>
      <c r="L84" s="25">
        <v>24.53</v>
      </c>
      <c r="M84" s="25">
        <v>99.05</v>
      </c>
      <c r="N84" s="25">
        <v>120.4</v>
      </c>
      <c r="O84" s="25">
        <v>0</v>
      </c>
      <c r="P84" s="25">
        <v>0.44</v>
      </c>
      <c r="Q84" s="25">
        <v>9.56</v>
      </c>
      <c r="R84" s="198"/>
      <c r="S84" s="198"/>
      <c r="T84" s="198"/>
      <c r="U84" s="198"/>
    </row>
    <row r="85" spans="1:26" s="12" customFormat="1" x14ac:dyDescent="0.25">
      <c r="A85" s="219" t="s">
        <v>1758</v>
      </c>
      <c r="B85" s="25">
        <v>8.3800000000000008</v>
      </c>
      <c r="C85" s="25">
        <v>3.24</v>
      </c>
      <c r="D85" s="25">
        <v>12.18</v>
      </c>
      <c r="E85" s="25">
        <v>3.89</v>
      </c>
      <c r="F85" s="25">
        <v>3.41</v>
      </c>
      <c r="G85" s="25">
        <v>23.93</v>
      </c>
      <c r="H85" s="25">
        <v>7.25</v>
      </c>
      <c r="I85" s="25">
        <v>5.72</v>
      </c>
      <c r="J85" s="25">
        <v>0.59</v>
      </c>
      <c r="K85" s="25">
        <v>205.29</v>
      </c>
      <c r="L85" s="25">
        <v>24.52</v>
      </c>
      <c r="M85" s="25">
        <v>99.05</v>
      </c>
      <c r="N85" s="25">
        <v>121.3</v>
      </c>
      <c r="O85" s="25">
        <v>0</v>
      </c>
      <c r="P85" s="25">
        <v>0.43</v>
      </c>
      <c r="Q85" s="25">
        <v>9.56</v>
      </c>
      <c r="R85" s="198"/>
      <c r="S85" s="198"/>
      <c r="T85" s="198"/>
      <c r="U85" s="198"/>
    </row>
    <row r="86" spans="1:26" s="12" customFormat="1" x14ac:dyDescent="0.25">
      <c r="A86" s="219" t="s">
        <v>1759</v>
      </c>
      <c r="B86" s="25">
        <v>8.36</v>
      </c>
      <c r="C86" s="25">
        <v>3.23</v>
      </c>
      <c r="D86" s="25">
        <v>12.17</v>
      </c>
      <c r="E86" s="25">
        <v>4.1100000000000003</v>
      </c>
      <c r="F86" s="25">
        <v>3.67</v>
      </c>
      <c r="G86" s="25">
        <v>23.93</v>
      </c>
      <c r="H86" s="25">
        <v>7.25</v>
      </c>
      <c r="I86" s="25">
        <v>5.9</v>
      </c>
      <c r="J86" s="25">
        <v>0.17</v>
      </c>
      <c r="K86" s="25">
        <v>326.31</v>
      </c>
      <c r="L86" s="25">
        <v>24.48</v>
      </c>
      <c r="M86" s="25">
        <v>99.05</v>
      </c>
      <c r="N86" s="25">
        <v>120.2</v>
      </c>
      <c r="O86" s="25">
        <v>0</v>
      </c>
      <c r="P86" s="25">
        <v>0.49</v>
      </c>
      <c r="Q86" s="25">
        <v>9.59</v>
      </c>
      <c r="R86" s="198"/>
      <c r="S86" s="198"/>
      <c r="T86" s="198"/>
      <c r="U86" s="198"/>
    </row>
    <row r="87" spans="1:26" s="12" customFormat="1" x14ac:dyDescent="0.25">
      <c r="A87" s="219" t="s">
        <v>1760</v>
      </c>
      <c r="B87" s="25">
        <v>8.34</v>
      </c>
      <c r="C87" s="25">
        <v>3.19</v>
      </c>
      <c r="D87" s="25">
        <v>12.13</v>
      </c>
      <c r="E87" s="25">
        <v>4.03</v>
      </c>
      <c r="F87" s="25">
        <v>4.03</v>
      </c>
      <c r="G87" s="25">
        <v>21.41</v>
      </c>
      <c r="H87" s="25">
        <v>7.88</v>
      </c>
      <c r="I87" s="25">
        <v>5.97</v>
      </c>
      <c r="J87" s="25">
        <v>0.19</v>
      </c>
      <c r="K87" s="25">
        <v>329.5</v>
      </c>
      <c r="L87" s="25">
        <v>24.6</v>
      </c>
      <c r="M87" s="25">
        <v>99.05</v>
      </c>
      <c r="N87" s="25">
        <v>120.4</v>
      </c>
      <c r="O87" s="25">
        <v>0</v>
      </c>
      <c r="P87" s="25">
        <v>0.55000000000000004</v>
      </c>
      <c r="Q87" s="25">
        <v>9.6</v>
      </c>
      <c r="R87" s="198"/>
      <c r="S87" s="198"/>
      <c r="T87" s="198"/>
      <c r="U87" s="198"/>
    </row>
    <row r="88" spans="1:26" s="12" customFormat="1" x14ac:dyDescent="0.25">
      <c r="A88" s="219" t="s">
        <v>1761</v>
      </c>
      <c r="B88" s="25">
        <v>8.31</v>
      </c>
      <c r="C88" s="25">
        <v>3.21</v>
      </c>
      <c r="D88" s="25">
        <v>12.11</v>
      </c>
      <c r="E88" s="25">
        <v>3.99</v>
      </c>
      <c r="F88" s="25">
        <v>2.4900000000000002</v>
      </c>
      <c r="G88" s="25">
        <v>17.79</v>
      </c>
      <c r="H88" s="25">
        <v>8.7799999999999994</v>
      </c>
      <c r="I88" s="25">
        <v>6.06</v>
      </c>
      <c r="J88" s="25">
        <v>0.18</v>
      </c>
      <c r="K88" s="25">
        <v>161.38</v>
      </c>
      <c r="L88" s="25">
        <v>24.51</v>
      </c>
      <c r="M88" s="25">
        <v>99.06</v>
      </c>
      <c r="N88" s="25">
        <v>120.5</v>
      </c>
      <c r="O88" s="25">
        <v>0</v>
      </c>
      <c r="P88" s="25">
        <v>0.6</v>
      </c>
      <c r="Q88" s="25">
        <v>9.43</v>
      </c>
      <c r="R88" s="198"/>
      <c r="S88" s="198"/>
      <c r="T88" s="198"/>
      <c r="U88" s="198"/>
    </row>
    <row r="89" spans="1:26" s="12" customFormat="1" x14ac:dyDescent="0.25">
      <c r="A89" s="219" t="s">
        <v>1762</v>
      </c>
      <c r="B89" s="25">
        <v>8.31</v>
      </c>
      <c r="C89" s="25">
        <v>3.23</v>
      </c>
      <c r="D89" s="25">
        <v>12.13</v>
      </c>
      <c r="E89" s="25">
        <v>3.49</v>
      </c>
      <c r="F89" s="25">
        <v>3.26</v>
      </c>
      <c r="G89" s="25">
        <v>17.79</v>
      </c>
      <c r="H89" s="25">
        <v>8.7799999999999994</v>
      </c>
      <c r="I89" s="25">
        <v>6.12</v>
      </c>
      <c r="J89" s="25">
        <v>0.46</v>
      </c>
      <c r="K89" s="25">
        <v>359.82</v>
      </c>
      <c r="L89" s="25">
        <v>24.62</v>
      </c>
      <c r="M89" s="25">
        <v>99.07</v>
      </c>
      <c r="N89" s="25">
        <v>119.1</v>
      </c>
      <c r="O89" s="25">
        <v>0</v>
      </c>
      <c r="P89" s="25">
        <v>0.66</v>
      </c>
      <c r="Q89" s="25">
        <v>9.49</v>
      </c>
      <c r="R89" s="198"/>
      <c r="S89" s="198"/>
      <c r="T89" s="198"/>
      <c r="U89" s="198"/>
    </row>
    <row r="90" spans="1:26" s="12" customFormat="1" x14ac:dyDescent="0.25">
      <c r="A90" s="219" t="s">
        <v>1763</v>
      </c>
      <c r="B90" s="25">
        <v>8.32</v>
      </c>
      <c r="C90" s="25">
        <v>3.18</v>
      </c>
      <c r="D90" s="25">
        <v>12.11</v>
      </c>
      <c r="E90" s="25">
        <v>3.4</v>
      </c>
      <c r="F90" s="25">
        <v>4.12</v>
      </c>
      <c r="G90" s="25">
        <v>17.79</v>
      </c>
      <c r="H90" s="25">
        <v>8.7799999999999994</v>
      </c>
      <c r="I90" s="25">
        <v>6.12</v>
      </c>
      <c r="J90" s="25">
        <v>0.43</v>
      </c>
      <c r="K90" s="25">
        <v>78.36</v>
      </c>
      <c r="L90" s="25">
        <v>24.73</v>
      </c>
      <c r="M90" s="25">
        <v>99.07</v>
      </c>
      <c r="N90" s="25">
        <v>119.9</v>
      </c>
      <c r="O90" s="25">
        <v>0</v>
      </c>
      <c r="P90" s="25">
        <v>0.76</v>
      </c>
      <c r="Q90" s="25">
        <v>9.6199999999999992</v>
      </c>
      <c r="R90" s="198"/>
      <c r="S90" s="198"/>
      <c r="T90" s="198"/>
      <c r="U90" s="198"/>
    </row>
    <row r="91" spans="1:26" s="12" customFormat="1" x14ac:dyDescent="0.25">
      <c r="A91" s="219" t="s">
        <v>1764</v>
      </c>
      <c r="B91" s="25">
        <v>8.32</v>
      </c>
      <c r="C91" s="25">
        <v>3.27</v>
      </c>
      <c r="D91" s="25">
        <v>12.16</v>
      </c>
      <c r="E91" s="25">
        <v>3.46</v>
      </c>
      <c r="F91" s="25">
        <v>3.99</v>
      </c>
      <c r="G91" s="25">
        <v>23.73</v>
      </c>
      <c r="H91" s="25">
        <v>9.17</v>
      </c>
      <c r="I91" s="25">
        <v>6.38</v>
      </c>
      <c r="J91" s="25">
        <v>0.18</v>
      </c>
      <c r="K91" s="25">
        <v>202.56</v>
      </c>
      <c r="L91" s="25">
        <v>24.81</v>
      </c>
      <c r="M91" s="25">
        <v>99.07</v>
      </c>
      <c r="N91" s="25">
        <v>120.6</v>
      </c>
      <c r="O91" s="25">
        <v>0.2</v>
      </c>
      <c r="P91" s="25">
        <v>0.82</v>
      </c>
      <c r="Q91" s="25">
        <v>9.7100000000000009</v>
      </c>
      <c r="R91" s="198"/>
      <c r="S91" s="198"/>
      <c r="T91" s="198"/>
      <c r="U91" s="198"/>
    </row>
    <row r="92" spans="1:26" s="12" customFormat="1" x14ac:dyDescent="0.25">
      <c r="A92" s="219" t="s">
        <v>1765</v>
      </c>
      <c r="B92" s="25">
        <v>8.5500000000000007</v>
      </c>
      <c r="C92" s="25">
        <v>3.66</v>
      </c>
      <c r="D92" s="25">
        <v>12.54</v>
      </c>
      <c r="E92" s="25">
        <v>3.85</v>
      </c>
      <c r="F92" s="25">
        <v>2.9</v>
      </c>
      <c r="G92" s="25">
        <v>32.619999999999997</v>
      </c>
      <c r="H92" s="25">
        <v>9.75</v>
      </c>
      <c r="I92" s="25">
        <v>6.75</v>
      </c>
      <c r="J92" s="25">
        <v>0.22</v>
      </c>
      <c r="K92" s="25">
        <v>306.02999999999997</v>
      </c>
      <c r="L92" s="25">
        <v>25.01</v>
      </c>
      <c r="M92" s="25">
        <v>99.07</v>
      </c>
      <c r="N92" s="25">
        <v>116</v>
      </c>
      <c r="O92" s="25">
        <v>0.2</v>
      </c>
      <c r="P92" s="25">
        <v>0.88</v>
      </c>
      <c r="Q92" s="25">
        <v>9.61</v>
      </c>
      <c r="R92" s="198"/>
      <c r="S92" s="198"/>
      <c r="T92" s="198"/>
      <c r="U92" s="198"/>
    </row>
    <row r="93" spans="1:26" s="12" customFormat="1" x14ac:dyDescent="0.25">
      <c r="A93" s="219" t="s">
        <v>1766</v>
      </c>
      <c r="B93" s="25">
        <v>8.7200000000000006</v>
      </c>
      <c r="C93" s="25">
        <v>3.94</v>
      </c>
      <c r="D93" s="25">
        <v>12.82</v>
      </c>
      <c r="E93" s="25">
        <v>3.66</v>
      </c>
      <c r="F93" s="25">
        <v>3.4</v>
      </c>
      <c r="G93" s="25">
        <v>32.619999999999997</v>
      </c>
      <c r="H93" s="25">
        <v>9.75</v>
      </c>
      <c r="I93" s="25">
        <v>6.93</v>
      </c>
      <c r="J93" s="25">
        <v>0.26</v>
      </c>
      <c r="K93" s="25">
        <v>149.97999999999999</v>
      </c>
      <c r="L93" s="25">
        <v>25.06</v>
      </c>
      <c r="M93" s="25">
        <v>99.08</v>
      </c>
      <c r="N93" s="25">
        <v>113.9</v>
      </c>
      <c r="O93" s="25">
        <v>0</v>
      </c>
      <c r="P93" s="25">
        <v>0.93</v>
      </c>
      <c r="Q93" s="25">
        <v>9.69</v>
      </c>
      <c r="R93" s="198"/>
      <c r="S93" s="198"/>
      <c r="T93" s="198"/>
      <c r="U93" s="198"/>
    </row>
    <row r="94" spans="1:26" s="12" customFormat="1" x14ac:dyDescent="0.25">
      <c r="A94" s="219" t="s">
        <v>1767</v>
      </c>
      <c r="B94" s="25">
        <v>8.4</v>
      </c>
      <c r="C94" s="25">
        <v>3.33</v>
      </c>
      <c r="D94" s="25">
        <v>12.25</v>
      </c>
      <c r="E94" s="25">
        <v>3.82</v>
      </c>
      <c r="F94" s="25">
        <v>3.18</v>
      </c>
      <c r="G94" s="25">
        <v>32.619999999999997</v>
      </c>
      <c r="H94" s="25">
        <v>9.75</v>
      </c>
      <c r="I94" s="25">
        <v>7.04</v>
      </c>
      <c r="J94" s="25">
        <v>0.97</v>
      </c>
      <c r="K94" s="25">
        <v>147.19</v>
      </c>
      <c r="L94" s="25">
        <v>25</v>
      </c>
      <c r="M94" s="25">
        <v>99.08</v>
      </c>
      <c r="N94" s="25">
        <v>115.8</v>
      </c>
      <c r="O94" s="25">
        <v>0</v>
      </c>
      <c r="P94" s="25">
        <v>0.93</v>
      </c>
      <c r="Q94" s="25">
        <v>9.82</v>
      </c>
      <c r="R94" s="198"/>
      <c r="S94" s="198"/>
      <c r="T94" s="198"/>
      <c r="U94" s="198"/>
    </row>
    <row r="95" spans="1:26" s="12" customFormat="1" x14ac:dyDescent="0.25">
      <c r="A95" s="219" t="s">
        <v>1768</v>
      </c>
      <c r="B95" s="25">
        <v>8.3699999999999992</v>
      </c>
      <c r="C95" s="25">
        <v>3.31</v>
      </c>
      <c r="D95" s="25">
        <v>12.22</v>
      </c>
      <c r="E95" s="25">
        <v>3.5</v>
      </c>
      <c r="F95" s="25">
        <v>2.99</v>
      </c>
      <c r="G95" s="25">
        <v>32.86</v>
      </c>
      <c r="H95" s="25">
        <v>10.26</v>
      </c>
      <c r="I95" s="25">
        <v>7.11</v>
      </c>
      <c r="J95" s="25">
        <v>1.41</v>
      </c>
      <c r="K95" s="25">
        <v>138.91999999999999</v>
      </c>
      <c r="L95" s="25">
        <v>25.19</v>
      </c>
      <c r="M95" s="25">
        <v>99.05</v>
      </c>
      <c r="N95" s="25">
        <v>116.4</v>
      </c>
      <c r="O95" s="25">
        <v>0</v>
      </c>
      <c r="P95" s="25">
        <v>0.9</v>
      </c>
      <c r="Q95" s="25">
        <v>9.85</v>
      </c>
      <c r="R95" s="198"/>
      <c r="S95" s="198"/>
      <c r="T95" s="198"/>
      <c r="U95" s="198"/>
    </row>
    <row r="96" spans="1:26" s="12" customFormat="1" x14ac:dyDescent="0.25">
      <c r="A96" s="219" t="s">
        <v>1769</v>
      </c>
      <c r="B96" s="25">
        <v>8.3800000000000008</v>
      </c>
      <c r="C96" s="25">
        <v>3.28</v>
      </c>
      <c r="D96" s="25">
        <v>12.21</v>
      </c>
      <c r="E96" s="25">
        <v>3.48</v>
      </c>
      <c r="F96" s="25">
        <v>3.51</v>
      </c>
      <c r="G96" s="25">
        <v>33.21</v>
      </c>
      <c r="H96" s="25">
        <v>10.99</v>
      </c>
      <c r="I96" s="25">
        <v>7.16</v>
      </c>
      <c r="J96" s="25">
        <v>1.26</v>
      </c>
      <c r="K96" s="25">
        <v>144.52000000000001</v>
      </c>
      <c r="L96" s="25">
        <v>25.28</v>
      </c>
      <c r="M96" s="25">
        <v>99.02</v>
      </c>
      <c r="N96" s="25">
        <v>117</v>
      </c>
      <c r="O96" s="25">
        <v>0</v>
      </c>
      <c r="P96" s="25">
        <v>0.88</v>
      </c>
      <c r="Q96" s="25">
        <v>9.8800000000000008</v>
      </c>
      <c r="R96" s="198"/>
      <c r="S96" s="198"/>
      <c r="T96" s="198"/>
      <c r="U96" s="198"/>
      <c r="Z96" s="109"/>
    </row>
    <row r="97" spans="1:33" s="12" customFormat="1" x14ac:dyDescent="0.25">
      <c r="A97" s="219" t="s">
        <v>1770</v>
      </c>
      <c r="B97" s="25">
        <v>8.34</v>
      </c>
      <c r="C97" s="25">
        <v>3.2</v>
      </c>
      <c r="D97" s="25">
        <v>12.13</v>
      </c>
      <c r="E97" s="25">
        <v>3.24</v>
      </c>
      <c r="F97" s="25">
        <v>3.41</v>
      </c>
      <c r="G97" s="25">
        <v>33.21</v>
      </c>
      <c r="H97" s="25">
        <v>10.99</v>
      </c>
      <c r="I97" s="25">
        <v>7.35</v>
      </c>
      <c r="J97" s="25">
        <v>0.73</v>
      </c>
      <c r="K97" s="25">
        <v>152.08000000000001</v>
      </c>
      <c r="L97" s="25">
        <v>25.18</v>
      </c>
      <c r="M97" s="25">
        <v>99</v>
      </c>
      <c r="N97" s="25">
        <v>117.3</v>
      </c>
      <c r="O97" s="25">
        <v>0</v>
      </c>
      <c r="P97" s="25">
        <v>0.86</v>
      </c>
      <c r="Q97" s="25">
        <v>9.9</v>
      </c>
      <c r="R97" s="198"/>
      <c r="S97" s="198"/>
      <c r="T97" s="198"/>
      <c r="U97" s="198"/>
    </row>
    <row r="98" spans="1:33" s="12" customFormat="1" x14ac:dyDescent="0.25">
      <c r="A98" s="219" t="s">
        <v>1771</v>
      </c>
      <c r="B98" s="25">
        <v>8.35</v>
      </c>
      <c r="C98" s="25">
        <v>3.21</v>
      </c>
      <c r="D98" s="25">
        <v>12.15</v>
      </c>
      <c r="E98" s="25">
        <v>3.54</v>
      </c>
      <c r="F98" s="25">
        <v>2.91</v>
      </c>
      <c r="G98" s="25">
        <v>33.21</v>
      </c>
      <c r="H98" s="25">
        <v>10.99</v>
      </c>
      <c r="I98" s="25">
        <v>7.59</v>
      </c>
      <c r="J98" s="25">
        <v>0.1</v>
      </c>
      <c r="K98" s="25">
        <v>239.42</v>
      </c>
      <c r="L98" s="25">
        <v>24.91</v>
      </c>
      <c r="M98" s="25">
        <v>99.01</v>
      </c>
      <c r="N98" s="25">
        <v>115.8</v>
      </c>
      <c r="O98" s="25">
        <v>0.6</v>
      </c>
      <c r="P98" s="25">
        <v>0.84</v>
      </c>
      <c r="Q98" s="25">
        <v>9.8800000000000008</v>
      </c>
      <c r="R98" s="198"/>
      <c r="S98" s="198"/>
      <c r="T98" s="198"/>
      <c r="U98" s="198"/>
    </row>
    <row r="99" spans="1:33" s="12" customFormat="1" x14ac:dyDescent="0.25">
      <c r="A99" s="219" t="s">
        <v>1772</v>
      </c>
      <c r="B99" s="25">
        <v>8.41</v>
      </c>
      <c r="C99" s="25">
        <v>3.34</v>
      </c>
      <c r="D99" s="25">
        <v>12.27</v>
      </c>
      <c r="E99" s="25">
        <v>3.78</v>
      </c>
      <c r="F99" s="25">
        <v>3.04</v>
      </c>
      <c r="G99" s="25">
        <v>30.69</v>
      </c>
      <c r="H99" s="25">
        <v>9.99</v>
      </c>
      <c r="I99" s="25">
        <v>7.73</v>
      </c>
      <c r="J99" s="25">
        <v>7.0000000000000007E-2</v>
      </c>
      <c r="K99" s="25">
        <v>243.89</v>
      </c>
      <c r="L99" s="25">
        <v>24.48</v>
      </c>
      <c r="M99" s="25">
        <v>99.03</v>
      </c>
      <c r="N99" s="25">
        <v>116.3</v>
      </c>
      <c r="O99" s="25">
        <v>0</v>
      </c>
      <c r="P99" s="25">
        <v>0.82</v>
      </c>
      <c r="Q99" s="25">
        <v>9.8800000000000008</v>
      </c>
      <c r="R99" s="198"/>
      <c r="S99" s="198"/>
      <c r="T99" s="198"/>
      <c r="U99" s="198"/>
    </row>
    <row r="100" spans="1:33" s="12" customFormat="1" x14ac:dyDescent="0.25">
      <c r="A100" s="219" t="s">
        <v>1773</v>
      </c>
      <c r="B100" s="25">
        <v>8.39</v>
      </c>
      <c r="C100" s="25">
        <v>3.26</v>
      </c>
      <c r="D100" s="25">
        <v>12.21</v>
      </c>
      <c r="E100" s="25">
        <v>3.84</v>
      </c>
      <c r="F100" s="25">
        <v>3.18</v>
      </c>
      <c r="G100" s="25">
        <v>27.08</v>
      </c>
      <c r="H100" s="25">
        <v>8.56</v>
      </c>
      <c r="I100" s="25">
        <v>7.67</v>
      </c>
      <c r="J100" s="25">
        <v>0.26</v>
      </c>
      <c r="K100" s="25">
        <v>312.37</v>
      </c>
      <c r="L100" s="25">
        <v>24.32</v>
      </c>
      <c r="M100" s="25">
        <v>99.03</v>
      </c>
      <c r="N100" s="25">
        <v>116.9</v>
      </c>
      <c r="O100" s="25">
        <v>0</v>
      </c>
      <c r="P100" s="25">
        <v>0.8</v>
      </c>
      <c r="Q100" s="25">
        <v>9.9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9" t="s">
        <v>1774</v>
      </c>
      <c r="B101" s="25">
        <v>8.39</v>
      </c>
      <c r="C101" s="25">
        <v>3.27</v>
      </c>
      <c r="D101" s="25">
        <v>12.21</v>
      </c>
      <c r="E101" s="25">
        <v>3.7</v>
      </c>
      <c r="F101" s="25">
        <v>3.3</v>
      </c>
      <c r="G101" s="25">
        <v>27.08</v>
      </c>
      <c r="H101" s="25">
        <v>8.56</v>
      </c>
      <c r="I101" s="25">
        <v>7.55</v>
      </c>
      <c r="J101" s="25">
        <v>0.09</v>
      </c>
      <c r="K101" s="25">
        <v>195.5</v>
      </c>
      <c r="L101" s="25">
        <v>24.37</v>
      </c>
      <c r="M101" s="25">
        <v>99.03</v>
      </c>
      <c r="N101" s="25">
        <v>116.8</v>
      </c>
      <c r="O101" s="25">
        <v>0</v>
      </c>
      <c r="P101" s="25">
        <v>0.78</v>
      </c>
      <c r="Q101" s="25">
        <v>9.8800000000000008</v>
      </c>
      <c r="R101" s="198"/>
      <c r="S101" s="198"/>
      <c r="T101" s="198"/>
      <c r="U101" s="198"/>
    </row>
    <row r="102" spans="1:33" s="12" customFormat="1" x14ac:dyDescent="0.25">
      <c r="A102" s="219" t="s">
        <v>1775</v>
      </c>
      <c r="B102" s="25">
        <v>8.43</v>
      </c>
      <c r="C102" s="25">
        <v>3.33</v>
      </c>
      <c r="D102" s="25">
        <v>12.27</v>
      </c>
      <c r="E102" s="25">
        <v>3.66</v>
      </c>
      <c r="F102" s="25">
        <v>3.26</v>
      </c>
      <c r="G102" s="25">
        <v>27.08</v>
      </c>
      <c r="H102" s="25">
        <v>8.56</v>
      </c>
      <c r="I102" s="25">
        <v>7.45</v>
      </c>
      <c r="J102" s="25">
        <v>0.43</v>
      </c>
      <c r="K102" s="25">
        <v>331.41</v>
      </c>
      <c r="L102" s="25">
        <v>24.31</v>
      </c>
      <c r="M102" s="25">
        <v>99.03</v>
      </c>
      <c r="N102" s="25">
        <v>116.8</v>
      </c>
      <c r="O102" s="25">
        <v>0</v>
      </c>
      <c r="P102" s="25">
        <v>0.76</v>
      </c>
      <c r="Q102" s="25">
        <v>9.8699999999999992</v>
      </c>
      <c r="R102" s="198"/>
      <c r="S102" s="198"/>
      <c r="T102" s="198"/>
      <c r="U102" s="198"/>
    </row>
    <row r="103" spans="1:33" s="12" customFormat="1" x14ac:dyDescent="0.25">
      <c r="A103" s="219" t="s">
        <v>1776</v>
      </c>
      <c r="B103" s="25">
        <v>8.41</v>
      </c>
      <c r="C103" s="25">
        <v>3.27</v>
      </c>
      <c r="D103" s="25">
        <v>12.23</v>
      </c>
      <c r="E103" s="25">
        <v>3.65</v>
      </c>
      <c r="F103" s="25">
        <v>3.21</v>
      </c>
      <c r="G103" s="25">
        <v>25.15</v>
      </c>
      <c r="H103" s="25">
        <v>7.67</v>
      </c>
      <c r="I103" s="25">
        <v>7.28</v>
      </c>
      <c r="J103" s="25">
        <v>0.16</v>
      </c>
      <c r="K103" s="25">
        <v>323.70999999999998</v>
      </c>
      <c r="L103" s="25">
        <v>24.29</v>
      </c>
      <c r="M103" s="25">
        <v>99.03</v>
      </c>
      <c r="N103" s="25">
        <v>116.3</v>
      </c>
      <c r="O103" s="25">
        <v>0</v>
      </c>
      <c r="P103" s="25">
        <v>0.74</v>
      </c>
      <c r="Q103" s="25">
        <v>9.85</v>
      </c>
      <c r="R103" s="198"/>
      <c r="S103" s="198"/>
      <c r="T103" s="198"/>
      <c r="U103" s="198"/>
    </row>
    <row r="104" spans="1:33" s="12" customFormat="1" x14ac:dyDescent="0.25">
      <c r="A104" s="219" t="s">
        <v>1777</v>
      </c>
      <c r="B104" s="25">
        <v>8.3699999999999992</v>
      </c>
      <c r="C104" s="25">
        <v>3.24</v>
      </c>
      <c r="D104" s="25">
        <v>12.18</v>
      </c>
      <c r="E104" s="25">
        <v>3.66</v>
      </c>
      <c r="F104" s="25">
        <v>3.2</v>
      </c>
      <c r="G104" s="25">
        <v>22.4</v>
      </c>
      <c r="H104" s="25">
        <v>6.39</v>
      </c>
      <c r="I104" s="25">
        <v>7.19</v>
      </c>
      <c r="J104" s="25">
        <v>0.53</v>
      </c>
      <c r="K104" s="25">
        <v>230.98</v>
      </c>
      <c r="L104" s="25">
        <v>24.28</v>
      </c>
      <c r="M104" s="25">
        <v>99.03</v>
      </c>
      <c r="N104" s="25">
        <v>116.5</v>
      </c>
      <c r="O104" s="25">
        <v>0</v>
      </c>
      <c r="P104" s="25">
        <v>0.72</v>
      </c>
      <c r="Q104" s="25">
        <v>9.83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8.2899999999999991</v>
      </c>
      <c r="C106" s="67">
        <f>MIN(C9:C104)</f>
        <v>3.15</v>
      </c>
      <c r="D106" s="67">
        <f t="shared" ref="D106:Q106" si="0">MIN(D9:D104)</f>
        <v>12.09</v>
      </c>
      <c r="E106" s="67">
        <f t="shared" si="0"/>
        <v>3.13</v>
      </c>
      <c r="F106" s="67">
        <f t="shared" si="0"/>
        <v>2.15</v>
      </c>
      <c r="G106" s="67">
        <f t="shared" si="0"/>
        <v>17.79</v>
      </c>
      <c r="H106" s="67">
        <f t="shared" si="0"/>
        <v>5.48</v>
      </c>
      <c r="I106" s="67">
        <f t="shared" si="0"/>
        <v>5.65</v>
      </c>
      <c r="J106" s="67">
        <f t="shared" si="0"/>
        <v>7.0000000000000007E-2</v>
      </c>
      <c r="K106" s="67">
        <f t="shared" si="0"/>
        <v>9.34</v>
      </c>
      <c r="L106" s="67">
        <f t="shared" si="0"/>
        <v>23</v>
      </c>
      <c r="M106" s="67">
        <f t="shared" si="0"/>
        <v>73.09</v>
      </c>
      <c r="N106" s="67">
        <f t="shared" si="0"/>
        <v>50.6</v>
      </c>
      <c r="O106" s="67">
        <f t="shared" si="0"/>
        <v>0</v>
      </c>
      <c r="P106" s="67">
        <f t="shared" si="0"/>
        <v>0.35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8.7200000000000006</v>
      </c>
      <c r="C107" s="66">
        <f t="shared" ref="C107:Q107" si="1">MAX(C9:C104)</f>
        <v>3.94</v>
      </c>
      <c r="D107" s="66">
        <f t="shared" si="1"/>
        <v>12.82</v>
      </c>
      <c r="E107" s="66">
        <f t="shared" si="1"/>
        <v>4.84</v>
      </c>
      <c r="F107" s="66">
        <f t="shared" si="1"/>
        <v>5.04</v>
      </c>
      <c r="G107" s="66">
        <f t="shared" si="1"/>
        <v>47.26</v>
      </c>
      <c r="H107" s="66">
        <f t="shared" si="1"/>
        <v>22.04</v>
      </c>
      <c r="I107" s="66">
        <f t="shared" si="1"/>
        <v>9.9600000000000009</v>
      </c>
      <c r="J107" s="66">
        <f t="shared" si="1"/>
        <v>2.06</v>
      </c>
      <c r="K107" s="66">
        <f t="shared" si="1"/>
        <v>359.82</v>
      </c>
      <c r="L107" s="66">
        <f t="shared" si="1"/>
        <v>29.75</v>
      </c>
      <c r="M107" s="66">
        <f t="shared" si="1"/>
        <v>99.08</v>
      </c>
      <c r="N107" s="66">
        <f t="shared" si="1"/>
        <v>1151.5</v>
      </c>
      <c r="O107" s="66">
        <f t="shared" si="1"/>
        <v>4.8</v>
      </c>
      <c r="P107" s="66">
        <f t="shared" si="1"/>
        <v>0.93</v>
      </c>
      <c r="Q107" s="66">
        <f t="shared" si="1"/>
        <v>9.9600000000000009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8.3748958333333299</v>
      </c>
      <c r="C108" s="67">
        <f t="shared" ref="C108:Q108" si="2">AVERAGE(C9:C104)</f>
        <v>3.2879166666666659</v>
      </c>
      <c r="D108" s="67">
        <f t="shared" si="2"/>
        <v>12.208229166666667</v>
      </c>
      <c r="E108" s="67">
        <f t="shared" si="2"/>
        <v>3.9215625000000016</v>
      </c>
      <c r="F108" s="67">
        <f t="shared" si="2"/>
        <v>3.4700000000000006</v>
      </c>
      <c r="G108" s="67">
        <f t="shared" si="2"/>
        <v>31.661354166666655</v>
      </c>
      <c r="H108" s="67">
        <f t="shared" si="2"/>
        <v>11.843854166666659</v>
      </c>
      <c r="I108" s="67">
        <f t="shared" si="2"/>
        <v>7.7212500000000004</v>
      </c>
      <c r="J108" s="67">
        <f t="shared" si="2"/>
        <v>0.7803125000000003</v>
      </c>
      <c r="K108" s="67">
        <f t="shared" si="2"/>
        <v>178.13229166666665</v>
      </c>
      <c r="L108" s="67">
        <f t="shared" si="2"/>
        <v>25.670729166666664</v>
      </c>
      <c r="M108" s="67">
        <f t="shared" si="2"/>
        <v>93.110937500000077</v>
      </c>
      <c r="N108" s="67">
        <f t="shared" si="2"/>
        <v>291.37499999999994</v>
      </c>
      <c r="O108" s="67">
        <f t="shared" si="2"/>
        <v>8.7500000000000008E-2</v>
      </c>
      <c r="P108" s="67">
        <f t="shared" si="2"/>
        <v>0.58750000000000002</v>
      </c>
      <c r="Q108" s="67">
        <f t="shared" si="2"/>
        <v>9.6367708333333351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5.8955733468187235E-2</v>
      </c>
      <c r="C109" s="67">
        <f t="shared" ref="C109:Q109" si="3">STDEV(C9:C104)</f>
        <v>0.10676010162155906</v>
      </c>
      <c r="D109" s="67">
        <f t="shared" si="3"/>
        <v>9.9366358721722489E-2</v>
      </c>
      <c r="E109" s="67">
        <f t="shared" si="3"/>
        <v>0.39207767255454568</v>
      </c>
      <c r="F109" s="67">
        <f t="shared" si="3"/>
        <v>0.49833829135595886</v>
      </c>
      <c r="G109" s="67">
        <f t="shared" si="3"/>
        <v>8.5549314334564421</v>
      </c>
      <c r="H109" s="67">
        <f t="shared" si="3"/>
        <v>4.2843788150839863</v>
      </c>
      <c r="I109" s="67">
        <f t="shared" si="3"/>
        <v>1.0329204891191328</v>
      </c>
      <c r="J109" s="67">
        <f t="shared" si="3"/>
        <v>0.52432905121437645</v>
      </c>
      <c r="K109" s="67">
        <f t="shared" si="3"/>
        <v>96.992928407223502</v>
      </c>
      <c r="L109" s="67">
        <f t="shared" si="3"/>
        <v>2.100661672597302</v>
      </c>
      <c r="M109" s="67">
        <f t="shared" si="3"/>
        <v>8.5869141664113435</v>
      </c>
      <c r="N109" s="67">
        <f t="shared" si="3"/>
        <v>310.52029309056883</v>
      </c>
      <c r="O109" s="67">
        <f t="shared" si="3"/>
        <v>0.54815479949602397</v>
      </c>
      <c r="P109" s="67">
        <f t="shared" si="3"/>
        <v>0.17252307244631296</v>
      </c>
      <c r="Q109" s="67">
        <f t="shared" si="3"/>
        <v>0.19436533582902546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1778</v>
      </c>
      <c r="B9" s="64">
        <v>8.3699999999999992</v>
      </c>
      <c r="C9" s="64">
        <v>3.25</v>
      </c>
      <c r="D9" s="64">
        <v>12.18</v>
      </c>
      <c r="E9" s="64">
        <v>3.95</v>
      </c>
      <c r="F9" s="64">
        <v>4.12</v>
      </c>
      <c r="G9" s="64">
        <v>22.4</v>
      </c>
      <c r="H9" s="64">
        <v>6.39</v>
      </c>
      <c r="I9" s="64">
        <v>7.18</v>
      </c>
      <c r="J9" s="64">
        <v>0.13</v>
      </c>
      <c r="K9" s="64">
        <v>148.21</v>
      </c>
      <c r="L9" s="64">
        <v>24.26</v>
      </c>
      <c r="M9" s="64">
        <v>99.03</v>
      </c>
      <c r="N9" s="64">
        <v>116.5</v>
      </c>
      <c r="O9" s="64">
        <v>0</v>
      </c>
      <c r="P9" s="64">
        <v>0.71</v>
      </c>
      <c r="Q9" s="64">
        <v>9.83</v>
      </c>
      <c r="R9" s="198"/>
      <c r="S9" s="198"/>
      <c r="T9" s="198"/>
      <c r="U9" s="198"/>
    </row>
    <row r="10" spans="1:21" s="12" customFormat="1" x14ac:dyDescent="0.25">
      <c r="A10" s="217" t="s">
        <v>1779</v>
      </c>
      <c r="B10" s="64">
        <v>8.32</v>
      </c>
      <c r="C10" s="64">
        <v>3.18</v>
      </c>
      <c r="D10" s="64">
        <v>12.11</v>
      </c>
      <c r="E10" s="64">
        <v>3.88</v>
      </c>
      <c r="F10" s="64">
        <v>2.74</v>
      </c>
      <c r="G10" s="64">
        <v>22.4</v>
      </c>
      <c r="H10" s="64">
        <v>6.39</v>
      </c>
      <c r="I10" s="64">
        <v>7.15</v>
      </c>
      <c r="J10" s="64">
        <v>0.24</v>
      </c>
      <c r="K10" s="64">
        <v>192.76</v>
      </c>
      <c r="L10" s="64">
        <v>24.27</v>
      </c>
      <c r="M10" s="64">
        <v>99.03</v>
      </c>
      <c r="N10" s="64">
        <v>116.3</v>
      </c>
      <c r="O10" s="64">
        <v>0</v>
      </c>
      <c r="P10" s="64">
        <v>0.69</v>
      </c>
      <c r="Q10" s="64">
        <v>9.6999999999999993</v>
      </c>
      <c r="R10" s="198"/>
      <c r="S10" s="198"/>
      <c r="T10" s="198"/>
      <c r="U10" s="198"/>
    </row>
    <row r="11" spans="1:21" s="12" customFormat="1" x14ac:dyDescent="0.25">
      <c r="A11" s="217" t="s">
        <v>1780</v>
      </c>
      <c r="B11" s="64">
        <v>8.34</v>
      </c>
      <c r="C11" s="64">
        <v>3.22</v>
      </c>
      <c r="D11" s="64">
        <v>12.14</v>
      </c>
      <c r="E11" s="64">
        <v>3.61</v>
      </c>
      <c r="F11" s="64">
        <v>3.07</v>
      </c>
      <c r="G11" s="64">
        <v>22.39</v>
      </c>
      <c r="H11" s="64">
        <v>7.1</v>
      </c>
      <c r="I11" s="64">
        <v>6.91</v>
      </c>
      <c r="J11" s="64">
        <v>0.17</v>
      </c>
      <c r="K11" s="64">
        <v>319.52999999999997</v>
      </c>
      <c r="L11" s="64">
        <v>24.3</v>
      </c>
      <c r="M11" s="64">
        <v>99.03</v>
      </c>
      <c r="N11" s="64">
        <v>116.5</v>
      </c>
      <c r="O11" s="64">
        <v>0</v>
      </c>
      <c r="P11" s="64">
        <v>0.66</v>
      </c>
      <c r="Q11" s="64">
        <v>9.65</v>
      </c>
      <c r="R11" s="198"/>
      <c r="S11" s="198"/>
      <c r="T11" s="198"/>
      <c r="U11" s="198"/>
    </row>
    <row r="12" spans="1:21" s="12" customFormat="1" x14ac:dyDescent="0.25">
      <c r="A12" s="217" t="s">
        <v>1781</v>
      </c>
      <c r="B12" s="64">
        <v>8.4</v>
      </c>
      <c r="C12" s="64">
        <v>3.29</v>
      </c>
      <c r="D12" s="64">
        <v>12.23</v>
      </c>
      <c r="E12" s="64">
        <v>3.47</v>
      </c>
      <c r="F12" s="64">
        <v>4.21</v>
      </c>
      <c r="G12" s="64">
        <v>22.38</v>
      </c>
      <c r="H12" s="64">
        <v>8.1300000000000008</v>
      </c>
      <c r="I12" s="64">
        <v>6.8</v>
      </c>
      <c r="J12" s="64">
        <v>0.41</v>
      </c>
      <c r="K12" s="64">
        <v>333.82</v>
      </c>
      <c r="L12" s="64">
        <v>24.31</v>
      </c>
      <c r="M12" s="64">
        <v>99.03</v>
      </c>
      <c r="N12" s="64">
        <v>116.6</v>
      </c>
      <c r="O12" s="64">
        <v>0</v>
      </c>
      <c r="P12" s="64">
        <v>0.65</v>
      </c>
      <c r="Q12" s="64">
        <v>9.7200000000000006</v>
      </c>
      <c r="R12" s="198"/>
      <c r="S12" s="198"/>
      <c r="T12" s="198"/>
      <c r="U12" s="198"/>
    </row>
    <row r="13" spans="1:21" s="12" customFormat="1" x14ac:dyDescent="0.25">
      <c r="A13" s="217" t="s">
        <v>1782</v>
      </c>
      <c r="B13" s="64">
        <v>8.32</v>
      </c>
      <c r="C13" s="64">
        <v>3.22</v>
      </c>
      <c r="D13" s="64">
        <v>12.13</v>
      </c>
      <c r="E13" s="64">
        <v>3.41</v>
      </c>
      <c r="F13" s="64">
        <v>2.56</v>
      </c>
      <c r="G13" s="64">
        <v>22.38</v>
      </c>
      <c r="H13" s="64">
        <v>8.1300000000000008</v>
      </c>
      <c r="I13" s="64">
        <v>6.57</v>
      </c>
      <c r="J13" s="64">
        <v>0.16</v>
      </c>
      <c r="K13" s="64">
        <v>339.18</v>
      </c>
      <c r="L13" s="64">
        <v>24.25</v>
      </c>
      <c r="M13" s="64">
        <v>99.03</v>
      </c>
      <c r="N13" s="64">
        <v>116.9</v>
      </c>
      <c r="O13" s="64">
        <v>0</v>
      </c>
      <c r="P13" s="64">
        <v>0.55000000000000004</v>
      </c>
      <c r="Q13" s="64">
        <v>9.7200000000000006</v>
      </c>
      <c r="R13" s="198"/>
      <c r="S13" s="198"/>
      <c r="T13" s="198"/>
      <c r="U13" s="198"/>
    </row>
    <row r="14" spans="1:21" s="12" customFormat="1" x14ac:dyDescent="0.25">
      <c r="A14" s="217" t="s">
        <v>1783</v>
      </c>
      <c r="B14" s="64">
        <v>8.39</v>
      </c>
      <c r="C14" s="64">
        <v>3.36</v>
      </c>
      <c r="D14" s="64">
        <v>12.26</v>
      </c>
      <c r="E14" s="64">
        <v>3.5</v>
      </c>
      <c r="F14" s="64">
        <v>3.16</v>
      </c>
      <c r="G14" s="64">
        <v>22.38</v>
      </c>
      <c r="H14" s="64">
        <v>8.1300000000000008</v>
      </c>
      <c r="I14" s="64">
        <v>6.53</v>
      </c>
      <c r="J14" s="64">
        <v>0.2</v>
      </c>
      <c r="K14" s="64">
        <v>315.31</v>
      </c>
      <c r="L14" s="64">
        <v>24.24</v>
      </c>
      <c r="M14" s="64">
        <v>99.03</v>
      </c>
      <c r="N14" s="64">
        <v>117.6</v>
      </c>
      <c r="O14" s="64">
        <v>0</v>
      </c>
      <c r="P14" s="64">
        <v>0.55000000000000004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7" t="s">
        <v>1784</v>
      </c>
      <c r="B15" s="64">
        <v>8.39</v>
      </c>
      <c r="C15" s="64">
        <v>3.32</v>
      </c>
      <c r="D15" s="64">
        <v>12.23</v>
      </c>
      <c r="E15" s="64">
        <v>3.8</v>
      </c>
      <c r="F15" s="64">
        <v>3.48</v>
      </c>
      <c r="G15" s="64">
        <v>20.78</v>
      </c>
      <c r="H15" s="64">
        <v>7.32</v>
      </c>
      <c r="I15" s="64">
        <v>6.5</v>
      </c>
      <c r="J15" s="64">
        <v>0.21</v>
      </c>
      <c r="K15" s="64">
        <v>296.22000000000003</v>
      </c>
      <c r="L15" s="64">
        <v>24.26</v>
      </c>
      <c r="M15" s="64">
        <v>99.02</v>
      </c>
      <c r="N15" s="64">
        <v>117.8</v>
      </c>
      <c r="O15" s="64">
        <v>0</v>
      </c>
      <c r="P15" s="64">
        <v>0.54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7" t="s">
        <v>1785</v>
      </c>
      <c r="B16" s="64">
        <v>8.35</v>
      </c>
      <c r="C16" s="64">
        <v>3.29</v>
      </c>
      <c r="D16" s="64">
        <v>12.19</v>
      </c>
      <c r="E16" s="64">
        <v>3.79</v>
      </c>
      <c r="F16" s="64">
        <v>4.3099999999999996</v>
      </c>
      <c r="G16" s="64">
        <v>18.39</v>
      </c>
      <c r="H16" s="64">
        <v>6.1</v>
      </c>
      <c r="I16" s="64">
        <v>6.12</v>
      </c>
      <c r="J16" s="64">
        <v>0.19</v>
      </c>
      <c r="K16" s="64">
        <v>342.43</v>
      </c>
      <c r="L16" s="64">
        <v>24.19</v>
      </c>
      <c r="M16" s="64">
        <v>99.03</v>
      </c>
      <c r="N16" s="64">
        <v>118.1</v>
      </c>
      <c r="O16" s="64">
        <v>0</v>
      </c>
      <c r="P16" s="64">
        <v>0.53</v>
      </c>
      <c r="Q16" s="64">
        <v>9.7200000000000006</v>
      </c>
      <c r="R16" s="198"/>
      <c r="S16" s="198"/>
      <c r="T16" s="198"/>
      <c r="U16" s="198"/>
    </row>
    <row r="17" spans="1:21" s="12" customFormat="1" x14ac:dyDescent="0.25">
      <c r="A17" s="217" t="s">
        <v>1786</v>
      </c>
      <c r="B17" s="64">
        <v>8.3000000000000007</v>
      </c>
      <c r="C17" s="64">
        <v>3.19</v>
      </c>
      <c r="D17" s="64">
        <v>12.1</v>
      </c>
      <c r="E17" s="64">
        <v>3.87</v>
      </c>
      <c r="F17" s="64">
        <v>5.17</v>
      </c>
      <c r="G17" s="64">
        <v>18.39</v>
      </c>
      <c r="H17" s="64">
        <v>6.1</v>
      </c>
      <c r="I17" s="64">
        <v>5.92</v>
      </c>
      <c r="J17" s="64">
        <v>0.24</v>
      </c>
      <c r="K17" s="64">
        <v>311.94</v>
      </c>
      <c r="L17" s="64">
        <v>24.08</v>
      </c>
      <c r="M17" s="64">
        <v>99.04</v>
      </c>
      <c r="N17" s="64">
        <v>118.2</v>
      </c>
      <c r="O17" s="64">
        <v>0</v>
      </c>
      <c r="P17" s="64">
        <v>0.53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7" t="s">
        <v>1787</v>
      </c>
      <c r="B18" s="64">
        <v>8.2799999999999994</v>
      </c>
      <c r="C18" s="64">
        <v>3.14</v>
      </c>
      <c r="D18" s="64">
        <v>12.05</v>
      </c>
      <c r="E18" s="64">
        <v>4.22</v>
      </c>
      <c r="F18" s="64">
        <v>6.13</v>
      </c>
      <c r="G18" s="64">
        <v>18.39</v>
      </c>
      <c r="H18" s="64">
        <v>6.1</v>
      </c>
      <c r="I18" s="64">
        <v>5.93</v>
      </c>
      <c r="J18" s="64">
        <v>0.38</v>
      </c>
      <c r="K18" s="64">
        <v>344.4</v>
      </c>
      <c r="L18" s="64">
        <v>23.99</v>
      </c>
      <c r="M18" s="64">
        <v>99.05</v>
      </c>
      <c r="N18" s="64">
        <v>118</v>
      </c>
      <c r="O18" s="64">
        <v>0</v>
      </c>
      <c r="P18" s="64">
        <v>0.53</v>
      </c>
      <c r="Q18" s="64">
        <v>9.35</v>
      </c>
      <c r="R18" s="198"/>
      <c r="S18" s="198"/>
      <c r="T18" s="198"/>
      <c r="U18" s="198"/>
    </row>
    <row r="19" spans="1:21" s="12" customFormat="1" x14ac:dyDescent="0.25">
      <c r="A19" s="217" t="s">
        <v>1788</v>
      </c>
      <c r="B19" s="64">
        <v>8.26</v>
      </c>
      <c r="C19" s="64">
        <v>3.18</v>
      </c>
      <c r="D19" s="64">
        <v>12.06</v>
      </c>
      <c r="E19" s="64">
        <v>4.5</v>
      </c>
      <c r="F19" s="64">
        <v>4.8499999999999996</v>
      </c>
      <c r="G19" s="64">
        <v>18.670000000000002</v>
      </c>
      <c r="H19" s="64">
        <v>5.37</v>
      </c>
      <c r="I19" s="64">
        <v>5.9</v>
      </c>
      <c r="J19" s="64">
        <v>0.33</v>
      </c>
      <c r="K19" s="64">
        <v>249.36</v>
      </c>
      <c r="L19" s="64">
        <v>23.8</v>
      </c>
      <c r="M19" s="64">
        <v>99.05</v>
      </c>
      <c r="N19" s="64">
        <v>117.8</v>
      </c>
      <c r="O19" s="64">
        <v>0</v>
      </c>
      <c r="P19" s="64">
        <v>0.52</v>
      </c>
      <c r="Q19" s="64">
        <v>9.1300000000000008</v>
      </c>
      <c r="R19" s="198"/>
      <c r="S19" s="198"/>
      <c r="T19" s="198"/>
      <c r="U19" s="198"/>
    </row>
    <row r="20" spans="1:21" s="12" customFormat="1" x14ac:dyDescent="0.25">
      <c r="A20" s="217" t="s">
        <v>1789</v>
      </c>
      <c r="B20" s="64">
        <v>8.27</v>
      </c>
      <c r="C20" s="64">
        <v>3.19</v>
      </c>
      <c r="D20" s="64">
        <v>12.08</v>
      </c>
      <c r="E20" s="64">
        <v>4.2699999999999996</v>
      </c>
      <c r="F20" s="64">
        <v>2.4700000000000002</v>
      </c>
      <c r="G20" s="64">
        <v>19.079999999999998</v>
      </c>
      <c r="H20" s="64">
        <v>4.2699999999999996</v>
      </c>
      <c r="I20" s="64">
        <v>5.88</v>
      </c>
      <c r="J20" s="64">
        <v>0.67</v>
      </c>
      <c r="K20" s="64">
        <v>160.91999999999999</v>
      </c>
      <c r="L20" s="64">
        <v>23.73</v>
      </c>
      <c r="M20" s="64">
        <v>99.05</v>
      </c>
      <c r="N20" s="64">
        <v>117.4</v>
      </c>
      <c r="O20" s="64">
        <v>0</v>
      </c>
      <c r="P20" s="64">
        <v>0.49</v>
      </c>
      <c r="Q20" s="64">
        <v>9.16</v>
      </c>
      <c r="R20" s="198"/>
      <c r="S20" s="198"/>
      <c r="T20" s="198"/>
      <c r="U20" s="198"/>
    </row>
    <row r="21" spans="1:21" s="12" customFormat="1" x14ac:dyDescent="0.25">
      <c r="A21" s="217" t="s">
        <v>1790</v>
      </c>
      <c r="B21" s="64">
        <v>8.34</v>
      </c>
      <c r="C21" s="64">
        <v>3.28</v>
      </c>
      <c r="D21" s="64">
        <v>12.18</v>
      </c>
      <c r="E21" s="64">
        <v>3.75</v>
      </c>
      <c r="F21" s="64">
        <v>3.58</v>
      </c>
      <c r="G21" s="64">
        <v>19.079999999999998</v>
      </c>
      <c r="H21" s="64">
        <v>4.2699999999999996</v>
      </c>
      <c r="I21" s="64">
        <v>5.91</v>
      </c>
      <c r="J21" s="64">
        <v>0.42</v>
      </c>
      <c r="K21" s="64">
        <v>188.09</v>
      </c>
      <c r="L21" s="64">
        <v>23.81</v>
      </c>
      <c r="M21" s="64">
        <v>99.05</v>
      </c>
      <c r="N21" s="64">
        <v>118</v>
      </c>
      <c r="O21" s="64">
        <v>0</v>
      </c>
      <c r="P21" s="64">
        <v>0.48</v>
      </c>
      <c r="Q21" s="64">
        <v>9.35</v>
      </c>
      <c r="R21" s="198"/>
      <c r="S21" s="198"/>
      <c r="T21" s="198"/>
      <c r="U21" s="198"/>
    </row>
    <row r="22" spans="1:21" s="12" customFormat="1" x14ac:dyDescent="0.25">
      <c r="A22" s="217" t="s">
        <v>1791</v>
      </c>
      <c r="B22" s="64">
        <v>8.49</v>
      </c>
      <c r="C22" s="64">
        <v>3.5</v>
      </c>
      <c r="D22" s="64">
        <v>12.41</v>
      </c>
      <c r="E22" s="64">
        <v>3.59</v>
      </c>
      <c r="F22" s="64">
        <v>4.01</v>
      </c>
      <c r="G22" s="64">
        <v>19.079999999999998</v>
      </c>
      <c r="H22" s="64">
        <v>4.2699999999999996</v>
      </c>
      <c r="I22" s="64">
        <v>6</v>
      </c>
      <c r="J22" s="64">
        <v>0.43</v>
      </c>
      <c r="K22" s="64">
        <v>222.15</v>
      </c>
      <c r="L22" s="64">
        <v>23.83</v>
      </c>
      <c r="M22" s="64">
        <v>99.05</v>
      </c>
      <c r="N22" s="64">
        <v>118.1</v>
      </c>
      <c r="O22" s="64">
        <v>0</v>
      </c>
      <c r="P22" s="64">
        <v>0.46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17" t="s">
        <v>1792</v>
      </c>
      <c r="B23" s="64">
        <v>8.5399999999999991</v>
      </c>
      <c r="C23" s="64">
        <v>3.57</v>
      </c>
      <c r="D23" s="64">
        <v>12.48</v>
      </c>
      <c r="E23" s="64">
        <v>3.2</v>
      </c>
      <c r="F23" s="64">
        <v>3.56</v>
      </c>
      <c r="G23" s="64">
        <v>18.53</v>
      </c>
      <c r="H23" s="64">
        <v>3.76</v>
      </c>
      <c r="I23" s="64">
        <v>6.13</v>
      </c>
      <c r="J23" s="64">
        <v>0.31</v>
      </c>
      <c r="K23" s="64">
        <v>171.23</v>
      </c>
      <c r="L23" s="64">
        <v>23.83</v>
      </c>
      <c r="M23" s="64">
        <v>99.04</v>
      </c>
      <c r="N23" s="64">
        <v>117.7</v>
      </c>
      <c r="O23" s="64">
        <v>0</v>
      </c>
      <c r="P23" s="64">
        <v>0.45</v>
      </c>
      <c r="Q23" s="64">
        <v>9.69</v>
      </c>
      <c r="R23" s="198"/>
      <c r="S23" s="198"/>
      <c r="T23" s="198"/>
      <c r="U23" s="198"/>
    </row>
    <row r="24" spans="1:21" s="12" customFormat="1" x14ac:dyDescent="0.25">
      <c r="A24" s="217" t="s">
        <v>1793</v>
      </c>
      <c r="B24" s="64">
        <v>8.39</v>
      </c>
      <c r="C24" s="64">
        <v>3.25</v>
      </c>
      <c r="D24" s="64">
        <v>12.2</v>
      </c>
      <c r="E24" s="64">
        <v>4.41</v>
      </c>
      <c r="F24" s="64">
        <v>3.15</v>
      </c>
      <c r="G24" s="64">
        <v>17.71</v>
      </c>
      <c r="H24" s="64">
        <v>2.99</v>
      </c>
      <c r="I24" s="64">
        <v>6.22</v>
      </c>
      <c r="J24" s="64">
        <v>0.39</v>
      </c>
      <c r="K24" s="64">
        <v>218.75</v>
      </c>
      <c r="L24" s="64">
        <v>23.68</v>
      </c>
      <c r="M24" s="64">
        <v>99.03</v>
      </c>
      <c r="N24" s="64">
        <v>117.7</v>
      </c>
      <c r="O24" s="64">
        <v>0</v>
      </c>
      <c r="P24" s="64">
        <v>0.44</v>
      </c>
      <c r="Q24" s="64">
        <v>9.81</v>
      </c>
      <c r="R24" s="198"/>
      <c r="S24" s="198"/>
      <c r="T24" s="198"/>
      <c r="U24" s="198"/>
    </row>
    <row r="25" spans="1:21" s="12" customFormat="1" x14ac:dyDescent="0.25">
      <c r="A25" s="217" t="s">
        <v>1794</v>
      </c>
      <c r="B25" s="64">
        <v>8.34</v>
      </c>
      <c r="C25" s="64">
        <v>3.19</v>
      </c>
      <c r="D25" s="64">
        <v>12.13</v>
      </c>
      <c r="E25" s="64">
        <v>4.41</v>
      </c>
      <c r="F25" s="64">
        <v>3.41</v>
      </c>
      <c r="G25" s="64">
        <v>17.71</v>
      </c>
      <c r="H25" s="64">
        <v>2.99</v>
      </c>
      <c r="I25" s="64">
        <v>6.35</v>
      </c>
      <c r="J25" s="64">
        <v>0.26</v>
      </c>
      <c r="K25" s="64">
        <v>217.94</v>
      </c>
      <c r="L25" s="64">
        <v>23.56</v>
      </c>
      <c r="M25" s="64">
        <v>99.04</v>
      </c>
      <c r="N25" s="64">
        <v>117.4</v>
      </c>
      <c r="O25" s="64">
        <v>0</v>
      </c>
      <c r="P25" s="64">
        <v>0.43</v>
      </c>
      <c r="Q25" s="64">
        <v>9.83</v>
      </c>
      <c r="R25" s="198"/>
      <c r="S25" s="198"/>
      <c r="T25" s="198"/>
      <c r="U25" s="198"/>
    </row>
    <row r="26" spans="1:21" s="12" customFormat="1" x14ac:dyDescent="0.25">
      <c r="A26" s="217" t="s">
        <v>1795</v>
      </c>
      <c r="B26" s="64">
        <v>8.34</v>
      </c>
      <c r="C26" s="64">
        <v>3.19</v>
      </c>
      <c r="D26" s="64">
        <v>12.13</v>
      </c>
      <c r="E26" s="64">
        <v>4.9000000000000004</v>
      </c>
      <c r="F26" s="64">
        <v>3.54</v>
      </c>
      <c r="G26" s="64">
        <v>17.71</v>
      </c>
      <c r="H26" s="64">
        <v>2.99</v>
      </c>
      <c r="I26" s="64">
        <v>6.47</v>
      </c>
      <c r="J26" s="64">
        <v>0.8</v>
      </c>
      <c r="K26" s="64">
        <v>166.41</v>
      </c>
      <c r="L26" s="64">
        <v>23.52</v>
      </c>
      <c r="M26" s="64">
        <v>99.05</v>
      </c>
      <c r="N26" s="64">
        <v>117.5</v>
      </c>
      <c r="O26" s="64">
        <v>0</v>
      </c>
      <c r="P26" s="64">
        <v>0.42</v>
      </c>
      <c r="Q26" s="64">
        <v>9.7899999999999991</v>
      </c>
      <c r="R26" s="198"/>
      <c r="S26" s="198"/>
      <c r="T26" s="198"/>
      <c r="U26" s="198"/>
    </row>
    <row r="27" spans="1:21" s="12" customFormat="1" x14ac:dyDescent="0.25">
      <c r="A27" s="217" t="s">
        <v>1796</v>
      </c>
      <c r="B27" s="64">
        <v>8.33</v>
      </c>
      <c r="C27" s="64">
        <v>3.15</v>
      </c>
      <c r="D27" s="64">
        <v>12.1</v>
      </c>
      <c r="E27" s="64">
        <v>4.59</v>
      </c>
      <c r="F27" s="64">
        <v>3.63</v>
      </c>
      <c r="G27" s="64">
        <v>16.62</v>
      </c>
      <c r="H27" s="64">
        <v>3.51</v>
      </c>
      <c r="I27" s="64">
        <v>6.54</v>
      </c>
      <c r="J27" s="64">
        <v>0.25</v>
      </c>
      <c r="K27" s="64">
        <v>141.43</v>
      </c>
      <c r="L27" s="64">
        <v>23.65</v>
      </c>
      <c r="M27" s="64">
        <v>99.05</v>
      </c>
      <c r="N27" s="64">
        <v>117.9</v>
      </c>
      <c r="O27" s="64">
        <v>0</v>
      </c>
      <c r="P27" s="64">
        <v>0.41</v>
      </c>
      <c r="Q27" s="64">
        <v>9.7899999999999991</v>
      </c>
      <c r="R27" s="198"/>
      <c r="S27" s="198"/>
      <c r="T27" s="198"/>
      <c r="U27" s="198"/>
    </row>
    <row r="28" spans="1:21" s="12" customFormat="1" x14ac:dyDescent="0.25">
      <c r="A28" s="217" t="s">
        <v>1797</v>
      </c>
      <c r="B28" s="64">
        <v>8.31</v>
      </c>
      <c r="C28" s="64">
        <v>3.16</v>
      </c>
      <c r="D28" s="64">
        <v>12.09</v>
      </c>
      <c r="E28" s="64">
        <v>4.68</v>
      </c>
      <c r="F28" s="64">
        <v>2.85</v>
      </c>
      <c r="G28" s="64">
        <v>14.99</v>
      </c>
      <c r="H28" s="64">
        <v>4.29</v>
      </c>
      <c r="I28" s="64">
        <v>6.61</v>
      </c>
      <c r="J28" s="64">
        <v>0.18</v>
      </c>
      <c r="K28" s="64">
        <v>123.03</v>
      </c>
      <c r="L28" s="64">
        <v>23.64</v>
      </c>
      <c r="M28" s="64">
        <v>99.05</v>
      </c>
      <c r="N28" s="64">
        <v>117.9</v>
      </c>
      <c r="O28" s="64">
        <v>0</v>
      </c>
      <c r="P28" s="64">
        <v>0.41</v>
      </c>
      <c r="Q28" s="64">
        <v>9.74</v>
      </c>
      <c r="R28" s="198"/>
      <c r="S28" s="198"/>
      <c r="T28" s="198"/>
      <c r="U28" s="198"/>
    </row>
    <row r="29" spans="1:21" s="12" customFormat="1" x14ac:dyDescent="0.25">
      <c r="A29" s="217" t="s">
        <v>1798</v>
      </c>
      <c r="B29" s="64">
        <v>8.32</v>
      </c>
      <c r="C29" s="64">
        <v>3.18</v>
      </c>
      <c r="D29" s="64">
        <v>12.11</v>
      </c>
      <c r="E29" s="64">
        <v>4.41</v>
      </c>
      <c r="F29" s="64">
        <v>3.51</v>
      </c>
      <c r="G29" s="64">
        <v>14.99</v>
      </c>
      <c r="H29" s="64">
        <v>4.29</v>
      </c>
      <c r="I29" s="64">
        <v>6.64</v>
      </c>
      <c r="J29" s="64">
        <v>0.08</v>
      </c>
      <c r="K29" s="64">
        <v>288.51</v>
      </c>
      <c r="L29" s="64">
        <v>23.74</v>
      </c>
      <c r="M29" s="64">
        <v>99.05</v>
      </c>
      <c r="N29" s="64">
        <v>118.2</v>
      </c>
      <c r="O29" s="64">
        <v>0</v>
      </c>
      <c r="P29" s="64">
        <v>0.4</v>
      </c>
      <c r="Q29" s="64">
        <v>9.69</v>
      </c>
      <c r="R29" s="198"/>
      <c r="S29" s="198"/>
      <c r="T29" s="198"/>
      <c r="U29" s="198"/>
    </row>
    <row r="30" spans="1:21" s="12" customFormat="1" x14ac:dyDescent="0.25">
      <c r="A30" s="217" t="s">
        <v>1799</v>
      </c>
      <c r="B30" s="64">
        <v>8.33</v>
      </c>
      <c r="C30" s="64">
        <v>3.27</v>
      </c>
      <c r="D30" s="64">
        <v>12.17</v>
      </c>
      <c r="E30" s="64">
        <v>4.59</v>
      </c>
      <c r="F30" s="64">
        <v>3.14</v>
      </c>
      <c r="G30" s="64">
        <v>14.99</v>
      </c>
      <c r="H30" s="64">
        <v>4.29</v>
      </c>
      <c r="I30" s="64">
        <v>6.56</v>
      </c>
      <c r="J30" s="64">
        <v>0.28999999999999998</v>
      </c>
      <c r="K30" s="64">
        <v>177.06</v>
      </c>
      <c r="L30" s="64">
        <v>23.79</v>
      </c>
      <c r="M30" s="64">
        <v>99.05</v>
      </c>
      <c r="N30" s="64">
        <v>120.2</v>
      </c>
      <c r="O30" s="64">
        <v>0</v>
      </c>
      <c r="P30" s="64">
        <v>0.39</v>
      </c>
      <c r="Q30" s="64">
        <v>9.67</v>
      </c>
      <c r="R30" s="198"/>
      <c r="S30" s="198"/>
      <c r="T30" s="198"/>
      <c r="U30" s="198"/>
    </row>
    <row r="31" spans="1:21" s="12" customFormat="1" x14ac:dyDescent="0.25">
      <c r="A31" s="217" t="s">
        <v>1800</v>
      </c>
      <c r="B31" s="64">
        <v>8.34</v>
      </c>
      <c r="C31" s="64">
        <v>3.2</v>
      </c>
      <c r="D31" s="64">
        <v>12.14</v>
      </c>
      <c r="E31" s="64">
        <v>4.28</v>
      </c>
      <c r="F31" s="64">
        <v>3.66</v>
      </c>
      <c r="G31" s="64">
        <v>15.17</v>
      </c>
      <c r="H31" s="64">
        <v>4.24</v>
      </c>
      <c r="I31" s="64">
        <v>6.41</v>
      </c>
      <c r="J31" s="64">
        <v>0.03</v>
      </c>
      <c r="K31" s="64">
        <v>341.92</v>
      </c>
      <c r="L31" s="64">
        <v>23.83</v>
      </c>
      <c r="M31" s="64">
        <v>99.05</v>
      </c>
      <c r="N31" s="64">
        <v>131.80000000000001</v>
      </c>
      <c r="O31" s="64">
        <v>0</v>
      </c>
      <c r="P31" s="64">
        <v>0.39</v>
      </c>
      <c r="Q31" s="64">
        <v>9.66</v>
      </c>
      <c r="R31" s="198"/>
      <c r="S31" s="198"/>
      <c r="T31" s="198"/>
      <c r="U31" s="198"/>
    </row>
    <row r="32" spans="1:21" s="12" customFormat="1" x14ac:dyDescent="0.25">
      <c r="A32" s="217" t="s">
        <v>1801</v>
      </c>
      <c r="B32" s="64">
        <v>8.32</v>
      </c>
      <c r="C32" s="64">
        <v>3.16</v>
      </c>
      <c r="D32" s="64">
        <v>12.1</v>
      </c>
      <c r="E32" s="64">
        <v>4.4000000000000004</v>
      </c>
      <c r="F32" s="64">
        <v>2.98</v>
      </c>
      <c r="G32" s="64">
        <v>15.44</v>
      </c>
      <c r="H32" s="64">
        <v>4.16</v>
      </c>
      <c r="I32" s="64">
        <v>6.28</v>
      </c>
      <c r="J32" s="64">
        <v>0.39</v>
      </c>
      <c r="K32" s="64">
        <v>159.16999999999999</v>
      </c>
      <c r="L32" s="64">
        <v>23.9</v>
      </c>
      <c r="M32" s="64">
        <v>99.05</v>
      </c>
      <c r="N32" s="64">
        <v>145.80000000000001</v>
      </c>
      <c r="O32" s="64">
        <v>0</v>
      </c>
      <c r="P32" s="64">
        <v>0.37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7" t="s">
        <v>1802</v>
      </c>
      <c r="B33" s="64">
        <v>8.35</v>
      </c>
      <c r="C33" s="64">
        <v>3.26</v>
      </c>
      <c r="D33" s="64">
        <v>12.17</v>
      </c>
      <c r="E33" s="64">
        <v>4.42</v>
      </c>
      <c r="F33" s="64">
        <v>3.61</v>
      </c>
      <c r="G33" s="64">
        <v>15.44</v>
      </c>
      <c r="H33" s="64">
        <v>4.16</v>
      </c>
      <c r="I33" s="64">
        <v>6.17</v>
      </c>
      <c r="J33" s="64">
        <v>0.11</v>
      </c>
      <c r="K33" s="64">
        <v>330.17</v>
      </c>
      <c r="L33" s="64">
        <v>24.04</v>
      </c>
      <c r="M33" s="64">
        <v>99.01</v>
      </c>
      <c r="N33" s="64">
        <v>173.1</v>
      </c>
      <c r="O33" s="64">
        <v>0</v>
      </c>
      <c r="P33" s="64">
        <v>0.38</v>
      </c>
      <c r="Q33" s="64">
        <v>9.59</v>
      </c>
      <c r="R33" s="198"/>
      <c r="S33" s="198"/>
      <c r="T33" s="198"/>
      <c r="U33" s="198"/>
    </row>
    <row r="34" spans="1:21" s="12" customFormat="1" x14ac:dyDescent="0.25">
      <c r="A34" s="217" t="s">
        <v>1803</v>
      </c>
      <c r="B34" s="64">
        <v>8.36</v>
      </c>
      <c r="C34" s="64">
        <v>3.29</v>
      </c>
      <c r="D34" s="64">
        <v>12.2</v>
      </c>
      <c r="E34" s="64">
        <v>4.33</v>
      </c>
      <c r="F34" s="64">
        <v>3.08</v>
      </c>
      <c r="G34" s="64">
        <v>15.44</v>
      </c>
      <c r="H34" s="64">
        <v>4.16</v>
      </c>
      <c r="I34" s="64">
        <v>6.12</v>
      </c>
      <c r="J34" s="64">
        <v>0.18</v>
      </c>
      <c r="K34" s="64">
        <v>231.85</v>
      </c>
      <c r="L34" s="64">
        <v>24.01</v>
      </c>
      <c r="M34" s="64">
        <v>99.01</v>
      </c>
      <c r="N34" s="64">
        <v>196.6</v>
      </c>
      <c r="O34" s="64">
        <v>0</v>
      </c>
      <c r="P34" s="64">
        <v>0.36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7" t="s">
        <v>1804</v>
      </c>
      <c r="B35" s="64">
        <v>8.34</v>
      </c>
      <c r="C35" s="64">
        <v>3.27</v>
      </c>
      <c r="D35" s="64">
        <v>12.17</v>
      </c>
      <c r="E35" s="64">
        <v>4.25</v>
      </c>
      <c r="F35" s="64">
        <v>3.99</v>
      </c>
      <c r="G35" s="64">
        <v>13.97</v>
      </c>
      <c r="H35" s="64">
        <v>3.77</v>
      </c>
      <c r="I35" s="64">
        <v>6.02</v>
      </c>
      <c r="J35" s="64">
        <v>0.17</v>
      </c>
      <c r="K35" s="64">
        <v>33.29</v>
      </c>
      <c r="L35" s="64">
        <v>24.18</v>
      </c>
      <c r="M35" s="64">
        <v>99.03</v>
      </c>
      <c r="N35" s="64">
        <v>221.3</v>
      </c>
      <c r="O35" s="64">
        <v>0</v>
      </c>
      <c r="P35" s="64">
        <v>0.36</v>
      </c>
      <c r="Q35" s="64">
        <v>9.5399999999999991</v>
      </c>
      <c r="R35" s="198"/>
      <c r="S35" s="198"/>
      <c r="T35" s="198"/>
      <c r="U35" s="198"/>
    </row>
    <row r="36" spans="1:21" s="12" customFormat="1" x14ac:dyDescent="0.25">
      <c r="A36" s="217" t="s">
        <v>1805</v>
      </c>
      <c r="B36" s="64">
        <v>8.34</v>
      </c>
      <c r="C36" s="64">
        <v>3.19</v>
      </c>
      <c r="D36" s="64">
        <v>12.13</v>
      </c>
      <c r="E36" s="64">
        <v>4.8600000000000003</v>
      </c>
      <c r="F36" s="64">
        <v>3.63</v>
      </c>
      <c r="G36" s="64">
        <v>11.76</v>
      </c>
      <c r="H36" s="64">
        <v>3.19</v>
      </c>
      <c r="I36" s="64">
        <v>5.81</v>
      </c>
      <c r="J36" s="64">
        <v>0.39</v>
      </c>
      <c r="K36" s="64">
        <v>5.49</v>
      </c>
      <c r="L36" s="64">
        <v>24.42</v>
      </c>
      <c r="M36" s="64">
        <v>99</v>
      </c>
      <c r="N36" s="64">
        <v>239.8</v>
      </c>
      <c r="O36" s="64">
        <v>0</v>
      </c>
      <c r="P36" s="64">
        <v>0.35</v>
      </c>
      <c r="Q36" s="64">
        <v>9.5500000000000007</v>
      </c>
      <c r="R36" s="198"/>
      <c r="S36" s="198"/>
      <c r="T36" s="198"/>
      <c r="U36" s="198"/>
    </row>
    <row r="37" spans="1:21" s="12" customFormat="1" x14ac:dyDescent="0.25">
      <c r="A37" s="217" t="s">
        <v>1806</v>
      </c>
      <c r="B37" s="64">
        <v>8.36</v>
      </c>
      <c r="C37" s="64">
        <v>3.28</v>
      </c>
      <c r="D37" s="64">
        <v>12.19</v>
      </c>
      <c r="E37" s="64">
        <v>4.7300000000000004</v>
      </c>
      <c r="F37" s="64">
        <v>3.31</v>
      </c>
      <c r="G37" s="64">
        <v>11.76</v>
      </c>
      <c r="H37" s="64">
        <v>3.19</v>
      </c>
      <c r="I37" s="64">
        <v>5.69</v>
      </c>
      <c r="J37" s="64">
        <v>0.35</v>
      </c>
      <c r="K37" s="64">
        <v>342.03</v>
      </c>
      <c r="L37" s="64">
        <v>24.62</v>
      </c>
      <c r="M37" s="64">
        <v>99</v>
      </c>
      <c r="N37" s="64">
        <v>261.10000000000002</v>
      </c>
      <c r="O37" s="64">
        <v>0</v>
      </c>
      <c r="P37" s="64">
        <v>0.38</v>
      </c>
      <c r="Q37" s="64">
        <v>9.49</v>
      </c>
      <c r="R37" s="198"/>
      <c r="S37" s="198"/>
      <c r="T37" s="198"/>
      <c r="U37" s="198"/>
    </row>
    <row r="38" spans="1:21" s="12" customFormat="1" x14ac:dyDescent="0.25">
      <c r="A38" s="217" t="s">
        <v>1807</v>
      </c>
      <c r="B38" s="64">
        <v>8.34</v>
      </c>
      <c r="C38" s="64">
        <v>3.25</v>
      </c>
      <c r="D38" s="64">
        <v>12.16</v>
      </c>
      <c r="E38" s="64">
        <v>4.62</v>
      </c>
      <c r="F38" s="64">
        <v>3.38</v>
      </c>
      <c r="G38" s="64">
        <v>11.76</v>
      </c>
      <c r="H38" s="64">
        <v>3.19</v>
      </c>
      <c r="I38" s="64">
        <v>5.48</v>
      </c>
      <c r="J38" s="64">
        <v>0.53</v>
      </c>
      <c r="K38" s="64">
        <v>330.18</v>
      </c>
      <c r="L38" s="64">
        <v>24.71</v>
      </c>
      <c r="M38" s="64">
        <v>99</v>
      </c>
      <c r="N38" s="64">
        <v>274.3</v>
      </c>
      <c r="O38" s="64">
        <v>0</v>
      </c>
      <c r="P38" s="64">
        <v>0.39</v>
      </c>
      <c r="Q38" s="64">
        <v>9.4700000000000006</v>
      </c>
      <c r="R38" s="198"/>
      <c r="S38" s="198"/>
      <c r="T38" s="198"/>
      <c r="U38" s="198"/>
    </row>
    <row r="39" spans="1:21" s="12" customFormat="1" x14ac:dyDescent="0.25">
      <c r="A39" s="217" t="s">
        <v>1808</v>
      </c>
      <c r="B39" s="64">
        <v>8.35</v>
      </c>
      <c r="C39" s="64">
        <v>3.26</v>
      </c>
      <c r="D39" s="64">
        <v>12.18</v>
      </c>
      <c r="E39" s="64">
        <v>4.84</v>
      </c>
      <c r="F39" s="64">
        <v>3.53</v>
      </c>
      <c r="G39" s="64">
        <v>12.64</v>
      </c>
      <c r="H39" s="64">
        <v>4.13</v>
      </c>
      <c r="I39" s="64">
        <v>5.17</v>
      </c>
      <c r="J39" s="64">
        <v>0.52</v>
      </c>
      <c r="K39" s="64">
        <v>353.35</v>
      </c>
      <c r="L39" s="64">
        <v>25.99</v>
      </c>
      <c r="M39" s="64">
        <v>97.11</v>
      </c>
      <c r="N39" s="64">
        <v>541.5</v>
      </c>
      <c r="O39" s="64">
        <v>0</v>
      </c>
      <c r="P39" s="64">
        <v>0.39</v>
      </c>
      <c r="Q39" s="64">
        <v>9.49</v>
      </c>
      <c r="R39" s="198"/>
      <c r="S39" s="198"/>
      <c r="T39" s="198"/>
      <c r="U39" s="198"/>
    </row>
    <row r="40" spans="1:21" s="12" customFormat="1" x14ac:dyDescent="0.25">
      <c r="A40" s="217" t="s">
        <v>1809</v>
      </c>
      <c r="B40" s="64">
        <v>8.36</v>
      </c>
      <c r="C40" s="64">
        <v>3.24</v>
      </c>
      <c r="D40" s="64">
        <v>12.17</v>
      </c>
      <c r="E40" s="64">
        <v>4.3600000000000003</v>
      </c>
      <c r="F40" s="64">
        <v>3.51</v>
      </c>
      <c r="G40" s="64">
        <v>13.96</v>
      </c>
      <c r="H40" s="64">
        <v>5.54</v>
      </c>
      <c r="I40" s="64">
        <v>5.01</v>
      </c>
      <c r="J40" s="64">
        <v>0.56000000000000005</v>
      </c>
      <c r="K40" s="64">
        <v>350.04</v>
      </c>
      <c r="L40" s="64">
        <v>25.85</v>
      </c>
      <c r="M40" s="64">
        <v>98.52</v>
      </c>
      <c r="N40" s="64">
        <v>308.5</v>
      </c>
      <c r="O40" s="64">
        <v>0</v>
      </c>
      <c r="P40" s="64">
        <v>0.39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7" t="s">
        <v>1810</v>
      </c>
      <c r="B41" s="64">
        <v>8.35</v>
      </c>
      <c r="C41" s="64">
        <v>3.21</v>
      </c>
      <c r="D41" s="64">
        <v>12.15</v>
      </c>
      <c r="E41" s="64">
        <v>5.07</v>
      </c>
      <c r="F41" s="64">
        <v>3.46</v>
      </c>
      <c r="G41" s="64">
        <v>13.96</v>
      </c>
      <c r="H41" s="64">
        <v>5.54</v>
      </c>
      <c r="I41" s="64">
        <v>4.8099999999999996</v>
      </c>
      <c r="J41" s="64">
        <v>0.46</v>
      </c>
      <c r="K41" s="64">
        <v>344.73</v>
      </c>
      <c r="L41" s="64">
        <v>26.39</v>
      </c>
      <c r="M41" s="64">
        <v>95.53</v>
      </c>
      <c r="N41" s="64">
        <v>383.3</v>
      </c>
      <c r="O41" s="64">
        <v>0</v>
      </c>
      <c r="P41" s="64">
        <v>0.38</v>
      </c>
      <c r="Q41" s="64">
        <v>9.4700000000000006</v>
      </c>
      <c r="R41" s="198"/>
      <c r="S41" s="198"/>
      <c r="T41" s="198"/>
      <c r="U41" s="198"/>
    </row>
    <row r="42" spans="1:21" s="12" customFormat="1" x14ac:dyDescent="0.25">
      <c r="A42" s="217" t="s">
        <v>1811</v>
      </c>
      <c r="B42" s="64">
        <v>8.33</v>
      </c>
      <c r="C42" s="64">
        <v>3.22</v>
      </c>
      <c r="D42" s="64">
        <v>12.14</v>
      </c>
      <c r="E42" s="64">
        <v>4.99</v>
      </c>
      <c r="F42" s="64">
        <v>3.66</v>
      </c>
      <c r="G42" s="64">
        <v>13.96</v>
      </c>
      <c r="H42" s="64">
        <v>5.54</v>
      </c>
      <c r="I42" s="64">
        <v>4.55</v>
      </c>
      <c r="J42" s="64">
        <v>0.37</v>
      </c>
      <c r="K42" s="64">
        <v>333.43</v>
      </c>
      <c r="L42" s="64">
        <v>26.39</v>
      </c>
      <c r="M42" s="64">
        <v>95.62</v>
      </c>
      <c r="N42" s="64">
        <v>281.39999999999998</v>
      </c>
      <c r="O42" s="64">
        <v>0</v>
      </c>
      <c r="P42" s="64">
        <v>0.39</v>
      </c>
      <c r="Q42" s="64">
        <v>9.4600000000000009</v>
      </c>
      <c r="R42" s="198"/>
      <c r="S42" s="198"/>
      <c r="T42" s="198"/>
      <c r="U42" s="198"/>
    </row>
    <row r="43" spans="1:21" s="12" customFormat="1" x14ac:dyDescent="0.25">
      <c r="A43" s="217" t="s">
        <v>1812</v>
      </c>
      <c r="B43" s="64">
        <v>8.34</v>
      </c>
      <c r="C43" s="64">
        <v>3.21</v>
      </c>
      <c r="D43" s="64">
        <v>12.14</v>
      </c>
      <c r="E43" s="64">
        <v>4.7699999999999996</v>
      </c>
      <c r="F43" s="64">
        <v>3.53</v>
      </c>
      <c r="G43" s="64">
        <v>17.16</v>
      </c>
      <c r="H43" s="64">
        <v>5.64</v>
      </c>
      <c r="I43" s="64">
        <v>4.3</v>
      </c>
      <c r="J43" s="64">
        <v>0.45</v>
      </c>
      <c r="K43" s="64">
        <v>344.79</v>
      </c>
      <c r="L43" s="64">
        <v>25.83</v>
      </c>
      <c r="M43" s="64">
        <v>98.56</v>
      </c>
      <c r="N43" s="64">
        <v>228.9</v>
      </c>
      <c r="O43" s="64">
        <v>0.4</v>
      </c>
      <c r="P43" s="64">
        <v>0.39</v>
      </c>
      <c r="Q43" s="64">
        <v>9.4600000000000009</v>
      </c>
      <c r="R43" s="198"/>
      <c r="S43" s="198"/>
      <c r="T43" s="198"/>
      <c r="U43" s="198"/>
    </row>
    <row r="44" spans="1:21" s="12" customFormat="1" x14ac:dyDescent="0.25">
      <c r="A44" s="217" t="s">
        <v>1813</v>
      </c>
      <c r="B44" s="64">
        <v>8.3699999999999992</v>
      </c>
      <c r="C44" s="64">
        <v>3.23</v>
      </c>
      <c r="D44" s="64">
        <v>12.17</v>
      </c>
      <c r="E44" s="64">
        <v>4.99</v>
      </c>
      <c r="F44" s="64">
        <v>3.23</v>
      </c>
      <c r="G44" s="64">
        <v>21.95</v>
      </c>
      <c r="H44" s="64">
        <v>5.8</v>
      </c>
      <c r="I44" s="64">
        <v>4.2699999999999996</v>
      </c>
      <c r="J44" s="64">
        <v>0.25</v>
      </c>
      <c r="K44" s="64">
        <v>309.49</v>
      </c>
      <c r="L44" s="64">
        <v>25.24</v>
      </c>
      <c r="M44" s="64">
        <v>98.99</v>
      </c>
      <c r="N44" s="64">
        <v>198.4</v>
      </c>
      <c r="O44" s="64">
        <v>1.2</v>
      </c>
      <c r="P44" s="64">
        <v>0.39</v>
      </c>
      <c r="Q44" s="64">
        <v>9.4700000000000006</v>
      </c>
      <c r="R44" s="198"/>
      <c r="S44" s="198"/>
      <c r="T44" s="198"/>
      <c r="U44" s="198"/>
    </row>
    <row r="45" spans="1:21" s="12" customFormat="1" x14ac:dyDescent="0.25">
      <c r="A45" s="217" t="s">
        <v>1814</v>
      </c>
      <c r="B45" s="64">
        <v>8.3800000000000008</v>
      </c>
      <c r="C45" s="64">
        <v>3.19</v>
      </c>
      <c r="D45" s="64">
        <v>12.16</v>
      </c>
      <c r="E45" s="64">
        <v>4.83</v>
      </c>
      <c r="F45" s="64">
        <v>3.83</v>
      </c>
      <c r="G45" s="64">
        <v>21.95</v>
      </c>
      <c r="H45" s="64">
        <v>5.8</v>
      </c>
      <c r="I45" s="64">
        <v>4.18</v>
      </c>
      <c r="J45" s="64">
        <v>0.54</v>
      </c>
      <c r="K45" s="64">
        <v>318.2</v>
      </c>
      <c r="L45" s="64">
        <v>24.83</v>
      </c>
      <c r="M45" s="64">
        <v>99</v>
      </c>
      <c r="N45" s="64">
        <v>256.2</v>
      </c>
      <c r="O45" s="64">
        <v>0.2</v>
      </c>
      <c r="P45" s="64">
        <v>0.38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17" t="s">
        <v>1815</v>
      </c>
      <c r="B46" s="64">
        <v>8.34</v>
      </c>
      <c r="C46" s="64">
        <v>3.26</v>
      </c>
      <c r="D46" s="64">
        <v>12.17</v>
      </c>
      <c r="E46" s="64">
        <v>5.25</v>
      </c>
      <c r="F46" s="64">
        <v>3.64</v>
      </c>
      <c r="G46" s="64">
        <v>21.95</v>
      </c>
      <c r="H46" s="64">
        <v>5.8</v>
      </c>
      <c r="I46" s="64">
        <v>4.08</v>
      </c>
      <c r="J46" s="64">
        <v>0.48</v>
      </c>
      <c r="K46" s="64">
        <v>323.19</v>
      </c>
      <c r="L46" s="64">
        <v>25.03</v>
      </c>
      <c r="M46" s="64">
        <v>99</v>
      </c>
      <c r="N46" s="64">
        <v>368.4</v>
      </c>
      <c r="O46" s="64">
        <v>0</v>
      </c>
      <c r="P46" s="64">
        <v>0.4</v>
      </c>
      <c r="Q46" s="64">
        <v>9.4499999999999993</v>
      </c>
      <c r="R46" s="198"/>
      <c r="S46" s="198"/>
      <c r="T46" s="198"/>
      <c r="U46" s="198"/>
    </row>
    <row r="47" spans="1:21" s="12" customFormat="1" x14ac:dyDescent="0.25">
      <c r="A47" s="217" t="s">
        <v>1816</v>
      </c>
      <c r="B47" s="64">
        <v>8.36</v>
      </c>
      <c r="C47" s="64">
        <v>3.3</v>
      </c>
      <c r="D47" s="64">
        <v>12.2</v>
      </c>
      <c r="E47" s="64">
        <v>4.8099999999999996</v>
      </c>
      <c r="F47" s="64">
        <v>2.77</v>
      </c>
      <c r="G47" s="64">
        <v>23.19</v>
      </c>
      <c r="H47" s="64">
        <v>7.06</v>
      </c>
      <c r="I47" s="64">
        <v>4.0999999999999996</v>
      </c>
      <c r="J47" s="64">
        <v>0.65</v>
      </c>
      <c r="K47" s="64">
        <v>320.12</v>
      </c>
      <c r="L47" s="64">
        <v>25.79</v>
      </c>
      <c r="M47" s="64">
        <v>99</v>
      </c>
      <c r="N47" s="64">
        <v>455.5</v>
      </c>
      <c r="O47" s="64">
        <v>0.2</v>
      </c>
      <c r="P47" s="64">
        <v>0.4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7" t="s">
        <v>1817</v>
      </c>
      <c r="B48" s="64">
        <v>8.35</v>
      </c>
      <c r="C48" s="64">
        <v>3.27</v>
      </c>
      <c r="D48" s="64">
        <v>12.18</v>
      </c>
      <c r="E48" s="64">
        <v>5.13</v>
      </c>
      <c r="F48" s="64">
        <v>4.22</v>
      </c>
      <c r="G48" s="64">
        <v>25.05</v>
      </c>
      <c r="H48" s="64">
        <v>8.9499999999999993</v>
      </c>
      <c r="I48" s="64">
        <v>4.03</v>
      </c>
      <c r="J48" s="64">
        <v>0.74</v>
      </c>
      <c r="K48" s="64">
        <v>328.94</v>
      </c>
      <c r="L48" s="64">
        <v>26.85</v>
      </c>
      <c r="M48" s="64">
        <v>98.55</v>
      </c>
      <c r="N48" s="64">
        <v>631.70000000000005</v>
      </c>
      <c r="O48" s="64">
        <v>0</v>
      </c>
      <c r="P48" s="64">
        <v>0.42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7" t="s">
        <v>1818</v>
      </c>
      <c r="B49" s="64">
        <v>8.36</v>
      </c>
      <c r="C49" s="64">
        <v>3.26</v>
      </c>
      <c r="D49" s="64">
        <v>12.18</v>
      </c>
      <c r="E49" s="64">
        <v>4.92</v>
      </c>
      <c r="F49" s="64">
        <v>2.4500000000000002</v>
      </c>
      <c r="G49" s="64">
        <v>25.05</v>
      </c>
      <c r="H49" s="64">
        <v>8.9499999999999993</v>
      </c>
      <c r="I49" s="64">
        <v>3.95</v>
      </c>
      <c r="J49" s="64">
        <v>0.9</v>
      </c>
      <c r="K49" s="64">
        <v>341.85</v>
      </c>
      <c r="L49" s="64">
        <v>28.47</v>
      </c>
      <c r="M49" s="64">
        <v>93.05</v>
      </c>
      <c r="N49" s="64">
        <v>1014.1</v>
      </c>
      <c r="O49" s="64">
        <v>0</v>
      </c>
      <c r="P49" s="64">
        <v>0.44</v>
      </c>
      <c r="Q49" s="64">
        <v>9.31</v>
      </c>
      <c r="R49" s="198"/>
      <c r="S49" s="198"/>
      <c r="T49" s="198"/>
      <c r="U49" s="198"/>
    </row>
    <row r="50" spans="1:21" s="12" customFormat="1" x14ac:dyDescent="0.25">
      <c r="A50" s="217" t="s">
        <v>1819</v>
      </c>
      <c r="B50" s="64">
        <v>8.35</v>
      </c>
      <c r="C50" s="64">
        <v>3.25</v>
      </c>
      <c r="D50" s="64">
        <v>12.17</v>
      </c>
      <c r="E50" s="64">
        <v>4.84</v>
      </c>
      <c r="F50" s="64">
        <v>3.25</v>
      </c>
      <c r="G50" s="64">
        <v>25.05</v>
      </c>
      <c r="H50" s="64">
        <v>8.9499999999999993</v>
      </c>
      <c r="I50" s="64">
        <v>4.1100000000000003</v>
      </c>
      <c r="J50" s="64">
        <v>0.88</v>
      </c>
      <c r="K50" s="64">
        <v>347.32</v>
      </c>
      <c r="L50" s="64">
        <v>30.33</v>
      </c>
      <c r="M50" s="64">
        <v>83.36</v>
      </c>
      <c r="N50" s="64">
        <v>1149</v>
      </c>
      <c r="O50" s="64">
        <v>0</v>
      </c>
      <c r="P50" s="64">
        <v>0.46</v>
      </c>
      <c r="Q50" s="64">
        <v>9.32</v>
      </c>
      <c r="R50" s="198"/>
      <c r="S50" s="198"/>
      <c r="T50" s="198"/>
      <c r="U50" s="198"/>
    </row>
    <row r="51" spans="1:21" s="12" customFormat="1" x14ac:dyDescent="0.25">
      <c r="A51" s="217" t="s">
        <v>1820</v>
      </c>
      <c r="B51" s="64">
        <v>8.31</v>
      </c>
      <c r="C51" s="64">
        <v>3.21</v>
      </c>
      <c r="D51" s="64">
        <v>12.12</v>
      </c>
      <c r="E51" s="64">
        <v>4.7</v>
      </c>
      <c r="F51" s="64">
        <v>5.35</v>
      </c>
      <c r="G51" s="64">
        <v>26.58</v>
      </c>
      <c r="H51" s="64">
        <v>9.0399999999999991</v>
      </c>
      <c r="I51" s="64">
        <v>4.25</v>
      </c>
      <c r="J51" s="64">
        <v>0.68</v>
      </c>
      <c r="K51" s="64">
        <v>343.27</v>
      </c>
      <c r="L51" s="64">
        <v>31.51</v>
      </c>
      <c r="M51" s="64">
        <v>74.099999999999994</v>
      </c>
      <c r="N51" s="64">
        <v>1096.4000000000001</v>
      </c>
      <c r="O51" s="64">
        <v>0</v>
      </c>
      <c r="P51" s="64">
        <v>0.49</v>
      </c>
      <c r="Q51" s="64">
        <v>9.41</v>
      </c>
      <c r="R51" s="198"/>
      <c r="S51" s="198"/>
      <c r="T51" s="198"/>
      <c r="U51" s="198"/>
    </row>
    <row r="52" spans="1:21" s="12" customFormat="1" x14ac:dyDescent="0.25">
      <c r="A52" s="217" t="s">
        <v>1821</v>
      </c>
      <c r="B52" s="64">
        <v>8.2799999999999994</v>
      </c>
      <c r="C52" s="64">
        <v>3.17</v>
      </c>
      <c r="D52" s="64">
        <v>12.07</v>
      </c>
      <c r="E52" s="64">
        <v>4.9800000000000004</v>
      </c>
      <c r="F52" s="64">
        <v>9.48</v>
      </c>
      <c r="G52" s="64">
        <v>28.88</v>
      </c>
      <c r="H52" s="64">
        <v>9.17</v>
      </c>
      <c r="I52" s="64">
        <v>4.3499999999999996</v>
      </c>
      <c r="J52" s="64">
        <v>0.65</v>
      </c>
      <c r="K52" s="64">
        <v>321.79000000000002</v>
      </c>
      <c r="L52" s="64">
        <v>30.75</v>
      </c>
      <c r="M52" s="64">
        <v>75.790000000000006</v>
      </c>
      <c r="N52" s="64">
        <v>1138.5999999999999</v>
      </c>
      <c r="O52" s="64">
        <v>0</v>
      </c>
      <c r="P52" s="64">
        <v>0.47</v>
      </c>
      <c r="Q52" s="64">
        <v>9.4700000000000006</v>
      </c>
      <c r="R52" s="198"/>
      <c r="S52" s="198"/>
      <c r="T52" s="198"/>
      <c r="U52" s="198"/>
    </row>
    <row r="53" spans="1:21" s="12" customFormat="1" x14ac:dyDescent="0.25">
      <c r="A53" s="217" t="s">
        <v>1822</v>
      </c>
      <c r="B53" s="64">
        <v>8.2799999999999994</v>
      </c>
      <c r="C53" s="64">
        <v>3.18</v>
      </c>
      <c r="D53" s="64">
        <v>12.08</v>
      </c>
      <c r="E53" s="64">
        <v>5.0599999999999996</v>
      </c>
      <c r="F53" s="64">
        <v>6.55</v>
      </c>
      <c r="G53" s="64">
        <v>28.88</v>
      </c>
      <c r="H53" s="64">
        <v>9.17</v>
      </c>
      <c r="I53" s="64">
        <v>4.1500000000000004</v>
      </c>
      <c r="J53" s="64">
        <v>0.59</v>
      </c>
      <c r="K53" s="64">
        <v>31.03</v>
      </c>
      <c r="L53" s="64">
        <v>32.049999999999997</v>
      </c>
      <c r="M53" s="64">
        <v>67.55</v>
      </c>
      <c r="N53" s="64">
        <v>1197</v>
      </c>
      <c r="O53" s="64">
        <v>0</v>
      </c>
      <c r="P53" s="64">
        <v>0.47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7" t="s">
        <v>1823</v>
      </c>
      <c r="B54" s="64">
        <v>8.31</v>
      </c>
      <c r="C54" s="64">
        <v>3.22</v>
      </c>
      <c r="D54" s="64">
        <v>12.12</v>
      </c>
      <c r="E54" s="64">
        <v>4.87</v>
      </c>
      <c r="F54" s="64">
        <v>5.7</v>
      </c>
      <c r="G54" s="64">
        <v>28.88</v>
      </c>
      <c r="H54" s="64">
        <v>9.17</v>
      </c>
      <c r="I54" s="64">
        <v>3.67</v>
      </c>
      <c r="J54" s="64">
        <v>0.32</v>
      </c>
      <c r="K54" s="64">
        <v>17.47</v>
      </c>
      <c r="L54" s="64">
        <v>31.09</v>
      </c>
      <c r="M54" s="64">
        <v>70.55</v>
      </c>
      <c r="N54" s="64">
        <v>1161.8</v>
      </c>
      <c r="O54" s="64">
        <v>0</v>
      </c>
      <c r="P54" s="64">
        <v>0.47</v>
      </c>
      <c r="Q54" s="64">
        <v>9.34</v>
      </c>
      <c r="R54" s="198"/>
      <c r="S54" s="198"/>
      <c r="T54" s="198"/>
      <c r="U54" s="198"/>
    </row>
    <row r="55" spans="1:21" s="12" customFormat="1" x14ac:dyDescent="0.25">
      <c r="A55" s="217" t="s">
        <v>1824</v>
      </c>
      <c r="B55" s="64">
        <v>8.2799999999999994</v>
      </c>
      <c r="C55" s="64">
        <v>3.2</v>
      </c>
      <c r="D55" s="64">
        <v>12.09</v>
      </c>
      <c r="E55" s="64">
        <v>4.4800000000000004</v>
      </c>
      <c r="F55" s="64">
        <v>5.66</v>
      </c>
      <c r="G55" s="64">
        <v>30.86</v>
      </c>
      <c r="H55" s="64">
        <v>9.06</v>
      </c>
      <c r="I55" s="64">
        <v>3.61</v>
      </c>
      <c r="J55" s="64">
        <v>0.81</v>
      </c>
      <c r="K55" s="64">
        <v>339.08</v>
      </c>
      <c r="L55" s="64">
        <v>32.93</v>
      </c>
      <c r="M55" s="64">
        <v>63.65</v>
      </c>
      <c r="N55" s="64">
        <v>1175.3</v>
      </c>
      <c r="O55" s="64">
        <v>0</v>
      </c>
      <c r="P55" s="64">
        <v>0.49</v>
      </c>
      <c r="Q55" s="64">
        <v>9.2899999999999991</v>
      </c>
      <c r="R55" s="198"/>
      <c r="S55" s="198"/>
      <c r="T55" s="198"/>
      <c r="U55" s="198"/>
    </row>
    <row r="56" spans="1:21" s="12" customFormat="1" x14ac:dyDescent="0.25">
      <c r="A56" s="217" t="s">
        <v>1825</v>
      </c>
      <c r="B56" s="64">
        <v>8.25</v>
      </c>
      <c r="C56" s="64">
        <v>3.15</v>
      </c>
      <c r="D56" s="64">
        <v>12.04</v>
      </c>
      <c r="E56" s="64">
        <v>5.0999999999999996</v>
      </c>
      <c r="F56" s="64">
        <v>4.01</v>
      </c>
      <c r="G56" s="64">
        <v>33.83</v>
      </c>
      <c r="H56" s="64">
        <v>8.8800000000000008</v>
      </c>
      <c r="I56" s="64">
        <v>4.08</v>
      </c>
      <c r="J56" s="64">
        <v>0.26</v>
      </c>
      <c r="K56" s="64">
        <v>346.49</v>
      </c>
      <c r="L56" s="64">
        <v>32.909999999999997</v>
      </c>
      <c r="M56" s="64">
        <v>63.26</v>
      </c>
      <c r="N56" s="64">
        <v>1190.0999999999999</v>
      </c>
      <c r="O56" s="64">
        <v>0</v>
      </c>
      <c r="P56" s="64">
        <v>0.5</v>
      </c>
      <c r="Q56" s="64">
        <v>9.02</v>
      </c>
      <c r="R56" s="198"/>
      <c r="S56" s="198"/>
      <c r="T56" s="198"/>
      <c r="U56" s="198"/>
    </row>
    <row r="57" spans="1:21" s="12" customFormat="1" x14ac:dyDescent="0.25">
      <c r="A57" s="217" t="s">
        <v>1826</v>
      </c>
      <c r="B57" s="64">
        <v>8.33</v>
      </c>
      <c r="C57" s="64">
        <v>3.38</v>
      </c>
      <c r="D57" s="64">
        <v>12.22</v>
      </c>
      <c r="E57" s="64">
        <v>4.46</v>
      </c>
      <c r="F57" s="64">
        <v>7.69</v>
      </c>
      <c r="G57" s="64">
        <v>33.83</v>
      </c>
      <c r="H57" s="64">
        <v>8.8800000000000008</v>
      </c>
      <c r="I57" s="64">
        <v>4.46</v>
      </c>
      <c r="J57" s="64">
        <v>1.51</v>
      </c>
      <c r="K57" s="64">
        <v>336.36</v>
      </c>
      <c r="L57" s="64">
        <v>33.93</v>
      </c>
      <c r="M57" s="64">
        <v>61.6</v>
      </c>
      <c r="N57" s="64">
        <v>943.7</v>
      </c>
      <c r="O57" s="64">
        <v>0</v>
      </c>
      <c r="P57" s="64">
        <v>0.48</v>
      </c>
      <c r="Q57" s="64">
        <v>9</v>
      </c>
      <c r="R57" s="198"/>
      <c r="S57" s="198"/>
      <c r="T57" s="198"/>
      <c r="U57" s="198"/>
    </row>
    <row r="58" spans="1:21" s="12" customFormat="1" x14ac:dyDescent="0.25">
      <c r="A58" s="217" t="s">
        <v>1827</v>
      </c>
      <c r="B58" s="64">
        <v>8.33</v>
      </c>
      <c r="C58" s="64">
        <v>3.46</v>
      </c>
      <c r="D58" s="64">
        <v>12.26</v>
      </c>
      <c r="E58" s="64">
        <v>4.46</v>
      </c>
      <c r="F58" s="64">
        <v>7.98</v>
      </c>
      <c r="G58" s="64">
        <v>33.83</v>
      </c>
      <c r="H58" s="64">
        <v>8.8800000000000008</v>
      </c>
      <c r="I58" s="64">
        <v>4.5599999999999996</v>
      </c>
      <c r="J58" s="64">
        <v>1.22</v>
      </c>
      <c r="K58" s="64">
        <v>339.38</v>
      </c>
      <c r="L58" s="64">
        <v>33.81</v>
      </c>
      <c r="M58" s="64">
        <v>61.52</v>
      </c>
      <c r="N58" s="64">
        <v>783.9</v>
      </c>
      <c r="O58" s="64">
        <v>0</v>
      </c>
      <c r="P58" s="64">
        <v>0.49</v>
      </c>
      <c r="Q58" s="64">
        <v>9.08</v>
      </c>
      <c r="R58" s="198"/>
      <c r="S58" s="198"/>
      <c r="T58" s="198"/>
      <c r="U58" s="198"/>
    </row>
    <row r="59" spans="1:21" s="12" customFormat="1" x14ac:dyDescent="0.25">
      <c r="A59" s="217" t="s">
        <v>1828</v>
      </c>
      <c r="B59" s="64">
        <v>8.32</v>
      </c>
      <c r="C59" s="64">
        <v>3.33</v>
      </c>
      <c r="D59" s="64">
        <v>12.18</v>
      </c>
      <c r="E59" s="64">
        <v>3.97</v>
      </c>
      <c r="F59" s="64">
        <v>4.6500000000000004</v>
      </c>
      <c r="G59" s="64">
        <v>35.950000000000003</v>
      </c>
      <c r="H59" s="64">
        <v>8.41</v>
      </c>
      <c r="I59" s="64">
        <v>4.16</v>
      </c>
      <c r="J59" s="64">
        <v>1.6</v>
      </c>
      <c r="K59" s="64">
        <v>334.47</v>
      </c>
      <c r="L59" s="64">
        <v>34</v>
      </c>
      <c r="M59" s="64">
        <v>61.82</v>
      </c>
      <c r="N59" s="64">
        <v>739.4</v>
      </c>
      <c r="O59" s="64">
        <v>0</v>
      </c>
      <c r="P59" s="64">
        <v>0.5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7" t="s">
        <v>1829</v>
      </c>
      <c r="B60" s="64">
        <v>8.31</v>
      </c>
      <c r="C60" s="64">
        <v>3.24</v>
      </c>
      <c r="D60" s="64">
        <v>12.13</v>
      </c>
      <c r="E60" s="64">
        <v>4.1900000000000004</v>
      </c>
      <c r="F60" s="64">
        <v>4.16</v>
      </c>
      <c r="G60" s="64">
        <v>39.14</v>
      </c>
      <c r="H60" s="64">
        <v>7.73</v>
      </c>
      <c r="I60" s="64">
        <v>3.9</v>
      </c>
      <c r="J60" s="64">
        <v>2</v>
      </c>
      <c r="K60" s="64">
        <v>336.78</v>
      </c>
      <c r="L60" s="64">
        <v>31.8</v>
      </c>
      <c r="M60" s="64">
        <v>71.349999999999994</v>
      </c>
      <c r="N60" s="64">
        <v>237.9</v>
      </c>
      <c r="O60" s="64">
        <v>0</v>
      </c>
      <c r="P60" s="64">
        <v>0.51</v>
      </c>
      <c r="Q60" s="64">
        <v>9.3699999999999992</v>
      </c>
      <c r="R60" s="198"/>
      <c r="S60" s="198"/>
      <c r="T60" s="198"/>
      <c r="U60" s="198"/>
    </row>
    <row r="61" spans="1:21" s="12" customFormat="1" x14ac:dyDescent="0.25">
      <c r="A61" s="217" t="s">
        <v>1830</v>
      </c>
      <c r="B61" s="64">
        <v>8.32</v>
      </c>
      <c r="C61" s="64">
        <v>3.24</v>
      </c>
      <c r="D61" s="64">
        <v>12.14</v>
      </c>
      <c r="E61" s="64">
        <v>3.88</v>
      </c>
      <c r="F61" s="64">
        <v>4.1399999999999997</v>
      </c>
      <c r="G61" s="64">
        <v>39.14</v>
      </c>
      <c r="H61" s="64">
        <v>7.73</v>
      </c>
      <c r="I61" s="64">
        <v>4.09</v>
      </c>
      <c r="J61" s="64">
        <v>1.73</v>
      </c>
      <c r="K61" s="64">
        <v>329.5</v>
      </c>
      <c r="L61" s="64">
        <v>29.13</v>
      </c>
      <c r="M61" s="64">
        <v>85.43</v>
      </c>
      <c r="N61" s="64">
        <v>159.19999999999999</v>
      </c>
      <c r="O61" s="64">
        <v>0.2</v>
      </c>
      <c r="P61" s="64">
        <v>0.5</v>
      </c>
      <c r="Q61" s="64">
        <v>9.4700000000000006</v>
      </c>
      <c r="R61" s="198"/>
      <c r="S61" s="198"/>
      <c r="T61" s="198"/>
      <c r="U61" s="198"/>
    </row>
    <row r="62" spans="1:21" s="12" customFormat="1" x14ac:dyDescent="0.25">
      <c r="A62" s="217" t="s">
        <v>1831</v>
      </c>
      <c r="B62" s="64">
        <v>8.33</v>
      </c>
      <c r="C62" s="64">
        <v>3.28</v>
      </c>
      <c r="D62" s="64">
        <v>12.17</v>
      </c>
      <c r="E62" s="64">
        <v>3.99</v>
      </c>
      <c r="F62" s="64">
        <v>5.03</v>
      </c>
      <c r="G62" s="64">
        <v>39.14</v>
      </c>
      <c r="H62" s="64">
        <v>7.73</v>
      </c>
      <c r="I62" s="64">
        <v>4.1900000000000004</v>
      </c>
      <c r="J62" s="64">
        <v>1.39</v>
      </c>
      <c r="K62" s="64">
        <v>337.32</v>
      </c>
      <c r="L62" s="64">
        <v>27.57</v>
      </c>
      <c r="M62" s="64">
        <v>89.79</v>
      </c>
      <c r="N62" s="64">
        <v>125.1</v>
      </c>
      <c r="O62" s="64">
        <v>0</v>
      </c>
      <c r="P62" s="64">
        <v>0.52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7" t="s">
        <v>1832</v>
      </c>
      <c r="B63" s="64">
        <v>8.34</v>
      </c>
      <c r="C63" s="64">
        <v>3.31</v>
      </c>
      <c r="D63" s="64">
        <v>12.19</v>
      </c>
      <c r="E63" s="64">
        <v>4.7300000000000004</v>
      </c>
      <c r="F63" s="64">
        <v>4.71</v>
      </c>
      <c r="G63" s="64">
        <v>47.44</v>
      </c>
      <c r="H63" s="64">
        <v>13.08</v>
      </c>
      <c r="I63" s="64">
        <v>4.07</v>
      </c>
      <c r="J63" s="64">
        <v>1.93</v>
      </c>
      <c r="K63" s="64">
        <v>112.7</v>
      </c>
      <c r="L63" s="64">
        <v>25.65</v>
      </c>
      <c r="M63" s="64">
        <v>97.32</v>
      </c>
      <c r="N63" s="64">
        <v>105.1</v>
      </c>
      <c r="O63" s="64">
        <v>5</v>
      </c>
      <c r="P63" s="64">
        <v>0.56000000000000005</v>
      </c>
      <c r="Q63" s="64">
        <v>9.5</v>
      </c>
      <c r="R63" s="198"/>
      <c r="S63" s="198"/>
      <c r="T63" s="198"/>
      <c r="U63" s="198"/>
    </row>
    <row r="64" spans="1:21" s="12" customFormat="1" x14ac:dyDescent="0.25">
      <c r="A64" s="217" t="s">
        <v>1833</v>
      </c>
      <c r="B64" s="64">
        <v>8.31</v>
      </c>
      <c r="C64" s="64">
        <v>3.25</v>
      </c>
      <c r="D64" s="64">
        <v>12.14</v>
      </c>
      <c r="E64" s="64">
        <v>4.3099999999999996</v>
      </c>
      <c r="F64" s="64">
        <v>7.73</v>
      </c>
      <c r="G64" s="64">
        <v>59.33</v>
      </c>
      <c r="H64" s="64">
        <v>21.1</v>
      </c>
      <c r="I64" s="64">
        <v>3.91</v>
      </c>
      <c r="J64" s="64">
        <v>1.26</v>
      </c>
      <c r="K64" s="64">
        <v>139.93</v>
      </c>
      <c r="L64" s="64">
        <v>23.52</v>
      </c>
      <c r="M64" s="64">
        <v>99.05</v>
      </c>
      <c r="N64" s="64">
        <v>124.4</v>
      </c>
      <c r="O64" s="64">
        <v>4.2</v>
      </c>
      <c r="P64" s="64">
        <v>0.55000000000000004</v>
      </c>
      <c r="Q64" s="64">
        <v>9.5299999999999994</v>
      </c>
      <c r="R64" s="198"/>
      <c r="S64" s="198"/>
      <c r="T64" s="198"/>
      <c r="U64" s="198"/>
    </row>
    <row r="65" spans="1:21" s="12" customFormat="1" x14ac:dyDescent="0.25">
      <c r="A65" s="217" t="s">
        <v>1834</v>
      </c>
      <c r="B65" s="64">
        <v>8.2799999999999994</v>
      </c>
      <c r="C65" s="64">
        <v>3.27</v>
      </c>
      <c r="D65" s="64">
        <v>12.13</v>
      </c>
      <c r="E65" s="64">
        <v>4.21</v>
      </c>
      <c r="F65" s="64">
        <v>3.68</v>
      </c>
      <c r="G65" s="64">
        <v>59.33</v>
      </c>
      <c r="H65" s="64">
        <v>21.1</v>
      </c>
      <c r="I65" s="64">
        <v>4.42</v>
      </c>
      <c r="J65" s="64">
        <v>0.24</v>
      </c>
      <c r="K65" s="64">
        <v>1.06</v>
      </c>
      <c r="L65" s="64">
        <v>23.75</v>
      </c>
      <c r="M65" s="64">
        <v>99.05</v>
      </c>
      <c r="N65" s="64">
        <v>138</v>
      </c>
      <c r="O65" s="64">
        <v>0.2</v>
      </c>
      <c r="P65" s="64">
        <v>0.52</v>
      </c>
      <c r="Q65" s="64">
        <v>9.5399999999999991</v>
      </c>
      <c r="R65" s="198"/>
      <c r="S65" s="198"/>
      <c r="T65" s="198"/>
      <c r="U65" s="198"/>
    </row>
    <row r="66" spans="1:21" s="12" customFormat="1" x14ac:dyDescent="0.25">
      <c r="A66" s="217" t="s">
        <v>1835</v>
      </c>
      <c r="B66" s="64">
        <v>8.3000000000000007</v>
      </c>
      <c r="C66" s="64">
        <v>3.27</v>
      </c>
      <c r="D66" s="64">
        <v>12.14</v>
      </c>
      <c r="E66" s="64">
        <v>3.9</v>
      </c>
      <c r="F66" s="64">
        <v>3.87</v>
      </c>
      <c r="G66" s="64">
        <v>59.33</v>
      </c>
      <c r="H66" s="64">
        <v>21.1</v>
      </c>
      <c r="I66" s="64">
        <v>5.01</v>
      </c>
      <c r="J66" s="64">
        <v>0.87</v>
      </c>
      <c r="K66" s="64">
        <v>336.51</v>
      </c>
      <c r="L66" s="64">
        <v>23.56</v>
      </c>
      <c r="M66" s="64">
        <v>99.05</v>
      </c>
      <c r="N66" s="64">
        <v>139.19999999999999</v>
      </c>
      <c r="O66" s="64">
        <v>0</v>
      </c>
      <c r="P66" s="64">
        <v>0.53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7" t="s">
        <v>1836</v>
      </c>
      <c r="B67" s="64">
        <v>8.33</v>
      </c>
      <c r="C67" s="64">
        <v>3.33</v>
      </c>
      <c r="D67" s="64">
        <v>12.2</v>
      </c>
      <c r="E67" s="64">
        <v>4.29</v>
      </c>
      <c r="F67" s="64">
        <v>3.69</v>
      </c>
      <c r="G67" s="64">
        <v>49.75</v>
      </c>
      <c r="H67" s="64">
        <v>19.559999999999999</v>
      </c>
      <c r="I67" s="64">
        <v>5.04</v>
      </c>
      <c r="J67" s="64">
        <v>0.14000000000000001</v>
      </c>
      <c r="K67" s="64">
        <v>63.93</v>
      </c>
      <c r="L67" s="64">
        <v>23.16</v>
      </c>
      <c r="M67" s="64">
        <v>99.04</v>
      </c>
      <c r="N67" s="64">
        <v>266.10000000000002</v>
      </c>
      <c r="O67" s="64">
        <v>0</v>
      </c>
      <c r="P67" s="64">
        <v>0.53</v>
      </c>
      <c r="Q67" s="64">
        <v>9.5399999999999991</v>
      </c>
      <c r="R67" s="198"/>
      <c r="S67" s="198"/>
      <c r="T67" s="198"/>
      <c r="U67" s="198"/>
    </row>
    <row r="68" spans="1:21" s="12" customFormat="1" x14ac:dyDescent="0.25">
      <c r="A68" s="217" t="s">
        <v>1837</v>
      </c>
      <c r="B68" s="64">
        <v>8.33</v>
      </c>
      <c r="C68" s="64">
        <v>3.29</v>
      </c>
      <c r="D68" s="64">
        <v>12.17</v>
      </c>
      <c r="E68" s="64">
        <v>4.58</v>
      </c>
      <c r="F68" s="64">
        <v>3.86</v>
      </c>
      <c r="G68" s="64">
        <v>36.020000000000003</v>
      </c>
      <c r="H68" s="64">
        <v>17.36</v>
      </c>
      <c r="I68" s="64">
        <v>4.96</v>
      </c>
      <c r="J68" s="64">
        <v>1.26</v>
      </c>
      <c r="K68" s="64">
        <v>114.83</v>
      </c>
      <c r="L68" s="64">
        <v>23.04</v>
      </c>
      <c r="M68" s="64">
        <v>99.06</v>
      </c>
      <c r="N68" s="64">
        <v>175.9</v>
      </c>
      <c r="O68" s="64">
        <v>0</v>
      </c>
      <c r="P68" s="64">
        <v>0.53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7" t="s">
        <v>1838</v>
      </c>
      <c r="B69" s="64">
        <v>8.35</v>
      </c>
      <c r="C69" s="64">
        <v>3.27</v>
      </c>
      <c r="D69" s="64">
        <v>12.18</v>
      </c>
      <c r="E69" s="64">
        <v>4.4400000000000004</v>
      </c>
      <c r="F69" s="64">
        <v>3.54</v>
      </c>
      <c r="G69" s="64">
        <v>36.020000000000003</v>
      </c>
      <c r="H69" s="64">
        <v>17.36</v>
      </c>
      <c r="I69" s="64">
        <v>4.9400000000000004</v>
      </c>
      <c r="J69" s="64">
        <v>0.91</v>
      </c>
      <c r="K69" s="64">
        <v>111.19</v>
      </c>
      <c r="L69" s="64">
        <v>23.18</v>
      </c>
      <c r="M69" s="64">
        <v>99.08</v>
      </c>
      <c r="N69" s="64">
        <v>213</v>
      </c>
      <c r="O69" s="64">
        <v>0.2</v>
      </c>
      <c r="P69" s="64">
        <v>0.52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7" t="s">
        <v>1839</v>
      </c>
      <c r="B70" s="64">
        <v>8.33</v>
      </c>
      <c r="C70" s="64">
        <v>3.26</v>
      </c>
      <c r="D70" s="64">
        <v>12.16</v>
      </c>
      <c r="E70" s="64">
        <v>4.6399999999999997</v>
      </c>
      <c r="F70" s="64">
        <v>3.6</v>
      </c>
      <c r="G70" s="64">
        <v>36.020000000000003</v>
      </c>
      <c r="H70" s="64">
        <v>17.36</v>
      </c>
      <c r="I70" s="64">
        <v>4.99</v>
      </c>
      <c r="J70" s="64">
        <v>1.19</v>
      </c>
      <c r="K70" s="64">
        <v>142.74</v>
      </c>
      <c r="L70" s="64">
        <v>23.64</v>
      </c>
      <c r="M70" s="64">
        <v>99.08</v>
      </c>
      <c r="N70" s="64">
        <v>228.2</v>
      </c>
      <c r="O70" s="64">
        <v>0</v>
      </c>
      <c r="P70" s="64">
        <v>0.5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7" t="s">
        <v>1840</v>
      </c>
      <c r="B71" s="64">
        <v>8.15</v>
      </c>
      <c r="C71" s="64">
        <v>3.09</v>
      </c>
      <c r="D71" s="64">
        <v>11.92</v>
      </c>
      <c r="E71" s="64">
        <v>4.08</v>
      </c>
      <c r="F71" s="64">
        <v>3.56</v>
      </c>
      <c r="G71" s="64">
        <v>29.54</v>
      </c>
      <c r="H71" s="64">
        <v>15.22</v>
      </c>
      <c r="I71" s="64">
        <v>5.1100000000000003</v>
      </c>
      <c r="J71" s="64">
        <v>7.0000000000000007E-2</v>
      </c>
      <c r="K71" s="64">
        <v>352.5</v>
      </c>
      <c r="L71" s="64">
        <v>23.75</v>
      </c>
      <c r="M71" s="64">
        <v>99.08</v>
      </c>
      <c r="N71" s="64">
        <v>211.3</v>
      </c>
      <c r="O71" s="64">
        <v>0</v>
      </c>
      <c r="P71" s="64">
        <v>0.5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7" t="s">
        <v>1841</v>
      </c>
      <c r="B72" s="64">
        <v>8.0500000000000007</v>
      </c>
      <c r="C72" s="64">
        <v>3.09</v>
      </c>
      <c r="D72" s="64">
        <v>11.84</v>
      </c>
      <c r="E72" s="64">
        <v>3.76</v>
      </c>
      <c r="F72" s="64">
        <v>4.1500000000000004</v>
      </c>
      <c r="G72" s="64">
        <v>19.809999999999999</v>
      </c>
      <c r="H72" s="64">
        <v>12.16</v>
      </c>
      <c r="I72" s="64">
        <v>5.14</v>
      </c>
      <c r="J72" s="64">
        <v>0.27</v>
      </c>
      <c r="K72" s="64">
        <v>340.24</v>
      </c>
      <c r="L72" s="64">
        <v>24.19</v>
      </c>
      <c r="M72" s="64">
        <v>99.07</v>
      </c>
      <c r="N72" s="64">
        <v>220</v>
      </c>
      <c r="O72" s="64">
        <v>0</v>
      </c>
      <c r="P72" s="64">
        <v>0.5</v>
      </c>
      <c r="Q72" s="64">
        <v>9.5500000000000007</v>
      </c>
      <c r="R72" s="198"/>
      <c r="S72" s="198"/>
      <c r="T72" s="198"/>
      <c r="U72" s="198"/>
    </row>
    <row r="73" spans="1:21" s="12" customFormat="1" x14ac:dyDescent="0.25">
      <c r="A73" s="217" t="s">
        <v>1842</v>
      </c>
      <c r="B73" s="64">
        <v>8.0299999999999994</v>
      </c>
      <c r="C73" s="64">
        <v>3.16</v>
      </c>
      <c r="D73" s="64">
        <v>11.87</v>
      </c>
      <c r="E73" s="64">
        <v>4.6900000000000004</v>
      </c>
      <c r="F73" s="64">
        <v>4.24</v>
      </c>
      <c r="G73" s="64">
        <v>19.809999999999999</v>
      </c>
      <c r="H73" s="64">
        <v>12.16</v>
      </c>
      <c r="I73" s="64">
        <v>4.99</v>
      </c>
      <c r="J73" s="64">
        <v>0.43</v>
      </c>
      <c r="K73" s="64">
        <v>274.18</v>
      </c>
      <c r="L73" s="64">
        <v>24.36</v>
      </c>
      <c r="M73" s="64">
        <v>99.05</v>
      </c>
      <c r="N73" s="64">
        <v>215.2</v>
      </c>
      <c r="O73" s="64">
        <v>0</v>
      </c>
      <c r="P73" s="64">
        <v>0.5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7" t="s">
        <v>1843</v>
      </c>
      <c r="B74" s="64">
        <v>8.01</v>
      </c>
      <c r="C74" s="64">
        <v>3.16</v>
      </c>
      <c r="D74" s="64">
        <v>11.85</v>
      </c>
      <c r="E74" s="64">
        <v>4.97</v>
      </c>
      <c r="F74" s="64">
        <v>4.12</v>
      </c>
      <c r="G74" s="64">
        <v>19.809999999999999</v>
      </c>
      <c r="H74" s="64">
        <v>12.16</v>
      </c>
      <c r="I74" s="64">
        <v>4.88</v>
      </c>
      <c r="J74" s="64">
        <v>0.26</v>
      </c>
      <c r="K74" s="64">
        <v>339.71</v>
      </c>
      <c r="L74" s="64">
        <v>25.03</v>
      </c>
      <c r="M74" s="64">
        <v>99.03</v>
      </c>
      <c r="N74" s="64">
        <v>205.7</v>
      </c>
      <c r="O74" s="64">
        <v>0</v>
      </c>
      <c r="P74" s="64">
        <v>0.49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7" t="s">
        <v>1844</v>
      </c>
      <c r="B75" s="64">
        <v>7.97</v>
      </c>
      <c r="C75" s="64">
        <v>3.07</v>
      </c>
      <c r="D75" s="64">
        <v>11.77</v>
      </c>
      <c r="E75" s="64">
        <v>4.6100000000000003</v>
      </c>
      <c r="F75" s="64">
        <v>2.57</v>
      </c>
      <c r="G75" s="64">
        <v>18.03</v>
      </c>
      <c r="H75" s="64">
        <v>10.77</v>
      </c>
      <c r="I75" s="64">
        <v>4.75</v>
      </c>
      <c r="J75" s="64">
        <v>0.14000000000000001</v>
      </c>
      <c r="K75" s="64">
        <v>290.62</v>
      </c>
      <c r="L75" s="64">
        <v>25.01</v>
      </c>
      <c r="M75" s="64">
        <v>99.02</v>
      </c>
      <c r="N75" s="64">
        <v>209.5</v>
      </c>
      <c r="O75" s="64">
        <v>0</v>
      </c>
      <c r="P75" s="64">
        <v>0.46</v>
      </c>
      <c r="Q75" s="64">
        <v>9.0399999999999991</v>
      </c>
      <c r="R75" s="198"/>
      <c r="S75" s="198"/>
      <c r="T75" s="198"/>
      <c r="U75" s="198"/>
    </row>
    <row r="76" spans="1:21" s="12" customFormat="1" x14ac:dyDescent="0.25">
      <c r="A76" s="217" t="s">
        <v>1845</v>
      </c>
      <c r="B76" s="64">
        <v>8.0500000000000007</v>
      </c>
      <c r="C76" s="64">
        <v>3.21</v>
      </c>
      <c r="D76" s="64">
        <v>11.91</v>
      </c>
      <c r="E76" s="64">
        <v>4.46</v>
      </c>
      <c r="F76" s="64">
        <v>4.05</v>
      </c>
      <c r="G76" s="64">
        <v>15.35</v>
      </c>
      <c r="H76" s="64">
        <v>8.68</v>
      </c>
      <c r="I76" s="64">
        <v>4.46</v>
      </c>
      <c r="J76" s="64">
        <v>0.38</v>
      </c>
      <c r="K76" s="64">
        <v>340.52</v>
      </c>
      <c r="L76" s="64">
        <v>24.91</v>
      </c>
      <c r="M76" s="64">
        <v>98.98</v>
      </c>
      <c r="N76" s="64">
        <v>184.3</v>
      </c>
      <c r="O76" s="64">
        <v>0</v>
      </c>
      <c r="P76" s="64">
        <v>0.44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17" t="s">
        <v>1846</v>
      </c>
      <c r="B77" s="64">
        <v>8.07</v>
      </c>
      <c r="C77" s="64">
        <v>3.15</v>
      </c>
      <c r="D77" s="64">
        <v>11.9</v>
      </c>
      <c r="E77" s="64">
        <v>4.0199999999999996</v>
      </c>
      <c r="F77" s="64">
        <v>3.88</v>
      </c>
      <c r="G77" s="64">
        <v>15.35</v>
      </c>
      <c r="H77" s="64">
        <v>8.68</v>
      </c>
      <c r="I77" s="64">
        <v>4.08</v>
      </c>
      <c r="J77" s="64">
        <v>0.25</v>
      </c>
      <c r="K77" s="64">
        <v>336.97</v>
      </c>
      <c r="L77" s="64">
        <v>25.01</v>
      </c>
      <c r="M77" s="64">
        <v>98.98</v>
      </c>
      <c r="N77" s="64">
        <v>155.30000000000001</v>
      </c>
      <c r="O77" s="64">
        <v>0</v>
      </c>
      <c r="P77" s="64">
        <v>0.44</v>
      </c>
      <c r="Q77" s="64">
        <v>9.49</v>
      </c>
      <c r="R77" s="198"/>
      <c r="S77" s="198"/>
      <c r="T77" s="198"/>
      <c r="U77" s="198"/>
    </row>
    <row r="78" spans="1:21" s="12" customFormat="1" x14ac:dyDescent="0.25">
      <c r="A78" s="217" t="s">
        <v>1847</v>
      </c>
      <c r="B78" s="64">
        <v>8.1</v>
      </c>
      <c r="C78" s="64">
        <v>3.21</v>
      </c>
      <c r="D78" s="64">
        <v>11.95</v>
      </c>
      <c r="E78" s="64">
        <v>3.92</v>
      </c>
      <c r="F78" s="64">
        <v>3.59</v>
      </c>
      <c r="G78" s="64">
        <v>15.35</v>
      </c>
      <c r="H78" s="64">
        <v>8.68</v>
      </c>
      <c r="I78" s="64">
        <v>3.89</v>
      </c>
      <c r="J78" s="64">
        <v>0.17</v>
      </c>
      <c r="K78" s="64">
        <v>266.07</v>
      </c>
      <c r="L78" s="64">
        <v>24.92</v>
      </c>
      <c r="M78" s="64">
        <v>99</v>
      </c>
      <c r="N78" s="64">
        <v>155.9</v>
      </c>
      <c r="O78" s="64">
        <v>0</v>
      </c>
      <c r="P78" s="64">
        <v>0.43</v>
      </c>
      <c r="Q78" s="64">
        <v>9.57</v>
      </c>
      <c r="R78" s="198"/>
      <c r="S78" s="198"/>
      <c r="T78" s="198"/>
      <c r="U78" s="198"/>
    </row>
    <row r="79" spans="1:21" s="12" customFormat="1" x14ac:dyDescent="0.25">
      <c r="A79" s="217" t="s">
        <v>1848</v>
      </c>
      <c r="B79" s="64">
        <v>8.08</v>
      </c>
      <c r="C79" s="64">
        <v>3.07</v>
      </c>
      <c r="D79" s="64">
        <v>11.86</v>
      </c>
      <c r="E79" s="64">
        <v>4.0999999999999996</v>
      </c>
      <c r="F79" s="64">
        <v>3.44</v>
      </c>
      <c r="G79" s="64">
        <v>16.89</v>
      </c>
      <c r="H79" s="64">
        <v>9.7200000000000006</v>
      </c>
      <c r="I79" s="64">
        <v>3.85</v>
      </c>
      <c r="J79" s="64">
        <v>0.03</v>
      </c>
      <c r="K79" s="64">
        <v>322.2</v>
      </c>
      <c r="L79" s="64">
        <v>24.74</v>
      </c>
      <c r="M79" s="64">
        <v>99</v>
      </c>
      <c r="N79" s="64">
        <v>151.4</v>
      </c>
      <c r="O79" s="64">
        <v>0</v>
      </c>
      <c r="P79" s="64">
        <v>0.42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7" t="s">
        <v>1849</v>
      </c>
      <c r="B80" s="64">
        <v>8.09</v>
      </c>
      <c r="C80" s="64">
        <v>3.08</v>
      </c>
      <c r="D80" s="64">
        <v>11.87</v>
      </c>
      <c r="E80" s="64">
        <v>3.83</v>
      </c>
      <c r="F80" s="64">
        <v>3.29</v>
      </c>
      <c r="G80" s="64">
        <v>19.21</v>
      </c>
      <c r="H80" s="64">
        <v>11.2</v>
      </c>
      <c r="I80" s="64">
        <v>3.88</v>
      </c>
      <c r="J80" s="64">
        <v>0.25</v>
      </c>
      <c r="K80" s="64">
        <v>309.14</v>
      </c>
      <c r="L80" s="64">
        <v>24.68</v>
      </c>
      <c r="M80" s="64">
        <v>99.01</v>
      </c>
      <c r="N80" s="64">
        <v>117.1</v>
      </c>
      <c r="O80" s="64">
        <v>0</v>
      </c>
      <c r="P80" s="64">
        <v>0.41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7" t="s">
        <v>1850</v>
      </c>
      <c r="B81" s="64">
        <v>8.07</v>
      </c>
      <c r="C81" s="64">
        <v>3.1</v>
      </c>
      <c r="D81" s="64">
        <v>11.87</v>
      </c>
      <c r="E81" s="64">
        <v>4.0199999999999996</v>
      </c>
      <c r="F81" s="64">
        <v>3.55</v>
      </c>
      <c r="G81" s="64">
        <v>19.21</v>
      </c>
      <c r="H81" s="64">
        <v>11.2</v>
      </c>
      <c r="I81" s="64">
        <v>4</v>
      </c>
      <c r="J81" s="64">
        <v>0.05</v>
      </c>
      <c r="K81" s="64">
        <v>298.66000000000003</v>
      </c>
      <c r="L81" s="64">
        <v>24.58</v>
      </c>
      <c r="M81" s="64">
        <v>99.02</v>
      </c>
      <c r="N81" s="64">
        <v>96.8</v>
      </c>
      <c r="O81" s="64">
        <v>0</v>
      </c>
      <c r="P81" s="64">
        <v>0.41</v>
      </c>
      <c r="Q81" s="64">
        <v>9.69</v>
      </c>
      <c r="R81" s="198"/>
      <c r="S81" s="198"/>
      <c r="T81" s="198"/>
      <c r="U81" s="198"/>
    </row>
    <row r="82" spans="1:26" s="12" customFormat="1" x14ac:dyDescent="0.25">
      <c r="A82" s="217" t="s">
        <v>1851</v>
      </c>
      <c r="B82" s="64">
        <v>8.07</v>
      </c>
      <c r="C82" s="64">
        <v>3.11</v>
      </c>
      <c r="D82" s="64">
        <v>11.87</v>
      </c>
      <c r="E82" s="64">
        <v>3.97</v>
      </c>
      <c r="F82" s="64">
        <v>3.69</v>
      </c>
      <c r="G82" s="64">
        <v>19.21</v>
      </c>
      <c r="H82" s="64">
        <v>11.2</v>
      </c>
      <c r="I82" s="64">
        <v>4.1100000000000003</v>
      </c>
      <c r="J82" s="64">
        <v>0.37</v>
      </c>
      <c r="K82" s="64">
        <v>349.13</v>
      </c>
      <c r="L82" s="64">
        <v>24.52</v>
      </c>
      <c r="M82" s="64">
        <v>99.03</v>
      </c>
      <c r="N82" s="64">
        <v>87.7</v>
      </c>
      <c r="O82" s="64">
        <v>0</v>
      </c>
      <c r="P82" s="64">
        <v>0.41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17" t="s">
        <v>1852</v>
      </c>
      <c r="B83" s="64">
        <v>8.0500000000000007</v>
      </c>
      <c r="C83" s="64">
        <v>3.13</v>
      </c>
      <c r="D83" s="64">
        <v>11.87</v>
      </c>
      <c r="E83" s="64">
        <v>3.93</v>
      </c>
      <c r="F83" s="64">
        <v>3.56</v>
      </c>
      <c r="G83" s="64">
        <v>20.079999999999998</v>
      </c>
      <c r="H83" s="64">
        <v>11.38</v>
      </c>
      <c r="I83" s="64">
        <v>4.17</v>
      </c>
      <c r="J83" s="64">
        <v>0.37</v>
      </c>
      <c r="K83" s="64">
        <v>354.19</v>
      </c>
      <c r="L83" s="64">
        <v>24.35</v>
      </c>
      <c r="M83" s="64">
        <v>99.01</v>
      </c>
      <c r="N83" s="64">
        <v>79.2</v>
      </c>
      <c r="O83" s="64">
        <v>0</v>
      </c>
      <c r="P83" s="64">
        <v>0.41</v>
      </c>
      <c r="Q83" s="64">
        <v>9.68</v>
      </c>
      <c r="R83" s="198"/>
      <c r="S83" s="198"/>
      <c r="T83" s="198"/>
      <c r="U83" s="198"/>
    </row>
    <row r="84" spans="1:26" s="12" customFormat="1" x14ac:dyDescent="0.25">
      <c r="A84" s="217" t="s">
        <v>1853</v>
      </c>
      <c r="B84" s="64">
        <v>8.0399999999999991</v>
      </c>
      <c r="C84" s="64">
        <v>3.03</v>
      </c>
      <c r="D84" s="64">
        <v>11.8</v>
      </c>
      <c r="E84" s="64">
        <v>3.72</v>
      </c>
      <c r="F84" s="64">
        <v>3.62</v>
      </c>
      <c r="G84" s="64">
        <v>21.34</v>
      </c>
      <c r="H84" s="64">
        <v>11.65</v>
      </c>
      <c r="I84" s="64">
        <v>4.1500000000000004</v>
      </c>
      <c r="J84" s="64">
        <v>0.14000000000000001</v>
      </c>
      <c r="K84" s="64">
        <v>299.43</v>
      </c>
      <c r="L84" s="64">
        <v>24.29</v>
      </c>
      <c r="M84" s="64">
        <v>99.01</v>
      </c>
      <c r="N84" s="64">
        <v>78</v>
      </c>
      <c r="O84" s="64">
        <v>0</v>
      </c>
      <c r="P84" s="64">
        <v>0.43</v>
      </c>
      <c r="Q84" s="64">
        <v>9.7200000000000006</v>
      </c>
      <c r="R84" s="198"/>
      <c r="S84" s="198"/>
      <c r="T84" s="198"/>
      <c r="U84" s="198"/>
    </row>
    <row r="85" spans="1:26" s="12" customFormat="1" x14ac:dyDescent="0.25">
      <c r="A85" s="217" t="s">
        <v>1854</v>
      </c>
      <c r="B85" s="64">
        <v>8.06</v>
      </c>
      <c r="C85" s="64">
        <v>3.03</v>
      </c>
      <c r="D85" s="64">
        <v>11.82</v>
      </c>
      <c r="E85" s="64">
        <v>4.16</v>
      </c>
      <c r="F85" s="64">
        <v>3.65</v>
      </c>
      <c r="G85" s="64">
        <v>21.34</v>
      </c>
      <c r="H85" s="64">
        <v>11.65</v>
      </c>
      <c r="I85" s="64">
        <v>4.1100000000000003</v>
      </c>
      <c r="J85" s="64">
        <v>0.56000000000000005</v>
      </c>
      <c r="K85" s="64">
        <v>1.81</v>
      </c>
      <c r="L85" s="64">
        <v>24.23</v>
      </c>
      <c r="M85" s="64">
        <v>99.01</v>
      </c>
      <c r="N85" s="64">
        <v>77.8</v>
      </c>
      <c r="O85" s="64">
        <v>0</v>
      </c>
      <c r="P85" s="64">
        <v>0.41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7" t="s">
        <v>1855</v>
      </c>
      <c r="B86" s="64">
        <v>8.0500000000000007</v>
      </c>
      <c r="C86" s="64">
        <v>3.08</v>
      </c>
      <c r="D86" s="64">
        <v>11.84</v>
      </c>
      <c r="E86" s="64">
        <v>4.38</v>
      </c>
      <c r="F86" s="64">
        <v>3.77</v>
      </c>
      <c r="G86" s="64">
        <v>21.34</v>
      </c>
      <c r="H86" s="64">
        <v>11.65</v>
      </c>
      <c r="I86" s="64">
        <v>4.03</v>
      </c>
      <c r="J86" s="64">
        <v>0.46</v>
      </c>
      <c r="K86" s="64">
        <v>7.22</v>
      </c>
      <c r="L86" s="64">
        <v>24.02</v>
      </c>
      <c r="M86" s="64">
        <v>99.02</v>
      </c>
      <c r="N86" s="64">
        <v>77.5</v>
      </c>
      <c r="O86" s="64">
        <v>0</v>
      </c>
      <c r="P86" s="64">
        <v>0.44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7" t="s">
        <v>1856</v>
      </c>
      <c r="B87" s="64">
        <v>8.0500000000000007</v>
      </c>
      <c r="C87" s="64">
        <v>3.04</v>
      </c>
      <c r="D87" s="64">
        <v>11.82</v>
      </c>
      <c r="E87" s="64">
        <v>4.1900000000000004</v>
      </c>
      <c r="F87" s="64">
        <v>3.74</v>
      </c>
      <c r="G87" s="64">
        <v>21.76</v>
      </c>
      <c r="H87" s="64">
        <v>10.4</v>
      </c>
      <c r="I87" s="64">
        <v>3.93</v>
      </c>
      <c r="J87" s="64">
        <v>0.52</v>
      </c>
      <c r="K87" s="64">
        <v>7.09</v>
      </c>
      <c r="L87" s="64">
        <v>23.94</v>
      </c>
      <c r="M87" s="64">
        <v>99.02</v>
      </c>
      <c r="N87" s="64">
        <v>77.400000000000006</v>
      </c>
      <c r="O87" s="64">
        <v>0</v>
      </c>
      <c r="P87" s="64">
        <v>0.45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7" t="s">
        <v>1857</v>
      </c>
      <c r="B88" s="64">
        <v>8.0500000000000007</v>
      </c>
      <c r="C88" s="64">
        <v>3.08</v>
      </c>
      <c r="D88" s="64">
        <v>11.84</v>
      </c>
      <c r="E88" s="64">
        <v>4.7300000000000004</v>
      </c>
      <c r="F88" s="64">
        <v>4.07</v>
      </c>
      <c r="G88" s="64">
        <v>22.4</v>
      </c>
      <c r="H88" s="64">
        <v>8.61</v>
      </c>
      <c r="I88" s="64">
        <v>3.75</v>
      </c>
      <c r="J88" s="64">
        <v>0.4</v>
      </c>
      <c r="K88" s="64">
        <v>352.09</v>
      </c>
      <c r="L88" s="64">
        <v>23.84</v>
      </c>
      <c r="M88" s="64">
        <v>99.03</v>
      </c>
      <c r="N88" s="64">
        <v>77.3</v>
      </c>
      <c r="O88" s="64">
        <v>0</v>
      </c>
      <c r="P88" s="64">
        <v>0.46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7" t="s">
        <v>1858</v>
      </c>
      <c r="B89" s="64">
        <v>8.0399999999999991</v>
      </c>
      <c r="C89" s="64">
        <v>3.05</v>
      </c>
      <c r="D89" s="64">
        <v>11.81</v>
      </c>
      <c r="E89" s="64">
        <v>5.08</v>
      </c>
      <c r="F89" s="64">
        <v>3.23</v>
      </c>
      <c r="G89" s="64">
        <v>22.4</v>
      </c>
      <c r="H89" s="64">
        <v>8.61</v>
      </c>
      <c r="I89" s="64">
        <v>3.58</v>
      </c>
      <c r="J89" s="64">
        <v>0.37</v>
      </c>
      <c r="K89" s="64">
        <v>356.75</v>
      </c>
      <c r="L89" s="64">
        <v>23.87</v>
      </c>
      <c r="M89" s="64">
        <v>99.03</v>
      </c>
      <c r="N89" s="64">
        <v>77.400000000000006</v>
      </c>
      <c r="O89" s="64">
        <v>0</v>
      </c>
      <c r="P89" s="64">
        <v>0.46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7" t="s">
        <v>1859</v>
      </c>
      <c r="B90" s="64">
        <v>8.0399999999999991</v>
      </c>
      <c r="C90" s="64">
        <v>3.02</v>
      </c>
      <c r="D90" s="64">
        <v>11.8</v>
      </c>
      <c r="E90" s="64">
        <v>5.21</v>
      </c>
      <c r="F90" s="64">
        <v>4.1399999999999997</v>
      </c>
      <c r="G90" s="64">
        <v>22.4</v>
      </c>
      <c r="H90" s="64">
        <v>8.61</v>
      </c>
      <c r="I90" s="64">
        <v>3.46</v>
      </c>
      <c r="J90" s="64">
        <v>0.22</v>
      </c>
      <c r="K90" s="64">
        <v>15.85</v>
      </c>
      <c r="L90" s="64">
        <v>23.92</v>
      </c>
      <c r="M90" s="64">
        <v>99.03</v>
      </c>
      <c r="N90" s="64">
        <v>77.400000000000006</v>
      </c>
      <c r="O90" s="64">
        <v>0</v>
      </c>
      <c r="P90" s="64">
        <v>0.47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7" t="s">
        <v>1860</v>
      </c>
      <c r="B91" s="64">
        <v>8.0500000000000007</v>
      </c>
      <c r="C91" s="64">
        <v>3.04</v>
      </c>
      <c r="D91" s="64">
        <v>11.82</v>
      </c>
      <c r="E91" s="64">
        <v>5.48</v>
      </c>
      <c r="F91" s="64">
        <v>3.32</v>
      </c>
      <c r="G91" s="64">
        <v>22.41</v>
      </c>
      <c r="H91" s="64">
        <v>7.56</v>
      </c>
      <c r="I91" s="64">
        <v>3.39</v>
      </c>
      <c r="J91" s="64">
        <v>0.46</v>
      </c>
      <c r="K91" s="64">
        <v>347.61</v>
      </c>
      <c r="L91" s="64">
        <v>23.92</v>
      </c>
      <c r="M91" s="64">
        <v>99.03</v>
      </c>
      <c r="N91" s="64">
        <v>77.599999999999994</v>
      </c>
      <c r="O91" s="64">
        <v>0</v>
      </c>
      <c r="P91" s="64">
        <v>0.46</v>
      </c>
      <c r="Q91" s="64">
        <v>9.5299999999999994</v>
      </c>
      <c r="R91" s="198"/>
      <c r="S91" s="198"/>
      <c r="T91" s="198"/>
      <c r="U91" s="198"/>
    </row>
    <row r="92" spans="1:26" s="12" customFormat="1" x14ac:dyDescent="0.25">
      <c r="A92" s="217" t="s">
        <v>1861</v>
      </c>
      <c r="B92" s="64">
        <v>8.08</v>
      </c>
      <c r="C92" s="64">
        <v>3.18</v>
      </c>
      <c r="D92" s="64">
        <v>11.92</v>
      </c>
      <c r="E92" s="64">
        <v>5.09</v>
      </c>
      <c r="F92" s="64">
        <v>3.6</v>
      </c>
      <c r="G92" s="64">
        <v>22.43</v>
      </c>
      <c r="H92" s="64">
        <v>6.04</v>
      </c>
      <c r="I92" s="64">
        <v>3.41</v>
      </c>
      <c r="J92" s="64">
        <v>0.24</v>
      </c>
      <c r="K92" s="64">
        <v>356.12</v>
      </c>
      <c r="L92" s="64">
        <v>23.94</v>
      </c>
      <c r="M92" s="64">
        <v>99.03</v>
      </c>
      <c r="N92" s="64">
        <v>77.5</v>
      </c>
      <c r="O92" s="64">
        <v>0</v>
      </c>
      <c r="P92" s="64">
        <v>0.47</v>
      </c>
      <c r="Q92" s="64">
        <v>9.5500000000000007</v>
      </c>
      <c r="R92" s="198"/>
      <c r="S92" s="198"/>
      <c r="T92" s="198"/>
      <c r="U92" s="198"/>
    </row>
    <row r="93" spans="1:26" s="12" customFormat="1" x14ac:dyDescent="0.25">
      <c r="A93" s="217" t="s">
        <v>1862</v>
      </c>
      <c r="B93" s="64">
        <v>8.08</v>
      </c>
      <c r="C93" s="64">
        <v>3.18</v>
      </c>
      <c r="D93" s="64">
        <v>11.92</v>
      </c>
      <c r="E93" s="64">
        <v>5.07</v>
      </c>
      <c r="F93" s="64">
        <v>3.16</v>
      </c>
      <c r="G93" s="64">
        <v>22.43</v>
      </c>
      <c r="H93" s="64">
        <v>6.04</v>
      </c>
      <c r="I93" s="64">
        <v>3.4</v>
      </c>
      <c r="J93" s="64">
        <v>0.17</v>
      </c>
      <c r="K93" s="64">
        <v>349</v>
      </c>
      <c r="L93" s="64">
        <v>23.9</v>
      </c>
      <c r="M93" s="64">
        <v>99.03</v>
      </c>
      <c r="N93" s="64">
        <v>77.7</v>
      </c>
      <c r="O93" s="64">
        <v>0</v>
      </c>
      <c r="P93" s="64">
        <v>0.47</v>
      </c>
      <c r="Q93" s="64">
        <v>9.51</v>
      </c>
      <c r="R93" s="198"/>
      <c r="S93" s="198"/>
      <c r="T93" s="198"/>
      <c r="U93" s="198"/>
    </row>
    <row r="94" spans="1:26" s="12" customFormat="1" x14ac:dyDescent="0.25">
      <c r="A94" s="217" t="s">
        <v>1863</v>
      </c>
      <c r="B94" s="64">
        <v>8.08</v>
      </c>
      <c r="C94" s="64">
        <v>3.13</v>
      </c>
      <c r="D94" s="64">
        <v>11.89</v>
      </c>
      <c r="E94" s="64">
        <v>4.93</v>
      </c>
      <c r="F94" s="64">
        <v>3.32</v>
      </c>
      <c r="G94" s="64">
        <v>22.43</v>
      </c>
      <c r="H94" s="64">
        <v>6.04</v>
      </c>
      <c r="I94" s="64">
        <v>3.41</v>
      </c>
      <c r="J94" s="64">
        <v>0.1</v>
      </c>
      <c r="K94" s="64">
        <v>311.04000000000002</v>
      </c>
      <c r="L94" s="64">
        <v>23.92</v>
      </c>
      <c r="M94" s="64">
        <v>99.03</v>
      </c>
      <c r="N94" s="64">
        <v>77.7</v>
      </c>
      <c r="O94" s="64">
        <v>0</v>
      </c>
      <c r="P94" s="64">
        <v>0.47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7" t="s">
        <v>1864</v>
      </c>
      <c r="B95" s="64">
        <v>8.07</v>
      </c>
      <c r="C95" s="64">
        <v>3.07</v>
      </c>
      <c r="D95" s="64">
        <v>11.85</v>
      </c>
      <c r="E95" s="64">
        <v>5.04</v>
      </c>
      <c r="F95" s="64">
        <v>3.21</v>
      </c>
      <c r="G95" s="64">
        <v>21.07</v>
      </c>
      <c r="H95" s="64">
        <v>5.65</v>
      </c>
      <c r="I95" s="64">
        <v>3.48</v>
      </c>
      <c r="J95" s="64">
        <v>7.0000000000000007E-2</v>
      </c>
      <c r="K95" s="64">
        <v>103.29</v>
      </c>
      <c r="L95" s="64">
        <v>23.86</v>
      </c>
      <c r="M95" s="64">
        <v>99.03</v>
      </c>
      <c r="N95" s="64">
        <v>77.7</v>
      </c>
      <c r="O95" s="64">
        <v>0</v>
      </c>
      <c r="P95" s="64">
        <v>0.46</v>
      </c>
      <c r="Q95" s="64">
        <v>9.48</v>
      </c>
      <c r="R95" s="198"/>
      <c r="S95" s="198"/>
      <c r="T95" s="198"/>
      <c r="U95" s="198"/>
    </row>
    <row r="96" spans="1:26" s="12" customFormat="1" x14ac:dyDescent="0.25">
      <c r="A96" s="217" t="s">
        <v>1865</v>
      </c>
      <c r="B96" s="64">
        <v>8.09</v>
      </c>
      <c r="C96" s="64">
        <v>3.06</v>
      </c>
      <c r="D96" s="64">
        <v>11.86</v>
      </c>
      <c r="E96" s="64">
        <v>5.24</v>
      </c>
      <c r="F96" s="64">
        <v>3.19</v>
      </c>
      <c r="G96" s="64">
        <v>19.13</v>
      </c>
      <c r="H96" s="64">
        <v>5.08</v>
      </c>
      <c r="I96" s="64">
        <v>3.55</v>
      </c>
      <c r="J96" s="64">
        <v>0.46</v>
      </c>
      <c r="K96" s="64">
        <v>189.19</v>
      </c>
      <c r="L96" s="64">
        <v>23.82</v>
      </c>
      <c r="M96" s="64">
        <v>99.02</v>
      </c>
      <c r="N96" s="64">
        <v>77.8</v>
      </c>
      <c r="O96" s="64">
        <v>0</v>
      </c>
      <c r="P96" s="64">
        <v>0.46</v>
      </c>
      <c r="Q96" s="64">
        <v>9.5299999999999994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1866</v>
      </c>
      <c r="B97" s="64">
        <v>8.08</v>
      </c>
      <c r="C97" s="64">
        <v>3.02</v>
      </c>
      <c r="D97" s="64">
        <v>11.84</v>
      </c>
      <c r="E97" s="64">
        <v>4.76</v>
      </c>
      <c r="F97" s="64">
        <v>3.43</v>
      </c>
      <c r="G97" s="64">
        <v>19.13</v>
      </c>
      <c r="H97" s="64">
        <v>5.08</v>
      </c>
      <c r="I97" s="64">
        <v>3.69</v>
      </c>
      <c r="J97" s="64">
        <v>0.39</v>
      </c>
      <c r="K97" s="64">
        <v>155.74</v>
      </c>
      <c r="L97" s="64">
        <v>23.78</v>
      </c>
      <c r="M97" s="64">
        <v>99.02</v>
      </c>
      <c r="N97" s="64">
        <v>77.8</v>
      </c>
      <c r="O97" s="64">
        <v>0</v>
      </c>
      <c r="P97" s="64">
        <v>0.46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7" t="s">
        <v>1867</v>
      </c>
      <c r="B98" s="64">
        <v>8.09</v>
      </c>
      <c r="C98" s="64">
        <v>3.04</v>
      </c>
      <c r="D98" s="64">
        <v>11.85</v>
      </c>
      <c r="E98" s="64">
        <v>5.08</v>
      </c>
      <c r="F98" s="64">
        <v>3.62</v>
      </c>
      <c r="G98" s="64">
        <v>19.13</v>
      </c>
      <c r="H98" s="64">
        <v>5.08</v>
      </c>
      <c r="I98" s="64">
        <v>3.89</v>
      </c>
      <c r="J98" s="64">
        <v>0.19</v>
      </c>
      <c r="K98" s="64">
        <v>197.75</v>
      </c>
      <c r="L98" s="64">
        <v>23.71</v>
      </c>
      <c r="M98" s="64">
        <v>99.03</v>
      </c>
      <c r="N98" s="64">
        <v>77.7</v>
      </c>
      <c r="O98" s="64">
        <v>0</v>
      </c>
      <c r="P98" s="64">
        <v>0.45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17" t="s">
        <v>1868</v>
      </c>
      <c r="B99" s="64">
        <v>8.11</v>
      </c>
      <c r="C99" s="64">
        <v>3.14</v>
      </c>
      <c r="D99" s="64">
        <v>11.92</v>
      </c>
      <c r="E99" s="64">
        <v>5.44</v>
      </c>
      <c r="F99" s="64">
        <v>3.31</v>
      </c>
      <c r="G99" s="64">
        <v>18.010000000000002</v>
      </c>
      <c r="H99" s="64">
        <v>4.63</v>
      </c>
      <c r="I99" s="64">
        <v>4.08</v>
      </c>
      <c r="J99" s="64">
        <v>0.37</v>
      </c>
      <c r="K99" s="64">
        <v>345.05</v>
      </c>
      <c r="L99" s="64">
        <v>23.7</v>
      </c>
      <c r="M99" s="64">
        <v>99.02</v>
      </c>
      <c r="N99" s="64">
        <v>77.7</v>
      </c>
      <c r="O99" s="64">
        <v>0</v>
      </c>
      <c r="P99" s="64">
        <v>0.44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7" t="s">
        <v>1869</v>
      </c>
      <c r="B100" s="64">
        <v>8.09</v>
      </c>
      <c r="C100" s="64">
        <v>3.15</v>
      </c>
      <c r="D100" s="64">
        <v>11.9</v>
      </c>
      <c r="E100" s="64">
        <v>5.55</v>
      </c>
      <c r="F100" s="64">
        <v>3.25</v>
      </c>
      <c r="G100" s="64">
        <v>16.39</v>
      </c>
      <c r="H100" s="64">
        <v>3.97</v>
      </c>
      <c r="I100" s="64">
        <v>4.29</v>
      </c>
      <c r="J100" s="64">
        <v>0.12</v>
      </c>
      <c r="K100" s="64">
        <v>106.82</v>
      </c>
      <c r="L100" s="64">
        <v>23.7</v>
      </c>
      <c r="M100" s="64">
        <v>99.02</v>
      </c>
      <c r="N100" s="64">
        <v>77.7</v>
      </c>
      <c r="O100" s="64">
        <v>0</v>
      </c>
      <c r="P100" s="64">
        <v>0.44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1870</v>
      </c>
      <c r="B101" s="64">
        <v>8.07</v>
      </c>
      <c r="C101" s="64">
        <v>3.08</v>
      </c>
      <c r="D101" s="64">
        <v>11.85</v>
      </c>
      <c r="E101" s="64">
        <v>5.21</v>
      </c>
      <c r="F101" s="64">
        <v>3.6</v>
      </c>
      <c r="G101" s="64">
        <v>16.39</v>
      </c>
      <c r="H101" s="64">
        <v>3.97</v>
      </c>
      <c r="I101" s="64">
        <v>4.4000000000000004</v>
      </c>
      <c r="J101" s="64">
        <v>0.39</v>
      </c>
      <c r="K101" s="64">
        <v>18.600000000000001</v>
      </c>
      <c r="L101" s="64">
        <v>23.71</v>
      </c>
      <c r="M101" s="64">
        <v>99.03</v>
      </c>
      <c r="N101" s="64">
        <v>77.8</v>
      </c>
      <c r="O101" s="64">
        <v>0</v>
      </c>
      <c r="P101" s="64">
        <v>0.43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7" t="s">
        <v>1871</v>
      </c>
      <c r="B102" s="64">
        <v>8.06</v>
      </c>
      <c r="C102" s="64">
        <v>3.08</v>
      </c>
      <c r="D102" s="64">
        <v>11.85</v>
      </c>
      <c r="E102" s="64">
        <v>5.28</v>
      </c>
      <c r="F102" s="64">
        <v>3.66</v>
      </c>
      <c r="G102" s="64">
        <v>16.39</v>
      </c>
      <c r="H102" s="64">
        <v>3.97</v>
      </c>
      <c r="I102" s="64">
        <v>4.28</v>
      </c>
      <c r="J102" s="64">
        <v>0.52</v>
      </c>
      <c r="K102" s="64">
        <v>10.44</v>
      </c>
      <c r="L102" s="64">
        <v>23.63</v>
      </c>
      <c r="M102" s="64">
        <v>99.02</v>
      </c>
      <c r="N102" s="64">
        <v>78.3</v>
      </c>
      <c r="O102" s="64">
        <v>0</v>
      </c>
      <c r="P102" s="64">
        <v>0.42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17" t="s">
        <v>1872</v>
      </c>
      <c r="B103" s="64">
        <v>8.08</v>
      </c>
      <c r="C103" s="64">
        <v>3.14</v>
      </c>
      <c r="D103" s="64">
        <v>11.89</v>
      </c>
      <c r="E103" s="64">
        <v>5.24</v>
      </c>
      <c r="F103" s="64">
        <v>3.27</v>
      </c>
      <c r="G103" s="64">
        <v>14.6</v>
      </c>
      <c r="H103" s="64">
        <v>3.5</v>
      </c>
      <c r="I103" s="64">
        <v>4.26</v>
      </c>
      <c r="J103" s="64">
        <v>0.08</v>
      </c>
      <c r="K103" s="64">
        <v>325.3</v>
      </c>
      <c r="L103" s="64">
        <v>23.49</v>
      </c>
      <c r="M103" s="64">
        <v>99.01</v>
      </c>
      <c r="N103" s="64">
        <v>78.3</v>
      </c>
      <c r="O103" s="64">
        <v>0</v>
      </c>
      <c r="P103" s="64">
        <v>0.41</v>
      </c>
      <c r="Q103" s="64">
        <v>9.48</v>
      </c>
      <c r="R103" s="198"/>
      <c r="S103" s="198"/>
      <c r="T103" s="198"/>
      <c r="U103" s="198"/>
    </row>
    <row r="104" spans="1:33" s="12" customFormat="1" x14ac:dyDescent="0.25">
      <c r="A104" s="217" t="s">
        <v>1873</v>
      </c>
      <c r="B104" s="64">
        <v>8.08</v>
      </c>
      <c r="C104" s="64">
        <v>3.15</v>
      </c>
      <c r="D104" s="64">
        <v>11.9</v>
      </c>
      <c r="E104" s="64">
        <v>4.2699999999999996</v>
      </c>
      <c r="F104" s="64">
        <v>4.05</v>
      </c>
      <c r="G104" s="64">
        <v>12.03</v>
      </c>
      <c r="H104" s="64">
        <v>2.83</v>
      </c>
      <c r="I104" s="64">
        <v>4.17</v>
      </c>
      <c r="J104" s="64">
        <v>0.28000000000000003</v>
      </c>
      <c r="K104" s="64">
        <v>17.48</v>
      </c>
      <c r="L104" s="64">
        <v>23.41</v>
      </c>
      <c r="M104" s="64">
        <v>99.03</v>
      </c>
      <c r="N104" s="64">
        <v>78.099999999999994</v>
      </c>
      <c r="O104" s="64">
        <v>0</v>
      </c>
      <c r="P104" s="64">
        <v>0.4</v>
      </c>
      <c r="Q104" s="64">
        <v>9.4700000000000006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7.97</v>
      </c>
      <c r="C106" s="67">
        <f>MIN(C9:C104)</f>
        <v>3.02</v>
      </c>
      <c r="D106" s="67">
        <f t="shared" ref="D106:Q106" si="0">MIN(D9:D104)</f>
        <v>11.77</v>
      </c>
      <c r="E106" s="67">
        <f t="shared" si="0"/>
        <v>3.2</v>
      </c>
      <c r="F106" s="67">
        <f t="shared" si="0"/>
        <v>2.4500000000000002</v>
      </c>
      <c r="G106" s="67">
        <f t="shared" si="0"/>
        <v>11.76</v>
      </c>
      <c r="H106" s="67">
        <f t="shared" si="0"/>
        <v>2.83</v>
      </c>
      <c r="I106" s="67">
        <f t="shared" si="0"/>
        <v>3.39</v>
      </c>
      <c r="J106" s="67">
        <f t="shared" si="0"/>
        <v>0.03</v>
      </c>
      <c r="K106" s="67">
        <f t="shared" si="0"/>
        <v>1.06</v>
      </c>
      <c r="L106" s="67">
        <f t="shared" si="0"/>
        <v>23.04</v>
      </c>
      <c r="M106" s="67">
        <f t="shared" si="0"/>
        <v>61.52</v>
      </c>
      <c r="N106" s="67">
        <f t="shared" si="0"/>
        <v>77.3</v>
      </c>
      <c r="O106" s="67">
        <f t="shared" si="0"/>
        <v>0</v>
      </c>
      <c r="P106" s="67">
        <f t="shared" si="0"/>
        <v>0.35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8.5399999999999991</v>
      </c>
      <c r="C107" s="66">
        <f t="shared" ref="C107:Q107" si="1">MAX(C9:C104)</f>
        <v>3.57</v>
      </c>
      <c r="D107" s="66">
        <f t="shared" si="1"/>
        <v>12.48</v>
      </c>
      <c r="E107" s="66">
        <f t="shared" si="1"/>
        <v>5.55</v>
      </c>
      <c r="F107" s="66">
        <f t="shared" si="1"/>
        <v>9.48</v>
      </c>
      <c r="G107" s="66">
        <f t="shared" si="1"/>
        <v>59.33</v>
      </c>
      <c r="H107" s="66">
        <f t="shared" si="1"/>
        <v>21.1</v>
      </c>
      <c r="I107" s="66">
        <f t="shared" si="1"/>
        <v>7.18</v>
      </c>
      <c r="J107" s="66">
        <f t="shared" si="1"/>
        <v>2</v>
      </c>
      <c r="K107" s="66">
        <f t="shared" si="1"/>
        <v>356.75</v>
      </c>
      <c r="L107" s="66">
        <f t="shared" si="1"/>
        <v>34</v>
      </c>
      <c r="M107" s="66">
        <f t="shared" si="1"/>
        <v>99.08</v>
      </c>
      <c r="N107" s="66">
        <f t="shared" si="1"/>
        <v>1197</v>
      </c>
      <c r="O107" s="66">
        <f t="shared" si="1"/>
        <v>5</v>
      </c>
      <c r="P107" s="66">
        <f t="shared" si="1"/>
        <v>0.71</v>
      </c>
      <c r="Q107" s="66">
        <f t="shared" si="1"/>
        <v>9.83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8.2412500000000009</v>
      </c>
      <c r="C108" s="67">
        <f t="shared" ref="C108:Q108" si="2">AVERAGE(C9:C104)</f>
        <v>3.1989583333333331</v>
      </c>
      <c r="D108" s="67">
        <f t="shared" si="2"/>
        <v>12.055208333333333</v>
      </c>
      <c r="E108" s="67">
        <f t="shared" si="2"/>
        <v>4.4816666666666665</v>
      </c>
      <c r="F108" s="67">
        <f t="shared" si="2"/>
        <v>3.9203124999999996</v>
      </c>
      <c r="G108" s="67">
        <f t="shared" si="2"/>
        <v>23.029479166666672</v>
      </c>
      <c r="H108" s="67">
        <f t="shared" si="2"/>
        <v>7.9233333333333347</v>
      </c>
      <c r="I108" s="67">
        <f t="shared" si="2"/>
        <v>4.8561458333333327</v>
      </c>
      <c r="J108" s="67">
        <f t="shared" si="2"/>
        <v>0.4770833333333333</v>
      </c>
      <c r="K108" s="67">
        <f t="shared" si="2"/>
        <v>245.22770833333337</v>
      </c>
      <c r="L108" s="67">
        <f t="shared" si="2"/>
        <v>25.302708333333339</v>
      </c>
      <c r="M108" s="67">
        <f t="shared" si="2"/>
        <v>95.117083333333412</v>
      </c>
      <c r="N108" s="67">
        <f t="shared" si="2"/>
        <v>261.55104166666672</v>
      </c>
      <c r="O108" s="67">
        <f t="shared" si="2"/>
        <v>0.12291666666666666</v>
      </c>
      <c r="P108" s="67">
        <f t="shared" si="2"/>
        <v>0.46208333333333312</v>
      </c>
      <c r="Q108" s="67">
        <f t="shared" si="2"/>
        <v>9.5121875000000014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0.13702285633387853</v>
      </c>
      <c r="C109" s="67">
        <f t="shared" ref="C109:Q109" si="3">STDEV(C9:C104)</f>
        <v>0.10218125450360173</v>
      </c>
      <c r="D109" s="67">
        <f t="shared" si="3"/>
        <v>0.15587430271091524</v>
      </c>
      <c r="E109" s="67">
        <f t="shared" si="3"/>
        <v>0.52877348979385275</v>
      </c>
      <c r="F109" s="67">
        <f t="shared" si="3"/>
        <v>1.1601201871720936</v>
      </c>
      <c r="G109" s="67">
        <f t="shared" si="3"/>
        <v>10.052167859384644</v>
      </c>
      <c r="H109" s="67">
        <f t="shared" si="3"/>
        <v>4.2595998494216492</v>
      </c>
      <c r="I109" s="67">
        <f t="shared" si="3"/>
        <v>1.0775814730870026</v>
      </c>
      <c r="J109" s="67">
        <f t="shared" si="3"/>
        <v>0.41843547365637473</v>
      </c>
      <c r="K109" s="67">
        <f t="shared" si="3"/>
        <v>117.99583860172589</v>
      </c>
      <c r="L109" s="67">
        <f t="shared" si="3"/>
        <v>2.7556542748421982</v>
      </c>
      <c r="M109" s="67">
        <f t="shared" si="3"/>
        <v>10.035067662076429</v>
      </c>
      <c r="N109" s="67">
        <f t="shared" si="3"/>
        <v>306.83774007730131</v>
      </c>
      <c r="O109" s="67">
        <f t="shared" si="3"/>
        <v>0.67269750246642168</v>
      </c>
      <c r="P109" s="67">
        <f t="shared" si="3"/>
        <v>6.8654998156944494E-2</v>
      </c>
      <c r="Q109" s="67">
        <f t="shared" si="3"/>
        <v>0.18073069890396543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1874</v>
      </c>
      <c r="B9" s="64">
        <v>8.09</v>
      </c>
      <c r="C9" s="64">
        <v>3.18</v>
      </c>
      <c r="D9" s="64">
        <v>11.93</v>
      </c>
      <c r="E9" s="64">
        <v>4.1500000000000004</v>
      </c>
      <c r="F9" s="64">
        <v>3.56</v>
      </c>
      <c r="G9" s="64">
        <v>12.03</v>
      </c>
      <c r="H9" s="64">
        <v>2.83</v>
      </c>
      <c r="I9" s="64">
        <v>3.95</v>
      </c>
      <c r="J9" s="64">
        <v>0.27</v>
      </c>
      <c r="K9" s="64">
        <v>348.14</v>
      </c>
      <c r="L9" s="64">
        <v>23.35</v>
      </c>
      <c r="M9" s="64">
        <v>99.03</v>
      </c>
      <c r="N9" s="64">
        <v>78.2</v>
      </c>
      <c r="O9" s="64">
        <v>0</v>
      </c>
      <c r="P9" s="64">
        <v>0.39</v>
      </c>
      <c r="Q9" s="64">
        <v>9.4600000000000009</v>
      </c>
      <c r="R9" s="198"/>
      <c r="S9" s="198"/>
      <c r="T9" s="198"/>
      <c r="U9" s="198"/>
    </row>
    <row r="10" spans="1:21" s="12" customFormat="1" x14ac:dyDescent="0.25">
      <c r="A10" s="217" t="s">
        <v>1875</v>
      </c>
      <c r="B10" s="64">
        <v>8.07</v>
      </c>
      <c r="C10" s="64">
        <v>3.15</v>
      </c>
      <c r="D10" s="64">
        <v>11.9</v>
      </c>
      <c r="E10" s="64">
        <v>4.08</v>
      </c>
      <c r="F10" s="64">
        <v>4.12</v>
      </c>
      <c r="G10" s="64">
        <v>12.03</v>
      </c>
      <c r="H10" s="64">
        <v>2.83</v>
      </c>
      <c r="I10" s="64">
        <v>3.82</v>
      </c>
      <c r="J10" s="64">
        <v>0.39</v>
      </c>
      <c r="K10" s="64">
        <v>25.32</v>
      </c>
      <c r="L10" s="64">
        <v>23.34</v>
      </c>
      <c r="M10" s="64">
        <v>99.03</v>
      </c>
      <c r="N10" s="64">
        <v>78.099999999999994</v>
      </c>
      <c r="O10" s="64">
        <v>0</v>
      </c>
      <c r="P10" s="64">
        <v>0.39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7" t="s">
        <v>1876</v>
      </c>
      <c r="B11" s="64">
        <v>8.07</v>
      </c>
      <c r="C11" s="64">
        <v>3.15</v>
      </c>
      <c r="D11" s="64">
        <v>11.89</v>
      </c>
      <c r="E11" s="64">
        <v>4.21</v>
      </c>
      <c r="F11" s="64">
        <v>3.03</v>
      </c>
      <c r="G11" s="64">
        <v>12.41</v>
      </c>
      <c r="H11" s="64">
        <v>2.62</v>
      </c>
      <c r="I11" s="64">
        <v>3.66</v>
      </c>
      <c r="J11" s="64">
        <v>0.25</v>
      </c>
      <c r="K11" s="64">
        <v>16.12</v>
      </c>
      <c r="L11" s="64">
        <v>23.22</v>
      </c>
      <c r="M11" s="64">
        <v>99.03</v>
      </c>
      <c r="N11" s="64">
        <v>78.2</v>
      </c>
      <c r="O11" s="64">
        <v>0</v>
      </c>
      <c r="P11" s="64">
        <v>0.38</v>
      </c>
      <c r="Q11" s="64">
        <v>9.42</v>
      </c>
      <c r="R11" s="198"/>
      <c r="S11" s="198"/>
      <c r="T11" s="198"/>
      <c r="U11" s="198"/>
    </row>
    <row r="12" spans="1:21" s="12" customFormat="1" x14ac:dyDescent="0.25">
      <c r="A12" s="217" t="s">
        <v>1877</v>
      </c>
      <c r="B12" s="64">
        <v>8.07</v>
      </c>
      <c r="C12" s="64">
        <v>3.1</v>
      </c>
      <c r="D12" s="64">
        <v>11.86</v>
      </c>
      <c r="E12" s="64">
        <v>4.2</v>
      </c>
      <c r="F12" s="64">
        <v>3.93</v>
      </c>
      <c r="G12" s="64">
        <v>12.96</v>
      </c>
      <c r="H12" s="64">
        <v>2.33</v>
      </c>
      <c r="I12" s="64">
        <v>3.51</v>
      </c>
      <c r="J12" s="64">
        <v>0.28000000000000003</v>
      </c>
      <c r="K12" s="64">
        <v>171.91</v>
      </c>
      <c r="L12" s="64">
        <v>23.18</v>
      </c>
      <c r="M12" s="64">
        <v>99.03</v>
      </c>
      <c r="N12" s="64">
        <v>77.900000000000006</v>
      </c>
      <c r="O12" s="64">
        <v>0</v>
      </c>
      <c r="P12" s="64">
        <v>0.37</v>
      </c>
      <c r="Q12" s="64">
        <v>9.4</v>
      </c>
      <c r="R12" s="198"/>
      <c r="S12" s="198"/>
      <c r="T12" s="198"/>
      <c r="U12" s="198"/>
    </row>
    <row r="13" spans="1:21" s="12" customFormat="1" x14ac:dyDescent="0.25">
      <c r="A13" s="217" t="s">
        <v>1878</v>
      </c>
      <c r="B13" s="64">
        <v>8.0399999999999991</v>
      </c>
      <c r="C13" s="64">
        <v>3.08</v>
      </c>
      <c r="D13" s="64">
        <v>11.83</v>
      </c>
      <c r="E13" s="64">
        <v>4.37</v>
      </c>
      <c r="F13" s="64">
        <v>3.28</v>
      </c>
      <c r="G13" s="64">
        <v>12.96</v>
      </c>
      <c r="H13" s="64">
        <v>2.33</v>
      </c>
      <c r="I13" s="64">
        <v>3.38</v>
      </c>
      <c r="J13" s="64">
        <v>0.35</v>
      </c>
      <c r="K13" s="64">
        <v>4.9000000000000004</v>
      </c>
      <c r="L13" s="64">
        <v>23.16</v>
      </c>
      <c r="M13" s="64">
        <v>99.03</v>
      </c>
      <c r="N13" s="64">
        <v>78</v>
      </c>
      <c r="O13" s="64">
        <v>0</v>
      </c>
      <c r="P13" s="64">
        <v>0.35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7" t="s">
        <v>1879</v>
      </c>
      <c r="B14" s="64">
        <v>8.0299999999999994</v>
      </c>
      <c r="C14" s="64">
        <v>3.02</v>
      </c>
      <c r="D14" s="64">
        <v>11.79</v>
      </c>
      <c r="E14" s="64">
        <v>3.89</v>
      </c>
      <c r="F14" s="64">
        <v>3.71</v>
      </c>
      <c r="G14" s="64">
        <v>12.96</v>
      </c>
      <c r="H14" s="64">
        <v>2.33</v>
      </c>
      <c r="I14" s="64">
        <v>3.41</v>
      </c>
      <c r="J14" s="64">
        <v>0.52</v>
      </c>
      <c r="K14" s="64">
        <v>12.2</v>
      </c>
      <c r="L14" s="64">
        <v>23.26</v>
      </c>
      <c r="M14" s="64">
        <v>99.03</v>
      </c>
      <c r="N14" s="64">
        <v>77.8</v>
      </c>
      <c r="O14" s="64">
        <v>0</v>
      </c>
      <c r="P14" s="64">
        <v>0.35</v>
      </c>
      <c r="Q14" s="64">
        <v>9.39</v>
      </c>
      <c r="R14" s="198"/>
      <c r="S14" s="198"/>
      <c r="T14" s="198"/>
      <c r="U14" s="198"/>
    </row>
    <row r="15" spans="1:21" s="12" customFormat="1" x14ac:dyDescent="0.25">
      <c r="A15" s="217" t="s">
        <v>1880</v>
      </c>
      <c r="B15" s="64">
        <v>8.0500000000000007</v>
      </c>
      <c r="C15" s="64">
        <v>3.01</v>
      </c>
      <c r="D15" s="64">
        <v>11.8</v>
      </c>
      <c r="E15" s="64">
        <v>4.3099999999999996</v>
      </c>
      <c r="F15" s="64">
        <v>3.71</v>
      </c>
      <c r="G15" s="64">
        <v>12.46</v>
      </c>
      <c r="H15" s="64">
        <v>2.16</v>
      </c>
      <c r="I15" s="64">
        <v>3.27</v>
      </c>
      <c r="J15" s="64">
        <v>0.21</v>
      </c>
      <c r="K15" s="64">
        <v>13.6</v>
      </c>
      <c r="L15" s="64">
        <v>23.25</v>
      </c>
      <c r="M15" s="64">
        <v>99.03</v>
      </c>
      <c r="N15" s="64">
        <v>77.8</v>
      </c>
      <c r="O15" s="64">
        <v>0</v>
      </c>
      <c r="P15" s="64">
        <v>0.36</v>
      </c>
      <c r="Q15" s="64">
        <v>9.41</v>
      </c>
      <c r="R15" s="198"/>
      <c r="S15" s="198"/>
      <c r="T15" s="198"/>
      <c r="U15" s="198"/>
    </row>
    <row r="16" spans="1:21" s="12" customFormat="1" x14ac:dyDescent="0.25">
      <c r="A16" s="217" t="s">
        <v>1881</v>
      </c>
      <c r="B16" s="64">
        <v>8.07</v>
      </c>
      <c r="C16" s="64">
        <v>3.06</v>
      </c>
      <c r="D16" s="64">
        <v>11.84</v>
      </c>
      <c r="E16" s="64">
        <v>4.3899999999999997</v>
      </c>
      <c r="F16" s="64">
        <v>3.08</v>
      </c>
      <c r="G16" s="64">
        <v>11.71</v>
      </c>
      <c r="H16" s="64">
        <v>1.91</v>
      </c>
      <c r="I16" s="64">
        <v>3.18</v>
      </c>
      <c r="J16" s="64">
        <v>0.43</v>
      </c>
      <c r="K16" s="64">
        <v>349.62</v>
      </c>
      <c r="L16" s="64">
        <v>23.2</v>
      </c>
      <c r="M16" s="64">
        <v>99.03</v>
      </c>
      <c r="N16" s="64">
        <v>78</v>
      </c>
      <c r="O16" s="64">
        <v>0</v>
      </c>
      <c r="P16" s="64">
        <v>0.33</v>
      </c>
      <c r="Q16" s="64">
        <v>9.35</v>
      </c>
      <c r="R16" s="198"/>
      <c r="S16" s="198"/>
      <c r="T16" s="198"/>
      <c r="U16" s="198"/>
    </row>
    <row r="17" spans="1:21" s="12" customFormat="1" x14ac:dyDescent="0.25">
      <c r="A17" s="217" t="s">
        <v>1882</v>
      </c>
      <c r="B17" s="64">
        <v>8.08</v>
      </c>
      <c r="C17" s="64">
        <v>3.06</v>
      </c>
      <c r="D17" s="64">
        <v>11.85</v>
      </c>
      <c r="E17" s="64">
        <v>3.88</v>
      </c>
      <c r="F17" s="64">
        <v>3.41</v>
      </c>
      <c r="G17" s="64">
        <v>11.71</v>
      </c>
      <c r="H17" s="64">
        <v>1.91</v>
      </c>
      <c r="I17" s="64">
        <v>3.24</v>
      </c>
      <c r="J17" s="64">
        <v>0.32</v>
      </c>
      <c r="K17" s="64">
        <v>258.97000000000003</v>
      </c>
      <c r="L17" s="64">
        <v>23.23</v>
      </c>
      <c r="M17" s="64">
        <v>99.03</v>
      </c>
      <c r="N17" s="64">
        <v>78.2</v>
      </c>
      <c r="O17" s="64">
        <v>0</v>
      </c>
      <c r="P17" s="64">
        <v>0.33</v>
      </c>
      <c r="Q17" s="64">
        <v>9.35</v>
      </c>
      <c r="R17" s="198"/>
      <c r="S17" s="198"/>
      <c r="T17" s="198"/>
      <c r="U17" s="198"/>
    </row>
    <row r="18" spans="1:21" s="12" customFormat="1" x14ac:dyDescent="0.25">
      <c r="A18" s="217" t="s">
        <v>1883</v>
      </c>
      <c r="B18" s="64">
        <v>8.09</v>
      </c>
      <c r="C18" s="64">
        <v>3.02</v>
      </c>
      <c r="D18" s="64">
        <v>11.85</v>
      </c>
      <c r="E18" s="64">
        <v>4.0999999999999996</v>
      </c>
      <c r="F18" s="64">
        <v>3.32</v>
      </c>
      <c r="G18" s="64">
        <v>11.71</v>
      </c>
      <c r="H18" s="64">
        <v>1.91</v>
      </c>
      <c r="I18" s="64">
        <v>3.18</v>
      </c>
      <c r="J18" s="64">
        <v>0.28999999999999998</v>
      </c>
      <c r="K18" s="64">
        <v>315.2</v>
      </c>
      <c r="L18" s="64">
        <v>23.12</v>
      </c>
      <c r="M18" s="64">
        <v>99.03</v>
      </c>
      <c r="N18" s="64">
        <v>78.5</v>
      </c>
      <c r="O18" s="64">
        <v>0</v>
      </c>
      <c r="P18" s="64">
        <v>0.33</v>
      </c>
      <c r="Q18" s="64">
        <v>9.39</v>
      </c>
      <c r="R18" s="198"/>
      <c r="S18" s="198"/>
      <c r="T18" s="198"/>
      <c r="U18" s="198"/>
    </row>
    <row r="19" spans="1:21" s="12" customFormat="1" x14ac:dyDescent="0.25">
      <c r="A19" s="217" t="s">
        <v>1884</v>
      </c>
      <c r="B19" s="64">
        <v>8.1</v>
      </c>
      <c r="C19" s="64">
        <v>3.09</v>
      </c>
      <c r="D19" s="64">
        <v>11.88</v>
      </c>
      <c r="E19" s="64">
        <v>4.08</v>
      </c>
      <c r="F19" s="64">
        <v>3.37</v>
      </c>
      <c r="G19" s="64">
        <v>10.37</v>
      </c>
      <c r="H19" s="64">
        <v>1.9</v>
      </c>
      <c r="I19" s="64">
        <v>3.18</v>
      </c>
      <c r="J19" s="64">
        <v>0.47</v>
      </c>
      <c r="K19" s="64">
        <v>7.33</v>
      </c>
      <c r="L19" s="64">
        <v>23.16</v>
      </c>
      <c r="M19" s="64">
        <v>99.03</v>
      </c>
      <c r="N19" s="64">
        <v>78.3</v>
      </c>
      <c r="O19" s="64">
        <v>0</v>
      </c>
      <c r="P19" s="64">
        <v>0.33</v>
      </c>
      <c r="Q19" s="64">
        <v>9.3800000000000008</v>
      </c>
      <c r="R19" s="198"/>
      <c r="S19" s="198"/>
      <c r="T19" s="198"/>
      <c r="U19" s="198"/>
    </row>
    <row r="20" spans="1:21" s="12" customFormat="1" x14ac:dyDescent="0.25">
      <c r="A20" s="217" t="s">
        <v>1885</v>
      </c>
      <c r="B20" s="64">
        <v>8.1199999999999992</v>
      </c>
      <c r="C20" s="64">
        <v>3.09</v>
      </c>
      <c r="D20" s="64">
        <v>11.9</v>
      </c>
      <c r="E20" s="64">
        <v>4.18</v>
      </c>
      <c r="F20" s="64">
        <v>3.33</v>
      </c>
      <c r="G20" s="64">
        <v>8.4499999999999993</v>
      </c>
      <c r="H20" s="64">
        <v>1.88</v>
      </c>
      <c r="I20" s="64">
        <v>3.3</v>
      </c>
      <c r="J20" s="64">
        <v>0.32</v>
      </c>
      <c r="K20" s="64">
        <v>349.5</v>
      </c>
      <c r="L20" s="64">
        <v>23.1</v>
      </c>
      <c r="M20" s="64">
        <v>99.03</v>
      </c>
      <c r="N20" s="64">
        <v>78.5</v>
      </c>
      <c r="O20" s="64">
        <v>0</v>
      </c>
      <c r="P20" s="64">
        <v>0.32</v>
      </c>
      <c r="Q20" s="64">
        <v>9.39</v>
      </c>
      <c r="R20" s="198"/>
      <c r="S20" s="198"/>
      <c r="T20" s="198"/>
      <c r="U20" s="198"/>
    </row>
    <row r="21" spans="1:21" s="12" customFormat="1" x14ac:dyDescent="0.25">
      <c r="A21" s="217" t="s">
        <v>1886</v>
      </c>
      <c r="B21" s="64">
        <v>8.1199999999999992</v>
      </c>
      <c r="C21" s="64">
        <v>3.1</v>
      </c>
      <c r="D21" s="64">
        <v>11.91</v>
      </c>
      <c r="E21" s="64">
        <v>4.26</v>
      </c>
      <c r="F21" s="64">
        <v>3.66</v>
      </c>
      <c r="G21" s="64">
        <v>8.4499999999999993</v>
      </c>
      <c r="H21" s="64">
        <v>1.88</v>
      </c>
      <c r="I21" s="64">
        <v>3.46</v>
      </c>
      <c r="J21" s="64">
        <v>0.3</v>
      </c>
      <c r="K21" s="64">
        <v>324.14999999999998</v>
      </c>
      <c r="L21" s="64">
        <v>23.11</v>
      </c>
      <c r="M21" s="64">
        <v>99.03</v>
      </c>
      <c r="N21" s="64">
        <v>78.900000000000006</v>
      </c>
      <c r="O21" s="64">
        <v>0</v>
      </c>
      <c r="P21" s="64">
        <v>0.32</v>
      </c>
      <c r="Q21" s="64">
        <v>9.41</v>
      </c>
      <c r="R21" s="198"/>
      <c r="S21" s="198"/>
      <c r="T21" s="198"/>
      <c r="U21" s="198"/>
    </row>
    <row r="22" spans="1:21" s="12" customFormat="1" x14ac:dyDescent="0.25">
      <c r="A22" s="217" t="s">
        <v>1887</v>
      </c>
      <c r="B22" s="64">
        <v>8.08</v>
      </c>
      <c r="C22" s="64">
        <v>3.03</v>
      </c>
      <c r="D22" s="64">
        <v>11.84</v>
      </c>
      <c r="E22" s="64">
        <v>4.42</v>
      </c>
      <c r="F22" s="64">
        <v>3.67</v>
      </c>
      <c r="G22" s="64">
        <v>8.4499999999999993</v>
      </c>
      <c r="H22" s="64">
        <v>1.88</v>
      </c>
      <c r="I22" s="64">
        <v>3.63</v>
      </c>
      <c r="J22" s="64">
        <v>0.41</v>
      </c>
      <c r="K22" s="64">
        <v>311.56</v>
      </c>
      <c r="L22" s="64">
        <v>23.16</v>
      </c>
      <c r="M22" s="64">
        <v>99.03</v>
      </c>
      <c r="N22" s="64">
        <v>79.7</v>
      </c>
      <c r="O22" s="64">
        <v>0</v>
      </c>
      <c r="P22" s="64">
        <v>0.31</v>
      </c>
      <c r="Q22" s="64">
        <v>9.43</v>
      </c>
      <c r="R22" s="198"/>
      <c r="S22" s="198"/>
      <c r="T22" s="198"/>
      <c r="U22" s="198"/>
    </row>
    <row r="23" spans="1:21" s="12" customFormat="1" x14ac:dyDescent="0.25">
      <c r="A23" s="217" t="s">
        <v>1888</v>
      </c>
      <c r="B23" s="64">
        <v>8.08</v>
      </c>
      <c r="C23" s="64">
        <v>3.05</v>
      </c>
      <c r="D23" s="64">
        <v>11.85</v>
      </c>
      <c r="E23" s="64">
        <v>4.18</v>
      </c>
      <c r="F23" s="64">
        <v>3.75</v>
      </c>
      <c r="G23" s="64">
        <v>7.57</v>
      </c>
      <c r="H23" s="64">
        <v>1.77</v>
      </c>
      <c r="I23" s="64">
        <v>3.75</v>
      </c>
      <c r="J23" s="64">
        <v>0.19</v>
      </c>
      <c r="K23" s="64">
        <v>35.1</v>
      </c>
      <c r="L23" s="64">
        <v>23.11</v>
      </c>
      <c r="M23" s="64">
        <v>99.03</v>
      </c>
      <c r="N23" s="64">
        <v>82.1</v>
      </c>
      <c r="O23" s="64">
        <v>0</v>
      </c>
      <c r="P23" s="64">
        <v>0.32</v>
      </c>
      <c r="Q23" s="64">
        <v>9.43</v>
      </c>
      <c r="R23" s="198"/>
      <c r="S23" s="198"/>
      <c r="T23" s="198"/>
      <c r="U23" s="198"/>
    </row>
    <row r="24" spans="1:21" s="12" customFormat="1" x14ac:dyDescent="0.25">
      <c r="A24" s="217" t="s">
        <v>1889</v>
      </c>
      <c r="B24" s="64">
        <v>8.08</v>
      </c>
      <c r="C24" s="64">
        <v>3.08</v>
      </c>
      <c r="D24" s="64">
        <v>11.86</v>
      </c>
      <c r="E24" s="64">
        <v>3.22</v>
      </c>
      <c r="F24" s="64">
        <v>3.33</v>
      </c>
      <c r="G24" s="64">
        <v>6.26</v>
      </c>
      <c r="H24" s="64">
        <v>1.6</v>
      </c>
      <c r="I24" s="64">
        <v>3.79</v>
      </c>
      <c r="J24" s="64">
        <v>0.11</v>
      </c>
      <c r="K24" s="64">
        <v>334.3</v>
      </c>
      <c r="L24" s="64">
        <v>23.09</v>
      </c>
      <c r="M24" s="64">
        <v>99.03</v>
      </c>
      <c r="N24" s="64">
        <v>82.2</v>
      </c>
      <c r="O24" s="64">
        <v>0</v>
      </c>
      <c r="P24" s="64">
        <v>0.31</v>
      </c>
      <c r="Q24" s="64">
        <v>9.4</v>
      </c>
      <c r="R24" s="198"/>
      <c r="S24" s="198"/>
      <c r="T24" s="198"/>
      <c r="U24" s="198"/>
    </row>
    <row r="25" spans="1:21" s="12" customFormat="1" x14ac:dyDescent="0.25">
      <c r="A25" s="217" t="s">
        <v>1890</v>
      </c>
      <c r="B25" s="64">
        <v>8.06</v>
      </c>
      <c r="C25" s="64">
        <v>3.11</v>
      </c>
      <c r="D25" s="64">
        <v>11.87</v>
      </c>
      <c r="E25" s="64">
        <v>2.8</v>
      </c>
      <c r="F25" s="64">
        <v>4.0999999999999996</v>
      </c>
      <c r="G25" s="64">
        <v>6.26</v>
      </c>
      <c r="H25" s="64">
        <v>1.6</v>
      </c>
      <c r="I25" s="64">
        <v>3.76</v>
      </c>
      <c r="J25" s="64">
        <v>0.2</v>
      </c>
      <c r="K25" s="64">
        <v>278.41000000000003</v>
      </c>
      <c r="L25" s="64">
        <v>23.04</v>
      </c>
      <c r="M25" s="64">
        <v>99.03</v>
      </c>
      <c r="N25" s="64">
        <v>82.1</v>
      </c>
      <c r="O25" s="64">
        <v>0</v>
      </c>
      <c r="P25" s="64">
        <v>0.31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7" t="s">
        <v>1891</v>
      </c>
      <c r="B26" s="64">
        <v>8.07</v>
      </c>
      <c r="C26" s="64">
        <v>3.17</v>
      </c>
      <c r="D26" s="64">
        <v>11.9</v>
      </c>
      <c r="E26" s="64">
        <v>2.87</v>
      </c>
      <c r="F26" s="64">
        <v>3.79</v>
      </c>
      <c r="G26" s="64">
        <v>6.26</v>
      </c>
      <c r="H26" s="64">
        <v>1.6</v>
      </c>
      <c r="I26" s="64">
        <v>3.7</v>
      </c>
      <c r="J26" s="64">
        <v>0.49</v>
      </c>
      <c r="K26" s="64">
        <v>11.91</v>
      </c>
      <c r="L26" s="64">
        <v>23.05</v>
      </c>
      <c r="M26" s="64">
        <v>99.03</v>
      </c>
      <c r="N26" s="64">
        <v>82.1</v>
      </c>
      <c r="O26" s="64">
        <v>0</v>
      </c>
      <c r="P26" s="64">
        <v>0.31</v>
      </c>
      <c r="Q26" s="64">
        <v>9.4</v>
      </c>
      <c r="R26" s="198"/>
      <c r="S26" s="198"/>
      <c r="T26" s="198"/>
      <c r="U26" s="198"/>
    </row>
    <row r="27" spans="1:21" s="12" customFormat="1" x14ac:dyDescent="0.25">
      <c r="A27" s="217" t="s">
        <v>1892</v>
      </c>
      <c r="B27" s="64">
        <v>8.0399999999999991</v>
      </c>
      <c r="C27" s="64">
        <v>3.1</v>
      </c>
      <c r="D27" s="64">
        <v>11.84</v>
      </c>
      <c r="E27" s="64">
        <v>3.04</v>
      </c>
      <c r="F27" s="64">
        <v>3.44</v>
      </c>
      <c r="G27" s="64">
        <v>6.42</v>
      </c>
      <c r="H27" s="64">
        <v>1.56</v>
      </c>
      <c r="I27" s="64">
        <v>3.64</v>
      </c>
      <c r="J27" s="64">
        <v>0.24</v>
      </c>
      <c r="K27" s="64">
        <v>143.97</v>
      </c>
      <c r="L27" s="64">
        <v>23.06</v>
      </c>
      <c r="M27" s="64">
        <v>99.03</v>
      </c>
      <c r="N27" s="64">
        <v>82.5</v>
      </c>
      <c r="O27" s="64">
        <v>0</v>
      </c>
      <c r="P27" s="64">
        <v>0.31</v>
      </c>
      <c r="Q27" s="64">
        <v>9.34</v>
      </c>
      <c r="R27" s="198"/>
      <c r="S27" s="198"/>
      <c r="T27" s="198"/>
      <c r="U27" s="198"/>
    </row>
    <row r="28" spans="1:21" s="12" customFormat="1" x14ac:dyDescent="0.25">
      <c r="A28" s="217" t="s">
        <v>1893</v>
      </c>
      <c r="B28" s="64">
        <v>8.0299999999999994</v>
      </c>
      <c r="C28" s="64">
        <v>3.04</v>
      </c>
      <c r="D28" s="64">
        <v>11.8</v>
      </c>
      <c r="E28" s="64">
        <v>3.02</v>
      </c>
      <c r="F28" s="64">
        <v>3.63</v>
      </c>
      <c r="G28" s="64">
        <v>6.65</v>
      </c>
      <c r="H28" s="64">
        <v>1.5</v>
      </c>
      <c r="I28" s="64">
        <v>3.57</v>
      </c>
      <c r="J28" s="64">
        <v>0.27</v>
      </c>
      <c r="K28" s="64">
        <v>353.56</v>
      </c>
      <c r="L28" s="64">
        <v>23</v>
      </c>
      <c r="M28" s="64">
        <v>99.03</v>
      </c>
      <c r="N28" s="64">
        <v>83.3</v>
      </c>
      <c r="O28" s="64">
        <v>0</v>
      </c>
      <c r="P28" s="64">
        <v>0.31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7" t="s">
        <v>1894</v>
      </c>
      <c r="B29" s="64">
        <v>8.02</v>
      </c>
      <c r="C29" s="64">
        <v>3.03</v>
      </c>
      <c r="D29" s="64">
        <v>11.79</v>
      </c>
      <c r="E29" s="64">
        <v>3.59</v>
      </c>
      <c r="F29" s="64">
        <v>3.39</v>
      </c>
      <c r="G29" s="64">
        <v>6.65</v>
      </c>
      <c r="H29" s="64">
        <v>1.5</v>
      </c>
      <c r="I29" s="64">
        <v>3.7</v>
      </c>
      <c r="J29" s="64">
        <v>0.56999999999999995</v>
      </c>
      <c r="K29" s="64">
        <v>353.58</v>
      </c>
      <c r="L29" s="64">
        <v>23.07</v>
      </c>
      <c r="M29" s="64">
        <v>99.03</v>
      </c>
      <c r="N29" s="64">
        <v>84.1</v>
      </c>
      <c r="O29" s="64">
        <v>0</v>
      </c>
      <c r="P29" s="64">
        <v>0.3</v>
      </c>
      <c r="Q29" s="64">
        <v>9.33</v>
      </c>
      <c r="R29" s="198"/>
      <c r="S29" s="198"/>
      <c r="T29" s="198"/>
      <c r="U29" s="198"/>
    </row>
    <row r="30" spans="1:21" s="12" customFormat="1" x14ac:dyDescent="0.25">
      <c r="A30" s="217" t="s">
        <v>1895</v>
      </c>
      <c r="B30" s="64">
        <v>8.0500000000000007</v>
      </c>
      <c r="C30" s="64">
        <v>3.08</v>
      </c>
      <c r="D30" s="64">
        <v>11.84</v>
      </c>
      <c r="E30" s="64">
        <v>3.44</v>
      </c>
      <c r="F30" s="64">
        <v>3.24</v>
      </c>
      <c r="G30" s="64">
        <v>6.65</v>
      </c>
      <c r="H30" s="64">
        <v>1.5</v>
      </c>
      <c r="I30" s="64">
        <v>3.67</v>
      </c>
      <c r="J30" s="64">
        <v>0.12</v>
      </c>
      <c r="K30" s="64">
        <v>321.99</v>
      </c>
      <c r="L30" s="64">
        <v>23.03</v>
      </c>
      <c r="M30" s="64">
        <v>99.04</v>
      </c>
      <c r="N30" s="64">
        <v>85.9</v>
      </c>
      <c r="O30" s="64">
        <v>0</v>
      </c>
      <c r="P30" s="64">
        <v>0.28999999999999998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7" t="s">
        <v>1896</v>
      </c>
      <c r="B31" s="64">
        <v>8.0500000000000007</v>
      </c>
      <c r="C31" s="64">
        <v>3.09</v>
      </c>
      <c r="D31" s="64">
        <v>11.84</v>
      </c>
      <c r="E31" s="64">
        <v>3.33</v>
      </c>
      <c r="F31" s="64">
        <v>3.39</v>
      </c>
      <c r="G31" s="64">
        <v>8.3800000000000008</v>
      </c>
      <c r="H31" s="64">
        <v>1.86</v>
      </c>
      <c r="I31" s="64">
        <v>3.62</v>
      </c>
      <c r="J31" s="64">
        <v>0.09</v>
      </c>
      <c r="K31" s="64">
        <v>181.58</v>
      </c>
      <c r="L31" s="64">
        <v>22.99</v>
      </c>
      <c r="M31" s="64">
        <v>99.03</v>
      </c>
      <c r="N31" s="64">
        <v>86.7</v>
      </c>
      <c r="O31" s="64">
        <v>0</v>
      </c>
      <c r="P31" s="64">
        <v>0.28999999999999998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7" t="s">
        <v>1897</v>
      </c>
      <c r="B32" s="64">
        <v>8.08</v>
      </c>
      <c r="C32" s="64">
        <v>3.16</v>
      </c>
      <c r="D32" s="64">
        <v>11.9</v>
      </c>
      <c r="E32" s="64">
        <v>2.91</v>
      </c>
      <c r="F32" s="64">
        <v>3.64</v>
      </c>
      <c r="G32" s="64">
        <v>10.84</v>
      </c>
      <c r="H32" s="64">
        <v>2.4</v>
      </c>
      <c r="I32" s="64">
        <v>3.61</v>
      </c>
      <c r="J32" s="64">
        <v>0.44</v>
      </c>
      <c r="K32" s="64">
        <v>133.69</v>
      </c>
      <c r="L32" s="64">
        <v>23.02</v>
      </c>
      <c r="M32" s="64">
        <v>99.03</v>
      </c>
      <c r="N32" s="64">
        <v>93.1</v>
      </c>
      <c r="O32" s="64">
        <v>0</v>
      </c>
      <c r="P32" s="64">
        <v>0.28999999999999998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7" t="s">
        <v>1898</v>
      </c>
      <c r="B33" s="64">
        <v>8.09</v>
      </c>
      <c r="C33" s="64">
        <v>3.1</v>
      </c>
      <c r="D33" s="64">
        <v>11.88</v>
      </c>
      <c r="E33" s="64">
        <v>3.2</v>
      </c>
      <c r="F33" s="64">
        <v>3.33</v>
      </c>
      <c r="G33" s="64">
        <v>10.84</v>
      </c>
      <c r="H33" s="64">
        <v>2.4</v>
      </c>
      <c r="I33" s="64">
        <v>3.62</v>
      </c>
      <c r="J33" s="64">
        <v>0.22</v>
      </c>
      <c r="K33" s="64">
        <v>161.43</v>
      </c>
      <c r="L33" s="64">
        <v>23.03</v>
      </c>
      <c r="M33" s="64">
        <v>99.03</v>
      </c>
      <c r="N33" s="64">
        <v>105.2</v>
      </c>
      <c r="O33" s="64">
        <v>0</v>
      </c>
      <c r="P33" s="64">
        <v>0.28999999999999998</v>
      </c>
      <c r="Q33" s="64">
        <v>9.42</v>
      </c>
      <c r="R33" s="198"/>
      <c r="S33" s="198"/>
      <c r="T33" s="198"/>
      <c r="U33" s="198"/>
    </row>
    <row r="34" spans="1:21" s="12" customFormat="1" x14ac:dyDescent="0.25">
      <c r="A34" s="217" t="s">
        <v>1899</v>
      </c>
      <c r="B34" s="64">
        <v>8.09</v>
      </c>
      <c r="C34" s="64">
        <v>3.04</v>
      </c>
      <c r="D34" s="64">
        <v>11.85</v>
      </c>
      <c r="E34" s="64">
        <v>3</v>
      </c>
      <c r="F34" s="64">
        <v>3.21</v>
      </c>
      <c r="G34" s="64">
        <v>10.84</v>
      </c>
      <c r="H34" s="64">
        <v>2.4</v>
      </c>
      <c r="I34" s="64">
        <v>3.76</v>
      </c>
      <c r="J34" s="64">
        <v>0.4</v>
      </c>
      <c r="K34" s="64">
        <v>343.6</v>
      </c>
      <c r="L34" s="64">
        <v>23.25</v>
      </c>
      <c r="M34" s="64">
        <v>99.03</v>
      </c>
      <c r="N34" s="64">
        <v>121.9</v>
      </c>
      <c r="O34" s="64">
        <v>0</v>
      </c>
      <c r="P34" s="64">
        <v>0.28000000000000003</v>
      </c>
      <c r="Q34" s="64">
        <v>9.3699999999999992</v>
      </c>
      <c r="R34" s="198"/>
      <c r="S34" s="198"/>
      <c r="T34" s="198"/>
      <c r="U34" s="198"/>
    </row>
    <row r="35" spans="1:21" s="12" customFormat="1" x14ac:dyDescent="0.25">
      <c r="A35" s="217" t="s">
        <v>1900</v>
      </c>
      <c r="B35" s="64">
        <v>8.23</v>
      </c>
      <c r="C35" s="64">
        <v>3.36</v>
      </c>
      <c r="D35" s="64">
        <v>12.13</v>
      </c>
      <c r="E35" s="64">
        <v>3.19</v>
      </c>
      <c r="F35" s="64">
        <v>3.37</v>
      </c>
      <c r="G35" s="64">
        <v>10.039999999999999</v>
      </c>
      <c r="H35" s="64">
        <v>2.37</v>
      </c>
      <c r="I35" s="64">
        <v>3.89</v>
      </c>
      <c r="J35" s="64">
        <v>0.43</v>
      </c>
      <c r="K35" s="64">
        <v>316.99</v>
      </c>
      <c r="L35" s="64">
        <v>23.69</v>
      </c>
      <c r="M35" s="64">
        <v>99.03</v>
      </c>
      <c r="N35" s="64">
        <v>180</v>
      </c>
      <c r="O35" s="64">
        <v>0</v>
      </c>
      <c r="P35" s="64">
        <v>0.28999999999999998</v>
      </c>
      <c r="Q35" s="64">
        <v>9.3699999999999992</v>
      </c>
      <c r="R35" s="198"/>
      <c r="S35" s="198"/>
      <c r="T35" s="198"/>
      <c r="U35" s="198"/>
    </row>
    <row r="36" spans="1:21" s="12" customFormat="1" x14ac:dyDescent="0.25">
      <c r="A36" s="217" t="s">
        <v>1901</v>
      </c>
      <c r="B36" s="64">
        <v>8.1999999999999993</v>
      </c>
      <c r="C36" s="64">
        <v>3.32</v>
      </c>
      <c r="D36" s="64">
        <v>12.08</v>
      </c>
      <c r="E36" s="64">
        <v>3.3</v>
      </c>
      <c r="F36" s="64">
        <v>3.75</v>
      </c>
      <c r="G36" s="64">
        <v>8.83</v>
      </c>
      <c r="H36" s="64">
        <v>2.33</v>
      </c>
      <c r="I36" s="64">
        <v>4.0199999999999996</v>
      </c>
      <c r="J36" s="64">
        <v>0.4</v>
      </c>
      <c r="K36" s="64">
        <v>329.81</v>
      </c>
      <c r="L36" s="64">
        <v>23.84</v>
      </c>
      <c r="M36" s="64">
        <v>99.02</v>
      </c>
      <c r="N36" s="64">
        <v>206.2</v>
      </c>
      <c r="O36" s="64">
        <v>0</v>
      </c>
      <c r="P36" s="64">
        <v>0.3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17" t="s">
        <v>1902</v>
      </c>
      <c r="B37" s="64">
        <v>8.1999999999999993</v>
      </c>
      <c r="C37" s="64">
        <v>3.32</v>
      </c>
      <c r="D37" s="64">
        <v>12.08</v>
      </c>
      <c r="E37" s="64">
        <v>3.3</v>
      </c>
      <c r="F37" s="64">
        <v>3.75</v>
      </c>
      <c r="G37" s="64">
        <v>8.83</v>
      </c>
      <c r="H37" s="64">
        <v>2.33</v>
      </c>
      <c r="I37" s="64">
        <v>4.0199999999999996</v>
      </c>
      <c r="J37" s="64">
        <v>0.4</v>
      </c>
      <c r="K37" s="64">
        <v>329.81</v>
      </c>
      <c r="L37" s="64">
        <v>23.84</v>
      </c>
      <c r="M37" s="64">
        <v>99.02</v>
      </c>
      <c r="N37" s="64">
        <v>206.2</v>
      </c>
      <c r="O37" s="64">
        <v>0</v>
      </c>
      <c r="P37" s="64">
        <v>0.3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7" t="s">
        <v>1903</v>
      </c>
      <c r="B38" s="64">
        <v>8.1999999999999993</v>
      </c>
      <c r="C38" s="64">
        <v>3.32</v>
      </c>
      <c r="D38" s="64">
        <v>12.08</v>
      </c>
      <c r="E38" s="64">
        <v>3.3</v>
      </c>
      <c r="F38" s="64">
        <v>3.75</v>
      </c>
      <c r="G38" s="64">
        <v>8.83</v>
      </c>
      <c r="H38" s="64">
        <v>2.33</v>
      </c>
      <c r="I38" s="64">
        <v>4.0199999999999996</v>
      </c>
      <c r="J38" s="64">
        <v>0.4</v>
      </c>
      <c r="K38" s="64">
        <v>329.81</v>
      </c>
      <c r="L38" s="64">
        <v>23.84</v>
      </c>
      <c r="M38" s="64">
        <v>99.02</v>
      </c>
      <c r="N38" s="64">
        <v>206.2</v>
      </c>
      <c r="O38" s="64">
        <v>0</v>
      </c>
      <c r="P38" s="64">
        <v>0.3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7" t="s">
        <v>1904</v>
      </c>
      <c r="B39" s="64">
        <v>8.1</v>
      </c>
      <c r="C39" s="64">
        <v>3.08</v>
      </c>
      <c r="D39" s="64">
        <v>11.88</v>
      </c>
      <c r="E39" s="64">
        <v>3.07</v>
      </c>
      <c r="F39" s="64">
        <v>3.41</v>
      </c>
      <c r="G39" s="64">
        <v>9.61</v>
      </c>
      <c r="H39" s="64">
        <v>2.34</v>
      </c>
      <c r="I39" s="64">
        <v>4.16</v>
      </c>
      <c r="J39" s="64">
        <v>0.51</v>
      </c>
      <c r="K39" s="64">
        <v>307.45</v>
      </c>
      <c r="L39" s="64">
        <v>24.74</v>
      </c>
      <c r="M39" s="64">
        <v>98.28</v>
      </c>
      <c r="N39" s="64">
        <v>237.7</v>
      </c>
      <c r="O39" s="64">
        <v>0</v>
      </c>
      <c r="P39" s="64">
        <v>0.3</v>
      </c>
      <c r="Q39" s="64">
        <v>9.42</v>
      </c>
      <c r="R39" s="198"/>
      <c r="S39" s="198"/>
      <c r="T39" s="198"/>
      <c r="U39" s="198"/>
    </row>
    <row r="40" spans="1:21" s="12" customFormat="1" x14ac:dyDescent="0.25">
      <c r="A40" s="217" t="s">
        <v>1905</v>
      </c>
      <c r="B40" s="64">
        <v>8.09</v>
      </c>
      <c r="C40" s="64">
        <v>3.01</v>
      </c>
      <c r="D40" s="64">
        <v>11.84</v>
      </c>
      <c r="E40" s="64">
        <v>3.13</v>
      </c>
      <c r="F40" s="64">
        <v>3.37</v>
      </c>
      <c r="G40" s="64">
        <v>16.48</v>
      </c>
      <c r="H40" s="64">
        <v>2.46</v>
      </c>
      <c r="I40" s="64">
        <v>4.08</v>
      </c>
      <c r="J40" s="64">
        <v>0.81</v>
      </c>
      <c r="K40" s="64">
        <v>318.39999999999998</v>
      </c>
      <c r="L40" s="64">
        <v>26.61</v>
      </c>
      <c r="M40" s="64">
        <v>90.99</v>
      </c>
      <c r="N40" s="64">
        <v>318.39999999999998</v>
      </c>
      <c r="O40" s="64">
        <v>0</v>
      </c>
      <c r="P40" s="64">
        <v>0.33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7" t="s">
        <v>1906</v>
      </c>
      <c r="B41" s="64">
        <v>8.08</v>
      </c>
      <c r="C41" s="64">
        <v>3.03</v>
      </c>
      <c r="D41" s="64">
        <v>11.83</v>
      </c>
      <c r="E41" s="64">
        <v>3.96</v>
      </c>
      <c r="F41" s="64">
        <v>3.51</v>
      </c>
      <c r="G41" s="64">
        <v>16.48</v>
      </c>
      <c r="H41" s="64">
        <v>2.46</v>
      </c>
      <c r="I41" s="64">
        <v>4.07</v>
      </c>
      <c r="J41" s="64">
        <v>0.75</v>
      </c>
      <c r="K41" s="64">
        <v>326.08999999999997</v>
      </c>
      <c r="L41" s="64">
        <v>26.83</v>
      </c>
      <c r="M41" s="64">
        <v>89.74</v>
      </c>
      <c r="N41" s="64">
        <v>297.7</v>
      </c>
      <c r="O41" s="64">
        <v>0</v>
      </c>
      <c r="P41" s="64">
        <v>0.35</v>
      </c>
      <c r="Q41" s="64">
        <v>9.4700000000000006</v>
      </c>
      <c r="R41" s="198"/>
      <c r="S41" s="198"/>
      <c r="T41" s="198"/>
      <c r="U41" s="198"/>
    </row>
    <row r="42" spans="1:21" s="12" customFormat="1" x14ac:dyDescent="0.25">
      <c r="A42" s="217" t="s">
        <v>1907</v>
      </c>
      <c r="B42" s="64">
        <v>8.08</v>
      </c>
      <c r="C42" s="64">
        <v>3.05</v>
      </c>
      <c r="D42" s="64">
        <v>11.85</v>
      </c>
      <c r="E42" s="64">
        <v>4.6399999999999997</v>
      </c>
      <c r="F42" s="64">
        <v>3.56</v>
      </c>
      <c r="G42" s="64">
        <v>16.48</v>
      </c>
      <c r="H42" s="64">
        <v>2.46</v>
      </c>
      <c r="I42" s="64">
        <v>4.03</v>
      </c>
      <c r="J42" s="64">
        <v>0.93</v>
      </c>
      <c r="K42" s="64">
        <v>336.55</v>
      </c>
      <c r="L42" s="64">
        <v>27.34</v>
      </c>
      <c r="M42" s="64">
        <v>87.67</v>
      </c>
      <c r="N42" s="64">
        <v>361</v>
      </c>
      <c r="O42" s="64">
        <v>0</v>
      </c>
      <c r="P42" s="64">
        <v>0.36</v>
      </c>
      <c r="Q42" s="64">
        <v>9.4700000000000006</v>
      </c>
      <c r="R42" s="198"/>
      <c r="S42" s="198"/>
      <c r="T42" s="198"/>
      <c r="U42" s="198"/>
    </row>
    <row r="43" spans="1:21" s="12" customFormat="1" x14ac:dyDescent="0.25">
      <c r="A43" s="217" t="s">
        <v>1908</v>
      </c>
      <c r="B43" s="64">
        <v>8.07</v>
      </c>
      <c r="C43" s="64">
        <v>3.09</v>
      </c>
      <c r="D43" s="64">
        <v>11.86</v>
      </c>
      <c r="E43" s="64">
        <v>4.3099999999999996</v>
      </c>
      <c r="F43" s="64">
        <v>3.51</v>
      </c>
      <c r="G43" s="64">
        <v>26.73</v>
      </c>
      <c r="H43" s="64">
        <v>3.2</v>
      </c>
      <c r="I43" s="64">
        <v>4.05</v>
      </c>
      <c r="J43" s="64">
        <v>0.81</v>
      </c>
      <c r="K43" s="64">
        <v>330.64</v>
      </c>
      <c r="L43" s="64">
        <v>27.5</v>
      </c>
      <c r="M43" s="64">
        <v>86.17</v>
      </c>
      <c r="N43" s="64">
        <v>231.8</v>
      </c>
      <c r="O43" s="64">
        <v>0</v>
      </c>
      <c r="P43" s="64">
        <v>0.37</v>
      </c>
      <c r="Q43" s="64">
        <v>9.43</v>
      </c>
      <c r="R43" s="198"/>
      <c r="S43" s="198"/>
      <c r="T43" s="198"/>
      <c r="U43" s="198"/>
    </row>
    <row r="44" spans="1:21" s="12" customFormat="1" x14ac:dyDescent="0.25">
      <c r="A44" s="217" t="s">
        <v>1909</v>
      </c>
      <c r="B44" s="64">
        <v>8.0399999999999991</v>
      </c>
      <c r="C44" s="64">
        <v>3.01</v>
      </c>
      <c r="D44" s="64">
        <v>11.8</v>
      </c>
      <c r="E44" s="64">
        <v>4.0999999999999996</v>
      </c>
      <c r="F44" s="64">
        <v>4.1100000000000003</v>
      </c>
      <c r="G44" s="64">
        <v>42.09</v>
      </c>
      <c r="H44" s="64">
        <v>4.32</v>
      </c>
      <c r="I44" s="64">
        <v>4.07</v>
      </c>
      <c r="J44" s="64">
        <v>0.79</v>
      </c>
      <c r="K44" s="64">
        <v>339.62</v>
      </c>
      <c r="L44" s="64">
        <v>27.52</v>
      </c>
      <c r="M44" s="64">
        <v>87.04</v>
      </c>
      <c r="N44" s="64">
        <v>408.5</v>
      </c>
      <c r="O44" s="64">
        <v>0</v>
      </c>
      <c r="P44" s="64">
        <v>0.39</v>
      </c>
      <c r="Q44" s="64">
        <v>9.5</v>
      </c>
      <c r="R44" s="198"/>
      <c r="S44" s="198"/>
      <c r="T44" s="198"/>
      <c r="U44" s="198"/>
    </row>
    <row r="45" spans="1:21" s="12" customFormat="1" x14ac:dyDescent="0.25">
      <c r="A45" s="217" t="s">
        <v>1910</v>
      </c>
      <c r="B45" s="64">
        <v>8.07</v>
      </c>
      <c r="C45" s="64">
        <v>3.06</v>
      </c>
      <c r="D45" s="64">
        <v>11.84</v>
      </c>
      <c r="E45" s="64">
        <v>4.4800000000000004</v>
      </c>
      <c r="F45" s="64">
        <v>3.08</v>
      </c>
      <c r="G45" s="64">
        <v>42.09</v>
      </c>
      <c r="H45" s="64">
        <v>4.32</v>
      </c>
      <c r="I45" s="64">
        <v>4.13</v>
      </c>
      <c r="J45" s="64">
        <v>0.47</v>
      </c>
      <c r="K45" s="64">
        <v>345.28</v>
      </c>
      <c r="L45" s="64">
        <v>28.46</v>
      </c>
      <c r="M45" s="64">
        <v>81.05</v>
      </c>
      <c r="N45" s="64">
        <v>578.1</v>
      </c>
      <c r="O45" s="64">
        <v>0</v>
      </c>
      <c r="P45" s="64">
        <v>0.41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7" t="s">
        <v>1911</v>
      </c>
      <c r="B46" s="64">
        <v>8.09</v>
      </c>
      <c r="C46" s="64">
        <v>3.07</v>
      </c>
      <c r="D46" s="64">
        <v>11.86</v>
      </c>
      <c r="E46" s="64">
        <v>4.21</v>
      </c>
      <c r="F46" s="64">
        <v>3.48</v>
      </c>
      <c r="G46" s="64">
        <v>42.09</v>
      </c>
      <c r="H46" s="64">
        <v>4.32</v>
      </c>
      <c r="I46" s="64">
        <v>4.2300000000000004</v>
      </c>
      <c r="J46" s="64">
        <v>0.56999999999999995</v>
      </c>
      <c r="K46" s="64">
        <v>118.13</v>
      </c>
      <c r="L46" s="64">
        <v>28.84</v>
      </c>
      <c r="M46" s="64">
        <v>78.17</v>
      </c>
      <c r="N46" s="64">
        <v>829.5</v>
      </c>
      <c r="O46" s="64">
        <v>0</v>
      </c>
      <c r="P46" s="64">
        <v>0.41</v>
      </c>
      <c r="Q46" s="64">
        <v>9.51</v>
      </c>
      <c r="R46" s="198"/>
      <c r="S46" s="198"/>
      <c r="T46" s="198"/>
      <c r="U46" s="198"/>
    </row>
    <row r="47" spans="1:21" s="12" customFormat="1" x14ac:dyDescent="0.25">
      <c r="A47" s="217" t="s">
        <v>1912</v>
      </c>
      <c r="B47" s="64">
        <v>8.1</v>
      </c>
      <c r="C47" s="64">
        <v>3.18</v>
      </c>
      <c r="D47" s="64">
        <v>11.93</v>
      </c>
      <c r="E47" s="64">
        <v>4.3899999999999997</v>
      </c>
      <c r="F47" s="64">
        <v>3.38</v>
      </c>
      <c r="G47" s="64">
        <v>43.66</v>
      </c>
      <c r="H47" s="64">
        <v>6.46</v>
      </c>
      <c r="I47" s="64">
        <v>4.38</v>
      </c>
      <c r="J47" s="64">
        <v>0.2</v>
      </c>
      <c r="K47" s="64">
        <v>289.12</v>
      </c>
      <c r="L47" s="64">
        <v>29.36</v>
      </c>
      <c r="M47" s="64">
        <v>77.22</v>
      </c>
      <c r="N47" s="64">
        <v>573.5</v>
      </c>
      <c r="O47" s="64">
        <v>0</v>
      </c>
      <c r="P47" s="64">
        <v>0.42</v>
      </c>
      <c r="Q47" s="64">
        <v>9.6</v>
      </c>
      <c r="R47" s="198"/>
      <c r="S47" s="198"/>
      <c r="T47" s="198"/>
      <c r="U47" s="198"/>
    </row>
    <row r="48" spans="1:21" s="12" customFormat="1" x14ac:dyDescent="0.25">
      <c r="A48" s="217" t="s">
        <v>1913</v>
      </c>
      <c r="B48" s="64">
        <v>8.1300000000000008</v>
      </c>
      <c r="C48" s="64">
        <v>3.23</v>
      </c>
      <c r="D48" s="64">
        <v>11.98</v>
      </c>
      <c r="E48" s="64">
        <v>4.32</v>
      </c>
      <c r="F48" s="64">
        <v>3.19</v>
      </c>
      <c r="G48" s="64">
        <v>46.02</v>
      </c>
      <c r="H48" s="64">
        <v>9.68</v>
      </c>
      <c r="I48" s="64">
        <v>4.66</v>
      </c>
      <c r="J48" s="64">
        <v>0.71</v>
      </c>
      <c r="K48" s="64">
        <v>338.24</v>
      </c>
      <c r="L48" s="64">
        <v>29.38</v>
      </c>
      <c r="M48" s="64">
        <v>77.290000000000006</v>
      </c>
      <c r="N48" s="64">
        <v>458.3</v>
      </c>
      <c r="O48" s="64">
        <v>0</v>
      </c>
      <c r="P48" s="64">
        <v>0.43</v>
      </c>
      <c r="Q48" s="64">
        <v>9.57</v>
      </c>
      <c r="R48" s="198"/>
      <c r="S48" s="198"/>
      <c r="T48" s="198"/>
      <c r="U48" s="198"/>
    </row>
    <row r="49" spans="1:21" s="12" customFormat="1" x14ac:dyDescent="0.25">
      <c r="A49" s="217" t="s">
        <v>1914</v>
      </c>
      <c r="B49" s="64">
        <v>8.11</v>
      </c>
      <c r="C49" s="64">
        <v>3.18</v>
      </c>
      <c r="D49" s="64">
        <v>11.94</v>
      </c>
      <c r="E49" s="64">
        <v>4.2</v>
      </c>
      <c r="F49" s="64">
        <v>3.64</v>
      </c>
      <c r="G49" s="64">
        <v>46.02</v>
      </c>
      <c r="H49" s="64">
        <v>9.68</v>
      </c>
      <c r="I49" s="64">
        <v>4.9000000000000004</v>
      </c>
      <c r="J49" s="64">
        <v>1.0900000000000001</v>
      </c>
      <c r="K49" s="64">
        <v>336.6</v>
      </c>
      <c r="L49" s="64">
        <v>30.25</v>
      </c>
      <c r="M49" s="64">
        <v>73.98</v>
      </c>
      <c r="N49" s="64">
        <v>424.7</v>
      </c>
      <c r="O49" s="64">
        <v>0</v>
      </c>
      <c r="P49" s="64">
        <v>0.46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7" t="s">
        <v>1915</v>
      </c>
      <c r="B50" s="64">
        <v>8.06</v>
      </c>
      <c r="C50" s="64">
        <v>3.07</v>
      </c>
      <c r="D50" s="64">
        <v>11.84</v>
      </c>
      <c r="E50" s="64">
        <v>4.67</v>
      </c>
      <c r="F50" s="64">
        <v>3.37</v>
      </c>
      <c r="G50" s="64">
        <v>46.02</v>
      </c>
      <c r="H50" s="64">
        <v>9.68</v>
      </c>
      <c r="I50" s="64">
        <v>5.04</v>
      </c>
      <c r="J50" s="64">
        <v>0.93</v>
      </c>
      <c r="K50" s="64">
        <v>328.64</v>
      </c>
      <c r="L50" s="64">
        <v>30.58</v>
      </c>
      <c r="M50" s="64">
        <v>73.56</v>
      </c>
      <c r="N50" s="64">
        <v>449</v>
      </c>
      <c r="O50" s="64">
        <v>0</v>
      </c>
      <c r="P50" s="64">
        <v>0.49</v>
      </c>
      <c r="Q50" s="64">
        <v>9.51</v>
      </c>
      <c r="R50" s="198"/>
      <c r="S50" s="198"/>
      <c r="T50" s="198"/>
      <c r="U50" s="198"/>
    </row>
    <row r="51" spans="1:21" s="12" customFormat="1" x14ac:dyDescent="0.25">
      <c r="A51" s="217" t="s">
        <v>1916</v>
      </c>
      <c r="B51" s="64">
        <v>8.1</v>
      </c>
      <c r="C51" s="64">
        <v>3.24</v>
      </c>
      <c r="D51" s="64">
        <v>11.96</v>
      </c>
      <c r="E51" s="64">
        <v>4.3099999999999996</v>
      </c>
      <c r="F51" s="64">
        <v>3.74</v>
      </c>
      <c r="G51" s="64">
        <v>53.28</v>
      </c>
      <c r="H51" s="64">
        <v>12.58</v>
      </c>
      <c r="I51" s="64">
        <v>5.12</v>
      </c>
      <c r="J51" s="64">
        <v>1.34</v>
      </c>
      <c r="K51" s="64">
        <v>339.55</v>
      </c>
      <c r="L51" s="64">
        <v>30.68</v>
      </c>
      <c r="M51" s="64">
        <v>72.64</v>
      </c>
      <c r="N51" s="64">
        <v>486.7</v>
      </c>
      <c r="O51" s="64">
        <v>0</v>
      </c>
      <c r="P51" s="64">
        <v>0.52</v>
      </c>
      <c r="Q51" s="64">
        <v>9.48</v>
      </c>
      <c r="R51" s="198"/>
      <c r="S51" s="198"/>
      <c r="T51" s="198"/>
      <c r="U51" s="198"/>
    </row>
    <row r="52" spans="1:21" s="12" customFormat="1" x14ac:dyDescent="0.25">
      <c r="A52" s="217" t="s">
        <v>1917</v>
      </c>
      <c r="B52" s="64">
        <v>8.15</v>
      </c>
      <c r="C52" s="64">
        <v>3.47</v>
      </c>
      <c r="D52" s="64">
        <v>12.13</v>
      </c>
      <c r="E52" s="64">
        <v>4.3600000000000003</v>
      </c>
      <c r="F52" s="64">
        <v>3.6</v>
      </c>
      <c r="G52" s="64">
        <v>64.180000000000007</v>
      </c>
      <c r="H52" s="64">
        <v>16.940000000000001</v>
      </c>
      <c r="I52" s="64">
        <v>5.16</v>
      </c>
      <c r="J52" s="64">
        <v>0.31</v>
      </c>
      <c r="K52" s="64">
        <v>28.64</v>
      </c>
      <c r="L52" s="64">
        <v>30.57</v>
      </c>
      <c r="M52" s="64">
        <v>74.06</v>
      </c>
      <c r="N52" s="64">
        <v>687.9</v>
      </c>
      <c r="O52" s="64">
        <v>0</v>
      </c>
      <c r="P52" s="64">
        <v>0.59</v>
      </c>
      <c r="Q52" s="64">
        <v>9.51</v>
      </c>
      <c r="R52" s="198"/>
      <c r="S52" s="198"/>
      <c r="T52" s="198"/>
      <c r="U52" s="198"/>
    </row>
    <row r="53" spans="1:21" s="12" customFormat="1" x14ac:dyDescent="0.25">
      <c r="A53" s="217" t="s">
        <v>1918</v>
      </c>
      <c r="B53" s="64">
        <v>8.11</v>
      </c>
      <c r="C53" s="64">
        <v>3.25</v>
      </c>
      <c r="D53" s="64">
        <v>11.97</v>
      </c>
      <c r="E53" s="64">
        <v>4.37</v>
      </c>
      <c r="F53" s="64">
        <v>3.75</v>
      </c>
      <c r="G53" s="64">
        <v>64.180000000000007</v>
      </c>
      <c r="H53" s="64">
        <v>16.940000000000001</v>
      </c>
      <c r="I53" s="64">
        <v>5.03</v>
      </c>
      <c r="J53" s="64">
        <v>0.94</v>
      </c>
      <c r="K53" s="64">
        <v>107.55</v>
      </c>
      <c r="L53" s="64">
        <v>28.7</v>
      </c>
      <c r="M53" s="64">
        <v>79.88</v>
      </c>
      <c r="N53" s="64">
        <v>648.29999999999995</v>
      </c>
      <c r="O53" s="64">
        <v>0</v>
      </c>
      <c r="P53" s="64">
        <v>0.6</v>
      </c>
      <c r="Q53" s="64">
        <v>9.57</v>
      </c>
      <c r="R53" s="198"/>
      <c r="S53" s="198"/>
      <c r="T53" s="198"/>
      <c r="U53" s="198"/>
    </row>
    <row r="54" spans="1:21" s="12" customFormat="1" x14ac:dyDescent="0.25">
      <c r="A54" s="217" t="s">
        <v>1919</v>
      </c>
      <c r="B54" s="64">
        <v>8.07</v>
      </c>
      <c r="C54" s="64">
        <v>3.06</v>
      </c>
      <c r="D54" s="64">
        <v>11.84</v>
      </c>
      <c r="E54" s="64">
        <v>4.25</v>
      </c>
      <c r="F54" s="64">
        <v>3.62</v>
      </c>
      <c r="G54" s="64">
        <v>64.180000000000007</v>
      </c>
      <c r="H54" s="64">
        <v>16.940000000000001</v>
      </c>
      <c r="I54" s="64">
        <v>5.17</v>
      </c>
      <c r="J54" s="64">
        <v>1.05</v>
      </c>
      <c r="K54" s="64">
        <v>342.67</v>
      </c>
      <c r="L54" s="64">
        <v>30.16</v>
      </c>
      <c r="M54" s="64">
        <v>75.06</v>
      </c>
      <c r="N54" s="64">
        <v>834.4</v>
      </c>
      <c r="O54" s="64">
        <v>0</v>
      </c>
      <c r="P54" s="64">
        <v>0.59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7" t="s">
        <v>1920</v>
      </c>
      <c r="B55" s="64">
        <v>8.09</v>
      </c>
      <c r="C55" s="64">
        <v>3.03</v>
      </c>
      <c r="D55" s="64">
        <v>11.84</v>
      </c>
      <c r="E55" s="64">
        <v>3.85</v>
      </c>
      <c r="F55" s="64">
        <v>3.26</v>
      </c>
      <c r="G55" s="64">
        <v>64.25</v>
      </c>
      <c r="H55" s="64">
        <v>18.05</v>
      </c>
      <c r="I55" s="64">
        <v>5.72</v>
      </c>
      <c r="J55" s="64">
        <v>1.1399999999999999</v>
      </c>
      <c r="K55" s="64">
        <v>352.56</v>
      </c>
      <c r="L55" s="64">
        <v>31.77</v>
      </c>
      <c r="M55" s="64">
        <v>67.22</v>
      </c>
      <c r="N55" s="64">
        <v>699.8</v>
      </c>
      <c r="O55" s="64">
        <v>0</v>
      </c>
      <c r="P55" s="64">
        <v>0.59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7" t="s">
        <v>1921</v>
      </c>
      <c r="B56" s="64">
        <v>8.11</v>
      </c>
      <c r="C56" s="64">
        <v>3.06</v>
      </c>
      <c r="D56" s="64">
        <v>11.88</v>
      </c>
      <c r="E56" s="64">
        <v>6.73</v>
      </c>
      <c r="F56" s="64">
        <v>3.61</v>
      </c>
      <c r="G56" s="64">
        <v>64.36</v>
      </c>
      <c r="H56" s="64">
        <v>19.71</v>
      </c>
      <c r="I56" s="64">
        <v>6.13</v>
      </c>
      <c r="J56" s="64">
        <v>0.68</v>
      </c>
      <c r="K56" s="64">
        <v>358.92</v>
      </c>
      <c r="L56" s="64">
        <v>30.01</v>
      </c>
      <c r="M56" s="64">
        <v>74.94</v>
      </c>
      <c r="N56" s="64">
        <v>685.4</v>
      </c>
      <c r="O56" s="64">
        <v>0</v>
      </c>
      <c r="P56" s="64">
        <v>0.6</v>
      </c>
      <c r="Q56" s="64">
        <v>9.57</v>
      </c>
      <c r="R56" s="198"/>
      <c r="S56" s="198"/>
      <c r="T56" s="198"/>
      <c r="U56" s="198"/>
    </row>
    <row r="57" spans="1:21" s="12" customFormat="1" x14ac:dyDescent="0.25">
      <c r="A57" s="217" t="s">
        <v>1922</v>
      </c>
      <c r="B57" s="64">
        <v>8.08</v>
      </c>
      <c r="C57" s="64">
        <v>3.06</v>
      </c>
      <c r="D57" s="64">
        <v>11.86</v>
      </c>
      <c r="E57" s="64">
        <v>5.41</v>
      </c>
      <c r="F57" s="64">
        <v>3.8</v>
      </c>
      <c r="G57" s="64">
        <v>64.36</v>
      </c>
      <c r="H57" s="64">
        <v>19.71</v>
      </c>
      <c r="I57" s="64">
        <v>6.15</v>
      </c>
      <c r="J57" s="64">
        <v>1.43</v>
      </c>
      <c r="K57" s="64">
        <v>108.82</v>
      </c>
      <c r="L57" s="64">
        <v>29.77</v>
      </c>
      <c r="M57" s="64">
        <v>75.45</v>
      </c>
      <c r="N57" s="64">
        <v>813.4</v>
      </c>
      <c r="O57" s="64">
        <v>0</v>
      </c>
      <c r="P57" s="64">
        <v>0.6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7" t="s">
        <v>1923</v>
      </c>
      <c r="B58" s="64">
        <v>8.11</v>
      </c>
      <c r="C58" s="64">
        <v>3.13</v>
      </c>
      <c r="D58" s="64">
        <v>11.91</v>
      </c>
      <c r="E58" s="64">
        <v>5.87</v>
      </c>
      <c r="F58" s="64">
        <v>3.64</v>
      </c>
      <c r="G58" s="64">
        <v>64.36</v>
      </c>
      <c r="H58" s="64">
        <v>19.71</v>
      </c>
      <c r="I58" s="64">
        <v>6.12</v>
      </c>
      <c r="J58" s="64">
        <v>0.37</v>
      </c>
      <c r="K58" s="64">
        <v>86.9</v>
      </c>
      <c r="L58" s="64">
        <v>29.56</v>
      </c>
      <c r="M58" s="64">
        <v>76.84</v>
      </c>
      <c r="N58" s="64">
        <v>589.1</v>
      </c>
      <c r="O58" s="64">
        <v>0</v>
      </c>
      <c r="P58" s="64">
        <v>0.57999999999999996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7" t="s">
        <v>1924</v>
      </c>
      <c r="B59" s="64">
        <v>8.1300000000000008</v>
      </c>
      <c r="C59" s="64">
        <v>3.23</v>
      </c>
      <c r="D59" s="64">
        <v>11.98</v>
      </c>
      <c r="E59" s="64">
        <v>6.25</v>
      </c>
      <c r="F59" s="64">
        <v>4.1100000000000003</v>
      </c>
      <c r="G59" s="64">
        <v>63.21</v>
      </c>
      <c r="H59" s="64">
        <v>19.02</v>
      </c>
      <c r="I59" s="64">
        <v>6.23</v>
      </c>
      <c r="J59" s="64">
        <v>0.39</v>
      </c>
      <c r="K59" s="64">
        <v>340.67</v>
      </c>
      <c r="L59" s="64">
        <v>29.41</v>
      </c>
      <c r="M59" s="64">
        <v>78.13</v>
      </c>
      <c r="N59" s="64">
        <v>526.20000000000005</v>
      </c>
      <c r="O59" s="64">
        <v>0</v>
      </c>
      <c r="P59" s="64">
        <v>0.59</v>
      </c>
      <c r="Q59" s="64">
        <v>9.61</v>
      </c>
      <c r="R59" s="198"/>
      <c r="S59" s="198"/>
      <c r="T59" s="198"/>
      <c r="U59" s="198"/>
    </row>
    <row r="60" spans="1:21" s="12" customFormat="1" x14ac:dyDescent="0.25">
      <c r="A60" s="217" t="s">
        <v>1925</v>
      </c>
      <c r="B60" s="64">
        <v>8.1199999999999992</v>
      </c>
      <c r="C60" s="64">
        <v>3.23</v>
      </c>
      <c r="D60" s="64">
        <v>11.97</v>
      </c>
      <c r="E60" s="64">
        <v>6.05</v>
      </c>
      <c r="F60" s="64">
        <v>3.98</v>
      </c>
      <c r="G60" s="64">
        <v>61.48</v>
      </c>
      <c r="H60" s="64">
        <v>18.03</v>
      </c>
      <c r="I60" s="64">
        <v>6.41</v>
      </c>
      <c r="J60" s="64">
        <v>0.46</v>
      </c>
      <c r="K60" s="64">
        <v>343.24</v>
      </c>
      <c r="L60" s="64">
        <v>30.08</v>
      </c>
      <c r="M60" s="64">
        <v>74.680000000000007</v>
      </c>
      <c r="N60" s="64">
        <v>765.9</v>
      </c>
      <c r="O60" s="64">
        <v>0</v>
      </c>
      <c r="P60" s="64">
        <v>0.59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7" t="s">
        <v>1926</v>
      </c>
      <c r="B61" s="64">
        <v>8.1</v>
      </c>
      <c r="C61" s="64">
        <v>3.21</v>
      </c>
      <c r="D61" s="64">
        <v>11.94</v>
      </c>
      <c r="E61" s="64">
        <v>5.91</v>
      </c>
      <c r="F61" s="64">
        <v>4.97</v>
      </c>
      <c r="G61" s="64">
        <v>61.48</v>
      </c>
      <c r="H61" s="64">
        <v>18.03</v>
      </c>
      <c r="I61" s="64">
        <v>6.49</v>
      </c>
      <c r="J61" s="64">
        <v>1.19</v>
      </c>
      <c r="K61" s="64">
        <v>113.94</v>
      </c>
      <c r="L61" s="64">
        <v>29.83</v>
      </c>
      <c r="M61" s="64">
        <v>75.06</v>
      </c>
      <c r="N61" s="64">
        <v>738.9</v>
      </c>
      <c r="O61" s="64">
        <v>0</v>
      </c>
      <c r="P61" s="64">
        <v>0.45</v>
      </c>
      <c r="Q61" s="64">
        <v>9.58</v>
      </c>
      <c r="R61" s="198"/>
      <c r="S61" s="198"/>
      <c r="T61" s="198"/>
      <c r="U61" s="198"/>
    </row>
    <row r="62" spans="1:21" s="12" customFormat="1" x14ac:dyDescent="0.25">
      <c r="A62" s="217" t="s">
        <v>1927</v>
      </c>
      <c r="B62" s="64">
        <v>8.06</v>
      </c>
      <c r="C62" s="64">
        <v>3.2</v>
      </c>
      <c r="D62" s="64">
        <v>11.91</v>
      </c>
      <c r="E62" s="64">
        <v>5.96</v>
      </c>
      <c r="F62" s="64">
        <v>4.4400000000000004</v>
      </c>
      <c r="G62" s="64">
        <v>61.48</v>
      </c>
      <c r="H62" s="64">
        <v>18.03</v>
      </c>
      <c r="I62" s="64">
        <v>6.34</v>
      </c>
      <c r="J62" s="64">
        <v>0.62</v>
      </c>
      <c r="K62" s="64">
        <v>31.9</v>
      </c>
      <c r="L62" s="64">
        <v>30.46</v>
      </c>
      <c r="M62" s="64">
        <v>71.06</v>
      </c>
      <c r="N62" s="64">
        <v>737.7</v>
      </c>
      <c r="O62" s="64">
        <v>0</v>
      </c>
      <c r="P62" s="64">
        <v>0.48</v>
      </c>
      <c r="Q62" s="64">
        <v>9.51</v>
      </c>
      <c r="R62" s="198"/>
      <c r="S62" s="198"/>
      <c r="T62" s="198"/>
      <c r="U62" s="198"/>
    </row>
    <row r="63" spans="1:21" s="12" customFormat="1" x14ac:dyDescent="0.25">
      <c r="A63" s="217" t="s">
        <v>1928</v>
      </c>
      <c r="B63" s="64">
        <v>8.0500000000000007</v>
      </c>
      <c r="C63" s="64">
        <v>3.2</v>
      </c>
      <c r="D63" s="64">
        <v>11.9</v>
      </c>
      <c r="E63" s="64">
        <v>6.69</v>
      </c>
      <c r="F63" s="64">
        <v>4.5999999999999996</v>
      </c>
      <c r="G63" s="64">
        <v>59.17</v>
      </c>
      <c r="H63" s="64">
        <v>18.45</v>
      </c>
      <c r="I63" s="64">
        <v>5.95</v>
      </c>
      <c r="J63" s="64">
        <v>1.1000000000000001</v>
      </c>
      <c r="K63" s="64">
        <v>106.48</v>
      </c>
      <c r="L63" s="64">
        <v>30.07</v>
      </c>
      <c r="M63" s="64">
        <v>72.150000000000006</v>
      </c>
      <c r="N63" s="64">
        <v>834.2</v>
      </c>
      <c r="O63" s="64">
        <v>0</v>
      </c>
      <c r="P63" s="64">
        <v>0.47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7" t="s">
        <v>1929</v>
      </c>
      <c r="B64" s="64">
        <v>8.0399999999999991</v>
      </c>
      <c r="C64" s="64">
        <v>3.12</v>
      </c>
      <c r="D64" s="64">
        <v>11.85</v>
      </c>
      <c r="E64" s="64">
        <v>6.17</v>
      </c>
      <c r="F64" s="64">
        <v>4.0599999999999996</v>
      </c>
      <c r="G64" s="64">
        <v>55.7</v>
      </c>
      <c r="H64" s="64">
        <v>19.09</v>
      </c>
      <c r="I64" s="64">
        <v>5.95</v>
      </c>
      <c r="J64" s="64">
        <v>0.45</v>
      </c>
      <c r="K64" s="64">
        <v>4.97</v>
      </c>
      <c r="L64" s="64">
        <v>30.43</v>
      </c>
      <c r="M64" s="64">
        <v>71.58</v>
      </c>
      <c r="N64" s="64">
        <v>500.8</v>
      </c>
      <c r="O64" s="64">
        <v>0</v>
      </c>
      <c r="P64" s="64">
        <v>0.45</v>
      </c>
      <c r="Q64" s="64">
        <v>9.44</v>
      </c>
      <c r="R64" s="198"/>
      <c r="S64" s="198"/>
      <c r="T64" s="198"/>
      <c r="U64" s="198"/>
    </row>
    <row r="65" spans="1:21" s="12" customFormat="1" x14ac:dyDescent="0.25">
      <c r="A65" s="217" t="s">
        <v>1930</v>
      </c>
      <c r="B65" s="64">
        <v>8.0500000000000007</v>
      </c>
      <c r="C65" s="64">
        <v>3.17</v>
      </c>
      <c r="D65" s="64">
        <v>11.89</v>
      </c>
      <c r="E65" s="64">
        <v>5.57</v>
      </c>
      <c r="F65" s="64">
        <v>3.97</v>
      </c>
      <c r="G65" s="64">
        <v>55.7</v>
      </c>
      <c r="H65" s="64">
        <v>19.09</v>
      </c>
      <c r="I65" s="64">
        <v>6.07</v>
      </c>
      <c r="J65" s="64">
        <v>1.07</v>
      </c>
      <c r="K65" s="64">
        <v>110.5</v>
      </c>
      <c r="L65" s="64">
        <v>29.6</v>
      </c>
      <c r="M65" s="64">
        <v>73.38</v>
      </c>
      <c r="N65" s="64">
        <v>554.20000000000005</v>
      </c>
      <c r="O65" s="64">
        <v>0</v>
      </c>
      <c r="P65" s="64">
        <v>0.46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17" t="s">
        <v>1931</v>
      </c>
      <c r="B66" s="64">
        <v>8.06</v>
      </c>
      <c r="C66" s="64">
        <v>3.16</v>
      </c>
      <c r="D66" s="64">
        <v>11.89</v>
      </c>
      <c r="E66" s="64">
        <v>5.41</v>
      </c>
      <c r="F66" s="64">
        <v>3.7</v>
      </c>
      <c r="G66" s="64">
        <v>55.7</v>
      </c>
      <c r="H66" s="64">
        <v>19.09</v>
      </c>
      <c r="I66" s="64">
        <v>6.07</v>
      </c>
      <c r="J66" s="64">
        <v>1.02</v>
      </c>
      <c r="K66" s="64">
        <v>106.7</v>
      </c>
      <c r="L66" s="64">
        <v>29.69</v>
      </c>
      <c r="M66" s="64">
        <v>73.55</v>
      </c>
      <c r="N66" s="64">
        <v>531.4</v>
      </c>
      <c r="O66" s="64">
        <v>0</v>
      </c>
      <c r="P66" s="64">
        <v>0.45</v>
      </c>
      <c r="Q66" s="64">
        <v>9.4</v>
      </c>
      <c r="R66" s="198"/>
      <c r="S66" s="198"/>
      <c r="T66" s="198"/>
      <c r="U66" s="198"/>
    </row>
    <row r="67" spans="1:21" s="12" customFormat="1" x14ac:dyDescent="0.25">
      <c r="A67" s="217" t="s">
        <v>1932</v>
      </c>
      <c r="B67" s="64">
        <v>8.0500000000000007</v>
      </c>
      <c r="C67" s="64">
        <v>3.13</v>
      </c>
      <c r="D67" s="64">
        <v>11.87</v>
      </c>
      <c r="E67" s="64">
        <v>5.71</v>
      </c>
      <c r="F67" s="64">
        <v>3.92</v>
      </c>
      <c r="G67" s="64">
        <v>54.49</v>
      </c>
      <c r="H67" s="64">
        <v>16.95</v>
      </c>
      <c r="I67" s="64">
        <v>6.21</v>
      </c>
      <c r="J67" s="64">
        <v>1.22</v>
      </c>
      <c r="K67" s="64">
        <v>116.28</v>
      </c>
      <c r="L67" s="64">
        <v>29.27</v>
      </c>
      <c r="M67" s="64">
        <v>72.930000000000007</v>
      </c>
      <c r="N67" s="64">
        <v>441.8</v>
      </c>
      <c r="O67" s="64">
        <v>0</v>
      </c>
      <c r="P67" s="64">
        <v>0.44</v>
      </c>
      <c r="Q67" s="64">
        <v>9.41</v>
      </c>
      <c r="R67" s="198"/>
      <c r="S67" s="198"/>
      <c r="T67" s="198"/>
      <c r="U67" s="198"/>
    </row>
    <row r="68" spans="1:21" s="12" customFormat="1" x14ac:dyDescent="0.25">
      <c r="A68" s="217" t="s">
        <v>1933</v>
      </c>
      <c r="B68" s="64">
        <v>8.0299999999999994</v>
      </c>
      <c r="C68" s="64">
        <v>3.07</v>
      </c>
      <c r="D68" s="64">
        <v>11.82</v>
      </c>
      <c r="E68" s="64">
        <v>5.58</v>
      </c>
      <c r="F68" s="64">
        <v>3.96</v>
      </c>
      <c r="G68" s="64">
        <v>52.68</v>
      </c>
      <c r="H68" s="64">
        <v>13.73</v>
      </c>
      <c r="I68" s="64">
        <v>6.44</v>
      </c>
      <c r="J68" s="64">
        <v>1.28</v>
      </c>
      <c r="K68" s="64">
        <v>115.54</v>
      </c>
      <c r="L68" s="64">
        <v>29.62</v>
      </c>
      <c r="M68" s="64">
        <v>70.12</v>
      </c>
      <c r="N68" s="64">
        <v>424.5</v>
      </c>
      <c r="O68" s="64">
        <v>0</v>
      </c>
      <c r="P68" s="64">
        <v>0.43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7" t="s">
        <v>1934</v>
      </c>
      <c r="B69" s="64">
        <v>8.07</v>
      </c>
      <c r="C69" s="64">
        <v>3.09</v>
      </c>
      <c r="D69" s="64">
        <v>11.86</v>
      </c>
      <c r="E69" s="64">
        <v>5.68</v>
      </c>
      <c r="F69" s="64">
        <v>3.82</v>
      </c>
      <c r="G69" s="64">
        <v>52.68</v>
      </c>
      <c r="H69" s="64">
        <v>13.73</v>
      </c>
      <c r="I69" s="64">
        <v>6.65</v>
      </c>
      <c r="J69" s="64">
        <v>0.63</v>
      </c>
      <c r="K69" s="64">
        <v>88.98</v>
      </c>
      <c r="L69" s="64">
        <v>29.36</v>
      </c>
      <c r="M69" s="64">
        <v>71.16</v>
      </c>
      <c r="N69" s="64">
        <v>327.9</v>
      </c>
      <c r="O69" s="64">
        <v>0</v>
      </c>
      <c r="P69" s="64">
        <v>0.41</v>
      </c>
      <c r="Q69" s="64">
        <v>9.43</v>
      </c>
      <c r="R69" s="198"/>
      <c r="S69" s="198"/>
      <c r="T69" s="198"/>
      <c r="U69" s="198"/>
    </row>
    <row r="70" spans="1:21" s="12" customFormat="1" x14ac:dyDescent="0.25">
      <c r="A70" s="217" t="s">
        <v>1935</v>
      </c>
      <c r="B70" s="64">
        <v>8.0500000000000007</v>
      </c>
      <c r="C70" s="64">
        <v>3.06</v>
      </c>
      <c r="D70" s="64">
        <v>11.83</v>
      </c>
      <c r="E70" s="64">
        <v>5.63</v>
      </c>
      <c r="F70" s="64">
        <v>4.0599999999999996</v>
      </c>
      <c r="G70" s="64">
        <v>52.68</v>
      </c>
      <c r="H70" s="64">
        <v>13.73</v>
      </c>
      <c r="I70" s="64">
        <v>6.8</v>
      </c>
      <c r="J70" s="64">
        <v>0.79</v>
      </c>
      <c r="K70" s="64">
        <v>103.35</v>
      </c>
      <c r="L70" s="64">
        <v>29.57</v>
      </c>
      <c r="M70" s="64">
        <v>72.81</v>
      </c>
      <c r="N70" s="64">
        <v>379.2</v>
      </c>
      <c r="O70" s="64">
        <v>0</v>
      </c>
      <c r="P70" s="64">
        <v>0.41</v>
      </c>
      <c r="Q70" s="64">
        <v>9.42</v>
      </c>
      <c r="R70" s="198"/>
      <c r="S70" s="198"/>
      <c r="T70" s="198"/>
      <c r="U70" s="198"/>
    </row>
    <row r="71" spans="1:21" s="12" customFormat="1" x14ac:dyDescent="0.25">
      <c r="A71" s="217" t="s">
        <v>1936</v>
      </c>
      <c r="B71" s="64">
        <v>8.07</v>
      </c>
      <c r="C71" s="64">
        <v>3.09</v>
      </c>
      <c r="D71" s="64">
        <v>11.86</v>
      </c>
      <c r="E71" s="64">
        <v>5.26</v>
      </c>
      <c r="F71" s="64">
        <v>3.68</v>
      </c>
      <c r="G71" s="64">
        <v>47.85</v>
      </c>
      <c r="H71" s="64">
        <v>12.98</v>
      </c>
      <c r="I71" s="64">
        <v>6.84</v>
      </c>
      <c r="J71" s="64">
        <v>1.59</v>
      </c>
      <c r="K71" s="64">
        <v>113.26</v>
      </c>
      <c r="L71" s="64">
        <v>29.15</v>
      </c>
      <c r="M71" s="64">
        <v>73.22</v>
      </c>
      <c r="N71" s="64">
        <v>305.5</v>
      </c>
      <c r="O71" s="64">
        <v>0</v>
      </c>
      <c r="P71" s="64">
        <v>0.4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7" t="s">
        <v>1937</v>
      </c>
      <c r="B72" s="64">
        <v>8.1</v>
      </c>
      <c r="C72" s="64">
        <v>3.13</v>
      </c>
      <c r="D72" s="64">
        <v>11.9</v>
      </c>
      <c r="E72" s="64">
        <v>3.76</v>
      </c>
      <c r="F72" s="64">
        <v>3.51</v>
      </c>
      <c r="G72" s="64">
        <v>40.590000000000003</v>
      </c>
      <c r="H72" s="64">
        <v>11.9</v>
      </c>
      <c r="I72" s="64">
        <v>6.88</v>
      </c>
      <c r="J72" s="64">
        <v>1.24</v>
      </c>
      <c r="K72" s="64">
        <v>106.98</v>
      </c>
      <c r="L72" s="64">
        <v>29.09</v>
      </c>
      <c r="M72" s="64">
        <v>75.47</v>
      </c>
      <c r="N72" s="64">
        <v>241.8</v>
      </c>
      <c r="O72" s="64">
        <v>0</v>
      </c>
      <c r="P72" s="64">
        <v>0.39</v>
      </c>
      <c r="Q72" s="64">
        <v>9.4600000000000009</v>
      </c>
      <c r="R72" s="198"/>
      <c r="S72" s="198"/>
      <c r="T72" s="198"/>
      <c r="U72" s="198"/>
    </row>
    <row r="73" spans="1:21" s="12" customFormat="1" x14ac:dyDescent="0.25">
      <c r="A73" s="217" t="s">
        <v>1938</v>
      </c>
      <c r="B73" s="64">
        <v>8.11</v>
      </c>
      <c r="C73" s="64">
        <v>3.25</v>
      </c>
      <c r="D73" s="64">
        <v>11.97</v>
      </c>
      <c r="E73" s="64">
        <v>3.76</v>
      </c>
      <c r="F73" s="64">
        <v>3.58</v>
      </c>
      <c r="G73" s="64">
        <v>40.590000000000003</v>
      </c>
      <c r="H73" s="64">
        <v>11.9</v>
      </c>
      <c r="I73" s="64">
        <v>7.09</v>
      </c>
      <c r="J73" s="64">
        <v>0.84</v>
      </c>
      <c r="K73" s="64">
        <v>101.91</v>
      </c>
      <c r="L73" s="64">
        <v>29.01</v>
      </c>
      <c r="M73" s="64">
        <v>74.66</v>
      </c>
      <c r="N73" s="64">
        <v>239.4</v>
      </c>
      <c r="O73" s="64">
        <v>0</v>
      </c>
      <c r="P73" s="64">
        <v>0.38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7" t="s">
        <v>1939</v>
      </c>
      <c r="B74" s="64">
        <v>8.09</v>
      </c>
      <c r="C74" s="64">
        <v>3.14</v>
      </c>
      <c r="D74" s="64">
        <v>11.9</v>
      </c>
      <c r="E74" s="64">
        <v>3.88</v>
      </c>
      <c r="F74" s="64">
        <v>4.97</v>
      </c>
      <c r="G74" s="64">
        <v>40.590000000000003</v>
      </c>
      <c r="H74" s="64">
        <v>11.9</v>
      </c>
      <c r="I74" s="64">
        <v>7.3</v>
      </c>
      <c r="J74" s="64">
        <v>1.04</v>
      </c>
      <c r="K74" s="64">
        <v>123.55</v>
      </c>
      <c r="L74" s="64">
        <v>29.38</v>
      </c>
      <c r="M74" s="64">
        <v>71.849999999999994</v>
      </c>
      <c r="N74" s="64">
        <v>263.2</v>
      </c>
      <c r="O74" s="64">
        <v>0</v>
      </c>
      <c r="P74" s="64">
        <v>0.37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7" t="s">
        <v>1940</v>
      </c>
      <c r="B75" s="64">
        <v>8.08</v>
      </c>
      <c r="C75" s="64">
        <v>3.09</v>
      </c>
      <c r="D75" s="64">
        <v>11.87</v>
      </c>
      <c r="E75" s="64">
        <v>3.65</v>
      </c>
      <c r="F75" s="64">
        <v>4.78</v>
      </c>
      <c r="G75" s="64">
        <v>33.92</v>
      </c>
      <c r="H75" s="64">
        <v>12.2</v>
      </c>
      <c r="I75" s="64">
        <v>7.34</v>
      </c>
      <c r="J75" s="64">
        <v>1.8</v>
      </c>
      <c r="K75" s="64">
        <v>112.74</v>
      </c>
      <c r="L75" s="64">
        <v>29.07</v>
      </c>
      <c r="M75" s="64">
        <v>71.040000000000006</v>
      </c>
      <c r="N75" s="64">
        <v>211</v>
      </c>
      <c r="O75" s="64">
        <v>0</v>
      </c>
      <c r="P75" s="64">
        <v>0.36</v>
      </c>
      <c r="Q75" s="64">
        <v>9.49</v>
      </c>
      <c r="R75" s="198"/>
      <c r="S75" s="198"/>
      <c r="T75" s="198"/>
      <c r="U75" s="198"/>
    </row>
    <row r="76" spans="1:21" s="12" customFormat="1" x14ac:dyDescent="0.25">
      <c r="A76" s="217" t="s">
        <v>1941</v>
      </c>
      <c r="B76" s="64">
        <v>8.07</v>
      </c>
      <c r="C76" s="64">
        <v>3.09</v>
      </c>
      <c r="D76" s="64">
        <v>11.86</v>
      </c>
      <c r="E76" s="64">
        <v>3.62</v>
      </c>
      <c r="F76" s="64">
        <v>4.3</v>
      </c>
      <c r="G76" s="64">
        <v>24.35</v>
      </c>
      <c r="H76" s="64">
        <v>12.62</v>
      </c>
      <c r="I76" s="64">
        <v>7.11</v>
      </c>
      <c r="J76" s="64">
        <v>1.55</v>
      </c>
      <c r="K76" s="64">
        <v>113.52</v>
      </c>
      <c r="L76" s="64">
        <v>28.78</v>
      </c>
      <c r="M76" s="64">
        <v>73.59</v>
      </c>
      <c r="N76" s="64">
        <v>161.4</v>
      </c>
      <c r="O76" s="64">
        <v>0</v>
      </c>
      <c r="P76" s="64">
        <v>0.34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7" t="s">
        <v>1942</v>
      </c>
      <c r="B77" s="64">
        <v>8.06</v>
      </c>
      <c r="C77" s="64">
        <v>3.08</v>
      </c>
      <c r="D77" s="64">
        <v>11.85</v>
      </c>
      <c r="E77" s="64">
        <v>3.83</v>
      </c>
      <c r="F77" s="64">
        <v>4.33</v>
      </c>
      <c r="G77" s="64">
        <v>24.35</v>
      </c>
      <c r="H77" s="64">
        <v>12.62</v>
      </c>
      <c r="I77" s="64">
        <v>7.09</v>
      </c>
      <c r="J77" s="64">
        <v>1.28</v>
      </c>
      <c r="K77" s="64">
        <v>117.15</v>
      </c>
      <c r="L77" s="64">
        <v>28.6</v>
      </c>
      <c r="M77" s="64">
        <v>76.2</v>
      </c>
      <c r="N77" s="64">
        <v>156.69999999999999</v>
      </c>
      <c r="O77" s="64">
        <v>0</v>
      </c>
      <c r="P77" s="64">
        <v>0.33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7" t="s">
        <v>1943</v>
      </c>
      <c r="B78" s="64">
        <v>8.0500000000000007</v>
      </c>
      <c r="C78" s="64">
        <v>3</v>
      </c>
      <c r="D78" s="64">
        <v>11.8</v>
      </c>
      <c r="E78" s="64">
        <v>3.61</v>
      </c>
      <c r="F78" s="64">
        <v>4.5999999999999996</v>
      </c>
      <c r="G78" s="64">
        <v>24.35</v>
      </c>
      <c r="H78" s="64">
        <v>12.62</v>
      </c>
      <c r="I78" s="64">
        <v>7.23</v>
      </c>
      <c r="J78" s="64">
        <v>1.43</v>
      </c>
      <c r="K78" s="64">
        <v>111.35</v>
      </c>
      <c r="L78" s="64">
        <v>28.59</v>
      </c>
      <c r="M78" s="64">
        <v>76.87</v>
      </c>
      <c r="N78" s="64">
        <v>149.30000000000001</v>
      </c>
      <c r="O78" s="64">
        <v>0</v>
      </c>
      <c r="P78" s="64">
        <v>0.33</v>
      </c>
      <c r="Q78" s="64">
        <v>9.5</v>
      </c>
      <c r="R78" s="198"/>
      <c r="S78" s="198"/>
      <c r="T78" s="198"/>
      <c r="U78" s="198"/>
    </row>
    <row r="79" spans="1:21" s="12" customFormat="1" x14ac:dyDescent="0.25">
      <c r="A79" s="217" t="s">
        <v>1944</v>
      </c>
      <c r="B79" s="64">
        <v>8.0299999999999994</v>
      </c>
      <c r="C79" s="64">
        <v>3.05</v>
      </c>
      <c r="D79" s="64">
        <v>11.81</v>
      </c>
      <c r="E79" s="64">
        <v>4.0199999999999996</v>
      </c>
      <c r="F79" s="64">
        <v>3.68</v>
      </c>
      <c r="G79" s="64">
        <v>24.34</v>
      </c>
      <c r="H79" s="64">
        <v>13.31</v>
      </c>
      <c r="I79" s="64">
        <v>7.26</v>
      </c>
      <c r="J79" s="64">
        <v>1.1399999999999999</v>
      </c>
      <c r="K79" s="64">
        <v>107.23</v>
      </c>
      <c r="L79" s="64">
        <v>28.46</v>
      </c>
      <c r="M79" s="64">
        <v>78</v>
      </c>
      <c r="N79" s="64">
        <v>134</v>
      </c>
      <c r="O79" s="64">
        <v>0</v>
      </c>
      <c r="P79" s="64">
        <v>0.33</v>
      </c>
      <c r="Q79" s="64">
        <v>9.51</v>
      </c>
      <c r="R79" s="198"/>
      <c r="S79" s="198"/>
      <c r="T79" s="198"/>
      <c r="U79" s="198"/>
    </row>
    <row r="80" spans="1:21" s="12" customFormat="1" x14ac:dyDescent="0.25">
      <c r="A80" s="217" t="s">
        <v>1945</v>
      </c>
      <c r="B80" s="64">
        <v>8.02</v>
      </c>
      <c r="C80" s="64">
        <v>3.05</v>
      </c>
      <c r="D80" s="64">
        <v>11.8</v>
      </c>
      <c r="E80" s="64">
        <v>3.89</v>
      </c>
      <c r="F80" s="64">
        <v>3.48</v>
      </c>
      <c r="G80" s="64">
        <v>24.31</v>
      </c>
      <c r="H80" s="64">
        <v>14.29</v>
      </c>
      <c r="I80" s="64">
        <v>7.24</v>
      </c>
      <c r="J80" s="64">
        <v>0.23</v>
      </c>
      <c r="K80" s="64">
        <v>92.91</v>
      </c>
      <c r="L80" s="64">
        <v>28.43</v>
      </c>
      <c r="M80" s="64">
        <v>78.180000000000007</v>
      </c>
      <c r="N80" s="64">
        <v>106.8</v>
      </c>
      <c r="O80" s="64">
        <v>0</v>
      </c>
      <c r="P80" s="64">
        <v>0.33</v>
      </c>
      <c r="Q80" s="64">
        <v>9.43</v>
      </c>
      <c r="R80" s="198"/>
      <c r="S80" s="198"/>
      <c r="T80" s="198"/>
      <c r="U80" s="198"/>
    </row>
    <row r="81" spans="1:26" s="12" customFormat="1" x14ac:dyDescent="0.25">
      <c r="A81" s="217" t="s">
        <v>1946</v>
      </c>
      <c r="B81" s="64">
        <v>8.0399999999999991</v>
      </c>
      <c r="C81" s="64">
        <v>3.06</v>
      </c>
      <c r="D81" s="64">
        <v>11.82</v>
      </c>
      <c r="E81" s="64">
        <v>3.73</v>
      </c>
      <c r="F81" s="64">
        <v>4.2300000000000004</v>
      </c>
      <c r="G81" s="64">
        <v>24.31</v>
      </c>
      <c r="H81" s="64">
        <v>14.29</v>
      </c>
      <c r="I81" s="64">
        <v>7.15</v>
      </c>
      <c r="J81" s="64">
        <v>0.21</v>
      </c>
      <c r="K81" s="64">
        <v>81.62</v>
      </c>
      <c r="L81" s="64">
        <v>28.24</v>
      </c>
      <c r="M81" s="64">
        <v>78</v>
      </c>
      <c r="N81" s="64">
        <v>91.8</v>
      </c>
      <c r="O81" s="64">
        <v>0</v>
      </c>
      <c r="P81" s="64">
        <v>0.35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17" t="s">
        <v>1947</v>
      </c>
      <c r="B82" s="64">
        <v>8.0399999999999991</v>
      </c>
      <c r="C82" s="64">
        <v>3.07</v>
      </c>
      <c r="D82" s="64">
        <v>11.83</v>
      </c>
      <c r="E82" s="64">
        <v>3.87</v>
      </c>
      <c r="F82" s="64">
        <v>3.56</v>
      </c>
      <c r="G82" s="64">
        <v>24.31</v>
      </c>
      <c r="H82" s="64">
        <v>14.29</v>
      </c>
      <c r="I82" s="64">
        <v>6.98</v>
      </c>
      <c r="J82" s="64">
        <v>1.22</v>
      </c>
      <c r="K82" s="64">
        <v>113.48</v>
      </c>
      <c r="L82" s="64">
        <v>28.06</v>
      </c>
      <c r="M82" s="64">
        <v>77.61</v>
      </c>
      <c r="N82" s="64">
        <v>79.8</v>
      </c>
      <c r="O82" s="64">
        <v>0</v>
      </c>
      <c r="P82" s="64">
        <v>0.38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7" t="s">
        <v>1948</v>
      </c>
      <c r="B83" s="64">
        <v>8.0500000000000007</v>
      </c>
      <c r="C83" s="64">
        <v>3.12</v>
      </c>
      <c r="D83" s="64">
        <v>11.86</v>
      </c>
      <c r="E83" s="64">
        <v>3.94</v>
      </c>
      <c r="F83" s="64">
        <v>3.52</v>
      </c>
      <c r="G83" s="64">
        <v>32.81</v>
      </c>
      <c r="H83" s="64">
        <v>12.99</v>
      </c>
      <c r="I83" s="64">
        <v>6.81</v>
      </c>
      <c r="J83" s="64">
        <v>1.1100000000000001</v>
      </c>
      <c r="K83" s="64">
        <v>117.99</v>
      </c>
      <c r="L83" s="64">
        <v>27.98</v>
      </c>
      <c r="M83" s="64">
        <v>78.3</v>
      </c>
      <c r="N83" s="64">
        <v>73.3</v>
      </c>
      <c r="O83" s="64">
        <v>0</v>
      </c>
      <c r="P83" s="64">
        <v>0.37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17" t="s">
        <v>1949</v>
      </c>
      <c r="B84" s="64">
        <v>8.0500000000000007</v>
      </c>
      <c r="C84" s="64">
        <v>3.09</v>
      </c>
      <c r="D84" s="64">
        <v>11.84</v>
      </c>
      <c r="E84" s="64">
        <v>3.59</v>
      </c>
      <c r="F84" s="64">
        <v>4.04</v>
      </c>
      <c r="G84" s="64">
        <v>44.98</v>
      </c>
      <c r="H84" s="64">
        <v>11.13</v>
      </c>
      <c r="I84" s="64">
        <v>6.67</v>
      </c>
      <c r="J84" s="64">
        <v>1.1299999999999999</v>
      </c>
      <c r="K84" s="64">
        <v>109.3</v>
      </c>
      <c r="L84" s="64">
        <v>27.91</v>
      </c>
      <c r="M84" s="64">
        <v>80.16</v>
      </c>
      <c r="N84" s="64">
        <v>71.7</v>
      </c>
      <c r="O84" s="64">
        <v>0</v>
      </c>
      <c r="P84" s="64">
        <v>0.37</v>
      </c>
      <c r="Q84" s="64">
        <v>9.44</v>
      </c>
      <c r="R84" s="198"/>
      <c r="S84" s="198"/>
      <c r="T84" s="198"/>
      <c r="U84" s="198"/>
    </row>
    <row r="85" spans="1:26" s="12" customFormat="1" x14ac:dyDescent="0.25">
      <c r="A85" s="217" t="s">
        <v>1950</v>
      </c>
      <c r="B85" s="64">
        <v>8.07</v>
      </c>
      <c r="C85" s="64">
        <v>3.1</v>
      </c>
      <c r="D85" s="64">
        <v>11.87</v>
      </c>
      <c r="E85" s="64">
        <v>3.76</v>
      </c>
      <c r="F85" s="64">
        <v>3.31</v>
      </c>
      <c r="G85" s="64">
        <v>44.98</v>
      </c>
      <c r="H85" s="64">
        <v>11.13</v>
      </c>
      <c r="I85" s="64">
        <v>6.54</v>
      </c>
      <c r="J85" s="64">
        <v>0.82</v>
      </c>
      <c r="K85" s="64">
        <v>100.73</v>
      </c>
      <c r="L85" s="64">
        <v>27.87</v>
      </c>
      <c r="M85" s="64">
        <v>82.09</v>
      </c>
      <c r="N85" s="64">
        <v>71.599999999999994</v>
      </c>
      <c r="O85" s="64">
        <v>0</v>
      </c>
      <c r="P85" s="64">
        <v>0.42</v>
      </c>
      <c r="Q85" s="64">
        <v>9.4700000000000006</v>
      </c>
      <c r="R85" s="198"/>
      <c r="S85" s="198"/>
      <c r="T85" s="198"/>
      <c r="U85" s="198"/>
    </row>
    <row r="86" spans="1:26" s="12" customFormat="1" x14ac:dyDescent="0.25">
      <c r="A86" s="217" t="s">
        <v>1951</v>
      </c>
      <c r="B86" s="64">
        <v>8.06</v>
      </c>
      <c r="C86" s="64">
        <v>3.15</v>
      </c>
      <c r="D86" s="64">
        <v>11.88</v>
      </c>
      <c r="E86" s="64">
        <v>3.69</v>
      </c>
      <c r="F86" s="64">
        <v>3.67</v>
      </c>
      <c r="G86" s="64">
        <v>44.98</v>
      </c>
      <c r="H86" s="64">
        <v>11.13</v>
      </c>
      <c r="I86" s="64">
        <v>6.49</v>
      </c>
      <c r="J86" s="64">
        <v>0.15</v>
      </c>
      <c r="K86" s="64">
        <v>217.01</v>
      </c>
      <c r="L86" s="64">
        <v>27.61</v>
      </c>
      <c r="M86" s="64">
        <v>85.04</v>
      </c>
      <c r="N86" s="64">
        <v>72</v>
      </c>
      <c r="O86" s="64">
        <v>0</v>
      </c>
      <c r="P86" s="64">
        <v>0.45</v>
      </c>
      <c r="Q86" s="64">
        <v>9.41</v>
      </c>
      <c r="R86" s="198"/>
      <c r="S86" s="198"/>
      <c r="T86" s="198"/>
      <c r="U86" s="198"/>
    </row>
    <row r="87" spans="1:26" s="12" customFormat="1" x14ac:dyDescent="0.25">
      <c r="A87" s="217" t="s">
        <v>1952</v>
      </c>
      <c r="B87" s="64">
        <v>8.09</v>
      </c>
      <c r="C87" s="64">
        <v>3.25</v>
      </c>
      <c r="D87" s="64">
        <v>11.96</v>
      </c>
      <c r="E87" s="64">
        <v>3.36</v>
      </c>
      <c r="F87" s="64">
        <v>3.84</v>
      </c>
      <c r="G87" s="64">
        <v>45.9</v>
      </c>
      <c r="H87" s="64">
        <v>12.2</v>
      </c>
      <c r="I87" s="64">
        <v>6.43</v>
      </c>
      <c r="J87" s="64">
        <v>0.31</v>
      </c>
      <c r="K87" s="64">
        <v>18.37</v>
      </c>
      <c r="L87" s="64">
        <v>27.4</v>
      </c>
      <c r="M87" s="64">
        <v>89.07</v>
      </c>
      <c r="N87" s="64">
        <v>71.900000000000006</v>
      </c>
      <c r="O87" s="64">
        <v>0</v>
      </c>
      <c r="P87" s="64">
        <v>0.47</v>
      </c>
      <c r="Q87" s="64">
        <v>9.43</v>
      </c>
      <c r="R87" s="198"/>
      <c r="S87" s="198"/>
      <c r="T87" s="198"/>
      <c r="U87" s="198"/>
    </row>
    <row r="88" spans="1:26" s="12" customFormat="1" x14ac:dyDescent="0.25">
      <c r="A88" s="217" t="s">
        <v>1953</v>
      </c>
      <c r="B88" s="64">
        <v>8.08</v>
      </c>
      <c r="C88" s="64">
        <v>3.25</v>
      </c>
      <c r="D88" s="64">
        <v>11.95</v>
      </c>
      <c r="E88" s="64">
        <v>5.25</v>
      </c>
      <c r="F88" s="64">
        <v>3.81</v>
      </c>
      <c r="G88" s="64">
        <v>47.22</v>
      </c>
      <c r="H88" s="64">
        <v>13.75</v>
      </c>
      <c r="I88" s="64">
        <v>6.31</v>
      </c>
      <c r="J88" s="64">
        <v>0.77</v>
      </c>
      <c r="K88" s="64">
        <v>121.39</v>
      </c>
      <c r="L88" s="64">
        <v>27.13</v>
      </c>
      <c r="M88" s="64">
        <v>87.96</v>
      </c>
      <c r="N88" s="64">
        <v>71.400000000000006</v>
      </c>
      <c r="O88" s="64">
        <v>0</v>
      </c>
      <c r="P88" s="64">
        <v>0.51</v>
      </c>
      <c r="Q88" s="64">
        <v>9.5</v>
      </c>
      <c r="R88" s="198"/>
      <c r="S88" s="198"/>
      <c r="T88" s="198"/>
      <c r="U88" s="198"/>
    </row>
    <row r="89" spans="1:26" s="12" customFormat="1" x14ac:dyDescent="0.25">
      <c r="A89" s="217" t="s">
        <v>1954</v>
      </c>
      <c r="B89" s="64">
        <v>8.08</v>
      </c>
      <c r="C89" s="64">
        <v>3.22</v>
      </c>
      <c r="D89" s="64">
        <v>11.93</v>
      </c>
      <c r="E89" s="64">
        <v>4.87</v>
      </c>
      <c r="F89" s="64">
        <v>2.63</v>
      </c>
      <c r="G89" s="64">
        <v>47.22</v>
      </c>
      <c r="H89" s="64">
        <v>13.75</v>
      </c>
      <c r="I89" s="64">
        <v>6.25</v>
      </c>
      <c r="J89" s="64">
        <v>0.08</v>
      </c>
      <c r="K89" s="64">
        <v>235.45</v>
      </c>
      <c r="L89" s="64">
        <v>27.41</v>
      </c>
      <c r="M89" s="64">
        <v>84.91</v>
      </c>
      <c r="N89" s="64">
        <v>71.599999999999994</v>
      </c>
      <c r="O89" s="64">
        <v>0</v>
      </c>
      <c r="P89" s="64">
        <v>0.52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7" t="s">
        <v>1955</v>
      </c>
      <c r="B90" s="64">
        <v>8.08</v>
      </c>
      <c r="C90" s="64">
        <v>3.14</v>
      </c>
      <c r="D90" s="64">
        <v>11.89</v>
      </c>
      <c r="E90" s="64">
        <v>4.71</v>
      </c>
      <c r="F90" s="64">
        <v>3.36</v>
      </c>
      <c r="G90" s="64">
        <v>47.22</v>
      </c>
      <c r="H90" s="64">
        <v>13.75</v>
      </c>
      <c r="I90" s="64">
        <v>6.24</v>
      </c>
      <c r="J90" s="64">
        <v>0.46</v>
      </c>
      <c r="K90" s="64">
        <v>232.79</v>
      </c>
      <c r="L90" s="64">
        <v>27.03</v>
      </c>
      <c r="M90" s="64">
        <v>89.89</v>
      </c>
      <c r="N90" s="64">
        <v>71.8</v>
      </c>
      <c r="O90" s="64">
        <v>0</v>
      </c>
      <c r="P90" s="64">
        <v>0.53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7" t="s">
        <v>1956</v>
      </c>
      <c r="B91" s="64">
        <v>8.08</v>
      </c>
      <c r="C91" s="64">
        <v>3.07</v>
      </c>
      <c r="D91" s="64">
        <v>11.86</v>
      </c>
      <c r="E91" s="64">
        <v>4.6900000000000004</v>
      </c>
      <c r="F91" s="64">
        <v>3.59</v>
      </c>
      <c r="G91" s="64">
        <v>47.41</v>
      </c>
      <c r="H91" s="64">
        <v>13.99</v>
      </c>
      <c r="I91" s="64">
        <v>6.21</v>
      </c>
      <c r="J91" s="64">
        <v>0.48</v>
      </c>
      <c r="K91" s="64">
        <v>200.96</v>
      </c>
      <c r="L91" s="64">
        <v>26.81</v>
      </c>
      <c r="M91" s="64">
        <v>89.94</v>
      </c>
      <c r="N91" s="64">
        <v>71.7</v>
      </c>
      <c r="O91" s="64">
        <v>0</v>
      </c>
      <c r="P91" s="64">
        <v>0.54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17" t="s">
        <v>1957</v>
      </c>
      <c r="B92" s="64">
        <v>8.08</v>
      </c>
      <c r="C92" s="64">
        <v>3.06</v>
      </c>
      <c r="D92" s="64">
        <v>11.85</v>
      </c>
      <c r="E92" s="64">
        <v>4.57</v>
      </c>
      <c r="F92" s="64">
        <v>3.46</v>
      </c>
      <c r="G92" s="64">
        <v>47.68</v>
      </c>
      <c r="H92" s="64">
        <v>14.34</v>
      </c>
      <c r="I92" s="64">
        <v>6.17</v>
      </c>
      <c r="J92" s="64">
        <v>0.42</v>
      </c>
      <c r="K92" s="64">
        <v>233.64</v>
      </c>
      <c r="L92" s="64">
        <v>26.58</v>
      </c>
      <c r="M92" s="64">
        <v>90.18</v>
      </c>
      <c r="N92" s="64">
        <v>71.7</v>
      </c>
      <c r="O92" s="64">
        <v>0</v>
      </c>
      <c r="P92" s="64">
        <v>0.54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7" t="s">
        <v>1958</v>
      </c>
      <c r="B93" s="64">
        <v>8.09</v>
      </c>
      <c r="C93" s="64">
        <v>3.04</v>
      </c>
      <c r="D93" s="64">
        <v>11.84</v>
      </c>
      <c r="E93" s="64">
        <v>4.8600000000000003</v>
      </c>
      <c r="F93" s="64">
        <v>3.52</v>
      </c>
      <c r="G93" s="64">
        <v>47.68</v>
      </c>
      <c r="H93" s="64">
        <v>14.34</v>
      </c>
      <c r="I93" s="64">
        <v>6.14</v>
      </c>
      <c r="J93" s="64">
        <v>0.52</v>
      </c>
      <c r="K93" s="64">
        <v>342.99</v>
      </c>
      <c r="L93" s="64">
        <v>26.29</v>
      </c>
      <c r="M93" s="64">
        <v>94.15</v>
      </c>
      <c r="N93" s="64">
        <v>71.7</v>
      </c>
      <c r="O93" s="64">
        <v>0</v>
      </c>
      <c r="P93" s="64">
        <v>0.57999999999999996</v>
      </c>
      <c r="Q93" s="64">
        <v>9.4700000000000006</v>
      </c>
      <c r="R93" s="198"/>
      <c r="S93" s="198"/>
      <c r="T93" s="198"/>
      <c r="U93" s="198"/>
    </row>
    <row r="94" spans="1:26" s="12" customFormat="1" x14ac:dyDescent="0.25">
      <c r="A94" s="217" t="s">
        <v>1959</v>
      </c>
      <c r="B94" s="64">
        <v>8.09</v>
      </c>
      <c r="C94" s="64">
        <v>3.01</v>
      </c>
      <c r="D94" s="64">
        <v>11.83</v>
      </c>
      <c r="E94" s="64">
        <v>4.9800000000000004</v>
      </c>
      <c r="F94" s="64">
        <v>3.43</v>
      </c>
      <c r="G94" s="64">
        <v>47.68</v>
      </c>
      <c r="H94" s="64">
        <v>14.34</v>
      </c>
      <c r="I94" s="64">
        <v>6.1</v>
      </c>
      <c r="J94" s="64">
        <v>0.27</v>
      </c>
      <c r="K94" s="64">
        <v>336.1</v>
      </c>
      <c r="L94" s="64">
        <v>26.22</v>
      </c>
      <c r="M94" s="64">
        <v>94.95</v>
      </c>
      <c r="N94" s="64">
        <v>71.5</v>
      </c>
      <c r="O94" s="64">
        <v>0</v>
      </c>
      <c r="P94" s="64">
        <v>0.62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7" t="s">
        <v>1960</v>
      </c>
      <c r="B95" s="64">
        <v>8.1199999999999992</v>
      </c>
      <c r="C95" s="64">
        <v>3.13</v>
      </c>
      <c r="D95" s="64">
        <v>11.92</v>
      </c>
      <c r="E95" s="64">
        <v>5.17</v>
      </c>
      <c r="F95" s="64">
        <v>6.19</v>
      </c>
      <c r="G95" s="64">
        <v>56.41</v>
      </c>
      <c r="H95" s="64">
        <v>14.33</v>
      </c>
      <c r="I95" s="64">
        <v>6.33</v>
      </c>
      <c r="J95" s="64">
        <v>0.54</v>
      </c>
      <c r="K95" s="64">
        <v>329.27</v>
      </c>
      <c r="L95" s="64">
        <v>26.33</v>
      </c>
      <c r="M95" s="64">
        <v>93.51</v>
      </c>
      <c r="N95" s="64">
        <v>71.5</v>
      </c>
      <c r="O95" s="64">
        <v>0</v>
      </c>
      <c r="P95" s="64">
        <v>0.67</v>
      </c>
      <c r="Q95" s="64">
        <v>9.52</v>
      </c>
      <c r="R95" s="198"/>
      <c r="S95" s="198"/>
      <c r="T95" s="198"/>
      <c r="U95" s="198"/>
    </row>
    <row r="96" spans="1:26" s="12" customFormat="1" x14ac:dyDescent="0.25">
      <c r="A96" s="217" t="s">
        <v>1961</v>
      </c>
      <c r="B96" s="64">
        <v>8.1199999999999992</v>
      </c>
      <c r="C96" s="64">
        <v>3.29</v>
      </c>
      <c r="D96" s="64">
        <v>12</v>
      </c>
      <c r="E96" s="64">
        <v>5.38</v>
      </c>
      <c r="F96" s="64">
        <v>8.73</v>
      </c>
      <c r="G96" s="64">
        <v>69.510000000000005</v>
      </c>
      <c r="H96" s="64">
        <v>14.32</v>
      </c>
      <c r="I96" s="64">
        <v>6.59</v>
      </c>
      <c r="J96" s="64">
        <v>0.42</v>
      </c>
      <c r="K96" s="64">
        <v>325.85000000000002</v>
      </c>
      <c r="L96" s="64">
        <v>26.34</v>
      </c>
      <c r="M96" s="64">
        <v>92.32</v>
      </c>
      <c r="N96" s="64">
        <v>71.7</v>
      </c>
      <c r="O96" s="64">
        <v>0</v>
      </c>
      <c r="P96" s="64">
        <v>0.8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1962</v>
      </c>
      <c r="B97" s="64">
        <v>8.0399999999999991</v>
      </c>
      <c r="C97" s="64">
        <v>3.2</v>
      </c>
      <c r="D97" s="64">
        <v>11.9</v>
      </c>
      <c r="E97" s="64">
        <v>5.19</v>
      </c>
      <c r="F97" s="64">
        <v>2.72</v>
      </c>
      <c r="G97" s="64">
        <v>69.510000000000005</v>
      </c>
      <c r="H97" s="64">
        <v>14.32</v>
      </c>
      <c r="I97" s="64">
        <v>5.25</v>
      </c>
      <c r="J97" s="64">
        <v>0.75</v>
      </c>
      <c r="K97" s="64">
        <v>331.44</v>
      </c>
      <c r="L97" s="64">
        <v>26.26</v>
      </c>
      <c r="M97" s="64">
        <v>91.96</v>
      </c>
      <c r="N97" s="64">
        <v>71.5</v>
      </c>
      <c r="O97" s="64">
        <v>0</v>
      </c>
      <c r="P97" s="64">
        <v>0.86</v>
      </c>
      <c r="Q97" s="64">
        <v>9.4</v>
      </c>
      <c r="R97" s="198"/>
      <c r="S97" s="198"/>
      <c r="T97" s="198"/>
      <c r="U97" s="198"/>
    </row>
    <row r="98" spans="1:33" s="12" customFormat="1" x14ac:dyDescent="0.25">
      <c r="A98" s="217" t="s">
        <v>1963</v>
      </c>
      <c r="B98" s="64">
        <v>8.0399999999999991</v>
      </c>
      <c r="C98" s="64">
        <v>3.16</v>
      </c>
      <c r="D98" s="64">
        <v>11.87</v>
      </c>
      <c r="E98" s="64">
        <v>5.01</v>
      </c>
      <c r="F98" s="64">
        <v>3.54</v>
      </c>
      <c r="G98" s="64">
        <v>69.510000000000005</v>
      </c>
      <c r="H98" s="64">
        <v>14.32</v>
      </c>
      <c r="I98" s="64">
        <v>3.62</v>
      </c>
      <c r="J98" s="64">
        <v>0.67</v>
      </c>
      <c r="K98" s="64">
        <v>0.93</v>
      </c>
      <c r="L98" s="64">
        <v>26.27</v>
      </c>
      <c r="M98" s="64">
        <v>91.64</v>
      </c>
      <c r="N98" s="64">
        <v>71.400000000000006</v>
      </c>
      <c r="O98" s="64">
        <v>0</v>
      </c>
      <c r="P98" s="64">
        <v>0.85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7" t="s">
        <v>1964</v>
      </c>
      <c r="B99" s="64">
        <v>8.0500000000000007</v>
      </c>
      <c r="C99" s="64">
        <v>3.18</v>
      </c>
      <c r="D99" s="64">
        <v>11.89</v>
      </c>
      <c r="E99" s="64">
        <v>4.8600000000000003</v>
      </c>
      <c r="F99" s="64">
        <v>6.57</v>
      </c>
      <c r="G99" s="64">
        <v>71.14</v>
      </c>
      <c r="H99" s="64">
        <v>14.13</v>
      </c>
      <c r="I99" s="64">
        <v>3.18</v>
      </c>
      <c r="J99" s="64">
        <v>0.09</v>
      </c>
      <c r="K99" s="64">
        <v>70.739999999999995</v>
      </c>
      <c r="L99" s="64">
        <v>26.23</v>
      </c>
      <c r="M99" s="64">
        <v>89.95</v>
      </c>
      <c r="N99" s="64">
        <v>71.7</v>
      </c>
      <c r="O99" s="64">
        <v>0</v>
      </c>
      <c r="P99" s="64">
        <v>0.82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7" t="s">
        <v>1965</v>
      </c>
      <c r="B100" s="64">
        <v>8.01</v>
      </c>
      <c r="C100" s="64">
        <v>3.13</v>
      </c>
      <c r="D100" s="64">
        <v>11.83</v>
      </c>
      <c r="E100" s="64">
        <v>4.8600000000000003</v>
      </c>
      <c r="F100" s="64">
        <v>9.7100000000000009</v>
      </c>
      <c r="G100" s="64">
        <v>73.48</v>
      </c>
      <c r="H100" s="64">
        <v>13.85</v>
      </c>
      <c r="I100" s="64">
        <v>3.29</v>
      </c>
      <c r="J100" s="64">
        <v>0.5</v>
      </c>
      <c r="K100" s="64">
        <v>111.55</v>
      </c>
      <c r="L100" s="64">
        <v>26.1</v>
      </c>
      <c r="M100" s="64">
        <v>91</v>
      </c>
      <c r="N100" s="64">
        <v>72</v>
      </c>
      <c r="O100" s="64">
        <v>0</v>
      </c>
      <c r="P100" s="64">
        <v>0.72</v>
      </c>
      <c r="Q100" s="64">
        <v>9.65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1966</v>
      </c>
      <c r="B101" s="64">
        <v>8</v>
      </c>
      <c r="C101" s="64">
        <v>3.07</v>
      </c>
      <c r="D101" s="64">
        <v>11.79</v>
      </c>
      <c r="E101" s="64">
        <v>4.9400000000000004</v>
      </c>
      <c r="F101" s="64">
        <v>9.0399999999999991</v>
      </c>
      <c r="G101" s="64">
        <v>73.48</v>
      </c>
      <c r="H101" s="64">
        <v>13.85</v>
      </c>
      <c r="I101" s="64">
        <v>3.03</v>
      </c>
      <c r="J101" s="64">
        <v>0.49</v>
      </c>
      <c r="K101" s="64">
        <v>78.19</v>
      </c>
      <c r="L101" s="64">
        <v>25.96</v>
      </c>
      <c r="M101" s="64">
        <v>91.03</v>
      </c>
      <c r="N101" s="64">
        <v>71.8</v>
      </c>
      <c r="O101" s="64">
        <v>0</v>
      </c>
      <c r="P101" s="64">
        <v>0.62</v>
      </c>
      <c r="Q101" s="64">
        <v>9.48</v>
      </c>
      <c r="R101" s="198"/>
      <c r="S101" s="198"/>
      <c r="T101" s="198"/>
      <c r="U101" s="198"/>
    </row>
    <row r="102" spans="1:33" s="12" customFormat="1" x14ac:dyDescent="0.25">
      <c r="A102" s="217" t="s">
        <v>1967</v>
      </c>
      <c r="B102" s="64">
        <v>8.02</v>
      </c>
      <c r="C102" s="64">
        <v>3.29</v>
      </c>
      <c r="D102" s="64">
        <v>11.92</v>
      </c>
      <c r="E102" s="64">
        <v>4.88</v>
      </c>
      <c r="F102" s="64">
        <v>5.89</v>
      </c>
      <c r="G102" s="64">
        <v>73.48</v>
      </c>
      <c r="H102" s="64">
        <v>13.85</v>
      </c>
      <c r="I102" s="64">
        <v>2.63</v>
      </c>
      <c r="J102" s="64">
        <v>0.37</v>
      </c>
      <c r="K102" s="64">
        <v>123.79</v>
      </c>
      <c r="L102" s="64">
        <v>25.93</v>
      </c>
      <c r="M102" s="64">
        <v>94.93</v>
      </c>
      <c r="N102" s="64">
        <v>72</v>
      </c>
      <c r="O102" s="64">
        <v>0</v>
      </c>
      <c r="P102" s="64">
        <v>0.64</v>
      </c>
      <c r="Q102" s="64">
        <v>9.3699999999999992</v>
      </c>
      <c r="R102" s="198"/>
      <c r="S102" s="198"/>
      <c r="T102" s="198"/>
      <c r="U102" s="198"/>
    </row>
    <row r="103" spans="1:33" s="12" customFormat="1" x14ac:dyDescent="0.25">
      <c r="A103" s="217" t="s">
        <v>1968</v>
      </c>
      <c r="B103" s="64">
        <v>8.02</v>
      </c>
      <c r="C103" s="64">
        <v>3.15</v>
      </c>
      <c r="D103" s="64">
        <v>11.85</v>
      </c>
      <c r="E103" s="64">
        <v>4.41</v>
      </c>
      <c r="F103" s="64">
        <v>4.03</v>
      </c>
      <c r="G103" s="64">
        <v>71.47</v>
      </c>
      <c r="H103" s="64">
        <v>14.47</v>
      </c>
      <c r="I103" s="64">
        <v>2.5</v>
      </c>
      <c r="J103" s="64">
        <v>0.13</v>
      </c>
      <c r="K103" s="64">
        <v>97.61</v>
      </c>
      <c r="L103" s="64">
        <v>25.99</v>
      </c>
      <c r="M103" s="64">
        <v>92.21</v>
      </c>
      <c r="N103" s="64">
        <v>71.8</v>
      </c>
      <c r="O103" s="64">
        <v>0</v>
      </c>
      <c r="P103" s="64">
        <v>0.65</v>
      </c>
      <c r="Q103" s="64">
        <v>9.36</v>
      </c>
      <c r="R103" s="198"/>
      <c r="S103" s="198"/>
      <c r="T103" s="198"/>
      <c r="U103" s="198"/>
    </row>
    <row r="104" spans="1:33" s="12" customFormat="1" x14ac:dyDescent="0.25">
      <c r="A104" s="217" t="s">
        <v>1969</v>
      </c>
      <c r="B104" s="64">
        <v>8.0299999999999994</v>
      </c>
      <c r="C104" s="64">
        <v>3.16</v>
      </c>
      <c r="D104" s="64">
        <v>11.86</v>
      </c>
      <c r="E104" s="64">
        <v>3.9</v>
      </c>
      <c r="F104" s="64">
        <v>3.74</v>
      </c>
      <c r="G104" s="64">
        <v>68.45</v>
      </c>
      <c r="H104" s="64">
        <v>15.4</v>
      </c>
      <c r="I104" s="64">
        <v>2.72</v>
      </c>
      <c r="J104" s="64">
        <v>0.25</v>
      </c>
      <c r="K104" s="64">
        <v>112.84</v>
      </c>
      <c r="L104" s="64">
        <v>26.13</v>
      </c>
      <c r="M104" s="64">
        <v>97.42</v>
      </c>
      <c r="N104" s="64">
        <v>72</v>
      </c>
      <c r="O104" s="64">
        <v>0</v>
      </c>
      <c r="P104" s="64">
        <v>0.65</v>
      </c>
      <c r="Q104" s="64">
        <v>9.43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</v>
      </c>
      <c r="C106" s="67">
        <f>MIN(C9:C104)</f>
        <v>3</v>
      </c>
      <c r="D106" s="67">
        <f t="shared" ref="D106:Q106" si="0">MIN(D9:D104)</f>
        <v>11.79</v>
      </c>
      <c r="E106" s="67">
        <f t="shared" si="0"/>
        <v>2.8</v>
      </c>
      <c r="F106" s="67">
        <f t="shared" si="0"/>
        <v>2.63</v>
      </c>
      <c r="G106" s="67">
        <f t="shared" si="0"/>
        <v>6.26</v>
      </c>
      <c r="H106" s="67">
        <f t="shared" si="0"/>
        <v>1.5</v>
      </c>
      <c r="I106" s="67">
        <f t="shared" si="0"/>
        <v>2.5</v>
      </c>
      <c r="J106" s="67">
        <f t="shared" si="0"/>
        <v>0.08</v>
      </c>
      <c r="K106" s="67">
        <f t="shared" si="0"/>
        <v>0.93</v>
      </c>
      <c r="L106" s="67">
        <f t="shared" si="0"/>
        <v>22.99</v>
      </c>
      <c r="M106" s="67">
        <f t="shared" si="0"/>
        <v>67.22</v>
      </c>
      <c r="N106" s="67">
        <f t="shared" si="0"/>
        <v>71.400000000000006</v>
      </c>
      <c r="O106" s="67">
        <f t="shared" si="0"/>
        <v>0</v>
      </c>
      <c r="P106" s="67">
        <f t="shared" si="0"/>
        <v>0.28000000000000003</v>
      </c>
      <c r="Q106" s="67">
        <f t="shared" si="0"/>
        <v>9.33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8.23</v>
      </c>
      <c r="C107" s="66">
        <f t="shared" ref="C107:Q107" si="1">MAX(C9:C104)</f>
        <v>3.47</v>
      </c>
      <c r="D107" s="66">
        <f t="shared" si="1"/>
        <v>12.13</v>
      </c>
      <c r="E107" s="66">
        <f t="shared" si="1"/>
        <v>6.73</v>
      </c>
      <c r="F107" s="66">
        <f t="shared" si="1"/>
        <v>9.7100000000000009</v>
      </c>
      <c r="G107" s="66">
        <f t="shared" si="1"/>
        <v>73.48</v>
      </c>
      <c r="H107" s="66">
        <f t="shared" si="1"/>
        <v>19.71</v>
      </c>
      <c r="I107" s="66">
        <f t="shared" si="1"/>
        <v>7.34</v>
      </c>
      <c r="J107" s="66">
        <f t="shared" si="1"/>
        <v>1.8</v>
      </c>
      <c r="K107" s="66">
        <f t="shared" si="1"/>
        <v>358.92</v>
      </c>
      <c r="L107" s="66">
        <f t="shared" si="1"/>
        <v>31.77</v>
      </c>
      <c r="M107" s="66">
        <f t="shared" si="1"/>
        <v>99.04</v>
      </c>
      <c r="N107" s="66">
        <f t="shared" si="1"/>
        <v>834.4</v>
      </c>
      <c r="O107" s="66">
        <f t="shared" si="1"/>
        <v>0</v>
      </c>
      <c r="P107" s="66">
        <f t="shared" si="1"/>
        <v>0.86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8.0771874999999991</v>
      </c>
      <c r="C108" s="67">
        <f t="shared" ref="C108:Q108" si="2">AVERAGE(C9:C104)</f>
        <v>3.1260416666666671</v>
      </c>
      <c r="D108" s="67">
        <f t="shared" si="2"/>
        <v>11.884062500000001</v>
      </c>
      <c r="E108" s="67">
        <f t="shared" si="2"/>
        <v>4.3458333333333323</v>
      </c>
      <c r="F108" s="67">
        <f t="shared" si="2"/>
        <v>3.9302083333333333</v>
      </c>
      <c r="G108" s="67">
        <f t="shared" si="2"/>
        <v>36.335833333333319</v>
      </c>
      <c r="H108" s="67">
        <f t="shared" si="2"/>
        <v>9.6383333333333354</v>
      </c>
      <c r="I108" s="67">
        <f t="shared" si="2"/>
        <v>5.0138541666666656</v>
      </c>
      <c r="J108" s="67">
        <f t="shared" si="2"/>
        <v>0.62635416666666699</v>
      </c>
      <c r="K108" s="67">
        <f t="shared" si="2"/>
        <v>194.12093749999997</v>
      </c>
      <c r="L108" s="67">
        <f t="shared" si="2"/>
        <v>26.723437499999999</v>
      </c>
      <c r="M108" s="67">
        <f t="shared" si="2"/>
        <v>86.687916666666695</v>
      </c>
      <c r="N108" s="67">
        <f t="shared" si="2"/>
        <v>250.64375000000004</v>
      </c>
      <c r="O108" s="67">
        <f t="shared" si="2"/>
        <v>0</v>
      </c>
      <c r="P108" s="67">
        <f t="shared" si="2"/>
        <v>0.43927083333333322</v>
      </c>
      <c r="Q108" s="67">
        <f t="shared" si="2"/>
        <v>9.4556249999999995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4.0437166983904871E-2</v>
      </c>
      <c r="C109" s="67">
        <f t="shared" ref="C109:Q109" si="3">STDEV(C9:C104)</f>
        <v>8.9460125391638765E-2</v>
      </c>
      <c r="D109" s="67">
        <f t="shared" si="3"/>
        <v>6.9563725044776634E-2</v>
      </c>
      <c r="E109" s="67">
        <f t="shared" si="3"/>
        <v>0.90848012655802513</v>
      </c>
      <c r="F109" s="67">
        <f t="shared" si="3"/>
        <v>1.1238355181830817</v>
      </c>
      <c r="G109" s="67">
        <f t="shared" si="3"/>
        <v>22.674993769704571</v>
      </c>
      <c r="H109" s="67">
        <f t="shared" si="3"/>
        <v>6.3916415265179554</v>
      </c>
      <c r="I109" s="67">
        <f t="shared" si="3"/>
        <v>1.4624149960302133</v>
      </c>
      <c r="J109" s="67">
        <f t="shared" si="3"/>
        <v>0.40500583437426252</v>
      </c>
      <c r="K109" s="67">
        <f t="shared" si="3"/>
        <v>122.82404604343687</v>
      </c>
      <c r="L109" s="67">
        <f t="shared" si="3"/>
        <v>2.7098781592828458</v>
      </c>
      <c r="M109" s="67">
        <f t="shared" si="3"/>
        <v>10.862033435359571</v>
      </c>
      <c r="N109" s="67">
        <f t="shared" si="3"/>
        <v>236.58522301699256</v>
      </c>
      <c r="O109" s="67">
        <f t="shared" si="3"/>
        <v>0</v>
      </c>
      <c r="P109" s="67">
        <f t="shared" si="3"/>
        <v>0.13867223599224143</v>
      </c>
      <c r="Q109" s="67">
        <f t="shared" si="3"/>
        <v>7.6293236231902248E-2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1970</v>
      </c>
      <c r="B9" s="64">
        <v>8.06</v>
      </c>
      <c r="C9" s="64">
        <v>3.22</v>
      </c>
      <c r="D9" s="64">
        <v>11.92</v>
      </c>
      <c r="E9" s="64">
        <v>4.47</v>
      </c>
      <c r="F9" s="64">
        <v>3.54</v>
      </c>
      <c r="G9" s="64">
        <v>68.45</v>
      </c>
      <c r="H9" s="64">
        <v>15.4</v>
      </c>
      <c r="I9" s="64">
        <v>3.09</v>
      </c>
      <c r="J9" s="64">
        <v>0.25</v>
      </c>
      <c r="K9" s="64">
        <v>191.22</v>
      </c>
      <c r="L9" s="64">
        <v>26.15</v>
      </c>
      <c r="M9" s="64">
        <v>94.21</v>
      </c>
      <c r="N9" s="64">
        <v>72</v>
      </c>
      <c r="O9" s="64">
        <v>0</v>
      </c>
      <c r="P9" s="64">
        <v>0.64</v>
      </c>
      <c r="Q9" s="64">
        <v>9.48</v>
      </c>
      <c r="R9" s="198"/>
      <c r="S9" s="198"/>
      <c r="T9" s="198"/>
      <c r="U9" s="198"/>
    </row>
    <row r="10" spans="1:21" s="12" customFormat="1" x14ac:dyDescent="0.25">
      <c r="A10" s="217" t="s">
        <v>1971</v>
      </c>
      <c r="B10" s="64">
        <v>8.1</v>
      </c>
      <c r="C10" s="64">
        <v>3.31</v>
      </c>
      <c r="D10" s="64">
        <v>11.99</v>
      </c>
      <c r="E10" s="64">
        <v>4.5999999999999996</v>
      </c>
      <c r="F10" s="64">
        <v>3.54</v>
      </c>
      <c r="G10" s="64">
        <v>68.45</v>
      </c>
      <c r="H10" s="64">
        <v>15.4</v>
      </c>
      <c r="I10" s="64">
        <v>3.55</v>
      </c>
      <c r="J10" s="64">
        <v>0.49</v>
      </c>
      <c r="K10" s="64">
        <v>96.56</v>
      </c>
      <c r="L10" s="64">
        <v>26.05</v>
      </c>
      <c r="M10" s="64">
        <v>95.99</v>
      </c>
      <c r="N10" s="64">
        <v>72.2</v>
      </c>
      <c r="O10" s="64">
        <v>0</v>
      </c>
      <c r="P10" s="64">
        <v>0.64</v>
      </c>
      <c r="Q10" s="64">
        <v>9.52</v>
      </c>
      <c r="R10" s="198"/>
      <c r="S10" s="198"/>
      <c r="T10" s="198"/>
      <c r="U10" s="198"/>
    </row>
    <row r="11" spans="1:21" s="12" customFormat="1" x14ac:dyDescent="0.25">
      <c r="A11" s="217" t="s">
        <v>1972</v>
      </c>
      <c r="B11" s="64">
        <v>8.11</v>
      </c>
      <c r="C11" s="64">
        <v>3.18</v>
      </c>
      <c r="D11" s="64">
        <v>11.94</v>
      </c>
      <c r="E11" s="64">
        <v>4.29</v>
      </c>
      <c r="F11" s="64">
        <v>3.65</v>
      </c>
      <c r="G11" s="64">
        <v>67.87</v>
      </c>
      <c r="H11" s="64">
        <v>15.67</v>
      </c>
      <c r="I11" s="64">
        <v>3.92</v>
      </c>
      <c r="J11" s="64">
        <v>0.19</v>
      </c>
      <c r="K11" s="64">
        <v>17.34</v>
      </c>
      <c r="L11" s="64">
        <v>25.96</v>
      </c>
      <c r="M11" s="64">
        <v>97.11</v>
      </c>
      <c r="N11" s="64">
        <v>72.2</v>
      </c>
      <c r="O11" s="64">
        <v>0</v>
      </c>
      <c r="P11" s="64">
        <v>0.65</v>
      </c>
      <c r="Q11" s="64">
        <v>9.56</v>
      </c>
      <c r="R11" s="198"/>
      <c r="S11" s="198"/>
      <c r="T11" s="198"/>
      <c r="U11" s="198"/>
    </row>
    <row r="12" spans="1:21" s="12" customFormat="1" x14ac:dyDescent="0.25">
      <c r="A12" s="217" t="s">
        <v>1973</v>
      </c>
      <c r="B12" s="64">
        <v>8.1</v>
      </c>
      <c r="C12" s="64">
        <v>3.16</v>
      </c>
      <c r="D12" s="64">
        <v>11.92</v>
      </c>
      <c r="E12" s="64">
        <v>4.42</v>
      </c>
      <c r="F12" s="64">
        <v>3.38</v>
      </c>
      <c r="G12" s="64">
        <v>67.05</v>
      </c>
      <c r="H12" s="64">
        <v>16.079999999999998</v>
      </c>
      <c r="I12" s="64">
        <v>4.1500000000000004</v>
      </c>
      <c r="J12" s="64">
        <v>0.13</v>
      </c>
      <c r="K12" s="64">
        <v>300.20999999999998</v>
      </c>
      <c r="L12" s="64">
        <v>25.82</v>
      </c>
      <c r="M12" s="64">
        <v>98.8</v>
      </c>
      <c r="N12" s="64">
        <v>72.099999999999994</v>
      </c>
      <c r="O12" s="64">
        <v>0</v>
      </c>
      <c r="P12" s="64">
        <v>0.65</v>
      </c>
      <c r="Q12" s="64">
        <v>9.6</v>
      </c>
      <c r="R12" s="198"/>
      <c r="S12" s="198"/>
      <c r="T12" s="198"/>
      <c r="U12" s="198"/>
    </row>
    <row r="13" spans="1:21" s="12" customFormat="1" x14ac:dyDescent="0.25">
      <c r="A13" s="217" t="s">
        <v>1974</v>
      </c>
      <c r="B13" s="64">
        <v>8.1199999999999992</v>
      </c>
      <c r="C13" s="64">
        <v>3.19</v>
      </c>
      <c r="D13" s="64">
        <v>11.95</v>
      </c>
      <c r="E13" s="64">
        <v>4.2300000000000004</v>
      </c>
      <c r="F13" s="64">
        <v>3.2</v>
      </c>
      <c r="G13" s="64">
        <v>67.05</v>
      </c>
      <c r="H13" s="64">
        <v>16.079999999999998</v>
      </c>
      <c r="I13" s="64">
        <v>4.42</v>
      </c>
      <c r="J13" s="64">
        <v>0.48</v>
      </c>
      <c r="K13" s="64">
        <v>113.91</v>
      </c>
      <c r="L13" s="64">
        <v>25.89</v>
      </c>
      <c r="M13" s="64">
        <v>95.99</v>
      </c>
      <c r="N13" s="64">
        <v>71.8</v>
      </c>
      <c r="O13" s="64">
        <v>0</v>
      </c>
      <c r="P13" s="64">
        <v>0.63</v>
      </c>
      <c r="Q13" s="64">
        <v>9.6300000000000008</v>
      </c>
      <c r="R13" s="198"/>
      <c r="S13" s="198"/>
      <c r="T13" s="198"/>
      <c r="U13" s="198"/>
    </row>
    <row r="14" spans="1:21" s="12" customFormat="1" x14ac:dyDescent="0.25">
      <c r="A14" s="217" t="s">
        <v>1975</v>
      </c>
      <c r="B14" s="64">
        <v>8.17</v>
      </c>
      <c r="C14" s="64">
        <v>3.26</v>
      </c>
      <c r="D14" s="64">
        <v>12.03</v>
      </c>
      <c r="E14" s="64">
        <v>4.37</v>
      </c>
      <c r="F14" s="64">
        <v>3.43</v>
      </c>
      <c r="G14" s="64">
        <v>67.05</v>
      </c>
      <c r="H14" s="64">
        <v>16.079999999999998</v>
      </c>
      <c r="I14" s="64">
        <v>4.66</v>
      </c>
      <c r="J14" s="64">
        <v>0.8</v>
      </c>
      <c r="K14" s="64">
        <v>128.49</v>
      </c>
      <c r="L14" s="64">
        <v>25.95</v>
      </c>
      <c r="M14" s="64">
        <v>96</v>
      </c>
      <c r="N14" s="64">
        <v>71.7</v>
      </c>
      <c r="O14" s="64">
        <v>0</v>
      </c>
      <c r="P14" s="64">
        <v>0.64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7" t="s">
        <v>1976</v>
      </c>
      <c r="B15" s="64">
        <v>8.16</v>
      </c>
      <c r="C15" s="64">
        <v>3.2</v>
      </c>
      <c r="D15" s="64">
        <v>11.99</v>
      </c>
      <c r="E15" s="64">
        <v>4.8099999999999996</v>
      </c>
      <c r="F15" s="64">
        <v>3.39</v>
      </c>
      <c r="G15" s="64">
        <v>69.150000000000006</v>
      </c>
      <c r="H15" s="64">
        <v>17.88</v>
      </c>
      <c r="I15" s="64">
        <v>4.87</v>
      </c>
      <c r="J15" s="64">
        <v>0.53</v>
      </c>
      <c r="K15" s="64">
        <v>320.27</v>
      </c>
      <c r="L15" s="64">
        <v>25.9</v>
      </c>
      <c r="M15" s="64">
        <v>96.56</v>
      </c>
      <c r="N15" s="64">
        <v>72.2</v>
      </c>
      <c r="O15" s="64">
        <v>0</v>
      </c>
      <c r="P15" s="64">
        <v>0.64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7" t="s">
        <v>1977</v>
      </c>
      <c r="B16" s="64">
        <v>8.1300000000000008</v>
      </c>
      <c r="C16" s="64">
        <v>3.08</v>
      </c>
      <c r="D16" s="64">
        <v>11.9</v>
      </c>
      <c r="E16" s="64">
        <v>4.9400000000000004</v>
      </c>
      <c r="F16" s="64">
        <v>3.08</v>
      </c>
      <c r="G16" s="64">
        <v>72.319999999999993</v>
      </c>
      <c r="H16" s="64">
        <v>20.58</v>
      </c>
      <c r="I16" s="64">
        <v>5.15</v>
      </c>
      <c r="J16" s="64">
        <v>0.15</v>
      </c>
      <c r="K16" s="64">
        <v>90.75</v>
      </c>
      <c r="L16" s="64">
        <v>25.56</v>
      </c>
      <c r="M16" s="64">
        <v>98.44</v>
      </c>
      <c r="N16" s="64">
        <v>72</v>
      </c>
      <c r="O16" s="64">
        <v>0</v>
      </c>
      <c r="P16" s="64">
        <v>0.64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7" t="s">
        <v>1978</v>
      </c>
      <c r="B17" s="64">
        <v>8.1199999999999992</v>
      </c>
      <c r="C17" s="64">
        <v>3.08</v>
      </c>
      <c r="D17" s="64">
        <v>11.89</v>
      </c>
      <c r="E17" s="64">
        <v>4.7699999999999996</v>
      </c>
      <c r="F17" s="64">
        <v>3.2</v>
      </c>
      <c r="G17" s="64">
        <v>72.319999999999993</v>
      </c>
      <c r="H17" s="64">
        <v>20.58</v>
      </c>
      <c r="I17" s="64">
        <v>5.42</v>
      </c>
      <c r="J17" s="64">
        <v>0.61</v>
      </c>
      <c r="K17" s="64">
        <v>321.04000000000002</v>
      </c>
      <c r="L17" s="64">
        <v>25.64</v>
      </c>
      <c r="M17" s="64">
        <v>98.83</v>
      </c>
      <c r="N17" s="64">
        <v>72.099999999999994</v>
      </c>
      <c r="O17" s="64">
        <v>0</v>
      </c>
      <c r="P17" s="64">
        <v>0.64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7" t="s">
        <v>1979</v>
      </c>
      <c r="B18" s="64">
        <v>8.1199999999999992</v>
      </c>
      <c r="C18" s="64">
        <v>3.1</v>
      </c>
      <c r="D18" s="64">
        <v>11.91</v>
      </c>
      <c r="E18" s="64">
        <v>4.5199999999999996</v>
      </c>
      <c r="F18" s="64">
        <v>3.24</v>
      </c>
      <c r="G18" s="64">
        <v>72.319999999999993</v>
      </c>
      <c r="H18" s="64">
        <v>20.58</v>
      </c>
      <c r="I18" s="64">
        <v>5.64</v>
      </c>
      <c r="J18" s="64">
        <v>0.45</v>
      </c>
      <c r="K18" s="64">
        <v>320.57</v>
      </c>
      <c r="L18" s="64">
        <v>25.46</v>
      </c>
      <c r="M18" s="64">
        <v>98.93</v>
      </c>
      <c r="N18" s="64">
        <v>72.099999999999994</v>
      </c>
      <c r="O18" s="64">
        <v>0</v>
      </c>
      <c r="P18" s="64">
        <v>0.64</v>
      </c>
      <c r="Q18" s="64">
        <v>9.7200000000000006</v>
      </c>
      <c r="R18" s="198"/>
      <c r="S18" s="198"/>
      <c r="T18" s="198"/>
      <c r="U18" s="198"/>
    </row>
    <row r="19" spans="1:21" s="12" customFormat="1" x14ac:dyDescent="0.25">
      <c r="A19" s="217" t="s">
        <v>1980</v>
      </c>
      <c r="B19" s="64">
        <v>8.09</v>
      </c>
      <c r="C19" s="64">
        <v>3.07</v>
      </c>
      <c r="D19" s="64">
        <v>11.87</v>
      </c>
      <c r="E19" s="64">
        <v>4.3499999999999996</v>
      </c>
      <c r="F19" s="64">
        <v>4.04</v>
      </c>
      <c r="G19" s="64">
        <v>72.650000000000006</v>
      </c>
      <c r="H19" s="64">
        <v>20.059999999999999</v>
      </c>
      <c r="I19" s="64">
        <v>5.8</v>
      </c>
      <c r="J19" s="64">
        <v>0.36</v>
      </c>
      <c r="K19" s="64">
        <v>322.75</v>
      </c>
      <c r="L19" s="64">
        <v>25.57</v>
      </c>
      <c r="M19" s="64">
        <v>97.88</v>
      </c>
      <c r="N19" s="64">
        <v>72.2</v>
      </c>
      <c r="O19" s="64">
        <v>0</v>
      </c>
      <c r="P19" s="64">
        <v>0.63</v>
      </c>
      <c r="Q19" s="64">
        <v>9.74</v>
      </c>
      <c r="R19" s="198"/>
      <c r="S19" s="198"/>
      <c r="T19" s="198"/>
      <c r="U19" s="198"/>
    </row>
    <row r="20" spans="1:21" s="12" customFormat="1" x14ac:dyDescent="0.25">
      <c r="A20" s="217" t="s">
        <v>1981</v>
      </c>
      <c r="B20" s="64">
        <v>8.08</v>
      </c>
      <c r="C20" s="64">
        <v>3.02</v>
      </c>
      <c r="D20" s="64">
        <v>11.83</v>
      </c>
      <c r="E20" s="64">
        <v>4.84</v>
      </c>
      <c r="F20" s="64">
        <v>2.99</v>
      </c>
      <c r="G20" s="64">
        <v>73.14</v>
      </c>
      <c r="H20" s="64">
        <v>19.27</v>
      </c>
      <c r="I20" s="64">
        <v>5.9</v>
      </c>
      <c r="J20" s="64">
        <v>0.55000000000000004</v>
      </c>
      <c r="K20" s="64">
        <v>302.12</v>
      </c>
      <c r="L20" s="64">
        <v>25.35</v>
      </c>
      <c r="M20" s="64">
        <v>98.51</v>
      </c>
      <c r="N20" s="64">
        <v>72.3</v>
      </c>
      <c r="O20" s="64">
        <v>0</v>
      </c>
      <c r="P20" s="64">
        <v>0.63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7" t="s">
        <v>1982</v>
      </c>
      <c r="B21" s="64">
        <v>8.1</v>
      </c>
      <c r="C21" s="64">
        <v>3.11</v>
      </c>
      <c r="D21" s="64">
        <v>11.89</v>
      </c>
      <c r="E21" s="64">
        <v>5.01</v>
      </c>
      <c r="F21" s="64">
        <v>2.9</v>
      </c>
      <c r="G21" s="64">
        <v>73.14</v>
      </c>
      <c r="H21" s="64">
        <v>19.27</v>
      </c>
      <c r="I21" s="64">
        <v>5.91</v>
      </c>
      <c r="J21" s="64">
        <v>0.56000000000000005</v>
      </c>
      <c r="K21" s="64">
        <v>7.51</v>
      </c>
      <c r="L21" s="64">
        <v>25.13</v>
      </c>
      <c r="M21" s="64">
        <v>99</v>
      </c>
      <c r="N21" s="64">
        <v>72.099999999999994</v>
      </c>
      <c r="O21" s="64">
        <v>0</v>
      </c>
      <c r="P21" s="64">
        <v>0.61</v>
      </c>
      <c r="Q21" s="64">
        <v>9.56</v>
      </c>
      <c r="R21" s="198"/>
      <c r="S21" s="198"/>
      <c r="T21" s="198"/>
      <c r="U21" s="198"/>
    </row>
    <row r="22" spans="1:21" s="12" customFormat="1" x14ac:dyDescent="0.25">
      <c r="A22" s="217" t="s">
        <v>1983</v>
      </c>
      <c r="B22" s="64">
        <v>8.15</v>
      </c>
      <c r="C22" s="64">
        <v>3.18</v>
      </c>
      <c r="D22" s="64">
        <v>11.97</v>
      </c>
      <c r="E22" s="64">
        <v>4.72</v>
      </c>
      <c r="F22" s="64">
        <v>3.69</v>
      </c>
      <c r="G22" s="64">
        <v>73.14</v>
      </c>
      <c r="H22" s="64">
        <v>19.27</v>
      </c>
      <c r="I22" s="64">
        <v>5.88</v>
      </c>
      <c r="J22" s="64">
        <v>0.61</v>
      </c>
      <c r="K22" s="64">
        <v>4.3</v>
      </c>
      <c r="L22" s="64">
        <v>24.94</v>
      </c>
      <c r="M22" s="64">
        <v>99</v>
      </c>
      <c r="N22" s="64">
        <v>72.099999999999994</v>
      </c>
      <c r="O22" s="64">
        <v>0</v>
      </c>
      <c r="P22" s="64">
        <v>0.61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17" t="s">
        <v>1984</v>
      </c>
      <c r="B23" s="64">
        <v>8.09</v>
      </c>
      <c r="C23" s="64">
        <v>3.05</v>
      </c>
      <c r="D23" s="64">
        <v>11.85</v>
      </c>
      <c r="E23" s="64">
        <v>5</v>
      </c>
      <c r="F23" s="64">
        <v>3.77</v>
      </c>
      <c r="G23" s="64">
        <v>72.16</v>
      </c>
      <c r="H23" s="64">
        <v>19.809999999999999</v>
      </c>
      <c r="I23" s="64">
        <v>5.92</v>
      </c>
      <c r="J23" s="64">
        <v>0.5</v>
      </c>
      <c r="K23" s="64">
        <v>3.58</v>
      </c>
      <c r="L23" s="64">
        <v>24.74</v>
      </c>
      <c r="M23" s="64">
        <v>98.93</v>
      </c>
      <c r="N23" s="64">
        <v>72</v>
      </c>
      <c r="O23" s="64">
        <v>0</v>
      </c>
      <c r="P23" s="64">
        <v>0.61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7" t="s">
        <v>1985</v>
      </c>
      <c r="B24" s="64">
        <v>8.1300000000000008</v>
      </c>
      <c r="C24" s="64">
        <v>3.15</v>
      </c>
      <c r="D24" s="64">
        <v>11.94</v>
      </c>
      <c r="E24" s="64">
        <v>4.74</v>
      </c>
      <c r="F24" s="64">
        <v>3.16</v>
      </c>
      <c r="G24" s="64">
        <v>70.7</v>
      </c>
      <c r="H24" s="64">
        <v>20.62</v>
      </c>
      <c r="I24" s="64">
        <v>6.02</v>
      </c>
      <c r="J24" s="64">
        <v>0.49</v>
      </c>
      <c r="K24" s="64">
        <v>343.73</v>
      </c>
      <c r="L24" s="64">
        <v>24.82</v>
      </c>
      <c r="M24" s="64">
        <v>98.53</v>
      </c>
      <c r="N24" s="64">
        <v>72.099999999999994</v>
      </c>
      <c r="O24" s="64">
        <v>0</v>
      </c>
      <c r="P24" s="64">
        <v>0.59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7" t="s">
        <v>1986</v>
      </c>
      <c r="B25" s="64">
        <v>8.09</v>
      </c>
      <c r="C25" s="64">
        <v>3.08</v>
      </c>
      <c r="D25" s="64">
        <v>11.87</v>
      </c>
      <c r="E25" s="64">
        <v>4.79</v>
      </c>
      <c r="F25" s="64">
        <v>3.62</v>
      </c>
      <c r="G25" s="64">
        <v>70.7</v>
      </c>
      <c r="H25" s="64">
        <v>20.62</v>
      </c>
      <c r="I25" s="64">
        <v>6.04</v>
      </c>
      <c r="J25" s="64">
        <v>0.55000000000000004</v>
      </c>
      <c r="K25" s="64">
        <v>301.33999999999997</v>
      </c>
      <c r="L25" s="64">
        <v>24.85</v>
      </c>
      <c r="M25" s="64">
        <v>98.53</v>
      </c>
      <c r="N25" s="64">
        <v>72.099999999999994</v>
      </c>
      <c r="O25" s="64">
        <v>0</v>
      </c>
      <c r="P25" s="64">
        <v>0.59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7" t="s">
        <v>1987</v>
      </c>
      <c r="B26" s="64">
        <v>8.1</v>
      </c>
      <c r="C26" s="64">
        <v>3.1</v>
      </c>
      <c r="D26" s="64">
        <v>11.89</v>
      </c>
      <c r="E26" s="64">
        <v>4.49</v>
      </c>
      <c r="F26" s="64">
        <v>3.58</v>
      </c>
      <c r="G26" s="64">
        <v>70.7</v>
      </c>
      <c r="H26" s="64">
        <v>20.62</v>
      </c>
      <c r="I26" s="64">
        <v>5.95</v>
      </c>
      <c r="J26" s="64">
        <v>0.63</v>
      </c>
      <c r="K26" s="64">
        <v>302.61</v>
      </c>
      <c r="L26" s="64">
        <v>24.76</v>
      </c>
      <c r="M26" s="64">
        <v>98.52</v>
      </c>
      <c r="N26" s="64">
        <v>72.099999999999994</v>
      </c>
      <c r="O26" s="64">
        <v>0</v>
      </c>
      <c r="P26" s="64">
        <v>0.59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7" t="s">
        <v>1988</v>
      </c>
      <c r="B27" s="64">
        <v>8.1</v>
      </c>
      <c r="C27" s="64">
        <v>3.06</v>
      </c>
      <c r="D27" s="64">
        <v>11.87</v>
      </c>
      <c r="E27" s="64">
        <v>4.71</v>
      </c>
      <c r="F27" s="64">
        <v>3.15</v>
      </c>
      <c r="G27" s="64">
        <v>68.819999999999993</v>
      </c>
      <c r="H27" s="64">
        <v>20.440000000000001</v>
      </c>
      <c r="I27" s="64">
        <v>5.97</v>
      </c>
      <c r="J27" s="64">
        <v>0.72</v>
      </c>
      <c r="K27" s="64">
        <v>309.87</v>
      </c>
      <c r="L27" s="64">
        <v>24.64</v>
      </c>
      <c r="M27" s="64">
        <v>98.88</v>
      </c>
      <c r="N27" s="64">
        <v>72</v>
      </c>
      <c r="O27" s="64">
        <v>0</v>
      </c>
      <c r="P27" s="64">
        <v>0.57999999999999996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7" t="s">
        <v>1989</v>
      </c>
      <c r="B28" s="64">
        <v>8.1</v>
      </c>
      <c r="C28" s="64">
        <v>3.05</v>
      </c>
      <c r="D28" s="64">
        <v>11.86</v>
      </c>
      <c r="E28" s="64">
        <v>4.76</v>
      </c>
      <c r="F28" s="64">
        <v>4.01</v>
      </c>
      <c r="G28" s="64">
        <v>66.010000000000005</v>
      </c>
      <c r="H28" s="64">
        <v>20.170000000000002</v>
      </c>
      <c r="I28" s="64">
        <v>6.09</v>
      </c>
      <c r="J28" s="64">
        <v>0.83</v>
      </c>
      <c r="K28" s="64">
        <v>307.7</v>
      </c>
      <c r="L28" s="64">
        <v>24.62</v>
      </c>
      <c r="M28" s="64">
        <v>99.05</v>
      </c>
      <c r="N28" s="64">
        <v>71.8</v>
      </c>
      <c r="O28" s="64">
        <v>0</v>
      </c>
      <c r="P28" s="64">
        <v>0.59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7" t="s">
        <v>1990</v>
      </c>
      <c r="B29" s="64">
        <v>8.11</v>
      </c>
      <c r="C29" s="64">
        <v>3.15</v>
      </c>
      <c r="D29" s="64">
        <v>11.92</v>
      </c>
      <c r="E29" s="64">
        <v>4.7699999999999996</v>
      </c>
      <c r="F29" s="64">
        <v>3.35</v>
      </c>
      <c r="G29" s="64">
        <v>66.010000000000005</v>
      </c>
      <c r="H29" s="64">
        <v>20.170000000000002</v>
      </c>
      <c r="I29" s="64">
        <v>6.28</v>
      </c>
      <c r="J29" s="64">
        <v>0.79</v>
      </c>
      <c r="K29" s="64">
        <v>310.35000000000002</v>
      </c>
      <c r="L29" s="64">
        <v>24.78</v>
      </c>
      <c r="M29" s="64">
        <v>98.51</v>
      </c>
      <c r="N29" s="64">
        <v>72.3</v>
      </c>
      <c r="O29" s="64">
        <v>0</v>
      </c>
      <c r="P29" s="64">
        <v>0.57999999999999996</v>
      </c>
      <c r="Q29" s="64">
        <v>9.68</v>
      </c>
      <c r="R29" s="198"/>
      <c r="S29" s="198"/>
      <c r="T29" s="198"/>
      <c r="U29" s="198"/>
    </row>
    <row r="30" spans="1:21" s="12" customFormat="1" x14ac:dyDescent="0.25">
      <c r="A30" s="217" t="s">
        <v>1991</v>
      </c>
      <c r="B30" s="64">
        <v>8.06</v>
      </c>
      <c r="C30" s="64">
        <v>3.03</v>
      </c>
      <c r="D30" s="64">
        <v>11.83</v>
      </c>
      <c r="E30" s="64">
        <v>5.0599999999999996</v>
      </c>
      <c r="F30" s="64">
        <v>3.29</v>
      </c>
      <c r="G30" s="64">
        <v>66.010000000000005</v>
      </c>
      <c r="H30" s="64">
        <v>20.170000000000002</v>
      </c>
      <c r="I30" s="64">
        <v>6.41</v>
      </c>
      <c r="J30" s="64">
        <v>1.35</v>
      </c>
      <c r="K30" s="64">
        <v>335.04</v>
      </c>
      <c r="L30" s="64">
        <v>24.89</v>
      </c>
      <c r="M30" s="64">
        <v>99.05</v>
      </c>
      <c r="N30" s="64">
        <v>73.3</v>
      </c>
      <c r="O30" s="64">
        <v>0</v>
      </c>
      <c r="P30" s="64">
        <v>0.56999999999999995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7" t="s">
        <v>1992</v>
      </c>
      <c r="B31" s="64">
        <v>8.14</v>
      </c>
      <c r="C31" s="64">
        <v>3.16</v>
      </c>
      <c r="D31" s="64">
        <v>11.95</v>
      </c>
      <c r="E31" s="64">
        <v>4.75</v>
      </c>
      <c r="F31" s="64">
        <v>3.47</v>
      </c>
      <c r="G31" s="64">
        <v>66.09</v>
      </c>
      <c r="H31" s="64">
        <v>19.21</v>
      </c>
      <c r="I31" s="64">
        <v>6.43</v>
      </c>
      <c r="J31" s="64">
        <v>1.17</v>
      </c>
      <c r="K31" s="64">
        <v>338.6</v>
      </c>
      <c r="L31" s="64">
        <v>24.91</v>
      </c>
      <c r="M31" s="64">
        <v>98.74</v>
      </c>
      <c r="N31" s="64">
        <v>76.2</v>
      </c>
      <c r="O31" s="64">
        <v>0</v>
      </c>
      <c r="P31" s="64">
        <v>0.56999999999999995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7" t="s">
        <v>1993</v>
      </c>
      <c r="B32" s="64">
        <v>8.18</v>
      </c>
      <c r="C32" s="64">
        <v>3.23</v>
      </c>
      <c r="D32" s="64">
        <v>12.02</v>
      </c>
      <c r="E32" s="64">
        <v>5.1100000000000003</v>
      </c>
      <c r="F32" s="64">
        <v>3.36</v>
      </c>
      <c r="G32" s="64">
        <v>66.22</v>
      </c>
      <c r="H32" s="64">
        <v>17.760000000000002</v>
      </c>
      <c r="I32" s="64">
        <v>6.39</v>
      </c>
      <c r="J32" s="64">
        <v>1.22</v>
      </c>
      <c r="K32" s="64">
        <v>331.34</v>
      </c>
      <c r="L32" s="64">
        <v>24.84</v>
      </c>
      <c r="M32" s="64">
        <v>98.82</v>
      </c>
      <c r="N32" s="64">
        <v>84.9</v>
      </c>
      <c r="O32" s="64">
        <v>0</v>
      </c>
      <c r="P32" s="64">
        <v>0.56000000000000005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7" t="s">
        <v>1994</v>
      </c>
      <c r="B33" s="64">
        <v>8.11</v>
      </c>
      <c r="C33" s="64">
        <v>3.09</v>
      </c>
      <c r="D33" s="64">
        <v>11.89</v>
      </c>
      <c r="E33" s="64">
        <v>4.71</v>
      </c>
      <c r="F33" s="64">
        <v>3.23</v>
      </c>
      <c r="G33" s="64">
        <v>66.22</v>
      </c>
      <c r="H33" s="64">
        <v>17.760000000000002</v>
      </c>
      <c r="I33" s="64">
        <v>6.4</v>
      </c>
      <c r="J33" s="64">
        <v>1.1399999999999999</v>
      </c>
      <c r="K33" s="64">
        <v>326.54000000000002</v>
      </c>
      <c r="L33" s="64">
        <v>24.77</v>
      </c>
      <c r="M33" s="64">
        <v>98.9</v>
      </c>
      <c r="N33" s="64">
        <v>87.1</v>
      </c>
      <c r="O33" s="64">
        <v>1.2</v>
      </c>
      <c r="P33" s="64">
        <v>0.56000000000000005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7" t="s">
        <v>1995</v>
      </c>
      <c r="B34" s="64">
        <v>8.1300000000000008</v>
      </c>
      <c r="C34" s="64">
        <v>3.12</v>
      </c>
      <c r="D34" s="64">
        <v>11.93</v>
      </c>
      <c r="E34" s="64">
        <v>4.99</v>
      </c>
      <c r="F34" s="64">
        <v>3.44</v>
      </c>
      <c r="G34" s="64">
        <v>66.22</v>
      </c>
      <c r="H34" s="64">
        <v>17.760000000000002</v>
      </c>
      <c r="I34" s="64">
        <v>6.41</v>
      </c>
      <c r="J34" s="64">
        <v>1.32</v>
      </c>
      <c r="K34" s="64">
        <v>342.56</v>
      </c>
      <c r="L34" s="64">
        <v>24.52</v>
      </c>
      <c r="M34" s="64">
        <v>98.75</v>
      </c>
      <c r="N34" s="64">
        <v>122.6</v>
      </c>
      <c r="O34" s="64">
        <v>0</v>
      </c>
      <c r="P34" s="64">
        <v>0.55000000000000004</v>
      </c>
      <c r="Q34" s="64">
        <v>9.68</v>
      </c>
      <c r="R34" s="198"/>
      <c r="S34" s="198"/>
      <c r="T34" s="198"/>
      <c r="U34" s="198"/>
    </row>
    <row r="35" spans="1:21" s="12" customFormat="1" x14ac:dyDescent="0.25">
      <c r="A35" s="217" t="s">
        <v>1996</v>
      </c>
      <c r="B35" s="64">
        <v>8.11</v>
      </c>
      <c r="C35" s="64">
        <v>3.07</v>
      </c>
      <c r="D35" s="64">
        <v>11.88</v>
      </c>
      <c r="E35" s="64">
        <v>5.27</v>
      </c>
      <c r="F35" s="64">
        <v>3.48</v>
      </c>
      <c r="G35" s="64">
        <v>60.8</v>
      </c>
      <c r="H35" s="64">
        <v>17.11</v>
      </c>
      <c r="I35" s="64">
        <v>6.3</v>
      </c>
      <c r="J35" s="64">
        <v>1.37</v>
      </c>
      <c r="K35" s="64">
        <v>341.39</v>
      </c>
      <c r="L35" s="64">
        <v>24.5</v>
      </c>
      <c r="M35" s="64">
        <v>98.63</v>
      </c>
      <c r="N35" s="64">
        <v>139.69999999999999</v>
      </c>
      <c r="O35" s="64">
        <v>0</v>
      </c>
      <c r="P35" s="64">
        <v>0.55000000000000004</v>
      </c>
      <c r="Q35" s="64">
        <v>9.68</v>
      </c>
      <c r="R35" s="198"/>
      <c r="S35" s="198"/>
      <c r="T35" s="198"/>
      <c r="U35" s="198"/>
    </row>
    <row r="36" spans="1:21" s="12" customFormat="1" x14ac:dyDescent="0.25">
      <c r="A36" s="217" t="s">
        <v>1997</v>
      </c>
      <c r="B36" s="64">
        <v>8.11</v>
      </c>
      <c r="C36" s="64">
        <v>3.07</v>
      </c>
      <c r="D36" s="64">
        <v>11.88</v>
      </c>
      <c r="E36" s="64">
        <v>5.27</v>
      </c>
      <c r="F36" s="64">
        <v>3.48</v>
      </c>
      <c r="G36" s="64">
        <v>60.8</v>
      </c>
      <c r="H36" s="64">
        <v>17.11</v>
      </c>
      <c r="I36" s="64">
        <v>6.3</v>
      </c>
      <c r="J36" s="64">
        <v>1.37</v>
      </c>
      <c r="K36" s="64">
        <v>341.39</v>
      </c>
      <c r="L36" s="64">
        <v>24.5</v>
      </c>
      <c r="M36" s="64">
        <v>98.63</v>
      </c>
      <c r="N36" s="64">
        <v>139.69999999999999</v>
      </c>
      <c r="O36" s="64">
        <v>0</v>
      </c>
      <c r="P36" s="64">
        <v>0.55000000000000004</v>
      </c>
      <c r="Q36" s="64">
        <v>9.68</v>
      </c>
      <c r="R36" s="198"/>
      <c r="S36" s="198"/>
      <c r="T36" s="198"/>
      <c r="U36" s="198"/>
    </row>
    <row r="37" spans="1:21" s="12" customFormat="1" x14ac:dyDescent="0.25">
      <c r="A37" s="217" t="s">
        <v>1998</v>
      </c>
      <c r="B37" s="64">
        <v>8.1199999999999992</v>
      </c>
      <c r="C37" s="64">
        <v>3.14</v>
      </c>
      <c r="D37" s="64">
        <v>11.93</v>
      </c>
      <c r="E37" s="64">
        <v>5.16</v>
      </c>
      <c r="F37" s="64">
        <v>3.48</v>
      </c>
      <c r="G37" s="64">
        <v>53.05</v>
      </c>
      <c r="H37" s="64">
        <v>16.170000000000002</v>
      </c>
      <c r="I37" s="64">
        <v>6.23</v>
      </c>
      <c r="J37" s="64">
        <v>1.26</v>
      </c>
      <c r="K37" s="64">
        <v>339.85</v>
      </c>
      <c r="L37" s="64">
        <v>25.15</v>
      </c>
      <c r="M37" s="64">
        <v>98.97</v>
      </c>
      <c r="N37" s="64">
        <v>195.5</v>
      </c>
      <c r="O37" s="64">
        <v>0</v>
      </c>
      <c r="P37" s="64">
        <v>0.55000000000000004</v>
      </c>
      <c r="Q37" s="64">
        <v>0</v>
      </c>
      <c r="R37" s="198"/>
      <c r="S37" s="198"/>
      <c r="T37" s="198"/>
      <c r="U37" s="198"/>
    </row>
    <row r="38" spans="1:21" s="12" customFormat="1" x14ac:dyDescent="0.25">
      <c r="A38" s="217" t="s">
        <v>1999</v>
      </c>
      <c r="B38" s="64">
        <v>8.1199999999999992</v>
      </c>
      <c r="C38" s="64">
        <v>3.14</v>
      </c>
      <c r="D38" s="64">
        <v>11.93</v>
      </c>
      <c r="E38" s="64">
        <v>5.16</v>
      </c>
      <c r="F38" s="64">
        <v>3.48</v>
      </c>
      <c r="G38" s="64">
        <v>53.05</v>
      </c>
      <c r="H38" s="64">
        <v>16.170000000000002</v>
      </c>
      <c r="I38" s="64">
        <v>6.23</v>
      </c>
      <c r="J38" s="64">
        <v>1.26</v>
      </c>
      <c r="K38" s="64">
        <v>339.85</v>
      </c>
      <c r="L38" s="64">
        <v>25.15</v>
      </c>
      <c r="M38" s="64">
        <v>98.97</v>
      </c>
      <c r="N38" s="64">
        <v>195.5</v>
      </c>
      <c r="O38" s="64">
        <v>0</v>
      </c>
      <c r="P38" s="64">
        <v>0.55000000000000004</v>
      </c>
      <c r="Q38" s="64">
        <v>0</v>
      </c>
      <c r="R38" s="198"/>
      <c r="S38" s="198"/>
      <c r="T38" s="198"/>
      <c r="U38" s="198"/>
    </row>
    <row r="39" spans="1:21" s="12" customFormat="1" x14ac:dyDescent="0.25">
      <c r="A39" s="217" t="s">
        <v>2000</v>
      </c>
      <c r="B39" s="64">
        <v>8.1199999999999992</v>
      </c>
      <c r="C39" s="64">
        <v>3.14</v>
      </c>
      <c r="D39" s="64">
        <v>11.93</v>
      </c>
      <c r="E39" s="64">
        <v>5.16</v>
      </c>
      <c r="F39" s="64">
        <v>3.48</v>
      </c>
      <c r="G39" s="64">
        <v>53.05</v>
      </c>
      <c r="H39" s="64">
        <v>16.170000000000002</v>
      </c>
      <c r="I39" s="64">
        <v>6.23</v>
      </c>
      <c r="J39" s="64">
        <v>1.26</v>
      </c>
      <c r="K39" s="64">
        <v>339.85</v>
      </c>
      <c r="L39" s="64">
        <v>25.15</v>
      </c>
      <c r="M39" s="64">
        <v>98.97</v>
      </c>
      <c r="N39" s="64">
        <v>195.5</v>
      </c>
      <c r="O39" s="64">
        <v>0</v>
      </c>
      <c r="P39" s="64">
        <v>0.55000000000000004</v>
      </c>
      <c r="Q39" s="64">
        <v>0</v>
      </c>
      <c r="R39" s="198"/>
      <c r="S39" s="198"/>
      <c r="T39" s="198"/>
      <c r="U39" s="198"/>
    </row>
    <row r="40" spans="1:21" s="12" customFormat="1" x14ac:dyDescent="0.25">
      <c r="A40" s="217" t="s">
        <v>2001</v>
      </c>
      <c r="B40" s="64">
        <v>8.1199999999999992</v>
      </c>
      <c r="C40" s="64">
        <v>3.14</v>
      </c>
      <c r="D40" s="64">
        <v>11.93</v>
      </c>
      <c r="E40" s="64">
        <v>5.16</v>
      </c>
      <c r="F40" s="64">
        <v>3.48</v>
      </c>
      <c r="G40" s="64">
        <v>53.05</v>
      </c>
      <c r="H40" s="64">
        <v>16.170000000000002</v>
      </c>
      <c r="I40" s="64">
        <v>6.23</v>
      </c>
      <c r="J40" s="64">
        <v>1.26</v>
      </c>
      <c r="K40" s="64">
        <v>339.85</v>
      </c>
      <c r="L40" s="64">
        <v>25.15</v>
      </c>
      <c r="M40" s="64">
        <v>98.97</v>
      </c>
      <c r="N40" s="64">
        <v>195.5</v>
      </c>
      <c r="O40" s="64">
        <v>0</v>
      </c>
      <c r="P40" s="64">
        <v>0.55000000000000004</v>
      </c>
      <c r="Q40" s="64">
        <v>0</v>
      </c>
      <c r="R40" s="198"/>
      <c r="S40" s="198"/>
      <c r="T40" s="198"/>
      <c r="U40" s="198"/>
    </row>
    <row r="41" spans="1:21" s="12" customFormat="1" x14ac:dyDescent="0.25">
      <c r="A41" s="217" t="s">
        <v>2002</v>
      </c>
      <c r="B41" s="64">
        <v>8.1199999999999992</v>
      </c>
      <c r="C41" s="64">
        <v>3.14</v>
      </c>
      <c r="D41" s="64">
        <v>11.92</v>
      </c>
      <c r="E41" s="64">
        <v>4.8899999999999997</v>
      </c>
      <c r="F41" s="64">
        <v>4.42</v>
      </c>
      <c r="G41" s="64">
        <v>58.03</v>
      </c>
      <c r="H41" s="64">
        <v>20.46</v>
      </c>
      <c r="I41" s="64">
        <v>6.26</v>
      </c>
      <c r="J41" s="64">
        <v>1.23</v>
      </c>
      <c r="K41" s="64">
        <v>338.04</v>
      </c>
      <c r="L41" s="64">
        <v>27.88</v>
      </c>
      <c r="M41" s="64">
        <v>93.25</v>
      </c>
      <c r="N41" s="64">
        <v>424.5</v>
      </c>
      <c r="O41" s="64">
        <v>0</v>
      </c>
      <c r="P41" s="64">
        <v>0.57999999999999996</v>
      </c>
      <c r="Q41" s="64">
        <v>0</v>
      </c>
      <c r="R41" s="198"/>
      <c r="S41" s="198"/>
      <c r="T41" s="198"/>
      <c r="U41" s="198"/>
    </row>
    <row r="42" spans="1:21" s="12" customFormat="1" x14ac:dyDescent="0.25">
      <c r="A42" s="217" t="s">
        <v>2003</v>
      </c>
      <c r="B42" s="64">
        <v>8.1199999999999992</v>
      </c>
      <c r="C42" s="64">
        <v>3.14</v>
      </c>
      <c r="D42" s="64">
        <v>11.92</v>
      </c>
      <c r="E42" s="64">
        <v>4.8899999999999997</v>
      </c>
      <c r="F42" s="64">
        <v>4.42</v>
      </c>
      <c r="G42" s="64">
        <v>58.03</v>
      </c>
      <c r="H42" s="64">
        <v>20.46</v>
      </c>
      <c r="I42" s="64">
        <v>6.26</v>
      </c>
      <c r="J42" s="64">
        <v>1.23</v>
      </c>
      <c r="K42" s="64">
        <v>338.04</v>
      </c>
      <c r="L42" s="64">
        <v>27.88</v>
      </c>
      <c r="M42" s="64">
        <v>93.25</v>
      </c>
      <c r="N42" s="64">
        <v>424.5</v>
      </c>
      <c r="O42" s="64">
        <v>0</v>
      </c>
      <c r="P42" s="64">
        <v>0.57999999999999996</v>
      </c>
      <c r="Q42" s="64">
        <v>0</v>
      </c>
      <c r="R42" s="198"/>
      <c r="S42" s="198"/>
      <c r="T42" s="198"/>
      <c r="U42" s="198"/>
    </row>
    <row r="43" spans="1:21" s="12" customFormat="1" x14ac:dyDescent="0.25">
      <c r="A43" s="217" t="s">
        <v>2004</v>
      </c>
      <c r="B43" s="64">
        <v>8.1300000000000008</v>
      </c>
      <c r="C43" s="64">
        <v>3.23</v>
      </c>
      <c r="D43" s="64">
        <v>11.98</v>
      </c>
      <c r="E43" s="64">
        <v>5.32</v>
      </c>
      <c r="F43" s="64">
        <v>3.73</v>
      </c>
      <c r="G43" s="64">
        <v>64.069999999999993</v>
      </c>
      <c r="H43" s="64">
        <v>27.03</v>
      </c>
      <c r="I43" s="64">
        <v>6.44</v>
      </c>
      <c r="J43" s="64">
        <v>0.51</v>
      </c>
      <c r="K43" s="64">
        <v>345.52</v>
      </c>
      <c r="L43" s="64">
        <v>30.02</v>
      </c>
      <c r="M43" s="64">
        <v>73.260000000000005</v>
      </c>
      <c r="N43" s="64">
        <v>646.5</v>
      </c>
      <c r="O43" s="64">
        <v>0</v>
      </c>
      <c r="P43" s="64">
        <v>0.62</v>
      </c>
      <c r="Q43" s="64">
        <v>0</v>
      </c>
      <c r="R43" s="198"/>
      <c r="S43" s="198"/>
      <c r="T43" s="198"/>
      <c r="U43" s="198"/>
    </row>
    <row r="44" spans="1:21" s="12" customFormat="1" x14ac:dyDescent="0.25">
      <c r="A44" s="217" t="s">
        <v>2005</v>
      </c>
      <c r="B44" s="64">
        <v>8.09</v>
      </c>
      <c r="C44" s="64">
        <v>3.2</v>
      </c>
      <c r="D44" s="64">
        <v>11.94</v>
      </c>
      <c r="E44" s="64">
        <v>5.05</v>
      </c>
      <c r="F44" s="64">
        <v>3.65</v>
      </c>
      <c r="G44" s="64">
        <v>64</v>
      </c>
      <c r="H44" s="64">
        <v>27.22</v>
      </c>
      <c r="I44" s="64">
        <v>6.61</v>
      </c>
      <c r="J44" s="64">
        <v>0.28000000000000003</v>
      </c>
      <c r="K44" s="64">
        <v>62.34</v>
      </c>
      <c r="L44" s="64">
        <v>29.71</v>
      </c>
      <c r="M44" s="64">
        <v>72.8</v>
      </c>
      <c r="N44" s="64">
        <v>566.6</v>
      </c>
      <c r="O44" s="64">
        <v>0</v>
      </c>
      <c r="P44" s="64">
        <v>0.6</v>
      </c>
      <c r="Q44" s="64">
        <v>9.57</v>
      </c>
      <c r="R44" s="198"/>
      <c r="S44" s="198"/>
      <c r="T44" s="198"/>
      <c r="U44" s="198"/>
    </row>
    <row r="45" spans="1:21" s="12" customFormat="1" x14ac:dyDescent="0.25">
      <c r="A45" s="217" t="s">
        <v>2006</v>
      </c>
      <c r="B45" s="64">
        <v>8.08</v>
      </c>
      <c r="C45" s="64">
        <v>3.1</v>
      </c>
      <c r="D45" s="64">
        <v>11.87</v>
      </c>
      <c r="E45" s="64">
        <v>5.2</v>
      </c>
      <c r="F45" s="64">
        <v>3.64</v>
      </c>
      <c r="G45" s="64">
        <v>64</v>
      </c>
      <c r="H45" s="64">
        <v>27.22</v>
      </c>
      <c r="I45" s="64">
        <v>6.85</v>
      </c>
      <c r="J45" s="64">
        <v>0.31</v>
      </c>
      <c r="K45" s="64">
        <v>66.59</v>
      </c>
      <c r="L45" s="64">
        <v>29.5</v>
      </c>
      <c r="M45" s="64">
        <v>72.69</v>
      </c>
      <c r="N45" s="64">
        <v>777.4</v>
      </c>
      <c r="O45" s="64">
        <v>0</v>
      </c>
      <c r="P45" s="64">
        <v>0.6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7" t="s">
        <v>2007</v>
      </c>
      <c r="B46" s="64">
        <v>8.0399999999999991</v>
      </c>
      <c r="C46" s="64">
        <v>3.06</v>
      </c>
      <c r="D46" s="64">
        <v>11.82</v>
      </c>
      <c r="E46" s="64">
        <v>4.78</v>
      </c>
      <c r="F46" s="64">
        <v>3.71</v>
      </c>
      <c r="G46" s="64">
        <v>64</v>
      </c>
      <c r="H46" s="64">
        <v>27.22</v>
      </c>
      <c r="I46" s="64">
        <v>6.99</v>
      </c>
      <c r="J46" s="64">
        <v>0.39</v>
      </c>
      <c r="K46" s="64">
        <v>38.69</v>
      </c>
      <c r="L46" s="64">
        <v>29.69</v>
      </c>
      <c r="M46" s="64">
        <v>68.86</v>
      </c>
      <c r="N46" s="64">
        <v>486.5</v>
      </c>
      <c r="O46" s="64">
        <v>0</v>
      </c>
      <c r="P46" s="64">
        <v>0.6</v>
      </c>
      <c r="Q46" s="64">
        <v>9.7200000000000006</v>
      </c>
      <c r="R46" s="198"/>
      <c r="S46" s="198"/>
      <c r="T46" s="198"/>
      <c r="U46" s="198"/>
    </row>
    <row r="47" spans="1:21" s="12" customFormat="1" x14ac:dyDescent="0.25">
      <c r="A47" s="217" t="s">
        <v>2008</v>
      </c>
      <c r="B47" s="64">
        <v>8.07</v>
      </c>
      <c r="C47" s="64">
        <v>3.07</v>
      </c>
      <c r="D47" s="64">
        <v>11.85</v>
      </c>
      <c r="E47" s="64">
        <v>5.03</v>
      </c>
      <c r="F47" s="64">
        <v>3.46</v>
      </c>
      <c r="G47" s="64">
        <v>60.58</v>
      </c>
      <c r="H47" s="64">
        <v>25.42</v>
      </c>
      <c r="I47" s="64">
        <v>7.11</v>
      </c>
      <c r="J47" s="64">
        <v>0.95</v>
      </c>
      <c r="K47" s="64">
        <v>102.58</v>
      </c>
      <c r="L47" s="64">
        <v>29.32</v>
      </c>
      <c r="M47" s="64">
        <v>70.53</v>
      </c>
      <c r="N47" s="64">
        <v>861.8</v>
      </c>
      <c r="O47" s="64">
        <v>0</v>
      </c>
      <c r="P47" s="64">
        <v>0.59</v>
      </c>
      <c r="Q47" s="64">
        <v>9.76</v>
      </c>
      <c r="R47" s="198"/>
      <c r="S47" s="198"/>
      <c r="T47" s="198"/>
      <c r="U47" s="198"/>
    </row>
    <row r="48" spans="1:21" s="12" customFormat="1" x14ac:dyDescent="0.25">
      <c r="A48" s="217" t="s">
        <v>2009</v>
      </c>
      <c r="B48" s="64">
        <v>8.15</v>
      </c>
      <c r="C48" s="64">
        <v>3.22</v>
      </c>
      <c r="D48" s="64">
        <v>11.99</v>
      </c>
      <c r="E48" s="64">
        <v>5.04</v>
      </c>
      <c r="F48" s="64">
        <v>3.44</v>
      </c>
      <c r="G48" s="64">
        <v>55.43</v>
      </c>
      <c r="H48" s="64">
        <v>22.73</v>
      </c>
      <c r="I48" s="64">
        <v>7.21</v>
      </c>
      <c r="J48" s="64">
        <v>0.14000000000000001</v>
      </c>
      <c r="K48" s="64">
        <v>57.58</v>
      </c>
      <c r="L48" s="64">
        <v>30.39</v>
      </c>
      <c r="M48" s="64">
        <v>66.209999999999994</v>
      </c>
      <c r="N48" s="64">
        <v>627.1</v>
      </c>
      <c r="O48" s="64">
        <v>0</v>
      </c>
      <c r="P48" s="64">
        <v>0.57999999999999996</v>
      </c>
      <c r="Q48" s="64">
        <v>9.7899999999999991</v>
      </c>
      <c r="R48" s="198"/>
      <c r="S48" s="198"/>
      <c r="T48" s="198"/>
      <c r="U48" s="198"/>
    </row>
    <row r="49" spans="1:21" s="12" customFormat="1" x14ac:dyDescent="0.25">
      <c r="A49" s="217" t="s">
        <v>2010</v>
      </c>
      <c r="B49" s="64">
        <v>8.19</v>
      </c>
      <c r="C49" s="64">
        <v>3.26</v>
      </c>
      <c r="D49" s="64">
        <v>12.04</v>
      </c>
      <c r="E49" s="64">
        <v>4.6500000000000004</v>
      </c>
      <c r="F49" s="64">
        <v>3.78</v>
      </c>
      <c r="G49" s="64">
        <v>55.43</v>
      </c>
      <c r="H49" s="64">
        <v>22.73</v>
      </c>
      <c r="I49" s="64">
        <v>7.47</v>
      </c>
      <c r="J49" s="64">
        <v>0.63</v>
      </c>
      <c r="K49" s="64">
        <v>106.42</v>
      </c>
      <c r="L49" s="64">
        <v>29.84</v>
      </c>
      <c r="M49" s="64">
        <v>68.930000000000007</v>
      </c>
      <c r="N49" s="64">
        <v>719.2</v>
      </c>
      <c r="O49" s="64">
        <v>0</v>
      </c>
      <c r="P49" s="64">
        <v>0.56999999999999995</v>
      </c>
      <c r="Q49" s="64">
        <v>9.7899999999999991</v>
      </c>
      <c r="R49" s="198"/>
      <c r="S49" s="198"/>
      <c r="T49" s="198"/>
      <c r="U49" s="198"/>
    </row>
    <row r="50" spans="1:21" s="12" customFormat="1" x14ac:dyDescent="0.25">
      <c r="A50" s="217" t="s">
        <v>2011</v>
      </c>
      <c r="B50" s="64">
        <v>8.1199999999999992</v>
      </c>
      <c r="C50" s="64">
        <v>3.12</v>
      </c>
      <c r="D50" s="64">
        <v>11.91</v>
      </c>
      <c r="E50" s="64">
        <v>5.04</v>
      </c>
      <c r="F50" s="64">
        <v>3.54</v>
      </c>
      <c r="G50" s="64">
        <v>55.43</v>
      </c>
      <c r="H50" s="64">
        <v>22.73</v>
      </c>
      <c r="I50" s="64">
        <v>7.65</v>
      </c>
      <c r="J50" s="64">
        <v>1.29</v>
      </c>
      <c r="K50" s="64">
        <v>109.67</v>
      </c>
      <c r="L50" s="64">
        <v>29.69</v>
      </c>
      <c r="M50" s="64">
        <v>69.3</v>
      </c>
      <c r="N50" s="64">
        <v>800.7</v>
      </c>
      <c r="O50" s="64">
        <v>0</v>
      </c>
      <c r="P50" s="64">
        <v>0.56999999999999995</v>
      </c>
      <c r="Q50" s="64">
        <v>9.8699999999999992</v>
      </c>
      <c r="R50" s="198"/>
      <c r="S50" s="198"/>
      <c r="T50" s="198"/>
      <c r="U50" s="198"/>
    </row>
    <row r="51" spans="1:21" s="12" customFormat="1" x14ac:dyDescent="0.25">
      <c r="A51" s="217" t="s">
        <v>2012</v>
      </c>
      <c r="B51" s="64">
        <v>8.09</v>
      </c>
      <c r="C51" s="64">
        <v>2.98</v>
      </c>
      <c r="D51" s="64">
        <v>11.82</v>
      </c>
      <c r="E51" s="64">
        <v>4.74</v>
      </c>
      <c r="F51" s="64">
        <v>3.65</v>
      </c>
      <c r="G51" s="64">
        <v>53.77</v>
      </c>
      <c r="H51" s="64">
        <v>21.69</v>
      </c>
      <c r="I51" s="64">
        <v>7.82</v>
      </c>
      <c r="J51" s="64">
        <v>0.57999999999999996</v>
      </c>
      <c r="K51" s="64">
        <v>68.59</v>
      </c>
      <c r="L51" s="64">
        <v>29.69</v>
      </c>
      <c r="M51" s="64">
        <v>69.08</v>
      </c>
      <c r="N51" s="64">
        <v>353.9</v>
      </c>
      <c r="O51" s="64">
        <v>0</v>
      </c>
      <c r="P51" s="64">
        <v>0.56000000000000005</v>
      </c>
      <c r="Q51" s="64">
        <v>9.8699999999999992</v>
      </c>
      <c r="R51" s="198"/>
      <c r="S51" s="198"/>
      <c r="T51" s="198"/>
      <c r="U51" s="198"/>
    </row>
    <row r="52" spans="1:21" s="12" customFormat="1" x14ac:dyDescent="0.25">
      <c r="A52" s="217" t="s">
        <v>2013</v>
      </c>
      <c r="B52" s="64">
        <v>8.1</v>
      </c>
      <c r="C52" s="64">
        <v>3.04</v>
      </c>
      <c r="D52" s="64">
        <v>11.86</v>
      </c>
      <c r="E52" s="64">
        <v>5</v>
      </c>
      <c r="F52" s="64">
        <v>3.82</v>
      </c>
      <c r="G52" s="64">
        <v>51.28</v>
      </c>
      <c r="H52" s="64">
        <v>20.14</v>
      </c>
      <c r="I52" s="64">
        <v>8.1300000000000008</v>
      </c>
      <c r="J52" s="64">
        <v>0.51</v>
      </c>
      <c r="K52" s="64">
        <v>62.44</v>
      </c>
      <c r="L52" s="64">
        <v>29.7</v>
      </c>
      <c r="M52" s="64">
        <v>69.37</v>
      </c>
      <c r="N52" s="64">
        <v>393.2</v>
      </c>
      <c r="O52" s="64">
        <v>0</v>
      </c>
      <c r="P52" s="64">
        <v>0.54</v>
      </c>
      <c r="Q52" s="64">
        <v>9.86</v>
      </c>
      <c r="R52" s="198"/>
      <c r="S52" s="198"/>
      <c r="T52" s="198"/>
      <c r="U52" s="198"/>
    </row>
    <row r="53" spans="1:21" s="12" customFormat="1" x14ac:dyDescent="0.25">
      <c r="A53" s="217" t="s">
        <v>2014</v>
      </c>
      <c r="B53" s="64">
        <v>8.1</v>
      </c>
      <c r="C53" s="64">
        <v>3.07</v>
      </c>
      <c r="D53" s="64">
        <v>11.88</v>
      </c>
      <c r="E53" s="64">
        <v>4.91</v>
      </c>
      <c r="F53" s="64">
        <v>3.36</v>
      </c>
      <c r="G53" s="64">
        <v>51.28</v>
      </c>
      <c r="H53" s="64">
        <v>20.14</v>
      </c>
      <c r="I53" s="64">
        <v>8.27</v>
      </c>
      <c r="J53" s="64">
        <v>0.43</v>
      </c>
      <c r="K53" s="64">
        <v>95.88</v>
      </c>
      <c r="L53" s="64">
        <v>29.39</v>
      </c>
      <c r="M53" s="64">
        <v>71.349999999999994</v>
      </c>
      <c r="N53" s="64">
        <v>486.9</v>
      </c>
      <c r="O53" s="64">
        <v>0</v>
      </c>
      <c r="P53" s="64">
        <v>0.54</v>
      </c>
      <c r="Q53" s="64">
        <v>9.82</v>
      </c>
      <c r="R53" s="198"/>
      <c r="S53" s="198"/>
      <c r="T53" s="198"/>
      <c r="U53" s="198"/>
    </row>
    <row r="54" spans="1:21" s="12" customFormat="1" x14ac:dyDescent="0.25">
      <c r="A54" s="217" t="s">
        <v>2015</v>
      </c>
      <c r="B54" s="64">
        <v>8.1</v>
      </c>
      <c r="C54" s="64">
        <v>3.07</v>
      </c>
      <c r="D54" s="64">
        <v>11.87</v>
      </c>
      <c r="E54" s="64">
        <v>4.8899999999999997</v>
      </c>
      <c r="F54" s="64">
        <v>3.44</v>
      </c>
      <c r="G54" s="64">
        <v>51.28</v>
      </c>
      <c r="H54" s="64">
        <v>20.14</v>
      </c>
      <c r="I54" s="64">
        <v>8.06</v>
      </c>
      <c r="J54" s="64">
        <v>0.42</v>
      </c>
      <c r="K54" s="64">
        <v>86.07</v>
      </c>
      <c r="L54" s="64">
        <v>30.24</v>
      </c>
      <c r="M54" s="64">
        <v>68.290000000000006</v>
      </c>
      <c r="N54" s="64">
        <v>816.6</v>
      </c>
      <c r="O54" s="64">
        <v>0</v>
      </c>
      <c r="P54" s="64">
        <v>0.54</v>
      </c>
      <c r="Q54" s="64">
        <v>9.74</v>
      </c>
      <c r="R54" s="198"/>
      <c r="S54" s="198"/>
      <c r="T54" s="198"/>
      <c r="U54" s="198"/>
    </row>
    <row r="55" spans="1:21" s="12" customFormat="1" x14ac:dyDescent="0.25">
      <c r="A55" s="217" t="s">
        <v>2016</v>
      </c>
      <c r="B55" s="64">
        <v>8.11</v>
      </c>
      <c r="C55" s="64">
        <v>3.15</v>
      </c>
      <c r="D55" s="64">
        <v>11.93</v>
      </c>
      <c r="E55" s="64">
        <v>4.9800000000000004</v>
      </c>
      <c r="F55" s="64">
        <v>5.07</v>
      </c>
      <c r="G55" s="64">
        <v>51.57</v>
      </c>
      <c r="H55" s="64">
        <v>17.850000000000001</v>
      </c>
      <c r="I55" s="64">
        <v>7.97</v>
      </c>
      <c r="J55" s="64">
        <v>0.91</v>
      </c>
      <c r="K55" s="64">
        <v>101.45</v>
      </c>
      <c r="L55" s="64">
        <v>30.6</v>
      </c>
      <c r="M55" s="64">
        <v>66.14</v>
      </c>
      <c r="N55" s="64">
        <v>913.5</v>
      </c>
      <c r="O55" s="64">
        <v>0</v>
      </c>
      <c r="P55" s="64">
        <v>0.51</v>
      </c>
      <c r="Q55" s="64">
        <v>9.77</v>
      </c>
      <c r="R55" s="198"/>
      <c r="S55" s="198"/>
      <c r="T55" s="198"/>
      <c r="U55" s="198"/>
    </row>
    <row r="56" spans="1:21" s="12" customFormat="1" x14ac:dyDescent="0.25">
      <c r="A56" s="217" t="s">
        <v>2017</v>
      </c>
      <c r="B56" s="64">
        <v>8.09</v>
      </c>
      <c r="C56" s="64">
        <v>3.18</v>
      </c>
      <c r="D56" s="64">
        <v>11.92</v>
      </c>
      <c r="E56" s="64">
        <v>3.24</v>
      </c>
      <c r="F56" s="64">
        <v>4.2</v>
      </c>
      <c r="G56" s="64">
        <v>52</v>
      </c>
      <c r="H56" s="64">
        <v>14.42</v>
      </c>
      <c r="I56" s="64">
        <v>7.93</v>
      </c>
      <c r="J56" s="64">
        <v>1.21</v>
      </c>
      <c r="K56" s="64">
        <v>112.6</v>
      </c>
      <c r="L56" s="64">
        <v>30.47</v>
      </c>
      <c r="M56" s="64">
        <v>67.209999999999994</v>
      </c>
      <c r="N56" s="64">
        <v>970.7</v>
      </c>
      <c r="O56" s="64">
        <v>0</v>
      </c>
      <c r="P56" s="64">
        <v>0.5</v>
      </c>
      <c r="Q56" s="64">
        <v>9.75</v>
      </c>
      <c r="R56" s="198"/>
      <c r="S56" s="198"/>
      <c r="T56" s="198"/>
      <c r="U56" s="198"/>
    </row>
    <row r="57" spans="1:21" s="12" customFormat="1" x14ac:dyDescent="0.25">
      <c r="A57" s="217" t="s">
        <v>2018</v>
      </c>
      <c r="B57" s="64">
        <v>8.06</v>
      </c>
      <c r="C57" s="64">
        <v>3.09</v>
      </c>
      <c r="D57" s="64">
        <v>11.85</v>
      </c>
      <c r="E57" s="64">
        <v>3.83</v>
      </c>
      <c r="F57" s="64">
        <v>3.22</v>
      </c>
      <c r="G57" s="64">
        <v>52</v>
      </c>
      <c r="H57" s="64">
        <v>14.42</v>
      </c>
      <c r="I57" s="64">
        <v>7.64</v>
      </c>
      <c r="J57" s="64">
        <v>0.77</v>
      </c>
      <c r="K57" s="64">
        <v>65.95</v>
      </c>
      <c r="L57" s="64">
        <v>30.79</v>
      </c>
      <c r="M57" s="64">
        <v>67.540000000000006</v>
      </c>
      <c r="N57" s="64">
        <v>963.7</v>
      </c>
      <c r="O57" s="64">
        <v>0</v>
      </c>
      <c r="P57" s="64">
        <v>0.48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7" t="s">
        <v>2019</v>
      </c>
      <c r="B58" s="64">
        <v>8.06</v>
      </c>
      <c r="C58" s="64">
        <v>3.16</v>
      </c>
      <c r="D58" s="64">
        <v>11.89</v>
      </c>
      <c r="E58" s="64">
        <v>4.2</v>
      </c>
      <c r="F58" s="64">
        <v>4.88</v>
      </c>
      <c r="G58" s="64">
        <v>52</v>
      </c>
      <c r="H58" s="64">
        <v>14.42</v>
      </c>
      <c r="I58" s="64">
        <v>7.38</v>
      </c>
      <c r="J58" s="64">
        <v>0.43</v>
      </c>
      <c r="K58" s="64">
        <v>46.04</v>
      </c>
      <c r="L58" s="64">
        <v>31.17</v>
      </c>
      <c r="M58" s="64">
        <v>65.44</v>
      </c>
      <c r="N58" s="64">
        <v>615.70000000000005</v>
      </c>
      <c r="O58" s="64">
        <v>0</v>
      </c>
      <c r="P58" s="64">
        <v>0.47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7" t="s">
        <v>2020</v>
      </c>
      <c r="B59" s="64">
        <v>8.06</v>
      </c>
      <c r="C59" s="64">
        <v>3.13</v>
      </c>
      <c r="D59" s="64">
        <v>11.87</v>
      </c>
      <c r="E59" s="64">
        <v>3.95</v>
      </c>
      <c r="F59" s="64">
        <v>4.59</v>
      </c>
      <c r="G59" s="64">
        <v>50.29</v>
      </c>
      <c r="H59" s="64">
        <v>15.9</v>
      </c>
      <c r="I59" s="64">
        <v>7.16</v>
      </c>
      <c r="J59" s="64">
        <v>0.46</v>
      </c>
      <c r="K59" s="64">
        <v>2.3199999999999998</v>
      </c>
      <c r="L59" s="64">
        <v>31.65</v>
      </c>
      <c r="M59" s="64">
        <v>64.489999999999995</v>
      </c>
      <c r="N59" s="64">
        <v>484.4</v>
      </c>
      <c r="O59" s="64">
        <v>0</v>
      </c>
      <c r="P59" s="64">
        <v>0.48</v>
      </c>
      <c r="Q59" s="64">
        <v>9.5299999999999994</v>
      </c>
      <c r="R59" s="198"/>
      <c r="S59" s="198"/>
      <c r="T59" s="198"/>
      <c r="U59" s="198"/>
    </row>
    <row r="60" spans="1:21" s="12" customFormat="1" x14ac:dyDescent="0.25">
      <c r="A60" s="217" t="s">
        <v>2021</v>
      </c>
      <c r="B60" s="64">
        <v>8.08</v>
      </c>
      <c r="C60" s="64">
        <v>3.26</v>
      </c>
      <c r="D60" s="64">
        <v>11.96</v>
      </c>
      <c r="E60" s="64">
        <v>4.1500000000000004</v>
      </c>
      <c r="F60" s="64">
        <v>3.66</v>
      </c>
      <c r="G60" s="64">
        <v>47.83</v>
      </c>
      <c r="H60" s="64">
        <v>18.02</v>
      </c>
      <c r="I60" s="64">
        <v>6.66</v>
      </c>
      <c r="J60" s="64">
        <v>0.8</v>
      </c>
      <c r="K60" s="64">
        <v>342.53</v>
      </c>
      <c r="L60" s="64">
        <v>31.19</v>
      </c>
      <c r="M60" s="64">
        <v>67.66</v>
      </c>
      <c r="N60" s="64">
        <v>838.2</v>
      </c>
      <c r="O60" s="64">
        <v>0</v>
      </c>
      <c r="P60" s="64">
        <v>0.48</v>
      </c>
      <c r="Q60" s="64">
        <v>9.5</v>
      </c>
      <c r="R60" s="198"/>
      <c r="S60" s="198"/>
      <c r="T60" s="198"/>
      <c r="U60" s="198"/>
    </row>
    <row r="61" spans="1:21" s="12" customFormat="1" x14ac:dyDescent="0.25">
      <c r="A61" s="217" t="s">
        <v>2022</v>
      </c>
      <c r="B61" s="64">
        <v>8.07</v>
      </c>
      <c r="C61" s="64">
        <v>3.23</v>
      </c>
      <c r="D61" s="64">
        <v>11.93</v>
      </c>
      <c r="E61" s="64">
        <v>4.0999999999999996</v>
      </c>
      <c r="F61" s="64">
        <v>3.99</v>
      </c>
      <c r="G61" s="64">
        <v>47.83</v>
      </c>
      <c r="H61" s="64">
        <v>18.02</v>
      </c>
      <c r="I61" s="64">
        <v>6.5</v>
      </c>
      <c r="J61" s="64">
        <v>0.89</v>
      </c>
      <c r="K61" s="64">
        <v>337.3</v>
      </c>
      <c r="L61" s="64">
        <v>33.229999999999997</v>
      </c>
      <c r="M61" s="64">
        <v>60.21</v>
      </c>
      <c r="N61" s="64">
        <v>893.8</v>
      </c>
      <c r="O61" s="64">
        <v>0</v>
      </c>
      <c r="P61" s="64">
        <v>0.47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17" t="s">
        <v>2023</v>
      </c>
      <c r="B62" s="64">
        <v>8.0500000000000007</v>
      </c>
      <c r="C62" s="64">
        <v>3.13</v>
      </c>
      <c r="D62" s="64">
        <v>11.87</v>
      </c>
      <c r="E62" s="64">
        <v>3.82</v>
      </c>
      <c r="F62" s="64">
        <v>5.35</v>
      </c>
      <c r="G62" s="64">
        <v>47.83</v>
      </c>
      <c r="H62" s="64">
        <v>18.02</v>
      </c>
      <c r="I62" s="64">
        <v>6.23</v>
      </c>
      <c r="J62" s="64">
        <v>0.95</v>
      </c>
      <c r="K62" s="64">
        <v>329.56</v>
      </c>
      <c r="L62" s="64">
        <v>33.659999999999997</v>
      </c>
      <c r="M62" s="64">
        <v>59.18</v>
      </c>
      <c r="N62" s="64">
        <v>1032.8</v>
      </c>
      <c r="O62" s="64">
        <v>0</v>
      </c>
      <c r="P62" s="64">
        <v>0.49</v>
      </c>
      <c r="Q62" s="64">
        <v>9.4499999999999993</v>
      </c>
      <c r="R62" s="198"/>
      <c r="S62" s="198"/>
      <c r="T62" s="198"/>
      <c r="U62" s="198"/>
    </row>
    <row r="63" spans="1:21" s="12" customFormat="1" x14ac:dyDescent="0.25">
      <c r="A63" s="217" t="s">
        <v>2024</v>
      </c>
      <c r="B63" s="64">
        <v>8.06</v>
      </c>
      <c r="C63" s="64">
        <v>3.18</v>
      </c>
      <c r="D63" s="64">
        <v>11.9</v>
      </c>
      <c r="E63" s="64">
        <v>4.42</v>
      </c>
      <c r="F63" s="64">
        <v>5.41</v>
      </c>
      <c r="G63" s="64">
        <v>54.69</v>
      </c>
      <c r="H63" s="64">
        <v>19.079999999999998</v>
      </c>
      <c r="I63" s="64">
        <v>5.99</v>
      </c>
      <c r="J63" s="64">
        <v>0.63</v>
      </c>
      <c r="K63" s="64">
        <v>21.37</v>
      </c>
      <c r="L63" s="64">
        <v>32.369999999999997</v>
      </c>
      <c r="M63" s="64">
        <v>63.22</v>
      </c>
      <c r="N63" s="64">
        <v>904.9</v>
      </c>
      <c r="O63" s="64">
        <v>0</v>
      </c>
      <c r="P63" s="64">
        <v>0.49</v>
      </c>
      <c r="Q63" s="64">
        <v>9.4600000000000009</v>
      </c>
      <c r="R63" s="198"/>
      <c r="S63" s="198"/>
      <c r="T63" s="198"/>
      <c r="U63" s="198"/>
    </row>
    <row r="64" spans="1:21" s="12" customFormat="1" x14ac:dyDescent="0.25">
      <c r="A64" s="217" t="s">
        <v>2025</v>
      </c>
      <c r="B64" s="64">
        <v>8.06</v>
      </c>
      <c r="C64" s="64">
        <v>3.12</v>
      </c>
      <c r="D64" s="64">
        <v>11.86</v>
      </c>
      <c r="E64" s="64">
        <v>3.82</v>
      </c>
      <c r="F64" s="64">
        <v>4.7300000000000004</v>
      </c>
      <c r="G64" s="64">
        <v>64.97</v>
      </c>
      <c r="H64" s="64">
        <v>20.68</v>
      </c>
      <c r="I64" s="64">
        <v>5.81</v>
      </c>
      <c r="J64" s="64">
        <v>1.69</v>
      </c>
      <c r="K64" s="64">
        <v>339.99</v>
      </c>
      <c r="L64" s="64">
        <v>33.71</v>
      </c>
      <c r="M64" s="64">
        <v>55.79</v>
      </c>
      <c r="N64" s="64">
        <v>819.4</v>
      </c>
      <c r="O64" s="64">
        <v>0</v>
      </c>
      <c r="P64" s="64">
        <v>0.5</v>
      </c>
      <c r="Q64" s="64">
        <v>9.4499999999999993</v>
      </c>
      <c r="R64" s="198"/>
      <c r="S64" s="198"/>
      <c r="T64" s="198"/>
      <c r="U64" s="198"/>
    </row>
    <row r="65" spans="1:21" s="12" customFormat="1" x14ac:dyDescent="0.25">
      <c r="A65" s="217" t="s">
        <v>2026</v>
      </c>
      <c r="B65" s="64">
        <v>8.06</v>
      </c>
      <c r="C65" s="64">
        <v>3.16</v>
      </c>
      <c r="D65" s="64">
        <v>11.89</v>
      </c>
      <c r="E65" s="64">
        <v>3.73</v>
      </c>
      <c r="F65" s="64">
        <v>5.2</v>
      </c>
      <c r="G65" s="64">
        <v>64.97</v>
      </c>
      <c r="H65" s="64">
        <v>20.68</v>
      </c>
      <c r="I65" s="64">
        <v>5.75</v>
      </c>
      <c r="J65" s="64">
        <v>0.92</v>
      </c>
      <c r="K65" s="64">
        <v>336.23</v>
      </c>
      <c r="L65" s="64">
        <v>32.9</v>
      </c>
      <c r="M65" s="64">
        <v>59.4</v>
      </c>
      <c r="N65" s="64">
        <v>587.4</v>
      </c>
      <c r="O65" s="64">
        <v>0</v>
      </c>
      <c r="P65" s="64">
        <v>0.49</v>
      </c>
      <c r="Q65" s="64">
        <v>9.44</v>
      </c>
      <c r="R65" s="198"/>
      <c r="S65" s="198"/>
      <c r="T65" s="198"/>
      <c r="U65" s="198"/>
    </row>
    <row r="66" spans="1:21" s="12" customFormat="1" x14ac:dyDescent="0.25">
      <c r="A66" s="217" t="s">
        <v>2027</v>
      </c>
      <c r="B66" s="64">
        <v>8.07</v>
      </c>
      <c r="C66" s="64">
        <v>3.19</v>
      </c>
      <c r="D66" s="64">
        <v>11.91</v>
      </c>
      <c r="E66" s="64">
        <v>3.96</v>
      </c>
      <c r="F66" s="64">
        <v>10.45</v>
      </c>
      <c r="G66" s="64">
        <v>64.97</v>
      </c>
      <c r="H66" s="64">
        <v>20.68</v>
      </c>
      <c r="I66" s="64">
        <v>5.58</v>
      </c>
      <c r="J66" s="64">
        <v>1.68</v>
      </c>
      <c r="K66" s="64">
        <v>338.97</v>
      </c>
      <c r="L66" s="64">
        <v>32.94</v>
      </c>
      <c r="M66" s="64">
        <v>58.77</v>
      </c>
      <c r="N66" s="64">
        <v>528</v>
      </c>
      <c r="O66" s="64">
        <v>0</v>
      </c>
      <c r="P66" s="64">
        <v>0.51</v>
      </c>
      <c r="Q66" s="64">
        <v>9.43</v>
      </c>
      <c r="R66" s="198"/>
      <c r="S66" s="198"/>
      <c r="T66" s="198"/>
      <c r="U66" s="198"/>
    </row>
    <row r="67" spans="1:21" s="12" customFormat="1" x14ac:dyDescent="0.25">
      <c r="A67" s="217" t="s">
        <v>2028</v>
      </c>
      <c r="B67" s="64">
        <v>8.06</v>
      </c>
      <c r="C67" s="64">
        <v>3.12</v>
      </c>
      <c r="D67" s="64">
        <v>11.87</v>
      </c>
      <c r="E67" s="64">
        <v>4.09</v>
      </c>
      <c r="F67" s="64">
        <v>10.46</v>
      </c>
      <c r="G67" s="64">
        <v>65.709999999999994</v>
      </c>
      <c r="H67" s="64">
        <v>19.18</v>
      </c>
      <c r="I67" s="64">
        <v>5.35</v>
      </c>
      <c r="J67" s="64">
        <v>1.99</v>
      </c>
      <c r="K67" s="64">
        <v>337.25</v>
      </c>
      <c r="L67" s="64">
        <v>32.979999999999997</v>
      </c>
      <c r="M67" s="64">
        <v>57.47</v>
      </c>
      <c r="N67" s="64">
        <v>374.7</v>
      </c>
      <c r="O67" s="64">
        <v>0</v>
      </c>
      <c r="P67" s="64">
        <v>0.53</v>
      </c>
      <c r="Q67" s="64">
        <v>9.43</v>
      </c>
      <c r="R67" s="198"/>
      <c r="S67" s="198"/>
      <c r="T67" s="198"/>
      <c r="U67" s="198"/>
    </row>
    <row r="68" spans="1:21" s="12" customFormat="1" x14ac:dyDescent="0.25">
      <c r="A68" s="217" t="s">
        <v>2029</v>
      </c>
      <c r="B68" s="64">
        <v>8.0399999999999991</v>
      </c>
      <c r="C68" s="64">
        <v>3.08</v>
      </c>
      <c r="D68" s="64">
        <v>11.83</v>
      </c>
      <c r="E68" s="64">
        <v>4.07</v>
      </c>
      <c r="F68" s="64">
        <v>12.12</v>
      </c>
      <c r="G68" s="64">
        <v>66.83</v>
      </c>
      <c r="H68" s="64">
        <v>17.04</v>
      </c>
      <c r="I68" s="64">
        <v>4.7300000000000004</v>
      </c>
      <c r="J68" s="64">
        <v>1.22</v>
      </c>
      <c r="K68" s="64">
        <v>347.64</v>
      </c>
      <c r="L68" s="64">
        <v>32.950000000000003</v>
      </c>
      <c r="M68" s="64">
        <v>57.16</v>
      </c>
      <c r="N68" s="64">
        <v>283.39999999999998</v>
      </c>
      <c r="O68" s="64">
        <v>0</v>
      </c>
      <c r="P68" s="64">
        <v>0.52</v>
      </c>
      <c r="Q68" s="64">
        <v>9.44</v>
      </c>
      <c r="R68" s="198"/>
      <c r="S68" s="198"/>
      <c r="T68" s="198"/>
      <c r="U68" s="198"/>
    </row>
    <row r="69" spans="1:21" s="12" customFormat="1" x14ac:dyDescent="0.25">
      <c r="A69" s="217" t="s">
        <v>2030</v>
      </c>
      <c r="B69" s="64">
        <v>8.0500000000000007</v>
      </c>
      <c r="C69" s="64">
        <v>3.11</v>
      </c>
      <c r="D69" s="64">
        <v>11.86</v>
      </c>
      <c r="E69" s="64">
        <v>3.98</v>
      </c>
      <c r="F69" s="64">
        <v>7.79</v>
      </c>
      <c r="G69" s="64">
        <v>66.83</v>
      </c>
      <c r="H69" s="64">
        <v>17.04</v>
      </c>
      <c r="I69" s="64">
        <v>4.0599999999999996</v>
      </c>
      <c r="J69" s="64">
        <v>1.69</v>
      </c>
      <c r="K69" s="64">
        <v>335.77</v>
      </c>
      <c r="L69" s="64">
        <v>32.619999999999997</v>
      </c>
      <c r="M69" s="64">
        <v>56.66</v>
      </c>
      <c r="N69" s="64">
        <v>527.29999999999995</v>
      </c>
      <c r="O69" s="64">
        <v>0</v>
      </c>
      <c r="P69" s="64">
        <v>0.51</v>
      </c>
      <c r="Q69" s="64">
        <v>9.44</v>
      </c>
      <c r="R69" s="198"/>
      <c r="S69" s="198"/>
      <c r="T69" s="198"/>
      <c r="U69" s="198"/>
    </row>
    <row r="70" spans="1:21" s="12" customFormat="1" x14ac:dyDescent="0.25">
      <c r="A70" s="217" t="s">
        <v>2031</v>
      </c>
      <c r="B70" s="64">
        <v>8.07</v>
      </c>
      <c r="C70" s="64">
        <v>3.14</v>
      </c>
      <c r="D70" s="64">
        <v>11.89</v>
      </c>
      <c r="E70" s="64">
        <v>3.87</v>
      </c>
      <c r="F70" s="64">
        <v>5.13</v>
      </c>
      <c r="G70" s="64">
        <v>66.83</v>
      </c>
      <c r="H70" s="64">
        <v>17.04</v>
      </c>
      <c r="I70" s="64">
        <v>3.8</v>
      </c>
      <c r="J70" s="64">
        <v>1.32</v>
      </c>
      <c r="K70" s="64">
        <v>334.03</v>
      </c>
      <c r="L70" s="64">
        <v>32.799999999999997</v>
      </c>
      <c r="M70" s="64">
        <v>55.92</v>
      </c>
      <c r="N70" s="64">
        <v>344.3</v>
      </c>
      <c r="O70" s="64">
        <v>0</v>
      </c>
      <c r="P70" s="64">
        <v>0.51</v>
      </c>
      <c r="Q70" s="64">
        <v>9.4499999999999993</v>
      </c>
      <c r="R70" s="198"/>
      <c r="S70" s="198"/>
      <c r="T70" s="198"/>
      <c r="U70" s="198"/>
    </row>
    <row r="71" spans="1:21" s="12" customFormat="1" x14ac:dyDescent="0.25">
      <c r="A71" s="217" t="s">
        <v>2032</v>
      </c>
      <c r="B71" s="64">
        <v>8.09</v>
      </c>
      <c r="C71" s="64">
        <v>3.13</v>
      </c>
      <c r="D71" s="64">
        <v>11.9</v>
      </c>
      <c r="E71" s="64">
        <v>3.71</v>
      </c>
      <c r="F71" s="64">
        <v>4.1399999999999997</v>
      </c>
      <c r="G71" s="64">
        <v>60.37</v>
      </c>
      <c r="H71" s="64">
        <v>14.94</v>
      </c>
      <c r="I71" s="64">
        <v>3.85</v>
      </c>
      <c r="J71" s="64">
        <v>1.24</v>
      </c>
      <c r="K71" s="64">
        <v>337.99</v>
      </c>
      <c r="L71" s="64">
        <v>32.49</v>
      </c>
      <c r="M71" s="64">
        <v>57.32</v>
      </c>
      <c r="N71" s="64">
        <v>259.10000000000002</v>
      </c>
      <c r="O71" s="64">
        <v>0</v>
      </c>
      <c r="P71" s="64">
        <v>0.51</v>
      </c>
      <c r="Q71" s="64">
        <v>9.44</v>
      </c>
      <c r="R71" s="198"/>
      <c r="S71" s="198"/>
      <c r="T71" s="198"/>
      <c r="U71" s="198"/>
    </row>
    <row r="72" spans="1:21" s="12" customFormat="1" x14ac:dyDescent="0.25">
      <c r="A72" s="217" t="s">
        <v>2033</v>
      </c>
      <c r="B72" s="64">
        <v>8.1199999999999992</v>
      </c>
      <c r="C72" s="64">
        <v>3.25</v>
      </c>
      <c r="D72" s="64">
        <v>11.98</v>
      </c>
      <c r="E72" s="64">
        <v>3.72</v>
      </c>
      <c r="F72" s="64">
        <v>4.26</v>
      </c>
      <c r="G72" s="64">
        <v>50.67</v>
      </c>
      <c r="H72" s="64">
        <v>11.93</v>
      </c>
      <c r="I72" s="64">
        <v>4.01</v>
      </c>
      <c r="J72" s="64">
        <v>0.61</v>
      </c>
      <c r="K72" s="64">
        <v>325.87</v>
      </c>
      <c r="L72" s="64">
        <v>31.6</v>
      </c>
      <c r="M72" s="64">
        <v>59.96</v>
      </c>
      <c r="N72" s="64">
        <v>207.2</v>
      </c>
      <c r="O72" s="64">
        <v>0</v>
      </c>
      <c r="P72" s="64">
        <v>0.51</v>
      </c>
      <c r="Q72" s="64">
        <v>9.4499999999999993</v>
      </c>
      <c r="R72" s="198"/>
      <c r="S72" s="198"/>
      <c r="T72" s="198"/>
      <c r="U72" s="198"/>
    </row>
    <row r="73" spans="1:21" s="12" customFormat="1" x14ac:dyDescent="0.25">
      <c r="A73" s="217" t="s">
        <v>2034</v>
      </c>
      <c r="B73" s="64">
        <v>8.1</v>
      </c>
      <c r="C73" s="64">
        <v>3.26</v>
      </c>
      <c r="D73" s="64">
        <v>11.97</v>
      </c>
      <c r="E73" s="64">
        <v>3.97</v>
      </c>
      <c r="F73" s="64">
        <v>4.83</v>
      </c>
      <c r="G73" s="64">
        <v>50.67</v>
      </c>
      <c r="H73" s="64">
        <v>11.93</v>
      </c>
      <c r="I73" s="64">
        <v>4.2</v>
      </c>
      <c r="J73" s="64">
        <v>1.38</v>
      </c>
      <c r="K73" s="64">
        <v>339.49</v>
      </c>
      <c r="L73" s="64">
        <v>31.28</v>
      </c>
      <c r="M73" s="64">
        <v>62.21</v>
      </c>
      <c r="N73" s="64">
        <v>190.4</v>
      </c>
      <c r="O73" s="64">
        <v>0</v>
      </c>
      <c r="P73" s="64">
        <v>0.52</v>
      </c>
      <c r="Q73" s="64">
        <v>9.48</v>
      </c>
      <c r="R73" s="198"/>
      <c r="S73" s="198"/>
      <c r="T73" s="198"/>
      <c r="U73" s="198"/>
    </row>
    <row r="74" spans="1:21" s="12" customFormat="1" x14ac:dyDescent="0.25">
      <c r="A74" s="217" t="s">
        <v>2035</v>
      </c>
      <c r="B74" s="64">
        <v>8.08</v>
      </c>
      <c r="C74" s="64">
        <v>3.14</v>
      </c>
      <c r="D74" s="64">
        <v>11.9</v>
      </c>
      <c r="E74" s="64">
        <v>4.1500000000000004</v>
      </c>
      <c r="F74" s="64">
        <v>4.66</v>
      </c>
      <c r="G74" s="64">
        <v>50.67</v>
      </c>
      <c r="H74" s="64">
        <v>11.93</v>
      </c>
      <c r="I74" s="64">
        <v>4.43</v>
      </c>
      <c r="J74" s="64">
        <v>0.43</v>
      </c>
      <c r="K74" s="64">
        <v>352.78</v>
      </c>
      <c r="L74" s="64">
        <v>31.1</v>
      </c>
      <c r="M74" s="64">
        <v>62.48</v>
      </c>
      <c r="N74" s="64">
        <v>169</v>
      </c>
      <c r="O74" s="64">
        <v>0</v>
      </c>
      <c r="P74" s="64">
        <v>0.53</v>
      </c>
      <c r="Q74" s="64">
        <v>9.5500000000000007</v>
      </c>
      <c r="R74" s="198"/>
      <c r="S74" s="198"/>
      <c r="T74" s="198"/>
      <c r="U74" s="198"/>
    </row>
    <row r="75" spans="1:21" s="12" customFormat="1" x14ac:dyDescent="0.25">
      <c r="A75" s="217" t="s">
        <v>2036</v>
      </c>
      <c r="B75" s="64">
        <v>8.07</v>
      </c>
      <c r="C75" s="64">
        <v>3.18</v>
      </c>
      <c r="D75" s="64">
        <v>11.91</v>
      </c>
      <c r="E75" s="64">
        <v>4.0999999999999996</v>
      </c>
      <c r="F75" s="64">
        <v>3.91</v>
      </c>
      <c r="G75" s="64">
        <v>56.11</v>
      </c>
      <c r="H75" s="64">
        <v>13.81</v>
      </c>
      <c r="I75" s="64">
        <v>4.63</v>
      </c>
      <c r="J75" s="64">
        <v>0.56000000000000005</v>
      </c>
      <c r="K75" s="64">
        <v>348.36</v>
      </c>
      <c r="L75" s="64">
        <v>30.91</v>
      </c>
      <c r="M75" s="64">
        <v>63.52</v>
      </c>
      <c r="N75" s="64">
        <v>182.4</v>
      </c>
      <c r="O75" s="64">
        <v>0</v>
      </c>
      <c r="P75" s="64">
        <v>0.54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7" t="s">
        <v>2037</v>
      </c>
      <c r="B76" s="64">
        <v>8.08</v>
      </c>
      <c r="C76" s="64">
        <v>3.24</v>
      </c>
      <c r="D76" s="64">
        <v>11.94</v>
      </c>
      <c r="E76" s="64">
        <v>4.45</v>
      </c>
      <c r="F76" s="64">
        <v>5.41</v>
      </c>
      <c r="G76" s="64">
        <v>63.9</v>
      </c>
      <c r="H76" s="64">
        <v>16.63</v>
      </c>
      <c r="I76" s="64">
        <v>4.76</v>
      </c>
      <c r="J76" s="64">
        <v>1.36</v>
      </c>
      <c r="K76" s="64">
        <v>338.58</v>
      </c>
      <c r="L76" s="64">
        <v>31.36</v>
      </c>
      <c r="M76" s="64">
        <v>61.89</v>
      </c>
      <c r="N76" s="64">
        <v>165.1</v>
      </c>
      <c r="O76" s="64">
        <v>0</v>
      </c>
      <c r="P76" s="64">
        <v>0.57999999999999996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17" t="s">
        <v>2038</v>
      </c>
      <c r="B77" s="64">
        <v>8.0500000000000007</v>
      </c>
      <c r="C77" s="64">
        <v>3.23</v>
      </c>
      <c r="D77" s="64">
        <v>11.91</v>
      </c>
      <c r="E77" s="64">
        <v>4.49</v>
      </c>
      <c r="F77" s="64">
        <v>5.05</v>
      </c>
      <c r="G77" s="64">
        <v>63.9</v>
      </c>
      <c r="H77" s="64">
        <v>16.63</v>
      </c>
      <c r="I77" s="64">
        <v>4.83</v>
      </c>
      <c r="J77" s="64">
        <v>0.59</v>
      </c>
      <c r="K77" s="64">
        <v>327.68</v>
      </c>
      <c r="L77" s="64">
        <v>31.22</v>
      </c>
      <c r="M77" s="64">
        <v>62.12</v>
      </c>
      <c r="N77" s="64">
        <v>179.3</v>
      </c>
      <c r="O77" s="64">
        <v>0</v>
      </c>
      <c r="P77" s="64">
        <v>0.6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7" t="s">
        <v>2039</v>
      </c>
      <c r="B78" s="64">
        <v>8.08</v>
      </c>
      <c r="C78" s="64">
        <v>3.35</v>
      </c>
      <c r="D78" s="64">
        <v>12</v>
      </c>
      <c r="E78" s="64">
        <v>4.13</v>
      </c>
      <c r="F78" s="64">
        <v>4.03</v>
      </c>
      <c r="G78" s="64">
        <v>63.9</v>
      </c>
      <c r="H78" s="64">
        <v>16.63</v>
      </c>
      <c r="I78" s="64">
        <v>4.74</v>
      </c>
      <c r="J78" s="64">
        <v>1.51</v>
      </c>
      <c r="K78" s="64">
        <v>337.54</v>
      </c>
      <c r="L78" s="64">
        <v>31.36</v>
      </c>
      <c r="M78" s="64">
        <v>60.88</v>
      </c>
      <c r="N78" s="64">
        <v>173.8</v>
      </c>
      <c r="O78" s="64">
        <v>0</v>
      </c>
      <c r="P78" s="64">
        <v>0.62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7" t="s">
        <v>2040</v>
      </c>
      <c r="B79" s="64">
        <v>8.02</v>
      </c>
      <c r="C79" s="64">
        <v>3.1</v>
      </c>
      <c r="D79" s="64">
        <v>11.82</v>
      </c>
      <c r="E79" s="64">
        <v>4.5599999999999996</v>
      </c>
      <c r="F79" s="64">
        <v>6.44</v>
      </c>
      <c r="G79" s="64">
        <v>67.41</v>
      </c>
      <c r="H79" s="64">
        <v>18.600000000000001</v>
      </c>
      <c r="I79" s="64">
        <v>4.7699999999999996</v>
      </c>
      <c r="J79" s="64">
        <v>2.16</v>
      </c>
      <c r="K79" s="64">
        <v>340.56</v>
      </c>
      <c r="L79" s="64">
        <v>31.28</v>
      </c>
      <c r="M79" s="64">
        <v>61.83</v>
      </c>
      <c r="N79" s="64">
        <v>139.1</v>
      </c>
      <c r="O79" s="64">
        <v>0</v>
      </c>
      <c r="P79" s="64">
        <v>0.64</v>
      </c>
      <c r="Q79" s="64">
        <v>9.49</v>
      </c>
      <c r="R79" s="198"/>
      <c r="S79" s="198"/>
      <c r="T79" s="198"/>
      <c r="U79" s="198"/>
    </row>
    <row r="80" spans="1:21" s="12" customFormat="1" x14ac:dyDescent="0.25">
      <c r="A80" s="217" t="s">
        <v>2041</v>
      </c>
      <c r="B80" s="64">
        <v>8.0299999999999994</v>
      </c>
      <c r="C80" s="64">
        <v>3.19</v>
      </c>
      <c r="D80" s="64">
        <v>11.88</v>
      </c>
      <c r="E80" s="64">
        <v>4.16</v>
      </c>
      <c r="F80" s="64">
        <v>5.41</v>
      </c>
      <c r="G80" s="64">
        <v>72.66</v>
      </c>
      <c r="H80" s="64">
        <v>21.56</v>
      </c>
      <c r="I80" s="64">
        <v>4.8099999999999996</v>
      </c>
      <c r="J80" s="64">
        <v>2.2000000000000002</v>
      </c>
      <c r="K80" s="64">
        <v>339.2</v>
      </c>
      <c r="L80" s="64">
        <v>30.89</v>
      </c>
      <c r="M80" s="64">
        <v>62.43</v>
      </c>
      <c r="N80" s="64">
        <v>103.4</v>
      </c>
      <c r="O80" s="64">
        <v>0</v>
      </c>
      <c r="P80" s="64">
        <v>0.64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7" t="s">
        <v>2042</v>
      </c>
      <c r="B81" s="64">
        <v>8.0399999999999991</v>
      </c>
      <c r="C81" s="64">
        <v>3.22</v>
      </c>
      <c r="D81" s="64">
        <v>11.91</v>
      </c>
      <c r="E81" s="64">
        <v>3.94</v>
      </c>
      <c r="F81" s="64">
        <v>4.5199999999999996</v>
      </c>
      <c r="G81" s="64">
        <v>72.66</v>
      </c>
      <c r="H81" s="64">
        <v>21.56</v>
      </c>
      <c r="I81" s="64">
        <v>4.58</v>
      </c>
      <c r="J81" s="64">
        <v>1.47</v>
      </c>
      <c r="K81" s="64">
        <v>335.47</v>
      </c>
      <c r="L81" s="64">
        <v>30.52</v>
      </c>
      <c r="M81" s="64">
        <v>65.17</v>
      </c>
      <c r="N81" s="64">
        <v>83.3</v>
      </c>
      <c r="O81" s="64">
        <v>0</v>
      </c>
      <c r="P81" s="64">
        <v>0.65</v>
      </c>
      <c r="Q81" s="64">
        <v>9.42</v>
      </c>
      <c r="R81" s="198"/>
      <c r="S81" s="198"/>
      <c r="T81" s="198"/>
      <c r="U81" s="198"/>
    </row>
    <row r="82" spans="1:26" s="12" customFormat="1" x14ac:dyDescent="0.25">
      <c r="A82" s="217" t="s">
        <v>2043</v>
      </c>
      <c r="B82" s="64">
        <v>8.07</v>
      </c>
      <c r="C82" s="64">
        <v>3.31</v>
      </c>
      <c r="D82" s="64">
        <v>11.98</v>
      </c>
      <c r="E82" s="64">
        <v>4.24</v>
      </c>
      <c r="F82" s="64">
        <v>4.1500000000000004</v>
      </c>
      <c r="G82" s="64">
        <v>72.66</v>
      </c>
      <c r="H82" s="64">
        <v>21.56</v>
      </c>
      <c r="I82" s="64">
        <v>4.37</v>
      </c>
      <c r="J82" s="64">
        <v>1.18</v>
      </c>
      <c r="K82" s="64">
        <v>340.08</v>
      </c>
      <c r="L82" s="64">
        <v>29.98</v>
      </c>
      <c r="M82" s="64">
        <v>74.489999999999995</v>
      </c>
      <c r="N82" s="64">
        <v>73.599999999999994</v>
      </c>
      <c r="O82" s="64">
        <v>0</v>
      </c>
      <c r="P82" s="64">
        <v>0.67</v>
      </c>
      <c r="Q82" s="64">
        <v>9.43</v>
      </c>
      <c r="R82" s="198"/>
      <c r="S82" s="198"/>
      <c r="T82" s="198"/>
      <c r="U82" s="198"/>
    </row>
    <row r="83" spans="1:26" s="12" customFormat="1" x14ac:dyDescent="0.25">
      <c r="A83" s="217" t="s">
        <v>2044</v>
      </c>
      <c r="B83" s="64">
        <v>8.06</v>
      </c>
      <c r="C83" s="64">
        <v>3.18</v>
      </c>
      <c r="D83" s="64">
        <v>11.9</v>
      </c>
      <c r="E83" s="64">
        <v>4.1500000000000004</v>
      </c>
      <c r="F83" s="64">
        <v>3.81</v>
      </c>
      <c r="G83" s="64">
        <v>80.22</v>
      </c>
      <c r="H83" s="64">
        <v>18.899999999999999</v>
      </c>
      <c r="I83" s="64">
        <v>4.32</v>
      </c>
      <c r="J83" s="64">
        <v>1.52</v>
      </c>
      <c r="K83" s="64">
        <v>336.12</v>
      </c>
      <c r="L83" s="64">
        <v>29.27</v>
      </c>
      <c r="M83" s="64">
        <v>74.430000000000007</v>
      </c>
      <c r="N83" s="64">
        <v>68</v>
      </c>
      <c r="O83" s="64">
        <v>0</v>
      </c>
      <c r="P83" s="64">
        <v>0.7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17" t="s">
        <v>2045</v>
      </c>
      <c r="B84" s="64">
        <v>8.07</v>
      </c>
      <c r="C84" s="64">
        <v>3.13</v>
      </c>
      <c r="D84" s="64">
        <v>11.88</v>
      </c>
      <c r="E84" s="64">
        <v>3.74</v>
      </c>
      <c r="F84" s="64">
        <v>3.68</v>
      </c>
      <c r="G84" s="64">
        <v>91.55</v>
      </c>
      <c r="H84" s="64">
        <v>15.09</v>
      </c>
      <c r="I84" s="64">
        <v>4.3899999999999997</v>
      </c>
      <c r="J84" s="64">
        <v>1.22</v>
      </c>
      <c r="K84" s="64">
        <v>336.5</v>
      </c>
      <c r="L84" s="64">
        <v>28.51</v>
      </c>
      <c r="M84" s="64">
        <v>83.23</v>
      </c>
      <c r="N84" s="64">
        <v>71.5</v>
      </c>
      <c r="O84" s="64">
        <v>0.2</v>
      </c>
      <c r="P84" s="64">
        <v>0.72</v>
      </c>
      <c r="Q84" s="64">
        <v>9.4700000000000006</v>
      </c>
      <c r="R84" s="198"/>
      <c r="S84" s="198"/>
      <c r="T84" s="198"/>
      <c r="U84" s="198"/>
    </row>
    <row r="85" spans="1:26" s="12" customFormat="1" x14ac:dyDescent="0.25">
      <c r="A85" s="217" t="s">
        <v>2046</v>
      </c>
      <c r="B85" s="64">
        <v>8.08</v>
      </c>
      <c r="C85" s="64">
        <v>3.12</v>
      </c>
      <c r="D85" s="64">
        <v>11.88</v>
      </c>
      <c r="E85" s="64">
        <v>3.96</v>
      </c>
      <c r="F85" s="64">
        <v>3.63</v>
      </c>
      <c r="G85" s="64">
        <v>91.55</v>
      </c>
      <c r="H85" s="64">
        <v>15.09</v>
      </c>
      <c r="I85" s="64">
        <v>4.5</v>
      </c>
      <c r="J85" s="64">
        <v>0.71</v>
      </c>
      <c r="K85" s="64">
        <v>333.03</v>
      </c>
      <c r="L85" s="64">
        <v>27.26</v>
      </c>
      <c r="M85" s="64">
        <v>88.59</v>
      </c>
      <c r="N85" s="64">
        <v>70.5</v>
      </c>
      <c r="O85" s="64">
        <v>0.2</v>
      </c>
      <c r="P85" s="64">
        <v>0.62</v>
      </c>
      <c r="Q85" s="64">
        <v>9.52</v>
      </c>
      <c r="R85" s="198"/>
      <c r="S85" s="198"/>
      <c r="T85" s="198"/>
      <c r="U85" s="198"/>
    </row>
    <row r="86" spans="1:26" s="12" customFormat="1" x14ac:dyDescent="0.25">
      <c r="A86" s="217" t="s">
        <v>2047</v>
      </c>
      <c r="B86" s="64">
        <v>8.1199999999999992</v>
      </c>
      <c r="C86" s="64">
        <v>3.16</v>
      </c>
      <c r="D86" s="64">
        <v>11.94</v>
      </c>
      <c r="E86" s="64">
        <v>3.99</v>
      </c>
      <c r="F86" s="64">
        <v>3.6</v>
      </c>
      <c r="G86" s="64">
        <v>91.55</v>
      </c>
      <c r="H86" s="64">
        <v>15.09</v>
      </c>
      <c r="I86" s="64">
        <v>4.5199999999999996</v>
      </c>
      <c r="J86" s="64">
        <v>0.78</v>
      </c>
      <c r="K86" s="64">
        <v>325.67</v>
      </c>
      <c r="L86" s="64">
        <v>27.06</v>
      </c>
      <c r="M86" s="64">
        <v>88.88</v>
      </c>
      <c r="N86" s="64">
        <v>69.599999999999994</v>
      </c>
      <c r="O86" s="64">
        <v>0</v>
      </c>
      <c r="P86" s="64">
        <v>0.65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7" t="s">
        <v>2048</v>
      </c>
      <c r="B87" s="64">
        <v>8.1300000000000008</v>
      </c>
      <c r="C87" s="64">
        <v>3.17</v>
      </c>
      <c r="D87" s="64">
        <v>11.95</v>
      </c>
      <c r="E87" s="64">
        <v>4.04</v>
      </c>
      <c r="F87" s="64">
        <v>3.38</v>
      </c>
      <c r="G87" s="64">
        <v>82</v>
      </c>
      <c r="H87" s="64">
        <v>20.74</v>
      </c>
      <c r="I87" s="64">
        <v>4.49</v>
      </c>
      <c r="J87" s="64">
        <v>0.27</v>
      </c>
      <c r="K87" s="64">
        <v>0.63</v>
      </c>
      <c r="L87" s="64">
        <v>26.94</v>
      </c>
      <c r="M87" s="64">
        <v>88.46</v>
      </c>
      <c r="N87" s="64">
        <v>69.5</v>
      </c>
      <c r="O87" s="64">
        <v>0</v>
      </c>
      <c r="P87" s="64">
        <v>0.65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7" t="s">
        <v>2049</v>
      </c>
      <c r="B88" s="64">
        <v>8.1199999999999992</v>
      </c>
      <c r="C88" s="64">
        <v>3.15</v>
      </c>
      <c r="D88" s="64">
        <v>11.93</v>
      </c>
      <c r="E88" s="64">
        <v>5.38</v>
      </c>
      <c r="F88" s="64">
        <v>3.6</v>
      </c>
      <c r="G88" s="64">
        <v>67.680000000000007</v>
      </c>
      <c r="H88" s="64">
        <v>29.21</v>
      </c>
      <c r="I88" s="64">
        <v>4.4400000000000004</v>
      </c>
      <c r="J88" s="64">
        <v>0.96</v>
      </c>
      <c r="K88" s="64">
        <v>153.75</v>
      </c>
      <c r="L88" s="64">
        <v>25.76</v>
      </c>
      <c r="M88" s="64">
        <v>93</v>
      </c>
      <c r="N88" s="64">
        <v>70.7</v>
      </c>
      <c r="O88" s="64">
        <v>0</v>
      </c>
      <c r="P88" s="64">
        <v>0.64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7" t="s">
        <v>2050</v>
      </c>
      <c r="B89" s="64">
        <v>8.1199999999999992</v>
      </c>
      <c r="C89" s="64">
        <v>3.18</v>
      </c>
      <c r="D89" s="64">
        <v>11.95</v>
      </c>
      <c r="E89" s="64">
        <v>5</v>
      </c>
      <c r="F89" s="64">
        <v>3.7</v>
      </c>
      <c r="G89" s="64">
        <v>67.680000000000007</v>
      </c>
      <c r="H89" s="64">
        <v>29.21</v>
      </c>
      <c r="I89" s="64">
        <v>4.45</v>
      </c>
      <c r="J89" s="64">
        <v>0.54</v>
      </c>
      <c r="K89" s="64">
        <v>344.89</v>
      </c>
      <c r="L89" s="64">
        <v>25.13</v>
      </c>
      <c r="M89" s="64">
        <v>96.85</v>
      </c>
      <c r="N89" s="64">
        <v>69.099999999999994</v>
      </c>
      <c r="O89" s="64">
        <v>0</v>
      </c>
      <c r="P89" s="64">
        <v>0.62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7" t="s">
        <v>2051</v>
      </c>
      <c r="B90" s="64">
        <v>8.11</v>
      </c>
      <c r="C90" s="64">
        <v>3.14</v>
      </c>
      <c r="D90" s="64">
        <v>11.92</v>
      </c>
      <c r="E90" s="64">
        <v>4.92</v>
      </c>
      <c r="F90" s="64">
        <v>3.7</v>
      </c>
      <c r="G90" s="64">
        <v>67.680000000000007</v>
      </c>
      <c r="H90" s="64">
        <v>29.21</v>
      </c>
      <c r="I90" s="64">
        <v>4.62</v>
      </c>
      <c r="J90" s="64">
        <v>0.53</v>
      </c>
      <c r="K90" s="64">
        <v>359.43</v>
      </c>
      <c r="L90" s="64">
        <v>24.84</v>
      </c>
      <c r="M90" s="64">
        <v>99.02</v>
      </c>
      <c r="N90" s="64">
        <v>69.2</v>
      </c>
      <c r="O90" s="64">
        <v>0</v>
      </c>
      <c r="P90" s="64">
        <v>0.61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7" t="s">
        <v>2052</v>
      </c>
      <c r="B91" s="64">
        <v>8.1300000000000008</v>
      </c>
      <c r="C91" s="64">
        <v>3.15</v>
      </c>
      <c r="D91" s="64">
        <v>11.94</v>
      </c>
      <c r="E91" s="64">
        <v>5.22</v>
      </c>
      <c r="F91" s="64">
        <v>3.81</v>
      </c>
      <c r="G91" s="64">
        <v>62.83</v>
      </c>
      <c r="H91" s="64">
        <v>24.54</v>
      </c>
      <c r="I91" s="64">
        <v>4.6399999999999997</v>
      </c>
      <c r="J91" s="64">
        <v>0.3</v>
      </c>
      <c r="K91" s="64">
        <v>23.66</v>
      </c>
      <c r="L91" s="64">
        <v>24.55</v>
      </c>
      <c r="M91" s="64">
        <v>99.03</v>
      </c>
      <c r="N91" s="64">
        <v>69.2</v>
      </c>
      <c r="O91" s="64">
        <v>0.2</v>
      </c>
      <c r="P91" s="64">
        <v>0.6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7" t="s">
        <v>2053</v>
      </c>
      <c r="B92" s="64">
        <v>8.14</v>
      </c>
      <c r="C92" s="64">
        <v>3.27</v>
      </c>
      <c r="D92" s="64">
        <v>12.01</v>
      </c>
      <c r="E92" s="64">
        <v>5.14</v>
      </c>
      <c r="F92" s="64">
        <v>3.77</v>
      </c>
      <c r="G92" s="64">
        <v>55.56</v>
      </c>
      <c r="H92" s="64">
        <v>17.53</v>
      </c>
      <c r="I92" s="64">
        <v>4.5</v>
      </c>
      <c r="J92" s="64">
        <v>0.44</v>
      </c>
      <c r="K92" s="64">
        <v>16.850000000000001</v>
      </c>
      <c r="L92" s="64">
        <v>24.41</v>
      </c>
      <c r="M92" s="64">
        <v>99.04</v>
      </c>
      <c r="N92" s="64">
        <v>68.3</v>
      </c>
      <c r="O92" s="64">
        <v>0</v>
      </c>
      <c r="P92" s="64">
        <v>0.6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7" t="s">
        <v>2054</v>
      </c>
      <c r="B93" s="64">
        <v>8.1300000000000008</v>
      </c>
      <c r="C93" s="64">
        <v>3.24</v>
      </c>
      <c r="D93" s="64">
        <v>11.98</v>
      </c>
      <c r="E93" s="64">
        <v>4.9800000000000004</v>
      </c>
      <c r="F93" s="64">
        <v>3.73</v>
      </c>
      <c r="G93" s="64">
        <v>55.56</v>
      </c>
      <c r="H93" s="64">
        <v>17.53</v>
      </c>
      <c r="I93" s="64">
        <v>4.34</v>
      </c>
      <c r="J93" s="64">
        <v>0.6</v>
      </c>
      <c r="K93" s="64">
        <v>8.41</v>
      </c>
      <c r="L93" s="64">
        <v>24.28</v>
      </c>
      <c r="M93" s="64">
        <v>99.04</v>
      </c>
      <c r="N93" s="64">
        <v>68.5</v>
      </c>
      <c r="O93" s="64">
        <v>0</v>
      </c>
      <c r="P93" s="64">
        <v>0.61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7" t="s">
        <v>2055</v>
      </c>
      <c r="B94" s="64">
        <v>8.09</v>
      </c>
      <c r="C94" s="64">
        <v>3.15</v>
      </c>
      <c r="D94" s="64">
        <v>11.91</v>
      </c>
      <c r="E94" s="64">
        <v>5.57</v>
      </c>
      <c r="F94" s="64">
        <v>2.82</v>
      </c>
      <c r="G94" s="64">
        <v>55.56</v>
      </c>
      <c r="H94" s="64">
        <v>17.53</v>
      </c>
      <c r="I94" s="64">
        <v>4.26</v>
      </c>
      <c r="J94" s="64">
        <v>0.56999999999999995</v>
      </c>
      <c r="K94" s="64">
        <v>352.16</v>
      </c>
      <c r="L94" s="64">
        <v>24.29</v>
      </c>
      <c r="M94" s="64">
        <v>99.04</v>
      </c>
      <c r="N94" s="64">
        <v>68.5</v>
      </c>
      <c r="O94" s="64">
        <v>0</v>
      </c>
      <c r="P94" s="64">
        <v>0.57999999999999996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17" t="s">
        <v>2056</v>
      </c>
      <c r="B95" s="64">
        <v>8.07</v>
      </c>
      <c r="C95" s="64">
        <v>3.11</v>
      </c>
      <c r="D95" s="64">
        <v>11.87</v>
      </c>
      <c r="E95" s="64">
        <v>5.0599999999999996</v>
      </c>
      <c r="F95" s="64">
        <v>3.45</v>
      </c>
      <c r="G95" s="64">
        <v>49.76</v>
      </c>
      <c r="H95" s="64">
        <v>17.22</v>
      </c>
      <c r="I95" s="64">
        <v>4.1100000000000003</v>
      </c>
      <c r="J95" s="64">
        <v>0.2</v>
      </c>
      <c r="K95" s="64">
        <v>351.53</v>
      </c>
      <c r="L95" s="64">
        <v>24.28</v>
      </c>
      <c r="M95" s="64">
        <v>99.01</v>
      </c>
      <c r="N95" s="64">
        <v>68.5</v>
      </c>
      <c r="O95" s="64">
        <v>0</v>
      </c>
      <c r="P95" s="64">
        <v>0.56000000000000005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7" t="s">
        <v>2057</v>
      </c>
      <c r="B96" s="64">
        <v>8.06</v>
      </c>
      <c r="C96" s="64">
        <v>3.08</v>
      </c>
      <c r="D96" s="64">
        <v>11.84</v>
      </c>
      <c r="E96" s="64">
        <v>5.34</v>
      </c>
      <c r="F96" s="64">
        <v>4.2</v>
      </c>
      <c r="G96" s="64">
        <v>41.06</v>
      </c>
      <c r="H96" s="64">
        <v>16.75</v>
      </c>
      <c r="I96" s="64">
        <v>3.84</v>
      </c>
      <c r="J96" s="64">
        <v>0.13</v>
      </c>
      <c r="K96" s="64">
        <v>338.58</v>
      </c>
      <c r="L96" s="64">
        <v>24.23</v>
      </c>
      <c r="M96" s="64">
        <v>99.01</v>
      </c>
      <c r="N96" s="64">
        <v>68.8</v>
      </c>
      <c r="O96" s="64">
        <v>0</v>
      </c>
      <c r="P96" s="64">
        <v>0.56999999999999995</v>
      </c>
      <c r="Q96" s="64">
        <v>9.57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2058</v>
      </c>
      <c r="B97" s="64">
        <v>8.11</v>
      </c>
      <c r="C97" s="64">
        <v>3.22</v>
      </c>
      <c r="D97" s="64">
        <v>11.96</v>
      </c>
      <c r="E97" s="64">
        <v>5.52</v>
      </c>
      <c r="F97" s="64">
        <v>3.11</v>
      </c>
      <c r="G97" s="64">
        <v>41.06</v>
      </c>
      <c r="H97" s="64">
        <v>16.75</v>
      </c>
      <c r="I97" s="64">
        <v>3.79</v>
      </c>
      <c r="J97" s="64">
        <v>0.4</v>
      </c>
      <c r="K97" s="64">
        <v>355.62</v>
      </c>
      <c r="L97" s="64">
        <v>24.09</v>
      </c>
      <c r="M97" s="64">
        <v>99.05</v>
      </c>
      <c r="N97" s="64">
        <v>69</v>
      </c>
      <c r="O97" s="64">
        <v>0</v>
      </c>
      <c r="P97" s="64">
        <v>0.56000000000000005</v>
      </c>
      <c r="Q97" s="64">
        <v>9.56</v>
      </c>
      <c r="R97" s="198"/>
      <c r="S97" s="198"/>
      <c r="T97" s="198"/>
      <c r="U97" s="198"/>
    </row>
    <row r="98" spans="1:33" s="12" customFormat="1" x14ac:dyDescent="0.25">
      <c r="A98" s="217" t="s">
        <v>2059</v>
      </c>
      <c r="B98" s="64">
        <v>8.1</v>
      </c>
      <c r="C98" s="64">
        <v>3.12</v>
      </c>
      <c r="D98" s="64">
        <v>11.9</v>
      </c>
      <c r="E98" s="64">
        <v>5.09</v>
      </c>
      <c r="F98" s="64">
        <v>3.56</v>
      </c>
      <c r="G98" s="64">
        <v>41.06</v>
      </c>
      <c r="H98" s="64">
        <v>16.75</v>
      </c>
      <c r="I98" s="64">
        <v>3.89</v>
      </c>
      <c r="J98" s="64">
        <v>0.44</v>
      </c>
      <c r="K98" s="64">
        <v>347.75</v>
      </c>
      <c r="L98" s="64">
        <v>23.95</v>
      </c>
      <c r="M98" s="64">
        <v>99.05</v>
      </c>
      <c r="N98" s="64">
        <v>69.099999999999994</v>
      </c>
      <c r="O98" s="64">
        <v>0</v>
      </c>
      <c r="P98" s="64">
        <v>0.55000000000000004</v>
      </c>
      <c r="Q98" s="64">
        <v>9.49</v>
      </c>
      <c r="R98" s="198"/>
      <c r="S98" s="198"/>
      <c r="T98" s="198"/>
      <c r="U98" s="198"/>
    </row>
    <row r="99" spans="1:33" s="12" customFormat="1" x14ac:dyDescent="0.25">
      <c r="A99" s="217" t="s">
        <v>2060</v>
      </c>
      <c r="B99" s="64">
        <v>8.11</v>
      </c>
      <c r="C99" s="64">
        <v>3.19</v>
      </c>
      <c r="D99" s="64">
        <v>11.94</v>
      </c>
      <c r="E99" s="64">
        <v>5.2</v>
      </c>
      <c r="F99" s="64">
        <v>3.93</v>
      </c>
      <c r="G99" s="64">
        <v>37.799999999999997</v>
      </c>
      <c r="H99" s="64">
        <v>14.52</v>
      </c>
      <c r="I99" s="64">
        <v>3.79</v>
      </c>
      <c r="J99" s="64">
        <v>0.42</v>
      </c>
      <c r="K99" s="64">
        <v>352.54</v>
      </c>
      <c r="L99" s="64">
        <v>23.81</v>
      </c>
      <c r="M99" s="64">
        <v>99.05</v>
      </c>
      <c r="N99" s="64">
        <v>69.099999999999994</v>
      </c>
      <c r="O99" s="64">
        <v>0</v>
      </c>
      <c r="P99" s="64">
        <v>0.54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7" t="s">
        <v>2061</v>
      </c>
      <c r="B100" s="64">
        <v>8.06</v>
      </c>
      <c r="C100" s="64">
        <v>3.14</v>
      </c>
      <c r="D100" s="64">
        <v>11.88</v>
      </c>
      <c r="E100" s="64">
        <v>4.99</v>
      </c>
      <c r="F100" s="64">
        <v>4.53</v>
      </c>
      <c r="G100" s="64">
        <v>33.130000000000003</v>
      </c>
      <c r="H100" s="64">
        <v>11.18</v>
      </c>
      <c r="I100" s="64">
        <v>3.63</v>
      </c>
      <c r="J100" s="64">
        <v>0.61</v>
      </c>
      <c r="K100" s="64">
        <v>8.1999999999999993</v>
      </c>
      <c r="L100" s="64">
        <v>23.82</v>
      </c>
      <c r="M100" s="64">
        <v>99.03</v>
      </c>
      <c r="N100" s="64">
        <v>69.599999999999994</v>
      </c>
      <c r="O100" s="64">
        <v>0</v>
      </c>
      <c r="P100" s="64">
        <v>0.56000000000000005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2062</v>
      </c>
      <c r="B101" s="64">
        <v>8.06</v>
      </c>
      <c r="C101" s="64">
        <v>3.11</v>
      </c>
      <c r="D101" s="64">
        <v>11.87</v>
      </c>
      <c r="E101" s="64">
        <v>5.66</v>
      </c>
      <c r="F101" s="64">
        <v>5.09</v>
      </c>
      <c r="G101" s="64">
        <v>33.130000000000003</v>
      </c>
      <c r="H101" s="64">
        <v>11.18</v>
      </c>
      <c r="I101" s="64">
        <v>3.65</v>
      </c>
      <c r="J101" s="64">
        <v>0.59</v>
      </c>
      <c r="K101" s="64">
        <v>358.26</v>
      </c>
      <c r="L101" s="64">
        <v>23.84</v>
      </c>
      <c r="M101" s="64">
        <v>99.02</v>
      </c>
      <c r="N101" s="64">
        <v>69.599999999999994</v>
      </c>
      <c r="O101" s="64">
        <v>0</v>
      </c>
      <c r="P101" s="64">
        <v>0.56999999999999995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7" t="s">
        <v>2063</v>
      </c>
      <c r="B102" s="64">
        <v>8.08</v>
      </c>
      <c r="C102" s="64">
        <v>3.19</v>
      </c>
      <c r="D102" s="64">
        <v>11.92</v>
      </c>
      <c r="E102" s="64">
        <v>5.52</v>
      </c>
      <c r="F102" s="64">
        <v>5.14</v>
      </c>
      <c r="G102" s="64">
        <v>33.130000000000003</v>
      </c>
      <c r="H102" s="64">
        <v>11.18</v>
      </c>
      <c r="I102" s="64">
        <v>3.84</v>
      </c>
      <c r="J102" s="64">
        <v>0.09</v>
      </c>
      <c r="K102" s="64">
        <v>73.180000000000007</v>
      </c>
      <c r="L102" s="64">
        <v>23.65</v>
      </c>
      <c r="M102" s="64">
        <v>99.02</v>
      </c>
      <c r="N102" s="64">
        <v>68.8</v>
      </c>
      <c r="O102" s="64">
        <v>0</v>
      </c>
      <c r="P102" s="64">
        <v>0.57999999999999996</v>
      </c>
      <c r="Q102" s="64">
        <v>9.1300000000000008</v>
      </c>
      <c r="R102" s="198"/>
      <c r="S102" s="198"/>
      <c r="T102" s="198"/>
      <c r="U102" s="198"/>
    </row>
    <row r="103" spans="1:33" s="12" customFormat="1" x14ac:dyDescent="0.25">
      <c r="A103" s="217" t="s">
        <v>2064</v>
      </c>
      <c r="B103" s="64">
        <v>8.2200000000000006</v>
      </c>
      <c r="C103" s="64">
        <v>3.55</v>
      </c>
      <c r="D103" s="64">
        <v>12.22</v>
      </c>
      <c r="E103" s="64">
        <v>5.91</v>
      </c>
      <c r="F103" s="64">
        <v>3.5</v>
      </c>
      <c r="G103" s="64">
        <v>32.83</v>
      </c>
      <c r="H103" s="64">
        <v>11.55</v>
      </c>
      <c r="I103" s="64">
        <v>3.94</v>
      </c>
      <c r="J103" s="64">
        <v>1</v>
      </c>
      <c r="K103" s="64">
        <v>150.35</v>
      </c>
      <c r="L103" s="64">
        <v>23.48</v>
      </c>
      <c r="M103" s="64">
        <v>99.02</v>
      </c>
      <c r="N103" s="64">
        <v>67.599999999999994</v>
      </c>
      <c r="O103" s="64">
        <v>0</v>
      </c>
      <c r="P103" s="64">
        <v>0.56000000000000005</v>
      </c>
      <c r="Q103" s="64">
        <v>8.89</v>
      </c>
      <c r="R103" s="198"/>
      <c r="S103" s="198"/>
      <c r="T103" s="198"/>
      <c r="U103" s="198"/>
    </row>
    <row r="104" spans="1:33" s="12" customFormat="1" x14ac:dyDescent="0.25">
      <c r="A104" s="217" t="s">
        <v>2065</v>
      </c>
      <c r="B104" s="64">
        <v>8.1</v>
      </c>
      <c r="C104" s="64">
        <v>3.23</v>
      </c>
      <c r="D104" s="64">
        <v>11.96</v>
      </c>
      <c r="E104" s="64">
        <v>3.41</v>
      </c>
      <c r="F104" s="64">
        <v>3.54</v>
      </c>
      <c r="G104" s="64">
        <v>32.380000000000003</v>
      </c>
      <c r="H104" s="64">
        <v>12.1</v>
      </c>
      <c r="I104" s="64">
        <v>3.98</v>
      </c>
      <c r="J104" s="64">
        <v>0.47</v>
      </c>
      <c r="K104" s="64">
        <v>151.27000000000001</v>
      </c>
      <c r="L104" s="64">
        <v>23.38</v>
      </c>
      <c r="M104" s="64">
        <v>99.02</v>
      </c>
      <c r="N104" s="64">
        <v>68</v>
      </c>
      <c r="O104" s="64">
        <v>0</v>
      </c>
      <c r="P104" s="64">
        <v>0.53</v>
      </c>
      <c r="Q104" s="64">
        <v>9.01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8.02</v>
      </c>
      <c r="C106" s="67">
        <f>MIN(C9:C104)</f>
        <v>2.98</v>
      </c>
      <c r="D106" s="67">
        <f t="shared" ref="D106:Q106" si="0">MIN(D9:D104)</f>
        <v>11.82</v>
      </c>
      <c r="E106" s="67">
        <f t="shared" si="0"/>
        <v>3.24</v>
      </c>
      <c r="F106" s="67">
        <f t="shared" si="0"/>
        <v>2.82</v>
      </c>
      <c r="G106" s="67">
        <f t="shared" si="0"/>
        <v>32.380000000000003</v>
      </c>
      <c r="H106" s="67">
        <f t="shared" si="0"/>
        <v>11.18</v>
      </c>
      <c r="I106" s="67">
        <f t="shared" si="0"/>
        <v>3.09</v>
      </c>
      <c r="J106" s="67">
        <f t="shared" si="0"/>
        <v>0.09</v>
      </c>
      <c r="K106" s="67">
        <f t="shared" si="0"/>
        <v>0.63</v>
      </c>
      <c r="L106" s="67">
        <f t="shared" si="0"/>
        <v>23.38</v>
      </c>
      <c r="M106" s="67">
        <f t="shared" si="0"/>
        <v>55.79</v>
      </c>
      <c r="N106" s="67">
        <f t="shared" si="0"/>
        <v>67.599999999999994</v>
      </c>
      <c r="O106" s="67">
        <f t="shared" si="0"/>
        <v>0</v>
      </c>
      <c r="P106" s="67">
        <f t="shared" si="0"/>
        <v>0.47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8.2200000000000006</v>
      </c>
      <c r="C107" s="66">
        <f t="shared" ref="C107:Q107" si="1">MAX(C9:C104)</f>
        <v>3.55</v>
      </c>
      <c r="D107" s="66">
        <f t="shared" si="1"/>
        <v>12.22</v>
      </c>
      <c r="E107" s="66">
        <f t="shared" si="1"/>
        <v>5.91</v>
      </c>
      <c r="F107" s="66">
        <f t="shared" si="1"/>
        <v>12.12</v>
      </c>
      <c r="G107" s="66">
        <f t="shared" si="1"/>
        <v>91.55</v>
      </c>
      <c r="H107" s="66">
        <f t="shared" si="1"/>
        <v>29.21</v>
      </c>
      <c r="I107" s="66">
        <f t="shared" si="1"/>
        <v>8.27</v>
      </c>
      <c r="J107" s="66">
        <f t="shared" si="1"/>
        <v>2.2000000000000002</v>
      </c>
      <c r="K107" s="66">
        <f t="shared" si="1"/>
        <v>359.43</v>
      </c>
      <c r="L107" s="66">
        <f t="shared" si="1"/>
        <v>33.71</v>
      </c>
      <c r="M107" s="66">
        <f t="shared" si="1"/>
        <v>99.05</v>
      </c>
      <c r="N107" s="66">
        <f t="shared" si="1"/>
        <v>1032.8</v>
      </c>
      <c r="O107" s="66">
        <f t="shared" si="1"/>
        <v>1.2</v>
      </c>
      <c r="P107" s="66">
        <f t="shared" si="1"/>
        <v>0.72</v>
      </c>
      <c r="Q107" s="66">
        <f t="shared" si="1"/>
        <v>9.8699999999999992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8.0968750000000025</v>
      </c>
      <c r="C108" s="67">
        <f t="shared" ref="C108:Q108" si="2">AVERAGE(C9:C104)</f>
        <v>3.1545833333333326</v>
      </c>
      <c r="D108" s="67">
        <f t="shared" si="2"/>
        <v>11.915104166666671</v>
      </c>
      <c r="E108" s="67">
        <f t="shared" si="2"/>
        <v>4.6296875000000002</v>
      </c>
      <c r="F108" s="67">
        <f t="shared" si="2"/>
        <v>4.1456249999999999</v>
      </c>
      <c r="G108" s="67">
        <f t="shared" si="2"/>
        <v>60.915208333333368</v>
      </c>
      <c r="H108" s="67">
        <f t="shared" si="2"/>
        <v>18.547812500000003</v>
      </c>
      <c r="I108" s="67">
        <f t="shared" si="2"/>
        <v>5.476770833333334</v>
      </c>
      <c r="J108" s="67">
        <f t="shared" si="2"/>
        <v>0.81864583333333341</v>
      </c>
      <c r="K108" s="67">
        <f t="shared" si="2"/>
        <v>238.35322916666675</v>
      </c>
      <c r="L108" s="67">
        <f t="shared" si="2"/>
        <v>27.707291666666688</v>
      </c>
      <c r="M108" s="67">
        <f t="shared" si="2"/>
        <v>83.398125000000036</v>
      </c>
      <c r="N108" s="67">
        <f t="shared" si="2"/>
        <v>270.13541666666663</v>
      </c>
      <c r="O108" s="67">
        <f t="shared" si="2"/>
        <v>1.8749999999999999E-2</v>
      </c>
      <c r="P108" s="67">
        <f t="shared" si="2"/>
        <v>0.57635416666666661</v>
      </c>
      <c r="Q108" s="67">
        <f t="shared" si="2"/>
        <v>8.880729166666665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3.540182867712071E-2</v>
      </c>
      <c r="C109" s="67">
        <f t="shared" ref="C109:Q109" si="3">STDEV(C9:C104)</f>
        <v>8.03271818275164E-2</v>
      </c>
      <c r="D109" s="67">
        <f t="shared" si="3"/>
        <v>5.8056139648423037E-2</v>
      </c>
      <c r="E109" s="67">
        <f t="shared" si="3"/>
        <v>0.5537079852185004</v>
      </c>
      <c r="F109" s="67">
        <f t="shared" si="3"/>
        <v>1.4747844177870113</v>
      </c>
      <c r="G109" s="67">
        <f t="shared" si="3"/>
        <v>12.275897993022157</v>
      </c>
      <c r="H109" s="67">
        <f t="shared" si="3"/>
        <v>4.0101899687578779</v>
      </c>
      <c r="I109" s="67">
        <f t="shared" si="3"/>
        <v>1.2982729376421656</v>
      </c>
      <c r="J109" s="67">
        <f t="shared" si="3"/>
        <v>0.47795533768811682</v>
      </c>
      <c r="K109" s="67">
        <f t="shared" si="3"/>
        <v>132.39484751060905</v>
      </c>
      <c r="L109" s="67">
        <f t="shared" si="3"/>
        <v>3.2044326139258668</v>
      </c>
      <c r="M109" s="67">
        <f t="shared" si="3"/>
        <v>16.817202490463597</v>
      </c>
      <c r="N109" s="67">
        <f t="shared" si="3"/>
        <v>286.89053550794443</v>
      </c>
      <c r="O109" s="67">
        <f t="shared" si="3"/>
        <v>0.12675089535653863</v>
      </c>
      <c r="P109" s="67">
        <f t="shared" si="3"/>
        <v>5.3961385641501804E-2</v>
      </c>
      <c r="Q109" s="67">
        <f t="shared" si="3"/>
        <v>2.5083314835045929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2066</v>
      </c>
      <c r="B9" s="64">
        <v>8.07</v>
      </c>
      <c r="C9" s="64">
        <v>3.11</v>
      </c>
      <c r="D9" s="64">
        <v>11.87</v>
      </c>
      <c r="E9" s="64">
        <v>2.86</v>
      </c>
      <c r="F9" s="64">
        <v>3.63</v>
      </c>
      <c r="G9" s="64">
        <v>32.380000000000003</v>
      </c>
      <c r="H9" s="64">
        <v>12.1</v>
      </c>
      <c r="I9" s="64">
        <v>4.22</v>
      </c>
      <c r="J9" s="64">
        <v>0.31</v>
      </c>
      <c r="K9" s="64">
        <v>156.02000000000001</v>
      </c>
      <c r="L9" s="64">
        <v>23.48</v>
      </c>
      <c r="M9" s="64">
        <v>99.02</v>
      </c>
      <c r="N9" s="64">
        <v>67.8</v>
      </c>
      <c r="O9" s="64">
        <v>0</v>
      </c>
      <c r="P9" s="64">
        <v>0.51</v>
      </c>
      <c r="Q9" s="64">
        <v>9.23</v>
      </c>
      <c r="R9" s="198"/>
      <c r="S9" s="198"/>
      <c r="T9" s="198"/>
      <c r="U9" s="198"/>
    </row>
    <row r="10" spans="1:21" s="12" customFormat="1" x14ac:dyDescent="0.25">
      <c r="A10" s="217" t="s">
        <v>2067</v>
      </c>
      <c r="B10" s="64">
        <v>8.08</v>
      </c>
      <c r="C10" s="64">
        <v>3.05</v>
      </c>
      <c r="D10" s="64">
        <v>11.85</v>
      </c>
      <c r="E10" s="64">
        <v>2.87</v>
      </c>
      <c r="F10" s="64">
        <v>3.21</v>
      </c>
      <c r="G10" s="64">
        <v>32.380000000000003</v>
      </c>
      <c r="H10" s="64">
        <v>12.1</v>
      </c>
      <c r="I10" s="64">
        <v>4.5199999999999996</v>
      </c>
      <c r="J10" s="64">
        <v>0.09</v>
      </c>
      <c r="K10" s="64">
        <v>316.41000000000003</v>
      </c>
      <c r="L10" s="64">
        <v>23.47</v>
      </c>
      <c r="M10" s="64">
        <v>99.03</v>
      </c>
      <c r="N10" s="64">
        <v>68</v>
      </c>
      <c r="O10" s="64">
        <v>0</v>
      </c>
      <c r="P10" s="64">
        <v>0.49</v>
      </c>
      <c r="Q10" s="64">
        <v>9.39</v>
      </c>
      <c r="R10" s="198"/>
      <c r="S10" s="198"/>
      <c r="T10" s="198"/>
      <c r="U10" s="198"/>
    </row>
    <row r="11" spans="1:21" s="12" customFormat="1" x14ac:dyDescent="0.25">
      <c r="A11" s="217" t="s">
        <v>2068</v>
      </c>
      <c r="B11" s="64">
        <v>8.08</v>
      </c>
      <c r="C11" s="64">
        <v>3.04</v>
      </c>
      <c r="D11" s="64">
        <v>11.85</v>
      </c>
      <c r="E11" s="64">
        <v>2.5099999999999998</v>
      </c>
      <c r="F11" s="64">
        <v>3.44</v>
      </c>
      <c r="G11" s="64">
        <v>29.71</v>
      </c>
      <c r="H11" s="64">
        <v>10.7</v>
      </c>
      <c r="I11" s="64">
        <v>4.74</v>
      </c>
      <c r="J11" s="64">
        <v>0.21</v>
      </c>
      <c r="K11" s="64">
        <v>327.8</v>
      </c>
      <c r="L11" s="64">
        <v>23.49</v>
      </c>
      <c r="M11" s="64">
        <v>99.03</v>
      </c>
      <c r="N11" s="64">
        <v>68.2</v>
      </c>
      <c r="O11" s="64">
        <v>0</v>
      </c>
      <c r="P11" s="64">
        <v>0.48</v>
      </c>
      <c r="Q11" s="64">
        <v>9.59</v>
      </c>
      <c r="R11" s="198"/>
      <c r="S11" s="198"/>
      <c r="T11" s="198"/>
      <c r="U11" s="198"/>
    </row>
    <row r="12" spans="1:21" s="12" customFormat="1" x14ac:dyDescent="0.25">
      <c r="A12" s="217" t="s">
        <v>2069</v>
      </c>
      <c r="B12" s="64">
        <v>8.09</v>
      </c>
      <c r="C12" s="64">
        <v>3.02</v>
      </c>
      <c r="D12" s="64">
        <v>11.84</v>
      </c>
      <c r="E12" s="64">
        <v>2.91</v>
      </c>
      <c r="F12" s="64">
        <v>3.21</v>
      </c>
      <c r="G12" s="64">
        <v>25.87</v>
      </c>
      <c r="H12" s="64">
        <v>8.6999999999999993</v>
      </c>
      <c r="I12" s="64">
        <v>4.8499999999999996</v>
      </c>
      <c r="J12" s="64">
        <v>0.4</v>
      </c>
      <c r="K12" s="64">
        <v>359.29</v>
      </c>
      <c r="L12" s="64">
        <v>23.5</v>
      </c>
      <c r="M12" s="64">
        <v>99.03</v>
      </c>
      <c r="N12" s="64">
        <v>68.099999999999994</v>
      </c>
      <c r="O12" s="64">
        <v>0</v>
      </c>
      <c r="P12" s="64">
        <v>0.47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7" t="s">
        <v>2070</v>
      </c>
      <c r="B13" s="64">
        <v>8.09</v>
      </c>
      <c r="C13" s="64">
        <v>3.02</v>
      </c>
      <c r="D13" s="64">
        <v>11.84</v>
      </c>
      <c r="E13" s="64">
        <v>2.83</v>
      </c>
      <c r="F13" s="64">
        <v>3.53</v>
      </c>
      <c r="G13" s="64">
        <v>25.87</v>
      </c>
      <c r="H13" s="64">
        <v>8.6999999999999993</v>
      </c>
      <c r="I13" s="64">
        <v>4.8499999999999996</v>
      </c>
      <c r="J13" s="64">
        <v>0.3</v>
      </c>
      <c r="K13" s="64">
        <v>328.12</v>
      </c>
      <c r="L13" s="64">
        <v>23.5</v>
      </c>
      <c r="M13" s="64">
        <v>99.03</v>
      </c>
      <c r="N13" s="64">
        <v>68.2</v>
      </c>
      <c r="O13" s="64">
        <v>0</v>
      </c>
      <c r="P13" s="64">
        <v>0.48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7" t="s">
        <v>2071</v>
      </c>
      <c r="B14" s="64">
        <v>8.09</v>
      </c>
      <c r="C14" s="64">
        <v>3.09</v>
      </c>
      <c r="D14" s="64">
        <v>11.88</v>
      </c>
      <c r="E14" s="64">
        <v>2.99</v>
      </c>
      <c r="F14" s="64">
        <v>3.63</v>
      </c>
      <c r="G14" s="64">
        <v>25.87</v>
      </c>
      <c r="H14" s="64">
        <v>8.6999999999999993</v>
      </c>
      <c r="I14" s="64">
        <v>4.75</v>
      </c>
      <c r="J14" s="64">
        <v>0.26</v>
      </c>
      <c r="K14" s="64">
        <v>345.92</v>
      </c>
      <c r="L14" s="64">
        <v>23.51</v>
      </c>
      <c r="M14" s="64">
        <v>99.04</v>
      </c>
      <c r="N14" s="64">
        <v>68.2</v>
      </c>
      <c r="O14" s="64">
        <v>0</v>
      </c>
      <c r="P14" s="64">
        <v>0.49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7" t="s">
        <v>2072</v>
      </c>
      <c r="B15" s="64">
        <v>8.07</v>
      </c>
      <c r="C15" s="64">
        <v>3.1</v>
      </c>
      <c r="D15" s="64">
        <v>11.86</v>
      </c>
      <c r="E15" s="64">
        <v>3.11</v>
      </c>
      <c r="F15" s="64">
        <v>4.45</v>
      </c>
      <c r="G15" s="64">
        <v>22.99</v>
      </c>
      <c r="H15" s="64">
        <v>7.83</v>
      </c>
      <c r="I15" s="64">
        <v>4.6100000000000003</v>
      </c>
      <c r="J15" s="64">
        <v>0.54</v>
      </c>
      <c r="K15" s="64">
        <v>12.5</v>
      </c>
      <c r="L15" s="64">
        <v>23.51</v>
      </c>
      <c r="M15" s="64">
        <v>99.05</v>
      </c>
      <c r="N15" s="64">
        <v>68.900000000000006</v>
      </c>
      <c r="O15" s="64">
        <v>7</v>
      </c>
      <c r="P15" s="64">
        <v>0.48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7" t="s">
        <v>2073</v>
      </c>
      <c r="B16" s="64">
        <v>8.07</v>
      </c>
      <c r="C16" s="64">
        <v>3.08</v>
      </c>
      <c r="D16" s="64">
        <v>11.86</v>
      </c>
      <c r="E16" s="64">
        <v>3.33</v>
      </c>
      <c r="F16" s="64">
        <v>5.98</v>
      </c>
      <c r="G16" s="64">
        <v>18.670000000000002</v>
      </c>
      <c r="H16" s="64">
        <v>6.52</v>
      </c>
      <c r="I16" s="64">
        <v>4.53</v>
      </c>
      <c r="J16" s="64">
        <v>0.6</v>
      </c>
      <c r="K16" s="64">
        <v>312.45</v>
      </c>
      <c r="L16" s="64">
        <v>22.39</v>
      </c>
      <c r="M16" s="64">
        <v>99.08</v>
      </c>
      <c r="N16" s="64">
        <v>70.2</v>
      </c>
      <c r="O16" s="64">
        <v>11</v>
      </c>
      <c r="P16" s="64">
        <v>0.48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7" t="s">
        <v>2074</v>
      </c>
      <c r="B17" s="64">
        <v>8.1300000000000008</v>
      </c>
      <c r="C17" s="64">
        <v>3.17</v>
      </c>
      <c r="D17" s="64">
        <v>11.95</v>
      </c>
      <c r="E17" s="64">
        <v>3.32</v>
      </c>
      <c r="F17" s="64">
        <v>3.15</v>
      </c>
      <c r="G17" s="64">
        <v>18.670000000000002</v>
      </c>
      <c r="H17" s="64">
        <v>6.52</v>
      </c>
      <c r="I17" s="64">
        <v>4.42</v>
      </c>
      <c r="J17" s="64">
        <v>0.77</v>
      </c>
      <c r="K17" s="64">
        <v>323.68</v>
      </c>
      <c r="L17" s="64">
        <v>22.3</v>
      </c>
      <c r="M17" s="64">
        <v>99.08</v>
      </c>
      <c r="N17" s="64">
        <v>68.099999999999994</v>
      </c>
      <c r="O17" s="64">
        <v>0</v>
      </c>
      <c r="P17" s="64">
        <v>0.47</v>
      </c>
      <c r="Q17" s="64">
        <v>9.58</v>
      </c>
      <c r="R17" s="198"/>
      <c r="S17" s="198"/>
      <c r="T17" s="198"/>
      <c r="U17" s="198"/>
    </row>
    <row r="18" spans="1:21" s="12" customFormat="1" x14ac:dyDescent="0.25">
      <c r="A18" s="217" t="s">
        <v>2075</v>
      </c>
      <c r="B18" s="64">
        <v>8.11</v>
      </c>
      <c r="C18" s="64">
        <v>3.13</v>
      </c>
      <c r="D18" s="64">
        <v>11.91</v>
      </c>
      <c r="E18" s="64">
        <v>3.36</v>
      </c>
      <c r="F18" s="64">
        <v>3.84</v>
      </c>
      <c r="G18" s="64">
        <v>18.670000000000002</v>
      </c>
      <c r="H18" s="64">
        <v>6.52</v>
      </c>
      <c r="I18" s="64">
        <v>4.3099999999999996</v>
      </c>
      <c r="J18" s="64">
        <v>0.95</v>
      </c>
      <c r="K18" s="64">
        <v>324.88</v>
      </c>
      <c r="L18" s="64">
        <v>22.34</v>
      </c>
      <c r="M18" s="64">
        <v>99.08</v>
      </c>
      <c r="N18" s="64">
        <v>68.400000000000006</v>
      </c>
      <c r="O18" s="64">
        <v>0</v>
      </c>
      <c r="P18" s="64">
        <v>0.47</v>
      </c>
      <c r="Q18" s="64">
        <v>9.56</v>
      </c>
      <c r="R18" s="198"/>
      <c r="S18" s="198"/>
      <c r="T18" s="198"/>
      <c r="U18" s="198"/>
    </row>
    <row r="19" spans="1:21" s="12" customFormat="1" x14ac:dyDescent="0.25">
      <c r="A19" s="217" t="s">
        <v>2076</v>
      </c>
      <c r="B19" s="64">
        <v>8.07</v>
      </c>
      <c r="C19" s="64">
        <v>3.02</v>
      </c>
      <c r="D19" s="64">
        <v>11.82</v>
      </c>
      <c r="E19" s="64">
        <v>2.96</v>
      </c>
      <c r="F19" s="64">
        <v>3.75</v>
      </c>
      <c r="G19" s="64">
        <v>16.68</v>
      </c>
      <c r="H19" s="64">
        <v>6.61</v>
      </c>
      <c r="I19" s="64">
        <v>4.22</v>
      </c>
      <c r="J19" s="64">
        <v>0.97</v>
      </c>
      <c r="K19" s="64">
        <v>339.26</v>
      </c>
      <c r="L19" s="64">
        <v>22.42</v>
      </c>
      <c r="M19" s="64">
        <v>99.08</v>
      </c>
      <c r="N19" s="64">
        <v>68.5</v>
      </c>
      <c r="O19" s="64">
        <v>0</v>
      </c>
      <c r="P19" s="64">
        <v>0.45</v>
      </c>
      <c r="Q19" s="64">
        <v>9.5299999999999994</v>
      </c>
      <c r="R19" s="198"/>
      <c r="S19" s="198"/>
      <c r="T19" s="198"/>
      <c r="U19" s="198"/>
    </row>
    <row r="20" spans="1:21" s="12" customFormat="1" x14ac:dyDescent="0.25">
      <c r="A20" s="217" t="s">
        <v>2077</v>
      </c>
      <c r="B20" s="64">
        <v>8.07</v>
      </c>
      <c r="C20" s="64">
        <v>3.02</v>
      </c>
      <c r="D20" s="64">
        <v>11.82</v>
      </c>
      <c r="E20" s="64">
        <v>2.94</v>
      </c>
      <c r="F20" s="64">
        <v>3.72</v>
      </c>
      <c r="G20" s="64">
        <v>13.81</v>
      </c>
      <c r="H20" s="64">
        <v>6.75</v>
      </c>
      <c r="I20" s="64">
        <v>4.0999999999999996</v>
      </c>
      <c r="J20" s="64">
        <v>1.21</v>
      </c>
      <c r="K20" s="64">
        <v>333.46</v>
      </c>
      <c r="L20" s="64">
        <v>22.18</v>
      </c>
      <c r="M20" s="64">
        <v>99.08</v>
      </c>
      <c r="N20" s="64">
        <v>69.2</v>
      </c>
      <c r="O20" s="64">
        <v>0</v>
      </c>
      <c r="P20" s="64">
        <v>0.45</v>
      </c>
      <c r="Q20" s="64">
        <v>9.5500000000000007</v>
      </c>
      <c r="R20" s="198"/>
      <c r="S20" s="198"/>
      <c r="T20" s="198"/>
      <c r="U20" s="198"/>
    </row>
    <row r="21" spans="1:21" s="12" customFormat="1" x14ac:dyDescent="0.25">
      <c r="A21" s="217" t="s">
        <v>2078</v>
      </c>
      <c r="B21" s="64">
        <v>8.07</v>
      </c>
      <c r="C21" s="64">
        <v>3.04</v>
      </c>
      <c r="D21" s="64">
        <v>11.83</v>
      </c>
      <c r="E21" s="64">
        <v>3.15</v>
      </c>
      <c r="F21" s="64">
        <v>3.3</v>
      </c>
      <c r="G21" s="64">
        <v>13.81</v>
      </c>
      <c r="H21" s="64">
        <v>6.75</v>
      </c>
      <c r="I21" s="64">
        <v>4.0199999999999996</v>
      </c>
      <c r="J21" s="64">
        <v>0.77</v>
      </c>
      <c r="K21" s="64">
        <v>324.83999999999997</v>
      </c>
      <c r="L21" s="64">
        <v>22.08</v>
      </c>
      <c r="M21" s="64">
        <v>99.08</v>
      </c>
      <c r="N21" s="64">
        <v>68.3</v>
      </c>
      <c r="O21" s="64">
        <v>0</v>
      </c>
      <c r="P21" s="64">
        <v>0.44</v>
      </c>
      <c r="Q21" s="64">
        <v>9.49</v>
      </c>
      <c r="R21" s="198"/>
      <c r="S21" s="198"/>
      <c r="T21" s="198"/>
      <c r="U21" s="198"/>
    </row>
    <row r="22" spans="1:21" s="12" customFormat="1" x14ac:dyDescent="0.25">
      <c r="A22" s="217" t="s">
        <v>2079</v>
      </c>
      <c r="B22" s="64">
        <v>8.09</v>
      </c>
      <c r="C22" s="64">
        <v>3.09</v>
      </c>
      <c r="D22" s="64">
        <v>11.88</v>
      </c>
      <c r="E22" s="64">
        <v>3.2</v>
      </c>
      <c r="F22" s="64">
        <v>3.76</v>
      </c>
      <c r="G22" s="64">
        <v>13.81</v>
      </c>
      <c r="H22" s="64">
        <v>6.75</v>
      </c>
      <c r="I22" s="64">
        <v>3.96</v>
      </c>
      <c r="J22" s="64">
        <v>1.1200000000000001</v>
      </c>
      <c r="K22" s="64">
        <v>330.48</v>
      </c>
      <c r="L22" s="64">
        <v>22.17</v>
      </c>
      <c r="M22" s="64">
        <v>99.08</v>
      </c>
      <c r="N22" s="64">
        <v>68.099999999999994</v>
      </c>
      <c r="O22" s="64">
        <v>0</v>
      </c>
      <c r="P22" s="64">
        <v>0.46</v>
      </c>
      <c r="Q22" s="64">
        <v>9.5</v>
      </c>
      <c r="R22" s="198"/>
      <c r="S22" s="198"/>
      <c r="T22" s="198"/>
      <c r="U22" s="198"/>
    </row>
    <row r="23" spans="1:21" s="12" customFormat="1" x14ac:dyDescent="0.25">
      <c r="A23" s="217" t="s">
        <v>2080</v>
      </c>
      <c r="B23" s="64">
        <v>8.09</v>
      </c>
      <c r="C23" s="64">
        <v>3.07</v>
      </c>
      <c r="D23" s="64">
        <v>11.87</v>
      </c>
      <c r="E23" s="64">
        <v>3.01</v>
      </c>
      <c r="F23" s="64">
        <v>3.3</v>
      </c>
      <c r="G23" s="64">
        <v>23.41</v>
      </c>
      <c r="H23" s="64">
        <v>13.06</v>
      </c>
      <c r="I23" s="64">
        <v>3.93</v>
      </c>
      <c r="J23" s="64">
        <v>0.78</v>
      </c>
      <c r="K23" s="64">
        <v>337.33</v>
      </c>
      <c r="L23" s="64">
        <v>22.27</v>
      </c>
      <c r="M23" s="64">
        <v>99.08</v>
      </c>
      <c r="N23" s="64">
        <v>68.2</v>
      </c>
      <c r="O23" s="64">
        <v>0</v>
      </c>
      <c r="P23" s="64">
        <v>0.45</v>
      </c>
      <c r="Q23" s="64">
        <v>9.48</v>
      </c>
      <c r="R23" s="198"/>
      <c r="S23" s="198"/>
      <c r="T23" s="198"/>
      <c r="U23" s="198"/>
    </row>
    <row r="24" spans="1:21" s="12" customFormat="1" x14ac:dyDescent="0.25">
      <c r="A24" s="217" t="s">
        <v>2081</v>
      </c>
      <c r="B24" s="64">
        <v>8.11</v>
      </c>
      <c r="C24" s="64">
        <v>3.15</v>
      </c>
      <c r="D24" s="64">
        <v>11.92</v>
      </c>
      <c r="E24" s="64">
        <v>4.5</v>
      </c>
      <c r="F24" s="64">
        <v>3.61</v>
      </c>
      <c r="G24" s="64">
        <v>37.799999999999997</v>
      </c>
      <c r="H24" s="64">
        <v>22.53</v>
      </c>
      <c r="I24" s="64">
        <v>3.94</v>
      </c>
      <c r="J24" s="64">
        <v>0.11</v>
      </c>
      <c r="K24" s="64">
        <v>201.17</v>
      </c>
      <c r="L24" s="64">
        <v>22.2</v>
      </c>
      <c r="M24" s="64">
        <v>99.08</v>
      </c>
      <c r="N24" s="64">
        <v>68.3</v>
      </c>
      <c r="O24" s="64">
        <v>0</v>
      </c>
      <c r="P24" s="64">
        <v>0.47</v>
      </c>
      <c r="Q24" s="64">
        <v>9.5500000000000007</v>
      </c>
      <c r="R24" s="198"/>
      <c r="S24" s="198"/>
      <c r="T24" s="198"/>
      <c r="U24" s="198"/>
    </row>
    <row r="25" spans="1:21" s="12" customFormat="1" x14ac:dyDescent="0.25">
      <c r="A25" s="217" t="s">
        <v>2082</v>
      </c>
      <c r="B25" s="64">
        <v>8.2200000000000006</v>
      </c>
      <c r="C25" s="64">
        <v>3.41</v>
      </c>
      <c r="D25" s="64">
        <v>12.15</v>
      </c>
      <c r="E25" s="64">
        <v>4.12</v>
      </c>
      <c r="F25" s="64">
        <v>2.91</v>
      </c>
      <c r="G25" s="64">
        <v>37.799999999999997</v>
      </c>
      <c r="H25" s="64">
        <v>22.53</v>
      </c>
      <c r="I25" s="64">
        <v>3.98</v>
      </c>
      <c r="J25" s="64">
        <v>0.48</v>
      </c>
      <c r="K25" s="64">
        <v>324.5</v>
      </c>
      <c r="L25" s="64">
        <v>22.32</v>
      </c>
      <c r="M25" s="64">
        <v>99.08</v>
      </c>
      <c r="N25" s="64">
        <v>68</v>
      </c>
      <c r="O25" s="64">
        <v>0</v>
      </c>
      <c r="P25" s="64">
        <v>0.46</v>
      </c>
      <c r="Q25" s="64">
        <v>9.49</v>
      </c>
      <c r="R25" s="198"/>
      <c r="S25" s="198"/>
      <c r="T25" s="198"/>
      <c r="U25" s="198"/>
    </row>
    <row r="26" spans="1:21" s="12" customFormat="1" x14ac:dyDescent="0.25">
      <c r="A26" s="217" t="s">
        <v>2083</v>
      </c>
      <c r="B26" s="64">
        <v>8.23</v>
      </c>
      <c r="C26" s="64">
        <v>3.39</v>
      </c>
      <c r="D26" s="64">
        <v>12.14</v>
      </c>
      <c r="E26" s="64">
        <v>4.12</v>
      </c>
      <c r="F26" s="64">
        <v>3.45</v>
      </c>
      <c r="G26" s="64">
        <v>37.799999999999997</v>
      </c>
      <c r="H26" s="64">
        <v>22.53</v>
      </c>
      <c r="I26" s="64">
        <v>4.09</v>
      </c>
      <c r="J26" s="64">
        <v>0.48</v>
      </c>
      <c r="K26" s="64">
        <v>110.17</v>
      </c>
      <c r="L26" s="64">
        <v>22.38</v>
      </c>
      <c r="M26" s="64">
        <v>99.08</v>
      </c>
      <c r="N26" s="64">
        <v>68</v>
      </c>
      <c r="O26" s="64">
        <v>0</v>
      </c>
      <c r="P26" s="64">
        <v>0.47</v>
      </c>
      <c r="Q26" s="64">
        <v>9.49</v>
      </c>
      <c r="R26" s="198"/>
      <c r="S26" s="198"/>
      <c r="T26" s="198"/>
      <c r="U26" s="198"/>
    </row>
    <row r="27" spans="1:21" s="12" customFormat="1" x14ac:dyDescent="0.25">
      <c r="A27" s="217" t="s">
        <v>2084</v>
      </c>
      <c r="B27" s="64">
        <v>8.15</v>
      </c>
      <c r="C27" s="64">
        <v>3.19</v>
      </c>
      <c r="D27" s="64">
        <v>11.98</v>
      </c>
      <c r="E27" s="64">
        <v>4.13</v>
      </c>
      <c r="F27" s="64">
        <v>3.7</v>
      </c>
      <c r="G27" s="64">
        <v>47.32</v>
      </c>
      <c r="H27" s="64">
        <v>24.7</v>
      </c>
      <c r="I27" s="64">
        <v>4.26</v>
      </c>
      <c r="J27" s="64">
        <v>0.28999999999999998</v>
      </c>
      <c r="K27" s="64">
        <v>70.430000000000007</v>
      </c>
      <c r="L27" s="64">
        <v>22.44</v>
      </c>
      <c r="M27" s="64">
        <v>99.08</v>
      </c>
      <c r="N27" s="64">
        <v>68</v>
      </c>
      <c r="O27" s="64">
        <v>0</v>
      </c>
      <c r="P27" s="64">
        <v>0.47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7" t="s">
        <v>2085</v>
      </c>
      <c r="B28" s="64">
        <v>8.1199999999999992</v>
      </c>
      <c r="C28" s="64">
        <v>3.07</v>
      </c>
      <c r="D28" s="64">
        <v>11.89</v>
      </c>
      <c r="E28" s="64">
        <v>4.3499999999999996</v>
      </c>
      <c r="F28" s="64">
        <v>3.39</v>
      </c>
      <c r="G28" s="64">
        <v>60.95</v>
      </c>
      <c r="H28" s="64">
        <v>27.97</v>
      </c>
      <c r="I28" s="64">
        <v>4.51</v>
      </c>
      <c r="J28" s="64">
        <v>0.31</v>
      </c>
      <c r="K28" s="64">
        <v>307.17</v>
      </c>
      <c r="L28" s="64">
        <v>22.63</v>
      </c>
      <c r="M28" s="64">
        <v>99.08</v>
      </c>
      <c r="N28" s="64">
        <v>67.900000000000006</v>
      </c>
      <c r="O28" s="64">
        <v>0</v>
      </c>
      <c r="P28" s="64">
        <v>0.48</v>
      </c>
      <c r="Q28" s="64">
        <v>9.59</v>
      </c>
      <c r="R28" s="198"/>
      <c r="S28" s="198"/>
      <c r="T28" s="198"/>
      <c r="U28" s="198"/>
    </row>
    <row r="29" spans="1:21" s="12" customFormat="1" x14ac:dyDescent="0.25">
      <c r="A29" s="217" t="s">
        <v>2086</v>
      </c>
      <c r="B29" s="64">
        <v>8.1300000000000008</v>
      </c>
      <c r="C29" s="64">
        <v>3.07</v>
      </c>
      <c r="D29" s="64">
        <v>11.89</v>
      </c>
      <c r="E29" s="64">
        <v>4.2300000000000004</v>
      </c>
      <c r="F29" s="64">
        <v>3.31</v>
      </c>
      <c r="G29" s="64">
        <v>60.95</v>
      </c>
      <c r="H29" s="64">
        <v>27.97</v>
      </c>
      <c r="I29" s="64">
        <v>4.8099999999999996</v>
      </c>
      <c r="J29" s="64">
        <v>0.08</v>
      </c>
      <c r="K29" s="64">
        <v>3.09</v>
      </c>
      <c r="L29" s="64">
        <v>22.72</v>
      </c>
      <c r="M29" s="64">
        <v>99.08</v>
      </c>
      <c r="N29" s="64">
        <v>68.2</v>
      </c>
      <c r="O29" s="64">
        <v>0</v>
      </c>
      <c r="P29" s="64">
        <v>0.49</v>
      </c>
      <c r="Q29" s="64">
        <v>9.6199999999999992</v>
      </c>
      <c r="R29" s="198"/>
      <c r="S29" s="198"/>
      <c r="T29" s="198"/>
      <c r="U29" s="198"/>
    </row>
    <row r="30" spans="1:21" s="12" customFormat="1" x14ac:dyDescent="0.25">
      <c r="A30" s="217" t="s">
        <v>2087</v>
      </c>
      <c r="B30" s="64">
        <v>8.14</v>
      </c>
      <c r="C30" s="64">
        <v>3.08</v>
      </c>
      <c r="D30" s="64">
        <v>11.91</v>
      </c>
      <c r="E30" s="64">
        <v>4.33</v>
      </c>
      <c r="F30" s="64">
        <v>3.1</v>
      </c>
      <c r="G30" s="64">
        <v>60.95</v>
      </c>
      <c r="H30" s="64">
        <v>27.97</v>
      </c>
      <c r="I30" s="64">
        <v>5.07</v>
      </c>
      <c r="J30" s="64">
        <v>0.12</v>
      </c>
      <c r="K30" s="64">
        <v>115.9</v>
      </c>
      <c r="L30" s="64">
        <v>22.75</v>
      </c>
      <c r="M30" s="64">
        <v>99.08</v>
      </c>
      <c r="N30" s="64">
        <v>72.3</v>
      </c>
      <c r="O30" s="64">
        <v>0</v>
      </c>
      <c r="P30" s="64">
        <v>0.49</v>
      </c>
      <c r="Q30" s="64">
        <v>9.6199999999999992</v>
      </c>
      <c r="R30" s="198"/>
      <c r="S30" s="198"/>
      <c r="T30" s="198"/>
      <c r="U30" s="198"/>
    </row>
    <row r="31" spans="1:21" s="12" customFormat="1" x14ac:dyDescent="0.25">
      <c r="A31" s="217" t="s">
        <v>2088</v>
      </c>
      <c r="B31" s="64">
        <v>8.14</v>
      </c>
      <c r="C31" s="64">
        <v>3.15</v>
      </c>
      <c r="D31" s="64">
        <v>11.95</v>
      </c>
      <c r="E31" s="64">
        <v>4.58</v>
      </c>
      <c r="F31" s="64">
        <v>3.24</v>
      </c>
      <c r="G31" s="64">
        <v>58.03</v>
      </c>
      <c r="H31" s="64">
        <v>26.39</v>
      </c>
      <c r="I31" s="64">
        <v>5.3</v>
      </c>
      <c r="J31" s="64">
        <v>0.1</v>
      </c>
      <c r="K31" s="64">
        <v>307.83999999999997</v>
      </c>
      <c r="L31" s="64">
        <v>22.83</v>
      </c>
      <c r="M31" s="64">
        <v>99.08</v>
      </c>
      <c r="N31" s="64">
        <v>82.2</v>
      </c>
      <c r="O31" s="64">
        <v>0</v>
      </c>
      <c r="P31" s="64">
        <v>0.5</v>
      </c>
      <c r="Q31" s="64">
        <v>9.6199999999999992</v>
      </c>
      <c r="R31" s="198"/>
      <c r="S31" s="198"/>
      <c r="T31" s="198"/>
      <c r="U31" s="198"/>
    </row>
    <row r="32" spans="1:21" s="12" customFormat="1" x14ac:dyDescent="0.25">
      <c r="A32" s="217" t="s">
        <v>2089</v>
      </c>
      <c r="B32" s="64">
        <v>8.1300000000000008</v>
      </c>
      <c r="C32" s="64">
        <v>3.13</v>
      </c>
      <c r="D32" s="64">
        <v>11.93</v>
      </c>
      <c r="E32" s="64">
        <v>4.29</v>
      </c>
      <c r="F32" s="64">
        <v>3.3</v>
      </c>
      <c r="G32" s="64">
        <v>53.65</v>
      </c>
      <c r="H32" s="64">
        <v>24.02</v>
      </c>
      <c r="I32" s="64">
        <v>5.7</v>
      </c>
      <c r="J32" s="64">
        <v>0.59</v>
      </c>
      <c r="K32" s="64">
        <v>325.41000000000003</v>
      </c>
      <c r="L32" s="64">
        <v>23.06</v>
      </c>
      <c r="M32" s="64">
        <v>99.08</v>
      </c>
      <c r="N32" s="64">
        <v>89.7</v>
      </c>
      <c r="O32" s="64">
        <v>0</v>
      </c>
      <c r="P32" s="64">
        <v>0.5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7" t="s">
        <v>2090</v>
      </c>
      <c r="B33" s="64">
        <v>8.1300000000000008</v>
      </c>
      <c r="C33" s="64">
        <v>3.12</v>
      </c>
      <c r="D33" s="64">
        <v>11.93</v>
      </c>
      <c r="E33" s="64">
        <v>4.58</v>
      </c>
      <c r="F33" s="64">
        <v>3.53</v>
      </c>
      <c r="G33" s="64">
        <v>53.65</v>
      </c>
      <c r="H33" s="64">
        <v>24.02</v>
      </c>
      <c r="I33" s="64">
        <v>6.09</v>
      </c>
      <c r="J33" s="64">
        <v>0.78</v>
      </c>
      <c r="K33" s="64">
        <v>348.91</v>
      </c>
      <c r="L33" s="64">
        <v>23.17</v>
      </c>
      <c r="M33" s="64">
        <v>99.08</v>
      </c>
      <c r="N33" s="64">
        <v>92.8</v>
      </c>
      <c r="O33" s="64">
        <v>0</v>
      </c>
      <c r="P33" s="64">
        <v>0.52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7" t="s">
        <v>2091</v>
      </c>
      <c r="B34" s="64">
        <v>8.15</v>
      </c>
      <c r="C34" s="64">
        <v>3.16</v>
      </c>
      <c r="D34" s="64">
        <v>11.96</v>
      </c>
      <c r="E34" s="64">
        <v>4.58</v>
      </c>
      <c r="F34" s="64">
        <v>3.3</v>
      </c>
      <c r="G34" s="64">
        <v>53.65</v>
      </c>
      <c r="H34" s="64">
        <v>24.02</v>
      </c>
      <c r="I34" s="64">
        <v>6.29</v>
      </c>
      <c r="J34" s="64">
        <v>0.38</v>
      </c>
      <c r="K34" s="64">
        <v>17.2</v>
      </c>
      <c r="L34" s="64">
        <v>23.13</v>
      </c>
      <c r="M34" s="64">
        <v>99.08</v>
      </c>
      <c r="N34" s="64">
        <v>129</v>
      </c>
      <c r="O34" s="64">
        <v>0</v>
      </c>
      <c r="P34" s="64">
        <v>0.52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7" t="s">
        <v>2092</v>
      </c>
      <c r="B35" s="64">
        <v>8.15</v>
      </c>
      <c r="C35" s="64">
        <v>3.13</v>
      </c>
      <c r="D35" s="64">
        <v>11.95</v>
      </c>
      <c r="E35" s="64">
        <v>4.04</v>
      </c>
      <c r="F35" s="64">
        <v>3.25</v>
      </c>
      <c r="G35" s="64">
        <v>56.22</v>
      </c>
      <c r="H35" s="64">
        <v>23.63</v>
      </c>
      <c r="I35" s="64">
        <v>6.36</v>
      </c>
      <c r="J35" s="64">
        <v>0.14000000000000001</v>
      </c>
      <c r="K35" s="64">
        <v>331.95</v>
      </c>
      <c r="L35" s="64">
        <v>23.58</v>
      </c>
      <c r="M35" s="64">
        <v>99.08</v>
      </c>
      <c r="N35" s="64">
        <v>195.8</v>
      </c>
      <c r="O35" s="64">
        <v>0</v>
      </c>
      <c r="P35" s="64">
        <v>0.52</v>
      </c>
      <c r="Q35" s="64">
        <v>9.61</v>
      </c>
      <c r="R35" s="198"/>
      <c r="S35" s="198"/>
      <c r="T35" s="198"/>
      <c r="U35" s="198"/>
    </row>
    <row r="36" spans="1:21" s="12" customFormat="1" x14ac:dyDescent="0.25">
      <c r="A36" s="217" t="s">
        <v>2093</v>
      </c>
      <c r="B36" s="64">
        <v>8.16</v>
      </c>
      <c r="C36" s="64">
        <v>3.18</v>
      </c>
      <c r="D36" s="64">
        <v>11.98</v>
      </c>
      <c r="E36" s="64">
        <v>4.55</v>
      </c>
      <c r="F36" s="64">
        <v>3.76</v>
      </c>
      <c r="G36" s="64">
        <v>59.91</v>
      </c>
      <c r="H36" s="64">
        <v>23.04</v>
      </c>
      <c r="I36" s="64">
        <v>6.36</v>
      </c>
      <c r="J36" s="64">
        <v>0.19</v>
      </c>
      <c r="K36" s="64">
        <v>35.020000000000003</v>
      </c>
      <c r="L36" s="64">
        <v>23.64</v>
      </c>
      <c r="M36" s="64">
        <v>99.08</v>
      </c>
      <c r="N36" s="64">
        <v>189.7</v>
      </c>
      <c r="O36" s="64">
        <v>0</v>
      </c>
      <c r="P36" s="64">
        <v>0.53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7" t="s">
        <v>2094</v>
      </c>
      <c r="B37" s="64">
        <v>8.27</v>
      </c>
      <c r="C37" s="64">
        <v>3.36</v>
      </c>
      <c r="D37" s="64">
        <v>12.16</v>
      </c>
      <c r="E37" s="64">
        <v>4.62</v>
      </c>
      <c r="F37" s="64">
        <v>3.7</v>
      </c>
      <c r="G37" s="64">
        <v>59.91</v>
      </c>
      <c r="H37" s="64">
        <v>23.04</v>
      </c>
      <c r="I37" s="64">
        <v>6.37</v>
      </c>
      <c r="J37" s="64">
        <v>0.48</v>
      </c>
      <c r="K37" s="64">
        <v>5.5</v>
      </c>
      <c r="L37" s="64">
        <v>24.01</v>
      </c>
      <c r="M37" s="64">
        <v>99.08</v>
      </c>
      <c r="N37" s="64">
        <v>182.8</v>
      </c>
      <c r="O37" s="64">
        <v>0</v>
      </c>
      <c r="P37" s="64">
        <v>0.51</v>
      </c>
      <c r="Q37" s="64">
        <v>9.68</v>
      </c>
      <c r="R37" s="198"/>
      <c r="S37" s="198"/>
      <c r="T37" s="198"/>
      <c r="U37" s="198"/>
    </row>
    <row r="38" spans="1:21" s="12" customFormat="1" x14ac:dyDescent="0.25">
      <c r="A38" s="217" t="s">
        <v>2095</v>
      </c>
      <c r="B38" s="64">
        <v>8.2100000000000009</v>
      </c>
      <c r="C38" s="64">
        <v>3.35</v>
      </c>
      <c r="D38" s="64">
        <v>12.11</v>
      </c>
      <c r="E38" s="64">
        <v>4.16</v>
      </c>
      <c r="F38" s="64">
        <v>3.41</v>
      </c>
      <c r="G38" s="64">
        <v>59.91</v>
      </c>
      <c r="H38" s="64">
        <v>23.04</v>
      </c>
      <c r="I38" s="64">
        <v>6.36</v>
      </c>
      <c r="J38" s="64">
        <v>0.37</v>
      </c>
      <c r="K38" s="64">
        <v>84.99</v>
      </c>
      <c r="L38" s="64">
        <v>24.2</v>
      </c>
      <c r="M38" s="64">
        <v>99.09</v>
      </c>
      <c r="N38" s="64">
        <v>182.1</v>
      </c>
      <c r="O38" s="64">
        <v>0</v>
      </c>
      <c r="P38" s="64">
        <v>0.55000000000000004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7" t="s">
        <v>2096</v>
      </c>
      <c r="B39" s="64">
        <v>8.11</v>
      </c>
      <c r="C39" s="64">
        <v>3.14</v>
      </c>
      <c r="D39" s="64">
        <v>11.92</v>
      </c>
      <c r="E39" s="64">
        <v>3.94</v>
      </c>
      <c r="F39" s="64">
        <v>3.21</v>
      </c>
      <c r="G39" s="64">
        <v>57.68</v>
      </c>
      <c r="H39" s="64">
        <v>20.99</v>
      </c>
      <c r="I39" s="64">
        <v>6.38</v>
      </c>
      <c r="J39" s="64">
        <v>0.25</v>
      </c>
      <c r="K39" s="64">
        <v>91.24</v>
      </c>
      <c r="L39" s="64">
        <v>24</v>
      </c>
      <c r="M39" s="64">
        <v>99.1</v>
      </c>
      <c r="N39" s="64">
        <v>186.7</v>
      </c>
      <c r="O39" s="64">
        <v>0</v>
      </c>
      <c r="P39" s="64">
        <v>0.56000000000000005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17" t="s">
        <v>2097</v>
      </c>
      <c r="B40" s="64">
        <v>8.1300000000000008</v>
      </c>
      <c r="C40" s="64">
        <v>3.21</v>
      </c>
      <c r="D40" s="64">
        <v>11.97</v>
      </c>
      <c r="E40" s="64">
        <v>3.03</v>
      </c>
      <c r="F40" s="64">
        <v>3.73</v>
      </c>
      <c r="G40" s="64">
        <v>54.48</v>
      </c>
      <c r="H40" s="64">
        <v>18.07</v>
      </c>
      <c r="I40" s="64">
        <v>6.45</v>
      </c>
      <c r="J40" s="64">
        <v>0.36</v>
      </c>
      <c r="K40" s="64">
        <v>108.88</v>
      </c>
      <c r="L40" s="64">
        <v>24.59</v>
      </c>
      <c r="M40" s="64">
        <v>99.09</v>
      </c>
      <c r="N40" s="64">
        <v>340.5</v>
      </c>
      <c r="O40" s="64">
        <v>0</v>
      </c>
      <c r="P40" s="64">
        <v>0.56000000000000005</v>
      </c>
      <c r="Q40" s="64">
        <v>9.74</v>
      </c>
      <c r="R40" s="198"/>
      <c r="S40" s="198"/>
      <c r="T40" s="198"/>
      <c r="U40" s="198"/>
    </row>
    <row r="41" spans="1:21" s="12" customFormat="1" x14ac:dyDescent="0.25">
      <c r="A41" s="217" t="s">
        <v>2098</v>
      </c>
      <c r="B41" s="64">
        <v>8.1199999999999992</v>
      </c>
      <c r="C41" s="64">
        <v>3.19</v>
      </c>
      <c r="D41" s="64">
        <v>11.95</v>
      </c>
      <c r="E41" s="64">
        <v>4</v>
      </c>
      <c r="F41" s="64">
        <v>3.76</v>
      </c>
      <c r="G41" s="64">
        <v>54.48</v>
      </c>
      <c r="H41" s="64">
        <v>18.07</v>
      </c>
      <c r="I41" s="64">
        <v>6.55</v>
      </c>
      <c r="J41" s="64">
        <v>0.82</v>
      </c>
      <c r="K41" s="64">
        <v>112.55</v>
      </c>
      <c r="L41" s="64">
        <v>25.21</v>
      </c>
      <c r="M41" s="64">
        <v>99.01</v>
      </c>
      <c r="N41" s="64">
        <v>315.3</v>
      </c>
      <c r="O41" s="64">
        <v>0</v>
      </c>
      <c r="P41" s="64">
        <v>0.56000000000000005</v>
      </c>
      <c r="Q41" s="64">
        <v>9.8000000000000007</v>
      </c>
      <c r="R41" s="198"/>
      <c r="S41" s="198"/>
      <c r="T41" s="198"/>
      <c r="U41" s="198"/>
    </row>
    <row r="42" spans="1:21" s="12" customFormat="1" x14ac:dyDescent="0.25">
      <c r="A42" s="217" t="s">
        <v>2099</v>
      </c>
      <c r="B42" s="64">
        <v>8.09</v>
      </c>
      <c r="C42" s="64">
        <v>3.1</v>
      </c>
      <c r="D42" s="64">
        <v>11.88</v>
      </c>
      <c r="E42" s="64">
        <v>3.68</v>
      </c>
      <c r="F42" s="64">
        <v>2.87</v>
      </c>
      <c r="G42" s="64">
        <v>54.48</v>
      </c>
      <c r="H42" s="64">
        <v>18.07</v>
      </c>
      <c r="I42" s="64">
        <v>6.67</v>
      </c>
      <c r="J42" s="64">
        <v>0.99</v>
      </c>
      <c r="K42" s="64">
        <v>115.94</v>
      </c>
      <c r="L42" s="64">
        <v>25.88</v>
      </c>
      <c r="M42" s="64">
        <v>96.97</v>
      </c>
      <c r="N42" s="64">
        <v>412.3</v>
      </c>
      <c r="O42" s="64">
        <v>0</v>
      </c>
      <c r="P42" s="64">
        <v>0.55000000000000004</v>
      </c>
      <c r="Q42" s="64">
        <v>9.84</v>
      </c>
      <c r="R42" s="198"/>
      <c r="S42" s="198"/>
      <c r="T42" s="198"/>
      <c r="U42" s="198"/>
    </row>
    <row r="43" spans="1:21" s="12" customFormat="1" x14ac:dyDescent="0.25">
      <c r="A43" s="217" t="s">
        <v>2100</v>
      </c>
      <c r="B43" s="64">
        <v>8.2100000000000009</v>
      </c>
      <c r="C43" s="64">
        <v>3.28</v>
      </c>
      <c r="D43" s="64">
        <v>12.07</v>
      </c>
      <c r="E43" s="64">
        <v>3.93</v>
      </c>
      <c r="F43" s="64">
        <v>3.07</v>
      </c>
      <c r="G43" s="64">
        <v>48.32</v>
      </c>
      <c r="H43" s="64">
        <v>17.89</v>
      </c>
      <c r="I43" s="64">
        <v>6.97</v>
      </c>
      <c r="J43" s="64">
        <v>1.19</v>
      </c>
      <c r="K43" s="64">
        <v>109.22</v>
      </c>
      <c r="L43" s="64">
        <v>26.26</v>
      </c>
      <c r="M43" s="64">
        <v>93.38</v>
      </c>
      <c r="N43" s="64">
        <v>405.9</v>
      </c>
      <c r="O43" s="64">
        <v>0</v>
      </c>
      <c r="P43" s="64">
        <v>0.55000000000000004</v>
      </c>
      <c r="Q43" s="64">
        <v>9.85</v>
      </c>
      <c r="R43" s="198"/>
      <c r="S43" s="198"/>
      <c r="T43" s="198"/>
      <c r="U43" s="198"/>
    </row>
    <row r="44" spans="1:21" s="12" customFormat="1" x14ac:dyDescent="0.25">
      <c r="A44" s="217" t="s">
        <v>2101</v>
      </c>
      <c r="B44" s="64">
        <v>8.1999999999999993</v>
      </c>
      <c r="C44" s="64">
        <v>3.26</v>
      </c>
      <c r="D44" s="64">
        <v>12.06</v>
      </c>
      <c r="E44" s="64">
        <v>3.75</v>
      </c>
      <c r="F44" s="64">
        <v>3.29</v>
      </c>
      <c r="G44" s="64">
        <v>39.49</v>
      </c>
      <c r="H44" s="64">
        <v>17.62</v>
      </c>
      <c r="I44" s="64">
        <v>7.09</v>
      </c>
      <c r="J44" s="64">
        <v>1.39</v>
      </c>
      <c r="K44" s="64">
        <v>109.44</v>
      </c>
      <c r="L44" s="64">
        <v>27.08</v>
      </c>
      <c r="M44" s="64">
        <v>88.76</v>
      </c>
      <c r="N44" s="64">
        <v>752.6</v>
      </c>
      <c r="O44" s="64">
        <v>0</v>
      </c>
      <c r="P44" s="64">
        <v>0.54</v>
      </c>
      <c r="Q44" s="64">
        <v>9.85</v>
      </c>
      <c r="R44" s="198"/>
      <c r="S44" s="198"/>
      <c r="T44" s="198"/>
      <c r="U44" s="198"/>
    </row>
    <row r="45" spans="1:21" s="12" customFormat="1" x14ac:dyDescent="0.25">
      <c r="A45" s="217" t="s">
        <v>2102</v>
      </c>
      <c r="B45" s="64">
        <v>8.19</v>
      </c>
      <c r="C45" s="64">
        <v>3.25</v>
      </c>
      <c r="D45" s="64">
        <v>12.04</v>
      </c>
      <c r="E45" s="64">
        <v>3.93</v>
      </c>
      <c r="F45" s="64">
        <v>3.59</v>
      </c>
      <c r="G45" s="64">
        <v>39.49</v>
      </c>
      <c r="H45" s="64">
        <v>17.62</v>
      </c>
      <c r="I45" s="64">
        <v>7.31</v>
      </c>
      <c r="J45" s="64">
        <v>1.45</v>
      </c>
      <c r="K45" s="64">
        <v>113.95</v>
      </c>
      <c r="L45" s="64">
        <v>27.14</v>
      </c>
      <c r="M45" s="64">
        <v>86.97</v>
      </c>
      <c r="N45" s="64">
        <v>442.2</v>
      </c>
      <c r="O45" s="64">
        <v>0</v>
      </c>
      <c r="P45" s="64">
        <v>0.52</v>
      </c>
      <c r="Q45" s="64">
        <v>9.84</v>
      </c>
      <c r="R45" s="198"/>
      <c r="S45" s="198"/>
      <c r="T45" s="198"/>
      <c r="U45" s="198"/>
    </row>
    <row r="46" spans="1:21" s="12" customFormat="1" x14ac:dyDescent="0.25">
      <c r="A46" s="217" t="s">
        <v>2103</v>
      </c>
      <c r="B46" s="64">
        <v>8.18</v>
      </c>
      <c r="C46" s="64">
        <v>3.24</v>
      </c>
      <c r="D46" s="64">
        <v>12.03</v>
      </c>
      <c r="E46" s="64">
        <v>4.07</v>
      </c>
      <c r="F46" s="64">
        <v>3.72</v>
      </c>
      <c r="G46" s="64">
        <v>39.49</v>
      </c>
      <c r="H46" s="64">
        <v>17.62</v>
      </c>
      <c r="I46" s="64">
        <v>7.97</v>
      </c>
      <c r="J46" s="64">
        <v>1.27</v>
      </c>
      <c r="K46" s="64">
        <v>117.42</v>
      </c>
      <c r="L46" s="64">
        <v>26.85</v>
      </c>
      <c r="M46" s="64">
        <v>87.72</v>
      </c>
      <c r="N46" s="64">
        <v>484.4</v>
      </c>
      <c r="O46" s="64">
        <v>0</v>
      </c>
      <c r="P46" s="64">
        <v>0.52</v>
      </c>
      <c r="Q46" s="64">
        <v>9.82</v>
      </c>
      <c r="R46" s="198"/>
      <c r="S46" s="198"/>
      <c r="T46" s="198"/>
      <c r="U46" s="198"/>
    </row>
    <row r="47" spans="1:21" s="12" customFormat="1" x14ac:dyDescent="0.25">
      <c r="A47" s="217" t="s">
        <v>2104</v>
      </c>
      <c r="B47" s="64">
        <v>8.15</v>
      </c>
      <c r="C47" s="64">
        <v>3.19</v>
      </c>
      <c r="D47" s="64">
        <v>11.98</v>
      </c>
      <c r="E47" s="64">
        <v>3.83</v>
      </c>
      <c r="F47" s="64">
        <v>3.65</v>
      </c>
      <c r="G47" s="64">
        <v>36.9</v>
      </c>
      <c r="H47" s="64">
        <v>15.51</v>
      </c>
      <c r="I47" s="64">
        <v>8.61</v>
      </c>
      <c r="J47" s="64">
        <v>1.1399999999999999</v>
      </c>
      <c r="K47" s="64">
        <v>112.38</v>
      </c>
      <c r="L47" s="64">
        <v>27.81</v>
      </c>
      <c r="M47" s="64">
        <v>82.16</v>
      </c>
      <c r="N47" s="64">
        <v>652.5</v>
      </c>
      <c r="O47" s="64">
        <v>0</v>
      </c>
      <c r="P47" s="64">
        <v>0.5</v>
      </c>
      <c r="Q47" s="64">
        <v>9.8000000000000007</v>
      </c>
      <c r="R47" s="198"/>
      <c r="S47" s="198"/>
      <c r="T47" s="198"/>
      <c r="U47" s="198"/>
    </row>
    <row r="48" spans="1:21" s="12" customFormat="1" x14ac:dyDescent="0.25">
      <c r="A48" s="217" t="s">
        <v>2105</v>
      </c>
      <c r="B48" s="64">
        <v>8.18</v>
      </c>
      <c r="C48" s="64">
        <v>3.2</v>
      </c>
      <c r="D48" s="64">
        <v>12</v>
      </c>
      <c r="E48" s="64">
        <v>3.85</v>
      </c>
      <c r="F48" s="64">
        <v>3.46</v>
      </c>
      <c r="G48" s="64">
        <v>33.18</v>
      </c>
      <c r="H48" s="64">
        <v>12.34</v>
      </c>
      <c r="I48" s="64">
        <v>8.99</v>
      </c>
      <c r="J48" s="64">
        <v>0.28000000000000003</v>
      </c>
      <c r="K48" s="64">
        <v>71.09</v>
      </c>
      <c r="L48" s="64">
        <v>27.89</v>
      </c>
      <c r="M48" s="64">
        <v>80.930000000000007</v>
      </c>
      <c r="N48" s="64">
        <v>523.70000000000005</v>
      </c>
      <c r="O48" s="64">
        <v>0</v>
      </c>
      <c r="P48" s="64">
        <v>0.49</v>
      </c>
      <c r="Q48" s="64">
        <v>9.8000000000000007</v>
      </c>
      <c r="R48" s="198"/>
      <c r="S48" s="198"/>
      <c r="T48" s="198"/>
      <c r="U48" s="198"/>
    </row>
    <row r="49" spans="1:21" s="12" customFormat="1" x14ac:dyDescent="0.25">
      <c r="A49" s="217" t="s">
        <v>2106</v>
      </c>
      <c r="B49" s="64">
        <v>8.2200000000000006</v>
      </c>
      <c r="C49" s="64">
        <v>3.25</v>
      </c>
      <c r="D49" s="64">
        <v>12.06</v>
      </c>
      <c r="E49" s="64">
        <v>3.77</v>
      </c>
      <c r="F49" s="64">
        <v>3.41</v>
      </c>
      <c r="G49" s="64">
        <v>33.18</v>
      </c>
      <c r="H49" s="64">
        <v>12.34</v>
      </c>
      <c r="I49" s="64">
        <v>9.35</v>
      </c>
      <c r="J49" s="64">
        <v>0.37</v>
      </c>
      <c r="K49" s="64">
        <v>348.26</v>
      </c>
      <c r="L49" s="64">
        <v>29.37</v>
      </c>
      <c r="M49" s="64">
        <v>75.680000000000007</v>
      </c>
      <c r="N49" s="64">
        <v>867.4</v>
      </c>
      <c r="O49" s="64">
        <v>0</v>
      </c>
      <c r="P49" s="64">
        <v>0.5</v>
      </c>
      <c r="Q49" s="64">
        <v>9.75</v>
      </c>
      <c r="R49" s="198"/>
      <c r="S49" s="198"/>
      <c r="T49" s="198"/>
      <c r="U49" s="198"/>
    </row>
    <row r="50" spans="1:21" s="12" customFormat="1" x14ac:dyDescent="0.25">
      <c r="A50" s="217" t="s">
        <v>2107</v>
      </c>
      <c r="B50" s="64">
        <v>8.16</v>
      </c>
      <c r="C50" s="64">
        <v>3.17</v>
      </c>
      <c r="D50" s="64">
        <v>11.98</v>
      </c>
      <c r="E50" s="64">
        <v>4.12</v>
      </c>
      <c r="F50" s="64">
        <v>3.5</v>
      </c>
      <c r="G50" s="64">
        <v>33.18</v>
      </c>
      <c r="H50" s="64">
        <v>12.34</v>
      </c>
      <c r="I50" s="64">
        <v>9.5</v>
      </c>
      <c r="J50" s="64">
        <v>1.88</v>
      </c>
      <c r="K50" s="64">
        <v>113.93</v>
      </c>
      <c r="L50" s="64">
        <v>28.68</v>
      </c>
      <c r="M50" s="64">
        <v>76.569999999999993</v>
      </c>
      <c r="N50" s="64">
        <v>719.9</v>
      </c>
      <c r="O50" s="64">
        <v>0</v>
      </c>
      <c r="P50" s="64">
        <v>0.49</v>
      </c>
      <c r="Q50" s="64">
        <v>9.74</v>
      </c>
      <c r="R50" s="198"/>
      <c r="S50" s="198"/>
      <c r="T50" s="198"/>
      <c r="U50" s="198"/>
    </row>
    <row r="51" spans="1:21" s="12" customFormat="1" x14ac:dyDescent="0.25">
      <c r="A51" s="217" t="s">
        <v>2108</v>
      </c>
      <c r="B51" s="64">
        <v>8.15</v>
      </c>
      <c r="C51" s="64">
        <v>3.16</v>
      </c>
      <c r="D51" s="64">
        <v>11.96</v>
      </c>
      <c r="E51" s="64">
        <v>4.1900000000000004</v>
      </c>
      <c r="F51" s="64">
        <v>3.77</v>
      </c>
      <c r="G51" s="64">
        <v>32.36</v>
      </c>
      <c r="H51" s="64">
        <v>11.5</v>
      </c>
      <c r="I51" s="64">
        <v>9.39</v>
      </c>
      <c r="J51" s="64">
        <v>1.1399999999999999</v>
      </c>
      <c r="K51" s="64">
        <v>95.17</v>
      </c>
      <c r="L51" s="64">
        <v>29.08</v>
      </c>
      <c r="M51" s="64">
        <v>74.28</v>
      </c>
      <c r="N51" s="64">
        <v>1024.3</v>
      </c>
      <c r="O51" s="64">
        <v>0</v>
      </c>
      <c r="P51" s="64">
        <v>0.48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7" t="s">
        <v>2109</v>
      </c>
      <c r="B52" s="64">
        <v>8.14</v>
      </c>
      <c r="C52" s="64">
        <v>3.18</v>
      </c>
      <c r="D52" s="64">
        <v>11.96</v>
      </c>
      <c r="E52" s="64">
        <v>3.99</v>
      </c>
      <c r="F52" s="64">
        <v>3.97</v>
      </c>
      <c r="G52" s="64">
        <v>31.19</v>
      </c>
      <c r="H52" s="64">
        <v>10.24</v>
      </c>
      <c r="I52" s="64">
        <v>9.5399999999999991</v>
      </c>
      <c r="J52" s="64">
        <v>1.64</v>
      </c>
      <c r="K52" s="64">
        <v>111.81</v>
      </c>
      <c r="L52" s="64">
        <v>29.66</v>
      </c>
      <c r="M52" s="64">
        <v>71.849999999999994</v>
      </c>
      <c r="N52" s="64">
        <v>1084.5</v>
      </c>
      <c r="O52" s="64">
        <v>0</v>
      </c>
      <c r="P52" s="64">
        <v>0.48</v>
      </c>
      <c r="Q52" s="64">
        <v>9.7100000000000009</v>
      </c>
      <c r="R52" s="198"/>
      <c r="S52" s="198"/>
      <c r="T52" s="198"/>
      <c r="U52" s="198"/>
    </row>
    <row r="53" spans="1:21" s="12" customFormat="1" x14ac:dyDescent="0.25">
      <c r="A53" s="217" t="s">
        <v>2110</v>
      </c>
      <c r="B53" s="64">
        <v>8.1</v>
      </c>
      <c r="C53" s="64">
        <v>3.14</v>
      </c>
      <c r="D53" s="64">
        <v>11.91</v>
      </c>
      <c r="E53" s="64">
        <v>4.13</v>
      </c>
      <c r="F53" s="64">
        <v>3.58</v>
      </c>
      <c r="G53" s="64">
        <v>31.19</v>
      </c>
      <c r="H53" s="64">
        <v>10.24</v>
      </c>
      <c r="I53" s="64">
        <v>9.73</v>
      </c>
      <c r="J53" s="64">
        <v>0.21</v>
      </c>
      <c r="K53" s="64">
        <v>97.51</v>
      </c>
      <c r="L53" s="64">
        <v>29.97</v>
      </c>
      <c r="M53" s="64">
        <v>71.27</v>
      </c>
      <c r="N53" s="64">
        <v>898.7</v>
      </c>
      <c r="O53" s="64">
        <v>0</v>
      </c>
      <c r="P53" s="64">
        <v>0.46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7" t="s">
        <v>2111</v>
      </c>
      <c r="B54" s="64">
        <v>8.1300000000000008</v>
      </c>
      <c r="C54" s="64">
        <v>3.15</v>
      </c>
      <c r="D54" s="64">
        <v>11.94</v>
      </c>
      <c r="E54" s="64">
        <v>3.95</v>
      </c>
      <c r="F54" s="64">
        <v>3.54</v>
      </c>
      <c r="G54" s="64">
        <v>31.19</v>
      </c>
      <c r="H54" s="64">
        <v>10.24</v>
      </c>
      <c r="I54" s="64">
        <v>9.6999999999999993</v>
      </c>
      <c r="J54" s="64">
        <v>1.43</v>
      </c>
      <c r="K54" s="64">
        <v>114.39</v>
      </c>
      <c r="L54" s="64">
        <v>29.6</v>
      </c>
      <c r="M54" s="64">
        <v>72.73</v>
      </c>
      <c r="N54" s="64">
        <v>970.7</v>
      </c>
      <c r="O54" s="64">
        <v>0</v>
      </c>
      <c r="P54" s="64">
        <v>0.45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7" t="s">
        <v>2112</v>
      </c>
      <c r="B55" s="64">
        <v>8.09</v>
      </c>
      <c r="C55" s="64">
        <v>3.11</v>
      </c>
      <c r="D55" s="64">
        <v>11.89</v>
      </c>
      <c r="E55" s="64">
        <v>4.17</v>
      </c>
      <c r="F55" s="64">
        <v>3.65</v>
      </c>
      <c r="G55" s="64">
        <v>31.29</v>
      </c>
      <c r="H55" s="64">
        <v>11.88</v>
      </c>
      <c r="I55" s="64">
        <v>9.44</v>
      </c>
      <c r="J55" s="64">
        <v>0.83</v>
      </c>
      <c r="K55" s="64">
        <v>104.12</v>
      </c>
      <c r="L55" s="64">
        <v>29.87</v>
      </c>
      <c r="M55" s="64">
        <v>72.150000000000006</v>
      </c>
      <c r="N55" s="64">
        <v>930.1</v>
      </c>
      <c r="O55" s="64">
        <v>0</v>
      </c>
      <c r="P55" s="64">
        <v>0.44</v>
      </c>
      <c r="Q55" s="64">
        <v>9.57</v>
      </c>
      <c r="R55" s="198"/>
      <c r="S55" s="198"/>
      <c r="T55" s="198"/>
      <c r="U55" s="198"/>
    </row>
    <row r="56" spans="1:21" s="12" customFormat="1" x14ac:dyDescent="0.25">
      <c r="A56" s="217" t="s">
        <v>2113</v>
      </c>
      <c r="B56" s="64">
        <v>8.07</v>
      </c>
      <c r="C56" s="64">
        <v>3.04</v>
      </c>
      <c r="D56" s="64">
        <v>11.83</v>
      </c>
      <c r="E56" s="64">
        <v>4.5999999999999996</v>
      </c>
      <c r="F56" s="64">
        <v>3.87</v>
      </c>
      <c r="G56" s="64">
        <v>31.44</v>
      </c>
      <c r="H56" s="64">
        <v>14.24</v>
      </c>
      <c r="I56" s="64">
        <v>9.18</v>
      </c>
      <c r="J56" s="64">
        <v>1.47</v>
      </c>
      <c r="K56" s="64">
        <v>109.01</v>
      </c>
      <c r="L56" s="64">
        <v>29.16</v>
      </c>
      <c r="M56" s="64">
        <v>74.67</v>
      </c>
      <c r="N56" s="64">
        <v>665.3</v>
      </c>
      <c r="O56" s="64">
        <v>0</v>
      </c>
      <c r="P56" s="64">
        <v>0.45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7" t="s">
        <v>2114</v>
      </c>
      <c r="B57" s="64">
        <v>8.06</v>
      </c>
      <c r="C57" s="64">
        <v>3.12</v>
      </c>
      <c r="D57" s="64">
        <v>11.87</v>
      </c>
      <c r="E57" s="64">
        <v>4.37</v>
      </c>
      <c r="F57" s="64">
        <v>3.41</v>
      </c>
      <c r="G57" s="64">
        <v>31.44</v>
      </c>
      <c r="H57" s="64">
        <v>14.24</v>
      </c>
      <c r="I57" s="64">
        <v>9.0399999999999991</v>
      </c>
      <c r="J57" s="64">
        <v>1.27</v>
      </c>
      <c r="K57" s="64">
        <v>109.02</v>
      </c>
      <c r="L57" s="64">
        <v>29.49</v>
      </c>
      <c r="M57" s="64">
        <v>72.17</v>
      </c>
      <c r="N57" s="64">
        <v>805.3</v>
      </c>
      <c r="O57" s="64">
        <v>0</v>
      </c>
      <c r="P57" s="64">
        <v>0.42</v>
      </c>
      <c r="Q57" s="64">
        <v>9.5299999999999994</v>
      </c>
      <c r="R57" s="198"/>
      <c r="S57" s="198"/>
      <c r="T57" s="198"/>
      <c r="U57" s="198"/>
    </row>
    <row r="58" spans="1:21" s="12" customFormat="1" x14ac:dyDescent="0.25">
      <c r="A58" s="217" t="s">
        <v>2115</v>
      </c>
      <c r="B58" s="64">
        <v>8.1</v>
      </c>
      <c r="C58" s="64">
        <v>3.19</v>
      </c>
      <c r="D58" s="64">
        <v>11.93</v>
      </c>
      <c r="E58" s="64">
        <v>4.0999999999999996</v>
      </c>
      <c r="F58" s="64">
        <v>3.54</v>
      </c>
      <c r="G58" s="64">
        <v>31.44</v>
      </c>
      <c r="H58" s="64">
        <v>14.24</v>
      </c>
      <c r="I58" s="64">
        <v>8.94</v>
      </c>
      <c r="J58" s="64">
        <v>1.48</v>
      </c>
      <c r="K58" s="64">
        <v>115.7</v>
      </c>
      <c r="L58" s="64">
        <v>29.85</v>
      </c>
      <c r="M58" s="64">
        <v>70.290000000000006</v>
      </c>
      <c r="N58" s="64">
        <v>747.5</v>
      </c>
      <c r="O58" s="64">
        <v>0</v>
      </c>
      <c r="P58" s="64">
        <v>0.42</v>
      </c>
      <c r="Q58" s="64">
        <v>9.49</v>
      </c>
      <c r="R58" s="198"/>
      <c r="S58" s="198"/>
      <c r="T58" s="198"/>
      <c r="U58" s="198"/>
    </row>
    <row r="59" spans="1:21" s="12" customFormat="1" x14ac:dyDescent="0.25">
      <c r="A59" s="217" t="s">
        <v>2116</v>
      </c>
      <c r="B59" s="64">
        <v>8.1</v>
      </c>
      <c r="C59" s="64">
        <v>3.16</v>
      </c>
      <c r="D59" s="64">
        <v>11.92</v>
      </c>
      <c r="E59" s="64">
        <v>4.32</v>
      </c>
      <c r="F59" s="64">
        <v>3.77</v>
      </c>
      <c r="G59" s="64">
        <v>29.13</v>
      </c>
      <c r="H59" s="64">
        <v>12.65</v>
      </c>
      <c r="I59" s="64">
        <v>8.86</v>
      </c>
      <c r="J59" s="64">
        <v>1.53</v>
      </c>
      <c r="K59" s="64">
        <v>112.58</v>
      </c>
      <c r="L59" s="64">
        <v>29.47</v>
      </c>
      <c r="M59" s="64">
        <v>72.14</v>
      </c>
      <c r="N59" s="64">
        <v>644.5</v>
      </c>
      <c r="O59" s="64">
        <v>0</v>
      </c>
      <c r="P59" s="64">
        <v>0.41</v>
      </c>
      <c r="Q59" s="64">
        <v>9.4700000000000006</v>
      </c>
      <c r="R59" s="198"/>
      <c r="S59" s="198"/>
      <c r="T59" s="198"/>
      <c r="U59" s="198"/>
    </row>
    <row r="60" spans="1:21" s="12" customFormat="1" x14ac:dyDescent="0.25">
      <c r="A60" s="217" t="s">
        <v>2117</v>
      </c>
      <c r="B60" s="64">
        <v>8.15</v>
      </c>
      <c r="C60" s="64">
        <v>3.28</v>
      </c>
      <c r="D60" s="64">
        <v>12.02</v>
      </c>
      <c r="E60" s="64">
        <v>4.04</v>
      </c>
      <c r="F60" s="64">
        <v>3.66</v>
      </c>
      <c r="G60" s="64">
        <v>25.82</v>
      </c>
      <c r="H60" s="64">
        <v>10.37</v>
      </c>
      <c r="I60" s="64">
        <v>8.74</v>
      </c>
      <c r="J60" s="64">
        <v>1.55</v>
      </c>
      <c r="K60" s="64">
        <v>114.75</v>
      </c>
      <c r="L60" s="64">
        <v>30.01</v>
      </c>
      <c r="M60" s="64">
        <v>70.98</v>
      </c>
      <c r="N60" s="64">
        <v>917.7</v>
      </c>
      <c r="O60" s="64">
        <v>0</v>
      </c>
      <c r="P60" s="64">
        <v>0.39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7" t="s">
        <v>2118</v>
      </c>
      <c r="B61" s="64">
        <v>8.1</v>
      </c>
      <c r="C61" s="64">
        <v>3.2</v>
      </c>
      <c r="D61" s="64">
        <v>11.94</v>
      </c>
      <c r="E61" s="64">
        <v>4.21</v>
      </c>
      <c r="F61" s="64">
        <v>3.66</v>
      </c>
      <c r="G61" s="64">
        <v>25.82</v>
      </c>
      <c r="H61" s="64">
        <v>10.37</v>
      </c>
      <c r="I61" s="64">
        <v>8.65</v>
      </c>
      <c r="J61" s="64">
        <v>1.49</v>
      </c>
      <c r="K61" s="64">
        <v>106.35</v>
      </c>
      <c r="L61" s="64">
        <v>29.86</v>
      </c>
      <c r="M61" s="64">
        <v>69.92</v>
      </c>
      <c r="N61" s="64">
        <v>712.5</v>
      </c>
      <c r="O61" s="64">
        <v>0</v>
      </c>
      <c r="P61" s="64">
        <v>0.37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17" t="s">
        <v>2119</v>
      </c>
      <c r="B62" s="64">
        <v>8.06</v>
      </c>
      <c r="C62" s="64">
        <v>3.09</v>
      </c>
      <c r="D62" s="64">
        <v>11.86</v>
      </c>
      <c r="E62" s="64">
        <v>4.12</v>
      </c>
      <c r="F62" s="64">
        <v>3.73</v>
      </c>
      <c r="G62" s="64">
        <v>25.82</v>
      </c>
      <c r="H62" s="64">
        <v>10.37</v>
      </c>
      <c r="I62" s="64">
        <v>8.56</v>
      </c>
      <c r="J62" s="64">
        <v>0.72</v>
      </c>
      <c r="K62" s="64">
        <v>103.08</v>
      </c>
      <c r="L62" s="64">
        <v>30.06</v>
      </c>
      <c r="M62" s="64">
        <v>69.739999999999995</v>
      </c>
      <c r="N62" s="64">
        <v>741.2</v>
      </c>
      <c r="O62" s="64">
        <v>0</v>
      </c>
      <c r="P62" s="64">
        <v>0.39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7" t="s">
        <v>2120</v>
      </c>
      <c r="B63" s="64">
        <v>8.07</v>
      </c>
      <c r="C63" s="64">
        <v>3.05</v>
      </c>
      <c r="D63" s="64">
        <v>11.84</v>
      </c>
      <c r="E63" s="64">
        <v>3.98</v>
      </c>
      <c r="F63" s="64">
        <v>3.31</v>
      </c>
      <c r="G63" s="64">
        <v>25.75</v>
      </c>
      <c r="H63" s="64">
        <v>9.36</v>
      </c>
      <c r="I63" s="64">
        <v>8.5299999999999994</v>
      </c>
      <c r="J63" s="64">
        <v>0.59</v>
      </c>
      <c r="K63" s="64">
        <v>355.96</v>
      </c>
      <c r="L63" s="64">
        <v>30.96</v>
      </c>
      <c r="M63" s="64">
        <v>66.16</v>
      </c>
      <c r="N63" s="64">
        <v>955.8</v>
      </c>
      <c r="O63" s="64">
        <v>0</v>
      </c>
      <c r="P63" s="64">
        <v>0.37</v>
      </c>
      <c r="Q63" s="64">
        <v>9.4499999999999993</v>
      </c>
      <c r="R63" s="198"/>
      <c r="S63" s="198"/>
      <c r="T63" s="198"/>
      <c r="U63" s="198"/>
    </row>
    <row r="64" spans="1:21" s="12" customFormat="1" x14ac:dyDescent="0.25">
      <c r="A64" s="217" t="s">
        <v>2121</v>
      </c>
      <c r="B64" s="64">
        <v>8.08</v>
      </c>
      <c r="C64" s="64">
        <v>3.12</v>
      </c>
      <c r="D64" s="64">
        <v>11.88</v>
      </c>
      <c r="E64" s="64">
        <v>4.38</v>
      </c>
      <c r="F64" s="64">
        <v>3.61</v>
      </c>
      <c r="G64" s="64">
        <v>25.65</v>
      </c>
      <c r="H64" s="64">
        <v>7.92</v>
      </c>
      <c r="I64" s="64">
        <v>8.5299999999999994</v>
      </c>
      <c r="J64" s="64">
        <v>1.31</v>
      </c>
      <c r="K64" s="64">
        <v>334.57</v>
      </c>
      <c r="L64" s="64">
        <v>32.46</v>
      </c>
      <c r="M64" s="64">
        <v>60.86</v>
      </c>
      <c r="N64" s="64">
        <v>776.8</v>
      </c>
      <c r="O64" s="64">
        <v>0</v>
      </c>
      <c r="P64" s="64">
        <v>0.39</v>
      </c>
      <c r="Q64" s="64">
        <v>9.43</v>
      </c>
      <c r="R64" s="198"/>
      <c r="S64" s="198"/>
      <c r="T64" s="198"/>
      <c r="U64" s="198"/>
    </row>
    <row r="65" spans="1:21" s="12" customFormat="1" x14ac:dyDescent="0.25">
      <c r="A65" s="217" t="s">
        <v>2122</v>
      </c>
      <c r="B65" s="64">
        <v>8.08</v>
      </c>
      <c r="C65" s="64">
        <v>3.08</v>
      </c>
      <c r="D65" s="64">
        <v>11.86</v>
      </c>
      <c r="E65" s="64">
        <v>4.2699999999999996</v>
      </c>
      <c r="F65" s="64">
        <v>3.63</v>
      </c>
      <c r="G65" s="64">
        <v>25.65</v>
      </c>
      <c r="H65" s="64">
        <v>7.92</v>
      </c>
      <c r="I65" s="64">
        <v>8.36</v>
      </c>
      <c r="J65" s="64">
        <v>0.72</v>
      </c>
      <c r="K65" s="64">
        <v>59.68</v>
      </c>
      <c r="L65" s="64">
        <v>31.29</v>
      </c>
      <c r="M65" s="64">
        <v>65.650000000000006</v>
      </c>
      <c r="N65" s="64">
        <v>444.7</v>
      </c>
      <c r="O65" s="64">
        <v>0</v>
      </c>
      <c r="P65" s="64">
        <v>0.4</v>
      </c>
      <c r="Q65" s="64">
        <v>9.44</v>
      </c>
      <c r="R65" s="198"/>
      <c r="S65" s="198"/>
      <c r="T65" s="198"/>
      <c r="U65" s="198"/>
    </row>
    <row r="66" spans="1:21" s="12" customFormat="1" x14ac:dyDescent="0.25">
      <c r="A66" s="217" t="s">
        <v>2123</v>
      </c>
      <c r="B66" s="64">
        <v>8.1</v>
      </c>
      <c r="C66" s="64">
        <v>3.09</v>
      </c>
      <c r="D66" s="64">
        <v>11.89</v>
      </c>
      <c r="E66" s="64">
        <v>4.2699999999999996</v>
      </c>
      <c r="F66" s="64">
        <v>3.46</v>
      </c>
      <c r="G66" s="64">
        <v>25.65</v>
      </c>
      <c r="H66" s="64">
        <v>7.92</v>
      </c>
      <c r="I66" s="64">
        <v>8</v>
      </c>
      <c r="J66" s="64">
        <v>0.35</v>
      </c>
      <c r="K66" s="64">
        <v>347.79</v>
      </c>
      <c r="L66" s="64">
        <v>30.07</v>
      </c>
      <c r="M66" s="64">
        <v>66.010000000000005</v>
      </c>
      <c r="N66" s="64">
        <v>391.2</v>
      </c>
      <c r="O66" s="64">
        <v>0</v>
      </c>
      <c r="P66" s="64">
        <v>0.39</v>
      </c>
      <c r="Q66" s="64">
        <v>9.44</v>
      </c>
      <c r="R66" s="198"/>
      <c r="S66" s="198"/>
      <c r="T66" s="198"/>
      <c r="U66" s="198"/>
    </row>
    <row r="67" spans="1:21" s="12" customFormat="1" x14ac:dyDescent="0.25">
      <c r="A67" s="217" t="s">
        <v>2124</v>
      </c>
      <c r="B67" s="64">
        <v>8.1199999999999992</v>
      </c>
      <c r="C67" s="64">
        <v>3.13</v>
      </c>
      <c r="D67" s="64">
        <v>11.92</v>
      </c>
      <c r="E67" s="64">
        <v>4.68</v>
      </c>
      <c r="F67" s="64">
        <v>3.5</v>
      </c>
      <c r="G67" s="64">
        <v>25.38</v>
      </c>
      <c r="H67" s="64">
        <v>7.16</v>
      </c>
      <c r="I67" s="64">
        <v>7.77</v>
      </c>
      <c r="J67" s="64">
        <v>0.74</v>
      </c>
      <c r="K67" s="64">
        <v>349.07</v>
      </c>
      <c r="L67" s="64">
        <v>30.39</v>
      </c>
      <c r="M67" s="64">
        <v>66.150000000000006</v>
      </c>
      <c r="N67" s="64">
        <v>335.8</v>
      </c>
      <c r="O67" s="64">
        <v>0</v>
      </c>
      <c r="P67" s="64">
        <v>0.39</v>
      </c>
      <c r="Q67" s="64">
        <v>9.4499999999999993</v>
      </c>
      <c r="R67" s="198"/>
      <c r="S67" s="198"/>
      <c r="T67" s="198"/>
      <c r="U67" s="198"/>
    </row>
    <row r="68" spans="1:21" s="12" customFormat="1" x14ac:dyDescent="0.25">
      <c r="A68" s="217" t="s">
        <v>2125</v>
      </c>
      <c r="B68" s="64">
        <v>8.1</v>
      </c>
      <c r="C68" s="64">
        <v>3.07</v>
      </c>
      <c r="D68" s="64">
        <v>11.88</v>
      </c>
      <c r="E68" s="64">
        <v>4.0999999999999996</v>
      </c>
      <c r="F68" s="64">
        <v>4.3099999999999996</v>
      </c>
      <c r="G68" s="64">
        <v>24.99</v>
      </c>
      <c r="H68" s="64">
        <v>6</v>
      </c>
      <c r="I68" s="64">
        <v>7.71</v>
      </c>
      <c r="J68" s="64">
        <v>0.73</v>
      </c>
      <c r="K68" s="64">
        <v>329.37</v>
      </c>
      <c r="L68" s="64">
        <v>31.31</v>
      </c>
      <c r="M68" s="64">
        <v>62.98</v>
      </c>
      <c r="N68" s="64">
        <v>364.2</v>
      </c>
      <c r="O68" s="64">
        <v>0</v>
      </c>
      <c r="P68" s="64">
        <v>0.39</v>
      </c>
      <c r="Q68" s="64">
        <v>9.4600000000000009</v>
      </c>
      <c r="R68" s="198"/>
      <c r="S68" s="198"/>
      <c r="T68" s="198"/>
      <c r="U68" s="198"/>
    </row>
    <row r="69" spans="1:21" s="12" customFormat="1" x14ac:dyDescent="0.25">
      <c r="A69" s="217" t="s">
        <v>2126</v>
      </c>
      <c r="B69" s="64">
        <v>8.1</v>
      </c>
      <c r="C69" s="64">
        <v>3.04</v>
      </c>
      <c r="D69" s="64">
        <v>11.86</v>
      </c>
      <c r="E69" s="64">
        <v>4.28</v>
      </c>
      <c r="F69" s="64">
        <v>4.4400000000000004</v>
      </c>
      <c r="G69" s="64">
        <v>24.99</v>
      </c>
      <c r="H69" s="64">
        <v>6</v>
      </c>
      <c r="I69" s="64">
        <v>7.62</v>
      </c>
      <c r="J69" s="64">
        <v>2.2000000000000002</v>
      </c>
      <c r="K69" s="64">
        <v>338.23</v>
      </c>
      <c r="L69" s="64">
        <v>32.020000000000003</v>
      </c>
      <c r="M69" s="64">
        <v>61.32</v>
      </c>
      <c r="N69" s="64">
        <v>351.1</v>
      </c>
      <c r="O69" s="64">
        <v>0</v>
      </c>
      <c r="P69" s="64">
        <v>0.4</v>
      </c>
      <c r="Q69" s="64">
        <v>9.4600000000000009</v>
      </c>
      <c r="R69" s="198"/>
      <c r="S69" s="198"/>
      <c r="T69" s="198"/>
      <c r="U69" s="198"/>
    </row>
    <row r="70" spans="1:21" s="12" customFormat="1" x14ac:dyDescent="0.25">
      <c r="A70" s="217" t="s">
        <v>2127</v>
      </c>
      <c r="B70" s="64">
        <v>8.1</v>
      </c>
      <c r="C70" s="64">
        <v>3.09</v>
      </c>
      <c r="D70" s="64">
        <v>11.88</v>
      </c>
      <c r="E70" s="64">
        <v>4.45</v>
      </c>
      <c r="F70" s="64">
        <v>4.34</v>
      </c>
      <c r="G70" s="64">
        <v>24.99</v>
      </c>
      <c r="H70" s="64">
        <v>6</v>
      </c>
      <c r="I70" s="64">
        <v>7.42</v>
      </c>
      <c r="J70" s="64">
        <v>1.27</v>
      </c>
      <c r="K70" s="64">
        <v>345.28</v>
      </c>
      <c r="L70" s="64">
        <v>31.45</v>
      </c>
      <c r="M70" s="64">
        <v>62.57</v>
      </c>
      <c r="N70" s="64">
        <v>301.2</v>
      </c>
      <c r="O70" s="64">
        <v>0</v>
      </c>
      <c r="P70" s="64">
        <v>0.41</v>
      </c>
      <c r="Q70" s="64">
        <v>9.4700000000000006</v>
      </c>
      <c r="R70" s="198"/>
      <c r="S70" s="198"/>
      <c r="T70" s="198"/>
      <c r="U70" s="198"/>
    </row>
    <row r="71" spans="1:21" s="12" customFormat="1" x14ac:dyDescent="0.25">
      <c r="A71" s="217" t="s">
        <v>2128</v>
      </c>
      <c r="B71" s="64">
        <v>8.07</v>
      </c>
      <c r="C71" s="64">
        <v>3.06</v>
      </c>
      <c r="D71" s="64">
        <v>11.85</v>
      </c>
      <c r="E71" s="64">
        <v>4.5</v>
      </c>
      <c r="F71" s="64">
        <v>3.44</v>
      </c>
      <c r="G71" s="64">
        <v>26.15</v>
      </c>
      <c r="H71" s="64">
        <v>6.91</v>
      </c>
      <c r="I71" s="64">
        <v>7.07</v>
      </c>
      <c r="J71" s="64">
        <v>0.31</v>
      </c>
      <c r="K71" s="64">
        <v>34.22</v>
      </c>
      <c r="L71" s="64">
        <v>30.3</v>
      </c>
      <c r="M71" s="64">
        <v>66.5</v>
      </c>
      <c r="N71" s="64">
        <v>222.5</v>
      </c>
      <c r="O71" s="64">
        <v>0</v>
      </c>
      <c r="P71" s="64">
        <v>0.41</v>
      </c>
      <c r="Q71" s="64">
        <v>9.48</v>
      </c>
      <c r="R71" s="198"/>
      <c r="S71" s="198"/>
      <c r="T71" s="198"/>
      <c r="U71" s="198"/>
    </row>
    <row r="72" spans="1:21" s="12" customFormat="1" x14ac:dyDescent="0.25">
      <c r="A72" s="217" t="s">
        <v>2129</v>
      </c>
      <c r="B72" s="64">
        <v>8.11</v>
      </c>
      <c r="C72" s="64">
        <v>3.19</v>
      </c>
      <c r="D72" s="64">
        <v>11.94</v>
      </c>
      <c r="E72" s="64">
        <v>2.42</v>
      </c>
      <c r="F72" s="64">
        <v>3.55</v>
      </c>
      <c r="G72" s="64">
        <v>27.89</v>
      </c>
      <c r="H72" s="64">
        <v>8.1999999999999993</v>
      </c>
      <c r="I72" s="64">
        <v>6.74</v>
      </c>
      <c r="J72" s="64">
        <v>0.19</v>
      </c>
      <c r="K72" s="64">
        <v>99.79</v>
      </c>
      <c r="L72" s="64">
        <v>29.96</v>
      </c>
      <c r="M72" s="64">
        <v>66.08</v>
      </c>
      <c r="N72" s="64">
        <v>209.6</v>
      </c>
      <c r="O72" s="64">
        <v>0</v>
      </c>
      <c r="P72" s="64">
        <v>0.42</v>
      </c>
      <c r="Q72" s="64">
        <v>9.49</v>
      </c>
      <c r="R72" s="198"/>
      <c r="S72" s="198"/>
      <c r="T72" s="198"/>
      <c r="U72" s="198"/>
    </row>
    <row r="73" spans="1:21" s="12" customFormat="1" x14ac:dyDescent="0.25">
      <c r="A73" s="217" t="s">
        <v>2130</v>
      </c>
      <c r="B73" s="64">
        <v>8.08</v>
      </c>
      <c r="C73" s="64">
        <v>3.12</v>
      </c>
      <c r="D73" s="64">
        <v>11.88</v>
      </c>
      <c r="E73" s="64">
        <v>2.2999999999999998</v>
      </c>
      <c r="F73" s="64">
        <v>3.52</v>
      </c>
      <c r="G73" s="64">
        <v>27.89</v>
      </c>
      <c r="H73" s="64">
        <v>8.1999999999999993</v>
      </c>
      <c r="I73" s="64">
        <v>6.53</v>
      </c>
      <c r="J73" s="64">
        <v>0.28999999999999998</v>
      </c>
      <c r="K73" s="64">
        <v>83.62</v>
      </c>
      <c r="L73" s="64">
        <v>29.67</v>
      </c>
      <c r="M73" s="64">
        <v>66.489999999999995</v>
      </c>
      <c r="N73" s="64">
        <v>194</v>
      </c>
      <c r="O73" s="64">
        <v>0</v>
      </c>
      <c r="P73" s="64">
        <v>0.42</v>
      </c>
      <c r="Q73" s="64">
        <v>9.52</v>
      </c>
      <c r="R73" s="198"/>
      <c r="S73" s="198"/>
      <c r="T73" s="198"/>
      <c r="U73" s="198"/>
    </row>
    <row r="74" spans="1:21" s="12" customFormat="1" x14ac:dyDescent="0.25">
      <c r="A74" s="217" t="s">
        <v>2131</v>
      </c>
      <c r="B74" s="64">
        <v>8.1300000000000008</v>
      </c>
      <c r="C74" s="64">
        <v>3.25</v>
      </c>
      <c r="D74" s="64">
        <v>12</v>
      </c>
      <c r="E74" s="64">
        <v>2.14</v>
      </c>
      <c r="F74" s="64">
        <v>3.45</v>
      </c>
      <c r="G74" s="64">
        <v>27.89</v>
      </c>
      <c r="H74" s="64">
        <v>8.1999999999999993</v>
      </c>
      <c r="I74" s="64">
        <v>6.41</v>
      </c>
      <c r="J74" s="64">
        <v>0.8</v>
      </c>
      <c r="K74" s="64">
        <v>112.02</v>
      </c>
      <c r="L74" s="64">
        <v>29.73</v>
      </c>
      <c r="M74" s="64">
        <v>65.7</v>
      </c>
      <c r="N74" s="64">
        <v>199.5</v>
      </c>
      <c r="O74" s="64">
        <v>0</v>
      </c>
      <c r="P74" s="64">
        <v>0.42</v>
      </c>
      <c r="Q74" s="64">
        <v>9.5399999999999991</v>
      </c>
      <c r="R74" s="198"/>
      <c r="S74" s="198"/>
      <c r="T74" s="198"/>
      <c r="U74" s="198"/>
    </row>
    <row r="75" spans="1:21" s="12" customFormat="1" x14ac:dyDescent="0.25">
      <c r="A75" s="217" t="s">
        <v>2132</v>
      </c>
      <c r="B75" s="64">
        <v>8.15</v>
      </c>
      <c r="C75" s="64">
        <v>3.36</v>
      </c>
      <c r="D75" s="64">
        <v>12.07</v>
      </c>
      <c r="E75" s="64">
        <v>2.42</v>
      </c>
      <c r="F75" s="64">
        <v>3.9</v>
      </c>
      <c r="G75" s="64">
        <v>27.39</v>
      </c>
      <c r="H75" s="64">
        <v>7.27</v>
      </c>
      <c r="I75" s="64">
        <v>6.35</v>
      </c>
      <c r="J75" s="64">
        <v>0.74</v>
      </c>
      <c r="K75" s="64">
        <v>115.08</v>
      </c>
      <c r="L75" s="64">
        <v>29.51</v>
      </c>
      <c r="M75" s="64">
        <v>65.92</v>
      </c>
      <c r="N75" s="64">
        <v>144.9</v>
      </c>
      <c r="O75" s="64">
        <v>0</v>
      </c>
      <c r="P75" s="64">
        <v>0.43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17" t="s">
        <v>2133</v>
      </c>
      <c r="B76" s="64">
        <v>8.08</v>
      </c>
      <c r="C76" s="64">
        <v>3.17</v>
      </c>
      <c r="D76" s="64">
        <v>11.91</v>
      </c>
      <c r="E76" s="64">
        <v>2.33</v>
      </c>
      <c r="F76" s="64">
        <v>3.3</v>
      </c>
      <c r="G76" s="64">
        <v>26.66</v>
      </c>
      <c r="H76" s="64">
        <v>5.87</v>
      </c>
      <c r="I76" s="64">
        <v>6.32</v>
      </c>
      <c r="J76" s="64">
        <v>0.81</v>
      </c>
      <c r="K76" s="64">
        <v>102.81</v>
      </c>
      <c r="L76" s="64">
        <v>29.14</v>
      </c>
      <c r="M76" s="64">
        <v>67.319999999999993</v>
      </c>
      <c r="N76" s="64">
        <v>93.4</v>
      </c>
      <c r="O76" s="64">
        <v>0</v>
      </c>
      <c r="P76" s="64">
        <v>0.43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7" t="s">
        <v>2134</v>
      </c>
      <c r="B77" s="64">
        <v>8.08</v>
      </c>
      <c r="C77" s="64">
        <v>3.1</v>
      </c>
      <c r="D77" s="64">
        <v>11.87</v>
      </c>
      <c r="E77" s="64">
        <v>2.4300000000000002</v>
      </c>
      <c r="F77" s="64">
        <v>3.42</v>
      </c>
      <c r="G77" s="64">
        <v>26.66</v>
      </c>
      <c r="H77" s="64">
        <v>5.87</v>
      </c>
      <c r="I77" s="64">
        <v>6.42</v>
      </c>
      <c r="J77" s="64">
        <v>0.46</v>
      </c>
      <c r="K77" s="64">
        <v>110.14</v>
      </c>
      <c r="L77" s="64">
        <v>28.89</v>
      </c>
      <c r="M77" s="64">
        <v>69.23</v>
      </c>
      <c r="N77" s="64">
        <v>89.2</v>
      </c>
      <c r="O77" s="64">
        <v>0</v>
      </c>
      <c r="P77" s="64">
        <v>0.43</v>
      </c>
      <c r="Q77" s="64">
        <v>9.51</v>
      </c>
      <c r="R77" s="198"/>
      <c r="S77" s="198"/>
      <c r="T77" s="198"/>
      <c r="U77" s="198"/>
    </row>
    <row r="78" spans="1:21" s="12" customFormat="1" x14ac:dyDescent="0.25">
      <c r="A78" s="217" t="s">
        <v>2135</v>
      </c>
      <c r="B78" s="64">
        <v>8.1300000000000008</v>
      </c>
      <c r="C78" s="64">
        <v>3.27</v>
      </c>
      <c r="D78" s="64">
        <v>12</v>
      </c>
      <c r="E78" s="64">
        <v>2.17</v>
      </c>
      <c r="F78" s="64">
        <v>3.46</v>
      </c>
      <c r="G78" s="64">
        <v>26.66</v>
      </c>
      <c r="H78" s="64">
        <v>5.87</v>
      </c>
      <c r="I78" s="64">
        <v>6.45</v>
      </c>
      <c r="J78" s="64">
        <v>1.6</v>
      </c>
      <c r="K78" s="64">
        <v>113.75</v>
      </c>
      <c r="L78" s="64">
        <v>27.54</v>
      </c>
      <c r="M78" s="64">
        <v>79.95</v>
      </c>
      <c r="N78" s="64">
        <v>84.3</v>
      </c>
      <c r="O78" s="64">
        <v>0.2</v>
      </c>
      <c r="P78" s="64">
        <v>0.43</v>
      </c>
      <c r="Q78" s="64">
        <v>9.52</v>
      </c>
      <c r="R78" s="198"/>
      <c r="S78" s="198"/>
      <c r="T78" s="198"/>
      <c r="U78" s="198"/>
    </row>
    <row r="79" spans="1:21" s="12" customFormat="1" x14ac:dyDescent="0.25">
      <c r="A79" s="217" t="s">
        <v>2136</v>
      </c>
      <c r="B79" s="64">
        <v>8.15</v>
      </c>
      <c r="C79" s="64">
        <v>3.27</v>
      </c>
      <c r="D79" s="64">
        <v>12.02</v>
      </c>
      <c r="E79" s="64">
        <v>1.94</v>
      </c>
      <c r="F79" s="64">
        <v>3.65</v>
      </c>
      <c r="G79" s="64">
        <v>28.65</v>
      </c>
      <c r="H79" s="64">
        <v>6.33</v>
      </c>
      <c r="I79" s="64">
        <v>6.38</v>
      </c>
      <c r="J79" s="64">
        <v>0.9</v>
      </c>
      <c r="K79" s="64">
        <v>112.13</v>
      </c>
      <c r="L79" s="64">
        <v>26.5</v>
      </c>
      <c r="M79" s="64">
        <v>87.87</v>
      </c>
      <c r="N79" s="64">
        <v>87.2</v>
      </c>
      <c r="O79" s="64">
        <v>0.2</v>
      </c>
      <c r="P79" s="64">
        <v>0.42</v>
      </c>
      <c r="Q79" s="64">
        <v>9.56</v>
      </c>
      <c r="R79" s="198"/>
      <c r="S79" s="198"/>
      <c r="T79" s="198"/>
      <c r="U79" s="198"/>
    </row>
    <row r="80" spans="1:21" s="12" customFormat="1" x14ac:dyDescent="0.25">
      <c r="A80" s="217" t="s">
        <v>2137</v>
      </c>
      <c r="B80" s="64">
        <v>8.11</v>
      </c>
      <c r="C80" s="64">
        <v>3.22</v>
      </c>
      <c r="D80" s="64">
        <v>11.96</v>
      </c>
      <c r="E80" s="64">
        <v>2.41</v>
      </c>
      <c r="F80" s="64">
        <v>4</v>
      </c>
      <c r="G80" s="64">
        <v>31.5</v>
      </c>
      <c r="H80" s="64">
        <v>7</v>
      </c>
      <c r="I80" s="64">
        <v>6.45</v>
      </c>
      <c r="J80" s="64">
        <v>1.01</v>
      </c>
      <c r="K80" s="64">
        <v>118.82</v>
      </c>
      <c r="L80" s="64">
        <v>26.36</v>
      </c>
      <c r="M80" s="64">
        <v>88.22</v>
      </c>
      <c r="N80" s="64">
        <v>77.3</v>
      </c>
      <c r="O80" s="64">
        <v>0</v>
      </c>
      <c r="P80" s="64">
        <v>0.43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7" t="s">
        <v>2138</v>
      </c>
      <c r="B81" s="64">
        <v>8.09</v>
      </c>
      <c r="C81" s="64">
        <v>3.16</v>
      </c>
      <c r="D81" s="64">
        <v>11.91</v>
      </c>
      <c r="E81" s="64">
        <v>2.38</v>
      </c>
      <c r="F81" s="64">
        <v>3.91</v>
      </c>
      <c r="G81" s="64">
        <v>31.5</v>
      </c>
      <c r="H81" s="64">
        <v>7</v>
      </c>
      <c r="I81" s="64">
        <v>6.61</v>
      </c>
      <c r="J81" s="64">
        <v>1.51</v>
      </c>
      <c r="K81" s="64">
        <v>111.4</v>
      </c>
      <c r="L81" s="64">
        <v>25.36</v>
      </c>
      <c r="M81" s="64">
        <v>93.92</v>
      </c>
      <c r="N81" s="64">
        <v>72.7</v>
      </c>
      <c r="O81" s="64">
        <v>4.4000000000000004</v>
      </c>
      <c r="P81" s="64">
        <v>0.41</v>
      </c>
      <c r="Q81" s="64">
        <v>9.6199999999999992</v>
      </c>
      <c r="R81" s="198"/>
      <c r="S81" s="198"/>
      <c r="T81" s="198"/>
      <c r="U81" s="198"/>
    </row>
    <row r="82" spans="1:26" s="12" customFormat="1" x14ac:dyDescent="0.25">
      <c r="A82" s="217" t="s">
        <v>2139</v>
      </c>
      <c r="B82" s="64">
        <v>8.16</v>
      </c>
      <c r="C82" s="64">
        <v>3.33</v>
      </c>
      <c r="D82" s="64">
        <v>12.06</v>
      </c>
      <c r="E82" s="64">
        <v>2.13</v>
      </c>
      <c r="F82" s="64">
        <v>4.46</v>
      </c>
      <c r="G82" s="64">
        <v>31.5</v>
      </c>
      <c r="H82" s="64">
        <v>7</v>
      </c>
      <c r="I82" s="64">
        <v>6.67</v>
      </c>
      <c r="J82" s="64">
        <v>1.06</v>
      </c>
      <c r="K82" s="64">
        <v>149.16999999999999</v>
      </c>
      <c r="L82" s="64">
        <v>22.99</v>
      </c>
      <c r="M82" s="64">
        <v>99.08</v>
      </c>
      <c r="N82" s="64">
        <v>68.8</v>
      </c>
      <c r="O82" s="64">
        <v>2.4</v>
      </c>
      <c r="P82" s="64">
        <v>0.42</v>
      </c>
      <c r="Q82" s="64">
        <v>9.61</v>
      </c>
      <c r="R82" s="198"/>
      <c r="S82" s="198"/>
      <c r="T82" s="198"/>
      <c r="U82" s="198"/>
    </row>
    <row r="83" spans="1:26" s="12" customFormat="1" x14ac:dyDescent="0.25">
      <c r="A83" s="217" t="s">
        <v>2140</v>
      </c>
      <c r="B83" s="64">
        <v>8.15</v>
      </c>
      <c r="C83" s="64">
        <v>3.19</v>
      </c>
      <c r="D83" s="64">
        <v>11.97</v>
      </c>
      <c r="E83" s="64">
        <v>2.5099999999999998</v>
      </c>
      <c r="F83" s="64">
        <v>3.7</v>
      </c>
      <c r="G83" s="64">
        <v>28.89</v>
      </c>
      <c r="H83" s="64">
        <v>6.34</v>
      </c>
      <c r="I83" s="64">
        <v>6.84</v>
      </c>
      <c r="J83" s="64">
        <v>0.13</v>
      </c>
      <c r="K83" s="64">
        <v>168.66</v>
      </c>
      <c r="L83" s="64">
        <v>23.14</v>
      </c>
      <c r="M83" s="64">
        <v>99.08</v>
      </c>
      <c r="N83" s="64">
        <v>66.599999999999994</v>
      </c>
      <c r="O83" s="64">
        <v>0</v>
      </c>
      <c r="P83" s="64">
        <v>0.4</v>
      </c>
      <c r="Q83" s="64">
        <v>9.6199999999999992</v>
      </c>
      <c r="R83" s="198"/>
      <c r="S83" s="198"/>
      <c r="T83" s="198"/>
      <c r="U83" s="198"/>
    </row>
    <row r="84" spans="1:26" s="12" customFormat="1" x14ac:dyDescent="0.25">
      <c r="A84" s="217" t="s">
        <v>2141</v>
      </c>
      <c r="B84" s="64">
        <v>8.11</v>
      </c>
      <c r="C84" s="64">
        <v>3.1</v>
      </c>
      <c r="D84" s="64">
        <v>11.9</v>
      </c>
      <c r="E84" s="64">
        <v>2.6</v>
      </c>
      <c r="F84" s="64">
        <v>3.5</v>
      </c>
      <c r="G84" s="64">
        <v>25.16</v>
      </c>
      <c r="H84" s="64">
        <v>5.38</v>
      </c>
      <c r="I84" s="64">
        <v>6.97</v>
      </c>
      <c r="J84" s="64">
        <v>0.7</v>
      </c>
      <c r="K84" s="64">
        <v>176.56</v>
      </c>
      <c r="L84" s="64">
        <v>23.14</v>
      </c>
      <c r="M84" s="64">
        <v>99.08</v>
      </c>
      <c r="N84" s="64">
        <v>66.400000000000006</v>
      </c>
      <c r="O84" s="64">
        <v>0</v>
      </c>
      <c r="P84" s="64">
        <v>0.41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7" t="s">
        <v>2142</v>
      </c>
      <c r="B85" s="64">
        <v>8.1</v>
      </c>
      <c r="C85" s="64">
        <v>3.07</v>
      </c>
      <c r="D85" s="64">
        <v>11.87</v>
      </c>
      <c r="E85" s="64">
        <v>2.33</v>
      </c>
      <c r="F85" s="64">
        <v>3.31</v>
      </c>
      <c r="G85" s="64">
        <v>25.16</v>
      </c>
      <c r="H85" s="64">
        <v>5.38</v>
      </c>
      <c r="I85" s="64">
        <v>6.9</v>
      </c>
      <c r="J85" s="64">
        <v>1.38</v>
      </c>
      <c r="K85" s="64">
        <v>149.05000000000001</v>
      </c>
      <c r="L85" s="64">
        <v>23.31</v>
      </c>
      <c r="M85" s="64">
        <v>99.08</v>
      </c>
      <c r="N85" s="64">
        <v>66.7</v>
      </c>
      <c r="O85" s="64">
        <v>0</v>
      </c>
      <c r="P85" s="64">
        <v>0.39</v>
      </c>
      <c r="Q85" s="64">
        <v>9.6</v>
      </c>
      <c r="R85" s="198"/>
      <c r="S85" s="198"/>
      <c r="T85" s="198"/>
      <c r="U85" s="198"/>
    </row>
    <row r="86" spans="1:26" s="12" customFormat="1" x14ac:dyDescent="0.25">
      <c r="A86" s="217" t="s">
        <v>2143</v>
      </c>
      <c r="B86" s="64">
        <v>8.1199999999999992</v>
      </c>
      <c r="C86" s="64">
        <v>3.11</v>
      </c>
      <c r="D86" s="64">
        <v>11.91</v>
      </c>
      <c r="E86" s="64">
        <v>2.63</v>
      </c>
      <c r="F86" s="64">
        <v>3.05</v>
      </c>
      <c r="G86" s="64">
        <v>25.16</v>
      </c>
      <c r="H86" s="64">
        <v>5.38</v>
      </c>
      <c r="I86" s="64">
        <v>6.82</v>
      </c>
      <c r="J86" s="64">
        <v>0.81</v>
      </c>
      <c r="K86" s="64">
        <v>150.69999999999999</v>
      </c>
      <c r="L86" s="64">
        <v>23.31</v>
      </c>
      <c r="M86" s="64">
        <v>99.08</v>
      </c>
      <c r="N86" s="64">
        <v>66.8</v>
      </c>
      <c r="O86" s="64">
        <v>0</v>
      </c>
      <c r="P86" s="64">
        <v>0.4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7" t="s">
        <v>2144</v>
      </c>
      <c r="B87" s="64">
        <v>8.16</v>
      </c>
      <c r="C87" s="64">
        <v>3.24</v>
      </c>
      <c r="D87" s="64">
        <v>12.01</v>
      </c>
      <c r="E87" s="64">
        <v>2.41</v>
      </c>
      <c r="F87" s="64">
        <v>3.08</v>
      </c>
      <c r="G87" s="64">
        <v>24.01</v>
      </c>
      <c r="H87" s="64">
        <v>4.72</v>
      </c>
      <c r="I87" s="64">
        <v>6.9</v>
      </c>
      <c r="J87" s="64">
        <v>0.91</v>
      </c>
      <c r="K87" s="64">
        <v>120.48</v>
      </c>
      <c r="L87" s="64">
        <v>23.38</v>
      </c>
      <c r="M87" s="64">
        <v>99.08</v>
      </c>
      <c r="N87" s="64">
        <v>65.8</v>
      </c>
      <c r="O87" s="64">
        <v>0.8</v>
      </c>
      <c r="P87" s="64">
        <v>0.4</v>
      </c>
      <c r="Q87" s="64">
        <v>9.59</v>
      </c>
      <c r="R87" s="198"/>
      <c r="S87" s="198"/>
      <c r="T87" s="198"/>
      <c r="U87" s="198"/>
    </row>
    <row r="88" spans="1:26" s="12" customFormat="1" x14ac:dyDescent="0.25">
      <c r="A88" s="217" t="s">
        <v>2145</v>
      </c>
      <c r="B88" s="64">
        <v>8.1199999999999992</v>
      </c>
      <c r="C88" s="64">
        <v>3.08</v>
      </c>
      <c r="D88" s="64">
        <v>11.89</v>
      </c>
      <c r="E88" s="64">
        <v>4.4000000000000004</v>
      </c>
      <c r="F88" s="64">
        <v>3.64</v>
      </c>
      <c r="G88" s="64">
        <v>22.37</v>
      </c>
      <c r="H88" s="64">
        <v>3.77</v>
      </c>
      <c r="I88" s="64">
        <v>7</v>
      </c>
      <c r="J88" s="64">
        <v>0.72</v>
      </c>
      <c r="K88" s="64">
        <v>172.95</v>
      </c>
      <c r="L88" s="64">
        <v>23.57</v>
      </c>
      <c r="M88" s="64">
        <v>99.08</v>
      </c>
      <c r="N88" s="64">
        <v>65.3</v>
      </c>
      <c r="O88" s="64">
        <v>0.6</v>
      </c>
      <c r="P88" s="64">
        <v>0.39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17" t="s">
        <v>2146</v>
      </c>
      <c r="B89" s="64">
        <v>8.08</v>
      </c>
      <c r="C89" s="64">
        <v>3.04</v>
      </c>
      <c r="D89" s="64">
        <v>11.85</v>
      </c>
      <c r="E89" s="64">
        <v>4.38</v>
      </c>
      <c r="F89" s="64">
        <v>3.57</v>
      </c>
      <c r="G89" s="64">
        <v>22.37</v>
      </c>
      <c r="H89" s="64">
        <v>3.77</v>
      </c>
      <c r="I89" s="64">
        <v>7.05</v>
      </c>
      <c r="J89" s="64">
        <v>0.34</v>
      </c>
      <c r="K89" s="64">
        <v>112.61</v>
      </c>
      <c r="L89" s="64">
        <v>23.58</v>
      </c>
      <c r="M89" s="64">
        <v>99.08</v>
      </c>
      <c r="N89" s="64">
        <v>66</v>
      </c>
      <c r="O89" s="64">
        <v>1</v>
      </c>
      <c r="P89" s="64">
        <v>0.41</v>
      </c>
      <c r="Q89" s="64">
        <v>9.5399999999999991</v>
      </c>
      <c r="R89" s="198"/>
      <c r="S89" s="198"/>
      <c r="T89" s="198"/>
      <c r="U89" s="198"/>
    </row>
    <row r="90" spans="1:26" s="12" customFormat="1" x14ac:dyDescent="0.25">
      <c r="A90" s="217" t="s">
        <v>2147</v>
      </c>
      <c r="B90" s="64">
        <v>8.06</v>
      </c>
      <c r="C90" s="64">
        <v>3.08</v>
      </c>
      <c r="D90" s="64">
        <v>11.85</v>
      </c>
      <c r="E90" s="64">
        <v>4.5</v>
      </c>
      <c r="F90" s="64">
        <v>3.78</v>
      </c>
      <c r="G90" s="64">
        <v>22.37</v>
      </c>
      <c r="H90" s="64">
        <v>3.77</v>
      </c>
      <c r="I90" s="64">
        <v>7.03</v>
      </c>
      <c r="J90" s="64">
        <v>0.45</v>
      </c>
      <c r="K90" s="64">
        <v>2.5</v>
      </c>
      <c r="L90" s="64">
        <v>23.44</v>
      </c>
      <c r="M90" s="64">
        <v>99.08</v>
      </c>
      <c r="N90" s="64">
        <v>66</v>
      </c>
      <c r="O90" s="64">
        <v>0</v>
      </c>
      <c r="P90" s="64">
        <v>0.39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7" t="s">
        <v>2148</v>
      </c>
      <c r="B91" s="64">
        <v>8.0299999999999994</v>
      </c>
      <c r="C91" s="64">
        <v>3.05</v>
      </c>
      <c r="D91" s="64">
        <v>11.81</v>
      </c>
      <c r="E91" s="64">
        <v>4.1900000000000004</v>
      </c>
      <c r="F91" s="64">
        <v>4.4400000000000004</v>
      </c>
      <c r="G91" s="64">
        <v>19.62</v>
      </c>
      <c r="H91" s="64">
        <v>4.17</v>
      </c>
      <c r="I91" s="64">
        <v>6.72</v>
      </c>
      <c r="J91" s="64">
        <v>0.24</v>
      </c>
      <c r="K91" s="64">
        <v>208.22</v>
      </c>
      <c r="L91" s="64">
        <v>23.34</v>
      </c>
      <c r="M91" s="64">
        <v>99.08</v>
      </c>
      <c r="N91" s="64">
        <v>66</v>
      </c>
      <c r="O91" s="64">
        <v>0</v>
      </c>
      <c r="P91" s="64">
        <v>0.4</v>
      </c>
      <c r="Q91" s="64">
        <v>9.51</v>
      </c>
      <c r="R91" s="198"/>
      <c r="S91" s="198"/>
      <c r="T91" s="198"/>
      <c r="U91" s="198"/>
    </row>
    <row r="92" spans="1:26" s="12" customFormat="1" x14ac:dyDescent="0.25">
      <c r="A92" s="217" t="s">
        <v>2149</v>
      </c>
      <c r="B92" s="64">
        <v>8.08</v>
      </c>
      <c r="C92" s="64">
        <v>3.12</v>
      </c>
      <c r="D92" s="64">
        <v>11.88</v>
      </c>
      <c r="E92" s="64">
        <v>4.4000000000000004</v>
      </c>
      <c r="F92" s="64">
        <v>3.07</v>
      </c>
      <c r="G92" s="64">
        <v>15.69</v>
      </c>
      <c r="H92" s="64">
        <v>4.7300000000000004</v>
      </c>
      <c r="I92" s="64">
        <v>6.22</v>
      </c>
      <c r="J92" s="64">
        <v>0.23</v>
      </c>
      <c r="K92" s="64">
        <v>11.24</v>
      </c>
      <c r="L92" s="64">
        <v>23.21</v>
      </c>
      <c r="M92" s="64">
        <v>99.08</v>
      </c>
      <c r="N92" s="64">
        <v>66.099999999999994</v>
      </c>
      <c r="O92" s="64">
        <v>0</v>
      </c>
      <c r="P92" s="64">
        <v>0.38</v>
      </c>
      <c r="Q92" s="64">
        <v>9.4</v>
      </c>
      <c r="R92" s="198"/>
      <c r="S92" s="198"/>
      <c r="T92" s="198"/>
      <c r="U92" s="198"/>
    </row>
    <row r="93" spans="1:26" s="12" customFormat="1" x14ac:dyDescent="0.25">
      <c r="A93" s="217" t="s">
        <v>2150</v>
      </c>
      <c r="B93" s="64">
        <v>8.08</v>
      </c>
      <c r="C93" s="64">
        <v>3.12</v>
      </c>
      <c r="D93" s="64">
        <v>11.88</v>
      </c>
      <c r="E93" s="64">
        <v>4.25</v>
      </c>
      <c r="F93" s="64">
        <v>4</v>
      </c>
      <c r="G93" s="64">
        <v>15.69</v>
      </c>
      <c r="H93" s="64">
        <v>4.7300000000000004</v>
      </c>
      <c r="I93" s="64">
        <v>5.8</v>
      </c>
      <c r="J93" s="64">
        <v>0.28000000000000003</v>
      </c>
      <c r="K93" s="64">
        <v>343.6</v>
      </c>
      <c r="L93" s="64">
        <v>23.23</v>
      </c>
      <c r="M93" s="64">
        <v>99.08</v>
      </c>
      <c r="N93" s="64">
        <v>65.5</v>
      </c>
      <c r="O93" s="64">
        <v>0</v>
      </c>
      <c r="P93" s="64">
        <v>0.37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7" t="s">
        <v>2151</v>
      </c>
      <c r="B94" s="64">
        <v>8.07</v>
      </c>
      <c r="C94" s="64">
        <v>3.11</v>
      </c>
      <c r="D94" s="64">
        <v>11.87</v>
      </c>
      <c r="E94" s="64">
        <v>4.0999999999999996</v>
      </c>
      <c r="F94" s="64">
        <v>4.16</v>
      </c>
      <c r="G94" s="64">
        <v>15.69</v>
      </c>
      <c r="H94" s="64">
        <v>4.7300000000000004</v>
      </c>
      <c r="I94" s="64">
        <v>5.39</v>
      </c>
      <c r="J94" s="64">
        <v>0.55000000000000004</v>
      </c>
      <c r="K94" s="64">
        <v>12.07</v>
      </c>
      <c r="L94" s="64">
        <v>23.3</v>
      </c>
      <c r="M94" s="64">
        <v>99.08</v>
      </c>
      <c r="N94" s="64">
        <v>65.099999999999994</v>
      </c>
      <c r="O94" s="64">
        <v>0</v>
      </c>
      <c r="P94" s="64">
        <v>0.38</v>
      </c>
      <c r="Q94" s="64">
        <v>9.4499999999999993</v>
      </c>
      <c r="R94" s="198"/>
      <c r="S94" s="198"/>
      <c r="T94" s="198"/>
      <c r="U94" s="198"/>
    </row>
    <row r="95" spans="1:26" s="12" customFormat="1" x14ac:dyDescent="0.25">
      <c r="A95" s="217" t="s">
        <v>2152</v>
      </c>
      <c r="B95" s="64">
        <v>8.06</v>
      </c>
      <c r="C95" s="64">
        <v>3.12</v>
      </c>
      <c r="D95" s="64">
        <v>11.87</v>
      </c>
      <c r="E95" s="64">
        <v>3.97</v>
      </c>
      <c r="F95" s="64">
        <v>3.26</v>
      </c>
      <c r="G95" s="64">
        <v>14.76</v>
      </c>
      <c r="H95" s="64">
        <v>5.12</v>
      </c>
      <c r="I95" s="64">
        <v>5.08</v>
      </c>
      <c r="J95" s="64">
        <v>0.54</v>
      </c>
      <c r="K95" s="64">
        <v>25.77</v>
      </c>
      <c r="L95" s="64">
        <v>23.46</v>
      </c>
      <c r="M95" s="64">
        <v>99.08</v>
      </c>
      <c r="N95" s="64">
        <v>65.2</v>
      </c>
      <c r="O95" s="64">
        <v>0</v>
      </c>
      <c r="P95" s="64">
        <v>0.39</v>
      </c>
      <c r="Q95" s="64">
        <v>9.39</v>
      </c>
      <c r="R95" s="198"/>
      <c r="S95" s="198"/>
      <c r="T95" s="198"/>
      <c r="U95" s="198"/>
    </row>
    <row r="96" spans="1:26" s="12" customFormat="1" x14ac:dyDescent="0.25">
      <c r="A96" s="217" t="s">
        <v>2153</v>
      </c>
      <c r="B96" s="64">
        <v>8.06</v>
      </c>
      <c r="C96" s="64">
        <v>3.08</v>
      </c>
      <c r="D96" s="64">
        <v>11.84</v>
      </c>
      <c r="E96" s="64">
        <v>4.1500000000000004</v>
      </c>
      <c r="F96" s="64">
        <v>4.45</v>
      </c>
      <c r="G96" s="64">
        <v>13.41</v>
      </c>
      <c r="H96" s="64">
        <v>5.67</v>
      </c>
      <c r="I96" s="64">
        <v>4.76</v>
      </c>
      <c r="J96" s="64">
        <v>0.53</v>
      </c>
      <c r="K96" s="64">
        <v>25.44</v>
      </c>
      <c r="L96" s="64">
        <v>23.52</v>
      </c>
      <c r="M96" s="64">
        <v>99.08</v>
      </c>
      <c r="N96" s="64">
        <v>65.5</v>
      </c>
      <c r="O96" s="64">
        <v>0</v>
      </c>
      <c r="P96" s="64">
        <v>0.4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2154</v>
      </c>
      <c r="B97" s="64">
        <v>8.0500000000000007</v>
      </c>
      <c r="C97" s="64">
        <v>3.08</v>
      </c>
      <c r="D97" s="64">
        <v>11.84</v>
      </c>
      <c r="E97" s="64">
        <v>4.53</v>
      </c>
      <c r="F97" s="64">
        <v>3.71</v>
      </c>
      <c r="G97" s="64">
        <v>13.41</v>
      </c>
      <c r="H97" s="64">
        <v>5.67</v>
      </c>
      <c r="I97" s="64">
        <v>4.38</v>
      </c>
      <c r="J97" s="64">
        <v>0.57999999999999996</v>
      </c>
      <c r="K97" s="64">
        <v>3.28</v>
      </c>
      <c r="L97" s="64">
        <v>23.54</v>
      </c>
      <c r="M97" s="64">
        <v>99.08</v>
      </c>
      <c r="N97" s="64">
        <v>65.099999999999994</v>
      </c>
      <c r="O97" s="64">
        <v>0</v>
      </c>
      <c r="P97" s="64">
        <v>0.4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7" t="s">
        <v>2155</v>
      </c>
      <c r="B98" s="64">
        <v>8.06</v>
      </c>
      <c r="C98" s="64">
        <v>3.11</v>
      </c>
      <c r="D98" s="64">
        <v>11.87</v>
      </c>
      <c r="E98" s="64">
        <v>4.21</v>
      </c>
      <c r="F98" s="64">
        <v>3.74</v>
      </c>
      <c r="G98" s="64">
        <v>13.41</v>
      </c>
      <c r="H98" s="64">
        <v>5.67</v>
      </c>
      <c r="I98" s="64">
        <v>4.1399999999999997</v>
      </c>
      <c r="J98" s="64">
        <v>1.03</v>
      </c>
      <c r="K98" s="64">
        <v>320.72000000000003</v>
      </c>
      <c r="L98" s="64">
        <v>23.56</v>
      </c>
      <c r="M98" s="64">
        <v>99.08</v>
      </c>
      <c r="N98" s="64">
        <v>65.7</v>
      </c>
      <c r="O98" s="64">
        <v>0</v>
      </c>
      <c r="P98" s="64">
        <v>0.4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7" t="s">
        <v>2156</v>
      </c>
      <c r="B99" s="64">
        <v>8.09</v>
      </c>
      <c r="C99" s="64">
        <v>3.14</v>
      </c>
      <c r="D99" s="64">
        <v>11.9</v>
      </c>
      <c r="E99" s="64">
        <v>4.08</v>
      </c>
      <c r="F99" s="64">
        <v>4.01</v>
      </c>
      <c r="G99" s="64">
        <v>13.11</v>
      </c>
      <c r="H99" s="64">
        <v>5.62</v>
      </c>
      <c r="I99" s="64">
        <v>3.96</v>
      </c>
      <c r="J99" s="64">
        <v>1.41</v>
      </c>
      <c r="K99" s="64">
        <v>330.31</v>
      </c>
      <c r="L99" s="64">
        <v>23.5</v>
      </c>
      <c r="M99" s="64">
        <v>99.08</v>
      </c>
      <c r="N99" s="64">
        <v>66.099999999999994</v>
      </c>
      <c r="O99" s="64">
        <v>0</v>
      </c>
      <c r="P99" s="64">
        <v>0.41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7" t="s">
        <v>2157</v>
      </c>
      <c r="B100" s="64">
        <v>8.09</v>
      </c>
      <c r="C100" s="64">
        <v>3.14</v>
      </c>
      <c r="D100" s="64">
        <v>11.9</v>
      </c>
      <c r="E100" s="64">
        <v>4.05</v>
      </c>
      <c r="F100" s="64">
        <v>3.55</v>
      </c>
      <c r="G100" s="64">
        <v>12.68</v>
      </c>
      <c r="H100" s="64">
        <v>5.55</v>
      </c>
      <c r="I100" s="64">
        <v>3.77</v>
      </c>
      <c r="J100" s="64">
        <v>1.01</v>
      </c>
      <c r="K100" s="64">
        <v>331.65</v>
      </c>
      <c r="L100" s="64">
        <v>23.26</v>
      </c>
      <c r="M100" s="64">
        <v>99.08</v>
      </c>
      <c r="N100" s="64">
        <v>65.8</v>
      </c>
      <c r="O100" s="64">
        <v>2</v>
      </c>
      <c r="P100" s="64">
        <v>0.42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2158</v>
      </c>
      <c r="B101" s="64">
        <v>8.11</v>
      </c>
      <c r="C101" s="64">
        <v>3.16</v>
      </c>
      <c r="D101" s="64">
        <v>11.93</v>
      </c>
      <c r="E101" s="64">
        <v>4.05</v>
      </c>
      <c r="F101" s="64">
        <v>3.7</v>
      </c>
      <c r="G101" s="64">
        <v>12.68</v>
      </c>
      <c r="H101" s="64">
        <v>5.55</v>
      </c>
      <c r="I101" s="64">
        <v>3.62</v>
      </c>
      <c r="J101" s="64">
        <v>0.75</v>
      </c>
      <c r="K101" s="64">
        <v>334.93</v>
      </c>
      <c r="L101" s="64">
        <v>23.04</v>
      </c>
      <c r="M101" s="64">
        <v>99.08</v>
      </c>
      <c r="N101" s="64">
        <v>65.2</v>
      </c>
      <c r="O101" s="64">
        <v>1.8</v>
      </c>
      <c r="P101" s="64">
        <v>0.41</v>
      </c>
      <c r="Q101" s="64">
        <v>9.44</v>
      </c>
      <c r="R101" s="198"/>
      <c r="S101" s="198"/>
      <c r="T101" s="198"/>
      <c r="U101" s="198"/>
    </row>
    <row r="102" spans="1:33" s="12" customFormat="1" x14ac:dyDescent="0.25">
      <c r="A102" s="217" t="s">
        <v>2159</v>
      </c>
      <c r="B102" s="64">
        <v>8.1300000000000008</v>
      </c>
      <c r="C102" s="64">
        <v>3.16</v>
      </c>
      <c r="D102" s="64">
        <v>11.95</v>
      </c>
      <c r="E102" s="64">
        <v>3.93</v>
      </c>
      <c r="F102" s="64">
        <v>6.93</v>
      </c>
      <c r="G102" s="64">
        <v>12.68</v>
      </c>
      <c r="H102" s="64">
        <v>5.55</v>
      </c>
      <c r="I102" s="64">
        <v>3.52</v>
      </c>
      <c r="J102" s="64">
        <v>0.1</v>
      </c>
      <c r="K102" s="64">
        <v>2.23</v>
      </c>
      <c r="L102" s="64">
        <v>22.89</v>
      </c>
      <c r="M102" s="64">
        <v>99.08</v>
      </c>
      <c r="N102" s="64">
        <v>65.2</v>
      </c>
      <c r="O102" s="64">
        <v>4.5999999999999996</v>
      </c>
      <c r="P102" s="64">
        <v>0.42</v>
      </c>
      <c r="Q102" s="64">
        <v>9.43</v>
      </c>
      <c r="R102" s="198"/>
      <c r="S102" s="198"/>
      <c r="T102" s="198"/>
      <c r="U102" s="198"/>
    </row>
    <row r="103" spans="1:33" s="12" customFormat="1" x14ac:dyDescent="0.25">
      <c r="A103" s="217" t="s">
        <v>2160</v>
      </c>
      <c r="B103" s="64">
        <v>8.16</v>
      </c>
      <c r="C103" s="64">
        <v>3.23</v>
      </c>
      <c r="D103" s="64">
        <v>12</v>
      </c>
      <c r="E103" s="64">
        <v>4.3600000000000003</v>
      </c>
      <c r="F103" s="64">
        <v>6.74</v>
      </c>
      <c r="G103" s="64">
        <v>12.92</v>
      </c>
      <c r="H103" s="64">
        <v>4.87</v>
      </c>
      <c r="I103" s="64">
        <v>3.55</v>
      </c>
      <c r="J103" s="64">
        <v>0.43</v>
      </c>
      <c r="K103" s="64">
        <v>359.9</v>
      </c>
      <c r="L103" s="64">
        <v>22.95</v>
      </c>
      <c r="M103" s="64">
        <v>99.08</v>
      </c>
      <c r="N103" s="64">
        <v>65</v>
      </c>
      <c r="O103" s="64">
        <v>1.4</v>
      </c>
      <c r="P103" s="64">
        <v>0.42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7" t="s">
        <v>2161</v>
      </c>
      <c r="B104" s="64">
        <v>8.1199999999999992</v>
      </c>
      <c r="C104" s="64">
        <v>3.14</v>
      </c>
      <c r="D104" s="64">
        <v>11.93</v>
      </c>
      <c r="E104" s="64">
        <v>4.41</v>
      </c>
      <c r="F104" s="64">
        <v>8.4600000000000009</v>
      </c>
      <c r="G104" s="64">
        <v>13.26</v>
      </c>
      <c r="H104" s="64">
        <v>3.89</v>
      </c>
      <c r="I104" s="64">
        <v>3.63</v>
      </c>
      <c r="J104" s="64">
        <v>0.49</v>
      </c>
      <c r="K104" s="64">
        <v>11.69</v>
      </c>
      <c r="L104" s="64">
        <v>22.97</v>
      </c>
      <c r="M104" s="64">
        <v>99.08</v>
      </c>
      <c r="N104" s="64">
        <v>65</v>
      </c>
      <c r="O104" s="64">
        <v>0.8</v>
      </c>
      <c r="P104" s="64">
        <v>0.41</v>
      </c>
      <c r="Q104" s="64">
        <v>9.4600000000000009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8.0299999999999994</v>
      </c>
      <c r="C106" s="67">
        <f>MIN(C9:C104)</f>
        <v>3.02</v>
      </c>
      <c r="D106" s="67">
        <f t="shared" ref="D106:Q106" si="0">MIN(D9:D104)</f>
        <v>11.81</v>
      </c>
      <c r="E106" s="67">
        <f t="shared" si="0"/>
        <v>1.94</v>
      </c>
      <c r="F106" s="67">
        <f t="shared" si="0"/>
        <v>2.87</v>
      </c>
      <c r="G106" s="67">
        <f t="shared" si="0"/>
        <v>12.68</v>
      </c>
      <c r="H106" s="67">
        <f t="shared" si="0"/>
        <v>3.77</v>
      </c>
      <c r="I106" s="67">
        <f t="shared" si="0"/>
        <v>3.52</v>
      </c>
      <c r="J106" s="67">
        <f t="shared" si="0"/>
        <v>0.08</v>
      </c>
      <c r="K106" s="67">
        <f t="shared" si="0"/>
        <v>2.23</v>
      </c>
      <c r="L106" s="67">
        <f t="shared" si="0"/>
        <v>22.08</v>
      </c>
      <c r="M106" s="67">
        <f t="shared" si="0"/>
        <v>60.86</v>
      </c>
      <c r="N106" s="67">
        <f t="shared" si="0"/>
        <v>65</v>
      </c>
      <c r="O106" s="67">
        <f t="shared" si="0"/>
        <v>0</v>
      </c>
      <c r="P106" s="67">
        <f t="shared" si="0"/>
        <v>0.37</v>
      </c>
      <c r="Q106" s="67">
        <f t="shared" si="0"/>
        <v>9.23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8.27</v>
      </c>
      <c r="C107" s="66">
        <f t="shared" ref="C107:Q107" si="1">MAX(C9:C104)</f>
        <v>3.41</v>
      </c>
      <c r="D107" s="66">
        <f t="shared" si="1"/>
        <v>12.16</v>
      </c>
      <c r="E107" s="66">
        <f t="shared" si="1"/>
        <v>4.68</v>
      </c>
      <c r="F107" s="66">
        <f t="shared" si="1"/>
        <v>8.4600000000000009</v>
      </c>
      <c r="G107" s="66">
        <f t="shared" si="1"/>
        <v>60.95</v>
      </c>
      <c r="H107" s="66">
        <f t="shared" si="1"/>
        <v>27.97</v>
      </c>
      <c r="I107" s="66">
        <f t="shared" si="1"/>
        <v>9.73</v>
      </c>
      <c r="J107" s="66">
        <f t="shared" si="1"/>
        <v>2.2000000000000002</v>
      </c>
      <c r="K107" s="66">
        <f t="shared" si="1"/>
        <v>359.9</v>
      </c>
      <c r="L107" s="66">
        <f t="shared" si="1"/>
        <v>32.46</v>
      </c>
      <c r="M107" s="66">
        <f t="shared" si="1"/>
        <v>99.1</v>
      </c>
      <c r="N107" s="66">
        <f t="shared" si="1"/>
        <v>1084.5</v>
      </c>
      <c r="O107" s="66">
        <f t="shared" si="1"/>
        <v>11</v>
      </c>
      <c r="P107" s="66">
        <f t="shared" si="1"/>
        <v>0.56000000000000005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8.1154166666666665</v>
      </c>
      <c r="C108" s="67">
        <f t="shared" ref="C108:Q108" si="2">AVERAGE(C9:C104)</f>
        <v>3.1471875000000007</v>
      </c>
      <c r="D108" s="67">
        <f t="shared" si="2"/>
        <v>11.926562500000001</v>
      </c>
      <c r="E108" s="67">
        <f t="shared" si="2"/>
        <v>3.6983333333333337</v>
      </c>
      <c r="F108" s="67">
        <f t="shared" si="2"/>
        <v>3.7372916666666662</v>
      </c>
      <c r="G108" s="67">
        <f t="shared" si="2"/>
        <v>30.74447916666665</v>
      </c>
      <c r="H108" s="67">
        <f t="shared" si="2"/>
        <v>11.320833333333333</v>
      </c>
      <c r="I108" s="67">
        <f t="shared" si="2"/>
        <v>6.3491666666666662</v>
      </c>
      <c r="J108" s="67">
        <f t="shared" si="2"/>
        <v>0.74510416666666679</v>
      </c>
      <c r="K108" s="67">
        <f t="shared" si="2"/>
        <v>176.84312499999999</v>
      </c>
      <c r="L108" s="67">
        <f t="shared" si="2"/>
        <v>25.656770833333336</v>
      </c>
      <c r="M108" s="67">
        <f t="shared" si="2"/>
        <v>88.62864583333328</v>
      </c>
      <c r="N108" s="67">
        <f t="shared" si="2"/>
        <v>268.82499999999999</v>
      </c>
      <c r="O108" s="67">
        <f t="shared" si="2"/>
        <v>0.39791666666666664</v>
      </c>
      <c r="P108" s="67">
        <f t="shared" si="2"/>
        <v>0.44854166666666662</v>
      </c>
      <c r="Q108" s="67">
        <f t="shared" si="2"/>
        <v>9.5653125000000028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4.5234282915474607E-2</v>
      </c>
      <c r="C109" s="67">
        <f t="shared" ref="C109:Q109" si="3">STDEV(C9:C104)</f>
        <v>8.6811388108146051E-2</v>
      </c>
      <c r="D109" s="67">
        <f t="shared" si="3"/>
        <v>7.7484506091286015E-2</v>
      </c>
      <c r="E109" s="67">
        <f t="shared" si="3"/>
        <v>0.77916104229135863</v>
      </c>
      <c r="F109" s="67">
        <f t="shared" si="3"/>
        <v>0.78998265026473891</v>
      </c>
      <c r="G109" s="67">
        <f t="shared" si="3"/>
        <v>13.775777816977136</v>
      </c>
      <c r="H109" s="67">
        <f t="shared" si="3"/>
        <v>6.9330882716474944</v>
      </c>
      <c r="I109" s="67">
        <f t="shared" si="3"/>
        <v>1.7877057727222843</v>
      </c>
      <c r="J109" s="67">
        <f t="shared" si="3"/>
        <v>0.4818560492439441</v>
      </c>
      <c r="K109" s="67">
        <f t="shared" si="3"/>
        <v>121.6705090013925</v>
      </c>
      <c r="L109" s="67">
        <f t="shared" si="3"/>
        <v>3.198974340494193</v>
      </c>
      <c r="M109" s="67">
        <f t="shared" si="3"/>
        <v>13.914085677909727</v>
      </c>
      <c r="N109" s="67">
        <f t="shared" si="3"/>
        <v>296.73835684159991</v>
      </c>
      <c r="O109" s="67">
        <f t="shared" si="3"/>
        <v>1.4973646440306323</v>
      </c>
      <c r="P109" s="67">
        <f t="shared" si="3"/>
        <v>5.1707256269090805E-2</v>
      </c>
      <c r="Q109" s="67">
        <f t="shared" si="3"/>
        <v>0.12739456424824411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2162</v>
      </c>
      <c r="B9" s="64">
        <v>8.1300000000000008</v>
      </c>
      <c r="C9" s="64">
        <v>3.12</v>
      </c>
      <c r="D9" s="64">
        <v>11.93</v>
      </c>
      <c r="E9" s="64">
        <v>4.9000000000000004</v>
      </c>
      <c r="F9" s="64">
        <v>3.67</v>
      </c>
      <c r="G9" s="64">
        <v>13.26</v>
      </c>
      <c r="H9" s="64">
        <v>3.89</v>
      </c>
      <c r="I9" s="64">
        <v>3.54</v>
      </c>
      <c r="J9" s="64">
        <v>0.59</v>
      </c>
      <c r="K9" s="64">
        <v>352.67</v>
      </c>
      <c r="L9" s="64">
        <v>23</v>
      </c>
      <c r="M9" s="64">
        <v>99.08</v>
      </c>
      <c r="N9" s="64">
        <v>65</v>
      </c>
      <c r="O9" s="64">
        <v>0</v>
      </c>
      <c r="P9" s="64">
        <v>0.38</v>
      </c>
      <c r="Q9" s="64">
        <v>9.4700000000000006</v>
      </c>
      <c r="R9" s="198"/>
      <c r="S9" s="198"/>
      <c r="T9" s="198"/>
      <c r="U9" s="198"/>
    </row>
    <row r="10" spans="1:21" s="12" customFormat="1" x14ac:dyDescent="0.25">
      <c r="A10" s="217" t="s">
        <v>2163</v>
      </c>
      <c r="B10" s="64">
        <v>8.1199999999999992</v>
      </c>
      <c r="C10" s="64">
        <v>3.11</v>
      </c>
      <c r="D10" s="64">
        <v>11.91</v>
      </c>
      <c r="E10" s="64">
        <v>4.9800000000000004</v>
      </c>
      <c r="F10" s="64">
        <v>3.53</v>
      </c>
      <c r="G10" s="64">
        <v>13.26</v>
      </c>
      <c r="H10" s="64">
        <v>3.89</v>
      </c>
      <c r="I10" s="64">
        <v>3.36</v>
      </c>
      <c r="J10" s="64">
        <v>0.52</v>
      </c>
      <c r="K10" s="64">
        <v>356.16</v>
      </c>
      <c r="L10" s="64">
        <v>23.03</v>
      </c>
      <c r="M10" s="64">
        <v>99.08</v>
      </c>
      <c r="N10" s="64">
        <v>65.099999999999994</v>
      </c>
      <c r="O10" s="64">
        <v>0</v>
      </c>
      <c r="P10" s="64">
        <v>0.38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17" t="s">
        <v>2164</v>
      </c>
      <c r="B11" s="64">
        <v>8.09</v>
      </c>
      <c r="C11" s="64">
        <v>3.13</v>
      </c>
      <c r="D11" s="64">
        <v>11.9</v>
      </c>
      <c r="E11" s="64">
        <v>5.29</v>
      </c>
      <c r="F11" s="64">
        <v>4.67</v>
      </c>
      <c r="G11" s="64">
        <v>12.15</v>
      </c>
      <c r="H11" s="64">
        <v>4.17</v>
      </c>
      <c r="I11" s="64">
        <v>3.24</v>
      </c>
      <c r="J11" s="64">
        <v>0.56000000000000005</v>
      </c>
      <c r="K11" s="64">
        <v>338.5</v>
      </c>
      <c r="L11" s="64">
        <v>23</v>
      </c>
      <c r="M11" s="64">
        <v>99.08</v>
      </c>
      <c r="N11" s="64">
        <v>65.099999999999994</v>
      </c>
      <c r="O11" s="64">
        <v>0.2</v>
      </c>
      <c r="P11" s="64">
        <v>0.39</v>
      </c>
      <c r="Q11" s="64">
        <v>9.4700000000000006</v>
      </c>
      <c r="R11" s="198"/>
      <c r="S11" s="198"/>
      <c r="T11" s="198"/>
      <c r="U11" s="198"/>
    </row>
    <row r="12" spans="1:21" s="12" customFormat="1" x14ac:dyDescent="0.25">
      <c r="A12" s="217" t="s">
        <v>2165</v>
      </c>
      <c r="B12" s="64">
        <v>8.06</v>
      </c>
      <c r="C12" s="64">
        <v>3.14</v>
      </c>
      <c r="D12" s="64">
        <v>11.88</v>
      </c>
      <c r="E12" s="64">
        <v>5.09</v>
      </c>
      <c r="F12" s="64">
        <v>3.41</v>
      </c>
      <c r="G12" s="64">
        <v>10.55</v>
      </c>
      <c r="H12" s="64">
        <v>4.58</v>
      </c>
      <c r="I12" s="64">
        <v>3.07</v>
      </c>
      <c r="J12" s="64">
        <v>0.7</v>
      </c>
      <c r="K12" s="64">
        <v>333.87</v>
      </c>
      <c r="L12" s="64">
        <v>23.03</v>
      </c>
      <c r="M12" s="64">
        <v>99.08</v>
      </c>
      <c r="N12" s="64">
        <v>65</v>
      </c>
      <c r="O12" s="64">
        <v>0</v>
      </c>
      <c r="P12" s="64">
        <v>0.38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7" t="s">
        <v>2166</v>
      </c>
      <c r="B13" s="64">
        <v>8.08</v>
      </c>
      <c r="C13" s="64">
        <v>3.17</v>
      </c>
      <c r="D13" s="64">
        <v>11.91</v>
      </c>
      <c r="E13" s="64">
        <v>4.76</v>
      </c>
      <c r="F13" s="64">
        <v>3.56</v>
      </c>
      <c r="G13" s="64">
        <v>10.55</v>
      </c>
      <c r="H13" s="64">
        <v>4.58</v>
      </c>
      <c r="I13" s="64">
        <v>2.99</v>
      </c>
      <c r="J13" s="64">
        <v>0.73</v>
      </c>
      <c r="K13" s="64">
        <v>320.77999999999997</v>
      </c>
      <c r="L13" s="64">
        <v>23.01</v>
      </c>
      <c r="M13" s="64">
        <v>99.08</v>
      </c>
      <c r="N13" s="64">
        <v>65.099999999999994</v>
      </c>
      <c r="O13" s="64">
        <v>0.2</v>
      </c>
      <c r="P13" s="64">
        <v>0.36</v>
      </c>
      <c r="Q13" s="64">
        <v>9.25</v>
      </c>
      <c r="R13" s="198"/>
      <c r="S13" s="198"/>
      <c r="T13" s="198"/>
      <c r="U13" s="198"/>
    </row>
    <row r="14" spans="1:21" s="12" customFormat="1" x14ac:dyDescent="0.25">
      <c r="A14" s="217" t="s">
        <v>2167</v>
      </c>
      <c r="B14" s="64">
        <v>8.34</v>
      </c>
      <c r="C14" s="64">
        <v>3.84</v>
      </c>
      <c r="D14" s="64">
        <v>12.47</v>
      </c>
      <c r="E14" s="64">
        <v>4.62</v>
      </c>
      <c r="F14" s="64">
        <v>4.0599999999999996</v>
      </c>
      <c r="G14" s="64">
        <v>10.55</v>
      </c>
      <c r="H14" s="64">
        <v>4.58</v>
      </c>
      <c r="I14" s="64">
        <v>2.87</v>
      </c>
      <c r="J14" s="64">
        <v>0.69</v>
      </c>
      <c r="K14" s="64">
        <v>323.12</v>
      </c>
      <c r="L14" s="64">
        <v>23.01</v>
      </c>
      <c r="M14" s="64">
        <v>99.08</v>
      </c>
      <c r="N14" s="64">
        <v>65.099999999999994</v>
      </c>
      <c r="O14" s="64">
        <v>0.2</v>
      </c>
      <c r="P14" s="64">
        <v>0.37</v>
      </c>
      <c r="Q14" s="64">
        <v>9.35</v>
      </c>
      <c r="R14" s="198"/>
      <c r="S14" s="198"/>
      <c r="T14" s="198"/>
      <c r="U14" s="198"/>
    </row>
    <row r="15" spans="1:21" s="12" customFormat="1" x14ac:dyDescent="0.25">
      <c r="A15" s="217" t="s">
        <v>2168</v>
      </c>
      <c r="B15" s="64">
        <v>8.1999999999999993</v>
      </c>
      <c r="C15" s="64">
        <v>3.5</v>
      </c>
      <c r="D15" s="64">
        <v>12.18</v>
      </c>
      <c r="E15" s="64">
        <v>5.24</v>
      </c>
      <c r="F15" s="64">
        <v>3.4</v>
      </c>
      <c r="G15" s="64">
        <v>11.12</v>
      </c>
      <c r="H15" s="64">
        <v>4.8499999999999996</v>
      </c>
      <c r="I15" s="64">
        <v>2.74</v>
      </c>
      <c r="J15" s="64">
        <v>0.56999999999999995</v>
      </c>
      <c r="K15" s="64">
        <v>323.97000000000003</v>
      </c>
      <c r="L15" s="64">
        <v>22.99</v>
      </c>
      <c r="M15" s="64">
        <v>99.08</v>
      </c>
      <c r="N15" s="64">
        <v>65.099999999999994</v>
      </c>
      <c r="O15" s="64">
        <v>0</v>
      </c>
      <c r="P15" s="64">
        <v>0.35</v>
      </c>
      <c r="Q15" s="64">
        <v>9.36</v>
      </c>
      <c r="R15" s="198"/>
      <c r="S15" s="198"/>
      <c r="T15" s="198"/>
      <c r="U15" s="198"/>
    </row>
    <row r="16" spans="1:21" s="12" customFormat="1" x14ac:dyDescent="0.25">
      <c r="A16" s="217" t="s">
        <v>2169</v>
      </c>
      <c r="B16" s="64">
        <v>8.06</v>
      </c>
      <c r="C16" s="64">
        <v>3.07</v>
      </c>
      <c r="D16" s="64">
        <v>11.84</v>
      </c>
      <c r="E16" s="64">
        <v>4.91</v>
      </c>
      <c r="F16" s="64">
        <v>4.2300000000000004</v>
      </c>
      <c r="G16" s="64">
        <v>11.98</v>
      </c>
      <c r="H16" s="64">
        <v>5.24</v>
      </c>
      <c r="I16" s="64">
        <v>2.67</v>
      </c>
      <c r="J16" s="64">
        <v>0.89</v>
      </c>
      <c r="K16" s="64">
        <v>322.48</v>
      </c>
      <c r="L16" s="64">
        <v>22.95</v>
      </c>
      <c r="M16" s="64">
        <v>99.08</v>
      </c>
      <c r="N16" s="64">
        <v>65.099999999999994</v>
      </c>
      <c r="O16" s="64">
        <v>0.2</v>
      </c>
      <c r="P16" s="64">
        <v>0.36</v>
      </c>
      <c r="Q16" s="64">
        <v>9.3800000000000008</v>
      </c>
      <c r="R16" s="198"/>
      <c r="S16" s="198"/>
      <c r="T16" s="198"/>
      <c r="U16" s="198"/>
    </row>
    <row r="17" spans="1:21" s="12" customFormat="1" x14ac:dyDescent="0.25">
      <c r="A17" s="217" t="s">
        <v>2170</v>
      </c>
      <c r="B17" s="64">
        <v>8.07</v>
      </c>
      <c r="C17" s="64">
        <v>3.08</v>
      </c>
      <c r="D17" s="64">
        <v>11.85</v>
      </c>
      <c r="E17" s="64">
        <v>4.7699999999999996</v>
      </c>
      <c r="F17" s="64">
        <v>3.39</v>
      </c>
      <c r="G17" s="64">
        <v>11.98</v>
      </c>
      <c r="H17" s="64">
        <v>5.24</v>
      </c>
      <c r="I17" s="64">
        <v>2.59</v>
      </c>
      <c r="J17" s="64">
        <v>0.64</v>
      </c>
      <c r="K17" s="64">
        <v>317.60000000000002</v>
      </c>
      <c r="L17" s="64">
        <v>22.96</v>
      </c>
      <c r="M17" s="64">
        <v>99.08</v>
      </c>
      <c r="N17" s="64">
        <v>65</v>
      </c>
      <c r="O17" s="64">
        <v>0</v>
      </c>
      <c r="P17" s="64">
        <v>0.34</v>
      </c>
      <c r="Q17" s="64">
        <v>9.3800000000000008</v>
      </c>
      <c r="R17" s="198"/>
      <c r="S17" s="198"/>
      <c r="T17" s="198"/>
      <c r="U17" s="198"/>
    </row>
    <row r="18" spans="1:21" s="12" customFormat="1" x14ac:dyDescent="0.25">
      <c r="A18" s="217" t="s">
        <v>2171</v>
      </c>
      <c r="B18" s="64">
        <v>8.35</v>
      </c>
      <c r="C18" s="64">
        <v>3.85</v>
      </c>
      <c r="D18" s="64">
        <v>12.49</v>
      </c>
      <c r="E18" s="64">
        <v>4.6100000000000003</v>
      </c>
      <c r="F18" s="64">
        <v>3.38</v>
      </c>
      <c r="G18" s="64">
        <v>11.98</v>
      </c>
      <c r="H18" s="64">
        <v>5.24</v>
      </c>
      <c r="I18" s="64">
        <v>2.58</v>
      </c>
      <c r="J18" s="64">
        <v>0.97</v>
      </c>
      <c r="K18" s="64">
        <v>336.9</v>
      </c>
      <c r="L18" s="64">
        <v>23.08</v>
      </c>
      <c r="M18" s="64">
        <v>99.08</v>
      </c>
      <c r="N18" s="64">
        <v>65</v>
      </c>
      <c r="O18" s="64">
        <v>0.2</v>
      </c>
      <c r="P18" s="64">
        <v>0.33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7" t="s">
        <v>2172</v>
      </c>
      <c r="B19" s="64">
        <v>8.3000000000000007</v>
      </c>
      <c r="C19" s="64">
        <v>3.71</v>
      </c>
      <c r="D19" s="64">
        <v>12.37</v>
      </c>
      <c r="E19" s="64">
        <v>4.22</v>
      </c>
      <c r="F19" s="64">
        <v>4.09</v>
      </c>
      <c r="G19" s="64">
        <v>10.56</v>
      </c>
      <c r="H19" s="64">
        <v>5.24</v>
      </c>
      <c r="I19" s="64">
        <v>2.5299999999999998</v>
      </c>
      <c r="J19" s="64">
        <v>0.19</v>
      </c>
      <c r="K19" s="64">
        <v>317.73</v>
      </c>
      <c r="L19" s="64">
        <v>23.06</v>
      </c>
      <c r="M19" s="64">
        <v>99.08</v>
      </c>
      <c r="N19" s="64">
        <v>65.099999999999994</v>
      </c>
      <c r="O19" s="64">
        <v>0</v>
      </c>
      <c r="P19" s="64">
        <v>0.33</v>
      </c>
      <c r="Q19" s="64">
        <v>9.36</v>
      </c>
      <c r="R19" s="198"/>
      <c r="S19" s="198"/>
      <c r="T19" s="198"/>
      <c r="U19" s="198"/>
    </row>
    <row r="20" spans="1:21" s="12" customFormat="1" x14ac:dyDescent="0.25">
      <c r="A20" s="217" t="s">
        <v>2173</v>
      </c>
      <c r="B20" s="64">
        <v>8.09</v>
      </c>
      <c r="C20" s="64">
        <v>3.12</v>
      </c>
      <c r="D20" s="64">
        <v>11.9</v>
      </c>
      <c r="E20" s="64">
        <v>4.8099999999999996</v>
      </c>
      <c r="F20" s="64">
        <v>3.71</v>
      </c>
      <c r="G20" s="210" t="s">
        <v>36</v>
      </c>
      <c r="H20" s="210" t="s">
        <v>36</v>
      </c>
      <c r="I20" s="64">
        <v>2.5499999999999998</v>
      </c>
      <c r="J20" s="64">
        <v>0.31</v>
      </c>
      <c r="K20" s="64">
        <v>257.29000000000002</v>
      </c>
      <c r="L20" s="64">
        <v>23.03</v>
      </c>
      <c r="M20" s="64">
        <v>99.08</v>
      </c>
      <c r="N20" s="64">
        <v>65</v>
      </c>
      <c r="O20" s="64">
        <v>0</v>
      </c>
      <c r="P20" s="64">
        <v>0.33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7" t="s">
        <v>2174</v>
      </c>
      <c r="B21" s="64">
        <v>8.0299999999999994</v>
      </c>
      <c r="C21" s="64">
        <v>3.05</v>
      </c>
      <c r="D21" s="64">
        <v>11.81</v>
      </c>
      <c r="E21" s="64">
        <v>5.07</v>
      </c>
      <c r="F21" s="64">
        <v>3.39</v>
      </c>
      <c r="G21" s="210" t="s">
        <v>36</v>
      </c>
      <c r="H21" s="210" t="s">
        <v>36</v>
      </c>
      <c r="I21" s="64">
        <v>2.73</v>
      </c>
      <c r="J21" s="64">
        <v>0.46</v>
      </c>
      <c r="K21" s="64">
        <v>356.39</v>
      </c>
      <c r="L21" s="64">
        <v>23.14</v>
      </c>
      <c r="M21" s="64">
        <v>99.08</v>
      </c>
      <c r="N21" s="64">
        <v>65</v>
      </c>
      <c r="O21" s="64">
        <v>0</v>
      </c>
      <c r="P21" s="64">
        <v>0.32</v>
      </c>
      <c r="Q21" s="64">
        <v>9.4</v>
      </c>
      <c r="R21" s="198"/>
      <c r="S21" s="198"/>
      <c r="T21" s="198"/>
      <c r="U21" s="198"/>
    </row>
    <row r="22" spans="1:21" s="12" customFormat="1" x14ac:dyDescent="0.25">
      <c r="A22" s="217" t="s">
        <v>2175</v>
      </c>
      <c r="B22" s="64">
        <v>8.07</v>
      </c>
      <c r="C22" s="64">
        <v>3.11</v>
      </c>
      <c r="D22" s="64">
        <v>11.87</v>
      </c>
      <c r="E22" s="64">
        <v>5</v>
      </c>
      <c r="F22" s="64">
        <v>3.45</v>
      </c>
      <c r="G22" s="210" t="s">
        <v>36</v>
      </c>
      <c r="H22" s="210" t="s">
        <v>36</v>
      </c>
      <c r="I22" s="64">
        <v>2.84</v>
      </c>
      <c r="J22" s="64">
        <v>0.92</v>
      </c>
      <c r="K22" s="64">
        <v>315.83999999999997</v>
      </c>
      <c r="L22" s="64">
        <v>23.15</v>
      </c>
      <c r="M22" s="64">
        <v>99.08</v>
      </c>
      <c r="N22" s="64">
        <v>65.2</v>
      </c>
      <c r="O22" s="64">
        <v>0</v>
      </c>
      <c r="P22" s="64">
        <v>0.32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7" t="s">
        <v>2176</v>
      </c>
      <c r="B23" s="64">
        <v>8.09</v>
      </c>
      <c r="C23" s="64">
        <v>3.1</v>
      </c>
      <c r="D23" s="64">
        <v>11.88</v>
      </c>
      <c r="E23" s="64">
        <v>4.72</v>
      </c>
      <c r="F23" s="64">
        <v>3.45</v>
      </c>
      <c r="G23" s="210" t="s">
        <v>36</v>
      </c>
      <c r="H23" s="210" t="s">
        <v>36</v>
      </c>
      <c r="I23" s="64">
        <v>2.99</v>
      </c>
      <c r="J23" s="64">
        <v>0.84</v>
      </c>
      <c r="K23" s="64">
        <v>314.31</v>
      </c>
      <c r="L23" s="64">
        <v>23.12</v>
      </c>
      <c r="M23" s="64">
        <v>99.08</v>
      </c>
      <c r="N23" s="64">
        <v>65</v>
      </c>
      <c r="O23" s="64">
        <v>0</v>
      </c>
      <c r="P23" s="64">
        <v>0.32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7" t="s">
        <v>2177</v>
      </c>
      <c r="B24" s="64">
        <v>8.15</v>
      </c>
      <c r="C24" s="64">
        <v>3.11</v>
      </c>
      <c r="D24" s="64">
        <v>11.93</v>
      </c>
      <c r="E24" s="64">
        <v>4.5</v>
      </c>
      <c r="F24" s="64">
        <v>3.4</v>
      </c>
      <c r="G24" s="210" t="s">
        <v>36</v>
      </c>
      <c r="H24" s="210" t="s">
        <v>36</v>
      </c>
      <c r="I24" s="64">
        <v>3.06</v>
      </c>
      <c r="J24" s="64">
        <v>0.89</v>
      </c>
      <c r="K24" s="64">
        <v>326.61</v>
      </c>
      <c r="L24" s="64">
        <v>23.13</v>
      </c>
      <c r="M24" s="64">
        <v>99.08</v>
      </c>
      <c r="N24" s="64">
        <v>65.099999999999994</v>
      </c>
      <c r="O24" s="64">
        <v>0</v>
      </c>
      <c r="P24" s="64">
        <v>0.32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7" t="s">
        <v>2178</v>
      </c>
      <c r="B25" s="64">
        <v>8.1199999999999992</v>
      </c>
      <c r="C25" s="64">
        <v>3.08</v>
      </c>
      <c r="D25" s="64">
        <v>11.89</v>
      </c>
      <c r="E25" s="64">
        <v>4.01</v>
      </c>
      <c r="F25" s="64">
        <v>3.31</v>
      </c>
      <c r="G25" s="210" t="s">
        <v>36</v>
      </c>
      <c r="H25" s="210" t="s">
        <v>36</v>
      </c>
      <c r="I25" s="64">
        <v>3.07</v>
      </c>
      <c r="J25" s="64">
        <v>0.62</v>
      </c>
      <c r="K25" s="64">
        <v>305.18</v>
      </c>
      <c r="L25" s="64">
        <v>23.1</v>
      </c>
      <c r="M25" s="64">
        <v>99.08</v>
      </c>
      <c r="N25" s="64">
        <v>65</v>
      </c>
      <c r="O25" s="64">
        <v>0</v>
      </c>
      <c r="P25" s="64">
        <v>0.31</v>
      </c>
      <c r="Q25" s="64">
        <v>9.42</v>
      </c>
      <c r="R25" s="198"/>
      <c r="S25" s="198"/>
      <c r="T25" s="198"/>
      <c r="U25" s="198"/>
    </row>
    <row r="26" spans="1:21" s="12" customFormat="1" x14ac:dyDescent="0.25">
      <c r="A26" s="217" t="s">
        <v>2179</v>
      </c>
      <c r="B26" s="64">
        <v>8.1199999999999992</v>
      </c>
      <c r="C26" s="64">
        <v>3.09</v>
      </c>
      <c r="D26" s="64">
        <v>11.9</v>
      </c>
      <c r="E26" s="64">
        <v>4.45</v>
      </c>
      <c r="F26" s="64">
        <v>3.45</v>
      </c>
      <c r="G26" s="210" t="s">
        <v>36</v>
      </c>
      <c r="H26" s="210" t="s">
        <v>36</v>
      </c>
      <c r="I26" s="64">
        <v>3.16</v>
      </c>
      <c r="J26" s="64">
        <v>0.48</v>
      </c>
      <c r="K26" s="64">
        <v>324.31</v>
      </c>
      <c r="L26" s="64">
        <v>22.97</v>
      </c>
      <c r="M26" s="64">
        <v>99.08</v>
      </c>
      <c r="N26" s="64">
        <v>65.2</v>
      </c>
      <c r="O26" s="64">
        <v>0</v>
      </c>
      <c r="P26" s="64">
        <v>0.31</v>
      </c>
      <c r="Q26" s="64">
        <v>9.44</v>
      </c>
      <c r="R26" s="198"/>
      <c r="S26" s="198"/>
      <c r="T26" s="198"/>
      <c r="U26" s="198"/>
    </row>
    <row r="27" spans="1:21" s="12" customFormat="1" x14ac:dyDescent="0.25">
      <c r="A27" s="217" t="s">
        <v>2180</v>
      </c>
      <c r="B27" s="64">
        <v>8.14</v>
      </c>
      <c r="C27" s="64">
        <v>3.12</v>
      </c>
      <c r="D27" s="64">
        <v>11.93</v>
      </c>
      <c r="E27" s="64">
        <v>4.41</v>
      </c>
      <c r="F27" s="64">
        <v>3.46</v>
      </c>
      <c r="G27" s="210" t="s">
        <v>36</v>
      </c>
      <c r="H27" s="210" t="s">
        <v>36</v>
      </c>
      <c r="I27" s="64">
        <v>3.26</v>
      </c>
      <c r="J27" s="64">
        <v>0.51</v>
      </c>
      <c r="K27" s="64">
        <v>321.20999999999998</v>
      </c>
      <c r="L27" s="64">
        <v>22.82</v>
      </c>
      <c r="M27" s="64">
        <v>99.08</v>
      </c>
      <c r="N27" s="64">
        <v>65</v>
      </c>
      <c r="O27" s="64">
        <v>0</v>
      </c>
      <c r="P27" s="64">
        <v>0.31</v>
      </c>
      <c r="Q27" s="64">
        <v>9.4600000000000009</v>
      </c>
      <c r="R27" s="198"/>
      <c r="S27" s="198"/>
      <c r="T27" s="198"/>
      <c r="U27" s="198"/>
    </row>
    <row r="28" spans="1:21" s="12" customFormat="1" x14ac:dyDescent="0.25">
      <c r="A28" s="217" t="s">
        <v>2181</v>
      </c>
      <c r="B28" s="64">
        <v>8.1300000000000008</v>
      </c>
      <c r="C28" s="64">
        <v>3.1</v>
      </c>
      <c r="D28" s="64">
        <v>11.92</v>
      </c>
      <c r="E28" s="64">
        <v>4.55</v>
      </c>
      <c r="F28" s="64">
        <v>3.43</v>
      </c>
      <c r="G28" s="64">
        <v>4.67</v>
      </c>
      <c r="H28" s="64">
        <v>1.22</v>
      </c>
      <c r="I28" s="64">
        <v>3.21</v>
      </c>
      <c r="J28" s="64">
        <v>0.39</v>
      </c>
      <c r="K28" s="64">
        <v>336.26</v>
      </c>
      <c r="L28" s="64">
        <v>22.85</v>
      </c>
      <c r="M28" s="64">
        <v>99.08</v>
      </c>
      <c r="N28" s="64">
        <v>64.599999999999994</v>
      </c>
      <c r="O28" s="64">
        <v>0</v>
      </c>
      <c r="P28" s="64">
        <v>0.31</v>
      </c>
      <c r="Q28" s="64">
        <v>9.4600000000000009</v>
      </c>
      <c r="R28" s="198"/>
      <c r="S28" s="198"/>
      <c r="T28" s="198"/>
      <c r="U28" s="198"/>
    </row>
    <row r="29" spans="1:21" s="12" customFormat="1" x14ac:dyDescent="0.25">
      <c r="A29" s="217" t="s">
        <v>2182</v>
      </c>
      <c r="B29" s="64">
        <v>8.11</v>
      </c>
      <c r="C29" s="64">
        <v>3.13</v>
      </c>
      <c r="D29" s="64">
        <v>11.91</v>
      </c>
      <c r="E29" s="64">
        <v>4.55</v>
      </c>
      <c r="F29" s="64">
        <v>3.84</v>
      </c>
      <c r="G29" s="64">
        <v>4.67</v>
      </c>
      <c r="H29" s="64">
        <v>1.22</v>
      </c>
      <c r="I29" s="64">
        <v>3.36</v>
      </c>
      <c r="J29" s="64">
        <v>0.73</v>
      </c>
      <c r="K29" s="64">
        <v>315.08</v>
      </c>
      <c r="L29" s="64">
        <v>22.88</v>
      </c>
      <c r="M29" s="64">
        <v>99.08</v>
      </c>
      <c r="N29" s="64">
        <v>65.2</v>
      </c>
      <c r="O29" s="64">
        <v>0</v>
      </c>
      <c r="P29" s="64">
        <v>0.31</v>
      </c>
      <c r="Q29" s="64">
        <v>9.4499999999999993</v>
      </c>
      <c r="R29" s="198"/>
      <c r="S29" s="198"/>
      <c r="T29" s="198"/>
      <c r="U29" s="198"/>
    </row>
    <row r="30" spans="1:21" s="12" customFormat="1" x14ac:dyDescent="0.25">
      <c r="A30" s="217" t="s">
        <v>2183</v>
      </c>
      <c r="B30" s="64">
        <v>8.16</v>
      </c>
      <c r="C30" s="64">
        <v>3.25</v>
      </c>
      <c r="D30" s="64">
        <v>12.01</v>
      </c>
      <c r="E30" s="64">
        <v>4.37</v>
      </c>
      <c r="F30" s="64">
        <v>3.67</v>
      </c>
      <c r="G30" s="64">
        <v>4.67</v>
      </c>
      <c r="H30" s="64">
        <v>1.22</v>
      </c>
      <c r="I30" s="64">
        <v>3.61</v>
      </c>
      <c r="J30" s="64">
        <v>0.61</v>
      </c>
      <c r="K30" s="64">
        <v>308.45</v>
      </c>
      <c r="L30" s="64">
        <v>22.82</v>
      </c>
      <c r="M30" s="64">
        <v>99.08</v>
      </c>
      <c r="N30" s="64">
        <v>69</v>
      </c>
      <c r="O30" s="64">
        <v>0</v>
      </c>
      <c r="P30" s="64">
        <v>0.32</v>
      </c>
      <c r="Q30" s="64">
        <v>9.3699999999999992</v>
      </c>
      <c r="R30" s="198"/>
      <c r="S30" s="198"/>
      <c r="T30" s="198"/>
      <c r="U30" s="198"/>
    </row>
    <row r="31" spans="1:21" s="12" customFormat="1" x14ac:dyDescent="0.25">
      <c r="A31" s="217" t="s">
        <v>2184</v>
      </c>
      <c r="B31" s="64">
        <v>8.43</v>
      </c>
      <c r="C31" s="64">
        <v>3.93</v>
      </c>
      <c r="D31" s="64">
        <v>12.59</v>
      </c>
      <c r="E31" s="64">
        <v>4.47</v>
      </c>
      <c r="F31" s="64">
        <v>3.16</v>
      </c>
      <c r="G31" s="64">
        <v>5.92</v>
      </c>
      <c r="H31" s="64">
        <v>2.0099999999999998</v>
      </c>
      <c r="I31" s="64">
        <v>3.71</v>
      </c>
      <c r="J31" s="64">
        <v>0.51</v>
      </c>
      <c r="K31" s="64">
        <v>302.13</v>
      </c>
      <c r="L31" s="64">
        <v>22.88</v>
      </c>
      <c r="M31" s="64">
        <v>99.08</v>
      </c>
      <c r="N31" s="64">
        <v>87.5</v>
      </c>
      <c r="O31" s="64">
        <v>0</v>
      </c>
      <c r="P31" s="64">
        <v>0.31</v>
      </c>
      <c r="Q31" s="64">
        <v>9.3000000000000007</v>
      </c>
      <c r="R31" s="198"/>
      <c r="S31" s="198"/>
      <c r="T31" s="198"/>
      <c r="U31" s="198"/>
    </row>
    <row r="32" spans="1:21" s="12" customFormat="1" x14ac:dyDescent="0.25">
      <c r="A32" s="217" t="s">
        <v>2185</v>
      </c>
      <c r="B32" s="64">
        <v>8.14</v>
      </c>
      <c r="C32" s="64">
        <v>3.19</v>
      </c>
      <c r="D32" s="64">
        <v>11.97</v>
      </c>
      <c r="E32" s="64">
        <v>4.45</v>
      </c>
      <c r="F32" s="64">
        <v>4.2</v>
      </c>
      <c r="G32" s="64">
        <v>7.78</v>
      </c>
      <c r="H32" s="64">
        <v>3.13</v>
      </c>
      <c r="I32" s="64">
        <v>3.7</v>
      </c>
      <c r="J32" s="64">
        <v>0.45</v>
      </c>
      <c r="K32" s="64">
        <v>354.85</v>
      </c>
      <c r="L32" s="64">
        <v>23.03</v>
      </c>
      <c r="M32" s="64">
        <v>99.08</v>
      </c>
      <c r="N32" s="64">
        <v>97.8</v>
      </c>
      <c r="O32" s="64">
        <v>0</v>
      </c>
      <c r="P32" s="64">
        <v>0.32</v>
      </c>
      <c r="Q32" s="64">
        <v>9.35</v>
      </c>
      <c r="R32" s="198"/>
      <c r="S32" s="198"/>
      <c r="T32" s="198"/>
      <c r="U32" s="198"/>
    </row>
    <row r="33" spans="1:21" s="12" customFormat="1" x14ac:dyDescent="0.25">
      <c r="A33" s="217" t="s">
        <v>2186</v>
      </c>
      <c r="B33" s="64">
        <v>8.07</v>
      </c>
      <c r="C33" s="64">
        <v>3.05</v>
      </c>
      <c r="D33" s="64">
        <v>11.84</v>
      </c>
      <c r="E33" s="64">
        <v>4.42</v>
      </c>
      <c r="F33" s="64">
        <v>3.65</v>
      </c>
      <c r="G33" s="64">
        <v>7.78</v>
      </c>
      <c r="H33" s="64">
        <v>3.13</v>
      </c>
      <c r="I33" s="64">
        <v>3.75</v>
      </c>
      <c r="J33" s="64">
        <v>0.33</v>
      </c>
      <c r="K33" s="64">
        <v>307.95999999999998</v>
      </c>
      <c r="L33" s="64">
        <v>23.14</v>
      </c>
      <c r="M33" s="64">
        <v>99.11</v>
      </c>
      <c r="N33" s="64">
        <v>106.8</v>
      </c>
      <c r="O33" s="64">
        <v>0</v>
      </c>
      <c r="P33" s="64">
        <v>0.33</v>
      </c>
      <c r="Q33" s="64">
        <v>9.36</v>
      </c>
      <c r="R33" s="198"/>
      <c r="S33" s="198"/>
      <c r="T33" s="198"/>
      <c r="U33" s="198"/>
    </row>
    <row r="34" spans="1:21" s="12" customFormat="1" x14ac:dyDescent="0.25">
      <c r="A34" s="217" t="s">
        <v>2187</v>
      </c>
      <c r="B34" s="64">
        <v>8.06</v>
      </c>
      <c r="C34" s="64">
        <v>3.06</v>
      </c>
      <c r="D34" s="64">
        <v>11.83</v>
      </c>
      <c r="E34" s="64">
        <v>4.7</v>
      </c>
      <c r="F34" s="64">
        <v>3.44</v>
      </c>
      <c r="G34" s="64">
        <v>7.78</v>
      </c>
      <c r="H34" s="64">
        <v>3.13</v>
      </c>
      <c r="I34" s="64">
        <v>3.89</v>
      </c>
      <c r="J34" s="64">
        <v>0.25</v>
      </c>
      <c r="K34" s="64">
        <v>341.09</v>
      </c>
      <c r="L34" s="64">
        <v>23.18</v>
      </c>
      <c r="M34" s="64">
        <v>99.13</v>
      </c>
      <c r="N34" s="64">
        <v>121.1</v>
      </c>
      <c r="O34" s="64">
        <v>0</v>
      </c>
      <c r="P34" s="64">
        <v>0.34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17" t="s">
        <v>2188</v>
      </c>
      <c r="B35" s="64">
        <v>8.0399999999999991</v>
      </c>
      <c r="C35" s="64">
        <v>3.04</v>
      </c>
      <c r="D35" s="64">
        <v>11.81</v>
      </c>
      <c r="E35" s="64">
        <v>4.45</v>
      </c>
      <c r="F35" s="64">
        <v>3.57</v>
      </c>
      <c r="G35" s="64">
        <v>8.5399999999999991</v>
      </c>
      <c r="H35" s="64">
        <v>2.36</v>
      </c>
      <c r="I35" s="64">
        <v>3.88</v>
      </c>
      <c r="J35" s="64">
        <v>0.53</v>
      </c>
      <c r="K35" s="64">
        <v>327.07</v>
      </c>
      <c r="L35" s="64">
        <v>23.36</v>
      </c>
      <c r="M35" s="64">
        <v>99.13</v>
      </c>
      <c r="N35" s="64">
        <v>170.8</v>
      </c>
      <c r="O35" s="64">
        <v>0</v>
      </c>
      <c r="P35" s="64">
        <v>0.34</v>
      </c>
      <c r="Q35" s="64">
        <v>9.36</v>
      </c>
      <c r="R35" s="198"/>
      <c r="S35" s="198"/>
      <c r="T35" s="198"/>
      <c r="U35" s="198"/>
    </row>
    <row r="36" spans="1:21" s="12" customFormat="1" x14ac:dyDescent="0.25">
      <c r="A36" s="217" t="s">
        <v>2189</v>
      </c>
      <c r="B36" s="64">
        <v>8.09</v>
      </c>
      <c r="C36" s="64">
        <v>3.17</v>
      </c>
      <c r="D36" s="64">
        <v>11.92</v>
      </c>
      <c r="E36" s="64">
        <v>4.45</v>
      </c>
      <c r="F36" s="64">
        <v>3.37</v>
      </c>
      <c r="G36" s="64">
        <v>9.68</v>
      </c>
      <c r="H36" s="64">
        <v>1.21</v>
      </c>
      <c r="I36" s="64">
        <v>3.85</v>
      </c>
      <c r="J36" s="64">
        <v>0.54</v>
      </c>
      <c r="K36" s="64">
        <v>325.07</v>
      </c>
      <c r="L36" s="64">
        <v>23.86</v>
      </c>
      <c r="M36" s="64">
        <v>99.13</v>
      </c>
      <c r="N36" s="64">
        <v>152.19999999999999</v>
      </c>
      <c r="O36" s="64">
        <v>0</v>
      </c>
      <c r="P36" s="64">
        <v>0.34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7" t="s">
        <v>2190</v>
      </c>
      <c r="B37" s="64">
        <v>8.27</v>
      </c>
      <c r="C37" s="64">
        <v>3.53</v>
      </c>
      <c r="D37" s="64">
        <v>12.25</v>
      </c>
      <c r="E37" s="64">
        <v>4.67</v>
      </c>
      <c r="F37" s="64">
        <v>3.48</v>
      </c>
      <c r="G37" s="64">
        <v>9.68</v>
      </c>
      <c r="H37" s="64">
        <v>1.21</v>
      </c>
      <c r="I37" s="64">
        <v>3.86</v>
      </c>
      <c r="J37" s="64">
        <v>0.48</v>
      </c>
      <c r="K37" s="64">
        <v>321</v>
      </c>
      <c r="L37" s="64">
        <v>24.04</v>
      </c>
      <c r="M37" s="64">
        <v>99.1</v>
      </c>
      <c r="N37" s="64">
        <v>149.30000000000001</v>
      </c>
      <c r="O37" s="64">
        <v>0</v>
      </c>
      <c r="P37" s="64">
        <v>0.34</v>
      </c>
      <c r="Q37" s="64">
        <v>9.4</v>
      </c>
      <c r="R37" s="198"/>
      <c r="S37" s="198"/>
      <c r="T37" s="198"/>
      <c r="U37" s="198"/>
    </row>
    <row r="38" spans="1:21" s="12" customFormat="1" x14ac:dyDescent="0.25">
      <c r="A38" s="217" t="s">
        <v>2191</v>
      </c>
      <c r="B38" s="64">
        <v>8.3800000000000008</v>
      </c>
      <c r="C38" s="64">
        <v>3.77</v>
      </c>
      <c r="D38" s="64">
        <v>12.46</v>
      </c>
      <c r="E38" s="64">
        <v>3.94</v>
      </c>
      <c r="F38" s="64">
        <v>3.36</v>
      </c>
      <c r="G38" s="64">
        <v>9.68</v>
      </c>
      <c r="H38" s="64">
        <v>1.21</v>
      </c>
      <c r="I38" s="64">
        <v>3.88</v>
      </c>
      <c r="J38" s="64">
        <v>0.6</v>
      </c>
      <c r="K38" s="64">
        <v>338.62</v>
      </c>
      <c r="L38" s="64">
        <v>24.22</v>
      </c>
      <c r="M38" s="64">
        <v>99.08</v>
      </c>
      <c r="N38" s="64">
        <v>141.19999999999999</v>
      </c>
      <c r="O38" s="64">
        <v>0</v>
      </c>
      <c r="P38" s="64">
        <v>0.36</v>
      </c>
      <c r="Q38" s="64">
        <v>9.4600000000000009</v>
      </c>
      <c r="R38" s="198"/>
      <c r="S38" s="198"/>
      <c r="T38" s="198"/>
      <c r="U38" s="198"/>
    </row>
    <row r="39" spans="1:21" s="12" customFormat="1" x14ac:dyDescent="0.25">
      <c r="A39" s="217" t="s">
        <v>2192</v>
      </c>
      <c r="B39" s="64">
        <v>8.18</v>
      </c>
      <c r="C39" s="64">
        <v>3.34</v>
      </c>
      <c r="D39" s="64">
        <v>12.08</v>
      </c>
      <c r="E39" s="64">
        <v>4.62</v>
      </c>
      <c r="F39" s="64">
        <v>3.36</v>
      </c>
      <c r="G39" s="64">
        <v>13.55</v>
      </c>
      <c r="H39" s="64">
        <v>3.84</v>
      </c>
      <c r="I39" s="64">
        <v>3.93</v>
      </c>
      <c r="J39" s="64">
        <v>0.55000000000000004</v>
      </c>
      <c r="K39" s="64">
        <v>316.23</v>
      </c>
      <c r="L39" s="64">
        <v>24.39</v>
      </c>
      <c r="M39" s="64">
        <v>99.08</v>
      </c>
      <c r="N39" s="64">
        <v>213.3</v>
      </c>
      <c r="O39" s="64">
        <v>0</v>
      </c>
      <c r="P39" s="64">
        <v>0.37</v>
      </c>
      <c r="Q39" s="64">
        <v>9.5</v>
      </c>
      <c r="R39" s="198"/>
      <c r="S39" s="198"/>
      <c r="T39" s="198"/>
      <c r="U39" s="198"/>
    </row>
    <row r="40" spans="1:21" s="12" customFormat="1" x14ac:dyDescent="0.25">
      <c r="A40" s="217" t="s">
        <v>2193</v>
      </c>
      <c r="B40" s="64">
        <v>8.14</v>
      </c>
      <c r="C40" s="64">
        <v>3.18</v>
      </c>
      <c r="D40" s="64">
        <v>11.97</v>
      </c>
      <c r="E40" s="64">
        <v>5.84</v>
      </c>
      <c r="F40" s="64">
        <v>3.23</v>
      </c>
      <c r="G40" s="64">
        <v>19.350000000000001</v>
      </c>
      <c r="H40" s="64">
        <v>7.78</v>
      </c>
      <c r="I40" s="64">
        <v>4.0599999999999996</v>
      </c>
      <c r="J40" s="64">
        <v>0.67</v>
      </c>
      <c r="K40" s="64">
        <v>319.22000000000003</v>
      </c>
      <c r="L40" s="64">
        <v>25.44</v>
      </c>
      <c r="M40" s="64">
        <v>99.06</v>
      </c>
      <c r="N40" s="64">
        <v>300.60000000000002</v>
      </c>
      <c r="O40" s="64">
        <v>0</v>
      </c>
      <c r="P40" s="64">
        <v>0.37</v>
      </c>
      <c r="Q40" s="64">
        <v>9.51</v>
      </c>
      <c r="R40" s="198"/>
      <c r="S40" s="198"/>
      <c r="T40" s="198"/>
      <c r="U40" s="198"/>
    </row>
    <row r="41" spans="1:21" s="12" customFormat="1" x14ac:dyDescent="0.25">
      <c r="A41" s="217" t="s">
        <v>2194</v>
      </c>
      <c r="B41" s="64">
        <v>8.15</v>
      </c>
      <c r="C41" s="64">
        <v>3.19</v>
      </c>
      <c r="D41" s="64">
        <v>11.97</v>
      </c>
      <c r="E41" s="64">
        <v>5.52</v>
      </c>
      <c r="F41" s="64">
        <v>3.32</v>
      </c>
      <c r="G41" s="64">
        <v>19.350000000000001</v>
      </c>
      <c r="H41" s="64">
        <v>7.78</v>
      </c>
      <c r="I41" s="64">
        <v>4.2699999999999996</v>
      </c>
      <c r="J41" s="64">
        <v>0.42</v>
      </c>
      <c r="K41" s="64">
        <v>328.47</v>
      </c>
      <c r="L41" s="64">
        <v>25.65</v>
      </c>
      <c r="M41" s="64">
        <v>99.03</v>
      </c>
      <c r="N41" s="64">
        <v>141.30000000000001</v>
      </c>
      <c r="O41" s="64">
        <v>0</v>
      </c>
      <c r="P41" s="64">
        <v>0.39</v>
      </c>
      <c r="Q41" s="64">
        <v>9.49</v>
      </c>
      <c r="R41" s="198"/>
      <c r="S41" s="198"/>
      <c r="T41" s="198"/>
      <c r="U41" s="198"/>
    </row>
    <row r="42" spans="1:21" s="12" customFormat="1" x14ac:dyDescent="0.25">
      <c r="A42" s="217" t="s">
        <v>2195</v>
      </c>
      <c r="B42" s="64">
        <v>8.1199999999999992</v>
      </c>
      <c r="C42" s="64">
        <v>3.11</v>
      </c>
      <c r="D42" s="64">
        <v>11.91</v>
      </c>
      <c r="E42" s="64">
        <v>5.24</v>
      </c>
      <c r="F42" s="64">
        <v>3.41</v>
      </c>
      <c r="G42" s="64">
        <v>19.350000000000001</v>
      </c>
      <c r="H42" s="64">
        <v>7.78</v>
      </c>
      <c r="I42" s="64">
        <v>4.46</v>
      </c>
      <c r="J42" s="64">
        <v>0.59</v>
      </c>
      <c r="K42" s="64">
        <v>315.22000000000003</v>
      </c>
      <c r="L42" s="64">
        <v>25.42</v>
      </c>
      <c r="M42" s="64">
        <v>99.05</v>
      </c>
      <c r="N42" s="64">
        <v>190</v>
      </c>
      <c r="O42" s="64">
        <v>0</v>
      </c>
      <c r="P42" s="64">
        <v>0.41</v>
      </c>
      <c r="Q42" s="64">
        <v>9.5500000000000007</v>
      </c>
      <c r="R42" s="198"/>
      <c r="S42" s="198"/>
      <c r="T42" s="198"/>
      <c r="U42" s="198"/>
    </row>
    <row r="43" spans="1:21" s="12" customFormat="1" x14ac:dyDescent="0.25">
      <c r="A43" s="217" t="s">
        <v>2196</v>
      </c>
      <c r="B43" s="64">
        <v>8.2100000000000009</v>
      </c>
      <c r="C43" s="64">
        <v>3.24</v>
      </c>
      <c r="D43" s="64">
        <v>12.05</v>
      </c>
      <c r="E43" s="64">
        <v>5.42</v>
      </c>
      <c r="F43" s="64">
        <v>3.38</v>
      </c>
      <c r="G43" s="64">
        <v>23.25</v>
      </c>
      <c r="H43" s="64">
        <v>13.5</v>
      </c>
      <c r="I43" s="64">
        <v>4.6399999999999997</v>
      </c>
      <c r="J43" s="64">
        <v>0.83</v>
      </c>
      <c r="K43" s="64">
        <v>328.8</v>
      </c>
      <c r="L43" s="64">
        <v>26.22</v>
      </c>
      <c r="M43" s="64">
        <v>98.74</v>
      </c>
      <c r="N43" s="64">
        <v>316.10000000000002</v>
      </c>
      <c r="O43" s="64">
        <v>0</v>
      </c>
      <c r="P43" s="64">
        <v>0.42</v>
      </c>
      <c r="Q43" s="64">
        <v>9.58</v>
      </c>
      <c r="R43" s="198"/>
      <c r="S43" s="198"/>
      <c r="T43" s="198"/>
      <c r="U43" s="198"/>
    </row>
    <row r="44" spans="1:21" s="12" customFormat="1" x14ac:dyDescent="0.25">
      <c r="A44" s="217" t="s">
        <v>2197</v>
      </c>
      <c r="B44" s="64">
        <v>8.32</v>
      </c>
      <c r="C44" s="64">
        <v>3.4</v>
      </c>
      <c r="D44" s="64">
        <v>12.22</v>
      </c>
      <c r="E44" s="64">
        <v>5.54</v>
      </c>
      <c r="F44" s="64">
        <v>3.17</v>
      </c>
      <c r="G44" s="64">
        <v>29.1</v>
      </c>
      <c r="H44" s="64">
        <v>21.7</v>
      </c>
      <c r="I44" s="64">
        <v>4.8600000000000003</v>
      </c>
      <c r="J44" s="64">
        <v>0.82</v>
      </c>
      <c r="K44" s="64">
        <v>330.2</v>
      </c>
      <c r="L44" s="64">
        <v>27.33</v>
      </c>
      <c r="M44" s="64">
        <v>94.6</v>
      </c>
      <c r="N44" s="64">
        <v>344.2</v>
      </c>
      <c r="O44" s="64">
        <v>0</v>
      </c>
      <c r="P44" s="64">
        <v>0.43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17" t="s">
        <v>2198</v>
      </c>
      <c r="B45" s="64">
        <v>8.73</v>
      </c>
      <c r="C45" s="64">
        <v>4.0999999999999996</v>
      </c>
      <c r="D45" s="64">
        <v>12.92</v>
      </c>
      <c r="E45" s="64">
        <v>5.65</v>
      </c>
      <c r="F45" s="64">
        <v>3.36</v>
      </c>
      <c r="G45" s="64">
        <v>29.1</v>
      </c>
      <c r="H45" s="64">
        <v>21.7</v>
      </c>
      <c r="I45" s="64">
        <v>5.0599999999999996</v>
      </c>
      <c r="J45" s="64">
        <v>0.72</v>
      </c>
      <c r="K45" s="64">
        <v>323.26</v>
      </c>
      <c r="L45" s="64">
        <v>27.44</v>
      </c>
      <c r="M45" s="64">
        <v>93.76</v>
      </c>
      <c r="N45" s="64">
        <v>182.8</v>
      </c>
      <c r="O45" s="64">
        <v>0</v>
      </c>
      <c r="P45" s="64">
        <v>0.44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7" t="s">
        <v>2199</v>
      </c>
      <c r="B46" s="64">
        <v>8.9499999999999993</v>
      </c>
      <c r="C46" s="64">
        <v>4.5599999999999996</v>
      </c>
      <c r="D46" s="64">
        <v>13.33</v>
      </c>
      <c r="E46" s="64">
        <v>6.09</v>
      </c>
      <c r="F46" s="64">
        <v>3.2</v>
      </c>
      <c r="G46" s="64">
        <v>29.1</v>
      </c>
      <c r="H46" s="64">
        <v>21.7</v>
      </c>
      <c r="I46" s="64">
        <v>5.21</v>
      </c>
      <c r="J46" s="64">
        <v>0.38</v>
      </c>
      <c r="K46" s="64">
        <v>334.71</v>
      </c>
      <c r="L46" s="64">
        <v>26.57</v>
      </c>
      <c r="M46" s="64">
        <v>98.31</v>
      </c>
      <c r="N46" s="64">
        <v>167.7</v>
      </c>
      <c r="O46" s="64">
        <v>0</v>
      </c>
      <c r="P46" s="64">
        <v>0.46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7" t="s">
        <v>2200</v>
      </c>
      <c r="B47" s="64">
        <v>8.33</v>
      </c>
      <c r="C47" s="64">
        <v>3.47</v>
      </c>
      <c r="D47" s="64">
        <v>12.26</v>
      </c>
      <c r="E47" s="64">
        <v>5.86</v>
      </c>
      <c r="F47" s="64">
        <v>3.23</v>
      </c>
      <c r="G47" s="64">
        <v>35.46</v>
      </c>
      <c r="H47" s="64">
        <v>19.16</v>
      </c>
      <c r="I47" s="64">
        <v>5.36</v>
      </c>
      <c r="J47" s="64">
        <v>0.3</v>
      </c>
      <c r="K47" s="64">
        <v>315.19</v>
      </c>
      <c r="L47" s="64">
        <v>26.74</v>
      </c>
      <c r="M47" s="64">
        <v>98.27</v>
      </c>
      <c r="N47" s="64">
        <v>387.7</v>
      </c>
      <c r="O47" s="64">
        <v>0</v>
      </c>
      <c r="P47" s="64">
        <v>0.48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7" t="s">
        <v>2201</v>
      </c>
      <c r="B48" s="64">
        <v>8.31</v>
      </c>
      <c r="C48" s="64">
        <v>3.47</v>
      </c>
      <c r="D48" s="64">
        <v>12.25</v>
      </c>
      <c r="E48" s="64">
        <v>6.15</v>
      </c>
      <c r="F48" s="64">
        <v>3.78</v>
      </c>
      <c r="G48" s="64">
        <v>45.01</v>
      </c>
      <c r="H48" s="64">
        <v>15.52</v>
      </c>
      <c r="I48" s="64">
        <v>5.55</v>
      </c>
      <c r="J48" s="64">
        <v>0.46</v>
      </c>
      <c r="K48" s="64">
        <v>300.77999999999997</v>
      </c>
      <c r="L48" s="64">
        <v>26.68</v>
      </c>
      <c r="M48" s="64">
        <v>97.63</v>
      </c>
      <c r="N48" s="64">
        <v>311.7</v>
      </c>
      <c r="O48" s="64">
        <v>0</v>
      </c>
      <c r="P48" s="64">
        <v>0.49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17" t="s">
        <v>2202</v>
      </c>
      <c r="B49" s="64">
        <v>9.2200000000000006</v>
      </c>
      <c r="C49" s="64">
        <v>5.23</v>
      </c>
      <c r="D49" s="64">
        <v>13.9</v>
      </c>
      <c r="E49" s="64">
        <v>6.08</v>
      </c>
      <c r="F49" s="64">
        <v>2.52</v>
      </c>
      <c r="G49" s="64">
        <v>45.01</v>
      </c>
      <c r="H49" s="64">
        <v>15.52</v>
      </c>
      <c r="I49" s="64">
        <v>5.8</v>
      </c>
      <c r="J49" s="64">
        <v>0.21</v>
      </c>
      <c r="K49" s="64">
        <v>305.67</v>
      </c>
      <c r="L49" s="64">
        <v>27.52</v>
      </c>
      <c r="M49" s="64">
        <v>92.83</v>
      </c>
      <c r="N49" s="64">
        <v>417.5</v>
      </c>
      <c r="O49" s="64">
        <v>0</v>
      </c>
      <c r="P49" s="64">
        <v>0.5</v>
      </c>
      <c r="Q49" s="64">
        <v>9.57</v>
      </c>
      <c r="R49" s="198"/>
      <c r="S49" s="198"/>
      <c r="T49" s="198"/>
      <c r="U49" s="198"/>
    </row>
    <row r="50" spans="1:21" s="12" customFormat="1" x14ac:dyDescent="0.25">
      <c r="A50" s="217" t="s">
        <v>2203</v>
      </c>
      <c r="B50" s="64">
        <v>9.01</v>
      </c>
      <c r="C50" s="64">
        <v>4.92</v>
      </c>
      <c r="D50" s="64">
        <v>13.57</v>
      </c>
      <c r="E50" s="64">
        <v>5.64</v>
      </c>
      <c r="F50" s="64">
        <v>3.31</v>
      </c>
      <c r="G50" s="64">
        <v>45.01</v>
      </c>
      <c r="H50" s="64">
        <v>15.52</v>
      </c>
      <c r="I50" s="64">
        <v>5.86</v>
      </c>
      <c r="J50" s="64">
        <v>0.44</v>
      </c>
      <c r="K50" s="64">
        <v>295.2</v>
      </c>
      <c r="L50" s="64">
        <v>28.43</v>
      </c>
      <c r="M50" s="64">
        <v>88.06</v>
      </c>
      <c r="N50" s="64">
        <v>306.7</v>
      </c>
      <c r="O50" s="64">
        <v>0</v>
      </c>
      <c r="P50" s="64">
        <v>0.51</v>
      </c>
      <c r="Q50" s="64">
        <v>9.61</v>
      </c>
      <c r="R50" s="198"/>
      <c r="S50" s="198"/>
      <c r="T50" s="198"/>
      <c r="U50" s="198"/>
    </row>
    <row r="51" spans="1:21" s="12" customFormat="1" x14ac:dyDescent="0.25">
      <c r="A51" s="217" t="s">
        <v>2204</v>
      </c>
      <c r="B51" s="64">
        <v>8.33</v>
      </c>
      <c r="C51" s="64">
        <v>3.62</v>
      </c>
      <c r="D51" s="64">
        <v>12.35</v>
      </c>
      <c r="E51" s="64">
        <v>5.9</v>
      </c>
      <c r="F51" s="64">
        <v>4.17</v>
      </c>
      <c r="G51" s="64">
        <v>48.98</v>
      </c>
      <c r="H51" s="64">
        <v>20.2</v>
      </c>
      <c r="I51" s="64">
        <v>5.81</v>
      </c>
      <c r="J51" s="64">
        <v>0.17</v>
      </c>
      <c r="K51" s="64">
        <v>248.51</v>
      </c>
      <c r="L51" s="64">
        <v>27.45</v>
      </c>
      <c r="M51" s="64">
        <v>90.88</v>
      </c>
      <c r="N51" s="64">
        <v>352.9</v>
      </c>
      <c r="O51" s="64">
        <v>0</v>
      </c>
      <c r="P51" s="64">
        <v>0.53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7" t="s">
        <v>2205</v>
      </c>
      <c r="B52" s="64">
        <v>8.17</v>
      </c>
      <c r="C52" s="64">
        <v>3.22</v>
      </c>
      <c r="D52" s="64">
        <v>12</v>
      </c>
      <c r="E52" s="64">
        <v>5.97</v>
      </c>
      <c r="F52" s="64">
        <v>2.99</v>
      </c>
      <c r="G52" s="64">
        <v>54.93</v>
      </c>
      <c r="H52" s="64">
        <v>27.2</v>
      </c>
      <c r="I52" s="64">
        <v>5.8</v>
      </c>
      <c r="J52" s="64">
        <v>0.18</v>
      </c>
      <c r="K52" s="64">
        <v>190.09</v>
      </c>
      <c r="L52" s="64">
        <v>27.94</v>
      </c>
      <c r="M52" s="64">
        <v>87.4</v>
      </c>
      <c r="N52" s="64">
        <v>453</v>
      </c>
      <c r="O52" s="64">
        <v>0</v>
      </c>
      <c r="P52" s="64">
        <v>0.53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17" t="s">
        <v>2206</v>
      </c>
      <c r="B53" s="64">
        <v>8.14</v>
      </c>
      <c r="C53" s="64">
        <v>3.24</v>
      </c>
      <c r="D53" s="64">
        <v>11.99</v>
      </c>
      <c r="E53" s="64">
        <v>5.69</v>
      </c>
      <c r="F53" s="64">
        <v>3.48</v>
      </c>
      <c r="G53" s="64">
        <v>54.93</v>
      </c>
      <c r="H53" s="64">
        <v>27.2</v>
      </c>
      <c r="I53" s="64">
        <v>5.85</v>
      </c>
      <c r="J53" s="64">
        <v>0.16</v>
      </c>
      <c r="K53" s="64">
        <v>315.29000000000002</v>
      </c>
      <c r="L53" s="64">
        <v>28.47</v>
      </c>
      <c r="M53" s="64">
        <v>86.24</v>
      </c>
      <c r="N53" s="64">
        <v>157.5</v>
      </c>
      <c r="O53" s="64">
        <v>0</v>
      </c>
      <c r="P53" s="64">
        <v>0.54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7" t="s">
        <v>2207</v>
      </c>
      <c r="B54" s="64">
        <v>8.16</v>
      </c>
      <c r="C54" s="64">
        <v>3.28</v>
      </c>
      <c r="D54" s="64">
        <v>12.03</v>
      </c>
      <c r="E54" s="64">
        <v>5.55</v>
      </c>
      <c r="F54" s="64">
        <v>3.89</v>
      </c>
      <c r="G54" s="64">
        <v>54.93</v>
      </c>
      <c r="H54" s="64">
        <v>27.2</v>
      </c>
      <c r="I54" s="64">
        <v>5.98</v>
      </c>
      <c r="J54" s="64">
        <v>0.92</v>
      </c>
      <c r="K54" s="64">
        <v>99.92</v>
      </c>
      <c r="L54" s="64">
        <v>27.43</v>
      </c>
      <c r="M54" s="64">
        <v>89.94</v>
      </c>
      <c r="N54" s="64">
        <v>113.6</v>
      </c>
      <c r="O54" s="64">
        <v>0.4</v>
      </c>
      <c r="P54" s="64">
        <v>0.56999999999999995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7" t="s">
        <v>2208</v>
      </c>
      <c r="B55" s="64">
        <v>8.18</v>
      </c>
      <c r="C55" s="64">
        <v>3.3</v>
      </c>
      <c r="D55" s="64">
        <v>12.06</v>
      </c>
      <c r="E55" s="64">
        <v>5.76</v>
      </c>
      <c r="F55" s="64">
        <v>4.45</v>
      </c>
      <c r="G55" s="64">
        <v>53.52</v>
      </c>
      <c r="H55" s="64">
        <v>24.19</v>
      </c>
      <c r="I55" s="64">
        <v>6.09</v>
      </c>
      <c r="J55" s="64">
        <v>0.63</v>
      </c>
      <c r="K55" s="64">
        <v>102.11</v>
      </c>
      <c r="L55" s="64">
        <v>25.22</v>
      </c>
      <c r="M55" s="64">
        <v>98.99</v>
      </c>
      <c r="N55" s="64">
        <v>218.3</v>
      </c>
      <c r="O55" s="64">
        <v>1.2</v>
      </c>
      <c r="P55" s="64">
        <v>0.57999999999999996</v>
      </c>
      <c r="Q55" s="64">
        <v>9.73</v>
      </c>
      <c r="R55" s="198"/>
      <c r="S55" s="198"/>
      <c r="T55" s="198"/>
      <c r="U55" s="198"/>
    </row>
    <row r="56" spans="1:21" s="12" customFormat="1" x14ac:dyDescent="0.25">
      <c r="A56" s="217" t="s">
        <v>2209</v>
      </c>
      <c r="B56" s="64">
        <v>8.7899999999999991</v>
      </c>
      <c r="C56" s="64">
        <v>4.46</v>
      </c>
      <c r="D56" s="64">
        <v>13.15</v>
      </c>
      <c r="E56" s="64">
        <v>5.28</v>
      </c>
      <c r="F56" s="64">
        <v>5.0599999999999996</v>
      </c>
      <c r="G56" s="64">
        <v>51.5</v>
      </c>
      <c r="H56" s="64">
        <v>19.88</v>
      </c>
      <c r="I56" s="64">
        <v>6.36</v>
      </c>
      <c r="J56" s="64">
        <v>0.38</v>
      </c>
      <c r="K56" s="64">
        <v>242.54</v>
      </c>
      <c r="L56" s="64">
        <v>25.54</v>
      </c>
      <c r="M56" s="64">
        <v>99.07</v>
      </c>
      <c r="N56" s="64">
        <v>324.39999999999998</v>
      </c>
      <c r="O56" s="64">
        <v>0</v>
      </c>
      <c r="P56" s="64">
        <v>0.6</v>
      </c>
      <c r="Q56" s="64">
        <v>9.5399999999999991</v>
      </c>
      <c r="R56" s="198"/>
      <c r="S56" s="198"/>
      <c r="T56" s="198"/>
      <c r="U56" s="198"/>
    </row>
    <row r="57" spans="1:21" s="12" customFormat="1" x14ac:dyDescent="0.25">
      <c r="A57" s="217" t="s">
        <v>2210</v>
      </c>
      <c r="B57" s="64">
        <v>9</v>
      </c>
      <c r="C57" s="64">
        <v>5.01</v>
      </c>
      <c r="D57" s="64">
        <v>13.61</v>
      </c>
      <c r="E57" s="64">
        <v>5.65</v>
      </c>
      <c r="F57" s="64">
        <v>5.1100000000000003</v>
      </c>
      <c r="G57" s="64">
        <v>51.5</v>
      </c>
      <c r="H57" s="64">
        <v>19.88</v>
      </c>
      <c r="I57" s="64">
        <v>6.86</v>
      </c>
      <c r="J57" s="64">
        <v>0.34</v>
      </c>
      <c r="K57" s="64">
        <v>289.91000000000003</v>
      </c>
      <c r="L57" s="64">
        <v>26.05</v>
      </c>
      <c r="M57" s="64">
        <v>99.05</v>
      </c>
      <c r="N57" s="64">
        <v>309.89999999999998</v>
      </c>
      <c r="O57" s="64">
        <v>0</v>
      </c>
      <c r="P57" s="64">
        <v>0.61</v>
      </c>
      <c r="Q57" s="64">
        <v>9.2799999999999994</v>
      </c>
      <c r="R57" s="198"/>
      <c r="S57" s="198"/>
      <c r="T57" s="198"/>
      <c r="U57" s="198"/>
    </row>
    <row r="58" spans="1:21" s="12" customFormat="1" x14ac:dyDescent="0.25">
      <c r="A58" s="217" t="s">
        <v>2211</v>
      </c>
      <c r="B58" s="64">
        <v>8.66</v>
      </c>
      <c r="C58" s="64">
        <v>4.37</v>
      </c>
      <c r="D58" s="64">
        <v>13</v>
      </c>
      <c r="E58" s="64">
        <v>5.55</v>
      </c>
      <c r="F58" s="64">
        <v>3.55</v>
      </c>
      <c r="G58" s="64">
        <v>51.5</v>
      </c>
      <c r="H58" s="64">
        <v>19.88</v>
      </c>
      <c r="I58" s="64">
        <v>7.05</v>
      </c>
      <c r="J58" s="64">
        <v>0.5</v>
      </c>
      <c r="K58" s="64">
        <v>152.53</v>
      </c>
      <c r="L58" s="64">
        <v>26.65</v>
      </c>
      <c r="M58" s="64">
        <v>99.05</v>
      </c>
      <c r="N58" s="64">
        <v>613.9</v>
      </c>
      <c r="O58" s="64">
        <v>0</v>
      </c>
      <c r="P58" s="64">
        <v>0.6</v>
      </c>
      <c r="Q58" s="64">
        <v>9.09</v>
      </c>
      <c r="R58" s="198"/>
      <c r="S58" s="198"/>
      <c r="T58" s="198"/>
      <c r="U58" s="198"/>
    </row>
    <row r="59" spans="1:21" s="12" customFormat="1" x14ac:dyDescent="0.25">
      <c r="A59" s="217" t="s">
        <v>2212</v>
      </c>
      <c r="B59" s="64">
        <v>8.9600000000000009</v>
      </c>
      <c r="C59" s="64">
        <v>4.92</v>
      </c>
      <c r="D59" s="64">
        <v>13.53</v>
      </c>
      <c r="E59" s="64">
        <v>5.28</v>
      </c>
      <c r="F59" s="64">
        <v>3.22</v>
      </c>
      <c r="G59" s="64">
        <v>52.26</v>
      </c>
      <c r="H59" s="64">
        <v>21.93</v>
      </c>
      <c r="I59" s="64">
        <v>7.03</v>
      </c>
      <c r="J59" s="64">
        <v>0.52</v>
      </c>
      <c r="K59" s="64">
        <v>153.63</v>
      </c>
      <c r="L59" s="64">
        <v>27.27</v>
      </c>
      <c r="M59" s="64">
        <v>97.83</v>
      </c>
      <c r="N59" s="64">
        <v>493.6</v>
      </c>
      <c r="O59" s="64">
        <v>0</v>
      </c>
      <c r="P59" s="64">
        <v>0.59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17" t="s">
        <v>2213</v>
      </c>
      <c r="B60" s="64">
        <v>8.5299999999999994</v>
      </c>
      <c r="C60" s="64">
        <v>4.04</v>
      </c>
      <c r="D60" s="64">
        <v>12.73</v>
      </c>
      <c r="E60" s="64">
        <v>4.8499999999999996</v>
      </c>
      <c r="F60" s="64">
        <v>3.59</v>
      </c>
      <c r="G60" s="64">
        <v>53.42</v>
      </c>
      <c r="H60" s="64">
        <v>24.99</v>
      </c>
      <c r="I60" s="64">
        <v>7.19</v>
      </c>
      <c r="J60" s="64">
        <v>1.8</v>
      </c>
      <c r="K60" s="64">
        <v>112.7</v>
      </c>
      <c r="L60" s="64">
        <v>26.3</v>
      </c>
      <c r="M60" s="64">
        <v>96.78</v>
      </c>
      <c r="N60" s="64">
        <v>139.6</v>
      </c>
      <c r="O60" s="64">
        <v>0</v>
      </c>
      <c r="P60" s="64">
        <v>0.57999999999999996</v>
      </c>
      <c r="Q60" s="64">
        <v>9.3800000000000008</v>
      </c>
      <c r="R60" s="198"/>
      <c r="S60" s="198"/>
      <c r="T60" s="198"/>
      <c r="U60" s="198"/>
    </row>
    <row r="61" spans="1:21" s="12" customFormat="1" x14ac:dyDescent="0.25">
      <c r="A61" s="217" t="s">
        <v>2214</v>
      </c>
      <c r="B61" s="64">
        <v>8.1999999999999993</v>
      </c>
      <c r="C61" s="64">
        <v>3.29</v>
      </c>
      <c r="D61" s="64">
        <v>12.07</v>
      </c>
      <c r="E61" s="64">
        <v>5</v>
      </c>
      <c r="F61" s="64">
        <v>3.63</v>
      </c>
      <c r="G61" s="64">
        <v>53.42</v>
      </c>
      <c r="H61" s="64">
        <v>24.99</v>
      </c>
      <c r="I61" s="64">
        <v>7.44</v>
      </c>
      <c r="J61" s="64">
        <v>1.78</v>
      </c>
      <c r="K61" s="64">
        <v>116.23</v>
      </c>
      <c r="L61" s="64">
        <v>25.86</v>
      </c>
      <c r="M61" s="64">
        <v>97.87</v>
      </c>
      <c r="N61" s="64">
        <v>446.7</v>
      </c>
      <c r="O61" s="64">
        <v>0</v>
      </c>
      <c r="P61" s="64">
        <v>0.49</v>
      </c>
      <c r="Q61" s="64">
        <v>9.51</v>
      </c>
      <c r="R61" s="198"/>
      <c r="S61" s="198"/>
      <c r="T61" s="198"/>
      <c r="U61" s="198"/>
    </row>
    <row r="62" spans="1:21" s="12" customFormat="1" x14ac:dyDescent="0.25">
      <c r="A62" s="217" t="s">
        <v>2215</v>
      </c>
      <c r="B62" s="64">
        <v>8.2899999999999991</v>
      </c>
      <c r="C62" s="64">
        <v>3.43</v>
      </c>
      <c r="D62" s="64">
        <v>12.22</v>
      </c>
      <c r="E62" s="64">
        <v>4.6500000000000004</v>
      </c>
      <c r="F62" s="64">
        <v>3.74</v>
      </c>
      <c r="G62" s="64">
        <v>53.42</v>
      </c>
      <c r="H62" s="64">
        <v>24.99</v>
      </c>
      <c r="I62" s="64">
        <v>7.74</v>
      </c>
      <c r="J62" s="64">
        <v>1.31</v>
      </c>
      <c r="K62" s="64">
        <v>115.05</v>
      </c>
      <c r="L62" s="64">
        <v>26.87</v>
      </c>
      <c r="M62" s="64">
        <v>95.01</v>
      </c>
      <c r="N62" s="64">
        <v>452.2</v>
      </c>
      <c r="O62" s="64">
        <v>0</v>
      </c>
      <c r="P62" s="64">
        <v>0.5</v>
      </c>
      <c r="Q62" s="64">
        <v>9.66</v>
      </c>
      <c r="R62" s="198"/>
      <c r="S62" s="198"/>
      <c r="T62" s="198"/>
      <c r="U62" s="198"/>
    </row>
    <row r="63" spans="1:21" s="12" customFormat="1" x14ac:dyDescent="0.25">
      <c r="A63" s="217" t="s">
        <v>2216</v>
      </c>
      <c r="B63" s="64">
        <v>8.1999999999999993</v>
      </c>
      <c r="C63" s="64">
        <v>3.23</v>
      </c>
      <c r="D63" s="64">
        <v>12.04</v>
      </c>
      <c r="E63" s="64">
        <v>5.39</v>
      </c>
      <c r="F63" s="64">
        <v>3.52</v>
      </c>
      <c r="G63" s="64">
        <v>48.28</v>
      </c>
      <c r="H63" s="64">
        <v>17</v>
      </c>
      <c r="I63" s="64">
        <v>8.32</v>
      </c>
      <c r="J63" s="64">
        <v>1.65</v>
      </c>
      <c r="K63" s="64">
        <v>116.22</v>
      </c>
      <c r="L63" s="64">
        <v>26.95</v>
      </c>
      <c r="M63" s="64">
        <v>93.68</v>
      </c>
      <c r="N63" s="64">
        <v>493.7</v>
      </c>
      <c r="O63" s="64">
        <v>0</v>
      </c>
      <c r="P63" s="64">
        <v>0.49</v>
      </c>
      <c r="Q63" s="64">
        <v>9.77</v>
      </c>
      <c r="R63" s="198"/>
      <c r="S63" s="198"/>
      <c r="T63" s="198"/>
      <c r="U63" s="198"/>
    </row>
    <row r="64" spans="1:21" s="12" customFormat="1" x14ac:dyDescent="0.25">
      <c r="A64" s="217" t="s">
        <v>2217</v>
      </c>
      <c r="B64" s="64">
        <v>8.16</v>
      </c>
      <c r="C64" s="64">
        <v>3.14</v>
      </c>
      <c r="D64" s="64">
        <v>11.96</v>
      </c>
      <c r="E64" s="64">
        <v>4.5599999999999996</v>
      </c>
      <c r="F64" s="64">
        <v>3.6</v>
      </c>
      <c r="G64" s="64">
        <v>40.92</v>
      </c>
      <c r="H64" s="64">
        <v>5</v>
      </c>
      <c r="I64" s="64">
        <v>8.7899999999999991</v>
      </c>
      <c r="J64" s="64">
        <v>1.34</v>
      </c>
      <c r="K64" s="64">
        <v>115.04</v>
      </c>
      <c r="L64" s="64">
        <v>27.31</v>
      </c>
      <c r="M64" s="64">
        <v>91.17</v>
      </c>
      <c r="N64" s="64">
        <v>398.5</v>
      </c>
      <c r="O64" s="64">
        <v>0</v>
      </c>
      <c r="P64" s="64">
        <v>0.48</v>
      </c>
      <c r="Q64" s="64">
        <v>9.7899999999999991</v>
      </c>
      <c r="R64" s="198"/>
      <c r="S64" s="198"/>
      <c r="T64" s="198"/>
      <c r="U64" s="198"/>
    </row>
    <row r="65" spans="1:21" s="12" customFormat="1" x14ac:dyDescent="0.25">
      <c r="A65" s="217" t="s">
        <v>2218</v>
      </c>
      <c r="B65" s="64">
        <v>8.1199999999999992</v>
      </c>
      <c r="C65" s="64">
        <v>3.09</v>
      </c>
      <c r="D65" s="64">
        <v>11.9</v>
      </c>
      <c r="E65" s="64">
        <v>5.13</v>
      </c>
      <c r="F65" s="64">
        <v>3.42</v>
      </c>
      <c r="G65" s="64">
        <v>40.92</v>
      </c>
      <c r="H65" s="64">
        <v>5</v>
      </c>
      <c r="I65" s="64">
        <v>9.1999999999999993</v>
      </c>
      <c r="J65" s="64">
        <v>0.21</v>
      </c>
      <c r="K65" s="64">
        <v>99.65</v>
      </c>
      <c r="L65" s="64">
        <v>28.2</v>
      </c>
      <c r="M65" s="64">
        <v>85.7</v>
      </c>
      <c r="N65" s="64">
        <v>399.4</v>
      </c>
      <c r="O65" s="64">
        <v>0</v>
      </c>
      <c r="P65" s="64">
        <v>0.48</v>
      </c>
      <c r="Q65" s="64">
        <v>9.7799999999999994</v>
      </c>
      <c r="R65" s="198"/>
      <c r="S65" s="198"/>
      <c r="T65" s="198"/>
      <c r="U65" s="198"/>
    </row>
    <row r="66" spans="1:21" s="12" customFormat="1" x14ac:dyDescent="0.25">
      <c r="A66" s="217" t="s">
        <v>2219</v>
      </c>
      <c r="B66" s="64">
        <v>8.17</v>
      </c>
      <c r="C66" s="64">
        <v>3.26</v>
      </c>
      <c r="D66" s="64">
        <v>12.03</v>
      </c>
      <c r="E66" s="64">
        <v>5.03</v>
      </c>
      <c r="F66" s="64">
        <v>3.56</v>
      </c>
      <c r="G66" s="64">
        <v>40.92</v>
      </c>
      <c r="H66" s="64">
        <v>5</v>
      </c>
      <c r="I66" s="64">
        <v>9.44</v>
      </c>
      <c r="J66" s="64">
        <v>0.82</v>
      </c>
      <c r="K66" s="64">
        <v>120.98</v>
      </c>
      <c r="L66" s="64">
        <v>28.53</v>
      </c>
      <c r="M66" s="64">
        <v>80.650000000000006</v>
      </c>
      <c r="N66" s="64">
        <v>390.9</v>
      </c>
      <c r="O66" s="64">
        <v>0</v>
      </c>
      <c r="P66" s="64">
        <v>0.48</v>
      </c>
      <c r="Q66" s="64">
        <v>9.7100000000000009</v>
      </c>
      <c r="R66" s="198"/>
      <c r="S66" s="198"/>
      <c r="T66" s="198"/>
      <c r="U66" s="198"/>
    </row>
    <row r="67" spans="1:21" s="12" customFormat="1" x14ac:dyDescent="0.25">
      <c r="A67" s="217" t="s">
        <v>2220</v>
      </c>
      <c r="B67" s="64">
        <v>8.15</v>
      </c>
      <c r="C67" s="64">
        <v>3.19</v>
      </c>
      <c r="D67" s="64">
        <v>11.98</v>
      </c>
      <c r="E67" s="64">
        <v>5.07</v>
      </c>
      <c r="F67" s="64">
        <v>3.7</v>
      </c>
      <c r="G67" s="64">
        <v>39.380000000000003</v>
      </c>
      <c r="H67" s="64">
        <v>6.41</v>
      </c>
      <c r="I67" s="64">
        <v>9.3800000000000008</v>
      </c>
      <c r="J67" s="64">
        <v>0.74</v>
      </c>
      <c r="K67" s="64">
        <v>98.67</v>
      </c>
      <c r="L67" s="64">
        <v>28.78</v>
      </c>
      <c r="M67" s="64">
        <v>79.239999999999995</v>
      </c>
      <c r="N67" s="64">
        <v>379.7</v>
      </c>
      <c r="O67" s="64">
        <v>0</v>
      </c>
      <c r="P67" s="64">
        <v>0.47</v>
      </c>
      <c r="Q67" s="64">
        <v>9.68</v>
      </c>
      <c r="R67" s="198"/>
      <c r="S67" s="198"/>
      <c r="T67" s="198"/>
      <c r="U67" s="198"/>
    </row>
    <row r="68" spans="1:21" s="12" customFormat="1" x14ac:dyDescent="0.25">
      <c r="A68" s="217" t="s">
        <v>2221</v>
      </c>
      <c r="B68" s="64">
        <v>8.16</v>
      </c>
      <c r="C68" s="64">
        <v>3.27</v>
      </c>
      <c r="D68" s="64">
        <v>12.03</v>
      </c>
      <c r="E68" s="64">
        <v>4.47</v>
      </c>
      <c r="F68" s="64">
        <v>3.68</v>
      </c>
      <c r="G68" s="64">
        <v>37.090000000000003</v>
      </c>
      <c r="H68" s="64">
        <v>8.42</v>
      </c>
      <c r="I68" s="64">
        <v>9.2100000000000009</v>
      </c>
      <c r="J68" s="64">
        <v>1.37</v>
      </c>
      <c r="K68" s="64">
        <v>116.57</v>
      </c>
      <c r="L68" s="64">
        <v>28.83</v>
      </c>
      <c r="M68" s="64">
        <v>78.150000000000006</v>
      </c>
      <c r="N68" s="64">
        <v>345.8</v>
      </c>
      <c r="O68" s="64">
        <v>0</v>
      </c>
      <c r="P68" s="64">
        <v>0.46</v>
      </c>
      <c r="Q68" s="64">
        <v>9.7100000000000009</v>
      </c>
      <c r="R68" s="198"/>
      <c r="S68" s="198"/>
      <c r="T68" s="198"/>
      <c r="U68" s="198"/>
    </row>
    <row r="69" spans="1:21" s="12" customFormat="1" x14ac:dyDescent="0.25">
      <c r="A69" s="217" t="s">
        <v>2222</v>
      </c>
      <c r="B69" s="64">
        <v>8.09</v>
      </c>
      <c r="C69" s="64">
        <v>3.13</v>
      </c>
      <c r="D69" s="64">
        <v>11.9</v>
      </c>
      <c r="E69" s="64">
        <v>4.7699999999999996</v>
      </c>
      <c r="F69" s="64">
        <v>3.53</v>
      </c>
      <c r="G69" s="64">
        <v>37.090000000000003</v>
      </c>
      <c r="H69" s="64">
        <v>8.42</v>
      </c>
      <c r="I69" s="64">
        <v>9.06</v>
      </c>
      <c r="J69" s="64">
        <v>0.71</v>
      </c>
      <c r="K69" s="64">
        <v>124.56</v>
      </c>
      <c r="L69" s="64">
        <v>28.99</v>
      </c>
      <c r="M69" s="64">
        <v>77.45</v>
      </c>
      <c r="N69" s="64">
        <v>326.3</v>
      </c>
      <c r="O69" s="64">
        <v>0</v>
      </c>
      <c r="P69" s="64">
        <v>0.45</v>
      </c>
      <c r="Q69" s="64">
        <v>9.67</v>
      </c>
      <c r="R69" s="198"/>
      <c r="S69" s="198"/>
      <c r="T69" s="198"/>
      <c r="U69" s="198"/>
    </row>
    <row r="70" spans="1:21" s="12" customFormat="1" x14ac:dyDescent="0.25">
      <c r="A70" s="217" t="s">
        <v>2223</v>
      </c>
      <c r="B70" s="64">
        <v>8.1199999999999992</v>
      </c>
      <c r="C70" s="64">
        <v>3.2</v>
      </c>
      <c r="D70" s="64">
        <v>11.95</v>
      </c>
      <c r="E70" s="64">
        <v>4.74</v>
      </c>
      <c r="F70" s="64">
        <v>3.79</v>
      </c>
      <c r="G70" s="64">
        <v>37.090000000000003</v>
      </c>
      <c r="H70" s="64">
        <v>8.42</v>
      </c>
      <c r="I70" s="64">
        <v>8.9700000000000006</v>
      </c>
      <c r="J70" s="64">
        <v>0.41</v>
      </c>
      <c r="K70" s="64">
        <v>149.97999999999999</v>
      </c>
      <c r="L70" s="64">
        <v>29.45</v>
      </c>
      <c r="M70" s="64">
        <v>76.55</v>
      </c>
      <c r="N70" s="64">
        <v>242.4</v>
      </c>
      <c r="O70" s="64">
        <v>0</v>
      </c>
      <c r="P70" s="64">
        <v>0.43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7" t="s">
        <v>2224</v>
      </c>
      <c r="B71" s="64">
        <v>8.11</v>
      </c>
      <c r="C71" s="64">
        <v>3.18</v>
      </c>
      <c r="D71" s="64">
        <v>11.94</v>
      </c>
      <c r="E71" s="64">
        <v>4.7300000000000004</v>
      </c>
      <c r="F71" s="64">
        <v>3.74</v>
      </c>
      <c r="G71" s="64">
        <v>35.119999999999997</v>
      </c>
      <c r="H71" s="64">
        <v>6.48</v>
      </c>
      <c r="I71" s="64">
        <v>8.76</v>
      </c>
      <c r="J71" s="64">
        <v>0.34</v>
      </c>
      <c r="K71" s="64">
        <v>184.91</v>
      </c>
      <c r="L71" s="64">
        <v>28.55</v>
      </c>
      <c r="M71" s="64">
        <v>81.05</v>
      </c>
      <c r="N71" s="64">
        <v>92.8</v>
      </c>
      <c r="O71" s="64">
        <v>0</v>
      </c>
      <c r="P71" s="64">
        <v>0.42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7" t="s">
        <v>2225</v>
      </c>
      <c r="B72" s="64">
        <v>8.1999999999999993</v>
      </c>
      <c r="C72" s="64">
        <v>3.35</v>
      </c>
      <c r="D72" s="64">
        <v>12.1</v>
      </c>
      <c r="E72" s="64">
        <v>5.16</v>
      </c>
      <c r="F72" s="64">
        <v>3.71</v>
      </c>
      <c r="G72" s="64">
        <v>32.31</v>
      </c>
      <c r="H72" s="64">
        <v>3.7</v>
      </c>
      <c r="I72" s="64">
        <v>8.4</v>
      </c>
      <c r="J72" s="64">
        <v>0.56999999999999995</v>
      </c>
      <c r="K72" s="64">
        <v>146.09</v>
      </c>
      <c r="L72" s="64">
        <v>27.58</v>
      </c>
      <c r="M72" s="64">
        <v>90.91</v>
      </c>
      <c r="N72" s="64">
        <v>83.5</v>
      </c>
      <c r="O72" s="64">
        <v>0</v>
      </c>
      <c r="P72" s="64">
        <v>0.42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7" t="s">
        <v>2226</v>
      </c>
      <c r="B73" s="64">
        <v>8.1999999999999993</v>
      </c>
      <c r="C73" s="64">
        <v>3.45</v>
      </c>
      <c r="D73" s="64">
        <v>12.15</v>
      </c>
      <c r="E73" s="64">
        <v>5.37</v>
      </c>
      <c r="F73" s="64">
        <v>3.66</v>
      </c>
      <c r="G73" s="64">
        <v>32.31</v>
      </c>
      <c r="H73" s="64">
        <v>3.7</v>
      </c>
      <c r="I73" s="64">
        <v>8.0399999999999991</v>
      </c>
      <c r="J73" s="64">
        <v>1.64</v>
      </c>
      <c r="K73" s="64">
        <v>116.45</v>
      </c>
      <c r="L73" s="64">
        <v>26.49</v>
      </c>
      <c r="M73" s="64">
        <v>97.1</v>
      </c>
      <c r="N73" s="64">
        <v>58.4</v>
      </c>
      <c r="O73" s="64">
        <v>1.8</v>
      </c>
      <c r="P73" s="64">
        <v>0.41</v>
      </c>
      <c r="Q73" s="64">
        <v>9.56</v>
      </c>
      <c r="R73" s="198"/>
      <c r="S73" s="198"/>
      <c r="T73" s="198"/>
      <c r="U73" s="198"/>
    </row>
    <row r="74" spans="1:21" s="12" customFormat="1" x14ac:dyDescent="0.25">
      <c r="A74" s="217" t="s">
        <v>2227</v>
      </c>
      <c r="B74" s="64">
        <v>8.1</v>
      </c>
      <c r="C74" s="64">
        <v>3.23</v>
      </c>
      <c r="D74" s="64">
        <v>11.96</v>
      </c>
      <c r="E74" s="64">
        <v>5.19</v>
      </c>
      <c r="F74" s="64">
        <v>3.86</v>
      </c>
      <c r="G74" s="64">
        <v>32.31</v>
      </c>
      <c r="H74" s="64">
        <v>3.7</v>
      </c>
      <c r="I74" s="64">
        <v>7.73</v>
      </c>
      <c r="J74" s="64">
        <v>2.29</v>
      </c>
      <c r="K74" s="64">
        <v>108.78</v>
      </c>
      <c r="L74" s="64">
        <v>24.06</v>
      </c>
      <c r="M74" s="64">
        <v>99.06</v>
      </c>
      <c r="N74" s="64">
        <v>54.9</v>
      </c>
      <c r="O74" s="64">
        <v>0.8</v>
      </c>
      <c r="P74" s="64">
        <v>0.39</v>
      </c>
      <c r="Q74" s="64">
        <v>9.5299999999999994</v>
      </c>
      <c r="R74" s="198"/>
      <c r="S74" s="198"/>
      <c r="T74" s="198"/>
      <c r="U74" s="198"/>
    </row>
    <row r="75" spans="1:21" s="12" customFormat="1" x14ac:dyDescent="0.25">
      <c r="A75" s="217" t="s">
        <v>2228</v>
      </c>
      <c r="B75" s="64">
        <v>8.0500000000000007</v>
      </c>
      <c r="C75" s="64">
        <v>3.09</v>
      </c>
      <c r="D75" s="64">
        <v>11.84</v>
      </c>
      <c r="E75" s="64">
        <v>5.12</v>
      </c>
      <c r="F75" s="64">
        <v>3.72</v>
      </c>
      <c r="G75" s="64">
        <v>31.79</v>
      </c>
      <c r="H75" s="64">
        <v>4.05</v>
      </c>
      <c r="I75" s="64">
        <v>7.69</v>
      </c>
      <c r="J75" s="64">
        <v>0.04</v>
      </c>
      <c r="K75" s="64">
        <v>261.70999999999998</v>
      </c>
      <c r="L75" s="64">
        <v>23.24</v>
      </c>
      <c r="M75" s="64">
        <v>99.1</v>
      </c>
      <c r="N75" s="64">
        <v>61.6</v>
      </c>
      <c r="O75" s="64">
        <v>1.2</v>
      </c>
      <c r="P75" s="64">
        <v>0.39</v>
      </c>
      <c r="Q75" s="64">
        <v>9.5399999999999991</v>
      </c>
      <c r="R75" s="198"/>
      <c r="S75" s="198"/>
      <c r="T75" s="198"/>
      <c r="U75" s="198"/>
    </row>
    <row r="76" spans="1:21" s="12" customFormat="1" x14ac:dyDescent="0.25">
      <c r="A76" s="217" t="s">
        <v>2229</v>
      </c>
      <c r="B76" s="64">
        <v>8.06</v>
      </c>
      <c r="C76" s="64">
        <v>3.03</v>
      </c>
      <c r="D76" s="64">
        <v>11.83</v>
      </c>
      <c r="E76" s="64">
        <v>5.12</v>
      </c>
      <c r="F76" s="64">
        <v>3.54</v>
      </c>
      <c r="G76" s="64">
        <v>31.04</v>
      </c>
      <c r="H76" s="64">
        <v>4.54</v>
      </c>
      <c r="I76" s="64">
        <v>8.08</v>
      </c>
      <c r="J76" s="64">
        <v>0.52</v>
      </c>
      <c r="K76" s="64">
        <v>338.6</v>
      </c>
      <c r="L76" s="64">
        <v>23.49</v>
      </c>
      <c r="M76" s="64">
        <v>99.1</v>
      </c>
      <c r="N76" s="64">
        <v>51.9</v>
      </c>
      <c r="O76" s="64">
        <v>0</v>
      </c>
      <c r="P76" s="64">
        <v>0.39</v>
      </c>
      <c r="Q76" s="64">
        <v>9.48</v>
      </c>
      <c r="R76" s="198"/>
      <c r="S76" s="198"/>
      <c r="T76" s="198"/>
      <c r="U76" s="198"/>
    </row>
    <row r="77" spans="1:21" s="12" customFormat="1" x14ac:dyDescent="0.25">
      <c r="A77" s="217" t="s">
        <v>2230</v>
      </c>
      <c r="B77" s="64">
        <v>8.09</v>
      </c>
      <c r="C77" s="64">
        <v>3.09</v>
      </c>
      <c r="D77" s="64">
        <v>11.88</v>
      </c>
      <c r="E77" s="64">
        <v>5.33</v>
      </c>
      <c r="F77" s="64">
        <v>3.47</v>
      </c>
      <c r="G77" s="64">
        <v>31.04</v>
      </c>
      <c r="H77" s="64">
        <v>4.54</v>
      </c>
      <c r="I77" s="64">
        <v>8.1</v>
      </c>
      <c r="J77" s="64">
        <v>0.31</v>
      </c>
      <c r="K77" s="64">
        <v>279.89999999999998</v>
      </c>
      <c r="L77" s="64">
        <v>23.52</v>
      </c>
      <c r="M77" s="64">
        <v>99.1</v>
      </c>
      <c r="N77" s="64">
        <v>49.7</v>
      </c>
      <c r="O77" s="64">
        <v>0</v>
      </c>
      <c r="P77" s="64">
        <v>0.4</v>
      </c>
      <c r="Q77" s="64">
        <v>9.4499999999999993</v>
      </c>
      <c r="R77" s="198"/>
      <c r="S77" s="198"/>
      <c r="T77" s="198"/>
      <c r="U77" s="198"/>
    </row>
    <row r="78" spans="1:21" s="12" customFormat="1" x14ac:dyDescent="0.25">
      <c r="A78" s="217" t="s">
        <v>2231</v>
      </c>
      <c r="B78" s="64">
        <v>8.1199999999999992</v>
      </c>
      <c r="C78" s="64">
        <v>3.16</v>
      </c>
      <c r="D78" s="64">
        <v>11.94</v>
      </c>
      <c r="E78" s="64">
        <v>4.83</v>
      </c>
      <c r="F78" s="64">
        <v>3.71</v>
      </c>
      <c r="G78" s="64">
        <v>31.04</v>
      </c>
      <c r="H78" s="64">
        <v>4.54</v>
      </c>
      <c r="I78" s="64">
        <v>7.68</v>
      </c>
      <c r="J78" s="64">
        <v>0.53</v>
      </c>
      <c r="K78" s="64">
        <v>175.8</v>
      </c>
      <c r="L78" s="64">
        <v>23.52</v>
      </c>
      <c r="M78" s="64">
        <v>99.1</v>
      </c>
      <c r="N78" s="64">
        <v>58.5</v>
      </c>
      <c r="O78" s="64">
        <v>0</v>
      </c>
      <c r="P78" s="64">
        <v>0.4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7" t="s">
        <v>2232</v>
      </c>
      <c r="B79" s="64">
        <v>8.1300000000000008</v>
      </c>
      <c r="C79" s="64">
        <v>3.11</v>
      </c>
      <c r="D79" s="64">
        <v>11.92</v>
      </c>
      <c r="E79" s="64">
        <v>5.18</v>
      </c>
      <c r="F79" s="64">
        <v>3.59</v>
      </c>
      <c r="G79" s="64">
        <v>27.34</v>
      </c>
      <c r="H79" s="64">
        <v>7.56</v>
      </c>
      <c r="I79" s="64">
        <v>7.31</v>
      </c>
      <c r="J79" s="64">
        <v>0.09</v>
      </c>
      <c r="K79" s="64">
        <v>338</v>
      </c>
      <c r="L79" s="64">
        <v>23.55</v>
      </c>
      <c r="M79" s="64">
        <v>99.1</v>
      </c>
      <c r="N79" s="64">
        <v>53.1</v>
      </c>
      <c r="O79" s="64">
        <v>0</v>
      </c>
      <c r="P79" s="64">
        <v>0.39</v>
      </c>
      <c r="Q79" s="64">
        <v>9.48</v>
      </c>
      <c r="R79" s="198"/>
      <c r="S79" s="198"/>
      <c r="T79" s="198"/>
      <c r="U79" s="198"/>
    </row>
    <row r="80" spans="1:21" s="12" customFormat="1" x14ac:dyDescent="0.25">
      <c r="A80" s="217" t="s">
        <v>2233</v>
      </c>
      <c r="B80" s="64">
        <v>8.1199999999999992</v>
      </c>
      <c r="C80" s="64">
        <v>3.1</v>
      </c>
      <c r="D80" s="64">
        <v>11.91</v>
      </c>
      <c r="E80" s="64">
        <v>5.27</v>
      </c>
      <c r="F80" s="64">
        <v>3.18</v>
      </c>
      <c r="G80" s="64">
        <v>22.04</v>
      </c>
      <c r="H80" s="64">
        <v>11.88</v>
      </c>
      <c r="I80" s="64">
        <v>7.09</v>
      </c>
      <c r="J80" s="64">
        <v>0.15</v>
      </c>
      <c r="K80" s="64">
        <v>61.64</v>
      </c>
      <c r="L80" s="64">
        <v>23.68</v>
      </c>
      <c r="M80" s="64">
        <v>99.1</v>
      </c>
      <c r="N80" s="64">
        <v>52.5</v>
      </c>
      <c r="O80" s="64">
        <v>0</v>
      </c>
      <c r="P80" s="64">
        <v>0.39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7" t="s">
        <v>2234</v>
      </c>
      <c r="B81" s="64">
        <v>8.1</v>
      </c>
      <c r="C81" s="64">
        <v>3.04</v>
      </c>
      <c r="D81" s="64">
        <v>11.86</v>
      </c>
      <c r="E81" s="64">
        <v>5.0599999999999996</v>
      </c>
      <c r="F81" s="64">
        <v>3.34</v>
      </c>
      <c r="G81" s="64">
        <v>22.04</v>
      </c>
      <c r="H81" s="64">
        <v>11.88</v>
      </c>
      <c r="I81" s="64">
        <v>6.97</v>
      </c>
      <c r="J81" s="64">
        <v>0.14000000000000001</v>
      </c>
      <c r="K81" s="64">
        <v>273.60000000000002</v>
      </c>
      <c r="L81" s="64">
        <v>23.78</v>
      </c>
      <c r="M81" s="64">
        <v>99.1</v>
      </c>
      <c r="N81" s="64">
        <v>48.7</v>
      </c>
      <c r="O81" s="64">
        <v>0</v>
      </c>
      <c r="P81" s="64">
        <v>0.4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7" t="s">
        <v>2235</v>
      </c>
      <c r="B82" s="64">
        <v>8.09</v>
      </c>
      <c r="C82" s="64">
        <v>3.02</v>
      </c>
      <c r="D82" s="64">
        <v>11.84</v>
      </c>
      <c r="E82" s="64">
        <v>5.51</v>
      </c>
      <c r="F82" s="64">
        <v>3.42</v>
      </c>
      <c r="G82" s="64">
        <v>22.04</v>
      </c>
      <c r="H82" s="64">
        <v>11.88</v>
      </c>
      <c r="I82" s="64">
        <v>6.89</v>
      </c>
      <c r="J82" s="64">
        <v>0.21</v>
      </c>
      <c r="K82" s="64">
        <v>314.2</v>
      </c>
      <c r="L82" s="64">
        <v>23.85</v>
      </c>
      <c r="M82" s="64">
        <v>99.1</v>
      </c>
      <c r="N82" s="64">
        <v>47.5</v>
      </c>
      <c r="O82" s="64">
        <v>0</v>
      </c>
      <c r="P82" s="64">
        <v>0.43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7" t="s">
        <v>2236</v>
      </c>
      <c r="B83" s="64">
        <v>8.1300000000000008</v>
      </c>
      <c r="C83" s="64">
        <v>3.15</v>
      </c>
      <c r="D83" s="64">
        <v>11.94</v>
      </c>
      <c r="E83" s="64">
        <v>5.35</v>
      </c>
      <c r="F83" s="64">
        <v>3.45</v>
      </c>
      <c r="G83" s="64">
        <v>19.55</v>
      </c>
      <c r="H83" s="64">
        <v>12.06</v>
      </c>
      <c r="I83" s="64">
        <v>6.83</v>
      </c>
      <c r="J83" s="64">
        <v>0.47</v>
      </c>
      <c r="K83" s="64">
        <v>329.44</v>
      </c>
      <c r="L83" s="64">
        <v>23.93</v>
      </c>
      <c r="M83" s="64">
        <v>99.1</v>
      </c>
      <c r="N83" s="64">
        <v>46.2</v>
      </c>
      <c r="O83" s="64">
        <v>0</v>
      </c>
      <c r="P83" s="64">
        <v>0.43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7" t="s">
        <v>2237</v>
      </c>
      <c r="B84" s="64">
        <v>8.18</v>
      </c>
      <c r="C84" s="64">
        <v>3.25</v>
      </c>
      <c r="D84" s="64">
        <v>12.04</v>
      </c>
      <c r="E84" s="64">
        <v>5.1100000000000003</v>
      </c>
      <c r="F84" s="64">
        <v>3.4</v>
      </c>
      <c r="G84" s="64">
        <v>15.99</v>
      </c>
      <c r="H84" s="64">
        <v>12.32</v>
      </c>
      <c r="I84" s="64">
        <v>6.75</v>
      </c>
      <c r="J84" s="64">
        <v>0.41</v>
      </c>
      <c r="K84" s="64">
        <v>340.84</v>
      </c>
      <c r="L84" s="64">
        <v>23.97</v>
      </c>
      <c r="M84" s="64">
        <v>99.1</v>
      </c>
      <c r="N84" s="64">
        <v>45.6</v>
      </c>
      <c r="O84" s="64">
        <v>0</v>
      </c>
      <c r="P84" s="64">
        <v>0.45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17" t="s">
        <v>2238</v>
      </c>
      <c r="B85" s="64">
        <v>8.1300000000000008</v>
      </c>
      <c r="C85" s="64">
        <v>3.15</v>
      </c>
      <c r="D85" s="64">
        <v>11.94</v>
      </c>
      <c r="E85" s="64">
        <v>5.34</v>
      </c>
      <c r="F85" s="64">
        <v>3.45</v>
      </c>
      <c r="G85" s="64">
        <v>15.99</v>
      </c>
      <c r="H85" s="64">
        <v>12.32</v>
      </c>
      <c r="I85" s="64">
        <v>6.64</v>
      </c>
      <c r="J85" s="64">
        <v>0.35</v>
      </c>
      <c r="K85" s="64">
        <v>353.54</v>
      </c>
      <c r="L85" s="64">
        <v>23.97</v>
      </c>
      <c r="M85" s="64">
        <v>99.1</v>
      </c>
      <c r="N85" s="64">
        <v>45.6</v>
      </c>
      <c r="O85" s="64">
        <v>0.2</v>
      </c>
      <c r="P85" s="64">
        <v>0.45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7" t="s">
        <v>2239</v>
      </c>
      <c r="B86" s="64">
        <v>8.09</v>
      </c>
      <c r="C86" s="64">
        <v>3.02</v>
      </c>
      <c r="D86" s="64">
        <v>11.84</v>
      </c>
      <c r="E86" s="64">
        <v>5.69</v>
      </c>
      <c r="F86" s="64">
        <v>3.43</v>
      </c>
      <c r="G86" s="64">
        <v>15.99</v>
      </c>
      <c r="H86" s="64">
        <v>12.32</v>
      </c>
      <c r="I86" s="64">
        <v>6.5</v>
      </c>
      <c r="J86" s="64">
        <v>0.23</v>
      </c>
      <c r="K86" s="64">
        <v>306.89999999999998</v>
      </c>
      <c r="L86" s="64">
        <v>23.79</v>
      </c>
      <c r="M86" s="64">
        <v>99.1</v>
      </c>
      <c r="N86" s="64">
        <v>45.5</v>
      </c>
      <c r="O86" s="64">
        <v>1.6</v>
      </c>
      <c r="P86" s="64">
        <v>0.48</v>
      </c>
      <c r="Q86" s="64">
        <v>9.41</v>
      </c>
      <c r="R86" s="198"/>
      <c r="S86" s="198"/>
      <c r="T86" s="198"/>
      <c r="U86" s="198"/>
    </row>
    <row r="87" spans="1:26" s="12" customFormat="1" x14ac:dyDescent="0.25">
      <c r="A87" s="217" t="s">
        <v>2240</v>
      </c>
      <c r="B87" s="64">
        <v>8.14</v>
      </c>
      <c r="C87" s="64">
        <v>3.25</v>
      </c>
      <c r="D87" s="64">
        <v>12</v>
      </c>
      <c r="E87" s="64">
        <v>5.31</v>
      </c>
      <c r="F87" s="64">
        <v>4.1900000000000004</v>
      </c>
      <c r="G87" s="64">
        <v>15.83</v>
      </c>
      <c r="H87" s="64">
        <v>9.5500000000000007</v>
      </c>
      <c r="I87" s="64">
        <v>6.23</v>
      </c>
      <c r="J87" s="64">
        <v>0.38</v>
      </c>
      <c r="K87" s="64">
        <v>287.01</v>
      </c>
      <c r="L87" s="64">
        <v>23.65</v>
      </c>
      <c r="M87" s="64">
        <v>99.1</v>
      </c>
      <c r="N87" s="64">
        <v>45.3</v>
      </c>
      <c r="O87" s="64">
        <v>0.2</v>
      </c>
      <c r="P87" s="64">
        <v>0.48</v>
      </c>
      <c r="Q87" s="64">
        <v>9.44</v>
      </c>
      <c r="R87" s="198"/>
      <c r="S87" s="198"/>
      <c r="T87" s="198"/>
      <c r="U87" s="198"/>
    </row>
    <row r="88" spans="1:26" s="12" customFormat="1" x14ac:dyDescent="0.25">
      <c r="A88" s="217" t="s">
        <v>2241</v>
      </c>
      <c r="B88" s="64">
        <v>8.11</v>
      </c>
      <c r="C88" s="64">
        <v>3.24</v>
      </c>
      <c r="D88" s="64">
        <v>11.97</v>
      </c>
      <c r="E88" s="64">
        <v>4.25</v>
      </c>
      <c r="F88" s="64">
        <v>2.58</v>
      </c>
      <c r="G88" s="64">
        <v>15.6</v>
      </c>
      <c r="H88" s="64">
        <v>5.59</v>
      </c>
      <c r="I88" s="64">
        <v>5.99</v>
      </c>
      <c r="J88" s="64">
        <v>0.33</v>
      </c>
      <c r="K88" s="64">
        <v>349.99</v>
      </c>
      <c r="L88" s="64">
        <v>23.77</v>
      </c>
      <c r="M88" s="64">
        <v>99.1</v>
      </c>
      <c r="N88" s="64">
        <v>45.2</v>
      </c>
      <c r="O88" s="64">
        <v>0</v>
      </c>
      <c r="P88" s="64">
        <v>0.48</v>
      </c>
      <c r="Q88" s="64">
        <v>9.3699999999999992</v>
      </c>
      <c r="R88" s="198"/>
      <c r="S88" s="198"/>
      <c r="T88" s="198"/>
      <c r="U88" s="198"/>
    </row>
    <row r="89" spans="1:26" s="12" customFormat="1" x14ac:dyDescent="0.25">
      <c r="A89" s="217" t="s">
        <v>2242</v>
      </c>
      <c r="B89" s="64">
        <v>8.08</v>
      </c>
      <c r="C89" s="64">
        <v>3.21</v>
      </c>
      <c r="D89" s="64">
        <v>11.93</v>
      </c>
      <c r="E89" s="64">
        <v>3.86</v>
      </c>
      <c r="F89" s="64">
        <v>3.77</v>
      </c>
      <c r="G89" s="64">
        <v>15.6</v>
      </c>
      <c r="H89" s="64">
        <v>5.59</v>
      </c>
      <c r="I89" s="64">
        <v>5.8</v>
      </c>
      <c r="J89" s="64">
        <v>0.51</v>
      </c>
      <c r="K89" s="64">
        <v>346.49</v>
      </c>
      <c r="L89" s="64">
        <v>23.88</v>
      </c>
      <c r="M89" s="64">
        <v>99.1</v>
      </c>
      <c r="N89" s="64">
        <v>45.4</v>
      </c>
      <c r="O89" s="64">
        <v>0</v>
      </c>
      <c r="P89" s="64">
        <v>0.48</v>
      </c>
      <c r="Q89" s="64">
        <v>9.3699999999999992</v>
      </c>
      <c r="R89" s="198"/>
      <c r="S89" s="198"/>
      <c r="T89" s="198"/>
      <c r="U89" s="198"/>
    </row>
    <row r="90" spans="1:26" s="12" customFormat="1" x14ac:dyDescent="0.25">
      <c r="A90" s="217" t="s">
        <v>2243</v>
      </c>
      <c r="B90" s="64">
        <v>8.17</v>
      </c>
      <c r="C90" s="64">
        <v>3.37</v>
      </c>
      <c r="D90" s="64">
        <v>12.08</v>
      </c>
      <c r="E90" s="64">
        <v>4.16</v>
      </c>
      <c r="F90" s="64">
        <v>3.65</v>
      </c>
      <c r="G90" s="64">
        <v>15.6</v>
      </c>
      <c r="H90" s="64">
        <v>5.59</v>
      </c>
      <c r="I90" s="64">
        <v>5.67</v>
      </c>
      <c r="J90" s="64">
        <v>0.44</v>
      </c>
      <c r="K90" s="64">
        <v>3.73</v>
      </c>
      <c r="L90" s="64">
        <v>23.95</v>
      </c>
      <c r="M90" s="64">
        <v>99.1</v>
      </c>
      <c r="N90" s="64">
        <v>45.8</v>
      </c>
      <c r="O90" s="64">
        <v>0</v>
      </c>
      <c r="P90" s="64">
        <v>0.49</v>
      </c>
      <c r="Q90" s="64">
        <v>9.44</v>
      </c>
      <c r="R90" s="198"/>
      <c r="S90" s="198"/>
      <c r="T90" s="198"/>
      <c r="U90" s="198"/>
    </row>
    <row r="91" spans="1:26" s="12" customFormat="1" x14ac:dyDescent="0.25">
      <c r="A91" s="217" t="s">
        <v>2244</v>
      </c>
      <c r="B91" s="64">
        <v>8.26</v>
      </c>
      <c r="C91" s="64">
        <v>3.66</v>
      </c>
      <c r="D91" s="64">
        <v>12.32</v>
      </c>
      <c r="E91" s="64">
        <v>3.87</v>
      </c>
      <c r="F91" s="64">
        <v>3.84</v>
      </c>
      <c r="G91" s="64">
        <v>15.08</v>
      </c>
      <c r="H91" s="64">
        <v>4.95</v>
      </c>
      <c r="I91" s="64">
        <v>5.57</v>
      </c>
      <c r="J91" s="64">
        <v>0.51</v>
      </c>
      <c r="K91" s="64">
        <v>11.15</v>
      </c>
      <c r="L91" s="64">
        <v>23.92</v>
      </c>
      <c r="M91" s="64">
        <v>99.1</v>
      </c>
      <c r="N91" s="64">
        <v>46.8</v>
      </c>
      <c r="O91" s="64">
        <v>0</v>
      </c>
      <c r="P91" s="64">
        <v>0.48</v>
      </c>
      <c r="Q91" s="64">
        <v>9.42</v>
      </c>
      <c r="R91" s="198"/>
      <c r="S91" s="198"/>
      <c r="T91" s="198"/>
      <c r="U91" s="198"/>
    </row>
    <row r="92" spans="1:26" s="12" customFormat="1" x14ac:dyDescent="0.25">
      <c r="A92" s="217" t="s">
        <v>2245</v>
      </c>
      <c r="B92" s="64">
        <v>8.14</v>
      </c>
      <c r="C92" s="64">
        <v>3.31</v>
      </c>
      <c r="D92" s="64">
        <v>12.03</v>
      </c>
      <c r="E92" s="64">
        <v>3.75</v>
      </c>
      <c r="F92" s="64">
        <v>4.4400000000000004</v>
      </c>
      <c r="G92" s="64">
        <v>14.33</v>
      </c>
      <c r="H92" s="64">
        <v>4.03</v>
      </c>
      <c r="I92" s="64">
        <v>5.21</v>
      </c>
      <c r="J92" s="64">
        <v>0.51</v>
      </c>
      <c r="K92" s="64">
        <v>2.44</v>
      </c>
      <c r="L92" s="64">
        <v>23.73</v>
      </c>
      <c r="M92" s="64">
        <v>99.1</v>
      </c>
      <c r="N92" s="64">
        <v>46.5</v>
      </c>
      <c r="O92" s="64">
        <v>0</v>
      </c>
      <c r="P92" s="64">
        <v>0.47</v>
      </c>
      <c r="Q92" s="64">
        <v>9.43</v>
      </c>
      <c r="R92" s="198"/>
      <c r="S92" s="198"/>
      <c r="T92" s="198"/>
      <c r="U92" s="198"/>
    </row>
    <row r="93" spans="1:26" s="12" customFormat="1" x14ac:dyDescent="0.25">
      <c r="A93" s="217" t="s">
        <v>2246</v>
      </c>
      <c r="B93" s="64">
        <v>8.07</v>
      </c>
      <c r="C93" s="64">
        <v>3.07</v>
      </c>
      <c r="D93" s="64">
        <v>11.85</v>
      </c>
      <c r="E93" s="64">
        <v>4</v>
      </c>
      <c r="F93" s="64">
        <v>3.33</v>
      </c>
      <c r="G93" s="64">
        <v>14.33</v>
      </c>
      <c r="H93" s="64">
        <v>4.03</v>
      </c>
      <c r="I93" s="64">
        <v>4.8</v>
      </c>
      <c r="J93" s="64">
        <v>0.6</v>
      </c>
      <c r="K93" s="64">
        <v>1.77</v>
      </c>
      <c r="L93" s="64">
        <v>23.7</v>
      </c>
      <c r="M93" s="64">
        <v>99.1</v>
      </c>
      <c r="N93" s="64">
        <v>46.2</v>
      </c>
      <c r="O93" s="64">
        <v>0</v>
      </c>
      <c r="P93" s="64">
        <v>0.45</v>
      </c>
      <c r="Q93" s="64">
        <v>9.3800000000000008</v>
      </c>
      <c r="R93" s="198"/>
      <c r="S93" s="198"/>
      <c r="T93" s="198"/>
      <c r="U93" s="198"/>
    </row>
    <row r="94" spans="1:26" s="12" customFormat="1" x14ac:dyDescent="0.25">
      <c r="A94" s="217" t="s">
        <v>2247</v>
      </c>
      <c r="B94" s="64">
        <v>8.06</v>
      </c>
      <c r="C94" s="64">
        <v>3.01</v>
      </c>
      <c r="D94" s="64">
        <v>11.81</v>
      </c>
      <c r="E94" s="64">
        <v>3.61</v>
      </c>
      <c r="F94" s="64">
        <v>4.45</v>
      </c>
      <c r="G94" s="64">
        <v>14.33</v>
      </c>
      <c r="H94" s="64">
        <v>4.03</v>
      </c>
      <c r="I94" s="64">
        <v>4.5199999999999996</v>
      </c>
      <c r="J94" s="64">
        <v>0.52</v>
      </c>
      <c r="K94" s="64">
        <v>7.21</v>
      </c>
      <c r="L94" s="64">
        <v>23.7</v>
      </c>
      <c r="M94" s="64">
        <v>99.1</v>
      </c>
      <c r="N94" s="64">
        <v>46.2</v>
      </c>
      <c r="O94" s="64">
        <v>0</v>
      </c>
      <c r="P94" s="64">
        <v>0.43</v>
      </c>
      <c r="Q94" s="64">
        <v>9.36</v>
      </c>
      <c r="R94" s="198"/>
      <c r="S94" s="198"/>
      <c r="T94" s="198"/>
      <c r="U94" s="198"/>
    </row>
    <row r="95" spans="1:26" s="12" customFormat="1" x14ac:dyDescent="0.25">
      <c r="A95" s="217" t="s">
        <v>2248</v>
      </c>
      <c r="B95" s="64">
        <v>8.0500000000000007</v>
      </c>
      <c r="C95" s="64">
        <v>3.02</v>
      </c>
      <c r="D95" s="64">
        <v>11.81</v>
      </c>
      <c r="E95" s="64">
        <v>3.88</v>
      </c>
      <c r="F95" s="64">
        <v>4.1900000000000004</v>
      </c>
      <c r="G95" s="64">
        <v>13.12</v>
      </c>
      <c r="H95" s="64">
        <v>4.53</v>
      </c>
      <c r="I95" s="64">
        <v>4.13</v>
      </c>
      <c r="J95" s="64">
        <v>0.59</v>
      </c>
      <c r="K95" s="64">
        <v>3.68</v>
      </c>
      <c r="L95" s="64">
        <v>23.71</v>
      </c>
      <c r="M95" s="64">
        <v>99.1</v>
      </c>
      <c r="N95" s="64">
        <v>46.2</v>
      </c>
      <c r="O95" s="64">
        <v>0</v>
      </c>
      <c r="P95" s="64">
        <v>0.41</v>
      </c>
      <c r="Q95" s="64">
        <v>9.4</v>
      </c>
      <c r="R95" s="198"/>
      <c r="S95" s="198"/>
      <c r="T95" s="198"/>
      <c r="U95" s="198"/>
    </row>
    <row r="96" spans="1:26" s="12" customFormat="1" x14ac:dyDescent="0.25">
      <c r="A96" s="217" t="s">
        <v>2249</v>
      </c>
      <c r="B96" s="64">
        <v>8.07</v>
      </c>
      <c r="C96" s="64">
        <v>3.12</v>
      </c>
      <c r="D96" s="64">
        <v>11.87</v>
      </c>
      <c r="E96" s="64">
        <v>3.93</v>
      </c>
      <c r="F96" s="64">
        <v>3.98</v>
      </c>
      <c r="G96" s="64">
        <v>11.38</v>
      </c>
      <c r="H96" s="64">
        <v>5.28</v>
      </c>
      <c r="I96" s="64">
        <v>3.72</v>
      </c>
      <c r="J96" s="64">
        <v>0.66</v>
      </c>
      <c r="K96" s="64">
        <v>8.8000000000000007</v>
      </c>
      <c r="L96" s="64">
        <v>23.78</v>
      </c>
      <c r="M96" s="64">
        <v>99.08</v>
      </c>
      <c r="N96" s="64">
        <v>46.4</v>
      </c>
      <c r="O96" s="64">
        <v>0</v>
      </c>
      <c r="P96" s="64">
        <v>0.4</v>
      </c>
      <c r="Q96" s="64">
        <v>9.3699999999999992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2250</v>
      </c>
      <c r="B97" s="64">
        <v>8.08</v>
      </c>
      <c r="C97" s="64">
        <v>3.08</v>
      </c>
      <c r="D97" s="64">
        <v>11.87</v>
      </c>
      <c r="E97" s="64">
        <v>3.15</v>
      </c>
      <c r="F97" s="64">
        <v>4.38</v>
      </c>
      <c r="G97" s="64">
        <v>11.38</v>
      </c>
      <c r="H97" s="64">
        <v>5.28</v>
      </c>
      <c r="I97" s="64">
        <v>3.33</v>
      </c>
      <c r="J97" s="64">
        <v>0.59</v>
      </c>
      <c r="K97" s="64">
        <v>0.31</v>
      </c>
      <c r="L97" s="64">
        <v>23.73</v>
      </c>
      <c r="M97" s="64">
        <v>99.08</v>
      </c>
      <c r="N97" s="64">
        <v>46.3</v>
      </c>
      <c r="O97" s="64">
        <v>0</v>
      </c>
      <c r="P97" s="64">
        <v>0.38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17" t="s">
        <v>2251</v>
      </c>
      <c r="B98" s="64">
        <v>8.11</v>
      </c>
      <c r="C98" s="64">
        <v>3.1</v>
      </c>
      <c r="D98" s="64">
        <v>11.9</v>
      </c>
      <c r="E98" s="64">
        <v>3.73</v>
      </c>
      <c r="F98" s="64">
        <v>3.98</v>
      </c>
      <c r="G98" s="64">
        <v>11.38</v>
      </c>
      <c r="H98" s="64">
        <v>5.28</v>
      </c>
      <c r="I98" s="64">
        <v>2.97</v>
      </c>
      <c r="J98" s="64">
        <v>0.57999999999999996</v>
      </c>
      <c r="K98" s="64">
        <v>8.4</v>
      </c>
      <c r="L98" s="64">
        <v>23.7</v>
      </c>
      <c r="M98" s="64">
        <v>99.09</v>
      </c>
      <c r="N98" s="64">
        <v>46</v>
      </c>
      <c r="O98" s="64">
        <v>0</v>
      </c>
      <c r="P98" s="64">
        <v>0.37</v>
      </c>
      <c r="Q98" s="64">
        <v>9.3800000000000008</v>
      </c>
      <c r="R98" s="198"/>
      <c r="S98" s="198"/>
      <c r="T98" s="198"/>
      <c r="U98" s="198"/>
    </row>
    <row r="99" spans="1:33" s="12" customFormat="1" x14ac:dyDescent="0.25">
      <c r="A99" s="217" t="s">
        <v>2252</v>
      </c>
      <c r="B99" s="64">
        <v>8.09</v>
      </c>
      <c r="C99" s="64">
        <v>3.06</v>
      </c>
      <c r="D99" s="64">
        <v>11.86</v>
      </c>
      <c r="E99" s="64">
        <v>3.43</v>
      </c>
      <c r="F99" s="64">
        <v>3.91</v>
      </c>
      <c r="G99" s="64">
        <v>10.81</v>
      </c>
      <c r="H99" s="64">
        <v>4.21</v>
      </c>
      <c r="I99" s="64">
        <v>2.69</v>
      </c>
      <c r="J99" s="64">
        <v>0.48</v>
      </c>
      <c r="K99" s="64">
        <v>0.57999999999999996</v>
      </c>
      <c r="L99" s="64">
        <v>23.68</v>
      </c>
      <c r="M99" s="64">
        <v>99.1</v>
      </c>
      <c r="N99" s="64">
        <v>45.5</v>
      </c>
      <c r="O99" s="64">
        <v>0</v>
      </c>
      <c r="P99" s="64">
        <v>0.36</v>
      </c>
      <c r="Q99" s="64">
        <v>9.4</v>
      </c>
      <c r="R99" s="198"/>
      <c r="S99" s="198"/>
      <c r="T99" s="198"/>
      <c r="U99" s="198"/>
    </row>
    <row r="100" spans="1:33" s="12" customFormat="1" x14ac:dyDescent="0.25">
      <c r="A100" s="217" t="s">
        <v>2253</v>
      </c>
      <c r="B100" s="64">
        <v>8.11</v>
      </c>
      <c r="C100" s="64">
        <v>3.15</v>
      </c>
      <c r="D100" s="64">
        <v>11.92</v>
      </c>
      <c r="E100" s="64">
        <v>3.39</v>
      </c>
      <c r="F100" s="64">
        <v>4.12</v>
      </c>
      <c r="G100" s="64">
        <v>9.9600000000000009</v>
      </c>
      <c r="H100" s="64">
        <v>2.69</v>
      </c>
      <c r="I100" s="64">
        <v>2.4300000000000002</v>
      </c>
      <c r="J100" s="64">
        <v>0.66</v>
      </c>
      <c r="K100" s="64">
        <v>2.34</v>
      </c>
      <c r="L100" s="64">
        <v>23.58</v>
      </c>
      <c r="M100" s="64">
        <v>99.1</v>
      </c>
      <c r="N100" s="64">
        <v>45.6</v>
      </c>
      <c r="O100" s="64">
        <v>0</v>
      </c>
      <c r="P100" s="64">
        <v>0.35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2254</v>
      </c>
      <c r="B101" s="64">
        <v>8.11</v>
      </c>
      <c r="C101" s="64">
        <v>3.17</v>
      </c>
      <c r="D101" s="64">
        <v>11.93</v>
      </c>
      <c r="E101" s="64">
        <v>3.99</v>
      </c>
      <c r="F101" s="64">
        <v>4.08</v>
      </c>
      <c r="G101" s="64">
        <v>9.9600000000000009</v>
      </c>
      <c r="H101" s="64">
        <v>2.69</v>
      </c>
      <c r="I101" s="64">
        <v>2.27</v>
      </c>
      <c r="J101" s="64">
        <v>0.67</v>
      </c>
      <c r="K101" s="64">
        <v>359.54</v>
      </c>
      <c r="L101" s="64">
        <v>23.61</v>
      </c>
      <c r="M101" s="64">
        <v>99.08</v>
      </c>
      <c r="N101" s="64">
        <v>45.8</v>
      </c>
      <c r="O101" s="64">
        <v>0</v>
      </c>
      <c r="P101" s="64">
        <v>0.32</v>
      </c>
      <c r="Q101" s="64">
        <v>9.39</v>
      </c>
      <c r="R101" s="198"/>
      <c r="S101" s="198"/>
      <c r="T101" s="198"/>
      <c r="U101" s="198"/>
    </row>
    <row r="102" spans="1:33" s="12" customFormat="1" x14ac:dyDescent="0.25">
      <c r="A102" s="217" t="s">
        <v>2255</v>
      </c>
      <c r="B102" s="64">
        <v>8.1199999999999992</v>
      </c>
      <c r="C102" s="64">
        <v>3.14</v>
      </c>
      <c r="D102" s="64">
        <v>11.93</v>
      </c>
      <c r="E102" s="64">
        <v>3.5</v>
      </c>
      <c r="F102" s="64">
        <v>4.07</v>
      </c>
      <c r="G102" s="64">
        <v>9.9600000000000009</v>
      </c>
      <c r="H102" s="64">
        <v>2.69</v>
      </c>
      <c r="I102" s="64">
        <v>2.11</v>
      </c>
      <c r="J102" s="64">
        <v>0.48</v>
      </c>
      <c r="K102" s="64">
        <v>358.39</v>
      </c>
      <c r="L102" s="64">
        <v>23.63</v>
      </c>
      <c r="M102" s="64">
        <v>99.08</v>
      </c>
      <c r="N102" s="64">
        <v>46.1</v>
      </c>
      <c r="O102" s="64">
        <v>0</v>
      </c>
      <c r="P102" s="64">
        <v>0.32</v>
      </c>
      <c r="Q102" s="64">
        <v>9.39</v>
      </c>
      <c r="R102" s="198"/>
      <c r="S102" s="198"/>
      <c r="T102" s="198"/>
      <c r="U102" s="198"/>
    </row>
    <row r="103" spans="1:33" s="12" customFormat="1" x14ac:dyDescent="0.25">
      <c r="A103" s="217" t="s">
        <v>2256</v>
      </c>
      <c r="B103" s="64">
        <v>8.1</v>
      </c>
      <c r="C103" s="64">
        <v>3.12</v>
      </c>
      <c r="D103" s="64">
        <v>11.9</v>
      </c>
      <c r="E103" s="64">
        <v>3.51</v>
      </c>
      <c r="F103" s="64">
        <v>4.8</v>
      </c>
      <c r="G103" s="64">
        <v>9</v>
      </c>
      <c r="H103" s="64">
        <v>2.4</v>
      </c>
      <c r="I103" s="64">
        <v>1.91</v>
      </c>
      <c r="J103" s="64">
        <v>0.64</v>
      </c>
      <c r="K103" s="64">
        <v>359.7</v>
      </c>
      <c r="L103" s="64">
        <v>23.61</v>
      </c>
      <c r="M103" s="64">
        <v>99.08</v>
      </c>
      <c r="N103" s="64">
        <v>46.4</v>
      </c>
      <c r="O103" s="64">
        <v>0</v>
      </c>
      <c r="P103" s="64">
        <v>0.31</v>
      </c>
      <c r="Q103" s="64">
        <v>9.36</v>
      </c>
      <c r="R103" s="198"/>
      <c r="S103" s="198"/>
      <c r="T103" s="198"/>
      <c r="U103" s="198"/>
    </row>
    <row r="104" spans="1:33" s="12" customFormat="1" x14ac:dyDescent="0.25">
      <c r="A104" s="217" t="s">
        <v>2257</v>
      </c>
      <c r="B104" s="64">
        <v>8.24</v>
      </c>
      <c r="C104" s="64">
        <v>3.69</v>
      </c>
      <c r="D104" s="64">
        <v>12.31</v>
      </c>
      <c r="E104" s="64">
        <v>4.3899999999999997</v>
      </c>
      <c r="F104" s="64">
        <v>3.6</v>
      </c>
      <c r="G104" s="64">
        <v>7.63</v>
      </c>
      <c r="H104" s="64">
        <v>1.97</v>
      </c>
      <c r="I104" s="64">
        <v>1.83</v>
      </c>
      <c r="J104" s="64">
        <v>0.7</v>
      </c>
      <c r="K104" s="64">
        <v>359.55</v>
      </c>
      <c r="L104" s="64">
        <v>23.63</v>
      </c>
      <c r="M104" s="64">
        <v>99.08</v>
      </c>
      <c r="N104" s="64">
        <v>46.6</v>
      </c>
      <c r="O104" s="64">
        <v>0</v>
      </c>
      <c r="P104" s="64">
        <v>0.3</v>
      </c>
      <c r="Q104" s="64">
        <v>9.2100000000000009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8.0299999999999994</v>
      </c>
      <c r="C106" s="67">
        <f>MIN(C9:C104)</f>
        <v>3.01</v>
      </c>
      <c r="D106" s="67">
        <f t="shared" ref="D106:Q106" si="0">MIN(D9:D104)</f>
        <v>11.81</v>
      </c>
      <c r="E106" s="67">
        <f t="shared" si="0"/>
        <v>3.15</v>
      </c>
      <c r="F106" s="67">
        <f t="shared" si="0"/>
        <v>2.52</v>
      </c>
      <c r="G106" s="67">
        <f t="shared" si="0"/>
        <v>4.67</v>
      </c>
      <c r="H106" s="67">
        <f t="shared" si="0"/>
        <v>1.21</v>
      </c>
      <c r="I106" s="67">
        <f t="shared" si="0"/>
        <v>1.83</v>
      </c>
      <c r="J106" s="67">
        <f t="shared" si="0"/>
        <v>0.04</v>
      </c>
      <c r="K106" s="67">
        <f t="shared" si="0"/>
        <v>0.31</v>
      </c>
      <c r="L106" s="67">
        <f t="shared" si="0"/>
        <v>22.82</v>
      </c>
      <c r="M106" s="67">
        <f t="shared" si="0"/>
        <v>76.55</v>
      </c>
      <c r="N106" s="67">
        <f t="shared" si="0"/>
        <v>45.2</v>
      </c>
      <c r="O106" s="67">
        <f t="shared" si="0"/>
        <v>0</v>
      </c>
      <c r="P106" s="67">
        <f t="shared" si="0"/>
        <v>0.3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9.2200000000000006</v>
      </c>
      <c r="C107" s="66">
        <f t="shared" ref="C107:Q107" si="1">MAX(C9:C104)</f>
        <v>5.23</v>
      </c>
      <c r="D107" s="66">
        <f t="shared" si="1"/>
        <v>13.9</v>
      </c>
      <c r="E107" s="66">
        <f t="shared" si="1"/>
        <v>6.15</v>
      </c>
      <c r="F107" s="66">
        <f t="shared" si="1"/>
        <v>5.1100000000000003</v>
      </c>
      <c r="G107" s="66">
        <f t="shared" si="1"/>
        <v>54.93</v>
      </c>
      <c r="H107" s="66">
        <f t="shared" si="1"/>
        <v>27.2</v>
      </c>
      <c r="I107" s="66">
        <f t="shared" si="1"/>
        <v>9.44</v>
      </c>
      <c r="J107" s="66">
        <f t="shared" si="1"/>
        <v>2.29</v>
      </c>
      <c r="K107" s="66">
        <f t="shared" si="1"/>
        <v>359.7</v>
      </c>
      <c r="L107" s="66">
        <f t="shared" si="1"/>
        <v>29.45</v>
      </c>
      <c r="M107" s="66">
        <f t="shared" si="1"/>
        <v>99.13</v>
      </c>
      <c r="N107" s="66">
        <f t="shared" si="1"/>
        <v>613.9</v>
      </c>
      <c r="O107" s="66">
        <f t="shared" si="1"/>
        <v>1.8</v>
      </c>
      <c r="P107" s="66">
        <f t="shared" si="1"/>
        <v>0.61</v>
      </c>
      <c r="Q107" s="66">
        <f t="shared" si="1"/>
        <v>9.7899999999999991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8.2161458333333357</v>
      </c>
      <c r="C108" s="67">
        <f t="shared" ref="C108:Q108" si="2">AVERAGE(C9:C104)</f>
        <v>3.3626041666666655</v>
      </c>
      <c r="D108" s="67">
        <f t="shared" si="2"/>
        <v>12.120104166666669</v>
      </c>
      <c r="E108" s="67">
        <f t="shared" si="2"/>
        <v>4.8373958333333338</v>
      </c>
      <c r="F108" s="67">
        <f t="shared" si="2"/>
        <v>3.6579166666666656</v>
      </c>
      <c r="G108" s="67">
        <f t="shared" si="2"/>
        <v>24.552840909090904</v>
      </c>
      <c r="H108" s="67">
        <f t="shared" si="2"/>
        <v>9.0693181818181809</v>
      </c>
      <c r="I108" s="67">
        <f t="shared" si="2"/>
        <v>5.1855208333333342</v>
      </c>
      <c r="J108" s="67">
        <f t="shared" si="2"/>
        <v>0.60385416666666669</v>
      </c>
      <c r="K108" s="67">
        <f t="shared" si="2"/>
        <v>239.96989583333337</v>
      </c>
      <c r="L108" s="67">
        <f t="shared" si="2"/>
        <v>24.767604166666661</v>
      </c>
      <c r="M108" s="67">
        <f t="shared" si="2"/>
        <v>96.590729166666733</v>
      </c>
      <c r="N108" s="67">
        <f t="shared" si="2"/>
        <v>151.22812500000001</v>
      </c>
      <c r="O108" s="67">
        <f t="shared" si="2"/>
        <v>8.7499999999999981E-2</v>
      </c>
      <c r="P108" s="67">
        <f t="shared" si="2"/>
        <v>0.41437499999999977</v>
      </c>
      <c r="Q108" s="67">
        <f t="shared" si="2"/>
        <v>9.4728125000000016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0.23510969351019145</v>
      </c>
      <c r="C109" s="67">
        <f t="shared" ref="C109:Q109" si="3">STDEV(C9:C104)</f>
        <v>0.46881765008913201</v>
      </c>
      <c r="D109" s="67">
        <f t="shared" si="3"/>
        <v>0.43124665012683155</v>
      </c>
      <c r="E109" s="67">
        <f t="shared" si="3"/>
        <v>0.68376549502952932</v>
      </c>
      <c r="F109" s="67">
        <f t="shared" si="3"/>
        <v>0.43907058937733157</v>
      </c>
      <c r="G109" s="67">
        <f t="shared" si="3"/>
        <v>15.888617696207515</v>
      </c>
      <c r="H109" s="67">
        <f t="shared" si="3"/>
        <v>7.5499458467197851</v>
      </c>
      <c r="I109" s="67">
        <f t="shared" si="3"/>
        <v>2.142755171707019</v>
      </c>
      <c r="J109" s="67">
        <f t="shared" si="3"/>
        <v>0.38345073049780265</v>
      </c>
      <c r="K109" s="67">
        <f t="shared" si="3"/>
        <v>120.08886396064126</v>
      </c>
      <c r="L109" s="67">
        <f t="shared" si="3"/>
        <v>1.9498387219630922</v>
      </c>
      <c r="M109" s="67">
        <f t="shared" si="3"/>
        <v>5.5324678503675813</v>
      </c>
      <c r="N109" s="67">
        <f t="shared" si="3"/>
        <v>142.12628684090845</v>
      </c>
      <c r="O109" s="67">
        <f t="shared" si="3"/>
        <v>0.30822070014844882</v>
      </c>
      <c r="P109" s="67">
        <f t="shared" si="3"/>
        <v>8.0587481070346023E-2</v>
      </c>
      <c r="Q109" s="67">
        <f t="shared" si="3"/>
        <v>0.13593112129619953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2258</v>
      </c>
      <c r="B9" s="64">
        <v>8.17</v>
      </c>
      <c r="C9" s="64">
        <v>3.44</v>
      </c>
      <c r="D9" s="64">
        <v>12.13</v>
      </c>
      <c r="E9" s="64">
        <v>4.3600000000000003</v>
      </c>
      <c r="F9" s="64">
        <v>4.46</v>
      </c>
      <c r="G9" s="64">
        <v>7.63</v>
      </c>
      <c r="H9" s="64">
        <v>1.97</v>
      </c>
      <c r="I9" s="64">
        <v>1.81</v>
      </c>
      <c r="J9" s="64">
        <v>0.53</v>
      </c>
      <c r="K9" s="64">
        <v>15.78</v>
      </c>
      <c r="L9" s="64">
        <v>23.6</v>
      </c>
      <c r="M9" s="64">
        <v>99.08</v>
      </c>
      <c r="N9" s="64">
        <v>46.6</v>
      </c>
      <c r="O9" s="64">
        <v>0</v>
      </c>
      <c r="P9" s="64">
        <v>0.28000000000000003</v>
      </c>
      <c r="Q9" s="64">
        <v>9.2100000000000009</v>
      </c>
      <c r="R9" s="198"/>
      <c r="S9" s="198"/>
      <c r="T9" s="198"/>
      <c r="U9" s="198"/>
    </row>
    <row r="10" spans="1:21" s="12" customFormat="1" x14ac:dyDescent="0.25">
      <c r="A10" s="217" t="s">
        <v>2259</v>
      </c>
      <c r="B10" s="64">
        <v>8.07</v>
      </c>
      <c r="C10" s="64">
        <v>3.09</v>
      </c>
      <c r="D10" s="64">
        <v>11.86</v>
      </c>
      <c r="E10" s="64">
        <v>4</v>
      </c>
      <c r="F10" s="64">
        <v>4.01</v>
      </c>
      <c r="G10" s="64">
        <v>7.63</v>
      </c>
      <c r="H10" s="64">
        <v>1.97</v>
      </c>
      <c r="I10" s="64">
        <v>1.55</v>
      </c>
      <c r="J10" s="64">
        <v>0.64</v>
      </c>
      <c r="K10" s="64">
        <v>3.29</v>
      </c>
      <c r="L10" s="64">
        <v>23.6</v>
      </c>
      <c r="M10" s="64">
        <v>99.08</v>
      </c>
      <c r="N10" s="64">
        <v>46.8</v>
      </c>
      <c r="O10" s="64">
        <v>0</v>
      </c>
      <c r="P10" s="64">
        <v>0.28000000000000003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7" t="s">
        <v>2260</v>
      </c>
      <c r="B11" s="64">
        <v>8.06</v>
      </c>
      <c r="C11" s="64">
        <v>3.02</v>
      </c>
      <c r="D11" s="64">
        <v>11.82</v>
      </c>
      <c r="E11" s="64">
        <v>4.05</v>
      </c>
      <c r="F11" s="64">
        <v>4.16</v>
      </c>
      <c r="G11" s="64">
        <v>7.73</v>
      </c>
      <c r="H11" s="64">
        <v>1.64</v>
      </c>
      <c r="I11" s="64">
        <v>1.41</v>
      </c>
      <c r="J11" s="64">
        <v>0.46</v>
      </c>
      <c r="K11" s="64">
        <v>7.48</v>
      </c>
      <c r="L11" s="64">
        <v>23.55</v>
      </c>
      <c r="M11" s="64">
        <v>99.08</v>
      </c>
      <c r="N11" s="64">
        <v>46.6</v>
      </c>
      <c r="O11" s="64">
        <v>0</v>
      </c>
      <c r="P11" s="64">
        <v>0.25</v>
      </c>
      <c r="Q11" s="64">
        <v>9.23</v>
      </c>
      <c r="R11" s="198"/>
      <c r="S11" s="198"/>
      <c r="T11" s="198"/>
      <c r="U11" s="198"/>
    </row>
    <row r="12" spans="1:21" s="12" customFormat="1" x14ac:dyDescent="0.25">
      <c r="A12" s="217" t="s">
        <v>2261</v>
      </c>
      <c r="B12" s="64">
        <v>8.0500000000000007</v>
      </c>
      <c r="C12" s="64">
        <v>3.02</v>
      </c>
      <c r="D12" s="64">
        <v>11.81</v>
      </c>
      <c r="E12" s="64">
        <v>4.2699999999999996</v>
      </c>
      <c r="F12" s="64">
        <v>4.9800000000000004</v>
      </c>
      <c r="G12" s="64">
        <v>7.88</v>
      </c>
      <c r="H12" s="64">
        <v>1.18</v>
      </c>
      <c r="I12" s="64">
        <v>1.29</v>
      </c>
      <c r="J12" s="64">
        <v>0.72</v>
      </c>
      <c r="K12" s="64">
        <v>6.06</v>
      </c>
      <c r="L12" s="64">
        <v>23.49</v>
      </c>
      <c r="M12" s="64">
        <v>99.08</v>
      </c>
      <c r="N12" s="64">
        <v>46.7</v>
      </c>
      <c r="O12" s="64">
        <v>0</v>
      </c>
      <c r="P12" s="64">
        <v>0.25</v>
      </c>
      <c r="Q12" s="64">
        <v>9.3000000000000007</v>
      </c>
      <c r="R12" s="198"/>
      <c r="S12" s="198"/>
      <c r="T12" s="198"/>
      <c r="U12" s="198"/>
    </row>
    <row r="13" spans="1:21" s="12" customFormat="1" x14ac:dyDescent="0.25">
      <c r="A13" s="217" t="s">
        <v>2262</v>
      </c>
      <c r="B13" s="64">
        <v>8.0299999999999994</v>
      </c>
      <c r="C13" s="64">
        <v>2.95</v>
      </c>
      <c r="D13" s="64">
        <v>11.76</v>
      </c>
      <c r="E13" s="64">
        <v>4.17</v>
      </c>
      <c r="F13" s="64">
        <v>4.37</v>
      </c>
      <c r="G13" s="64">
        <v>7.88</v>
      </c>
      <c r="H13" s="64">
        <v>1.18</v>
      </c>
      <c r="I13" s="64">
        <v>1.17</v>
      </c>
      <c r="J13" s="64">
        <v>0.59</v>
      </c>
      <c r="K13" s="64">
        <v>358.8</v>
      </c>
      <c r="L13" s="64">
        <v>23.48</v>
      </c>
      <c r="M13" s="64">
        <v>99.08</v>
      </c>
      <c r="N13" s="64">
        <v>46.6</v>
      </c>
      <c r="O13" s="64">
        <v>0</v>
      </c>
      <c r="P13" s="64">
        <v>0.25</v>
      </c>
      <c r="Q13" s="64">
        <v>9.26</v>
      </c>
      <c r="R13" s="198"/>
      <c r="S13" s="198"/>
      <c r="T13" s="198"/>
      <c r="U13" s="198"/>
    </row>
    <row r="14" spans="1:21" s="12" customFormat="1" x14ac:dyDescent="0.25">
      <c r="A14" s="217" t="s">
        <v>2263</v>
      </c>
      <c r="B14" s="64">
        <v>8.0299999999999994</v>
      </c>
      <c r="C14" s="64">
        <v>2.95</v>
      </c>
      <c r="D14" s="64">
        <v>11.76</v>
      </c>
      <c r="E14" s="64">
        <v>4.3499999999999996</v>
      </c>
      <c r="F14" s="64">
        <v>4.91</v>
      </c>
      <c r="G14" s="64">
        <v>7.88</v>
      </c>
      <c r="H14" s="64">
        <v>1.18</v>
      </c>
      <c r="I14" s="64">
        <v>1.1000000000000001</v>
      </c>
      <c r="J14" s="64">
        <v>0.56999999999999995</v>
      </c>
      <c r="K14" s="64">
        <v>7.37</v>
      </c>
      <c r="L14" s="64">
        <v>23.37</v>
      </c>
      <c r="M14" s="64">
        <v>99.08</v>
      </c>
      <c r="N14" s="64">
        <v>46.6</v>
      </c>
      <c r="O14" s="64">
        <v>0</v>
      </c>
      <c r="P14" s="64">
        <v>0.26</v>
      </c>
      <c r="Q14" s="64">
        <v>9.27</v>
      </c>
      <c r="R14" s="198"/>
      <c r="S14" s="198"/>
      <c r="T14" s="198"/>
      <c r="U14" s="198"/>
    </row>
    <row r="15" spans="1:21" s="12" customFormat="1" x14ac:dyDescent="0.25">
      <c r="A15" s="217" t="s">
        <v>2264</v>
      </c>
      <c r="B15" s="64">
        <v>8.0299999999999994</v>
      </c>
      <c r="C15" s="64">
        <v>2.96</v>
      </c>
      <c r="D15" s="64">
        <v>11.76</v>
      </c>
      <c r="E15" s="64">
        <v>3.88</v>
      </c>
      <c r="F15" s="64">
        <v>4.58</v>
      </c>
      <c r="G15" s="64">
        <v>8.35</v>
      </c>
      <c r="H15" s="64">
        <v>0.94</v>
      </c>
      <c r="I15" s="64">
        <v>1.02</v>
      </c>
      <c r="J15" s="64">
        <v>0.62</v>
      </c>
      <c r="K15" s="64">
        <v>358.14</v>
      </c>
      <c r="L15" s="64">
        <v>23.28</v>
      </c>
      <c r="M15" s="64">
        <v>99.08</v>
      </c>
      <c r="N15" s="64">
        <v>46.6</v>
      </c>
      <c r="O15" s="64">
        <v>0</v>
      </c>
      <c r="P15" s="64">
        <v>0.26</v>
      </c>
      <c r="Q15" s="64">
        <v>9.34</v>
      </c>
      <c r="R15" s="198"/>
      <c r="S15" s="198"/>
      <c r="T15" s="198"/>
      <c r="U15" s="198"/>
    </row>
    <row r="16" spans="1:21" s="12" customFormat="1" x14ac:dyDescent="0.25">
      <c r="A16" s="217" t="s">
        <v>2265</v>
      </c>
      <c r="B16" s="64">
        <v>8.06</v>
      </c>
      <c r="C16" s="64">
        <v>3.04</v>
      </c>
      <c r="D16" s="64">
        <v>11.82</v>
      </c>
      <c r="E16" s="64">
        <v>4</v>
      </c>
      <c r="F16" s="64">
        <v>4.47</v>
      </c>
      <c r="G16" s="64">
        <v>9.06</v>
      </c>
      <c r="H16" s="64">
        <v>0.57999999999999996</v>
      </c>
      <c r="I16" s="64">
        <v>1.06</v>
      </c>
      <c r="J16" s="64">
        <v>0.64</v>
      </c>
      <c r="K16" s="64">
        <v>8.9700000000000006</v>
      </c>
      <c r="L16" s="64">
        <v>23.24</v>
      </c>
      <c r="M16" s="64">
        <v>99.08</v>
      </c>
      <c r="N16" s="64">
        <v>46.4</v>
      </c>
      <c r="O16" s="64">
        <v>0</v>
      </c>
      <c r="P16" s="64">
        <v>0.24</v>
      </c>
      <c r="Q16" s="64">
        <v>9.32</v>
      </c>
      <c r="R16" s="198"/>
      <c r="S16" s="198"/>
      <c r="T16" s="198"/>
      <c r="U16" s="198"/>
    </row>
    <row r="17" spans="1:21" s="12" customFormat="1" x14ac:dyDescent="0.25">
      <c r="A17" s="217" t="s">
        <v>2266</v>
      </c>
      <c r="B17" s="64">
        <v>8.06</v>
      </c>
      <c r="C17" s="64">
        <v>2.95</v>
      </c>
      <c r="D17" s="64">
        <v>11.78</v>
      </c>
      <c r="E17" s="64">
        <v>4.0999999999999996</v>
      </c>
      <c r="F17" s="64">
        <v>4.75</v>
      </c>
      <c r="G17" s="64">
        <v>9.06</v>
      </c>
      <c r="H17" s="64">
        <v>0.57999999999999996</v>
      </c>
      <c r="I17" s="64">
        <v>1</v>
      </c>
      <c r="J17" s="64">
        <v>0.6</v>
      </c>
      <c r="K17" s="64">
        <v>3.79</v>
      </c>
      <c r="L17" s="64">
        <v>23.13</v>
      </c>
      <c r="M17" s="64">
        <v>99.08</v>
      </c>
      <c r="N17" s="64">
        <v>46.4</v>
      </c>
      <c r="O17" s="64">
        <v>0</v>
      </c>
      <c r="P17" s="64">
        <v>0.24</v>
      </c>
      <c r="Q17" s="64">
        <v>9.33</v>
      </c>
      <c r="R17" s="198"/>
      <c r="S17" s="198"/>
      <c r="T17" s="198"/>
      <c r="U17" s="198"/>
    </row>
    <row r="18" spans="1:21" s="12" customFormat="1" x14ac:dyDescent="0.25">
      <c r="A18" s="217" t="s">
        <v>2267</v>
      </c>
      <c r="B18" s="64">
        <v>8.06</v>
      </c>
      <c r="C18" s="64">
        <v>2.96</v>
      </c>
      <c r="D18" s="64">
        <v>11.78</v>
      </c>
      <c r="E18" s="64">
        <v>4.0999999999999996</v>
      </c>
      <c r="F18" s="64">
        <v>4.33</v>
      </c>
      <c r="G18" s="64">
        <v>9.06</v>
      </c>
      <c r="H18" s="64">
        <v>0.57999999999999996</v>
      </c>
      <c r="I18" s="64">
        <v>0.9</v>
      </c>
      <c r="J18" s="64">
        <v>0.52</v>
      </c>
      <c r="K18" s="64">
        <v>357.11</v>
      </c>
      <c r="L18" s="64">
        <v>23.15</v>
      </c>
      <c r="M18" s="64">
        <v>99.08</v>
      </c>
      <c r="N18" s="64">
        <v>46.2</v>
      </c>
      <c r="O18" s="64">
        <v>0</v>
      </c>
      <c r="P18" s="64">
        <v>0.23</v>
      </c>
      <c r="Q18" s="64">
        <v>9.33</v>
      </c>
      <c r="R18" s="198"/>
      <c r="S18" s="198"/>
      <c r="T18" s="198"/>
      <c r="U18" s="198"/>
    </row>
    <row r="19" spans="1:21" s="12" customFormat="1" x14ac:dyDescent="0.25">
      <c r="A19" s="217" t="s">
        <v>2268</v>
      </c>
      <c r="B19" s="64">
        <v>8.0500000000000007</v>
      </c>
      <c r="C19" s="64">
        <v>3.06</v>
      </c>
      <c r="D19" s="64">
        <v>11.83</v>
      </c>
      <c r="E19" s="64">
        <v>4.1100000000000003</v>
      </c>
      <c r="F19" s="64">
        <v>5.01</v>
      </c>
      <c r="G19" s="64">
        <v>8.2899999999999991</v>
      </c>
      <c r="H19" s="64">
        <v>0.74</v>
      </c>
      <c r="I19" s="64">
        <v>0.85</v>
      </c>
      <c r="J19" s="64">
        <v>0.63</v>
      </c>
      <c r="K19" s="64">
        <v>351.99</v>
      </c>
      <c r="L19" s="64">
        <v>23.16</v>
      </c>
      <c r="M19" s="64">
        <v>99.08</v>
      </c>
      <c r="N19" s="64">
        <v>46</v>
      </c>
      <c r="O19" s="64">
        <v>0</v>
      </c>
      <c r="P19" s="64">
        <v>0.23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7" t="s">
        <v>2269</v>
      </c>
      <c r="B20" s="64">
        <v>8.09</v>
      </c>
      <c r="C20" s="64">
        <v>3.1</v>
      </c>
      <c r="D20" s="64">
        <v>11.88</v>
      </c>
      <c r="E20" s="64">
        <v>3.9</v>
      </c>
      <c r="F20" s="64">
        <v>5.03</v>
      </c>
      <c r="G20" s="64">
        <v>7.13</v>
      </c>
      <c r="H20" s="64">
        <v>0.99</v>
      </c>
      <c r="I20" s="64">
        <v>0.79</v>
      </c>
      <c r="J20" s="64">
        <v>0.6</v>
      </c>
      <c r="K20" s="64">
        <v>354.65</v>
      </c>
      <c r="L20" s="64">
        <v>23.13</v>
      </c>
      <c r="M20" s="64">
        <v>99.08</v>
      </c>
      <c r="N20" s="64">
        <v>46</v>
      </c>
      <c r="O20" s="64">
        <v>0</v>
      </c>
      <c r="P20" s="64">
        <v>0.22</v>
      </c>
      <c r="Q20" s="64">
        <v>9.34</v>
      </c>
      <c r="R20" s="198"/>
      <c r="S20" s="198"/>
      <c r="T20" s="198"/>
      <c r="U20" s="198"/>
    </row>
    <row r="21" spans="1:21" s="12" customFormat="1" x14ac:dyDescent="0.25">
      <c r="A21" s="217" t="s">
        <v>2270</v>
      </c>
      <c r="B21" s="64">
        <v>8.09</v>
      </c>
      <c r="C21" s="64">
        <v>3.07</v>
      </c>
      <c r="D21" s="64">
        <v>11.86</v>
      </c>
      <c r="E21" s="64">
        <v>3.85</v>
      </c>
      <c r="F21" s="64">
        <v>5.05</v>
      </c>
      <c r="G21" s="64">
        <v>7.13</v>
      </c>
      <c r="H21" s="64">
        <v>0.99</v>
      </c>
      <c r="I21" s="64">
        <v>0.73</v>
      </c>
      <c r="J21" s="64">
        <v>0.56000000000000005</v>
      </c>
      <c r="K21" s="64">
        <v>0.36</v>
      </c>
      <c r="L21" s="64">
        <v>23.17</v>
      </c>
      <c r="M21" s="64">
        <v>99.08</v>
      </c>
      <c r="N21" s="64">
        <v>45.9</v>
      </c>
      <c r="O21" s="64">
        <v>0</v>
      </c>
      <c r="P21" s="64">
        <v>0.22</v>
      </c>
      <c r="Q21" s="64">
        <v>9.35</v>
      </c>
      <c r="R21" s="198"/>
      <c r="S21" s="198"/>
      <c r="T21" s="198"/>
      <c r="U21" s="198"/>
    </row>
    <row r="22" spans="1:21" s="12" customFormat="1" x14ac:dyDescent="0.25">
      <c r="A22" s="217" t="s">
        <v>2271</v>
      </c>
      <c r="B22" s="64">
        <v>8.1300000000000008</v>
      </c>
      <c r="C22" s="64">
        <v>3.14</v>
      </c>
      <c r="D22" s="64">
        <v>11.93</v>
      </c>
      <c r="E22" s="64">
        <v>3.96</v>
      </c>
      <c r="F22" s="64">
        <v>4.93</v>
      </c>
      <c r="G22" s="64">
        <v>7.13</v>
      </c>
      <c r="H22" s="64">
        <v>0.99</v>
      </c>
      <c r="I22" s="64">
        <v>0.7</v>
      </c>
      <c r="J22" s="64">
        <v>0.48</v>
      </c>
      <c r="K22" s="64">
        <v>353.78</v>
      </c>
      <c r="L22" s="64">
        <v>23.18</v>
      </c>
      <c r="M22" s="64">
        <v>99.08</v>
      </c>
      <c r="N22" s="64">
        <v>45.9</v>
      </c>
      <c r="O22" s="64">
        <v>0</v>
      </c>
      <c r="P22" s="64">
        <v>0.21</v>
      </c>
      <c r="Q22" s="64">
        <v>9.34</v>
      </c>
      <c r="R22" s="198"/>
      <c r="S22" s="198"/>
      <c r="T22" s="198"/>
      <c r="U22" s="198"/>
    </row>
    <row r="23" spans="1:21" s="12" customFormat="1" x14ac:dyDescent="0.25">
      <c r="A23" s="217" t="s">
        <v>2272</v>
      </c>
      <c r="B23" s="64">
        <v>8.1</v>
      </c>
      <c r="C23" s="64">
        <v>3.06</v>
      </c>
      <c r="D23" s="64">
        <v>11.87</v>
      </c>
      <c r="E23" s="64">
        <v>4.55</v>
      </c>
      <c r="F23" s="64">
        <v>4.63</v>
      </c>
      <c r="G23" s="64">
        <v>6.46</v>
      </c>
      <c r="H23" s="64">
        <v>1</v>
      </c>
      <c r="I23" s="64">
        <v>0.68</v>
      </c>
      <c r="J23" s="64">
        <v>0.61</v>
      </c>
      <c r="K23" s="64">
        <v>0.86</v>
      </c>
      <c r="L23" s="64">
        <v>23.15</v>
      </c>
      <c r="M23" s="64">
        <v>99.08</v>
      </c>
      <c r="N23" s="64">
        <v>46</v>
      </c>
      <c r="O23" s="64">
        <v>0</v>
      </c>
      <c r="P23" s="64">
        <v>0.21</v>
      </c>
      <c r="Q23" s="64">
        <v>9.31</v>
      </c>
      <c r="R23" s="198"/>
      <c r="S23" s="198"/>
      <c r="T23" s="198"/>
      <c r="U23" s="198"/>
    </row>
    <row r="24" spans="1:21" s="12" customFormat="1" x14ac:dyDescent="0.25">
      <c r="A24" s="217" t="s">
        <v>2273</v>
      </c>
      <c r="B24" s="64">
        <v>8.09</v>
      </c>
      <c r="C24" s="64">
        <v>3</v>
      </c>
      <c r="D24" s="64">
        <v>11.83</v>
      </c>
      <c r="E24" s="64">
        <v>3.76</v>
      </c>
      <c r="F24" s="64">
        <v>4.66</v>
      </c>
      <c r="G24" s="64">
        <v>5.46</v>
      </c>
      <c r="H24" s="64">
        <v>1.02</v>
      </c>
      <c r="I24" s="64">
        <v>0.66</v>
      </c>
      <c r="J24" s="64">
        <v>0.52</v>
      </c>
      <c r="K24" s="64">
        <v>353.33</v>
      </c>
      <c r="L24" s="64">
        <v>23.1</v>
      </c>
      <c r="M24" s="64">
        <v>99.08</v>
      </c>
      <c r="N24" s="64">
        <v>45.8</v>
      </c>
      <c r="O24" s="64">
        <v>0</v>
      </c>
      <c r="P24" s="64">
        <v>0.21</v>
      </c>
      <c r="Q24" s="64">
        <v>9.31</v>
      </c>
      <c r="R24" s="198"/>
      <c r="S24" s="198"/>
      <c r="T24" s="198"/>
      <c r="U24" s="198"/>
    </row>
    <row r="25" spans="1:21" s="12" customFormat="1" x14ac:dyDescent="0.25">
      <c r="A25" s="217" t="s">
        <v>2274</v>
      </c>
      <c r="B25" s="64">
        <v>8.09</v>
      </c>
      <c r="C25" s="64">
        <v>3.02</v>
      </c>
      <c r="D25" s="64">
        <v>11.84</v>
      </c>
      <c r="E25" s="64">
        <v>4.47</v>
      </c>
      <c r="F25" s="64">
        <v>5.46</v>
      </c>
      <c r="G25" s="64">
        <v>5.46</v>
      </c>
      <c r="H25" s="64">
        <v>1.02</v>
      </c>
      <c r="I25" s="64">
        <v>0.66</v>
      </c>
      <c r="J25" s="64">
        <v>0.64</v>
      </c>
      <c r="K25" s="64">
        <v>357.53</v>
      </c>
      <c r="L25" s="64">
        <v>23.02</v>
      </c>
      <c r="M25" s="64">
        <v>99.08</v>
      </c>
      <c r="N25" s="64">
        <v>46.1</v>
      </c>
      <c r="O25" s="64">
        <v>0.2</v>
      </c>
      <c r="P25" s="64">
        <v>0.22</v>
      </c>
      <c r="Q25" s="64">
        <v>9.32</v>
      </c>
      <c r="R25" s="198"/>
      <c r="S25" s="198"/>
      <c r="T25" s="198"/>
      <c r="U25" s="198"/>
    </row>
    <row r="26" spans="1:21" s="12" customFormat="1" x14ac:dyDescent="0.25">
      <c r="A26" s="217" t="s">
        <v>2275</v>
      </c>
      <c r="B26" s="64">
        <v>8.06</v>
      </c>
      <c r="C26" s="64">
        <v>3.04</v>
      </c>
      <c r="D26" s="64">
        <v>11.83</v>
      </c>
      <c r="E26" s="64">
        <v>4.08</v>
      </c>
      <c r="F26" s="64">
        <v>3.75</v>
      </c>
      <c r="G26" s="64">
        <v>5.46</v>
      </c>
      <c r="H26" s="64">
        <v>1.02</v>
      </c>
      <c r="I26" s="64">
        <v>0.65</v>
      </c>
      <c r="J26" s="64">
        <v>0.57999999999999996</v>
      </c>
      <c r="K26" s="64">
        <v>8.7899999999999991</v>
      </c>
      <c r="L26" s="64">
        <v>22.82</v>
      </c>
      <c r="M26" s="64">
        <v>99.09</v>
      </c>
      <c r="N26" s="64">
        <v>45.7</v>
      </c>
      <c r="O26" s="64">
        <v>0</v>
      </c>
      <c r="P26" s="64">
        <v>0.21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7" t="s">
        <v>2276</v>
      </c>
      <c r="B27" s="64">
        <v>8.1199999999999992</v>
      </c>
      <c r="C27" s="64">
        <v>3.16</v>
      </c>
      <c r="D27" s="64">
        <v>11.93</v>
      </c>
      <c r="E27" s="64">
        <v>4.16</v>
      </c>
      <c r="F27" s="64">
        <v>4.08</v>
      </c>
      <c r="G27" s="64">
        <v>4.97</v>
      </c>
      <c r="H27" s="64">
        <v>0.99</v>
      </c>
      <c r="I27" s="64">
        <v>0.69</v>
      </c>
      <c r="J27" s="64">
        <v>0.55000000000000004</v>
      </c>
      <c r="K27" s="64">
        <v>356.15</v>
      </c>
      <c r="L27" s="64">
        <v>22.82</v>
      </c>
      <c r="M27" s="64">
        <v>99.1</v>
      </c>
      <c r="N27" s="64">
        <v>45.8</v>
      </c>
      <c r="O27" s="64">
        <v>0.2</v>
      </c>
      <c r="P27" s="64">
        <v>0.21</v>
      </c>
      <c r="Q27" s="64">
        <v>9.16</v>
      </c>
      <c r="R27" s="198"/>
      <c r="S27" s="198"/>
      <c r="T27" s="198"/>
      <c r="U27" s="198"/>
    </row>
    <row r="28" spans="1:21" s="12" customFormat="1" x14ac:dyDescent="0.25">
      <c r="A28" s="217" t="s">
        <v>2277</v>
      </c>
      <c r="B28" s="64">
        <v>8.11</v>
      </c>
      <c r="C28" s="64">
        <v>3.06</v>
      </c>
      <c r="D28" s="64">
        <v>11.88</v>
      </c>
      <c r="E28" s="64">
        <v>4.46</v>
      </c>
      <c r="F28" s="64">
        <v>4.42</v>
      </c>
      <c r="G28" s="64">
        <v>4.24</v>
      </c>
      <c r="H28" s="64">
        <v>0.94</v>
      </c>
      <c r="I28" s="64">
        <v>0.67</v>
      </c>
      <c r="J28" s="64">
        <v>0.55000000000000004</v>
      </c>
      <c r="K28" s="64">
        <v>4.5599999999999996</v>
      </c>
      <c r="L28" s="64">
        <v>22.63</v>
      </c>
      <c r="M28" s="64">
        <v>99.1</v>
      </c>
      <c r="N28" s="64">
        <v>46.1</v>
      </c>
      <c r="O28" s="64">
        <v>0.2</v>
      </c>
      <c r="P28" s="64">
        <v>0.22</v>
      </c>
      <c r="Q28" s="64">
        <v>9.23</v>
      </c>
      <c r="R28" s="198"/>
      <c r="S28" s="198"/>
      <c r="T28" s="198"/>
      <c r="U28" s="198"/>
    </row>
    <row r="29" spans="1:21" s="12" customFormat="1" x14ac:dyDescent="0.25">
      <c r="A29" s="217" t="s">
        <v>2278</v>
      </c>
      <c r="B29" s="64">
        <v>8.06</v>
      </c>
      <c r="C29" s="64">
        <v>3.02</v>
      </c>
      <c r="D29" s="64">
        <v>11.81</v>
      </c>
      <c r="E29" s="64">
        <v>4.18</v>
      </c>
      <c r="F29" s="64">
        <v>3.3</v>
      </c>
      <c r="G29" s="64">
        <v>4.24</v>
      </c>
      <c r="H29" s="64">
        <v>0.94</v>
      </c>
      <c r="I29" s="64">
        <v>0.65</v>
      </c>
      <c r="J29" s="64">
        <v>0.4</v>
      </c>
      <c r="K29" s="64">
        <v>343.36</v>
      </c>
      <c r="L29" s="64">
        <v>22.61</v>
      </c>
      <c r="M29" s="64">
        <v>99.1</v>
      </c>
      <c r="N29" s="64">
        <v>46.1</v>
      </c>
      <c r="O29" s="64">
        <v>0.2</v>
      </c>
      <c r="P29" s="64">
        <v>0.21</v>
      </c>
      <c r="Q29" s="64">
        <v>9.2100000000000009</v>
      </c>
      <c r="R29" s="198"/>
      <c r="S29" s="198"/>
      <c r="T29" s="198"/>
      <c r="U29" s="198"/>
    </row>
    <row r="30" spans="1:21" s="12" customFormat="1" x14ac:dyDescent="0.25">
      <c r="A30" s="217" t="s">
        <v>2279</v>
      </c>
      <c r="B30" s="64">
        <v>8.09</v>
      </c>
      <c r="C30" s="64">
        <v>3.09</v>
      </c>
      <c r="D30" s="64">
        <v>11.88</v>
      </c>
      <c r="E30" s="64">
        <v>4.4800000000000004</v>
      </c>
      <c r="F30" s="64">
        <v>4.0199999999999996</v>
      </c>
      <c r="G30" s="64">
        <v>4.24</v>
      </c>
      <c r="H30" s="64">
        <v>0.94</v>
      </c>
      <c r="I30" s="64">
        <v>0.68</v>
      </c>
      <c r="J30" s="64">
        <v>0.41</v>
      </c>
      <c r="K30" s="64">
        <v>349.36</v>
      </c>
      <c r="L30" s="64">
        <v>22.65</v>
      </c>
      <c r="M30" s="64">
        <v>99.1</v>
      </c>
      <c r="N30" s="64">
        <v>46.7</v>
      </c>
      <c r="O30" s="64">
        <v>0</v>
      </c>
      <c r="P30" s="64">
        <v>0.21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7" t="s">
        <v>2280</v>
      </c>
      <c r="B31" s="64">
        <v>8.09</v>
      </c>
      <c r="C31" s="64">
        <v>3.22</v>
      </c>
      <c r="D31" s="64">
        <v>11.94</v>
      </c>
      <c r="E31" s="64">
        <v>4</v>
      </c>
      <c r="F31" s="64">
        <v>3.69</v>
      </c>
      <c r="G31" s="64">
        <v>3.87</v>
      </c>
      <c r="H31" s="64">
        <v>0.79</v>
      </c>
      <c r="I31" s="64">
        <v>0.71</v>
      </c>
      <c r="J31" s="64">
        <v>0.48</v>
      </c>
      <c r="K31" s="64">
        <v>347.9</v>
      </c>
      <c r="L31" s="64">
        <v>22.63</v>
      </c>
      <c r="M31" s="64">
        <v>99.1</v>
      </c>
      <c r="N31" s="64">
        <v>48.3</v>
      </c>
      <c r="O31" s="64">
        <v>0</v>
      </c>
      <c r="P31" s="64">
        <v>0.23</v>
      </c>
      <c r="Q31" s="64">
        <v>9.2899999999999991</v>
      </c>
      <c r="R31" s="198"/>
      <c r="S31" s="198"/>
      <c r="T31" s="198"/>
      <c r="U31" s="198"/>
    </row>
    <row r="32" spans="1:21" s="12" customFormat="1" x14ac:dyDescent="0.25">
      <c r="A32" s="217" t="s">
        <v>2281</v>
      </c>
      <c r="B32" s="64">
        <v>8.1199999999999992</v>
      </c>
      <c r="C32" s="64">
        <v>3.26</v>
      </c>
      <c r="D32" s="64">
        <v>11.99</v>
      </c>
      <c r="E32" s="64">
        <v>4.4800000000000004</v>
      </c>
      <c r="F32" s="64">
        <v>3.47</v>
      </c>
      <c r="G32" s="64">
        <v>3.31</v>
      </c>
      <c r="H32" s="64">
        <v>0.57999999999999996</v>
      </c>
      <c r="I32" s="64">
        <v>0.77</v>
      </c>
      <c r="J32" s="64">
        <v>0.54</v>
      </c>
      <c r="K32" s="64">
        <v>358.41</v>
      </c>
      <c r="L32" s="64">
        <v>22.66</v>
      </c>
      <c r="M32" s="64">
        <v>99.1</v>
      </c>
      <c r="N32" s="64">
        <v>51.8</v>
      </c>
      <c r="O32" s="64">
        <v>0</v>
      </c>
      <c r="P32" s="64">
        <v>0.22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7" t="s">
        <v>2282</v>
      </c>
      <c r="B33" s="64">
        <v>8.11</v>
      </c>
      <c r="C33" s="64">
        <v>3.25</v>
      </c>
      <c r="D33" s="64">
        <v>11.97</v>
      </c>
      <c r="E33" s="64">
        <v>4.38</v>
      </c>
      <c r="F33" s="64">
        <v>4.12</v>
      </c>
      <c r="G33" s="64">
        <v>3.31</v>
      </c>
      <c r="H33" s="64">
        <v>0.57999999999999996</v>
      </c>
      <c r="I33" s="64">
        <v>0.81</v>
      </c>
      <c r="J33" s="64">
        <v>0.5</v>
      </c>
      <c r="K33" s="64">
        <v>0.56999999999999995</v>
      </c>
      <c r="L33" s="64">
        <v>22.73</v>
      </c>
      <c r="M33" s="64">
        <v>99.1</v>
      </c>
      <c r="N33" s="64">
        <v>62.2</v>
      </c>
      <c r="O33" s="64">
        <v>0</v>
      </c>
      <c r="P33" s="64">
        <v>0.23</v>
      </c>
      <c r="Q33" s="64">
        <v>9.3000000000000007</v>
      </c>
      <c r="R33" s="198"/>
      <c r="S33" s="198"/>
      <c r="T33" s="198"/>
      <c r="U33" s="198"/>
    </row>
    <row r="34" spans="1:21" s="12" customFormat="1" x14ac:dyDescent="0.25">
      <c r="A34" s="217" t="s">
        <v>2283</v>
      </c>
      <c r="B34" s="64">
        <v>8.07</v>
      </c>
      <c r="C34" s="64">
        <v>3.1</v>
      </c>
      <c r="D34" s="64">
        <v>11.86</v>
      </c>
      <c r="E34" s="64">
        <v>4.3899999999999997</v>
      </c>
      <c r="F34" s="64">
        <v>3.09</v>
      </c>
      <c r="G34" s="64">
        <v>3.31</v>
      </c>
      <c r="H34" s="64">
        <v>0.57999999999999996</v>
      </c>
      <c r="I34" s="64">
        <v>0.84</v>
      </c>
      <c r="J34" s="64">
        <v>0.56000000000000005</v>
      </c>
      <c r="K34" s="64">
        <v>356.55</v>
      </c>
      <c r="L34" s="64">
        <v>22.82</v>
      </c>
      <c r="M34" s="64">
        <v>99.1</v>
      </c>
      <c r="N34" s="64">
        <v>69.7</v>
      </c>
      <c r="O34" s="64">
        <v>0</v>
      </c>
      <c r="P34" s="64">
        <v>0.23</v>
      </c>
      <c r="Q34" s="64">
        <v>9.31</v>
      </c>
      <c r="R34" s="198"/>
      <c r="S34" s="198"/>
      <c r="T34" s="198"/>
      <c r="U34" s="198"/>
    </row>
    <row r="35" spans="1:21" s="12" customFormat="1" x14ac:dyDescent="0.25">
      <c r="A35" s="217" t="s">
        <v>2284</v>
      </c>
      <c r="B35" s="64">
        <v>8.0500000000000007</v>
      </c>
      <c r="C35" s="64">
        <v>3.07</v>
      </c>
      <c r="D35" s="64">
        <v>11.84</v>
      </c>
      <c r="E35" s="64">
        <v>3.99</v>
      </c>
      <c r="F35" s="64">
        <v>4</v>
      </c>
      <c r="G35" s="64">
        <v>3.06</v>
      </c>
      <c r="H35" s="64">
        <v>0.74</v>
      </c>
      <c r="I35" s="64">
        <v>0.95</v>
      </c>
      <c r="J35" s="64">
        <v>0.46</v>
      </c>
      <c r="K35" s="64">
        <v>354.66</v>
      </c>
      <c r="L35" s="64">
        <v>22.89</v>
      </c>
      <c r="M35" s="64">
        <v>99.1</v>
      </c>
      <c r="N35" s="64">
        <v>61.5</v>
      </c>
      <c r="O35" s="64">
        <v>0</v>
      </c>
      <c r="P35" s="64">
        <v>0.23</v>
      </c>
      <c r="Q35" s="64">
        <v>9.3000000000000007</v>
      </c>
      <c r="R35" s="198"/>
      <c r="S35" s="198"/>
      <c r="T35" s="198"/>
      <c r="U35" s="198"/>
    </row>
    <row r="36" spans="1:21" s="12" customFormat="1" x14ac:dyDescent="0.25">
      <c r="A36" s="217" t="s">
        <v>2285</v>
      </c>
      <c r="B36" s="64">
        <v>8.07</v>
      </c>
      <c r="C36" s="64">
        <v>3.03</v>
      </c>
      <c r="D36" s="64">
        <v>11.83</v>
      </c>
      <c r="E36" s="64">
        <v>3.99</v>
      </c>
      <c r="F36" s="64">
        <v>3.41</v>
      </c>
      <c r="G36" s="64">
        <v>2.69</v>
      </c>
      <c r="H36" s="64">
        <v>0.98</v>
      </c>
      <c r="I36" s="64">
        <v>1.02</v>
      </c>
      <c r="J36" s="64">
        <v>0.51</v>
      </c>
      <c r="K36" s="64">
        <v>355.27</v>
      </c>
      <c r="L36" s="64">
        <v>23.01</v>
      </c>
      <c r="M36" s="64">
        <v>99.1</v>
      </c>
      <c r="N36" s="64">
        <v>82.4</v>
      </c>
      <c r="O36" s="64">
        <v>0</v>
      </c>
      <c r="P36" s="64">
        <v>0.24</v>
      </c>
      <c r="Q36" s="64">
        <v>9.33</v>
      </c>
      <c r="R36" s="198"/>
      <c r="S36" s="198"/>
      <c r="T36" s="198"/>
      <c r="U36" s="198"/>
    </row>
    <row r="37" spans="1:21" s="12" customFormat="1" x14ac:dyDescent="0.25">
      <c r="A37" s="217" t="s">
        <v>2286</v>
      </c>
      <c r="B37" s="64">
        <v>8.1199999999999992</v>
      </c>
      <c r="C37" s="64">
        <v>3.11</v>
      </c>
      <c r="D37" s="64">
        <v>11.91</v>
      </c>
      <c r="E37" s="64">
        <v>3.85</v>
      </c>
      <c r="F37" s="64">
        <v>3.52</v>
      </c>
      <c r="G37" s="64">
        <v>2.69</v>
      </c>
      <c r="H37" s="64">
        <v>0.98</v>
      </c>
      <c r="I37" s="64">
        <v>1.06</v>
      </c>
      <c r="J37" s="64">
        <v>0.6</v>
      </c>
      <c r="K37" s="64">
        <v>341.22</v>
      </c>
      <c r="L37" s="64">
        <v>23.17</v>
      </c>
      <c r="M37" s="64">
        <v>99.1</v>
      </c>
      <c r="N37" s="64">
        <v>110.6</v>
      </c>
      <c r="O37" s="64">
        <v>0</v>
      </c>
      <c r="P37" s="64">
        <v>0.27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7" t="s">
        <v>2287</v>
      </c>
      <c r="B38" s="64">
        <v>8.1300000000000008</v>
      </c>
      <c r="C38" s="64">
        <v>3.13</v>
      </c>
      <c r="D38" s="64">
        <v>11.93</v>
      </c>
      <c r="E38" s="64">
        <v>4.22</v>
      </c>
      <c r="F38" s="64">
        <v>3.6</v>
      </c>
      <c r="G38" s="64">
        <v>2.69</v>
      </c>
      <c r="H38" s="64">
        <v>0.98</v>
      </c>
      <c r="I38" s="64">
        <v>1.0900000000000001</v>
      </c>
      <c r="J38" s="64">
        <v>0.56000000000000005</v>
      </c>
      <c r="K38" s="64">
        <v>351.29</v>
      </c>
      <c r="L38" s="64">
        <v>23.43</v>
      </c>
      <c r="M38" s="64">
        <v>99.1</v>
      </c>
      <c r="N38" s="64">
        <v>133.6</v>
      </c>
      <c r="O38" s="64">
        <v>0</v>
      </c>
      <c r="P38" s="64">
        <v>0.28999999999999998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17" t="s">
        <v>2288</v>
      </c>
      <c r="B39" s="64">
        <v>8.1199999999999992</v>
      </c>
      <c r="C39" s="64">
        <v>3.13</v>
      </c>
      <c r="D39" s="64">
        <v>11.92</v>
      </c>
      <c r="E39" s="64">
        <v>4.57</v>
      </c>
      <c r="F39" s="64">
        <v>3.76</v>
      </c>
      <c r="G39" s="64">
        <v>3.85</v>
      </c>
      <c r="H39" s="64">
        <v>1.43</v>
      </c>
      <c r="I39" s="64">
        <v>1.1499999999999999</v>
      </c>
      <c r="J39" s="64">
        <v>0.55000000000000004</v>
      </c>
      <c r="K39" s="64">
        <v>354.47</v>
      </c>
      <c r="L39" s="64">
        <v>23.58</v>
      </c>
      <c r="M39" s="64">
        <v>99.1</v>
      </c>
      <c r="N39" s="64">
        <v>116.5</v>
      </c>
      <c r="O39" s="64">
        <v>0</v>
      </c>
      <c r="P39" s="64">
        <v>0.31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7" t="s">
        <v>2289</v>
      </c>
      <c r="B40" s="64">
        <v>8.09</v>
      </c>
      <c r="C40" s="64">
        <v>3.13</v>
      </c>
      <c r="D40" s="64">
        <v>11.9</v>
      </c>
      <c r="E40" s="64">
        <v>4.82</v>
      </c>
      <c r="F40" s="64">
        <v>3.53</v>
      </c>
      <c r="G40" s="64">
        <v>5.51</v>
      </c>
      <c r="H40" s="64">
        <v>2.09</v>
      </c>
      <c r="I40" s="64">
        <v>1.18</v>
      </c>
      <c r="J40" s="64">
        <v>0.48</v>
      </c>
      <c r="K40" s="64">
        <v>342.78</v>
      </c>
      <c r="L40" s="64">
        <v>23.83</v>
      </c>
      <c r="M40" s="64">
        <v>99.08</v>
      </c>
      <c r="N40" s="64">
        <v>128.4</v>
      </c>
      <c r="O40" s="64">
        <v>0</v>
      </c>
      <c r="P40" s="64">
        <v>0.32</v>
      </c>
      <c r="Q40" s="64">
        <v>9.34</v>
      </c>
      <c r="R40" s="198"/>
      <c r="S40" s="198"/>
      <c r="T40" s="198"/>
      <c r="U40" s="198"/>
    </row>
    <row r="41" spans="1:21" s="12" customFormat="1" x14ac:dyDescent="0.25">
      <c r="A41" s="217" t="s">
        <v>2290</v>
      </c>
      <c r="B41" s="64">
        <v>8.1199999999999992</v>
      </c>
      <c r="C41" s="64">
        <v>3.14</v>
      </c>
      <c r="D41" s="64">
        <v>11.92</v>
      </c>
      <c r="E41" s="64">
        <v>4.9800000000000004</v>
      </c>
      <c r="F41" s="64">
        <v>3.46</v>
      </c>
      <c r="G41" s="64">
        <v>5.51</v>
      </c>
      <c r="H41" s="64">
        <v>2.09</v>
      </c>
      <c r="I41" s="64">
        <v>1.22</v>
      </c>
      <c r="J41" s="64">
        <v>0.49</v>
      </c>
      <c r="K41" s="64">
        <v>334.56</v>
      </c>
      <c r="L41" s="64">
        <v>24.11</v>
      </c>
      <c r="M41" s="64">
        <v>99.08</v>
      </c>
      <c r="N41" s="64">
        <v>114</v>
      </c>
      <c r="O41" s="64">
        <v>0</v>
      </c>
      <c r="P41" s="64">
        <v>0.34</v>
      </c>
      <c r="Q41" s="64">
        <v>9.33</v>
      </c>
      <c r="R41" s="198"/>
      <c r="S41" s="198"/>
      <c r="T41" s="198"/>
      <c r="U41" s="198"/>
    </row>
    <row r="42" spans="1:21" s="12" customFormat="1" x14ac:dyDescent="0.25">
      <c r="A42" s="217" t="s">
        <v>2291</v>
      </c>
      <c r="B42" s="64">
        <v>8.14</v>
      </c>
      <c r="C42" s="64">
        <v>3.13</v>
      </c>
      <c r="D42" s="64">
        <v>11.93</v>
      </c>
      <c r="E42" s="64">
        <v>4.8</v>
      </c>
      <c r="F42" s="64">
        <v>3.32</v>
      </c>
      <c r="G42" s="64">
        <v>5.51</v>
      </c>
      <c r="H42" s="64">
        <v>2.09</v>
      </c>
      <c r="I42" s="64">
        <v>1.25</v>
      </c>
      <c r="J42" s="64">
        <v>0.51</v>
      </c>
      <c r="K42" s="64">
        <v>332.11</v>
      </c>
      <c r="L42" s="64">
        <v>24.22</v>
      </c>
      <c r="M42" s="64">
        <v>99.08</v>
      </c>
      <c r="N42" s="64">
        <v>118</v>
      </c>
      <c r="O42" s="64">
        <v>0</v>
      </c>
      <c r="P42" s="64">
        <v>0.36</v>
      </c>
      <c r="Q42" s="64">
        <v>9.34</v>
      </c>
      <c r="R42" s="198"/>
      <c r="S42" s="198"/>
      <c r="T42" s="198"/>
      <c r="U42" s="198"/>
    </row>
    <row r="43" spans="1:21" s="12" customFormat="1" x14ac:dyDescent="0.25">
      <c r="A43" s="217" t="s">
        <v>2292</v>
      </c>
      <c r="B43" s="64">
        <v>8.11</v>
      </c>
      <c r="C43" s="64">
        <v>3.08</v>
      </c>
      <c r="D43" s="64">
        <v>11.89</v>
      </c>
      <c r="E43" s="64">
        <v>4.83</v>
      </c>
      <c r="F43" s="64">
        <v>3.66</v>
      </c>
      <c r="G43" s="64">
        <v>9.27</v>
      </c>
      <c r="H43" s="64">
        <v>2.33</v>
      </c>
      <c r="I43" s="64">
        <v>1.32</v>
      </c>
      <c r="J43" s="64">
        <v>0.54</v>
      </c>
      <c r="K43" s="64">
        <v>330.09</v>
      </c>
      <c r="L43" s="64">
        <v>24.48</v>
      </c>
      <c r="M43" s="64">
        <v>99.08</v>
      </c>
      <c r="N43" s="64">
        <v>131.69999999999999</v>
      </c>
      <c r="O43" s="64">
        <v>0</v>
      </c>
      <c r="P43" s="64">
        <v>0.39</v>
      </c>
      <c r="Q43" s="64">
        <v>9.4</v>
      </c>
      <c r="R43" s="198"/>
      <c r="S43" s="198"/>
      <c r="T43" s="198"/>
      <c r="U43" s="198"/>
    </row>
    <row r="44" spans="1:21" s="12" customFormat="1" x14ac:dyDescent="0.25">
      <c r="A44" s="217" t="s">
        <v>2293</v>
      </c>
      <c r="B44" s="64">
        <v>8.1</v>
      </c>
      <c r="C44" s="64">
        <v>3.11</v>
      </c>
      <c r="D44" s="64">
        <v>11.9</v>
      </c>
      <c r="E44" s="64">
        <v>5.24</v>
      </c>
      <c r="F44" s="64">
        <v>4.1500000000000004</v>
      </c>
      <c r="G44" s="64">
        <v>14.91</v>
      </c>
      <c r="H44" s="64">
        <v>2.68</v>
      </c>
      <c r="I44" s="64">
        <v>1.41</v>
      </c>
      <c r="J44" s="64">
        <v>0.41</v>
      </c>
      <c r="K44" s="64">
        <v>335.67</v>
      </c>
      <c r="L44" s="64">
        <v>24.51</v>
      </c>
      <c r="M44" s="64">
        <v>98.93</v>
      </c>
      <c r="N44" s="64">
        <v>90.8</v>
      </c>
      <c r="O44" s="64">
        <v>0</v>
      </c>
      <c r="P44" s="64">
        <v>0.44</v>
      </c>
      <c r="Q44" s="64">
        <v>9.41</v>
      </c>
      <c r="R44" s="198"/>
      <c r="S44" s="198"/>
      <c r="T44" s="198"/>
      <c r="U44" s="198"/>
    </row>
    <row r="45" spans="1:21" s="12" customFormat="1" x14ac:dyDescent="0.25">
      <c r="A45" s="217" t="s">
        <v>2294</v>
      </c>
      <c r="B45" s="64">
        <v>8.1</v>
      </c>
      <c r="C45" s="64">
        <v>3.08</v>
      </c>
      <c r="D45" s="64">
        <v>11.88</v>
      </c>
      <c r="E45" s="64">
        <v>4.97</v>
      </c>
      <c r="F45" s="64">
        <v>2.95</v>
      </c>
      <c r="G45" s="64">
        <v>14.91</v>
      </c>
      <c r="H45" s="64">
        <v>2.68</v>
      </c>
      <c r="I45" s="64">
        <v>1.56</v>
      </c>
      <c r="J45" s="64">
        <v>0.56000000000000005</v>
      </c>
      <c r="K45" s="64">
        <v>332.44</v>
      </c>
      <c r="L45" s="64">
        <v>24.38</v>
      </c>
      <c r="M45" s="64">
        <v>99.08</v>
      </c>
      <c r="N45" s="64">
        <v>102.6</v>
      </c>
      <c r="O45" s="64">
        <v>0</v>
      </c>
      <c r="P45" s="64">
        <v>0.49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7" t="s">
        <v>2295</v>
      </c>
      <c r="B46" s="64">
        <v>8.43</v>
      </c>
      <c r="C46" s="64">
        <v>3.87</v>
      </c>
      <c r="D46" s="64">
        <v>12.55</v>
      </c>
      <c r="E46" s="64">
        <v>4.79</v>
      </c>
      <c r="F46" s="64">
        <v>3.7</v>
      </c>
      <c r="G46" s="64">
        <v>14.91</v>
      </c>
      <c r="H46" s="64">
        <v>2.68</v>
      </c>
      <c r="I46" s="64">
        <v>1.84</v>
      </c>
      <c r="J46" s="64">
        <v>0.49</v>
      </c>
      <c r="K46" s="64">
        <v>352.89</v>
      </c>
      <c r="L46" s="64">
        <v>24.46</v>
      </c>
      <c r="M46" s="64">
        <v>99.08</v>
      </c>
      <c r="N46" s="64">
        <v>126</v>
      </c>
      <c r="O46" s="64">
        <v>0.2</v>
      </c>
      <c r="P46" s="64">
        <v>0.55000000000000004</v>
      </c>
      <c r="Q46" s="64">
        <v>9.3800000000000008</v>
      </c>
      <c r="R46" s="198"/>
      <c r="S46" s="198"/>
      <c r="T46" s="198"/>
      <c r="U46" s="198"/>
    </row>
    <row r="47" spans="1:21" s="12" customFormat="1" x14ac:dyDescent="0.25">
      <c r="A47" s="217" t="s">
        <v>2296</v>
      </c>
      <c r="B47" s="64">
        <v>8.57</v>
      </c>
      <c r="C47" s="64">
        <v>4.28</v>
      </c>
      <c r="D47" s="64">
        <v>12.89</v>
      </c>
      <c r="E47" s="64">
        <v>4.92</v>
      </c>
      <c r="F47" s="64">
        <v>4.0999999999999996</v>
      </c>
      <c r="G47" s="64">
        <v>14.91</v>
      </c>
      <c r="H47" s="64">
        <v>2.68</v>
      </c>
      <c r="I47" s="64">
        <v>1.97</v>
      </c>
      <c r="J47" s="64">
        <v>0.74</v>
      </c>
      <c r="K47" s="64">
        <v>324.37</v>
      </c>
      <c r="L47" s="64">
        <v>24.35</v>
      </c>
      <c r="M47" s="64">
        <v>99.08</v>
      </c>
      <c r="N47" s="64">
        <v>77.599999999999994</v>
      </c>
      <c r="O47" s="64">
        <v>0.2</v>
      </c>
      <c r="P47" s="64">
        <v>0.59</v>
      </c>
      <c r="Q47" s="64">
        <v>0</v>
      </c>
      <c r="R47" s="198"/>
      <c r="S47" s="198"/>
      <c r="T47" s="198"/>
      <c r="U47" s="198"/>
    </row>
    <row r="48" spans="1:21" s="12" customFormat="1" x14ac:dyDescent="0.25">
      <c r="A48" s="217" t="s">
        <v>2297</v>
      </c>
      <c r="B48" s="64">
        <v>8.15</v>
      </c>
      <c r="C48" s="64">
        <v>3.25</v>
      </c>
      <c r="D48" s="64">
        <v>12.01</v>
      </c>
      <c r="E48" s="64">
        <v>4.83</v>
      </c>
      <c r="F48" s="64">
        <v>3.42</v>
      </c>
      <c r="G48" s="64">
        <v>20.72</v>
      </c>
      <c r="H48" s="64">
        <v>3.57</v>
      </c>
      <c r="I48" s="64">
        <v>2.59</v>
      </c>
      <c r="J48" s="64">
        <v>0.79</v>
      </c>
      <c r="K48" s="64">
        <v>318.52999999999997</v>
      </c>
      <c r="L48" s="64">
        <v>24.2</v>
      </c>
      <c r="M48" s="64">
        <v>99.1</v>
      </c>
      <c r="N48" s="64">
        <v>152.19999999999999</v>
      </c>
      <c r="O48" s="64">
        <v>0</v>
      </c>
      <c r="P48" s="64">
        <v>0.61</v>
      </c>
      <c r="Q48" s="64">
        <v>0</v>
      </c>
      <c r="R48" s="198"/>
      <c r="S48" s="198"/>
      <c r="T48" s="198"/>
      <c r="U48" s="198"/>
    </row>
    <row r="49" spans="1:21" s="12" customFormat="1" x14ac:dyDescent="0.25">
      <c r="A49" s="217" t="s">
        <v>2298</v>
      </c>
      <c r="B49" s="64">
        <v>8.15</v>
      </c>
      <c r="C49" s="64">
        <v>3.25</v>
      </c>
      <c r="D49" s="64">
        <v>12.01</v>
      </c>
      <c r="E49" s="64">
        <v>4.83</v>
      </c>
      <c r="F49" s="64">
        <v>3.42</v>
      </c>
      <c r="G49" s="64">
        <v>20.72</v>
      </c>
      <c r="H49" s="64">
        <v>3.57</v>
      </c>
      <c r="I49" s="64">
        <v>2.59</v>
      </c>
      <c r="J49" s="64">
        <v>0.79</v>
      </c>
      <c r="K49" s="64">
        <v>318.52999999999997</v>
      </c>
      <c r="L49" s="64">
        <v>24.2</v>
      </c>
      <c r="M49" s="64">
        <v>99.1</v>
      </c>
      <c r="N49" s="64">
        <v>152.19999999999999</v>
      </c>
      <c r="O49" s="64">
        <v>0</v>
      </c>
      <c r="P49" s="64">
        <v>0.61</v>
      </c>
      <c r="Q49" s="64">
        <v>0</v>
      </c>
      <c r="R49" s="198"/>
      <c r="S49" s="198"/>
      <c r="T49" s="198"/>
      <c r="U49" s="198"/>
    </row>
    <row r="50" spans="1:21" s="12" customFormat="1" x14ac:dyDescent="0.25">
      <c r="A50" s="217" t="s">
        <v>2299</v>
      </c>
      <c r="B50" s="64">
        <v>8.15</v>
      </c>
      <c r="C50" s="64">
        <v>3.25</v>
      </c>
      <c r="D50" s="64">
        <v>12.01</v>
      </c>
      <c r="E50" s="64">
        <v>4.83</v>
      </c>
      <c r="F50" s="64">
        <v>3.42</v>
      </c>
      <c r="G50" s="64">
        <v>20.72</v>
      </c>
      <c r="H50" s="64">
        <v>3.57</v>
      </c>
      <c r="I50" s="64">
        <v>2.59</v>
      </c>
      <c r="J50" s="64">
        <v>0.79</v>
      </c>
      <c r="K50" s="64">
        <v>318.52999999999997</v>
      </c>
      <c r="L50" s="64">
        <v>24.2</v>
      </c>
      <c r="M50" s="64">
        <v>99.1</v>
      </c>
      <c r="N50" s="64">
        <v>152.19999999999999</v>
      </c>
      <c r="O50" s="64">
        <v>0</v>
      </c>
      <c r="P50" s="64">
        <v>0.61</v>
      </c>
      <c r="Q50" s="64">
        <v>0</v>
      </c>
      <c r="R50" s="198"/>
      <c r="S50" s="198"/>
      <c r="T50" s="198"/>
      <c r="U50" s="198"/>
    </row>
    <row r="51" spans="1:21" s="12" customFormat="1" x14ac:dyDescent="0.25">
      <c r="A51" s="217" t="s">
        <v>2300</v>
      </c>
      <c r="B51" s="64">
        <v>8.59</v>
      </c>
      <c r="C51" s="64">
        <v>4.13</v>
      </c>
      <c r="D51" s="64">
        <v>12.82</v>
      </c>
      <c r="E51" s="64">
        <v>5.01</v>
      </c>
      <c r="F51" s="64">
        <v>3.26</v>
      </c>
      <c r="G51" s="64">
        <v>21.41</v>
      </c>
      <c r="H51" s="64">
        <v>4.79</v>
      </c>
      <c r="I51" s="64">
        <v>2.81</v>
      </c>
      <c r="J51" s="64">
        <v>0.48</v>
      </c>
      <c r="K51" s="64">
        <v>314.54000000000002</v>
      </c>
      <c r="L51" s="64">
        <v>24.1</v>
      </c>
      <c r="M51" s="64">
        <v>99.1</v>
      </c>
      <c r="N51" s="64">
        <v>92.2</v>
      </c>
      <c r="O51" s="64">
        <v>0.2</v>
      </c>
      <c r="P51" s="64">
        <v>0.65</v>
      </c>
      <c r="Q51" s="64">
        <v>9.52</v>
      </c>
      <c r="R51" s="198"/>
      <c r="S51" s="198"/>
      <c r="T51" s="198"/>
      <c r="U51" s="198"/>
    </row>
    <row r="52" spans="1:21" s="12" customFormat="1" x14ac:dyDescent="0.25">
      <c r="A52" s="217" t="s">
        <v>2301</v>
      </c>
      <c r="B52" s="64">
        <v>8.3000000000000007</v>
      </c>
      <c r="C52" s="64">
        <v>3.51</v>
      </c>
      <c r="D52" s="64">
        <v>12.26</v>
      </c>
      <c r="E52" s="64">
        <v>4.6100000000000003</v>
      </c>
      <c r="F52" s="64">
        <v>3.46</v>
      </c>
      <c r="G52" s="64">
        <v>22.98</v>
      </c>
      <c r="H52" s="64">
        <v>7.55</v>
      </c>
      <c r="I52" s="64">
        <v>2.88</v>
      </c>
      <c r="J52" s="64">
        <v>0.46</v>
      </c>
      <c r="K52" s="64">
        <v>335</v>
      </c>
      <c r="L52" s="64">
        <v>23.7</v>
      </c>
      <c r="M52" s="64">
        <v>98.68</v>
      </c>
      <c r="N52" s="64">
        <v>75.3</v>
      </c>
      <c r="O52" s="64">
        <v>0</v>
      </c>
      <c r="P52" s="64">
        <v>0.67</v>
      </c>
      <c r="Q52" s="64">
        <v>9.59</v>
      </c>
      <c r="R52" s="198"/>
      <c r="S52" s="198"/>
      <c r="T52" s="198"/>
      <c r="U52" s="198"/>
    </row>
    <row r="53" spans="1:21" s="12" customFormat="1" x14ac:dyDescent="0.25">
      <c r="A53" s="217" t="s">
        <v>2302</v>
      </c>
      <c r="B53" s="64">
        <v>8.09</v>
      </c>
      <c r="C53" s="64">
        <v>3.14</v>
      </c>
      <c r="D53" s="64">
        <v>11.91</v>
      </c>
      <c r="E53" s="64">
        <v>4.5</v>
      </c>
      <c r="F53" s="64">
        <v>3.95</v>
      </c>
      <c r="G53" s="64">
        <v>22.98</v>
      </c>
      <c r="H53" s="64">
        <v>7.55</v>
      </c>
      <c r="I53" s="64">
        <v>2.9</v>
      </c>
      <c r="J53" s="64">
        <v>0.48</v>
      </c>
      <c r="K53" s="64">
        <v>352.14</v>
      </c>
      <c r="L53" s="64">
        <v>23.42</v>
      </c>
      <c r="M53" s="64">
        <v>98.85</v>
      </c>
      <c r="N53" s="64">
        <v>87.5</v>
      </c>
      <c r="O53" s="64">
        <v>0</v>
      </c>
      <c r="P53" s="64">
        <v>0.68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7" t="s">
        <v>2303</v>
      </c>
      <c r="B54" s="64">
        <v>8.14</v>
      </c>
      <c r="C54" s="64">
        <v>3.22</v>
      </c>
      <c r="D54" s="64">
        <v>11.99</v>
      </c>
      <c r="E54" s="64">
        <v>5.25</v>
      </c>
      <c r="F54" s="64">
        <v>3.02</v>
      </c>
      <c r="G54" s="64">
        <v>22.98</v>
      </c>
      <c r="H54" s="64">
        <v>7.55</v>
      </c>
      <c r="I54" s="64">
        <v>2.96</v>
      </c>
      <c r="J54" s="64">
        <v>0.46</v>
      </c>
      <c r="K54" s="64">
        <v>351.54</v>
      </c>
      <c r="L54" s="64">
        <v>23.31</v>
      </c>
      <c r="M54" s="64">
        <v>98.71</v>
      </c>
      <c r="N54" s="64">
        <v>77.7</v>
      </c>
      <c r="O54" s="64">
        <v>0</v>
      </c>
      <c r="P54" s="64">
        <v>0.68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7" t="s">
        <v>2304</v>
      </c>
      <c r="B55" s="64">
        <v>8.19</v>
      </c>
      <c r="C55" s="64">
        <v>3.27</v>
      </c>
      <c r="D55" s="64">
        <v>12.05</v>
      </c>
      <c r="E55" s="64">
        <v>4.96</v>
      </c>
      <c r="F55" s="64">
        <v>3.29</v>
      </c>
      <c r="G55" s="64">
        <v>21.72</v>
      </c>
      <c r="H55" s="64">
        <v>6.46</v>
      </c>
      <c r="I55" s="64">
        <v>3</v>
      </c>
      <c r="J55" s="64">
        <v>0.46</v>
      </c>
      <c r="K55" s="64">
        <v>0.85</v>
      </c>
      <c r="L55" s="64">
        <v>23.07</v>
      </c>
      <c r="M55" s="64">
        <v>99.1</v>
      </c>
      <c r="N55" s="64">
        <v>67.5</v>
      </c>
      <c r="O55" s="64">
        <v>0.4</v>
      </c>
      <c r="P55" s="64">
        <v>0.67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7" t="s">
        <v>2305</v>
      </c>
      <c r="B56" s="64">
        <v>8.14</v>
      </c>
      <c r="C56" s="64">
        <v>3.18</v>
      </c>
      <c r="D56" s="64">
        <v>11.96</v>
      </c>
      <c r="E56" s="64">
        <v>3.51</v>
      </c>
      <c r="F56" s="64">
        <v>3.39</v>
      </c>
      <c r="G56" s="64">
        <v>19.82</v>
      </c>
      <c r="H56" s="64">
        <v>4.83</v>
      </c>
      <c r="I56" s="64">
        <v>2.97</v>
      </c>
      <c r="J56" s="64">
        <v>0.51</v>
      </c>
      <c r="K56" s="64">
        <v>0.56999999999999995</v>
      </c>
      <c r="L56" s="64">
        <v>22.86</v>
      </c>
      <c r="M56" s="64">
        <v>99.1</v>
      </c>
      <c r="N56" s="64">
        <v>84.4</v>
      </c>
      <c r="O56" s="64">
        <v>2.4</v>
      </c>
      <c r="P56" s="64">
        <v>0.66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7" t="s">
        <v>2306</v>
      </c>
      <c r="B57" s="64">
        <v>8.1199999999999992</v>
      </c>
      <c r="C57" s="64">
        <v>3.11</v>
      </c>
      <c r="D57" s="64">
        <v>11.91</v>
      </c>
      <c r="E57" s="64">
        <v>3.93</v>
      </c>
      <c r="F57" s="64">
        <v>3.36</v>
      </c>
      <c r="G57" s="64">
        <v>19.82</v>
      </c>
      <c r="H57" s="64">
        <v>4.83</v>
      </c>
      <c r="I57" s="64">
        <v>2.96</v>
      </c>
      <c r="J57" s="64">
        <v>0.59</v>
      </c>
      <c r="K57" s="64">
        <v>7.45</v>
      </c>
      <c r="L57" s="64">
        <v>22.52</v>
      </c>
      <c r="M57" s="64">
        <v>99.1</v>
      </c>
      <c r="N57" s="64">
        <v>109.4</v>
      </c>
      <c r="O57" s="64">
        <v>1</v>
      </c>
      <c r="P57" s="64">
        <v>0.63</v>
      </c>
      <c r="Q57" s="64">
        <v>9.6</v>
      </c>
      <c r="R57" s="198"/>
      <c r="S57" s="198"/>
      <c r="T57" s="198"/>
      <c r="U57" s="198"/>
    </row>
    <row r="58" spans="1:21" s="12" customFormat="1" x14ac:dyDescent="0.25">
      <c r="A58" s="217" t="s">
        <v>2307</v>
      </c>
      <c r="B58" s="64">
        <v>8.1199999999999992</v>
      </c>
      <c r="C58" s="64">
        <v>3.09</v>
      </c>
      <c r="D58" s="64">
        <v>11.89</v>
      </c>
      <c r="E58" s="64">
        <v>4.1100000000000003</v>
      </c>
      <c r="F58" s="64">
        <v>3.16</v>
      </c>
      <c r="G58" s="64">
        <v>19.82</v>
      </c>
      <c r="H58" s="64">
        <v>4.83</v>
      </c>
      <c r="I58" s="64">
        <v>2.86</v>
      </c>
      <c r="J58" s="64">
        <v>0.53</v>
      </c>
      <c r="K58" s="64">
        <v>349.33</v>
      </c>
      <c r="L58" s="64">
        <v>22.4</v>
      </c>
      <c r="M58" s="64">
        <v>98.57</v>
      </c>
      <c r="N58" s="64">
        <v>88.8</v>
      </c>
      <c r="O58" s="64">
        <v>0</v>
      </c>
      <c r="P58" s="64">
        <v>0.59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7" t="s">
        <v>2308</v>
      </c>
      <c r="B59" s="64">
        <v>8.09</v>
      </c>
      <c r="C59" s="64">
        <v>3.07</v>
      </c>
      <c r="D59" s="64">
        <v>11.87</v>
      </c>
      <c r="E59" s="64">
        <v>4.2300000000000004</v>
      </c>
      <c r="F59" s="64">
        <v>3.02</v>
      </c>
      <c r="G59" s="64">
        <v>17.440000000000001</v>
      </c>
      <c r="H59" s="64">
        <v>5.72</v>
      </c>
      <c r="I59" s="64">
        <v>2.66</v>
      </c>
      <c r="J59" s="64">
        <v>0.49</v>
      </c>
      <c r="K59" s="64">
        <v>3.07</v>
      </c>
      <c r="L59" s="64">
        <v>22.44</v>
      </c>
      <c r="M59" s="64">
        <v>99.1</v>
      </c>
      <c r="N59" s="64">
        <v>97</v>
      </c>
      <c r="O59" s="64">
        <v>0</v>
      </c>
      <c r="P59" s="64">
        <v>0.57999999999999996</v>
      </c>
      <c r="Q59" s="64">
        <v>9.59</v>
      </c>
      <c r="R59" s="198"/>
      <c r="S59" s="198"/>
      <c r="T59" s="198"/>
      <c r="U59" s="198"/>
    </row>
    <row r="60" spans="1:21" s="12" customFormat="1" x14ac:dyDescent="0.25">
      <c r="A60" s="217" t="s">
        <v>2309</v>
      </c>
      <c r="B60" s="64">
        <v>8.11</v>
      </c>
      <c r="C60" s="64">
        <v>3.14</v>
      </c>
      <c r="D60" s="64">
        <v>11.92</v>
      </c>
      <c r="E60" s="64">
        <v>4.0199999999999996</v>
      </c>
      <c r="F60" s="64">
        <v>3.28</v>
      </c>
      <c r="G60" s="64">
        <v>13.87</v>
      </c>
      <c r="H60" s="64">
        <v>6.99</v>
      </c>
      <c r="I60" s="64">
        <v>2.4700000000000002</v>
      </c>
      <c r="J60" s="64">
        <v>0.61</v>
      </c>
      <c r="K60" s="64">
        <v>11.42</v>
      </c>
      <c r="L60" s="64">
        <v>22.48</v>
      </c>
      <c r="M60" s="64">
        <v>99.1</v>
      </c>
      <c r="N60" s="64">
        <v>140.69999999999999</v>
      </c>
      <c r="O60" s="64">
        <v>0</v>
      </c>
      <c r="P60" s="64">
        <v>0.56000000000000005</v>
      </c>
      <c r="Q60" s="64">
        <v>9.5500000000000007</v>
      </c>
      <c r="R60" s="198"/>
      <c r="S60" s="198"/>
      <c r="T60" s="198"/>
      <c r="U60" s="198"/>
    </row>
    <row r="61" spans="1:21" s="12" customFormat="1" x14ac:dyDescent="0.25">
      <c r="A61" s="217" t="s">
        <v>2310</v>
      </c>
      <c r="B61" s="64">
        <v>8.1199999999999992</v>
      </c>
      <c r="C61" s="64">
        <v>3.11</v>
      </c>
      <c r="D61" s="64">
        <v>11.91</v>
      </c>
      <c r="E61" s="64">
        <v>3.49</v>
      </c>
      <c r="F61" s="64">
        <v>3.57</v>
      </c>
      <c r="G61" s="64">
        <v>13.87</v>
      </c>
      <c r="H61" s="64">
        <v>6.99</v>
      </c>
      <c r="I61" s="64">
        <v>2.34</v>
      </c>
      <c r="J61" s="64">
        <v>0.62</v>
      </c>
      <c r="K61" s="64">
        <v>1.38</v>
      </c>
      <c r="L61" s="64">
        <v>22.51</v>
      </c>
      <c r="M61" s="64">
        <v>98.57</v>
      </c>
      <c r="N61" s="64">
        <v>139.4</v>
      </c>
      <c r="O61" s="64">
        <v>0</v>
      </c>
      <c r="P61" s="64">
        <v>0.45</v>
      </c>
      <c r="Q61" s="64">
        <v>9.51</v>
      </c>
      <c r="R61" s="198"/>
      <c r="S61" s="198"/>
      <c r="T61" s="198"/>
      <c r="U61" s="198"/>
    </row>
    <row r="62" spans="1:21" s="12" customFormat="1" x14ac:dyDescent="0.25">
      <c r="A62" s="217" t="s">
        <v>2311</v>
      </c>
      <c r="B62" s="64">
        <v>8.08</v>
      </c>
      <c r="C62" s="64">
        <v>3.03</v>
      </c>
      <c r="D62" s="64">
        <v>11.84</v>
      </c>
      <c r="E62" s="64">
        <v>4.34</v>
      </c>
      <c r="F62" s="64">
        <v>4.3</v>
      </c>
      <c r="G62" s="64">
        <v>13.87</v>
      </c>
      <c r="H62" s="64">
        <v>6.99</v>
      </c>
      <c r="I62" s="64">
        <v>2.19</v>
      </c>
      <c r="J62" s="64">
        <v>0.57999999999999996</v>
      </c>
      <c r="K62" s="64">
        <v>351.07</v>
      </c>
      <c r="L62" s="64">
        <v>22.62</v>
      </c>
      <c r="M62" s="64">
        <v>99.05</v>
      </c>
      <c r="N62" s="64">
        <v>104.9</v>
      </c>
      <c r="O62" s="64">
        <v>0</v>
      </c>
      <c r="P62" s="64">
        <v>0.46</v>
      </c>
      <c r="Q62" s="64">
        <v>9.52</v>
      </c>
      <c r="R62" s="198"/>
      <c r="S62" s="198"/>
      <c r="T62" s="198"/>
      <c r="U62" s="198"/>
    </row>
    <row r="63" spans="1:21" s="12" customFormat="1" x14ac:dyDescent="0.25">
      <c r="A63" s="217" t="s">
        <v>2312</v>
      </c>
      <c r="B63" s="64">
        <v>8.0500000000000007</v>
      </c>
      <c r="C63" s="64">
        <v>3.04</v>
      </c>
      <c r="D63" s="64">
        <v>11.82</v>
      </c>
      <c r="E63" s="64">
        <v>4.53</v>
      </c>
      <c r="F63" s="64">
        <v>3.28</v>
      </c>
      <c r="G63" s="64">
        <v>12.3</v>
      </c>
      <c r="H63" s="64">
        <v>6.34</v>
      </c>
      <c r="I63" s="64">
        <v>2.0099999999999998</v>
      </c>
      <c r="J63" s="64">
        <v>0.65</v>
      </c>
      <c r="K63" s="64">
        <v>354.23</v>
      </c>
      <c r="L63" s="64">
        <v>22.59</v>
      </c>
      <c r="M63" s="64">
        <v>99</v>
      </c>
      <c r="N63" s="64">
        <v>101.3</v>
      </c>
      <c r="O63" s="64">
        <v>0</v>
      </c>
      <c r="P63" s="64">
        <v>0.45</v>
      </c>
      <c r="Q63" s="64">
        <v>9.39</v>
      </c>
      <c r="R63" s="198"/>
      <c r="S63" s="198"/>
      <c r="T63" s="198"/>
      <c r="U63" s="198"/>
    </row>
    <row r="64" spans="1:21" s="12" customFormat="1" x14ac:dyDescent="0.25">
      <c r="A64" s="217" t="s">
        <v>2313</v>
      </c>
      <c r="B64" s="64">
        <v>8.0299999999999994</v>
      </c>
      <c r="C64" s="64">
        <v>2.99</v>
      </c>
      <c r="D64" s="64">
        <v>11.77</v>
      </c>
      <c r="E64" s="64">
        <v>3.95</v>
      </c>
      <c r="F64" s="64">
        <v>4.26</v>
      </c>
      <c r="G64" s="64">
        <v>9.9499999999999993</v>
      </c>
      <c r="H64" s="64">
        <v>5.42</v>
      </c>
      <c r="I64" s="64">
        <v>1.89</v>
      </c>
      <c r="J64" s="64">
        <v>0.56000000000000005</v>
      </c>
      <c r="K64" s="64">
        <v>1.34</v>
      </c>
      <c r="L64" s="64">
        <v>22.78</v>
      </c>
      <c r="M64" s="64">
        <v>99.08</v>
      </c>
      <c r="N64" s="64">
        <v>110.8</v>
      </c>
      <c r="O64" s="64">
        <v>0</v>
      </c>
      <c r="P64" s="64">
        <v>0.42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7" t="s">
        <v>2314</v>
      </c>
      <c r="B65" s="64">
        <v>8.0399999999999991</v>
      </c>
      <c r="C65" s="64">
        <v>3.08</v>
      </c>
      <c r="D65" s="64">
        <v>11.83</v>
      </c>
      <c r="E65" s="64">
        <v>4.0999999999999996</v>
      </c>
      <c r="F65" s="64">
        <v>3.75</v>
      </c>
      <c r="G65" s="64">
        <v>9.9499999999999993</v>
      </c>
      <c r="H65" s="64">
        <v>5.42</v>
      </c>
      <c r="I65" s="64">
        <v>1.75</v>
      </c>
      <c r="J65" s="64">
        <v>0.76</v>
      </c>
      <c r="K65" s="64">
        <v>11.13</v>
      </c>
      <c r="L65" s="64">
        <v>22.76</v>
      </c>
      <c r="M65" s="64">
        <v>98.54</v>
      </c>
      <c r="N65" s="64">
        <v>127.7</v>
      </c>
      <c r="O65" s="64">
        <v>0.2</v>
      </c>
      <c r="P65" s="64">
        <v>0.41</v>
      </c>
      <c r="Q65" s="64">
        <v>9.31</v>
      </c>
      <c r="R65" s="198"/>
      <c r="S65" s="198"/>
      <c r="T65" s="198"/>
      <c r="U65" s="198"/>
    </row>
    <row r="66" spans="1:21" s="12" customFormat="1" x14ac:dyDescent="0.25">
      <c r="A66" s="217" t="s">
        <v>2315</v>
      </c>
      <c r="B66" s="64">
        <v>8.0399999999999991</v>
      </c>
      <c r="C66" s="64">
        <v>3.09</v>
      </c>
      <c r="D66" s="64">
        <v>11.84</v>
      </c>
      <c r="E66" s="64">
        <v>4.2</v>
      </c>
      <c r="F66" s="64">
        <v>4.03</v>
      </c>
      <c r="G66" s="64">
        <v>9.9499999999999993</v>
      </c>
      <c r="H66" s="64">
        <v>5.42</v>
      </c>
      <c r="I66" s="64">
        <v>1.65</v>
      </c>
      <c r="J66" s="64">
        <v>0.64</v>
      </c>
      <c r="K66" s="64">
        <v>357.18</v>
      </c>
      <c r="L66" s="64">
        <v>22.65</v>
      </c>
      <c r="M66" s="64">
        <v>98.55</v>
      </c>
      <c r="N66" s="64">
        <v>157.9</v>
      </c>
      <c r="O66" s="64">
        <v>0</v>
      </c>
      <c r="P66" s="64">
        <v>0.38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7" t="s">
        <v>2316</v>
      </c>
      <c r="B67" s="64">
        <v>8.0399999999999991</v>
      </c>
      <c r="C67" s="64">
        <v>3.08</v>
      </c>
      <c r="D67" s="64">
        <v>11.83</v>
      </c>
      <c r="E67" s="64">
        <v>3.76</v>
      </c>
      <c r="F67" s="64">
        <v>5.0999999999999996</v>
      </c>
      <c r="G67" s="64">
        <v>8.7799999999999994</v>
      </c>
      <c r="H67" s="64">
        <v>4.93</v>
      </c>
      <c r="I67" s="64">
        <v>1.52</v>
      </c>
      <c r="J67" s="64">
        <v>0.64</v>
      </c>
      <c r="K67" s="64">
        <v>352.14</v>
      </c>
      <c r="L67" s="64">
        <v>22.14</v>
      </c>
      <c r="M67" s="64">
        <v>99.08</v>
      </c>
      <c r="N67" s="64">
        <v>141</v>
      </c>
      <c r="O67" s="64">
        <v>0</v>
      </c>
      <c r="P67" s="64">
        <v>0.37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7" t="s">
        <v>2317</v>
      </c>
      <c r="B68" s="64">
        <v>8.06</v>
      </c>
      <c r="C68" s="64">
        <v>3.1</v>
      </c>
      <c r="D68" s="64">
        <v>11.86</v>
      </c>
      <c r="E68" s="64">
        <v>3.63</v>
      </c>
      <c r="F68" s="64">
        <v>3.45</v>
      </c>
      <c r="G68" s="64">
        <v>7.03</v>
      </c>
      <c r="H68" s="64">
        <v>4.2</v>
      </c>
      <c r="I68" s="64">
        <v>1.38</v>
      </c>
      <c r="J68" s="64">
        <v>0.67</v>
      </c>
      <c r="K68" s="64">
        <v>359.19</v>
      </c>
      <c r="L68" s="64">
        <v>22.08</v>
      </c>
      <c r="M68" s="64">
        <v>99.08</v>
      </c>
      <c r="N68" s="64">
        <v>121.3</v>
      </c>
      <c r="O68" s="64">
        <v>0</v>
      </c>
      <c r="P68" s="64">
        <v>0.35</v>
      </c>
      <c r="Q68" s="64">
        <v>9.31</v>
      </c>
      <c r="R68" s="198"/>
      <c r="S68" s="198"/>
      <c r="T68" s="198"/>
      <c r="U68" s="198"/>
    </row>
    <row r="69" spans="1:21" s="12" customFormat="1" x14ac:dyDescent="0.25">
      <c r="A69" s="217" t="s">
        <v>2318</v>
      </c>
      <c r="B69" s="64">
        <v>8.08</v>
      </c>
      <c r="C69" s="64">
        <v>3.11</v>
      </c>
      <c r="D69" s="64">
        <v>11.88</v>
      </c>
      <c r="E69" s="64">
        <v>3.66</v>
      </c>
      <c r="F69" s="64">
        <v>4.68</v>
      </c>
      <c r="G69" s="64">
        <v>7.03</v>
      </c>
      <c r="H69" s="64">
        <v>4.2</v>
      </c>
      <c r="I69" s="64">
        <v>1.3</v>
      </c>
      <c r="J69" s="64">
        <v>0.36</v>
      </c>
      <c r="K69" s="64">
        <v>1.21</v>
      </c>
      <c r="L69" s="64">
        <v>22.3</v>
      </c>
      <c r="M69" s="64">
        <v>99.06</v>
      </c>
      <c r="N69" s="64">
        <v>113.7</v>
      </c>
      <c r="O69" s="64">
        <v>0</v>
      </c>
      <c r="P69" s="64">
        <v>0.33</v>
      </c>
      <c r="Q69" s="64">
        <v>9.3000000000000007</v>
      </c>
      <c r="R69" s="198"/>
      <c r="S69" s="198"/>
      <c r="T69" s="198"/>
      <c r="U69" s="198"/>
    </row>
    <row r="70" spans="1:21" s="12" customFormat="1" x14ac:dyDescent="0.25">
      <c r="A70" s="217" t="s">
        <v>2319</v>
      </c>
      <c r="B70" s="64">
        <v>8.16</v>
      </c>
      <c r="C70" s="64">
        <v>3.48</v>
      </c>
      <c r="D70" s="64">
        <v>12.14</v>
      </c>
      <c r="E70" s="64">
        <v>3.92</v>
      </c>
      <c r="F70" s="64">
        <v>4.83</v>
      </c>
      <c r="G70" s="64">
        <v>7.03</v>
      </c>
      <c r="H70" s="64">
        <v>4.2</v>
      </c>
      <c r="I70" s="64">
        <v>1.2</v>
      </c>
      <c r="J70" s="64">
        <v>0.3</v>
      </c>
      <c r="K70" s="64">
        <v>355.63</v>
      </c>
      <c r="L70" s="64">
        <v>22.31</v>
      </c>
      <c r="M70" s="64">
        <v>98.88</v>
      </c>
      <c r="N70" s="64">
        <v>90.1</v>
      </c>
      <c r="O70" s="64">
        <v>0.4</v>
      </c>
      <c r="P70" s="64">
        <v>0.33</v>
      </c>
      <c r="Q70" s="64">
        <v>9.3800000000000008</v>
      </c>
      <c r="R70" s="198"/>
      <c r="S70" s="198"/>
      <c r="T70" s="198"/>
      <c r="U70" s="198"/>
    </row>
    <row r="71" spans="1:21" s="12" customFormat="1" x14ac:dyDescent="0.25">
      <c r="A71" s="217" t="s">
        <v>2320</v>
      </c>
      <c r="B71" s="64">
        <v>8.0399999999999991</v>
      </c>
      <c r="C71" s="64">
        <v>3.14</v>
      </c>
      <c r="D71" s="64">
        <v>11.86</v>
      </c>
      <c r="E71" s="64">
        <v>3.99</v>
      </c>
      <c r="F71" s="64">
        <v>3.47</v>
      </c>
      <c r="G71" s="64">
        <v>6.33</v>
      </c>
      <c r="H71" s="64">
        <v>3.94</v>
      </c>
      <c r="I71" s="64">
        <v>1.1399999999999999</v>
      </c>
      <c r="J71" s="64">
        <v>0.42</v>
      </c>
      <c r="K71" s="64">
        <v>352.04</v>
      </c>
      <c r="L71" s="64">
        <v>22.12</v>
      </c>
      <c r="M71" s="64">
        <v>98.84</v>
      </c>
      <c r="N71" s="64">
        <v>81.599999999999994</v>
      </c>
      <c r="O71" s="64">
        <v>0.2</v>
      </c>
      <c r="P71" s="64">
        <v>0.32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7" t="s">
        <v>2321</v>
      </c>
      <c r="B72" s="64">
        <v>8.06</v>
      </c>
      <c r="C72" s="64">
        <v>3.04</v>
      </c>
      <c r="D72" s="64">
        <v>11.83</v>
      </c>
      <c r="E72" s="64">
        <v>2.93</v>
      </c>
      <c r="F72" s="64">
        <v>4.3</v>
      </c>
      <c r="G72" s="64">
        <v>5.27</v>
      </c>
      <c r="H72" s="64">
        <v>3.56</v>
      </c>
      <c r="I72" s="64">
        <v>1.1399999999999999</v>
      </c>
      <c r="J72" s="64">
        <v>0.61</v>
      </c>
      <c r="K72" s="64">
        <v>356.01</v>
      </c>
      <c r="L72" s="64">
        <v>22.2</v>
      </c>
      <c r="M72" s="64">
        <v>98.89</v>
      </c>
      <c r="N72" s="64">
        <v>79</v>
      </c>
      <c r="O72" s="64">
        <v>0.2</v>
      </c>
      <c r="P72" s="64">
        <v>0.31</v>
      </c>
      <c r="Q72" s="64">
        <v>9.32</v>
      </c>
      <c r="R72" s="198"/>
      <c r="S72" s="198"/>
      <c r="T72" s="198"/>
      <c r="U72" s="198"/>
    </row>
    <row r="73" spans="1:21" s="12" customFormat="1" x14ac:dyDescent="0.25">
      <c r="A73" s="217" t="s">
        <v>2322</v>
      </c>
      <c r="B73" s="64">
        <v>8.0500000000000007</v>
      </c>
      <c r="C73" s="64">
        <v>3.04</v>
      </c>
      <c r="D73" s="64">
        <v>11.82</v>
      </c>
      <c r="E73" s="64">
        <v>3.47</v>
      </c>
      <c r="F73" s="64">
        <v>3.61</v>
      </c>
      <c r="G73" s="64">
        <v>5.27</v>
      </c>
      <c r="H73" s="64">
        <v>3.56</v>
      </c>
      <c r="I73" s="64">
        <v>1.1299999999999999</v>
      </c>
      <c r="J73" s="64">
        <v>0.57999999999999996</v>
      </c>
      <c r="K73" s="64">
        <v>353.63</v>
      </c>
      <c r="L73" s="64">
        <v>22.29</v>
      </c>
      <c r="M73" s="64">
        <v>99.02</v>
      </c>
      <c r="N73" s="64">
        <v>91</v>
      </c>
      <c r="O73" s="64">
        <v>0.2</v>
      </c>
      <c r="P73" s="64">
        <v>0.3</v>
      </c>
      <c r="Q73" s="64">
        <v>9.32</v>
      </c>
      <c r="R73" s="198"/>
      <c r="S73" s="198"/>
      <c r="T73" s="198"/>
      <c r="U73" s="198"/>
    </row>
    <row r="74" spans="1:21" s="12" customFormat="1" x14ac:dyDescent="0.25">
      <c r="A74" s="217" t="s">
        <v>2323</v>
      </c>
      <c r="B74" s="64">
        <v>8.07</v>
      </c>
      <c r="C74" s="64">
        <v>3.02</v>
      </c>
      <c r="D74" s="64">
        <v>11.83</v>
      </c>
      <c r="E74" s="64">
        <v>3.56</v>
      </c>
      <c r="F74" s="64">
        <v>4.0999999999999996</v>
      </c>
      <c r="G74" s="64">
        <v>5.27</v>
      </c>
      <c r="H74" s="64">
        <v>3.56</v>
      </c>
      <c r="I74" s="64">
        <v>1.1000000000000001</v>
      </c>
      <c r="J74" s="64">
        <v>0.48</v>
      </c>
      <c r="K74" s="64">
        <v>355.43</v>
      </c>
      <c r="L74" s="64">
        <v>22.28</v>
      </c>
      <c r="M74" s="64">
        <v>99.12</v>
      </c>
      <c r="N74" s="64">
        <v>91.9</v>
      </c>
      <c r="O74" s="64">
        <v>0</v>
      </c>
      <c r="P74" s="64">
        <v>0.3</v>
      </c>
      <c r="Q74" s="64">
        <v>9.3000000000000007</v>
      </c>
      <c r="R74" s="198"/>
      <c r="S74" s="198"/>
      <c r="T74" s="198"/>
      <c r="U74" s="198"/>
    </row>
    <row r="75" spans="1:21" s="12" customFormat="1" x14ac:dyDescent="0.25">
      <c r="A75" s="217" t="s">
        <v>2324</v>
      </c>
      <c r="B75" s="64">
        <v>8.08</v>
      </c>
      <c r="C75" s="64">
        <v>3.05</v>
      </c>
      <c r="D75" s="64">
        <v>11.85</v>
      </c>
      <c r="E75" s="64">
        <v>3.53</v>
      </c>
      <c r="F75" s="64">
        <v>3.88</v>
      </c>
      <c r="G75" s="64">
        <v>4.92</v>
      </c>
      <c r="H75" s="64">
        <v>3.32</v>
      </c>
      <c r="I75" s="64">
        <v>1.04</v>
      </c>
      <c r="J75" s="64">
        <v>0.56999999999999995</v>
      </c>
      <c r="K75" s="64">
        <v>6.48</v>
      </c>
      <c r="L75" s="64">
        <v>22.26</v>
      </c>
      <c r="M75" s="64">
        <v>99.05</v>
      </c>
      <c r="N75" s="64">
        <v>72.599999999999994</v>
      </c>
      <c r="O75" s="64">
        <v>0</v>
      </c>
      <c r="P75" s="64">
        <v>0.3</v>
      </c>
      <c r="Q75" s="64">
        <v>9.32</v>
      </c>
      <c r="R75" s="198"/>
      <c r="S75" s="198"/>
      <c r="T75" s="198"/>
      <c r="U75" s="198"/>
    </row>
    <row r="76" spans="1:21" s="12" customFormat="1" x14ac:dyDescent="0.25">
      <c r="A76" s="217" t="s">
        <v>2325</v>
      </c>
      <c r="B76" s="64">
        <v>8.09</v>
      </c>
      <c r="C76" s="64">
        <v>3.06</v>
      </c>
      <c r="D76" s="64">
        <v>11.86</v>
      </c>
      <c r="E76" s="64">
        <v>3.65</v>
      </c>
      <c r="F76" s="64">
        <v>3.96</v>
      </c>
      <c r="G76" s="64">
        <v>4.4000000000000004</v>
      </c>
      <c r="H76" s="64">
        <v>2.96</v>
      </c>
      <c r="I76" s="64">
        <v>0.99</v>
      </c>
      <c r="J76" s="64">
        <v>0.56999999999999995</v>
      </c>
      <c r="K76" s="64">
        <v>0.45</v>
      </c>
      <c r="L76" s="64">
        <v>22.2</v>
      </c>
      <c r="M76" s="64">
        <v>99.12</v>
      </c>
      <c r="N76" s="64">
        <v>58.8</v>
      </c>
      <c r="O76" s="64">
        <v>0</v>
      </c>
      <c r="P76" s="64">
        <v>0.28999999999999998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7" t="s">
        <v>2326</v>
      </c>
      <c r="B77" s="64">
        <v>8.1</v>
      </c>
      <c r="C77" s="64">
        <v>3.08</v>
      </c>
      <c r="D77" s="64">
        <v>11.88</v>
      </c>
      <c r="E77" s="64">
        <v>3.2</v>
      </c>
      <c r="F77" s="64">
        <v>4.18</v>
      </c>
      <c r="G77" s="64">
        <v>4.4000000000000004</v>
      </c>
      <c r="H77" s="64">
        <v>2.96</v>
      </c>
      <c r="I77" s="64">
        <v>0.96</v>
      </c>
      <c r="J77" s="64">
        <v>0.52</v>
      </c>
      <c r="K77" s="64">
        <v>8.4700000000000006</v>
      </c>
      <c r="L77" s="64">
        <v>22.36</v>
      </c>
      <c r="M77" s="64">
        <v>98.59</v>
      </c>
      <c r="N77" s="64">
        <v>54.6</v>
      </c>
      <c r="O77" s="64">
        <v>0.8</v>
      </c>
      <c r="P77" s="64">
        <v>0.3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7" t="s">
        <v>2327</v>
      </c>
      <c r="B78" s="64">
        <v>8.1300000000000008</v>
      </c>
      <c r="C78" s="64">
        <v>3.08</v>
      </c>
      <c r="D78" s="64">
        <v>11.9</v>
      </c>
      <c r="E78" s="64">
        <v>3.48</v>
      </c>
      <c r="F78" s="64">
        <v>3.66</v>
      </c>
      <c r="G78" s="64">
        <v>4.4000000000000004</v>
      </c>
      <c r="H78" s="64">
        <v>2.96</v>
      </c>
      <c r="I78" s="64">
        <v>1.01</v>
      </c>
      <c r="J78" s="64">
        <v>0.76</v>
      </c>
      <c r="K78" s="64">
        <v>11.28</v>
      </c>
      <c r="L78" s="64">
        <v>22.13</v>
      </c>
      <c r="M78" s="64">
        <v>98.64</v>
      </c>
      <c r="N78" s="64">
        <v>55.2</v>
      </c>
      <c r="O78" s="64">
        <v>1.8</v>
      </c>
      <c r="P78" s="64">
        <v>0.3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7" t="s">
        <v>2328</v>
      </c>
      <c r="B79" s="64">
        <v>8.15</v>
      </c>
      <c r="C79" s="64">
        <v>3.16</v>
      </c>
      <c r="D79" s="64">
        <v>11.96</v>
      </c>
      <c r="E79" s="64">
        <v>3.23</v>
      </c>
      <c r="F79" s="64">
        <v>4.0599999999999996</v>
      </c>
      <c r="G79" s="64">
        <v>3.88</v>
      </c>
      <c r="H79" s="64">
        <v>2.63</v>
      </c>
      <c r="I79" s="64">
        <v>1.08</v>
      </c>
      <c r="J79" s="64">
        <v>0.73</v>
      </c>
      <c r="K79" s="64">
        <v>15.53</v>
      </c>
      <c r="L79" s="64">
        <v>21.9</v>
      </c>
      <c r="M79" s="64">
        <v>99.12</v>
      </c>
      <c r="N79" s="64">
        <v>54.7</v>
      </c>
      <c r="O79" s="64">
        <v>1.2</v>
      </c>
      <c r="P79" s="64">
        <v>0.31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7" t="s">
        <v>2329</v>
      </c>
      <c r="B80" s="64">
        <v>8.2200000000000006</v>
      </c>
      <c r="C80" s="64">
        <v>3.43</v>
      </c>
      <c r="D80" s="64">
        <v>12.16</v>
      </c>
      <c r="E80" s="64">
        <v>3.56</v>
      </c>
      <c r="F80" s="64">
        <v>4.51</v>
      </c>
      <c r="G80" s="64">
        <v>3.13</v>
      </c>
      <c r="H80" s="64">
        <v>2.12</v>
      </c>
      <c r="I80" s="64">
        <v>1.04</v>
      </c>
      <c r="J80" s="64">
        <v>0.51</v>
      </c>
      <c r="K80" s="64">
        <v>2.39</v>
      </c>
      <c r="L80" s="64">
        <v>21.85</v>
      </c>
      <c r="M80" s="64">
        <v>99.03</v>
      </c>
      <c r="N80" s="64">
        <v>51.5</v>
      </c>
      <c r="O80" s="64">
        <v>0.4</v>
      </c>
      <c r="P80" s="64">
        <v>0.31</v>
      </c>
      <c r="Q80" s="64">
        <v>9.34</v>
      </c>
      <c r="R80" s="198"/>
      <c r="S80" s="198"/>
      <c r="T80" s="198"/>
      <c r="U80" s="198"/>
    </row>
    <row r="81" spans="1:26" s="12" customFormat="1" x14ac:dyDescent="0.25">
      <c r="A81" s="217" t="s">
        <v>2330</v>
      </c>
      <c r="B81" s="64">
        <v>8.14</v>
      </c>
      <c r="C81" s="64">
        <v>3.34</v>
      </c>
      <c r="D81" s="64">
        <v>12.05</v>
      </c>
      <c r="E81" s="64">
        <v>3.35</v>
      </c>
      <c r="F81" s="64">
        <v>3.13</v>
      </c>
      <c r="G81" s="64">
        <v>3.13</v>
      </c>
      <c r="H81" s="64">
        <v>2.12</v>
      </c>
      <c r="I81" s="64">
        <v>0.98</v>
      </c>
      <c r="J81" s="64">
        <v>0.56000000000000005</v>
      </c>
      <c r="K81" s="64">
        <v>7.97</v>
      </c>
      <c r="L81" s="64">
        <v>21.89</v>
      </c>
      <c r="M81" s="64">
        <v>98.59</v>
      </c>
      <c r="N81" s="64">
        <v>50.3</v>
      </c>
      <c r="O81" s="64">
        <v>0</v>
      </c>
      <c r="P81" s="64">
        <v>0.32</v>
      </c>
      <c r="Q81" s="64">
        <v>9.2200000000000006</v>
      </c>
      <c r="R81" s="198"/>
      <c r="S81" s="198"/>
      <c r="T81" s="198"/>
      <c r="U81" s="198"/>
    </row>
    <row r="82" spans="1:26" s="12" customFormat="1" x14ac:dyDescent="0.25">
      <c r="A82" s="217" t="s">
        <v>2331</v>
      </c>
      <c r="B82" s="64">
        <v>8.08</v>
      </c>
      <c r="C82" s="64">
        <v>3.13</v>
      </c>
      <c r="D82" s="64">
        <v>11.89</v>
      </c>
      <c r="E82" s="64">
        <v>3.62</v>
      </c>
      <c r="F82" s="64">
        <v>3.22</v>
      </c>
      <c r="G82" s="64">
        <v>3.13</v>
      </c>
      <c r="H82" s="64">
        <v>2.12</v>
      </c>
      <c r="I82" s="64">
        <v>1</v>
      </c>
      <c r="J82" s="64">
        <v>0.62</v>
      </c>
      <c r="K82" s="64">
        <v>10.58</v>
      </c>
      <c r="L82" s="64">
        <v>22.11</v>
      </c>
      <c r="M82" s="64">
        <v>99.13</v>
      </c>
      <c r="N82" s="64">
        <v>48.3</v>
      </c>
      <c r="O82" s="64">
        <v>0.2</v>
      </c>
      <c r="P82" s="64">
        <v>0.33</v>
      </c>
      <c r="Q82" s="64">
        <v>9.16</v>
      </c>
      <c r="R82" s="198"/>
      <c r="S82" s="198"/>
      <c r="T82" s="198"/>
      <c r="U82" s="198"/>
    </row>
    <row r="83" spans="1:26" s="12" customFormat="1" x14ac:dyDescent="0.25">
      <c r="A83" s="217" t="s">
        <v>2332</v>
      </c>
      <c r="B83" s="64">
        <v>8.0399999999999991</v>
      </c>
      <c r="C83" s="64">
        <v>3.01</v>
      </c>
      <c r="D83" s="64">
        <v>11.8</v>
      </c>
      <c r="E83" s="64">
        <v>3.49</v>
      </c>
      <c r="F83" s="64">
        <v>4.6900000000000004</v>
      </c>
      <c r="G83" s="64">
        <v>2.95</v>
      </c>
      <c r="H83" s="64">
        <v>1.96</v>
      </c>
      <c r="I83" s="64">
        <v>1.03</v>
      </c>
      <c r="J83" s="64">
        <v>0.69</v>
      </c>
      <c r="K83" s="64">
        <v>12.07</v>
      </c>
      <c r="L83" s="64">
        <v>22.15</v>
      </c>
      <c r="M83" s="64">
        <v>98.64</v>
      </c>
      <c r="N83" s="64">
        <v>47.6</v>
      </c>
      <c r="O83" s="64">
        <v>0</v>
      </c>
      <c r="P83" s="64">
        <v>0.35</v>
      </c>
      <c r="Q83" s="64">
        <v>9.31</v>
      </c>
      <c r="R83" s="198"/>
      <c r="S83" s="198"/>
      <c r="T83" s="198"/>
      <c r="U83" s="198"/>
    </row>
    <row r="84" spans="1:26" s="12" customFormat="1" x14ac:dyDescent="0.25">
      <c r="A84" s="217" t="s">
        <v>2333</v>
      </c>
      <c r="B84" s="64">
        <v>8.07</v>
      </c>
      <c r="C84" s="64">
        <v>3.05</v>
      </c>
      <c r="D84" s="64">
        <v>11.84</v>
      </c>
      <c r="E84" s="64">
        <v>3.59</v>
      </c>
      <c r="F84" s="64">
        <v>3.45</v>
      </c>
      <c r="G84" s="64">
        <v>2.7</v>
      </c>
      <c r="H84" s="64">
        <v>1.72</v>
      </c>
      <c r="I84" s="64">
        <v>1.06</v>
      </c>
      <c r="J84" s="64">
        <v>0.69</v>
      </c>
      <c r="K84" s="64">
        <v>12.66</v>
      </c>
      <c r="L84" s="64">
        <v>22.25</v>
      </c>
      <c r="M84" s="64">
        <v>99.08</v>
      </c>
      <c r="N84" s="64">
        <v>47.4</v>
      </c>
      <c r="O84" s="64">
        <v>0</v>
      </c>
      <c r="P84" s="64">
        <v>0.35</v>
      </c>
      <c r="Q84" s="64">
        <v>9.2799999999999994</v>
      </c>
      <c r="R84" s="198"/>
      <c r="S84" s="198"/>
      <c r="T84" s="198"/>
      <c r="U84" s="198"/>
    </row>
    <row r="85" spans="1:26" s="12" customFormat="1" x14ac:dyDescent="0.25">
      <c r="A85" s="217" t="s">
        <v>2334</v>
      </c>
      <c r="B85" s="64">
        <v>8.08</v>
      </c>
      <c r="C85" s="64">
        <v>3.13</v>
      </c>
      <c r="D85" s="64">
        <v>11.89</v>
      </c>
      <c r="E85" s="64">
        <v>3.33</v>
      </c>
      <c r="F85" s="64">
        <v>3.92</v>
      </c>
      <c r="G85" s="64">
        <v>2.7</v>
      </c>
      <c r="H85" s="64">
        <v>1.72</v>
      </c>
      <c r="I85" s="64">
        <v>1.1100000000000001</v>
      </c>
      <c r="J85" s="64">
        <v>0.51</v>
      </c>
      <c r="K85" s="64">
        <v>10.17</v>
      </c>
      <c r="L85" s="64">
        <v>22.24</v>
      </c>
      <c r="M85" s="64">
        <v>98.59</v>
      </c>
      <c r="N85" s="64">
        <v>47.8</v>
      </c>
      <c r="O85" s="64">
        <v>0</v>
      </c>
      <c r="P85" s="64">
        <v>0.34</v>
      </c>
      <c r="Q85" s="64">
        <v>9.2899999999999991</v>
      </c>
      <c r="R85" s="198"/>
      <c r="S85" s="198"/>
      <c r="T85" s="198"/>
      <c r="U85" s="198"/>
    </row>
    <row r="86" spans="1:26" s="12" customFormat="1" x14ac:dyDescent="0.25">
      <c r="A86" s="217" t="s">
        <v>2335</v>
      </c>
      <c r="B86" s="64">
        <v>8.1</v>
      </c>
      <c r="C86" s="64">
        <v>3.19</v>
      </c>
      <c r="D86" s="64">
        <v>11.93</v>
      </c>
      <c r="E86" s="64">
        <v>3.73</v>
      </c>
      <c r="F86" s="64">
        <v>4.5999999999999996</v>
      </c>
      <c r="G86" s="64">
        <v>2.7</v>
      </c>
      <c r="H86" s="64">
        <v>1.72</v>
      </c>
      <c r="I86" s="64">
        <v>1.1299999999999999</v>
      </c>
      <c r="J86" s="64">
        <v>0.69</v>
      </c>
      <c r="K86" s="64">
        <v>5.6</v>
      </c>
      <c r="L86" s="64">
        <v>22.42</v>
      </c>
      <c r="M86" s="64">
        <v>99.12</v>
      </c>
      <c r="N86" s="64">
        <v>47.9</v>
      </c>
      <c r="O86" s="64">
        <v>0</v>
      </c>
      <c r="P86" s="64">
        <v>0.38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7" t="s">
        <v>2336</v>
      </c>
      <c r="B87" s="64">
        <v>8.08</v>
      </c>
      <c r="C87" s="64">
        <v>3.16</v>
      </c>
      <c r="D87" s="64">
        <v>11.9</v>
      </c>
      <c r="E87" s="64">
        <v>3.66</v>
      </c>
      <c r="F87" s="64">
        <v>3.86</v>
      </c>
      <c r="G87" s="64">
        <v>2.5099999999999998</v>
      </c>
      <c r="H87" s="64">
        <v>1.58</v>
      </c>
      <c r="I87" s="64">
        <v>1.1499999999999999</v>
      </c>
      <c r="J87" s="64">
        <v>0.68</v>
      </c>
      <c r="K87" s="64">
        <v>14.49</v>
      </c>
      <c r="L87" s="64">
        <v>22.49</v>
      </c>
      <c r="M87" s="64">
        <v>99.13</v>
      </c>
      <c r="N87" s="64">
        <v>48.1</v>
      </c>
      <c r="O87" s="64">
        <v>0</v>
      </c>
      <c r="P87" s="64">
        <v>0.38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7" t="s">
        <v>2337</v>
      </c>
      <c r="B88" s="64">
        <v>8.0399999999999991</v>
      </c>
      <c r="C88" s="64">
        <v>3.11</v>
      </c>
      <c r="D88" s="64">
        <v>11.85</v>
      </c>
      <c r="E88" s="64">
        <v>3.92</v>
      </c>
      <c r="F88" s="64">
        <v>4.34</v>
      </c>
      <c r="G88" s="64">
        <v>2.2400000000000002</v>
      </c>
      <c r="H88" s="64">
        <v>1.36</v>
      </c>
      <c r="I88" s="64">
        <v>1.19</v>
      </c>
      <c r="J88" s="64">
        <v>0.74</v>
      </c>
      <c r="K88" s="64">
        <v>20.059999999999999</v>
      </c>
      <c r="L88" s="64">
        <v>22.5</v>
      </c>
      <c r="M88" s="64">
        <v>99.13</v>
      </c>
      <c r="N88" s="64">
        <v>48.1</v>
      </c>
      <c r="O88" s="64">
        <v>0</v>
      </c>
      <c r="P88" s="64">
        <v>0.39</v>
      </c>
      <c r="Q88" s="64">
        <v>9.34</v>
      </c>
      <c r="R88" s="198"/>
      <c r="S88" s="198"/>
      <c r="T88" s="198"/>
      <c r="U88" s="198"/>
    </row>
    <row r="89" spans="1:26" s="12" customFormat="1" x14ac:dyDescent="0.25">
      <c r="A89" s="217" t="s">
        <v>2338</v>
      </c>
      <c r="B89" s="64">
        <v>8.0299999999999994</v>
      </c>
      <c r="C89" s="64">
        <v>3.06</v>
      </c>
      <c r="D89" s="64">
        <v>11.81</v>
      </c>
      <c r="E89" s="64">
        <v>4.6399999999999997</v>
      </c>
      <c r="F89" s="64">
        <v>3.95</v>
      </c>
      <c r="G89" s="64">
        <v>2.2400000000000002</v>
      </c>
      <c r="H89" s="64">
        <v>1.36</v>
      </c>
      <c r="I89" s="64">
        <v>1.23</v>
      </c>
      <c r="J89" s="64">
        <v>0.57999999999999996</v>
      </c>
      <c r="K89" s="64">
        <v>4.76</v>
      </c>
      <c r="L89" s="64">
        <v>22.6</v>
      </c>
      <c r="M89" s="64">
        <v>99.1</v>
      </c>
      <c r="N89" s="64">
        <v>48.1</v>
      </c>
      <c r="O89" s="64">
        <v>0</v>
      </c>
      <c r="P89" s="64">
        <v>0.39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7" t="s">
        <v>2339</v>
      </c>
      <c r="B90" s="64">
        <v>8.02</v>
      </c>
      <c r="C90" s="64">
        <v>3.03</v>
      </c>
      <c r="D90" s="64">
        <v>11.79</v>
      </c>
      <c r="E90" s="64">
        <v>4.38</v>
      </c>
      <c r="F90" s="64">
        <v>4.3</v>
      </c>
      <c r="G90" s="64">
        <v>2.2400000000000002</v>
      </c>
      <c r="H90" s="64">
        <v>1.36</v>
      </c>
      <c r="I90" s="64">
        <v>1.26</v>
      </c>
      <c r="J90" s="64">
        <v>0.64</v>
      </c>
      <c r="K90" s="64">
        <v>10.17</v>
      </c>
      <c r="L90" s="64">
        <v>22.67</v>
      </c>
      <c r="M90" s="64">
        <v>99.09</v>
      </c>
      <c r="N90" s="64">
        <v>48.2</v>
      </c>
      <c r="O90" s="64">
        <v>0</v>
      </c>
      <c r="P90" s="64">
        <v>0.4</v>
      </c>
      <c r="Q90" s="64">
        <v>9.2899999999999991</v>
      </c>
      <c r="R90" s="198"/>
      <c r="S90" s="198"/>
      <c r="T90" s="198"/>
      <c r="U90" s="198"/>
    </row>
    <row r="91" spans="1:26" s="12" customFormat="1" x14ac:dyDescent="0.25">
      <c r="A91" s="217" t="s">
        <v>2340</v>
      </c>
      <c r="B91" s="64">
        <v>8.09</v>
      </c>
      <c r="C91" s="64">
        <v>3.17</v>
      </c>
      <c r="D91" s="64">
        <v>11.92</v>
      </c>
      <c r="E91" s="64">
        <v>4.32</v>
      </c>
      <c r="F91" s="64">
        <v>4.24</v>
      </c>
      <c r="G91" s="64">
        <v>2.14</v>
      </c>
      <c r="H91" s="64">
        <v>1.69</v>
      </c>
      <c r="I91" s="64">
        <v>1.28</v>
      </c>
      <c r="J91" s="64">
        <v>0.62</v>
      </c>
      <c r="K91" s="64">
        <v>0.2</v>
      </c>
      <c r="L91" s="64">
        <v>22.8</v>
      </c>
      <c r="M91" s="64">
        <v>99.08</v>
      </c>
      <c r="N91" s="64">
        <v>48.1</v>
      </c>
      <c r="O91" s="64">
        <v>0</v>
      </c>
      <c r="P91" s="64">
        <v>0.39</v>
      </c>
      <c r="Q91" s="64">
        <v>9.31</v>
      </c>
      <c r="R91" s="198"/>
      <c r="S91" s="198"/>
      <c r="T91" s="198"/>
      <c r="U91" s="198"/>
    </row>
    <row r="92" spans="1:26" s="12" customFormat="1" x14ac:dyDescent="0.25">
      <c r="A92" s="217" t="s">
        <v>2341</v>
      </c>
      <c r="B92" s="64">
        <v>8.1</v>
      </c>
      <c r="C92" s="64">
        <v>3.13</v>
      </c>
      <c r="D92" s="64">
        <v>11.91</v>
      </c>
      <c r="E92" s="64">
        <v>4.63</v>
      </c>
      <c r="F92" s="64">
        <v>4.38</v>
      </c>
      <c r="G92" s="64">
        <v>3.14</v>
      </c>
      <c r="H92" s="64">
        <v>2.16</v>
      </c>
      <c r="I92" s="64">
        <v>1.25</v>
      </c>
      <c r="J92" s="64">
        <v>0.74</v>
      </c>
      <c r="K92" s="64">
        <v>4.78</v>
      </c>
      <c r="L92" s="64">
        <v>22.87</v>
      </c>
      <c r="M92" s="64">
        <v>99.08</v>
      </c>
      <c r="N92" s="64">
        <v>48.2</v>
      </c>
      <c r="O92" s="64">
        <v>0</v>
      </c>
      <c r="P92" s="64">
        <v>0.38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7" t="s">
        <v>2342</v>
      </c>
      <c r="B93" s="64">
        <v>8.1300000000000008</v>
      </c>
      <c r="C93" s="64">
        <v>3.2</v>
      </c>
      <c r="D93" s="64">
        <v>11.97</v>
      </c>
      <c r="E93" s="64">
        <v>4.53</v>
      </c>
      <c r="F93" s="64">
        <v>4.4400000000000004</v>
      </c>
      <c r="G93" s="64">
        <v>4.1399999999999997</v>
      </c>
      <c r="H93" s="64">
        <v>2.16</v>
      </c>
      <c r="I93" s="64">
        <v>1.21</v>
      </c>
      <c r="J93" s="64">
        <v>0.73</v>
      </c>
      <c r="K93" s="64">
        <v>354.98</v>
      </c>
      <c r="L93" s="64">
        <v>22.93</v>
      </c>
      <c r="M93" s="64">
        <v>99.08</v>
      </c>
      <c r="N93" s="64">
        <v>48.3</v>
      </c>
      <c r="O93" s="64">
        <v>0</v>
      </c>
      <c r="P93" s="64">
        <v>0.37</v>
      </c>
      <c r="Q93" s="64">
        <v>9.35</v>
      </c>
      <c r="R93" s="198"/>
      <c r="S93" s="198"/>
      <c r="T93" s="198"/>
      <c r="U93" s="198"/>
    </row>
    <row r="94" spans="1:26" s="12" customFormat="1" x14ac:dyDescent="0.25">
      <c r="A94" s="217" t="s">
        <v>2343</v>
      </c>
      <c r="B94" s="64">
        <v>8.15</v>
      </c>
      <c r="C94" s="64">
        <v>3.18</v>
      </c>
      <c r="D94" s="64">
        <v>11.97</v>
      </c>
      <c r="E94" s="64">
        <v>4.3099999999999996</v>
      </c>
      <c r="F94" s="64">
        <v>4.38</v>
      </c>
      <c r="G94" s="64">
        <v>2.14</v>
      </c>
      <c r="H94" s="64">
        <v>2.16</v>
      </c>
      <c r="I94" s="64">
        <v>1.1399999999999999</v>
      </c>
      <c r="J94" s="64">
        <v>0.73</v>
      </c>
      <c r="K94" s="64">
        <v>358.84</v>
      </c>
      <c r="L94" s="64">
        <v>22.9</v>
      </c>
      <c r="M94" s="64">
        <v>99.08</v>
      </c>
      <c r="N94" s="64">
        <v>48.5</v>
      </c>
      <c r="O94" s="64">
        <v>0</v>
      </c>
      <c r="P94" s="64">
        <v>0.36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7" t="s">
        <v>2344</v>
      </c>
      <c r="B95" s="64">
        <v>8.11</v>
      </c>
      <c r="C95" s="64">
        <v>3.12</v>
      </c>
      <c r="D95" s="64">
        <v>11.91</v>
      </c>
      <c r="E95" s="64">
        <v>4.6100000000000003</v>
      </c>
      <c r="F95" s="64">
        <v>4.09</v>
      </c>
      <c r="G95" s="64">
        <v>5.82</v>
      </c>
      <c r="H95" s="64">
        <v>1.96</v>
      </c>
      <c r="I95" s="64">
        <v>1.07</v>
      </c>
      <c r="J95" s="64">
        <v>0.65</v>
      </c>
      <c r="K95" s="64">
        <v>9.9600000000000009</v>
      </c>
      <c r="L95" s="64">
        <v>22.9</v>
      </c>
      <c r="M95" s="64">
        <v>99.08</v>
      </c>
      <c r="N95" s="64">
        <v>48.5</v>
      </c>
      <c r="O95" s="64">
        <v>0</v>
      </c>
      <c r="P95" s="64">
        <v>0.35</v>
      </c>
      <c r="Q95" s="64">
        <v>9.36</v>
      </c>
      <c r="R95" s="198"/>
      <c r="S95" s="198"/>
      <c r="T95" s="198"/>
      <c r="U95" s="198"/>
    </row>
    <row r="96" spans="1:26" s="12" customFormat="1" x14ac:dyDescent="0.25">
      <c r="A96" s="217" t="s">
        <v>2345</v>
      </c>
      <c r="B96" s="64">
        <v>8.1</v>
      </c>
      <c r="C96" s="64">
        <v>3.1</v>
      </c>
      <c r="D96" s="64">
        <v>11.89</v>
      </c>
      <c r="E96" s="64">
        <v>4.67</v>
      </c>
      <c r="F96" s="64">
        <v>3.55</v>
      </c>
      <c r="G96" s="64">
        <v>3.56</v>
      </c>
      <c r="H96" s="64">
        <v>1.68</v>
      </c>
      <c r="I96" s="64">
        <v>1.01</v>
      </c>
      <c r="J96" s="64">
        <v>0.64</v>
      </c>
      <c r="K96" s="64">
        <v>5.14</v>
      </c>
      <c r="L96" s="64">
        <v>22.9</v>
      </c>
      <c r="M96" s="64">
        <v>99.08</v>
      </c>
      <c r="N96" s="64">
        <v>48.2</v>
      </c>
      <c r="O96" s="64">
        <v>0</v>
      </c>
      <c r="P96" s="64">
        <v>0.37</v>
      </c>
      <c r="Q96" s="64">
        <v>9.36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2346</v>
      </c>
      <c r="B97" s="64">
        <v>8.17</v>
      </c>
      <c r="C97" s="64">
        <v>3.34</v>
      </c>
      <c r="D97" s="64">
        <v>12.07</v>
      </c>
      <c r="E97" s="64">
        <v>4.63</v>
      </c>
      <c r="F97" s="64">
        <v>3.69</v>
      </c>
      <c r="G97" s="64">
        <v>6.56</v>
      </c>
      <c r="H97" s="64">
        <v>1.68</v>
      </c>
      <c r="I97" s="64">
        <v>0.99</v>
      </c>
      <c r="J97" s="64">
        <v>0.72</v>
      </c>
      <c r="K97" s="64">
        <v>4.4400000000000004</v>
      </c>
      <c r="L97" s="64">
        <v>22.89</v>
      </c>
      <c r="M97" s="64">
        <v>99.08</v>
      </c>
      <c r="N97" s="64">
        <v>48.5</v>
      </c>
      <c r="O97" s="64">
        <v>0</v>
      </c>
      <c r="P97" s="64">
        <v>0.39</v>
      </c>
      <c r="Q97" s="64">
        <v>9.33</v>
      </c>
      <c r="R97" s="198"/>
      <c r="S97" s="198"/>
      <c r="T97" s="198"/>
      <c r="U97" s="198"/>
    </row>
    <row r="98" spans="1:33" s="12" customFormat="1" x14ac:dyDescent="0.25">
      <c r="A98" s="217" t="s">
        <v>2347</v>
      </c>
      <c r="B98" s="64">
        <v>8.1199999999999992</v>
      </c>
      <c r="C98" s="64">
        <v>3.18</v>
      </c>
      <c r="D98" s="64">
        <v>11.95</v>
      </c>
      <c r="E98" s="64">
        <v>4.8</v>
      </c>
      <c r="F98" s="64">
        <v>4.1399999999999997</v>
      </c>
      <c r="G98" s="64">
        <v>4.5599999999999996</v>
      </c>
      <c r="H98" s="64">
        <v>1.68</v>
      </c>
      <c r="I98" s="64">
        <v>1.05</v>
      </c>
      <c r="J98" s="64">
        <v>0.62</v>
      </c>
      <c r="K98" s="64">
        <v>2.5</v>
      </c>
      <c r="L98" s="64">
        <v>23.02</v>
      </c>
      <c r="M98" s="64">
        <v>99.08</v>
      </c>
      <c r="N98" s="64">
        <v>48.8</v>
      </c>
      <c r="O98" s="64">
        <v>0</v>
      </c>
      <c r="P98" s="64">
        <v>0.37</v>
      </c>
      <c r="Q98" s="64">
        <v>9.3699999999999992</v>
      </c>
      <c r="R98" s="198"/>
      <c r="S98" s="198"/>
      <c r="T98" s="198"/>
      <c r="U98" s="198"/>
    </row>
    <row r="99" spans="1:33" s="12" customFormat="1" x14ac:dyDescent="0.25">
      <c r="A99" s="217" t="s">
        <v>2348</v>
      </c>
      <c r="B99" s="64">
        <v>8.06</v>
      </c>
      <c r="C99" s="64">
        <v>3.1</v>
      </c>
      <c r="D99" s="64">
        <v>11.86</v>
      </c>
      <c r="E99" s="64">
        <v>4.8</v>
      </c>
      <c r="F99" s="64">
        <v>5.21</v>
      </c>
      <c r="G99" s="64">
        <v>3.25</v>
      </c>
      <c r="H99" s="64">
        <v>1.55</v>
      </c>
      <c r="I99" s="64">
        <v>1.1100000000000001</v>
      </c>
      <c r="J99" s="64">
        <v>0.75</v>
      </c>
      <c r="K99" s="64">
        <v>11.34</v>
      </c>
      <c r="L99" s="64">
        <v>23</v>
      </c>
      <c r="M99" s="64">
        <v>99.08</v>
      </c>
      <c r="N99" s="64">
        <v>48.8</v>
      </c>
      <c r="O99" s="64">
        <v>0</v>
      </c>
      <c r="P99" s="64">
        <v>0.36</v>
      </c>
      <c r="Q99" s="64">
        <v>9.3800000000000008</v>
      </c>
      <c r="R99" s="198"/>
      <c r="S99" s="198"/>
      <c r="T99" s="198"/>
      <c r="U99" s="198"/>
    </row>
    <row r="100" spans="1:33" s="12" customFormat="1" x14ac:dyDescent="0.25">
      <c r="A100" s="217" t="s">
        <v>2349</v>
      </c>
      <c r="B100" s="64">
        <v>8.0399999999999991</v>
      </c>
      <c r="C100" s="64">
        <v>3.07</v>
      </c>
      <c r="D100" s="64">
        <v>11.83</v>
      </c>
      <c r="E100" s="64">
        <v>4.66</v>
      </c>
      <c r="F100" s="64">
        <v>3.64</v>
      </c>
      <c r="G100" s="64">
        <v>5.79</v>
      </c>
      <c r="H100" s="64">
        <v>1.35</v>
      </c>
      <c r="I100" s="64">
        <v>1.07</v>
      </c>
      <c r="J100" s="64">
        <v>0.7</v>
      </c>
      <c r="K100" s="64">
        <v>8.1199999999999992</v>
      </c>
      <c r="L100" s="64">
        <v>22.99</v>
      </c>
      <c r="M100" s="64">
        <v>99.08</v>
      </c>
      <c r="N100" s="64">
        <v>48.7</v>
      </c>
      <c r="O100" s="64">
        <v>0</v>
      </c>
      <c r="P100" s="64">
        <v>0.34</v>
      </c>
      <c r="Q100" s="64">
        <v>9.23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2350</v>
      </c>
      <c r="B101" s="64">
        <v>8.0500000000000007</v>
      </c>
      <c r="C101" s="64">
        <v>3.11</v>
      </c>
      <c r="D101" s="64">
        <v>11.85</v>
      </c>
      <c r="E101" s="64">
        <v>4.63</v>
      </c>
      <c r="F101" s="64">
        <v>4.22</v>
      </c>
      <c r="G101" s="64">
        <v>5.79</v>
      </c>
      <c r="H101" s="64">
        <v>1.35</v>
      </c>
      <c r="I101" s="64">
        <v>0.99</v>
      </c>
      <c r="J101" s="64">
        <v>0.62</v>
      </c>
      <c r="K101" s="64">
        <v>12.8</v>
      </c>
      <c r="L101" s="64">
        <v>23.02</v>
      </c>
      <c r="M101" s="64">
        <v>99.08</v>
      </c>
      <c r="N101" s="64">
        <v>48.8</v>
      </c>
      <c r="O101" s="64">
        <v>0</v>
      </c>
      <c r="P101" s="64">
        <v>0.31</v>
      </c>
      <c r="Q101" s="64">
        <v>9.18</v>
      </c>
      <c r="R101" s="198"/>
      <c r="S101" s="198"/>
      <c r="T101" s="198"/>
      <c r="U101" s="198"/>
    </row>
    <row r="102" spans="1:33" s="12" customFormat="1" x14ac:dyDescent="0.25">
      <c r="A102" s="217" t="s">
        <v>2351</v>
      </c>
      <c r="B102" s="64">
        <v>8.08</v>
      </c>
      <c r="C102" s="64">
        <v>3.11</v>
      </c>
      <c r="D102" s="64">
        <v>11.88</v>
      </c>
      <c r="E102" s="64">
        <v>4.66</v>
      </c>
      <c r="F102" s="64">
        <v>4.6900000000000004</v>
      </c>
      <c r="G102" s="64">
        <v>5.79</v>
      </c>
      <c r="H102" s="64">
        <v>1.35</v>
      </c>
      <c r="I102" s="64">
        <v>0.93</v>
      </c>
      <c r="J102" s="64">
        <v>0.57999999999999996</v>
      </c>
      <c r="K102" s="64">
        <v>20.53</v>
      </c>
      <c r="L102" s="64">
        <v>23.02</v>
      </c>
      <c r="M102" s="64">
        <v>99.08</v>
      </c>
      <c r="N102" s="64">
        <v>48.8</v>
      </c>
      <c r="O102" s="64">
        <v>0</v>
      </c>
      <c r="P102" s="64">
        <v>0.31</v>
      </c>
      <c r="Q102" s="64">
        <v>9.27</v>
      </c>
      <c r="R102" s="198"/>
      <c r="S102" s="198"/>
      <c r="T102" s="198"/>
      <c r="U102" s="198"/>
    </row>
    <row r="103" spans="1:33" s="12" customFormat="1" x14ac:dyDescent="0.25">
      <c r="A103" s="217" t="s">
        <v>2352</v>
      </c>
      <c r="B103" s="64">
        <v>8.08</v>
      </c>
      <c r="C103" s="64">
        <v>3.11</v>
      </c>
      <c r="D103" s="64">
        <v>11.87</v>
      </c>
      <c r="E103" s="64">
        <v>4.84</v>
      </c>
      <c r="F103" s="64">
        <v>4.1900000000000004</v>
      </c>
      <c r="G103" s="64">
        <v>5.59</v>
      </c>
      <c r="H103" s="64">
        <v>1.25</v>
      </c>
      <c r="I103" s="64">
        <v>0.88</v>
      </c>
      <c r="J103" s="64">
        <v>0.59</v>
      </c>
      <c r="K103" s="64">
        <v>9.18</v>
      </c>
      <c r="L103" s="64">
        <v>23.03</v>
      </c>
      <c r="M103" s="64">
        <v>99.08</v>
      </c>
      <c r="N103" s="64">
        <v>48.5</v>
      </c>
      <c r="O103" s="64">
        <v>0</v>
      </c>
      <c r="P103" s="64">
        <v>0.3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17" t="s">
        <v>2353</v>
      </c>
      <c r="B104" s="64">
        <v>8.06</v>
      </c>
      <c r="C104" s="64">
        <v>3.09</v>
      </c>
      <c r="D104" s="64">
        <v>11.85</v>
      </c>
      <c r="E104" s="64">
        <v>4.8499999999999996</v>
      </c>
      <c r="F104" s="64">
        <v>4.16</v>
      </c>
      <c r="G104" s="64">
        <v>5.27</v>
      </c>
      <c r="H104" s="64">
        <v>1.1100000000000001</v>
      </c>
      <c r="I104" s="64">
        <v>0.9</v>
      </c>
      <c r="J104" s="64">
        <v>0.69</v>
      </c>
      <c r="K104" s="64">
        <v>7.68</v>
      </c>
      <c r="L104" s="64">
        <v>23.06</v>
      </c>
      <c r="M104" s="64">
        <v>99.08</v>
      </c>
      <c r="N104" s="64">
        <v>48.5</v>
      </c>
      <c r="O104" s="64">
        <v>0</v>
      </c>
      <c r="P104" s="64">
        <v>0.28000000000000003</v>
      </c>
      <c r="Q104" s="64">
        <v>9.25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8.02</v>
      </c>
      <c r="C106" s="67">
        <f>MIN(C9:C104)</f>
        <v>2.95</v>
      </c>
      <c r="D106" s="67">
        <f t="shared" ref="D106:Q106" si="0">MIN(D9:D104)</f>
        <v>11.76</v>
      </c>
      <c r="E106" s="67">
        <f t="shared" si="0"/>
        <v>2.93</v>
      </c>
      <c r="F106" s="67">
        <f t="shared" si="0"/>
        <v>2.95</v>
      </c>
      <c r="G106" s="67">
        <f t="shared" si="0"/>
        <v>2.14</v>
      </c>
      <c r="H106" s="67">
        <f t="shared" si="0"/>
        <v>0.57999999999999996</v>
      </c>
      <c r="I106" s="67">
        <f t="shared" si="0"/>
        <v>0.65</v>
      </c>
      <c r="J106" s="67">
        <f t="shared" si="0"/>
        <v>0.3</v>
      </c>
      <c r="K106" s="67">
        <f t="shared" si="0"/>
        <v>0.2</v>
      </c>
      <c r="L106" s="67">
        <f t="shared" si="0"/>
        <v>21.85</v>
      </c>
      <c r="M106" s="67">
        <f t="shared" si="0"/>
        <v>98.54</v>
      </c>
      <c r="N106" s="67">
        <f t="shared" si="0"/>
        <v>45.7</v>
      </c>
      <c r="O106" s="67">
        <f t="shared" si="0"/>
        <v>0</v>
      </c>
      <c r="P106" s="67">
        <f t="shared" si="0"/>
        <v>0.21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8.59</v>
      </c>
      <c r="C107" s="66">
        <f t="shared" ref="C107:Q107" si="1">MAX(C9:C104)</f>
        <v>4.28</v>
      </c>
      <c r="D107" s="66">
        <f t="shared" si="1"/>
        <v>12.89</v>
      </c>
      <c r="E107" s="66">
        <f t="shared" si="1"/>
        <v>5.25</v>
      </c>
      <c r="F107" s="66">
        <f t="shared" si="1"/>
        <v>5.46</v>
      </c>
      <c r="G107" s="66">
        <f t="shared" si="1"/>
        <v>22.98</v>
      </c>
      <c r="H107" s="66">
        <f t="shared" si="1"/>
        <v>7.55</v>
      </c>
      <c r="I107" s="66">
        <f t="shared" si="1"/>
        <v>3</v>
      </c>
      <c r="J107" s="66">
        <f t="shared" si="1"/>
        <v>0.79</v>
      </c>
      <c r="K107" s="66">
        <f t="shared" si="1"/>
        <v>359.19</v>
      </c>
      <c r="L107" s="66">
        <f t="shared" si="1"/>
        <v>24.51</v>
      </c>
      <c r="M107" s="66">
        <f t="shared" si="1"/>
        <v>99.13</v>
      </c>
      <c r="N107" s="66">
        <f t="shared" si="1"/>
        <v>157.9</v>
      </c>
      <c r="O107" s="66">
        <f t="shared" si="1"/>
        <v>2.4</v>
      </c>
      <c r="P107" s="66">
        <f t="shared" si="1"/>
        <v>0.68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8.1071875000000002</v>
      </c>
      <c r="C108" s="67">
        <f t="shared" ref="C108:Q108" si="2">AVERAGE(C9:C104)</f>
        <v>3.1495833333333341</v>
      </c>
      <c r="D108" s="67">
        <f t="shared" si="2"/>
        <v>11.921458333333332</v>
      </c>
      <c r="E108" s="67">
        <f t="shared" si="2"/>
        <v>4.2073958333333357</v>
      </c>
      <c r="F108" s="67">
        <f t="shared" si="2"/>
        <v>3.9979166666666663</v>
      </c>
      <c r="G108" s="67">
        <f t="shared" si="2"/>
        <v>8.0072916666666654</v>
      </c>
      <c r="H108" s="67">
        <f t="shared" si="2"/>
        <v>2.5831250000000003</v>
      </c>
      <c r="I108" s="67">
        <f t="shared" si="2"/>
        <v>1.3644791666666667</v>
      </c>
      <c r="J108" s="67">
        <f t="shared" si="2"/>
        <v>0.58489583333333306</v>
      </c>
      <c r="K108" s="67">
        <f t="shared" si="2"/>
        <v>173.68218749999994</v>
      </c>
      <c r="L108" s="67">
        <f t="shared" si="2"/>
        <v>22.963229166666668</v>
      </c>
      <c r="M108" s="67">
        <f t="shared" si="2"/>
        <v>99.020625000000038</v>
      </c>
      <c r="N108" s="67">
        <f t="shared" si="2"/>
        <v>73.754166666666677</v>
      </c>
      <c r="O108" s="67">
        <f t="shared" si="2"/>
        <v>0.11249999999999999</v>
      </c>
      <c r="P108" s="67">
        <f t="shared" si="2"/>
        <v>0.3598958333333333</v>
      </c>
      <c r="Q108" s="67">
        <f t="shared" si="2"/>
        <v>8.9555208333333312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8.9639078942636521E-2</v>
      </c>
      <c r="C109" s="67">
        <f t="shared" ref="C109:Q109" si="3">STDEV(C9:C104)</f>
        <v>0.20327278362191908</v>
      </c>
      <c r="D109" s="67">
        <f t="shared" si="3"/>
        <v>0.17584071240856286</v>
      </c>
      <c r="E109" s="67">
        <f t="shared" si="3"/>
        <v>0.50970423785535002</v>
      </c>
      <c r="F109" s="67">
        <f t="shared" si="3"/>
        <v>0.58114934518031602</v>
      </c>
      <c r="G109" s="67">
        <f t="shared" si="3"/>
        <v>5.8658360518957018</v>
      </c>
      <c r="H109" s="67">
        <f t="shared" si="3"/>
        <v>1.8978127645986795</v>
      </c>
      <c r="I109" s="67">
        <f t="shared" si="3"/>
        <v>0.65921463606590935</v>
      </c>
      <c r="J109" s="67">
        <f t="shared" si="3"/>
        <v>0.10226894153900871</v>
      </c>
      <c r="K109" s="67">
        <f t="shared" si="3"/>
        <v>171.07480524583778</v>
      </c>
      <c r="L109" s="67">
        <f t="shared" si="3"/>
        <v>0.65056331022740232</v>
      </c>
      <c r="M109" s="67">
        <f t="shared" si="3"/>
        <v>0.15913458388883725</v>
      </c>
      <c r="N109" s="67">
        <f t="shared" si="3"/>
        <v>33.779710249814137</v>
      </c>
      <c r="O109" s="67">
        <f t="shared" si="3"/>
        <v>0.35280828251406782</v>
      </c>
      <c r="P109" s="67">
        <f t="shared" si="3"/>
        <v>0.13237502381425512</v>
      </c>
      <c r="Q109" s="67">
        <f t="shared" si="3"/>
        <v>1.8800654354747017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216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" sqref="B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2354</v>
      </c>
      <c r="B9" s="64">
        <v>8.06</v>
      </c>
      <c r="C9" s="64">
        <v>3.06</v>
      </c>
      <c r="D9" s="64">
        <v>11.84</v>
      </c>
      <c r="E9" s="64">
        <v>3.24</v>
      </c>
      <c r="F9" s="64">
        <v>4.38</v>
      </c>
      <c r="G9" s="64">
        <v>5.27</v>
      </c>
      <c r="H9" s="64">
        <v>1.1100000000000001</v>
      </c>
      <c r="I9" s="64">
        <v>0.85</v>
      </c>
      <c r="J9" s="64">
        <v>0.62</v>
      </c>
      <c r="K9" s="64">
        <v>0.76</v>
      </c>
      <c r="L9" s="64">
        <v>23.05</v>
      </c>
      <c r="M9" s="64">
        <v>99.08</v>
      </c>
      <c r="N9" s="64">
        <v>48.3</v>
      </c>
      <c r="O9" s="64">
        <v>0</v>
      </c>
      <c r="P9" s="210" t="s">
        <v>36</v>
      </c>
      <c r="Q9" s="210" t="s">
        <v>36</v>
      </c>
      <c r="S9" s="198"/>
      <c r="T9" s="198"/>
      <c r="U9" s="198"/>
    </row>
    <row r="10" spans="1:21" s="12" customFormat="1" x14ac:dyDescent="0.25">
      <c r="A10" s="217" t="s">
        <v>2355</v>
      </c>
      <c r="B10" s="64">
        <v>8.07</v>
      </c>
      <c r="C10" s="64">
        <v>3.03</v>
      </c>
      <c r="D10" s="64">
        <v>11.83</v>
      </c>
      <c r="E10" s="64">
        <v>3.24</v>
      </c>
      <c r="F10" s="64">
        <v>4.93</v>
      </c>
      <c r="G10" s="64">
        <v>5.27</v>
      </c>
      <c r="H10" s="64">
        <v>1.1100000000000001</v>
      </c>
      <c r="I10" s="64">
        <v>0.76</v>
      </c>
      <c r="J10" s="64">
        <v>0.77</v>
      </c>
      <c r="K10" s="64">
        <v>10.6</v>
      </c>
      <c r="L10" s="64">
        <v>23.11</v>
      </c>
      <c r="M10" s="64">
        <v>99.07</v>
      </c>
      <c r="N10" s="64">
        <v>48.1</v>
      </c>
      <c r="O10" s="64">
        <v>0</v>
      </c>
      <c r="P10" s="210" t="s">
        <v>36</v>
      </c>
      <c r="Q10" s="210" t="s">
        <v>36</v>
      </c>
      <c r="S10" s="198"/>
      <c r="T10" s="198"/>
      <c r="U10" s="198"/>
    </row>
    <row r="11" spans="1:21" s="12" customFormat="1" x14ac:dyDescent="0.25">
      <c r="A11" s="217" t="s">
        <v>2356</v>
      </c>
      <c r="B11" s="64">
        <v>8.06</v>
      </c>
      <c r="C11" s="64">
        <v>3.06</v>
      </c>
      <c r="D11" s="64">
        <v>11.83</v>
      </c>
      <c r="E11" s="64">
        <v>3.39</v>
      </c>
      <c r="F11" s="64">
        <v>4.47</v>
      </c>
      <c r="G11" s="64">
        <v>4.9000000000000004</v>
      </c>
      <c r="H11" s="64">
        <v>1.04</v>
      </c>
      <c r="I11" s="64">
        <v>0.73</v>
      </c>
      <c r="J11" s="64">
        <v>0.59</v>
      </c>
      <c r="K11" s="64">
        <v>0.53</v>
      </c>
      <c r="L11" s="64">
        <v>23.11</v>
      </c>
      <c r="M11" s="64">
        <v>99.07</v>
      </c>
      <c r="N11" s="64">
        <v>48.1</v>
      </c>
      <c r="O11" s="64">
        <v>0</v>
      </c>
      <c r="P11" s="210" t="s">
        <v>36</v>
      </c>
      <c r="Q11" s="210" t="s">
        <v>36</v>
      </c>
      <c r="S11" s="198"/>
      <c r="T11" s="198"/>
      <c r="U11" s="198"/>
    </row>
    <row r="12" spans="1:21" s="12" customFormat="1" x14ac:dyDescent="0.25">
      <c r="A12" s="217" t="s">
        <v>2357</v>
      </c>
      <c r="B12" s="64">
        <v>8.0500000000000007</v>
      </c>
      <c r="C12" s="64">
        <v>2.99</v>
      </c>
      <c r="D12" s="64">
        <v>11.79</v>
      </c>
      <c r="E12" s="64">
        <v>3.76</v>
      </c>
      <c r="F12" s="64">
        <v>5.01</v>
      </c>
      <c r="G12" s="64">
        <v>4.37</v>
      </c>
      <c r="H12" s="64">
        <v>0.93</v>
      </c>
      <c r="I12" s="64">
        <v>0.7</v>
      </c>
      <c r="J12" s="64">
        <v>0.67</v>
      </c>
      <c r="K12" s="64">
        <v>5.62</v>
      </c>
      <c r="L12" s="64">
        <v>23.15</v>
      </c>
      <c r="M12" s="64">
        <v>99.05</v>
      </c>
      <c r="N12" s="64">
        <v>48.1</v>
      </c>
      <c r="O12" s="64">
        <v>0</v>
      </c>
      <c r="P12" s="210" t="s">
        <v>36</v>
      </c>
      <c r="Q12" s="210" t="s">
        <v>36</v>
      </c>
      <c r="S12" s="198"/>
      <c r="T12" s="198"/>
      <c r="U12" s="198"/>
    </row>
    <row r="13" spans="1:21" s="12" customFormat="1" x14ac:dyDescent="0.25">
      <c r="A13" s="217" t="s">
        <v>2358</v>
      </c>
      <c r="B13" s="64">
        <v>8.07</v>
      </c>
      <c r="C13" s="64">
        <v>3.07</v>
      </c>
      <c r="D13" s="64">
        <v>11.85</v>
      </c>
      <c r="E13" s="64">
        <v>3.02</v>
      </c>
      <c r="F13" s="64">
        <v>5.05</v>
      </c>
      <c r="G13" s="64">
        <v>4.37</v>
      </c>
      <c r="H13" s="64">
        <v>0.93</v>
      </c>
      <c r="I13" s="64">
        <v>0.7</v>
      </c>
      <c r="J13" s="64">
        <v>0.68</v>
      </c>
      <c r="K13" s="64">
        <v>1.64</v>
      </c>
      <c r="L13" s="64">
        <v>23.16</v>
      </c>
      <c r="M13" s="64">
        <v>99.06</v>
      </c>
      <c r="N13" s="64">
        <v>48.1</v>
      </c>
      <c r="O13" s="64">
        <v>0</v>
      </c>
      <c r="P13" s="210" t="s">
        <v>36</v>
      </c>
      <c r="Q13" s="210" t="s">
        <v>36</v>
      </c>
      <c r="S13" s="198"/>
      <c r="T13" s="198"/>
      <c r="U13" s="198"/>
    </row>
    <row r="14" spans="1:21" s="12" customFormat="1" x14ac:dyDescent="0.25">
      <c r="A14" s="217" t="s">
        <v>2359</v>
      </c>
      <c r="B14" s="64">
        <v>8.07</v>
      </c>
      <c r="C14" s="64">
        <v>3.03</v>
      </c>
      <c r="D14" s="64">
        <v>11.83</v>
      </c>
      <c r="E14" s="64">
        <v>3.59</v>
      </c>
      <c r="F14" s="64">
        <v>4.91</v>
      </c>
      <c r="G14" s="64">
        <v>4.37</v>
      </c>
      <c r="H14" s="64">
        <v>0.93</v>
      </c>
      <c r="I14" s="64">
        <v>0.66</v>
      </c>
      <c r="J14" s="64">
        <v>0.68</v>
      </c>
      <c r="K14" s="64">
        <v>6.6</v>
      </c>
      <c r="L14" s="64">
        <v>23.22</v>
      </c>
      <c r="M14" s="64">
        <v>99.05</v>
      </c>
      <c r="N14" s="64">
        <v>48.1</v>
      </c>
      <c r="O14" s="64">
        <v>0</v>
      </c>
      <c r="P14" s="210" t="s">
        <v>36</v>
      </c>
      <c r="Q14" s="210" t="s">
        <v>36</v>
      </c>
      <c r="S14" s="198"/>
      <c r="T14" s="198"/>
      <c r="U14" s="198"/>
    </row>
    <row r="15" spans="1:21" s="12" customFormat="1" x14ac:dyDescent="0.25">
      <c r="A15" s="217" t="s">
        <v>2360</v>
      </c>
      <c r="B15" s="64">
        <v>8.11</v>
      </c>
      <c r="C15" s="64">
        <v>3.11</v>
      </c>
      <c r="D15" s="64">
        <v>11.9</v>
      </c>
      <c r="E15" s="64">
        <v>3.52</v>
      </c>
      <c r="F15" s="64">
        <v>5.27</v>
      </c>
      <c r="G15" s="64">
        <v>3.91</v>
      </c>
      <c r="H15" s="64">
        <v>0.88</v>
      </c>
      <c r="I15" s="64">
        <v>0.63</v>
      </c>
      <c r="J15" s="64">
        <v>0.72</v>
      </c>
      <c r="K15" s="64">
        <v>6.13</v>
      </c>
      <c r="L15" s="64">
        <v>23.2</v>
      </c>
      <c r="M15" s="64">
        <v>99.05</v>
      </c>
      <c r="N15" s="64">
        <v>48.1</v>
      </c>
      <c r="O15" s="64">
        <v>0</v>
      </c>
      <c r="P15" s="210" t="s">
        <v>36</v>
      </c>
      <c r="Q15" s="210" t="s">
        <v>36</v>
      </c>
      <c r="S15" s="198"/>
      <c r="T15" s="198"/>
      <c r="U15" s="198"/>
    </row>
    <row r="16" spans="1:21" s="12" customFormat="1" x14ac:dyDescent="0.25">
      <c r="A16" s="217" t="s">
        <v>2361</v>
      </c>
      <c r="B16" s="64">
        <v>8.09</v>
      </c>
      <c r="C16" s="64">
        <v>3.05</v>
      </c>
      <c r="D16" s="64">
        <v>11.85</v>
      </c>
      <c r="E16" s="64">
        <v>3.2</v>
      </c>
      <c r="F16" s="64">
        <v>5.47</v>
      </c>
      <c r="G16" s="64">
        <v>3.23</v>
      </c>
      <c r="H16" s="64">
        <v>0.81</v>
      </c>
      <c r="I16" s="64">
        <v>0.6</v>
      </c>
      <c r="J16" s="64">
        <v>0.56000000000000005</v>
      </c>
      <c r="K16" s="64">
        <v>1.67</v>
      </c>
      <c r="L16" s="64">
        <v>23.13</v>
      </c>
      <c r="M16" s="64">
        <v>99.06</v>
      </c>
      <c r="N16" s="64">
        <v>48.1</v>
      </c>
      <c r="O16" s="64">
        <v>0</v>
      </c>
      <c r="P16" s="210" t="s">
        <v>36</v>
      </c>
      <c r="Q16" s="210" t="s">
        <v>36</v>
      </c>
      <c r="S16" s="198"/>
      <c r="T16" s="198"/>
      <c r="U16" s="198"/>
    </row>
    <row r="17" spans="1:21" s="12" customFormat="1" x14ac:dyDescent="0.25">
      <c r="A17" s="217" t="s">
        <v>2362</v>
      </c>
      <c r="B17" s="64">
        <v>8.1199999999999992</v>
      </c>
      <c r="C17" s="64">
        <v>3.12</v>
      </c>
      <c r="D17" s="64">
        <v>11.92</v>
      </c>
      <c r="E17" s="64">
        <v>3.58</v>
      </c>
      <c r="F17" s="64">
        <v>5.43</v>
      </c>
      <c r="G17" s="64">
        <v>3.23</v>
      </c>
      <c r="H17" s="64">
        <v>0.81</v>
      </c>
      <c r="I17" s="64">
        <v>0.55000000000000004</v>
      </c>
      <c r="J17" s="64">
        <v>0.63</v>
      </c>
      <c r="K17" s="64">
        <v>11.87</v>
      </c>
      <c r="L17" s="64">
        <v>23.08</v>
      </c>
      <c r="M17" s="64">
        <v>99.07</v>
      </c>
      <c r="N17" s="64">
        <v>48.1</v>
      </c>
      <c r="O17" s="64">
        <v>0</v>
      </c>
      <c r="P17" s="210" t="s">
        <v>36</v>
      </c>
      <c r="Q17" s="210" t="s">
        <v>36</v>
      </c>
      <c r="S17" s="198"/>
      <c r="T17" s="198"/>
      <c r="U17" s="198"/>
    </row>
    <row r="18" spans="1:21" s="12" customFormat="1" x14ac:dyDescent="0.25">
      <c r="A18" s="217" t="s">
        <v>2363</v>
      </c>
      <c r="B18" s="64">
        <v>8.1199999999999992</v>
      </c>
      <c r="C18" s="64">
        <v>3.1</v>
      </c>
      <c r="D18" s="64">
        <v>11.91</v>
      </c>
      <c r="E18" s="64">
        <v>3.51</v>
      </c>
      <c r="F18" s="64">
        <v>5.42</v>
      </c>
      <c r="G18" s="64">
        <v>3.23</v>
      </c>
      <c r="H18" s="64">
        <v>0.81</v>
      </c>
      <c r="I18" s="64">
        <v>0.53</v>
      </c>
      <c r="J18" s="64">
        <v>0.61</v>
      </c>
      <c r="K18" s="64">
        <v>6.34</v>
      </c>
      <c r="L18" s="64">
        <v>23.09</v>
      </c>
      <c r="M18" s="64">
        <v>99.07</v>
      </c>
      <c r="N18" s="64">
        <v>48.3</v>
      </c>
      <c r="O18" s="64">
        <v>0</v>
      </c>
      <c r="P18" s="210" t="s">
        <v>36</v>
      </c>
      <c r="Q18" s="210" t="s">
        <v>36</v>
      </c>
      <c r="S18" s="198"/>
      <c r="T18" s="198"/>
      <c r="U18" s="198"/>
    </row>
    <row r="19" spans="1:21" s="12" customFormat="1" x14ac:dyDescent="0.25">
      <c r="A19" s="217" t="s">
        <v>2364</v>
      </c>
      <c r="B19" s="64">
        <v>8.1199999999999992</v>
      </c>
      <c r="C19" s="64">
        <v>3.05</v>
      </c>
      <c r="D19" s="64">
        <v>11.88</v>
      </c>
      <c r="E19" s="64">
        <v>3.62</v>
      </c>
      <c r="F19" s="64">
        <v>5.53</v>
      </c>
      <c r="G19" s="64">
        <v>3.1</v>
      </c>
      <c r="H19" s="64">
        <v>0.83</v>
      </c>
      <c r="I19" s="64">
        <v>0.51</v>
      </c>
      <c r="J19" s="64">
        <v>0.65</v>
      </c>
      <c r="K19" s="64">
        <v>4.3</v>
      </c>
      <c r="L19" s="64">
        <v>22.63</v>
      </c>
      <c r="M19" s="64">
        <v>99.09</v>
      </c>
      <c r="N19" s="64">
        <v>48.2</v>
      </c>
      <c r="O19" s="64">
        <v>0</v>
      </c>
      <c r="P19" s="210" t="s">
        <v>36</v>
      </c>
      <c r="Q19" s="210" t="s">
        <v>36</v>
      </c>
      <c r="S19" s="198"/>
      <c r="T19" s="198"/>
      <c r="U19" s="198"/>
    </row>
    <row r="20" spans="1:21" s="12" customFormat="1" x14ac:dyDescent="0.25">
      <c r="A20" s="217" t="s">
        <v>2365</v>
      </c>
      <c r="B20" s="64">
        <v>8.09</v>
      </c>
      <c r="C20" s="64">
        <v>3.05</v>
      </c>
      <c r="D20" s="64">
        <v>11.85</v>
      </c>
      <c r="E20" s="64">
        <v>3.61</v>
      </c>
      <c r="F20" s="64">
        <v>5.35</v>
      </c>
      <c r="G20" s="64">
        <v>2.9</v>
      </c>
      <c r="H20" s="64">
        <v>0.85</v>
      </c>
      <c r="I20" s="64">
        <v>0.48</v>
      </c>
      <c r="J20" s="64">
        <v>0.53</v>
      </c>
      <c r="K20" s="64">
        <v>356.93</v>
      </c>
      <c r="L20" s="64">
        <v>22.43</v>
      </c>
      <c r="M20" s="64">
        <v>99.13</v>
      </c>
      <c r="N20" s="64">
        <v>47.7</v>
      </c>
      <c r="O20" s="64">
        <v>0</v>
      </c>
      <c r="P20" s="210" t="s">
        <v>36</v>
      </c>
      <c r="Q20" s="210" t="s">
        <v>36</v>
      </c>
      <c r="S20" s="198"/>
      <c r="T20" s="198"/>
      <c r="U20" s="198"/>
    </row>
    <row r="21" spans="1:21" s="12" customFormat="1" x14ac:dyDescent="0.25">
      <c r="A21" s="217" t="s">
        <v>2366</v>
      </c>
      <c r="B21" s="64">
        <v>8.07</v>
      </c>
      <c r="C21" s="64">
        <v>3.03</v>
      </c>
      <c r="D21" s="64">
        <v>11.83</v>
      </c>
      <c r="E21" s="64">
        <v>3.71</v>
      </c>
      <c r="F21" s="64">
        <v>6.1</v>
      </c>
      <c r="G21" s="64">
        <v>2.9</v>
      </c>
      <c r="H21" s="64">
        <v>0.85</v>
      </c>
      <c r="I21" s="64">
        <v>0.46</v>
      </c>
      <c r="J21" s="64">
        <v>0.56999999999999995</v>
      </c>
      <c r="K21" s="64">
        <v>11.15</v>
      </c>
      <c r="L21" s="64">
        <v>22.39</v>
      </c>
      <c r="M21" s="64">
        <v>99.13</v>
      </c>
      <c r="N21" s="64">
        <v>47.8</v>
      </c>
      <c r="O21" s="64">
        <v>0</v>
      </c>
      <c r="P21" s="210" t="s">
        <v>36</v>
      </c>
      <c r="Q21" s="210" t="s">
        <v>36</v>
      </c>
      <c r="S21" s="198"/>
      <c r="T21" s="198"/>
      <c r="U21" s="198"/>
    </row>
    <row r="22" spans="1:21" s="12" customFormat="1" x14ac:dyDescent="0.25">
      <c r="A22" s="217" t="s">
        <v>2367</v>
      </c>
      <c r="B22" s="64">
        <v>8.06</v>
      </c>
      <c r="C22" s="64">
        <v>3.1</v>
      </c>
      <c r="D22" s="64">
        <v>11.86</v>
      </c>
      <c r="E22" s="64">
        <v>4</v>
      </c>
      <c r="F22" s="64">
        <v>3.87</v>
      </c>
      <c r="G22" s="64">
        <v>2.9</v>
      </c>
      <c r="H22" s="64">
        <v>0.85</v>
      </c>
      <c r="I22" s="64">
        <v>0.46</v>
      </c>
      <c r="J22" s="64">
        <v>0.63</v>
      </c>
      <c r="K22" s="64">
        <v>8.9600000000000009</v>
      </c>
      <c r="L22" s="64">
        <v>22.4</v>
      </c>
      <c r="M22" s="64">
        <v>99.13</v>
      </c>
      <c r="N22" s="64">
        <v>48</v>
      </c>
      <c r="O22" s="64">
        <v>0</v>
      </c>
      <c r="P22" s="210" t="s">
        <v>36</v>
      </c>
      <c r="Q22" s="210" t="s">
        <v>36</v>
      </c>
      <c r="S22" s="198"/>
      <c r="T22" s="198"/>
      <c r="U22" s="198"/>
    </row>
    <row r="23" spans="1:21" s="12" customFormat="1" x14ac:dyDescent="0.25">
      <c r="A23" s="217" t="s">
        <v>2368</v>
      </c>
      <c r="B23" s="64">
        <v>8.1300000000000008</v>
      </c>
      <c r="C23" s="64">
        <v>3.24</v>
      </c>
      <c r="D23" s="64">
        <v>11.98</v>
      </c>
      <c r="E23" s="64">
        <v>3.67</v>
      </c>
      <c r="F23" s="64">
        <v>4.8600000000000003</v>
      </c>
      <c r="G23" s="64">
        <v>2.68</v>
      </c>
      <c r="H23" s="64">
        <v>0.87</v>
      </c>
      <c r="I23" s="64">
        <v>0.48</v>
      </c>
      <c r="J23" s="64">
        <v>0.65</v>
      </c>
      <c r="K23" s="64">
        <v>352.42</v>
      </c>
      <c r="L23" s="64">
        <v>22.26</v>
      </c>
      <c r="M23" s="64">
        <v>99.13</v>
      </c>
      <c r="N23" s="64">
        <v>48.1</v>
      </c>
      <c r="O23" s="64">
        <v>0</v>
      </c>
      <c r="P23" s="210" t="s">
        <v>36</v>
      </c>
      <c r="Q23" s="210" t="s">
        <v>36</v>
      </c>
      <c r="S23" s="198"/>
      <c r="T23" s="198"/>
      <c r="U23" s="198"/>
    </row>
    <row r="24" spans="1:21" s="12" customFormat="1" x14ac:dyDescent="0.25">
      <c r="A24" s="217" t="s">
        <v>2369</v>
      </c>
      <c r="B24" s="64">
        <v>8.2100000000000009</v>
      </c>
      <c r="C24" s="64">
        <v>3.54</v>
      </c>
      <c r="D24" s="64">
        <v>12.21</v>
      </c>
      <c r="E24" s="64">
        <v>5.37</v>
      </c>
      <c r="F24" s="64">
        <v>5.5</v>
      </c>
      <c r="G24" s="64">
        <v>2.36</v>
      </c>
      <c r="H24" s="64">
        <v>0.91</v>
      </c>
      <c r="I24" s="64">
        <v>0.49</v>
      </c>
      <c r="J24" s="64">
        <v>0.48</v>
      </c>
      <c r="K24" s="64">
        <v>5.83</v>
      </c>
      <c r="L24" s="64">
        <v>22.2</v>
      </c>
      <c r="M24" s="64">
        <v>99.13</v>
      </c>
      <c r="N24" s="64">
        <v>47.8</v>
      </c>
      <c r="O24" s="64">
        <v>0</v>
      </c>
      <c r="P24" s="210" t="s">
        <v>36</v>
      </c>
      <c r="Q24" s="210" t="s">
        <v>36</v>
      </c>
      <c r="S24" s="198"/>
      <c r="T24" s="198"/>
      <c r="U24" s="198"/>
    </row>
    <row r="25" spans="1:21" s="12" customFormat="1" x14ac:dyDescent="0.25">
      <c r="A25" s="217" t="s">
        <v>2370</v>
      </c>
      <c r="B25" s="64">
        <v>8.07</v>
      </c>
      <c r="C25" s="64">
        <v>3.05</v>
      </c>
      <c r="D25" s="64">
        <v>11.84</v>
      </c>
      <c r="E25" s="64">
        <v>4.0999999999999996</v>
      </c>
      <c r="F25" s="64">
        <v>4.32</v>
      </c>
      <c r="G25" s="64">
        <v>2.36</v>
      </c>
      <c r="H25" s="64">
        <v>0.91</v>
      </c>
      <c r="I25" s="64">
        <v>0.47</v>
      </c>
      <c r="J25" s="64">
        <v>0.74</v>
      </c>
      <c r="K25" s="64">
        <v>8.2799999999999994</v>
      </c>
      <c r="L25" s="64">
        <v>22.24</v>
      </c>
      <c r="M25" s="64">
        <v>99.13</v>
      </c>
      <c r="N25" s="64">
        <v>47.8</v>
      </c>
      <c r="O25" s="64">
        <v>0</v>
      </c>
      <c r="P25" s="210" t="s">
        <v>36</v>
      </c>
      <c r="Q25" s="210" t="s">
        <v>36</v>
      </c>
      <c r="S25" s="198"/>
      <c r="T25" s="198"/>
      <c r="U25" s="198"/>
    </row>
    <row r="26" spans="1:21" s="12" customFormat="1" x14ac:dyDescent="0.25">
      <c r="A26" s="217" t="s">
        <v>2371</v>
      </c>
      <c r="B26" s="64">
        <v>8.06</v>
      </c>
      <c r="C26" s="64">
        <v>2.94</v>
      </c>
      <c r="D26" s="64">
        <v>11.77</v>
      </c>
      <c r="E26" s="64">
        <v>4.16</v>
      </c>
      <c r="F26" s="64">
        <v>5.53</v>
      </c>
      <c r="G26" s="64">
        <v>2.36</v>
      </c>
      <c r="H26" s="64">
        <v>0.91</v>
      </c>
      <c r="I26" s="64">
        <v>0.47</v>
      </c>
      <c r="J26" s="64">
        <v>0.57999999999999996</v>
      </c>
      <c r="K26" s="64">
        <v>4.75</v>
      </c>
      <c r="L26" s="64">
        <v>22.39</v>
      </c>
      <c r="M26" s="64">
        <v>99.08</v>
      </c>
      <c r="N26" s="64">
        <v>48.1</v>
      </c>
      <c r="O26" s="64">
        <v>0</v>
      </c>
      <c r="P26" s="210" t="s">
        <v>36</v>
      </c>
      <c r="Q26" s="210" t="s">
        <v>36</v>
      </c>
      <c r="S26" s="198"/>
      <c r="T26" s="198"/>
      <c r="U26" s="198"/>
    </row>
    <row r="27" spans="1:21" s="12" customFormat="1" x14ac:dyDescent="0.25">
      <c r="A27" s="217" t="s">
        <v>2372</v>
      </c>
      <c r="B27" s="64">
        <v>8.0399999999999991</v>
      </c>
      <c r="C27" s="64">
        <v>2.98</v>
      </c>
      <c r="D27" s="64">
        <v>11.78</v>
      </c>
      <c r="E27" s="64">
        <v>3.65</v>
      </c>
      <c r="F27" s="64">
        <v>4.9800000000000004</v>
      </c>
      <c r="G27" s="64">
        <v>2.2400000000000002</v>
      </c>
      <c r="H27" s="64">
        <v>0.93</v>
      </c>
      <c r="I27" s="64">
        <v>0.46</v>
      </c>
      <c r="J27" s="64">
        <v>0.66</v>
      </c>
      <c r="K27" s="64">
        <v>11.68</v>
      </c>
      <c r="L27" s="64">
        <v>22.44</v>
      </c>
      <c r="M27" s="64">
        <v>99.08</v>
      </c>
      <c r="N27" s="64">
        <v>48.2</v>
      </c>
      <c r="O27" s="64">
        <v>0</v>
      </c>
      <c r="P27" s="210" t="s">
        <v>36</v>
      </c>
      <c r="Q27" s="210" t="s">
        <v>36</v>
      </c>
      <c r="S27" s="198"/>
      <c r="T27" s="198"/>
      <c r="U27" s="198"/>
    </row>
    <row r="28" spans="1:21" s="12" customFormat="1" x14ac:dyDescent="0.25">
      <c r="A28" s="217" t="s">
        <v>2373</v>
      </c>
      <c r="B28" s="64">
        <v>8.0399999999999991</v>
      </c>
      <c r="C28" s="64">
        <v>2.97</v>
      </c>
      <c r="D28" s="64">
        <v>11.77</v>
      </c>
      <c r="E28" s="64">
        <v>4.3099999999999996</v>
      </c>
      <c r="F28" s="64">
        <v>5.16</v>
      </c>
      <c r="G28" s="64">
        <v>2.0499999999999998</v>
      </c>
      <c r="H28" s="64">
        <v>0.96</v>
      </c>
      <c r="I28" s="64">
        <v>0.45</v>
      </c>
      <c r="J28" s="64">
        <v>0.55000000000000004</v>
      </c>
      <c r="K28" s="64">
        <v>1.68</v>
      </c>
      <c r="L28" s="64">
        <v>22.47</v>
      </c>
      <c r="M28" s="64">
        <v>99.08</v>
      </c>
      <c r="N28" s="64">
        <v>48.1</v>
      </c>
      <c r="O28" s="64">
        <v>0</v>
      </c>
      <c r="P28" s="210" t="s">
        <v>36</v>
      </c>
      <c r="Q28" s="210" t="s">
        <v>36</v>
      </c>
      <c r="S28" s="198"/>
      <c r="T28" s="198"/>
      <c r="U28" s="198"/>
    </row>
    <row r="29" spans="1:21" s="12" customFormat="1" x14ac:dyDescent="0.25">
      <c r="A29" s="217" t="s">
        <v>2374</v>
      </c>
      <c r="B29" s="64">
        <v>8.0399999999999991</v>
      </c>
      <c r="C29" s="64">
        <v>3.01</v>
      </c>
      <c r="D29" s="64">
        <v>11.79</v>
      </c>
      <c r="E29" s="64">
        <v>4.0999999999999996</v>
      </c>
      <c r="F29" s="64">
        <v>5.77</v>
      </c>
      <c r="G29" s="64">
        <v>2.0499999999999998</v>
      </c>
      <c r="H29" s="64">
        <v>0.96</v>
      </c>
      <c r="I29" s="64">
        <v>0.46</v>
      </c>
      <c r="J29" s="64">
        <v>0.6</v>
      </c>
      <c r="K29" s="64">
        <v>14.78</v>
      </c>
      <c r="L29" s="64">
        <v>22.43</v>
      </c>
      <c r="M29" s="64">
        <v>99.08</v>
      </c>
      <c r="N29" s="64">
        <v>48.2</v>
      </c>
      <c r="O29" s="64">
        <v>0</v>
      </c>
      <c r="P29" s="210" t="s">
        <v>36</v>
      </c>
      <c r="Q29" s="210" t="s">
        <v>36</v>
      </c>
      <c r="S29" s="198"/>
      <c r="T29" s="198"/>
      <c r="U29" s="198"/>
    </row>
    <row r="30" spans="1:21" s="12" customFormat="1" x14ac:dyDescent="0.25">
      <c r="A30" s="217" t="s">
        <v>2375</v>
      </c>
      <c r="B30" s="64">
        <v>8.0299999999999994</v>
      </c>
      <c r="C30" s="64">
        <v>3.03</v>
      </c>
      <c r="D30" s="64">
        <v>11.8</v>
      </c>
      <c r="E30" s="64">
        <v>3.98</v>
      </c>
      <c r="F30" s="64">
        <v>4.0999999999999996</v>
      </c>
      <c r="G30" s="64">
        <v>2.0499999999999998</v>
      </c>
      <c r="H30" s="64">
        <v>0.96</v>
      </c>
      <c r="I30" s="64">
        <v>0.47</v>
      </c>
      <c r="J30" s="64">
        <v>0.54</v>
      </c>
      <c r="K30" s="64">
        <v>358.06</v>
      </c>
      <c r="L30" s="64">
        <v>22.43</v>
      </c>
      <c r="M30" s="64">
        <v>99.08</v>
      </c>
      <c r="N30" s="64">
        <v>48.2</v>
      </c>
      <c r="O30" s="64">
        <v>0</v>
      </c>
      <c r="P30" s="210" t="s">
        <v>36</v>
      </c>
      <c r="Q30" s="210" t="s">
        <v>36</v>
      </c>
      <c r="S30" s="198"/>
      <c r="T30" s="198"/>
      <c r="U30" s="198"/>
    </row>
    <row r="31" spans="1:21" s="12" customFormat="1" x14ac:dyDescent="0.25">
      <c r="A31" s="217" t="s">
        <v>2376</v>
      </c>
      <c r="B31" s="64">
        <v>8.0500000000000007</v>
      </c>
      <c r="C31" s="64">
        <v>3.04</v>
      </c>
      <c r="D31" s="64">
        <v>11.82</v>
      </c>
      <c r="E31" s="64">
        <v>4.07</v>
      </c>
      <c r="F31" s="64">
        <v>4.37</v>
      </c>
      <c r="G31" s="64">
        <v>2.0699999999999998</v>
      </c>
      <c r="H31" s="64">
        <v>0.97</v>
      </c>
      <c r="I31" s="64">
        <v>0.49</v>
      </c>
      <c r="J31" s="64">
        <v>0.56000000000000005</v>
      </c>
      <c r="K31" s="64">
        <v>12.49</v>
      </c>
      <c r="L31" s="64">
        <v>22.52</v>
      </c>
      <c r="M31" s="64">
        <v>99.08</v>
      </c>
      <c r="N31" s="64">
        <v>50.1</v>
      </c>
      <c r="O31" s="64">
        <v>0</v>
      </c>
      <c r="P31" s="210" t="s">
        <v>36</v>
      </c>
      <c r="Q31" s="210" t="s">
        <v>36</v>
      </c>
      <c r="S31" s="198"/>
      <c r="T31" s="198"/>
      <c r="U31" s="198"/>
    </row>
    <row r="32" spans="1:21" s="12" customFormat="1" x14ac:dyDescent="0.25">
      <c r="A32" s="217" t="s">
        <v>2377</v>
      </c>
      <c r="B32" s="64">
        <v>8.07</v>
      </c>
      <c r="C32" s="64">
        <v>3.02</v>
      </c>
      <c r="D32" s="64">
        <v>11.82</v>
      </c>
      <c r="E32" s="64">
        <v>4.0599999999999996</v>
      </c>
      <c r="F32" s="64">
        <v>4.46</v>
      </c>
      <c r="G32" s="64">
        <v>2.1</v>
      </c>
      <c r="H32" s="64">
        <v>0.98</v>
      </c>
      <c r="I32" s="64">
        <v>0.5</v>
      </c>
      <c r="J32" s="64">
        <v>0.64</v>
      </c>
      <c r="K32" s="64">
        <v>0.52</v>
      </c>
      <c r="L32" s="64">
        <v>22.63</v>
      </c>
      <c r="M32" s="64">
        <v>99.08</v>
      </c>
      <c r="N32" s="64">
        <v>56.1</v>
      </c>
      <c r="O32" s="64">
        <v>0</v>
      </c>
      <c r="P32" s="210" t="s">
        <v>36</v>
      </c>
      <c r="Q32" s="210" t="s">
        <v>36</v>
      </c>
      <c r="S32" s="198"/>
      <c r="T32" s="198"/>
      <c r="U32" s="198"/>
    </row>
    <row r="33" spans="1:21" s="12" customFormat="1" x14ac:dyDescent="0.25">
      <c r="A33" s="217" t="s">
        <v>2378</v>
      </c>
      <c r="B33" s="64">
        <v>8.11</v>
      </c>
      <c r="C33" s="64">
        <v>3.08</v>
      </c>
      <c r="D33" s="64">
        <v>11.89</v>
      </c>
      <c r="E33" s="64">
        <v>4.1900000000000004</v>
      </c>
      <c r="F33" s="64">
        <v>4.28</v>
      </c>
      <c r="G33" s="64">
        <v>2.1</v>
      </c>
      <c r="H33" s="64">
        <v>0.98</v>
      </c>
      <c r="I33" s="64">
        <v>0.5</v>
      </c>
      <c r="J33" s="64">
        <v>0.6</v>
      </c>
      <c r="K33" s="64">
        <v>6.48</v>
      </c>
      <c r="L33" s="64">
        <v>22.74</v>
      </c>
      <c r="M33" s="64">
        <v>99.08</v>
      </c>
      <c r="N33" s="64">
        <v>59</v>
      </c>
      <c r="O33" s="64">
        <v>0</v>
      </c>
      <c r="P33" s="210" t="s">
        <v>36</v>
      </c>
      <c r="Q33" s="210" t="s">
        <v>36</v>
      </c>
      <c r="S33" s="198"/>
      <c r="T33" s="198"/>
      <c r="U33" s="198"/>
    </row>
    <row r="34" spans="1:21" s="12" customFormat="1" x14ac:dyDescent="0.25">
      <c r="A34" s="217" t="s">
        <v>2379</v>
      </c>
      <c r="B34" s="64">
        <v>8.1</v>
      </c>
      <c r="C34" s="64">
        <v>3.04</v>
      </c>
      <c r="D34" s="64">
        <v>11.86</v>
      </c>
      <c r="E34" s="64">
        <v>4.2</v>
      </c>
      <c r="F34" s="64">
        <v>4.26</v>
      </c>
      <c r="G34" s="64">
        <v>2.1</v>
      </c>
      <c r="H34" s="64">
        <v>0.98</v>
      </c>
      <c r="I34" s="64">
        <v>0.52</v>
      </c>
      <c r="J34" s="64">
        <v>0.7</v>
      </c>
      <c r="K34" s="64">
        <v>351.1</v>
      </c>
      <c r="L34" s="64">
        <v>22.8</v>
      </c>
      <c r="M34" s="64">
        <v>99.08</v>
      </c>
      <c r="N34" s="64">
        <v>63.2</v>
      </c>
      <c r="O34" s="64">
        <v>0</v>
      </c>
      <c r="P34" s="210" t="s">
        <v>36</v>
      </c>
      <c r="Q34" s="210" t="s">
        <v>36</v>
      </c>
      <c r="S34" s="198"/>
      <c r="T34" s="198"/>
      <c r="U34" s="198"/>
    </row>
    <row r="35" spans="1:21" s="12" customFormat="1" x14ac:dyDescent="0.25">
      <c r="A35" s="217" t="s">
        <v>2380</v>
      </c>
      <c r="B35" s="64">
        <v>8.1199999999999992</v>
      </c>
      <c r="C35" s="64">
        <v>3.05</v>
      </c>
      <c r="D35" s="64">
        <v>11.88</v>
      </c>
      <c r="E35" s="64">
        <v>3.96</v>
      </c>
      <c r="F35" s="64">
        <v>4.49</v>
      </c>
      <c r="G35" s="64">
        <v>2.02</v>
      </c>
      <c r="H35" s="64">
        <v>1.1000000000000001</v>
      </c>
      <c r="I35" s="64">
        <v>0.5</v>
      </c>
      <c r="J35" s="64">
        <v>0.56000000000000005</v>
      </c>
      <c r="K35" s="64">
        <v>0.23</v>
      </c>
      <c r="L35" s="64">
        <v>22.86</v>
      </c>
      <c r="M35" s="64">
        <v>99.08</v>
      </c>
      <c r="N35" s="64">
        <v>68.099999999999994</v>
      </c>
      <c r="O35" s="64">
        <v>0</v>
      </c>
      <c r="P35" s="210" t="s">
        <v>36</v>
      </c>
      <c r="Q35" s="210" t="s">
        <v>36</v>
      </c>
      <c r="S35" s="198"/>
      <c r="T35" s="198"/>
      <c r="U35" s="198"/>
    </row>
    <row r="36" spans="1:21" s="12" customFormat="1" x14ac:dyDescent="0.25">
      <c r="A36" s="217" t="s">
        <v>2381</v>
      </c>
      <c r="B36" s="64">
        <v>8.11</v>
      </c>
      <c r="C36" s="64">
        <v>3.07</v>
      </c>
      <c r="D36" s="64">
        <v>11.88</v>
      </c>
      <c r="E36" s="64">
        <v>4.2</v>
      </c>
      <c r="F36" s="64">
        <v>4.1900000000000004</v>
      </c>
      <c r="G36" s="64">
        <v>1.9</v>
      </c>
      <c r="H36" s="64">
        <v>1.28</v>
      </c>
      <c r="I36" s="64">
        <v>0.55000000000000004</v>
      </c>
      <c r="J36" s="64">
        <v>0.56000000000000005</v>
      </c>
      <c r="K36" s="64">
        <v>7.42</v>
      </c>
      <c r="L36" s="64">
        <v>22.95</v>
      </c>
      <c r="M36" s="64">
        <v>99.08</v>
      </c>
      <c r="N36" s="64">
        <v>78.099999999999994</v>
      </c>
      <c r="O36" s="64">
        <v>0</v>
      </c>
      <c r="P36" s="210" t="s">
        <v>36</v>
      </c>
      <c r="Q36" s="210" t="s">
        <v>36</v>
      </c>
      <c r="S36" s="198"/>
      <c r="T36" s="198"/>
      <c r="U36" s="198"/>
    </row>
    <row r="37" spans="1:21" s="12" customFormat="1" x14ac:dyDescent="0.25">
      <c r="A37" s="217" t="s">
        <v>2382</v>
      </c>
      <c r="B37" s="64">
        <v>8.1</v>
      </c>
      <c r="C37" s="64">
        <v>3.1</v>
      </c>
      <c r="D37" s="64">
        <v>11.89</v>
      </c>
      <c r="E37" s="64">
        <v>4.17</v>
      </c>
      <c r="F37" s="64">
        <v>4.16</v>
      </c>
      <c r="G37" s="64">
        <v>1.9</v>
      </c>
      <c r="H37" s="64">
        <v>1.28</v>
      </c>
      <c r="I37" s="64">
        <v>0.63</v>
      </c>
      <c r="J37" s="64">
        <v>0.64</v>
      </c>
      <c r="K37" s="64">
        <v>350.56</v>
      </c>
      <c r="L37" s="64">
        <v>22.95</v>
      </c>
      <c r="M37" s="64">
        <v>99.08</v>
      </c>
      <c r="N37" s="64">
        <v>93.8</v>
      </c>
      <c r="O37" s="64">
        <v>0</v>
      </c>
      <c r="P37" s="210" t="s">
        <v>36</v>
      </c>
      <c r="Q37" s="210" t="s">
        <v>36</v>
      </c>
      <c r="S37" s="198"/>
      <c r="T37" s="198"/>
      <c r="U37" s="198"/>
    </row>
    <row r="38" spans="1:21" s="12" customFormat="1" x14ac:dyDescent="0.25">
      <c r="A38" s="217" t="s">
        <v>2383</v>
      </c>
      <c r="B38" s="64">
        <v>8.1199999999999992</v>
      </c>
      <c r="C38" s="64">
        <v>3.15</v>
      </c>
      <c r="D38" s="64">
        <v>11.93</v>
      </c>
      <c r="E38" s="64">
        <v>4.01</v>
      </c>
      <c r="F38" s="64">
        <v>4.3499999999999996</v>
      </c>
      <c r="G38" s="64">
        <v>1.9</v>
      </c>
      <c r="H38" s="64">
        <v>1.28</v>
      </c>
      <c r="I38" s="64">
        <v>0.63</v>
      </c>
      <c r="J38" s="64">
        <v>0.6</v>
      </c>
      <c r="K38" s="64">
        <v>1.48</v>
      </c>
      <c r="L38" s="64">
        <v>23.02</v>
      </c>
      <c r="M38" s="64">
        <v>99.05</v>
      </c>
      <c r="N38" s="64">
        <v>82.9</v>
      </c>
      <c r="O38" s="64">
        <v>0</v>
      </c>
      <c r="P38" s="210" t="s">
        <v>36</v>
      </c>
      <c r="Q38" s="210" t="s">
        <v>36</v>
      </c>
      <c r="S38" s="198"/>
      <c r="T38" s="198"/>
      <c r="U38" s="198"/>
    </row>
    <row r="39" spans="1:21" s="12" customFormat="1" x14ac:dyDescent="0.25">
      <c r="A39" s="217" t="s">
        <v>2384</v>
      </c>
      <c r="B39" s="64">
        <v>8.1300000000000008</v>
      </c>
      <c r="C39" s="64">
        <v>3.17</v>
      </c>
      <c r="D39" s="64">
        <v>11.95</v>
      </c>
      <c r="E39" s="64">
        <v>4.04</v>
      </c>
      <c r="F39" s="64">
        <v>4.6500000000000004</v>
      </c>
      <c r="G39" s="64">
        <v>2.64</v>
      </c>
      <c r="H39" s="64">
        <v>1.29</v>
      </c>
      <c r="I39" s="64">
        <v>0.65</v>
      </c>
      <c r="J39" s="64">
        <v>0.68</v>
      </c>
      <c r="K39" s="64">
        <v>0.62</v>
      </c>
      <c r="L39" s="64">
        <v>23.01</v>
      </c>
      <c r="M39" s="64">
        <v>99.05</v>
      </c>
      <c r="N39" s="64">
        <v>94.8</v>
      </c>
      <c r="O39" s="64">
        <v>0</v>
      </c>
      <c r="P39" s="210" t="s">
        <v>36</v>
      </c>
      <c r="Q39" s="210" t="s">
        <v>36</v>
      </c>
      <c r="S39" s="198"/>
      <c r="T39" s="198"/>
      <c r="U39" s="198"/>
    </row>
    <row r="40" spans="1:21" s="12" customFormat="1" x14ac:dyDescent="0.25">
      <c r="A40" s="217" t="s">
        <v>2385</v>
      </c>
      <c r="B40" s="64">
        <v>8.2200000000000006</v>
      </c>
      <c r="C40" s="64">
        <v>3.52</v>
      </c>
      <c r="D40" s="64">
        <v>12.2</v>
      </c>
      <c r="E40" s="64">
        <v>4.9400000000000004</v>
      </c>
      <c r="F40" s="64">
        <v>5.25</v>
      </c>
      <c r="G40" s="64">
        <v>3.75</v>
      </c>
      <c r="H40" s="64">
        <v>1.31</v>
      </c>
      <c r="I40" s="64">
        <v>0.67</v>
      </c>
      <c r="J40" s="64">
        <v>0.65</v>
      </c>
      <c r="K40" s="64">
        <v>13.46</v>
      </c>
      <c r="L40" s="64">
        <v>23.07</v>
      </c>
      <c r="M40" s="64">
        <v>99.05</v>
      </c>
      <c r="N40" s="64">
        <v>104</v>
      </c>
      <c r="O40" s="64">
        <v>0</v>
      </c>
      <c r="P40" s="210" t="s">
        <v>36</v>
      </c>
      <c r="Q40" s="210" t="s">
        <v>36</v>
      </c>
      <c r="S40" s="198"/>
      <c r="T40" s="198"/>
      <c r="U40" s="198"/>
    </row>
    <row r="41" spans="1:21" s="12" customFormat="1" x14ac:dyDescent="0.25">
      <c r="A41" s="217" t="s">
        <v>2386</v>
      </c>
      <c r="B41" s="64">
        <v>8.1300000000000008</v>
      </c>
      <c r="C41" s="64">
        <v>3.31</v>
      </c>
      <c r="D41" s="64">
        <v>12.02</v>
      </c>
      <c r="E41" s="64">
        <v>4.8099999999999996</v>
      </c>
      <c r="F41" s="64">
        <v>2.95</v>
      </c>
      <c r="G41" s="64">
        <v>3.75</v>
      </c>
      <c r="H41" s="64">
        <v>1.31</v>
      </c>
      <c r="I41" s="64">
        <v>0.69</v>
      </c>
      <c r="J41" s="64">
        <v>0.59</v>
      </c>
      <c r="K41" s="64">
        <v>355.66</v>
      </c>
      <c r="L41" s="64">
        <v>23.15</v>
      </c>
      <c r="M41" s="64">
        <v>99.05</v>
      </c>
      <c r="N41" s="64">
        <v>116.1</v>
      </c>
      <c r="O41" s="64">
        <v>0</v>
      </c>
      <c r="P41" s="210" t="s">
        <v>36</v>
      </c>
      <c r="Q41" s="210" t="s">
        <v>36</v>
      </c>
      <c r="S41" s="198"/>
      <c r="T41" s="198"/>
      <c r="U41" s="198"/>
    </row>
    <row r="42" spans="1:21" s="12" customFormat="1" x14ac:dyDescent="0.25">
      <c r="A42" s="217" t="s">
        <v>2387</v>
      </c>
      <c r="B42" s="64">
        <v>8.1</v>
      </c>
      <c r="C42" s="64">
        <v>3.16</v>
      </c>
      <c r="D42" s="64">
        <v>11.92</v>
      </c>
      <c r="E42" s="64">
        <v>4.8099999999999996</v>
      </c>
      <c r="F42" s="64">
        <v>4.62</v>
      </c>
      <c r="G42" s="64">
        <v>3.75</v>
      </c>
      <c r="H42" s="64">
        <v>1.31</v>
      </c>
      <c r="I42" s="64">
        <v>0.74</v>
      </c>
      <c r="J42" s="64">
        <v>0.57999999999999996</v>
      </c>
      <c r="K42" s="64">
        <v>357.58</v>
      </c>
      <c r="L42" s="64">
        <v>23.02</v>
      </c>
      <c r="M42" s="64">
        <v>99.06</v>
      </c>
      <c r="N42" s="64">
        <v>127.8</v>
      </c>
      <c r="O42" s="64">
        <v>0</v>
      </c>
      <c r="P42" s="210" t="s">
        <v>36</v>
      </c>
      <c r="Q42" s="210" t="s">
        <v>36</v>
      </c>
      <c r="S42" s="198"/>
      <c r="T42" s="198"/>
      <c r="U42" s="198"/>
    </row>
    <row r="43" spans="1:21" s="12" customFormat="1" x14ac:dyDescent="0.25">
      <c r="A43" s="217" t="s">
        <v>2388</v>
      </c>
      <c r="B43" s="64">
        <v>8.11</v>
      </c>
      <c r="C43" s="64">
        <v>3.19</v>
      </c>
      <c r="D43" s="64">
        <v>11.94</v>
      </c>
      <c r="E43" s="64">
        <v>5.27</v>
      </c>
      <c r="F43" s="64">
        <v>6.02</v>
      </c>
      <c r="G43" s="64">
        <v>4.74</v>
      </c>
      <c r="H43" s="64">
        <v>1.3</v>
      </c>
      <c r="I43" s="64">
        <v>0.77</v>
      </c>
      <c r="J43" s="64">
        <v>0.67</v>
      </c>
      <c r="K43" s="64">
        <v>359.11</v>
      </c>
      <c r="L43" s="64">
        <v>22.75</v>
      </c>
      <c r="M43" s="64">
        <v>99.08</v>
      </c>
      <c r="N43" s="64">
        <v>116.5</v>
      </c>
      <c r="O43" s="64">
        <v>0.2</v>
      </c>
      <c r="P43" s="210" t="s">
        <v>36</v>
      </c>
      <c r="Q43" s="210" t="s">
        <v>36</v>
      </c>
      <c r="S43" s="198"/>
      <c r="T43" s="198"/>
      <c r="U43" s="198"/>
    </row>
    <row r="44" spans="1:21" s="12" customFormat="1" x14ac:dyDescent="0.25">
      <c r="A44" s="217" t="s">
        <v>2389</v>
      </c>
      <c r="B44" s="64">
        <v>8.09</v>
      </c>
      <c r="C44" s="64">
        <v>3.21</v>
      </c>
      <c r="D44" s="64">
        <v>11.94</v>
      </c>
      <c r="E44" s="64">
        <v>5.49</v>
      </c>
      <c r="F44" s="64">
        <v>6.42</v>
      </c>
      <c r="G44" s="64">
        <v>6.23</v>
      </c>
      <c r="H44" s="64">
        <v>1.29</v>
      </c>
      <c r="I44" s="64">
        <v>0.8</v>
      </c>
      <c r="J44" s="64">
        <v>0.63</v>
      </c>
      <c r="K44" s="64">
        <v>4.5599999999999996</v>
      </c>
      <c r="L44" s="64">
        <v>22.65</v>
      </c>
      <c r="M44" s="64">
        <v>99.09</v>
      </c>
      <c r="N44" s="64">
        <v>86</v>
      </c>
      <c r="O44" s="64">
        <v>0</v>
      </c>
      <c r="P44" s="210" t="s">
        <v>36</v>
      </c>
      <c r="Q44" s="210" t="s">
        <v>36</v>
      </c>
      <c r="S44" s="198"/>
      <c r="T44" s="198"/>
      <c r="U44" s="198"/>
    </row>
    <row r="45" spans="1:21" s="12" customFormat="1" x14ac:dyDescent="0.25">
      <c r="A45" s="217" t="s">
        <v>2390</v>
      </c>
      <c r="B45" s="64">
        <v>8.0299999999999994</v>
      </c>
      <c r="C45" s="64">
        <v>3.05</v>
      </c>
      <c r="D45" s="64">
        <v>11.8</v>
      </c>
      <c r="E45" s="64">
        <v>5.52</v>
      </c>
      <c r="F45" s="64">
        <v>6.59</v>
      </c>
      <c r="G45" s="64">
        <v>6.23</v>
      </c>
      <c r="H45" s="64">
        <v>1.29</v>
      </c>
      <c r="I45" s="64">
        <v>0.82</v>
      </c>
      <c r="J45" s="64">
        <v>0.61</v>
      </c>
      <c r="K45" s="64">
        <v>4.97</v>
      </c>
      <c r="L45" s="64">
        <v>22.49</v>
      </c>
      <c r="M45" s="64">
        <v>99.1</v>
      </c>
      <c r="N45" s="64">
        <v>89.6</v>
      </c>
      <c r="O45" s="64">
        <v>0.4</v>
      </c>
      <c r="P45" s="210" t="s">
        <v>36</v>
      </c>
      <c r="Q45" s="210" t="s">
        <v>36</v>
      </c>
      <c r="S45" s="198"/>
      <c r="T45" s="198"/>
      <c r="U45" s="198"/>
    </row>
    <row r="46" spans="1:21" s="12" customFormat="1" x14ac:dyDescent="0.25">
      <c r="A46" s="217" t="s">
        <v>2391</v>
      </c>
      <c r="B46" s="64">
        <v>8.18</v>
      </c>
      <c r="C46" s="64">
        <v>3.54</v>
      </c>
      <c r="D46" s="64">
        <v>12.18</v>
      </c>
      <c r="E46" s="64">
        <v>5.38</v>
      </c>
      <c r="F46" s="64">
        <v>6.62</v>
      </c>
      <c r="G46" s="64">
        <v>6.23</v>
      </c>
      <c r="H46" s="64">
        <v>1.29</v>
      </c>
      <c r="I46" s="64">
        <v>0.84</v>
      </c>
      <c r="J46" s="64">
        <v>0.52</v>
      </c>
      <c r="K46" s="64">
        <v>0.1</v>
      </c>
      <c r="L46" s="64">
        <v>22.25</v>
      </c>
      <c r="M46" s="64">
        <v>99.11</v>
      </c>
      <c r="N46" s="64">
        <v>93.3</v>
      </c>
      <c r="O46" s="64">
        <v>1.4</v>
      </c>
      <c r="P46" s="210" t="s">
        <v>36</v>
      </c>
      <c r="Q46" s="210" t="s">
        <v>36</v>
      </c>
      <c r="S46" s="198"/>
      <c r="T46" s="198"/>
      <c r="U46" s="198"/>
    </row>
    <row r="47" spans="1:21" s="12" customFormat="1" x14ac:dyDescent="0.25">
      <c r="A47" s="217" t="s">
        <v>2392</v>
      </c>
      <c r="B47" s="64">
        <v>8.11</v>
      </c>
      <c r="C47" s="64">
        <v>3.42</v>
      </c>
      <c r="D47" s="64">
        <v>12.07</v>
      </c>
      <c r="E47" s="64">
        <v>5.55</v>
      </c>
      <c r="F47" s="64">
        <v>9.9600000000000009</v>
      </c>
      <c r="G47" s="64">
        <v>5.96</v>
      </c>
      <c r="H47" s="64">
        <v>1.29</v>
      </c>
      <c r="I47" s="64">
        <v>0.87</v>
      </c>
      <c r="J47" s="64">
        <v>0.56999999999999995</v>
      </c>
      <c r="K47" s="64">
        <v>11.26</v>
      </c>
      <c r="L47" s="64">
        <v>21.95</v>
      </c>
      <c r="M47" s="64">
        <v>99.15</v>
      </c>
      <c r="N47" s="64">
        <v>107.7</v>
      </c>
      <c r="O47" s="64">
        <v>1.4</v>
      </c>
      <c r="P47" s="210" t="s">
        <v>36</v>
      </c>
      <c r="Q47" s="210" t="s">
        <v>36</v>
      </c>
      <c r="S47" s="198"/>
      <c r="T47" s="198"/>
      <c r="U47" s="198"/>
    </row>
    <row r="48" spans="1:21" s="12" customFormat="1" x14ac:dyDescent="0.25">
      <c r="A48" s="217" t="s">
        <v>2393</v>
      </c>
      <c r="B48" s="64">
        <v>8</v>
      </c>
      <c r="C48" s="64">
        <v>3.12</v>
      </c>
      <c r="D48" s="64">
        <v>11.82</v>
      </c>
      <c r="E48" s="64">
        <v>5.63</v>
      </c>
      <c r="F48" s="64">
        <v>28.19</v>
      </c>
      <c r="G48" s="64">
        <v>5.56</v>
      </c>
      <c r="H48" s="64">
        <v>1.28</v>
      </c>
      <c r="I48" s="64">
        <v>0.91</v>
      </c>
      <c r="J48" s="64">
        <v>0.64</v>
      </c>
      <c r="K48" s="64">
        <v>8.56</v>
      </c>
      <c r="L48" s="64">
        <v>21.8</v>
      </c>
      <c r="M48" s="64">
        <v>99.15</v>
      </c>
      <c r="N48" s="64">
        <v>84.6</v>
      </c>
      <c r="O48" s="64">
        <v>1.4</v>
      </c>
      <c r="P48" s="210" t="s">
        <v>36</v>
      </c>
      <c r="Q48" s="210" t="s">
        <v>36</v>
      </c>
      <c r="S48" s="198"/>
      <c r="T48" s="198"/>
      <c r="U48" s="198"/>
    </row>
    <row r="49" spans="1:21" s="12" customFormat="1" x14ac:dyDescent="0.25">
      <c r="A49" s="217" t="s">
        <v>2394</v>
      </c>
      <c r="B49" s="64">
        <v>8.01</v>
      </c>
      <c r="C49" s="64">
        <v>3.15</v>
      </c>
      <c r="D49" s="64">
        <v>11.84</v>
      </c>
      <c r="E49" s="64">
        <v>5.94</v>
      </c>
      <c r="F49" s="64">
        <v>17.64</v>
      </c>
      <c r="G49" s="64">
        <v>5.56</v>
      </c>
      <c r="H49" s="64">
        <v>1.28</v>
      </c>
      <c r="I49" s="64">
        <v>0.94</v>
      </c>
      <c r="J49" s="64">
        <v>0.73</v>
      </c>
      <c r="K49" s="64">
        <v>7.36</v>
      </c>
      <c r="L49" s="64">
        <v>21.81</v>
      </c>
      <c r="M49" s="64">
        <v>99.16</v>
      </c>
      <c r="N49" s="64">
        <v>90.1</v>
      </c>
      <c r="O49" s="64">
        <v>0.6</v>
      </c>
      <c r="P49" s="210" t="s">
        <v>36</v>
      </c>
      <c r="Q49" s="210" t="s">
        <v>36</v>
      </c>
      <c r="S49" s="198"/>
      <c r="T49" s="198"/>
      <c r="U49" s="198"/>
    </row>
    <row r="50" spans="1:21" s="12" customFormat="1" x14ac:dyDescent="0.25">
      <c r="A50" s="217" t="s">
        <v>2395</v>
      </c>
      <c r="B50" s="64">
        <v>8.32</v>
      </c>
      <c r="C50" s="64">
        <v>4.17</v>
      </c>
      <c r="D50" s="64">
        <v>12.63</v>
      </c>
      <c r="E50" s="64">
        <v>5.3</v>
      </c>
      <c r="F50" s="64">
        <v>4.16</v>
      </c>
      <c r="G50" s="64">
        <v>5.56</v>
      </c>
      <c r="H50" s="64">
        <v>1.28</v>
      </c>
      <c r="I50" s="64">
        <v>1</v>
      </c>
      <c r="J50" s="64">
        <v>0.56999999999999995</v>
      </c>
      <c r="K50" s="64">
        <v>357.84</v>
      </c>
      <c r="L50" s="64">
        <v>21.84</v>
      </c>
      <c r="M50" s="64">
        <v>98.95</v>
      </c>
      <c r="N50" s="64">
        <v>84.3</v>
      </c>
      <c r="O50" s="64">
        <v>0.4</v>
      </c>
      <c r="P50" s="210" t="s">
        <v>36</v>
      </c>
      <c r="Q50" s="210" t="s">
        <v>36</v>
      </c>
      <c r="S50" s="198"/>
      <c r="T50" s="198"/>
      <c r="U50" s="198"/>
    </row>
    <row r="51" spans="1:21" s="12" customFormat="1" x14ac:dyDescent="0.25">
      <c r="A51" s="217" t="s">
        <v>2396</v>
      </c>
      <c r="B51" s="64">
        <v>8.2200000000000006</v>
      </c>
      <c r="C51" s="64">
        <v>3.23</v>
      </c>
      <c r="D51" s="64">
        <v>12.06</v>
      </c>
      <c r="E51" s="64">
        <v>4.75</v>
      </c>
      <c r="F51" s="64">
        <v>4.9800000000000004</v>
      </c>
      <c r="G51" s="64">
        <v>4.8899999999999997</v>
      </c>
      <c r="H51" s="64">
        <v>1.27</v>
      </c>
      <c r="I51" s="64">
        <v>1.1100000000000001</v>
      </c>
      <c r="J51" s="64">
        <v>0.52</v>
      </c>
      <c r="K51" s="64">
        <v>6.4</v>
      </c>
      <c r="L51" s="64">
        <v>21.98</v>
      </c>
      <c r="M51" s="64">
        <v>98.89</v>
      </c>
      <c r="N51" s="64">
        <v>91.7</v>
      </c>
      <c r="O51" s="64">
        <v>0.2</v>
      </c>
      <c r="P51" s="210" t="s">
        <v>36</v>
      </c>
      <c r="Q51" s="210" t="s">
        <v>36</v>
      </c>
      <c r="S51" s="198"/>
      <c r="T51" s="198"/>
      <c r="U51" s="198"/>
    </row>
    <row r="52" spans="1:21" s="12" customFormat="1" x14ac:dyDescent="0.25">
      <c r="A52" s="217" t="s">
        <v>2397</v>
      </c>
      <c r="B52" s="64">
        <v>8.26</v>
      </c>
      <c r="C52" s="64">
        <v>3.23</v>
      </c>
      <c r="D52" s="64">
        <v>12.09</v>
      </c>
      <c r="E52" s="64">
        <v>4.58</v>
      </c>
      <c r="F52" s="64">
        <v>4.29</v>
      </c>
      <c r="G52" s="64">
        <v>3.89</v>
      </c>
      <c r="H52" s="64">
        <v>1.24</v>
      </c>
      <c r="I52" s="64">
        <v>1.1200000000000001</v>
      </c>
      <c r="J52" s="64">
        <v>0.52</v>
      </c>
      <c r="K52" s="64">
        <v>11.74</v>
      </c>
      <c r="L52" s="64">
        <v>22.04</v>
      </c>
      <c r="M52" s="64">
        <v>98.92</v>
      </c>
      <c r="N52" s="64">
        <v>101.6</v>
      </c>
      <c r="O52" s="64">
        <v>0.6</v>
      </c>
      <c r="P52" s="210" t="s">
        <v>36</v>
      </c>
      <c r="Q52" s="210" t="s">
        <v>36</v>
      </c>
      <c r="S52" s="198"/>
      <c r="T52" s="198"/>
      <c r="U52" s="198"/>
    </row>
    <row r="53" spans="1:21" s="12" customFormat="1" x14ac:dyDescent="0.25">
      <c r="A53" s="217" t="s">
        <v>2398</v>
      </c>
      <c r="B53" s="64">
        <v>8.27</v>
      </c>
      <c r="C53" s="64">
        <v>3.21</v>
      </c>
      <c r="D53" s="64">
        <v>12.08</v>
      </c>
      <c r="E53" s="64">
        <v>4.0999999999999996</v>
      </c>
      <c r="F53" s="64">
        <v>3.76</v>
      </c>
      <c r="G53" s="64">
        <v>3.89</v>
      </c>
      <c r="H53" s="64">
        <v>1.24</v>
      </c>
      <c r="I53" s="64">
        <v>1.1000000000000001</v>
      </c>
      <c r="J53" s="64">
        <v>0.56999999999999995</v>
      </c>
      <c r="K53" s="64">
        <v>13.01</v>
      </c>
      <c r="L53" s="64">
        <v>22.07</v>
      </c>
      <c r="M53" s="64">
        <v>98.93</v>
      </c>
      <c r="N53" s="64">
        <v>108.5</v>
      </c>
      <c r="O53" s="64">
        <v>0.4</v>
      </c>
      <c r="P53" s="210" t="s">
        <v>36</v>
      </c>
      <c r="Q53" s="210" t="s">
        <v>36</v>
      </c>
      <c r="S53" s="198"/>
      <c r="T53" s="198"/>
      <c r="U53" s="198"/>
    </row>
    <row r="54" spans="1:21" s="12" customFormat="1" x14ac:dyDescent="0.25">
      <c r="A54" s="217" t="s">
        <v>2399</v>
      </c>
      <c r="B54" s="64">
        <v>8.31</v>
      </c>
      <c r="C54" s="64">
        <v>3.29</v>
      </c>
      <c r="D54" s="64">
        <v>12.15</v>
      </c>
      <c r="E54" s="64">
        <v>4.2300000000000004</v>
      </c>
      <c r="F54" s="64">
        <v>4.45</v>
      </c>
      <c r="G54" s="64">
        <v>3.89</v>
      </c>
      <c r="H54" s="64">
        <v>1.24</v>
      </c>
      <c r="I54" s="64">
        <v>1.06</v>
      </c>
      <c r="J54" s="64">
        <v>0.6</v>
      </c>
      <c r="K54" s="64">
        <v>1.1100000000000001</v>
      </c>
      <c r="L54" s="64">
        <v>22.22</v>
      </c>
      <c r="M54" s="64">
        <v>98.94</v>
      </c>
      <c r="N54" s="64">
        <v>136</v>
      </c>
      <c r="O54" s="64">
        <v>0.2</v>
      </c>
      <c r="P54" s="210" t="s">
        <v>36</v>
      </c>
      <c r="Q54" s="210" t="s">
        <v>36</v>
      </c>
      <c r="S54" s="198"/>
      <c r="T54" s="198"/>
      <c r="U54" s="198"/>
    </row>
    <row r="55" spans="1:21" s="12" customFormat="1" x14ac:dyDescent="0.25">
      <c r="A55" s="217" t="s">
        <v>2400</v>
      </c>
      <c r="B55" s="64">
        <v>8.34</v>
      </c>
      <c r="C55" s="64">
        <v>3.29</v>
      </c>
      <c r="D55" s="64">
        <v>12.18</v>
      </c>
      <c r="E55" s="64">
        <v>4.2300000000000004</v>
      </c>
      <c r="F55" s="64">
        <v>5.13</v>
      </c>
      <c r="G55" s="64">
        <v>3.42</v>
      </c>
      <c r="H55" s="64">
        <v>1.25</v>
      </c>
      <c r="I55" s="64">
        <v>1.03</v>
      </c>
      <c r="J55" s="64">
        <v>0.66</v>
      </c>
      <c r="K55" s="64">
        <v>10.94</v>
      </c>
      <c r="L55" s="64">
        <v>22.25</v>
      </c>
      <c r="M55" s="64">
        <v>98.95</v>
      </c>
      <c r="N55" s="64">
        <v>139.6</v>
      </c>
      <c r="O55" s="64">
        <v>1.4</v>
      </c>
      <c r="P55" s="210" t="s">
        <v>36</v>
      </c>
      <c r="Q55" s="210" t="s">
        <v>36</v>
      </c>
      <c r="S55" s="198"/>
      <c r="T55" s="198"/>
      <c r="U55" s="198"/>
    </row>
    <row r="56" spans="1:21" s="12" customFormat="1" x14ac:dyDescent="0.25">
      <c r="A56" s="217" t="s">
        <v>2401</v>
      </c>
      <c r="B56" s="64">
        <v>8.35</v>
      </c>
      <c r="C56" s="64">
        <v>3.28</v>
      </c>
      <c r="D56" s="64">
        <v>12.19</v>
      </c>
      <c r="E56" s="64">
        <v>3.38</v>
      </c>
      <c r="F56" s="64">
        <v>4.95</v>
      </c>
      <c r="G56" s="64">
        <v>2.72</v>
      </c>
      <c r="H56" s="64">
        <v>1.25</v>
      </c>
      <c r="I56" s="64">
        <v>1.03</v>
      </c>
      <c r="J56" s="64">
        <v>0.62</v>
      </c>
      <c r="K56" s="64">
        <v>15.71</v>
      </c>
      <c r="L56" s="64">
        <v>22.01</v>
      </c>
      <c r="M56" s="64">
        <v>98.95</v>
      </c>
      <c r="N56" s="64">
        <v>118.3</v>
      </c>
      <c r="O56" s="64">
        <v>2.4</v>
      </c>
      <c r="P56" s="210" t="s">
        <v>36</v>
      </c>
      <c r="Q56" s="210" t="s">
        <v>36</v>
      </c>
      <c r="S56" s="198"/>
      <c r="T56" s="198"/>
      <c r="U56" s="198"/>
    </row>
    <row r="57" spans="1:21" s="12" customFormat="1" x14ac:dyDescent="0.25">
      <c r="A57" s="217" t="s">
        <v>2402</v>
      </c>
      <c r="B57" s="64">
        <v>8.35</v>
      </c>
      <c r="C57" s="64">
        <v>3.33</v>
      </c>
      <c r="D57" s="64">
        <v>12.21</v>
      </c>
      <c r="E57" s="64">
        <v>3.65</v>
      </c>
      <c r="F57" s="64">
        <v>6.19</v>
      </c>
      <c r="G57" s="64">
        <v>2.72</v>
      </c>
      <c r="H57" s="64">
        <v>1.25</v>
      </c>
      <c r="I57" s="64">
        <v>1.01</v>
      </c>
      <c r="J57" s="64">
        <v>0.64</v>
      </c>
      <c r="K57" s="64">
        <v>10.62</v>
      </c>
      <c r="L57" s="64">
        <v>21.78</v>
      </c>
      <c r="M57" s="64">
        <v>98.98</v>
      </c>
      <c r="N57" s="64">
        <v>98.8</v>
      </c>
      <c r="O57" s="64">
        <v>1.2</v>
      </c>
      <c r="P57" s="210" t="s">
        <v>36</v>
      </c>
      <c r="Q57" s="210" t="s">
        <v>36</v>
      </c>
      <c r="S57" s="198"/>
      <c r="T57" s="198"/>
      <c r="U57" s="198"/>
    </row>
    <row r="58" spans="1:21" s="12" customFormat="1" x14ac:dyDescent="0.25">
      <c r="A58" s="217" t="s">
        <v>2403</v>
      </c>
      <c r="B58" s="64">
        <v>8.32</v>
      </c>
      <c r="C58" s="64">
        <v>3.25</v>
      </c>
      <c r="D58" s="64">
        <v>12.14</v>
      </c>
      <c r="E58" s="64">
        <v>3.76</v>
      </c>
      <c r="F58" s="64">
        <v>6.35</v>
      </c>
      <c r="G58" s="64">
        <v>2.72</v>
      </c>
      <c r="H58" s="64">
        <v>1.25</v>
      </c>
      <c r="I58" s="64">
        <v>0.98</v>
      </c>
      <c r="J58" s="64">
        <v>0.68</v>
      </c>
      <c r="K58" s="64">
        <v>8.1300000000000008</v>
      </c>
      <c r="L58" s="64">
        <v>21.75</v>
      </c>
      <c r="M58" s="64">
        <v>98.98</v>
      </c>
      <c r="N58" s="64">
        <v>123.1</v>
      </c>
      <c r="O58" s="64">
        <v>1.2</v>
      </c>
      <c r="P58" s="210" t="s">
        <v>36</v>
      </c>
      <c r="Q58" s="210" t="s">
        <v>36</v>
      </c>
      <c r="S58" s="198"/>
      <c r="T58" s="198"/>
      <c r="U58" s="198"/>
    </row>
    <row r="59" spans="1:21" s="12" customFormat="1" x14ac:dyDescent="0.25">
      <c r="A59" s="217" t="s">
        <v>2404</v>
      </c>
      <c r="B59" s="64">
        <v>8.31</v>
      </c>
      <c r="C59" s="64">
        <v>3.23</v>
      </c>
      <c r="D59" s="64">
        <v>12.13</v>
      </c>
      <c r="E59" s="64">
        <v>4.05</v>
      </c>
      <c r="F59" s="64">
        <v>11.49</v>
      </c>
      <c r="G59" s="64">
        <v>2.4</v>
      </c>
      <c r="H59" s="64">
        <v>1.25</v>
      </c>
      <c r="I59" s="64">
        <v>0.92</v>
      </c>
      <c r="J59" s="64">
        <v>0.7</v>
      </c>
      <c r="K59" s="64">
        <v>6.5</v>
      </c>
      <c r="L59" s="64">
        <v>21.76</v>
      </c>
      <c r="M59" s="64">
        <v>98.98</v>
      </c>
      <c r="N59" s="64">
        <v>121.9</v>
      </c>
      <c r="O59" s="64">
        <v>2</v>
      </c>
      <c r="P59" s="210" t="s">
        <v>36</v>
      </c>
      <c r="Q59" s="210" t="s">
        <v>36</v>
      </c>
      <c r="S59" s="198"/>
      <c r="T59" s="198"/>
      <c r="U59" s="198"/>
    </row>
    <row r="60" spans="1:21" s="12" customFormat="1" x14ac:dyDescent="0.25">
      <c r="A60" s="217" t="s">
        <v>2405</v>
      </c>
      <c r="B60" s="64">
        <v>8.2799999999999994</v>
      </c>
      <c r="C60" s="64">
        <v>3.2</v>
      </c>
      <c r="D60" s="64">
        <v>12.08</v>
      </c>
      <c r="E60" s="64">
        <v>3.99</v>
      </c>
      <c r="F60" s="64">
        <v>8.3800000000000008</v>
      </c>
      <c r="G60" s="64">
        <v>1.91</v>
      </c>
      <c r="H60" s="64">
        <v>1.26</v>
      </c>
      <c r="I60" s="64">
        <v>0.86</v>
      </c>
      <c r="J60" s="64">
        <v>0.78</v>
      </c>
      <c r="K60" s="64">
        <v>14.23</v>
      </c>
      <c r="L60" s="64">
        <v>21.72</v>
      </c>
      <c r="M60" s="64">
        <v>99</v>
      </c>
      <c r="N60" s="64">
        <v>105.4</v>
      </c>
      <c r="O60" s="64">
        <v>2</v>
      </c>
      <c r="P60" s="210" t="s">
        <v>36</v>
      </c>
      <c r="Q60" s="210" t="s">
        <v>36</v>
      </c>
      <c r="S60" s="198"/>
      <c r="T60" s="198"/>
      <c r="U60" s="198"/>
    </row>
    <row r="61" spans="1:21" s="12" customFormat="1" x14ac:dyDescent="0.25">
      <c r="A61" s="217" t="s">
        <v>2406</v>
      </c>
      <c r="B61" s="64">
        <v>8.2799999999999994</v>
      </c>
      <c r="C61" s="64">
        <v>3.16</v>
      </c>
      <c r="D61" s="64">
        <v>12.07</v>
      </c>
      <c r="E61" s="64">
        <v>3.71</v>
      </c>
      <c r="F61" s="64">
        <v>11.72</v>
      </c>
      <c r="G61" s="64">
        <v>1.91</v>
      </c>
      <c r="H61" s="64">
        <v>1.26</v>
      </c>
      <c r="I61" s="64">
        <v>0.82</v>
      </c>
      <c r="J61" s="64">
        <v>0.73</v>
      </c>
      <c r="K61" s="64">
        <v>12.32</v>
      </c>
      <c r="L61" s="64">
        <v>21.64</v>
      </c>
      <c r="M61" s="64">
        <v>99</v>
      </c>
      <c r="N61" s="64">
        <v>106.5</v>
      </c>
      <c r="O61" s="64">
        <v>1.8</v>
      </c>
      <c r="P61" s="210" t="s">
        <v>36</v>
      </c>
      <c r="Q61" s="210" t="s">
        <v>36</v>
      </c>
      <c r="S61" s="198"/>
      <c r="T61" s="198"/>
      <c r="U61" s="198"/>
    </row>
    <row r="62" spans="1:21" s="12" customFormat="1" x14ac:dyDescent="0.25">
      <c r="A62" s="217" t="s">
        <v>2407</v>
      </c>
      <c r="B62" s="64">
        <v>8.2799999999999994</v>
      </c>
      <c r="C62" s="64">
        <v>3.19</v>
      </c>
      <c r="D62" s="64">
        <v>12.08</v>
      </c>
      <c r="E62" s="64">
        <v>4.09</v>
      </c>
      <c r="F62" s="64">
        <v>2.2799999999999998</v>
      </c>
      <c r="G62" s="64">
        <v>1.91</v>
      </c>
      <c r="H62" s="64">
        <v>1.26</v>
      </c>
      <c r="I62" s="64">
        <v>0.77</v>
      </c>
      <c r="J62" s="64">
        <v>0.6</v>
      </c>
      <c r="K62" s="64">
        <v>13.35</v>
      </c>
      <c r="L62" s="64">
        <v>21.76</v>
      </c>
      <c r="M62" s="64">
        <v>99</v>
      </c>
      <c r="N62" s="64">
        <v>136.80000000000001</v>
      </c>
      <c r="O62" s="64">
        <v>0.2</v>
      </c>
      <c r="P62" s="210" t="s">
        <v>36</v>
      </c>
      <c r="Q62" s="210" t="s">
        <v>36</v>
      </c>
      <c r="S62" s="198"/>
      <c r="T62" s="198"/>
      <c r="U62" s="198"/>
    </row>
    <row r="63" spans="1:21" s="12" customFormat="1" x14ac:dyDescent="0.25">
      <c r="A63" s="217" t="s">
        <v>2408</v>
      </c>
      <c r="B63" s="64">
        <v>8.2799999999999994</v>
      </c>
      <c r="C63" s="64">
        <v>3.23</v>
      </c>
      <c r="D63" s="64">
        <v>12.1</v>
      </c>
      <c r="E63" s="64">
        <v>4.12</v>
      </c>
      <c r="F63" s="64">
        <v>4.8600000000000003</v>
      </c>
      <c r="G63" s="64">
        <v>4.3099999999999996</v>
      </c>
      <c r="H63" s="64">
        <v>1.37</v>
      </c>
      <c r="I63" s="64">
        <v>0.77</v>
      </c>
      <c r="J63" s="64">
        <v>0.81</v>
      </c>
      <c r="K63" s="64">
        <v>8.93</v>
      </c>
      <c r="L63" s="64">
        <v>21.87</v>
      </c>
      <c r="M63" s="64">
        <v>99</v>
      </c>
      <c r="N63" s="64">
        <v>116</v>
      </c>
      <c r="O63" s="64">
        <v>0</v>
      </c>
      <c r="P63" s="210" t="s">
        <v>36</v>
      </c>
      <c r="Q63" s="210" t="s">
        <v>36</v>
      </c>
      <c r="S63" s="198"/>
      <c r="T63" s="198"/>
      <c r="U63" s="198"/>
    </row>
    <row r="64" spans="1:21" s="12" customFormat="1" x14ac:dyDescent="0.25">
      <c r="A64" s="217" t="s">
        <v>2409</v>
      </c>
      <c r="B64" s="64">
        <v>8.31</v>
      </c>
      <c r="C64" s="64">
        <v>3.23</v>
      </c>
      <c r="D64" s="64">
        <v>12.12</v>
      </c>
      <c r="E64" s="64">
        <v>3.68</v>
      </c>
      <c r="F64" s="64">
        <v>4.83</v>
      </c>
      <c r="G64" s="64">
        <v>7.75</v>
      </c>
      <c r="H64" s="64">
        <v>1.53</v>
      </c>
      <c r="I64" s="64">
        <v>0.77</v>
      </c>
      <c r="J64" s="64">
        <v>0.67</v>
      </c>
      <c r="K64" s="64">
        <v>10.220000000000001</v>
      </c>
      <c r="L64" s="64">
        <v>21.94</v>
      </c>
      <c r="M64" s="64">
        <v>99</v>
      </c>
      <c r="N64" s="64">
        <v>144.19999999999999</v>
      </c>
      <c r="O64" s="64">
        <v>0.4</v>
      </c>
      <c r="P64" s="210" t="s">
        <v>36</v>
      </c>
      <c r="Q64" s="210" t="s">
        <v>36</v>
      </c>
      <c r="S64" s="198"/>
      <c r="T64" s="198"/>
      <c r="U64" s="198"/>
    </row>
    <row r="65" spans="1:21" s="12" customFormat="1" x14ac:dyDescent="0.25">
      <c r="A65" s="217" t="s">
        <v>2410</v>
      </c>
      <c r="B65" s="64">
        <v>8.2899999999999991</v>
      </c>
      <c r="C65" s="64">
        <v>3.21</v>
      </c>
      <c r="D65" s="64">
        <v>12.1</v>
      </c>
      <c r="E65" s="64">
        <v>3.97</v>
      </c>
      <c r="F65" s="64">
        <v>5.05</v>
      </c>
      <c r="G65" s="64">
        <v>7.75</v>
      </c>
      <c r="H65" s="64">
        <v>1.53</v>
      </c>
      <c r="I65" s="64">
        <v>0.79</v>
      </c>
      <c r="J65" s="64">
        <v>0.76</v>
      </c>
      <c r="K65" s="64">
        <v>12.25</v>
      </c>
      <c r="L65" s="64">
        <v>21.91</v>
      </c>
      <c r="M65" s="64">
        <v>99</v>
      </c>
      <c r="N65" s="64">
        <v>109</v>
      </c>
      <c r="O65" s="64">
        <v>1</v>
      </c>
      <c r="P65" s="210" t="s">
        <v>36</v>
      </c>
      <c r="Q65" s="210" t="s">
        <v>36</v>
      </c>
      <c r="S65" s="198"/>
      <c r="T65" s="198"/>
      <c r="U65" s="198"/>
    </row>
    <row r="66" spans="1:21" s="12" customFormat="1" x14ac:dyDescent="0.25">
      <c r="A66" s="217" t="s">
        <v>2411</v>
      </c>
      <c r="B66" s="64">
        <v>8.2899999999999991</v>
      </c>
      <c r="C66" s="64">
        <v>3.22</v>
      </c>
      <c r="D66" s="64">
        <v>12.1</v>
      </c>
      <c r="E66" s="64">
        <v>3.94</v>
      </c>
      <c r="F66" s="64">
        <v>4.91</v>
      </c>
      <c r="G66" s="64">
        <v>7.75</v>
      </c>
      <c r="H66" s="64">
        <v>1.53</v>
      </c>
      <c r="I66" s="64">
        <v>0.8</v>
      </c>
      <c r="J66" s="64">
        <v>0.74</v>
      </c>
      <c r="K66" s="64">
        <v>6.86</v>
      </c>
      <c r="L66" s="64">
        <v>21.86</v>
      </c>
      <c r="M66" s="64">
        <v>99</v>
      </c>
      <c r="N66" s="64">
        <v>103.3</v>
      </c>
      <c r="O66" s="64">
        <v>1.4</v>
      </c>
      <c r="P66" s="210" t="s">
        <v>36</v>
      </c>
      <c r="Q66" s="210" t="s">
        <v>36</v>
      </c>
      <c r="S66" s="198"/>
      <c r="T66" s="198"/>
      <c r="U66" s="198"/>
    </row>
    <row r="67" spans="1:21" s="12" customFormat="1" x14ac:dyDescent="0.25">
      <c r="A67" s="217" t="s">
        <v>2412</v>
      </c>
      <c r="B67" s="64">
        <v>8.3000000000000007</v>
      </c>
      <c r="C67" s="64">
        <v>3.22</v>
      </c>
      <c r="D67" s="64">
        <v>12.12</v>
      </c>
      <c r="E67" s="64">
        <v>3.72</v>
      </c>
      <c r="F67" s="64">
        <v>7.19</v>
      </c>
      <c r="G67" s="64">
        <v>6.82</v>
      </c>
      <c r="H67" s="64">
        <v>1.57</v>
      </c>
      <c r="I67" s="64">
        <v>0.77</v>
      </c>
      <c r="J67" s="64">
        <v>0.78</v>
      </c>
      <c r="K67" s="64">
        <v>15.35</v>
      </c>
      <c r="L67" s="64">
        <v>21.79</v>
      </c>
      <c r="M67" s="64">
        <v>99</v>
      </c>
      <c r="N67" s="64">
        <v>98.2</v>
      </c>
      <c r="O67" s="64">
        <v>1.2</v>
      </c>
      <c r="P67" s="210" t="s">
        <v>36</v>
      </c>
      <c r="Q67" s="210" t="s">
        <v>36</v>
      </c>
      <c r="S67" s="198"/>
      <c r="T67" s="198"/>
      <c r="U67" s="198"/>
    </row>
    <row r="68" spans="1:21" s="12" customFormat="1" x14ac:dyDescent="0.25">
      <c r="A68" s="217" t="s">
        <v>2413</v>
      </c>
      <c r="B68" s="64">
        <v>8.31</v>
      </c>
      <c r="C68" s="64">
        <v>3.26</v>
      </c>
      <c r="D68" s="64">
        <v>12.14</v>
      </c>
      <c r="E68" s="64">
        <v>3.84</v>
      </c>
      <c r="F68" s="64">
        <v>5.25</v>
      </c>
      <c r="G68" s="64">
        <v>5.42</v>
      </c>
      <c r="H68" s="64">
        <v>1.62</v>
      </c>
      <c r="I68" s="64">
        <v>0.74</v>
      </c>
      <c r="J68" s="64">
        <v>0.69</v>
      </c>
      <c r="K68" s="64">
        <v>18.36</v>
      </c>
      <c r="L68" s="64">
        <v>21.77</v>
      </c>
      <c r="M68" s="64">
        <v>99.02</v>
      </c>
      <c r="N68" s="64">
        <v>96.6</v>
      </c>
      <c r="O68" s="64">
        <v>2.6</v>
      </c>
      <c r="P68" s="210" t="s">
        <v>36</v>
      </c>
      <c r="Q68" s="210" t="s">
        <v>36</v>
      </c>
      <c r="S68" s="198"/>
      <c r="T68" s="198"/>
      <c r="U68" s="198"/>
    </row>
    <row r="69" spans="1:21" s="12" customFormat="1" x14ac:dyDescent="0.25">
      <c r="A69" s="217" t="s">
        <v>2414</v>
      </c>
      <c r="B69" s="64">
        <v>8.33</v>
      </c>
      <c r="C69" s="64">
        <v>3.26</v>
      </c>
      <c r="D69" s="64">
        <v>12.16</v>
      </c>
      <c r="E69" s="64">
        <v>3.68</v>
      </c>
      <c r="F69" s="64">
        <v>13.99</v>
      </c>
      <c r="G69" s="64">
        <v>5.42</v>
      </c>
      <c r="H69" s="64">
        <v>1.62</v>
      </c>
      <c r="I69" s="64">
        <v>0.7</v>
      </c>
      <c r="J69" s="64">
        <v>0.64</v>
      </c>
      <c r="K69" s="64">
        <v>16.03</v>
      </c>
      <c r="L69" s="64">
        <v>21.7</v>
      </c>
      <c r="M69" s="64">
        <v>99.03</v>
      </c>
      <c r="N69" s="64">
        <v>98.8</v>
      </c>
      <c r="O69" s="64">
        <v>4.4000000000000004</v>
      </c>
      <c r="P69" s="210" t="s">
        <v>36</v>
      </c>
      <c r="Q69" s="210" t="s">
        <v>36</v>
      </c>
      <c r="S69" s="198"/>
      <c r="T69" s="198"/>
      <c r="U69" s="198"/>
    </row>
    <row r="70" spans="1:21" s="12" customFormat="1" x14ac:dyDescent="0.25">
      <c r="A70" s="217" t="s">
        <v>2415</v>
      </c>
      <c r="B70" s="64">
        <v>8.34</v>
      </c>
      <c r="C70" s="64">
        <v>3.29</v>
      </c>
      <c r="D70" s="64">
        <v>12.18</v>
      </c>
      <c r="E70" s="64">
        <v>3.81</v>
      </c>
      <c r="F70" s="64">
        <v>12.17</v>
      </c>
      <c r="G70" s="64">
        <v>5.42</v>
      </c>
      <c r="H70" s="64">
        <v>1.62</v>
      </c>
      <c r="I70" s="64">
        <v>0.68</v>
      </c>
      <c r="J70" s="64">
        <v>0.77</v>
      </c>
      <c r="K70" s="64">
        <v>11.95</v>
      </c>
      <c r="L70" s="64">
        <v>21.64</v>
      </c>
      <c r="M70" s="64">
        <v>99.02</v>
      </c>
      <c r="N70" s="64">
        <v>92.5</v>
      </c>
      <c r="O70" s="64">
        <v>2.4</v>
      </c>
      <c r="P70" s="210" t="s">
        <v>36</v>
      </c>
      <c r="Q70" s="210" t="s">
        <v>36</v>
      </c>
      <c r="S70" s="198"/>
      <c r="T70" s="198"/>
      <c r="U70" s="198"/>
    </row>
    <row r="71" spans="1:21" s="12" customFormat="1" x14ac:dyDescent="0.25">
      <c r="A71" s="217" t="s">
        <v>2416</v>
      </c>
      <c r="B71" s="64">
        <v>8.3000000000000007</v>
      </c>
      <c r="C71" s="64">
        <v>3.26</v>
      </c>
      <c r="D71" s="64">
        <v>12.13</v>
      </c>
      <c r="E71" s="64">
        <v>4.08</v>
      </c>
      <c r="F71" s="64">
        <v>13.22</v>
      </c>
      <c r="G71" s="64">
        <v>4.75</v>
      </c>
      <c r="H71" s="64">
        <v>1.59</v>
      </c>
      <c r="I71" s="64">
        <v>0.64</v>
      </c>
      <c r="J71" s="64">
        <v>0.72</v>
      </c>
      <c r="K71" s="64">
        <v>8.44</v>
      </c>
      <c r="L71" s="64">
        <v>21.64</v>
      </c>
      <c r="M71" s="64">
        <v>98.99</v>
      </c>
      <c r="N71" s="64">
        <v>77.3</v>
      </c>
      <c r="O71" s="64">
        <v>1.8</v>
      </c>
      <c r="P71" s="210" t="s">
        <v>36</v>
      </c>
      <c r="Q71" s="210" t="s">
        <v>36</v>
      </c>
      <c r="S71" s="198"/>
      <c r="T71" s="198"/>
      <c r="U71" s="198"/>
    </row>
    <row r="72" spans="1:21" s="12" customFormat="1" x14ac:dyDescent="0.25">
      <c r="A72" s="217" t="s">
        <v>2417</v>
      </c>
      <c r="B72" s="64">
        <v>8.35</v>
      </c>
      <c r="C72" s="64">
        <v>3.3</v>
      </c>
      <c r="D72" s="64">
        <v>12.19</v>
      </c>
      <c r="E72" s="64">
        <v>4.1100000000000003</v>
      </c>
      <c r="F72" s="64">
        <v>11.15</v>
      </c>
      <c r="G72" s="64">
        <v>3.8</v>
      </c>
      <c r="H72" s="64">
        <v>1.55</v>
      </c>
      <c r="I72" s="64">
        <v>0.6</v>
      </c>
      <c r="J72" s="64">
        <v>0.68</v>
      </c>
      <c r="K72" s="64">
        <v>11.38</v>
      </c>
      <c r="L72" s="64">
        <v>21.6</v>
      </c>
      <c r="M72" s="64">
        <v>99</v>
      </c>
      <c r="N72" s="64">
        <v>75.5</v>
      </c>
      <c r="O72" s="64">
        <v>1.6</v>
      </c>
      <c r="P72" s="210" t="s">
        <v>36</v>
      </c>
      <c r="Q72" s="210" t="s">
        <v>36</v>
      </c>
      <c r="S72" s="198"/>
      <c r="T72" s="198"/>
      <c r="U72" s="198"/>
    </row>
    <row r="73" spans="1:21" s="12" customFormat="1" x14ac:dyDescent="0.25">
      <c r="A73" s="217" t="s">
        <v>2418</v>
      </c>
      <c r="B73" s="64">
        <v>8.34</v>
      </c>
      <c r="C73" s="64">
        <v>3.26</v>
      </c>
      <c r="D73" s="64">
        <v>12.16</v>
      </c>
      <c r="E73" s="64">
        <v>3.92</v>
      </c>
      <c r="F73" s="64">
        <v>9.34</v>
      </c>
      <c r="G73" s="64">
        <v>3.8</v>
      </c>
      <c r="H73" s="64">
        <v>1.55</v>
      </c>
      <c r="I73" s="64">
        <v>0.64</v>
      </c>
      <c r="J73" s="64">
        <v>0.75</v>
      </c>
      <c r="K73" s="64">
        <v>7.51</v>
      </c>
      <c r="L73" s="64">
        <v>21.68</v>
      </c>
      <c r="M73" s="64">
        <v>99</v>
      </c>
      <c r="N73" s="64">
        <v>86.6</v>
      </c>
      <c r="O73" s="64">
        <v>1.4</v>
      </c>
      <c r="P73" s="210" t="s">
        <v>36</v>
      </c>
      <c r="Q73" s="210" t="s">
        <v>36</v>
      </c>
      <c r="S73" s="198"/>
      <c r="T73" s="198"/>
      <c r="U73" s="198"/>
    </row>
    <row r="74" spans="1:21" s="12" customFormat="1" x14ac:dyDescent="0.25">
      <c r="A74" s="217" t="s">
        <v>2419</v>
      </c>
      <c r="B74" s="64">
        <v>8.33</v>
      </c>
      <c r="C74" s="64">
        <v>3.25</v>
      </c>
      <c r="D74" s="64">
        <v>12.15</v>
      </c>
      <c r="E74" s="64">
        <v>3.82</v>
      </c>
      <c r="F74" s="64">
        <v>11.4</v>
      </c>
      <c r="G74" s="64">
        <v>3.8</v>
      </c>
      <c r="H74" s="64">
        <v>1.55</v>
      </c>
      <c r="I74" s="64">
        <v>0.68</v>
      </c>
      <c r="J74" s="64">
        <v>0.54</v>
      </c>
      <c r="K74" s="64">
        <v>1.36</v>
      </c>
      <c r="L74" s="64">
        <v>21.72</v>
      </c>
      <c r="M74" s="64">
        <v>99</v>
      </c>
      <c r="N74" s="64">
        <v>80.900000000000006</v>
      </c>
      <c r="O74" s="64">
        <v>1</v>
      </c>
      <c r="P74" s="210" t="s">
        <v>36</v>
      </c>
      <c r="Q74" s="210" t="s">
        <v>36</v>
      </c>
      <c r="S74" s="198"/>
      <c r="T74" s="198"/>
      <c r="U74" s="198"/>
    </row>
    <row r="75" spans="1:21" s="12" customFormat="1" x14ac:dyDescent="0.25">
      <c r="A75" s="217" t="s">
        <v>2420</v>
      </c>
      <c r="B75" s="64">
        <v>8.33</v>
      </c>
      <c r="C75" s="64">
        <v>3.23</v>
      </c>
      <c r="D75" s="64">
        <v>12.14</v>
      </c>
      <c r="E75" s="64">
        <v>3.95</v>
      </c>
      <c r="F75" s="64">
        <v>5.09</v>
      </c>
      <c r="G75" s="64">
        <v>3.89</v>
      </c>
      <c r="H75" s="64">
        <v>2.5299999999999998</v>
      </c>
      <c r="I75" s="64">
        <v>0.71</v>
      </c>
      <c r="J75" s="64">
        <v>0.32</v>
      </c>
      <c r="K75" s="64">
        <v>356.08</v>
      </c>
      <c r="L75" s="64">
        <v>21.76</v>
      </c>
      <c r="M75" s="64">
        <v>99</v>
      </c>
      <c r="N75" s="64">
        <v>81.599999999999994</v>
      </c>
      <c r="O75" s="64">
        <v>0.8</v>
      </c>
      <c r="P75" s="210" t="s">
        <v>36</v>
      </c>
      <c r="Q75" s="210" t="s">
        <v>36</v>
      </c>
      <c r="S75" s="198"/>
      <c r="T75" s="198"/>
      <c r="U75" s="198"/>
    </row>
    <row r="76" spans="1:21" s="12" customFormat="1" x14ac:dyDescent="0.25">
      <c r="A76" s="217" t="s">
        <v>2421</v>
      </c>
      <c r="B76" s="64">
        <v>8.36</v>
      </c>
      <c r="C76" s="64">
        <v>3.3</v>
      </c>
      <c r="D76" s="64">
        <v>12.2</v>
      </c>
      <c r="E76" s="64">
        <v>4.0199999999999996</v>
      </c>
      <c r="F76" s="64">
        <v>6.12</v>
      </c>
      <c r="G76" s="64">
        <v>4.03</v>
      </c>
      <c r="H76" s="64">
        <v>3.93</v>
      </c>
      <c r="I76" s="64">
        <v>0.73</v>
      </c>
      <c r="J76" s="64">
        <v>0.56000000000000005</v>
      </c>
      <c r="K76" s="64">
        <v>1.75</v>
      </c>
      <c r="L76" s="64">
        <v>21.82</v>
      </c>
      <c r="M76" s="64">
        <v>99</v>
      </c>
      <c r="N76" s="64">
        <v>72.599999999999994</v>
      </c>
      <c r="O76" s="64">
        <v>1</v>
      </c>
      <c r="P76" s="210" t="s">
        <v>36</v>
      </c>
      <c r="Q76" s="210" t="s">
        <v>36</v>
      </c>
      <c r="S76" s="198"/>
      <c r="T76" s="198"/>
      <c r="U76" s="198"/>
    </row>
    <row r="77" spans="1:21" s="12" customFormat="1" x14ac:dyDescent="0.25">
      <c r="A77" s="217" t="s">
        <v>2422</v>
      </c>
      <c r="B77" s="64">
        <v>8.34</v>
      </c>
      <c r="C77" s="64">
        <v>3.25</v>
      </c>
      <c r="D77" s="64">
        <v>12.16</v>
      </c>
      <c r="E77" s="64">
        <v>4.3099999999999996</v>
      </c>
      <c r="F77" s="64">
        <v>6.87</v>
      </c>
      <c r="G77" s="64">
        <v>4.03</v>
      </c>
      <c r="H77" s="64">
        <v>3.93</v>
      </c>
      <c r="I77" s="64">
        <v>0.8</v>
      </c>
      <c r="J77" s="64">
        <v>0.67</v>
      </c>
      <c r="K77" s="64">
        <v>11.48</v>
      </c>
      <c r="L77" s="64">
        <v>21.83</v>
      </c>
      <c r="M77" s="64">
        <v>99</v>
      </c>
      <c r="N77" s="64">
        <v>76.099999999999994</v>
      </c>
      <c r="O77" s="64">
        <v>0.2</v>
      </c>
      <c r="P77" s="210" t="s">
        <v>36</v>
      </c>
      <c r="Q77" s="210" t="s">
        <v>36</v>
      </c>
      <c r="S77" s="198"/>
      <c r="T77" s="198"/>
      <c r="U77" s="198"/>
    </row>
    <row r="78" spans="1:21" s="12" customFormat="1" x14ac:dyDescent="0.25">
      <c r="A78" s="217" t="s">
        <v>2423</v>
      </c>
      <c r="B78" s="64">
        <v>8.2899999999999991</v>
      </c>
      <c r="C78" s="64">
        <v>3.16</v>
      </c>
      <c r="D78" s="64">
        <v>12.08</v>
      </c>
      <c r="E78" s="64">
        <v>4.04</v>
      </c>
      <c r="F78" s="64">
        <v>3.12</v>
      </c>
      <c r="G78" s="64">
        <v>4.03</v>
      </c>
      <c r="H78" s="64">
        <v>3.93</v>
      </c>
      <c r="I78" s="64">
        <v>0.82</v>
      </c>
      <c r="J78" s="64">
        <v>0.56999999999999995</v>
      </c>
      <c r="K78" s="64">
        <v>14.4</v>
      </c>
      <c r="L78" s="64">
        <v>21.84</v>
      </c>
      <c r="M78" s="64">
        <v>99</v>
      </c>
      <c r="N78" s="64">
        <v>63.9</v>
      </c>
      <c r="O78" s="64">
        <v>0.6</v>
      </c>
      <c r="P78" s="210" t="s">
        <v>36</v>
      </c>
      <c r="Q78" s="210" t="s">
        <v>36</v>
      </c>
      <c r="S78" s="198"/>
      <c r="T78" s="198"/>
      <c r="U78" s="198"/>
    </row>
    <row r="79" spans="1:21" s="12" customFormat="1" x14ac:dyDescent="0.25">
      <c r="A79" s="217" t="s">
        <v>2424</v>
      </c>
      <c r="B79" s="64">
        <v>8.3000000000000007</v>
      </c>
      <c r="C79" s="64">
        <v>3.22</v>
      </c>
      <c r="D79" s="64">
        <v>12.12</v>
      </c>
      <c r="E79" s="64">
        <v>3.68</v>
      </c>
      <c r="F79" s="64">
        <v>8.92</v>
      </c>
      <c r="G79" s="64">
        <v>3.67</v>
      </c>
      <c r="H79" s="64">
        <v>3.7</v>
      </c>
      <c r="I79" s="64">
        <v>0.89</v>
      </c>
      <c r="J79" s="64">
        <v>0.5</v>
      </c>
      <c r="K79" s="64">
        <v>356.44</v>
      </c>
      <c r="L79" s="64">
        <v>21.82</v>
      </c>
      <c r="M79" s="64">
        <v>99.02</v>
      </c>
      <c r="N79" s="64">
        <v>57.6</v>
      </c>
      <c r="O79" s="64">
        <v>0.4</v>
      </c>
      <c r="P79" s="210" t="s">
        <v>36</v>
      </c>
      <c r="Q79" s="210" t="s">
        <v>36</v>
      </c>
      <c r="S79" s="198"/>
      <c r="T79" s="198"/>
      <c r="U79" s="198"/>
    </row>
    <row r="80" spans="1:21" s="12" customFormat="1" x14ac:dyDescent="0.25">
      <c r="A80" s="217" t="s">
        <v>2425</v>
      </c>
      <c r="B80" s="64">
        <v>8.34</v>
      </c>
      <c r="C80" s="64">
        <v>3.32</v>
      </c>
      <c r="D80" s="64">
        <v>12.19</v>
      </c>
      <c r="E80" s="64">
        <v>4</v>
      </c>
      <c r="F80" s="64">
        <v>2.25</v>
      </c>
      <c r="G80" s="64">
        <v>3.16</v>
      </c>
      <c r="H80" s="64">
        <v>3.38</v>
      </c>
      <c r="I80" s="64">
        <v>0.94</v>
      </c>
      <c r="J80" s="64">
        <v>0.57999999999999996</v>
      </c>
      <c r="K80" s="64">
        <v>6.09</v>
      </c>
      <c r="L80" s="64">
        <v>21.84</v>
      </c>
      <c r="M80" s="64">
        <v>99.03</v>
      </c>
      <c r="N80" s="64">
        <v>53.1</v>
      </c>
      <c r="O80" s="64">
        <v>0.2</v>
      </c>
      <c r="P80" s="210" t="s">
        <v>36</v>
      </c>
      <c r="Q80" s="210" t="s">
        <v>36</v>
      </c>
      <c r="S80" s="198"/>
      <c r="T80" s="198"/>
      <c r="U80" s="198"/>
    </row>
    <row r="81" spans="1:26" s="12" customFormat="1" x14ac:dyDescent="0.25">
      <c r="A81" s="217" t="s">
        <v>2426</v>
      </c>
      <c r="B81" s="64">
        <v>8.3000000000000007</v>
      </c>
      <c r="C81" s="64">
        <v>3.28</v>
      </c>
      <c r="D81" s="64">
        <v>12.14</v>
      </c>
      <c r="E81" s="64">
        <v>3.81</v>
      </c>
      <c r="F81" s="64">
        <v>3.72</v>
      </c>
      <c r="G81" s="64">
        <v>3.16</v>
      </c>
      <c r="H81" s="64">
        <v>3.38</v>
      </c>
      <c r="I81" s="64">
        <v>1</v>
      </c>
      <c r="J81" s="64">
        <v>0.53</v>
      </c>
      <c r="K81" s="64">
        <v>7.03</v>
      </c>
      <c r="L81" s="64">
        <v>21.88</v>
      </c>
      <c r="M81" s="64">
        <v>99.03</v>
      </c>
      <c r="N81" s="64">
        <v>52.1</v>
      </c>
      <c r="O81" s="64">
        <v>0</v>
      </c>
      <c r="P81" s="210" t="s">
        <v>36</v>
      </c>
      <c r="Q81" s="210" t="s">
        <v>36</v>
      </c>
      <c r="S81" s="198"/>
      <c r="T81" s="198"/>
      <c r="U81" s="198"/>
    </row>
    <row r="82" spans="1:26" s="12" customFormat="1" x14ac:dyDescent="0.25">
      <c r="A82" s="217" t="s">
        <v>2427</v>
      </c>
      <c r="B82" s="64">
        <v>8.4</v>
      </c>
      <c r="C82" s="64">
        <v>3.48</v>
      </c>
      <c r="D82" s="64">
        <v>12.33</v>
      </c>
      <c r="E82" s="64">
        <v>3.94</v>
      </c>
      <c r="F82" s="64">
        <v>4.5199999999999996</v>
      </c>
      <c r="G82" s="64">
        <v>3.16</v>
      </c>
      <c r="H82" s="64">
        <v>3.38</v>
      </c>
      <c r="I82" s="64">
        <v>1.01</v>
      </c>
      <c r="J82" s="64">
        <v>0.52</v>
      </c>
      <c r="K82" s="64">
        <v>4.7</v>
      </c>
      <c r="L82" s="64">
        <v>21.9</v>
      </c>
      <c r="M82" s="64">
        <v>99.03</v>
      </c>
      <c r="N82" s="64">
        <v>51</v>
      </c>
      <c r="O82" s="64">
        <v>0.2</v>
      </c>
      <c r="P82" s="210" t="s">
        <v>36</v>
      </c>
      <c r="Q82" s="210" t="s">
        <v>36</v>
      </c>
      <c r="S82" s="198"/>
      <c r="T82" s="198"/>
      <c r="U82" s="198"/>
    </row>
    <row r="83" spans="1:26" s="12" customFormat="1" x14ac:dyDescent="0.25">
      <c r="A83" s="217" t="s">
        <v>2428</v>
      </c>
      <c r="B83" s="64">
        <v>8.4499999999999993</v>
      </c>
      <c r="C83" s="64">
        <v>3.62</v>
      </c>
      <c r="D83" s="64">
        <v>12.44</v>
      </c>
      <c r="E83" s="64">
        <v>3.86</v>
      </c>
      <c r="F83" s="64">
        <v>2.5299999999999998</v>
      </c>
      <c r="G83" s="64">
        <v>11.8</v>
      </c>
      <c r="H83" s="64">
        <v>3.95</v>
      </c>
      <c r="I83" s="64">
        <v>1.07</v>
      </c>
      <c r="J83" s="64">
        <v>0.53</v>
      </c>
      <c r="K83" s="64">
        <v>6.85</v>
      </c>
      <c r="L83" s="64">
        <v>21.93</v>
      </c>
      <c r="M83" s="64">
        <v>99.03</v>
      </c>
      <c r="N83" s="64">
        <v>49.7</v>
      </c>
      <c r="O83" s="64">
        <v>0</v>
      </c>
      <c r="P83" s="210" t="s">
        <v>36</v>
      </c>
      <c r="Q83" s="210" t="s">
        <v>36</v>
      </c>
      <c r="S83" s="198"/>
      <c r="T83" s="198"/>
      <c r="U83" s="198"/>
    </row>
    <row r="84" spans="1:26" s="12" customFormat="1" x14ac:dyDescent="0.25">
      <c r="A84" s="217" t="s">
        <v>2429</v>
      </c>
      <c r="B84" s="64">
        <v>8.33</v>
      </c>
      <c r="C84" s="64">
        <v>3.28</v>
      </c>
      <c r="D84" s="64">
        <v>12.17</v>
      </c>
      <c r="E84" s="64">
        <v>3.89</v>
      </c>
      <c r="F84" s="64">
        <v>5.24</v>
      </c>
      <c r="G84" s="64">
        <v>24.17</v>
      </c>
      <c r="H84" s="64">
        <v>4.76</v>
      </c>
      <c r="I84" s="64">
        <v>1.1200000000000001</v>
      </c>
      <c r="J84" s="64">
        <v>0.67</v>
      </c>
      <c r="K84" s="64">
        <v>11.59</v>
      </c>
      <c r="L84" s="64">
        <v>21.93</v>
      </c>
      <c r="M84" s="64">
        <v>99.03</v>
      </c>
      <c r="N84" s="64">
        <v>49.5</v>
      </c>
      <c r="O84" s="64">
        <v>0.2</v>
      </c>
      <c r="P84" s="210" t="s">
        <v>36</v>
      </c>
      <c r="Q84" s="210" t="s">
        <v>36</v>
      </c>
      <c r="S84" s="198"/>
      <c r="T84" s="198"/>
      <c r="U84" s="198"/>
    </row>
    <row r="85" spans="1:26" s="12" customFormat="1" x14ac:dyDescent="0.25">
      <c r="A85" s="217" t="s">
        <v>2430</v>
      </c>
      <c r="B85" s="64">
        <v>8.32</v>
      </c>
      <c r="C85" s="64">
        <v>3.27</v>
      </c>
      <c r="D85" s="64">
        <v>12.15</v>
      </c>
      <c r="E85" s="64">
        <v>4.21</v>
      </c>
      <c r="F85" s="64">
        <v>2.56</v>
      </c>
      <c r="G85" s="64">
        <v>24.17</v>
      </c>
      <c r="H85" s="64">
        <v>4.76</v>
      </c>
      <c r="I85" s="64">
        <v>1.1200000000000001</v>
      </c>
      <c r="J85" s="64">
        <v>0.6</v>
      </c>
      <c r="K85" s="64">
        <v>10.4</v>
      </c>
      <c r="L85" s="64">
        <v>21.97</v>
      </c>
      <c r="M85" s="64">
        <v>99.05</v>
      </c>
      <c r="N85" s="64">
        <v>49.5</v>
      </c>
      <c r="O85" s="64">
        <v>0</v>
      </c>
      <c r="P85" s="210" t="s">
        <v>36</v>
      </c>
      <c r="Q85" s="210" t="s">
        <v>36</v>
      </c>
      <c r="S85" s="198"/>
      <c r="T85" s="198"/>
      <c r="U85" s="198"/>
    </row>
    <row r="86" spans="1:26" s="12" customFormat="1" x14ac:dyDescent="0.25">
      <c r="A86" s="217" t="s">
        <v>2431</v>
      </c>
      <c r="B86" s="64">
        <v>8.2899999999999991</v>
      </c>
      <c r="C86" s="64">
        <v>3.2</v>
      </c>
      <c r="D86" s="64">
        <v>12.09</v>
      </c>
      <c r="E86" s="64">
        <v>3.87</v>
      </c>
      <c r="F86" s="64">
        <v>4.1900000000000004</v>
      </c>
      <c r="G86" s="64">
        <v>24.17</v>
      </c>
      <c r="H86" s="64">
        <v>4.76</v>
      </c>
      <c r="I86" s="64">
        <v>1.1599999999999999</v>
      </c>
      <c r="J86" s="64">
        <v>0.59</v>
      </c>
      <c r="K86" s="64">
        <v>6.89</v>
      </c>
      <c r="L86" s="64">
        <v>22</v>
      </c>
      <c r="M86" s="64">
        <v>99.05</v>
      </c>
      <c r="N86" s="64">
        <v>49.5</v>
      </c>
      <c r="O86" s="64">
        <v>0</v>
      </c>
      <c r="P86" s="210" t="s">
        <v>36</v>
      </c>
      <c r="Q86" s="210" t="s">
        <v>36</v>
      </c>
      <c r="S86" s="198"/>
      <c r="T86" s="198"/>
      <c r="U86" s="198"/>
    </row>
    <row r="87" spans="1:26" s="12" customFormat="1" x14ac:dyDescent="0.25">
      <c r="A87" s="217" t="s">
        <v>2432</v>
      </c>
      <c r="B87" s="64">
        <v>8.3000000000000007</v>
      </c>
      <c r="C87" s="64">
        <v>3.19</v>
      </c>
      <c r="D87" s="64">
        <v>12.1</v>
      </c>
      <c r="E87" s="64">
        <v>3.71</v>
      </c>
      <c r="F87" s="64">
        <v>3.85</v>
      </c>
      <c r="G87" s="64">
        <v>21.29</v>
      </c>
      <c r="H87" s="64">
        <v>4.91</v>
      </c>
      <c r="I87" s="64">
        <v>1.18</v>
      </c>
      <c r="J87" s="64">
        <v>0.68</v>
      </c>
      <c r="K87" s="64">
        <v>5.2</v>
      </c>
      <c r="L87" s="64">
        <v>22.04</v>
      </c>
      <c r="M87" s="64">
        <v>99.05</v>
      </c>
      <c r="N87" s="64">
        <v>49.6</v>
      </c>
      <c r="O87" s="64">
        <v>0</v>
      </c>
      <c r="P87" s="210" t="s">
        <v>36</v>
      </c>
      <c r="Q87" s="210" t="s">
        <v>36</v>
      </c>
      <c r="S87" s="198"/>
      <c r="T87" s="198"/>
      <c r="U87" s="198"/>
    </row>
    <row r="88" spans="1:26" s="12" customFormat="1" x14ac:dyDescent="0.25">
      <c r="A88" s="217" t="s">
        <v>2433</v>
      </c>
      <c r="B88" s="64">
        <v>8.33</v>
      </c>
      <c r="C88" s="64">
        <v>3.23</v>
      </c>
      <c r="D88" s="64">
        <v>12.14</v>
      </c>
      <c r="E88" s="64">
        <v>4.08</v>
      </c>
      <c r="F88" s="64">
        <v>3.94</v>
      </c>
      <c r="G88" s="64">
        <v>17.170000000000002</v>
      </c>
      <c r="H88" s="64">
        <v>5.15</v>
      </c>
      <c r="I88" s="64">
        <v>1.2</v>
      </c>
      <c r="J88" s="64">
        <v>0.67</v>
      </c>
      <c r="K88" s="64">
        <v>6.7</v>
      </c>
      <c r="L88" s="64">
        <v>22.1</v>
      </c>
      <c r="M88" s="64">
        <v>99.05</v>
      </c>
      <c r="N88" s="64">
        <v>49.6</v>
      </c>
      <c r="O88" s="64">
        <v>0</v>
      </c>
      <c r="P88" s="210" t="s">
        <v>36</v>
      </c>
      <c r="Q88" s="210" t="s">
        <v>36</v>
      </c>
      <c r="S88" s="198"/>
      <c r="T88" s="198"/>
      <c r="U88" s="198"/>
    </row>
    <row r="89" spans="1:26" s="12" customFormat="1" x14ac:dyDescent="0.25">
      <c r="A89" s="217" t="s">
        <v>2434</v>
      </c>
      <c r="B89" s="64">
        <v>8.33</v>
      </c>
      <c r="C89" s="64">
        <v>3.19</v>
      </c>
      <c r="D89" s="64">
        <v>12.12</v>
      </c>
      <c r="E89" s="64">
        <v>3.99</v>
      </c>
      <c r="F89" s="64">
        <v>4.08</v>
      </c>
      <c r="G89" s="64">
        <v>17.170000000000002</v>
      </c>
      <c r="H89" s="64">
        <v>5.15</v>
      </c>
      <c r="I89" s="64">
        <v>1.23</v>
      </c>
      <c r="J89" s="64">
        <v>0.56999999999999995</v>
      </c>
      <c r="K89" s="64">
        <v>13.21</v>
      </c>
      <c r="L89" s="64">
        <v>22.16</v>
      </c>
      <c r="M89" s="64">
        <v>99.08</v>
      </c>
      <c r="N89" s="64">
        <v>49.6</v>
      </c>
      <c r="O89" s="64">
        <v>0.2</v>
      </c>
      <c r="P89" s="210" t="s">
        <v>36</v>
      </c>
      <c r="Q89" s="210" t="s">
        <v>36</v>
      </c>
      <c r="S89" s="198"/>
      <c r="T89" s="198"/>
      <c r="U89" s="198"/>
    </row>
    <row r="90" spans="1:26" s="12" customFormat="1" x14ac:dyDescent="0.25">
      <c r="A90" s="217" t="s">
        <v>2435</v>
      </c>
      <c r="B90" s="64">
        <v>8.35</v>
      </c>
      <c r="C90" s="64">
        <v>3.22</v>
      </c>
      <c r="D90" s="64">
        <v>12.16</v>
      </c>
      <c r="E90" s="64">
        <v>3.91</v>
      </c>
      <c r="F90" s="64">
        <v>3.86</v>
      </c>
      <c r="G90" s="64">
        <v>17.170000000000002</v>
      </c>
      <c r="H90" s="64">
        <v>5.15</v>
      </c>
      <c r="I90" s="64">
        <v>1.24</v>
      </c>
      <c r="J90" s="64">
        <v>0.61</v>
      </c>
      <c r="K90" s="64">
        <v>12.86</v>
      </c>
      <c r="L90" s="64">
        <v>22.16</v>
      </c>
      <c r="M90" s="64">
        <v>99.08</v>
      </c>
      <c r="N90" s="64">
        <v>49.6</v>
      </c>
      <c r="O90" s="64">
        <v>0.4</v>
      </c>
      <c r="P90" s="210" t="s">
        <v>36</v>
      </c>
      <c r="Q90" s="210" t="s">
        <v>36</v>
      </c>
      <c r="S90" s="198"/>
      <c r="T90" s="198"/>
      <c r="U90" s="198"/>
    </row>
    <row r="91" spans="1:26" s="12" customFormat="1" x14ac:dyDescent="0.25">
      <c r="A91" s="217" t="s">
        <v>2436</v>
      </c>
      <c r="B91" s="64">
        <v>8.32</v>
      </c>
      <c r="C91" s="64">
        <v>3.2</v>
      </c>
      <c r="D91" s="64">
        <v>12.12</v>
      </c>
      <c r="E91" s="64">
        <v>4.2699999999999996</v>
      </c>
      <c r="F91" s="64">
        <v>3.83</v>
      </c>
      <c r="G91" s="64">
        <v>16.75</v>
      </c>
      <c r="H91" s="64">
        <v>4.88</v>
      </c>
      <c r="I91" s="64">
        <v>1.23</v>
      </c>
      <c r="J91" s="64">
        <v>0.59</v>
      </c>
      <c r="K91" s="64">
        <v>11.06</v>
      </c>
      <c r="L91" s="64">
        <v>22.12</v>
      </c>
      <c r="M91" s="64">
        <v>99.08</v>
      </c>
      <c r="N91" s="64">
        <v>49.6</v>
      </c>
      <c r="O91" s="64">
        <v>0.2</v>
      </c>
      <c r="P91" s="210" t="s">
        <v>36</v>
      </c>
      <c r="Q91" s="210" t="s">
        <v>36</v>
      </c>
      <c r="S91" s="198"/>
      <c r="T91" s="198"/>
      <c r="U91" s="198"/>
    </row>
    <row r="92" spans="1:26" s="12" customFormat="1" x14ac:dyDescent="0.25">
      <c r="A92" s="217" t="s">
        <v>2437</v>
      </c>
      <c r="B92" s="64">
        <v>8.35</v>
      </c>
      <c r="C92" s="64">
        <v>3.3</v>
      </c>
      <c r="D92" s="64">
        <v>12.19</v>
      </c>
      <c r="E92" s="64">
        <v>3.81</v>
      </c>
      <c r="F92" s="64">
        <v>3.57</v>
      </c>
      <c r="G92" s="64">
        <v>16.14</v>
      </c>
      <c r="H92" s="64">
        <v>4.4800000000000004</v>
      </c>
      <c r="I92" s="64">
        <v>1.22</v>
      </c>
      <c r="J92" s="64">
        <v>0.38</v>
      </c>
      <c r="K92" s="64">
        <v>14.71</v>
      </c>
      <c r="L92" s="64">
        <v>22.13</v>
      </c>
      <c r="M92" s="64">
        <v>99.08</v>
      </c>
      <c r="N92" s="64">
        <v>49.6</v>
      </c>
      <c r="O92" s="64">
        <v>0</v>
      </c>
      <c r="P92" s="210" t="s">
        <v>36</v>
      </c>
      <c r="Q92" s="210" t="s">
        <v>36</v>
      </c>
      <c r="S92" s="198"/>
      <c r="T92" s="198"/>
      <c r="U92" s="198"/>
    </row>
    <row r="93" spans="1:26" s="12" customFormat="1" x14ac:dyDescent="0.25">
      <c r="A93" s="217" t="s">
        <v>2438</v>
      </c>
      <c r="B93" s="64">
        <v>8.42</v>
      </c>
      <c r="C93" s="64">
        <v>3.46</v>
      </c>
      <c r="D93" s="64">
        <v>12.33</v>
      </c>
      <c r="E93" s="64">
        <v>4.08</v>
      </c>
      <c r="F93" s="64">
        <v>3.63</v>
      </c>
      <c r="G93" s="64">
        <v>16.14</v>
      </c>
      <c r="H93" s="64">
        <v>4.4800000000000004</v>
      </c>
      <c r="I93" s="64">
        <v>1.21</v>
      </c>
      <c r="J93" s="64">
        <v>0.65</v>
      </c>
      <c r="K93" s="64">
        <v>7.9</v>
      </c>
      <c r="L93" s="64">
        <v>22.13</v>
      </c>
      <c r="M93" s="64">
        <v>99.08</v>
      </c>
      <c r="N93" s="64">
        <v>49.6</v>
      </c>
      <c r="O93" s="64">
        <v>0</v>
      </c>
      <c r="P93" s="210" t="s">
        <v>36</v>
      </c>
      <c r="Q93" s="210" t="s">
        <v>36</v>
      </c>
      <c r="S93" s="198"/>
      <c r="T93" s="198"/>
      <c r="U93" s="198"/>
    </row>
    <row r="94" spans="1:26" s="12" customFormat="1" x14ac:dyDescent="0.25">
      <c r="A94" s="217" t="s">
        <v>2439</v>
      </c>
      <c r="B94" s="64">
        <v>8.41</v>
      </c>
      <c r="C94" s="64">
        <v>3.47</v>
      </c>
      <c r="D94" s="64">
        <v>12.33</v>
      </c>
      <c r="E94" s="64">
        <v>3.75</v>
      </c>
      <c r="F94" s="64">
        <v>4.71</v>
      </c>
      <c r="G94" s="64">
        <v>16.14</v>
      </c>
      <c r="H94" s="64">
        <v>4.4800000000000004</v>
      </c>
      <c r="I94" s="64">
        <v>1.2</v>
      </c>
      <c r="J94" s="64">
        <v>0.59</v>
      </c>
      <c r="K94" s="64">
        <v>14.64</v>
      </c>
      <c r="L94" s="64">
        <v>22.13</v>
      </c>
      <c r="M94" s="64">
        <v>99.07</v>
      </c>
      <c r="N94" s="64">
        <v>49.6</v>
      </c>
      <c r="O94" s="64">
        <v>0</v>
      </c>
      <c r="P94" s="210" t="s">
        <v>36</v>
      </c>
      <c r="Q94" s="210" t="s">
        <v>36</v>
      </c>
      <c r="S94" s="198"/>
      <c r="T94" s="198"/>
      <c r="U94" s="198"/>
    </row>
    <row r="95" spans="1:26" s="12" customFormat="1" x14ac:dyDescent="0.25">
      <c r="A95" s="217" t="s">
        <v>2440</v>
      </c>
      <c r="B95" s="64">
        <v>8.35</v>
      </c>
      <c r="C95" s="64">
        <v>3.36</v>
      </c>
      <c r="D95" s="64">
        <v>12.22</v>
      </c>
      <c r="E95" s="64">
        <v>4.0599999999999996</v>
      </c>
      <c r="F95" s="64">
        <v>6.07</v>
      </c>
      <c r="G95" s="64">
        <v>15.11</v>
      </c>
      <c r="H95" s="64">
        <v>3.97</v>
      </c>
      <c r="I95" s="64">
        <v>1.18</v>
      </c>
      <c r="J95" s="64">
        <v>0.79</v>
      </c>
      <c r="K95" s="64">
        <v>8.08</v>
      </c>
      <c r="L95" s="64">
        <v>22.14</v>
      </c>
      <c r="M95" s="64">
        <v>99.06</v>
      </c>
      <c r="N95" s="64">
        <v>49.6</v>
      </c>
      <c r="O95" s="64">
        <v>0</v>
      </c>
      <c r="P95" s="210" t="s">
        <v>36</v>
      </c>
      <c r="Q95" s="210" t="s">
        <v>36</v>
      </c>
      <c r="S95" s="198"/>
      <c r="T95" s="198"/>
      <c r="U95" s="198"/>
    </row>
    <row r="96" spans="1:26" s="12" customFormat="1" x14ac:dyDescent="0.25">
      <c r="A96" s="217" t="s">
        <v>2441</v>
      </c>
      <c r="B96" s="64">
        <v>8.3800000000000008</v>
      </c>
      <c r="C96" s="64">
        <v>3.5</v>
      </c>
      <c r="D96" s="64">
        <v>12.32</v>
      </c>
      <c r="E96" s="64">
        <v>4.24</v>
      </c>
      <c r="F96" s="64">
        <v>2.68</v>
      </c>
      <c r="G96" s="64">
        <v>13.64</v>
      </c>
      <c r="H96" s="64">
        <v>3.25</v>
      </c>
      <c r="I96" s="64">
        <v>1.2</v>
      </c>
      <c r="J96" s="64">
        <v>0.66</v>
      </c>
      <c r="K96" s="64">
        <v>5.24</v>
      </c>
      <c r="L96" s="64">
        <v>22.14</v>
      </c>
      <c r="M96" s="64">
        <v>99.06</v>
      </c>
      <c r="N96" s="64">
        <v>49.6</v>
      </c>
      <c r="O96" s="64">
        <v>0.2</v>
      </c>
      <c r="P96" s="210" t="s">
        <v>36</v>
      </c>
      <c r="Q96" s="210" t="s">
        <v>36</v>
      </c>
      <c r="S96" s="198"/>
      <c r="T96" s="198"/>
      <c r="U96" s="198"/>
      <c r="Z96" s="109"/>
    </row>
    <row r="97" spans="1:33" s="12" customFormat="1" x14ac:dyDescent="0.25">
      <c r="A97" s="217" t="s">
        <v>2442</v>
      </c>
      <c r="B97" s="64">
        <v>8.2899999999999991</v>
      </c>
      <c r="C97" s="64">
        <v>3.19</v>
      </c>
      <c r="D97" s="64">
        <v>12.09</v>
      </c>
      <c r="E97" s="64">
        <v>4.16</v>
      </c>
      <c r="F97" s="64">
        <v>3.59</v>
      </c>
      <c r="G97" s="64">
        <v>13.64</v>
      </c>
      <c r="H97" s="64">
        <v>3.25</v>
      </c>
      <c r="I97" s="64">
        <v>1.1499999999999999</v>
      </c>
      <c r="J97" s="64">
        <v>0.75</v>
      </c>
      <c r="K97" s="64">
        <v>13.84</v>
      </c>
      <c r="L97" s="64">
        <v>22.12</v>
      </c>
      <c r="M97" s="64">
        <v>99.05</v>
      </c>
      <c r="N97" s="64">
        <v>49.6</v>
      </c>
      <c r="O97" s="64">
        <v>0.2</v>
      </c>
      <c r="P97" s="210" t="s">
        <v>36</v>
      </c>
      <c r="Q97" s="210" t="s">
        <v>36</v>
      </c>
      <c r="S97" s="198"/>
      <c r="T97" s="198"/>
      <c r="U97" s="198"/>
    </row>
    <row r="98" spans="1:33" s="12" customFormat="1" x14ac:dyDescent="0.25">
      <c r="A98" s="217" t="s">
        <v>2443</v>
      </c>
      <c r="B98" s="64">
        <v>8.27</v>
      </c>
      <c r="C98" s="64">
        <v>3.13</v>
      </c>
      <c r="D98" s="64">
        <v>12.04</v>
      </c>
      <c r="E98" s="64">
        <v>4.08</v>
      </c>
      <c r="F98" s="64">
        <v>4.1500000000000004</v>
      </c>
      <c r="G98" s="64">
        <v>13.64</v>
      </c>
      <c r="H98" s="64">
        <v>3.25</v>
      </c>
      <c r="I98" s="64">
        <v>1.05</v>
      </c>
      <c r="J98" s="64">
        <v>0.76</v>
      </c>
      <c r="K98" s="64">
        <v>15.26</v>
      </c>
      <c r="L98" s="64">
        <v>22.11</v>
      </c>
      <c r="M98" s="64">
        <v>99.07</v>
      </c>
      <c r="N98" s="64">
        <v>49.6</v>
      </c>
      <c r="O98" s="64">
        <v>0.4</v>
      </c>
      <c r="P98" s="210" t="s">
        <v>36</v>
      </c>
      <c r="Q98" s="210" t="s">
        <v>36</v>
      </c>
      <c r="S98" s="198"/>
      <c r="T98" s="198"/>
      <c r="U98" s="198"/>
    </row>
    <row r="99" spans="1:33" s="12" customFormat="1" x14ac:dyDescent="0.25">
      <c r="A99" s="217" t="s">
        <v>2444</v>
      </c>
      <c r="B99" s="64">
        <v>8.2799999999999994</v>
      </c>
      <c r="C99" s="64">
        <v>3.18</v>
      </c>
      <c r="D99" s="64">
        <v>12.07</v>
      </c>
      <c r="E99" s="64">
        <v>4.2300000000000004</v>
      </c>
      <c r="F99" s="64">
        <v>4.25</v>
      </c>
      <c r="G99" s="64">
        <v>12.16</v>
      </c>
      <c r="H99" s="64">
        <v>3.06</v>
      </c>
      <c r="I99" s="64">
        <v>1.01</v>
      </c>
      <c r="J99" s="64">
        <v>0.55000000000000004</v>
      </c>
      <c r="K99" s="64">
        <v>9.43</v>
      </c>
      <c r="L99" s="64">
        <v>22.04</v>
      </c>
      <c r="M99" s="64">
        <v>99.08</v>
      </c>
      <c r="N99" s="64">
        <v>49.6</v>
      </c>
      <c r="O99" s="64">
        <v>0.8</v>
      </c>
      <c r="P99" s="210" t="s">
        <v>36</v>
      </c>
      <c r="Q99" s="210" t="s">
        <v>36</v>
      </c>
      <c r="S99" s="198"/>
      <c r="T99" s="198"/>
      <c r="U99" s="198"/>
    </row>
    <row r="100" spans="1:33" s="12" customFormat="1" x14ac:dyDescent="0.25">
      <c r="A100" s="217" t="s">
        <v>2445</v>
      </c>
      <c r="B100" s="64">
        <v>8.24</v>
      </c>
      <c r="C100" s="64">
        <v>3.17</v>
      </c>
      <c r="D100" s="64">
        <v>12.04</v>
      </c>
      <c r="E100" s="64">
        <v>4.13</v>
      </c>
      <c r="F100" s="64">
        <v>8.91</v>
      </c>
      <c r="G100" s="64">
        <v>9.93</v>
      </c>
      <c r="H100" s="64">
        <v>2.78</v>
      </c>
      <c r="I100" s="64">
        <v>0.97</v>
      </c>
      <c r="J100" s="64">
        <v>0.67</v>
      </c>
      <c r="K100" s="64">
        <v>10.73</v>
      </c>
      <c r="L100" s="64">
        <v>21.84</v>
      </c>
      <c r="M100" s="64">
        <v>99.1</v>
      </c>
      <c r="N100" s="64">
        <v>49.7</v>
      </c>
      <c r="O100" s="64">
        <v>2</v>
      </c>
      <c r="P100" s="210" t="s">
        <v>36</v>
      </c>
      <c r="Q100" s="210" t="s">
        <v>36</v>
      </c>
      <c r="S100" s="198"/>
      <c r="T100" s="198"/>
      <c r="U100" s="198"/>
      <c r="AB100" s="110"/>
      <c r="AG100" s="109"/>
    </row>
    <row r="101" spans="1:33" s="12" customFormat="1" x14ac:dyDescent="0.25">
      <c r="A101" s="217" t="s">
        <v>2446</v>
      </c>
      <c r="B101" s="64">
        <v>8.27</v>
      </c>
      <c r="C101" s="64">
        <v>3.2</v>
      </c>
      <c r="D101" s="64">
        <v>12.08</v>
      </c>
      <c r="E101" s="64">
        <v>4.22</v>
      </c>
      <c r="F101" s="64">
        <v>5.99</v>
      </c>
      <c r="G101" s="64">
        <v>9.93</v>
      </c>
      <c r="H101" s="64">
        <v>2.78</v>
      </c>
      <c r="I101" s="64">
        <v>0.97</v>
      </c>
      <c r="J101" s="64">
        <v>0.56999999999999995</v>
      </c>
      <c r="K101" s="64">
        <v>10.85</v>
      </c>
      <c r="L101" s="64">
        <v>21.75</v>
      </c>
      <c r="M101" s="64">
        <v>99.1</v>
      </c>
      <c r="N101" s="64">
        <v>49.6</v>
      </c>
      <c r="O101" s="64">
        <v>1.8</v>
      </c>
      <c r="P101" s="210" t="s">
        <v>36</v>
      </c>
      <c r="Q101" s="210" t="s">
        <v>36</v>
      </c>
      <c r="S101" s="198"/>
      <c r="T101" s="198"/>
      <c r="U101" s="198"/>
    </row>
    <row r="102" spans="1:33" s="12" customFormat="1" x14ac:dyDescent="0.25">
      <c r="A102" s="217" t="s">
        <v>2447</v>
      </c>
      <c r="B102" s="64">
        <v>8.3000000000000007</v>
      </c>
      <c r="C102" s="64">
        <v>3.15</v>
      </c>
      <c r="D102" s="64">
        <v>12.07</v>
      </c>
      <c r="E102" s="64">
        <v>3.74</v>
      </c>
      <c r="F102" s="64">
        <v>8</v>
      </c>
      <c r="G102" s="64">
        <v>9.93</v>
      </c>
      <c r="H102" s="64">
        <v>2.78</v>
      </c>
      <c r="I102" s="64">
        <v>0.92</v>
      </c>
      <c r="J102" s="64">
        <v>0.56999999999999995</v>
      </c>
      <c r="K102" s="64">
        <v>22.15</v>
      </c>
      <c r="L102" s="64">
        <v>21.71</v>
      </c>
      <c r="M102" s="64">
        <v>99.1</v>
      </c>
      <c r="N102" s="64">
        <v>49.6</v>
      </c>
      <c r="O102" s="64">
        <v>0.6</v>
      </c>
      <c r="P102" s="210" t="s">
        <v>36</v>
      </c>
      <c r="Q102" s="210" t="s">
        <v>36</v>
      </c>
      <c r="S102" s="198"/>
      <c r="T102" s="198"/>
      <c r="U102" s="198"/>
    </row>
    <row r="103" spans="1:33" s="12" customFormat="1" x14ac:dyDescent="0.25">
      <c r="A103" s="217" t="s">
        <v>2448</v>
      </c>
      <c r="B103" s="64">
        <v>8.31</v>
      </c>
      <c r="C103" s="64">
        <v>3.18</v>
      </c>
      <c r="D103" s="64">
        <v>12.1</v>
      </c>
      <c r="E103" s="64">
        <v>3.52</v>
      </c>
      <c r="F103" s="64">
        <v>4.37</v>
      </c>
      <c r="G103" s="64">
        <v>9</v>
      </c>
      <c r="H103" s="64">
        <v>2.4700000000000002</v>
      </c>
      <c r="I103" s="64">
        <v>0.88</v>
      </c>
      <c r="J103" s="64">
        <v>0.72</v>
      </c>
      <c r="K103" s="64">
        <v>5.2</v>
      </c>
      <c r="L103" s="64">
        <v>21.67</v>
      </c>
      <c r="M103" s="64">
        <v>99.1</v>
      </c>
      <c r="N103" s="64">
        <v>49.7</v>
      </c>
      <c r="O103" s="64">
        <v>0.4</v>
      </c>
      <c r="P103" s="210" t="s">
        <v>36</v>
      </c>
      <c r="Q103" s="210" t="s">
        <v>36</v>
      </c>
      <c r="S103" s="198"/>
      <c r="T103" s="198"/>
      <c r="U103" s="198"/>
    </row>
    <row r="104" spans="1:33" s="12" customFormat="1" x14ac:dyDescent="0.25">
      <c r="A104" s="217" t="s">
        <v>2449</v>
      </c>
      <c r="B104" s="64">
        <v>8.3000000000000007</v>
      </c>
      <c r="C104" s="64">
        <v>3.16</v>
      </c>
      <c r="D104" s="64">
        <v>12.08</v>
      </c>
      <c r="E104" s="64">
        <v>4.83</v>
      </c>
      <c r="F104" s="64">
        <v>4.29</v>
      </c>
      <c r="G104" s="64">
        <v>7.67</v>
      </c>
      <c r="H104" s="64">
        <v>2.02</v>
      </c>
      <c r="I104" s="64">
        <v>0.82</v>
      </c>
      <c r="J104" s="64">
        <v>0.81</v>
      </c>
      <c r="K104" s="64">
        <v>12.63</v>
      </c>
      <c r="L104" s="64">
        <v>21.61</v>
      </c>
      <c r="M104" s="64">
        <v>99.1</v>
      </c>
      <c r="N104" s="64">
        <v>49.8</v>
      </c>
      <c r="O104" s="64">
        <v>0.4</v>
      </c>
      <c r="P104" s="210" t="s">
        <v>36</v>
      </c>
      <c r="Q104" s="210" t="s">
        <v>36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</v>
      </c>
      <c r="C106" s="67">
        <f>MIN(C9:C104)</f>
        <v>2.94</v>
      </c>
      <c r="D106" s="67">
        <f t="shared" ref="D106:Q106" si="0">MIN(D9:D104)</f>
        <v>11.77</v>
      </c>
      <c r="E106" s="67">
        <f t="shared" si="0"/>
        <v>3.02</v>
      </c>
      <c r="F106" s="67">
        <f t="shared" si="0"/>
        <v>2.25</v>
      </c>
      <c r="G106" s="67">
        <f t="shared" si="0"/>
        <v>1.9</v>
      </c>
      <c r="H106" s="67">
        <f t="shared" si="0"/>
        <v>0.81</v>
      </c>
      <c r="I106" s="67">
        <f t="shared" si="0"/>
        <v>0.45</v>
      </c>
      <c r="J106" s="67">
        <f t="shared" si="0"/>
        <v>0.32</v>
      </c>
      <c r="K106" s="67">
        <f t="shared" si="0"/>
        <v>0.1</v>
      </c>
      <c r="L106" s="67">
        <f t="shared" si="0"/>
        <v>21.6</v>
      </c>
      <c r="M106" s="67">
        <f t="shared" si="0"/>
        <v>98.89</v>
      </c>
      <c r="N106" s="67">
        <f t="shared" si="0"/>
        <v>47.7</v>
      </c>
      <c r="O106" s="67">
        <f t="shared" si="0"/>
        <v>0</v>
      </c>
      <c r="P106" s="67">
        <f t="shared" si="0"/>
        <v>0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8.4499999999999993</v>
      </c>
      <c r="C107" s="66">
        <f t="shared" ref="C107:Q107" si="1">MAX(C9:C104)</f>
        <v>4.17</v>
      </c>
      <c r="D107" s="66">
        <f t="shared" si="1"/>
        <v>12.63</v>
      </c>
      <c r="E107" s="66">
        <f t="shared" si="1"/>
        <v>5.94</v>
      </c>
      <c r="F107" s="66">
        <f t="shared" si="1"/>
        <v>28.19</v>
      </c>
      <c r="G107" s="66">
        <f t="shared" si="1"/>
        <v>24.17</v>
      </c>
      <c r="H107" s="66">
        <f t="shared" si="1"/>
        <v>5.15</v>
      </c>
      <c r="I107" s="66">
        <f t="shared" si="1"/>
        <v>1.24</v>
      </c>
      <c r="J107" s="66">
        <f t="shared" si="1"/>
        <v>0.81</v>
      </c>
      <c r="K107" s="66">
        <f t="shared" si="1"/>
        <v>359.11</v>
      </c>
      <c r="L107" s="66">
        <f t="shared" si="1"/>
        <v>23.22</v>
      </c>
      <c r="M107" s="66">
        <f t="shared" si="1"/>
        <v>99.16</v>
      </c>
      <c r="N107" s="66">
        <f t="shared" si="1"/>
        <v>144.19999999999999</v>
      </c>
      <c r="O107" s="66">
        <f t="shared" si="1"/>
        <v>4.4000000000000004</v>
      </c>
      <c r="P107" s="66">
        <f t="shared" si="1"/>
        <v>0</v>
      </c>
      <c r="Q107" s="66">
        <f t="shared" si="1"/>
        <v>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8.2206249999999983</v>
      </c>
      <c r="C108" s="67">
        <f t="shared" ref="C108:Q108" si="2">AVERAGE(C9:C104)</f>
        <v>3.2097916666666659</v>
      </c>
      <c r="D108" s="67">
        <f t="shared" si="2"/>
        <v>12.042812499999997</v>
      </c>
      <c r="E108" s="67">
        <f t="shared" si="2"/>
        <v>4.0986458333333342</v>
      </c>
      <c r="F108" s="67">
        <f t="shared" si="2"/>
        <v>5.8882291666666662</v>
      </c>
      <c r="G108" s="67">
        <f t="shared" si="2"/>
        <v>6.4298958333333305</v>
      </c>
      <c r="H108" s="67">
        <f t="shared" si="2"/>
        <v>2.0088541666666671</v>
      </c>
      <c r="I108" s="67">
        <f t="shared" si="2"/>
        <v>0.81260416666666668</v>
      </c>
      <c r="J108" s="67">
        <f t="shared" si="2"/>
        <v>0.62927083333333356</v>
      </c>
      <c r="K108" s="67">
        <f t="shared" si="2"/>
        <v>48.416979166666671</v>
      </c>
      <c r="L108" s="67">
        <f t="shared" si="2"/>
        <v>22.239479166666673</v>
      </c>
      <c r="M108" s="67">
        <f t="shared" si="2"/>
        <v>99.049479166666643</v>
      </c>
      <c r="N108" s="67">
        <f t="shared" si="2"/>
        <v>72.606250000000074</v>
      </c>
      <c r="O108" s="67">
        <f t="shared" si="2"/>
        <v>0.51875000000000004</v>
      </c>
      <c r="P108" s="67" t="e">
        <f t="shared" si="2"/>
        <v>#DIV/0!</v>
      </c>
      <c r="Q108" s="67" t="e">
        <f t="shared" si="2"/>
        <v>#DIV/0!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0.12214583604510594</v>
      </c>
      <c r="C109" s="67">
        <f t="shared" ref="C109:Q109" si="3">STDEV(C9:C104)</f>
        <v>0.16925831498919769</v>
      </c>
      <c r="D109" s="67">
        <f t="shared" si="3"/>
        <v>0.16783264298887629</v>
      </c>
      <c r="E109" s="67">
        <f t="shared" si="3"/>
        <v>0.56676295943981547</v>
      </c>
      <c r="F109" s="67">
        <f t="shared" si="3"/>
        <v>3.5186046860088624</v>
      </c>
      <c r="G109" s="67">
        <f t="shared" si="3"/>
        <v>5.5512542906591369</v>
      </c>
      <c r="H109" s="67">
        <f t="shared" si="3"/>
        <v>1.3422384052036005</v>
      </c>
      <c r="I109" s="67">
        <f t="shared" si="3"/>
        <v>0.23940823884018966</v>
      </c>
      <c r="J109" s="67">
        <f t="shared" si="3"/>
        <v>8.7722586561171031E-2</v>
      </c>
      <c r="K109" s="67">
        <f t="shared" si="3"/>
        <v>111.1851795322588</v>
      </c>
      <c r="L109" s="67">
        <f t="shared" si="3"/>
        <v>0.49094188699224717</v>
      </c>
      <c r="M109" s="67">
        <f t="shared" si="3"/>
        <v>5.3614016071341856E-2</v>
      </c>
      <c r="N109" s="67">
        <f t="shared" si="3"/>
        <v>28.328341072055935</v>
      </c>
      <c r="O109" s="67">
        <f t="shared" si="3"/>
        <v>0.7934352359734288</v>
      </c>
      <c r="P109" s="67" t="e">
        <f t="shared" si="3"/>
        <v>#DIV/0!</v>
      </c>
      <c r="Q109" s="67" t="e">
        <f t="shared" si="3"/>
        <v>#DIV/0!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O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COUNT(P9:P104)+96</f>
        <v>96</v>
      </c>
      <c r="Q110" s="66">
        <f>COUNT(Q9:Q104)+96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7" t="s">
        <v>2471</v>
      </c>
      <c r="B9" s="64">
        <v>8.2799999999999994</v>
      </c>
      <c r="C9" s="64">
        <v>3.15</v>
      </c>
      <c r="D9" s="64">
        <v>12.06</v>
      </c>
      <c r="E9" s="64">
        <v>4.67</v>
      </c>
      <c r="F9" s="64">
        <v>4.49</v>
      </c>
      <c r="G9" s="64">
        <v>7.67</v>
      </c>
      <c r="H9" s="64">
        <v>2.02</v>
      </c>
      <c r="I9" s="64">
        <v>0.74</v>
      </c>
      <c r="J9" s="64">
        <v>0.66</v>
      </c>
      <c r="K9" s="64">
        <v>9.24</v>
      </c>
      <c r="L9" s="64">
        <v>21.47</v>
      </c>
      <c r="M9" s="64">
        <v>99.1</v>
      </c>
      <c r="N9" s="64">
        <v>49.8</v>
      </c>
      <c r="O9" s="64">
        <v>1.8</v>
      </c>
      <c r="P9" s="64">
        <v>0.24</v>
      </c>
      <c r="Q9" s="64">
        <v>9.2899999999999991</v>
      </c>
      <c r="R9" s="198"/>
      <c r="S9" s="198"/>
      <c r="T9" s="198"/>
      <c r="U9" s="198"/>
    </row>
    <row r="10" spans="1:21" s="12" customFormat="1" x14ac:dyDescent="0.25">
      <c r="A10" s="217" t="s">
        <v>2472</v>
      </c>
      <c r="B10" s="64">
        <v>8.49</v>
      </c>
      <c r="C10" s="64">
        <v>3.8</v>
      </c>
      <c r="D10" s="64">
        <v>12.57</v>
      </c>
      <c r="E10" s="64">
        <v>4.7</v>
      </c>
      <c r="F10" s="64">
        <v>5.61</v>
      </c>
      <c r="G10" s="64">
        <v>7.67</v>
      </c>
      <c r="H10" s="64">
        <v>2.02</v>
      </c>
      <c r="I10" s="64">
        <v>0.69</v>
      </c>
      <c r="J10" s="64">
        <v>0.62</v>
      </c>
      <c r="K10" s="64">
        <v>5.16</v>
      </c>
      <c r="L10" s="64">
        <v>21.35</v>
      </c>
      <c r="M10" s="64">
        <v>99.1</v>
      </c>
      <c r="N10" s="64">
        <v>49.8</v>
      </c>
      <c r="O10" s="64">
        <v>0.6</v>
      </c>
      <c r="P10" s="64">
        <v>0.22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7" t="s">
        <v>2473</v>
      </c>
      <c r="B11" s="64">
        <v>8.36</v>
      </c>
      <c r="C11" s="64">
        <v>3.29</v>
      </c>
      <c r="D11" s="64">
        <v>12.2</v>
      </c>
      <c r="E11" s="64">
        <v>4.3</v>
      </c>
      <c r="F11" s="64">
        <v>5.71</v>
      </c>
      <c r="G11" s="64">
        <v>6.78</v>
      </c>
      <c r="H11" s="64">
        <v>2.0499999999999998</v>
      </c>
      <c r="I11" s="64">
        <v>0.63</v>
      </c>
      <c r="J11" s="64">
        <v>0.82</v>
      </c>
      <c r="K11" s="64">
        <v>18.73</v>
      </c>
      <c r="L11" s="64">
        <v>21.32</v>
      </c>
      <c r="M11" s="64">
        <v>99.1</v>
      </c>
      <c r="N11" s="64">
        <v>49.7</v>
      </c>
      <c r="O11" s="64">
        <v>0.2</v>
      </c>
      <c r="P11" s="64">
        <v>0.21</v>
      </c>
      <c r="Q11" s="64">
        <v>9.27</v>
      </c>
      <c r="R11" s="198"/>
      <c r="S11" s="198"/>
      <c r="T11" s="198"/>
      <c r="U11" s="198"/>
    </row>
    <row r="12" spans="1:21" s="12" customFormat="1" x14ac:dyDescent="0.25">
      <c r="A12" s="217" t="s">
        <v>2474</v>
      </c>
      <c r="B12" s="64">
        <v>8.33</v>
      </c>
      <c r="C12" s="64">
        <v>3.21</v>
      </c>
      <c r="D12" s="64">
        <v>12.13</v>
      </c>
      <c r="E12" s="64">
        <v>4.46</v>
      </c>
      <c r="F12" s="64">
        <v>5.33</v>
      </c>
      <c r="G12" s="64">
        <v>5.51</v>
      </c>
      <c r="H12" s="64">
        <v>2.1</v>
      </c>
      <c r="I12" s="64">
        <v>0.56000000000000005</v>
      </c>
      <c r="J12" s="64">
        <v>0.72</v>
      </c>
      <c r="K12" s="64">
        <v>16.149999999999999</v>
      </c>
      <c r="L12" s="64">
        <v>21.32</v>
      </c>
      <c r="M12" s="64">
        <v>99.1</v>
      </c>
      <c r="N12" s="64">
        <v>49.6</v>
      </c>
      <c r="O12" s="64">
        <v>0.2</v>
      </c>
      <c r="P12" s="64">
        <v>0.2</v>
      </c>
      <c r="Q12" s="64">
        <v>9.3000000000000007</v>
      </c>
      <c r="R12" s="198"/>
      <c r="S12" s="198"/>
      <c r="T12" s="198"/>
      <c r="U12" s="198"/>
    </row>
    <row r="13" spans="1:21" s="12" customFormat="1" x14ac:dyDescent="0.25">
      <c r="A13" s="217" t="s">
        <v>2475</v>
      </c>
      <c r="B13" s="64">
        <v>8.33</v>
      </c>
      <c r="C13" s="64">
        <v>3.21</v>
      </c>
      <c r="D13" s="64">
        <v>12.13</v>
      </c>
      <c r="E13" s="64">
        <v>4.37</v>
      </c>
      <c r="F13" s="64">
        <v>5.83</v>
      </c>
      <c r="G13" s="64">
        <v>5.51</v>
      </c>
      <c r="H13" s="64">
        <v>2.1</v>
      </c>
      <c r="I13" s="64">
        <v>0.55000000000000004</v>
      </c>
      <c r="J13" s="64">
        <v>0.67</v>
      </c>
      <c r="K13" s="64">
        <v>6.57</v>
      </c>
      <c r="L13" s="64">
        <v>21.31</v>
      </c>
      <c r="M13" s="64">
        <v>99.1</v>
      </c>
      <c r="N13" s="64">
        <v>49.6</v>
      </c>
      <c r="O13" s="64">
        <v>0</v>
      </c>
      <c r="P13" s="64">
        <v>0.19</v>
      </c>
      <c r="Q13" s="64">
        <v>9.3000000000000007</v>
      </c>
      <c r="R13" s="198"/>
      <c r="S13" s="198"/>
      <c r="T13" s="198"/>
      <c r="U13" s="198"/>
    </row>
    <row r="14" spans="1:21" s="12" customFormat="1" x14ac:dyDescent="0.25">
      <c r="A14" s="217" t="s">
        <v>2476</v>
      </c>
      <c r="B14" s="64">
        <v>8.32</v>
      </c>
      <c r="C14" s="64">
        <v>3.17</v>
      </c>
      <c r="D14" s="64">
        <v>12.1</v>
      </c>
      <c r="E14" s="64">
        <v>4.68</v>
      </c>
      <c r="F14" s="64">
        <v>4.97</v>
      </c>
      <c r="G14" s="64">
        <v>5.51</v>
      </c>
      <c r="H14" s="64">
        <v>2.1</v>
      </c>
      <c r="I14" s="64">
        <v>0.55000000000000004</v>
      </c>
      <c r="J14" s="64">
        <v>0.68</v>
      </c>
      <c r="K14" s="64">
        <v>8.83</v>
      </c>
      <c r="L14" s="64">
        <v>21.35</v>
      </c>
      <c r="M14" s="64">
        <v>99.11</v>
      </c>
      <c r="N14" s="64">
        <v>49.6</v>
      </c>
      <c r="O14" s="64">
        <v>0.4</v>
      </c>
      <c r="P14" s="64">
        <v>0.19</v>
      </c>
      <c r="Q14" s="64">
        <v>9.3000000000000007</v>
      </c>
      <c r="R14" s="198"/>
      <c r="S14" s="198"/>
      <c r="T14" s="198"/>
      <c r="U14" s="198"/>
    </row>
    <row r="15" spans="1:21" s="12" customFormat="1" x14ac:dyDescent="0.25">
      <c r="A15" s="217" t="s">
        <v>2477</v>
      </c>
      <c r="B15" s="64">
        <v>8.31</v>
      </c>
      <c r="C15" s="64">
        <v>3.19</v>
      </c>
      <c r="D15" s="64">
        <v>12.1</v>
      </c>
      <c r="E15" s="64">
        <v>4.54</v>
      </c>
      <c r="F15" s="64">
        <v>4.97</v>
      </c>
      <c r="G15" s="64">
        <v>4.9800000000000004</v>
      </c>
      <c r="H15" s="64">
        <v>1.88</v>
      </c>
      <c r="I15" s="64">
        <v>0.53</v>
      </c>
      <c r="J15" s="64">
        <v>0.6</v>
      </c>
      <c r="K15" s="64">
        <v>23.04</v>
      </c>
      <c r="L15" s="64">
        <v>21.31</v>
      </c>
      <c r="M15" s="64">
        <v>99.11</v>
      </c>
      <c r="N15" s="64">
        <v>49.6</v>
      </c>
      <c r="O15" s="64">
        <v>0.8</v>
      </c>
      <c r="P15" s="64">
        <v>0.18</v>
      </c>
      <c r="Q15" s="64">
        <v>9.2799999999999994</v>
      </c>
      <c r="R15" s="198"/>
      <c r="S15" s="198"/>
      <c r="T15" s="198"/>
      <c r="U15" s="198"/>
    </row>
    <row r="16" spans="1:21" s="12" customFormat="1" x14ac:dyDescent="0.25">
      <c r="A16" s="217" t="s">
        <v>2478</v>
      </c>
      <c r="B16" s="64">
        <v>8.31</v>
      </c>
      <c r="C16" s="64">
        <v>3.17</v>
      </c>
      <c r="D16" s="64">
        <v>12.09</v>
      </c>
      <c r="E16" s="64">
        <v>4.72</v>
      </c>
      <c r="F16" s="64">
        <v>5.3</v>
      </c>
      <c r="G16" s="64">
        <v>4.17</v>
      </c>
      <c r="H16" s="64">
        <v>1.57</v>
      </c>
      <c r="I16" s="64">
        <v>0.5</v>
      </c>
      <c r="J16" s="64">
        <v>0.69</v>
      </c>
      <c r="K16" s="64">
        <v>15.32</v>
      </c>
      <c r="L16" s="64">
        <v>21.26</v>
      </c>
      <c r="M16" s="64">
        <v>99.11</v>
      </c>
      <c r="N16" s="64">
        <v>49.6</v>
      </c>
      <c r="O16" s="64">
        <v>1.2</v>
      </c>
      <c r="P16" s="64">
        <v>0.18</v>
      </c>
      <c r="Q16" s="64">
        <v>9.26</v>
      </c>
      <c r="R16" s="198"/>
      <c r="S16" s="198"/>
      <c r="T16" s="198"/>
      <c r="U16" s="198"/>
    </row>
    <row r="17" spans="1:21" s="12" customFormat="1" x14ac:dyDescent="0.25">
      <c r="A17" s="217" t="s">
        <v>2479</v>
      </c>
      <c r="B17" s="64">
        <v>8.31</v>
      </c>
      <c r="C17" s="64">
        <v>3.14</v>
      </c>
      <c r="D17" s="64">
        <v>12.08</v>
      </c>
      <c r="E17" s="64">
        <v>4.5599999999999996</v>
      </c>
      <c r="F17" s="64">
        <v>7.17</v>
      </c>
      <c r="G17" s="64">
        <v>4.17</v>
      </c>
      <c r="H17" s="64">
        <v>1.57</v>
      </c>
      <c r="I17" s="64">
        <v>0.49</v>
      </c>
      <c r="J17" s="64">
        <v>0.75</v>
      </c>
      <c r="K17" s="64">
        <v>12.61</v>
      </c>
      <c r="L17" s="64">
        <v>21.19</v>
      </c>
      <c r="M17" s="64">
        <v>99.13</v>
      </c>
      <c r="N17" s="64">
        <v>49.6</v>
      </c>
      <c r="O17" s="64">
        <v>0.8</v>
      </c>
      <c r="P17" s="64">
        <v>0.19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7" t="s">
        <v>2480</v>
      </c>
      <c r="B18" s="64">
        <v>8.2799999999999994</v>
      </c>
      <c r="C18" s="64">
        <v>3.17</v>
      </c>
      <c r="D18" s="64">
        <v>12.07</v>
      </c>
      <c r="E18" s="64">
        <v>4.93</v>
      </c>
      <c r="F18" s="64">
        <v>3.73</v>
      </c>
      <c r="G18" s="64">
        <v>4.17</v>
      </c>
      <c r="H18" s="64">
        <v>1.57</v>
      </c>
      <c r="I18" s="64">
        <v>0.49</v>
      </c>
      <c r="J18" s="64">
        <v>0.72</v>
      </c>
      <c r="K18" s="64">
        <v>12.42</v>
      </c>
      <c r="L18" s="64">
        <v>21.18</v>
      </c>
      <c r="M18" s="64">
        <v>99.13</v>
      </c>
      <c r="N18" s="64">
        <v>49.6</v>
      </c>
      <c r="O18" s="64">
        <v>0.4</v>
      </c>
      <c r="P18" s="64">
        <v>0.18</v>
      </c>
      <c r="Q18" s="64">
        <v>9.15</v>
      </c>
      <c r="R18" s="198"/>
      <c r="S18" s="198"/>
      <c r="T18" s="198"/>
      <c r="U18" s="198"/>
    </row>
    <row r="19" spans="1:21" s="12" customFormat="1" x14ac:dyDescent="0.25">
      <c r="A19" s="217" t="s">
        <v>2481</v>
      </c>
      <c r="B19" s="64">
        <v>8.2799999999999994</v>
      </c>
      <c r="C19" s="64">
        <v>3.15</v>
      </c>
      <c r="D19" s="64">
        <v>12.06</v>
      </c>
      <c r="E19" s="64">
        <v>5.03</v>
      </c>
      <c r="F19" s="64">
        <v>5.01</v>
      </c>
      <c r="G19" s="64">
        <v>3.74</v>
      </c>
      <c r="H19" s="64">
        <v>1.74</v>
      </c>
      <c r="I19" s="64">
        <v>0.51</v>
      </c>
      <c r="J19" s="64">
        <v>0.62</v>
      </c>
      <c r="K19" s="64">
        <v>4.95</v>
      </c>
      <c r="L19" s="64">
        <v>21.17</v>
      </c>
      <c r="M19" s="64">
        <v>99.13</v>
      </c>
      <c r="N19" s="64">
        <v>49.7</v>
      </c>
      <c r="O19" s="64">
        <v>0.8</v>
      </c>
      <c r="P19" s="64">
        <v>0.17</v>
      </c>
      <c r="Q19" s="64">
        <v>9.1199999999999992</v>
      </c>
      <c r="R19" s="198"/>
      <c r="S19" s="198"/>
      <c r="T19" s="198"/>
      <c r="U19" s="198"/>
    </row>
    <row r="20" spans="1:21" s="12" customFormat="1" x14ac:dyDescent="0.25">
      <c r="A20" s="217" t="s">
        <v>2482</v>
      </c>
      <c r="B20" s="64">
        <v>8.2899999999999991</v>
      </c>
      <c r="C20" s="64">
        <v>3.17</v>
      </c>
      <c r="D20" s="64">
        <v>12.08</v>
      </c>
      <c r="E20" s="64">
        <v>4.8</v>
      </c>
      <c r="F20" s="64">
        <v>4.4000000000000004</v>
      </c>
      <c r="G20" s="64">
        <v>3.09</v>
      </c>
      <c r="H20" s="64">
        <v>2</v>
      </c>
      <c r="I20" s="64">
        <v>0.48</v>
      </c>
      <c r="J20" s="64">
        <v>0.52</v>
      </c>
      <c r="K20" s="64">
        <v>9.01</v>
      </c>
      <c r="L20" s="64">
        <v>21.11</v>
      </c>
      <c r="M20" s="64">
        <v>99.13</v>
      </c>
      <c r="N20" s="64">
        <v>49.7</v>
      </c>
      <c r="O20" s="64">
        <v>1</v>
      </c>
      <c r="P20" s="64">
        <v>0.18</v>
      </c>
      <c r="Q20" s="64">
        <v>9.16</v>
      </c>
      <c r="R20" s="198"/>
      <c r="S20" s="198"/>
      <c r="T20" s="198"/>
      <c r="U20" s="198"/>
    </row>
    <row r="21" spans="1:21" s="12" customFormat="1" x14ac:dyDescent="0.25">
      <c r="A21" s="217" t="s">
        <v>2483</v>
      </c>
      <c r="B21" s="64">
        <v>8.3000000000000007</v>
      </c>
      <c r="C21" s="64">
        <v>3.19</v>
      </c>
      <c r="D21" s="64">
        <v>12.09</v>
      </c>
      <c r="E21" s="64">
        <v>4.54</v>
      </c>
      <c r="F21" s="64">
        <v>7.63</v>
      </c>
      <c r="G21" s="64">
        <v>3.09</v>
      </c>
      <c r="H21" s="64">
        <v>2</v>
      </c>
      <c r="I21" s="64">
        <v>0.48</v>
      </c>
      <c r="J21" s="64">
        <v>0.7</v>
      </c>
      <c r="K21" s="64">
        <v>13.05</v>
      </c>
      <c r="L21" s="64">
        <v>21.03</v>
      </c>
      <c r="M21" s="64">
        <v>99.12</v>
      </c>
      <c r="N21" s="64">
        <v>49.8</v>
      </c>
      <c r="O21" s="64">
        <v>1</v>
      </c>
      <c r="P21" s="64">
        <v>0.17</v>
      </c>
      <c r="Q21" s="64">
        <v>9.16</v>
      </c>
      <c r="R21" s="198"/>
      <c r="S21" s="198"/>
      <c r="T21" s="198"/>
      <c r="U21" s="198"/>
    </row>
    <row r="22" spans="1:21" s="12" customFormat="1" x14ac:dyDescent="0.25">
      <c r="A22" s="217" t="s">
        <v>2484</v>
      </c>
      <c r="B22" s="64">
        <v>8.32</v>
      </c>
      <c r="C22" s="64">
        <v>3.27</v>
      </c>
      <c r="D22" s="64">
        <v>12.16</v>
      </c>
      <c r="E22" s="64">
        <v>4.6500000000000004</v>
      </c>
      <c r="F22" s="64">
        <v>5.78</v>
      </c>
      <c r="G22" s="64">
        <v>3.09</v>
      </c>
      <c r="H22" s="64">
        <v>2</v>
      </c>
      <c r="I22" s="64">
        <v>0.49</v>
      </c>
      <c r="J22" s="64">
        <v>0.77</v>
      </c>
      <c r="K22" s="64">
        <v>13.18</v>
      </c>
      <c r="L22" s="64">
        <v>20.98</v>
      </c>
      <c r="M22" s="64">
        <v>99.1</v>
      </c>
      <c r="N22" s="64">
        <v>49.9</v>
      </c>
      <c r="O22" s="64">
        <v>0.4</v>
      </c>
      <c r="P22" s="64">
        <v>0.17</v>
      </c>
      <c r="Q22" s="64">
        <v>9.2100000000000009</v>
      </c>
      <c r="R22" s="198"/>
      <c r="S22" s="198"/>
      <c r="T22" s="198"/>
      <c r="U22" s="198"/>
    </row>
    <row r="23" spans="1:21" s="12" customFormat="1" x14ac:dyDescent="0.25">
      <c r="A23" s="217" t="s">
        <v>2485</v>
      </c>
      <c r="B23" s="64">
        <v>8.32</v>
      </c>
      <c r="C23" s="64">
        <v>3.22</v>
      </c>
      <c r="D23" s="64">
        <v>12.13</v>
      </c>
      <c r="E23" s="64">
        <v>4.68</v>
      </c>
      <c r="F23" s="64">
        <v>3.18</v>
      </c>
      <c r="G23" s="64">
        <v>2.9</v>
      </c>
      <c r="H23" s="64">
        <v>1.84</v>
      </c>
      <c r="I23" s="64">
        <v>0.5</v>
      </c>
      <c r="J23" s="64">
        <v>0.62</v>
      </c>
      <c r="K23" s="64">
        <v>10.31</v>
      </c>
      <c r="L23" s="64">
        <v>21</v>
      </c>
      <c r="M23" s="64">
        <v>99.11</v>
      </c>
      <c r="N23" s="64">
        <v>49.7</v>
      </c>
      <c r="O23" s="64">
        <v>0.6</v>
      </c>
      <c r="P23" s="64">
        <v>0.17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7" t="s">
        <v>2486</v>
      </c>
      <c r="B24" s="64">
        <v>8.2899999999999991</v>
      </c>
      <c r="C24" s="64">
        <v>3.19</v>
      </c>
      <c r="D24" s="64">
        <v>12.09</v>
      </c>
      <c r="E24" s="64">
        <v>3.96</v>
      </c>
      <c r="F24" s="64">
        <v>5.52</v>
      </c>
      <c r="G24" s="64">
        <v>2.62</v>
      </c>
      <c r="H24" s="64">
        <v>1.6</v>
      </c>
      <c r="I24" s="64">
        <v>0.49</v>
      </c>
      <c r="J24" s="64">
        <v>0.66</v>
      </c>
      <c r="K24" s="64">
        <v>13.68</v>
      </c>
      <c r="L24" s="64">
        <v>20.97</v>
      </c>
      <c r="M24" s="64">
        <v>99.15</v>
      </c>
      <c r="N24" s="64">
        <v>49.8</v>
      </c>
      <c r="O24" s="64">
        <v>0.2</v>
      </c>
      <c r="P24" s="64">
        <v>0.17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7" t="s">
        <v>2487</v>
      </c>
      <c r="B25" s="64">
        <v>8.2799999999999994</v>
      </c>
      <c r="C25" s="64">
        <v>3.18</v>
      </c>
      <c r="D25" s="64">
        <v>12.08</v>
      </c>
      <c r="E25" s="64">
        <v>3.52</v>
      </c>
      <c r="F25" s="64">
        <v>2.79</v>
      </c>
      <c r="G25" s="64">
        <v>2.62</v>
      </c>
      <c r="H25" s="64">
        <v>1.6</v>
      </c>
      <c r="I25" s="64">
        <v>0.47</v>
      </c>
      <c r="J25" s="64">
        <v>0.69</v>
      </c>
      <c r="K25" s="64">
        <v>7.1</v>
      </c>
      <c r="L25" s="64">
        <v>20.97</v>
      </c>
      <c r="M25" s="64">
        <v>99.15</v>
      </c>
      <c r="N25" s="64">
        <v>49.7</v>
      </c>
      <c r="O25" s="64">
        <v>0</v>
      </c>
      <c r="P25" s="64">
        <v>0.16</v>
      </c>
      <c r="Q25" s="64">
        <v>9.2200000000000006</v>
      </c>
      <c r="R25" s="198"/>
      <c r="S25" s="198"/>
      <c r="T25" s="198"/>
      <c r="U25" s="198"/>
    </row>
    <row r="26" spans="1:21" s="12" customFormat="1" x14ac:dyDescent="0.25">
      <c r="A26" s="217" t="s">
        <v>2488</v>
      </c>
      <c r="B26" s="64">
        <v>8.27</v>
      </c>
      <c r="C26" s="64">
        <v>3.2</v>
      </c>
      <c r="D26" s="64">
        <v>12.08</v>
      </c>
      <c r="E26" s="64">
        <v>3.76</v>
      </c>
      <c r="F26" s="64">
        <v>5.88</v>
      </c>
      <c r="G26" s="64">
        <v>2.62</v>
      </c>
      <c r="H26" s="64">
        <v>1.6</v>
      </c>
      <c r="I26" s="64">
        <v>0.49</v>
      </c>
      <c r="J26" s="64">
        <v>0.68</v>
      </c>
      <c r="K26" s="64">
        <v>13.41</v>
      </c>
      <c r="L26" s="64">
        <v>20.99</v>
      </c>
      <c r="M26" s="64">
        <v>99.15</v>
      </c>
      <c r="N26" s="64">
        <v>49.8</v>
      </c>
      <c r="O26" s="64">
        <v>0</v>
      </c>
      <c r="P26" s="64">
        <v>0.16</v>
      </c>
      <c r="Q26" s="64">
        <v>9.2200000000000006</v>
      </c>
      <c r="R26" s="198"/>
      <c r="S26" s="198"/>
      <c r="T26" s="198"/>
      <c r="U26" s="198"/>
    </row>
    <row r="27" spans="1:21" s="12" customFormat="1" x14ac:dyDescent="0.25">
      <c r="A27" s="217" t="s">
        <v>2489</v>
      </c>
      <c r="B27" s="64">
        <v>8.2799999999999994</v>
      </c>
      <c r="C27" s="64">
        <v>3.2</v>
      </c>
      <c r="D27" s="64">
        <v>12.08</v>
      </c>
      <c r="E27" s="64">
        <v>3.52</v>
      </c>
      <c r="F27" s="64">
        <v>3.71</v>
      </c>
      <c r="G27" s="64">
        <v>2.6</v>
      </c>
      <c r="H27" s="64">
        <v>1.6</v>
      </c>
      <c r="I27" s="64">
        <v>0.47</v>
      </c>
      <c r="J27" s="64">
        <v>0.7</v>
      </c>
      <c r="K27" s="64">
        <v>16.46</v>
      </c>
      <c r="L27" s="64">
        <v>21.04</v>
      </c>
      <c r="M27" s="64">
        <v>99.15</v>
      </c>
      <c r="N27" s="64">
        <v>49.7</v>
      </c>
      <c r="O27" s="64">
        <v>0.2</v>
      </c>
      <c r="P27" s="64">
        <v>0.17</v>
      </c>
      <c r="Q27" s="64">
        <v>9.23</v>
      </c>
      <c r="R27" s="198"/>
      <c r="S27" s="198"/>
      <c r="T27" s="198"/>
      <c r="U27" s="198"/>
    </row>
    <row r="28" spans="1:21" s="12" customFormat="1" x14ac:dyDescent="0.25">
      <c r="A28" s="217" t="s">
        <v>2490</v>
      </c>
      <c r="B28" s="64">
        <v>8.3000000000000007</v>
      </c>
      <c r="C28" s="64">
        <v>3.21</v>
      </c>
      <c r="D28" s="64">
        <v>12.11</v>
      </c>
      <c r="E28" s="64">
        <v>3.74</v>
      </c>
      <c r="F28" s="64">
        <v>4.7699999999999996</v>
      </c>
      <c r="G28" s="64">
        <v>2.56</v>
      </c>
      <c r="H28" s="64">
        <v>1.6</v>
      </c>
      <c r="I28" s="64">
        <v>0.46</v>
      </c>
      <c r="J28" s="64">
        <v>0.44</v>
      </c>
      <c r="K28" s="64">
        <v>359.98</v>
      </c>
      <c r="L28" s="64">
        <v>21.1</v>
      </c>
      <c r="M28" s="64">
        <v>99.15</v>
      </c>
      <c r="N28" s="64">
        <v>49.7</v>
      </c>
      <c r="O28" s="64">
        <v>0</v>
      </c>
      <c r="P28" s="64">
        <v>0.16</v>
      </c>
      <c r="Q28" s="64">
        <v>9.1999999999999993</v>
      </c>
      <c r="R28" s="198"/>
      <c r="S28" s="198"/>
      <c r="T28" s="198"/>
      <c r="U28" s="198"/>
    </row>
    <row r="29" spans="1:21" s="12" customFormat="1" x14ac:dyDescent="0.25">
      <c r="A29" s="217" t="s">
        <v>2491</v>
      </c>
      <c r="B29" s="64">
        <v>8.2899999999999991</v>
      </c>
      <c r="C29" s="64">
        <v>3.23</v>
      </c>
      <c r="D29" s="64">
        <v>12.11</v>
      </c>
      <c r="E29" s="64">
        <v>3.38</v>
      </c>
      <c r="F29" s="64">
        <v>4.53</v>
      </c>
      <c r="G29" s="64">
        <v>2.56</v>
      </c>
      <c r="H29" s="64">
        <v>1.6</v>
      </c>
      <c r="I29" s="64">
        <v>0.45</v>
      </c>
      <c r="J29" s="64">
        <v>0.56999999999999995</v>
      </c>
      <c r="K29" s="64">
        <v>15.86</v>
      </c>
      <c r="L29" s="64">
        <v>21.13</v>
      </c>
      <c r="M29" s="64">
        <v>99.14</v>
      </c>
      <c r="N29" s="64">
        <v>49.9</v>
      </c>
      <c r="O29" s="64">
        <v>0</v>
      </c>
      <c r="P29" s="64">
        <v>0.16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17" t="s">
        <v>2492</v>
      </c>
      <c r="B30" s="64">
        <v>8.32</v>
      </c>
      <c r="C30" s="64">
        <v>3.24</v>
      </c>
      <c r="D30" s="64">
        <v>12.14</v>
      </c>
      <c r="E30" s="64">
        <v>3.53</v>
      </c>
      <c r="F30" s="64">
        <v>4.5</v>
      </c>
      <c r="G30" s="64">
        <v>2.56</v>
      </c>
      <c r="H30" s="64">
        <v>1.6</v>
      </c>
      <c r="I30" s="64">
        <v>0.43</v>
      </c>
      <c r="J30" s="64">
        <v>0.76</v>
      </c>
      <c r="K30" s="64">
        <v>9.26</v>
      </c>
      <c r="L30" s="64">
        <v>21.14</v>
      </c>
      <c r="M30" s="64">
        <v>99.12</v>
      </c>
      <c r="N30" s="64">
        <v>51.1</v>
      </c>
      <c r="O30" s="64">
        <v>0.2</v>
      </c>
      <c r="P30" s="64">
        <v>0.17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7" t="s">
        <v>2493</v>
      </c>
      <c r="B31" s="64">
        <v>8.35</v>
      </c>
      <c r="C31" s="64">
        <v>3.23</v>
      </c>
      <c r="D31" s="64">
        <v>12.16</v>
      </c>
      <c r="E31" s="64">
        <v>3.64</v>
      </c>
      <c r="F31" s="64">
        <v>4.76</v>
      </c>
      <c r="G31" s="64">
        <v>2.34</v>
      </c>
      <c r="H31" s="64">
        <v>1.47</v>
      </c>
      <c r="I31" s="64">
        <v>0.43</v>
      </c>
      <c r="J31" s="64">
        <v>0.68</v>
      </c>
      <c r="K31" s="64">
        <v>18.46</v>
      </c>
      <c r="L31" s="64">
        <v>21.17</v>
      </c>
      <c r="M31" s="64">
        <v>99.12</v>
      </c>
      <c r="N31" s="64">
        <v>55.5</v>
      </c>
      <c r="O31" s="64">
        <v>0</v>
      </c>
      <c r="P31" s="64">
        <v>0.17</v>
      </c>
      <c r="Q31" s="64">
        <v>9.23</v>
      </c>
      <c r="R31" s="198"/>
      <c r="S31" s="198"/>
      <c r="T31" s="198"/>
      <c r="U31" s="198"/>
    </row>
    <row r="32" spans="1:21" s="12" customFormat="1" x14ac:dyDescent="0.25">
      <c r="A32" s="217" t="s">
        <v>2494</v>
      </c>
      <c r="B32" s="64">
        <v>8.39</v>
      </c>
      <c r="C32" s="64">
        <v>3.39</v>
      </c>
      <c r="D32" s="64">
        <v>12.27</v>
      </c>
      <c r="E32" s="64">
        <v>3.68</v>
      </c>
      <c r="F32" s="64">
        <v>4.72</v>
      </c>
      <c r="G32" s="64">
        <v>2.0299999999999998</v>
      </c>
      <c r="H32" s="64">
        <v>1.28</v>
      </c>
      <c r="I32" s="64">
        <v>0.43</v>
      </c>
      <c r="J32" s="64">
        <v>0.67</v>
      </c>
      <c r="K32" s="64">
        <v>4.0199999999999996</v>
      </c>
      <c r="L32" s="64">
        <v>21.21</v>
      </c>
      <c r="M32" s="64">
        <v>99.12</v>
      </c>
      <c r="N32" s="64">
        <v>65.599999999999994</v>
      </c>
      <c r="O32" s="64">
        <v>0</v>
      </c>
      <c r="P32" s="64">
        <v>0.17</v>
      </c>
      <c r="Q32" s="64">
        <v>9.23</v>
      </c>
      <c r="R32" s="198"/>
      <c r="S32" s="198"/>
      <c r="T32" s="198"/>
      <c r="U32" s="198"/>
    </row>
    <row r="33" spans="1:21" s="12" customFormat="1" x14ac:dyDescent="0.25">
      <c r="A33" s="217" t="s">
        <v>2495</v>
      </c>
      <c r="B33" s="64">
        <v>8.39</v>
      </c>
      <c r="C33" s="64">
        <v>3.41</v>
      </c>
      <c r="D33" s="64">
        <v>12.29</v>
      </c>
      <c r="E33" s="64">
        <v>3.56</v>
      </c>
      <c r="F33" s="64">
        <v>4.0199999999999996</v>
      </c>
      <c r="G33" s="64">
        <v>2.0299999999999998</v>
      </c>
      <c r="H33" s="64">
        <v>1.28</v>
      </c>
      <c r="I33" s="64">
        <v>0.43</v>
      </c>
      <c r="J33" s="64">
        <v>0.63</v>
      </c>
      <c r="K33" s="64">
        <v>8.89</v>
      </c>
      <c r="L33" s="64">
        <v>21.28</v>
      </c>
      <c r="M33" s="64">
        <v>99.12</v>
      </c>
      <c r="N33" s="64">
        <v>70.7</v>
      </c>
      <c r="O33" s="64">
        <v>0</v>
      </c>
      <c r="P33" s="64">
        <v>0.18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7" t="s">
        <v>2496</v>
      </c>
      <c r="B34" s="64">
        <v>8.3800000000000008</v>
      </c>
      <c r="C34" s="64">
        <v>3.3</v>
      </c>
      <c r="D34" s="64">
        <v>12.22</v>
      </c>
      <c r="E34" s="64">
        <v>3.61</v>
      </c>
      <c r="F34" s="64">
        <v>4.3899999999999997</v>
      </c>
      <c r="G34" s="64">
        <v>2.0299999999999998</v>
      </c>
      <c r="H34" s="64">
        <v>1.28</v>
      </c>
      <c r="I34" s="64">
        <v>0.43</v>
      </c>
      <c r="J34" s="64">
        <v>0.53</v>
      </c>
      <c r="K34" s="64">
        <v>6.75</v>
      </c>
      <c r="L34" s="64">
        <v>21.39</v>
      </c>
      <c r="M34" s="64">
        <v>99.12</v>
      </c>
      <c r="N34" s="64">
        <v>71.400000000000006</v>
      </c>
      <c r="O34" s="64">
        <v>0</v>
      </c>
      <c r="P34" s="64">
        <v>0.18</v>
      </c>
      <c r="Q34" s="64">
        <v>9.23</v>
      </c>
      <c r="R34" s="198"/>
      <c r="S34" s="198"/>
      <c r="T34" s="198"/>
      <c r="U34" s="198"/>
    </row>
    <row r="35" spans="1:21" s="12" customFormat="1" x14ac:dyDescent="0.25">
      <c r="A35" s="217" t="s">
        <v>2497</v>
      </c>
      <c r="B35" s="64">
        <v>8.3699999999999992</v>
      </c>
      <c r="C35" s="64">
        <v>3.36</v>
      </c>
      <c r="D35" s="64">
        <v>12.24</v>
      </c>
      <c r="E35" s="64">
        <v>3.07</v>
      </c>
      <c r="F35" s="64">
        <v>5.29</v>
      </c>
      <c r="G35" s="64">
        <v>1.96</v>
      </c>
      <c r="H35" s="64">
        <v>1.32</v>
      </c>
      <c r="I35" s="64">
        <v>0.45</v>
      </c>
      <c r="J35" s="64">
        <v>0.62</v>
      </c>
      <c r="K35" s="64">
        <v>7.3</v>
      </c>
      <c r="L35" s="64">
        <v>21.46</v>
      </c>
      <c r="M35" s="64">
        <v>99.12</v>
      </c>
      <c r="N35" s="64">
        <v>65</v>
      </c>
      <c r="O35" s="64">
        <v>0</v>
      </c>
      <c r="P35" s="64">
        <v>0.19</v>
      </c>
      <c r="Q35" s="64">
        <v>9.2200000000000006</v>
      </c>
      <c r="R35" s="198"/>
      <c r="S35" s="198"/>
      <c r="T35" s="198"/>
      <c r="U35" s="198"/>
    </row>
    <row r="36" spans="1:21" s="12" customFormat="1" x14ac:dyDescent="0.25">
      <c r="A36" s="217" t="s">
        <v>2498</v>
      </c>
      <c r="B36" s="64">
        <v>8.3699999999999992</v>
      </c>
      <c r="C36" s="64">
        <v>3.43</v>
      </c>
      <c r="D36" s="64">
        <v>12.27</v>
      </c>
      <c r="E36" s="64">
        <v>3.58</v>
      </c>
      <c r="F36" s="64">
        <v>5.46</v>
      </c>
      <c r="G36" s="64">
        <v>1.86</v>
      </c>
      <c r="H36" s="64">
        <v>1.38</v>
      </c>
      <c r="I36" s="64">
        <v>0.48</v>
      </c>
      <c r="J36" s="64">
        <v>0.67</v>
      </c>
      <c r="K36" s="64">
        <v>15.64</v>
      </c>
      <c r="L36" s="64">
        <v>21.44</v>
      </c>
      <c r="M36" s="64">
        <v>99.13</v>
      </c>
      <c r="N36" s="64">
        <v>71.5</v>
      </c>
      <c r="O36" s="64">
        <v>0.2</v>
      </c>
      <c r="P36" s="64">
        <v>0.21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17" t="s">
        <v>2499</v>
      </c>
      <c r="B37" s="64">
        <v>8.32</v>
      </c>
      <c r="C37" s="64">
        <v>3.3</v>
      </c>
      <c r="D37" s="64">
        <v>12.17</v>
      </c>
      <c r="E37" s="64">
        <v>3.78</v>
      </c>
      <c r="F37" s="64">
        <v>2.34</v>
      </c>
      <c r="G37" s="64">
        <v>1.86</v>
      </c>
      <c r="H37" s="64">
        <v>1.38</v>
      </c>
      <c r="I37" s="64">
        <v>0.5</v>
      </c>
      <c r="J37" s="64">
        <v>0.77</v>
      </c>
      <c r="K37" s="64">
        <v>7.7</v>
      </c>
      <c r="L37" s="64">
        <v>21.46</v>
      </c>
      <c r="M37" s="64">
        <v>99.13</v>
      </c>
      <c r="N37" s="64">
        <v>109.8</v>
      </c>
      <c r="O37" s="64">
        <v>0</v>
      </c>
      <c r="P37" s="64">
        <v>0.19</v>
      </c>
      <c r="Q37" s="64">
        <v>9.09</v>
      </c>
      <c r="R37" s="198"/>
      <c r="S37" s="198"/>
      <c r="T37" s="198"/>
      <c r="U37" s="198"/>
    </row>
    <row r="38" spans="1:21" s="12" customFormat="1" x14ac:dyDescent="0.25">
      <c r="A38" s="217" t="s">
        <v>2500</v>
      </c>
      <c r="B38" s="64">
        <v>8.31</v>
      </c>
      <c r="C38" s="64">
        <v>3.25</v>
      </c>
      <c r="D38" s="64">
        <v>12.13</v>
      </c>
      <c r="E38" s="64">
        <v>3.6</v>
      </c>
      <c r="F38" s="64">
        <v>5.53</v>
      </c>
      <c r="G38" s="64">
        <v>1.86</v>
      </c>
      <c r="H38" s="64">
        <v>1.38</v>
      </c>
      <c r="I38" s="64">
        <v>0.53</v>
      </c>
      <c r="J38" s="64">
        <v>0.62</v>
      </c>
      <c r="K38" s="64">
        <v>2.27</v>
      </c>
      <c r="L38" s="64">
        <v>21.66</v>
      </c>
      <c r="M38" s="64">
        <v>99.13</v>
      </c>
      <c r="N38" s="64">
        <v>155.19999999999999</v>
      </c>
      <c r="O38" s="64">
        <v>0</v>
      </c>
      <c r="P38" s="64">
        <v>0.21</v>
      </c>
      <c r="Q38" s="64">
        <v>9.18</v>
      </c>
      <c r="R38" s="198"/>
      <c r="S38" s="198"/>
      <c r="T38" s="198"/>
      <c r="U38" s="198"/>
    </row>
    <row r="39" spans="1:21" s="12" customFormat="1" x14ac:dyDescent="0.25">
      <c r="A39" s="217" t="s">
        <v>2501</v>
      </c>
      <c r="B39" s="64">
        <v>8.2799999999999994</v>
      </c>
      <c r="C39" s="64">
        <v>3.19</v>
      </c>
      <c r="D39" s="64">
        <v>12.08</v>
      </c>
      <c r="E39" s="64">
        <v>3.86</v>
      </c>
      <c r="F39" s="64">
        <v>2.59</v>
      </c>
      <c r="G39" s="64">
        <v>1.93</v>
      </c>
      <c r="H39" s="64">
        <v>1.4</v>
      </c>
      <c r="I39" s="64">
        <v>0.55000000000000004</v>
      </c>
      <c r="J39" s="64">
        <v>0.69</v>
      </c>
      <c r="K39" s="64">
        <v>358.04</v>
      </c>
      <c r="L39" s="64">
        <v>21.8</v>
      </c>
      <c r="M39" s="64">
        <v>99.12</v>
      </c>
      <c r="N39" s="64">
        <v>116.5</v>
      </c>
      <c r="O39" s="64">
        <v>0</v>
      </c>
      <c r="P39" s="64">
        <v>0.22</v>
      </c>
      <c r="Q39" s="64">
        <v>9.17</v>
      </c>
      <c r="R39" s="198"/>
      <c r="S39" s="198"/>
      <c r="T39" s="198"/>
      <c r="U39" s="198"/>
    </row>
    <row r="40" spans="1:21" s="12" customFormat="1" x14ac:dyDescent="0.25">
      <c r="A40" s="217" t="s">
        <v>2502</v>
      </c>
      <c r="B40" s="64">
        <v>8.2899999999999991</v>
      </c>
      <c r="C40" s="64">
        <v>3.22</v>
      </c>
      <c r="D40" s="64">
        <v>12.11</v>
      </c>
      <c r="E40" s="64">
        <v>4.4400000000000004</v>
      </c>
      <c r="F40" s="64">
        <v>4.16</v>
      </c>
      <c r="G40" s="64">
        <v>2.0299999999999998</v>
      </c>
      <c r="H40" s="64">
        <v>1.42</v>
      </c>
      <c r="I40" s="64">
        <v>0.54</v>
      </c>
      <c r="J40" s="64">
        <v>0.66</v>
      </c>
      <c r="K40" s="64">
        <v>10.46</v>
      </c>
      <c r="L40" s="64">
        <v>21.86</v>
      </c>
      <c r="M40" s="64">
        <v>99.09</v>
      </c>
      <c r="N40" s="64">
        <v>138.80000000000001</v>
      </c>
      <c r="O40" s="64">
        <v>0</v>
      </c>
      <c r="P40" s="64">
        <v>0.23</v>
      </c>
      <c r="Q40" s="64">
        <v>9.2100000000000009</v>
      </c>
      <c r="R40" s="198"/>
      <c r="S40" s="198"/>
      <c r="T40" s="198"/>
      <c r="U40" s="198"/>
    </row>
    <row r="41" spans="1:21" s="12" customFormat="1" x14ac:dyDescent="0.25">
      <c r="A41" s="217" t="s">
        <v>2503</v>
      </c>
      <c r="B41" s="64">
        <v>8.2799999999999994</v>
      </c>
      <c r="C41" s="64">
        <v>3.24</v>
      </c>
      <c r="D41" s="64">
        <v>12.11</v>
      </c>
      <c r="E41" s="64">
        <v>4.91</v>
      </c>
      <c r="F41" s="64">
        <v>3.82</v>
      </c>
      <c r="G41" s="64">
        <v>2.0299999999999998</v>
      </c>
      <c r="H41" s="64">
        <v>1.42</v>
      </c>
      <c r="I41" s="64">
        <v>0.55000000000000004</v>
      </c>
      <c r="J41" s="64">
        <v>0.67</v>
      </c>
      <c r="K41" s="64">
        <v>5.41</v>
      </c>
      <c r="L41" s="64">
        <v>22.07</v>
      </c>
      <c r="M41" s="64">
        <v>99.08</v>
      </c>
      <c r="N41" s="64">
        <v>184.6</v>
      </c>
      <c r="O41" s="64">
        <v>0</v>
      </c>
      <c r="P41" s="64">
        <v>0.24</v>
      </c>
      <c r="Q41" s="64">
        <v>9.26</v>
      </c>
      <c r="R41" s="198"/>
      <c r="S41" s="198"/>
      <c r="T41" s="198"/>
      <c r="U41" s="198"/>
    </row>
    <row r="42" spans="1:21" s="12" customFormat="1" x14ac:dyDescent="0.25">
      <c r="A42" s="217" t="s">
        <v>2504</v>
      </c>
      <c r="B42" s="64">
        <v>8.3800000000000008</v>
      </c>
      <c r="C42" s="64">
        <v>3.54</v>
      </c>
      <c r="D42" s="64">
        <v>12.35</v>
      </c>
      <c r="E42" s="64">
        <v>4.68</v>
      </c>
      <c r="F42" s="64">
        <v>3.56</v>
      </c>
      <c r="G42" s="64">
        <v>2.0299999999999998</v>
      </c>
      <c r="H42" s="64">
        <v>1.42</v>
      </c>
      <c r="I42" s="64">
        <v>0.57999999999999996</v>
      </c>
      <c r="J42" s="64">
        <v>0.74</v>
      </c>
      <c r="K42" s="64">
        <v>7.31</v>
      </c>
      <c r="L42" s="64">
        <v>22.3</v>
      </c>
      <c r="M42" s="64">
        <v>99.08</v>
      </c>
      <c r="N42" s="64">
        <v>185.3</v>
      </c>
      <c r="O42" s="64">
        <v>0.2</v>
      </c>
      <c r="P42" s="64">
        <v>0.24</v>
      </c>
      <c r="Q42" s="64">
        <v>9.2100000000000009</v>
      </c>
      <c r="R42" s="198"/>
      <c r="S42" s="198"/>
      <c r="T42" s="198"/>
      <c r="U42" s="198"/>
    </row>
    <row r="43" spans="1:21" s="12" customFormat="1" x14ac:dyDescent="0.25">
      <c r="A43" s="217" t="s">
        <v>2505</v>
      </c>
      <c r="B43" s="64">
        <v>8.3699999999999992</v>
      </c>
      <c r="C43" s="64">
        <v>3.47</v>
      </c>
      <c r="D43" s="64">
        <v>12.3</v>
      </c>
      <c r="E43" s="64">
        <v>4.57</v>
      </c>
      <c r="F43" s="64">
        <v>5.6</v>
      </c>
      <c r="G43" s="64">
        <v>1.91</v>
      </c>
      <c r="H43" s="64">
        <v>1.68</v>
      </c>
      <c r="I43" s="64">
        <v>0.61</v>
      </c>
      <c r="J43" s="64">
        <v>0.64</v>
      </c>
      <c r="K43" s="64">
        <v>1.82</v>
      </c>
      <c r="L43" s="64">
        <v>22.34</v>
      </c>
      <c r="M43" s="64">
        <v>99.08</v>
      </c>
      <c r="N43" s="64">
        <v>157.6</v>
      </c>
      <c r="O43" s="64">
        <v>0</v>
      </c>
      <c r="P43" s="64">
        <v>0.25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7" t="s">
        <v>2506</v>
      </c>
      <c r="B44" s="64">
        <v>8.2799999999999994</v>
      </c>
      <c r="C44" s="64">
        <v>3.24</v>
      </c>
      <c r="D44" s="64">
        <v>12.11</v>
      </c>
      <c r="E44" s="64">
        <v>4.88</v>
      </c>
      <c r="F44" s="64">
        <v>2.27</v>
      </c>
      <c r="G44" s="64">
        <v>1.72</v>
      </c>
      <c r="H44" s="64">
        <v>2.0499999999999998</v>
      </c>
      <c r="I44" s="64">
        <v>0.62</v>
      </c>
      <c r="J44" s="64">
        <v>0.6</v>
      </c>
      <c r="K44" s="64">
        <v>1.83</v>
      </c>
      <c r="L44" s="64">
        <v>22.39</v>
      </c>
      <c r="M44" s="64">
        <v>99.08</v>
      </c>
      <c r="N44" s="64">
        <v>146</v>
      </c>
      <c r="O44" s="64">
        <v>0</v>
      </c>
      <c r="P44" s="64">
        <v>0.25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7" t="s">
        <v>2507</v>
      </c>
      <c r="B45" s="64">
        <v>8.2799999999999994</v>
      </c>
      <c r="C45" s="64">
        <v>3.23</v>
      </c>
      <c r="D45" s="64">
        <v>12.1</v>
      </c>
      <c r="E45" s="64">
        <v>4.91</v>
      </c>
      <c r="F45" s="64">
        <v>4.22</v>
      </c>
      <c r="G45" s="64">
        <v>1.72</v>
      </c>
      <c r="H45" s="64">
        <v>2.0499999999999998</v>
      </c>
      <c r="I45" s="64">
        <v>0.65</v>
      </c>
      <c r="J45" s="64">
        <v>0.71</v>
      </c>
      <c r="K45" s="64">
        <v>7.91</v>
      </c>
      <c r="L45" s="64">
        <v>22.5</v>
      </c>
      <c r="M45" s="64">
        <v>99.08</v>
      </c>
      <c r="N45" s="64">
        <v>122.9</v>
      </c>
      <c r="O45" s="64">
        <v>0</v>
      </c>
      <c r="P45" s="64">
        <v>0.26</v>
      </c>
      <c r="Q45" s="64">
        <v>9.24</v>
      </c>
      <c r="R45" s="198"/>
      <c r="S45" s="198"/>
      <c r="T45" s="198"/>
      <c r="U45" s="198"/>
    </row>
    <row r="46" spans="1:21" s="12" customFormat="1" x14ac:dyDescent="0.25">
      <c r="A46" s="217" t="s">
        <v>2508</v>
      </c>
      <c r="B46" s="64">
        <v>8.2899999999999991</v>
      </c>
      <c r="C46" s="64">
        <v>3.22</v>
      </c>
      <c r="D46" s="64">
        <v>12.1</v>
      </c>
      <c r="E46" s="64">
        <v>4.82</v>
      </c>
      <c r="F46" s="64">
        <v>3.92</v>
      </c>
      <c r="G46" s="64">
        <v>1.72</v>
      </c>
      <c r="H46" s="64">
        <v>2.0499999999999998</v>
      </c>
      <c r="I46" s="64">
        <v>0.67</v>
      </c>
      <c r="J46" s="64">
        <v>0.56999999999999995</v>
      </c>
      <c r="K46" s="64">
        <v>354.09</v>
      </c>
      <c r="L46" s="64">
        <v>22.66</v>
      </c>
      <c r="M46" s="64">
        <v>99.08</v>
      </c>
      <c r="N46" s="64">
        <v>126.1</v>
      </c>
      <c r="O46" s="64">
        <v>0</v>
      </c>
      <c r="P46" s="64">
        <v>0.27</v>
      </c>
      <c r="Q46" s="64">
        <v>9.27</v>
      </c>
      <c r="R46" s="198"/>
      <c r="S46" s="198"/>
      <c r="T46" s="198"/>
      <c r="U46" s="198"/>
    </row>
    <row r="47" spans="1:21" s="12" customFormat="1" x14ac:dyDescent="0.25">
      <c r="A47" s="217" t="s">
        <v>2509</v>
      </c>
      <c r="B47" s="64">
        <v>8.32</v>
      </c>
      <c r="C47" s="64">
        <v>3.22</v>
      </c>
      <c r="D47" s="64">
        <v>12.12</v>
      </c>
      <c r="E47" s="64">
        <v>4.43</v>
      </c>
      <c r="F47" s="64">
        <v>4.2</v>
      </c>
      <c r="G47" s="64">
        <v>2.58</v>
      </c>
      <c r="H47" s="64">
        <v>1.95</v>
      </c>
      <c r="I47" s="64">
        <v>0.68</v>
      </c>
      <c r="J47" s="64">
        <v>0.64</v>
      </c>
      <c r="K47" s="64">
        <v>0.24</v>
      </c>
      <c r="L47" s="64">
        <v>22.76</v>
      </c>
      <c r="M47" s="64">
        <v>99.08</v>
      </c>
      <c r="N47" s="64">
        <v>126.3</v>
      </c>
      <c r="O47" s="64">
        <v>0</v>
      </c>
      <c r="P47" s="64">
        <v>0.28999999999999998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17" t="s">
        <v>2510</v>
      </c>
      <c r="B48" s="64">
        <v>8.32</v>
      </c>
      <c r="C48" s="64">
        <v>3.24</v>
      </c>
      <c r="D48" s="64">
        <v>12.14</v>
      </c>
      <c r="E48" s="64">
        <v>4.51</v>
      </c>
      <c r="F48" s="64">
        <v>3.65</v>
      </c>
      <c r="G48" s="64">
        <v>3.86</v>
      </c>
      <c r="H48" s="64">
        <v>1.81</v>
      </c>
      <c r="I48" s="64">
        <v>0.76</v>
      </c>
      <c r="J48" s="64">
        <v>0.56999999999999995</v>
      </c>
      <c r="K48" s="64">
        <v>4.0999999999999996</v>
      </c>
      <c r="L48" s="64">
        <v>22.7</v>
      </c>
      <c r="M48" s="64">
        <v>99.07</v>
      </c>
      <c r="N48" s="64">
        <v>121.4</v>
      </c>
      <c r="O48" s="64">
        <v>0</v>
      </c>
      <c r="P48" s="64">
        <v>0.31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17" t="s">
        <v>2511</v>
      </c>
      <c r="B49" s="64">
        <v>8.3800000000000008</v>
      </c>
      <c r="C49" s="64">
        <v>3.4</v>
      </c>
      <c r="D49" s="64">
        <v>12.28</v>
      </c>
      <c r="E49" s="64">
        <v>4.13</v>
      </c>
      <c r="F49" s="64">
        <v>3.81</v>
      </c>
      <c r="G49" s="64">
        <v>3.86</v>
      </c>
      <c r="H49" s="64">
        <v>1.81</v>
      </c>
      <c r="I49" s="64">
        <v>0.83</v>
      </c>
      <c r="J49" s="64">
        <v>0.7</v>
      </c>
      <c r="K49" s="64">
        <v>353.85</v>
      </c>
      <c r="L49" s="64">
        <v>22.78</v>
      </c>
      <c r="M49" s="64">
        <v>99.07</v>
      </c>
      <c r="N49" s="64">
        <v>149.30000000000001</v>
      </c>
      <c r="O49" s="64">
        <v>0</v>
      </c>
      <c r="P49" s="64">
        <v>0.33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7" t="s">
        <v>2512</v>
      </c>
      <c r="B50" s="64">
        <v>8.39</v>
      </c>
      <c r="C50" s="64">
        <v>3.4</v>
      </c>
      <c r="D50" s="64">
        <v>12.28</v>
      </c>
      <c r="E50" s="64">
        <v>4.83</v>
      </c>
      <c r="F50" s="64">
        <v>3.79</v>
      </c>
      <c r="G50" s="64">
        <v>3.86</v>
      </c>
      <c r="H50" s="64">
        <v>1.81</v>
      </c>
      <c r="I50" s="64">
        <v>0.82</v>
      </c>
      <c r="J50" s="64">
        <v>0.56999999999999995</v>
      </c>
      <c r="K50" s="64">
        <v>354.86</v>
      </c>
      <c r="L50" s="64">
        <v>22.71</v>
      </c>
      <c r="M50" s="64">
        <v>99.08</v>
      </c>
      <c r="N50" s="64">
        <v>127.9</v>
      </c>
      <c r="O50" s="64">
        <v>0</v>
      </c>
      <c r="P50" s="64">
        <v>0.34</v>
      </c>
      <c r="Q50" s="64">
        <v>9.2799999999999994</v>
      </c>
      <c r="R50" s="198"/>
      <c r="S50" s="198"/>
      <c r="T50" s="198"/>
      <c r="U50" s="198"/>
    </row>
    <row r="51" spans="1:21" s="12" customFormat="1" x14ac:dyDescent="0.25">
      <c r="A51" s="217" t="s">
        <v>2513</v>
      </c>
      <c r="B51" s="64">
        <v>8.3800000000000008</v>
      </c>
      <c r="C51" s="64">
        <v>3.42</v>
      </c>
      <c r="D51" s="64">
        <v>12.28</v>
      </c>
      <c r="E51" s="64">
        <v>4.95</v>
      </c>
      <c r="F51" s="64">
        <v>4.5199999999999996</v>
      </c>
      <c r="G51" s="64">
        <v>3.61</v>
      </c>
      <c r="H51" s="64">
        <v>1.74</v>
      </c>
      <c r="I51" s="64">
        <v>0.84</v>
      </c>
      <c r="J51" s="64">
        <v>0.57999999999999996</v>
      </c>
      <c r="K51" s="64">
        <v>350.69</v>
      </c>
      <c r="L51" s="64">
        <v>22.78</v>
      </c>
      <c r="M51" s="64">
        <v>99.07</v>
      </c>
      <c r="N51" s="64">
        <v>106.9</v>
      </c>
      <c r="O51" s="64">
        <v>0</v>
      </c>
      <c r="P51" s="64">
        <v>0.36</v>
      </c>
      <c r="Q51" s="64">
        <v>9.3000000000000007</v>
      </c>
      <c r="R51" s="198"/>
      <c r="S51" s="198"/>
      <c r="T51" s="198"/>
      <c r="U51" s="198"/>
    </row>
    <row r="52" spans="1:21" s="12" customFormat="1" x14ac:dyDescent="0.25">
      <c r="A52" s="217" t="s">
        <v>2514</v>
      </c>
      <c r="B52" s="64">
        <v>8.34</v>
      </c>
      <c r="C52" s="64">
        <v>3.28</v>
      </c>
      <c r="D52" s="64">
        <v>12.18</v>
      </c>
      <c r="E52" s="64">
        <v>4.93</v>
      </c>
      <c r="F52" s="64">
        <v>4.24</v>
      </c>
      <c r="G52" s="64">
        <v>3.24</v>
      </c>
      <c r="H52" s="64">
        <v>1.63</v>
      </c>
      <c r="I52" s="64">
        <v>0.87</v>
      </c>
      <c r="J52" s="64">
        <v>0.59</v>
      </c>
      <c r="K52" s="64">
        <v>0.5</v>
      </c>
      <c r="L52" s="64">
        <v>22.7</v>
      </c>
      <c r="M52" s="64">
        <v>99.07</v>
      </c>
      <c r="N52" s="64">
        <v>78</v>
      </c>
      <c r="O52" s="64">
        <v>0</v>
      </c>
      <c r="P52" s="64">
        <v>0.37</v>
      </c>
      <c r="Q52" s="64">
        <v>9.3000000000000007</v>
      </c>
      <c r="R52" s="198"/>
      <c r="S52" s="198"/>
      <c r="T52" s="198"/>
      <c r="U52" s="198"/>
    </row>
    <row r="53" spans="1:21" s="12" customFormat="1" x14ac:dyDescent="0.25">
      <c r="A53" s="217" t="s">
        <v>2515</v>
      </c>
      <c r="B53" s="64">
        <v>8.3000000000000007</v>
      </c>
      <c r="C53" s="64">
        <v>3.19</v>
      </c>
      <c r="D53" s="64">
        <v>12.1</v>
      </c>
      <c r="E53" s="64">
        <v>5</v>
      </c>
      <c r="F53" s="64">
        <v>4.51</v>
      </c>
      <c r="G53" s="64">
        <v>3.24</v>
      </c>
      <c r="H53" s="64">
        <v>1.63</v>
      </c>
      <c r="I53" s="64">
        <v>0.97</v>
      </c>
      <c r="J53" s="64">
        <v>0.59</v>
      </c>
      <c r="K53" s="64">
        <v>356.17</v>
      </c>
      <c r="L53" s="64">
        <v>22.64</v>
      </c>
      <c r="M53" s="64">
        <v>99.08</v>
      </c>
      <c r="N53" s="64">
        <v>69.099999999999994</v>
      </c>
      <c r="O53" s="64">
        <v>0</v>
      </c>
      <c r="P53" s="64">
        <v>0.38</v>
      </c>
      <c r="Q53" s="64">
        <v>9.2899999999999991</v>
      </c>
      <c r="R53" s="198"/>
      <c r="S53" s="198"/>
      <c r="T53" s="198"/>
      <c r="U53" s="198"/>
    </row>
    <row r="54" spans="1:21" s="12" customFormat="1" x14ac:dyDescent="0.25">
      <c r="A54" s="217" t="s">
        <v>2516</v>
      </c>
      <c r="B54" s="64">
        <v>8.2899999999999991</v>
      </c>
      <c r="C54" s="64">
        <v>3.16</v>
      </c>
      <c r="D54" s="64">
        <v>12.08</v>
      </c>
      <c r="E54" s="64">
        <v>4.76</v>
      </c>
      <c r="F54" s="64">
        <v>4.2300000000000004</v>
      </c>
      <c r="G54" s="64">
        <v>3.24</v>
      </c>
      <c r="H54" s="64">
        <v>1.63</v>
      </c>
      <c r="I54" s="64">
        <v>1.02</v>
      </c>
      <c r="J54" s="64">
        <v>0.61</v>
      </c>
      <c r="K54" s="64">
        <v>357.76</v>
      </c>
      <c r="L54" s="64">
        <v>22.32</v>
      </c>
      <c r="M54" s="64">
        <v>99.09</v>
      </c>
      <c r="N54" s="64">
        <v>88</v>
      </c>
      <c r="O54" s="64">
        <v>1.2</v>
      </c>
      <c r="P54" s="64">
        <v>0.38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17" t="s">
        <v>2517</v>
      </c>
      <c r="B55" s="64">
        <v>8.27</v>
      </c>
      <c r="C55" s="64">
        <v>3.2</v>
      </c>
      <c r="D55" s="64">
        <v>12.08</v>
      </c>
      <c r="E55" s="64">
        <v>4.88</v>
      </c>
      <c r="F55" s="64">
        <v>4.96</v>
      </c>
      <c r="G55" s="64">
        <v>3.66</v>
      </c>
      <c r="H55" s="64">
        <v>1.95</v>
      </c>
      <c r="I55" s="64">
        <v>1.03</v>
      </c>
      <c r="J55" s="64">
        <v>0.6</v>
      </c>
      <c r="K55" s="64">
        <v>12.86</v>
      </c>
      <c r="L55" s="64">
        <v>21.97</v>
      </c>
      <c r="M55" s="64">
        <v>99.13</v>
      </c>
      <c r="N55" s="64">
        <v>85</v>
      </c>
      <c r="O55" s="64">
        <v>1.2</v>
      </c>
      <c r="P55" s="64">
        <v>0.35</v>
      </c>
      <c r="Q55" s="64">
        <v>9.27</v>
      </c>
      <c r="R55" s="198"/>
      <c r="S55" s="198"/>
      <c r="T55" s="198"/>
      <c r="U55" s="198"/>
    </row>
    <row r="56" spans="1:21" s="12" customFormat="1" x14ac:dyDescent="0.25">
      <c r="A56" s="217" t="s">
        <v>2518</v>
      </c>
      <c r="B56" s="64">
        <v>8.25</v>
      </c>
      <c r="C56" s="64">
        <v>3.21</v>
      </c>
      <c r="D56" s="64">
        <v>12.07</v>
      </c>
      <c r="E56" s="64">
        <v>3.46</v>
      </c>
      <c r="F56" s="64">
        <v>5.21</v>
      </c>
      <c r="G56" s="64">
        <v>4.29</v>
      </c>
      <c r="H56" s="64">
        <v>2.4</v>
      </c>
      <c r="I56" s="64">
        <v>1.04</v>
      </c>
      <c r="J56" s="64">
        <v>0.57999999999999996</v>
      </c>
      <c r="K56" s="64">
        <v>2.64</v>
      </c>
      <c r="L56" s="64">
        <v>21.67</v>
      </c>
      <c r="M56" s="64">
        <v>99.13</v>
      </c>
      <c r="N56" s="64">
        <v>98.4</v>
      </c>
      <c r="O56" s="64">
        <v>1.4</v>
      </c>
      <c r="P56" s="64">
        <v>0.34</v>
      </c>
      <c r="Q56" s="64">
        <v>9.2899999999999991</v>
      </c>
      <c r="R56" s="198"/>
      <c r="S56" s="198"/>
      <c r="T56" s="198"/>
      <c r="U56" s="198"/>
    </row>
    <row r="57" spans="1:21" s="12" customFormat="1" x14ac:dyDescent="0.25">
      <c r="A57" s="217" t="s">
        <v>2519</v>
      </c>
      <c r="B57" s="64">
        <v>8.32</v>
      </c>
      <c r="C57" s="64">
        <v>3.43</v>
      </c>
      <c r="D57" s="64">
        <v>12.23</v>
      </c>
      <c r="E57" s="64">
        <v>3.97</v>
      </c>
      <c r="F57" s="64">
        <v>3.37</v>
      </c>
      <c r="G57" s="64">
        <v>4.29</v>
      </c>
      <c r="H57" s="64">
        <v>2.4</v>
      </c>
      <c r="I57" s="64">
        <v>1.04</v>
      </c>
      <c r="J57" s="64">
        <v>0.53</v>
      </c>
      <c r="K57" s="64">
        <v>6.39</v>
      </c>
      <c r="L57" s="64">
        <v>21.58</v>
      </c>
      <c r="M57" s="64">
        <v>99.16</v>
      </c>
      <c r="N57" s="64">
        <v>128.80000000000001</v>
      </c>
      <c r="O57" s="64">
        <v>0.6</v>
      </c>
      <c r="P57" s="64">
        <v>0.34</v>
      </c>
      <c r="Q57" s="64">
        <v>9.36</v>
      </c>
      <c r="R57" s="198"/>
      <c r="S57" s="198"/>
      <c r="T57" s="198"/>
      <c r="U57" s="198"/>
    </row>
    <row r="58" spans="1:21" s="12" customFormat="1" x14ac:dyDescent="0.25">
      <c r="A58" s="217" t="s">
        <v>2520</v>
      </c>
      <c r="B58" s="64">
        <v>8.3000000000000007</v>
      </c>
      <c r="C58" s="64">
        <v>3.31</v>
      </c>
      <c r="D58" s="64">
        <v>12.16</v>
      </c>
      <c r="E58" s="64">
        <v>3.9</v>
      </c>
      <c r="F58" s="64">
        <v>5.35</v>
      </c>
      <c r="G58" s="64">
        <v>4.29</v>
      </c>
      <c r="H58" s="64">
        <v>2.4</v>
      </c>
      <c r="I58" s="64">
        <v>1.05</v>
      </c>
      <c r="J58" s="64">
        <v>0.51</v>
      </c>
      <c r="K58" s="64">
        <v>14.68</v>
      </c>
      <c r="L58" s="64">
        <v>21.77</v>
      </c>
      <c r="M58" s="64">
        <v>99.17</v>
      </c>
      <c r="N58" s="64">
        <v>150.1</v>
      </c>
      <c r="O58" s="64">
        <v>0.4</v>
      </c>
      <c r="P58" s="64">
        <v>0.32</v>
      </c>
      <c r="Q58" s="64">
        <v>9.32</v>
      </c>
      <c r="R58" s="198"/>
      <c r="S58" s="198"/>
      <c r="T58" s="198"/>
      <c r="U58" s="198"/>
    </row>
    <row r="59" spans="1:21" s="12" customFormat="1" x14ac:dyDescent="0.25">
      <c r="A59" s="217" t="s">
        <v>2521</v>
      </c>
      <c r="B59" s="64">
        <v>8.35</v>
      </c>
      <c r="C59" s="64">
        <v>3.5</v>
      </c>
      <c r="D59" s="64">
        <v>12.29</v>
      </c>
      <c r="E59" s="64">
        <v>3.68</v>
      </c>
      <c r="F59" s="64">
        <v>5.75</v>
      </c>
      <c r="G59" s="64">
        <v>4.22</v>
      </c>
      <c r="H59" s="64">
        <v>2.36</v>
      </c>
      <c r="I59" s="64">
        <v>1.02</v>
      </c>
      <c r="J59" s="64">
        <v>0.64</v>
      </c>
      <c r="K59" s="64">
        <v>12.34</v>
      </c>
      <c r="L59" s="64">
        <v>21.85</v>
      </c>
      <c r="M59" s="64">
        <v>99.17</v>
      </c>
      <c r="N59" s="64">
        <v>129.1</v>
      </c>
      <c r="O59" s="64">
        <v>0.4</v>
      </c>
      <c r="P59" s="64">
        <v>0.31</v>
      </c>
      <c r="Q59" s="64">
        <v>9.33</v>
      </c>
      <c r="R59" s="198"/>
      <c r="S59" s="198"/>
      <c r="T59" s="198"/>
      <c r="U59" s="198"/>
    </row>
    <row r="60" spans="1:21" s="12" customFormat="1" x14ac:dyDescent="0.25">
      <c r="A60" s="217" t="s">
        <v>2522</v>
      </c>
      <c r="B60" s="64">
        <v>8.32</v>
      </c>
      <c r="C60" s="64">
        <v>3.36</v>
      </c>
      <c r="D60" s="64">
        <v>12.2</v>
      </c>
      <c r="E60" s="64">
        <v>3.82</v>
      </c>
      <c r="F60" s="64">
        <v>5.16</v>
      </c>
      <c r="G60" s="64">
        <v>4.12</v>
      </c>
      <c r="H60" s="64">
        <v>2.2999999999999998</v>
      </c>
      <c r="I60" s="64">
        <v>0.91</v>
      </c>
      <c r="J60" s="64">
        <v>0.62</v>
      </c>
      <c r="K60" s="64">
        <v>4.29</v>
      </c>
      <c r="L60" s="64">
        <v>21.82</v>
      </c>
      <c r="M60" s="64">
        <v>99.15</v>
      </c>
      <c r="N60" s="64">
        <v>125.2</v>
      </c>
      <c r="O60" s="64">
        <v>0.8</v>
      </c>
      <c r="P60" s="64">
        <v>0.32</v>
      </c>
      <c r="Q60" s="64">
        <v>9.4</v>
      </c>
      <c r="R60" s="198"/>
      <c r="S60" s="198"/>
      <c r="T60" s="198"/>
      <c r="U60" s="198"/>
    </row>
    <row r="61" spans="1:21" s="12" customFormat="1" x14ac:dyDescent="0.25">
      <c r="A61" s="217" t="s">
        <v>2523</v>
      </c>
      <c r="B61" s="64">
        <v>8.31</v>
      </c>
      <c r="C61" s="64">
        <v>3.32</v>
      </c>
      <c r="D61" s="64">
        <v>12.17</v>
      </c>
      <c r="E61" s="64">
        <v>3.63</v>
      </c>
      <c r="F61" s="64">
        <v>5.19</v>
      </c>
      <c r="G61" s="64">
        <v>4.12</v>
      </c>
      <c r="H61" s="64">
        <v>2.2999999999999998</v>
      </c>
      <c r="I61" s="64">
        <v>0.87</v>
      </c>
      <c r="J61" s="64">
        <v>0.57999999999999996</v>
      </c>
      <c r="K61" s="64">
        <v>6.84</v>
      </c>
      <c r="L61" s="64">
        <v>21.71</v>
      </c>
      <c r="M61" s="64">
        <v>99.17</v>
      </c>
      <c r="N61" s="64">
        <v>107.2</v>
      </c>
      <c r="O61" s="64">
        <v>0.4</v>
      </c>
      <c r="P61" s="64">
        <v>0.31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7" t="s">
        <v>2524</v>
      </c>
      <c r="B62" s="64">
        <v>8.34</v>
      </c>
      <c r="C62" s="64">
        <v>3.47</v>
      </c>
      <c r="D62" s="64">
        <v>12.28</v>
      </c>
      <c r="E62" s="64">
        <v>4.46</v>
      </c>
      <c r="F62" s="64">
        <v>4.5999999999999996</v>
      </c>
      <c r="G62" s="64">
        <v>4.12</v>
      </c>
      <c r="H62" s="64">
        <v>2.2999999999999998</v>
      </c>
      <c r="I62" s="64">
        <v>0.91</v>
      </c>
      <c r="J62" s="64">
        <v>0.64</v>
      </c>
      <c r="K62" s="64">
        <v>12.56</v>
      </c>
      <c r="L62" s="64">
        <v>21.7</v>
      </c>
      <c r="M62" s="64">
        <v>99.18</v>
      </c>
      <c r="N62" s="64">
        <v>91.4</v>
      </c>
      <c r="O62" s="64">
        <v>0.2</v>
      </c>
      <c r="P62" s="64">
        <v>0.31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7" t="s">
        <v>2525</v>
      </c>
      <c r="B63" s="64">
        <v>8.2899999999999991</v>
      </c>
      <c r="C63" s="64">
        <v>3.31</v>
      </c>
      <c r="D63" s="64">
        <v>12.16</v>
      </c>
      <c r="E63" s="64">
        <v>4.49</v>
      </c>
      <c r="F63" s="64">
        <v>4.3899999999999997</v>
      </c>
      <c r="G63" s="64">
        <v>3.96</v>
      </c>
      <c r="H63" s="64">
        <v>2.27</v>
      </c>
      <c r="I63" s="64">
        <v>0.88</v>
      </c>
      <c r="J63" s="64">
        <v>0.68</v>
      </c>
      <c r="K63" s="64">
        <v>1.68</v>
      </c>
      <c r="L63" s="64">
        <v>21.64</v>
      </c>
      <c r="M63" s="64">
        <v>99.18</v>
      </c>
      <c r="N63" s="64">
        <v>98.1</v>
      </c>
      <c r="O63" s="64">
        <v>0.2</v>
      </c>
      <c r="P63" s="64">
        <v>0.31</v>
      </c>
      <c r="Q63" s="64">
        <v>9.3000000000000007</v>
      </c>
      <c r="R63" s="198"/>
      <c r="S63" s="198"/>
      <c r="T63" s="198"/>
      <c r="U63" s="198"/>
    </row>
    <row r="64" spans="1:21" s="12" customFormat="1" x14ac:dyDescent="0.25">
      <c r="A64" s="217" t="s">
        <v>2526</v>
      </c>
      <c r="B64" s="64">
        <v>8.25</v>
      </c>
      <c r="C64" s="64">
        <v>3.2</v>
      </c>
      <c r="D64" s="64">
        <v>12.06</v>
      </c>
      <c r="E64" s="64">
        <v>3.77</v>
      </c>
      <c r="F64" s="64">
        <v>4.3899999999999997</v>
      </c>
      <c r="G64" s="64">
        <v>3.71</v>
      </c>
      <c r="H64" s="64">
        <v>2.2200000000000002</v>
      </c>
      <c r="I64" s="64">
        <v>0.86</v>
      </c>
      <c r="J64" s="64">
        <v>0.54</v>
      </c>
      <c r="K64" s="64">
        <v>355.57</v>
      </c>
      <c r="L64" s="64">
        <v>21.81</v>
      </c>
      <c r="M64" s="64">
        <v>99.17</v>
      </c>
      <c r="N64" s="64">
        <v>142.80000000000001</v>
      </c>
      <c r="O64" s="64">
        <v>0</v>
      </c>
      <c r="P64" s="64">
        <v>0.31</v>
      </c>
      <c r="Q64" s="64">
        <v>9.2899999999999991</v>
      </c>
      <c r="R64" s="198"/>
      <c r="S64" s="198"/>
      <c r="T64" s="198"/>
      <c r="U64" s="198"/>
    </row>
    <row r="65" spans="1:21" s="12" customFormat="1" x14ac:dyDescent="0.25">
      <c r="A65" s="217" t="s">
        <v>2527</v>
      </c>
      <c r="B65" s="64">
        <v>8.27</v>
      </c>
      <c r="C65" s="64">
        <v>3.28</v>
      </c>
      <c r="D65" s="64">
        <v>12.12</v>
      </c>
      <c r="E65" s="64">
        <v>3.79</v>
      </c>
      <c r="F65" s="64">
        <v>4.74</v>
      </c>
      <c r="G65" s="64">
        <v>3.71</v>
      </c>
      <c r="H65" s="64">
        <v>2.2200000000000002</v>
      </c>
      <c r="I65" s="64">
        <v>0.92</v>
      </c>
      <c r="J65" s="64">
        <v>0.62</v>
      </c>
      <c r="K65" s="64">
        <v>1.81</v>
      </c>
      <c r="L65" s="64">
        <v>22.15</v>
      </c>
      <c r="M65" s="64">
        <v>99.13</v>
      </c>
      <c r="N65" s="64">
        <v>172.3</v>
      </c>
      <c r="O65" s="64">
        <v>0</v>
      </c>
      <c r="P65" s="64">
        <v>0.3</v>
      </c>
      <c r="Q65" s="64">
        <v>9.2799999999999994</v>
      </c>
      <c r="R65" s="198"/>
      <c r="S65" s="198"/>
      <c r="T65" s="198"/>
      <c r="U65" s="198"/>
    </row>
    <row r="66" spans="1:21" s="12" customFormat="1" x14ac:dyDescent="0.25">
      <c r="A66" s="217" t="s">
        <v>2528</v>
      </c>
      <c r="B66" s="64">
        <v>8.2899999999999991</v>
      </c>
      <c r="C66" s="64">
        <v>3.25</v>
      </c>
      <c r="D66" s="64">
        <v>12.12</v>
      </c>
      <c r="E66" s="64">
        <v>3.47</v>
      </c>
      <c r="F66" s="64">
        <v>5.0199999999999996</v>
      </c>
      <c r="G66" s="64">
        <v>3.71</v>
      </c>
      <c r="H66" s="64">
        <v>2.2200000000000002</v>
      </c>
      <c r="I66" s="64">
        <v>0.94</v>
      </c>
      <c r="J66" s="64">
        <v>0.6</v>
      </c>
      <c r="K66" s="64">
        <v>0.46</v>
      </c>
      <c r="L66" s="64">
        <v>22.32</v>
      </c>
      <c r="M66" s="64">
        <v>99.13</v>
      </c>
      <c r="N66" s="64">
        <v>139.30000000000001</v>
      </c>
      <c r="O66" s="64">
        <v>0</v>
      </c>
      <c r="P66" s="64">
        <v>0.28999999999999998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7" t="s">
        <v>2529</v>
      </c>
      <c r="B67" s="64">
        <v>8.33</v>
      </c>
      <c r="C67" s="64">
        <v>3.29</v>
      </c>
      <c r="D67" s="64">
        <v>12.17</v>
      </c>
      <c r="E67" s="64">
        <v>4.22</v>
      </c>
      <c r="F67" s="64">
        <v>4.9000000000000004</v>
      </c>
      <c r="G67" s="64">
        <v>3.74</v>
      </c>
      <c r="H67" s="64">
        <v>2.2200000000000002</v>
      </c>
      <c r="I67" s="64">
        <v>0.91</v>
      </c>
      <c r="J67" s="64">
        <v>0.68</v>
      </c>
      <c r="K67" s="64">
        <v>354.25</v>
      </c>
      <c r="L67" s="64">
        <v>22.31</v>
      </c>
      <c r="M67" s="64">
        <v>99.13</v>
      </c>
      <c r="N67" s="64">
        <v>101.5</v>
      </c>
      <c r="O67" s="64">
        <v>0</v>
      </c>
      <c r="P67" s="64">
        <v>0.3</v>
      </c>
      <c r="Q67" s="64">
        <v>9.31</v>
      </c>
      <c r="R67" s="198"/>
      <c r="S67" s="198"/>
      <c r="T67" s="198"/>
      <c r="U67" s="198"/>
    </row>
    <row r="68" spans="1:21" s="12" customFormat="1" x14ac:dyDescent="0.25">
      <c r="A68" s="217" t="s">
        <v>2530</v>
      </c>
      <c r="B68" s="254" t="s">
        <v>32</v>
      </c>
      <c r="C68" s="254" t="s">
        <v>32</v>
      </c>
      <c r="D68" s="254" t="s">
        <v>32</v>
      </c>
      <c r="E68" s="254" t="s">
        <v>32</v>
      </c>
      <c r="F68" s="254" t="s">
        <v>32</v>
      </c>
      <c r="G68" s="254" t="s">
        <v>32</v>
      </c>
      <c r="H68" s="254" t="s">
        <v>32</v>
      </c>
      <c r="I68" s="254" t="s">
        <v>32</v>
      </c>
      <c r="J68" s="254" t="s">
        <v>32</v>
      </c>
      <c r="K68" s="254" t="s">
        <v>32</v>
      </c>
      <c r="L68" s="254" t="s">
        <v>32</v>
      </c>
      <c r="M68" s="254" t="s">
        <v>32</v>
      </c>
      <c r="N68" s="254" t="s">
        <v>32</v>
      </c>
      <c r="O68" s="254" t="s">
        <v>32</v>
      </c>
      <c r="P68" s="254" t="s">
        <v>32</v>
      </c>
      <c r="Q68" s="254" t="s">
        <v>32</v>
      </c>
      <c r="R68" s="198"/>
      <c r="S68" s="198"/>
      <c r="T68" s="198"/>
      <c r="U68" s="198"/>
    </row>
    <row r="69" spans="1:21" s="12" customFormat="1" x14ac:dyDescent="0.25">
      <c r="A69" s="217" t="s">
        <v>2531</v>
      </c>
      <c r="B69" s="254" t="s">
        <v>32</v>
      </c>
      <c r="C69" s="254" t="s">
        <v>32</v>
      </c>
      <c r="D69" s="254" t="s">
        <v>32</v>
      </c>
      <c r="E69" s="254" t="s">
        <v>32</v>
      </c>
      <c r="F69" s="254" t="s">
        <v>32</v>
      </c>
      <c r="G69" s="254" t="s">
        <v>32</v>
      </c>
      <c r="H69" s="254" t="s">
        <v>32</v>
      </c>
      <c r="I69" s="254" t="s">
        <v>32</v>
      </c>
      <c r="J69" s="254" t="s">
        <v>32</v>
      </c>
      <c r="K69" s="254" t="s">
        <v>32</v>
      </c>
      <c r="L69" s="254" t="s">
        <v>32</v>
      </c>
      <c r="M69" s="254" t="s">
        <v>32</v>
      </c>
      <c r="N69" s="254" t="s">
        <v>32</v>
      </c>
      <c r="O69" s="254" t="s">
        <v>32</v>
      </c>
      <c r="P69" s="254" t="s">
        <v>32</v>
      </c>
      <c r="Q69" s="254" t="s">
        <v>32</v>
      </c>
      <c r="R69" s="198"/>
      <c r="S69" s="198"/>
      <c r="T69" s="198"/>
      <c r="U69" s="198"/>
    </row>
    <row r="70" spans="1:21" s="12" customFormat="1" x14ac:dyDescent="0.25">
      <c r="A70" s="217" t="s">
        <v>2532</v>
      </c>
      <c r="B70" s="254" t="s">
        <v>32</v>
      </c>
      <c r="C70" s="254" t="s">
        <v>32</v>
      </c>
      <c r="D70" s="254" t="s">
        <v>32</v>
      </c>
      <c r="E70" s="254" t="s">
        <v>32</v>
      </c>
      <c r="F70" s="254" t="s">
        <v>32</v>
      </c>
      <c r="G70" s="254" t="s">
        <v>32</v>
      </c>
      <c r="H70" s="254" t="s">
        <v>32</v>
      </c>
      <c r="I70" s="254" t="s">
        <v>32</v>
      </c>
      <c r="J70" s="254" t="s">
        <v>32</v>
      </c>
      <c r="K70" s="254" t="s">
        <v>32</v>
      </c>
      <c r="L70" s="254" t="s">
        <v>32</v>
      </c>
      <c r="M70" s="254" t="s">
        <v>32</v>
      </c>
      <c r="N70" s="254" t="s">
        <v>32</v>
      </c>
      <c r="O70" s="254" t="s">
        <v>32</v>
      </c>
      <c r="P70" s="254" t="s">
        <v>32</v>
      </c>
      <c r="Q70" s="254" t="s">
        <v>32</v>
      </c>
      <c r="R70" s="198"/>
      <c r="S70" s="198"/>
      <c r="T70" s="198"/>
      <c r="U70" s="198"/>
    </row>
    <row r="71" spans="1:21" s="12" customFormat="1" x14ac:dyDescent="0.25">
      <c r="A71" s="217" t="s">
        <v>2533</v>
      </c>
      <c r="B71" s="254" t="s">
        <v>32</v>
      </c>
      <c r="C71" s="254" t="s">
        <v>32</v>
      </c>
      <c r="D71" s="254" t="s">
        <v>32</v>
      </c>
      <c r="E71" s="254" t="s">
        <v>32</v>
      </c>
      <c r="F71" s="254" t="s">
        <v>32</v>
      </c>
      <c r="G71" s="254" t="s">
        <v>32</v>
      </c>
      <c r="H71" s="254" t="s">
        <v>32</v>
      </c>
      <c r="I71" s="254" t="s">
        <v>32</v>
      </c>
      <c r="J71" s="254" t="s">
        <v>32</v>
      </c>
      <c r="K71" s="254" t="s">
        <v>32</v>
      </c>
      <c r="L71" s="254" t="s">
        <v>32</v>
      </c>
      <c r="M71" s="254" t="s">
        <v>32</v>
      </c>
      <c r="N71" s="254" t="s">
        <v>32</v>
      </c>
      <c r="O71" s="254" t="s">
        <v>32</v>
      </c>
      <c r="P71" s="254" t="s">
        <v>32</v>
      </c>
      <c r="Q71" s="254" t="s">
        <v>32</v>
      </c>
      <c r="R71" s="198"/>
      <c r="S71" s="198"/>
      <c r="T71" s="198"/>
      <c r="U71" s="198"/>
    </row>
    <row r="72" spans="1:21" s="12" customFormat="1" x14ac:dyDescent="0.25">
      <c r="A72" s="217" t="s">
        <v>2534</v>
      </c>
      <c r="B72" s="254" t="s">
        <v>32</v>
      </c>
      <c r="C72" s="254" t="s">
        <v>32</v>
      </c>
      <c r="D72" s="254" t="s">
        <v>32</v>
      </c>
      <c r="E72" s="254" t="s">
        <v>32</v>
      </c>
      <c r="F72" s="254" t="s">
        <v>32</v>
      </c>
      <c r="G72" s="254" t="s">
        <v>32</v>
      </c>
      <c r="H72" s="254" t="s">
        <v>32</v>
      </c>
      <c r="I72" s="254" t="s">
        <v>32</v>
      </c>
      <c r="J72" s="254" t="s">
        <v>32</v>
      </c>
      <c r="K72" s="254" t="s">
        <v>32</v>
      </c>
      <c r="L72" s="254" t="s">
        <v>32</v>
      </c>
      <c r="M72" s="254" t="s">
        <v>32</v>
      </c>
      <c r="N72" s="254" t="s">
        <v>32</v>
      </c>
      <c r="O72" s="254" t="s">
        <v>32</v>
      </c>
      <c r="P72" s="254" t="s">
        <v>32</v>
      </c>
      <c r="Q72" s="254" t="s">
        <v>32</v>
      </c>
      <c r="R72" s="198"/>
      <c r="S72" s="198"/>
      <c r="T72" s="198"/>
      <c r="U72" s="198"/>
    </row>
    <row r="73" spans="1:21" s="12" customFormat="1" x14ac:dyDescent="0.25">
      <c r="A73" s="217" t="s">
        <v>2535</v>
      </c>
      <c r="B73" s="254" t="s">
        <v>32</v>
      </c>
      <c r="C73" s="254" t="s">
        <v>32</v>
      </c>
      <c r="D73" s="254" t="s">
        <v>32</v>
      </c>
      <c r="E73" s="254" t="s">
        <v>32</v>
      </c>
      <c r="F73" s="254" t="s">
        <v>32</v>
      </c>
      <c r="G73" s="254" t="s">
        <v>32</v>
      </c>
      <c r="H73" s="254" t="s">
        <v>32</v>
      </c>
      <c r="I73" s="254" t="s">
        <v>32</v>
      </c>
      <c r="J73" s="254" t="s">
        <v>32</v>
      </c>
      <c r="K73" s="254" t="s">
        <v>32</v>
      </c>
      <c r="L73" s="254" t="s">
        <v>32</v>
      </c>
      <c r="M73" s="254" t="s">
        <v>32</v>
      </c>
      <c r="N73" s="254" t="s">
        <v>32</v>
      </c>
      <c r="O73" s="254" t="s">
        <v>32</v>
      </c>
      <c r="P73" s="254" t="s">
        <v>32</v>
      </c>
      <c r="Q73" s="254" t="s">
        <v>32</v>
      </c>
      <c r="R73" s="198"/>
      <c r="S73" s="198"/>
      <c r="T73" s="198"/>
      <c r="U73" s="198"/>
    </row>
    <row r="74" spans="1:21" s="12" customFormat="1" x14ac:dyDescent="0.25">
      <c r="A74" s="217" t="s">
        <v>2536</v>
      </c>
      <c r="B74" s="254" t="s">
        <v>32</v>
      </c>
      <c r="C74" s="254" t="s">
        <v>32</v>
      </c>
      <c r="D74" s="254" t="s">
        <v>32</v>
      </c>
      <c r="E74" s="254" t="s">
        <v>32</v>
      </c>
      <c r="F74" s="254" t="s">
        <v>32</v>
      </c>
      <c r="G74" s="254" t="s">
        <v>32</v>
      </c>
      <c r="H74" s="254" t="s">
        <v>32</v>
      </c>
      <c r="I74" s="254" t="s">
        <v>32</v>
      </c>
      <c r="J74" s="254" t="s">
        <v>32</v>
      </c>
      <c r="K74" s="254" t="s">
        <v>32</v>
      </c>
      <c r="L74" s="254" t="s">
        <v>32</v>
      </c>
      <c r="M74" s="254" t="s">
        <v>32</v>
      </c>
      <c r="N74" s="254" t="s">
        <v>32</v>
      </c>
      <c r="O74" s="254" t="s">
        <v>32</v>
      </c>
      <c r="P74" s="254" t="s">
        <v>32</v>
      </c>
      <c r="Q74" s="254" t="s">
        <v>32</v>
      </c>
      <c r="R74" s="198"/>
      <c r="S74" s="198"/>
      <c r="T74" s="198"/>
      <c r="U74" s="198"/>
    </row>
    <row r="75" spans="1:21" s="12" customFormat="1" x14ac:dyDescent="0.25">
      <c r="A75" s="217" t="s">
        <v>2537</v>
      </c>
      <c r="B75" s="254" t="s">
        <v>32</v>
      </c>
      <c r="C75" s="254" t="s">
        <v>32</v>
      </c>
      <c r="D75" s="254" t="s">
        <v>32</v>
      </c>
      <c r="E75" s="254" t="s">
        <v>32</v>
      </c>
      <c r="F75" s="254" t="s">
        <v>32</v>
      </c>
      <c r="G75" s="254" t="s">
        <v>32</v>
      </c>
      <c r="H75" s="254" t="s">
        <v>32</v>
      </c>
      <c r="I75" s="254" t="s">
        <v>32</v>
      </c>
      <c r="J75" s="254" t="s">
        <v>32</v>
      </c>
      <c r="K75" s="254" t="s">
        <v>32</v>
      </c>
      <c r="L75" s="254" t="s">
        <v>32</v>
      </c>
      <c r="M75" s="254" t="s">
        <v>32</v>
      </c>
      <c r="N75" s="254" t="s">
        <v>32</v>
      </c>
      <c r="O75" s="254" t="s">
        <v>32</v>
      </c>
      <c r="P75" s="254" t="s">
        <v>32</v>
      </c>
      <c r="Q75" s="254" t="s">
        <v>32</v>
      </c>
      <c r="R75" s="198"/>
      <c r="S75" s="198"/>
      <c r="T75" s="198"/>
      <c r="U75" s="198"/>
    </row>
    <row r="76" spans="1:21" s="12" customFormat="1" x14ac:dyDescent="0.25">
      <c r="A76" s="217" t="s">
        <v>2538</v>
      </c>
      <c r="B76" s="254" t="s">
        <v>32</v>
      </c>
      <c r="C76" s="254" t="s">
        <v>32</v>
      </c>
      <c r="D76" s="254" t="s">
        <v>32</v>
      </c>
      <c r="E76" s="254" t="s">
        <v>32</v>
      </c>
      <c r="F76" s="254" t="s">
        <v>32</v>
      </c>
      <c r="G76" s="254" t="s">
        <v>32</v>
      </c>
      <c r="H76" s="254" t="s">
        <v>32</v>
      </c>
      <c r="I76" s="254" t="s">
        <v>32</v>
      </c>
      <c r="J76" s="254" t="s">
        <v>32</v>
      </c>
      <c r="K76" s="254" t="s">
        <v>32</v>
      </c>
      <c r="L76" s="254" t="s">
        <v>32</v>
      </c>
      <c r="M76" s="254" t="s">
        <v>32</v>
      </c>
      <c r="N76" s="254" t="s">
        <v>32</v>
      </c>
      <c r="O76" s="254" t="s">
        <v>32</v>
      </c>
      <c r="P76" s="254" t="s">
        <v>32</v>
      </c>
      <c r="Q76" s="254" t="s">
        <v>32</v>
      </c>
      <c r="R76" s="198"/>
      <c r="S76" s="198"/>
      <c r="T76" s="198"/>
      <c r="U76" s="198"/>
    </row>
    <row r="77" spans="1:21" s="12" customFormat="1" x14ac:dyDescent="0.25">
      <c r="A77" s="217" t="s">
        <v>2539</v>
      </c>
      <c r="B77" s="254" t="s">
        <v>32</v>
      </c>
      <c r="C77" s="254" t="s">
        <v>32</v>
      </c>
      <c r="D77" s="254" t="s">
        <v>32</v>
      </c>
      <c r="E77" s="254" t="s">
        <v>32</v>
      </c>
      <c r="F77" s="254" t="s">
        <v>32</v>
      </c>
      <c r="G77" s="254" t="s">
        <v>32</v>
      </c>
      <c r="H77" s="254" t="s">
        <v>32</v>
      </c>
      <c r="I77" s="254" t="s">
        <v>32</v>
      </c>
      <c r="J77" s="254" t="s">
        <v>32</v>
      </c>
      <c r="K77" s="254" t="s">
        <v>32</v>
      </c>
      <c r="L77" s="254" t="s">
        <v>32</v>
      </c>
      <c r="M77" s="254" t="s">
        <v>32</v>
      </c>
      <c r="N77" s="254" t="s">
        <v>32</v>
      </c>
      <c r="O77" s="254" t="s">
        <v>32</v>
      </c>
      <c r="P77" s="254" t="s">
        <v>32</v>
      </c>
      <c r="Q77" s="254" t="s">
        <v>32</v>
      </c>
      <c r="R77" s="198"/>
      <c r="S77" s="198"/>
      <c r="T77" s="198"/>
      <c r="U77" s="198"/>
    </row>
    <row r="78" spans="1:21" s="12" customFormat="1" x14ac:dyDescent="0.25">
      <c r="A78" s="217" t="s">
        <v>2540</v>
      </c>
      <c r="B78" s="254" t="s">
        <v>32</v>
      </c>
      <c r="C78" s="254" t="s">
        <v>32</v>
      </c>
      <c r="D78" s="254" t="s">
        <v>32</v>
      </c>
      <c r="E78" s="254" t="s">
        <v>32</v>
      </c>
      <c r="F78" s="254" t="s">
        <v>32</v>
      </c>
      <c r="G78" s="254" t="s">
        <v>32</v>
      </c>
      <c r="H78" s="254" t="s">
        <v>32</v>
      </c>
      <c r="I78" s="254" t="s">
        <v>32</v>
      </c>
      <c r="J78" s="254" t="s">
        <v>32</v>
      </c>
      <c r="K78" s="254" t="s">
        <v>32</v>
      </c>
      <c r="L78" s="254" t="s">
        <v>32</v>
      </c>
      <c r="M78" s="254" t="s">
        <v>32</v>
      </c>
      <c r="N78" s="254" t="s">
        <v>32</v>
      </c>
      <c r="O78" s="254" t="s">
        <v>32</v>
      </c>
      <c r="P78" s="254" t="s">
        <v>32</v>
      </c>
      <c r="Q78" s="254" t="s">
        <v>32</v>
      </c>
      <c r="R78" s="198"/>
      <c r="S78" s="198"/>
      <c r="T78" s="198"/>
      <c r="U78" s="198"/>
    </row>
    <row r="79" spans="1:21" s="12" customFormat="1" x14ac:dyDescent="0.25">
      <c r="A79" s="217" t="s">
        <v>2541</v>
      </c>
      <c r="B79" s="254" t="s">
        <v>32</v>
      </c>
      <c r="C79" s="254" t="s">
        <v>32</v>
      </c>
      <c r="D79" s="254" t="s">
        <v>32</v>
      </c>
      <c r="E79" s="254" t="s">
        <v>32</v>
      </c>
      <c r="F79" s="254" t="s">
        <v>32</v>
      </c>
      <c r="G79" s="254" t="s">
        <v>32</v>
      </c>
      <c r="H79" s="254" t="s">
        <v>32</v>
      </c>
      <c r="I79" s="254" t="s">
        <v>32</v>
      </c>
      <c r="J79" s="254" t="s">
        <v>32</v>
      </c>
      <c r="K79" s="254" t="s">
        <v>32</v>
      </c>
      <c r="L79" s="254" t="s">
        <v>32</v>
      </c>
      <c r="M79" s="254" t="s">
        <v>32</v>
      </c>
      <c r="N79" s="254" t="s">
        <v>32</v>
      </c>
      <c r="O79" s="254" t="s">
        <v>32</v>
      </c>
      <c r="P79" s="254" t="s">
        <v>32</v>
      </c>
      <c r="Q79" s="254" t="s">
        <v>32</v>
      </c>
      <c r="R79" s="198"/>
      <c r="S79" s="198"/>
      <c r="T79" s="198"/>
      <c r="U79" s="198"/>
    </row>
    <row r="80" spans="1:21" s="12" customFormat="1" x14ac:dyDescent="0.25">
      <c r="A80" s="217" t="s">
        <v>2542</v>
      </c>
      <c r="B80" s="254" t="s">
        <v>32</v>
      </c>
      <c r="C80" s="254" t="s">
        <v>32</v>
      </c>
      <c r="D80" s="254" t="s">
        <v>32</v>
      </c>
      <c r="E80" s="254" t="s">
        <v>32</v>
      </c>
      <c r="F80" s="254" t="s">
        <v>32</v>
      </c>
      <c r="G80" s="254" t="s">
        <v>32</v>
      </c>
      <c r="H80" s="254" t="s">
        <v>32</v>
      </c>
      <c r="I80" s="254" t="s">
        <v>32</v>
      </c>
      <c r="J80" s="254" t="s">
        <v>32</v>
      </c>
      <c r="K80" s="254" t="s">
        <v>32</v>
      </c>
      <c r="L80" s="254" t="s">
        <v>32</v>
      </c>
      <c r="M80" s="254" t="s">
        <v>32</v>
      </c>
      <c r="N80" s="254" t="s">
        <v>32</v>
      </c>
      <c r="O80" s="254" t="s">
        <v>32</v>
      </c>
      <c r="P80" s="254" t="s">
        <v>32</v>
      </c>
      <c r="Q80" s="254" t="s">
        <v>32</v>
      </c>
      <c r="R80" s="198"/>
      <c r="S80" s="198"/>
      <c r="T80" s="198"/>
      <c r="U80" s="198"/>
    </row>
    <row r="81" spans="1:26" s="12" customFormat="1" x14ac:dyDescent="0.25">
      <c r="A81" s="217" t="s">
        <v>2543</v>
      </c>
      <c r="B81" s="254" t="s">
        <v>32</v>
      </c>
      <c r="C81" s="254" t="s">
        <v>32</v>
      </c>
      <c r="D81" s="254" t="s">
        <v>32</v>
      </c>
      <c r="E81" s="254" t="s">
        <v>32</v>
      </c>
      <c r="F81" s="254" t="s">
        <v>32</v>
      </c>
      <c r="G81" s="254" t="s">
        <v>32</v>
      </c>
      <c r="H81" s="254" t="s">
        <v>32</v>
      </c>
      <c r="I81" s="254" t="s">
        <v>32</v>
      </c>
      <c r="J81" s="254" t="s">
        <v>32</v>
      </c>
      <c r="K81" s="254" t="s">
        <v>32</v>
      </c>
      <c r="L81" s="254" t="s">
        <v>32</v>
      </c>
      <c r="M81" s="254" t="s">
        <v>32</v>
      </c>
      <c r="N81" s="254" t="s">
        <v>32</v>
      </c>
      <c r="O81" s="254" t="s">
        <v>32</v>
      </c>
      <c r="P81" s="254" t="s">
        <v>32</v>
      </c>
      <c r="Q81" s="254" t="s">
        <v>32</v>
      </c>
      <c r="R81" s="198"/>
      <c r="S81" s="198"/>
      <c r="T81" s="198"/>
      <c r="U81" s="198"/>
    </row>
    <row r="82" spans="1:26" s="12" customFormat="1" x14ac:dyDescent="0.25">
      <c r="A82" s="217" t="s">
        <v>2544</v>
      </c>
      <c r="B82" s="254" t="s">
        <v>32</v>
      </c>
      <c r="C82" s="254" t="s">
        <v>32</v>
      </c>
      <c r="D82" s="254" t="s">
        <v>32</v>
      </c>
      <c r="E82" s="254" t="s">
        <v>32</v>
      </c>
      <c r="F82" s="254" t="s">
        <v>32</v>
      </c>
      <c r="G82" s="254" t="s">
        <v>32</v>
      </c>
      <c r="H82" s="254" t="s">
        <v>32</v>
      </c>
      <c r="I82" s="254" t="s">
        <v>32</v>
      </c>
      <c r="J82" s="254" t="s">
        <v>32</v>
      </c>
      <c r="K82" s="254" t="s">
        <v>32</v>
      </c>
      <c r="L82" s="254" t="s">
        <v>32</v>
      </c>
      <c r="M82" s="254" t="s">
        <v>32</v>
      </c>
      <c r="N82" s="254" t="s">
        <v>32</v>
      </c>
      <c r="O82" s="254" t="s">
        <v>32</v>
      </c>
      <c r="P82" s="254" t="s">
        <v>32</v>
      </c>
      <c r="Q82" s="254" t="s">
        <v>32</v>
      </c>
      <c r="R82" s="198"/>
      <c r="S82" s="198"/>
      <c r="T82" s="198"/>
      <c r="U82" s="198"/>
    </row>
    <row r="83" spans="1:26" s="12" customFormat="1" x14ac:dyDescent="0.25">
      <c r="A83" s="217" t="s">
        <v>2545</v>
      </c>
      <c r="B83" s="254" t="s">
        <v>32</v>
      </c>
      <c r="C83" s="254" t="s">
        <v>32</v>
      </c>
      <c r="D83" s="254" t="s">
        <v>32</v>
      </c>
      <c r="E83" s="254" t="s">
        <v>32</v>
      </c>
      <c r="F83" s="254" t="s">
        <v>32</v>
      </c>
      <c r="G83" s="254" t="s">
        <v>32</v>
      </c>
      <c r="H83" s="254" t="s">
        <v>32</v>
      </c>
      <c r="I83" s="254" t="s">
        <v>32</v>
      </c>
      <c r="J83" s="254" t="s">
        <v>32</v>
      </c>
      <c r="K83" s="254" t="s">
        <v>32</v>
      </c>
      <c r="L83" s="254" t="s">
        <v>32</v>
      </c>
      <c r="M83" s="254" t="s">
        <v>32</v>
      </c>
      <c r="N83" s="254" t="s">
        <v>32</v>
      </c>
      <c r="O83" s="254" t="s">
        <v>32</v>
      </c>
      <c r="P83" s="254" t="s">
        <v>32</v>
      </c>
      <c r="Q83" s="254" t="s">
        <v>32</v>
      </c>
      <c r="R83" s="198"/>
      <c r="S83" s="198"/>
      <c r="T83" s="198"/>
      <c r="U83" s="198"/>
    </row>
    <row r="84" spans="1:26" s="12" customFormat="1" x14ac:dyDescent="0.25">
      <c r="A84" s="217" t="s">
        <v>2546</v>
      </c>
      <c r="B84" s="254" t="s">
        <v>32</v>
      </c>
      <c r="C84" s="254" t="s">
        <v>32</v>
      </c>
      <c r="D84" s="254" t="s">
        <v>32</v>
      </c>
      <c r="E84" s="254" t="s">
        <v>32</v>
      </c>
      <c r="F84" s="254" t="s">
        <v>32</v>
      </c>
      <c r="G84" s="254" t="s">
        <v>32</v>
      </c>
      <c r="H84" s="254" t="s">
        <v>32</v>
      </c>
      <c r="I84" s="254" t="s">
        <v>32</v>
      </c>
      <c r="J84" s="254" t="s">
        <v>32</v>
      </c>
      <c r="K84" s="254" t="s">
        <v>32</v>
      </c>
      <c r="L84" s="254" t="s">
        <v>32</v>
      </c>
      <c r="M84" s="254" t="s">
        <v>32</v>
      </c>
      <c r="N84" s="254" t="s">
        <v>32</v>
      </c>
      <c r="O84" s="254" t="s">
        <v>32</v>
      </c>
      <c r="P84" s="254" t="s">
        <v>32</v>
      </c>
      <c r="Q84" s="254" t="s">
        <v>32</v>
      </c>
      <c r="R84" s="198"/>
      <c r="S84" s="198"/>
      <c r="T84" s="198"/>
      <c r="U84" s="198"/>
    </row>
    <row r="85" spans="1:26" s="12" customFormat="1" x14ac:dyDescent="0.25">
      <c r="A85" s="217" t="s">
        <v>2547</v>
      </c>
      <c r="B85" s="254" t="s">
        <v>32</v>
      </c>
      <c r="C85" s="254" t="s">
        <v>32</v>
      </c>
      <c r="D85" s="254" t="s">
        <v>32</v>
      </c>
      <c r="E85" s="254" t="s">
        <v>32</v>
      </c>
      <c r="F85" s="254" t="s">
        <v>32</v>
      </c>
      <c r="G85" s="254" t="s">
        <v>32</v>
      </c>
      <c r="H85" s="254" t="s">
        <v>32</v>
      </c>
      <c r="I85" s="254" t="s">
        <v>32</v>
      </c>
      <c r="J85" s="254" t="s">
        <v>32</v>
      </c>
      <c r="K85" s="254" t="s">
        <v>32</v>
      </c>
      <c r="L85" s="254" t="s">
        <v>32</v>
      </c>
      <c r="M85" s="254" t="s">
        <v>32</v>
      </c>
      <c r="N85" s="254" t="s">
        <v>32</v>
      </c>
      <c r="O85" s="254" t="s">
        <v>32</v>
      </c>
      <c r="P85" s="254" t="s">
        <v>32</v>
      </c>
      <c r="Q85" s="254" t="s">
        <v>32</v>
      </c>
      <c r="R85" s="198"/>
      <c r="S85" s="198"/>
      <c r="T85" s="198"/>
      <c r="U85" s="198"/>
    </row>
    <row r="86" spans="1:26" s="12" customFormat="1" x14ac:dyDescent="0.25">
      <c r="A86" s="217" t="s">
        <v>2548</v>
      </c>
      <c r="B86" s="254" t="s">
        <v>32</v>
      </c>
      <c r="C86" s="254" t="s">
        <v>32</v>
      </c>
      <c r="D86" s="254" t="s">
        <v>32</v>
      </c>
      <c r="E86" s="254" t="s">
        <v>32</v>
      </c>
      <c r="F86" s="254" t="s">
        <v>32</v>
      </c>
      <c r="G86" s="254" t="s">
        <v>32</v>
      </c>
      <c r="H86" s="254" t="s">
        <v>32</v>
      </c>
      <c r="I86" s="254" t="s">
        <v>32</v>
      </c>
      <c r="J86" s="254" t="s">
        <v>32</v>
      </c>
      <c r="K86" s="254" t="s">
        <v>32</v>
      </c>
      <c r="L86" s="254" t="s">
        <v>32</v>
      </c>
      <c r="M86" s="254" t="s">
        <v>32</v>
      </c>
      <c r="N86" s="254" t="s">
        <v>32</v>
      </c>
      <c r="O86" s="254" t="s">
        <v>32</v>
      </c>
      <c r="P86" s="254" t="s">
        <v>32</v>
      </c>
      <c r="Q86" s="254" t="s">
        <v>32</v>
      </c>
      <c r="R86" s="198"/>
      <c r="S86" s="198"/>
      <c r="T86" s="198"/>
      <c r="U86" s="198"/>
    </row>
    <row r="87" spans="1:26" s="12" customFormat="1" x14ac:dyDescent="0.25">
      <c r="A87" s="217" t="s">
        <v>2549</v>
      </c>
      <c r="B87" s="254" t="s">
        <v>32</v>
      </c>
      <c r="C87" s="254" t="s">
        <v>32</v>
      </c>
      <c r="D87" s="254" t="s">
        <v>32</v>
      </c>
      <c r="E87" s="254" t="s">
        <v>32</v>
      </c>
      <c r="F87" s="254" t="s">
        <v>32</v>
      </c>
      <c r="G87" s="254" t="s">
        <v>32</v>
      </c>
      <c r="H87" s="254" t="s">
        <v>32</v>
      </c>
      <c r="I87" s="254" t="s">
        <v>32</v>
      </c>
      <c r="J87" s="254" t="s">
        <v>32</v>
      </c>
      <c r="K87" s="254" t="s">
        <v>32</v>
      </c>
      <c r="L87" s="254" t="s">
        <v>32</v>
      </c>
      <c r="M87" s="254" t="s">
        <v>32</v>
      </c>
      <c r="N87" s="254" t="s">
        <v>32</v>
      </c>
      <c r="O87" s="254" t="s">
        <v>32</v>
      </c>
      <c r="P87" s="254" t="s">
        <v>32</v>
      </c>
      <c r="Q87" s="254" t="s">
        <v>32</v>
      </c>
      <c r="R87" s="198"/>
      <c r="S87" s="198"/>
      <c r="T87" s="198"/>
      <c r="U87" s="198"/>
    </row>
    <row r="88" spans="1:26" s="12" customFormat="1" x14ac:dyDescent="0.25">
      <c r="A88" s="217" t="s">
        <v>2550</v>
      </c>
      <c r="B88" s="254" t="s">
        <v>32</v>
      </c>
      <c r="C88" s="254" t="s">
        <v>32</v>
      </c>
      <c r="D88" s="254" t="s">
        <v>32</v>
      </c>
      <c r="E88" s="254" t="s">
        <v>32</v>
      </c>
      <c r="F88" s="254" t="s">
        <v>32</v>
      </c>
      <c r="G88" s="254" t="s">
        <v>32</v>
      </c>
      <c r="H88" s="254" t="s">
        <v>32</v>
      </c>
      <c r="I88" s="254" t="s">
        <v>32</v>
      </c>
      <c r="J88" s="254" t="s">
        <v>32</v>
      </c>
      <c r="K88" s="254" t="s">
        <v>32</v>
      </c>
      <c r="L88" s="254" t="s">
        <v>32</v>
      </c>
      <c r="M88" s="254" t="s">
        <v>32</v>
      </c>
      <c r="N88" s="254" t="s">
        <v>32</v>
      </c>
      <c r="O88" s="254" t="s">
        <v>32</v>
      </c>
      <c r="P88" s="254" t="s">
        <v>32</v>
      </c>
      <c r="Q88" s="254" t="s">
        <v>32</v>
      </c>
      <c r="R88" s="198"/>
      <c r="S88" s="198"/>
      <c r="T88" s="198"/>
      <c r="U88" s="198"/>
    </row>
    <row r="89" spans="1:26" s="12" customFormat="1" x14ac:dyDescent="0.25">
      <c r="A89" s="217" t="s">
        <v>2551</v>
      </c>
      <c r="B89" s="254" t="s">
        <v>32</v>
      </c>
      <c r="C89" s="254" t="s">
        <v>32</v>
      </c>
      <c r="D89" s="254" t="s">
        <v>32</v>
      </c>
      <c r="E89" s="254" t="s">
        <v>32</v>
      </c>
      <c r="F89" s="254" t="s">
        <v>32</v>
      </c>
      <c r="G89" s="254" t="s">
        <v>32</v>
      </c>
      <c r="H89" s="254" t="s">
        <v>32</v>
      </c>
      <c r="I89" s="254" t="s">
        <v>32</v>
      </c>
      <c r="J89" s="254" t="s">
        <v>32</v>
      </c>
      <c r="K89" s="254" t="s">
        <v>32</v>
      </c>
      <c r="L89" s="254" t="s">
        <v>32</v>
      </c>
      <c r="M89" s="254" t="s">
        <v>32</v>
      </c>
      <c r="N89" s="254" t="s">
        <v>32</v>
      </c>
      <c r="O89" s="254" t="s">
        <v>32</v>
      </c>
      <c r="P89" s="254" t="s">
        <v>32</v>
      </c>
      <c r="Q89" s="254" t="s">
        <v>32</v>
      </c>
      <c r="R89" s="198"/>
      <c r="S89" s="198"/>
      <c r="T89" s="198"/>
      <c r="U89" s="198"/>
    </row>
    <row r="90" spans="1:26" s="12" customFormat="1" x14ac:dyDescent="0.25">
      <c r="A90" s="217" t="s">
        <v>2552</v>
      </c>
      <c r="B90" s="254" t="s">
        <v>32</v>
      </c>
      <c r="C90" s="254" t="s">
        <v>32</v>
      </c>
      <c r="D90" s="254" t="s">
        <v>32</v>
      </c>
      <c r="E90" s="254" t="s">
        <v>32</v>
      </c>
      <c r="F90" s="254" t="s">
        <v>32</v>
      </c>
      <c r="G90" s="254" t="s">
        <v>32</v>
      </c>
      <c r="H90" s="254" t="s">
        <v>32</v>
      </c>
      <c r="I90" s="254" t="s">
        <v>32</v>
      </c>
      <c r="J90" s="254" t="s">
        <v>32</v>
      </c>
      <c r="K90" s="254" t="s">
        <v>32</v>
      </c>
      <c r="L90" s="254" t="s">
        <v>32</v>
      </c>
      <c r="M90" s="254" t="s">
        <v>32</v>
      </c>
      <c r="N90" s="254" t="s">
        <v>32</v>
      </c>
      <c r="O90" s="254" t="s">
        <v>32</v>
      </c>
      <c r="P90" s="254" t="s">
        <v>32</v>
      </c>
      <c r="Q90" s="254" t="s">
        <v>32</v>
      </c>
      <c r="R90" s="198"/>
      <c r="S90" s="198"/>
      <c r="T90" s="198"/>
      <c r="U90" s="198"/>
    </row>
    <row r="91" spans="1:26" s="12" customFormat="1" x14ac:dyDescent="0.25">
      <c r="A91" s="217" t="s">
        <v>2553</v>
      </c>
      <c r="B91" s="254" t="s">
        <v>32</v>
      </c>
      <c r="C91" s="254" t="s">
        <v>32</v>
      </c>
      <c r="D91" s="254" t="s">
        <v>32</v>
      </c>
      <c r="E91" s="254" t="s">
        <v>32</v>
      </c>
      <c r="F91" s="254" t="s">
        <v>32</v>
      </c>
      <c r="G91" s="254" t="s">
        <v>32</v>
      </c>
      <c r="H91" s="254" t="s">
        <v>32</v>
      </c>
      <c r="I91" s="254" t="s">
        <v>32</v>
      </c>
      <c r="J91" s="254" t="s">
        <v>32</v>
      </c>
      <c r="K91" s="254" t="s">
        <v>32</v>
      </c>
      <c r="L91" s="254" t="s">
        <v>32</v>
      </c>
      <c r="M91" s="254" t="s">
        <v>32</v>
      </c>
      <c r="N91" s="254" t="s">
        <v>32</v>
      </c>
      <c r="O91" s="254" t="s">
        <v>32</v>
      </c>
      <c r="P91" s="254" t="s">
        <v>32</v>
      </c>
      <c r="Q91" s="254" t="s">
        <v>32</v>
      </c>
      <c r="R91" s="198"/>
      <c r="S91" s="198"/>
      <c r="T91" s="198"/>
      <c r="U91" s="198"/>
    </row>
    <row r="92" spans="1:26" s="12" customFormat="1" x14ac:dyDescent="0.25">
      <c r="A92" s="217" t="s">
        <v>2554</v>
      </c>
      <c r="B92" s="254" t="s">
        <v>32</v>
      </c>
      <c r="C92" s="254" t="s">
        <v>32</v>
      </c>
      <c r="D92" s="254" t="s">
        <v>32</v>
      </c>
      <c r="E92" s="254" t="s">
        <v>32</v>
      </c>
      <c r="F92" s="254" t="s">
        <v>32</v>
      </c>
      <c r="G92" s="254" t="s">
        <v>32</v>
      </c>
      <c r="H92" s="254" t="s">
        <v>32</v>
      </c>
      <c r="I92" s="254" t="s">
        <v>32</v>
      </c>
      <c r="J92" s="254" t="s">
        <v>32</v>
      </c>
      <c r="K92" s="254" t="s">
        <v>32</v>
      </c>
      <c r="L92" s="254" t="s">
        <v>32</v>
      </c>
      <c r="M92" s="254" t="s">
        <v>32</v>
      </c>
      <c r="N92" s="254" t="s">
        <v>32</v>
      </c>
      <c r="O92" s="254" t="s">
        <v>32</v>
      </c>
      <c r="P92" s="254" t="s">
        <v>32</v>
      </c>
      <c r="Q92" s="254" t="s">
        <v>32</v>
      </c>
      <c r="R92" s="198"/>
      <c r="S92" s="198"/>
      <c r="T92" s="198"/>
      <c r="U92" s="198"/>
    </row>
    <row r="93" spans="1:26" s="12" customFormat="1" x14ac:dyDescent="0.25">
      <c r="A93" s="217" t="s">
        <v>2555</v>
      </c>
      <c r="B93" s="254" t="s">
        <v>32</v>
      </c>
      <c r="C93" s="254" t="s">
        <v>32</v>
      </c>
      <c r="D93" s="254" t="s">
        <v>32</v>
      </c>
      <c r="E93" s="254" t="s">
        <v>32</v>
      </c>
      <c r="F93" s="254" t="s">
        <v>32</v>
      </c>
      <c r="G93" s="254" t="s">
        <v>32</v>
      </c>
      <c r="H93" s="254" t="s">
        <v>32</v>
      </c>
      <c r="I93" s="254" t="s">
        <v>32</v>
      </c>
      <c r="J93" s="254" t="s">
        <v>32</v>
      </c>
      <c r="K93" s="254" t="s">
        <v>32</v>
      </c>
      <c r="L93" s="254" t="s">
        <v>32</v>
      </c>
      <c r="M93" s="254" t="s">
        <v>32</v>
      </c>
      <c r="N93" s="254" t="s">
        <v>32</v>
      </c>
      <c r="O93" s="254" t="s">
        <v>32</v>
      </c>
      <c r="P93" s="254" t="s">
        <v>32</v>
      </c>
      <c r="Q93" s="254" t="s">
        <v>32</v>
      </c>
      <c r="R93" s="198"/>
      <c r="S93" s="198"/>
      <c r="T93" s="198"/>
      <c r="U93" s="198"/>
    </row>
    <row r="94" spans="1:26" s="12" customFormat="1" x14ac:dyDescent="0.25">
      <c r="A94" s="217" t="s">
        <v>2556</v>
      </c>
      <c r="B94" s="254" t="s">
        <v>32</v>
      </c>
      <c r="C94" s="254" t="s">
        <v>32</v>
      </c>
      <c r="D94" s="254" t="s">
        <v>32</v>
      </c>
      <c r="E94" s="254" t="s">
        <v>32</v>
      </c>
      <c r="F94" s="254" t="s">
        <v>32</v>
      </c>
      <c r="G94" s="254" t="s">
        <v>32</v>
      </c>
      <c r="H94" s="254" t="s">
        <v>32</v>
      </c>
      <c r="I94" s="254" t="s">
        <v>32</v>
      </c>
      <c r="J94" s="254" t="s">
        <v>32</v>
      </c>
      <c r="K94" s="254" t="s">
        <v>32</v>
      </c>
      <c r="L94" s="254" t="s">
        <v>32</v>
      </c>
      <c r="M94" s="254" t="s">
        <v>32</v>
      </c>
      <c r="N94" s="254" t="s">
        <v>32</v>
      </c>
      <c r="O94" s="254" t="s">
        <v>32</v>
      </c>
      <c r="P94" s="254" t="s">
        <v>32</v>
      </c>
      <c r="Q94" s="254" t="s">
        <v>32</v>
      </c>
      <c r="R94" s="198"/>
      <c r="S94" s="198"/>
      <c r="T94" s="198"/>
      <c r="U94" s="198"/>
    </row>
    <row r="95" spans="1:26" s="12" customFormat="1" x14ac:dyDescent="0.25">
      <c r="A95" s="217" t="s">
        <v>2557</v>
      </c>
      <c r="B95" s="254" t="s">
        <v>32</v>
      </c>
      <c r="C95" s="254" t="s">
        <v>32</v>
      </c>
      <c r="D95" s="254" t="s">
        <v>32</v>
      </c>
      <c r="E95" s="254" t="s">
        <v>32</v>
      </c>
      <c r="F95" s="254" t="s">
        <v>32</v>
      </c>
      <c r="G95" s="254" t="s">
        <v>32</v>
      </c>
      <c r="H95" s="254" t="s">
        <v>32</v>
      </c>
      <c r="I95" s="254" t="s">
        <v>32</v>
      </c>
      <c r="J95" s="254" t="s">
        <v>32</v>
      </c>
      <c r="K95" s="254" t="s">
        <v>32</v>
      </c>
      <c r="L95" s="254" t="s">
        <v>32</v>
      </c>
      <c r="M95" s="254" t="s">
        <v>32</v>
      </c>
      <c r="N95" s="254" t="s">
        <v>32</v>
      </c>
      <c r="O95" s="254" t="s">
        <v>32</v>
      </c>
      <c r="P95" s="254" t="s">
        <v>32</v>
      </c>
      <c r="Q95" s="254" t="s">
        <v>32</v>
      </c>
      <c r="R95" s="198"/>
      <c r="S95" s="198"/>
      <c r="T95" s="198"/>
      <c r="U95" s="198"/>
    </row>
    <row r="96" spans="1:26" s="12" customFormat="1" x14ac:dyDescent="0.25">
      <c r="A96" s="217" t="s">
        <v>2558</v>
      </c>
      <c r="B96" s="254" t="s">
        <v>32</v>
      </c>
      <c r="C96" s="254" t="s">
        <v>32</v>
      </c>
      <c r="D96" s="254" t="s">
        <v>32</v>
      </c>
      <c r="E96" s="254" t="s">
        <v>32</v>
      </c>
      <c r="F96" s="254" t="s">
        <v>32</v>
      </c>
      <c r="G96" s="254" t="s">
        <v>32</v>
      </c>
      <c r="H96" s="254" t="s">
        <v>32</v>
      </c>
      <c r="I96" s="254" t="s">
        <v>32</v>
      </c>
      <c r="J96" s="254" t="s">
        <v>32</v>
      </c>
      <c r="K96" s="254" t="s">
        <v>32</v>
      </c>
      <c r="L96" s="254" t="s">
        <v>32</v>
      </c>
      <c r="M96" s="254" t="s">
        <v>32</v>
      </c>
      <c r="N96" s="254" t="s">
        <v>32</v>
      </c>
      <c r="O96" s="254" t="s">
        <v>32</v>
      </c>
      <c r="P96" s="254" t="s">
        <v>32</v>
      </c>
      <c r="Q96" s="254" t="s">
        <v>32</v>
      </c>
      <c r="R96" s="198"/>
      <c r="S96" s="198"/>
      <c r="T96" s="198"/>
      <c r="U96" s="198"/>
      <c r="Z96" s="109"/>
    </row>
    <row r="97" spans="1:33" s="12" customFormat="1" x14ac:dyDescent="0.25">
      <c r="A97" s="217" t="s">
        <v>2559</v>
      </c>
      <c r="B97" s="254" t="s">
        <v>32</v>
      </c>
      <c r="C97" s="254" t="s">
        <v>32</v>
      </c>
      <c r="D97" s="254" t="s">
        <v>32</v>
      </c>
      <c r="E97" s="254" t="s">
        <v>32</v>
      </c>
      <c r="F97" s="254" t="s">
        <v>32</v>
      </c>
      <c r="G97" s="254" t="s">
        <v>32</v>
      </c>
      <c r="H97" s="254" t="s">
        <v>32</v>
      </c>
      <c r="I97" s="254" t="s">
        <v>32</v>
      </c>
      <c r="J97" s="254" t="s">
        <v>32</v>
      </c>
      <c r="K97" s="254" t="s">
        <v>32</v>
      </c>
      <c r="L97" s="254" t="s">
        <v>32</v>
      </c>
      <c r="M97" s="254" t="s">
        <v>32</v>
      </c>
      <c r="N97" s="254" t="s">
        <v>32</v>
      </c>
      <c r="O97" s="254" t="s">
        <v>32</v>
      </c>
      <c r="P97" s="254" t="s">
        <v>32</v>
      </c>
      <c r="Q97" s="254" t="s">
        <v>32</v>
      </c>
      <c r="R97" s="198"/>
      <c r="S97" s="198"/>
      <c r="T97" s="198"/>
      <c r="U97" s="198"/>
    </row>
    <row r="98" spans="1:33" s="12" customFormat="1" x14ac:dyDescent="0.25">
      <c r="A98" s="217" t="s">
        <v>2560</v>
      </c>
      <c r="B98" s="254" t="s">
        <v>32</v>
      </c>
      <c r="C98" s="254" t="s">
        <v>32</v>
      </c>
      <c r="D98" s="254" t="s">
        <v>32</v>
      </c>
      <c r="E98" s="254" t="s">
        <v>32</v>
      </c>
      <c r="F98" s="254" t="s">
        <v>32</v>
      </c>
      <c r="G98" s="254" t="s">
        <v>32</v>
      </c>
      <c r="H98" s="254" t="s">
        <v>32</v>
      </c>
      <c r="I98" s="254" t="s">
        <v>32</v>
      </c>
      <c r="J98" s="254" t="s">
        <v>32</v>
      </c>
      <c r="K98" s="254" t="s">
        <v>32</v>
      </c>
      <c r="L98" s="254" t="s">
        <v>32</v>
      </c>
      <c r="M98" s="254" t="s">
        <v>32</v>
      </c>
      <c r="N98" s="254" t="s">
        <v>32</v>
      </c>
      <c r="O98" s="254" t="s">
        <v>32</v>
      </c>
      <c r="P98" s="254" t="s">
        <v>32</v>
      </c>
      <c r="Q98" s="254" t="s">
        <v>32</v>
      </c>
      <c r="R98" s="198"/>
      <c r="S98" s="198"/>
      <c r="T98" s="198"/>
      <c r="U98" s="198"/>
    </row>
    <row r="99" spans="1:33" s="12" customFormat="1" x14ac:dyDescent="0.25">
      <c r="A99" s="217" t="s">
        <v>2561</v>
      </c>
      <c r="B99" s="254" t="s">
        <v>32</v>
      </c>
      <c r="C99" s="254" t="s">
        <v>32</v>
      </c>
      <c r="D99" s="254" t="s">
        <v>32</v>
      </c>
      <c r="E99" s="254" t="s">
        <v>32</v>
      </c>
      <c r="F99" s="254" t="s">
        <v>32</v>
      </c>
      <c r="G99" s="254" t="s">
        <v>32</v>
      </c>
      <c r="H99" s="254" t="s">
        <v>32</v>
      </c>
      <c r="I99" s="254" t="s">
        <v>32</v>
      </c>
      <c r="J99" s="254" t="s">
        <v>32</v>
      </c>
      <c r="K99" s="254" t="s">
        <v>32</v>
      </c>
      <c r="L99" s="254" t="s">
        <v>32</v>
      </c>
      <c r="M99" s="254" t="s">
        <v>32</v>
      </c>
      <c r="N99" s="254" t="s">
        <v>32</v>
      </c>
      <c r="O99" s="254" t="s">
        <v>32</v>
      </c>
      <c r="P99" s="254" t="s">
        <v>32</v>
      </c>
      <c r="Q99" s="254" t="s">
        <v>32</v>
      </c>
      <c r="R99" s="198"/>
      <c r="S99" s="198"/>
      <c r="T99" s="198"/>
      <c r="U99" s="198"/>
    </row>
    <row r="100" spans="1:33" s="12" customFormat="1" x14ac:dyDescent="0.25">
      <c r="A100" s="217" t="s">
        <v>2562</v>
      </c>
      <c r="B100" s="254" t="s">
        <v>32</v>
      </c>
      <c r="C100" s="254" t="s">
        <v>32</v>
      </c>
      <c r="D100" s="254" t="s">
        <v>32</v>
      </c>
      <c r="E100" s="254" t="s">
        <v>32</v>
      </c>
      <c r="F100" s="254" t="s">
        <v>32</v>
      </c>
      <c r="G100" s="254" t="s">
        <v>32</v>
      </c>
      <c r="H100" s="254" t="s">
        <v>32</v>
      </c>
      <c r="I100" s="254" t="s">
        <v>32</v>
      </c>
      <c r="J100" s="254" t="s">
        <v>32</v>
      </c>
      <c r="K100" s="254" t="s">
        <v>32</v>
      </c>
      <c r="L100" s="254" t="s">
        <v>32</v>
      </c>
      <c r="M100" s="254" t="s">
        <v>32</v>
      </c>
      <c r="N100" s="254" t="s">
        <v>32</v>
      </c>
      <c r="O100" s="254" t="s">
        <v>32</v>
      </c>
      <c r="P100" s="254" t="s">
        <v>32</v>
      </c>
      <c r="Q100" s="254" t="s">
        <v>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7" t="s">
        <v>2563</v>
      </c>
      <c r="B101" s="254" t="s">
        <v>32</v>
      </c>
      <c r="C101" s="254" t="s">
        <v>32</v>
      </c>
      <c r="D101" s="254" t="s">
        <v>32</v>
      </c>
      <c r="E101" s="254" t="s">
        <v>32</v>
      </c>
      <c r="F101" s="254" t="s">
        <v>32</v>
      </c>
      <c r="G101" s="254" t="s">
        <v>32</v>
      </c>
      <c r="H101" s="254" t="s">
        <v>32</v>
      </c>
      <c r="I101" s="254" t="s">
        <v>32</v>
      </c>
      <c r="J101" s="254" t="s">
        <v>32</v>
      </c>
      <c r="K101" s="254" t="s">
        <v>32</v>
      </c>
      <c r="L101" s="254" t="s">
        <v>32</v>
      </c>
      <c r="M101" s="254" t="s">
        <v>32</v>
      </c>
      <c r="N101" s="254" t="s">
        <v>32</v>
      </c>
      <c r="O101" s="254" t="s">
        <v>32</v>
      </c>
      <c r="P101" s="254" t="s">
        <v>32</v>
      </c>
      <c r="Q101" s="254" t="s">
        <v>32</v>
      </c>
      <c r="R101" s="198"/>
      <c r="S101" s="198"/>
      <c r="T101" s="198"/>
      <c r="U101" s="198"/>
    </row>
    <row r="102" spans="1:33" s="12" customFormat="1" x14ac:dyDescent="0.25">
      <c r="A102" s="217" t="s">
        <v>2564</v>
      </c>
      <c r="B102" s="254" t="s">
        <v>32</v>
      </c>
      <c r="C102" s="254" t="s">
        <v>32</v>
      </c>
      <c r="D102" s="254" t="s">
        <v>32</v>
      </c>
      <c r="E102" s="254" t="s">
        <v>32</v>
      </c>
      <c r="F102" s="254" t="s">
        <v>32</v>
      </c>
      <c r="G102" s="254" t="s">
        <v>32</v>
      </c>
      <c r="H102" s="254" t="s">
        <v>32</v>
      </c>
      <c r="I102" s="254" t="s">
        <v>32</v>
      </c>
      <c r="J102" s="254" t="s">
        <v>32</v>
      </c>
      <c r="K102" s="254" t="s">
        <v>32</v>
      </c>
      <c r="L102" s="254" t="s">
        <v>32</v>
      </c>
      <c r="M102" s="254" t="s">
        <v>32</v>
      </c>
      <c r="N102" s="254" t="s">
        <v>32</v>
      </c>
      <c r="O102" s="254" t="s">
        <v>32</v>
      </c>
      <c r="P102" s="254" t="s">
        <v>32</v>
      </c>
      <c r="Q102" s="254" t="s">
        <v>32</v>
      </c>
      <c r="R102" s="198"/>
      <c r="S102" s="198"/>
      <c r="T102" s="198"/>
      <c r="U102" s="198"/>
    </row>
    <row r="103" spans="1:33" s="12" customFormat="1" x14ac:dyDescent="0.25">
      <c r="A103" s="217" t="s">
        <v>2565</v>
      </c>
      <c r="B103" s="254" t="s">
        <v>32</v>
      </c>
      <c r="C103" s="254" t="s">
        <v>32</v>
      </c>
      <c r="D103" s="254" t="s">
        <v>32</v>
      </c>
      <c r="E103" s="254" t="s">
        <v>32</v>
      </c>
      <c r="F103" s="254" t="s">
        <v>32</v>
      </c>
      <c r="G103" s="254" t="s">
        <v>32</v>
      </c>
      <c r="H103" s="254" t="s">
        <v>32</v>
      </c>
      <c r="I103" s="254" t="s">
        <v>32</v>
      </c>
      <c r="J103" s="254" t="s">
        <v>32</v>
      </c>
      <c r="K103" s="254" t="s">
        <v>32</v>
      </c>
      <c r="L103" s="254" t="s">
        <v>32</v>
      </c>
      <c r="M103" s="254" t="s">
        <v>32</v>
      </c>
      <c r="N103" s="254" t="s">
        <v>32</v>
      </c>
      <c r="O103" s="254" t="s">
        <v>32</v>
      </c>
      <c r="P103" s="254" t="s">
        <v>32</v>
      </c>
      <c r="Q103" s="254" t="s">
        <v>32</v>
      </c>
      <c r="R103" s="198"/>
      <c r="S103" s="198"/>
      <c r="T103" s="198"/>
      <c r="U103" s="198"/>
    </row>
    <row r="104" spans="1:33" s="12" customFormat="1" x14ac:dyDescent="0.25">
      <c r="A104" s="217" t="s">
        <v>2566</v>
      </c>
      <c r="B104" s="254" t="s">
        <v>32</v>
      </c>
      <c r="C104" s="254" t="s">
        <v>32</v>
      </c>
      <c r="D104" s="254" t="s">
        <v>32</v>
      </c>
      <c r="E104" s="254" t="s">
        <v>32</v>
      </c>
      <c r="F104" s="254" t="s">
        <v>32</v>
      </c>
      <c r="G104" s="254" t="s">
        <v>32</v>
      </c>
      <c r="H104" s="254" t="s">
        <v>32</v>
      </c>
      <c r="I104" s="254" t="s">
        <v>32</v>
      </c>
      <c r="J104" s="254" t="s">
        <v>32</v>
      </c>
      <c r="K104" s="254" t="s">
        <v>32</v>
      </c>
      <c r="L104" s="254" t="s">
        <v>32</v>
      </c>
      <c r="M104" s="254" t="s">
        <v>32</v>
      </c>
      <c r="N104" s="254" t="s">
        <v>32</v>
      </c>
      <c r="O104" s="254" t="s">
        <v>32</v>
      </c>
      <c r="P104" s="254" t="s">
        <v>32</v>
      </c>
      <c r="Q104" s="254" t="s">
        <v>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8.25</v>
      </c>
      <c r="C106" s="67">
        <f>MIN(C9:C104)</f>
        <v>3.14</v>
      </c>
      <c r="D106" s="67">
        <f t="shared" ref="D106:Q106" si="0">MIN(D9:D104)</f>
        <v>12.06</v>
      </c>
      <c r="E106" s="67">
        <f t="shared" si="0"/>
        <v>3.07</v>
      </c>
      <c r="F106" s="67">
        <f t="shared" si="0"/>
        <v>2.27</v>
      </c>
      <c r="G106" s="67">
        <f t="shared" si="0"/>
        <v>1.72</v>
      </c>
      <c r="H106" s="67">
        <f t="shared" si="0"/>
        <v>1.28</v>
      </c>
      <c r="I106" s="67">
        <f t="shared" si="0"/>
        <v>0.43</v>
      </c>
      <c r="J106" s="67">
        <f t="shared" si="0"/>
        <v>0.44</v>
      </c>
      <c r="K106" s="67">
        <f t="shared" si="0"/>
        <v>0.24</v>
      </c>
      <c r="L106" s="67">
        <f t="shared" si="0"/>
        <v>20.97</v>
      </c>
      <c r="M106" s="67">
        <f t="shared" si="0"/>
        <v>99.07</v>
      </c>
      <c r="N106" s="67">
        <f t="shared" si="0"/>
        <v>49.6</v>
      </c>
      <c r="O106" s="67">
        <f t="shared" si="0"/>
        <v>0</v>
      </c>
      <c r="P106" s="67">
        <f t="shared" si="0"/>
        <v>0.16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8.49</v>
      </c>
      <c r="C107" s="66">
        <f t="shared" ref="C107:Q107" si="1">MAX(C9:C104)</f>
        <v>3.8</v>
      </c>
      <c r="D107" s="66">
        <f t="shared" si="1"/>
        <v>12.57</v>
      </c>
      <c r="E107" s="66">
        <f t="shared" si="1"/>
        <v>5.03</v>
      </c>
      <c r="F107" s="66">
        <f t="shared" si="1"/>
        <v>7.63</v>
      </c>
      <c r="G107" s="66">
        <f t="shared" si="1"/>
        <v>7.67</v>
      </c>
      <c r="H107" s="66">
        <f t="shared" si="1"/>
        <v>2.4</v>
      </c>
      <c r="I107" s="66">
        <f t="shared" si="1"/>
        <v>1.05</v>
      </c>
      <c r="J107" s="66">
        <f t="shared" si="1"/>
        <v>0.82</v>
      </c>
      <c r="K107" s="66">
        <f t="shared" si="1"/>
        <v>359.98</v>
      </c>
      <c r="L107" s="66">
        <f t="shared" si="1"/>
        <v>22.78</v>
      </c>
      <c r="M107" s="66">
        <f t="shared" si="1"/>
        <v>99.18</v>
      </c>
      <c r="N107" s="66">
        <f t="shared" si="1"/>
        <v>185.3</v>
      </c>
      <c r="O107" s="66">
        <f t="shared" si="1"/>
        <v>1.8</v>
      </c>
      <c r="P107" s="66">
        <f t="shared" si="1"/>
        <v>0.38</v>
      </c>
      <c r="Q107" s="66">
        <f t="shared" si="1"/>
        <v>9.4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8.3186440677966083</v>
      </c>
      <c r="C108" s="67">
        <f t="shared" ref="C108:Q108" si="2">AVERAGE(C9:C104)</f>
        <v>3.2781355932203389</v>
      </c>
      <c r="D108" s="67">
        <f t="shared" si="2"/>
        <v>12.157966101694916</v>
      </c>
      <c r="E108" s="67">
        <f t="shared" si="2"/>
        <v>4.232372881355932</v>
      </c>
      <c r="F108" s="67">
        <f t="shared" si="2"/>
        <v>4.6345762711864396</v>
      </c>
      <c r="G108" s="67">
        <f t="shared" si="2"/>
        <v>3.4013559322033919</v>
      </c>
      <c r="H108" s="67">
        <f t="shared" si="2"/>
        <v>1.8235593220338984</v>
      </c>
      <c r="I108" s="67">
        <f t="shared" si="2"/>
        <v>0.6622033898305083</v>
      </c>
      <c r="J108" s="67">
        <f t="shared" si="2"/>
        <v>0.64067796610169492</v>
      </c>
      <c r="K108" s="67">
        <f t="shared" si="2"/>
        <v>67.741694915254243</v>
      </c>
      <c r="L108" s="67">
        <f t="shared" si="2"/>
        <v>21.701186440677969</v>
      </c>
      <c r="M108" s="67">
        <f t="shared" si="2"/>
        <v>99.118305084745771</v>
      </c>
      <c r="N108" s="67">
        <f t="shared" si="2"/>
        <v>91.077966101694955</v>
      </c>
      <c r="O108" s="67">
        <f t="shared" si="2"/>
        <v>0.30508474576271172</v>
      </c>
      <c r="P108" s="67">
        <f t="shared" si="2"/>
        <v>0.24271186440677972</v>
      </c>
      <c r="Q108" s="67">
        <f t="shared" si="2"/>
        <v>9.2547457627118597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4.3725540043929444E-2</v>
      </c>
      <c r="C109" s="67">
        <f t="shared" ref="C109:Q109" si="3">STDEV(C9:C104)</f>
        <v>0.12035113248569911</v>
      </c>
      <c r="D109" s="67">
        <f t="shared" si="3"/>
        <v>9.3749108704120759E-2</v>
      </c>
      <c r="E109" s="67">
        <f t="shared" si="3"/>
        <v>0.54718823270472894</v>
      </c>
      <c r="F109" s="67">
        <f t="shared" si="3"/>
        <v>1.0161375857728832</v>
      </c>
      <c r="G109" s="67">
        <f t="shared" si="3"/>
        <v>1.3895924205557213</v>
      </c>
      <c r="H109" s="67">
        <f t="shared" si="3"/>
        <v>0.33854028799041919</v>
      </c>
      <c r="I109" s="67">
        <f t="shared" si="3"/>
        <v>0.20643165184840906</v>
      </c>
      <c r="J109" s="67">
        <f t="shared" si="3"/>
        <v>7.2227237358780269E-2</v>
      </c>
      <c r="K109" s="67">
        <f t="shared" si="3"/>
        <v>131.2236632381121</v>
      </c>
      <c r="L109" s="67">
        <f t="shared" si="3"/>
        <v>0.58001511498070313</v>
      </c>
      <c r="M109" s="67">
        <f t="shared" si="3"/>
        <v>3.0690476023146212E-2</v>
      </c>
      <c r="N109" s="67">
        <f t="shared" si="3"/>
        <v>42.233023799394275</v>
      </c>
      <c r="O109" s="67">
        <f t="shared" si="3"/>
        <v>0.43526596261547046</v>
      </c>
      <c r="P109" s="67">
        <f t="shared" si="3"/>
        <v>7.0118877100067409E-2</v>
      </c>
      <c r="Q109" s="67">
        <f t="shared" si="3"/>
        <v>5.8908342954685652E-2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COUNT(B9:B104)+37</f>
        <v>96</v>
      </c>
      <c r="C110" s="66">
        <f t="shared" ref="C110:Q110" si="4">COUNT(C9:C104)+37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2567</v>
      </c>
      <c r="B9" s="60">
        <v>148.66</v>
      </c>
      <c r="C9" s="60">
        <v>100.3</v>
      </c>
      <c r="D9" s="60">
        <v>174.98</v>
      </c>
      <c r="E9" s="60">
        <v>5.13</v>
      </c>
      <c r="F9" s="60">
        <v>3.47</v>
      </c>
      <c r="G9" s="60">
        <v>155.6</v>
      </c>
      <c r="H9" s="60">
        <v>60.32</v>
      </c>
      <c r="I9" s="60">
        <v>1.88</v>
      </c>
      <c r="J9" s="60">
        <v>0.03</v>
      </c>
      <c r="K9" s="60">
        <v>340.83</v>
      </c>
      <c r="L9" s="60">
        <v>19.38</v>
      </c>
      <c r="M9" s="60">
        <v>68</v>
      </c>
      <c r="N9" s="60">
        <v>4.5999999999999996</v>
      </c>
      <c r="O9" s="60">
        <v>0</v>
      </c>
      <c r="P9" s="60">
        <v>4.01</v>
      </c>
      <c r="Q9" s="60">
        <v>50.28</v>
      </c>
      <c r="R9" s="198"/>
      <c r="S9" s="198"/>
      <c r="T9" s="198"/>
      <c r="U9" s="198"/>
    </row>
    <row r="10" spans="1:21" s="12" customFormat="1" x14ac:dyDescent="0.25">
      <c r="A10" s="213" t="s">
        <v>2568</v>
      </c>
      <c r="B10" s="60">
        <v>146.49</v>
      </c>
      <c r="C10" s="60">
        <v>100.67</v>
      </c>
      <c r="D10" s="60">
        <v>173.45</v>
      </c>
      <c r="E10" s="60">
        <v>4.9800000000000004</v>
      </c>
      <c r="F10" s="60">
        <v>3.38</v>
      </c>
      <c r="G10" s="60">
        <v>142.32</v>
      </c>
      <c r="H10" s="60">
        <v>58.56</v>
      </c>
      <c r="I10" s="60">
        <v>1.88</v>
      </c>
      <c r="J10" s="60">
        <v>0.06</v>
      </c>
      <c r="K10" s="60">
        <v>352.81</v>
      </c>
      <c r="L10" s="60">
        <v>19.28</v>
      </c>
      <c r="M10" s="60">
        <v>68</v>
      </c>
      <c r="N10" s="60">
        <v>4.5</v>
      </c>
      <c r="O10" s="60">
        <v>0</v>
      </c>
      <c r="P10" s="60">
        <v>3.93</v>
      </c>
      <c r="Q10" s="60">
        <v>51.49</v>
      </c>
      <c r="R10" s="198"/>
      <c r="S10" s="198"/>
      <c r="T10" s="198"/>
      <c r="U10" s="198"/>
    </row>
    <row r="11" spans="1:21" s="12" customFormat="1" x14ac:dyDescent="0.25">
      <c r="A11" s="213" t="s">
        <v>2569</v>
      </c>
      <c r="B11" s="60">
        <v>141.83000000000001</v>
      </c>
      <c r="C11" s="60">
        <v>98.85</v>
      </c>
      <c r="D11" s="60">
        <v>168.71</v>
      </c>
      <c r="E11" s="60">
        <v>5.75</v>
      </c>
      <c r="F11" s="60">
        <v>3.39</v>
      </c>
      <c r="G11" s="60">
        <v>142.32</v>
      </c>
      <c r="H11" s="60">
        <v>58.56</v>
      </c>
      <c r="I11" s="60">
        <v>1.89</v>
      </c>
      <c r="J11" s="60">
        <v>0.09</v>
      </c>
      <c r="K11" s="60">
        <v>289.51</v>
      </c>
      <c r="L11" s="60">
        <v>19.27</v>
      </c>
      <c r="M11" s="60">
        <v>67</v>
      </c>
      <c r="N11" s="60">
        <v>4.2</v>
      </c>
      <c r="O11" s="60">
        <v>0</v>
      </c>
      <c r="P11" s="60">
        <v>3.8</v>
      </c>
      <c r="Q11" s="60">
        <v>52.09</v>
      </c>
      <c r="R11" s="198"/>
      <c r="S11" s="198"/>
      <c r="T11" s="198"/>
      <c r="U11" s="198"/>
    </row>
    <row r="12" spans="1:21" s="12" customFormat="1" x14ac:dyDescent="0.25">
      <c r="A12" s="213" t="s">
        <v>2570</v>
      </c>
      <c r="B12" s="60">
        <v>135.04</v>
      </c>
      <c r="C12" s="60">
        <v>96.71</v>
      </c>
      <c r="D12" s="60">
        <v>162.07</v>
      </c>
      <c r="E12" s="60">
        <v>5.09</v>
      </c>
      <c r="F12" s="60">
        <v>3.33</v>
      </c>
      <c r="G12" s="60">
        <v>142.32</v>
      </c>
      <c r="H12" s="60">
        <v>58.56</v>
      </c>
      <c r="I12" s="60">
        <v>1.86</v>
      </c>
      <c r="J12" s="60">
        <v>0.13</v>
      </c>
      <c r="K12" s="60">
        <v>301.14</v>
      </c>
      <c r="L12" s="60">
        <v>19.399999999999999</v>
      </c>
      <c r="M12" s="60">
        <v>65</v>
      </c>
      <c r="N12" s="60">
        <v>4.0999999999999996</v>
      </c>
      <c r="O12" s="60">
        <v>0</v>
      </c>
      <c r="P12" s="60">
        <v>3.63</v>
      </c>
      <c r="Q12" s="60">
        <v>51.46</v>
      </c>
      <c r="R12" s="198"/>
      <c r="S12" s="198"/>
      <c r="T12" s="198"/>
      <c r="U12" s="198"/>
    </row>
    <row r="13" spans="1:21" s="12" customFormat="1" x14ac:dyDescent="0.25">
      <c r="A13" s="213" t="s">
        <v>2571</v>
      </c>
      <c r="B13" s="60">
        <v>126.95</v>
      </c>
      <c r="C13" s="60">
        <v>94.2</v>
      </c>
      <c r="D13" s="60">
        <v>154.21</v>
      </c>
      <c r="E13" s="60">
        <v>4.8899999999999997</v>
      </c>
      <c r="F13" s="60">
        <v>3.36</v>
      </c>
      <c r="G13" s="60">
        <v>127.74</v>
      </c>
      <c r="H13" s="60">
        <v>56.3</v>
      </c>
      <c r="I13" s="60">
        <v>1.81</v>
      </c>
      <c r="J13" s="60">
        <v>7.0000000000000007E-2</v>
      </c>
      <c r="K13" s="60">
        <v>342.85</v>
      </c>
      <c r="L13" s="60">
        <v>19.78</v>
      </c>
      <c r="M13" s="60">
        <v>63</v>
      </c>
      <c r="N13" s="60">
        <v>4.2</v>
      </c>
      <c r="O13" s="60">
        <v>0</v>
      </c>
      <c r="P13" s="60">
        <v>3.18</v>
      </c>
      <c r="Q13" s="60">
        <v>50.13</v>
      </c>
      <c r="R13" s="198"/>
      <c r="S13" s="198"/>
      <c r="T13" s="198"/>
      <c r="U13" s="198"/>
    </row>
    <row r="14" spans="1:21" s="12" customFormat="1" x14ac:dyDescent="0.25">
      <c r="A14" s="213" t="s">
        <v>2572</v>
      </c>
      <c r="B14" s="60">
        <v>118.88</v>
      </c>
      <c r="C14" s="60">
        <v>92.5</v>
      </c>
      <c r="D14" s="60">
        <v>146.80000000000001</v>
      </c>
      <c r="E14" s="60">
        <v>5.03</v>
      </c>
      <c r="F14" s="60">
        <v>3.38</v>
      </c>
      <c r="G14" s="60">
        <v>93.73</v>
      </c>
      <c r="H14" s="60">
        <v>51.02</v>
      </c>
      <c r="I14" s="60">
        <v>1.76</v>
      </c>
      <c r="J14" s="60">
        <v>0.23</v>
      </c>
      <c r="K14" s="60">
        <v>281.56</v>
      </c>
      <c r="L14" s="60">
        <v>19.579999999999998</v>
      </c>
      <c r="M14" s="60">
        <v>62</v>
      </c>
      <c r="N14" s="60">
        <v>4</v>
      </c>
      <c r="O14" s="60">
        <v>0</v>
      </c>
      <c r="P14" s="60">
        <v>3.14</v>
      </c>
      <c r="Q14" s="60">
        <v>49.1</v>
      </c>
      <c r="R14" s="198"/>
      <c r="S14" s="198"/>
      <c r="T14" s="198"/>
      <c r="U14" s="198"/>
    </row>
    <row r="15" spans="1:21" s="12" customFormat="1" x14ac:dyDescent="0.25">
      <c r="A15" s="213" t="s">
        <v>2573</v>
      </c>
      <c r="B15" s="60">
        <v>110.48</v>
      </c>
      <c r="C15" s="60">
        <v>90.12</v>
      </c>
      <c r="D15" s="60">
        <v>138.75</v>
      </c>
      <c r="E15" s="60">
        <v>4.68</v>
      </c>
      <c r="F15" s="60">
        <v>3.24</v>
      </c>
      <c r="G15" s="60">
        <v>93.73</v>
      </c>
      <c r="H15" s="60">
        <v>51.02</v>
      </c>
      <c r="I15" s="60">
        <v>1.69</v>
      </c>
      <c r="J15" s="60">
        <v>0.08</v>
      </c>
      <c r="K15" s="60">
        <v>57.27</v>
      </c>
      <c r="L15" s="60">
        <v>19.13</v>
      </c>
      <c r="M15" s="60">
        <v>65</v>
      </c>
      <c r="N15" s="60">
        <v>4.8</v>
      </c>
      <c r="O15" s="60">
        <v>0</v>
      </c>
      <c r="P15" s="60">
        <v>2.94</v>
      </c>
      <c r="Q15" s="60">
        <v>48.24</v>
      </c>
      <c r="R15" s="198"/>
      <c r="S15" s="198"/>
      <c r="T15" s="198"/>
      <c r="U15" s="198"/>
    </row>
    <row r="16" spans="1:21" s="12" customFormat="1" x14ac:dyDescent="0.25">
      <c r="A16" s="213" t="s">
        <v>2574</v>
      </c>
      <c r="B16" s="60">
        <v>101.75</v>
      </c>
      <c r="C16" s="60">
        <v>86.84</v>
      </c>
      <c r="D16" s="60">
        <v>129.93</v>
      </c>
      <c r="E16" s="60">
        <v>4.58</v>
      </c>
      <c r="F16" s="60">
        <v>3.37</v>
      </c>
      <c r="G16" s="60">
        <v>93.73</v>
      </c>
      <c r="H16" s="60">
        <v>51.02</v>
      </c>
      <c r="I16" s="60">
        <v>1.62</v>
      </c>
      <c r="J16" s="60">
        <v>0.12</v>
      </c>
      <c r="K16" s="60">
        <v>359.78</v>
      </c>
      <c r="L16" s="60">
        <v>18.68</v>
      </c>
      <c r="M16" s="60">
        <v>67</v>
      </c>
      <c r="N16" s="60">
        <v>4.5999999999999996</v>
      </c>
      <c r="O16" s="60">
        <v>0</v>
      </c>
      <c r="P16" s="60">
        <v>2.78</v>
      </c>
      <c r="Q16" s="60">
        <v>47.16</v>
      </c>
      <c r="R16" s="198"/>
      <c r="S16" s="198"/>
      <c r="T16" s="198"/>
      <c r="U16" s="198"/>
    </row>
    <row r="17" spans="1:21" s="12" customFormat="1" x14ac:dyDescent="0.25">
      <c r="A17" s="213" t="s">
        <v>2575</v>
      </c>
      <c r="B17" s="60">
        <v>95.64</v>
      </c>
      <c r="C17" s="60">
        <v>82.07</v>
      </c>
      <c r="D17" s="60">
        <v>122.4</v>
      </c>
      <c r="E17" s="60">
        <v>4.21</v>
      </c>
      <c r="F17" s="60">
        <v>3.43</v>
      </c>
      <c r="G17" s="60">
        <v>85.75</v>
      </c>
      <c r="H17" s="60">
        <v>48.22</v>
      </c>
      <c r="I17" s="60">
        <v>1.54</v>
      </c>
      <c r="J17" s="60">
        <v>0.12</v>
      </c>
      <c r="K17" s="60">
        <v>13.27</v>
      </c>
      <c r="L17" s="60">
        <v>18.46</v>
      </c>
      <c r="M17" s="60">
        <v>70</v>
      </c>
      <c r="N17" s="60">
        <v>4.5999999999999996</v>
      </c>
      <c r="O17" s="60">
        <v>0</v>
      </c>
      <c r="P17" s="60">
        <v>2.64</v>
      </c>
      <c r="Q17" s="60">
        <v>45.39</v>
      </c>
      <c r="R17" s="198"/>
      <c r="S17" s="198"/>
      <c r="T17" s="198"/>
      <c r="U17" s="198"/>
    </row>
    <row r="18" spans="1:21" s="12" customFormat="1" x14ac:dyDescent="0.25">
      <c r="A18" s="213" t="s">
        <v>2576</v>
      </c>
      <c r="B18" s="60">
        <v>92.63</v>
      </c>
      <c r="C18" s="60">
        <v>83.81</v>
      </c>
      <c r="D18" s="60">
        <v>120.95</v>
      </c>
      <c r="E18" s="60">
        <v>4.68</v>
      </c>
      <c r="F18" s="60">
        <v>3.45</v>
      </c>
      <c r="G18" s="60">
        <v>67.12</v>
      </c>
      <c r="H18" s="60">
        <v>41.69</v>
      </c>
      <c r="I18" s="60">
        <v>1.48</v>
      </c>
      <c r="J18" s="60">
        <v>0.12</v>
      </c>
      <c r="K18" s="60">
        <v>353.56</v>
      </c>
      <c r="L18" s="60">
        <v>18.11</v>
      </c>
      <c r="M18" s="60">
        <v>73</v>
      </c>
      <c r="N18" s="60">
        <v>4.5999999999999996</v>
      </c>
      <c r="O18" s="60">
        <v>0</v>
      </c>
      <c r="P18" s="60">
        <v>2.54</v>
      </c>
      <c r="Q18" s="60">
        <v>44.6</v>
      </c>
      <c r="R18" s="198"/>
      <c r="S18" s="198"/>
      <c r="T18" s="198"/>
      <c r="U18" s="198"/>
    </row>
    <row r="19" spans="1:21" s="12" customFormat="1" x14ac:dyDescent="0.25">
      <c r="A19" s="213" t="s">
        <v>2577</v>
      </c>
      <c r="B19" s="60">
        <v>87.82</v>
      </c>
      <c r="C19" s="60">
        <v>82.8</v>
      </c>
      <c r="D19" s="60">
        <v>116.54</v>
      </c>
      <c r="E19" s="60">
        <v>4.76</v>
      </c>
      <c r="F19" s="60">
        <v>3.24</v>
      </c>
      <c r="G19" s="60">
        <v>67.12</v>
      </c>
      <c r="H19" s="60">
        <v>41.69</v>
      </c>
      <c r="I19" s="60">
        <v>1.44</v>
      </c>
      <c r="J19" s="60">
        <v>7.0000000000000007E-2</v>
      </c>
      <c r="K19" s="60">
        <v>341.73</v>
      </c>
      <c r="L19" s="60">
        <v>17.850000000000001</v>
      </c>
      <c r="M19" s="60">
        <v>74</v>
      </c>
      <c r="N19" s="60">
        <v>4.5999999999999996</v>
      </c>
      <c r="O19" s="60">
        <v>0</v>
      </c>
      <c r="P19" s="60">
        <v>2.42</v>
      </c>
      <c r="Q19" s="60">
        <v>44.43</v>
      </c>
      <c r="R19" s="198"/>
      <c r="S19" s="198"/>
      <c r="T19" s="198"/>
      <c r="U19" s="198"/>
    </row>
    <row r="20" spans="1:21" s="12" customFormat="1" x14ac:dyDescent="0.25">
      <c r="A20" s="213" t="s">
        <v>2578</v>
      </c>
      <c r="B20" s="60">
        <v>83.78</v>
      </c>
      <c r="C20" s="60">
        <v>81.19</v>
      </c>
      <c r="D20" s="60">
        <v>112.41</v>
      </c>
      <c r="E20" s="60">
        <v>4.12</v>
      </c>
      <c r="F20" s="60">
        <v>3.21</v>
      </c>
      <c r="G20" s="60">
        <v>67.12</v>
      </c>
      <c r="H20" s="60">
        <v>41.69</v>
      </c>
      <c r="I20" s="60">
        <v>1.4</v>
      </c>
      <c r="J20" s="60">
        <v>7.0000000000000007E-2</v>
      </c>
      <c r="K20" s="60">
        <v>315.77999999999997</v>
      </c>
      <c r="L20" s="60">
        <v>17.8</v>
      </c>
      <c r="M20" s="60">
        <v>73</v>
      </c>
      <c r="N20" s="60">
        <v>4.5</v>
      </c>
      <c r="O20" s="60">
        <v>0</v>
      </c>
      <c r="P20" s="60">
        <v>2.2999999999999998</v>
      </c>
      <c r="Q20" s="60">
        <v>43.94</v>
      </c>
      <c r="R20" s="198"/>
      <c r="S20" s="198"/>
      <c r="T20" s="198"/>
      <c r="U20" s="198"/>
    </row>
    <row r="21" spans="1:21" s="12" customFormat="1" x14ac:dyDescent="0.25">
      <c r="A21" s="213" t="s">
        <v>2579</v>
      </c>
      <c r="B21" s="60">
        <v>79.22</v>
      </c>
      <c r="C21" s="60">
        <v>79.569999999999993</v>
      </c>
      <c r="D21" s="60">
        <v>107.85</v>
      </c>
      <c r="E21" s="60">
        <v>3.89</v>
      </c>
      <c r="F21" s="60">
        <v>3.3</v>
      </c>
      <c r="G21" s="60">
        <v>68.53</v>
      </c>
      <c r="H21" s="60">
        <v>40.53</v>
      </c>
      <c r="I21" s="60">
        <v>1.36</v>
      </c>
      <c r="J21" s="60">
        <v>0.06</v>
      </c>
      <c r="K21" s="60">
        <v>16.86</v>
      </c>
      <c r="L21" s="60">
        <v>17.86</v>
      </c>
      <c r="M21" s="60">
        <v>73</v>
      </c>
      <c r="N21" s="60">
        <v>4.5</v>
      </c>
      <c r="O21" s="60">
        <v>0</v>
      </c>
      <c r="P21" s="60">
        <v>2.2000000000000002</v>
      </c>
      <c r="Q21" s="60">
        <v>43.78</v>
      </c>
      <c r="R21" s="198"/>
      <c r="S21" s="198"/>
      <c r="T21" s="198"/>
      <c r="U21" s="198"/>
    </row>
    <row r="22" spans="1:21" s="12" customFormat="1" x14ac:dyDescent="0.25">
      <c r="A22" s="213" t="s">
        <v>2580</v>
      </c>
      <c r="B22" s="60">
        <v>77</v>
      </c>
      <c r="C22" s="60">
        <v>78.28</v>
      </c>
      <c r="D22" s="60">
        <v>105.36</v>
      </c>
      <c r="E22" s="60">
        <v>4.03</v>
      </c>
      <c r="F22" s="60">
        <v>3.42</v>
      </c>
      <c r="G22" s="60">
        <v>71.819999999999993</v>
      </c>
      <c r="H22" s="60">
        <v>37.83</v>
      </c>
      <c r="I22" s="60">
        <v>1.32</v>
      </c>
      <c r="J22" s="60">
        <v>0.09</v>
      </c>
      <c r="K22" s="60">
        <v>320.7</v>
      </c>
      <c r="L22" s="60">
        <v>17.75</v>
      </c>
      <c r="M22" s="60">
        <v>72</v>
      </c>
      <c r="N22" s="60">
        <v>4.5999999999999996</v>
      </c>
      <c r="O22" s="60">
        <v>0</v>
      </c>
      <c r="P22" s="60">
        <v>2.1</v>
      </c>
      <c r="Q22" s="60">
        <v>43.68</v>
      </c>
      <c r="R22" s="198"/>
      <c r="S22" s="198"/>
      <c r="T22" s="198"/>
      <c r="U22" s="198"/>
    </row>
    <row r="23" spans="1:21" s="12" customFormat="1" x14ac:dyDescent="0.25">
      <c r="A23" s="213" t="s">
        <v>2581</v>
      </c>
      <c r="B23" s="60">
        <v>74.52</v>
      </c>
      <c r="C23" s="60">
        <v>77.099999999999994</v>
      </c>
      <c r="D23" s="60">
        <v>102.72</v>
      </c>
      <c r="E23" s="60">
        <v>3.73</v>
      </c>
      <c r="F23" s="60">
        <v>3.46</v>
      </c>
      <c r="G23" s="60">
        <v>71.819999999999993</v>
      </c>
      <c r="H23" s="60">
        <v>37.83</v>
      </c>
      <c r="I23" s="60">
        <v>1.28</v>
      </c>
      <c r="J23" s="60">
        <v>0.16</v>
      </c>
      <c r="K23" s="60">
        <v>352.89</v>
      </c>
      <c r="L23" s="60">
        <v>17.68</v>
      </c>
      <c r="M23" s="60">
        <v>77</v>
      </c>
      <c r="N23" s="60">
        <v>4.4000000000000004</v>
      </c>
      <c r="O23" s="60">
        <v>0</v>
      </c>
      <c r="P23" s="60">
        <v>2</v>
      </c>
      <c r="Q23" s="60">
        <v>43.53</v>
      </c>
      <c r="R23" s="198"/>
      <c r="S23" s="198"/>
      <c r="T23" s="198"/>
      <c r="U23" s="198"/>
    </row>
    <row r="24" spans="1:21" s="12" customFormat="1" x14ac:dyDescent="0.25">
      <c r="A24" s="213" t="s">
        <v>2582</v>
      </c>
      <c r="B24" s="60">
        <v>71.569999999999993</v>
      </c>
      <c r="C24" s="60">
        <v>76.209999999999994</v>
      </c>
      <c r="D24" s="60">
        <v>99.87</v>
      </c>
      <c r="E24" s="60">
        <v>2.19</v>
      </c>
      <c r="F24" s="60">
        <v>3.51</v>
      </c>
      <c r="G24" s="60">
        <v>71.819999999999993</v>
      </c>
      <c r="H24" s="60">
        <v>37.83</v>
      </c>
      <c r="I24" s="60">
        <v>1.25</v>
      </c>
      <c r="J24" s="60">
        <v>0.11</v>
      </c>
      <c r="K24" s="60">
        <v>334.85</v>
      </c>
      <c r="L24" s="60">
        <v>17.45</v>
      </c>
      <c r="M24" s="60">
        <v>76</v>
      </c>
      <c r="N24" s="60">
        <v>4.5</v>
      </c>
      <c r="O24" s="60">
        <v>0</v>
      </c>
      <c r="P24" s="60">
        <v>1.9</v>
      </c>
      <c r="Q24" s="60">
        <v>44.26</v>
      </c>
      <c r="R24" s="198"/>
      <c r="S24" s="198"/>
      <c r="T24" s="198"/>
      <c r="U24" s="198"/>
    </row>
    <row r="25" spans="1:21" s="12" customFormat="1" x14ac:dyDescent="0.25">
      <c r="A25" s="213" t="s">
        <v>2583</v>
      </c>
      <c r="B25" s="60">
        <v>67.27</v>
      </c>
      <c r="C25" s="60">
        <v>74.790000000000006</v>
      </c>
      <c r="D25" s="60">
        <v>95.63</v>
      </c>
      <c r="E25" s="60">
        <v>3.66</v>
      </c>
      <c r="F25" s="60">
        <v>3.42</v>
      </c>
      <c r="G25" s="60">
        <v>70.62</v>
      </c>
      <c r="H25" s="60">
        <v>36.58</v>
      </c>
      <c r="I25" s="60">
        <v>1.21</v>
      </c>
      <c r="J25" s="60">
        <v>0.03</v>
      </c>
      <c r="K25" s="60">
        <v>165.2</v>
      </c>
      <c r="L25" s="60">
        <v>17.48</v>
      </c>
      <c r="M25" s="60">
        <v>73</v>
      </c>
      <c r="N25" s="60">
        <v>4.4000000000000004</v>
      </c>
      <c r="O25" s="60">
        <v>0</v>
      </c>
      <c r="P25" s="60">
        <v>1.79</v>
      </c>
      <c r="Q25" s="60">
        <v>44.84</v>
      </c>
      <c r="R25" s="198"/>
      <c r="S25" s="198"/>
      <c r="T25" s="198"/>
      <c r="U25" s="198"/>
    </row>
    <row r="26" spans="1:21" s="12" customFormat="1" x14ac:dyDescent="0.25">
      <c r="A26" s="213" t="s">
        <v>2584</v>
      </c>
      <c r="B26" s="60">
        <v>62.81</v>
      </c>
      <c r="C26" s="60">
        <v>73.33</v>
      </c>
      <c r="D26" s="60">
        <v>91.25</v>
      </c>
      <c r="E26" s="60">
        <v>3.79</v>
      </c>
      <c r="F26" s="60">
        <v>3.37</v>
      </c>
      <c r="G26" s="60">
        <v>67.81</v>
      </c>
      <c r="H26" s="60">
        <v>33.64</v>
      </c>
      <c r="I26" s="60">
        <v>1.08</v>
      </c>
      <c r="J26" s="60">
        <v>0.1</v>
      </c>
      <c r="K26" s="60">
        <v>304.93</v>
      </c>
      <c r="L26" s="60">
        <v>17.440000000000001</v>
      </c>
      <c r="M26" s="60">
        <v>73</v>
      </c>
      <c r="N26" s="60">
        <v>4.5</v>
      </c>
      <c r="O26" s="60">
        <v>0</v>
      </c>
      <c r="P26" s="60">
        <v>1.7</v>
      </c>
      <c r="Q26" s="60">
        <v>44.09</v>
      </c>
      <c r="R26" s="198"/>
      <c r="S26" s="198"/>
      <c r="T26" s="198"/>
      <c r="U26" s="198"/>
    </row>
    <row r="27" spans="1:21" s="12" customFormat="1" x14ac:dyDescent="0.25">
      <c r="A27" s="213" t="s">
        <v>2585</v>
      </c>
      <c r="B27" s="60">
        <v>60.07</v>
      </c>
      <c r="C27" s="60">
        <v>72.88</v>
      </c>
      <c r="D27" s="60">
        <v>88.81</v>
      </c>
      <c r="E27" s="60">
        <v>3.74</v>
      </c>
      <c r="F27" s="60">
        <v>3.34</v>
      </c>
      <c r="G27" s="60">
        <v>67.81</v>
      </c>
      <c r="H27" s="60">
        <v>33.64</v>
      </c>
      <c r="I27" s="60">
        <v>1.1100000000000001</v>
      </c>
      <c r="J27" s="60">
        <v>0.1</v>
      </c>
      <c r="K27" s="60">
        <v>3.82</v>
      </c>
      <c r="L27" s="60">
        <v>17.3</v>
      </c>
      <c r="M27" s="60">
        <v>75</v>
      </c>
      <c r="N27" s="60">
        <v>4.5999999999999996</v>
      </c>
      <c r="O27" s="60">
        <v>0</v>
      </c>
      <c r="P27" s="60">
        <v>1.6</v>
      </c>
      <c r="Q27" s="60">
        <v>43.82</v>
      </c>
      <c r="R27" s="198"/>
      <c r="S27" s="198"/>
      <c r="T27" s="198"/>
      <c r="U27" s="198"/>
    </row>
    <row r="28" spans="1:21" s="12" customFormat="1" x14ac:dyDescent="0.25">
      <c r="A28" s="213" t="s">
        <v>2586</v>
      </c>
      <c r="B28" s="60">
        <v>58.83</v>
      </c>
      <c r="C28" s="60">
        <v>73.040000000000006</v>
      </c>
      <c r="D28" s="60">
        <v>87.9</v>
      </c>
      <c r="E28" s="60">
        <v>3.07</v>
      </c>
      <c r="F28" s="60">
        <v>3.29</v>
      </c>
      <c r="G28" s="60">
        <v>67.81</v>
      </c>
      <c r="H28" s="60">
        <v>33.64</v>
      </c>
      <c r="I28" s="60">
        <v>0.99</v>
      </c>
      <c r="J28" s="60">
        <v>0.01</v>
      </c>
      <c r="K28" s="60">
        <v>238.87</v>
      </c>
      <c r="L28" s="60">
        <v>17.059999999999999</v>
      </c>
      <c r="M28" s="60">
        <v>76</v>
      </c>
      <c r="N28" s="60">
        <v>4.5</v>
      </c>
      <c r="O28" s="60">
        <v>0</v>
      </c>
      <c r="P28" s="60">
        <v>1.52</v>
      </c>
      <c r="Q28" s="60">
        <v>43.45</v>
      </c>
      <c r="R28" s="198"/>
      <c r="S28" s="198"/>
      <c r="T28" s="198"/>
      <c r="U28" s="198"/>
    </row>
    <row r="29" spans="1:21" s="12" customFormat="1" x14ac:dyDescent="0.25">
      <c r="A29" s="213" t="s">
        <v>2587</v>
      </c>
      <c r="B29" s="60">
        <v>58.74</v>
      </c>
      <c r="C29" s="60">
        <v>73.930000000000007</v>
      </c>
      <c r="D29" s="60">
        <v>88.32</v>
      </c>
      <c r="E29" s="60">
        <v>3.94</v>
      </c>
      <c r="F29" s="60">
        <v>3.32</v>
      </c>
      <c r="G29" s="60">
        <v>64.64</v>
      </c>
      <c r="H29" s="60">
        <v>31.8</v>
      </c>
      <c r="I29" s="60">
        <v>0.95</v>
      </c>
      <c r="J29" s="60">
        <v>0.05</v>
      </c>
      <c r="K29" s="60">
        <v>331.96</v>
      </c>
      <c r="L29" s="60">
        <v>17.010000000000002</v>
      </c>
      <c r="M29" s="60">
        <v>76</v>
      </c>
      <c r="N29" s="60">
        <v>4.5999999999999996</v>
      </c>
      <c r="O29" s="60">
        <v>0</v>
      </c>
      <c r="P29" s="60">
        <v>1.44</v>
      </c>
      <c r="Q29" s="60">
        <v>43.14</v>
      </c>
      <c r="R29" s="198"/>
      <c r="S29" s="198"/>
      <c r="T29" s="198"/>
      <c r="U29" s="198"/>
    </row>
    <row r="30" spans="1:21" s="12" customFormat="1" x14ac:dyDescent="0.25">
      <c r="A30" s="213" t="s">
        <v>2588</v>
      </c>
      <c r="B30" s="60">
        <v>58.99</v>
      </c>
      <c r="C30" s="60">
        <v>75</v>
      </c>
      <c r="D30" s="60">
        <v>89.11</v>
      </c>
      <c r="E30" s="60">
        <v>3.35</v>
      </c>
      <c r="F30" s="60">
        <v>3.47</v>
      </c>
      <c r="G30" s="60">
        <v>57.24</v>
      </c>
      <c r="H30" s="60">
        <v>27.51</v>
      </c>
      <c r="I30" s="60">
        <v>0.93</v>
      </c>
      <c r="J30" s="60">
        <v>7.0000000000000007E-2</v>
      </c>
      <c r="K30" s="60">
        <v>319.22000000000003</v>
      </c>
      <c r="L30" s="60">
        <v>16.97</v>
      </c>
      <c r="M30" s="60">
        <v>76</v>
      </c>
      <c r="N30" s="60">
        <v>4.5</v>
      </c>
      <c r="O30" s="60">
        <v>0</v>
      </c>
      <c r="P30" s="60">
        <v>1.35</v>
      </c>
      <c r="Q30" s="60">
        <v>42.99</v>
      </c>
      <c r="R30" s="198"/>
      <c r="S30" s="198"/>
      <c r="T30" s="198"/>
      <c r="U30" s="198"/>
    </row>
    <row r="31" spans="1:21" s="12" customFormat="1" x14ac:dyDescent="0.25">
      <c r="A31" s="213" t="s">
        <v>2589</v>
      </c>
      <c r="B31" s="60">
        <v>59.77</v>
      </c>
      <c r="C31" s="60">
        <v>75.28</v>
      </c>
      <c r="D31" s="60">
        <v>89.9</v>
      </c>
      <c r="E31" s="60">
        <v>3.18</v>
      </c>
      <c r="F31" s="60">
        <v>3.39</v>
      </c>
      <c r="G31" s="60">
        <v>57.24</v>
      </c>
      <c r="H31" s="60">
        <v>27.51</v>
      </c>
      <c r="I31" s="60">
        <v>0.89</v>
      </c>
      <c r="J31" s="60">
        <v>0.17</v>
      </c>
      <c r="K31" s="60">
        <v>340.89</v>
      </c>
      <c r="L31" s="60">
        <v>16.96</v>
      </c>
      <c r="M31" s="60">
        <v>78</v>
      </c>
      <c r="N31" s="60">
        <v>4.2</v>
      </c>
      <c r="O31" s="60">
        <v>0</v>
      </c>
      <c r="P31" s="60">
        <v>1.31</v>
      </c>
      <c r="Q31" s="60">
        <v>42.24</v>
      </c>
      <c r="R31" s="198"/>
      <c r="S31" s="198"/>
      <c r="T31" s="198"/>
      <c r="U31" s="198"/>
    </row>
    <row r="32" spans="1:21" s="12" customFormat="1" x14ac:dyDescent="0.25">
      <c r="A32" s="213" t="s">
        <v>2590</v>
      </c>
      <c r="B32" s="60">
        <v>64.040000000000006</v>
      </c>
      <c r="C32" s="60">
        <v>76.38</v>
      </c>
      <c r="D32" s="60">
        <v>93.92</v>
      </c>
      <c r="E32" s="60">
        <v>3.06</v>
      </c>
      <c r="F32" s="60">
        <v>3.3</v>
      </c>
      <c r="G32" s="60">
        <v>57.24</v>
      </c>
      <c r="H32" s="60">
        <v>27.51</v>
      </c>
      <c r="I32" s="60">
        <v>0.87</v>
      </c>
      <c r="J32" s="60">
        <v>0.11</v>
      </c>
      <c r="K32" s="60">
        <v>1.2</v>
      </c>
      <c r="L32" s="60">
        <v>16.75</v>
      </c>
      <c r="M32" s="60">
        <v>81</v>
      </c>
      <c r="N32" s="60">
        <v>4.5</v>
      </c>
      <c r="O32" s="60">
        <v>0</v>
      </c>
      <c r="P32" s="60">
        <v>1.3</v>
      </c>
      <c r="Q32" s="60">
        <v>41.46</v>
      </c>
      <c r="R32" s="198"/>
      <c r="S32" s="198"/>
      <c r="T32" s="198"/>
      <c r="U32" s="198"/>
    </row>
    <row r="33" spans="1:21" s="12" customFormat="1" x14ac:dyDescent="0.25">
      <c r="A33" s="213" t="s">
        <v>2591</v>
      </c>
      <c r="B33" s="60">
        <v>69.63</v>
      </c>
      <c r="C33" s="60">
        <v>78.22</v>
      </c>
      <c r="D33" s="60">
        <v>99.42</v>
      </c>
      <c r="E33" s="60">
        <v>3.32</v>
      </c>
      <c r="F33" s="60">
        <v>3.1</v>
      </c>
      <c r="G33" s="60">
        <v>68.95</v>
      </c>
      <c r="H33" s="60">
        <v>28.89</v>
      </c>
      <c r="I33" s="60">
        <v>0.85</v>
      </c>
      <c r="J33" s="60">
        <v>0.04</v>
      </c>
      <c r="K33" s="60">
        <v>317.89</v>
      </c>
      <c r="L33" s="60">
        <v>16.5</v>
      </c>
      <c r="M33" s="60">
        <v>80</v>
      </c>
      <c r="N33" s="60">
        <v>4.5999999999999996</v>
      </c>
      <c r="O33" s="60">
        <v>0</v>
      </c>
      <c r="P33" s="60">
        <v>1.3</v>
      </c>
      <c r="Q33" s="60">
        <v>41.45</v>
      </c>
      <c r="R33" s="198"/>
      <c r="S33" s="198"/>
      <c r="T33" s="198"/>
      <c r="U33" s="198"/>
    </row>
    <row r="34" spans="1:21" s="12" customFormat="1" x14ac:dyDescent="0.25">
      <c r="A34" s="213" t="s">
        <v>2592</v>
      </c>
      <c r="B34" s="60">
        <v>74.27</v>
      </c>
      <c r="C34" s="60">
        <v>78.75</v>
      </c>
      <c r="D34" s="60">
        <v>103.43</v>
      </c>
      <c r="E34" s="60">
        <v>3.44</v>
      </c>
      <c r="F34" s="60">
        <v>3.2</v>
      </c>
      <c r="G34" s="60">
        <v>96.27</v>
      </c>
      <c r="H34" s="60">
        <v>32.11</v>
      </c>
      <c r="I34" s="60">
        <v>0.86</v>
      </c>
      <c r="J34" s="60">
        <v>0.09</v>
      </c>
      <c r="K34" s="60">
        <v>354.65</v>
      </c>
      <c r="L34" s="60">
        <v>16.46</v>
      </c>
      <c r="M34" s="60">
        <v>81</v>
      </c>
      <c r="N34" s="60">
        <v>4.9000000000000004</v>
      </c>
      <c r="O34" s="60">
        <v>0</v>
      </c>
      <c r="P34" s="60">
        <v>1.28</v>
      </c>
      <c r="Q34" s="60">
        <v>41.91</v>
      </c>
      <c r="R34" s="198"/>
      <c r="S34" s="198"/>
      <c r="T34" s="198"/>
      <c r="U34" s="198"/>
    </row>
    <row r="35" spans="1:21" s="12" customFormat="1" x14ac:dyDescent="0.25">
      <c r="A35" s="213" t="s">
        <v>2593</v>
      </c>
      <c r="B35" s="60">
        <v>82.92</v>
      </c>
      <c r="C35" s="60">
        <v>81.44</v>
      </c>
      <c r="D35" s="60">
        <v>111.85</v>
      </c>
      <c r="E35" s="60">
        <v>3.57</v>
      </c>
      <c r="F35" s="60">
        <v>3.38</v>
      </c>
      <c r="G35" s="60">
        <v>96.27</v>
      </c>
      <c r="H35" s="60">
        <v>32.11</v>
      </c>
      <c r="I35" s="60">
        <v>0.85</v>
      </c>
      <c r="J35" s="60">
        <v>0.11</v>
      </c>
      <c r="K35" s="60">
        <v>341.83</v>
      </c>
      <c r="L35" s="60">
        <v>16.5</v>
      </c>
      <c r="M35" s="60">
        <v>82</v>
      </c>
      <c r="N35" s="60">
        <v>8.1</v>
      </c>
      <c r="O35" s="60">
        <v>0</v>
      </c>
      <c r="P35" s="60">
        <v>1.28</v>
      </c>
      <c r="Q35" s="60">
        <v>42.32</v>
      </c>
      <c r="R35" s="198"/>
      <c r="S35" s="198"/>
      <c r="T35" s="198"/>
      <c r="U35" s="198"/>
    </row>
    <row r="36" spans="1:21" s="12" customFormat="1" x14ac:dyDescent="0.25">
      <c r="A36" s="213" t="s">
        <v>2594</v>
      </c>
      <c r="B36" s="60">
        <v>88.23</v>
      </c>
      <c r="C36" s="60">
        <v>81.88</v>
      </c>
      <c r="D36" s="60">
        <v>116.35</v>
      </c>
      <c r="E36" s="60">
        <v>4.07</v>
      </c>
      <c r="F36" s="60">
        <v>3.55</v>
      </c>
      <c r="G36" s="60">
        <v>96.27</v>
      </c>
      <c r="H36" s="60">
        <v>32.11</v>
      </c>
      <c r="I36" s="60">
        <v>0.85</v>
      </c>
      <c r="J36" s="60">
        <v>0.08</v>
      </c>
      <c r="K36" s="60">
        <v>312.33999999999997</v>
      </c>
      <c r="L36" s="60">
        <v>16.89</v>
      </c>
      <c r="M36" s="60">
        <v>78</v>
      </c>
      <c r="N36" s="60">
        <v>18.399999999999999</v>
      </c>
      <c r="O36" s="60">
        <v>0</v>
      </c>
      <c r="P36" s="60">
        <v>1.28</v>
      </c>
      <c r="Q36" s="60">
        <v>43.3</v>
      </c>
      <c r="R36" s="198"/>
      <c r="S36" s="198"/>
      <c r="T36" s="198"/>
      <c r="U36" s="198"/>
    </row>
    <row r="37" spans="1:21" s="12" customFormat="1" x14ac:dyDescent="0.25">
      <c r="A37" s="213" t="s">
        <v>2595</v>
      </c>
      <c r="B37" s="60">
        <v>88.32</v>
      </c>
      <c r="C37" s="60">
        <v>81.64</v>
      </c>
      <c r="D37" s="60">
        <v>116.3</v>
      </c>
      <c r="E37" s="60">
        <v>3.62</v>
      </c>
      <c r="F37" s="60">
        <v>3.37</v>
      </c>
      <c r="G37" s="60">
        <v>94.81</v>
      </c>
      <c r="H37" s="60">
        <v>34.369999999999997</v>
      </c>
      <c r="I37" s="60">
        <v>0.85</v>
      </c>
      <c r="J37" s="60">
        <v>0.16</v>
      </c>
      <c r="K37" s="60">
        <v>258.43</v>
      </c>
      <c r="L37" s="60">
        <v>17.43</v>
      </c>
      <c r="M37" s="60">
        <v>76</v>
      </c>
      <c r="N37" s="60">
        <v>32.6</v>
      </c>
      <c r="O37" s="60">
        <v>0</v>
      </c>
      <c r="P37" s="60">
        <v>1.28</v>
      </c>
      <c r="Q37" s="60">
        <v>43.67</v>
      </c>
      <c r="R37" s="198"/>
      <c r="S37" s="198"/>
      <c r="T37" s="198"/>
      <c r="U37" s="198"/>
    </row>
    <row r="38" spans="1:21" s="12" customFormat="1" x14ac:dyDescent="0.25">
      <c r="A38" s="213" t="s">
        <v>2596</v>
      </c>
      <c r="B38" s="60">
        <v>86.78</v>
      </c>
      <c r="C38" s="60">
        <v>80.47</v>
      </c>
      <c r="D38" s="60">
        <v>114.42</v>
      </c>
      <c r="E38" s="60">
        <v>3.38</v>
      </c>
      <c r="F38" s="60">
        <v>3.38</v>
      </c>
      <c r="G38" s="60">
        <v>91.42</v>
      </c>
      <c r="H38" s="60">
        <v>39.64</v>
      </c>
      <c r="I38" s="60">
        <v>0.84</v>
      </c>
      <c r="J38" s="60">
        <v>0.35</v>
      </c>
      <c r="K38" s="60">
        <v>157.32</v>
      </c>
      <c r="L38" s="60">
        <v>18.29</v>
      </c>
      <c r="M38" s="60">
        <v>73</v>
      </c>
      <c r="N38" s="60">
        <v>47.7</v>
      </c>
      <c r="O38" s="60">
        <v>0</v>
      </c>
      <c r="P38" s="60">
        <v>1.33</v>
      </c>
      <c r="Q38" s="60">
        <v>44.08</v>
      </c>
      <c r="R38" s="198"/>
      <c r="S38" s="198"/>
      <c r="T38" s="198"/>
      <c r="U38" s="198"/>
    </row>
    <row r="39" spans="1:21" s="12" customFormat="1" x14ac:dyDescent="0.25">
      <c r="A39" s="213" t="s">
        <v>2597</v>
      </c>
      <c r="B39" s="60">
        <v>83.01</v>
      </c>
      <c r="C39" s="60">
        <v>79.23</v>
      </c>
      <c r="D39" s="60">
        <v>110.71</v>
      </c>
      <c r="E39" s="60">
        <v>4.13</v>
      </c>
      <c r="F39" s="60">
        <v>3.49</v>
      </c>
      <c r="G39" s="60">
        <v>91.42</v>
      </c>
      <c r="H39" s="60">
        <v>39.64</v>
      </c>
      <c r="I39" s="60">
        <v>0.83</v>
      </c>
      <c r="J39" s="60">
        <v>0.43</v>
      </c>
      <c r="K39" s="60">
        <v>127.14</v>
      </c>
      <c r="L39" s="60">
        <v>18.78</v>
      </c>
      <c r="M39" s="60">
        <v>73</v>
      </c>
      <c r="N39" s="60">
        <v>84.6</v>
      </c>
      <c r="O39" s="60">
        <v>0</v>
      </c>
      <c r="P39" s="60">
        <v>1.31</v>
      </c>
      <c r="Q39" s="60">
        <v>45.55</v>
      </c>
      <c r="R39" s="198"/>
      <c r="S39" s="198"/>
      <c r="T39" s="198"/>
      <c r="U39" s="198"/>
    </row>
    <row r="40" spans="1:21" s="12" customFormat="1" x14ac:dyDescent="0.25">
      <c r="A40" s="213" t="s">
        <v>2598</v>
      </c>
      <c r="B40" s="60">
        <v>77.89</v>
      </c>
      <c r="C40" s="60">
        <v>80.77</v>
      </c>
      <c r="D40" s="60">
        <v>107.45</v>
      </c>
      <c r="E40" s="60">
        <v>1.89</v>
      </c>
      <c r="F40" s="60">
        <v>3.52</v>
      </c>
      <c r="G40" s="60">
        <v>91.42</v>
      </c>
      <c r="H40" s="60">
        <v>39.64</v>
      </c>
      <c r="I40" s="60">
        <v>0.82</v>
      </c>
      <c r="J40" s="60">
        <v>0.45</v>
      </c>
      <c r="K40" s="60">
        <v>162.44999999999999</v>
      </c>
      <c r="L40" s="60">
        <v>19.829999999999998</v>
      </c>
      <c r="M40" s="60">
        <v>70</v>
      </c>
      <c r="N40" s="60">
        <v>171.2</v>
      </c>
      <c r="O40" s="60">
        <v>0</v>
      </c>
      <c r="P40" s="60">
        <v>1.29</v>
      </c>
      <c r="Q40" s="60">
        <v>45.28</v>
      </c>
      <c r="R40" s="198"/>
      <c r="S40" s="198"/>
      <c r="T40" s="198"/>
      <c r="U40" s="198"/>
    </row>
    <row r="41" spans="1:21" s="12" customFormat="1" x14ac:dyDescent="0.25">
      <c r="A41" s="213" t="s">
        <v>2599</v>
      </c>
      <c r="B41" s="60">
        <v>72.83</v>
      </c>
      <c r="C41" s="60">
        <v>80.39</v>
      </c>
      <c r="D41" s="60">
        <v>103.18</v>
      </c>
      <c r="E41" s="60">
        <v>3.22</v>
      </c>
      <c r="F41" s="60">
        <v>3.4</v>
      </c>
      <c r="G41" s="60">
        <v>85.01</v>
      </c>
      <c r="H41" s="60">
        <v>39.25</v>
      </c>
      <c r="I41" s="60">
        <v>0.81</v>
      </c>
      <c r="J41" s="60">
        <v>0.28999999999999998</v>
      </c>
      <c r="K41" s="60">
        <v>129.86000000000001</v>
      </c>
      <c r="L41" s="60">
        <v>21.25</v>
      </c>
      <c r="M41" s="60">
        <v>66</v>
      </c>
      <c r="N41" s="60">
        <v>224.3</v>
      </c>
      <c r="O41" s="60">
        <v>0</v>
      </c>
      <c r="P41" s="60">
        <v>1.27</v>
      </c>
      <c r="Q41" s="60">
        <v>44.51</v>
      </c>
      <c r="R41" s="198"/>
      <c r="S41" s="198"/>
      <c r="T41" s="198"/>
      <c r="U41" s="198"/>
    </row>
    <row r="42" spans="1:21" s="12" customFormat="1" x14ac:dyDescent="0.25">
      <c r="A42" s="213" t="s">
        <v>2600</v>
      </c>
      <c r="B42" s="60">
        <v>68.14</v>
      </c>
      <c r="C42" s="60">
        <v>79.349999999999994</v>
      </c>
      <c r="D42" s="60">
        <v>98.85</v>
      </c>
      <c r="E42" s="60">
        <v>3.61</v>
      </c>
      <c r="F42" s="60">
        <v>3.36</v>
      </c>
      <c r="G42" s="60">
        <v>70.040000000000006</v>
      </c>
      <c r="H42" s="60">
        <v>38.35</v>
      </c>
      <c r="I42" s="60">
        <v>0.79</v>
      </c>
      <c r="J42" s="60">
        <v>0.38</v>
      </c>
      <c r="K42" s="60">
        <v>138.53</v>
      </c>
      <c r="L42" s="60">
        <v>22.39</v>
      </c>
      <c r="M42" s="60">
        <v>62</v>
      </c>
      <c r="N42" s="60">
        <v>271</v>
      </c>
      <c r="O42" s="60">
        <v>0</v>
      </c>
      <c r="P42" s="60">
        <v>1.25</v>
      </c>
      <c r="Q42" s="60">
        <v>43.84</v>
      </c>
      <c r="R42" s="198"/>
      <c r="S42" s="198"/>
      <c r="T42" s="198"/>
      <c r="U42" s="198"/>
    </row>
    <row r="43" spans="1:21" s="12" customFormat="1" x14ac:dyDescent="0.25">
      <c r="A43" s="213" t="s">
        <v>2601</v>
      </c>
      <c r="B43" s="60">
        <v>63.23</v>
      </c>
      <c r="C43" s="60">
        <v>79.150000000000006</v>
      </c>
      <c r="D43" s="60">
        <v>94.8</v>
      </c>
      <c r="E43" s="60">
        <v>3.41</v>
      </c>
      <c r="F43" s="60">
        <v>3.3</v>
      </c>
      <c r="G43" s="60">
        <v>70.040000000000006</v>
      </c>
      <c r="H43" s="60">
        <v>38.35</v>
      </c>
      <c r="I43" s="60">
        <v>0.77</v>
      </c>
      <c r="J43" s="60">
        <v>0.8</v>
      </c>
      <c r="K43" s="60">
        <v>189.55</v>
      </c>
      <c r="L43" s="60">
        <v>22.68</v>
      </c>
      <c r="M43" s="60">
        <v>63</v>
      </c>
      <c r="N43" s="60">
        <v>313</v>
      </c>
      <c r="O43" s="60">
        <v>0</v>
      </c>
      <c r="P43" s="60">
        <v>1.23</v>
      </c>
      <c r="Q43" s="60">
        <v>43.72</v>
      </c>
      <c r="R43" s="198"/>
      <c r="S43" s="198"/>
      <c r="T43" s="198"/>
      <c r="U43" s="198"/>
    </row>
    <row r="44" spans="1:21" s="12" customFormat="1" x14ac:dyDescent="0.25">
      <c r="A44" s="213" t="s">
        <v>2602</v>
      </c>
      <c r="B44" s="60">
        <v>57.88</v>
      </c>
      <c r="C44" s="60">
        <v>78.89</v>
      </c>
      <c r="D44" s="60">
        <v>90.37</v>
      </c>
      <c r="E44" s="60">
        <v>3.3</v>
      </c>
      <c r="F44" s="60">
        <v>3.45</v>
      </c>
      <c r="G44" s="60">
        <v>70.040000000000006</v>
      </c>
      <c r="H44" s="60">
        <v>38.35</v>
      </c>
      <c r="I44" s="60">
        <v>0.76</v>
      </c>
      <c r="J44" s="60">
        <v>0.77</v>
      </c>
      <c r="K44" s="60">
        <v>202.47</v>
      </c>
      <c r="L44" s="60">
        <v>22.51</v>
      </c>
      <c r="M44" s="60">
        <v>65</v>
      </c>
      <c r="N44" s="60">
        <v>359.4</v>
      </c>
      <c r="O44" s="60">
        <v>0</v>
      </c>
      <c r="P44" s="60">
        <v>1.2</v>
      </c>
      <c r="Q44" s="60">
        <v>43.42</v>
      </c>
      <c r="R44" s="198"/>
      <c r="S44" s="198"/>
      <c r="T44" s="198"/>
      <c r="U44" s="198"/>
    </row>
    <row r="45" spans="1:21" s="12" customFormat="1" x14ac:dyDescent="0.25">
      <c r="A45" s="213" t="s">
        <v>2603</v>
      </c>
      <c r="B45" s="60">
        <v>51.5</v>
      </c>
      <c r="C45" s="60">
        <v>78.069999999999993</v>
      </c>
      <c r="D45" s="60">
        <v>84.8</v>
      </c>
      <c r="E45" s="60">
        <v>3.3</v>
      </c>
      <c r="F45" s="60">
        <v>3.42</v>
      </c>
      <c r="G45" s="60">
        <v>70.040000000000006</v>
      </c>
      <c r="H45" s="60">
        <v>36.340000000000003</v>
      </c>
      <c r="I45" s="60">
        <v>0.75</v>
      </c>
      <c r="J45" s="60">
        <v>1.08</v>
      </c>
      <c r="K45" s="60">
        <v>196.5</v>
      </c>
      <c r="L45" s="60">
        <v>22.42</v>
      </c>
      <c r="M45" s="60">
        <v>66</v>
      </c>
      <c r="N45" s="60">
        <v>402.9</v>
      </c>
      <c r="O45" s="60">
        <v>0</v>
      </c>
      <c r="P45" s="60">
        <v>1.17</v>
      </c>
      <c r="Q45" s="60">
        <v>42.3</v>
      </c>
      <c r="R45" s="198"/>
      <c r="S45" s="198"/>
      <c r="T45" s="198"/>
      <c r="U45" s="198"/>
    </row>
    <row r="46" spans="1:21" s="12" customFormat="1" x14ac:dyDescent="0.25">
      <c r="A46" s="213" t="s">
        <v>2604</v>
      </c>
      <c r="B46" s="60">
        <v>46.45</v>
      </c>
      <c r="C46" s="60">
        <v>76.64</v>
      </c>
      <c r="D46" s="60">
        <v>79.959999999999994</v>
      </c>
      <c r="E46" s="60">
        <v>3.02</v>
      </c>
      <c r="F46" s="60">
        <v>3.46</v>
      </c>
      <c r="G46" s="60">
        <v>291.14999999999998</v>
      </c>
      <c r="H46" s="60">
        <v>31.65</v>
      </c>
      <c r="I46" s="60">
        <v>0.74</v>
      </c>
      <c r="J46" s="60">
        <v>1.1599999999999999</v>
      </c>
      <c r="K46" s="60">
        <v>176.4</v>
      </c>
      <c r="L46" s="60">
        <v>23.46</v>
      </c>
      <c r="M46" s="60">
        <v>61</v>
      </c>
      <c r="N46" s="60">
        <v>440.9</v>
      </c>
      <c r="O46" s="60">
        <v>0</v>
      </c>
      <c r="P46" s="60">
        <v>1.1399999999999999</v>
      </c>
      <c r="Q46" s="60">
        <v>41.03</v>
      </c>
      <c r="R46" s="198"/>
      <c r="S46" s="198"/>
      <c r="T46" s="198"/>
      <c r="U46" s="198"/>
    </row>
    <row r="47" spans="1:21" s="12" customFormat="1" x14ac:dyDescent="0.25">
      <c r="A47" s="213" t="s">
        <v>2605</v>
      </c>
      <c r="B47" s="60">
        <v>42.84</v>
      </c>
      <c r="C47" s="60">
        <v>77.13</v>
      </c>
      <c r="D47" s="60">
        <v>77.33</v>
      </c>
      <c r="E47" s="60">
        <v>2.96</v>
      </c>
      <c r="F47" s="60">
        <v>3.47</v>
      </c>
      <c r="G47" s="60">
        <v>291.14999999999998</v>
      </c>
      <c r="H47" s="60">
        <v>31.65</v>
      </c>
      <c r="I47" s="60">
        <v>0.72</v>
      </c>
      <c r="J47" s="60">
        <v>0.3</v>
      </c>
      <c r="K47" s="60">
        <v>179.47</v>
      </c>
      <c r="L47" s="60">
        <v>25.11</v>
      </c>
      <c r="M47" s="60">
        <v>52</v>
      </c>
      <c r="N47" s="60">
        <v>463.2</v>
      </c>
      <c r="O47" s="60">
        <v>0</v>
      </c>
      <c r="P47" s="60">
        <v>1.1100000000000001</v>
      </c>
      <c r="Q47" s="60">
        <v>40.409999999999997</v>
      </c>
      <c r="R47" s="198"/>
      <c r="S47" s="198"/>
      <c r="T47" s="198"/>
      <c r="U47" s="198"/>
    </row>
    <row r="48" spans="1:21" s="12" customFormat="1" x14ac:dyDescent="0.25">
      <c r="A48" s="213" t="s">
        <v>2606</v>
      </c>
      <c r="B48" s="60">
        <v>39.35</v>
      </c>
      <c r="C48" s="60">
        <v>77.16</v>
      </c>
      <c r="D48" s="60">
        <v>74.56</v>
      </c>
      <c r="E48" s="60">
        <v>3.39</v>
      </c>
      <c r="F48" s="60">
        <v>3.33</v>
      </c>
      <c r="G48" s="60">
        <v>291.14999999999998</v>
      </c>
      <c r="H48" s="60">
        <v>31.65</v>
      </c>
      <c r="I48" s="60">
        <v>0.71</v>
      </c>
      <c r="J48" s="60">
        <v>0.27</v>
      </c>
      <c r="K48" s="60">
        <v>151.58000000000001</v>
      </c>
      <c r="L48" s="60">
        <v>26.4</v>
      </c>
      <c r="M48" s="60">
        <v>48</v>
      </c>
      <c r="N48" s="60">
        <v>492</v>
      </c>
      <c r="O48" s="60">
        <v>0</v>
      </c>
      <c r="P48" s="60">
        <v>1.1000000000000001</v>
      </c>
      <c r="Q48" s="60">
        <v>40.270000000000003</v>
      </c>
      <c r="R48" s="198"/>
      <c r="S48" s="198"/>
      <c r="T48" s="198"/>
      <c r="U48" s="198"/>
    </row>
    <row r="49" spans="1:21" s="12" customFormat="1" x14ac:dyDescent="0.25">
      <c r="A49" s="213" t="s">
        <v>2607</v>
      </c>
      <c r="B49" s="60">
        <v>36.369999999999997</v>
      </c>
      <c r="C49" s="60">
        <v>78.25</v>
      </c>
      <c r="D49" s="60">
        <v>72.760000000000005</v>
      </c>
      <c r="E49" s="60">
        <v>3.02</v>
      </c>
      <c r="F49" s="60">
        <v>3.46</v>
      </c>
      <c r="G49" s="211" t="s">
        <v>43</v>
      </c>
      <c r="H49" s="211" t="s">
        <v>43</v>
      </c>
      <c r="I49" s="60">
        <v>0.7</v>
      </c>
      <c r="J49" s="60">
        <v>0.13</v>
      </c>
      <c r="K49" s="60">
        <v>189.18</v>
      </c>
      <c r="L49" s="60">
        <v>27.51</v>
      </c>
      <c r="M49" s="60">
        <v>45</v>
      </c>
      <c r="N49" s="60">
        <v>512.6</v>
      </c>
      <c r="O49" s="60">
        <v>0</v>
      </c>
      <c r="P49" s="60">
        <v>1.0900000000000001</v>
      </c>
      <c r="Q49" s="60">
        <v>40.299999999999997</v>
      </c>
      <c r="R49" s="198"/>
      <c r="S49" s="198"/>
      <c r="T49" s="198"/>
      <c r="U49" s="198"/>
    </row>
    <row r="50" spans="1:21" s="12" customFormat="1" x14ac:dyDescent="0.25">
      <c r="A50" s="213" t="s">
        <v>2608</v>
      </c>
      <c r="B50" s="60">
        <v>32.39</v>
      </c>
      <c r="C50" s="60">
        <v>78.84</v>
      </c>
      <c r="D50" s="60">
        <v>69.900000000000006</v>
      </c>
      <c r="E50" s="60">
        <v>3.06</v>
      </c>
      <c r="F50" s="60">
        <v>3.97</v>
      </c>
      <c r="G50" s="211" t="s">
        <v>43</v>
      </c>
      <c r="H50" s="211" t="s">
        <v>43</v>
      </c>
      <c r="I50" s="60">
        <v>0.71</v>
      </c>
      <c r="J50" s="60">
        <v>0.11</v>
      </c>
      <c r="K50" s="60">
        <v>163.41</v>
      </c>
      <c r="L50" s="60">
        <v>27.49</v>
      </c>
      <c r="M50" s="60">
        <v>46</v>
      </c>
      <c r="N50" s="60">
        <v>531.79999999999995</v>
      </c>
      <c r="O50" s="60">
        <v>0</v>
      </c>
      <c r="P50" s="60">
        <v>1.08</v>
      </c>
      <c r="Q50" s="60">
        <v>40.340000000000003</v>
      </c>
      <c r="R50" s="198"/>
      <c r="S50" s="198"/>
      <c r="T50" s="198"/>
      <c r="U50" s="198"/>
    </row>
    <row r="51" spans="1:21" s="12" customFormat="1" x14ac:dyDescent="0.25">
      <c r="A51" s="213" t="s">
        <v>2609</v>
      </c>
      <c r="B51" s="60">
        <v>30.41</v>
      </c>
      <c r="C51" s="60">
        <v>79.48</v>
      </c>
      <c r="D51" s="60">
        <v>68.66</v>
      </c>
      <c r="E51" s="60">
        <v>2.97</v>
      </c>
      <c r="F51" s="60">
        <v>3.78</v>
      </c>
      <c r="G51" s="211" t="s">
        <v>43</v>
      </c>
      <c r="H51" s="211" t="s">
        <v>43</v>
      </c>
      <c r="I51" s="60">
        <v>0.7</v>
      </c>
      <c r="J51" s="60">
        <v>0.43</v>
      </c>
      <c r="K51" s="60">
        <v>13.44</v>
      </c>
      <c r="L51" s="60">
        <v>30.57</v>
      </c>
      <c r="M51" s="60">
        <v>40</v>
      </c>
      <c r="N51" s="60">
        <v>533.70000000000005</v>
      </c>
      <c r="O51" s="60">
        <v>0</v>
      </c>
      <c r="P51" s="60">
        <v>1.07</v>
      </c>
      <c r="Q51" s="60">
        <v>40.369999999999997</v>
      </c>
      <c r="R51" s="198"/>
      <c r="S51" s="198"/>
      <c r="T51" s="198"/>
      <c r="U51" s="198"/>
    </row>
    <row r="52" spans="1:21" s="12" customFormat="1" x14ac:dyDescent="0.25">
      <c r="A52" s="213" t="s">
        <v>2610</v>
      </c>
      <c r="B52" s="60">
        <v>27.54</v>
      </c>
      <c r="C52" s="60">
        <v>79.66</v>
      </c>
      <c r="D52" s="60">
        <v>66.459999999999994</v>
      </c>
      <c r="E52" s="60">
        <v>3.8</v>
      </c>
      <c r="F52" s="60">
        <v>3.97</v>
      </c>
      <c r="G52" s="211" t="s">
        <v>43</v>
      </c>
      <c r="H52" s="211" t="s">
        <v>43</v>
      </c>
      <c r="I52" s="60">
        <v>0.7</v>
      </c>
      <c r="J52" s="60">
        <v>0.54</v>
      </c>
      <c r="K52" s="60">
        <v>11.14</v>
      </c>
      <c r="L52" s="60">
        <v>31.79</v>
      </c>
      <c r="M52" s="60">
        <v>38</v>
      </c>
      <c r="N52" s="60">
        <v>543.1</v>
      </c>
      <c r="O52" s="60">
        <v>0</v>
      </c>
      <c r="P52" s="60">
        <v>1.1000000000000001</v>
      </c>
      <c r="Q52" s="60">
        <v>40.520000000000003</v>
      </c>
      <c r="R52" s="198"/>
      <c r="S52" s="198"/>
      <c r="T52" s="198"/>
      <c r="U52" s="198"/>
    </row>
    <row r="53" spans="1:21" s="12" customFormat="1" x14ac:dyDescent="0.25">
      <c r="A53" s="213" t="s">
        <v>2611</v>
      </c>
      <c r="B53" s="60">
        <v>10.81</v>
      </c>
      <c r="C53" s="60">
        <v>77.75</v>
      </c>
      <c r="D53" s="60">
        <v>51.99</v>
      </c>
      <c r="E53" s="60">
        <v>15.19</v>
      </c>
      <c r="F53" s="60">
        <v>23.11</v>
      </c>
      <c r="G53" s="211" t="s">
        <v>43</v>
      </c>
      <c r="H53" s="211" t="s">
        <v>43</v>
      </c>
      <c r="I53" s="60">
        <v>0.7</v>
      </c>
      <c r="J53" s="60">
        <v>0.84</v>
      </c>
      <c r="K53" s="60">
        <v>8.39</v>
      </c>
      <c r="L53" s="60">
        <v>32.270000000000003</v>
      </c>
      <c r="M53" s="60">
        <v>37</v>
      </c>
      <c r="N53" s="60">
        <v>537</v>
      </c>
      <c r="O53" s="60">
        <v>0</v>
      </c>
      <c r="P53" s="60">
        <v>1.95</v>
      </c>
      <c r="Q53" s="60">
        <v>32.340000000000003</v>
      </c>
      <c r="R53" s="198"/>
      <c r="S53" s="198"/>
      <c r="T53" s="198"/>
      <c r="U53" s="198"/>
    </row>
    <row r="54" spans="1:21" s="12" customFormat="1" x14ac:dyDescent="0.25">
      <c r="A54" s="213" t="s">
        <v>2612</v>
      </c>
      <c r="B54" s="60">
        <v>1.99</v>
      </c>
      <c r="C54" s="60">
        <v>74.39</v>
      </c>
      <c r="D54" s="60">
        <v>43.06</v>
      </c>
      <c r="E54" s="60">
        <v>8.85</v>
      </c>
      <c r="F54" s="60">
        <v>17.97</v>
      </c>
      <c r="G54" s="211" t="s">
        <v>43</v>
      </c>
      <c r="H54" s="211" t="s">
        <v>43</v>
      </c>
      <c r="I54" s="60">
        <v>0.69</v>
      </c>
      <c r="J54" s="60">
        <v>0.61</v>
      </c>
      <c r="K54" s="60">
        <v>3.1</v>
      </c>
      <c r="L54" s="60">
        <v>31.32</v>
      </c>
      <c r="M54" s="60">
        <v>38</v>
      </c>
      <c r="N54" s="60">
        <v>545.70000000000005</v>
      </c>
      <c r="O54" s="60">
        <v>0</v>
      </c>
      <c r="P54" s="60">
        <v>2.41</v>
      </c>
      <c r="Q54" s="60">
        <v>23.14</v>
      </c>
      <c r="R54" s="198"/>
      <c r="S54" s="198"/>
      <c r="T54" s="198"/>
      <c r="U54" s="198"/>
    </row>
    <row r="55" spans="1:21" s="12" customFormat="1" x14ac:dyDescent="0.25">
      <c r="A55" s="213" t="s">
        <v>2613</v>
      </c>
      <c r="B55" s="60">
        <v>1.41</v>
      </c>
      <c r="C55" s="60">
        <v>71.61</v>
      </c>
      <c r="D55" s="60">
        <v>41.07</v>
      </c>
      <c r="E55" s="60">
        <v>5.14</v>
      </c>
      <c r="F55" s="60">
        <v>15.35</v>
      </c>
      <c r="G55" s="211" t="s">
        <v>43</v>
      </c>
      <c r="H55" s="211" t="s">
        <v>43</v>
      </c>
      <c r="I55" s="60">
        <v>0.55000000000000004</v>
      </c>
      <c r="J55" s="60">
        <v>0.35</v>
      </c>
      <c r="K55" s="60">
        <v>7.97</v>
      </c>
      <c r="L55" s="60">
        <v>32.89</v>
      </c>
      <c r="M55" s="60">
        <v>35</v>
      </c>
      <c r="N55" s="60">
        <v>527.9</v>
      </c>
      <c r="O55" s="60">
        <v>0</v>
      </c>
      <c r="P55" s="60">
        <v>2.2200000000000002</v>
      </c>
      <c r="Q55" s="60">
        <v>22.84</v>
      </c>
      <c r="R55" s="198"/>
      <c r="S55" s="198"/>
      <c r="T55" s="198"/>
      <c r="U55" s="198"/>
    </row>
    <row r="56" spans="1:21" s="12" customFormat="1" x14ac:dyDescent="0.25">
      <c r="A56" s="213" t="s">
        <v>2614</v>
      </c>
      <c r="B56" s="60">
        <v>1.27</v>
      </c>
      <c r="C56" s="60">
        <v>66.319999999999993</v>
      </c>
      <c r="D56" s="60">
        <v>38.03</v>
      </c>
      <c r="E56" s="60">
        <v>2.95</v>
      </c>
      <c r="F56" s="60">
        <v>16.59</v>
      </c>
      <c r="G56" s="210" t="s">
        <v>36</v>
      </c>
      <c r="H56" s="210" t="s">
        <v>36</v>
      </c>
      <c r="I56" s="60">
        <v>0.5</v>
      </c>
      <c r="J56" s="60">
        <v>0.86</v>
      </c>
      <c r="K56" s="60">
        <v>12.61</v>
      </c>
      <c r="L56" s="60">
        <v>32.619999999999997</v>
      </c>
      <c r="M56" s="60">
        <v>36</v>
      </c>
      <c r="N56" s="60">
        <v>544.1</v>
      </c>
      <c r="O56" s="60">
        <v>0</v>
      </c>
      <c r="P56" s="60">
        <v>1.87</v>
      </c>
      <c r="Q56" s="60">
        <v>23.03</v>
      </c>
      <c r="R56" s="198"/>
      <c r="S56" s="198"/>
      <c r="T56" s="198"/>
      <c r="U56" s="198"/>
    </row>
    <row r="57" spans="1:21" s="12" customFormat="1" x14ac:dyDescent="0.25">
      <c r="A57" s="213" t="s">
        <v>2615</v>
      </c>
      <c r="B57" s="60">
        <v>1.26</v>
      </c>
      <c r="C57" s="60">
        <v>64.55</v>
      </c>
      <c r="D57" s="60">
        <v>37.049999999999997</v>
      </c>
      <c r="E57" s="60">
        <v>4.04</v>
      </c>
      <c r="F57" s="60">
        <v>13.43</v>
      </c>
      <c r="G57" s="210" t="s">
        <v>36</v>
      </c>
      <c r="H57" s="210" t="s">
        <v>36</v>
      </c>
      <c r="I57" s="60">
        <v>0.5</v>
      </c>
      <c r="J57" s="60">
        <v>0.93</v>
      </c>
      <c r="K57" s="60">
        <v>348.79</v>
      </c>
      <c r="L57" s="60">
        <v>32.81</v>
      </c>
      <c r="M57" s="60">
        <v>34</v>
      </c>
      <c r="N57" s="60">
        <v>557.5</v>
      </c>
      <c r="O57" s="60">
        <v>0</v>
      </c>
      <c r="P57" s="60">
        <v>1.61</v>
      </c>
      <c r="Q57" s="60">
        <v>22.73</v>
      </c>
      <c r="R57" s="198"/>
      <c r="S57" s="198"/>
      <c r="T57" s="198"/>
      <c r="U57" s="198"/>
    </row>
    <row r="58" spans="1:21" s="12" customFormat="1" x14ac:dyDescent="0.25">
      <c r="A58" s="213" t="s">
        <v>2616</v>
      </c>
      <c r="B58" s="60">
        <v>1.42</v>
      </c>
      <c r="C58" s="60">
        <v>62.36</v>
      </c>
      <c r="D58" s="60">
        <v>35.97</v>
      </c>
      <c r="E58" s="60">
        <v>3.38</v>
      </c>
      <c r="F58" s="60">
        <v>10.75</v>
      </c>
      <c r="G58" s="210" t="s">
        <v>36</v>
      </c>
      <c r="H58" s="210" t="s">
        <v>36</v>
      </c>
      <c r="I58" s="60">
        <v>0.5</v>
      </c>
      <c r="J58" s="60">
        <v>0.74</v>
      </c>
      <c r="K58" s="60">
        <v>353.54</v>
      </c>
      <c r="L58" s="60">
        <v>33.51</v>
      </c>
      <c r="M58" s="60">
        <v>33</v>
      </c>
      <c r="N58" s="60">
        <v>547.20000000000005</v>
      </c>
      <c r="O58" s="60">
        <v>0</v>
      </c>
      <c r="P58" s="60">
        <v>1.45</v>
      </c>
      <c r="Q58" s="60">
        <v>23.35</v>
      </c>
      <c r="R58" s="198"/>
      <c r="S58" s="198"/>
      <c r="T58" s="198"/>
      <c r="U58" s="198"/>
    </row>
    <row r="59" spans="1:21" s="12" customFormat="1" x14ac:dyDescent="0.25">
      <c r="A59" s="213" t="s">
        <v>2617</v>
      </c>
      <c r="B59" s="60">
        <v>2.11</v>
      </c>
      <c r="C59" s="60">
        <v>58.6</v>
      </c>
      <c r="D59" s="60">
        <v>34.450000000000003</v>
      </c>
      <c r="E59" s="60">
        <v>3.66</v>
      </c>
      <c r="F59" s="60">
        <v>10.38</v>
      </c>
      <c r="G59" s="211" t="s">
        <v>43</v>
      </c>
      <c r="H59" s="211" t="s">
        <v>43</v>
      </c>
      <c r="I59" s="60">
        <v>0.5</v>
      </c>
      <c r="J59" s="60">
        <v>0.43</v>
      </c>
      <c r="K59" s="60">
        <v>342.51</v>
      </c>
      <c r="L59" s="60">
        <v>33.18</v>
      </c>
      <c r="M59" s="60">
        <v>33</v>
      </c>
      <c r="N59" s="60">
        <v>531.29999999999995</v>
      </c>
      <c r="O59" s="60">
        <v>0</v>
      </c>
      <c r="P59" s="60">
        <v>1.32</v>
      </c>
      <c r="Q59" s="60">
        <v>25.59</v>
      </c>
      <c r="R59" s="198"/>
      <c r="S59" s="198"/>
      <c r="T59" s="198"/>
      <c r="U59" s="198"/>
    </row>
    <row r="60" spans="1:21" s="12" customFormat="1" x14ac:dyDescent="0.25">
      <c r="A60" s="213" t="s">
        <v>2618</v>
      </c>
      <c r="B60" s="60">
        <v>2.4</v>
      </c>
      <c r="C60" s="60">
        <v>52.55</v>
      </c>
      <c r="D60" s="60">
        <v>31.35</v>
      </c>
      <c r="E60" s="60">
        <v>3.4</v>
      </c>
      <c r="F60" s="60">
        <v>15.68</v>
      </c>
      <c r="G60" s="60">
        <v>55.23</v>
      </c>
      <c r="H60" s="60">
        <v>49.03</v>
      </c>
      <c r="I60" s="60">
        <v>0.51</v>
      </c>
      <c r="J60" s="60">
        <v>0.38</v>
      </c>
      <c r="K60" s="60">
        <v>353.53</v>
      </c>
      <c r="L60" s="60">
        <v>32.770000000000003</v>
      </c>
      <c r="M60" s="60">
        <v>33</v>
      </c>
      <c r="N60" s="60">
        <v>518.6</v>
      </c>
      <c r="O60" s="60">
        <v>0</v>
      </c>
      <c r="P60" s="60">
        <v>1.1299999999999999</v>
      </c>
      <c r="Q60" s="60">
        <v>24.8</v>
      </c>
      <c r="R60" s="198"/>
      <c r="S60" s="198"/>
      <c r="T60" s="198"/>
      <c r="U60" s="198"/>
    </row>
    <row r="61" spans="1:21" s="12" customFormat="1" x14ac:dyDescent="0.25">
      <c r="A61" s="213" t="s">
        <v>2619</v>
      </c>
      <c r="B61" s="60">
        <v>2.61</v>
      </c>
      <c r="C61" s="60">
        <v>44.73</v>
      </c>
      <c r="D61" s="60">
        <v>27.2</v>
      </c>
      <c r="E61" s="60">
        <v>6.13</v>
      </c>
      <c r="F61" s="60">
        <v>28.48</v>
      </c>
      <c r="G61" s="60">
        <v>55.23</v>
      </c>
      <c r="H61" s="60">
        <v>49.03</v>
      </c>
      <c r="I61" s="60">
        <v>0.52</v>
      </c>
      <c r="J61" s="60">
        <v>0.22</v>
      </c>
      <c r="K61" s="60">
        <v>59.52</v>
      </c>
      <c r="L61" s="60">
        <v>32.159999999999997</v>
      </c>
      <c r="M61" s="60">
        <v>33</v>
      </c>
      <c r="N61" s="60">
        <v>506.4</v>
      </c>
      <c r="O61" s="60">
        <v>0</v>
      </c>
      <c r="P61" s="60">
        <v>0.91</v>
      </c>
      <c r="Q61" s="60">
        <v>23.95</v>
      </c>
      <c r="R61" s="198"/>
      <c r="S61" s="198"/>
      <c r="T61" s="198"/>
      <c r="U61" s="198"/>
    </row>
    <row r="62" spans="1:21" s="12" customFormat="1" x14ac:dyDescent="0.25">
      <c r="A62" s="213" t="s">
        <v>2620</v>
      </c>
      <c r="B62" s="60">
        <v>4.97</v>
      </c>
      <c r="C62" s="60">
        <v>55.02</v>
      </c>
      <c r="D62" s="60">
        <v>34.76</v>
      </c>
      <c r="E62" s="60">
        <v>6.59</v>
      </c>
      <c r="F62" s="60">
        <v>25.74</v>
      </c>
      <c r="G62" s="60">
        <v>55.23</v>
      </c>
      <c r="H62" s="60">
        <v>49.03</v>
      </c>
      <c r="I62" s="60">
        <v>0.52</v>
      </c>
      <c r="J62" s="60">
        <v>0.51</v>
      </c>
      <c r="K62" s="60">
        <v>18.059999999999999</v>
      </c>
      <c r="L62" s="60">
        <v>32.06</v>
      </c>
      <c r="M62" s="60">
        <v>34</v>
      </c>
      <c r="N62" s="60">
        <v>492.7</v>
      </c>
      <c r="O62" s="60">
        <v>0</v>
      </c>
      <c r="P62" s="60">
        <v>0.97</v>
      </c>
      <c r="Q62" s="60">
        <v>21.94</v>
      </c>
      <c r="R62" s="198"/>
      <c r="S62" s="198"/>
      <c r="T62" s="198"/>
      <c r="U62" s="198"/>
    </row>
    <row r="63" spans="1:21" s="12" customFormat="1" x14ac:dyDescent="0.25">
      <c r="A63" s="213" t="s">
        <v>2621</v>
      </c>
      <c r="B63" s="60">
        <v>3.54</v>
      </c>
      <c r="C63" s="60">
        <v>49.54</v>
      </c>
      <c r="D63" s="60">
        <v>30.59</v>
      </c>
      <c r="E63" s="60">
        <v>6.5</v>
      </c>
      <c r="F63" s="60">
        <v>27.77</v>
      </c>
      <c r="G63" s="60">
        <v>55.11</v>
      </c>
      <c r="H63" s="60">
        <v>47.67</v>
      </c>
      <c r="I63" s="60">
        <v>0.5</v>
      </c>
      <c r="J63" s="60">
        <v>0.35</v>
      </c>
      <c r="K63" s="60">
        <v>8.06</v>
      </c>
      <c r="L63" s="60">
        <v>32.18</v>
      </c>
      <c r="M63" s="60">
        <v>32</v>
      </c>
      <c r="N63" s="60">
        <v>475.3</v>
      </c>
      <c r="O63" s="60">
        <v>0</v>
      </c>
      <c r="P63" s="60">
        <v>0.96</v>
      </c>
      <c r="Q63" s="60">
        <v>23.87</v>
      </c>
      <c r="R63" s="198"/>
      <c r="S63" s="198"/>
      <c r="T63" s="198"/>
      <c r="U63" s="198"/>
    </row>
    <row r="64" spans="1:21" s="12" customFormat="1" x14ac:dyDescent="0.25">
      <c r="A64" s="213" t="s">
        <v>2622</v>
      </c>
      <c r="B64" s="60">
        <v>3.11</v>
      </c>
      <c r="C64" s="60">
        <v>55.45</v>
      </c>
      <c r="D64" s="60">
        <v>33.51</v>
      </c>
      <c r="E64" s="60">
        <v>7.67</v>
      </c>
      <c r="F64" s="60">
        <v>29.09</v>
      </c>
      <c r="G64" s="60">
        <v>54.34</v>
      </c>
      <c r="H64" s="60">
        <v>39.6</v>
      </c>
      <c r="I64" s="60">
        <v>0.5</v>
      </c>
      <c r="J64" s="60">
        <v>0.45</v>
      </c>
      <c r="K64" s="60">
        <v>64.69</v>
      </c>
      <c r="L64" s="60">
        <v>32.450000000000003</v>
      </c>
      <c r="M64" s="60">
        <v>32</v>
      </c>
      <c r="N64" s="60">
        <v>437.3</v>
      </c>
      <c r="O64" s="60">
        <v>0</v>
      </c>
      <c r="P64" s="60">
        <v>0.99</v>
      </c>
      <c r="Q64" s="60">
        <v>22.09</v>
      </c>
      <c r="R64" s="198"/>
      <c r="S64" s="198"/>
      <c r="T64" s="198"/>
      <c r="U64" s="198"/>
    </row>
    <row r="65" spans="1:21" s="12" customFormat="1" x14ac:dyDescent="0.25">
      <c r="A65" s="213" t="s">
        <v>2623</v>
      </c>
      <c r="B65" s="60">
        <v>3.86</v>
      </c>
      <c r="C65" s="60">
        <v>58.66</v>
      </c>
      <c r="D65" s="60">
        <v>35.880000000000003</v>
      </c>
      <c r="E65" s="60">
        <v>6.88</v>
      </c>
      <c r="F65" s="60">
        <v>22.07</v>
      </c>
      <c r="G65" s="60">
        <v>54.34</v>
      </c>
      <c r="H65" s="60">
        <v>39.6</v>
      </c>
      <c r="I65" s="60">
        <v>0.51</v>
      </c>
      <c r="J65" s="60">
        <v>0.28999999999999998</v>
      </c>
      <c r="K65" s="60">
        <v>166.52</v>
      </c>
      <c r="L65" s="60">
        <v>31.48</v>
      </c>
      <c r="M65" s="60">
        <v>33</v>
      </c>
      <c r="N65" s="60">
        <v>435.9</v>
      </c>
      <c r="O65" s="60">
        <v>0</v>
      </c>
      <c r="P65" s="60">
        <v>0.93</v>
      </c>
      <c r="Q65" s="60">
        <v>23.07</v>
      </c>
      <c r="R65" s="198"/>
      <c r="S65" s="198"/>
      <c r="T65" s="198"/>
      <c r="U65" s="198"/>
    </row>
    <row r="66" spans="1:21" s="12" customFormat="1" x14ac:dyDescent="0.25">
      <c r="A66" s="213" t="s">
        <v>2624</v>
      </c>
      <c r="B66" s="60">
        <v>2.54</v>
      </c>
      <c r="C66" s="60">
        <v>54.77</v>
      </c>
      <c r="D66" s="60">
        <v>32.68</v>
      </c>
      <c r="E66" s="60">
        <v>4.87</v>
      </c>
      <c r="F66" s="60">
        <v>11.86</v>
      </c>
      <c r="G66" s="60">
        <v>54.34</v>
      </c>
      <c r="H66" s="60">
        <v>39.6</v>
      </c>
      <c r="I66" s="60">
        <v>0.52</v>
      </c>
      <c r="J66" s="60">
        <v>0.11</v>
      </c>
      <c r="K66" s="60">
        <v>336.22</v>
      </c>
      <c r="L66" s="60">
        <v>31.04</v>
      </c>
      <c r="M66" s="60">
        <v>34</v>
      </c>
      <c r="N66" s="60">
        <v>417.6</v>
      </c>
      <c r="O66" s="60">
        <v>0</v>
      </c>
      <c r="P66" s="60">
        <v>0.94</v>
      </c>
      <c r="Q66" s="60">
        <v>24.85</v>
      </c>
      <c r="R66" s="198"/>
      <c r="S66" s="198"/>
      <c r="T66" s="198"/>
      <c r="U66" s="198"/>
    </row>
    <row r="67" spans="1:21" s="12" customFormat="1" x14ac:dyDescent="0.25">
      <c r="A67" s="213" t="s">
        <v>2625</v>
      </c>
      <c r="B67" s="60">
        <v>2.17</v>
      </c>
      <c r="C67" s="60">
        <v>54.36</v>
      </c>
      <c r="D67" s="60">
        <v>32.15</v>
      </c>
      <c r="E67" s="60">
        <v>4.53</v>
      </c>
      <c r="F67" s="60">
        <v>12.42</v>
      </c>
      <c r="G67" s="60">
        <v>54.89</v>
      </c>
      <c r="H67" s="60">
        <v>39.28</v>
      </c>
      <c r="I67" s="60">
        <v>0.54</v>
      </c>
      <c r="J67" s="60">
        <v>0.11</v>
      </c>
      <c r="K67" s="60">
        <v>159.43</v>
      </c>
      <c r="L67" s="60">
        <v>31.97</v>
      </c>
      <c r="M67" s="60">
        <v>32</v>
      </c>
      <c r="N67" s="60">
        <v>340.4</v>
      </c>
      <c r="O67" s="60">
        <v>0</v>
      </c>
      <c r="P67" s="60">
        <v>0.92</v>
      </c>
      <c r="Q67" s="60">
        <v>25.49</v>
      </c>
      <c r="R67" s="198"/>
      <c r="S67" s="198"/>
      <c r="T67" s="198"/>
      <c r="U67" s="198"/>
    </row>
    <row r="68" spans="1:21" s="12" customFormat="1" x14ac:dyDescent="0.25">
      <c r="A68" s="213" t="s">
        <v>2626</v>
      </c>
      <c r="B68" s="60">
        <v>1.53</v>
      </c>
      <c r="C68" s="60">
        <v>59.06</v>
      </c>
      <c r="D68" s="60">
        <v>34.229999999999997</v>
      </c>
      <c r="E68" s="60">
        <v>3.7</v>
      </c>
      <c r="F68" s="60">
        <v>10.76</v>
      </c>
      <c r="G68" s="60">
        <v>58.14</v>
      </c>
      <c r="H68" s="60">
        <v>37.340000000000003</v>
      </c>
      <c r="I68" s="60">
        <v>0.55000000000000004</v>
      </c>
      <c r="J68" s="60">
        <v>0.09</v>
      </c>
      <c r="K68" s="60">
        <v>327.14</v>
      </c>
      <c r="L68" s="60">
        <v>30.89</v>
      </c>
      <c r="M68" s="60">
        <v>34</v>
      </c>
      <c r="N68" s="60">
        <v>249.1</v>
      </c>
      <c r="O68" s="60">
        <v>0</v>
      </c>
      <c r="P68" s="60">
        <v>0.9</v>
      </c>
      <c r="Q68" s="60">
        <v>26.24</v>
      </c>
      <c r="R68" s="198"/>
      <c r="S68" s="198"/>
      <c r="T68" s="198"/>
      <c r="U68" s="198"/>
    </row>
    <row r="69" spans="1:21" s="12" customFormat="1" x14ac:dyDescent="0.25">
      <c r="A69" s="213" t="s">
        <v>2627</v>
      </c>
      <c r="B69" s="60">
        <v>1.42</v>
      </c>
      <c r="C69" s="60">
        <v>58.58</v>
      </c>
      <c r="D69" s="60">
        <v>33.880000000000003</v>
      </c>
      <c r="E69" s="60">
        <v>3.5</v>
      </c>
      <c r="F69" s="60">
        <v>7.68</v>
      </c>
      <c r="G69" s="60">
        <v>58.14</v>
      </c>
      <c r="H69" s="60">
        <v>37.340000000000003</v>
      </c>
      <c r="I69" s="60">
        <v>0.54</v>
      </c>
      <c r="J69" s="60">
        <v>0.08</v>
      </c>
      <c r="K69" s="60">
        <v>16</v>
      </c>
      <c r="L69" s="60">
        <v>31.09</v>
      </c>
      <c r="M69" s="60">
        <v>34</v>
      </c>
      <c r="N69" s="60">
        <v>197.3</v>
      </c>
      <c r="O69" s="60">
        <v>0</v>
      </c>
      <c r="P69" s="60">
        <v>0.9</v>
      </c>
      <c r="Q69" s="60">
        <v>27.36</v>
      </c>
      <c r="R69" s="198"/>
      <c r="S69" s="198"/>
      <c r="T69" s="198"/>
      <c r="U69" s="198"/>
    </row>
    <row r="70" spans="1:21" s="12" customFormat="1" x14ac:dyDescent="0.25">
      <c r="A70" s="213" t="s">
        <v>2628</v>
      </c>
      <c r="B70" s="60">
        <v>1.54</v>
      </c>
      <c r="C70" s="60">
        <v>57.58</v>
      </c>
      <c r="D70" s="60">
        <v>33.43</v>
      </c>
      <c r="E70" s="60">
        <v>3.27</v>
      </c>
      <c r="F70" s="60">
        <v>6.41</v>
      </c>
      <c r="G70" s="60">
        <v>58.14</v>
      </c>
      <c r="H70" s="60">
        <v>37.340000000000003</v>
      </c>
      <c r="I70" s="60">
        <v>0.53</v>
      </c>
      <c r="J70" s="60">
        <v>0.05</v>
      </c>
      <c r="K70" s="60">
        <v>308.93</v>
      </c>
      <c r="L70" s="60">
        <v>29.97</v>
      </c>
      <c r="M70" s="60">
        <v>35</v>
      </c>
      <c r="N70" s="60">
        <v>168.8</v>
      </c>
      <c r="O70" s="60">
        <v>0</v>
      </c>
      <c r="P70" s="60">
        <v>0.9</v>
      </c>
      <c r="Q70" s="60">
        <v>28.72</v>
      </c>
      <c r="R70" s="198"/>
      <c r="S70" s="198"/>
      <c r="T70" s="198"/>
      <c r="U70" s="198"/>
    </row>
    <row r="71" spans="1:21" s="12" customFormat="1" x14ac:dyDescent="0.25">
      <c r="A71" s="213" t="s">
        <v>2629</v>
      </c>
      <c r="B71" s="60">
        <v>1.97</v>
      </c>
      <c r="C71" s="60">
        <v>57.61</v>
      </c>
      <c r="D71" s="60">
        <v>33.79</v>
      </c>
      <c r="E71" s="60">
        <v>3.04</v>
      </c>
      <c r="F71" s="60">
        <v>6.19</v>
      </c>
      <c r="G71" s="60">
        <v>58.36</v>
      </c>
      <c r="H71" s="60">
        <v>37.26</v>
      </c>
      <c r="I71" s="60">
        <v>0.53</v>
      </c>
      <c r="J71" s="60">
        <v>0.14000000000000001</v>
      </c>
      <c r="K71" s="60">
        <v>226.31</v>
      </c>
      <c r="L71" s="60">
        <v>29.41</v>
      </c>
      <c r="M71" s="60">
        <v>37</v>
      </c>
      <c r="N71" s="60">
        <v>144.5</v>
      </c>
      <c r="O71" s="60">
        <v>0</v>
      </c>
      <c r="P71" s="60">
        <v>0.89</v>
      </c>
      <c r="Q71" s="60">
        <v>29.22</v>
      </c>
      <c r="R71" s="198"/>
      <c r="S71" s="198"/>
      <c r="T71" s="198"/>
      <c r="U71" s="198"/>
    </row>
    <row r="72" spans="1:21" s="12" customFormat="1" x14ac:dyDescent="0.25">
      <c r="A72" s="213" t="s">
        <v>2630</v>
      </c>
      <c r="B72" s="60">
        <v>2.88</v>
      </c>
      <c r="C72" s="60">
        <v>59.71</v>
      </c>
      <c r="D72" s="60">
        <v>35.68</v>
      </c>
      <c r="E72" s="60">
        <v>1.89</v>
      </c>
      <c r="F72" s="60">
        <v>6.01</v>
      </c>
      <c r="G72" s="60">
        <v>59.66</v>
      </c>
      <c r="H72" s="60">
        <v>36.770000000000003</v>
      </c>
      <c r="I72" s="60">
        <v>0.54</v>
      </c>
      <c r="J72" s="60">
        <v>0.11</v>
      </c>
      <c r="K72" s="60">
        <v>35.130000000000003</v>
      </c>
      <c r="L72" s="60">
        <v>29.32</v>
      </c>
      <c r="M72" s="60">
        <v>37</v>
      </c>
      <c r="N72" s="60">
        <v>107.8</v>
      </c>
      <c r="O72" s="60">
        <v>0</v>
      </c>
      <c r="P72" s="60">
        <v>0.88</v>
      </c>
      <c r="Q72" s="60">
        <v>30.16</v>
      </c>
      <c r="R72" s="198"/>
      <c r="S72" s="198"/>
      <c r="T72" s="198"/>
      <c r="U72" s="198"/>
    </row>
    <row r="73" spans="1:21" s="12" customFormat="1" x14ac:dyDescent="0.25">
      <c r="A73" s="213" t="s">
        <v>2631</v>
      </c>
      <c r="B73" s="60">
        <v>2.3199999999999998</v>
      </c>
      <c r="C73" s="60">
        <v>58.73</v>
      </c>
      <c r="D73" s="60">
        <v>34.69</v>
      </c>
      <c r="E73" s="60">
        <v>2.8</v>
      </c>
      <c r="F73" s="60">
        <v>6.06</v>
      </c>
      <c r="G73" s="60">
        <v>59.66</v>
      </c>
      <c r="H73" s="60">
        <v>36.770000000000003</v>
      </c>
      <c r="I73" s="60">
        <v>0.56000000000000005</v>
      </c>
      <c r="J73" s="60">
        <v>0.06</v>
      </c>
      <c r="K73" s="60">
        <v>298.04000000000002</v>
      </c>
      <c r="L73" s="60">
        <v>29.11</v>
      </c>
      <c r="M73" s="60">
        <v>37</v>
      </c>
      <c r="N73" s="60">
        <v>89</v>
      </c>
      <c r="O73" s="60">
        <v>0</v>
      </c>
      <c r="P73" s="60">
        <v>0.89</v>
      </c>
      <c r="Q73" s="60">
        <v>30.39</v>
      </c>
      <c r="R73" s="198"/>
      <c r="S73" s="198"/>
      <c r="T73" s="198"/>
      <c r="U73" s="198"/>
    </row>
    <row r="74" spans="1:21" s="12" customFormat="1" x14ac:dyDescent="0.25">
      <c r="A74" s="213" t="s">
        <v>2632</v>
      </c>
      <c r="B74" s="60">
        <v>2.1800000000000002</v>
      </c>
      <c r="C74" s="60">
        <v>50.2</v>
      </c>
      <c r="D74" s="60">
        <v>29.86</v>
      </c>
      <c r="E74" s="60">
        <v>4.5599999999999996</v>
      </c>
      <c r="F74" s="60">
        <v>17.7</v>
      </c>
      <c r="G74" s="60">
        <v>59.66</v>
      </c>
      <c r="H74" s="60">
        <v>36.770000000000003</v>
      </c>
      <c r="I74" s="60">
        <v>0.54</v>
      </c>
      <c r="J74" s="60">
        <v>0.05</v>
      </c>
      <c r="K74" s="60">
        <v>273.54000000000002</v>
      </c>
      <c r="L74" s="60">
        <v>28.77</v>
      </c>
      <c r="M74" s="60">
        <v>38</v>
      </c>
      <c r="N74" s="60">
        <v>70.5</v>
      </c>
      <c r="O74" s="60">
        <v>0</v>
      </c>
      <c r="P74" s="60">
        <v>0.88</v>
      </c>
      <c r="Q74" s="60">
        <v>32.5</v>
      </c>
      <c r="R74" s="198"/>
      <c r="S74" s="198"/>
      <c r="T74" s="198"/>
      <c r="U74" s="198"/>
    </row>
    <row r="75" spans="1:21" s="12" customFormat="1" x14ac:dyDescent="0.25">
      <c r="A75" s="213" t="s">
        <v>2633</v>
      </c>
      <c r="B75" s="60">
        <v>2.2400000000000002</v>
      </c>
      <c r="C75" s="60">
        <v>44.88</v>
      </c>
      <c r="D75" s="60">
        <v>26.98</v>
      </c>
      <c r="E75" s="60">
        <v>5.97</v>
      </c>
      <c r="F75" s="60">
        <v>24.35</v>
      </c>
      <c r="G75" s="60">
        <v>59.31</v>
      </c>
      <c r="H75" s="60">
        <v>36.619999999999997</v>
      </c>
      <c r="I75" s="60">
        <v>0.54</v>
      </c>
      <c r="J75" s="60">
        <v>0.08</v>
      </c>
      <c r="K75" s="60">
        <v>259.22000000000003</v>
      </c>
      <c r="L75" s="60">
        <v>28.69</v>
      </c>
      <c r="M75" s="60">
        <v>38</v>
      </c>
      <c r="N75" s="60">
        <v>55.2</v>
      </c>
      <c r="O75" s="60">
        <v>0</v>
      </c>
      <c r="P75" s="60">
        <v>0.84</v>
      </c>
      <c r="Q75" s="60">
        <v>32.86</v>
      </c>
      <c r="R75" s="198"/>
      <c r="S75" s="198"/>
      <c r="T75" s="198"/>
      <c r="U75" s="198"/>
    </row>
    <row r="76" spans="1:21" s="12" customFormat="1" x14ac:dyDescent="0.25">
      <c r="A76" s="213" t="s">
        <v>2634</v>
      </c>
      <c r="B76" s="60">
        <v>1.54</v>
      </c>
      <c r="C76" s="60">
        <v>51.36</v>
      </c>
      <c r="D76" s="60">
        <v>30</v>
      </c>
      <c r="E76" s="60">
        <v>7.85</v>
      </c>
      <c r="F76" s="60">
        <v>33.700000000000003</v>
      </c>
      <c r="G76" s="60">
        <v>57.25</v>
      </c>
      <c r="H76" s="60">
        <v>35.71</v>
      </c>
      <c r="I76" s="60">
        <v>0.53</v>
      </c>
      <c r="J76" s="60">
        <v>0.04</v>
      </c>
      <c r="K76" s="60">
        <v>258.72000000000003</v>
      </c>
      <c r="L76" s="60">
        <v>28.49</v>
      </c>
      <c r="M76" s="60">
        <v>38</v>
      </c>
      <c r="N76" s="60">
        <v>40</v>
      </c>
      <c r="O76" s="60">
        <v>0</v>
      </c>
      <c r="P76" s="60">
        <v>0.82</v>
      </c>
      <c r="Q76" s="60">
        <v>29.14</v>
      </c>
      <c r="R76" s="198"/>
      <c r="S76" s="198"/>
      <c r="T76" s="198"/>
      <c r="U76" s="198"/>
    </row>
    <row r="77" spans="1:21" s="12" customFormat="1" x14ac:dyDescent="0.25">
      <c r="A77" s="213" t="s">
        <v>2635</v>
      </c>
      <c r="B77" s="60">
        <v>1.19</v>
      </c>
      <c r="C77" s="60">
        <v>48.71</v>
      </c>
      <c r="D77" s="60">
        <v>28.25</v>
      </c>
      <c r="E77" s="60">
        <v>8.65</v>
      </c>
      <c r="F77" s="60">
        <v>32.880000000000003</v>
      </c>
      <c r="G77" s="60">
        <v>57.25</v>
      </c>
      <c r="H77" s="60">
        <v>35.71</v>
      </c>
      <c r="I77" s="60">
        <v>0.52</v>
      </c>
      <c r="J77" s="60">
        <v>0.04</v>
      </c>
      <c r="K77" s="60">
        <v>15.56</v>
      </c>
      <c r="L77" s="60">
        <v>28.38</v>
      </c>
      <c r="M77" s="60">
        <v>40</v>
      </c>
      <c r="N77" s="60">
        <v>25.9</v>
      </c>
      <c r="O77" s="60">
        <v>0</v>
      </c>
      <c r="P77" s="60">
        <v>0.83</v>
      </c>
      <c r="Q77" s="60">
        <v>29.49</v>
      </c>
      <c r="R77" s="198"/>
      <c r="S77" s="198"/>
      <c r="T77" s="198"/>
      <c r="U77" s="198"/>
    </row>
    <row r="78" spans="1:21" s="12" customFormat="1" x14ac:dyDescent="0.25">
      <c r="A78" s="213" t="s">
        <v>2636</v>
      </c>
      <c r="B78" s="60">
        <v>3.3</v>
      </c>
      <c r="C78" s="60">
        <v>52.47</v>
      </c>
      <c r="D78" s="60">
        <v>32.020000000000003</v>
      </c>
      <c r="E78" s="60">
        <v>6.89</v>
      </c>
      <c r="F78" s="60">
        <v>25.53</v>
      </c>
      <c r="G78" s="60">
        <v>57.25</v>
      </c>
      <c r="H78" s="60">
        <v>35.71</v>
      </c>
      <c r="I78" s="60">
        <v>0.51</v>
      </c>
      <c r="J78" s="60">
        <v>0.08</v>
      </c>
      <c r="K78" s="60">
        <v>340.22</v>
      </c>
      <c r="L78" s="60">
        <v>28.17</v>
      </c>
      <c r="M78" s="60">
        <v>38</v>
      </c>
      <c r="N78" s="60">
        <v>15.6</v>
      </c>
      <c r="O78" s="60">
        <v>0</v>
      </c>
      <c r="P78" s="60">
        <v>0.87</v>
      </c>
      <c r="Q78" s="60">
        <v>30.23</v>
      </c>
      <c r="R78" s="198"/>
      <c r="S78" s="198"/>
      <c r="T78" s="198"/>
      <c r="U78" s="198"/>
    </row>
    <row r="79" spans="1:21" s="12" customFormat="1" x14ac:dyDescent="0.25">
      <c r="A79" s="213" t="s">
        <v>2637</v>
      </c>
      <c r="B79" s="60">
        <v>5.47</v>
      </c>
      <c r="C79" s="60">
        <v>70.12</v>
      </c>
      <c r="D79" s="60">
        <v>43.5</v>
      </c>
      <c r="E79" s="60">
        <v>5.81</v>
      </c>
      <c r="F79" s="60">
        <v>13.02</v>
      </c>
      <c r="G79" s="60">
        <v>57.95</v>
      </c>
      <c r="H79" s="60">
        <v>35.44</v>
      </c>
      <c r="I79" s="60">
        <v>0.52</v>
      </c>
      <c r="J79" s="60">
        <v>0.22</v>
      </c>
      <c r="K79" s="60">
        <v>87.05</v>
      </c>
      <c r="L79" s="60">
        <v>27.44</v>
      </c>
      <c r="M79" s="60">
        <v>45</v>
      </c>
      <c r="N79" s="60">
        <v>8.1</v>
      </c>
      <c r="O79" s="60">
        <v>0</v>
      </c>
      <c r="P79" s="60">
        <v>1.01</v>
      </c>
      <c r="Q79" s="60">
        <v>28.97</v>
      </c>
      <c r="R79" s="198"/>
      <c r="S79" s="198"/>
      <c r="T79" s="198"/>
      <c r="U79" s="198"/>
    </row>
    <row r="80" spans="1:21" s="12" customFormat="1" x14ac:dyDescent="0.25">
      <c r="A80" s="213" t="s">
        <v>2638</v>
      </c>
      <c r="B80" s="60">
        <v>10.119999999999999</v>
      </c>
      <c r="C80" s="60">
        <v>68.010000000000005</v>
      </c>
      <c r="D80" s="60">
        <v>46.07</v>
      </c>
      <c r="E80" s="60">
        <v>4.9000000000000004</v>
      </c>
      <c r="F80" s="60">
        <v>9.91</v>
      </c>
      <c r="G80" s="60">
        <v>62.11</v>
      </c>
      <c r="H80" s="60">
        <v>33.83</v>
      </c>
      <c r="I80" s="60">
        <v>0.53</v>
      </c>
      <c r="J80" s="60">
        <v>0.1</v>
      </c>
      <c r="K80" s="60">
        <v>87.44</v>
      </c>
      <c r="L80" s="60">
        <v>26.75</v>
      </c>
      <c r="M80" s="60">
        <v>48</v>
      </c>
      <c r="N80" s="60">
        <v>5.6</v>
      </c>
      <c r="O80" s="60">
        <v>0</v>
      </c>
      <c r="P80" s="60">
        <v>1.1299999999999999</v>
      </c>
      <c r="Q80" s="60">
        <v>30.17</v>
      </c>
      <c r="R80" s="198"/>
      <c r="S80" s="198"/>
      <c r="T80" s="198"/>
      <c r="U80" s="198"/>
    </row>
    <row r="81" spans="1:26" s="12" customFormat="1" x14ac:dyDescent="0.25">
      <c r="A81" s="213" t="s">
        <v>2639</v>
      </c>
      <c r="B81" s="60">
        <v>20.82</v>
      </c>
      <c r="C81" s="60">
        <v>75.91</v>
      </c>
      <c r="D81" s="60">
        <v>59</v>
      </c>
      <c r="E81" s="60">
        <v>4.17</v>
      </c>
      <c r="F81" s="60">
        <v>4.01</v>
      </c>
      <c r="G81" s="60">
        <v>62.11</v>
      </c>
      <c r="H81" s="60">
        <v>33.83</v>
      </c>
      <c r="I81" s="60">
        <v>0.56999999999999995</v>
      </c>
      <c r="J81" s="60">
        <v>0.15</v>
      </c>
      <c r="K81" s="60">
        <v>25.75</v>
      </c>
      <c r="L81" s="60">
        <v>26.42</v>
      </c>
      <c r="M81" s="60">
        <v>52</v>
      </c>
      <c r="N81" s="60">
        <v>4.9000000000000004</v>
      </c>
      <c r="O81" s="60">
        <v>0</v>
      </c>
      <c r="P81" s="60">
        <v>1.26</v>
      </c>
      <c r="Q81" s="60">
        <v>30.83</v>
      </c>
      <c r="R81" s="198"/>
      <c r="S81" s="198"/>
      <c r="T81" s="198"/>
      <c r="U81" s="198"/>
    </row>
    <row r="82" spans="1:26" s="12" customFormat="1" x14ac:dyDescent="0.25">
      <c r="A82" s="213" t="s">
        <v>2640</v>
      </c>
      <c r="B82" s="60">
        <v>18.64</v>
      </c>
      <c r="C82" s="60">
        <v>73.3</v>
      </c>
      <c r="D82" s="60">
        <v>55.82</v>
      </c>
      <c r="E82" s="60">
        <v>3.74</v>
      </c>
      <c r="F82" s="60">
        <v>3.72</v>
      </c>
      <c r="G82" s="60">
        <v>62.11</v>
      </c>
      <c r="H82" s="60">
        <v>33.83</v>
      </c>
      <c r="I82" s="60">
        <v>0.63</v>
      </c>
      <c r="J82" s="60">
        <v>0.05</v>
      </c>
      <c r="K82" s="60">
        <v>21.35</v>
      </c>
      <c r="L82" s="60">
        <v>25.98</v>
      </c>
      <c r="M82" s="60">
        <v>53</v>
      </c>
      <c r="N82" s="60">
        <v>5</v>
      </c>
      <c r="O82" s="60">
        <v>0</v>
      </c>
      <c r="P82" s="60">
        <v>1.29</v>
      </c>
      <c r="Q82" s="60">
        <v>35.67</v>
      </c>
      <c r="R82" s="198"/>
      <c r="S82" s="198"/>
      <c r="T82" s="198"/>
      <c r="U82" s="198"/>
    </row>
    <row r="83" spans="1:26" s="12" customFormat="1" x14ac:dyDescent="0.25">
      <c r="A83" s="213" t="s">
        <v>2641</v>
      </c>
      <c r="B83" s="60">
        <v>24.8</v>
      </c>
      <c r="C83" s="60">
        <v>80.67</v>
      </c>
      <c r="D83" s="60">
        <v>64.83</v>
      </c>
      <c r="E83" s="60">
        <v>3.6</v>
      </c>
      <c r="F83" s="60">
        <v>3.65</v>
      </c>
      <c r="G83" s="60">
        <v>74.959999999999994</v>
      </c>
      <c r="H83" s="60">
        <v>34.39</v>
      </c>
      <c r="I83" s="60">
        <v>0.66</v>
      </c>
      <c r="J83" s="60">
        <v>0.1</v>
      </c>
      <c r="K83" s="60">
        <v>92.97</v>
      </c>
      <c r="L83" s="60">
        <v>25.76</v>
      </c>
      <c r="M83" s="60">
        <v>52</v>
      </c>
      <c r="N83" s="60">
        <v>4.8</v>
      </c>
      <c r="O83" s="60">
        <v>0</v>
      </c>
      <c r="P83" s="60">
        <v>1.44</v>
      </c>
      <c r="Q83" s="60">
        <v>37.71</v>
      </c>
      <c r="R83" s="198"/>
      <c r="S83" s="198"/>
      <c r="T83" s="198"/>
      <c r="U83" s="198"/>
    </row>
    <row r="84" spans="1:26" s="12" customFormat="1" x14ac:dyDescent="0.25">
      <c r="A84" s="213" t="s">
        <v>2642</v>
      </c>
      <c r="B84" s="60">
        <v>26.77</v>
      </c>
      <c r="C84" s="60">
        <v>85.14</v>
      </c>
      <c r="D84" s="60">
        <v>68.87</v>
      </c>
      <c r="E84" s="60">
        <v>3.54</v>
      </c>
      <c r="F84" s="60">
        <v>3.61</v>
      </c>
      <c r="G84" s="60">
        <v>151.06</v>
      </c>
      <c r="H84" s="60">
        <v>37.75</v>
      </c>
      <c r="I84" s="60">
        <v>0.66</v>
      </c>
      <c r="J84" s="60">
        <v>0.23</v>
      </c>
      <c r="K84" s="60">
        <v>99.28</v>
      </c>
      <c r="L84" s="60">
        <v>25.67</v>
      </c>
      <c r="M84" s="60">
        <v>53</v>
      </c>
      <c r="N84" s="60">
        <v>4.5999999999999996</v>
      </c>
      <c r="O84" s="60">
        <v>0</v>
      </c>
      <c r="P84" s="60">
        <v>1.53</v>
      </c>
      <c r="Q84" s="60">
        <v>39.159999999999997</v>
      </c>
      <c r="R84" s="198"/>
      <c r="S84" s="198"/>
      <c r="T84" s="198"/>
      <c r="U84" s="198"/>
    </row>
    <row r="85" spans="1:26" s="12" customFormat="1" x14ac:dyDescent="0.25">
      <c r="A85" s="213" t="s">
        <v>2643</v>
      </c>
      <c r="B85" s="60">
        <v>29.65</v>
      </c>
      <c r="C85" s="60">
        <v>89.77</v>
      </c>
      <c r="D85" s="60">
        <v>73.739999999999995</v>
      </c>
      <c r="E85" s="60">
        <v>3.73</v>
      </c>
      <c r="F85" s="60">
        <v>3.59</v>
      </c>
      <c r="G85" s="60">
        <v>151.06</v>
      </c>
      <c r="H85" s="60">
        <v>37.75</v>
      </c>
      <c r="I85" s="60">
        <v>0.69</v>
      </c>
      <c r="J85" s="60">
        <v>0.3</v>
      </c>
      <c r="K85" s="60">
        <v>101.01</v>
      </c>
      <c r="L85" s="60">
        <v>25.74</v>
      </c>
      <c r="M85" s="60">
        <v>54</v>
      </c>
      <c r="N85" s="60">
        <v>4.5</v>
      </c>
      <c r="O85" s="60">
        <v>0</v>
      </c>
      <c r="P85" s="60">
        <v>1.62</v>
      </c>
      <c r="Q85" s="60">
        <v>40.270000000000003</v>
      </c>
      <c r="R85" s="198"/>
      <c r="S85" s="198"/>
      <c r="T85" s="198"/>
      <c r="U85" s="198"/>
    </row>
    <row r="86" spans="1:26" s="12" customFormat="1" x14ac:dyDescent="0.25">
      <c r="A86" s="213" t="s">
        <v>2644</v>
      </c>
      <c r="B86" s="60">
        <v>31.59</v>
      </c>
      <c r="C86" s="60">
        <v>92.39</v>
      </c>
      <c r="D86" s="60">
        <v>76.73</v>
      </c>
      <c r="E86" s="60">
        <v>3.6</v>
      </c>
      <c r="F86" s="60">
        <v>3.56</v>
      </c>
      <c r="G86" s="60">
        <v>151.06</v>
      </c>
      <c r="H86" s="60">
        <v>37.75</v>
      </c>
      <c r="I86" s="60">
        <v>0.74</v>
      </c>
      <c r="J86" s="60">
        <v>0.18</v>
      </c>
      <c r="K86" s="60">
        <v>49.93</v>
      </c>
      <c r="L86" s="60">
        <v>25.82</v>
      </c>
      <c r="M86" s="60">
        <v>53</v>
      </c>
      <c r="N86" s="60">
        <v>4.5999999999999996</v>
      </c>
      <c r="O86" s="60">
        <v>0</v>
      </c>
      <c r="P86" s="60">
        <v>1.82</v>
      </c>
      <c r="Q86" s="60">
        <v>40.659999999999997</v>
      </c>
      <c r="R86" s="198"/>
      <c r="S86" s="198"/>
      <c r="T86" s="198"/>
      <c r="U86" s="198"/>
    </row>
    <row r="87" spans="1:26" s="12" customFormat="1" x14ac:dyDescent="0.25">
      <c r="A87" s="213" t="s">
        <v>2645</v>
      </c>
      <c r="B87" s="60">
        <v>38.81</v>
      </c>
      <c r="C87" s="60">
        <v>95.83</v>
      </c>
      <c r="D87" s="60">
        <v>84.43</v>
      </c>
      <c r="E87" s="60">
        <v>3.73</v>
      </c>
      <c r="F87" s="60">
        <v>3.49</v>
      </c>
      <c r="G87" s="60">
        <v>155.22</v>
      </c>
      <c r="H87" s="60">
        <v>39.549999999999997</v>
      </c>
      <c r="I87" s="60">
        <v>0.86</v>
      </c>
      <c r="J87" s="60">
        <v>0.1</v>
      </c>
      <c r="K87" s="60">
        <v>35.369999999999997</v>
      </c>
      <c r="L87" s="60">
        <v>25.41</v>
      </c>
      <c r="M87" s="60">
        <v>58</v>
      </c>
      <c r="N87" s="60">
        <v>5</v>
      </c>
      <c r="O87" s="60">
        <v>0</v>
      </c>
      <c r="P87" s="60">
        <v>2.15</v>
      </c>
      <c r="Q87" s="60">
        <v>41.15</v>
      </c>
      <c r="R87" s="198"/>
      <c r="S87" s="198"/>
      <c r="T87" s="198"/>
      <c r="U87" s="198"/>
    </row>
    <row r="88" spans="1:26" s="12" customFormat="1" x14ac:dyDescent="0.25">
      <c r="A88" s="213" t="s">
        <v>2646</v>
      </c>
      <c r="B88" s="60">
        <v>47.21</v>
      </c>
      <c r="C88" s="60">
        <v>103.79</v>
      </c>
      <c r="D88" s="60">
        <v>95.55</v>
      </c>
      <c r="E88" s="60">
        <v>2.88</v>
      </c>
      <c r="F88" s="60">
        <v>3.5</v>
      </c>
      <c r="G88" s="60">
        <v>179.91</v>
      </c>
      <c r="H88" s="60">
        <v>50.2</v>
      </c>
      <c r="I88" s="60">
        <v>0.85</v>
      </c>
      <c r="J88" s="60">
        <v>0.28000000000000003</v>
      </c>
      <c r="K88" s="60">
        <v>101.02</v>
      </c>
      <c r="L88" s="60">
        <v>25.56</v>
      </c>
      <c r="M88" s="60">
        <v>52</v>
      </c>
      <c r="N88" s="60">
        <v>4.4000000000000004</v>
      </c>
      <c r="O88" s="60">
        <v>0</v>
      </c>
      <c r="P88" s="60">
        <v>2.77</v>
      </c>
      <c r="Q88" s="60">
        <v>40.520000000000003</v>
      </c>
      <c r="R88" s="198"/>
      <c r="S88" s="198"/>
      <c r="T88" s="198"/>
      <c r="U88" s="198"/>
    </row>
    <row r="89" spans="1:26" s="12" customFormat="1" x14ac:dyDescent="0.25">
      <c r="A89" s="213" t="s">
        <v>2647</v>
      </c>
      <c r="B89" s="60">
        <v>52.56</v>
      </c>
      <c r="C89" s="60">
        <v>99.02</v>
      </c>
      <c r="D89" s="60">
        <v>97.21</v>
      </c>
      <c r="E89" s="60">
        <v>5.17</v>
      </c>
      <c r="F89" s="60">
        <v>3.54</v>
      </c>
      <c r="G89" s="60">
        <v>179.91</v>
      </c>
      <c r="H89" s="60">
        <v>50.2</v>
      </c>
      <c r="I89" s="60">
        <v>0.95</v>
      </c>
      <c r="J89" s="60">
        <v>0.18</v>
      </c>
      <c r="K89" s="60">
        <v>23.93</v>
      </c>
      <c r="L89" s="60">
        <v>25.38</v>
      </c>
      <c r="M89" s="60">
        <v>55</v>
      </c>
      <c r="N89" s="60">
        <v>4.8</v>
      </c>
      <c r="O89" s="60">
        <v>0</v>
      </c>
      <c r="P89" s="60">
        <v>2.99</v>
      </c>
      <c r="Q89" s="60">
        <v>39.71</v>
      </c>
      <c r="R89" s="198"/>
      <c r="S89" s="198"/>
      <c r="T89" s="198"/>
      <c r="U89" s="198"/>
    </row>
    <row r="90" spans="1:26" s="12" customFormat="1" x14ac:dyDescent="0.25">
      <c r="A90" s="213" t="s">
        <v>2648</v>
      </c>
      <c r="B90" s="60">
        <v>51.4</v>
      </c>
      <c r="C90" s="60">
        <v>100.47</v>
      </c>
      <c r="D90" s="60">
        <v>97.08</v>
      </c>
      <c r="E90" s="60">
        <v>5.92</v>
      </c>
      <c r="F90" s="60">
        <v>3.54</v>
      </c>
      <c r="G90" s="60">
        <v>179.91</v>
      </c>
      <c r="H90" s="60">
        <v>50.2</v>
      </c>
      <c r="I90" s="60">
        <v>1.25</v>
      </c>
      <c r="J90" s="60">
        <v>0.21</v>
      </c>
      <c r="K90" s="60">
        <v>94.69</v>
      </c>
      <c r="L90" s="60">
        <v>25.24</v>
      </c>
      <c r="M90" s="60">
        <v>52</v>
      </c>
      <c r="N90" s="60">
        <v>4.5999999999999996</v>
      </c>
      <c r="O90" s="60">
        <v>0</v>
      </c>
      <c r="P90" s="60">
        <v>2.84</v>
      </c>
      <c r="Q90" s="60">
        <v>39.64</v>
      </c>
      <c r="R90" s="198"/>
      <c r="S90" s="198"/>
      <c r="T90" s="198"/>
      <c r="U90" s="198"/>
    </row>
    <row r="91" spans="1:26" s="12" customFormat="1" x14ac:dyDescent="0.25">
      <c r="A91" s="213" t="s">
        <v>2649</v>
      </c>
      <c r="B91" s="60">
        <v>42.11</v>
      </c>
      <c r="C91" s="60">
        <v>100.06</v>
      </c>
      <c r="D91" s="60">
        <v>89.4</v>
      </c>
      <c r="E91" s="60">
        <v>6.24</v>
      </c>
      <c r="F91" s="60">
        <v>3.62</v>
      </c>
      <c r="G91" s="60">
        <v>176.16</v>
      </c>
      <c r="H91" s="60">
        <v>51.74</v>
      </c>
      <c r="I91" s="60">
        <v>1.29</v>
      </c>
      <c r="J91" s="60">
        <v>0.4</v>
      </c>
      <c r="K91" s="60">
        <v>113.14</v>
      </c>
      <c r="L91" s="60">
        <v>25.35</v>
      </c>
      <c r="M91" s="60">
        <v>51</v>
      </c>
      <c r="N91" s="60">
        <v>4.4000000000000004</v>
      </c>
      <c r="O91" s="60">
        <v>0</v>
      </c>
      <c r="P91" s="60">
        <v>2.72</v>
      </c>
      <c r="Q91" s="60">
        <v>41.67</v>
      </c>
      <c r="R91" s="198"/>
      <c r="S91" s="198"/>
      <c r="T91" s="198"/>
      <c r="U91" s="198"/>
    </row>
    <row r="92" spans="1:26" s="12" customFormat="1" x14ac:dyDescent="0.25">
      <c r="A92" s="213" t="s">
        <v>2650</v>
      </c>
      <c r="B92" s="60">
        <v>49.36</v>
      </c>
      <c r="C92" s="60">
        <v>97.72</v>
      </c>
      <c r="D92" s="60">
        <v>93.93</v>
      </c>
      <c r="E92" s="60">
        <v>5.96</v>
      </c>
      <c r="F92" s="60">
        <v>3.66</v>
      </c>
      <c r="G92" s="60">
        <v>153.94999999999999</v>
      </c>
      <c r="H92" s="60">
        <v>60.9</v>
      </c>
      <c r="I92" s="60">
        <v>1.25</v>
      </c>
      <c r="J92" s="60">
        <v>0.14000000000000001</v>
      </c>
      <c r="K92" s="60">
        <v>66.459999999999994</v>
      </c>
      <c r="L92" s="60">
        <v>25.11</v>
      </c>
      <c r="M92" s="60">
        <v>52</v>
      </c>
      <c r="N92" s="60">
        <v>4.8</v>
      </c>
      <c r="O92" s="60">
        <v>0</v>
      </c>
      <c r="P92" s="60">
        <v>2.84</v>
      </c>
      <c r="Q92" s="60">
        <v>41.28</v>
      </c>
      <c r="R92" s="198"/>
      <c r="S92" s="198"/>
      <c r="T92" s="198"/>
      <c r="U92" s="198"/>
    </row>
    <row r="93" spans="1:26" s="12" customFormat="1" x14ac:dyDescent="0.25">
      <c r="A93" s="213" t="s">
        <v>2651</v>
      </c>
      <c r="B93" s="60">
        <v>52.49</v>
      </c>
      <c r="C93" s="60">
        <v>97.61</v>
      </c>
      <c r="D93" s="60">
        <v>96.37</v>
      </c>
      <c r="E93" s="60">
        <v>4.97</v>
      </c>
      <c r="F93" s="60">
        <v>3.6</v>
      </c>
      <c r="G93" s="60">
        <v>153.94999999999999</v>
      </c>
      <c r="H93" s="60">
        <v>60.9</v>
      </c>
      <c r="I93" s="60">
        <v>1.25</v>
      </c>
      <c r="J93" s="60">
        <v>0.1</v>
      </c>
      <c r="K93" s="60">
        <v>10.39</v>
      </c>
      <c r="L93" s="60">
        <v>24.32</v>
      </c>
      <c r="M93" s="60">
        <v>57</v>
      </c>
      <c r="N93" s="60">
        <v>5</v>
      </c>
      <c r="O93" s="60">
        <v>0</v>
      </c>
      <c r="P93" s="60">
        <v>2.89</v>
      </c>
      <c r="Q93" s="60">
        <v>42.25</v>
      </c>
      <c r="R93" s="198"/>
      <c r="S93" s="198"/>
      <c r="T93" s="198"/>
      <c r="U93" s="198"/>
    </row>
    <row r="94" spans="1:26" s="12" customFormat="1" x14ac:dyDescent="0.25">
      <c r="A94" s="213" t="s">
        <v>2652</v>
      </c>
      <c r="B94" s="60">
        <v>53.53</v>
      </c>
      <c r="C94" s="60">
        <v>95.37</v>
      </c>
      <c r="D94" s="60">
        <v>95.97</v>
      </c>
      <c r="E94" s="60">
        <v>4.91</v>
      </c>
      <c r="F94" s="60">
        <v>3.59</v>
      </c>
      <c r="G94" s="60">
        <v>153.94999999999999</v>
      </c>
      <c r="H94" s="60">
        <v>60.9</v>
      </c>
      <c r="I94" s="60">
        <v>1.3</v>
      </c>
      <c r="J94" s="60">
        <v>0.01</v>
      </c>
      <c r="K94" s="60">
        <v>121.52</v>
      </c>
      <c r="L94" s="60">
        <v>23.63</v>
      </c>
      <c r="M94" s="60">
        <v>59</v>
      </c>
      <c r="N94" s="60">
        <v>4.9000000000000004</v>
      </c>
      <c r="O94" s="60">
        <v>0</v>
      </c>
      <c r="P94" s="60">
        <v>2.8</v>
      </c>
      <c r="Q94" s="60">
        <v>43.32</v>
      </c>
      <c r="R94" s="198"/>
      <c r="S94" s="198"/>
      <c r="T94" s="198"/>
      <c r="U94" s="198"/>
    </row>
    <row r="95" spans="1:26" s="12" customFormat="1" x14ac:dyDescent="0.25">
      <c r="A95" s="213" t="s">
        <v>2653</v>
      </c>
      <c r="B95" s="60">
        <v>63.5</v>
      </c>
      <c r="C95" s="60">
        <v>97.34</v>
      </c>
      <c r="D95" s="60">
        <v>105.05</v>
      </c>
      <c r="E95" s="60">
        <v>5.21</v>
      </c>
      <c r="F95" s="60">
        <v>3.52</v>
      </c>
      <c r="G95" s="60">
        <v>159.43</v>
      </c>
      <c r="H95" s="60">
        <v>61.14</v>
      </c>
      <c r="I95" s="60">
        <v>1.33</v>
      </c>
      <c r="J95" s="60">
        <v>0.1</v>
      </c>
      <c r="K95" s="60">
        <v>31.29</v>
      </c>
      <c r="L95" s="60">
        <v>23.3</v>
      </c>
      <c r="M95" s="60">
        <v>64</v>
      </c>
      <c r="N95" s="60">
        <v>4.7</v>
      </c>
      <c r="O95" s="60">
        <v>0</v>
      </c>
      <c r="P95" s="60">
        <v>2.98</v>
      </c>
      <c r="Q95" s="60">
        <v>43.14</v>
      </c>
      <c r="R95" s="198"/>
      <c r="S95" s="198"/>
      <c r="T95" s="198"/>
      <c r="U95" s="198"/>
    </row>
    <row r="96" spans="1:26" s="12" customFormat="1" x14ac:dyDescent="0.25">
      <c r="A96" s="213" t="s">
        <v>2654</v>
      </c>
      <c r="B96" s="60">
        <v>60.9</v>
      </c>
      <c r="C96" s="60">
        <v>95.25</v>
      </c>
      <c r="D96" s="60">
        <v>101.82</v>
      </c>
      <c r="E96" s="60">
        <v>4.4800000000000004</v>
      </c>
      <c r="F96" s="60">
        <v>3.26</v>
      </c>
      <c r="G96" s="60">
        <v>191.84</v>
      </c>
      <c r="H96" s="60">
        <v>62.6</v>
      </c>
      <c r="I96" s="60">
        <v>1.33</v>
      </c>
      <c r="J96" s="60">
        <v>0.12</v>
      </c>
      <c r="K96" s="60">
        <v>18.149999999999999</v>
      </c>
      <c r="L96" s="60">
        <v>22.91</v>
      </c>
      <c r="M96" s="60">
        <v>67</v>
      </c>
      <c r="N96" s="60">
        <v>4.5999999999999996</v>
      </c>
      <c r="O96" s="60">
        <v>0</v>
      </c>
      <c r="P96" s="60">
        <v>2.98</v>
      </c>
      <c r="Q96" s="60">
        <v>46.86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2655</v>
      </c>
      <c r="B97" s="60">
        <v>69.959999999999994</v>
      </c>
      <c r="C97" s="60">
        <v>97.57</v>
      </c>
      <c r="D97" s="60">
        <v>110.37</v>
      </c>
      <c r="E97" s="60">
        <v>4.8099999999999996</v>
      </c>
      <c r="F97" s="60">
        <v>3.31</v>
      </c>
      <c r="G97" s="60">
        <v>191.84</v>
      </c>
      <c r="H97" s="60">
        <v>62.6</v>
      </c>
      <c r="I97" s="60">
        <v>1.4</v>
      </c>
      <c r="J97" s="60">
        <v>0.15</v>
      </c>
      <c r="K97" s="60">
        <v>27.44</v>
      </c>
      <c r="L97" s="60">
        <v>22.59</v>
      </c>
      <c r="M97" s="60">
        <v>69</v>
      </c>
      <c r="N97" s="60">
        <v>4.7</v>
      </c>
      <c r="O97" s="60">
        <v>0</v>
      </c>
      <c r="P97" s="60">
        <v>3.18</v>
      </c>
      <c r="Q97" s="60">
        <v>49.18</v>
      </c>
      <c r="R97" s="198"/>
      <c r="S97" s="198"/>
      <c r="T97" s="198"/>
      <c r="U97" s="198"/>
    </row>
    <row r="98" spans="1:33" s="12" customFormat="1" x14ac:dyDescent="0.25">
      <c r="A98" s="213" t="s">
        <v>2656</v>
      </c>
      <c r="B98" s="60">
        <v>73.06</v>
      </c>
      <c r="C98" s="60">
        <v>99.52</v>
      </c>
      <c r="D98" s="60">
        <v>113.93</v>
      </c>
      <c r="E98" s="60">
        <v>4.12</v>
      </c>
      <c r="F98" s="60">
        <v>3.61</v>
      </c>
      <c r="G98" s="60">
        <v>191.84</v>
      </c>
      <c r="H98" s="60">
        <v>62.6</v>
      </c>
      <c r="I98" s="60">
        <v>1.41</v>
      </c>
      <c r="J98" s="60">
        <v>0.08</v>
      </c>
      <c r="K98" s="60">
        <v>96.46</v>
      </c>
      <c r="L98" s="60">
        <v>22.41</v>
      </c>
      <c r="M98" s="60">
        <v>66</v>
      </c>
      <c r="N98" s="60">
        <v>4.5999999999999996</v>
      </c>
      <c r="O98" s="60">
        <v>0</v>
      </c>
      <c r="P98" s="60">
        <v>3.35</v>
      </c>
      <c r="Q98" s="60">
        <v>49.79</v>
      </c>
      <c r="R98" s="198"/>
      <c r="S98" s="198"/>
      <c r="T98" s="198"/>
      <c r="U98" s="198"/>
    </row>
    <row r="99" spans="1:33" s="12" customFormat="1" x14ac:dyDescent="0.25">
      <c r="A99" s="213" t="s">
        <v>2657</v>
      </c>
      <c r="B99" s="60">
        <v>75.760000000000005</v>
      </c>
      <c r="C99" s="60">
        <v>101.59</v>
      </c>
      <c r="D99" s="60">
        <v>117.24</v>
      </c>
      <c r="E99" s="60">
        <v>4</v>
      </c>
      <c r="F99" s="60">
        <v>3.51</v>
      </c>
      <c r="G99" s="60">
        <v>191.54</v>
      </c>
      <c r="H99" s="60">
        <v>63</v>
      </c>
      <c r="I99" s="60">
        <v>1.45</v>
      </c>
      <c r="J99" s="60">
        <v>0.33</v>
      </c>
      <c r="K99" s="60">
        <v>130.27000000000001</v>
      </c>
      <c r="L99" s="60">
        <v>22.79</v>
      </c>
      <c r="M99" s="60">
        <v>62</v>
      </c>
      <c r="N99" s="60">
        <v>3.5</v>
      </c>
      <c r="O99" s="60">
        <v>0</v>
      </c>
      <c r="P99" s="60">
        <v>3.41</v>
      </c>
      <c r="Q99" s="60">
        <v>49.95</v>
      </c>
      <c r="R99" s="198"/>
      <c r="S99" s="198"/>
      <c r="T99" s="198"/>
      <c r="U99" s="198"/>
    </row>
    <row r="100" spans="1:33" s="12" customFormat="1" x14ac:dyDescent="0.25">
      <c r="A100" s="213" t="s">
        <v>2658</v>
      </c>
      <c r="B100" s="60">
        <v>75.099999999999994</v>
      </c>
      <c r="C100" s="60">
        <v>102.74</v>
      </c>
      <c r="D100" s="60">
        <v>117.34</v>
      </c>
      <c r="E100" s="60">
        <v>3.71</v>
      </c>
      <c r="F100" s="60">
        <v>3.48</v>
      </c>
      <c r="G100" s="60">
        <v>189.78</v>
      </c>
      <c r="H100" s="60">
        <v>65.34</v>
      </c>
      <c r="I100" s="60">
        <v>1.49</v>
      </c>
      <c r="J100" s="60">
        <v>0.06</v>
      </c>
      <c r="K100" s="60">
        <v>68.180000000000007</v>
      </c>
      <c r="L100" s="60">
        <v>23.32</v>
      </c>
      <c r="M100" s="60">
        <v>58</v>
      </c>
      <c r="N100" s="60">
        <v>4.3</v>
      </c>
      <c r="O100" s="60">
        <v>0</v>
      </c>
      <c r="P100" s="60">
        <v>3.39</v>
      </c>
      <c r="Q100" s="60">
        <v>50.03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2659</v>
      </c>
      <c r="B101" s="60">
        <v>72.900000000000006</v>
      </c>
      <c r="C101" s="60">
        <v>103.17</v>
      </c>
      <c r="D101" s="60">
        <v>115.81</v>
      </c>
      <c r="E101" s="60">
        <v>3.86</v>
      </c>
      <c r="F101" s="60">
        <v>3.53</v>
      </c>
      <c r="G101" s="60">
        <v>189.78</v>
      </c>
      <c r="H101" s="60">
        <v>65.34</v>
      </c>
      <c r="I101" s="60">
        <v>1.53</v>
      </c>
      <c r="J101" s="60">
        <v>0.23</v>
      </c>
      <c r="K101" s="60">
        <v>35.57</v>
      </c>
      <c r="L101" s="60">
        <v>22.4</v>
      </c>
      <c r="M101" s="60">
        <v>65</v>
      </c>
      <c r="N101" s="60">
        <v>4.8</v>
      </c>
      <c r="O101" s="60">
        <v>0</v>
      </c>
      <c r="P101" s="60">
        <v>3.38</v>
      </c>
      <c r="Q101" s="60">
        <v>49.99</v>
      </c>
      <c r="R101" s="198"/>
      <c r="S101" s="198"/>
      <c r="T101" s="198"/>
      <c r="U101" s="198"/>
    </row>
    <row r="102" spans="1:33" s="12" customFormat="1" x14ac:dyDescent="0.25">
      <c r="A102" s="213" t="s">
        <v>2660</v>
      </c>
      <c r="B102" s="60">
        <v>67.23</v>
      </c>
      <c r="C102" s="60">
        <v>99.46</v>
      </c>
      <c r="D102" s="60">
        <v>109.22</v>
      </c>
      <c r="E102" s="60">
        <v>4.01</v>
      </c>
      <c r="F102" s="60">
        <v>3.43</v>
      </c>
      <c r="G102" s="60">
        <v>189.78</v>
      </c>
      <c r="H102" s="60">
        <v>65.34</v>
      </c>
      <c r="I102" s="60">
        <v>1.52</v>
      </c>
      <c r="J102" s="60">
        <v>0.17</v>
      </c>
      <c r="K102" s="60">
        <v>52.69</v>
      </c>
      <c r="L102" s="60">
        <v>21.77</v>
      </c>
      <c r="M102" s="60">
        <v>68</v>
      </c>
      <c r="N102" s="60">
        <v>4.7</v>
      </c>
      <c r="O102" s="60">
        <v>0</v>
      </c>
      <c r="P102" s="60">
        <v>3.34</v>
      </c>
      <c r="Q102" s="60">
        <v>49.85</v>
      </c>
      <c r="R102" s="198"/>
      <c r="S102" s="198"/>
      <c r="T102" s="198"/>
      <c r="U102" s="198"/>
    </row>
    <row r="103" spans="1:33" s="12" customFormat="1" x14ac:dyDescent="0.25">
      <c r="A103" s="213" t="s">
        <v>2661</v>
      </c>
      <c r="B103" s="60">
        <v>61.77</v>
      </c>
      <c r="C103" s="60">
        <v>96.06</v>
      </c>
      <c r="D103" s="60">
        <v>102.96</v>
      </c>
      <c r="E103" s="60">
        <v>4.12</v>
      </c>
      <c r="F103" s="60">
        <v>3.76</v>
      </c>
      <c r="G103" s="60">
        <v>178.6</v>
      </c>
      <c r="H103" s="60">
        <v>64.8</v>
      </c>
      <c r="I103" s="60">
        <v>1.51</v>
      </c>
      <c r="J103" s="60">
        <v>0.04</v>
      </c>
      <c r="K103" s="60">
        <v>110.81</v>
      </c>
      <c r="L103" s="60">
        <v>21.76</v>
      </c>
      <c r="M103" s="60">
        <v>63</v>
      </c>
      <c r="N103" s="60">
        <v>4.4000000000000004</v>
      </c>
      <c r="O103" s="60">
        <v>0</v>
      </c>
      <c r="P103" s="60">
        <v>3.22</v>
      </c>
      <c r="Q103" s="60">
        <v>47.89</v>
      </c>
      <c r="R103" s="198"/>
      <c r="S103" s="198"/>
      <c r="T103" s="198"/>
      <c r="U103" s="198"/>
    </row>
    <row r="104" spans="1:33" s="12" customFormat="1" x14ac:dyDescent="0.25">
      <c r="A104" s="213" t="s">
        <v>2662</v>
      </c>
      <c r="B104" s="60">
        <v>64.84</v>
      </c>
      <c r="C104" s="60">
        <v>100.59</v>
      </c>
      <c r="D104" s="60">
        <v>107.92</v>
      </c>
      <c r="E104" s="60">
        <v>2.15</v>
      </c>
      <c r="F104" s="60">
        <v>3.68</v>
      </c>
      <c r="G104" s="60">
        <v>112.38</v>
      </c>
      <c r="H104" s="60">
        <v>61.57</v>
      </c>
      <c r="I104" s="60">
        <v>1.47</v>
      </c>
      <c r="J104" s="60">
        <v>0.13</v>
      </c>
      <c r="K104" s="60">
        <v>343.01</v>
      </c>
      <c r="L104" s="60">
        <v>21.65</v>
      </c>
      <c r="M104" s="60">
        <v>64</v>
      </c>
      <c r="N104" s="60">
        <v>4.5999999999999996</v>
      </c>
      <c r="O104" s="60">
        <v>0</v>
      </c>
      <c r="P104" s="60">
        <v>3.28</v>
      </c>
      <c r="Q104" s="60">
        <v>46.07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1.19</v>
      </c>
      <c r="C106" s="67">
        <f>MIN(C9:C104)</f>
        <v>44.73</v>
      </c>
      <c r="D106" s="67">
        <f t="shared" ref="D106:Q106" si="0">MIN(D9:D104)</f>
        <v>26.98</v>
      </c>
      <c r="E106" s="67">
        <f t="shared" si="0"/>
        <v>1.89</v>
      </c>
      <c r="F106" s="67">
        <f t="shared" si="0"/>
        <v>3.1</v>
      </c>
      <c r="G106" s="67">
        <f t="shared" si="0"/>
        <v>54.34</v>
      </c>
      <c r="H106" s="67">
        <f t="shared" si="0"/>
        <v>27.51</v>
      </c>
      <c r="I106" s="67">
        <f t="shared" si="0"/>
        <v>0.5</v>
      </c>
      <c r="J106" s="67">
        <f t="shared" si="0"/>
        <v>0.01</v>
      </c>
      <c r="K106" s="67">
        <f t="shared" si="0"/>
        <v>1.2</v>
      </c>
      <c r="L106" s="67">
        <f t="shared" si="0"/>
        <v>16.46</v>
      </c>
      <c r="M106" s="67">
        <f t="shared" si="0"/>
        <v>32</v>
      </c>
      <c r="N106" s="67">
        <f t="shared" si="0"/>
        <v>3.5</v>
      </c>
      <c r="O106" s="67">
        <f t="shared" si="0"/>
        <v>0</v>
      </c>
      <c r="P106" s="67">
        <f t="shared" si="0"/>
        <v>0.82</v>
      </c>
      <c r="Q106" s="67">
        <f t="shared" si="0"/>
        <v>21.94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148.66</v>
      </c>
      <c r="C107" s="66">
        <f t="shared" ref="C107:Q107" si="1">MAX(C9:C104)</f>
        <v>103.79</v>
      </c>
      <c r="D107" s="66">
        <f t="shared" si="1"/>
        <v>174.98</v>
      </c>
      <c r="E107" s="66">
        <f t="shared" si="1"/>
        <v>15.19</v>
      </c>
      <c r="F107" s="66">
        <f t="shared" si="1"/>
        <v>33.700000000000003</v>
      </c>
      <c r="G107" s="66">
        <f t="shared" si="1"/>
        <v>291.14999999999998</v>
      </c>
      <c r="H107" s="66">
        <f t="shared" si="1"/>
        <v>65.34</v>
      </c>
      <c r="I107" s="66">
        <f t="shared" si="1"/>
        <v>1.89</v>
      </c>
      <c r="J107" s="66">
        <f t="shared" si="1"/>
        <v>1.1599999999999999</v>
      </c>
      <c r="K107" s="66">
        <f t="shared" si="1"/>
        <v>359.78</v>
      </c>
      <c r="L107" s="66">
        <f t="shared" si="1"/>
        <v>33.51</v>
      </c>
      <c r="M107" s="66">
        <f t="shared" si="1"/>
        <v>82</v>
      </c>
      <c r="N107" s="66">
        <f t="shared" si="1"/>
        <v>557.5</v>
      </c>
      <c r="O107" s="66">
        <f t="shared" si="1"/>
        <v>0</v>
      </c>
      <c r="P107" s="66">
        <f t="shared" si="1"/>
        <v>4.01</v>
      </c>
      <c r="Q107" s="66">
        <f t="shared" si="1"/>
        <v>52.09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49.069687500000008</v>
      </c>
      <c r="C108" s="67">
        <f t="shared" ref="C108:Q108" si="2">AVERAGE(C9:C104)</f>
        <v>78.117500000000021</v>
      </c>
      <c r="D108" s="67">
        <f t="shared" si="2"/>
        <v>82.876145833333339</v>
      </c>
      <c r="E108" s="67">
        <f t="shared" si="2"/>
        <v>4.3880208333333348</v>
      </c>
      <c r="F108" s="67">
        <f t="shared" si="2"/>
        <v>7.4672916666666644</v>
      </c>
      <c r="G108" s="67">
        <f t="shared" si="2"/>
        <v>106.02552941176472</v>
      </c>
      <c r="H108" s="67">
        <f t="shared" si="2"/>
        <v>43.391411764705879</v>
      </c>
      <c r="I108" s="67">
        <f t="shared" si="2"/>
        <v>0.95302083333333332</v>
      </c>
      <c r="J108" s="67">
        <f t="shared" si="2"/>
        <v>0.233125</v>
      </c>
      <c r="K108" s="67">
        <f t="shared" si="2"/>
        <v>171.895625</v>
      </c>
      <c r="L108" s="67">
        <f t="shared" si="2"/>
        <v>24.16843750000001</v>
      </c>
      <c r="M108" s="67">
        <f t="shared" si="2"/>
        <v>56.177083333333336</v>
      </c>
      <c r="N108" s="67">
        <f t="shared" si="2"/>
        <v>148.65208333333331</v>
      </c>
      <c r="O108" s="67">
        <f t="shared" si="2"/>
        <v>0</v>
      </c>
      <c r="P108" s="67">
        <f t="shared" si="2"/>
        <v>1.8486458333333331</v>
      </c>
      <c r="Q108" s="67">
        <f t="shared" si="2"/>
        <v>38.888541666666647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38.725973725058857</v>
      </c>
      <c r="C109" s="67">
        <f t="shared" ref="C109:Q109" si="3">STDEV(C9:C104)</f>
        <v>15.863109537871919</v>
      </c>
      <c r="D109" s="67">
        <f t="shared" si="3"/>
        <v>37.796015394825332</v>
      </c>
      <c r="E109" s="67">
        <f t="shared" si="3"/>
        <v>1.7541293355614291</v>
      </c>
      <c r="F109" s="67">
        <f t="shared" si="3"/>
        <v>7.7648727890303899</v>
      </c>
      <c r="G109" s="67">
        <f t="shared" si="3"/>
        <v>59.03932364889323</v>
      </c>
      <c r="H109" s="67">
        <f t="shared" si="3"/>
        <v>11.083707600513016</v>
      </c>
      <c r="I109" s="67">
        <f t="shared" si="3"/>
        <v>0.4178469117591595</v>
      </c>
      <c r="J109" s="67">
        <f t="shared" si="3"/>
        <v>0.24359721932558648</v>
      </c>
      <c r="K109" s="67">
        <f t="shared" si="3"/>
        <v>128.60709476878952</v>
      </c>
      <c r="L109" s="67">
        <f t="shared" si="3"/>
        <v>5.4166951136229802</v>
      </c>
      <c r="M109" s="67">
        <f t="shared" si="3"/>
        <v>15.853271149524652</v>
      </c>
      <c r="N109" s="67">
        <f t="shared" si="3"/>
        <v>207.97156434128541</v>
      </c>
      <c r="O109" s="67">
        <f t="shared" si="3"/>
        <v>0</v>
      </c>
      <c r="P109" s="67">
        <f t="shared" si="3"/>
        <v>0.91550460034104453</v>
      </c>
      <c r="Q109" s="67">
        <f t="shared" si="3"/>
        <v>8.7313461889866133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COUNT(G9:G104)+11</f>
        <v>96</v>
      </c>
      <c r="H110" s="66">
        <f>COUNT(H9:H104)+11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2663</v>
      </c>
      <c r="B9" s="60">
        <v>110.97</v>
      </c>
      <c r="C9" s="60">
        <v>96.7</v>
      </c>
      <c r="D9" s="60">
        <v>142.78</v>
      </c>
      <c r="E9" s="60">
        <v>4.8600000000000003</v>
      </c>
      <c r="F9" s="60">
        <v>0.17</v>
      </c>
      <c r="G9" s="60">
        <v>157.56</v>
      </c>
      <c r="H9" s="60">
        <v>58.3</v>
      </c>
      <c r="I9" s="60">
        <v>1.53</v>
      </c>
      <c r="J9" s="6" t="s">
        <v>42</v>
      </c>
      <c r="K9" s="60">
        <v>79.19</v>
      </c>
      <c r="L9" s="60">
        <v>21.81</v>
      </c>
      <c r="M9" s="60">
        <v>59</v>
      </c>
      <c r="N9" s="60">
        <v>3.9</v>
      </c>
      <c r="O9" s="60">
        <v>0</v>
      </c>
      <c r="P9" s="60">
        <v>2.88</v>
      </c>
      <c r="Q9" s="60">
        <v>51.95</v>
      </c>
      <c r="R9" s="198"/>
      <c r="S9" s="198"/>
      <c r="T9" s="198"/>
      <c r="U9" s="198"/>
    </row>
    <row r="10" spans="1:21" s="12" customFormat="1" x14ac:dyDescent="0.25">
      <c r="A10" s="213" t="s">
        <v>2664</v>
      </c>
      <c r="B10" s="60">
        <v>106.51</v>
      </c>
      <c r="C10" s="60">
        <v>94.7</v>
      </c>
      <c r="D10" s="60">
        <v>138.09</v>
      </c>
      <c r="E10" s="60">
        <v>4.7699999999999996</v>
      </c>
      <c r="F10" s="60">
        <v>0.35</v>
      </c>
      <c r="G10" s="60">
        <v>105.44</v>
      </c>
      <c r="H10" s="60">
        <v>57.38</v>
      </c>
      <c r="I10" s="60">
        <v>1.5</v>
      </c>
      <c r="J10" s="60">
        <v>0.06</v>
      </c>
      <c r="K10" s="60">
        <v>313.47000000000003</v>
      </c>
      <c r="L10" s="60">
        <v>21.4</v>
      </c>
      <c r="M10" s="60">
        <v>61</v>
      </c>
      <c r="N10" s="60">
        <v>4.3</v>
      </c>
      <c r="O10" s="60">
        <v>0</v>
      </c>
      <c r="P10" s="60">
        <v>2.8</v>
      </c>
      <c r="Q10" s="60">
        <v>51.22</v>
      </c>
      <c r="R10" s="198"/>
      <c r="S10" s="198"/>
      <c r="T10" s="198"/>
      <c r="U10" s="198"/>
    </row>
    <row r="11" spans="1:21" s="12" customFormat="1" x14ac:dyDescent="0.25">
      <c r="A11" s="213" t="s">
        <v>2665</v>
      </c>
      <c r="B11" s="60">
        <v>101.46</v>
      </c>
      <c r="C11" s="60">
        <v>94.25</v>
      </c>
      <c r="D11" s="60">
        <v>133.79</v>
      </c>
      <c r="E11" s="60">
        <v>4.62</v>
      </c>
      <c r="F11" s="60">
        <v>0.23</v>
      </c>
      <c r="G11" s="60">
        <v>105.44</v>
      </c>
      <c r="H11" s="60">
        <v>57.38</v>
      </c>
      <c r="I11" s="60">
        <v>1.47</v>
      </c>
      <c r="J11" s="60">
        <v>0.14000000000000001</v>
      </c>
      <c r="K11" s="60">
        <v>354.18</v>
      </c>
      <c r="L11" s="60">
        <v>20.91</v>
      </c>
      <c r="M11" s="60">
        <v>64</v>
      </c>
      <c r="N11" s="60">
        <v>4.9000000000000004</v>
      </c>
      <c r="O11" s="60">
        <v>0</v>
      </c>
      <c r="P11" s="60">
        <v>2.69</v>
      </c>
      <c r="Q11" s="60">
        <v>51.18</v>
      </c>
      <c r="R11" s="198"/>
      <c r="S11" s="198"/>
      <c r="T11" s="198"/>
      <c r="U11" s="198"/>
    </row>
    <row r="12" spans="1:21" s="12" customFormat="1" x14ac:dyDescent="0.25">
      <c r="A12" s="213" t="s">
        <v>2666</v>
      </c>
      <c r="B12" s="60">
        <v>95.73</v>
      </c>
      <c r="C12" s="60">
        <v>93.19</v>
      </c>
      <c r="D12" s="60">
        <v>128.62</v>
      </c>
      <c r="E12" s="60">
        <v>4.5599999999999996</v>
      </c>
      <c r="F12" s="60">
        <v>0.03</v>
      </c>
      <c r="G12" s="60">
        <v>105.44</v>
      </c>
      <c r="H12" s="60">
        <v>57.38</v>
      </c>
      <c r="I12" s="60">
        <v>1.44</v>
      </c>
      <c r="J12" s="60">
        <v>0.06</v>
      </c>
      <c r="K12" s="60">
        <v>314.08</v>
      </c>
      <c r="L12" s="60">
        <v>19.89</v>
      </c>
      <c r="M12" s="60">
        <v>69</v>
      </c>
      <c r="N12" s="60">
        <v>5.0999999999999996</v>
      </c>
      <c r="O12" s="60">
        <v>0</v>
      </c>
      <c r="P12" s="60">
        <v>2.6</v>
      </c>
      <c r="Q12" s="60">
        <v>51</v>
      </c>
      <c r="R12" s="198"/>
      <c r="S12" s="198"/>
      <c r="T12" s="198"/>
      <c r="U12" s="198"/>
    </row>
    <row r="13" spans="1:21" s="12" customFormat="1" x14ac:dyDescent="0.25">
      <c r="A13" s="213" t="s">
        <v>2667</v>
      </c>
      <c r="B13" s="60">
        <v>93.58</v>
      </c>
      <c r="C13" s="60">
        <v>92.09</v>
      </c>
      <c r="D13" s="60">
        <v>126.29</v>
      </c>
      <c r="E13" s="60">
        <v>5.0199999999999996</v>
      </c>
      <c r="F13" s="60">
        <v>0.02</v>
      </c>
      <c r="G13" s="60">
        <v>92.47</v>
      </c>
      <c r="H13" s="60">
        <v>53.8</v>
      </c>
      <c r="I13" s="60">
        <v>1.41</v>
      </c>
      <c r="J13" s="60">
        <v>7.0000000000000007E-2</v>
      </c>
      <c r="K13" s="60">
        <v>350.95</v>
      </c>
      <c r="L13" s="60">
        <v>19.3</v>
      </c>
      <c r="M13" s="60">
        <v>72</v>
      </c>
      <c r="N13" s="60">
        <v>5</v>
      </c>
      <c r="O13" s="60">
        <v>0</v>
      </c>
      <c r="P13" s="60">
        <v>2.34</v>
      </c>
      <c r="Q13" s="60">
        <v>50.29</v>
      </c>
      <c r="R13" s="198"/>
      <c r="S13" s="198"/>
      <c r="T13" s="198"/>
      <c r="U13" s="198"/>
    </row>
    <row r="14" spans="1:21" s="12" customFormat="1" x14ac:dyDescent="0.25">
      <c r="A14" s="213" t="s">
        <v>2668</v>
      </c>
      <c r="B14" s="60">
        <v>88.28</v>
      </c>
      <c r="C14" s="60">
        <v>90.6</v>
      </c>
      <c r="D14" s="60">
        <v>121.21</v>
      </c>
      <c r="E14" s="60">
        <v>4.9400000000000004</v>
      </c>
      <c r="F14" s="60">
        <v>0.26</v>
      </c>
      <c r="G14" s="60">
        <v>62.18</v>
      </c>
      <c r="H14" s="60">
        <v>45.44</v>
      </c>
      <c r="I14" s="60">
        <v>1.27</v>
      </c>
      <c r="J14" s="60">
        <v>7.0000000000000007E-2</v>
      </c>
      <c r="K14" s="60">
        <v>291.29000000000002</v>
      </c>
      <c r="L14" s="60">
        <v>19.02</v>
      </c>
      <c r="M14" s="60">
        <v>74</v>
      </c>
      <c r="N14" s="60">
        <v>4.5999999999999996</v>
      </c>
      <c r="O14" s="60">
        <v>0</v>
      </c>
      <c r="P14" s="60">
        <v>2.39</v>
      </c>
      <c r="Q14" s="60">
        <v>50.08</v>
      </c>
      <c r="R14" s="198"/>
      <c r="S14" s="198"/>
      <c r="T14" s="198"/>
      <c r="U14" s="198"/>
    </row>
    <row r="15" spans="1:21" s="12" customFormat="1" x14ac:dyDescent="0.25">
      <c r="A15" s="213" t="s">
        <v>2669</v>
      </c>
      <c r="B15" s="60">
        <v>85.95</v>
      </c>
      <c r="C15" s="60">
        <v>88.11</v>
      </c>
      <c r="D15" s="60">
        <v>117.97</v>
      </c>
      <c r="E15" s="60">
        <v>4.7</v>
      </c>
      <c r="F15" s="60">
        <v>0.02</v>
      </c>
      <c r="G15" s="60">
        <v>62.18</v>
      </c>
      <c r="H15" s="60">
        <v>45.44</v>
      </c>
      <c r="I15" s="60">
        <v>1.35</v>
      </c>
      <c r="J15" s="60">
        <v>0.01</v>
      </c>
      <c r="K15" s="60">
        <v>338.36</v>
      </c>
      <c r="L15" s="60">
        <v>18.77</v>
      </c>
      <c r="M15" s="60">
        <v>75</v>
      </c>
      <c r="N15" s="60">
        <v>4.5</v>
      </c>
      <c r="O15" s="60">
        <v>0</v>
      </c>
      <c r="P15" s="60">
        <v>2.31</v>
      </c>
      <c r="Q15" s="60">
        <v>50.04</v>
      </c>
      <c r="R15" s="198"/>
      <c r="S15" s="198"/>
      <c r="T15" s="198"/>
      <c r="U15" s="198"/>
    </row>
    <row r="16" spans="1:21" s="12" customFormat="1" x14ac:dyDescent="0.25">
      <c r="A16" s="213" t="s">
        <v>2670</v>
      </c>
      <c r="B16" s="60">
        <v>82.36</v>
      </c>
      <c r="C16" s="60">
        <v>83.3</v>
      </c>
      <c r="D16" s="60">
        <v>112.43</v>
      </c>
      <c r="E16" s="60">
        <v>4.76</v>
      </c>
      <c r="F16" s="214" t="s">
        <v>42</v>
      </c>
      <c r="G16" s="60">
        <v>62.18</v>
      </c>
      <c r="H16" s="60">
        <v>45.44</v>
      </c>
      <c r="I16" s="60">
        <v>1.22</v>
      </c>
      <c r="J16" s="60">
        <v>0.11</v>
      </c>
      <c r="K16" s="60">
        <v>288.02999999999997</v>
      </c>
      <c r="L16" s="60">
        <v>19</v>
      </c>
      <c r="M16" s="60">
        <v>73</v>
      </c>
      <c r="N16" s="60">
        <v>4.3</v>
      </c>
      <c r="O16" s="60">
        <v>0</v>
      </c>
      <c r="P16" s="60">
        <v>2.21</v>
      </c>
      <c r="Q16" s="60">
        <v>51.15</v>
      </c>
      <c r="R16" s="198"/>
      <c r="S16" s="198"/>
      <c r="T16" s="198"/>
      <c r="U16" s="198"/>
    </row>
    <row r="17" spans="1:21" s="12" customFormat="1" x14ac:dyDescent="0.25">
      <c r="A17" s="213" t="s">
        <v>2671</v>
      </c>
      <c r="B17" s="60">
        <v>76.89</v>
      </c>
      <c r="C17" s="60">
        <v>85.31</v>
      </c>
      <c r="D17" s="60">
        <v>109.16</v>
      </c>
      <c r="E17" s="60">
        <v>4.12</v>
      </c>
      <c r="F17" s="60">
        <v>0.05</v>
      </c>
      <c r="G17" s="60">
        <v>61.52</v>
      </c>
      <c r="H17" s="60">
        <v>44.34</v>
      </c>
      <c r="I17" s="60">
        <v>1.2</v>
      </c>
      <c r="J17" s="60">
        <v>0.19</v>
      </c>
      <c r="K17" s="60">
        <v>335.27</v>
      </c>
      <c r="L17" s="60">
        <v>18.899999999999999</v>
      </c>
      <c r="M17" s="60">
        <v>75</v>
      </c>
      <c r="N17" s="60">
        <v>4.5999999999999996</v>
      </c>
      <c r="O17" s="60">
        <v>0</v>
      </c>
      <c r="P17" s="60">
        <v>2.09</v>
      </c>
      <c r="Q17" s="60">
        <v>50.5</v>
      </c>
      <c r="R17" s="198"/>
      <c r="S17" s="198"/>
      <c r="T17" s="198"/>
      <c r="U17" s="198"/>
    </row>
    <row r="18" spans="1:21" s="12" customFormat="1" x14ac:dyDescent="0.25">
      <c r="A18" s="213" t="s">
        <v>2672</v>
      </c>
      <c r="B18" s="60">
        <v>72.05</v>
      </c>
      <c r="C18" s="60">
        <v>85.87</v>
      </c>
      <c r="D18" s="60">
        <v>105.58</v>
      </c>
      <c r="E18" s="60">
        <v>4.2</v>
      </c>
      <c r="F18" s="60">
        <v>0.38</v>
      </c>
      <c r="G18" s="60">
        <v>59.98</v>
      </c>
      <c r="H18" s="60">
        <v>41.76</v>
      </c>
      <c r="I18" s="60">
        <v>1.17</v>
      </c>
      <c r="J18" s="60">
        <v>0.16</v>
      </c>
      <c r="K18" s="60">
        <v>353.87</v>
      </c>
      <c r="L18" s="60">
        <v>18.489999999999998</v>
      </c>
      <c r="M18" s="60">
        <v>77</v>
      </c>
      <c r="N18" s="60">
        <v>4.5999999999999996</v>
      </c>
      <c r="O18" s="60">
        <v>0</v>
      </c>
      <c r="P18" s="60">
        <v>2</v>
      </c>
      <c r="Q18" s="60">
        <v>49.61</v>
      </c>
      <c r="R18" s="198"/>
      <c r="S18" s="198"/>
      <c r="T18" s="198"/>
      <c r="U18" s="198"/>
    </row>
    <row r="19" spans="1:21" s="12" customFormat="1" x14ac:dyDescent="0.25">
      <c r="A19" s="213" t="s">
        <v>2673</v>
      </c>
      <c r="B19" s="60">
        <v>67.55</v>
      </c>
      <c r="C19" s="60">
        <v>84.39</v>
      </c>
      <c r="D19" s="60">
        <v>101.16</v>
      </c>
      <c r="E19" s="60">
        <v>4.6500000000000004</v>
      </c>
      <c r="F19" s="60">
        <v>0.12</v>
      </c>
      <c r="G19" s="60">
        <v>59.98</v>
      </c>
      <c r="H19" s="60">
        <v>41.76</v>
      </c>
      <c r="I19" s="60">
        <v>1.1200000000000001</v>
      </c>
      <c r="J19" s="60">
        <v>0.11</v>
      </c>
      <c r="K19" s="60">
        <v>313.91000000000003</v>
      </c>
      <c r="L19" s="60">
        <v>18.21</v>
      </c>
      <c r="M19" s="60">
        <v>79</v>
      </c>
      <c r="N19" s="60">
        <v>4.5999999999999996</v>
      </c>
      <c r="O19" s="60">
        <v>0</v>
      </c>
      <c r="P19" s="60">
        <v>1.9</v>
      </c>
      <c r="Q19" s="60">
        <v>48.87</v>
      </c>
      <c r="R19" s="198"/>
      <c r="S19" s="198"/>
      <c r="T19" s="198"/>
      <c r="U19" s="198"/>
    </row>
    <row r="20" spans="1:21" s="12" customFormat="1" x14ac:dyDescent="0.25">
      <c r="A20" s="213" t="s">
        <v>2674</v>
      </c>
      <c r="B20" s="60">
        <v>63.81</v>
      </c>
      <c r="C20" s="60">
        <v>82.92</v>
      </c>
      <c r="D20" s="60">
        <v>97.35</v>
      </c>
      <c r="E20" s="60">
        <v>4.24</v>
      </c>
      <c r="F20" s="60">
        <v>0.08</v>
      </c>
      <c r="G20" s="60">
        <v>59.98</v>
      </c>
      <c r="H20" s="60">
        <v>41.76</v>
      </c>
      <c r="I20" s="60">
        <v>1.08</v>
      </c>
      <c r="J20" s="60">
        <v>0.11</v>
      </c>
      <c r="K20" s="60">
        <v>339.43</v>
      </c>
      <c r="L20" s="60">
        <v>17.91</v>
      </c>
      <c r="M20" s="60">
        <v>81</v>
      </c>
      <c r="N20" s="60">
        <v>4.5999999999999996</v>
      </c>
      <c r="O20" s="60">
        <v>0</v>
      </c>
      <c r="P20" s="60">
        <v>1.82</v>
      </c>
      <c r="Q20" s="60">
        <v>48.27</v>
      </c>
      <c r="R20" s="198"/>
      <c r="S20" s="198"/>
      <c r="T20" s="198"/>
      <c r="U20" s="198"/>
    </row>
    <row r="21" spans="1:21" s="12" customFormat="1" x14ac:dyDescent="0.25">
      <c r="A21" s="213" t="s">
        <v>2675</v>
      </c>
      <c r="B21" s="60">
        <v>60.41</v>
      </c>
      <c r="C21" s="60">
        <v>81.569999999999993</v>
      </c>
      <c r="D21" s="60">
        <v>93.87</v>
      </c>
      <c r="E21" s="60">
        <v>4.09</v>
      </c>
      <c r="F21" s="214" t="s">
        <v>42</v>
      </c>
      <c r="G21" s="60">
        <v>65.56</v>
      </c>
      <c r="H21" s="60">
        <v>40.880000000000003</v>
      </c>
      <c r="I21" s="60">
        <v>1.04</v>
      </c>
      <c r="J21" s="60">
        <v>0.04</v>
      </c>
      <c r="K21" s="60">
        <v>267.88</v>
      </c>
      <c r="L21" s="60">
        <v>17.98</v>
      </c>
      <c r="M21" s="60">
        <v>82</v>
      </c>
      <c r="N21" s="60">
        <v>4.2</v>
      </c>
      <c r="O21" s="60">
        <v>0</v>
      </c>
      <c r="P21" s="60">
        <v>1.73</v>
      </c>
      <c r="Q21" s="60">
        <v>47.23</v>
      </c>
      <c r="R21" s="198"/>
      <c r="S21" s="198"/>
      <c r="T21" s="198"/>
      <c r="U21" s="198"/>
    </row>
    <row r="22" spans="1:21" s="12" customFormat="1" x14ac:dyDescent="0.25">
      <c r="A22" s="213" t="s">
        <v>2676</v>
      </c>
      <c r="B22" s="60">
        <v>56.47</v>
      </c>
      <c r="C22" s="60">
        <v>79.45</v>
      </c>
      <c r="D22" s="60">
        <v>89.54</v>
      </c>
      <c r="E22" s="60">
        <v>3.96</v>
      </c>
      <c r="F22" s="214" t="s">
        <v>42</v>
      </c>
      <c r="G22" s="60">
        <v>78.58</v>
      </c>
      <c r="H22" s="60">
        <v>38.83</v>
      </c>
      <c r="I22" s="60">
        <v>1</v>
      </c>
      <c r="J22" s="60">
        <v>0.08</v>
      </c>
      <c r="K22" s="60">
        <v>279.41000000000003</v>
      </c>
      <c r="L22" s="60">
        <v>18.059999999999999</v>
      </c>
      <c r="M22" s="60">
        <v>81</v>
      </c>
      <c r="N22" s="60">
        <v>4.4000000000000004</v>
      </c>
      <c r="O22" s="60">
        <v>0</v>
      </c>
      <c r="P22" s="60">
        <v>1.67</v>
      </c>
      <c r="Q22" s="60">
        <v>46.53</v>
      </c>
      <c r="R22" s="198"/>
      <c r="S22" s="198"/>
      <c r="T22" s="198"/>
      <c r="U22" s="198"/>
    </row>
    <row r="23" spans="1:21" s="12" customFormat="1" x14ac:dyDescent="0.25">
      <c r="A23" s="213" t="s">
        <v>2677</v>
      </c>
      <c r="B23" s="60">
        <v>53.65</v>
      </c>
      <c r="C23" s="60">
        <v>77.06</v>
      </c>
      <c r="D23" s="60">
        <v>85.96</v>
      </c>
      <c r="E23" s="60">
        <v>3.68</v>
      </c>
      <c r="F23" s="214" t="s">
        <v>42</v>
      </c>
      <c r="G23" s="60">
        <v>78.58</v>
      </c>
      <c r="H23" s="60">
        <v>38.83</v>
      </c>
      <c r="I23" s="60">
        <v>0.97</v>
      </c>
      <c r="J23" s="60">
        <v>0.08</v>
      </c>
      <c r="K23" s="60">
        <v>289.19</v>
      </c>
      <c r="L23" s="60">
        <v>17.96</v>
      </c>
      <c r="M23" s="60">
        <v>81</v>
      </c>
      <c r="N23" s="60">
        <v>4.4000000000000004</v>
      </c>
      <c r="O23" s="60">
        <v>0</v>
      </c>
      <c r="P23" s="60">
        <v>1.62</v>
      </c>
      <c r="Q23" s="60">
        <v>44.69</v>
      </c>
      <c r="R23" s="198"/>
      <c r="S23" s="198"/>
      <c r="T23" s="198"/>
      <c r="U23" s="198"/>
    </row>
    <row r="24" spans="1:21" s="12" customFormat="1" x14ac:dyDescent="0.25">
      <c r="A24" s="213" t="s">
        <v>2678</v>
      </c>
      <c r="B24" s="60">
        <v>51.74</v>
      </c>
      <c r="C24" s="60">
        <v>77.290000000000006</v>
      </c>
      <c r="D24" s="60">
        <v>84.56</v>
      </c>
      <c r="E24" s="60">
        <v>2.5499999999999998</v>
      </c>
      <c r="F24" s="214" t="s">
        <v>42</v>
      </c>
      <c r="G24" s="60">
        <v>78.58</v>
      </c>
      <c r="H24" s="60">
        <v>38.83</v>
      </c>
      <c r="I24" s="60">
        <v>0.95</v>
      </c>
      <c r="J24" s="60">
        <v>0.19</v>
      </c>
      <c r="K24" s="60">
        <v>71.91</v>
      </c>
      <c r="L24" s="60">
        <v>17.93</v>
      </c>
      <c r="M24" s="60">
        <v>82</v>
      </c>
      <c r="N24" s="60">
        <v>4</v>
      </c>
      <c r="O24" s="60">
        <v>0</v>
      </c>
      <c r="P24" s="60">
        <v>1.57</v>
      </c>
      <c r="Q24" s="60">
        <v>44.34</v>
      </c>
      <c r="R24" s="198"/>
      <c r="S24" s="198"/>
      <c r="T24" s="198"/>
      <c r="U24" s="198"/>
    </row>
    <row r="25" spans="1:21" s="12" customFormat="1" x14ac:dyDescent="0.25">
      <c r="A25" s="213" t="s">
        <v>2679</v>
      </c>
      <c r="B25" s="60">
        <v>50.71</v>
      </c>
      <c r="C25" s="60">
        <v>76.97</v>
      </c>
      <c r="D25" s="60">
        <v>83.56</v>
      </c>
      <c r="E25" s="60">
        <v>4.1500000000000004</v>
      </c>
      <c r="F25" s="214" t="s">
        <v>42</v>
      </c>
      <c r="G25" s="60">
        <v>76.08</v>
      </c>
      <c r="H25" s="60">
        <v>39.03</v>
      </c>
      <c r="I25" s="60">
        <v>0.94</v>
      </c>
      <c r="J25" s="60">
        <v>0.1</v>
      </c>
      <c r="K25" s="60">
        <v>61.26</v>
      </c>
      <c r="L25" s="60">
        <v>17.96</v>
      </c>
      <c r="M25" s="60">
        <v>82</v>
      </c>
      <c r="N25" s="60">
        <v>4.4000000000000004</v>
      </c>
      <c r="O25" s="60">
        <v>0</v>
      </c>
      <c r="P25" s="60">
        <v>1.55</v>
      </c>
      <c r="Q25" s="60">
        <v>44.09</v>
      </c>
      <c r="R25" s="198"/>
      <c r="S25" s="198"/>
      <c r="T25" s="198"/>
      <c r="U25" s="198"/>
    </row>
    <row r="26" spans="1:21" s="12" customFormat="1" x14ac:dyDescent="0.25">
      <c r="A26" s="213" t="s">
        <v>2680</v>
      </c>
      <c r="B26" s="60">
        <v>50.34</v>
      </c>
      <c r="C26" s="60">
        <v>76.489999999999995</v>
      </c>
      <c r="D26" s="60">
        <v>83</v>
      </c>
      <c r="E26" s="60">
        <v>3.8</v>
      </c>
      <c r="F26" s="214" t="s">
        <v>42</v>
      </c>
      <c r="G26" s="60">
        <v>70.25</v>
      </c>
      <c r="H26" s="60">
        <v>39.51</v>
      </c>
      <c r="I26" s="60">
        <v>0.94</v>
      </c>
      <c r="J26" s="60">
        <v>0.1</v>
      </c>
      <c r="K26" s="60">
        <v>87.69</v>
      </c>
      <c r="L26" s="60">
        <v>18</v>
      </c>
      <c r="M26" s="60">
        <v>80</v>
      </c>
      <c r="N26" s="60">
        <v>4.3</v>
      </c>
      <c r="O26" s="60">
        <v>0</v>
      </c>
      <c r="P26" s="60">
        <v>1.53</v>
      </c>
      <c r="Q26" s="60">
        <v>43.91</v>
      </c>
      <c r="R26" s="198"/>
      <c r="S26" s="198"/>
      <c r="T26" s="198"/>
      <c r="U26" s="198"/>
    </row>
    <row r="27" spans="1:21" s="12" customFormat="1" x14ac:dyDescent="0.25">
      <c r="A27" s="213" t="s">
        <v>2681</v>
      </c>
      <c r="B27" s="60">
        <v>49.47</v>
      </c>
      <c r="C27" s="60">
        <v>75.45</v>
      </c>
      <c r="D27" s="60">
        <v>81.73</v>
      </c>
      <c r="E27" s="60">
        <v>3.97</v>
      </c>
      <c r="F27" s="214" t="s">
        <v>42</v>
      </c>
      <c r="G27" s="60">
        <v>70.25</v>
      </c>
      <c r="H27" s="60">
        <v>39.51</v>
      </c>
      <c r="I27" s="60">
        <v>0.94</v>
      </c>
      <c r="J27" s="60">
        <v>7.0000000000000007E-2</v>
      </c>
      <c r="K27" s="60">
        <v>50.9</v>
      </c>
      <c r="L27" s="60">
        <v>17.579999999999998</v>
      </c>
      <c r="M27" s="60">
        <v>82</v>
      </c>
      <c r="N27" s="60">
        <v>4.5999999999999996</v>
      </c>
      <c r="O27" s="60">
        <v>0</v>
      </c>
      <c r="P27" s="60">
        <v>1.5</v>
      </c>
      <c r="Q27" s="60">
        <v>44.45</v>
      </c>
      <c r="R27" s="198"/>
      <c r="S27" s="198"/>
      <c r="T27" s="198"/>
      <c r="U27" s="198"/>
    </row>
    <row r="28" spans="1:21" s="12" customFormat="1" x14ac:dyDescent="0.25">
      <c r="A28" s="213" t="s">
        <v>2682</v>
      </c>
      <c r="B28" s="60">
        <v>48.39</v>
      </c>
      <c r="C28" s="60">
        <v>74.86</v>
      </c>
      <c r="D28" s="60">
        <v>80.540000000000006</v>
      </c>
      <c r="E28" s="60">
        <v>4.01</v>
      </c>
      <c r="F28" s="214" t="s">
        <v>42</v>
      </c>
      <c r="G28" s="60">
        <v>70.25</v>
      </c>
      <c r="H28" s="60">
        <v>39.51</v>
      </c>
      <c r="I28" s="60">
        <v>0.94</v>
      </c>
      <c r="J28" s="60">
        <v>0.04</v>
      </c>
      <c r="K28" s="60">
        <v>97.94</v>
      </c>
      <c r="L28" s="60">
        <v>17.690000000000001</v>
      </c>
      <c r="M28" s="60">
        <v>80</v>
      </c>
      <c r="N28" s="60">
        <v>4.5</v>
      </c>
      <c r="O28" s="60">
        <v>0</v>
      </c>
      <c r="P28" s="60">
        <v>1.48</v>
      </c>
      <c r="Q28" s="60">
        <v>44.3</v>
      </c>
      <c r="R28" s="198"/>
      <c r="S28" s="198"/>
      <c r="T28" s="198"/>
      <c r="U28" s="198"/>
    </row>
    <row r="29" spans="1:21" s="12" customFormat="1" x14ac:dyDescent="0.25">
      <c r="A29" s="213" t="s">
        <v>2683</v>
      </c>
      <c r="B29" s="60">
        <v>46.84</v>
      </c>
      <c r="C29" s="60">
        <v>73.95</v>
      </c>
      <c r="D29" s="60">
        <v>78.790000000000006</v>
      </c>
      <c r="E29" s="60">
        <v>4.24</v>
      </c>
      <c r="F29" s="214" t="s">
        <v>42</v>
      </c>
      <c r="G29" s="60">
        <v>68.7</v>
      </c>
      <c r="H29" s="60">
        <v>38.979999999999997</v>
      </c>
      <c r="I29" s="60">
        <v>0.92</v>
      </c>
      <c r="J29" s="60">
        <v>0.05</v>
      </c>
      <c r="K29" s="60">
        <v>126.86</v>
      </c>
      <c r="L29" s="60">
        <v>17.54</v>
      </c>
      <c r="M29" s="60">
        <v>82</v>
      </c>
      <c r="N29" s="60">
        <v>4.5999999999999996</v>
      </c>
      <c r="O29" s="60">
        <v>0</v>
      </c>
      <c r="P29" s="60">
        <v>1.45</v>
      </c>
      <c r="Q29" s="60">
        <v>44.43</v>
      </c>
      <c r="R29" s="198"/>
      <c r="S29" s="198"/>
      <c r="T29" s="198"/>
      <c r="U29" s="198"/>
    </row>
    <row r="30" spans="1:21" s="12" customFormat="1" x14ac:dyDescent="0.25">
      <c r="A30" s="213" t="s">
        <v>2684</v>
      </c>
      <c r="B30" s="60">
        <v>45.24</v>
      </c>
      <c r="C30" s="60">
        <v>74.2</v>
      </c>
      <c r="D30" s="60">
        <v>77.650000000000006</v>
      </c>
      <c r="E30" s="60">
        <v>4.3899999999999997</v>
      </c>
      <c r="F30" s="214" t="s">
        <v>42</v>
      </c>
      <c r="G30" s="60">
        <v>65.09</v>
      </c>
      <c r="H30" s="60">
        <v>37.74</v>
      </c>
      <c r="I30" s="60">
        <v>0.92</v>
      </c>
      <c r="J30" s="60">
        <v>0.15</v>
      </c>
      <c r="K30" s="60">
        <v>99.97</v>
      </c>
      <c r="L30" s="60">
        <v>17.579999999999998</v>
      </c>
      <c r="M30" s="60">
        <v>82</v>
      </c>
      <c r="N30" s="60">
        <v>4</v>
      </c>
      <c r="O30" s="60">
        <v>0</v>
      </c>
      <c r="P30" s="60">
        <v>1.42</v>
      </c>
      <c r="Q30" s="60">
        <v>45.23</v>
      </c>
      <c r="R30" s="198"/>
      <c r="S30" s="198"/>
      <c r="T30" s="198"/>
      <c r="U30" s="198"/>
    </row>
    <row r="31" spans="1:21" s="12" customFormat="1" x14ac:dyDescent="0.25">
      <c r="A31" s="213" t="s">
        <v>2685</v>
      </c>
      <c r="B31" s="60">
        <v>44.07</v>
      </c>
      <c r="C31" s="60">
        <v>73.7</v>
      </c>
      <c r="D31" s="60">
        <v>76.430000000000007</v>
      </c>
      <c r="E31" s="60">
        <v>4.0599999999999996</v>
      </c>
      <c r="F31" s="214" t="s">
        <v>42</v>
      </c>
      <c r="G31" s="60">
        <v>65.09</v>
      </c>
      <c r="H31" s="60">
        <v>37.74</v>
      </c>
      <c r="I31" s="60">
        <v>0.9</v>
      </c>
      <c r="J31" s="60">
        <v>0.04</v>
      </c>
      <c r="K31" s="60">
        <v>143.03</v>
      </c>
      <c r="L31" s="60">
        <v>17.91</v>
      </c>
      <c r="M31" s="60">
        <v>79</v>
      </c>
      <c r="N31" s="60">
        <v>4.5</v>
      </c>
      <c r="O31" s="60">
        <v>0</v>
      </c>
      <c r="P31" s="60">
        <v>1.42</v>
      </c>
      <c r="Q31" s="60">
        <v>45.48</v>
      </c>
      <c r="R31" s="198"/>
      <c r="S31" s="198"/>
      <c r="T31" s="198"/>
      <c r="U31" s="198"/>
    </row>
    <row r="32" spans="1:21" s="12" customFormat="1" x14ac:dyDescent="0.25">
      <c r="A32" s="213" t="s">
        <v>2686</v>
      </c>
      <c r="B32" s="60">
        <v>43.72</v>
      </c>
      <c r="C32" s="60">
        <v>73.69</v>
      </c>
      <c r="D32" s="60">
        <v>76.14</v>
      </c>
      <c r="E32" s="60">
        <v>4.1500000000000004</v>
      </c>
      <c r="F32" s="214" t="s">
        <v>42</v>
      </c>
      <c r="G32" s="60">
        <v>65.09</v>
      </c>
      <c r="H32" s="60">
        <v>37.74</v>
      </c>
      <c r="I32" s="60">
        <v>0.9</v>
      </c>
      <c r="J32" s="60">
        <v>0.1</v>
      </c>
      <c r="K32" s="60">
        <v>288.72000000000003</v>
      </c>
      <c r="L32" s="60">
        <v>17.55</v>
      </c>
      <c r="M32" s="60">
        <v>82</v>
      </c>
      <c r="N32" s="60">
        <v>4.5</v>
      </c>
      <c r="O32" s="60">
        <v>0</v>
      </c>
      <c r="P32" s="60">
        <v>1.45</v>
      </c>
      <c r="Q32" s="60">
        <v>45.15</v>
      </c>
      <c r="R32" s="198"/>
      <c r="S32" s="198"/>
      <c r="T32" s="198"/>
      <c r="U32" s="198"/>
    </row>
    <row r="33" spans="1:21" s="12" customFormat="1" x14ac:dyDescent="0.25">
      <c r="A33" s="213" t="s">
        <v>2687</v>
      </c>
      <c r="B33" s="60">
        <v>45.92</v>
      </c>
      <c r="C33" s="60">
        <v>74.53</v>
      </c>
      <c r="D33" s="60">
        <v>78.37</v>
      </c>
      <c r="E33" s="60">
        <v>3.84</v>
      </c>
      <c r="F33" s="214" t="s">
        <v>42</v>
      </c>
      <c r="G33" s="60">
        <v>73.98</v>
      </c>
      <c r="H33" s="60">
        <v>38.19</v>
      </c>
      <c r="I33" s="60">
        <v>0.88</v>
      </c>
      <c r="J33" s="60">
        <v>0.11</v>
      </c>
      <c r="K33" s="60">
        <v>326.7</v>
      </c>
      <c r="L33" s="60">
        <v>17.32</v>
      </c>
      <c r="M33" s="60">
        <v>83</v>
      </c>
      <c r="N33" s="60">
        <v>4.5999999999999996</v>
      </c>
      <c r="O33" s="60">
        <v>0</v>
      </c>
      <c r="P33" s="60">
        <v>1.48</v>
      </c>
      <c r="Q33" s="60">
        <v>44.74</v>
      </c>
      <c r="R33" s="198"/>
      <c r="S33" s="198"/>
      <c r="T33" s="198"/>
      <c r="U33" s="198"/>
    </row>
    <row r="34" spans="1:21" s="12" customFormat="1" x14ac:dyDescent="0.25">
      <c r="A34" s="213" t="s">
        <v>2688</v>
      </c>
      <c r="B34" s="60">
        <v>52.38</v>
      </c>
      <c r="C34" s="60">
        <v>76.67</v>
      </c>
      <c r="D34" s="60">
        <v>84.73</v>
      </c>
      <c r="E34" s="60">
        <v>3.84</v>
      </c>
      <c r="F34" s="214" t="s">
        <v>42</v>
      </c>
      <c r="G34" s="60">
        <v>94.72</v>
      </c>
      <c r="H34" s="60">
        <v>39.25</v>
      </c>
      <c r="I34" s="60">
        <v>0.86</v>
      </c>
      <c r="J34" s="60">
        <v>0.09</v>
      </c>
      <c r="K34" s="60">
        <v>324.91000000000003</v>
      </c>
      <c r="L34" s="60">
        <v>17.170000000000002</v>
      </c>
      <c r="M34" s="60">
        <v>84</v>
      </c>
      <c r="N34" s="60">
        <v>4.9000000000000004</v>
      </c>
      <c r="O34" s="60">
        <v>0</v>
      </c>
      <c r="P34" s="60">
        <v>1.51</v>
      </c>
      <c r="Q34" s="60">
        <v>44.71</v>
      </c>
      <c r="R34" s="198"/>
      <c r="S34" s="198"/>
      <c r="T34" s="198"/>
      <c r="U34" s="198"/>
    </row>
    <row r="35" spans="1:21" s="12" customFormat="1" x14ac:dyDescent="0.25">
      <c r="A35" s="213" t="s">
        <v>2689</v>
      </c>
      <c r="B35" s="60">
        <v>59.88</v>
      </c>
      <c r="C35" s="60">
        <v>79.05</v>
      </c>
      <c r="D35" s="60">
        <v>92.06</v>
      </c>
      <c r="E35" s="60">
        <v>3.95</v>
      </c>
      <c r="F35" s="214" t="s">
        <v>42</v>
      </c>
      <c r="G35" s="60">
        <v>94.72</v>
      </c>
      <c r="H35" s="60">
        <v>39.25</v>
      </c>
      <c r="I35" s="60">
        <v>0.85</v>
      </c>
      <c r="J35" s="60">
        <v>0.09</v>
      </c>
      <c r="K35" s="60">
        <v>300.95999999999998</v>
      </c>
      <c r="L35" s="60">
        <v>17.100000000000001</v>
      </c>
      <c r="M35" s="60">
        <v>86</v>
      </c>
      <c r="N35" s="60">
        <v>7.8</v>
      </c>
      <c r="O35" s="60">
        <v>0</v>
      </c>
      <c r="P35" s="60">
        <v>1.55</v>
      </c>
      <c r="Q35" s="60">
        <v>45.21</v>
      </c>
      <c r="R35" s="198"/>
      <c r="S35" s="198"/>
      <c r="T35" s="198"/>
      <c r="U35" s="198"/>
    </row>
    <row r="36" spans="1:21" s="12" customFormat="1" x14ac:dyDescent="0.25">
      <c r="A36" s="213" t="s">
        <v>2690</v>
      </c>
      <c r="B36" s="60">
        <v>66.16</v>
      </c>
      <c r="C36" s="60">
        <v>80.83</v>
      </c>
      <c r="D36" s="60">
        <v>98.07</v>
      </c>
      <c r="E36" s="60">
        <v>4.29</v>
      </c>
      <c r="F36" s="214" t="s">
        <v>42</v>
      </c>
      <c r="G36" s="60">
        <v>94.72</v>
      </c>
      <c r="H36" s="60">
        <v>39.25</v>
      </c>
      <c r="I36" s="60">
        <v>0.85</v>
      </c>
      <c r="J36" s="60">
        <v>0.1</v>
      </c>
      <c r="K36" s="60">
        <v>299.48</v>
      </c>
      <c r="L36" s="60">
        <v>17.28</v>
      </c>
      <c r="M36" s="60">
        <v>86</v>
      </c>
      <c r="N36" s="60">
        <v>17.399999999999999</v>
      </c>
      <c r="O36" s="60">
        <v>0</v>
      </c>
      <c r="P36" s="60">
        <v>1.59</v>
      </c>
      <c r="Q36" s="60">
        <v>45.38</v>
      </c>
      <c r="R36" s="198"/>
      <c r="S36" s="198"/>
      <c r="T36" s="198"/>
      <c r="U36" s="198"/>
    </row>
    <row r="37" spans="1:21" s="12" customFormat="1" x14ac:dyDescent="0.25">
      <c r="A37" s="213" t="s">
        <v>2691</v>
      </c>
      <c r="B37" s="60">
        <v>71.63</v>
      </c>
      <c r="C37" s="60">
        <v>81.05</v>
      </c>
      <c r="D37" s="60">
        <v>102.59</v>
      </c>
      <c r="E37" s="60">
        <v>4.22</v>
      </c>
      <c r="F37" s="214" t="s">
        <v>42</v>
      </c>
      <c r="G37" s="60">
        <v>114.06</v>
      </c>
      <c r="H37" s="60">
        <v>43.55</v>
      </c>
      <c r="I37" s="60">
        <v>0.85</v>
      </c>
      <c r="J37" s="60">
        <v>0.19</v>
      </c>
      <c r="K37" s="60">
        <v>14.72</v>
      </c>
      <c r="L37" s="60">
        <v>17.46</v>
      </c>
      <c r="M37" s="60">
        <v>86</v>
      </c>
      <c r="N37" s="60">
        <v>32.4</v>
      </c>
      <c r="O37" s="60">
        <v>0</v>
      </c>
      <c r="P37" s="60">
        <v>1.61</v>
      </c>
      <c r="Q37" s="60">
        <v>44.39</v>
      </c>
      <c r="R37" s="198"/>
      <c r="S37" s="198"/>
      <c r="T37" s="198"/>
      <c r="U37" s="198"/>
    </row>
    <row r="38" spans="1:21" s="12" customFormat="1" x14ac:dyDescent="0.25">
      <c r="A38" s="213" t="s">
        <v>2692</v>
      </c>
      <c r="B38" s="60">
        <v>82.27</v>
      </c>
      <c r="C38" s="60">
        <v>85.71</v>
      </c>
      <c r="D38" s="60">
        <v>113.69</v>
      </c>
      <c r="E38" s="60">
        <v>4.66</v>
      </c>
      <c r="F38" s="60">
        <v>7.0000000000000007E-2</v>
      </c>
      <c r="G38" s="60">
        <v>159.18</v>
      </c>
      <c r="H38" s="60">
        <v>53.59</v>
      </c>
      <c r="I38" s="60">
        <v>0.84</v>
      </c>
      <c r="J38" s="60">
        <v>0.1</v>
      </c>
      <c r="K38" s="60">
        <v>13.65</v>
      </c>
      <c r="L38" s="60">
        <v>18.02</v>
      </c>
      <c r="M38" s="60">
        <v>83</v>
      </c>
      <c r="N38" s="60">
        <v>49.2</v>
      </c>
      <c r="O38" s="60">
        <v>0</v>
      </c>
      <c r="P38" s="60">
        <v>1.75</v>
      </c>
      <c r="Q38" s="60">
        <v>44.53</v>
      </c>
      <c r="R38" s="198"/>
      <c r="S38" s="198"/>
      <c r="T38" s="198"/>
      <c r="U38" s="198"/>
    </row>
    <row r="39" spans="1:21" s="12" customFormat="1" x14ac:dyDescent="0.25">
      <c r="A39" s="213" t="s">
        <v>2693</v>
      </c>
      <c r="B39" s="60">
        <v>91.04</v>
      </c>
      <c r="C39" s="60">
        <v>89.7</v>
      </c>
      <c r="D39" s="60">
        <v>122.92</v>
      </c>
      <c r="E39" s="60">
        <v>4.47</v>
      </c>
      <c r="F39" s="60">
        <v>0.05</v>
      </c>
      <c r="G39" s="60">
        <v>159.18</v>
      </c>
      <c r="H39" s="60">
        <v>53.59</v>
      </c>
      <c r="I39" s="60">
        <v>0.85</v>
      </c>
      <c r="J39" s="60">
        <v>0.1</v>
      </c>
      <c r="K39" s="60">
        <v>311.47000000000003</v>
      </c>
      <c r="L39" s="60">
        <v>19.04</v>
      </c>
      <c r="M39" s="60">
        <v>79</v>
      </c>
      <c r="N39" s="60">
        <v>77.599999999999994</v>
      </c>
      <c r="O39" s="60">
        <v>0</v>
      </c>
      <c r="P39" s="60">
        <v>1.85</v>
      </c>
      <c r="Q39" s="60">
        <v>45.2</v>
      </c>
      <c r="R39" s="198"/>
      <c r="S39" s="198"/>
      <c r="T39" s="198"/>
      <c r="U39" s="198"/>
    </row>
    <row r="40" spans="1:21" s="12" customFormat="1" x14ac:dyDescent="0.25">
      <c r="A40" s="213" t="s">
        <v>2694</v>
      </c>
      <c r="B40" s="60">
        <v>98.58</v>
      </c>
      <c r="C40" s="60">
        <v>93.3</v>
      </c>
      <c r="D40" s="60">
        <v>130.96</v>
      </c>
      <c r="E40" s="60">
        <v>2.2200000000000002</v>
      </c>
      <c r="F40" s="60">
        <v>0.05</v>
      </c>
      <c r="G40" s="60">
        <v>159.18</v>
      </c>
      <c r="H40" s="60">
        <v>53.59</v>
      </c>
      <c r="I40" s="60">
        <v>0.88</v>
      </c>
      <c r="J40" s="60">
        <v>0.09</v>
      </c>
      <c r="K40" s="60">
        <v>101.48</v>
      </c>
      <c r="L40" s="60">
        <v>20.79</v>
      </c>
      <c r="M40" s="60">
        <v>69</v>
      </c>
      <c r="N40" s="60">
        <v>135.5</v>
      </c>
      <c r="O40" s="60">
        <v>0</v>
      </c>
      <c r="P40" s="60">
        <v>1.92</v>
      </c>
      <c r="Q40" s="60">
        <v>45.69</v>
      </c>
      <c r="R40" s="198"/>
      <c r="S40" s="198"/>
      <c r="T40" s="198"/>
      <c r="U40" s="198"/>
    </row>
    <row r="41" spans="1:21" s="12" customFormat="1" x14ac:dyDescent="0.25">
      <c r="A41" s="213" t="s">
        <v>2695</v>
      </c>
      <c r="B41" s="60">
        <v>101.14</v>
      </c>
      <c r="C41" s="60">
        <v>94.7</v>
      </c>
      <c r="D41" s="60">
        <v>133.79</v>
      </c>
      <c r="E41" s="60">
        <v>3.82</v>
      </c>
      <c r="F41" s="60">
        <v>0.02</v>
      </c>
      <c r="G41" s="60">
        <v>174.5</v>
      </c>
      <c r="H41" s="60">
        <v>60.07</v>
      </c>
      <c r="I41" s="60">
        <v>0.89</v>
      </c>
      <c r="J41" s="60">
        <v>0.5</v>
      </c>
      <c r="K41" s="60">
        <v>123.05</v>
      </c>
      <c r="L41" s="60">
        <v>21.96</v>
      </c>
      <c r="M41" s="60">
        <v>62</v>
      </c>
      <c r="N41" s="60">
        <v>178.5</v>
      </c>
      <c r="O41" s="60">
        <v>0</v>
      </c>
      <c r="P41" s="60">
        <v>2</v>
      </c>
      <c r="Q41" s="60">
        <v>46.3</v>
      </c>
      <c r="R41" s="198"/>
      <c r="S41" s="198"/>
      <c r="T41" s="198"/>
      <c r="U41" s="198"/>
    </row>
    <row r="42" spans="1:21" s="12" customFormat="1" x14ac:dyDescent="0.25">
      <c r="A42" s="213" t="s">
        <v>2696</v>
      </c>
      <c r="B42" s="60">
        <v>101.07</v>
      </c>
      <c r="C42" s="60">
        <v>93.89</v>
      </c>
      <c r="D42" s="60">
        <v>133.28</v>
      </c>
      <c r="E42" s="60">
        <v>4.43</v>
      </c>
      <c r="F42" s="60">
        <v>0.03</v>
      </c>
      <c r="G42" s="60">
        <v>210.24</v>
      </c>
      <c r="H42" s="60">
        <v>75.209999999999994</v>
      </c>
      <c r="I42" s="60">
        <v>0.92</v>
      </c>
      <c r="J42" s="60">
        <v>0.73</v>
      </c>
      <c r="K42" s="60">
        <v>113.68</v>
      </c>
      <c r="L42" s="60">
        <v>22.35</v>
      </c>
      <c r="M42" s="60">
        <v>61</v>
      </c>
      <c r="N42" s="60">
        <v>231.2</v>
      </c>
      <c r="O42" s="60">
        <v>0</v>
      </c>
      <c r="P42" s="60">
        <v>2.0299999999999998</v>
      </c>
      <c r="Q42" s="60">
        <v>46.56</v>
      </c>
      <c r="R42" s="198"/>
      <c r="S42" s="198"/>
      <c r="T42" s="198"/>
      <c r="U42" s="198"/>
    </row>
    <row r="43" spans="1:21" s="12" customFormat="1" x14ac:dyDescent="0.25">
      <c r="A43" s="213" t="s">
        <v>2697</v>
      </c>
      <c r="B43" s="60">
        <v>98.23</v>
      </c>
      <c r="C43" s="60">
        <v>90.54</v>
      </c>
      <c r="D43" s="60">
        <v>129.15</v>
      </c>
      <c r="E43" s="60">
        <v>4.1399999999999997</v>
      </c>
      <c r="F43" s="60">
        <v>0.05</v>
      </c>
      <c r="G43" s="60">
        <v>210.24</v>
      </c>
      <c r="H43" s="60">
        <v>75.209999999999994</v>
      </c>
      <c r="I43" s="60">
        <v>0.93</v>
      </c>
      <c r="J43" s="60">
        <v>0.7</v>
      </c>
      <c r="K43" s="60">
        <v>107.84</v>
      </c>
      <c r="L43" s="60">
        <v>23.04</v>
      </c>
      <c r="M43" s="60">
        <v>58</v>
      </c>
      <c r="N43" s="60">
        <v>276</v>
      </c>
      <c r="O43" s="60">
        <v>0</v>
      </c>
      <c r="P43" s="60">
        <v>2.0699999999999998</v>
      </c>
      <c r="Q43" s="60">
        <v>47.07</v>
      </c>
      <c r="R43" s="198"/>
      <c r="S43" s="198"/>
      <c r="T43" s="198"/>
      <c r="U43" s="198"/>
    </row>
    <row r="44" spans="1:21" s="12" customFormat="1" x14ac:dyDescent="0.25">
      <c r="A44" s="213" t="s">
        <v>2698</v>
      </c>
      <c r="B44" s="60">
        <v>94.46</v>
      </c>
      <c r="C44" s="60">
        <v>90</v>
      </c>
      <c r="D44" s="60">
        <v>125.84</v>
      </c>
      <c r="E44" s="60">
        <v>4.84</v>
      </c>
      <c r="F44" s="60">
        <v>0.11</v>
      </c>
      <c r="G44" s="60">
        <v>210.24</v>
      </c>
      <c r="H44" s="60">
        <v>75.209999999999994</v>
      </c>
      <c r="I44" s="60">
        <v>0.94</v>
      </c>
      <c r="J44" s="60">
        <v>0.71</v>
      </c>
      <c r="K44" s="60">
        <v>118.61</v>
      </c>
      <c r="L44" s="60">
        <v>23.95</v>
      </c>
      <c r="M44" s="60">
        <v>55</v>
      </c>
      <c r="N44" s="60">
        <v>323.39999999999998</v>
      </c>
      <c r="O44" s="60">
        <v>0</v>
      </c>
      <c r="P44" s="60">
        <v>2.08</v>
      </c>
      <c r="Q44" s="60">
        <v>48.17</v>
      </c>
      <c r="R44" s="198"/>
      <c r="S44" s="198"/>
      <c r="T44" s="198"/>
      <c r="U44" s="198"/>
    </row>
    <row r="45" spans="1:21" s="12" customFormat="1" x14ac:dyDescent="0.25">
      <c r="A45" s="213" t="s">
        <v>2699</v>
      </c>
      <c r="B45" s="60">
        <v>88.78</v>
      </c>
      <c r="C45" s="60">
        <v>90.64</v>
      </c>
      <c r="D45" s="60">
        <v>121.63</v>
      </c>
      <c r="E45" s="60">
        <v>4.1500000000000004</v>
      </c>
      <c r="F45" s="60">
        <v>0.02</v>
      </c>
      <c r="G45" s="60">
        <v>184.1</v>
      </c>
      <c r="H45" s="60">
        <v>73.760000000000005</v>
      </c>
      <c r="I45" s="60">
        <v>0.94</v>
      </c>
      <c r="J45" s="60">
        <v>0.98</v>
      </c>
      <c r="K45" s="60">
        <v>114.69</v>
      </c>
      <c r="L45" s="60">
        <v>24.33</v>
      </c>
      <c r="M45" s="60">
        <v>52</v>
      </c>
      <c r="N45" s="60">
        <v>365.2</v>
      </c>
      <c r="O45" s="60">
        <v>0</v>
      </c>
      <c r="P45" s="60">
        <v>2.0699999999999998</v>
      </c>
      <c r="Q45" s="60">
        <v>48.68</v>
      </c>
      <c r="R45" s="198"/>
      <c r="S45" s="198"/>
      <c r="T45" s="198"/>
      <c r="U45" s="198"/>
    </row>
    <row r="46" spans="1:21" s="12" customFormat="1" x14ac:dyDescent="0.25">
      <c r="A46" s="213" t="s">
        <v>2700</v>
      </c>
      <c r="B46" s="60">
        <v>82.08</v>
      </c>
      <c r="C46" s="60">
        <v>90.94</v>
      </c>
      <c r="D46" s="60">
        <v>116.42</v>
      </c>
      <c r="E46" s="60">
        <v>4.6100000000000003</v>
      </c>
      <c r="F46" s="214" t="s">
        <v>42</v>
      </c>
      <c r="G46" s="60">
        <v>123.09</v>
      </c>
      <c r="H46" s="60">
        <v>70.39</v>
      </c>
      <c r="I46" s="60">
        <v>0.93</v>
      </c>
      <c r="J46" s="60">
        <v>0.85</v>
      </c>
      <c r="K46" s="60">
        <v>107.33</v>
      </c>
      <c r="L46" s="60">
        <v>24.76</v>
      </c>
      <c r="M46" s="60">
        <v>50</v>
      </c>
      <c r="N46" s="60">
        <v>406</v>
      </c>
      <c r="O46" s="60">
        <v>0</v>
      </c>
      <c r="P46" s="60">
        <v>2.0099999999999998</v>
      </c>
      <c r="Q46" s="60">
        <v>48.25</v>
      </c>
      <c r="R46" s="198"/>
      <c r="S46" s="198"/>
      <c r="T46" s="198"/>
      <c r="U46" s="198"/>
    </row>
    <row r="47" spans="1:21" s="12" customFormat="1" x14ac:dyDescent="0.25">
      <c r="A47" s="213" t="s">
        <v>2701</v>
      </c>
      <c r="B47" s="60">
        <v>72.08</v>
      </c>
      <c r="C47" s="60">
        <v>91.86</v>
      </c>
      <c r="D47" s="60">
        <v>108.92</v>
      </c>
      <c r="E47" s="60">
        <v>5.16</v>
      </c>
      <c r="F47" s="60">
        <v>0.01</v>
      </c>
      <c r="G47" s="60">
        <v>123.09</v>
      </c>
      <c r="H47" s="60">
        <v>70.39</v>
      </c>
      <c r="I47" s="60">
        <v>0.91</v>
      </c>
      <c r="J47" s="60">
        <v>0.65</v>
      </c>
      <c r="K47" s="60">
        <v>173.58</v>
      </c>
      <c r="L47" s="60">
        <v>26.2</v>
      </c>
      <c r="M47" s="60">
        <v>45</v>
      </c>
      <c r="N47" s="60">
        <v>435.3</v>
      </c>
      <c r="O47" s="60">
        <v>0</v>
      </c>
      <c r="P47" s="60">
        <v>1.94</v>
      </c>
      <c r="Q47" s="60">
        <v>47.6</v>
      </c>
      <c r="R47" s="198"/>
      <c r="S47" s="198"/>
      <c r="T47" s="198"/>
      <c r="U47" s="198"/>
    </row>
    <row r="48" spans="1:21" s="12" customFormat="1" x14ac:dyDescent="0.25">
      <c r="A48" s="213" t="s">
        <v>2702</v>
      </c>
      <c r="B48" s="60">
        <v>65.900000000000006</v>
      </c>
      <c r="C48" s="60">
        <v>92.02</v>
      </c>
      <c r="D48" s="60">
        <v>104.05</v>
      </c>
      <c r="E48" s="60">
        <v>4.17</v>
      </c>
      <c r="F48" s="214" t="s">
        <v>42</v>
      </c>
      <c r="G48" s="60">
        <v>123.09</v>
      </c>
      <c r="H48" s="60">
        <v>70.39</v>
      </c>
      <c r="I48" s="60">
        <v>0.89</v>
      </c>
      <c r="J48" s="60">
        <v>0.64</v>
      </c>
      <c r="K48" s="60">
        <v>182.8</v>
      </c>
      <c r="L48" s="60">
        <v>26.95</v>
      </c>
      <c r="M48" s="60">
        <v>44</v>
      </c>
      <c r="N48" s="60">
        <v>467.7</v>
      </c>
      <c r="O48" s="60">
        <v>0</v>
      </c>
      <c r="P48" s="60">
        <v>1.87</v>
      </c>
      <c r="Q48" s="60">
        <v>47.1</v>
      </c>
      <c r="R48" s="198"/>
      <c r="S48" s="198"/>
      <c r="T48" s="198"/>
      <c r="U48" s="198"/>
    </row>
    <row r="49" spans="1:21" s="12" customFormat="1" x14ac:dyDescent="0.25">
      <c r="A49" s="213" t="s">
        <v>2703</v>
      </c>
      <c r="B49" s="60">
        <v>56.97</v>
      </c>
      <c r="C49" s="60">
        <v>91.58</v>
      </c>
      <c r="D49" s="60">
        <v>96.64</v>
      </c>
      <c r="E49" s="60">
        <v>3.44</v>
      </c>
      <c r="F49" s="60">
        <v>0.01</v>
      </c>
      <c r="G49" s="60">
        <v>105.56</v>
      </c>
      <c r="H49" s="60">
        <v>67.28</v>
      </c>
      <c r="I49" s="60">
        <v>0.86</v>
      </c>
      <c r="J49" s="60">
        <v>1.1000000000000001</v>
      </c>
      <c r="K49" s="60">
        <v>170.44</v>
      </c>
      <c r="L49" s="60">
        <v>26.98</v>
      </c>
      <c r="M49" s="60">
        <v>44</v>
      </c>
      <c r="N49" s="60">
        <v>499.8</v>
      </c>
      <c r="O49" s="60">
        <v>0</v>
      </c>
      <c r="P49" s="60">
        <v>1.76</v>
      </c>
      <c r="Q49" s="60">
        <v>46.29</v>
      </c>
      <c r="R49" s="198"/>
      <c r="S49" s="198"/>
      <c r="T49" s="198"/>
      <c r="U49" s="198"/>
    </row>
    <row r="50" spans="1:21" s="12" customFormat="1" x14ac:dyDescent="0.25">
      <c r="A50" s="213" t="s">
        <v>2704</v>
      </c>
      <c r="B50" s="60">
        <v>49.67</v>
      </c>
      <c r="C50" s="60">
        <v>92.32</v>
      </c>
      <c r="D50" s="60">
        <v>91.2</v>
      </c>
      <c r="E50" s="60">
        <v>3.45</v>
      </c>
      <c r="F50" s="214" t="s">
        <v>42</v>
      </c>
      <c r="G50" s="60">
        <v>64.680000000000007</v>
      </c>
      <c r="H50" s="60">
        <v>60.01</v>
      </c>
      <c r="I50" s="60">
        <v>0.84</v>
      </c>
      <c r="J50" s="60">
        <v>1.1599999999999999</v>
      </c>
      <c r="K50" s="60">
        <v>180.26</v>
      </c>
      <c r="L50" s="60">
        <v>26.98</v>
      </c>
      <c r="M50" s="60">
        <v>43</v>
      </c>
      <c r="N50" s="60">
        <v>522.29999999999995</v>
      </c>
      <c r="O50" s="60">
        <v>0</v>
      </c>
      <c r="P50" s="60">
        <v>1.67</v>
      </c>
      <c r="Q50" s="60">
        <v>45.51</v>
      </c>
      <c r="R50" s="198"/>
      <c r="S50" s="198"/>
      <c r="T50" s="198"/>
      <c r="U50" s="198"/>
    </row>
    <row r="51" spans="1:21" s="12" customFormat="1" x14ac:dyDescent="0.25">
      <c r="A51" s="213" t="s">
        <v>2705</v>
      </c>
      <c r="B51" s="60">
        <v>42.71</v>
      </c>
      <c r="C51" s="60">
        <v>88.12</v>
      </c>
      <c r="D51" s="60">
        <v>83.3</v>
      </c>
      <c r="E51" s="60">
        <v>4.09</v>
      </c>
      <c r="F51" s="60">
        <v>0.3</v>
      </c>
      <c r="G51" s="60">
        <v>64.680000000000007</v>
      </c>
      <c r="H51" s="60">
        <v>60.01</v>
      </c>
      <c r="I51" s="60">
        <v>0.81</v>
      </c>
      <c r="J51" s="60">
        <v>0.71</v>
      </c>
      <c r="K51" s="60">
        <v>191.15</v>
      </c>
      <c r="L51" s="60">
        <v>27.8</v>
      </c>
      <c r="M51" s="60">
        <v>41</v>
      </c>
      <c r="N51" s="60">
        <v>528.29999999999995</v>
      </c>
      <c r="O51" s="60">
        <v>0</v>
      </c>
      <c r="P51" s="60">
        <v>1.58</v>
      </c>
      <c r="Q51" s="60">
        <v>44.64</v>
      </c>
      <c r="R51" s="198"/>
      <c r="S51" s="198"/>
      <c r="T51" s="198"/>
      <c r="U51" s="198"/>
    </row>
    <row r="52" spans="1:21" s="12" customFormat="1" x14ac:dyDescent="0.25">
      <c r="A52" s="213" t="s">
        <v>2706</v>
      </c>
      <c r="B52" s="60">
        <v>37.83</v>
      </c>
      <c r="C52" s="60">
        <v>86.98</v>
      </c>
      <c r="D52" s="60">
        <v>78.75</v>
      </c>
      <c r="E52" s="60">
        <v>3.64</v>
      </c>
      <c r="F52" s="60">
        <v>0.71</v>
      </c>
      <c r="G52" s="60">
        <v>64.680000000000007</v>
      </c>
      <c r="H52" s="60">
        <v>60.01</v>
      </c>
      <c r="I52" s="60">
        <v>0.78</v>
      </c>
      <c r="J52" s="60">
        <v>0.36</v>
      </c>
      <c r="K52" s="60">
        <v>176.46</v>
      </c>
      <c r="L52" s="60">
        <v>28.57</v>
      </c>
      <c r="M52" s="60">
        <v>40</v>
      </c>
      <c r="N52" s="60">
        <v>540.5</v>
      </c>
      <c r="O52" s="60">
        <v>0</v>
      </c>
      <c r="P52" s="60">
        <v>1.52</v>
      </c>
      <c r="Q52" s="60">
        <v>42.99</v>
      </c>
      <c r="R52" s="198"/>
      <c r="S52" s="198"/>
      <c r="T52" s="198"/>
      <c r="U52" s="198"/>
    </row>
    <row r="53" spans="1:21" s="12" customFormat="1" x14ac:dyDescent="0.25">
      <c r="A53" s="213" t="s">
        <v>2707</v>
      </c>
      <c r="B53" s="60">
        <v>33.76</v>
      </c>
      <c r="C53" s="60">
        <v>85.06</v>
      </c>
      <c r="D53" s="60">
        <v>74.430000000000007</v>
      </c>
      <c r="E53" s="60">
        <v>3.88</v>
      </c>
      <c r="F53" s="60">
        <v>2.0699999999999998</v>
      </c>
      <c r="G53" s="60">
        <v>62.05</v>
      </c>
      <c r="H53" s="60">
        <v>57.95</v>
      </c>
      <c r="I53" s="60">
        <v>0.76</v>
      </c>
      <c r="J53" s="60">
        <v>0.74</v>
      </c>
      <c r="K53" s="60">
        <v>154.32</v>
      </c>
      <c r="L53" s="60">
        <v>29</v>
      </c>
      <c r="M53" s="60">
        <v>39</v>
      </c>
      <c r="N53" s="60">
        <v>562.70000000000005</v>
      </c>
      <c r="O53" s="60">
        <v>0</v>
      </c>
      <c r="P53" s="60">
        <v>1.48</v>
      </c>
      <c r="Q53" s="60">
        <v>41.81</v>
      </c>
      <c r="R53" s="198"/>
      <c r="S53" s="198"/>
      <c r="T53" s="198"/>
      <c r="U53" s="198"/>
    </row>
    <row r="54" spans="1:21" s="12" customFormat="1" x14ac:dyDescent="0.25">
      <c r="A54" s="213" t="s">
        <v>2708</v>
      </c>
      <c r="B54" s="60">
        <v>32.83</v>
      </c>
      <c r="C54" s="60">
        <v>86.24</v>
      </c>
      <c r="D54" s="60">
        <v>74.34</v>
      </c>
      <c r="E54" s="60">
        <v>3.76</v>
      </c>
      <c r="F54" s="60">
        <v>1.1299999999999999</v>
      </c>
      <c r="G54" s="211" t="s">
        <v>43</v>
      </c>
      <c r="H54" s="60">
        <v>53.14</v>
      </c>
      <c r="I54" s="60">
        <v>0.75</v>
      </c>
      <c r="J54" s="60">
        <v>0.6</v>
      </c>
      <c r="K54" s="60">
        <v>163.44999999999999</v>
      </c>
      <c r="L54" s="60">
        <v>29.24</v>
      </c>
      <c r="M54" s="60">
        <v>38</v>
      </c>
      <c r="N54" s="60">
        <v>568.9</v>
      </c>
      <c r="O54" s="60">
        <v>0</v>
      </c>
      <c r="P54" s="60">
        <v>1.45</v>
      </c>
      <c r="Q54" s="60">
        <v>41.15</v>
      </c>
      <c r="R54" s="198"/>
      <c r="S54" s="198"/>
      <c r="T54" s="198"/>
      <c r="U54" s="198"/>
    </row>
    <row r="55" spans="1:21" s="12" customFormat="1" x14ac:dyDescent="0.25">
      <c r="A55" s="213" t="s">
        <v>2709</v>
      </c>
      <c r="B55" s="60">
        <v>29.64</v>
      </c>
      <c r="C55" s="60">
        <v>84.33</v>
      </c>
      <c r="D55" s="60">
        <v>70.73</v>
      </c>
      <c r="E55" s="60">
        <v>3.29</v>
      </c>
      <c r="F55" s="60">
        <v>1.01</v>
      </c>
      <c r="G55" s="211" t="s">
        <v>43</v>
      </c>
      <c r="H55" s="60">
        <v>53.14</v>
      </c>
      <c r="I55" s="60">
        <v>0.75</v>
      </c>
      <c r="J55" s="60">
        <v>0.92</v>
      </c>
      <c r="K55" s="60">
        <v>161.88999999999999</v>
      </c>
      <c r="L55" s="60">
        <v>29.29</v>
      </c>
      <c r="M55" s="60">
        <v>36</v>
      </c>
      <c r="N55" s="60">
        <v>588.4</v>
      </c>
      <c r="O55" s="60">
        <v>0</v>
      </c>
      <c r="P55" s="60">
        <v>1.39</v>
      </c>
      <c r="Q55" s="60">
        <v>41.39</v>
      </c>
      <c r="R55" s="198"/>
      <c r="S55" s="198"/>
      <c r="T55" s="198"/>
      <c r="U55" s="198"/>
    </row>
    <row r="56" spans="1:21" s="12" customFormat="1" x14ac:dyDescent="0.25">
      <c r="A56" s="213" t="s">
        <v>2710</v>
      </c>
      <c r="B56" s="60">
        <v>26.12</v>
      </c>
      <c r="C56" s="60">
        <v>82.29</v>
      </c>
      <c r="D56" s="60">
        <v>66.78</v>
      </c>
      <c r="E56" s="60">
        <v>2.25</v>
      </c>
      <c r="F56" s="60">
        <v>1.1299999999999999</v>
      </c>
      <c r="G56" s="211" t="s">
        <v>43</v>
      </c>
      <c r="H56" s="60">
        <v>53.14</v>
      </c>
      <c r="I56" s="60">
        <v>0.75</v>
      </c>
      <c r="J56" s="60">
        <v>0.79</v>
      </c>
      <c r="K56" s="60">
        <v>174.04</v>
      </c>
      <c r="L56" s="60">
        <v>29.43</v>
      </c>
      <c r="M56" s="60">
        <v>36</v>
      </c>
      <c r="N56" s="60">
        <v>593.29999999999995</v>
      </c>
      <c r="O56" s="60">
        <v>0</v>
      </c>
      <c r="P56" s="60">
        <v>1.32</v>
      </c>
      <c r="Q56" s="60">
        <v>41.32</v>
      </c>
      <c r="R56" s="198"/>
      <c r="S56" s="198"/>
      <c r="T56" s="198"/>
      <c r="U56" s="198"/>
    </row>
    <row r="57" spans="1:21" s="12" customFormat="1" x14ac:dyDescent="0.25">
      <c r="A57" s="213" t="s">
        <v>2711</v>
      </c>
      <c r="B57" s="60">
        <v>22.83</v>
      </c>
      <c r="C57" s="60">
        <v>78.94</v>
      </c>
      <c r="D57" s="60">
        <v>62.29</v>
      </c>
      <c r="E57" s="60">
        <v>3.02</v>
      </c>
      <c r="F57" s="60">
        <v>2.75</v>
      </c>
      <c r="G57" s="211" t="s">
        <v>43</v>
      </c>
      <c r="H57" s="60">
        <v>47.79</v>
      </c>
      <c r="I57" s="60">
        <v>0.74</v>
      </c>
      <c r="J57" s="60">
        <v>0.91</v>
      </c>
      <c r="K57" s="60">
        <v>148.84</v>
      </c>
      <c r="L57" s="60">
        <v>29.46</v>
      </c>
      <c r="M57" s="60">
        <v>33</v>
      </c>
      <c r="N57" s="60">
        <v>597.6</v>
      </c>
      <c r="O57" s="60">
        <v>0</v>
      </c>
      <c r="P57" s="60">
        <v>1.26</v>
      </c>
      <c r="Q57" s="60">
        <v>41.76</v>
      </c>
      <c r="R57" s="198"/>
      <c r="S57" s="198"/>
      <c r="T57" s="198"/>
      <c r="U57" s="198"/>
    </row>
    <row r="58" spans="1:21" s="12" customFormat="1" x14ac:dyDescent="0.25">
      <c r="A58" s="213" t="s">
        <v>2712</v>
      </c>
      <c r="B58" s="60">
        <v>20.55</v>
      </c>
      <c r="C58" s="60">
        <v>77.14</v>
      </c>
      <c r="D58" s="60">
        <v>59.47</v>
      </c>
      <c r="E58" s="60">
        <v>3.44</v>
      </c>
      <c r="F58" s="60">
        <v>2.11</v>
      </c>
      <c r="G58" s="60">
        <v>37.51</v>
      </c>
      <c r="H58" s="60">
        <v>35.32</v>
      </c>
      <c r="I58" s="60">
        <v>0.73</v>
      </c>
      <c r="J58" s="60">
        <v>0.72</v>
      </c>
      <c r="K58" s="60">
        <v>134.62</v>
      </c>
      <c r="L58" s="60">
        <v>29.29</v>
      </c>
      <c r="M58" s="60">
        <v>33</v>
      </c>
      <c r="N58" s="60">
        <v>578.9</v>
      </c>
      <c r="O58" s="60">
        <v>0</v>
      </c>
      <c r="P58" s="60">
        <v>1.21</v>
      </c>
      <c r="Q58" s="60">
        <v>41</v>
      </c>
      <c r="R58" s="198"/>
      <c r="S58" s="198"/>
      <c r="T58" s="198"/>
      <c r="U58" s="198"/>
    </row>
    <row r="59" spans="1:21" s="12" customFormat="1" x14ac:dyDescent="0.25">
      <c r="A59" s="213" t="s">
        <v>2713</v>
      </c>
      <c r="B59" s="60">
        <v>18.45</v>
      </c>
      <c r="C59" s="60">
        <v>78.78</v>
      </c>
      <c r="D59" s="60">
        <v>58.69</v>
      </c>
      <c r="E59" s="60">
        <v>3.53</v>
      </c>
      <c r="F59" s="60">
        <v>1.21</v>
      </c>
      <c r="G59" s="60">
        <v>37.51</v>
      </c>
      <c r="H59" s="60">
        <v>35.32</v>
      </c>
      <c r="I59" s="60">
        <v>0.72</v>
      </c>
      <c r="J59" s="60">
        <v>0.18</v>
      </c>
      <c r="K59" s="60">
        <v>359.92</v>
      </c>
      <c r="L59" s="60">
        <v>30.65</v>
      </c>
      <c r="M59" s="60">
        <v>31</v>
      </c>
      <c r="N59" s="60">
        <v>565.4</v>
      </c>
      <c r="O59" s="60">
        <v>0</v>
      </c>
      <c r="P59" s="60">
        <v>1.1499999999999999</v>
      </c>
      <c r="Q59" s="60">
        <v>42.66</v>
      </c>
      <c r="R59" s="198"/>
      <c r="S59" s="198"/>
      <c r="T59" s="198"/>
      <c r="U59" s="198"/>
    </row>
    <row r="60" spans="1:21" s="12" customFormat="1" x14ac:dyDescent="0.25">
      <c r="A60" s="213" t="s">
        <v>2714</v>
      </c>
      <c r="B60" s="60">
        <v>15.09</v>
      </c>
      <c r="C60" s="60">
        <v>78.59</v>
      </c>
      <c r="D60" s="60">
        <v>55.88</v>
      </c>
      <c r="E60" s="60">
        <v>3.13</v>
      </c>
      <c r="F60" s="60">
        <v>0.77</v>
      </c>
      <c r="G60" s="60">
        <v>37.51</v>
      </c>
      <c r="H60" s="60">
        <v>35.32</v>
      </c>
      <c r="I60" s="60">
        <v>0.72</v>
      </c>
      <c r="J60" s="60">
        <v>0.14000000000000001</v>
      </c>
      <c r="K60" s="60">
        <v>78.349999999999994</v>
      </c>
      <c r="L60" s="60">
        <v>31.46</v>
      </c>
      <c r="M60" s="60">
        <v>30</v>
      </c>
      <c r="N60" s="60">
        <v>541.70000000000005</v>
      </c>
      <c r="O60" s="60">
        <v>0</v>
      </c>
      <c r="P60" s="60">
        <v>1.1000000000000001</v>
      </c>
      <c r="Q60" s="60">
        <v>43.29</v>
      </c>
      <c r="R60" s="198"/>
      <c r="S60" s="198"/>
      <c r="T60" s="198"/>
      <c r="U60" s="198"/>
    </row>
    <row r="61" spans="1:21" s="12" customFormat="1" x14ac:dyDescent="0.25">
      <c r="A61" s="213" t="s">
        <v>2715</v>
      </c>
      <c r="B61" s="60">
        <v>13.03</v>
      </c>
      <c r="C61" s="60">
        <v>80.06</v>
      </c>
      <c r="D61" s="60">
        <v>55.05</v>
      </c>
      <c r="E61" s="60">
        <v>3.2</v>
      </c>
      <c r="F61" s="60">
        <v>0.49</v>
      </c>
      <c r="G61" s="60">
        <v>38.17</v>
      </c>
      <c r="H61" s="60">
        <v>32.61</v>
      </c>
      <c r="I61" s="60">
        <v>0.71</v>
      </c>
      <c r="J61" s="60">
        <v>0.1</v>
      </c>
      <c r="K61" s="60">
        <v>93.82</v>
      </c>
      <c r="L61" s="60">
        <v>32.229999999999997</v>
      </c>
      <c r="M61" s="60">
        <v>29</v>
      </c>
      <c r="N61" s="60">
        <v>529.79999999999995</v>
      </c>
      <c r="O61" s="60">
        <v>0</v>
      </c>
      <c r="P61" s="60">
        <v>1.05</v>
      </c>
      <c r="Q61" s="60">
        <v>42.72</v>
      </c>
      <c r="R61" s="198"/>
      <c r="S61" s="198"/>
      <c r="T61" s="198"/>
      <c r="U61" s="198"/>
    </row>
    <row r="62" spans="1:21" s="12" customFormat="1" x14ac:dyDescent="0.25">
      <c r="A62" s="213" t="s">
        <v>2716</v>
      </c>
      <c r="B62" s="60">
        <v>10.220000000000001</v>
      </c>
      <c r="C62" s="60">
        <v>77.42</v>
      </c>
      <c r="D62" s="60">
        <v>51.34</v>
      </c>
      <c r="E62" s="60">
        <v>3.57</v>
      </c>
      <c r="F62" s="60">
        <v>1.0900000000000001</v>
      </c>
      <c r="G62" s="60">
        <v>39.700000000000003</v>
      </c>
      <c r="H62" s="60">
        <v>26.3</v>
      </c>
      <c r="I62" s="60">
        <v>0.69</v>
      </c>
      <c r="J62" s="60">
        <v>0.64</v>
      </c>
      <c r="K62" s="60">
        <v>147.51</v>
      </c>
      <c r="L62" s="60">
        <v>30.78</v>
      </c>
      <c r="M62" s="60">
        <v>30</v>
      </c>
      <c r="N62" s="60">
        <v>525.29999999999995</v>
      </c>
      <c r="O62" s="60">
        <v>0</v>
      </c>
      <c r="P62" s="60">
        <v>1.07</v>
      </c>
      <c r="Q62" s="60">
        <v>42.01</v>
      </c>
      <c r="R62" s="198"/>
      <c r="S62" s="198"/>
      <c r="T62" s="198"/>
      <c r="U62" s="198"/>
    </row>
    <row r="63" spans="1:21" s="12" customFormat="1" x14ac:dyDescent="0.25">
      <c r="A63" s="213" t="s">
        <v>2717</v>
      </c>
      <c r="B63" s="60">
        <v>7.7</v>
      </c>
      <c r="C63" s="60">
        <v>77.05</v>
      </c>
      <c r="D63" s="60">
        <v>49.11</v>
      </c>
      <c r="E63" s="60">
        <v>3.38</v>
      </c>
      <c r="F63" s="60">
        <v>1.3</v>
      </c>
      <c r="G63" s="60">
        <v>39.700000000000003</v>
      </c>
      <c r="H63" s="60">
        <v>26.3</v>
      </c>
      <c r="I63" s="60">
        <v>0.68</v>
      </c>
      <c r="J63" s="60">
        <v>1.27</v>
      </c>
      <c r="K63" s="60">
        <v>174.62</v>
      </c>
      <c r="L63" s="60">
        <v>29.97</v>
      </c>
      <c r="M63" s="60">
        <v>28</v>
      </c>
      <c r="N63" s="60">
        <v>511.6</v>
      </c>
      <c r="O63" s="60">
        <v>0</v>
      </c>
      <c r="P63" s="60">
        <v>1.01</v>
      </c>
      <c r="Q63" s="60">
        <v>41.48</v>
      </c>
      <c r="R63" s="198"/>
      <c r="S63" s="198"/>
      <c r="T63" s="198"/>
      <c r="U63" s="198"/>
    </row>
    <row r="64" spans="1:21" s="12" customFormat="1" x14ac:dyDescent="0.25">
      <c r="A64" s="213" t="s">
        <v>2718</v>
      </c>
      <c r="B64" s="60">
        <v>6.3</v>
      </c>
      <c r="C64" s="60">
        <v>77.209999999999994</v>
      </c>
      <c r="D64" s="60">
        <v>48.08</v>
      </c>
      <c r="E64" s="60">
        <v>3.04</v>
      </c>
      <c r="F64" s="60">
        <v>0.9</v>
      </c>
      <c r="G64" s="60">
        <v>39.700000000000003</v>
      </c>
      <c r="H64" s="60">
        <v>26.3</v>
      </c>
      <c r="I64" s="60">
        <v>0.67</v>
      </c>
      <c r="J64" s="60">
        <v>0.63</v>
      </c>
      <c r="K64" s="60">
        <v>156.37</v>
      </c>
      <c r="L64" s="60">
        <v>30.29</v>
      </c>
      <c r="M64" s="60">
        <v>28</v>
      </c>
      <c r="N64" s="60">
        <v>475.6</v>
      </c>
      <c r="O64" s="60">
        <v>0</v>
      </c>
      <c r="P64" s="60">
        <v>0.96</v>
      </c>
      <c r="Q64" s="60">
        <v>40.659999999999997</v>
      </c>
      <c r="R64" s="198"/>
      <c r="S64" s="198"/>
      <c r="T64" s="198"/>
      <c r="U64" s="198"/>
    </row>
    <row r="65" spans="1:21" s="12" customFormat="1" x14ac:dyDescent="0.25">
      <c r="A65" s="213" t="s">
        <v>2719</v>
      </c>
      <c r="B65" s="60">
        <v>4.41</v>
      </c>
      <c r="C65" s="60">
        <v>65.41</v>
      </c>
      <c r="D65" s="60">
        <v>40.049999999999997</v>
      </c>
      <c r="E65" s="60">
        <v>3.46</v>
      </c>
      <c r="F65" s="60">
        <v>7.71</v>
      </c>
      <c r="G65" s="60">
        <v>37.67</v>
      </c>
      <c r="H65" s="60">
        <v>25.45</v>
      </c>
      <c r="I65" s="60">
        <v>0.65</v>
      </c>
      <c r="J65" s="60">
        <v>0.38</v>
      </c>
      <c r="K65" s="60">
        <v>83.78</v>
      </c>
      <c r="L65" s="60">
        <v>30.97</v>
      </c>
      <c r="M65" s="60">
        <v>27</v>
      </c>
      <c r="N65" s="60">
        <v>450.2</v>
      </c>
      <c r="O65" s="60">
        <v>0</v>
      </c>
      <c r="P65" s="60">
        <v>0.87</v>
      </c>
      <c r="Q65" s="60">
        <v>39.96</v>
      </c>
      <c r="R65" s="198"/>
      <c r="S65" s="198"/>
      <c r="T65" s="198"/>
      <c r="U65" s="198"/>
    </row>
    <row r="66" spans="1:21" s="12" customFormat="1" x14ac:dyDescent="0.25">
      <c r="A66" s="213" t="s">
        <v>2720</v>
      </c>
      <c r="B66" s="60">
        <v>6.15</v>
      </c>
      <c r="C66" s="60">
        <v>69.27</v>
      </c>
      <c r="D66" s="60">
        <v>43.57</v>
      </c>
      <c r="E66" s="60">
        <v>2.92</v>
      </c>
      <c r="F66" s="60">
        <v>4.76</v>
      </c>
      <c r="G66" s="60">
        <v>32.92</v>
      </c>
      <c r="H66" s="60">
        <v>23.49</v>
      </c>
      <c r="I66" s="60">
        <v>0.64</v>
      </c>
      <c r="J66" s="60">
        <v>0.28000000000000003</v>
      </c>
      <c r="K66" s="60">
        <v>73.89</v>
      </c>
      <c r="L66" s="60">
        <v>30.86</v>
      </c>
      <c r="M66" s="60">
        <v>27</v>
      </c>
      <c r="N66" s="60">
        <v>433</v>
      </c>
      <c r="O66" s="60">
        <v>0</v>
      </c>
      <c r="P66" s="60">
        <v>0.87</v>
      </c>
      <c r="Q66" s="60">
        <v>39.229999999999997</v>
      </c>
      <c r="R66" s="198"/>
      <c r="S66" s="198"/>
      <c r="T66" s="198"/>
      <c r="U66" s="198"/>
    </row>
    <row r="67" spans="1:21" s="12" customFormat="1" x14ac:dyDescent="0.25">
      <c r="A67" s="213" t="s">
        <v>2721</v>
      </c>
      <c r="B67" s="60">
        <v>5.27</v>
      </c>
      <c r="C67" s="60">
        <v>65.06</v>
      </c>
      <c r="D67" s="60">
        <v>40.549999999999997</v>
      </c>
      <c r="E67" s="60">
        <v>3.07</v>
      </c>
      <c r="F67" s="60">
        <v>7.22</v>
      </c>
      <c r="G67" s="60">
        <v>32.92</v>
      </c>
      <c r="H67" s="60">
        <v>23.49</v>
      </c>
      <c r="I67" s="60">
        <v>0.61</v>
      </c>
      <c r="J67" s="60">
        <v>0.49</v>
      </c>
      <c r="K67" s="60">
        <v>15.2</v>
      </c>
      <c r="L67" s="60">
        <v>31.75</v>
      </c>
      <c r="M67" s="60">
        <v>27</v>
      </c>
      <c r="N67" s="60">
        <v>410.3</v>
      </c>
      <c r="O67" s="60">
        <v>0</v>
      </c>
      <c r="P67" s="60">
        <v>0.83</v>
      </c>
      <c r="Q67" s="60">
        <v>37.61</v>
      </c>
      <c r="R67" s="198"/>
      <c r="S67" s="198"/>
      <c r="T67" s="198"/>
      <c r="U67" s="198"/>
    </row>
    <row r="68" spans="1:21" s="12" customFormat="1" x14ac:dyDescent="0.25">
      <c r="A68" s="213" t="s">
        <v>2722</v>
      </c>
      <c r="B68" s="60">
        <v>4.7300000000000004</v>
      </c>
      <c r="C68" s="60">
        <v>60.87</v>
      </c>
      <c r="D68" s="60">
        <v>37.799999999999997</v>
      </c>
      <c r="E68" s="60">
        <v>3.35</v>
      </c>
      <c r="F68" s="60">
        <v>10.050000000000001</v>
      </c>
      <c r="G68" s="60">
        <v>32.92</v>
      </c>
      <c r="H68" s="60">
        <v>23.49</v>
      </c>
      <c r="I68" s="60">
        <v>0.62</v>
      </c>
      <c r="J68" s="60">
        <v>0.11</v>
      </c>
      <c r="K68" s="60">
        <v>23.3</v>
      </c>
      <c r="L68" s="60">
        <v>32.479999999999997</v>
      </c>
      <c r="M68" s="60">
        <v>25</v>
      </c>
      <c r="N68" s="60">
        <v>254.9</v>
      </c>
      <c r="O68" s="60">
        <v>0</v>
      </c>
      <c r="P68" s="60">
        <v>0.79</v>
      </c>
      <c r="Q68" s="60">
        <v>37.58</v>
      </c>
      <c r="R68" s="198"/>
      <c r="S68" s="198"/>
      <c r="T68" s="198"/>
      <c r="U68" s="198"/>
    </row>
    <row r="69" spans="1:21" s="12" customFormat="1" x14ac:dyDescent="0.25">
      <c r="A69" s="213" t="s">
        <v>2723</v>
      </c>
      <c r="B69" s="60">
        <v>4.66</v>
      </c>
      <c r="C69" s="60">
        <v>64.23</v>
      </c>
      <c r="D69" s="60">
        <v>39.6</v>
      </c>
      <c r="E69" s="60">
        <v>3.07</v>
      </c>
      <c r="F69" s="60">
        <v>8.0299999999999994</v>
      </c>
      <c r="G69" s="60">
        <v>34.32</v>
      </c>
      <c r="H69" s="60">
        <v>21.87</v>
      </c>
      <c r="I69" s="60">
        <v>0.61</v>
      </c>
      <c r="J69" s="60">
        <v>0.47</v>
      </c>
      <c r="K69" s="60">
        <v>108.7</v>
      </c>
      <c r="L69" s="60">
        <v>30.78</v>
      </c>
      <c r="M69" s="60">
        <v>26</v>
      </c>
      <c r="N69" s="60">
        <v>299.3</v>
      </c>
      <c r="O69" s="60">
        <v>0</v>
      </c>
      <c r="P69" s="60">
        <v>0.79</v>
      </c>
      <c r="Q69" s="60">
        <v>37.82</v>
      </c>
      <c r="R69" s="198"/>
      <c r="S69" s="198"/>
      <c r="T69" s="198"/>
      <c r="U69" s="198"/>
    </row>
    <row r="70" spans="1:21" s="12" customFormat="1" x14ac:dyDescent="0.25">
      <c r="A70" s="213" t="s">
        <v>2724</v>
      </c>
      <c r="B70" s="60">
        <v>4.2300000000000004</v>
      </c>
      <c r="C70" s="60">
        <v>61.29</v>
      </c>
      <c r="D70" s="60">
        <v>37.630000000000003</v>
      </c>
      <c r="E70" s="60">
        <v>3.35</v>
      </c>
      <c r="F70" s="60">
        <v>6.89</v>
      </c>
      <c r="G70" s="60">
        <v>37.590000000000003</v>
      </c>
      <c r="H70" s="60">
        <v>18.09</v>
      </c>
      <c r="I70" s="60">
        <v>0.57999999999999996</v>
      </c>
      <c r="J70" s="60">
        <v>0.56999999999999995</v>
      </c>
      <c r="K70" s="60">
        <v>171.02</v>
      </c>
      <c r="L70" s="60">
        <v>30.24</v>
      </c>
      <c r="M70" s="60">
        <v>27</v>
      </c>
      <c r="N70" s="60">
        <v>283</v>
      </c>
      <c r="O70" s="60">
        <v>0</v>
      </c>
      <c r="P70" s="60">
        <v>0.77</v>
      </c>
      <c r="Q70" s="60">
        <v>38.14</v>
      </c>
      <c r="R70" s="198"/>
      <c r="S70" s="198"/>
      <c r="T70" s="198"/>
      <c r="U70" s="198"/>
    </row>
    <row r="71" spans="1:21" s="12" customFormat="1" x14ac:dyDescent="0.25">
      <c r="A71" s="213" t="s">
        <v>2725</v>
      </c>
      <c r="B71" s="60">
        <v>4.4400000000000004</v>
      </c>
      <c r="C71" s="60">
        <v>60.02</v>
      </c>
      <c r="D71" s="60">
        <v>37.1</v>
      </c>
      <c r="E71" s="60">
        <v>3.64</v>
      </c>
      <c r="F71" s="60">
        <v>9.2200000000000006</v>
      </c>
      <c r="G71" s="60">
        <v>37.590000000000003</v>
      </c>
      <c r="H71" s="60">
        <v>18.09</v>
      </c>
      <c r="I71" s="60">
        <v>0.61</v>
      </c>
      <c r="J71" s="60">
        <v>0.21</v>
      </c>
      <c r="K71" s="60">
        <v>202.17</v>
      </c>
      <c r="L71" s="60">
        <v>30.26</v>
      </c>
      <c r="M71" s="60">
        <v>27</v>
      </c>
      <c r="N71" s="60">
        <v>228.7</v>
      </c>
      <c r="O71" s="60">
        <v>0</v>
      </c>
      <c r="P71" s="60">
        <v>0.73</v>
      </c>
      <c r="Q71" s="60">
        <v>38.72</v>
      </c>
      <c r="R71" s="198"/>
      <c r="S71" s="198"/>
      <c r="T71" s="198"/>
      <c r="U71" s="198"/>
    </row>
    <row r="72" spans="1:21" s="12" customFormat="1" x14ac:dyDescent="0.25">
      <c r="A72" s="213" t="s">
        <v>2726</v>
      </c>
      <c r="B72" s="60">
        <v>3.76</v>
      </c>
      <c r="C72" s="60">
        <v>55.88</v>
      </c>
      <c r="D72" s="60">
        <v>34.270000000000003</v>
      </c>
      <c r="E72" s="60">
        <v>2.9</v>
      </c>
      <c r="F72" s="60">
        <v>12.7</v>
      </c>
      <c r="G72" s="60">
        <v>37.590000000000003</v>
      </c>
      <c r="H72" s="60">
        <v>18.09</v>
      </c>
      <c r="I72" s="60">
        <v>0.61</v>
      </c>
      <c r="J72" s="60">
        <v>0.25</v>
      </c>
      <c r="K72" s="60">
        <v>173.03</v>
      </c>
      <c r="L72" s="60">
        <v>29.9</v>
      </c>
      <c r="M72" s="60">
        <v>28</v>
      </c>
      <c r="N72" s="60">
        <v>126.5</v>
      </c>
      <c r="O72" s="60">
        <v>0</v>
      </c>
      <c r="P72" s="60">
        <v>0.69</v>
      </c>
      <c r="Q72" s="60">
        <v>39.1</v>
      </c>
      <c r="R72" s="198"/>
      <c r="S72" s="198"/>
      <c r="T72" s="198"/>
      <c r="U72" s="198"/>
    </row>
    <row r="73" spans="1:21" s="12" customFormat="1" x14ac:dyDescent="0.25">
      <c r="A73" s="213" t="s">
        <v>2727</v>
      </c>
      <c r="B73" s="60">
        <v>3.53</v>
      </c>
      <c r="C73" s="60">
        <v>58.22</v>
      </c>
      <c r="D73" s="60">
        <v>35.369999999999997</v>
      </c>
      <c r="E73" s="60">
        <v>4.43</v>
      </c>
      <c r="F73" s="60">
        <v>4.55</v>
      </c>
      <c r="G73" s="60">
        <v>36.369999999999997</v>
      </c>
      <c r="H73" s="60">
        <v>17.57</v>
      </c>
      <c r="I73" s="60">
        <v>0.63</v>
      </c>
      <c r="J73" s="60">
        <v>0.51</v>
      </c>
      <c r="K73" s="60">
        <v>173.73</v>
      </c>
      <c r="L73" s="60">
        <v>29.19</v>
      </c>
      <c r="M73" s="60">
        <v>29</v>
      </c>
      <c r="N73" s="60">
        <v>166.6</v>
      </c>
      <c r="O73" s="60">
        <v>0</v>
      </c>
      <c r="P73" s="60">
        <v>0.71</v>
      </c>
      <c r="Q73" s="60">
        <v>40.119999999999997</v>
      </c>
      <c r="R73" s="198"/>
      <c r="S73" s="198"/>
      <c r="T73" s="198"/>
      <c r="U73" s="198"/>
    </row>
    <row r="74" spans="1:21" s="12" customFormat="1" x14ac:dyDescent="0.25">
      <c r="A74" s="213" t="s">
        <v>2728</v>
      </c>
      <c r="B74" s="60">
        <v>3.37</v>
      </c>
      <c r="C74" s="60">
        <v>63.48</v>
      </c>
      <c r="D74" s="60">
        <v>38.15</v>
      </c>
      <c r="E74" s="60">
        <v>4.2699999999999996</v>
      </c>
      <c r="F74" s="60">
        <v>2.4900000000000002</v>
      </c>
      <c r="G74" s="60">
        <v>33.53</v>
      </c>
      <c r="H74" s="60">
        <v>16.36</v>
      </c>
      <c r="I74" s="60">
        <v>0.57999999999999996</v>
      </c>
      <c r="J74" s="60">
        <v>0.4</v>
      </c>
      <c r="K74" s="60">
        <v>186.92</v>
      </c>
      <c r="L74" s="60">
        <v>28.93</v>
      </c>
      <c r="M74" s="60">
        <v>29</v>
      </c>
      <c r="N74" s="60">
        <v>63.5</v>
      </c>
      <c r="O74" s="60">
        <v>0</v>
      </c>
      <c r="P74" s="60">
        <v>0.73</v>
      </c>
      <c r="Q74" s="60">
        <v>41</v>
      </c>
      <c r="R74" s="198"/>
      <c r="S74" s="198"/>
      <c r="T74" s="198"/>
      <c r="U74" s="198"/>
    </row>
    <row r="75" spans="1:21" s="12" customFormat="1" x14ac:dyDescent="0.25">
      <c r="A75" s="213" t="s">
        <v>2729</v>
      </c>
      <c r="B75" s="60">
        <v>3.11</v>
      </c>
      <c r="C75" s="60">
        <v>64.45</v>
      </c>
      <c r="D75" s="60">
        <v>38.479999999999997</v>
      </c>
      <c r="E75" s="60">
        <v>3.91</v>
      </c>
      <c r="F75" s="60">
        <v>2.84</v>
      </c>
      <c r="G75" s="60">
        <v>33.53</v>
      </c>
      <c r="H75" s="60">
        <v>16.36</v>
      </c>
      <c r="I75" s="60">
        <v>0.61</v>
      </c>
      <c r="J75" s="60">
        <v>0.2</v>
      </c>
      <c r="K75" s="60">
        <v>175.93</v>
      </c>
      <c r="L75" s="60">
        <v>28.78</v>
      </c>
      <c r="M75" s="60">
        <v>29</v>
      </c>
      <c r="N75" s="60">
        <v>50.2</v>
      </c>
      <c r="O75" s="60">
        <v>0</v>
      </c>
      <c r="P75" s="60">
        <v>0.69</v>
      </c>
      <c r="Q75" s="60">
        <v>41.6</v>
      </c>
      <c r="R75" s="198"/>
      <c r="S75" s="198"/>
      <c r="T75" s="198"/>
      <c r="U75" s="198"/>
    </row>
    <row r="76" spans="1:21" s="12" customFormat="1" x14ac:dyDescent="0.25">
      <c r="A76" s="213" t="s">
        <v>2730</v>
      </c>
      <c r="B76" s="60">
        <v>2.89</v>
      </c>
      <c r="C76" s="60">
        <v>63.84</v>
      </c>
      <c r="D76" s="60">
        <v>37.97</v>
      </c>
      <c r="E76" s="60">
        <v>3.77</v>
      </c>
      <c r="F76" s="60">
        <v>4.26</v>
      </c>
      <c r="G76" s="60">
        <v>33.53</v>
      </c>
      <c r="H76" s="60">
        <v>16.36</v>
      </c>
      <c r="I76" s="60">
        <v>0.61</v>
      </c>
      <c r="J76" s="60">
        <v>0.05</v>
      </c>
      <c r="K76" s="60">
        <v>118.33</v>
      </c>
      <c r="L76" s="60">
        <v>28.53</v>
      </c>
      <c r="M76" s="60">
        <v>30</v>
      </c>
      <c r="N76" s="60">
        <v>39.200000000000003</v>
      </c>
      <c r="O76" s="60">
        <v>0</v>
      </c>
      <c r="P76" s="60">
        <v>0.7</v>
      </c>
      <c r="Q76" s="60">
        <v>41.48</v>
      </c>
      <c r="R76" s="198"/>
      <c r="S76" s="198"/>
      <c r="T76" s="198"/>
      <c r="U76" s="198"/>
    </row>
    <row r="77" spans="1:21" s="12" customFormat="1" x14ac:dyDescent="0.25">
      <c r="A77" s="213" t="s">
        <v>2731</v>
      </c>
      <c r="B77" s="60">
        <v>3.01</v>
      </c>
      <c r="C77" s="60">
        <v>64.180000000000007</v>
      </c>
      <c r="D77" s="60">
        <v>38.25</v>
      </c>
      <c r="E77" s="60">
        <v>3.97</v>
      </c>
      <c r="F77" s="60">
        <v>3.91</v>
      </c>
      <c r="G77" s="60">
        <v>34.299999999999997</v>
      </c>
      <c r="H77" s="60">
        <v>16.28</v>
      </c>
      <c r="I77" s="60">
        <v>0.61</v>
      </c>
      <c r="J77" s="60">
        <v>0.23</v>
      </c>
      <c r="K77" s="60">
        <v>179.23</v>
      </c>
      <c r="L77" s="60">
        <v>28.14</v>
      </c>
      <c r="M77" s="60">
        <v>31</v>
      </c>
      <c r="N77" s="60">
        <v>27.7</v>
      </c>
      <c r="O77" s="60">
        <v>0</v>
      </c>
      <c r="P77" s="60">
        <v>0.7</v>
      </c>
      <c r="Q77" s="60">
        <v>41.38</v>
      </c>
      <c r="R77" s="198"/>
      <c r="S77" s="198"/>
      <c r="T77" s="198"/>
      <c r="U77" s="198"/>
    </row>
    <row r="78" spans="1:21" s="12" customFormat="1" x14ac:dyDescent="0.25">
      <c r="A78" s="213" t="s">
        <v>2732</v>
      </c>
      <c r="B78" s="60">
        <v>3.76</v>
      </c>
      <c r="C78" s="60">
        <v>67.430000000000007</v>
      </c>
      <c r="D78" s="60">
        <v>40.64</v>
      </c>
      <c r="E78" s="60">
        <v>3.91</v>
      </c>
      <c r="F78" s="60">
        <v>1.85</v>
      </c>
      <c r="G78" s="60">
        <v>36.08</v>
      </c>
      <c r="H78" s="60">
        <v>16.12</v>
      </c>
      <c r="I78" s="60">
        <v>0.6</v>
      </c>
      <c r="J78" s="60">
        <v>0.02</v>
      </c>
      <c r="K78" s="60">
        <v>18.48</v>
      </c>
      <c r="L78" s="60">
        <v>27.23</v>
      </c>
      <c r="M78" s="60">
        <v>34</v>
      </c>
      <c r="N78" s="60">
        <v>16.600000000000001</v>
      </c>
      <c r="O78" s="60">
        <v>0</v>
      </c>
      <c r="P78" s="60">
        <v>0.71</v>
      </c>
      <c r="Q78" s="60">
        <v>41.02</v>
      </c>
      <c r="R78" s="198"/>
      <c r="S78" s="198"/>
      <c r="T78" s="198"/>
      <c r="U78" s="198"/>
    </row>
    <row r="79" spans="1:21" s="12" customFormat="1" x14ac:dyDescent="0.25">
      <c r="A79" s="213" t="s">
        <v>2733</v>
      </c>
      <c r="B79" s="60">
        <v>10.039999999999999</v>
      </c>
      <c r="C79" s="60">
        <v>77.260000000000005</v>
      </c>
      <c r="D79" s="60">
        <v>51.1</v>
      </c>
      <c r="E79" s="60">
        <v>4.04</v>
      </c>
      <c r="F79" s="60">
        <v>0.49</v>
      </c>
      <c r="G79" s="60">
        <v>36.08</v>
      </c>
      <c r="H79" s="60">
        <v>16.12</v>
      </c>
      <c r="I79" s="60">
        <v>0.59</v>
      </c>
      <c r="J79" s="60">
        <v>0.02</v>
      </c>
      <c r="K79" s="60">
        <v>245.31</v>
      </c>
      <c r="L79" s="60">
        <v>26.35</v>
      </c>
      <c r="M79" s="60">
        <v>36</v>
      </c>
      <c r="N79" s="60">
        <v>8.6999999999999993</v>
      </c>
      <c r="O79" s="60">
        <v>0</v>
      </c>
      <c r="P79" s="60">
        <v>0.75</v>
      </c>
      <c r="Q79" s="60">
        <v>41</v>
      </c>
      <c r="R79" s="198"/>
      <c r="S79" s="198"/>
      <c r="T79" s="198"/>
      <c r="U79" s="198"/>
    </row>
    <row r="80" spans="1:21" s="12" customFormat="1" x14ac:dyDescent="0.25">
      <c r="A80" s="213" t="s">
        <v>2734</v>
      </c>
      <c r="B80" s="60">
        <v>18.7</v>
      </c>
      <c r="C80" s="60">
        <v>84.16</v>
      </c>
      <c r="D80" s="60">
        <v>61.86</v>
      </c>
      <c r="E80" s="60">
        <v>4.2300000000000004</v>
      </c>
      <c r="F80" s="60">
        <v>0.47</v>
      </c>
      <c r="G80" s="60">
        <v>36.08</v>
      </c>
      <c r="H80" s="60">
        <v>16.12</v>
      </c>
      <c r="I80" s="60">
        <v>0.6</v>
      </c>
      <c r="J80" s="60">
        <v>0.1</v>
      </c>
      <c r="K80" s="60">
        <v>353.94</v>
      </c>
      <c r="L80" s="60">
        <v>25.34</v>
      </c>
      <c r="M80" s="60">
        <v>44</v>
      </c>
      <c r="N80" s="60">
        <v>5.5</v>
      </c>
      <c r="O80" s="60">
        <v>0</v>
      </c>
      <c r="P80" s="60">
        <v>0.9</v>
      </c>
      <c r="Q80" s="60">
        <v>39.700000000000003</v>
      </c>
      <c r="R80" s="198"/>
      <c r="S80" s="198"/>
      <c r="T80" s="198"/>
      <c r="U80" s="198"/>
    </row>
    <row r="81" spans="1:26" s="12" customFormat="1" x14ac:dyDescent="0.25">
      <c r="A81" s="213" t="s">
        <v>2735</v>
      </c>
      <c r="B81" s="60">
        <v>21.41</v>
      </c>
      <c r="C81" s="60">
        <v>84.43</v>
      </c>
      <c r="D81" s="60">
        <v>64.180000000000007</v>
      </c>
      <c r="E81" s="60">
        <v>3.73</v>
      </c>
      <c r="F81" s="60">
        <v>0.2</v>
      </c>
      <c r="G81" s="60">
        <v>45.27</v>
      </c>
      <c r="H81" s="60">
        <v>18.77</v>
      </c>
      <c r="I81" s="60">
        <v>0.61</v>
      </c>
      <c r="J81" s="60">
        <v>0.08</v>
      </c>
      <c r="K81" s="60">
        <v>75.209999999999994</v>
      </c>
      <c r="L81" s="60">
        <v>24.38</v>
      </c>
      <c r="M81" s="60">
        <v>43</v>
      </c>
      <c r="N81" s="60">
        <v>4.5999999999999996</v>
      </c>
      <c r="O81" s="60">
        <v>0</v>
      </c>
      <c r="P81" s="60">
        <v>0.93</v>
      </c>
      <c r="Q81" s="60">
        <v>39.17</v>
      </c>
      <c r="R81" s="198"/>
      <c r="S81" s="198"/>
      <c r="T81" s="198"/>
      <c r="U81" s="198"/>
    </row>
    <row r="82" spans="1:26" s="12" customFormat="1" x14ac:dyDescent="0.25">
      <c r="A82" s="213" t="s">
        <v>2736</v>
      </c>
      <c r="B82" s="60">
        <v>39.81</v>
      </c>
      <c r="C82" s="60">
        <v>88.5</v>
      </c>
      <c r="D82" s="60">
        <v>81.180000000000007</v>
      </c>
      <c r="E82" s="60">
        <v>4.3899999999999997</v>
      </c>
      <c r="F82" s="60">
        <v>0.08</v>
      </c>
      <c r="G82" s="60">
        <v>66.72</v>
      </c>
      <c r="H82" s="60">
        <v>24.96</v>
      </c>
      <c r="I82" s="60">
        <v>0.62</v>
      </c>
      <c r="J82" s="60">
        <v>0.1</v>
      </c>
      <c r="K82" s="60">
        <v>20.99</v>
      </c>
      <c r="L82" s="60">
        <v>23.74</v>
      </c>
      <c r="M82" s="60">
        <v>50</v>
      </c>
      <c r="N82" s="60">
        <v>4.5999999999999996</v>
      </c>
      <c r="O82" s="60">
        <v>0</v>
      </c>
      <c r="P82" s="60">
        <v>1.44</v>
      </c>
      <c r="Q82" s="60">
        <v>37.380000000000003</v>
      </c>
      <c r="R82" s="198"/>
      <c r="S82" s="198"/>
      <c r="T82" s="198"/>
      <c r="U82" s="198"/>
    </row>
    <row r="83" spans="1:26" s="12" customFormat="1" x14ac:dyDescent="0.25">
      <c r="A83" s="213" t="s">
        <v>2737</v>
      </c>
      <c r="B83" s="60">
        <v>34.5</v>
      </c>
      <c r="C83" s="60">
        <v>86.75</v>
      </c>
      <c r="D83" s="60">
        <v>75.95</v>
      </c>
      <c r="E83" s="60">
        <v>4.38</v>
      </c>
      <c r="F83" s="60">
        <v>0.03</v>
      </c>
      <c r="G83" s="60">
        <v>66.72</v>
      </c>
      <c r="H83" s="60">
        <v>24.96</v>
      </c>
      <c r="I83" s="60">
        <v>0.7</v>
      </c>
      <c r="J83" s="60">
        <v>0.17</v>
      </c>
      <c r="K83" s="60">
        <v>78.569999999999993</v>
      </c>
      <c r="L83" s="60">
        <v>23.44</v>
      </c>
      <c r="M83" s="60">
        <v>49</v>
      </c>
      <c r="N83" s="60">
        <v>4.3</v>
      </c>
      <c r="O83" s="60">
        <v>0</v>
      </c>
      <c r="P83" s="60">
        <v>1.21</v>
      </c>
      <c r="Q83" s="60">
        <v>39.840000000000003</v>
      </c>
      <c r="R83" s="198"/>
      <c r="S83" s="198"/>
      <c r="T83" s="198"/>
      <c r="U83" s="198"/>
    </row>
    <row r="84" spans="1:26" s="12" customFormat="1" x14ac:dyDescent="0.25">
      <c r="A84" s="213" t="s">
        <v>2738</v>
      </c>
      <c r="B84" s="60">
        <v>48.42</v>
      </c>
      <c r="C84" s="60">
        <v>88.53</v>
      </c>
      <c r="D84" s="60">
        <v>88.11</v>
      </c>
      <c r="E84" s="60">
        <v>4.4000000000000004</v>
      </c>
      <c r="F84" s="60">
        <v>0.02</v>
      </c>
      <c r="G84" s="60">
        <v>66.72</v>
      </c>
      <c r="H84" s="60">
        <v>24.96</v>
      </c>
      <c r="I84" s="60">
        <v>0.75</v>
      </c>
      <c r="J84" s="60">
        <v>0.06</v>
      </c>
      <c r="K84" s="60">
        <v>9.9600000000000009</v>
      </c>
      <c r="L84" s="60">
        <v>22.98</v>
      </c>
      <c r="M84" s="60">
        <v>55</v>
      </c>
      <c r="N84" s="60">
        <v>4.5999999999999996</v>
      </c>
      <c r="O84" s="60">
        <v>0</v>
      </c>
      <c r="P84" s="60">
        <v>1.7</v>
      </c>
      <c r="Q84" s="60">
        <v>39.99</v>
      </c>
      <c r="R84" s="198"/>
      <c r="S84" s="198"/>
      <c r="T84" s="198"/>
      <c r="U84" s="198"/>
    </row>
    <row r="85" spans="1:26" s="12" customFormat="1" x14ac:dyDescent="0.25">
      <c r="A85" s="213" t="s">
        <v>2739</v>
      </c>
      <c r="B85" s="60">
        <v>33.68</v>
      </c>
      <c r="C85" s="60">
        <v>84.59</v>
      </c>
      <c r="D85" s="60">
        <v>74.11</v>
      </c>
      <c r="E85" s="60">
        <v>4.41</v>
      </c>
      <c r="F85" s="60">
        <v>0.09</v>
      </c>
      <c r="G85" s="60">
        <v>91</v>
      </c>
      <c r="H85" s="60">
        <v>28.19</v>
      </c>
      <c r="I85" s="60">
        <v>0.74</v>
      </c>
      <c r="J85" s="60">
        <v>0.17</v>
      </c>
      <c r="K85" s="60">
        <v>66.88</v>
      </c>
      <c r="L85" s="60">
        <v>22.62</v>
      </c>
      <c r="M85" s="60">
        <v>57</v>
      </c>
      <c r="N85" s="60">
        <v>4.0999999999999996</v>
      </c>
      <c r="O85" s="60">
        <v>0</v>
      </c>
      <c r="P85" s="60">
        <v>1.27</v>
      </c>
      <c r="Q85" s="60">
        <v>42.56</v>
      </c>
      <c r="R85" s="198"/>
      <c r="S85" s="198"/>
      <c r="T85" s="198"/>
      <c r="U85" s="198"/>
    </row>
    <row r="86" spans="1:26" s="12" customFormat="1" x14ac:dyDescent="0.25">
      <c r="A86" s="213" t="s">
        <v>2740</v>
      </c>
      <c r="B86" s="60">
        <v>41.76</v>
      </c>
      <c r="C86" s="60">
        <v>84.75</v>
      </c>
      <c r="D86" s="60">
        <v>80.67</v>
      </c>
      <c r="E86" s="60">
        <v>4.28</v>
      </c>
      <c r="F86" s="60">
        <v>0.27</v>
      </c>
      <c r="G86" s="60">
        <v>147.66999999999999</v>
      </c>
      <c r="H86" s="60">
        <v>35.729999999999997</v>
      </c>
      <c r="I86" s="60">
        <v>0.82</v>
      </c>
      <c r="J86" s="60">
        <v>0.1</v>
      </c>
      <c r="K86" s="60">
        <v>326.57</v>
      </c>
      <c r="L86" s="60">
        <v>22.68</v>
      </c>
      <c r="M86" s="60">
        <v>57</v>
      </c>
      <c r="N86" s="60">
        <v>4.4000000000000004</v>
      </c>
      <c r="O86" s="60">
        <v>0</v>
      </c>
      <c r="P86" s="60">
        <v>1.62</v>
      </c>
      <c r="Q86" s="60">
        <v>43.57</v>
      </c>
      <c r="R86" s="198"/>
      <c r="S86" s="198"/>
      <c r="T86" s="198"/>
      <c r="U86" s="198"/>
    </row>
    <row r="87" spans="1:26" s="12" customFormat="1" x14ac:dyDescent="0.25">
      <c r="A87" s="213" t="s">
        <v>2741</v>
      </c>
      <c r="B87" s="60">
        <v>39.14</v>
      </c>
      <c r="C87" s="60">
        <v>83.37</v>
      </c>
      <c r="D87" s="60">
        <v>77.81</v>
      </c>
      <c r="E87" s="60">
        <v>5</v>
      </c>
      <c r="F87" s="60">
        <v>7.0000000000000007E-2</v>
      </c>
      <c r="G87" s="60">
        <v>147.66999999999999</v>
      </c>
      <c r="H87" s="60">
        <v>35.729999999999997</v>
      </c>
      <c r="I87" s="60">
        <v>0.79</v>
      </c>
      <c r="J87" s="60">
        <v>0.05</v>
      </c>
      <c r="K87" s="60">
        <v>303.42</v>
      </c>
      <c r="L87" s="60">
        <v>22.13</v>
      </c>
      <c r="M87" s="60">
        <v>58</v>
      </c>
      <c r="N87" s="60">
        <v>4.5999999999999996</v>
      </c>
      <c r="O87" s="60">
        <v>0</v>
      </c>
      <c r="P87" s="60">
        <v>1.43</v>
      </c>
      <c r="Q87" s="60">
        <v>44.78</v>
      </c>
      <c r="R87" s="198"/>
      <c r="S87" s="198"/>
      <c r="T87" s="198"/>
      <c r="U87" s="198"/>
    </row>
    <row r="88" spans="1:26" s="12" customFormat="1" x14ac:dyDescent="0.25">
      <c r="A88" s="213" t="s">
        <v>2742</v>
      </c>
      <c r="B88" s="60">
        <v>41.53</v>
      </c>
      <c r="C88" s="60">
        <v>83.6</v>
      </c>
      <c r="D88" s="60">
        <v>79.86</v>
      </c>
      <c r="E88" s="60">
        <v>2.44</v>
      </c>
      <c r="F88" s="60">
        <v>7.0000000000000007E-2</v>
      </c>
      <c r="G88" s="60">
        <v>147.66999999999999</v>
      </c>
      <c r="H88" s="60">
        <v>35.729999999999997</v>
      </c>
      <c r="I88" s="60">
        <v>0.86</v>
      </c>
      <c r="J88" s="60">
        <v>0.03</v>
      </c>
      <c r="K88" s="60">
        <v>303.57</v>
      </c>
      <c r="L88" s="60">
        <v>21.7</v>
      </c>
      <c r="M88" s="60">
        <v>59</v>
      </c>
      <c r="N88" s="60">
        <v>4.5999999999999996</v>
      </c>
      <c r="O88" s="60">
        <v>0</v>
      </c>
      <c r="P88" s="60">
        <v>1.49</v>
      </c>
      <c r="Q88" s="60">
        <v>46.82</v>
      </c>
      <c r="R88" s="198"/>
      <c r="S88" s="198"/>
      <c r="T88" s="198"/>
      <c r="U88" s="198"/>
    </row>
    <row r="89" spans="1:26" s="12" customFormat="1" x14ac:dyDescent="0.25">
      <c r="A89" s="213" t="s">
        <v>2743</v>
      </c>
      <c r="B89" s="60">
        <v>49.93</v>
      </c>
      <c r="C89" s="60">
        <v>86.58</v>
      </c>
      <c r="D89" s="60">
        <v>88.24</v>
      </c>
      <c r="E89" s="60">
        <v>4.01</v>
      </c>
      <c r="F89" s="214" t="s">
        <v>42</v>
      </c>
      <c r="G89" s="60">
        <v>149.75</v>
      </c>
      <c r="H89" s="60">
        <v>37.159999999999997</v>
      </c>
      <c r="I89" s="60">
        <v>0.85</v>
      </c>
      <c r="J89" s="60">
        <v>0.01</v>
      </c>
      <c r="K89" s="60">
        <v>94.71</v>
      </c>
      <c r="L89" s="60">
        <v>21.57</v>
      </c>
      <c r="M89" s="60">
        <v>58</v>
      </c>
      <c r="N89" s="60">
        <v>4.3</v>
      </c>
      <c r="O89" s="60">
        <v>0</v>
      </c>
      <c r="P89" s="60">
        <v>1.65</v>
      </c>
      <c r="Q89" s="60">
        <v>47.38</v>
      </c>
      <c r="R89" s="198"/>
      <c r="S89" s="198"/>
      <c r="T89" s="198"/>
      <c r="U89" s="198"/>
    </row>
    <row r="90" spans="1:26" s="12" customFormat="1" x14ac:dyDescent="0.25">
      <c r="A90" s="213" t="s">
        <v>2744</v>
      </c>
      <c r="B90" s="60">
        <v>56.78</v>
      </c>
      <c r="C90" s="60">
        <v>88.99</v>
      </c>
      <c r="D90" s="60">
        <v>95.06</v>
      </c>
      <c r="E90" s="60">
        <v>4.1100000000000003</v>
      </c>
      <c r="F90" s="214" t="s">
        <v>42</v>
      </c>
      <c r="G90" s="60">
        <v>154.59</v>
      </c>
      <c r="H90" s="60">
        <v>40.49</v>
      </c>
      <c r="I90" s="60">
        <v>0.89</v>
      </c>
      <c r="J90" s="60">
        <v>7.0000000000000007E-2</v>
      </c>
      <c r="K90" s="60">
        <v>354.42</v>
      </c>
      <c r="L90" s="60">
        <v>21.6</v>
      </c>
      <c r="M90" s="60">
        <v>60</v>
      </c>
      <c r="N90" s="60">
        <v>4.2</v>
      </c>
      <c r="O90" s="60">
        <v>0</v>
      </c>
      <c r="P90" s="60">
        <v>1.8</v>
      </c>
      <c r="Q90" s="60">
        <v>47.55</v>
      </c>
      <c r="R90" s="198"/>
      <c r="S90" s="198"/>
      <c r="T90" s="198"/>
      <c r="U90" s="198"/>
    </row>
    <row r="91" spans="1:26" s="12" customFormat="1" x14ac:dyDescent="0.25">
      <c r="A91" s="213" t="s">
        <v>2745</v>
      </c>
      <c r="B91" s="60">
        <v>64.260000000000005</v>
      </c>
      <c r="C91" s="60">
        <v>91.2</v>
      </c>
      <c r="D91" s="60">
        <v>102.27</v>
      </c>
      <c r="E91" s="60">
        <v>4.3600000000000003</v>
      </c>
      <c r="F91" s="214" t="s">
        <v>42</v>
      </c>
      <c r="G91" s="60">
        <v>154.59</v>
      </c>
      <c r="H91" s="60">
        <v>40.49</v>
      </c>
      <c r="I91" s="60">
        <v>0.95</v>
      </c>
      <c r="J91" s="60">
        <v>7.0000000000000007E-2</v>
      </c>
      <c r="K91" s="60">
        <v>325.86</v>
      </c>
      <c r="L91" s="60">
        <v>21.3</v>
      </c>
      <c r="M91" s="60">
        <v>63</v>
      </c>
      <c r="N91" s="60">
        <v>4.5999999999999996</v>
      </c>
      <c r="O91" s="60">
        <v>0</v>
      </c>
      <c r="P91" s="60">
        <v>2.0299999999999998</v>
      </c>
      <c r="Q91" s="60">
        <v>48.09</v>
      </c>
      <c r="R91" s="198"/>
      <c r="S91" s="198"/>
      <c r="T91" s="198"/>
      <c r="U91" s="198"/>
    </row>
    <row r="92" spans="1:26" s="12" customFormat="1" x14ac:dyDescent="0.25">
      <c r="A92" s="213" t="s">
        <v>2746</v>
      </c>
      <c r="B92" s="60">
        <v>72.989999999999995</v>
      </c>
      <c r="C92" s="60">
        <v>94.03</v>
      </c>
      <c r="D92" s="60">
        <v>110.84</v>
      </c>
      <c r="E92" s="60">
        <v>4.59</v>
      </c>
      <c r="F92" s="214" t="s">
        <v>42</v>
      </c>
      <c r="G92" s="60">
        <v>154.59</v>
      </c>
      <c r="H92" s="60">
        <v>40.49</v>
      </c>
      <c r="I92" s="60">
        <v>1.01</v>
      </c>
      <c r="J92" s="60">
        <v>0.08</v>
      </c>
      <c r="K92" s="60">
        <v>353.86</v>
      </c>
      <c r="L92" s="60">
        <v>21.12</v>
      </c>
      <c r="M92" s="60">
        <v>62</v>
      </c>
      <c r="N92" s="60">
        <v>4.4000000000000004</v>
      </c>
      <c r="O92" s="60">
        <v>0</v>
      </c>
      <c r="P92" s="60">
        <v>2.27</v>
      </c>
      <c r="Q92" s="60">
        <v>48.56</v>
      </c>
      <c r="R92" s="198"/>
      <c r="S92" s="198"/>
      <c r="T92" s="198"/>
      <c r="U92" s="198"/>
    </row>
    <row r="93" spans="1:26" s="12" customFormat="1" x14ac:dyDescent="0.25">
      <c r="A93" s="213" t="s">
        <v>2747</v>
      </c>
      <c r="B93" s="60">
        <v>79.180000000000007</v>
      </c>
      <c r="C93" s="60">
        <v>96.32</v>
      </c>
      <c r="D93" s="60">
        <v>117.06</v>
      </c>
      <c r="E93" s="60">
        <v>4.82</v>
      </c>
      <c r="F93" s="214" t="s">
        <v>42</v>
      </c>
      <c r="G93" s="60">
        <v>155.44999999999999</v>
      </c>
      <c r="H93" s="60">
        <v>42.58</v>
      </c>
      <c r="I93" s="60">
        <v>1.0900000000000001</v>
      </c>
      <c r="J93" s="60">
        <v>0.09</v>
      </c>
      <c r="K93" s="60">
        <v>8.77</v>
      </c>
      <c r="L93" s="60">
        <v>21.5</v>
      </c>
      <c r="M93" s="60">
        <v>56</v>
      </c>
      <c r="N93" s="60">
        <v>4.2</v>
      </c>
      <c r="O93" s="60">
        <v>0</v>
      </c>
      <c r="P93" s="60">
        <v>2.4</v>
      </c>
      <c r="Q93" s="60">
        <v>48.75</v>
      </c>
      <c r="R93" s="198"/>
      <c r="S93" s="198"/>
      <c r="T93" s="198"/>
      <c r="U93" s="198"/>
    </row>
    <row r="94" spans="1:26" s="12" customFormat="1" x14ac:dyDescent="0.25">
      <c r="A94" s="213" t="s">
        <v>2748</v>
      </c>
      <c r="B94" s="60">
        <v>87.04</v>
      </c>
      <c r="C94" s="60">
        <v>102.01</v>
      </c>
      <c r="D94" s="60">
        <v>126.51</v>
      </c>
      <c r="E94" s="60">
        <v>5.05</v>
      </c>
      <c r="F94" s="214" t="s">
        <v>42</v>
      </c>
      <c r="G94" s="60">
        <v>157.44999999999999</v>
      </c>
      <c r="H94" s="60">
        <v>47.45</v>
      </c>
      <c r="I94" s="60">
        <v>1.29</v>
      </c>
      <c r="J94" s="60">
        <v>0.06</v>
      </c>
      <c r="K94" s="60">
        <v>84.15</v>
      </c>
      <c r="L94" s="60">
        <v>21.52</v>
      </c>
      <c r="M94" s="60">
        <v>57</v>
      </c>
      <c r="N94" s="60">
        <v>4.0999999999999996</v>
      </c>
      <c r="O94" s="60">
        <v>0</v>
      </c>
      <c r="P94" s="60">
        <v>2.66</v>
      </c>
      <c r="Q94" s="60">
        <v>47.85</v>
      </c>
      <c r="R94" s="198"/>
      <c r="S94" s="198"/>
      <c r="T94" s="198"/>
      <c r="U94" s="198"/>
    </row>
    <row r="95" spans="1:26" s="12" customFormat="1" x14ac:dyDescent="0.25">
      <c r="A95" s="213" t="s">
        <v>2749</v>
      </c>
      <c r="B95" s="60">
        <v>91.8</v>
      </c>
      <c r="C95" s="60">
        <v>101.11</v>
      </c>
      <c r="D95" s="60">
        <v>129.83000000000001</v>
      </c>
      <c r="E95" s="60">
        <v>4.7300000000000004</v>
      </c>
      <c r="F95" s="214" t="s">
        <v>42</v>
      </c>
      <c r="G95" s="60">
        <v>157.44999999999999</v>
      </c>
      <c r="H95" s="60">
        <v>47.45</v>
      </c>
      <c r="I95" s="60">
        <v>1.33</v>
      </c>
      <c r="J95" s="60">
        <v>0.11</v>
      </c>
      <c r="K95" s="60">
        <v>359.08</v>
      </c>
      <c r="L95" s="60">
        <v>21.6</v>
      </c>
      <c r="M95" s="60">
        <v>54</v>
      </c>
      <c r="N95" s="60">
        <v>4.2</v>
      </c>
      <c r="O95" s="60">
        <v>0</v>
      </c>
      <c r="P95" s="60">
        <v>2.68</v>
      </c>
      <c r="Q95" s="60">
        <v>47.18</v>
      </c>
      <c r="R95" s="198"/>
      <c r="S95" s="198"/>
      <c r="T95" s="198"/>
      <c r="U95" s="198"/>
    </row>
    <row r="96" spans="1:26" s="12" customFormat="1" x14ac:dyDescent="0.25">
      <c r="A96" s="213" t="s">
        <v>2750</v>
      </c>
      <c r="B96" s="60">
        <v>84.38</v>
      </c>
      <c r="C96" s="60">
        <v>103.03</v>
      </c>
      <c r="D96" s="60">
        <v>124.94</v>
      </c>
      <c r="E96" s="60">
        <v>4.1900000000000004</v>
      </c>
      <c r="F96" s="214" t="s">
        <v>42</v>
      </c>
      <c r="G96" s="60">
        <v>157.44999999999999</v>
      </c>
      <c r="H96" s="60">
        <v>47.45</v>
      </c>
      <c r="I96" s="60">
        <v>1.39</v>
      </c>
      <c r="J96" s="60">
        <v>7.0000000000000007E-2</v>
      </c>
      <c r="K96" s="60">
        <v>35.71</v>
      </c>
      <c r="L96" s="60">
        <v>21.64</v>
      </c>
      <c r="M96" s="60">
        <v>51</v>
      </c>
      <c r="N96" s="60">
        <v>4.0999999999999996</v>
      </c>
      <c r="O96" s="60">
        <v>0</v>
      </c>
      <c r="P96" s="60">
        <v>2.63</v>
      </c>
      <c r="Q96" s="60">
        <v>47.17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2751</v>
      </c>
      <c r="B97" s="60">
        <v>88.77</v>
      </c>
      <c r="C97" s="60">
        <v>96.41</v>
      </c>
      <c r="D97" s="60">
        <v>124.81</v>
      </c>
      <c r="E97" s="60">
        <v>4.7699999999999996</v>
      </c>
      <c r="F97" s="214" t="s">
        <v>42</v>
      </c>
      <c r="G97" s="60">
        <v>145.76</v>
      </c>
      <c r="H97" s="60">
        <v>48.07</v>
      </c>
      <c r="I97" s="60">
        <v>1.4</v>
      </c>
      <c r="J97" s="60">
        <v>0.24</v>
      </c>
      <c r="K97" s="60">
        <v>5.09</v>
      </c>
      <c r="L97" s="60">
        <v>21.73</v>
      </c>
      <c r="M97" s="60">
        <v>57</v>
      </c>
      <c r="N97" s="60">
        <v>4.3</v>
      </c>
      <c r="O97" s="60">
        <v>0</v>
      </c>
      <c r="P97" s="60">
        <v>2.68</v>
      </c>
      <c r="Q97" s="60">
        <v>47.31</v>
      </c>
      <c r="R97" s="198"/>
      <c r="S97" s="198"/>
      <c r="T97" s="198"/>
      <c r="U97" s="198"/>
    </row>
    <row r="98" spans="1:33" s="12" customFormat="1" x14ac:dyDescent="0.25">
      <c r="A98" s="213" t="s">
        <v>2752</v>
      </c>
      <c r="B98" s="60">
        <v>88.77</v>
      </c>
      <c r="C98" s="60">
        <v>97.82</v>
      </c>
      <c r="D98" s="60">
        <v>125.59</v>
      </c>
      <c r="E98" s="60">
        <v>4.87</v>
      </c>
      <c r="F98" s="60">
        <v>7.0000000000000007E-2</v>
      </c>
      <c r="G98" s="60">
        <v>118.48</v>
      </c>
      <c r="H98" s="60">
        <v>49.52</v>
      </c>
      <c r="I98" s="60">
        <v>1.4</v>
      </c>
      <c r="J98" s="60">
        <v>0.13</v>
      </c>
      <c r="K98" s="60">
        <v>319.95999999999998</v>
      </c>
      <c r="L98" s="60">
        <v>20.7</v>
      </c>
      <c r="M98" s="60">
        <v>59</v>
      </c>
      <c r="N98" s="60">
        <v>4.7</v>
      </c>
      <c r="O98" s="60">
        <v>0</v>
      </c>
      <c r="P98" s="60">
        <v>2.68</v>
      </c>
      <c r="Q98" s="60">
        <v>47.55</v>
      </c>
      <c r="R98" s="198"/>
      <c r="S98" s="198"/>
      <c r="T98" s="198"/>
      <c r="U98" s="198"/>
    </row>
    <row r="99" spans="1:33" s="12" customFormat="1" x14ac:dyDescent="0.25">
      <c r="A99" s="213" t="s">
        <v>2753</v>
      </c>
      <c r="B99" s="60">
        <v>88.25</v>
      </c>
      <c r="C99" s="60">
        <v>96.15</v>
      </c>
      <c r="D99" s="60">
        <v>124.25</v>
      </c>
      <c r="E99" s="60">
        <v>4.78</v>
      </c>
      <c r="F99" s="60">
        <v>0.12</v>
      </c>
      <c r="G99" s="60">
        <v>118.48</v>
      </c>
      <c r="H99" s="60">
        <v>49.52</v>
      </c>
      <c r="I99" s="60">
        <v>1.41</v>
      </c>
      <c r="J99" s="60">
        <v>0.11</v>
      </c>
      <c r="K99" s="60">
        <v>107.02</v>
      </c>
      <c r="L99" s="60">
        <v>20.75</v>
      </c>
      <c r="M99" s="60">
        <v>56</v>
      </c>
      <c r="N99" s="60">
        <v>4.4000000000000004</v>
      </c>
      <c r="O99" s="60">
        <v>0</v>
      </c>
      <c r="P99" s="60">
        <v>2.69</v>
      </c>
      <c r="Q99" s="60">
        <v>48.16</v>
      </c>
      <c r="R99" s="198"/>
      <c r="S99" s="198"/>
      <c r="T99" s="198"/>
      <c r="U99" s="198"/>
    </row>
    <row r="100" spans="1:33" s="12" customFormat="1" x14ac:dyDescent="0.25">
      <c r="A100" s="213" t="s">
        <v>2754</v>
      </c>
      <c r="B100" s="60">
        <v>88.24</v>
      </c>
      <c r="C100" s="60">
        <v>95.24</v>
      </c>
      <c r="D100" s="60">
        <v>123.74</v>
      </c>
      <c r="E100" s="60">
        <v>4.82</v>
      </c>
      <c r="F100" s="60">
        <v>0.01</v>
      </c>
      <c r="G100" s="60">
        <v>118.48</v>
      </c>
      <c r="H100" s="60">
        <v>49.52</v>
      </c>
      <c r="I100" s="60">
        <v>1.43</v>
      </c>
      <c r="J100" s="60">
        <v>0.01</v>
      </c>
      <c r="K100" s="60">
        <v>251.08</v>
      </c>
      <c r="L100" s="60">
        <v>20.7</v>
      </c>
      <c r="M100" s="60">
        <v>54</v>
      </c>
      <c r="N100" s="60">
        <v>4.5999999999999996</v>
      </c>
      <c r="O100" s="60">
        <v>0</v>
      </c>
      <c r="P100" s="60">
        <v>2.69</v>
      </c>
      <c r="Q100" s="60">
        <v>48.21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2755</v>
      </c>
      <c r="B101" s="60">
        <v>92.25</v>
      </c>
      <c r="C101" s="60">
        <v>94.9</v>
      </c>
      <c r="D101" s="60">
        <v>126.77</v>
      </c>
      <c r="E101" s="60">
        <v>4.88</v>
      </c>
      <c r="F101" s="60">
        <v>0.06</v>
      </c>
      <c r="G101" s="60">
        <v>117.28</v>
      </c>
      <c r="H101" s="60">
        <v>49.02</v>
      </c>
      <c r="I101" s="60">
        <v>1.43</v>
      </c>
      <c r="J101" s="60">
        <v>0.13</v>
      </c>
      <c r="K101" s="60">
        <v>333.96</v>
      </c>
      <c r="L101" s="60">
        <v>20.34</v>
      </c>
      <c r="M101" s="60">
        <v>61</v>
      </c>
      <c r="N101" s="60">
        <v>4.5999999999999996</v>
      </c>
      <c r="O101" s="60">
        <v>0</v>
      </c>
      <c r="P101" s="60">
        <v>2.7</v>
      </c>
      <c r="Q101" s="60">
        <v>48.4</v>
      </c>
      <c r="R101" s="198"/>
      <c r="S101" s="198"/>
      <c r="T101" s="198"/>
      <c r="U101" s="198"/>
    </row>
    <row r="102" spans="1:33" s="12" customFormat="1" x14ac:dyDescent="0.25">
      <c r="A102" s="213" t="s">
        <v>2756</v>
      </c>
      <c r="B102" s="60">
        <v>94.53</v>
      </c>
      <c r="C102" s="60">
        <v>94.54</v>
      </c>
      <c r="D102" s="60">
        <v>128.4</v>
      </c>
      <c r="E102" s="60">
        <v>4.92</v>
      </c>
      <c r="F102" s="60">
        <v>0.08</v>
      </c>
      <c r="G102" s="60">
        <v>114.47</v>
      </c>
      <c r="H102" s="60">
        <v>47.88</v>
      </c>
      <c r="I102" s="60">
        <v>1.43</v>
      </c>
      <c r="J102" s="60">
        <v>0.1</v>
      </c>
      <c r="K102" s="60">
        <v>339</v>
      </c>
      <c r="L102" s="60">
        <v>19.77</v>
      </c>
      <c r="M102" s="60">
        <v>63</v>
      </c>
      <c r="N102" s="60">
        <v>4.5999999999999996</v>
      </c>
      <c r="O102" s="60">
        <v>0</v>
      </c>
      <c r="P102" s="60">
        <v>2.73</v>
      </c>
      <c r="Q102" s="60">
        <v>50.02</v>
      </c>
      <c r="R102" s="198"/>
      <c r="S102" s="198"/>
      <c r="T102" s="198"/>
      <c r="U102" s="198"/>
    </row>
    <row r="103" spans="1:33" s="12" customFormat="1" x14ac:dyDescent="0.25">
      <c r="A103" s="213" t="s">
        <v>2757</v>
      </c>
      <c r="B103" s="60">
        <v>99.65</v>
      </c>
      <c r="C103" s="60">
        <v>94.93</v>
      </c>
      <c r="D103" s="60">
        <v>132.72</v>
      </c>
      <c r="E103" s="60">
        <v>4.59</v>
      </c>
      <c r="F103" s="214" t="s">
        <v>42</v>
      </c>
      <c r="G103" s="60">
        <v>114.47</v>
      </c>
      <c r="H103" s="60">
        <v>47.88</v>
      </c>
      <c r="I103" s="60">
        <v>1.44</v>
      </c>
      <c r="J103" s="60">
        <v>0.08</v>
      </c>
      <c r="K103" s="60">
        <v>290.82</v>
      </c>
      <c r="L103" s="60">
        <v>19.579999999999998</v>
      </c>
      <c r="M103" s="60">
        <v>63</v>
      </c>
      <c r="N103" s="60">
        <v>4.5</v>
      </c>
      <c r="O103" s="60">
        <v>0</v>
      </c>
      <c r="P103" s="60">
        <v>2.76</v>
      </c>
      <c r="Q103" s="60">
        <v>50.79</v>
      </c>
      <c r="R103" s="198"/>
      <c r="S103" s="198"/>
      <c r="T103" s="198"/>
      <c r="U103" s="198"/>
    </row>
    <row r="104" spans="1:33" s="12" customFormat="1" x14ac:dyDescent="0.25">
      <c r="A104" s="213" t="s">
        <v>2758</v>
      </c>
      <c r="B104" s="60">
        <v>102.84</v>
      </c>
      <c r="C104" s="60">
        <v>95.57</v>
      </c>
      <c r="D104" s="60">
        <v>135.63</v>
      </c>
      <c r="E104" s="60">
        <v>2.12</v>
      </c>
      <c r="F104" s="60">
        <v>0.02</v>
      </c>
      <c r="G104" s="60">
        <v>114.47</v>
      </c>
      <c r="H104" s="60">
        <v>47.88</v>
      </c>
      <c r="I104" s="60">
        <v>1.45</v>
      </c>
      <c r="J104" s="60">
        <v>0.1</v>
      </c>
      <c r="K104" s="60">
        <v>29.81</v>
      </c>
      <c r="L104" s="60">
        <v>19.55</v>
      </c>
      <c r="M104" s="60">
        <v>62</v>
      </c>
      <c r="N104" s="60">
        <v>4.3</v>
      </c>
      <c r="O104" s="60">
        <v>0</v>
      </c>
      <c r="P104" s="60">
        <v>2.73</v>
      </c>
      <c r="Q104" s="60">
        <v>50.81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2.89</v>
      </c>
      <c r="C106" s="67">
        <f>MIN(C9:C104)</f>
        <v>55.88</v>
      </c>
      <c r="D106" s="67">
        <f t="shared" ref="D106:Q106" si="0">MIN(D9:D104)</f>
        <v>34.270000000000003</v>
      </c>
      <c r="E106" s="67">
        <f t="shared" si="0"/>
        <v>2.12</v>
      </c>
      <c r="F106" s="67">
        <f t="shared" si="0"/>
        <v>0.01</v>
      </c>
      <c r="G106" s="67">
        <f t="shared" si="0"/>
        <v>32.92</v>
      </c>
      <c r="H106" s="67">
        <f t="shared" si="0"/>
        <v>16.12</v>
      </c>
      <c r="I106" s="67">
        <f t="shared" si="0"/>
        <v>0.57999999999999996</v>
      </c>
      <c r="J106" s="67">
        <f t="shared" si="0"/>
        <v>0.01</v>
      </c>
      <c r="K106" s="67">
        <f t="shared" si="0"/>
        <v>5.09</v>
      </c>
      <c r="L106" s="67">
        <f t="shared" si="0"/>
        <v>17.100000000000001</v>
      </c>
      <c r="M106" s="67">
        <f t="shared" si="0"/>
        <v>25</v>
      </c>
      <c r="N106" s="67">
        <f t="shared" si="0"/>
        <v>3.9</v>
      </c>
      <c r="O106" s="67">
        <f t="shared" si="0"/>
        <v>0</v>
      </c>
      <c r="P106" s="67">
        <f t="shared" si="0"/>
        <v>0.69</v>
      </c>
      <c r="Q106" s="67">
        <f t="shared" si="0"/>
        <v>37.380000000000003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110.97</v>
      </c>
      <c r="C107" s="66">
        <f t="shared" ref="C107:Q107" si="1">MAX(C9:C104)</f>
        <v>103.03</v>
      </c>
      <c r="D107" s="66">
        <f t="shared" si="1"/>
        <v>142.78</v>
      </c>
      <c r="E107" s="66">
        <f t="shared" si="1"/>
        <v>5.16</v>
      </c>
      <c r="F107" s="66">
        <f t="shared" si="1"/>
        <v>12.7</v>
      </c>
      <c r="G107" s="66">
        <f t="shared" si="1"/>
        <v>210.24</v>
      </c>
      <c r="H107" s="66">
        <f t="shared" si="1"/>
        <v>75.209999999999994</v>
      </c>
      <c r="I107" s="66">
        <f t="shared" si="1"/>
        <v>1.53</v>
      </c>
      <c r="J107" s="66">
        <f t="shared" si="1"/>
        <v>1.27</v>
      </c>
      <c r="K107" s="66">
        <f t="shared" si="1"/>
        <v>359.92</v>
      </c>
      <c r="L107" s="66">
        <f t="shared" si="1"/>
        <v>32.479999999999997</v>
      </c>
      <c r="M107" s="66">
        <f t="shared" si="1"/>
        <v>86</v>
      </c>
      <c r="N107" s="66">
        <f t="shared" si="1"/>
        <v>597.6</v>
      </c>
      <c r="O107" s="66">
        <f t="shared" si="1"/>
        <v>0</v>
      </c>
      <c r="P107" s="66">
        <f t="shared" si="1"/>
        <v>2.88</v>
      </c>
      <c r="Q107" s="66">
        <f t="shared" si="1"/>
        <v>51.95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52.681875000000012</v>
      </c>
      <c r="C108" s="67">
        <f t="shared" ref="C108:Q108" si="2">AVERAGE(C9:C104)</f>
        <v>82.938020833333326</v>
      </c>
      <c r="D108" s="67">
        <f t="shared" si="2"/>
        <v>88.434062500000024</v>
      </c>
      <c r="E108" s="67">
        <f t="shared" si="2"/>
        <v>4.0243749999999991</v>
      </c>
      <c r="F108" s="67">
        <f t="shared" si="2"/>
        <v>1.657384615384615</v>
      </c>
      <c r="G108" s="67">
        <f t="shared" si="2"/>
        <v>90.564130434782584</v>
      </c>
      <c r="H108" s="67">
        <f t="shared" si="2"/>
        <v>41.493437500000006</v>
      </c>
      <c r="I108" s="67">
        <f t="shared" si="2"/>
        <v>0.92843750000000036</v>
      </c>
      <c r="J108" s="67">
        <f t="shared" si="2"/>
        <v>0.27621052631578952</v>
      </c>
      <c r="K108" s="67">
        <f t="shared" si="2"/>
        <v>184.5753125</v>
      </c>
      <c r="L108" s="67">
        <f t="shared" si="2"/>
        <v>23.383958333333336</v>
      </c>
      <c r="M108" s="67">
        <f t="shared" si="2"/>
        <v>55.375</v>
      </c>
      <c r="N108" s="67">
        <f t="shared" si="2"/>
        <v>154.37500000000009</v>
      </c>
      <c r="O108" s="67">
        <f t="shared" si="2"/>
        <v>0</v>
      </c>
      <c r="P108" s="67">
        <f t="shared" si="2"/>
        <v>1.6648958333333332</v>
      </c>
      <c r="Q108" s="67">
        <f t="shared" si="2"/>
        <v>44.870833333333337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33.136074643251817</v>
      </c>
      <c r="C109" s="67">
        <f t="shared" ref="C109:Q109" si="3">STDEV(C9:C104)</f>
        <v>10.91920978631051</v>
      </c>
      <c r="D109" s="67">
        <f t="shared" si="3"/>
        <v>31.7537847749349</v>
      </c>
      <c r="E109" s="67">
        <f t="shared" si="3"/>
        <v>0.68397570363128302</v>
      </c>
      <c r="F109" s="67">
        <f t="shared" si="3"/>
        <v>2.8348006306237159</v>
      </c>
      <c r="G109" s="67">
        <f t="shared" si="3"/>
        <v>49.055839211800304</v>
      </c>
      <c r="H109" s="67">
        <f t="shared" si="3"/>
        <v>15.509718503545143</v>
      </c>
      <c r="I109" s="67">
        <f t="shared" si="3"/>
        <v>0.2747604818172012</v>
      </c>
      <c r="J109" s="67">
        <f t="shared" si="3"/>
        <v>0.3044044724815016</v>
      </c>
      <c r="K109" s="67">
        <f t="shared" si="3"/>
        <v>112.39337535219414</v>
      </c>
      <c r="L109" s="67">
        <f t="shared" si="3"/>
        <v>4.81883923108954</v>
      </c>
      <c r="M109" s="67">
        <f t="shared" si="3"/>
        <v>19.623964940857391</v>
      </c>
      <c r="N109" s="67">
        <f t="shared" si="3"/>
        <v>215.07916290470692</v>
      </c>
      <c r="O109" s="67">
        <f t="shared" si="3"/>
        <v>0</v>
      </c>
      <c r="P109" s="67">
        <f t="shared" si="3"/>
        <v>0.63226076364551986</v>
      </c>
      <c r="Q109" s="67">
        <f t="shared" si="3"/>
        <v>3.8299766844602035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COUNT(F9:F104)+31</f>
        <v>96</v>
      </c>
      <c r="G110" s="66">
        <f>COUNT(G9:G104)+4</f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216" t="s">
        <v>226</v>
      </c>
      <c r="C7" s="216" t="s">
        <v>227</v>
      </c>
      <c r="D7" s="216" t="s">
        <v>228</v>
      </c>
      <c r="E7" s="216" t="s">
        <v>229</v>
      </c>
      <c r="F7" s="216" t="s">
        <v>230</v>
      </c>
      <c r="G7" s="216" t="s">
        <v>231</v>
      </c>
      <c r="H7" s="216" t="s">
        <v>232</v>
      </c>
      <c r="I7" s="216" t="s">
        <v>233</v>
      </c>
      <c r="J7" s="216" t="s">
        <v>234</v>
      </c>
      <c r="K7" s="216" t="s">
        <v>235</v>
      </c>
      <c r="L7" s="216" t="s">
        <v>236</v>
      </c>
      <c r="M7" s="216" t="s">
        <v>237</v>
      </c>
      <c r="N7" s="216" t="s">
        <v>238</v>
      </c>
      <c r="O7" s="216" t="s">
        <v>239</v>
      </c>
      <c r="P7" s="216" t="s">
        <v>240</v>
      </c>
      <c r="Q7" s="216" t="s">
        <v>241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2759</v>
      </c>
      <c r="B9" s="60">
        <v>26.9</v>
      </c>
      <c r="C9" s="60">
        <v>96.95</v>
      </c>
      <c r="D9" s="60">
        <v>75.08</v>
      </c>
      <c r="E9" s="60">
        <v>4.8499999999999996</v>
      </c>
      <c r="F9" s="60">
        <v>2.2200000000000002</v>
      </c>
      <c r="G9" s="60">
        <v>57.12</v>
      </c>
      <c r="H9" s="60">
        <v>29.84</v>
      </c>
      <c r="I9" s="60">
        <v>0.45</v>
      </c>
      <c r="J9" s="60">
        <v>0.74</v>
      </c>
      <c r="K9" s="60">
        <v>17.02</v>
      </c>
      <c r="L9" s="60">
        <v>20.76</v>
      </c>
      <c r="M9" s="60">
        <v>43</v>
      </c>
      <c r="N9" s="60">
        <v>24</v>
      </c>
      <c r="O9" s="60">
        <v>0</v>
      </c>
      <c r="P9" s="60">
        <v>1.48</v>
      </c>
      <c r="Q9" s="60">
        <v>34.619999999999997</v>
      </c>
      <c r="R9" s="198"/>
      <c r="S9" s="198"/>
      <c r="T9" s="198"/>
      <c r="U9" s="198"/>
    </row>
    <row r="10" spans="1:21" s="12" customFormat="1" x14ac:dyDescent="0.25">
      <c r="A10" s="213" t="s">
        <v>2760</v>
      </c>
      <c r="B10" s="60">
        <v>23.63</v>
      </c>
      <c r="C10" s="60">
        <v>91.69</v>
      </c>
      <c r="D10" s="60">
        <v>69.55</v>
      </c>
      <c r="E10" s="60">
        <v>4.67</v>
      </c>
      <c r="F10" s="60">
        <v>2.54</v>
      </c>
      <c r="G10" s="60">
        <v>51.97</v>
      </c>
      <c r="H10" s="60">
        <v>28.25</v>
      </c>
      <c r="I10" s="60">
        <v>0.43</v>
      </c>
      <c r="J10" s="60">
        <v>0.83</v>
      </c>
      <c r="K10" s="60">
        <v>14.18</v>
      </c>
      <c r="L10" s="60">
        <v>20.57</v>
      </c>
      <c r="M10" s="60">
        <v>44</v>
      </c>
      <c r="N10" s="60">
        <v>24.2</v>
      </c>
      <c r="O10" s="60">
        <v>0</v>
      </c>
      <c r="P10" s="60">
        <v>1.42</v>
      </c>
      <c r="Q10" s="60">
        <v>34.06</v>
      </c>
      <c r="R10" s="198"/>
      <c r="S10" s="198"/>
      <c r="T10" s="198"/>
      <c r="U10" s="198"/>
    </row>
    <row r="11" spans="1:21" s="12" customFormat="1" x14ac:dyDescent="0.25">
      <c r="A11" s="213" t="s">
        <v>2761</v>
      </c>
      <c r="B11" s="60">
        <v>20.23</v>
      </c>
      <c r="C11" s="60">
        <v>89.28</v>
      </c>
      <c r="D11" s="60">
        <v>65.5</v>
      </c>
      <c r="E11" s="60">
        <v>4.5999999999999996</v>
      </c>
      <c r="F11" s="60">
        <v>1.74</v>
      </c>
      <c r="G11" s="60">
        <v>51.97</v>
      </c>
      <c r="H11" s="60">
        <v>28.25</v>
      </c>
      <c r="I11" s="60">
        <v>0.42</v>
      </c>
      <c r="J11" s="60">
        <v>1.01</v>
      </c>
      <c r="K11" s="60">
        <v>16.309999999999999</v>
      </c>
      <c r="L11" s="60">
        <v>20.29</v>
      </c>
      <c r="M11" s="60">
        <v>45</v>
      </c>
      <c r="N11" s="60">
        <v>24.1</v>
      </c>
      <c r="O11" s="60">
        <v>0</v>
      </c>
      <c r="P11" s="60">
        <v>1.37</v>
      </c>
      <c r="Q11" s="60">
        <v>33.85</v>
      </c>
      <c r="R11" s="198"/>
      <c r="S11" s="198"/>
      <c r="T11" s="198"/>
      <c r="U11" s="198"/>
    </row>
    <row r="12" spans="1:21" s="12" customFormat="1" x14ac:dyDescent="0.25">
      <c r="A12" s="213" t="s">
        <v>2762</v>
      </c>
      <c r="B12" s="60">
        <v>18.87</v>
      </c>
      <c r="C12" s="60">
        <v>87.05</v>
      </c>
      <c r="D12" s="60">
        <v>63.18</v>
      </c>
      <c r="E12" s="60">
        <v>4.24</v>
      </c>
      <c r="F12" s="60">
        <v>1.91</v>
      </c>
      <c r="G12" s="60">
        <v>51.97</v>
      </c>
      <c r="H12" s="60">
        <v>28.25</v>
      </c>
      <c r="I12" s="60">
        <v>0.4</v>
      </c>
      <c r="J12" s="60">
        <v>0.94</v>
      </c>
      <c r="K12" s="60">
        <v>14.85</v>
      </c>
      <c r="L12" s="60">
        <v>20.190000000000001</v>
      </c>
      <c r="M12" s="60">
        <v>45</v>
      </c>
      <c r="N12" s="60">
        <v>24.2</v>
      </c>
      <c r="O12" s="60">
        <v>0</v>
      </c>
      <c r="P12" s="60">
        <v>1.3</v>
      </c>
      <c r="Q12" s="60">
        <v>33.51</v>
      </c>
      <c r="R12" s="198"/>
      <c r="S12" s="198"/>
      <c r="T12" s="198"/>
      <c r="U12" s="198"/>
    </row>
    <row r="13" spans="1:21" s="12" customFormat="1" x14ac:dyDescent="0.25">
      <c r="A13" s="213" t="s">
        <v>2763</v>
      </c>
      <c r="B13" s="60">
        <v>16.55</v>
      </c>
      <c r="C13" s="60">
        <v>83.59</v>
      </c>
      <c r="D13" s="60">
        <v>59.4</v>
      </c>
      <c r="E13" s="60">
        <v>4.22</v>
      </c>
      <c r="F13" s="60">
        <v>1.43</v>
      </c>
      <c r="G13" s="60">
        <v>50.07</v>
      </c>
      <c r="H13" s="60">
        <v>27.63</v>
      </c>
      <c r="I13" s="60">
        <v>0.38</v>
      </c>
      <c r="J13" s="60">
        <v>0.93</v>
      </c>
      <c r="K13" s="60">
        <v>16.03</v>
      </c>
      <c r="L13" s="60">
        <v>20.010000000000002</v>
      </c>
      <c r="M13" s="60">
        <v>46</v>
      </c>
      <c r="N13" s="60">
        <v>24.1</v>
      </c>
      <c r="O13" s="60">
        <v>0</v>
      </c>
      <c r="P13" s="60">
        <v>1.1299999999999999</v>
      </c>
      <c r="Q13" s="60">
        <v>32.97</v>
      </c>
      <c r="R13" s="198"/>
      <c r="S13" s="198"/>
      <c r="T13" s="198"/>
      <c r="U13" s="198"/>
    </row>
    <row r="14" spans="1:21" s="12" customFormat="1" x14ac:dyDescent="0.25">
      <c r="A14" s="213" t="s">
        <v>2764</v>
      </c>
      <c r="B14" s="60">
        <v>14.99</v>
      </c>
      <c r="C14" s="60">
        <v>83.07</v>
      </c>
      <c r="D14" s="60">
        <v>57.87</v>
      </c>
      <c r="E14" s="60">
        <v>4.1500000000000004</v>
      </c>
      <c r="F14" s="60">
        <v>1.37</v>
      </c>
      <c r="G14" s="60">
        <v>39.96</v>
      </c>
      <c r="H14" s="60">
        <v>25.29</v>
      </c>
      <c r="I14" s="60">
        <v>0.37</v>
      </c>
      <c r="J14" s="60">
        <v>0.93</v>
      </c>
      <c r="K14" s="60">
        <v>15.29</v>
      </c>
      <c r="L14" s="60">
        <v>19.829999999999998</v>
      </c>
      <c r="M14" s="60">
        <v>46</v>
      </c>
      <c r="N14" s="60">
        <v>24.1</v>
      </c>
      <c r="O14" s="60">
        <v>0</v>
      </c>
      <c r="P14" s="60">
        <v>1.1499999999999999</v>
      </c>
      <c r="Q14" s="60">
        <v>32.24</v>
      </c>
      <c r="R14" s="198"/>
      <c r="S14" s="198"/>
      <c r="T14" s="198"/>
      <c r="U14" s="198"/>
    </row>
    <row r="15" spans="1:21" s="12" customFormat="1" x14ac:dyDescent="0.25">
      <c r="A15" s="213" t="s">
        <v>2765</v>
      </c>
      <c r="B15" s="60">
        <v>13.49</v>
      </c>
      <c r="C15" s="60">
        <v>84</v>
      </c>
      <c r="D15" s="60">
        <v>57.18</v>
      </c>
      <c r="E15" s="60">
        <v>4.04</v>
      </c>
      <c r="F15" s="60">
        <v>0.5</v>
      </c>
      <c r="G15" s="60">
        <v>39.96</v>
      </c>
      <c r="H15" s="60">
        <v>25.29</v>
      </c>
      <c r="I15" s="60">
        <v>0.36</v>
      </c>
      <c r="J15" s="60">
        <v>0.65</v>
      </c>
      <c r="K15" s="60">
        <v>19.920000000000002</v>
      </c>
      <c r="L15" s="60">
        <v>19.649999999999999</v>
      </c>
      <c r="M15" s="60">
        <v>47</v>
      </c>
      <c r="N15" s="60">
        <v>24.2</v>
      </c>
      <c r="O15" s="60">
        <v>0</v>
      </c>
      <c r="P15" s="60">
        <v>1.1000000000000001</v>
      </c>
      <c r="Q15" s="60">
        <v>32.99</v>
      </c>
      <c r="R15" s="198"/>
      <c r="S15" s="198"/>
      <c r="T15" s="198"/>
      <c r="U15" s="198"/>
    </row>
    <row r="16" spans="1:21" s="12" customFormat="1" x14ac:dyDescent="0.25">
      <c r="A16" s="213" t="s">
        <v>2766</v>
      </c>
      <c r="B16" s="60">
        <v>11.75</v>
      </c>
      <c r="C16" s="60">
        <v>83.59</v>
      </c>
      <c r="D16" s="60">
        <v>55.56</v>
      </c>
      <c r="E16" s="60">
        <v>4.1399999999999997</v>
      </c>
      <c r="F16" s="60">
        <v>0.32</v>
      </c>
      <c r="G16" s="60">
        <v>39.96</v>
      </c>
      <c r="H16" s="60">
        <v>25.29</v>
      </c>
      <c r="I16" s="60">
        <v>0.35</v>
      </c>
      <c r="J16" s="60">
        <v>0.53</v>
      </c>
      <c r="K16" s="60">
        <v>15.43</v>
      </c>
      <c r="L16" s="60">
        <v>19.399999999999999</v>
      </c>
      <c r="M16" s="60">
        <v>48</v>
      </c>
      <c r="N16" s="60">
        <v>24.2</v>
      </c>
      <c r="O16" s="60">
        <v>0</v>
      </c>
      <c r="P16" s="60">
        <v>1.04</v>
      </c>
      <c r="Q16" s="60">
        <v>33.07</v>
      </c>
      <c r="R16" s="198"/>
      <c r="S16" s="198"/>
      <c r="T16" s="198"/>
      <c r="U16" s="198"/>
    </row>
    <row r="17" spans="1:21" s="12" customFormat="1" x14ac:dyDescent="0.25">
      <c r="A17" s="213" t="s">
        <v>2767</v>
      </c>
      <c r="B17" s="60">
        <v>10.96</v>
      </c>
      <c r="C17" s="60">
        <v>83.46</v>
      </c>
      <c r="D17" s="60">
        <v>54.85</v>
      </c>
      <c r="E17" s="60">
        <v>4.01</v>
      </c>
      <c r="F17" s="60">
        <v>0.25</v>
      </c>
      <c r="G17" s="60">
        <v>38.25</v>
      </c>
      <c r="H17" s="60">
        <v>24.16</v>
      </c>
      <c r="I17" s="60">
        <v>0.33</v>
      </c>
      <c r="J17" s="60">
        <v>0.24</v>
      </c>
      <c r="K17" s="60">
        <v>32.14</v>
      </c>
      <c r="L17" s="60">
        <v>19.09</v>
      </c>
      <c r="M17" s="60">
        <v>48</v>
      </c>
      <c r="N17" s="60">
        <v>24.3</v>
      </c>
      <c r="O17" s="60">
        <v>0</v>
      </c>
      <c r="P17" s="60">
        <v>1</v>
      </c>
      <c r="Q17" s="60">
        <v>32.85</v>
      </c>
      <c r="R17" s="198"/>
      <c r="S17" s="198"/>
      <c r="T17" s="198"/>
      <c r="U17" s="198"/>
    </row>
    <row r="18" spans="1:21" s="12" customFormat="1" x14ac:dyDescent="0.25">
      <c r="A18" s="213" t="s">
        <v>2768</v>
      </c>
      <c r="B18" s="60">
        <v>10.029999999999999</v>
      </c>
      <c r="C18" s="60">
        <v>82.66</v>
      </c>
      <c r="D18" s="60">
        <v>53.66</v>
      </c>
      <c r="E18" s="60">
        <v>3.51</v>
      </c>
      <c r="F18" s="60">
        <v>0.34</v>
      </c>
      <c r="G18" s="60">
        <v>34.04</v>
      </c>
      <c r="H18" s="60">
        <v>19.97</v>
      </c>
      <c r="I18" s="60">
        <v>0.31</v>
      </c>
      <c r="J18" s="60">
        <v>0.45</v>
      </c>
      <c r="K18" s="60">
        <v>21.47</v>
      </c>
      <c r="L18" s="60">
        <v>18.84</v>
      </c>
      <c r="M18" s="60">
        <v>49</v>
      </c>
      <c r="N18" s="60">
        <v>24</v>
      </c>
      <c r="O18" s="60">
        <v>0</v>
      </c>
      <c r="P18" s="60">
        <v>0.96</v>
      </c>
      <c r="Q18" s="60">
        <v>32.74</v>
      </c>
      <c r="R18" s="198"/>
      <c r="S18" s="198"/>
      <c r="T18" s="198"/>
      <c r="U18" s="198"/>
    </row>
    <row r="19" spans="1:21" s="12" customFormat="1" x14ac:dyDescent="0.25">
      <c r="A19" s="213" t="s">
        <v>2769</v>
      </c>
      <c r="B19" s="60">
        <v>8.9499999999999993</v>
      </c>
      <c r="C19" s="60">
        <v>81.430000000000007</v>
      </c>
      <c r="D19" s="60">
        <v>52.12</v>
      </c>
      <c r="E19" s="60">
        <v>3.3</v>
      </c>
      <c r="F19" s="60">
        <v>0.42</v>
      </c>
      <c r="G19" s="60">
        <v>34.04</v>
      </c>
      <c r="H19" s="60">
        <v>19.97</v>
      </c>
      <c r="I19" s="60">
        <v>0.3</v>
      </c>
      <c r="J19" s="60">
        <v>0.37</v>
      </c>
      <c r="K19" s="60">
        <v>62.82</v>
      </c>
      <c r="L19" s="60">
        <v>18.64</v>
      </c>
      <c r="M19" s="60">
        <v>50</v>
      </c>
      <c r="N19" s="60">
        <v>24.1</v>
      </c>
      <c r="O19" s="60">
        <v>0</v>
      </c>
      <c r="P19" s="60">
        <v>0.92</v>
      </c>
      <c r="Q19" s="60">
        <v>32.68</v>
      </c>
      <c r="R19" s="198"/>
      <c r="S19" s="198"/>
      <c r="T19" s="198"/>
      <c r="U19" s="198"/>
    </row>
    <row r="20" spans="1:21" s="12" customFormat="1" x14ac:dyDescent="0.25">
      <c r="A20" s="213" t="s">
        <v>2770</v>
      </c>
      <c r="B20" s="60">
        <v>8.1300000000000008</v>
      </c>
      <c r="C20" s="60">
        <v>80.17</v>
      </c>
      <c r="D20" s="60">
        <v>50.76</v>
      </c>
      <c r="E20" s="60">
        <v>2.99</v>
      </c>
      <c r="F20" s="60">
        <v>0.41</v>
      </c>
      <c r="G20" s="60">
        <v>34.04</v>
      </c>
      <c r="H20" s="60">
        <v>19.97</v>
      </c>
      <c r="I20" s="60">
        <v>0.28999999999999998</v>
      </c>
      <c r="J20" s="60">
        <v>0.28999999999999998</v>
      </c>
      <c r="K20" s="60">
        <v>56.99</v>
      </c>
      <c r="L20" s="60">
        <v>18.45</v>
      </c>
      <c r="M20" s="60">
        <v>50</v>
      </c>
      <c r="N20" s="60">
        <v>24.1</v>
      </c>
      <c r="O20" s="60">
        <v>0</v>
      </c>
      <c r="P20" s="60">
        <v>0.89</v>
      </c>
      <c r="Q20" s="60">
        <v>32.700000000000003</v>
      </c>
      <c r="R20" s="198"/>
      <c r="S20" s="198"/>
      <c r="T20" s="198"/>
      <c r="U20" s="198"/>
    </row>
    <row r="21" spans="1:21" s="12" customFormat="1" x14ac:dyDescent="0.25">
      <c r="A21" s="213" t="s">
        <v>2771</v>
      </c>
      <c r="B21" s="60">
        <v>7.21</v>
      </c>
      <c r="C21" s="60">
        <v>78.83</v>
      </c>
      <c r="D21" s="60">
        <v>49.29</v>
      </c>
      <c r="E21" s="60">
        <v>3.8</v>
      </c>
      <c r="F21" s="60">
        <v>0.46</v>
      </c>
      <c r="G21" s="60">
        <v>34.340000000000003</v>
      </c>
      <c r="H21" s="60">
        <v>19.239999999999998</v>
      </c>
      <c r="I21" s="60">
        <v>0.28000000000000003</v>
      </c>
      <c r="J21" s="60">
        <v>0.38</v>
      </c>
      <c r="K21" s="60">
        <v>73.08</v>
      </c>
      <c r="L21" s="60">
        <v>18.25</v>
      </c>
      <c r="M21" s="60">
        <v>52</v>
      </c>
      <c r="N21" s="60">
        <v>24</v>
      </c>
      <c r="O21" s="60">
        <v>0</v>
      </c>
      <c r="P21" s="60">
        <v>0.85</v>
      </c>
      <c r="Q21" s="60">
        <v>32.32</v>
      </c>
      <c r="R21" s="198"/>
      <c r="S21" s="198"/>
      <c r="T21" s="198"/>
      <c r="U21" s="198"/>
    </row>
    <row r="22" spans="1:21" s="12" customFormat="1" x14ac:dyDescent="0.25">
      <c r="A22" s="213" t="s">
        <v>2772</v>
      </c>
      <c r="B22" s="60">
        <v>6.44</v>
      </c>
      <c r="C22" s="60">
        <v>77.290000000000006</v>
      </c>
      <c r="D22" s="60">
        <v>47.82</v>
      </c>
      <c r="E22" s="60">
        <v>3.41</v>
      </c>
      <c r="F22" s="60">
        <v>0.54</v>
      </c>
      <c r="G22" s="60">
        <v>35.090000000000003</v>
      </c>
      <c r="H22" s="60">
        <v>16.670000000000002</v>
      </c>
      <c r="I22" s="60">
        <v>0.27</v>
      </c>
      <c r="J22" s="60">
        <v>0.35</v>
      </c>
      <c r="K22" s="60">
        <v>68.05</v>
      </c>
      <c r="L22" s="60">
        <v>18.07</v>
      </c>
      <c r="M22" s="60">
        <v>53</v>
      </c>
      <c r="N22" s="60">
        <v>24</v>
      </c>
      <c r="O22" s="60">
        <v>0</v>
      </c>
      <c r="P22" s="60">
        <v>0.83</v>
      </c>
      <c r="Q22" s="60">
        <v>31.45</v>
      </c>
      <c r="R22" s="198"/>
      <c r="S22" s="198"/>
      <c r="T22" s="198"/>
      <c r="U22" s="198"/>
    </row>
    <row r="23" spans="1:21" s="12" customFormat="1" x14ac:dyDescent="0.25">
      <c r="A23" s="213" t="s">
        <v>2773</v>
      </c>
      <c r="B23" s="60">
        <v>5.97</v>
      </c>
      <c r="C23" s="60">
        <v>75.66</v>
      </c>
      <c r="D23" s="60">
        <v>46.54</v>
      </c>
      <c r="E23" s="60">
        <v>3.3</v>
      </c>
      <c r="F23" s="60">
        <v>0.27</v>
      </c>
      <c r="G23" s="60">
        <v>35.090000000000003</v>
      </c>
      <c r="H23" s="60">
        <v>16.670000000000002</v>
      </c>
      <c r="I23" s="60">
        <v>0.26</v>
      </c>
      <c r="J23" s="60">
        <v>0.28999999999999998</v>
      </c>
      <c r="K23" s="60">
        <v>55.6</v>
      </c>
      <c r="L23" s="60">
        <v>17.8</v>
      </c>
      <c r="M23" s="60">
        <v>54</v>
      </c>
      <c r="N23" s="60">
        <v>24.2</v>
      </c>
      <c r="O23" s="60">
        <v>0</v>
      </c>
      <c r="P23" s="60">
        <v>0.8</v>
      </c>
      <c r="Q23" s="60">
        <v>31.23</v>
      </c>
      <c r="R23" s="198"/>
      <c r="S23" s="198"/>
      <c r="T23" s="198"/>
      <c r="U23" s="198"/>
    </row>
    <row r="24" spans="1:21" s="12" customFormat="1" x14ac:dyDescent="0.25">
      <c r="A24" s="213" t="s">
        <v>2774</v>
      </c>
      <c r="B24" s="60">
        <v>5.91</v>
      </c>
      <c r="C24" s="60">
        <v>74.510000000000005</v>
      </c>
      <c r="D24" s="60">
        <v>45.86</v>
      </c>
      <c r="E24" s="60">
        <v>2.3199999999999998</v>
      </c>
      <c r="F24" s="60">
        <v>0.27</v>
      </c>
      <c r="G24" s="60">
        <v>35.090000000000003</v>
      </c>
      <c r="H24" s="60">
        <v>16.670000000000002</v>
      </c>
      <c r="I24" s="60">
        <v>0.26</v>
      </c>
      <c r="J24" s="60">
        <v>0.36</v>
      </c>
      <c r="K24" s="60">
        <v>63.94</v>
      </c>
      <c r="L24" s="60">
        <v>17.510000000000002</v>
      </c>
      <c r="M24" s="60">
        <v>55</v>
      </c>
      <c r="N24" s="60">
        <v>24.1</v>
      </c>
      <c r="O24" s="60">
        <v>0</v>
      </c>
      <c r="P24" s="60">
        <v>0.79</v>
      </c>
      <c r="Q24" s="60">
        <v>31.36</v>
      </c>
      <c r="R24" s="198"/>
      <c r="S24" s="198"/>
      <c r="T24" s="198"/>
      <c r="U24" s="198"/>
    </row>
    <row r="25" spans="1:21" s="12" customFormat="1" x14ac:dyDescent="0.25">
      <c r="A25" s="213" t="s">
        <v>2775</v>
      </c>
      <c r="B25" s="60">
        <v>5.9</v>
      </c>
      <c r="C25" s="60">
        <v>73.510000000000005</v>
      </c>
      <c r="D25" s="60">
        <v>45.3</v>
      </c>
      <c r="E25" s="60">
        <v>3.49</v>
      </c>
      <c r="F25" s="60">
        <v>0.22</v>
      </c>
      <c r="G25" s="60">
        <v>34.369999999999997</v>
      </c>
      <c r="H25" s="60">
        <v>16.8</v>
      </c>
      <c r="I25" s="60">
        <v>0.26</v>
      </c>
      <c r="J25" s="60">
        <v>0.26</v>
      </c>
      <c r="K25" s="60">
        <v>54.11</v>
      </c>
      <c r="L25" s="60">
        <v>17.43</v>
      </c>
      <c r="M25" s="60">
        <v>55</v>
      </c>
      <c r="N25" s="60">
        <v>24.1</v>
      </c>
      <c r="O25" s="60">
        <v>0</v>
      </c>
      <c r="P25" s="60">
        <v>0.77</v>
      </c>
      <c r="Q25" s="60">
        <v>31.4</v>
      </c>
      <c r="R25" s="198"/>
      <c r="S25" s="198"/>
      <c r="T25" s="198"/>
      <c r="U25" s="198"/>
    </row>
    <row r="26" spans="1:21" s="12" customFormat="1" x14ac:dyDescent="0.25">
      <c r="A26" s="213" t="s">
        <v>2776</v>
      </c>
      <c r="B26" s="60">
        <v>5.82</v>
      </c>
      <c r="C26" s="60">
        <v>72.72</v>
      </c>
      <c r="D26" s="60">
        <v>44.8</v>
      </c>
      <c r="E26" s="60">
        <v>3.72</v>
      </c>
      <c r="F26" s="60">
        <v>0.4</v>
      </c>
      <c r="G26" s="60">
        <v>32.47</v>
      </c>
      <c r="H26" s="60">
        <v>17.23</v>
      </c>
      <c r="I26" s="60">
        <v>0.26</v>
      </c>
      <c r="J26" s="60">
        <v>0.32</v>
      </c>
      <c r="K26" s="60">
        <v>45.33</v>
      </c>
      <c r="L26" s="60">
        <v>17.38</v>
      </c>
      <c r="M26" s="60">
        <v>56</v>
      </c>
      <c r="N26" s="60">
        <v>23.9</v>
      </c>
      <c r="O26" s="60">
        <v>0</v>
      </c>
      <c r="P26" s="60">
        <v>0.76</v>
      </c>
      <c r="Q26" s="60">
        <v>31.45</v>
      </c>
      <c r="R26" s="198"/>
      <c r="S26" s="198"/>
      <c r="T26" s="198"/>
      <c r="U26" s="198"/>
    </row>
    <row r="27" spans="1:21" s="12" customFormat="1" x14ac:dyDescent="0.25">
      <c r="A27" s="213" t="s">
        <v>2777</v>
      </c>
      <c r="B27" s="60">
        <v>5.76</v>
      </c>
      <c r="C27" s="60">
        <v>71.97</v>
      </c>
      <c r="D27" s="60">
        <v>44.34</v>
      </c>
      <c r="E27" s="60">
        <v>3.7</v>
      </c>
      <c r="F27" s="60">
        <v>0.54</v>
      </c>
      <c r="G27" s="60">
        <v>32.47</v>
      </c>
      <c r="H27" s="60">
        <v>17.23</v>
      </c>
      <c r="I27" s="60">
        <v>0.26</v>
      </c>
      <c r="J27" s="60">
        <v>0.77</v>
      </c>
      <c r="K27" s="60">
        <v>16.38</v>
      </c>
      <c r="L27" s="60">
        <v>17.489999999999998</v>
      </c>
      <c r="M27" s="60">
        <v>55</v>
      </c>
      <c r="N27" s="60">
        <v>23.7</v>
      </c>
      <c r="O27" s="60">
        <v>0</v>
      </c>
      <c r="P27" s="60">
        <v>0.75</v>
      </c>
      <c r="Q27" s="60">
        <v>31.65</v>
      </c>
      <c r="R27" s="198"/>
      <c r="S27" s="198"/>
      <c r="T27" s="198"/>
      <c r="U27" s="198"/>
    </row>
    <row r="28" spans="1:21" s="12" customFormat="1" x14ac:dyDescent="0.25">
      <c r="A28" s="213" t="s">
        <v>2778</v>
      </c>
      <c r="B28" s="60">
        <v>5.57</v>
      </c>
      <c r="C28" s="60">
        <v>71.099999999999994</v>
      </c>
      <c r="D28" s="60">
        <v>43.7</v>
      </c>
      <c r="E28" s="60">
        <v>4.1100000000000003</v>
      </c>
      <c r="F28" s="60">
        <v>0.49</v>
      </c>
      <c r="G28" s="60">
        <v>32.47</v>
      </c>
      <c r="H28" s="60">
        <v>17.23</v>
      </c>
      <c r="I28" s="60">
        <v>0.26</v>
      </c>
      <c r="J28" s="60">
        <v>0.82</v>
      </c>
      <c r="K28" s="60">
        <v>15.64</v>
      </c>
      <c r="L28" s="60">
        <v>17.57</v>
      </c>
      <c r="M28" s="60">
        <v>55</v>
      </c>
      <c r="N28" s="60">
        <v>23.9</v>
      </c>
      <c r="O28" s="60">
        <v>0</v>
      </c>
      <c r="P28" s="60">
        <v>0.73</v>
      </c>
      <c r="Q28" s="60">
        <v>31.51</v>
      </c>
      <c r="R28" s="198"/>
      <c r="S28" s="198"/>
      <c r="T28" s="198"/>
      <c r="U28" s="198"/>
    </row>
    <row r="29" spans="1:21" s="12" customFormat="1" x14ac:dyDescent="0.25">
      <c r="A29" s="213" t="s">
        <v>2779</v>
      </c>
      <c r="B29" s="60">
        <v>5.23</v>
      </c>
      <c r="C29" s="60">
        <v>70.599999999999994</v>
      </c>
      <c r="D29" s="60">
        <v>43.15</v>
      </c>
      <c r="E29" s="60">
        <v>3.78</v>
      </c>
      <c r="F29" s="60">
        <v>0.54</v>
      </c>
      <c r="G29" s="60">
        <v>33.799999999999997</v>
      </c>
      <c r="H29" s="60">
        <v>17.71</v>
      </c>
      <c r="I29" s="60">
        <v>0.26</v>
      </c>
      <c r="J29" s="60">
        <v>0.7</v>
      </c>
      <c r="K29" s="60">
        <v>19.04</v>
      </c>
      <c r="L29" s="60">
        <v>17.489999999999998</v>
      </c>
      <c r="M29" s="60">
        <v>55</v>
      </c>
      <c r="N29" s="60">
        <v>24</v>
      </c>
      <c r="O29" s="60">
        <v>0</v>
      </c>
      <c r="P29" s="60">
        <v>0.7</v>
      </c>
      <c r="Q29" s="60">
        <v>31.67</v>
      </c>
      <c r="R29" s="198"/>
      <c r="S29" s="198"/>
      <c r="T29" s="198"/>
      <c r="U29" s="198"/>
    </row>
    <row r="30" spans="1:21" s="12" customFormat="1" x14ac:dyDescent="0.25">
      <c r="A30" s="213" t="s">
        <v>2780</v>
      </c>
      <c r="B30" s="60">
        <v>4.92</v>
      </c>
      <c r="C30" s="60">
        <v>70.709999999999994</v>
      </c>
      <c r="D30" s="60">
        <v>42.97</v>
      </c>
      <c r="E30" s="60">
        <v>3.47</v>
      </c>
      <c r="F30" s="60">
        <v>0.47</v>
      </c>
      <c r="G30" s="60">
        <v>40.04</v>
      </c>
      <c r="H30" s="60">
        <v>19.53</v>
      </c>
      <c r="I30" s="60">
        <v>0.26</v>
      </c>
      <c r="J30" s="60">
        <v>0.83</v>
      </c>
      <c r="K30" s="60">
        <v>16.440000000000001</v>
      </c>
      <c r="L30" s="60">
        <v>17.45</v>
      </c>
      <c r="M30" s="60">
        <v>55</v>
      </c>
      <c r="N30" s="60">
        <v>24</v>
      </c>
      <c r="O30" s="60">
        <v>0</v>
      </c>
      <c r="P30" s="60">
        <v>0.69</v>
      </c>
      <c r="Q30" s="60">
        <v>31.89</v>
      </c>
      <c r="R30" s="198"/>
      <c r="S30" s="198"/>
      <c r="T30" s="198"/>
      <c r="U30" s="198"/>
    </row>
    <row r="31" spans="1:21" s="12" customFormat="1" x14ac:dyDescent="0.25">
      <c r="A31" s="213" t="s">
        <v>2781</v>
      </c>
      <c r="B31" s="60">
        <v>4.84</v>
      </c>
      <c r="C31" s="60">
        <v>71.11</v>
      </c>
      <c r="D31" s="60">
        <v>43.13</v>
      </c>
      <c r="E31" s="60">
        <v>3.86</v>
      </c>
      <c r="F31" s="60">
        <v>0.54</v>
      </c>
      <c r="G31" s="60">
        <v>40.04</v>
      </c>
      <c r="H31" s="60">
        <v>19.53</v>
      </c>
      <c r="I31" s="60">
        <v>0.26</v>
      </c>
      <c r="J31" s="60">
        <v>0.92</v>
      </c>
      <c r="K31" s="60">
        <v>17.95</v>
      </c>
      <c r="L31" s="60">
        <v>17.440000000000001</v>
      </c>
      <c r="M31" s="60">
        <v>55</v>
      </c>
      <c r="N31" s="60">
        <v>23.8</v>
      </c>
      <c r="O31" s="60">
        <v>0</v>
      </c>
      <c r="P31" s="60">
        <v>0.69</v>
      </c>
      <c r="Q31" s="60">
        <v>32.159999999999997</v>
      </c>
      <c r="R31" s="198"/>
      <c r="S31" s="198"/>
      <c r="T31" s="198"/>
      <c r="U31" s="198"/>
    </row>
    <row r="32" spans="1:21" s="12" customFormat="1" x14ac:dyDescent="0.25">
      <c r="A32" s="213" t="s">
        <v>2782</v>
      </c>
      <c r="B32" s="60">
        <v>4.6900000000000004</v>
      </c>
      <c r="C32" s="60">
        <v>71.47</v>
      </c>
      <c r="D32" s="60">
        <v>43.21</v>
      </c>
      <c r="E32" s="60">
        <v>4.0599999999999996</v>
      </c>
      <c r="F32" s="60">
        <v>1.17</v>
      </c>
      <c r="G32" s="60">
        <v>40.04</v>
      </c>
      <c r="H32" s="60">
        <v>19.53</v>
      </c>
      <c r="I32" s="60">
        <v>0.25</v>
      </c>
      <c r="J32" s="60">
        <v>0.54</v>
      </c>
      <c r="K32" s="60">
        <v>24.9</v>
      </c>
      <c r="L32" s="60">
        <v>17.41</v>
      </c>
      <c r="M32" s="60">
        <v>55</v>
      </c>
      <c r="N32" s="60">
        <v>24.3</v>
      </c>
      <c r="O32" s="60">
        <v>0</v>
      </c>
      <c r="P32" s="60">
        <v>0.67</v>
      </c>
      <c r="Q32" s="60">
        <v>31.93</v>
      </c>
      <c r="R32" s="198"/>
      <c r="S32" s="198"/>
      <c r="T32" s="198"/>
      <c r="U32" s="198"/>
    </row>
    <row r="33" spans="1:21" s="12" customFormat="1" x14ac:dyDescent="0.25">
      <c r="A33" s="213" t="s">
        <v>2783</v>
      </c>
      <c r="B33" s="60">
        <v>5.34</v>
      </c>
      <c r="C33" s="60">
        <v>72.900000000000006</v>
      </c>
      <c r="D33" s="60">
        <v>44.51</v>
      </c>
      <c r="E33" s="60">
        <v>4.17</v>
      </c>
      <c r="F33" s="60">
        <v>0.44</v>
      </c>
      <c r="G33" s="60">
        <v>36.78</v>
      </c>
      <c r="H33" s="60">
        <v>19.38</v>
      </c>
      <c r="I33" s="60">
        <v>0.25</v>
      </c>
      <c r="J33" s="60">
        <v>0.76</v>
      </c>
      <c r="K33" s="60">
        <v>19.670000000000002</v>
      </c>
      <c r="L33" s="60">
        <v>17.18</v>
      </c>
      <c r="M33" s="60">
        <v>56</v>
      </c>
      <c r="N33" s="60">
        <v>24</v>
      </c>
      <c r="O33" s="60">
        <v>0</v>
      </c>
      <c r="P33" s="60">
        <v>0.67</v>
      </c>
      <c r="Q33" s="60">
        <v>31.57</v>
      </c>
      <c r="R33" s="198"/>
      <c r="S33" s="198"/>
      <c r="T33" s="198"/>
      <c r="U33" s="198"/>
    </row>
    <row r="34" spans="1:21" s="12" customFormat="1" x14ac:dyDescent="0.25">
      <c r="A34" s="213" t="s">
        <v>2784</v>
      </c>
      <c r="B34" s="60">
        <v>5.83</v>
      </c>
      <c r="C34" s="60">
        <v>73.959999999999994</v>
      </c>
      <c r="D34" s="60">
        <v>45.49</v>
      </c>
      <c r="E34" s="60">
        <v>4.0599999999999996</v>
      </c>
      <c r="F34" s="60">
        <v>0.39</v>
      </c>
      <c r="G34" s="60">
        <v>28.54</v>
      </c>
      <c r="H34" s="60">
        <v>18.84</v>
      </c>
      <c r="I34" s="60">
        <v>0.24</v>
      </c>
      <c r="J34" s="60">
        <v>0.64</v>
      </c>
      <c r="K34" s="60">
        <v>11.22</v>
      </c>
      <c r="L34" s="60">
        <v>17.13</v>
      </c>
      <c r="M34" s="60">
        <v>56</v>
      </c>
      <c r="N34" s="60">
        <v>24.6</v>
      </c>
      <c r="O34" s="60">
        <v>0</v>
      </c>
      <c r="P34" s="60">
        <v>0.67</v>
      </c>
      <c r="Q34" s="60">
        <v>31.47</v>
      </c>
      <c r="R34" s="198"/>
      <c r="S34" s="198"/>
      <c r="T34" s="198"/>
      <c r="U34" s="198"/>
    </row>
    <row r="35" spans="1:21" s="12" customFormat="1" x14ac:dyDescent="0.25">
      <c r="A35" s="213" t="s">
        <v>2785</v>
      </c>
      <c r="B35" s="60">
        <v>5.98</v>
      </c>
      <c r="C35" s="60">
        <v>74.61</v>
      </c>
      <c r="D35" s="60">
        <v>45.97</v>
      </c>
      <c r="E35" s="60">
        <v>3.99</v>
      </c>
      <c r="F35" s="60">
        <v>0.41</v>
      </c>
      <c r="G35" s="60">
        <v>28.54</v>
      </c>
      <c r="H35" s="60">
        <v>18.84</v>
      </c>
      <c r="I35" s="60">
        <v>0.23</v>
      </c>
      <c r="J35" s="60">
        <v>0.72</v>
      </c>
      <c r="K35" s="60">
        <v>23.29</v>
      </c>
      <c r="L35" s="60">
        <v>17.079999999999998</v>
      </c>
      <c r="M35" s="60">
        <v>57</v>
      </c>
      <c r="N35" s="60">
        <v>26.9</v>
      </c>
      <c r="O35" s="60">
        <v>0</v>
      </c>
      <c r="P35" s="60">
        <v>0.69</v>
      </c>
      <c r="Q35" s="60">
        <v>31.35</v>
      </c>
      <c r="R35" s="198"/>
      <c r="S35" s="198"/>
      <c r="T35" s="198"/>
      <c r="U35" s="198"/>
    </row>
    <row r="36" spans="1:21" s="12" customFormat="1" x14ac:dyDescent="0.25">
      <c r="A36" s="213" t="s">
        <v>2786</v>
      </c>
      <c r="B36" s="60">
        <v>6.42</v>
      </c>
      <c r="C36" s="60">
        <v>74.849999999999994</v>
      </c>
      <c r="D36" s="60">
        <v>46.46</v>
      </c>
      <c r="E36" s="60">
        <v>4.4000000000000004</v>
      </c>
      <c r="F36" s="60">
        <v>0.61</v>
      </c>
      <c r="G36" s="60">
        <v>28.54</v>
      </c>
      <c r="H36" s="60">
        <v>18.84</v>
      </c>
      <c r="I36" s="60">
        <v>0.23</v>
      </c>
      <c r="J36" s="60">
        <v>0.91</v>
      </c>
      <c r="K36" s="60">
        <v>13.38</v>
      </c>
      <c r="L36" s="60">
        <v>17.170000000000002</v>
      </c>
      <c r="M36" s="60">
        <v>56</v>
      </c>
      <c r="N36" s="60">
        <v>33.799999999999997</v>
      </c>
      <c r="O36" s="60">
        <v>0</v>
      </c>
      <c r="P36" s="60">
        <v>0.69</v>
      </c>
      <c r="Q36" s="60">
        <v>30.52</v>
      </c>
      <c r="R36" s="198"/>
      <c r="S36" s="198"/>
      <c r="T36" s="198"/>
      <c r="U36" s="198"/>
    </row>
    <row r="37" spans="1:21" s="12" customFormat="1" x14ac:dyDescent="0.25">
      <c r="A37" s="213" t="s">
        <v>2787</v>
      </c>
      <c r="B37" s="60">
        <v>6.63</v>
      </c>
      <c r="C37" s="60">
        <v>75.23</v>
      </c>
      <c r="D37" s="60">
        <v>46.84</v>
      </c>
      <c r="E37" s="60">
        <v>3.65</v>
      </c>
      <c r="F37" s="60">
        <v>0.54</v>
      </c>
      <c r="G37" s="60">
        <v>34.950000000000003</v>
      </c>
      <c r="H37" s="60">
        <v>19.43</v>
      </c>
      <c r="I37" s="60">
        <v>0.23</v>
      </c>
      <c r="J37" s="60">
        <v>0.56999999999999995</v>
      </c>
      <c r="K37" s="60">
        <v>18.97</v>
      </c>
      <c r="L37" s="60">
        <v>17.29</v>
      </c>
      <c r="M37" s="60">
        <v>56</v>
      </c>
      <c r="N37" s="60">
        <v>43.3</v>
      </c>
      <c r="O37" s="60">
        <v>0</v>
      </c>
      <c r="P37" s="60">
        <v>0.69</v>
      </c>
      <c r="Q37" s="60">
        <v>29.7</v>
      </c>
      <c r="R37" s="198"/>
      <c r="S37" s="198"/>
      <c r="T37" s="198"/>
      <c r="U37" s="198"/>
    </row>
    <row r="38" spans="1:21" s="12" customFormat="1" x14ac:dyDescent="0.25">
      <c r="A38" s="213" t="s">
        <v>2788</v>
      </c>
      <c r="B38" s="60">
        <v>6.87</v>
      </c>
      <c r="C38" s="60">
        <v>75.7</v>
      </c>
      <c r="D38" s="60">
        <v>47.28</v>
      </c>
      <c r="E38" s="60">
        <v>3.85</v>
      </c>
      <c r="F38" s="60">
        <v>0.26</v>
      </c>
      <c r="G38" s="60">
        <v>50.83</v>
      </c>
      <c r="H38" s="60">
        <v>21.47</v>
      </c>
      <c r="I38" s="60">
        <v>0.23</v>
      </c>
      <c r="J38" s="60">
        <v>0.66</v>
      </c>
      <c r="K38" s="60">
        <v>16.98</v>
      </c>
      <c r="L38" s="60">
        <v>17.57</v>
      </c>
      <c r="M38" s="60">
        <v>55</v>
      </c>
      <c r="N38" s="60">
        <v>53.3</v>
      </c>
      <c r="O38" s="60">
        <v>0</v>
      </c>
      <c r="P38" s="60">
        <v>0.73</v>
      </c>
      <c r="Q38" s="60">
        <v>29.21</v>
      </c>
      <c r="R38" s="198"/>
      <c r="S38" s="198"/>
      <c r="T38" s="198"/>
      <c r="U38" s="198"/>
    </row>
    <row r="39" spans="1:21" s="12" customFormat="1" x14ac:dyDescent="0.25">
      <c r="A39" s="213" t="s">
        <v>2789</v>
      </c>
      <c r="B39" s="60">
        <v>7.9</v>
      </c>
      <c r="C39" s="60">
        <v>75.790000000000006</v>
      </c>
      <c r="D39" s="60">
        <v>48.16</v>
      </c>
      <c r="E39" s="60">
        <v>4.3099999999999996</v>
      </c>
      <c r="F39" s="60">
        <v>0.69</v>
      </c>
      <c r="G39" s="60">
        <v>50.83</v>
      </c>
      <c r="H39" s="60">
        <v>21.47</v>
      </c>
      <c r="I39" s="60">
        <v>0.23</v>
      </c>
      <c r="J39" s="60">
        <v>1.27</v>
      </c>
      <c r="K39" s="60">
        <v>18</v>
      </c>
      <c r="L39" s="60">
        <v>18</v>
      </c>
      <c r="M39" s="60">
        <v>53</v>
      </c>
      <c r="N39" s="60">
        <v>76.099999999999994</v>
      </c>
      <c r="O39" s="60">
        <v>0</v>
      </c>
      <c r="P39" s="60">
        <v>0.75</v>
      </c>
      <c r="Q39" s="60">
        <v>29.4</v>
      </c>
      <c r="R39" s="198"/>
      <c r="S39" s="198"/>
      <c r="T39" s="198"/>
      <c r="U39" s="198"/>
    </row>
    <row r="40" spans="1:21" s="12" customFormat="1" x14ac:dyDescent="0.25">
      <c r="A40" s="213" t="s">
        <v>2790</v>
      </c>
      <c r="B40" s="60">
        <v>7.77</v>
      </c>
      <c r="C40" s="60">
        <v>76.23</v>
      </c>
      <c r="D40" s="60">
        <v>48.3</v>
      </c>
      <c r="E40" s="60">
        <v>3.2</v>
      </c>
      <c r="F40" s="60">
        <v>0.2</v>
      </c>
      <c r="G40" s="60">
        <v>50.83</v>
      </c>
      <c r="H40" s="60">
        <v>21.47</v>
      </c>
      <c r="I40" s="60">
        <v>0.24</v>
      </c>
      <c r="J40" s="60">
        <v>0.81</v>
      </c>
      <c r="K40" s="60">
        <v>20.82</v>
      </c>
      <c r="L40" s="60">
        <v>19.309999999999999</v>
      </c>
      <c r="M40" s="60">
        <v>49</v>
      </c>
      <c r="N40" s="60">
        <v>151.9</v>
      </c>
      <c r="O40" s="60">
        <v>0</v>
      </c>
      <c r="P40" s="60">
        <v>0.75</v>
      </c>
      <c r="Q40" s="60">
        <v>29.21</v>
      </c>
      <c r="R40" s="198"/>
      <c r="S40" s="198"/>
      <c r="T40" s="198"/>
      <c r="U40" s="198"/>
    </row>
    <row r="41" spans="1:21" s="12" customFormat="1" x14ac:dyDescent="0.25">
      <c r="A41" s="213" t="s">
        <v>2791</v>
      </c>
      <c r="B41" s="60">
        <v>7.99</v>
      </c>
      <c r="C41" s="60">
        <v>77.400000000000006</v>
      </c>
      <c r="D41" s="60">
        <v>49.12</v>
      </c>
      <c r="E41" s="60">
        <v>5.21</v>
      </c>
      <c r="F41" s="60">
        <v>0.16</v>
      </c>
      <c r="G41" s="60">
        <v>49.94</v>
      </c>
      <c r="H41" s="60">
        <v>22.19</v>
      </c>
      <c r="I41" s="60">
        <v>0.24</v>
      </c>
      <c r="J41" s="60">
        <v>1.1399999999999999</v>
      </c>
      <c r="K41" s="60">
        <v>21.94</v>
      </c>
      <c r="L41" s="60">
        <v>20.97</v>
      </c>
      <c r="M41" s="60">
        <v>44</v>
      </c>
      <c r="N41" s="60">
        <v>180.1</v>
      </c>
      <c r="O41" s="60">
        <v>0</v>
      </c>
      <c r="P41" s="60">
        <v>0.76</v>
      </c>
      <c r="Q41" s="60">
        <v>28.93</v>
      </c>
      <c r="R41" s="198"/>
      <c r="S41" s="198"/>
      <c r="T41" s="198"/>
      <c r="U41" s="198"/>
    </row>
    <row r="42" spans="1:21" s="12" customFormat="1" x14ac:dyDescent="0.25">
      <c r="A42" s="213" t="s">
        <v>2792</v>
      </c>
      <c r="B42" s="60">
        <v>8.1199999999999992</v>
      </c>
      <c r="C42" s="60">
        <v>78.069999999999993</v>
      </c>
      <c r="D42" s="60">
        <v>49.6</v>
      </c>
      <c r="E42" s="60">
        <v>6.18</v>
      </c>
      <c r="F42" s="60">
        <v>0.14000000000000001</v>
      </c>
      <c r="G42" s="60">
        <v>47.75</v>
      </c>
      <c r="H42" s="60">
        <v>24.72</v>
      </c>
      <c r="I42" s="60">
        <v>0.24</v>
      </c>
      <c r="J42" s="60">
        <v>1.21</v>
      </c>
      <c r="K42" s="60">
        <v>18.12</v>
      </c>
      <c r="L42" s="60">
        <v>21.85</v>
      </c>
      <c r="M42" s="60">
        <v>43</v>
      </c>
      <c r="N42" s="60">
        <v>206</v>
      </c>
      <c r="O42" s="60">
        <v>0</v>
      </c>
      <c r="P42" s="60">
        <v>0.78</v>
      </c>
      <c r="Q42" s="60">
        <v>28.64</v>
      </c>
      <c r="R42" s="198"/>
      <c r="S42" s="198"/>
      <c r="T42" s="198"/>
      <c r="U42" s="198"/>
    </row>
    <row r="43" spans="1:21" s="12" customFormat="1" x14ac:dyDescent="0.25">
      <c r="A43" s="213" t="s">
        <v>2793</v>
      </c>
      <c r="B43" s="60">
        <v>8.32</v>
      </c>
      <c r="C43" s="60">
        <v>78.98</v>
      </c>
      <c r="D43" s="60">
        <v>50.26</v>
      </c>
      <c r="E43" s="60">
        <v>5.97</v>
      </c>
      <c r="F43" s="60">
        <v>0.6</v>
      </c>
      <c r="G43" s="60">
        <v>47.75</v>
      </c>
      <c r="H43" s="60">
        <v>24.72</v>
      </c>
      <c r="I43" s="60">
        <v>0.24</v>
      </c>
      <c r="J43" s="60">
        <v>1.41</v>
      </c>
      <c r="K43" s="60">
        <v>18.5</v>
      </c>
      <c r="L43" s="60">
        <v>23.08</v>
      </c>
      <c r="M43" s="60">
        <v>40</v>
      </c>
      <c r="N43" s="60">
        <v>234.6</v>
      </c>
      <c r="O43" s="60">
        <v>0</v>
      </c>
      <c r="P43" s="60">
        <v>0.8</v>
      </c>
      <c r="Q43" s="60">
        <v>28.69</v>
      </c>
      <c r="R43" s="198"/>
      <c r="S43" s="198"/>
      <c r="T43" s="198"/>
      <c r="U43" s="198"/>
    </row>
    <row r="44" spans="1:21" s="12" customFormat="1" x14ac:dyDescent="0.25">
      <c r="A44" s="213" t="s">
        <v>2794</v>
      </c>
      <c r="B44" s="60">
        <v>8.64</v>
      </c>
      <c r="C44" s="60">
        <v>80.7</v>
      </c>
      <c r="D44" s="60">
        <v>51.46</v>
      </c>
      <c r="E44" s="60">
        <v>5.93</v>
      </c>
      <c r="F44" s="60">
        <v>0.44</v>
      </c>
      <c r="G44" s="60">
        <v>47.75</v>
      </c>
      <c r="H44" s="60">
        <v>24.72</v>
      </c>
      <c r="I44" s="60">
        <v>0.24</v>
      </c>
      <c r="J44" s="60">
        <v>0.73</v>
      </c>
      <c r="K44" s="60">
        <v>29.38</v>
      </c>
      <c r="L44" s="60">
        <v>23.35</v>
      </c>
      <c r="M44" s="60">
        <v>40</v>
      </c>
      <c r="N44" s="60">
        <v>255.7</v>
      </c>
      <c r="O44" s="60">
        <v>0</v>
      </c>
      <c r="P44" s="60">
        <v>0.82</v>
      </c>
      <c r="Q44" s="60">
        <v>29.33</v>
      </c>
      <c r="R44" s="198"/>
      <c r="S44" s="198"/>
      <c r="T44" s="198"/>
      <c r="U44" s="198"/>
    </row>
    <row r="45" spans="1:21" s="12" customFormat="1" x14ac:dyDescent="0.25">
      <c r="A45" s="213" t="s">
        <v>2795</v>
      </c>
      <c r="B45" s="60">
        <v>10.1</v>
      </c>
      <c r="C45" s="60">
        <v>83.53</v>
      </c>
      <c r="D45" s="60">
        <v>54.2</v>
      </c>
      <c r="E45" s="60">
        <v>5.55</v>
      </c>
      <c r="F45" s="60">
        <v>0.14000000000000001</v>
      </c>
      <c r="G45" s="60">
        <v>49.98</v>
      </c>
      <c r="H45" s="60">
        <v>25.05</v>
      </c>
      <c r="I45" s="60">
        <v>0.24</v>
      </c>
      <c r="J45" s="60">
        <v>0.72</v>
      </c>
      <c r="K45" s="60">
        <v>44.9</v>
      </c>
      <c r="L45" s="60">
        <v>23.14</v>
      </c>
      <c r="M45" s="60">
        <v>41</v>
      </c>
      <c r="N45" s="60">
        <v>274.5</v>
      </c>
      <c r="O45" s="60">
        <v>0</v>
      </c>
      <c r="P45" s="60">
        <v>0.84</v>
      </c>
      <c r="Q45" s="60">
        <v>29.59</v>
      </c>
      <c r="R45" s="198"/>
      <c r="S45" s="198"/>
      <c r="T45" s="198"/>
      <c r="U45" s="198"/>
    </row>
    <row r="46" spans="1:21" s="12" customFormat="1" x14ac:dyDescent="0.25">
      <c r="A46" s="213" t="s">
        <v>2796</v>
      </c>
      <c r="B46" s="60">
        <v>11.5</v>
      </c>
      <c r="C46" s="60">
        <v>86.2</v>
      </c>
      <c r="D46" s="60">
        <v>56.79</v>
      </c>
      <c r="E46" s="60">
        <v>5.14</v>
      </c>
      <c r="F46" s="60">
        <v>0.68</v>
      </c>
      <c r="G46" s="60">
        <v>60.47</v>
      </c>
      <c r="H46" s="60">
        <v>26.2</v>
      </c>
      <c r="I46" s="60">
        <v>0.24</v>
      </c>
      <c r="J46" s="60">
        <v>0.82</v>
      </c>
      <c r="K46" s="60">
        <v>28.84</v>
      </c>
      <c r="L46" s="60">
        <v>24.08</v>
      </c>
      <c r="M46" s="60">
        <v>39</v>
      </c>
      <c r="N46" s="60">
        <v>286.60000000000002</v>
      </c>
      <c r="O46" s="60">
        <v>0</v>
      </c>
      <c r="P46" s="60">
        <v>0.86</v>
      </c>
      <c r="Q46" s="60">
        <v>29.74</v>
      </c>
      <c r="R46" s="198"/>
      <c r="S46" s="198"/>
      <c r="T46" s="198"/>
      <c r="U46" s="198"/>
    </row>
    <row r="47" spans="1:21" s="12" customFormat="1" x14ac:dyDescent="0.25">
      <c r="A47" s="213" t="s">
        <v>2797</v>
      </c>
      <c r="B47" s="60">
        <v>12.27</v>
      </c>
      <c r="C47" s="60">
        <v>88.37</v>
      </c>
      <c r="D47" s="60">
        <v>58.61</v>
      </c>
      <c r="E47" s="60">
        <v>4.88</v>
      </c>
      <c r="F47" s="60">
        <v>0.78</v>
      </c>
      <c r="G47" s="60">
        <v>60.47</v>
      </c>
      <c r="H47" s="60">
        <v>26.2</v>
      </c>
      <c r="I47" s="60">
        <v>0.25</v>
      </c>
      <c r="J47" s="60">
        <v>0.78</v>
      </c>
      <c r="K47" s="60">
        <v>21.97</v>
      </c>
      <c r="L47" s="60">
        <v>26.02</v>
      </c>
      <c r="M47" s="60">
        <v>35</v>
      </c>
      <c r="N47" s="60">
        <v>295.39999999999998</v>
      </c>
      <c r="O47" s="60">
        <v>0</v>
      </c>
      <c r="P47" s="60">
        <v>0.87</v>
      </c>
      <c r="Q47" s="60">
        <v>30.1</v>
      </c>
      <c r="R47" s="198"/>
      <c r="S47" s="198"/>
      <c r="T47" s="198"/>
      <c r="U47" s="198"/>
    </row>
    <row r="48" spans="1:21" s="12" customFormat="1" x14ac:dyDescent="0.25">
      <c r="A48" s="213" t="s">
        <v>2798</v>
      </c>
      <c r="B48" s="60">
        <v>13.1</v>
      </c>
      <c r="C48" s="60">
        <v>90.36</v>
      </c>
      <c r="D48" s="60">
        <v>60.37</v>
      </c>
      <c r="E48" s="60">
        <v>4.92</v>
      </c>
      <c r="F48" s="60">
        <v>0.5</v>
      </c>
      <c r="G48" s="60">
        <v>60.47</v>
      </c>
      <c r="H48" s="60">
        <v>26.2</v>
      </c>
      <c r="I48" s="60">
        <v>0.24</v>
      </c>
      <c r="J48" s="60">
        <v>0.97</v>
      </c>
      <c r="K48" s="60">
        <v>111.44</v>
      </c>
      <c r="L48" s="60">
        <v>24.02</v>
      </c>
      <c r="M48" s="60">
        <v>40</v>
      </c>
      <c r="N48" s="60">
        <v>309.7</v>
      </c>
      <c r="O48" s="60">
        <v>0</v>
      </c>
      <c r="P48" s="60">
        <v>0.88</v>
      </c>
      <c r="Q48" s="60">
        <v>30.37</v>
      </c>
      <c r="R48" s="198"/>
      <c r="S48" s="198"/>
      <c r="T48" s="198"/>
      <c r="U48" s="198"/>
    </row>
    <row r="49" spans="1:21" s="12" customFormat="1" x14ac:dyDescent="0.25">
      <c r="A49" s="213" t="s">
        <v>2799</v>
      </c>
      <c r="B49" s="60">
        <v>13.13</v>
      </c>
      <c r="C49" s="60">
        <v>90.76</v>
      </c>
      <c r="D49" s="60">
        <v>60.61</v>
      </c>
      <c r="E49" s="60">
        <v>4.59</v>
      </c>
      <c r="F49" s="60">
        <v>1.84</v>
      </c>
      <c r="G49" s="60">
        <v>59.09</v>
      </c>
      <c r="H49" s="60">
        <v>25.98</v>
      </c>
      <c r="I49" s="60">
        <v>0.23</v>
      </c>
      <c r="J49" s="60">
        <v>0.85</v>
      </c>
      <c r="K49" s="60">
        <v>103.23</v>
      </c>
      <c r="L49" s="60">
        <v>23.48</v>
      </c>
      <c r="M49" s="60">
        <v>41</v>
      </c>
      <c r="N49" s="60">
        <v>314.2</v>
      </c>
      <c r="O49" s="60">
        <v>0</v>
      </c>
      <c r="P49" s="60">
        <v>0.87</v>
      </c>
      <c r="Q49" s="60">
        <v>30.48</v>
      </c>
      <c r="R49" s="198"/>
      <c r="S49" s="198"/>
      <c r="T49" s="198"/>
      <c r="U49" s="198"/>
    </row>
    <row r="50" spans="1:21" s="12" customFormat="1" x14ac:dyDescent="0.25">
      <c r="A50" s="213" t="s">
        <v>2800</v>
      </c>
      <c r="B50" s="60">
        <v>13.06</v>
      </c>
      <c r="C50" s="60">
        <v>90.94</v>
      </c>
      <c r="D50" s="60">
        <v>60.67</v>
      </c>
      <c r="E50" s="60">
        <v>5.15</v>
      </c>
      <c r="F50" s="60">
        <v>1.1299999999999999</v>
      </c>
      <c r="G50" s="60">
        <v>55.69</v>
      </c>
      <c r="H50" s="60">
        <v>25.21</v>
      </c>
      <c r="I50" s="60">
        <v>0.23</v>
      </c>
      <c r="J50" s="60">
        <v>0.57999999999999996</v>
      </c>
      <c r="K50" s="60">
        <v>70.5</v>
      </c>
      <c r="L50" s="60">
        <v>24.82</v>
      </c>
      <c r="M50" s="60">
        <v>39</v>
      </c>
      <c r="N50" s="60">
        <v>322</v>
      </c>
      <c r="O50" s="60">
        <v>0</v>
      </c>
      <c r="P50" s="60">
        <v>0.87</v>
      </c>
      <c r="Q50" s="60">
        <v>30.16</v>
      </c>
      <c r="R50" s="198"/>
      <c r="S50" s="198"/>
      <c r="T50" s="198"/>
      <c r="U50" s="198"/>
    </row>
    <row r="51" spans="1:21" s="12" customFormat="1" x14ac:dyDescent="0.25">
      <c r="A51" s="213" t="s">
        <v>2801</v>
      </c>
      <c r="B51" s="60">
        <v>13.2</v>
      </c>
      <c r="C51" s="60">
        <v>90.84</v>
      </c>
      <c r="D51" s="60">
        <v>60.72</v>
      </c>
      <c r="E51" s="60">
        <v>5.34</v>
      </c>
      <c r="F51" s="60">
        <v>0.89</v>
      </c>
      <c r="G51" s="60">
        <v>55.69</v>
      </c>
      <c r="H51" s="60">
        <v>25.21</v>
      </c>
      <c r="I51" s="60">
        <v>0.23</v>
      </c>
      <c r="J51" s="60">
        <v>0.7</v>
      </c>
      <c r="K51" s="60">
        <v>74.69</v>
      </c>
      <c r="L51" s="60">
        <v>25.65</v>
      </c>
      <c r="M51" s="60">
        <v>37</v>
      </c>
      <c r="N51" s="60">
        <v>330.7</v>
      </c>
      <c r="O51" s="60">
        <v>0</v>
      </c>
      <c r="P51" s="60">
        <v>0.87</v>
      </c>
      <c r="Q51" s="60">
        <v>30.18</v>
      </c>
      <c r="R51" s="198"/>
      <c r="S51" s="198"/>
      <c r="T51" s="198"/>
      <c r="U51" s="198"/>
    </row>
    <row r="52" spans="1:21" s="12" customFormat="1" x14ac:dyDescent="0.25">
      <c r="A52" s="213" t="s">
        <v>2802</v>
      </c>
      <c r="B52" s="60">
        <v>13.01</v>
      </c>
      <c r="C52" s="60">
        <v>90.26</v>
      </c>
      <c r="D52" s="60">
        <v>60.24</v>
      </c>
      <c r="E52" s="60">
        <v>5.35</v>
      </c>
      <c r="F52" s="60">
        <v>0.79</v>
      </c>
      <c r="G52" s="60">
        <v>55.69</v>
      </c>
      <c r="H52" s="60">
        <v>25.21</v>
      </c>
      <c r="I52" s="60">
        <v>0.23</v>
      </c>
      <c r="J52" s="60">
        <v>1.56</v>
      </c>
      <c r="K52" s="60">
        <v>112.37</v>
      </c>
      <c r="L52" s="60">
        <v>24.37</v>
      </c>
      <c r="M52" s="60">
        <v>38</v>
      </c>
      <c r="N52" s="60">
        <v>340.2</v>
      </c>
      <c r="O52" s="60">
        <v>0</v>
      </c>
      <c r="P52" s="60">
        <v>0.85</v>
      </c>
      <c r="Q52" s="60">
        <v>30.14</v>
      </c>
      <c r="R52" s="198"/>
      <c r="S52" s="198"/>
      <c r="T52" s="198"/>
      <c r="U52" s="198"/>
    </row>
    <row r="53" spans="1:21" s="12" customFormat="1" x14ac:dyDescent="0.25">
      <c r="A53" s="213" t="s">
        <v>2803</v>
      </c>
      <c r="B53" s="60">
        <v>12.99</v>
      </c>
      <c r="C53" s="60">
        <v>87.72</v>
      </c>
      <c r="D53" s="60">
        <v>58.83</v>
      </c>
      <c r="E53" s="60">
        <v>5.4</v>
      </c>
      <c r="F53" s="60">
        <v>3.52</v>
      </c>
      <c r="G53" s="60">
        <v>56.98</v>
      </c>
      <c r="H53" s="60">
        <v>25.79</v>
      </c>
      <c r="I53" s="60">
        <v>0.23</v>
      </c>
      <c r="J53" s="60">
        <v>0.88</v>
      </c>
      <c r="K53" s="60">
        <v>84.66</v>
      </c>
      <c r="L53" s="60">
        <v>25.2</v>
      </c>
      <c r="M53" s="60">
        <v>37</v>
      </c>
      <c r="N53" s="60">
        <v>341.8</v>
      </c>
      <c r="O53" s="60">
        <v>0</v>
      </c>
      <c r="P53" s="60">
        <v>0.84</v>
      </c>
      <c r="Q53" s="60">
        <v>29.91</v>
      </c>
      <c r="R53" s="198"/>
      <c r="S53" s="198"/>
      <c r="T53" s="198"/>
      <c r="U53" s="198"/>
    </row>
    <row r="54" spans="1:21" s="12" customFormat="1" x14ac:dyDescent="0.25">
      <c r="A54" s="213" t="s">
        <v>2804</v>
      </c>
      <c r="B54" s="60">
        <v>12.75</v>
      </c>
      <c r="C54" s="60">
        <v>85.66</v>
      </c>
      <c r="D54" s="60">
        <v>57.5</v>
      </c>
      <c r="E54" s="60">
        <v>6.04</v>
      </c>
      <c r="F54" s="60">
        <v>1.21</v>
      </c>
      <c r="G54" s="60">
        <v>60.2</v>
      </c>
      <c r="H54" s="60">
        <v>27.97</v>
      </c>
      <c r="I54" s="60">
        <v>0.23</v>
      </c>
      <c r="J54" s="60">
        <v>0.79</v>
      </c>
      <c r="K54" s="60">
        <v>78.959999999999994</v>
      </c>
      <c r="L54" s="60">
        <v>26.2</v>
      </c>
      <c r="M54" s="60">
        <v>34</v>
      </c>
      <c r="N54" s="60">
        <v>345.2</v>
      </c>
      <c r="O54" s="60">
        <v>0</v>
      </c>
      <c r="P54" s="60">
        <v>0.83</v>
      </c>
      <c r="Q54" s="60">
        <v>29.57</v>
      </c>
      <c r="R54" s="198"/>
      <c r="S54" s="198"/>
      <c r="T54" s="198"/>
      <c r="U54" s="198"/>
    </row>
    <row r="55" spans="1:21" s="12" customFormat="1" x14ac:dyDescent="0.25">
      <c r="A55" s="213" t="s">
        <v>2805</v>
      </c>
      <c r="B55" s="60">
        <v>11.23</v>
      </c>
      <c r="C55" s="60">
        <v>86.41</v>
      </c>
      <c r="D55" s="60">
        <v>56.7</v>
      </c>
      <c r="E55" s="60">
        <v>5.81</v>
      </c>
      <c r="F55" s="60">
        <v>1.61</v>
      </c>
      <c r="G55" s="60">
        <v>60.2</v>
      </c>
      <c r="H55" s="60">
        <v>27.97</v>
      </c>
      <c r="I55" s="60">
        <v>0.23</v>
      </c>
      <c r="J55" s="60">
        <v>0.8</v>
      </c>
      <c r="K55" s="60">
        <v>88.36</v>
      </c>
      <c r="L55" s="60">
        <v>26.55</v>
      </c>
      <c r="M55" s="60">
        <v>33</v>
      </c>
      <c r="N55" s="60">
        <v>343.2</v>
      </c>
      <c r="O55" s="60">
        <v>0</v>
      </c>
      <c r="P55" s="60">
        <v>0.83</v>
      </c>
      <c r="Q55" s="60">
        <v>29.45</v>
      </c>
      <c r="R55" s="198"/>
      <c r="S55" s="198"/>
      <c r="T55" s="198"/>
      <c r="U55" s="198"/>
    </row>
    <row r="56" spans="1:21" s="12" customFormat="1" x14ac:dyDescent="0.25">
      <c r="A56" s="213" t="s">
        <v>2806</v>
      </c>
      <c r="B56" s="60">
        <v>10</v>
      </c>
      <c r="C56" s="60">
        <v>85.35</v>
      </c>
      <c r="D56" s="60">
        <v>55.12</v>
      </c>
      <c r="E56" s="60">
        <v>1.92</v>
      </c>
      <c r="F56" s="60">
        <v>2</v>
      </c>
      <c r="G56" s="60">
        <v>60.2</v>
      </c>
      <c r="H56" s="60">
        <v>27.97</v>
      </c>
      <c r="I56" s="60">
        <v>0.22</v>
      </c>
      <c r="J56" s="60">
        <v>1.37</v>
      </c>
      <c r="K56" s="60">
        <v>117.12</v>
      </c>
      <c r="L56" s="60">
        <v>26.15</v>
      </c>
      <c r="M56" s="60">
        <v>33</v>
      </c>
      <c r="N56" s="60">
        <v>349.5</v>
      </c>
      <c r="O56" s="60">
        <v>0</v>
      </c>
      <c r="P56" s="60">
        <v>0.83</v>
      </c>
      <c r="Q56" s="60">
        <v>29.63</v>
      </c>
      <c r="R56" s="198"/>
      <c r="S56" s="198"/>
      <c r="T56" s="198"/>
      <c r="U56" s="198"/>
    </row>
    <row r="57" spans="1:21" s="12" customFormat="1" x14ac:dyDescent="0.25">
      <c r="A57" s="213" t="s">
        <v>2807</v>
      </c>
      <c r="B57" s="60">
        <v>8.83</v>
      </c>
      <c r="C57" s="60">
        <v>83.37</v>
      </c>
      <c r="D57" s="60">
        <v>53.09</v>
      </c>
      <c r="E57" s="60">
        <v>3.78</v>
      </c>
      <c r="F57" s="60">
        <v>1.0900000000000001</v>
      </c>
      <c r="G57" s="60">
        <v>57.71</v>
      </c>
      <c r="H57" s="60">
        <v>28.35</v>
      </c>
      <c r="I57" s="60">
        <v>0.22</v>
      </c>
      <c r="J57" s="60">
        <v>1.55</v>
      </c>
      <c r="K57" s="60">
        <v>132.57</v>
      </c>
      <c r="L57" s="60">
        <v>25.6</v>
      </c>
      <c r="M57" s="60">
        <v>33</v>
      </c>
      <c r="N57" s="60">
        <v>348.1</v>
      </c>
      <c r="O57" s="60">
        <v>0</v>
      </c>
      <c r="P57" s="60">
        <v>0.8</v>
      </c>
      <c r="Q57" s="60">
        <v>29.69</v>
      </c>
      <c r="R57" s="198"/>
      <c r="S57" s="198"/>
      <c r="T57" s="198"/>
      <c r="U57" s="198"/>
    </row>
    <row r="58" spans="1:21" s="12" customFormat="1" x14ac:dyDescent="0.25">
      <c r="A58" s="213" t="s">
        <v>2808</v>
      </c>
      <c r="B58" s="60">
        <v>7.46</v>
      </c>
      <c r="C58" s="60">
        <v>81.47</v>
      </c>
      <c r="D58" s="60">
        <v>50.94</v>
      </c>
      <c r="E58" s="60">
        <v>4.54</v>
      </c>
      <c r="F58" s="60">
        <v>0.86</v>
      </c>
      <c r="G58" s="60">
        <v>51.55</v>
      </c>
      <c r="H58" s="60">
        <v>29.66</v>
      </c>
      <c r="I58" s="60">
        <v>0.22</v>
      </c>
      <c r="J58" s="60">
        <v>1.59</v>
      </c>
      <c r="K58" s="60">
        <v>132.97999999999999</v>
      </c>
      <c r="L58" s="60">
        <v>25.69</v>
      </c>
      <c r="M58" s="60">
        <v>33</v>
      </c>
      <c r="N58" s="60">
        <v>341.3</v>
      </c>
      <c r="O58" s="60">
        <v>0</v>
      </c>
      <c r="P58" s="60">
        <v>0.78</v>
      </c>
      <c r="Q58" s="60">
        <v>30.53</v>
      </c>
      <c r="R58" s="198"/>
      <c r="S58" s="198"/>
      <c r="T58" s="198"/>
      <c r="U58" s="198"/>
    </row>
    <row r="59" spans="1:21" s="12" customFormat="1" x14ac:dyDescent="0.25">
      <c r="A59" s="213" t="s">
        <v>2809</v>
      </c>
      <c r="B59" s="60">
        <v>5.81</v>
      </c>
      <c r="C59" s="60">
        <v>80.069999999999993</v>
      </c>
      <c r="D59" s="60">
        <v>48.85</v>
      </c>
      <c r="E59" s="60">
        <v>5.41</v>
      </c>
      <c r="F59" s="60">
        <v>0.78</v>
      </c>
      <c r="G59" s="60">
        <v>51.55</v>
      </c>
      <c r="H59" s="60">
        <v>29.66</v>
      </c>
      <c r="I59" s="60">
        <v>0.22</v>
      </c>
      <c r="J59" s="60">
        <v>0.87</v>
      </c>
      <c r="K59" s="60">
        <v>124.55</v>
      </c>
      <c r="L59" s="60">
        <v>26.7</v>
      </c>
      <c r="M59" s="60">
        <v>31</v>
      </c>
      <c r="N59" s="60">
        <v>333.5</v>
      </c>
      <c r="O59" s="60">
        <v>0</v>
      </c>
      <c r="P59" s="60">
        <v>0.75</v>
      </c>
      <c r="Q59" s="60">
        <v>31.35</v>
      </c>
      <c r="R59" s="198"/>
      <c r="S59" s="198"/>
      <c r="T59" s="198"/>
      <c r="U59" s="198"/>
    </row>
    <row r="60" spans="1:21" s="12" customFormat="1" x14ac:dyDescent="0.25">
      <c r="A60" s="213" t="s">
        <v>2810</v>
      </c>
      <c r="B60" s="60">
        <v>4.4000000000000004</v>
      </c>
      <c r="C60" s="60">
        <v>79.16</v>
      </c>
      <c r="D60" s="60">
        <v>47.21</v>
      </c>
      <c r="E60" s="60">
        <v>5.33</v>
      </c>
      <c r="F60" s="60">
        <v>1.88</v>
      </c>
      <c r="G60" s="60">
        <v>51.55</v>
      </c>
      <c r="H60" s="60">
        <v>29.66</v>
      </c>
      <c r="I60" s="60">
        <v>0.21</v>
      </c>
      <c r="J60" s="60">
        <v>0.76</v>
      </c>
      <c r="K60" s="60">
        <v>107.72</v>
      </c>
      <c r="L60" s="60">
        <v>27.15</v>
      </c>
      <c r="M60" s="60">
        <v>31</v>
      </c>
      <c r="N60" s="60">
        <v>327.10000000000002</v>
      </c>
      <c r="O60" s="60">
        <v>0</v>
      </c>
      <c r="P60" s="60">
        <v>0.74</v>
      </c>
      <c r="Q60" s="60">
        <v>31.89</v>
      </c>
      <c r="R60" s="198"/>
      <c r="S60" s="198"/>
      <c r="T60" s="198"/>
      <c r="U60" s="198"/>
    </row>
    <row r="61" spans="1:21" s="12" customFormat="1" x14ac:dyDescent="0.25">
      <c r="A61" s="213" t="s">
        <v>2811</v>
      </c>
      <c r="B61" s="60">
        <v>3.51</v>
      </c>
      <c r="C61" s="60">
        <v>78.900000000000006</v>
      </c>
      <c r="D61" s="60">
        <v>46.36</v>
      </c>
      <c r="E61" s="60">
        <v>5.24</v>
      </c>
      <c r="F61" s="60">
        <v>1.66</v>
      </c>
      <c r="G61" s="60">
        <v>50.17</v>
      </c>
      <c r="H61" s="60">
        <v>28.84</v>
      </c>
      <c r="I61" s="60">
        <v>0.2</v>
      </c>
      <c r="J61" s="60">
        <v>0.93</v>
      </c>
      <c r="K61" s="60">
        <v>125.2</v>
      </c>
      <c r="L61" s="60">
        <v>26.63</v>
      </c>
      <c r="M61" s="60">
        <v>31</v>
      </c>
      <c r="N61" s="60">
        <v>321.39999999999998</v>
      </c>
      <c r="O61" s="60">
        <v>0</v>
      </c>
      <c r="P61" s="60">
        <v>0.7</v>
      </c>
      <c r="Q61" s="60">
        <v>32.270000000000003</v>
      </c>
      <c r="R61" s="198"/>
      <c r="S61" s="198"/>
      <c r="T61" s="198"/>
      <c r="U61" s="198"/>
    </row>
    <row r="62" spans="1:21" s="12" customFormat="1" x14ac:dyDescent="0.25">
      <c r="A62" s="213" t="s">
        <v>2812</v>
      </c>
      <c r="B62" s="60">
        <v>3.27</v>
      </c>
      <c r="C62" s="60">
        <v>79.06</v>
      </c>
      <c r="D62" s="60">
        <v>46.26</v>
      </c>
      <c r="E62" s="60">
        <v>5.34</v>
      </c>
      <c r="F62" s="60">
        <v>2.04</v>
      </c>
      <c r="G62" s="60">
        <v>43.67</v>
      </c>
      <c r="H62" s="60">
        <v>25.97</v>
      </c>
      <c r="I62" s="60">
        <v>0.19</v>
      </c>
      <c r="J62" s="60">
        <v>0.51</v>
      </c>
      <c r="K62" s="60">
        <v>113.51</v>
      </c>
      <c r="L62" s="60">
        <v>27.64</v>
      </c>
      <c r="M62" s="60">
        <v>30</v>
      </c>
      <c r="N62" s="60">
        <v>311.39999999999998</v>
      </c>
      <c r="O62" s="60">
        <v>0</v>
      </c>
      <c r="P62" s="60">
        <v>0.71</v>
      </c>
      <c r="Q62" s="60">
        <v>32.19</v>
      </c>
      <c r="R62" s="198"/>
      <c r="S62" s="198"/>
      <c r="T62" s="198"/>
      <c r="U62" s="198"/>
    </row>
    <row r="63" spans="1:21" s="12" customFormat="1" x14ac:dyDescent="0.25">
      <c r="A63" s="213" t="s">
        <v>2813</v>
      </c>
      <c r="B63" s="60">
        <v>3.05</v>
      </c>
      <c r="C63" s="60">
        <v>79.489999999999995</v>
      </c>
      <c r="D63" s="60">
        <v>46.31</v>
      </c>
      <c r="E63" s="60">
        <v>5.73</v>
      </c>
      <c r="F63" s="60">
        <v>2.1</v>
      </c>
      <c r="G63" s="60">
        <v>43.67</v>
      </c>
      <c r="H63" s="60">
        <v>25.97</v>
      </c>
      <c r="I63" s="60">
        <v>0.2</v>
      </c>
      <c r="J63" s="60">
        <v>0.56999999999999995</v>
      </c>
      <c r="K63" s="60">
        <v>14.08</v>
      </c>
      <c r="L63" s="60">
        <v>29.37</v>
      </c>
      <c r="M63" s="60">
        <v>28</v>
      </c>
      <c r="N63" s="60">
        <v>303.39999999999998</v>
      </c>
      <c r="O63" s="60">
        <v>0</v>
      </c>
      <c r="P63" s="60">
        <v>0.7</v>
      </c>
      <c r="Q63" s="60">
        <v>32.18</v>
      </c>
      <c r="R63" s="198"/>
      <c r="S63" s="198"/>
      <c r="T63" s="198"/>
      <c r="U63" s="198"/>
    </row>
    <row r="64" spans="1:21" s="12" customFormat="1" x14ac:dyDescent="0.25">
      <c r="A64" s="213" t="s">
        <v>2814</v>
      </c>
      <c r="B64" s="60">
        <v>3.1</v>
      </c>
      <c r="C64" s="60">
        <v>81.14</v>
      </c>
      <c r="D64" s="60">
        <v>47.26</v>
      </c>
      <c r="E64" s="60">
        <v>5.74</v>
      </c>
      <c r="F64" s="60">
        <v>2.83</v>
      </c>
      <c r="G64" s="60">
        <v>43.67</v>
      </c>
      <c r="H64" s="60">
        <v>25.97</v>
      </c>
      <c r="I64" s="60">
        <v>0.21</v>
      </c>
      <c r="J64" s="60">
        <v>0.63</v>
      </c>
      <c r="K64" s="60">
        <v>19.07</v>
      </c>
      <c r="L64" s="60">
        <v>31.12</v>
      </c>
      <c r="M64" s="60">
        <v>25</v>
      </c>
      <c r="N64" s="60">
        <v>290.60000000000002</v>
      </c>
      <c r="O64" s="60">
        <v>0</v>
      </c>
      <c r="P64" s="60">
        <v>0.72</v>
      </c>
      <c r="Q64" s="60">
        <v>31.81</v>
      </c>
      <c r="R64" s="198"/>
      <c r="S64" s="198"/>
      <c r="T64" s="198"/>
      <c r="U64" s="198"/>
    </row>
    <row r="65" spans="1:21" s="12" customFormat="1" x14ac:dyDescent="0.25">
      <c r="A65" s="213" t="s">
        <v>2815</v>
      </c>
      <c r="B65" s="60">
        <v>3.48</v>
      </c>
      <c r="C65" s="60">
        <v>80.75</v>
      </c>
      <c r="D65" s="60">
        <v>47.36</v>
      </c>
      <c r="E65" s="60">
        <v>8.65</v>
      </c>
      <c r="F65" s="60">
        <v>4.38</v>
      </c>
      <c r="G65" s="60">
        <v>42.91</v>
      </c>
      <c r="H65" s="60">
        <v>25.4</v>
      </c>
      <c r="I65" s="60">
        <v>0.19</v>
      </c>
      <c r="J65" s="60">
        <v>0.51</v>
      </c>
      <c r="K65" s="60">
        <v>1.68</v>
      </c>
      <c r="L65" s="60">
        <v>30.47</v>
      </c>
      <c r="M65" s="60">
        <v>26</v>
      </c>
      <c r="N65" s="60">
        <v>277.60000000000002</v>
      </c>
      <c r="O65" s="60">
        <v>0</v>
      </c>
      <c r="P65" s="60">
        <v>0.73</v>
      </c>
      <c r="Q65" s="60">
        <v>31.09</v>
      </c>
      <c r="R65" s="198"/>
      <c r="S65" s="198"/>
      <c r="T65" s="198"/>
      <c r="U65" s="198"/>
    </row>
    <row r="66" spans="1:21" s="12" customFormat="1" x14ac:dyDescent="0.25">
      <c r="A66" s="213" t="s">
        <v>2816</v>
      </c>
      <c r="B66" s="60">
        <v>3.12</v>
      </c>
      <c r="C66" s="60">
        <v>75.56</v>
      </c>
      <c r="D66" s="60">
        <v>44.2</v>
      </c>
      <c r="E66" s="60">
        <v>9.1300000000000008</v>
      </c>
      <c r="F66" s="60">
        <v>6.26</v>
      </c>
      <c r="G66" s="60">
        <v>41.02</v>
      </c>
      <c r="H66" s="60">
        <v>23.39</v>
      </c>
      <c r="I66" s="60">
        <v>0.18</v>
      </c>
      <c r="J66" s="60">
        <v>0.05</v>
      </c>
      <c r="K66" s="60">
        <v>100.19</v>
      </c>
      <c r="L66" s="60">
        <v>30.18</v>
      </c>
      <c r="M66" s="60">
        <v>26</v>
      </c>
      <c r="N66" s="60">
        <v>210.9</v>
      </c>
      <c r="O66" s="60">
        <v>0</v>
      </c>
      <c r="P66" s="60">
        <v>0.72</v>
      </c>
      <c r="Q66" s="60">
        <v>30.35</v>
      </c>
      <c r="R66" s="198"/>
      <c r="S66" s="198"/>
      <c r="T66" s="198"/>
      <c r="U66" s="198"/>
    </row>
    <row r="67" spans="1:21" s="12" customFormat="1" x14ac:dyDescent="0.25">
      <c r="A67" s="213" t="s">
        <v>2817</v>
      </c>
      <c r="B67" s="60">
        <v>3.67</v>
      </c>
      <c r="C67" s="60">
        <v>79.489999999999995</v>
      </c>
      <c r="D67" s="60">
        <v>46.81</v>
      </c>
      <c r="E67" s="60">
        <v>7.78</v>
      </c>
      <c r="F67" s="60">
        <v>4.24</v>
      </c>
      <c r="G67" s="60">
        <v>41.02</v>
      </c>
      <c r="H67" s="60">
        <v>23.39</v>
      </c>
      <c r="I67" s="60">
        <v>0.18</v>
      </c>
      <c r="J67" s="60">
        <v>0.44</v>
      </c>
      <c r="K67" s="60">
        <v>35.18</v>
      </c>
      <c r="L67" s="60">
        <v>29.19</v>
      </c>
      <c r="M67" s="60">
        <v>28</v>
      </c>
      <c r="N67" s="60">
        <v>137.30000000000001</v>
      </c>
      <c r="O67" s="60">
        <v>0</v>
      </c>
      <c r="P67" s="60">
        <v>0.73</v>
      </c>
      <c r="Q67" s="60">
        <v>31.1</v>
      </c>
      <c r="R67" s="198"/>
      <c r="S67" s="198"/>
      <c r="T67" s="198"/>
      <c r="U67" s="198"/>
    </row>
    <row r="68" spans="1:21" s="12" customFormat="1" x14ac:dyDescent="0.25">
      <c r="A68" s="213" t="s">
        <v>2818</v>
      </c>
      <c r="B68" s="60">
        <v>4.12</v>
      </c>
      <c r="C68" s="60">
        <v>81.040000000000006</v>
      </c>
      <c r="D68" s="60">
        <v>48.03</v>
      </c>
      <c r="E68" s="60">
        <v>6.81</v>
      </c>
      <c r="F68" s="60">
        <v>3.24</v>
      </c>
      <c r="G68" s="60">
        <v>41.02</v>
      </c>
      <c r="H68" s="60">
        <v>23.39</v>
      </c>
      <c r="I68" s="60">
        <v>0.19</v>
      </c>
      <c r="J68" s="60">
        <v>0.3</v>
      </c>
      <c r="K68" s="60">
        <v>11.21</v>
      </c>
      <c r="L68" s="60">
        <v>29.97</v>
      </c>
      <c r="M68" s="60">
        <v>27</v>
      </c>
      <c r="N68" s="60">
        <v>186.5</v>
      </c>
      <c r="O68" s="60">
        <v>0</v>
      </c>
      <c r="P68" s="60">
        <v>0.74</v>
      </c>
      <c r="Q68" s="60">
        <v>31.63</v>
      </c>
      <c r="R68" s="198"/>
      <c r="S68" s="198"/>
      <c r="T68" s="198"/>
      <c r="U68" s="198"/>
    </row>
    <row r="69" spans="1:21" s="12" customFormat="1" x14ac:dyDescent="0.25">
      <c r="A69" s="213" t="s">
        <v>2819</v>
      </c>
      <c r="B69" s="60">
        <v>4.58</v>
      </c>
      <c r="C69" s="60">
        <v>81.349999999999994</v>
      </c>
      <c r="D69" s="60">
        <v>48.56</v>
      </c>
      <c r="E69" s="60">
        <v>8.9600000000000009</v>
      </c>
      <c r="F69" s="60">
        <v>4.4400000000000004</v>
      </c>
      <c r="G69" s="60">
        <v>42.42</v>
      </c>
      <c r="H69" s="60">
        <v>23.94</v>
      </c>
      <c r="I69" s="60">
        <v>0.19</v>
      </c>
      <c r="J69" s="60">
        <v>0.03</v>
      </c>
      <c r="K69" s="60">
        <v>195.98</v>
      </c>
      <c r="L69" s="60">
        <v>29.14</v>
      </c>
      <c r="M69" s="60">
        <v>28</v>
      </c>
      <c r="N69" s="60">
        <v>185.7</v>
      </c>
      <c r="O69" s="60">
        <v>0</v>
      </c>
      <c r="P69" s="60">
        <v>0.74</v>
      </c>
      <c r="Q69" s="60">
        <v>32.119999999999997</v>
      </c>
      <c r="R69" s="198"/>
      <c r="S69" s="198"/>
      <c r="T69" s="198"/>
      <c r="U69" s="198"/>
    </row>
    <row r="70" spans="1:21" s="12" customFormat="1" x14ac:dyDescent="0.25">
      <c r="A70" s="213" t="s">
        <v>2820</v>
      </c>
      <c r="B70" s="60">
        <v>6.27</v>
      </c>
      <c r="C70" s="60">
        <v>81.14</v>
      </c>
      <c r="D70" s="60">
        <v>49.81</v>
      </c>
      <c r="E70" s="60">
        <v>9.0399999999999991</v>
      </c>
      <c r="F70" s="60">
        <v>6.74</v>
      </c>
      <c r="G70" s="60">
        <v>45.88</v>
      </c>
      <c r="H70" s="60">
        <v>25.87</v>
      </c>
      <c r="I70" s="60">
        <v>0.2</v>
      </c>
      <c r="J70" s="60">
        <v>0.36</v>
      </c>
      <c r="K70" s="60">
        <v>13.54</v>
      </c>
      <c r="L70" s="60">
        <v>28.58</v>
      </c>
      <c r="M70" s="60">
        <v>29</v>
      </c>
      <c r="N70" s="60">
        <v>152.69999999999999</v>
      </c>
      <c r="O70" s="60">
        <v>0</v>
      </c>
      <c r="P70" s="60">
        <v>0.75</v>
      </c>
      <c r="Q70" s="60">
        <v>32.57</v>
      </c>
      <c r="R70" s="198"/>
      <c r="S70" s="198"/>
      <c r="T70" s="198"/>
      <c r="U70" s="198"/>
    </row>
    <row r="71" spans="1:21" s="12" customFormat="1" x14ac:dyDescent="0.25">
      <c r="A71" s="213" t="s">
        <v>2821</v>
      </c>
      <c r="B71" s="60">
        <v>6.77</v>
      </c>
      <c r="C71" s="60">
        <v>82.79</v>
      </c>
      <c r="D71" s="60">
        <v>51.11</v>
      </c>
      <c r="E71" s="60">
        <v>9.14</v>
      </c>
      <c r="F71" s="60">
        <v>3.88</v>
      </c>
      <c r="G71" s="60">
        <v>45.88</v>
      </c>
      <c r="H71" s="60">
        <v>25.87</v>
      </c>
      <c r="I71" s="60">
        <v>0.2</v>
      </c>
      <c r="J71" s="60">
        <v>0.55000000000000004</v>
      </c>
      <c r="K71" s="60">
        <v>24.15</v>
      </c>
      <c r="L71" s="60">
        <v>27.89</v>
      </c>
      <c r="M71" s="60">
        <v>30</v>
      </c>
      <c r="N71" s="60">
        <v>120.3</v>
      </c>
      <c r="O71" s="60">
        <v>0</v>
      </c>
      <c r="P71" s="60">
        <v>0.78</v>
      </c>
      <c r="Q71" s="60">
        <v>33.44</v>
      </c>
      <c r="R71" s="198"/>
      <c r="S71" s="198"/>
      <c r="T71" s="198"/>
      <c r="U71" s="198"/>
    </row>
    <row r="72" spans="1:21" s="12" customFormat="1" x14ac:dyDescent="0.25">
      <c r="A72" s="213" t="s">
        <v>2822</v>
      </c>
      <c r="B72" s="60">
        <v>7.36</v>
      </c>
      <c r="C72" s="60">
        <v>84.57</v>
      </c>
      <c r="D72" s="60">
        <v>52.57</v>
      </c>
      <c r="E72" s="60">
        <v>3.97</v>
      </c>
      <c r="F72" s="60">
        <v>2.0299999999999998</v>
      </c>
      <c r="G72" s="60">
        <v>45.88</v>
      </c>
      <c r="H72" s="60">
        <v>25.87</v>
      </c>
      <c r="I72" s="60">
        <v>0.21</v>
      </c>
      <c r="J72" s="60">
        <v>0.67</v>
      </c>
      <c r="K72" s="60">
        <v>21.76</v>
      </c>
      <c r="L72" s="60">
        <v>27.53</v>
      </c>
      <c r="M72" s="60">
        <v>31</v>
      </c>
      <c r="N72" s="60">
        <v>101.6</v>
      </c>
      <c r="O72" s="60">
        <v>0</v>
      </c>
      <c r="P72" s="60">
        <v>0.8</v>
      </c>
      <c r="Q72" s="60">
        <v>34.76</v>
      </c>
      <c r="R72" s="198"/>
      <c r="S72" s="198"/>
      <c r="T72" s="198"/>
      <c r="U72" s="198"/>
    </row>
    <row r="73" spans="1:21" s="12" customFormat="1" x14ac:dyDescent="0.25">
      <c r="A73" s="213" t="s">
        <v>2823</v>
      </c>
      <c r="B73" s="60">
        <v>7.39</v>
      </c>
      <c r="C73" s="60">
        <v>86.24</v>
      </c>
      <c r="D73" s="60">
        <v>53.52</v>
      </c>
      <c r="E73" s="60">
        <v>6.5</v>
      </c>
      <c r="F73" s="60">
        <v>0.93</v>
      </c>
      <c r="G73" s="60">
        <v>48.08</v>
      </c>
      <c r="H73" s="60">
        <v>26.56</v>
      </c>
      <c r="I73" s="60">
        <v>0.22</v>
      </c>
      <c r="J73" s="60">
        <v>0.86</v>
      </c>
      <c r="K73" s="60">
        <v>12.64</v>
      </c>
      <c r="L73" s="60">
        <v>27.33</v>
      </c>
      <c r="M73" s="60">
        <v>32</v>
      </c>
      <c r="N73" s="60">
        <v>63.3</v>
      </c>
      <c r="O73" s="60">
        <v>0</v>
      </c>
      <c r="P73" s="60">
        <v>0.83</v>
      </c>
      <c r="Q73" s="60">
        <v>35.770000000000003</v>
      </c>
      <c r="R73" s="198"/>
      <c r="S73" s="198"/>
      <c r="T73" s="198"/>
      <c r="U73" s="198"/>
    </row>
    <row r="74" spans="1:21" s="12" customFormat="1" x14ac:dyDescent="0.25">
      <c r="A74" s="213" t="s">
        <v>2824</v>
      </c>
      <c r="B74" s="60">
        <v>7.19</v>
      </c>
      <c r="C74" s="60">
        <v>89.49</v>
      </c>
      <c r="D74" s="60">
        <v>55.15</v>
      </c>
      <c r="E74" s="60">
        <v>6.51</v>
      </c>
      <c r="F74" s="60">
        <v>0.98</v>
      </c>
      <c r="G74" s="60">
        <v>53.5</v>
      </c>
      <c r="H74" s="60">
        <v>29</v>
      </c>
      <c r="I74" s="60">
        <v>0.23</v>
      </c>
      <c r="J74" s="60">
        <v>1.22</v>
      </c>
      <c r="K74" s="60">
        <v>10.17</v>
      </c>
      <c r="L74" s="60">
        <v>26.88</v>
      </c>
      <c r="M74" s="60">
        <v>34</v>
      </c>
      <c r="N74" s="60">
        <v>53.4</v>
      </c>
      <c r="O74" s="60">
        <v>0</v>
      </c>
      <c r="P74" s="60">
        <v>0.87</v>
      </c>
      <c r="Q74" s="60">
        <v>35.83</v>
      </c>
      <c r="R74" s="198"/>
      <c r="S74" s="198"/>
      <c r="T74" s="198"/>
      <c r="U74" s="198"/>
    </row>
    <row r="75" spans="1:21" s="12" customFormat="1" x14ac:dyDescent="0.25">
      <c r="A75" s="213" t="s">
        <v>2825</v>
      </c>
      <c r="B75" s="60">
        <v>6.67</v>
      </c>
      <c r="C75" s="60">
        <v>91.69</v>
      </c>
      <c r="D75" s="60">
        <v>55.95</v>
      </c>
      <c r="E75" s="60">
        <v>6.38</v>
      </c>
      <c r="F75" s="60">
        <v>1.07</v>
      </c>
      <c r="G75" s="60">
        <v>53.5</v>
      </c>
      <c r="H75" s="60">
        <v>29</v>
      </c>
      <c r="I75" s="60">
        <v>0.22</v>
      </c>
      <c r="J75" s="60">
        <v>1.44</v>
      </c>
      <c r="K75" s="60">
        <v>19.8</v>
      </c>
      <c r="L75" s="60">
        <v>26.35</v>
      </c>
      <c r="M75" s="60">
        <v>34</v>
      </c>
      <c r="N75" s="60">
        <v>45.3</v>
      </c>
      <c r="O75" s="60">
        <v>0</v>
      </c>
      <c r="P75" s="60">
        <v>0.9</v>
      </c>
      <c r="Q75" s="60">
        <v>35.549999999999997</v>
      </c>
      <c r="R75" s="198"/>
      <c r="S75" s="198"/>
      <c r="T75" s="198"/>
      <c r="U75" s="198"/>
    </row>
    <row r="76" spans="1:21" s="12" customFormat="1" x14ac:dyDescent="0.25">
      <c r="A76" s="213" t="s">
        <v>2826</v>
      </c>
      <c r="B76" s="60">
        <v>5.89</v>
      </c>
      <c r="C76" s="60">
        <v>92.79</v>
      </c>
      <c r="D76" s="60">
        <v>55.94</v>
      </c>
      <c r="E76" s="60">
        <v>6.75</v>
      </c>
      <c r="F76" s="60">
        <v>1.49</v>
      </c>
      <c r="G76" s="60">
        <v>53.5</v>
      </c>
      <c r="H76" s="60">
        <v>29</v>
      </c>
      <c r="I76" s="60">
        <v>0.22</v>
      </c>
      <c r="J76" s="60">
        <v>1.27</v>
      </c>
      <c r="K76" s="60">
        <v>16.850000000000001</v>
      </c>
      <c r="L76" s="60">
        <v>25.86</v>
      </c>
      <c r="M76" s="60">
        <v>36</v>
      </c>
      <c r="N76" s="60">
        <v>38</v>
      </c>
      <c r="O76" s="60">
        <v>0</v>
      </c>
      <c r="P76" s="60">
        <v>0.92</v>
      </c>
      <c r="Q76" s="60">
        <v>35.01</v>
      </c>
      <c r="R76" s="198"/>
      <c r="S76" s="198"/>
      <c r="T76" s="198"/>
      <c r="U76" s="198"/>
    </row>
    <row r="77" spans="1:21" s="12" customFormat="1" x14ac:dyDescent="0.25">
      <c r="A77" s="213" t="s">
        <v>2827</v>
      </c>
      <c r="B77" s="60">
        <v>5.67</v>
      </c>
      <c r="C77" s="60">
        <v>94.26</v>
      </c>
      <c r="D77" s="60">
        <v>56.56</v>
      </c>
      <c r="E77" s="60">
        <v>5.83</v>
      </c>
      <c r="F77" s="60">
        <v>1.32</v>
      </c>
      <c r="G77" s="60">
        <v>54.75</v>
      </c>
      <c r="H77" s="60">
        <v>29.08</v>
      </c>
      <c r="I77" s="60">
        <v>0.22</v>
      </c>
      <c r="J77" s="60">
        <v>0.97</v>
      </c>
      <c r="K77" s="60">
        <v>20.28</v>
      </c>
      <c r="L77" s="60">
        <v>25.38</v>
      </c>
      <c r="M77" s="60">
        <v>37</v>
      </c>
      <c r="N77" s="60">
        <v>31.4</v>
      </c>
      <c r="O77" s="60">
        <v>0</v>
      </c>
      <c r="P77" s="60">
        <v>0.94</v>
      </c>
      <c r="Q77" s="60">
        <v>34.57</v>
      </c>
      <c r="R77" s="198"/>
      <c r="S77" s="198"/>
      <c r="T77" s="198"/>
      <c r="U77" s="198"/>
    </row>
    <row r="78" spans="1:21" s="12" customFormat="1" x14ac:dyDescent="0.25">
      <c r="A78" s="213" t="s">
        <v>2828</v>
      </c>
      <c r="B78" s="60">
        <v>6.06</v>
      </c>
      <c r="C78" s="60">
        <v>95.68</v>
      </c>
      <c r="D78" s="60">
        <v>57.66</v>
      </c>
      <c r="E78" s="60">
        <v>5.85</v>
      </c>
      <c r="F78" s="60">
        <v>2.21</v>
      </c>
      <c r="G78" s="60">
        <v>60.62</v>
      </c>
      <c r="H78" s="60">
        <v>29.35</v>
      </c>
      <c r="I78" s="60">
        <v>0.21</v>
      </c>
      <c r="J78" s="60">
        <v>1.01</v>
      </c>
      <c r="K78" s="60">
        <v>22.36</v>
      </c>
      <c r="L78" s="60">
        <v>24.84</v>
      </c>
      <c r="M78" s="60">
        <v>39</v>
      </c>
      <c r="N78" s="60">
        <v>26.6</v>
      </c>
      <c r="O78" s="60">
        <v>0</v>
      </c>
      <c r="P78" s="60">
        <v>0.99</v>
      </c>
      <c r="Q78" s="60">
        <v>33.93</v>
      </c>
      <c r="R78" s="198"/>
      <c r="S78" s="198"/>
      <c r="T78" s="198"/>
      <c r="U78" s="198"/>
    </row>
    <row r="79" spans="1:21" s="12" customFormat="1" x14ac:dyDescent="0.25">
      <c r="A79" s="213" t="s">
        <v>2829</v>
      </c>
      <c r="B79" s="60">
        <v>6.28</v>
      </c>
      <c r="C79" s="60">
        <v>95.36</v>
      </c>
      <c r="D79" s="60">
        <v>57.67</v>
      </c>
      <c r="E79" s="60">
        <v>6.86</v>
      </c>
      <c r="F79" s="60">
        <v>3.91</v>
      </c>
      <c r="G79" s="60">
        <v>60.62</v>
      </c>
      <c r="H79" s="60">
        <v>29.35</v>
      </c>
      <c r="I79" s="60">
        <v>0.22</v>
      </c>
      <c r="J79" s="60">
        <v>0.92</v>
      </c>
      <c r="K79" s="60">
        <v>16.850000000000001</v>
      </c>
      <c r="L79" s="60">
        <v>24.37</v>
      </c>
      <c r="M79" s="60">
        <v>41</v>
      </c>
      <c r="N79" s="60">
        <v>24.8</v>
      </c>
      <c r="O79" s="60">
        <v>0</v>
      </c>
      <c r="P79" s="60">
        <v>1.04</v>
      </c>
      <c r="Q79" s="60">
        <v>33.46</v>
      </c>
      <c r="R79" s="198"/>
      <c r="S79" s="198"/>
      <c r="T79" s="198"/>
      <c r="U79" s="198"/>
    </row>
    <row r="80" spans="1:21" s="12" customFormat="1" x14ac:dyDescent="0.25">
      <c r="A80" s="213" t="s">
        <v>2830</v>
      </c>
      <c r="B80" s="60">
        <v>6.37</v>
      </c>
      <c r="C80" s="60">
        <v>94.31</v>
      </c>
      <c r="D80" s="60">
        <v>57.16</v>
      </c>
      <c r="E80" s="60">
        <v>6.16</v>
      </c>
      <c r="F80" s="60">
        <v>4.01</v>
      </c>
      <c r="G80" s="60">
        <v>60.62</v>
      </c>
      <c r="H80" s="60">
        <v>29.35</v>
      </c>
      <c r="I80" s="60">
        <v>0.22</v>
      </c>
      <c r="J80" s="60">
        <v>0.88</v>
      </c>
      <c r="K80" s="60">
        <v>11.56</v>
      </c>
      <c r="L80" s="60">
        <v>24</v>
      </c>
      <c r="M80" s="60">
        <v>42</v>
      </c>
      <c r="N80" s="60">
        <v>24.3</v>
      </c>
      <c r="O80" s="60">
        <v>0</v>
      </c>
      <c r="P80" s="60">
        <v>1.0900000000000001</v>
      </c>
      <c r="Q80" s="60">
        <v>32.450000000000003</v>
      </c>
      <c r="R80" s="198"/>
      <c r="S80" s="198"/>
      <c r="T80" s="198"/>
      <c r="U80" s="198"/>
    </row>
    <row r="81" spans="1:26" s="12" customFormat="1" x14ac:dyDescent="0.25">
      <c r="A81" s="213" t="s">
        <v>2831</v>
      </c>
      <c r="B81" s="60">
        <v>9.0500000000000007</v>
      </c>
      <c r="C81" s="60">
        <v>92.94</v>
      </c>
      <c r="D81" s="60">
        <v>58.55</v>
      </c>
      <c r="E81" s="60">
        <v>6.81</v>
      </c>
      <c r="F81" s="60">
        <v>4.0599999999999996</v>
      </c>
      <c r="G81" s="60">
        <v>62.03</v>
      </c>
      <c r="H81" s="60">
        <v>29.9</v>
      </c>
      <c r="I81" s="60">
        <v>0.23</v>
      </c>
      <c r="J81" s="60">
        <v>0.73</v>
      </c>
      <c r="K81" s="60">
        <v>13.17</v>
      </c>
      <c r="L81" s="60">
        <v>23.64</v>
      </c>
      <c r="M81" s="60">
        <v>43</v>
      </c>
      <c r="N81" s="60">
        <v>24.3</v>
      </c>
      <c r="O81" s="60">
        <v>0</v>
      </c>
      <c r="P81" s="60">
        <v>1.1499999999999999</v>
      </c>
      <c r="Q81" s="60">
        <v>32.1</v>
      </c>
      <c r="R81" s="198"/>
      <c r="S81" s="198"/>
      <c r="T81" s="198"/>
      <c r="U81" s="198"/>
    </row>
    <row r="82" spans="1:26" s="12" customFormat="1" x14ac:dyDescent="0.25">
      <c r="A82" s="213" t="s">
        <v>2832</v>
      </c>
      <c r="B82" s="60">
        <v>8.6</v>
      </c>
      <c r="C82" s="60">
        <v>98.84</v>
      </c>
      <c r="D82" s="60">
        <v>61.45</v>
      </c>
      <c r="E82" s="60">
        <v>6.62</v>
      </c>
      <c r="F82" s="60">
        <v>2.68</v>
      </c>
      <c r="G82" s="60">
        <v>65.52</v>
      </c>
      <c r="H82" s="60">
        <v>31.86</v>
      </c>
      <c r="I82" s="60">
        <v>0.24</v>
      </c>
      <c r="J82" s="60">
        <v>0.71</v>
      </c>
      <c r="K82" s="60">
        <v>11.75</v>
      </c>
      <c r="L82" s="60">
        <v>23.37</v>
      </c>
      <c r="M82" s="60">
        <v>43</v>
      </c>
      <c r="N82" s="60">
        <v>24.2</v>
      </c>
      <c r="O82" s="60">
        <v>0</v>
      </c>
      <c r="P82" s="60">
        <v>1.2</v>
      </c>
      <c r="Q82" s="60">
        <v>32.229999999999997</v>
      </c>
      <c r="R82" s="198"/>
      <c r="S82" s="198"/>
      <c r="T82" s="198"/>
      <c r="U82" s="198"/>
    </row>
    <row r="83" spans="1:26" s="12" customFormat="1" x14ac:dyDescent="0.25">
      <c r="A83" s="213" t="s">
        <v>2833</v>
      </c>
      <c r="B83" s="60">
        <v>10.16</v>
      </c>
      <c r="C83" s="60">
        <v>100.74</v>
      </c>
      <c r="D83" s="60">
        <v>63.74</v>
      </c>
      <c r="E83" s="60">
        <v>8.75</v>
      </c>
      <c r="F83" s="60">
        <v>2.41</v>
      </c>
      <c r="G83" s="60">
        <v>65.52</v>
      </c>
      <c r="H83" s="60">
        <v>31.86</v>
      </c>
      <c r="I83" s="60">
        <v>0.25</v>
      </c>
      <c r="J83" s="60">
        <v>0.28999999999999998</v>
      </c>
      <c r="K83" s="60">
        <v>24.9</v>
      </c>
      <c r="L83" s="60">
        <v>23.13</v>
      </c>
      <c r="M83" s="60">
        <v>44</v>
      </c>
      <c r="N83" s="60">
        <v>24.5</v>
      </c>
      <c r="O83" s="60">
        <v>0</v>
      </c>
      <c r="P83" s="60">
        <v>1.3</v>
      </c>
      <c r="Q83" s="60">
        <v>32.78</v>
      </c>
      <c r="R83" s="198"/>
      <c r="S83" s="198"/>
      <c r="T83" s="198"/>
      <c r="U83" s="198"/>
    </row>
    <row r="84" spans="1:26" s="12" customFormat="1" x14ac:dyDescent="0.25">
      <c r="A84" s="213" t="s">
        <v>2834</v>
      </c>
      <c r="B84" s="60">
        <v>13.29</v>
      </c>
      <c r="C84" s="60">
        <v>105.75</v>
      </c>
      <c r="D84" s="60">
        <v>69.02</v>
      </c>
      <c r="E84" s="60">
        <v>6.19</v>
      </c>
      <c r="F84" s="60">
        <v>0.48</v>
      </c>
      <c r="G84" s="60">
        <v>65.52</v>
      </c>
      <c r="H84" s="60">
        <v>31.86</v>
      </c>
      <c r="I84" s="60">
        <v>0.27</v>
      </c>
      <c r="J84" s="60">
        <v>0.11</v>
      </c>
      <c r="K84" s="60">
        <v>24.75</v>
      </c>
      <c r="L84" s="60">
        <v>22.69</v>
      </c>
      <c r="M84" s="60">
        <v>46</v>
      </c>
      <c r="N84" s="60">
        <v>24.6</v>
      </c>
      <c r="O84" s="60">
        <v>0</v>
      </c>
      <c r="P84" s="60">
        <v>1.43</v>
      </c>
      <c r="Q84" s="60">
        <v>33.340000000000003</v>
      </c>
      <c r="R84" s="198"/>
      <c r="S84" s="198"/>
      <c r="T84" s="198"/>
      <c r="U84" s="198"/>
    </row>
    <row r="85" spans="1:26" s="12" customFormat="1" x14ac:dyDescent="0.25">
      <c r="A85" s="213" t="s">
        <v>2835</v>
      </c>
      <c r="B85" s="60">
        <v>13.99</v>
      </c>
      <c r="C85" s="60">
        <v>104.61</v>
      </c>
      <c r="D85" s="60">
        <v>68.95</v>
      </c>
      <c r="E85" s="60">
        <v>5.83</v>
      </c>
      <c r="F85" s="60">
        <v>0.23</v>
      </c>
      <c r="G85" s="60">
        <v>71.88</v>
      </c>
      <c r="H85" s="60">
        <v>33.11</v>
      </c>
      <c r="I85" s="60">
        <v>0.28999999999999998</v>
      </c>
      <c r="J85" s="60">
        <v>0.22</v>
      </c>
      <c r="K85" s="60">
        <v>78.010000000000005</v>
      </c>
      <c r="L85" s="60">
        <v>22.58</v>
      </c>
      <c r="M85" s="60">
        <v>45</v>
      </c>
      <c r="N85" s="60">
        <v>24.2</v>
      </c>
      <c r="O85" s="60">
        <v>0</v>
      </c>
      <c r="P85" s="60">
        <v>1.41</v>
      </c>
      <c r="Q85" s="60">
        <v>33.92</v>
      </c>
      <c r="R85" s="198"/>
      <c r="S85" s="198"/>
      <c r="T85" s="198"/>
      <c r="U85" s="198"/>
    </row>
    <row r="86" spans="1:26" s="12" customFormat="1" x14ac:dyDescent="0.25">
      <c r="A86" s="213" t="s">
        <v>2836</v>
      </c>
      <c r="B86" s="60">
        <v>13.43</v>
      </c>
      <c r="C86" s="60">
        <v>103.07</v>
      </c>
      <c r="D86" s="60">
        <v>67.66</v>
      </c>
      <c r="E86" s="60">
        <v>5.75</v>
      </c>
      <c r="F86" s="60">
        <v>0.56000000000000005</v>
      </c>
      <c r="G86" s="60">
        <v>87.61</v>
      </c>
      <c r="H86" s="60">
        <v>37.47</v>
      </c>
      <c r="I86" s="60">
        <v>0.32</v>
      </c>
      <c r="J86" s="60">
        <v>0.13</v>
      </c>
      <c r="K86" s="60">
        <v>46.68</v>
      </c>
      <c r="L86" s="60">
        <v>22.34</v>
      </c>
      <c r="M86" s="60">
        <v>45</v>
      </c>
      <c r="N86" s="60">
        <v>24.3</v>
      </c>
      <c r="O86" s="60">
        <v>0</v>
      </c>
      <c r="P86" s="60">
        <v>1.48</v>
      </c>
      <c r="Q86" s="60">
        <v>34.74</v>
      </c>
      <c r="R86" s="198"/>
      <c r="S86" s="198"/>
      <c r="T86" s="198"/>
      <c r="U86" s="198"/>
    </row>
    <row r="87" spans="1:26" s="12" customFormat="1" x14ac:dyDescent="0.25">
      <c r="A87" s="213" t="s">
        <v>2837</v>
      </c>
      <c r="B87" s="60">
        <v>14.08</v>
      </c>
      <c r="C87" s="60">
        <v>103.09</v>
      </c>
      <c r="D87" s="60">
        <v>68.180000000000007</v>
      </c>
      <c r="E87" s="60">
        <v>5.3</v>
      </c>
      <c r="F87" s="60">
        <v>0.62</v>
      </c>
      <c r="G87" s="60">
        <v>87.61</v>
      </c>
      <c r="H87" s="60">
        <v>37.47</v>
      </c>
      <c r="I87" s="60">
        <v>0.34</v>
      </c>
      <c r="J87" s="60">
        <v>0.21</v>
      </c>
      <c r="K87" s="60">
        <v>49.18</v>
      </c>
      <c r="L87" s="60">
        <v>22.26</v>
      </c>
      <c r="M87" s="60">
        <v>45</v>
      </c>
      <c r="N87" s="60">
        <v>24.2</v>
      </c>
      <c r="O87" s="60">
        <v>0</v>
      </c>
      <c r="P87" s="60">
        <v>1.58</v>
      </c>
      <c r="Q87" s="60">
        <v>36.01</v>
      </c>
      <c r="R87" s="198"/>
      <c r="S87" s="198"/>
      <c r="T87" s="198"/>
      <c r="U87" s="198"/>
    </row>
    <row r="88" spans="1:26" s="12" customFormat="1" x14ac:dyDescent="0.25">
      <c r="A88" s="213" t="s">
        <v>2838</v>
      </c>
      <c r="B88" s="60">
        <v>15.09</v>
      </c>
      <c r="C88" s="60">
        <v>105.44</v>
      </c>
      <c r="D88" s="60">
        <v>70.290000000000006</v>
      </c>
      <c r="E88" s="60">
        <v>3.7</v>
      </c>
      <c r="F88" s="60">
        <v>0.14000000000000001</v>
      </c>
      <c r="G88" s="60">
        <v>87.61</v>
      </c>
      <c r="H88" s="60">
        <v>37.47</v>
      </c>
      <c r="I88" s="60">
        <v>0.36</v>
      </c>
      <c r="J88" s="60">
        <v>0.14000000000000001</v>
      </c>
      <c r="K88" s="60">
        <v>28.2</v>
      </c>
      <c r="L88" s="60">
        <v>22.01</v>
      </c>
      <c r="M88" s="60">
        <v>46</v>
      </c>
      <c r="N88" s="60">
        <v>24.5</v>
      </c>
      <c r="O88" s="60">
        <v>0</v>
      </c>
      <c r="P88" s="60">
        <v>1.72</v>
      </c>
      <c r="Q88" s="60">
        <v>36.43</v>
      </c>
      <c r="R88" s="198"/>
      <c r="S88" s="198"/>
      <c r="T88" s="198"/>
      <c r="U88" s="198"/>
    </row>
    <row r="89" spans="1:26" s="12" customFormat="1" x14ac:dyDescent="0.25">
      <c r="A89" s="213" t="s">
        <v>2839</v>
      </c>
      <c r="B89" s="60">
        <v>17.78</v>
      </c>
      <c r="C89" s="60">
        <v>109.11</v>
      </c>
      <c r="D89" s="60">
        <v>74.47</v>
      </c>
      <c r="E89" s="60">
        <v>5.64</v>
      </c>
      <c r="F89" s="255" t="s">
        <v>47</v>
      </c>
      <c r="G89" s="60">
        <v>91.13</v>
      </c>
      <c r="H89" s="60">
        <v>39.04</v>
      </c>
      <c r="I89" s="60">
        <v>0.37</v>
      </c>
      <c r="J89" s="60">
        <v>0.16</v>
      </c>
      <c r="K89" s="60">
        <v>32.950000000000003</v>
      </c>
      <c r="L89" s="60">
        <v>21.68</v>
      </c>
      <c r="M89" s="60">
        <v>47</v>
      </c>
      <c r="N89" s="60">
        <v>24.3</v>
      </c>
      <c r="O89" s="60">
        <v>0</v>
      </c>
      <c r="P89" s="60">
        <v>1.9</v>
      </c>
      <c r="Q89" s="60">
        <v>36.729999999999997</v>
      </c>
      <c r="R89" s="198"/>
      <c r="S89" s="198"/>
      <c r="T89" s="198"/>
      <c r="U89" s="198"/>
    </row>
    <row r="90" spans="1:26" s="12" customFormat="1" x14ac:dyDescent="0.25">
      <c r="A90" s="213" t="s">
        <v>2840</v>
      </c>
      <c r="B90" s="60">
        <v>19.829999999999998</v>
      </c>
      <c r="C90" s="60">
        <v>112.17</v>
      </c>
      <c r="D90" s="60">
        <v>77.81</v>
      </c>
      <c r="E90" s="60">
        <v>5.78</v>
      </c>
      <c r="F90" s="60">
        <v>0.05</v>
      </c>
      <c r="G90" s="60">
        <v>99.85</v>
      </c>
      <c r="H90" s="60">
        <v>44.53</v>
      </c>
      <c r="I90" s="60">
        <v>0.38</v>
      </c>
      <c r="J90" s="60">
        <v>0.2</v>
      </c>
      <c r="K90" s="60">
        <v>48.37</v>
      </c>
      <c r="L90" s="60">
        <v>21.79</v>
      </c>
      <c r="M90" s="60">
        <v>46</v>
      </c>
      <c r="N90" s="60">
        <v>24.1</v>
      </c>
      <c r="O90" s="60">
        <v>0</v>
      </c>
      <c r="P90" s="60">
        <v>2.04</v>
      </c>
      <c r="Q90" s="60">
        <v>36.729999999999997</v>
      </c>
      <c r="R90" s="198"/>
      <c r="S90" s="198"/>
      <c r="T90" s="198"/>
      <c r="U90" s="198"/>
    </row>
    <row r="91" spans="1:26" s="12" customFormat="1" x14ac:dyDescent="0.25">
      <c r="A91" s="213" t="s">
        <v>2841</v>
      </c>
      <c r="B91" s="60">
        <v>20.54</v>
      </c>
      <c r="C91" s="60">
        <v>114.17</v>
      </c>
      <c r="D91" s="60">
        <v>79.48</v>
      </c>
      <c r="E91" s="60">
        <v>5.64</v>
      </c>
      <c r="F91" s="60">
        <v>0.56000000000000005</v>
      </c>
      <c r="G91" s="60">
        <v>99.85</v>
      </c>
      <c r="H91" s="60">
        <v>44.53</v>
      </c>
      <c r="I91" s="60">
        <v>0.4</v>
      </c>
      <c r="J91" s="60">
        <v>0.16</v>
      </c>
      <c r="K91" s="60">
        <v>34.43</v>
      </c>
      <c r="L91" s="60">
        <v>21.57</v>
      </c>
      <c r="M91" s="60">
        <v>47</v>
      </c>
      <c r="N91" s="60">
        <v>24.2</v>
      </c>
      <c r="O91" s="60">
        <v>0</v>
      </c>
      <c r="P91" s="60">
        <v>2.13</v>
      </c>
      <c r="Q91" s="60">
        <v>36.840000000000003</v>
      </c>
      <c r="R91" s="198"/>
      <c r="S91" s="198"/>
      <c r="T91" s="198"/>
      <c r="U91" s="198"/>
    </row>
    <row r="92" spans="1:26" s="12" customFormat="1" x14ac:dyDescent="0.25">
      <c r="A92" s="213" t="s">
        <v>2842</v>
      </c>
      <c r="B92" s="60">
        <v>20.78</v>
      </c>
      <c r="C92" s="60">
        <v>115.87</v>
      </c>
      <c r="D92" s="60">
        <v>80.61</v>
      </c>
      <c r="E92" s="60">
        <v>5.68</v>
      </c>
      <c r="F92" s="60">
        <v>0.76</v>
      </c>
      <c r="G92" s="60">
        <v>99.85</v>
      </c>
      <c r="H92" s="60">
        <v>44.53</v>
      </c>
      <c r="I92" s="60">
        <v>0.42</v>
      </c>
      <c r="J92" s="60">
        <v>0.16</v>
      </c>
      <c r="K92" s="60">
        <v>61.75</v>
      </c>
      <c r="L92" s="60">
        <v>21.5</v>
      </c>
      <c r="M92" s="60">
        <v>46</v>
      </c>
      <c r="N92" s="60">
        <v>24</v>
      </c>
      <c r="O92" s="60">
        <v>0</v>
      </c>
      <c r="P92" s="60">
        <v>2.2000000000000002</v>
      </c>
      <c r="Q92" s="60">
        <v>36.700000000000003</v>
      </c>
      <c r="R92" s="198"/>
      <c r="S92" s="198"/>
      <c r="T92" s="198"/>
      <c r="U92" s="198"/>
    </row>
    <row r="93" spans="1:26" s="12" customFormat="1" x14ac:dyDescent="0.25">
      <c r="A93" s="213" t="s">
        <v>2843</v>
      </c>
      <c r="B93" s="60">
        <v>19.95</v>
      </c>
      <c r="C93" s="60">
        <v>115.89</v>
      </c>
      <c r="D93" s="60">
        <v>79.95</v>
      </c>
      <c r="E93" s="60">
        <v>5.99</v>
      </c>
      <c r="F93" s="60">
        <v>0.74</v>
      </c>
      <c r="G93" s="60">
        <v>98.76</v>
      </c>
      <c r="H93" s="60">
        <v>44.39</v>
      </c>
      <c r="I93" s="60">
        <v>0.44</v>
      </c>
      <c r="J93" s="60">
        <v>0.06</v>
      </c>
      <c r="K93" s="60">
        <v>86.83</v>
      </c>
      <c r="L93" s="60">
        <v>21.41</v>
      </c>
      <c r="M93" s="60">
        <v>46</v>
      </c>
      <c r="N93" s="60">
        <v>24.3</v>
      </c>
      <c r="O93" s="60">
        <v>0</v>
      </c>
      <c r="P93" s="60">
        <v>2.21</v>
      </c>
      <c r="Q93" s="60">
        <v>36.07</v>
      </c>
      <c r="R93" s="198"/>
      <c r="S93" s="198"/>
      <c r="T93" s="198"/>
      <c r="U93" s="198"/>
    </row>
    <row r="94" spans="1:26" s="12" customFormat="1" x14ac:dyDescent="0.25">
      <c r="A94" s="213" t="s">
        <v>2844</v>
      </c>
      <c r="B94" s="60">
        <v>20.62</v>
      </c>
      <c r="C94" s="60">
        <v>118.35</v>
      </c>
      <c r="D94" s="60">
        <v>81.849999999999994</v>
      </c>
      <c r="E94" s="60">
        <v>5.71</v>
      </c>
      <c r="F94" s="60">
        <v>0.06</v>
      </c>
      <c r="G94" s="60">
        <v>93.64</v>
      </c>
      <c r="H94" s="60">
        <v>43.9</v>
      </c>
      <c r="I94" s="60">
        <v>0.45</v>
      </c>
      <c r="J94" s="60">
        <v>0.06</v>
      </c>
      <c r="K94" s="60">
        <v>201.8</v>
      </c>
      <c r="L94" s="60">
        <v>20.98</v>
      </c>
      <c r="M94" s="60">
        <v>48</v>
      </c>
      <c r="N94" s="60">
        <v>24.4</v>
      </c>
      <c r="O94" s="60">
        <v>0</v>
      </c>
      <c r="P94" s="60">
        <v>2.2200000000000002</v>
      </c>
      <c r="Q94" s="60">
        <v>34.94</v>
      </c>
      <c r="R94" s="198"/>
      <c r="S94" s="198"/>
      <c r="T94" s="198"/>
      <c r="U94" s="198"/>
    </row>
    <row r="95" spans="1:26" s="12" customFormat="1" x14ac:dyDescent="0.25">
      <c r="A95" s="213" t="s">
        <v>2845</v>
      </c>
      <c r="B95" s="60">
        <v>21.34</v>
      </c>
      <c r="C95" s="60">
        <v>115.47</v>
      </c>
      <c r="D95" s="60">
        <v>80.84</v>
      </c>
      <c r="E95" s="60">
        <v>5.45</v>
      </c>
      <c r="F95" s="60">
        <v>0.64</v>
      </c>
      <c r="G95" s="60">
        <v>93.64</v>
      </c>
      <c r="H95" s="60">
        <v>43.9</v>
      </c>
      <c r="I95" s="60">
        <v>0.45</v>
      </c>
      <c r="J95" s="60">
        <v>0.04</v>
      </c>
      <c r="K95" s="60">
        <v>14.8</v>
      </c>
      <c r="L95" s="60">
        <v>20.51</v>
      </c>
      <c r="M95" s="60">
        <v>50</v>
      </c>
      <c r="N95" s="60">
        <v>24.5</v>
      </c>
      <c r="O95" s="60">
        <v>0</v>
      </c>
      <c r="P95" s="60">
        <v>2.21</v>
      </c>
      <c r="Q95" s="60">
        <v>34.9</v>
      </c>
      <c r="R95" s="198"/>
      <c r="S95" s="198"/>
      <c r="T95" s="198"/>
      <c r="U95" s="198"/>
    </row>
    <row r="96" spans="1:26" s="12" customFormat="1" x14ac:dyDescent="0.25">
      <c r="A96" s="213" t="s">
        <v>2846</v>
      </c>
      <c r="B96" s="60">
        <v>22.31</v>
      </c>
      <c r="C96" s="60">
        <v>115.11</v>
      </c>
      <c r="D96" s="60">
        <v>81.42</v>
      </c>
      <c r="E96" s="60">
        <v>5.42</v>
      </c>
      <c r="F96" s="60">
        <v>0.43</v>
      </c>
      <c r="G96" s="60">
        <v>93.64</v>
      </c>
      <c r="H96" s="60">
        <v>43.9</v>
      </c>
      <c r="I96" s="60">
        <v>0.46</v>
      </c>
      <c r="J96" s="60">
        <v>0.11</v>
      </c>
      <c r="K96" s="60">
        <v>45.69</v>
      </c>
      <c r="L96" s="60">
        <v>20.43</v>
      </c>
      <c r="M96" s="60">
        <v>50</v>
      </c>
      <c r="N96" s="60">
        <v>24</v>
      </c>
      <c r="O96" s="60">
        <v>0</v>
      </c>
      <c r="P96" s="60">
        <v>2.2200000000000002</v>
      </c>
      <c r="Q96" s="60">
        <v>35.299999999999997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2847</v>
      </c>
      <c r="B97" s="60">
        <v>23.18</v>
      </c>
      <c r="C97" s="60">
        <v>114.91</v>
      </c>
      <c r="D97" s="60">
        <v>82</v>
      </c>
      <c r="E97" s="60">
        <v>5.66</v>
      </c>
      <c r="F97" s="60">
        <v>0.61</v>
      </c>
      <c r="G97" s="60">
        <v>91.6</v>
      </c>
      <c r="H97" s="60">
        <v>43.77</v>
      </c>
      <c r="I97" s="60">
        <v>0.48</v>
      </c>
      <c r="J97" s="60">
        <v>0.2</v>
      </c>
      <c r="K97" s="60">
        <v>36.64</v>
      </c>
      <c r="L97" s="60">
        <v>20.61</v>
      </c>
      <c r="M97" s="60">
        <v>49</v>
      </c>
      <c r="N97" s="60">
        <v>23.8</v>
      </c>
      <c r="O97" s="60">
        <v>0</v>
      </c>
      <c r="P97" s="60">
        <v>2.21</v>
      </c>
      <c r="Q97" s="60">
        <v>35.57</v>
      </c>
      <c r="R97" s="198"/>
      <c r="S97" s="198"/>
      <c r="T97" s="198"/>
      <c r="U97" s="198"/>
    </row>
    <row r="98" spans="1:33" s="12" customFormat="1" x14ac:dyDescent="0.25">
      <c r="A98" s="213" t="s">
        <v>2848</v>
      </c>
      <c r="B98" s="60">
        <v>22.58</v>
      </c>
      <c r="C98" s="60">
        <v>113.28</v>
      </c>
      <c r="D98" s="60">
        <v>80.63</v>
      </c>
      <c r="E98" s="60">
        <v>5.79</v>
      </c>
      <c r="F98" s="60">
        <v>0.6</v>
      </c>
      <c r="G98" s="60">
        <v>86.55</v>
      </c>
      <c r="H98" s="60">
        <v>43.31</v>
      </c>
      <c r="I98" s="60">
        <v>0.49</v>
      </c>
      <c r="J98" s="60">
        <v>0.27</v>
      </c>
      <c r="K98" s="60">
        <v>83.78</v>
      </c>
      <c r="L98" s="60">
        <v>20.94</v>
      </c>
      <c r="M98" s="60">
        <v>47</v>
      </c>
      <c r="N98" s="60">
        <v>23.9</v>
      </c>
      <c r="O98" s="60">
        <v>0</v>
      </c>
      <c r="P98" s="60">
        <v>2.1800000000000002</v>
      </c>
      <c r="Q98" s="60">
        <v>35.67</v>
      </c>
      <c r="R98" s="198"/>
      <c r="S98" s="198"/>
      <c r="T98" s="198"/>
      <c r="U98" s="198"/>
    </row>
    <row r="99" spans="1:33" s="12" customFormat="1" x14ac:dyDescent="0.25">
      <c r="A99" s="213" t="s">
        <v>2849</v>
      </c>
      <c r="B99" s="60">
        <v>22.13</v>
      </c>
      <c r="C99" s="60">
        <v>112.14</v>
      </c>
      <c r="D99" s="60">
        <v>79.63</v>
      </c>
      <c r="E99" s="60">
        <v>5.79</v>
      </c>
      <c r="F99" s="60">
        <v>0.34</v>
      </c>
      <c r="G99" s="60">
        <v>86.55</v>
      </c>
      <c r="H99" s="60">
        <v>43.31</v>
      </c>
      <c r="I99" s="60">
        <v>0.5</v>
      </c>
      <c r="J99" s="60">
        <v>0.27</v>
      </c>
      <c r="K99" s="60">
        <v>82.58</v>
      </c>
      <c r="L99" s="60">
        <v>20.77</v>
      </c>
      <c r="M99" s="60">
        <v>48</v>
      </c>
      <c r="N99" s="60">
        <v>24</v>
      </c>
      <c r="O99" s="60">
        <v>0</v>
      </c>
      <c r="P99" s="60">
        <v>2.17</v>
      </c>
      <c r="Q99" s="60">
        <v>35.86</v>
      </c>
      <c r="R99" s="198"/>
      <c r="S99" s="198"/>
      <c r="T99" s="198"/>
      <c r="U99" s="198"/>
    </row>
    <row r="100" spans="1:33" s="12" customFormat="1" x14ac:dyDescent="0.25">
      <c r="A100" s="213" t="s">
        <v>2850</v>
      </c>
      <c r="B100" s="60">
        <v>21.55</v>
      </c>
      <c r="C100" s="60">
        <v>110.75</v>
      </c>
      <c r="D100" s="60">
        <v>78.400000000000006</v>
      </c>
      <c r="E100" s="60">
        <v>5.78</v>
      </c>
      <c r="F100" s="60">
        <v>0.18</v>
      </c>
      <c r="G100" s="60">
        <v>86.55</v>
      </c>
      <c r="H100" s="60">
        <v>43.31</v>
      </c>
      <c r="I100" s="60">
        <v>0.5</v>
      </c>
      <c r="J100" s="60">
        <v>0.35</v>
      </c>
      <c r="K100" s="60">
        <v>58.59</v>
      </c>
      <c r="L100" s="60">
        <v>20.66</v>
      </c>
      <c r="M100" s="60">
        <v>49</v>
      </c>
      <c r="N100" s="60">
        <v>23.9</v>
      </c>
      <c r="O100" s="60">
        <v>0</v>
      </c>
      <c r="P100" s="60">
        <v>2.14</v>
      </c>
      <c r="Q100" s="60">
        <v>36.21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2851</v>
      </c>
      <c r="B101" s="60">
        <v>20.49</v>
      </c>
      <c r="C101" s="60">
        <v>109.29</v>
      </c>
      <c r="D101" s="60">
        <v>76.739999999999995</v>
      </c>
      <c r="E101" s="60">
        <v>6.08</v>
      </c>
      <c r="F101" s="60">
        <v>0.14000000000000001</v>
      </c>
      <c r="G101" s="60">
        <v>86</v>
      </c>
      <c r="H101" s="60">
        <v>43.01</v>
      </c>
      <c r="I101" s="60">
        <v>0.51</v>
      </c>
      <c r="J101" s="60">
        <v>0.35</v>
      </c>
      <c r="K101" s="60">
        <v>26.85</v>
      </c>
      <c r="L101" s="60">
        <v>20.59</v>
      </c>
      <c r="M101" s="60">
        <v>48</v>
      </c>
      <c r="N101" s="60">
        <v>23.8</v>
      </c>
      <c r="O101" s="60">
        <v>0</v>
      </c>
      <c r="P101" s="60">
        <v>2.09</v>
      </c>
      <c r="Q101" s="60">
        <v>36.799999999999997</v>
      </c>
      <c r="R101" s="198"/>
      <c r="S101" s="198"/>
      <c r="T101" s="198"/>
      <c r="U101" s="198"/>
    </row>
    <row r="102" spans="1:33" s="12" customFormat="1" x14ac:dyDescent="0.25">
      <c r="A102" s="213" t="s">
        <v>2852</v>
      </c>
      <c r="B102" s="60">
        <v>18.86</v>
      </c>
      <c r="C102" s="60">
        <v>108.05</v>
      </c>
      <c r="D102" s="60">
        <v>74.75</v>
      </c>
      <c r="E102" s="60">
        <v>5.55</v>
      </c>
      <c r="F102" s="60">
        <v>7.0000000000000007E-2</v>
      </c>
      <c r="G102" s="60">
        <v>84.64</v>
      </c>
      <c r="H102" s="60">
        <v>41.97</v>
      </c>
      <c r="I102" s="60">
        <v>0.51</v>
      </c>
      <c r="J102" s="60">
        <v>0.33</v>
      </c>
      <c r="K102" s="60">
        <v>34.19</v>
      </c>
      <c r="L102" s="60">
        <v>20.350000000000001</v>
      </c>
      <c r="M102" s="60">
        <v>49</v>
      </c>
      <c r="N102" s="60">
        <v>24.1</v>
      </c>
      <c r="O102" s="60">
        <v>0</v>
      </c>
      <c r="P102" s="60">
        <v>2.02</v>
      </c>
      <c r="Q102" s="60">
        <v>36.81</v>
      </c>
      <c r="R102" s="198"/>
      <c r="S102" s="198"/>
      <c r="T102" s="198"/>
      <c r="U102" s="198"/>
    </row>
    <row r="103" spans="1:33" s="12" customFormat="1" x14ac:dyDescent="0.25">
      <c r="A103" s="213" t="s">
        <v>2853</v>
      </c>
      <c r="B103" s="60">
        <v>17.16</v>
      </c>
      <c r="C103" s="60">
        <v>106.39</v>
      </c>
      <c r="D103" s="60">
        <v>72.48</v>
      </c>
      <c r="E103" s="60">
        <v>5.27</v>
      </c>
      <c r="F103" s="60">
        <v>0.23</v>
      </c>
      <c r="G103" s="60">
        <v>84.64</v>
      </c>
      <c r="H103" s="60">
        <v>41.97</v>
      </c>
      <c r="I103" s="60">
        <v>0.49</v>
      </c>
      <c r="J103" s="60">
        <v>0.3</v>
      </c>
      <c r="K103" s="60">
        <v>19.93</v>
      </c>
      <c r="L103" s="60">
        <v>20.16</v>
      </c>
      <c r="M103" s="60">
        <v>49</v>
      </c>
      <c r="N103" s="60">
        <v>24.2</v>
      </c>
      <c r="O103" s="60">
        <v>0</v>
      </c>
      <c r="P103" s="60">
        <v>1.94</v>
      </c>
      <c r="Q103" s="60">
        <v>36.659999999999997</v>
      </c>
      <c r="R103" s="198"/>
      <c r="S103" s="198"/>
      <c r="T103" s="198"/>
      <c r="U103" s="198"/>
    </row>
    <row r="104" spans="1:33" s="12" customFormat="1" x14ac:dyDescent="0.25">
      <c r="A104" s="213" t="s">
        <v>2854</v>
      </c>
      <c r="B104" s="60">
        <v>15.36</v>
      </c>
      <c r="C104" s="60">
        <v>104.46</v>
      </c>
      <c r="D104" s="60">
        <v>69.97</v>
      </c>
      <c r="E104" s="60">
        <v>2.54</v>
      </c>
      <c r="F104" s="60">
        <v>0.09</v>
      </c>
      <c r="G104" s="60">
        <v>84.64</v>
      </c>
      <c r="H104" s="60">
        <v>41.97</v>
      </c>
      <c r="I104" s="60">
        <v>0.48</v>
      </c>
      <c r="J104" s="60">
        <v>0.3</v>
      </c>
      <c r="K104" s="60">
        <v>30</v>
      </c>
      <c r="L104" s="60">
        <v>19.79</v>
      </c>
      <c r="M104" s="60">
        <v>51</v>
      </c>
      <c r="N104" s="60">
        <v>24.3</v>
      </c>
      <c r="O104" s="60">
        <v>0</v>
      </c>
      <c r="P104" s="60">
        <v>1.86</v>
      </c>
      <c r="Q104" s="60">
        <v>36.22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3.05</v>
      </c>
      <c r="C106" s="67">
        <f>MIN(C9:C104)</f>
        <v>70.599999999999994</v>
      </c>
      <c r="D106" s="67">
        <f t="shared" ref="D106:Q106" si="0">MIN(D9:D104)</f>
        <v>42.97</v>
      </c>
      <c r="E106" s="67">
        <f t="shared" si="0"/>
        <v>1.92</v>
      </c>
      <c r="F106" s="67">
        <f t="shared" si="0"/>
        <v>0.05</v>
      </c>
      <c r="G106" s="67">
        <f t="shared" si="0"/>
        <v>28.54</v>
      </c>
      <c r="H106" s="67">
        <f t="shared" si="0"/>
        <v>16.670000000000002</v>
      </c>
      <c r="I106" s="67">
        <f t="shared" si="0"/>
        <v>0.18</v>
      </c>
      <c r="J106" s="67">
        <f t="shared" si="0"/>
        <v>0.03</v>
      </c>
      <c r="K106" s="67">
        <f t="shared" si="0"/>
        <v>1.68</v>
      </c>
      <c r="L106" s="67">
        <f t="shared" si="0"/>
        <v>17.079999999999998</v>
      </c>
      <c r="M106" s="67">
        <f t="shared" si="0"/>
        <v>25</v>
      </c>
      <c r="N106" s="67">
        <f t="shared" si="0"/>
        <v>23.7</v>
      </c>
      <c r="O106" s="67">
        <f t="shared" si="0"/>
        <v>0</v>
      </c>
      <c r="P106" s="67">
        <f t="shared" si="0"/>
        <v>0.67</v>
      </c>
      <c r="Q106" s="67">
        <f t="shared" si="0"/>
        <v>28.64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26.9</v>
      </c>
      <c r="C107" s="66">
        <f t="shared" ref="C107:Q107" si="1">MAX(C9:C104)</f>
        <v>118.35</v>
      </c>
      <c r="D107" s="66">
        <f t="shared" si="1"/>
        <v>82</v>
      </c>
      <c r="E107" s="66">
        <f t="shared" si="1"/>
        <v>9.14</v>
      </c>
      <c r="F107" s="66">
        <f t="shared" si="1"/>
        <v>6.74</v>
      </c>
      <c r="G107" s="66">
        <f t="shared" si="1"/>
        <v>99.85</v>
      </c>
      <c r="H107" s="66">
        <f t="shared" si="1"/>
        <v>44.53</v>
      </c>
      <c r="I107" s="66">
        <f t="shared" si="1"/>
        <v>0.51</v>
      </c>
      <c r="J107" s="66">
        <f t="shared" si="1"/>
        <v>1.59</v>
      </c>
      <c r="K107" s="66">
        <f t="shared" si="1"/>
        <v>201.8</v>
      </c>
      <c r="L107" s="66">
        <f t="shared" si="1"/>
        <v>31.12</v>
      </c>
      <c r="M107" s="66">
        <f t="shared" si="1"/>
        <v>57</v>
      </c>
      <c r="N107" s="66">
        <f t="shared" si="1"/>
        <v>349.5</v>
      </c>
      <c r="O107" s="66">
        <f t="shared" si="1"/>
        <v>0</v>
      </c>
      <c r="P107" s="66">
        <f t="shared" si="1"/>
        <v>2.2200000000000002</v>
      </c>
      <c r="Q107" s="66">
        <f t="shared" si="1"/>
        <v>36.840000000000003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10.805833333333327</v>
      </c>
      <c r="C108" s="67">
        <f t="shared" ref="C108:Q108" si="2">AVERAGE(C9:C104)</f>
        <v>88.711458333333312</v>
      </c>
      <c r="D108" s="67">
        <f t="shared" si="2"/>
        <v>57.623333333333328</v>
      </c>
      <c r="E108" s="67">
        <f t="shared" si="2"/>
        <v>5.1968749999999995</v>
      </c>
      <c r="F108" s="67">
        <f t="shared" si="2"/>
        <v>1.2671578947368423</v>
      </c>
      <c r="G108" s="67">
        <f t="shared" si="2"/>
        <v>56.108437500000058</v>
      </c>
      <c r="H108" s="67">
        <f t="shared" si="2"/>
        <v>28.14041666666667</v>
      </c>
      <c r="I108" s="67">
        <f t="shared" si="2"/>
        <v>0.28927083333333331</v>
      </c>
      <c r="J108" s="67">
        <f t="shared" si="2"/>
        <v>0.6338541666666665</v>
      </c>
      <c r="K108" s="67">
        <f t="shared" si="2"/>
        <v>46.040833333333346</v>
      </c>
      <c r="L108" s="67">
        <f t="shared" si="2"/>
        <v>22.39885416666667</v>
      </c>
      <c r="M108" s="67">
        <f t="shared" si="2"/>
        <v>43.302083333333336</v>
      </c>
      <c r="N108" s="67">
        <f t="shared" si="2"/>
        <v>110.18749999999994</v>
      </c>
      <c r="O108" s="67">
        <f t="shared" si="2"/>
        <v>0</v>
      </c>
      <c r="P108" s="67">
        <f t="shared" si="2"/>
        <v>1.1073958333333334</v>
      </c>
      <c r="Q108" s="67">
        <f t="shared" si="2"/>
        <v>32.611875000000012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6.0737488062483802</v>
      </c>
      <c r="C109" s="67">
        <f t="shared" ref="C109:Q109" si="3">STDEV(C9:C104)</f>
        <v>13.455535896869279</v>
      </c>
      <c r="D109" s="67">
        <f t="shared" si="3"/>
        <v>11.696583186794975</v>
      </c>
      <c r="E109" s="67">
        <f t="shared" si="3"/>
        <v>1.4886124323289145</v>
      </c>
      <c r="F109" s="67">
        <f t="shared" si="3"/>
        <v>1.3735151852694367</v>
      </c>
      <c r="G109" s="67">
        <f t="shared" si="3"/>
        <v>19.852882878451659</v>
      </c>
      <c r="H109" s="67">
        <f t="shared" si="3"/>
        <v>8.1699960596094883</v>
      </c>
      <c r="I109" s="67">
        <f t="shared" si="3"/>
        <v>9.4748917968177138E-2</v>
      </c>
      <c r="J109" s="67">
        <f t="shared" si="3"/>
        <v>0.38606072549785492</v>
      </c>
      <c r="K109" s="67">
        <f t="shared" si="3"/>
        <v>40.95087189269514</v>
      </c>
      <c r="L109" s="67">
        <f t="shared" si="3"/>
        <v>3.8414725438071673</v>
      </c>
      <c r="M109" s="67">
        <f t="shared" si="3"/>
        <v>8.898397007228084</v>
      </c>
      <c r="N109" s="67">
        <f t="shared" si="3"/>
        <v>123.20578698814619</v>
      </c>
      <c r="O109" s="67">
        <f t="shared" si="3"/>
        <v>0</v>
      </c>
      <c r="P109" s="67">
        <f t="shared" si="3"/>
        <v>0.50411202763226026</v>
      </c>
      <c r="Q109" s="67">
        <f t="shared" si="3"/>
        <v>2.3504921377179042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2855</v>
      </c>
      <c r="B9" s="60">
        <v>5.69</v>
      </c>
      <c r="C9" s="60">
        <v>90.4</v>
      </c>
      <c r="D9" s="60">
        <v>54.45</v>
      </c>
      <c r="E9" s="60">
        <v>3.45</v>
      </c>
      <c r="F9" s="60">
        <v>0.56000000000000005</v>
      </c>
      <c r="G9" s="60">
        <v>65.86</v>
      </c>
      <c r="H9" s="60">
        <v>44.01</v>
      </c>
      <c r="I9" s="60">
        <v>0.4</v>
      </c>
      <c r="J9" s="60">
        <v>0.26</v>
      </c>
      <c r="K9" s="60">
        <v>67.97</v>
      </c>
      <c r="L9" s="60">
        <v>19.28</v>
      </c>
      <c r="M9" s="60">
        <v>64</v>
      </c>
      <c r="N9" s="60">
        <v>24.3</v>
      </c>
      <c r="O9" s="60">
        <v>0</v>
      </c>
      <c r="P9" s="60">
        <v>1.54</v>
      </c>
      <c r="Q9" s="60">
        <v>34.86</v>
      </c>
      <c r="R9" s="198"/>
      <c r="S9" s="198"/>
      <c r="T9" s="198"/>
      <c r="U9" s="198"/>
    </row>
    <row r="10" spans="1:21" s="12" customFormat="1" x14ac:dyDescent="0.25">
      <c r="A10" s="213" t="s">
        <v>2856</v>
      </c>
      <c r="B10" s="60">
        <v>4.83</v>
      </c>
      <c r="C10" s="60">
        <v>88.75</v>
      </c>
      <c r="D10" s="60">
        <v>52.85</v>
      </c>
      <c r="E10" s="60">
        <v>3.84</v>
      </c>
      <c r="F10" s="60">
        <v>0.61</v>
      </c>
      <c r="G10" s="60">
        <v>75.790000000000006</v>
      </c>
      <c r="H10" s="60">
        <v>43.44</v>
      </c>
      <c r="I10" s="60">
        <v>0.39</v>
      </c>
      <c r="J10" s="60">
        <v>0.31</v>
      </c>
      <c r="K10" s="60">
        <v>73.900000000000006</v>
      </c>
      <c r="L10" s="60">
        <v>19.02</v>
      </c>
      <c r="M10" s="60">
        <v>65</v>
      </c>
      <c r="N10" s="60">
        <v>24.3</v>
      </c>
      <c r="O10" s="60">
        <v>0</v>
      </c>
      <c r="P10" s="60">
        <v>1.49</v>
      </c>
      <c r="Q10" s="60">
        <v>34.74</v>
      </c>
      <c r="R10" s="198"/>
      <c r="S10" s="198"/>
      <c r="T10" s="198"/>
      <c r="U10" s="198"/>
    </row>
    <row r="11" spans="1:21" s="12" customFormat="1" x14ac:dyDescent="0.25">
      <c r="A11" s="213" t="s">
        <v>2857</v>
      </c>
      <c r="B11" s="60">
        <v>3.87</v>
      </c>
      <c r="C11" s="60">
        <v>86.69</v>
      </c>
      <c r="D11" s="60">
        <v>50.94</v>
      </c>
      <c r="E11" s="60">
        <v>3.83</v>
      </c>
      <c r="F11" s="60">
        <v>0.79</v>
      </c>
      <c r="G11" s="60">
        <v>75.790000000000006</v>
      </c>
      <c r="H11" s="60">
        <v>43.44</v>
      </c>
      <c r="I11" s="60">
        <v>0.38</v>
      </c>
      <c r="J11" s="60">
        <v>0.43</v>
      </c>
      <c r="K11" s="60">
        <v>26.72</v>
      </c>
      <c r="L11" s="60">
        <v>18.91</v>
      </c>
      <c r="M11" s="60">
        <v>67</v>
      </c>
      <c r="N11" s="60">
        <v>24.1</v>
      </c>
      <c r="O11" s="60">
        <v>0</v>
      </c>
      <c r="P11" s="60">
        <v>1.46</v>
      </c>
      <c r="Q11" s="60">
        <v>34.67</v>
      </c>
      <c r="R11" s="198"/>
      <c r="S11" s="198"/>
      <c r="T11" s="198"/>
      <c r="U11" s="198"/>
    </row>
    <row r="12" spans="1:21" s="12" customFormat="1" x14ac:dyDescent="0.25">
      <c r="A12" s="213" t="s">
        <v>2858</v>
      </c>
      <c r="B12" s="60">
        <v>3.08</v>
      </c>
      <c r="C12" s="60">
        <v>84.68</v>
      </c>
      <c r="D12" s="60">
        <v>49.2</v>
      </c>
      <c r="E12" s="60">
        <v>3.54</v>
      </c>
      <c r="F12" s="60">
        <v>0.93</v>
      </c>
      <c r="G12" s="60">
        <v>75.790000000000006</v>
      </c>
      <c r="H12" s="60">
        <v>43.44</v>
      </c>
      <c r="I12" s="60">
        <v>0.37</v>
      </c>
      <c r="J12" s="60">
        <v>0.57999999999999996</v>
      </c>
      <c r="K12" s="60">
        <v>24.44</v>
      </c>
      <c r="L12" s="60">
        <v>18.829999999999998</v>
      </c>
      <c r="M12" s="60">
        <v>69</v>
      </c>
      <c r="N12" s="60">
        <v>24.1</v>
      </c>
      <c r="O12" s="60">
        <v>0</v>
      </c>
      <c r="P12" s="60">
        <v>1.42</v>
      </c>
      <c r="Q12" s="60">
        <v>34.369999999999997</v>
      </c>
      <c r="R12" s="198"/>
      <c r="S12" s="198"/>
      <c r="T12" s="198"/>
      <c r="U12" s="198"/>
    </row>
    <row r="13" spans="1:21" s="12" customFormat="1" x14ac:dyDescent="0.25">
      <c r="A13" s="213" t="s">
        <v>2859</v>
      </c>
      <c r="B13" s="60">
        <v>2.44</v>
      </c>
      <c r="C13" s="60">
        <v>82.77</v>
      </c>
      <c r="D13" s="60">
        <v>47.63</v>
      </c>
      <c r="E13" s="60">
        <v>3.93</v>
      </c>
      <c r="F13" s="60">
        <v>0.96</v>
      </c>
      <c r="G13" s="60">
        <v>76.599999999999994</v>
      </c>
      <c r="H13" s="60">
        <v>43.72</v>
      </c>
      <c r="I13" s="60">
        <v>0.35</v>
      </c>
      <c r="J13" s="60">
        <v>0.3</v>
      </c>
      <c r="K13" s="60">
        <v>31.47</v>
      </c>
      <c r="L13" s="60">
        <v>18.66</v>
      </c>
      <c r="M13" s="60">
        <v>69</v>
      </c>
      <c r="N13" s="60">
        <v>24.4</v>
      </c>
      <c r="O13" s="60">
        <v>0</v>
      </c>
      <c r="P13" s="60">
        <v>1.3</v>
      </c>
      <c r="Q13" s="60">
        <v>33.85</v>
      </c>
      <c r="R13" s="198"/>
      <c r="S13" s="198"/>
      <c r="T13" s="198"/>
      <c r="U13" s="198"/>
    </row>
    <row r="14" spans="1:21" s="12" customFormat="1" x14ac:dyDescent="0.25">
      <c r="A14" s="213" t="s">
        <v>2860</v>
      </c>
      <c r="B14" s="60">
        <v>2.0299999999999998</v>
      </c>
      <c r="C14" s="60">
        <v>80.790000000000006</v>
      </c>
      <c r="D14" s="60">
        <v>46.21</v>
      </c>
      <c r="E14" s="60">
        <v>4.04</v>
      </c>
      <c r="F14" s="60">
        <v>0.84</v>
      </c>
      <c r="G14" s="60">
        <v>80.5</v>
      </c>
      <c r="H14" s="60">
        <v>44.71</v>
      </c>
      <c r="I14" s="60">
        <v>0.34</v>
      </c>
      <c r="J14" s="60">
        <v>0.27</v>
      </c>
      <c r="K14" s="60">
        <v>34.65</v>
      </c>
      <c r="L14" s="60">
        <v>18.32</v>
      </c>
      <c r="M14" s="60">
        <v>69</v>
      </c>
      <c r="N14" s="60">
        <v>24.3</v>
      </c>
      <c r="O14" s="60">
        <v>0</v>
      </c>
      <c r="P14" s="60">
        <v>1.37</v>
      </c>
      <c r="Q14" s="60">
        <v>33.07</v>
      </c>
      <c r="R14" s="198"/>
      <c r="S14" s="198"/>
      <c r="T14" s="198"/>
      <c r="U14" s="198"/>
    </row>
    <row r="15" spans="1:21" s="12" customFormat="1" x14ac:dyDescent="0.25">
      <c r="A15" s="213" t="s">
        <v>2861</v>
      </c>
      <c r="B15" s="60">
        <v>1.8</v>
      </c>
      <c r="C15" s="60">
        <v>78.45</v>
      </c>
      <c r="D15" s="60">
        <v>44.74</v>
      </c>
      <c r="E15" s="60">
        <v>3.71</v>
      </c>
      <c r="F15" s="60">
        <v>0.67</v>
      </c>
      <c r="G15" s="60">
        <v>80.5</v>
      </c>
      <c r="H15" s="60">
        <v>44.71</v>
      </c>
      <c r="I15" s="60">
        <v>0.33</v>
      </c>
      <c r="J15" s="60">
        <v>0.54</v>
      </c>
      <c r="K15" s="60">
        <v>16.72</v>
      </c>
      <c r="L15" s="60">
        <v>18.2</v>
      </c>
      <c r="M15" s="60">
        <v>69</v>
      </c>
      <c r="N15" s="60">
        <v>24</v>
      </c>
      <c r="O15" s="60">
        <v>0</v>
      </c>
      <c r="P15" s="60">
        <v>1.33</v>
      </c>
      <c r="Q15" s="60">
        <v>32.479999999999997</v>
      </c>
      <c r="R15" s="198"/>
      <c r="S15" s="198"/>
      <c r="T15" s="198"/>
      <c r="U15" s="198"/>
    </row>
    <row r="16" spans="1:21" s="12" customFormat="1" x14ac:dyDescent="0.25">
      <c r="A16" s="213" t="s">
        <v>2862</v>
      </c>
      <c r="B16" s="60">
        <v>1.81</v>
      </c>
      <c r="C16" s="60">
        <v>76.45</v>
      </c>
      <c r="D16" s="60">
        <v>43.64</v>
      </c>
      <c r="E16" s="60">
        <v>4.0599999999999996</v>
      </c>
      <c r="F16" s="60">
        <v>0.85</v>
      </c>
      <c r="G16" s="60">
        <v>80.5</v>
      </c>
      <c r="H16" s="60">
        <v>44.71</v>
      </c>
      <c r="I16" s="60">
        <v>0.31</v>
      </c>
      <c r="J16" s="60">
        <v>0.32</v>
      </c>
      <c r="K16" s="60">
        <v>75.510000000000005</v>
      </c>
      <c r="L16" s="60">
        <v>18.239999999999998</v>
      </c>
      <c r="M16" s="60">
        <v>68</v>
      </c>
      <c r="N16" s="60">
        <v>24.1</v>
      </c>
      <c r="O16" s="60">
        <v>0</v>
      </c>
      <c r="P16" s="60">
        <v>1.3</v>
      </c>
      <c r="Q16" s="60">
        <v>31.66</v>
      </c>
      <c r="R16" s="198"/>
      <c r="S16" s="198"/>
      <c r="T16" s="198"/>
      <c r="U16" s="198"/>
    </row>
    <row r="17" spans="1:21" s="12" customFormat="1" x14ac:dyDescent="0.25">
      <c r="A17" s="213" t="s">
        <v>2863</v>
      </c>
      <c r="B17" s="60">
        <v>1.93</v>
      </c>
      <c r="C17" s="60">
        <v>75.38</v>
      </c>
      <c r="D17" s="60">
        <v>43.15</v>
      </c>
      <c r="E17" s="60">
        <v>3.88</v>
      </c>
      <c r="F17" s="60">
        <v>0.33</v>
      </c>
      <c r="G17" s="60">
        <v>77.48</v>
      </c>
      <c r="H17" s="60">
        <v>44.72</v>
      </c>
      <c r="I17" s="60">
        <v>0.31</v>
      </c>
      <c r="J17" s="60">
        <v>0.26</v>
      </c>
      <c r="K17" s="60">
        <v>62.66</v>
      </c>
      <c r="L17" s="60">
        <v>18.149999999999999</v>
      </c>
      <c r="M17" s="60">
        <v>67</v>
      </c>
      <c r="N17" s="60">
        <v>24.1</v>
      </c>
      <c r="O17" s="60">
        <v>0</v>
      </c>
      <c r="P17" s="60">
        <v>1.27</v>
      </c>
      <c r="Q17" s="60">
        <v>31.11</v>
      </c>
      <c r="R17" s="198"/>
      <c r="S17" s="198"/>
      <c r="T17" s="198"/>
      <c r="U17" s="198"/>
    </row>
    <row r="18" spans="1:21" s="12" customFormat="1" x14ac:dyDescent="0.25">
      <c r="A18" s="213" t="s">
        <v>2864</v>
      </c>
      <c r="B18" s="60">
        <v>2.16</v>
      </c>
      <c r="C18" s="60">
        <v>74.459999999999994</v>
      </c>
      <c r="D18" s="60">
        <v>42.82</v>
      </c>
      <c r="E18" s="60">
        <v>3.95</v>
      </c>
      <c r="F18" s="60">
        <v>0.23</v>
      </c>
      <c r="G18" s="60">
        <v>69.45</v>
      </c>
      <c r="H18" s="60">
        <v>44.77</v>
      </c>
      <c r="I18" s="60">
        <v>0.31</v>
      </c>
      <c r="J18" s="60">
        <v>0.24</v>
      </c>
      <c r="K18" s="60">
        <v>41.97</v>
      </c>
      <c r="L18" s="60">
        <v>18.07</v>
      </c>
      <c r="M18" s="60">
        <v>67</v>
      </c>
      <c r="N18" s="60">
        <v>24.2</v>
      </c>
      <c r="O18" s="60">
        <v>0</v>
      </c>
      <c r="P18" s="60">
        <v>1.26</v>
      </c>
      <c r="Q18" s="60">
        <v>31.07</v>
      </c>
      <c r="R18" s="198"/>
      <c r="S18" s="198"/>
      <c r="T18" s="198"/>
      <c r="U18" s="198"/>
    </row>
    <row r="19" spans="1:21" s="12" customFormat="1" x14ac:dyDescent="0.25">
      <c r="A19" s="213" t="s">
        <v>2865</v>
      </c>
      <c r="B19" s="60">
        <v>2.73</v>
      </c>
      <c r="C19" s="60">
        <v>74.010000000000005</v>
      </c>
      <c r="D19" s="60">
        <v>43.03</v>
      </c>
      <c r="E19" s="60">
        <v>3.62</v>
      </c>
      <c r="F19" s="60">
        <v>0.56000000000000005</v>
      </c>
      <c r="G19" s="60">
        <v>69.45</v>
      </c>
      <c r="H19" s="60">
        <v>44.77</v>
      </c>
      <c r="I19" s="60">
        <v>0.31</v>
      </c>
      <c r="J19" s="60">
        <v>0.22</v>
      </c>
      <c r="K19" s="60">
        <v>52.6</v>
      </c>
      <c r="L19" s="60">
        <v>17.940000000000001</v>
      </c>
      <c r="M19" s="60">
        <v>67</v>
      </c>
      <c r="N19" s="60">
        <v>24.3</v>
      </c>
      <c r="O19" s="60">
        <v>0</v>
      </c>
      <c r="P19" s="60">
        <v>1.23</v>
      </c>
      <c r="Q19" s="60">
        <v>31.23</v>
      </c>
      <c r="R19" s="198"/>
      <c r="S19" s="198"/>
      <c r="T19" s="198"/>
      <c r="U19" s="198"/>
    </row>
    <row r="20" spans="1:21" s="12" customFormat="1" x14ac:dyDescent="0.25">
      <c r="A20" s="213" t="s">
        <v>2866</v>
      </c>
      <c r="B20" s="60">
        <v>3.25</v>
      </c>
      <c r="C20" s="60">
        <v>73.77</v>
      </c>
      <c r="D20" s="60">
        <v>43.32</v>
      </c>
      <c r="E20" s="60">
        <v>3.57</v>
      </c>
      <c r="F20" s="60">
        <v>0.49</v>
      </c>
      <c r="G20" s="60">
        <v>69.45</v>
      </c>
      <c r="H20" s="60">
        <v>44.77</v>
      </c>
      <c r="I20" s="60">
        <v>0.3</v>
      </c>
      <c r="J20" s="60">
        <v>0.48</v>
      </c>
      <c r="K20" s="60">
        <v>10.06</v>
      </c>
      <c r="L20" s="60">
        <v>17.77</v>
      </c>
      <c r="M20" s="60">
        <v>69</v>
      </c>
      <c r="N20" s="60">
        <v>24.2</v>
      </c>
      <c r="O20" s="60">
        <v>0</v>
      </c>
      <c r="P20" s="60">
        <v>1.21</v>
      </c>
      <c r="Q20" s="60">
        <v>31.45</v>
      </c>
      <c r="R20" s="198"/>
      <c r="S20" s="198"/>
      <c r="T20" s="198"/>
      <c r="U20" s="198"/>
    </row>
    <row r="21" spans="1:21" s="12" customFormat="1" x14ac:dyDescent="0.25">
      <c r="A21" s="213" t="s">
        <v>2867</v>
      </c>
      <c r="B21" s="60">
        <v>3.82</v>
      </c>
      <c r="C21" s="60">
        <v>73.81</v>
      </c>
      <c r="D21" s="60">
        <v>43.8</v>
      </c>
      <c r="E21" s="60">
        <v>3.89</v>
      </c>
      <c r="F21" s="60">
        <v>0.24</v>
      </c>
      <c r="G21" s="60">
        <v>71.03</v>
      </c>
      <c r="H21" s="60">
        <v>44.76</v>
      </c>
      <c r="I21" s="60">
        <v>0.3</v>
      </c>
      <c r="J21" s="60">
        <v>0.4</v>
      </c>
      <c r="K21" s="60">
        <v>6.09</v>
      </c>
      <c r="L21" s="60">
        <v>17.559999999999999</v>
      </c>
      <c r="M21" s="60">
        <v>71</v>
      </c>
      <c r="N21" s="60">
        <v>24.3</v>
      </c>
      <c r="O21" s="60">
        <v>0</v>
      </c>
      <c r="P21" s="60">
        <v>1.21</v>
      </c>
      <c r="Q21" s="60">
        <v>31.54</v>
      </c>
      <c r="R21" s="198"/>
      <c r="S21" s="198"/>
      <c r="T21" s="198"/>
      <c r="U21" s="198"/>
    </row>
    <row r="22" spans="1:21" s="12" customFormat="1" x14ac:dyDescent="0.25">
      <c r="A22" s="213" t="s">
        <v>2868</v>
      </c>
      <c r="B22" s="60">
        <v>4.33</v>
      </c>
      <c r="C22" s="60">
        <v>73.8</v>
      </c>
      <c r="D22" s="60">
        <v>44.2</v>
      </c>
      <c r="E22" s="60">
        <v>3.67</v>
      </c>
      <c r="F22" s="60">
        <v>0.11</v>
      </c>
      <c r="G22" s="60">
        <v>75.25</v>
      </c>
      <c r="H22" s="60">
        <v>44.74</v>
      </c>
      <c r="I22" s="60">
        <v>0.3</v>
      </c>
      <c r="J22" s="60">
        <v>0.73</v>
      </c>
      <c r="K22" s="60">
        <v>13.88</v>
      </c>
      <c r="L22" s="60">
        <v>17.510000000000002</v>
      </c>
      <c r="M22" s="60">
        <v>70</v>
      </c>
      <c r="N22" s="60">
        <v>24.1</v>
      </c>
      <c r="O22" s="60">
        <v>0</v>
      </c>
      <c r="P22" s="60">
        <v>1.19</v>
      </c>
      <c r="Q22" s="60">
        <v>31.76</v>
      </c>
      <c r="R22" s="198"/>
      <c r="S22" s="198"/>
      <c r="T22" s="198"/>
      <c r="U22" s="198"/>
    </row>
    <row r="23" spans="1:21" s="12" customFormat="1" x14ac:dyDescent="0.25">
      <c r="A23" s="213" t="s">
        <v>2869</v>
      </c>
      <c r="B23" s="60">
        <v>4.6100000000000003</v>
      </c>
      <c r="C23" s="60">
        <v>73.680000000000007</v>
      </c>
      <c r="D23" s="60">
        <v>44.37</v>
      </c>
      <c r="E23" s="60">
        <v>4.03</v>
      </c>
      <c r="F23" s="60">
        <v>0.03</v>
      </c>
      <c r="G23" s="60">
        <v>75.25</v>
      </c>
      <c r="H23" s="60">
        <v>44.74</v>
      </c>
      <c r="I23" s="60">
        <v>0.3</v>
      </c>
      <c r="J23" s="60">
        <v>0.99</v>
      </c>
      <c r="K23" s="60">
        <v>15.57</v>
      </c>
      <c r="L23" s="60">
        <v>17.440000000000001</v>
      </c>
      <c r="M23" s="60">
        <v>71</v>
      </c>
      <c r="N23" s="60">
        <v>24.1</v>
      </c>
      <c r="O23" s="60">
        <v>0</v>
      </c>
      <c r="P23" s="60">
        <v>1.18</v>
      </c>
      <c r="Q23" s="60">
        <v>33.130000000000003</v>
      </c>
      <c r="R23" s="198"/>
      <c r="S23" s="198"/>
      <c r="T23" s="198"/>
      <c r="U23" s="198"/>
    </row>
    <row r="24" spans="1:21" s="12" customFormat="1" x14ac:dyDescent="0.25">
      <c r="A24" s="213" t="s">
        <v>2870</v>
      </c>
      <c r="B24" s="60">
        <v>4.3600000000000003</v>
      </c>
      <c r="C24" s="60">
        <v>73.22</v>
      </c>
      <c r="D24" s="60">
        <v>43.91</v>
      </c>
      <c r="E24" s="60">
        <v>2.08</v>
      </c>
      <c r="F24" s="60">
        <v>2.86</v>
      </c>
      <c r="G24" s="60">
        <v>75.25</v>
      </c>
      <c r="H24" s="60">
        <v>44.74</v>
      </c>
      <c r="I24" s="60">
        <v>0.28999999999999998</v>
      </c>
      <c r="J24" s="60">
        <v>0.98</v>
      </c>
      <c r="K24" s="60">
        <v>16.22</v>
      </c>
      <c r="L24" s="60">
        <v>17.420000000000002</v>
      </c>
      <c r="M24" s="60">
        <v>71</v>
      </c>
      <c r="N24" s="60">
        <v>24.3</v>
      </c>
      <c r="O24" s="60">
        <v>0</v>
      </c>
      <c r="P24" s="60">
        <v>1.1599999999999999</v>
      </c>
      <c r="Q24" s="60">
        <v>33.409999999999997</v>
      </c>
      <c r="R24" s="198"/>
      <c r="S24" s="198"/>
      <c r="T24" s="198"/>
      <c r="U24" s="198"/>
    </row>
    <row r="25" spans="1:21" s="12" customFormat="1" x14ac:dyDescent="0.25">
      <c r="A25" s="213" t="s">
        <v>2871</v>
      </c>
      <c r="B25" s="60">
        <v>4.24</v>
      </c>
      <c r="C25" s="60">
        <v>73.239999999999995</v>
      </c>
      <c r="D25" s="60">
        <v>43.82</v>
      </c>
      <c r="E25" s="60">
        <v>4.2300000000000004</v>
      </c>
      <c r="F25" s="60">
        <v>7.48</v>
      </c>
      <c r="G25" s="60">
        <v>75.069999999999993</v>
      </c>
      <c r="H25" s="60">
        <v>44.82</v>
      </c>
      <c r="I25" s="60">
        <v>0.28000000000000003</v>
      </c>
      <c r="J25" s="60">
        <v>0.76</v>
      </c>
      <c r="K25" s="60">
        <v>16.14</v>
      </c>
      <c r="L25" s="60">
        <v>17.38</v>
      </c>
      <c r="M25" s="60">
        <v>71</v>
      </c>
      <c r="N25" s="60">
        <v>24.3</v>
      </c>
      <c r="O25" s="60">
        <v>0</v>
      </c>
      <c r="P25" s="60">
        <v>1.1499999999999999</v>
      </c>
      <c r="Q25" s="60">
        <v>32.86</v>
      </c>
      <c r="R25" s="198"/>
      <c r="S25" s="198"/>
      <c r="T25" s="198"/>
      <c r="U25" s="198"/>
    </row>
    <row r="26" spans="1:21" s="12" customFormat="1" x14ac:dyDescent="0.25">
      <c r="A26" s="213" t="s">
        <v>2872</v>
      </c>
      <c r="B26" s="60">
        <v>4.34</v>
      </c>
      <c r="C26" s="60">
        <v>73.86</v>
      </c>
      <c r="D26" s="60">
        <v>44.24</v>
      </c>
      <c r="E26" s="60">
        <v>4.04</v>
      </c>
      <c r="F26" s="60">
        <v>0.1</v>
      </c>
      <c r="G26" s="60">
        <v>74.599999999999994</v>
      </c>
      <c r="H26" s="60">
        <v>45.09</v>
      </c>
      <c r="I26" s="60">
        <v>0.27</v>
      </c>
      <c r="J26" s="60">
        <v>0.74</v>
      </c>
      <c r="K26" s="60">
        <v>15.71</v>
      </c>
      <c r="L26" s="60">
        <v>17.3</v>
      </c>
      <c r="M26" s="60">
        <v>72</v>
      </c>
      <c r="N26" s="60">
        <v>24.3</v>
      </c>
      <c r="O26" s="60">
        <v>0</v>
      </c>
      <c r="P26" s="60">
        <v>1.1499999999999999</v>
      </c>
      <c r="Q26" s="60">
        <v>32.450000000000003</v>
      </c>
      <c r="R26" s="198"/>
      <c r="S26" s="198"/>
      <c r="T26" s="198"/>
      <c r="U26" s="198"/>
    </row>
    <row r="27" spans="1:21" s="12" customFormat="1" x14ac:dyDescent="0.25">
      <c r="A27" s="213" t="s">
        <v>2873</v>
      </c>
      <c r="B27" s="60">
        <v>4.29</v>
      </c>
      <c r="C27" s="60">
        <v>74.349999999999994</v>
      </c>
      <c r="D27" s="60">
        <v>44.47</v>
      </c>
      <c r="E27" s="60">
        <v>4.38</v>
      </c>
      <c r="F27" s="60">
        <v>0.14000000000000001</v>
      </c>
      <c r="G27" s="60">
        <v>74.599999999999994</v>
      </c>
      <c r="H27" s="60">
        <v>45.09</v>
      </c>
      <c r="I27" s="60">
        <v>0.26</v>
      </c>
      <c r="J27" s="60">
        <v>0.5</v>
      </c>
      <c r="K27" s="60">
        <v>15.14</v>
      </c>
      <c r="L27" s="60">
        <v>17.11</v>
      </c>
      <c r="M27" s="60">
        <v>73</v>
      </c>
      <c r="N27" s="60">
        <v>24.5</v>
      </c>
      <c r="O27" s="60">
        <v>0</v>
      </c>
      <c r="P27" s="60">
        <v>1.1499999999999999</v>
      </c>
      <c r="Q27" s="60">
        <v>32.18</v>
      </c>
      <c r="R27" s="198"/>
      <c r="S27" s="198"/>
      <c r="T27" s="198"/>
      <c r="U27" s="198"/>
    </row>
    <row r="28" spans="1:21" s="12" customFormat="1" x14ac:dyDescent="0.25">
      <c r="A28" s="213" t="s">
        <v>2874</v>
      </c>
      <c r="B28" s="60">
        <v>4.2699999999999996</v>
      </c>
      <c r="C28" s="60">
        <v>74.569999999999993</v>
      </c>
      <c r="D28" s="60">
        <v>44.57</v>
      </c>
      <c r="E28" s="60">
        <v>4.3099999999999996</v>
      </c>
      <c r="F28" s="60">
        <v>0.21</v>
      </c>
      <c r="G28" s="60">
        <v>74.599999999999994</v>
      </c>
      <c r="H28" s="60">
        <v>45.09</v>
      </c>
      <c r="I28" s="60">
        <v>0.26</v>
      </c>
      <c r="J28" s="60">
        <v>0.57999999999999996</v>
      </c>
      <c r="K28" s="60">
        <v>11.82</v>
      </c>
      <c r="L28" s="60">
        <v>16.97</v>
      </c>
      <c r="M28" s="60">
        <v>72</v>
      </c>
      <c r="N28" s="60">
        <v>24.2</v>
      </c>
      <c r="O28" s="60">
        <v>0</v>
      </c>
      <c r="P28" s="60">
        <v>1.1599999999999999</v>
      </c>
      <c r="Q28" s="60">
        <v>31.99</v>
      </c>
      <c r="R28" s="198"/>
      <c r="S28" s="198"/>
      <c r="T28" s="198"/>
      <c r="U28" s="198"/>
    </row>
    <row r="29" spans="1:21" s="12" customFormat="1" x14ac:dyDescent="0.25">
      <c r="A29" s="213" t="s">
        <v>2875</v>
      </c>
      <c r="B29" s="60">
        <v>4.47</v>
      </c>
      <c r="C29" s="60">
        <v>74.510000000000005</v>
      </c>
      <c r="D29" s="60">
        <v>44.7</v>
      </c>
      <c r="E29" s="60">
        <v>4.1100000000000003</v>
      </c>
      <c r="F29" s="60">
        <v>0.18</v>
      </c>
      <c r="G29" s="60">
        <v>74.95</v>
      </c>
      <c r="H29" s="60">
        <v>45.01</v>
      </c>
      <c r="I29" s="60">
        <v>0.26</v>
      </c>
      <c r="J29" s="60">
        <v>0.61</v>
      </c>
      <c r="K29" s="60">
        <v>12.51</v>
      </c>
      <c r="L29" s="60">
        <v>16.91</v>
      </c>
      <c r="M29" s="60">
        <v>72</v>
      </c>
      <c r="N29" s="60">
        <v>24.3</v>
      </c>
      <c r="O29" s="60">
        <v>0</v>
      </c>
      <c r="P29" s="60">
        <v>1.1499999999999999</v>
      </c>
      <c r="Q29" s="60">
        <v>31.37</v>
      </c>
      <c r="R29" s="198"/>
      <c r="S29" s="198"/>
      <c r="T29" s="198"/>
      <c r="U29" s="198"/>
    </row>
    <row r="30" spans="1:21" s="12" customFormat="1" x14ac:dyDescent="0.25">
      <c r="A30" s="213" t="s">
        <v>2876</v>
      </c>
      <c r="B30" s="60">
        <v>4.82</v>
      </c>
      <c r="C30" s="60">
        <v>74.37</v>
      </c>
      <c r="D30" s="60">
        <v>44.91</v>
      </c>
      <c r="E30" s="60">
        <v>4.07</v>
      </c>
      <c r="F30" s="60">
        <v>0.02</v>
      </c>
      <c r="G30" s="60">
        <v>76.66</v>
      </c>
      <c r="H30" s="60">
        <v>44.7</v>
      </c>
      <c r="I30" s="60">
        <v>0.25</v>
      </c>
      <c r="J30" s="60">
        <v>0.32</v>
      </c>
      <c r="K30" s="60">
        <v>39.04</v>
      </c>
      <c r="L30" s="60">
        <v>16.760000000000002</v>
      </c>
      <c r="M30" s="60">
        <v>73</v>
      </c>
      <c r="N30" s="60">
        <v>24.4</v>
      </c>
      <c r="O30" s="60">
        <v>0</v>
      </c>
      <c r="P30" s="60">
        <v>1.1499999999999999</v>
      </c>
      <c r="Q30" s="60">
        <v>29.97</v>
      </c>
      <c r="R30" s="198"/>
      <c r="S30" s="198"/>
      <c r="T30" s="198"/>
      <c r="U30" s="198"/>
    </row>
    <row r="31" spans="1:21" s="12" customFormat="1" x14ac:dyDescent="0.25">
      <c r="A31" s="213" t="s">
        <v>2877</v>
      </c>
      <c r="B31" s="60">
        <v>5.01</v>
      </c>
      <c r="C31" s="60">
        <v>74.33</v>
      </c>
      <c r="D31" s="60">
        <v>45.04</v>
      </c>
      <c r="E31" s="60">
        <v>3.94</v>
      </c>
      <c r="F31" s="60">
        <v>0.02</v>
      </c>
      <c r="G31" s="60">
        <v>76.66</v>
      </c>
      <c r="H31" s="60">
        <v>44.7</v>
      </c>
      <c r="I31" s="60">
        <v>0.25</v>
      </c>
      <c r="J31" s="60">
        <v>0.59</v>
      </c>
      <c r="K31" s="60">
        <v>12.06</v>
      </c>
      <c r="L31" s="60">
        <v>16.61</v>
      </c>
      <c r="M31" s="60">
        <v>74</v>
      </c>
      <c r="N31" s="60">
        <v>24.2</v>
      </c>
      <c r="O31" s="60">
        <v>0</v>
      </c>
      <c r="P31" s="60">
        <v>1.1499999999999999</v>
      </c>
      <c r="Q31" s="60">
        <v>29.5</v>
      </c>
      <c r="R31" s="198"/>
      <c r="S31" s="198"/>
      <c r="T31" s="198"/>
      <c r="U31" s="198"/>
    </row>
    <row r="32" spans="1:21" s="12" customFormat="1" x14ac:dyDescent="0.25">
      <c r="A32" s="213" t="s">
        <v>2878</v>
      </c>
      <c r="B32" s="60">
        <v>5</v>
      </c>
      <c r="C32" s="60">
        <v>73.86</v>
      </c>
      <c r="D32" s="60">
        <v>44.77</v>
      </c>
      <c r="E32" s="60">
        <v>4.29</v>
      </c>
      <c r="F32" s="60">
        <v>0.11</v>
      </c>
      <c r="G32" s="60">
        <v>76.66</v>
      </c>
      <c r="H32" s="60">
        <v>44.7</v>
      </c>
      <c r="I32" s="60">
        <v>0.25</v>
      </c>
      <c r="J32" s="60">
        <v>0.51</v>
      </c>
      <c r="K32" s="60">
        <v>18.25</v>
      </c>
      <c r="L32" s="60">
        <v>16.55</v>
      </c>
      <c r="M32" s="60">
        <v>74</v>
      </c>
      <c r="N32" s="60">
        <v>24.2</v>
      </c>
      <c r="O32" s="60">
        <v>0</v>
      </c>
      <c r="P32" s="60">
        <v>1.1499999999999999</v>
      </c>
      <c r="Q32" s="60">
        <v>29.51</v>
      </c>
      <c r="R32" s="198"/>
      <c r="S32" s="198"/>
      <c r="T32" s="198"/>
      <c r="U32" s="198"/>
    </row>
    <row r="33" spans="1:21" s="12" customFormat="1" x14ac:dyDescent="0.25">
      <c r="A33" s="213" t="s">
        <v>2879</v>
      </c>
      <c r="B33" s="60">
        <v>5.74</v>
      </c>
      <c r="C33" s="60">
        <v>74.489999999999995</v>
      </c>
      <c r="D33" s="60">
        <v>45.71</v>
      </c>
      <c r="E33" s="60">
        <v>4</v>
      </c>
      <c r="F33" s="60">
        <v>0.13</v>
      </c>
      <c r="G33" s="60">
        <v>74.59</v>
      </c>
      <c r="H33" s="60">
        <v>44.26</v>
      </c>
      <c r="I33" s="60">
        <v>0.25</v>
      </c>
      <c r="J33" s="60">
        <v>0.43</v>
      </c>
      <c r="K33" s="60">
        <v>12.34</v>
      </c>
      <c r="L33" s="60">
        <v>16.45</v>
      </c>
      <c r="M33" s="60">
        <v>74</v>
      </c>
      <c r="N33" s="60">
        <v>24.3</v>
      </c>
      <c r="O33" s="60">
        <v>0</v>
      </c>
      <c r="P33" s="60">
        <v>1.1499999999999999</v>
      </c>
      <c r="Q33" s="60">
        <v>29.52</v>
      </c>
      <c r="R33" s="198"/>
      <c r="S33" s="198"/>
      <c r="T33" s="198"/>
      <c r="U33" s="198"/>
    </row>
    <row r="34" spans="1:21" s="12" customFormat="1" x14ac:dyDescent="0.25">
      <c r="A34" s="213" t="s">
        <v>2880</v>
      </c>
      <c r="B34" s="60">
        <v>6.78</v>
      </c>
      <c r="C34" s="60">
        <v>75.39</v>
      </c>
      <c r="D34" s="60">
        <v>47.04</v>
      </c>
      <c r="E34" s="60">
        <v>4.08</v>
      </c>
      <c r="F34" s="255" t="s">
        <v>47</v>
      </c>
      <c r="G34" s="60">
        <v>69.459999999999994</v>
      </c>
      <c r="H34" s="60">
        <v>42.62</v>
      </c>
      <c r="I34" s="60">
        <v>0.25</v>
      </c>
      <c r="J34" s="60">
        <v>0.82</v>
      </c>
      <c r="K34" s="60">
        <v>12.01</v>
      </c>
      <c r="L34" s="60">
        <v>16.510000000000002</v>
      </c>
      <c r="M34" s="60">
        <v>73</v>
      </c>
      <c r="N34" s="60">
        <v>24.5</v>
      </c>
      <c r="O34" s="60">
        <v>0</v>
      </c>
      <c r="P34" s="60">
        <v>1.1599999999999999</v>
      </c>
      <c r="Q34" s="60">
        <v>29.52</v>
      </c>
      <c r="R34" s="198"/>
      <c r="S34" s="198"/>
      <c r="T34" s="198"/>
      <c r="U34" s="198"/>
    </row>
    <row r="35" spans="1:21" s="12" customFormat="1" x14ac:dyDescent="0.25">
      <c r="A35" s="213" t="s">
        <v>2881</v>
      </c>
      <c r="B35" s="60">
        <v>8.0500000000000007</v>
      </c>
      <c r="C35" s="60">
        <v>76.569999999999993</v>
      </c>
      <c r="D35" s="60">
        <v>48.72</v>
      </c>
      <c r="E35" s="60">
        <v>4.68</v>
      </c>
      <c r="F35" s="60">
        <v>0.02</v>
      </c>
      <c r="G35" s="60">
        <v>69.459999999999994</v>
      </c>
      <c r="H35" s="60">
        <v>42.62</v>
      </c>
      <c r="I35" s="60">
        <v>0.25</v>
      </c>
      <c r="J35" s="60">
        <v>0.36</v>
      </c>
      <c r="K35" s="60">
        <v>16.54</v>
      </c>
      <c r="L35" s="60">
        <v>16.309999999999999</v>
      </c>
      <c r="M35" s="60">
        <v>73</v>
      </c>
      <c r="N35" s="60">
        <v>26.4</v>
      </c>
      <c r="O35" s="60">
        <v>0</v>
      </c>
      <c r="P35" s="60">
        <v>1.17</v>
      </c>
      <c r="Q35" s="60">
        <v>29.62</v>
      </c>
      <c r="R35" s="198"/>
      <c r="S35" s="198"/>
      <c r="T35" s="198"/>
      <c r="U35" s="198"/>
    </row>
    <row r="36" spans="1:21" s="12" customFormat="1" x14ac:dyDescent="0.25">
      <c r="A36" s="213" t="s">
        <v>2882</v>
      </c>
      <c r="B36" s="60">
        <v>9.1199999999999992</v>
      </c>
      <c r="C36" s="60">
        <v>77.650000000000006</v>
      </c>
      <c r="D36" s="60">
        <v>50.16</v>
      </c>
      <c r="E36" s="60">
        <v>4.2300000000000004</v>
      </c>
      <c r="F36" s="60">
        <v>0.03</v>
      </c>
      <c r="G36" s="60">
        <v>69.459999999999994</v>
      </c>
      <c r="H36" s="60">
        <v>42.62</v>
      </c>
      <c r="I36" s="60">
        <v>0.25</v>
      </c>
      <c r="J36" s="60">
        <v>0.52</v>
      </c>
      <c r="K36" s="60">
        <v>25.17</v>
      </c>
      <c r="L36" s="60">
        <v>16.34</v>
      </c>
      <c r="M36" s="60">
        <v>73</v>
      </c>
      <c r="N36" s="60">
        <v>31.9</v>
      </c>
      <c r="O36" s="60">
        <v>0</v>
      </c>
      <c r="P36" s="60">
        <v>1.2</v>
      </c>
      <c r="Q36" s="60">
        <v>29.68</v>
      </c>
      <c r="R36" s="198"/>
      <c r="S36" s="198"/>
      <c r="T36" s="198"/>
      <c r="U36" s="198"/>
    </row>
    <row r="37" spans="1:21" s="12" customFormat="1" x14ac:dyDescent="0.25">
      <c r="A37" s="213" t="s">
        <v>2883</v>
      </c>
      <c r="B37" s="60">
        <v>9.51</v>
      </c>
      <c r="C37" s="60">
        <v>78.510000000000005</v>
      </c>
      <c r="D37" s="60">
        <v>50.95</v>
      </c>
      <c r="E37" s="60">
        <v>4.4000000000000004</v>
      </c>
      <c r="F37" s="60">
        <v>0.43</v>
      </c>
      <c r="G37" s="60">
        <v>73.11</v>
      </c>
      <c r="H37" s="60">
        <v>42.83</v>
      </c>
      <c r="I37" s="60">
        <v>0.26</v>
      </c>
      <c r="J37" s="60">
        <v>0.36</v>
      </c>
      <c r="K37" s="60">
        <v>25.25</v>
      </c>
      <c r="L37" s="60">
        <v>16.420000000000002</v>
      </c>
      <c r="M37" s="60">
        <v>72</v>
      </c>
      <c r="N37" s="60">
        <v>41.1</v>
      </c>
      <c r="O37" s="60">
        <v>0</v>
      </c>
      <c r="P37" s="60">
        <v>1.18</v>
      </c>
      <c r="Q37" s="60">
        <v>30.81</v>
      </c>
      <c r="R37" s="198"/>
      <c r="S37" s="198"/>
      <c r="T37" s="198"/>
      <c r="U37" s="198"/>
    </row>
    <row r="38" spans="1:21" s="12" customFormat="1" x14ac:dyDescent="0.25">
      <c r="A38" s="213" t="s">
        <v>2884</v>
      </c>
      <c r="B38" s="60">
        <v>9.6199999999999992</v>
      </c>
      <c r="C38" s="60">
        <v>78.95</v>
      </c>
      <c r="D38" s="60">
        <v>51.29</v>
      </c>
      <c r="E38" s="60">
        <v>4.7300000000000004</v>
      </c>
      <c r="F38" s="60">
        <v>0.56999999999999995</v>
      </c>
      <c r="G38" s="60">
        <v>82.11</v>
      </c>
      <c r="H38" s="60">
        <v>43.59</v>
      </c>
      <c r="I38" s="60">
        <v>0.26</v>
      </c>
      <c r="J38" s="60">
        <v>0.33</v>
      </c>
      <c r="K38" s="60">
        <v>50.13</v>
      </c>
      <c r="L38" s="60">
        <v>16.59</v>
      </c>
      <c r="M38" s="60">
        <v>73</v>
      </c>
      <c r="N38" s="60">
        <v>51.8</v>
      </c>
      <c r="O38" s="60">
        <v>0</v>
      </c>
      <c r="P38" s="60">
        <v>1.24</v>
      </c>
      <c r="Q38" s="60">
        <v>31.39</v>
      </c>
      <c r="R38" s="198"/>
      <c r="S38" s="198"/>
      <c r="T38" s="198"/>
      <c r="U38" s="198"/>
    </row>
    <row r="39" spans="1:21" s="12" customFormat="1" x14ac:dyDescent="0.25">
      <c r="A39" s="213" t="s">
        <v>2885</v>
      </c>
      <c r="B39" s="60">
        <v>10.3</v>
      </c>
      <c r="C39" s="60">
        <v>79.98</v>
      </c>
      <c r="D39" s="60">
        <v>52.4</v>
      </c>
      <c r="E39" s="60">
        <v>4.3899999999999997</v>
      </c>
      <c r="F39" s="60">
        <v>0.05</v>
      </c>
      <c r="G39" s="60">
        <v>82.11</v>
      </c>
      <c r="H39" s="60">
        <v>43.59</v>
      </c>
      <c r="I39" s="60">
        <v>0.26</v>
      </c>
      <c r="J39" s="60">
        <v>0.52</v>
      </c>
      <c r="K39" s="60">
        <v>67.92</v>
      </c>
      <c r="L39" s="60">
        <v>16.829999999999998</v>
      </c>
      <c r="M39" s="60">
        <v>73</v>
      </c>
      <c r="N39" s="60">
        <v>67.099999999999994</v>
      </c>
      <c r="O39" s="60">
        <v>0</v>
      </c>
      <c r="P39" s="60">
        <v>1.25</v>
      </c>
      <c r="Q39" s="60">
        <v>31.73</v>
      </c>
      <c r="R39" s="198"/>
      <c r="S39" s="198"/>
      <c r="T39" s="198"/>
      <c r="U39" s="198"/>
    </row>
    <row r="40" spans="1:21" s="12" customFormat="1" x14ac:dyDescent="0.25">
      <c r="A40" s="213" t="s">
        <v>2886</v>
      </c>
      <c r="B40" s="60">
        <v>10.41</v>
      </c>
      <c r="C40" s="60">
        <v>80.55</v>
      </c>
      <c r="D40" s="60">
        <v>52.8</v>
      </c>
      <c r="E40" s="60">
        <v>2.14</v>
      </c>
      <c r="F40" s="60">
        <v>7.0000000000000007E-2</v>
      </c>
      <c r="G40" s="60">
        <v>82.11</v>
      </c>
      <c r="H40" s="60">
        <v>43.59</v>
      </c>
      <c r="I40" s="60">
        <v>0.26</v>
      </c>
      <c r="J40" s="60">
        <v>0.45</v>
      </c>
      <c r="K40" s="60">
        <v>50.24</v>
      </c>
      <c r="L40" s="60">
        <v>17.39</v>
      </c>
      <c r="M40" s="60">
        <v>71</v>
      </c>
      <c r="N40" s="60">
        <v>96.9</v>
      </c>
      <c r="O40" s="60">
        <v>0</v>
      </c>
      <c r="P40" s="60">
        <v>1.26</v>
      </c>
      <c r="Q40" s="60">
        <v>31.81</v>
      </c>
      <c r="R40" s="198"/>
      <c r="S40" s="198"/>
      <c r="T40" s="198"/>
      <c r="U40" s="198"/>
    </row>
    <row r="41" spans="1:21" s="12" customFormat="1" x14ac:dyDescent="0.25">
      <c r="A41" s="213" t="s">
        <v>2887</v>
      </c>
      <c r="B41" s="60">
        <v>10.15</v>
      </c>
      <c r="C41" s="60">
        <v>80.650000000000006</v>
      </c>
      <c r="D41" s="60">
        <v>52.65</v>
      </c>
      <c r="E41" s="60">
        <v>3.37</v>
      </c>
      <c r="F41" s="60">
        <v>0.25</v>
      </c>
      <c r="G41" s="60">
        <v>90.33</v>
      </c>
      <c r="H41" s="60">
        <v>45.2</v>
      </c>
      <c r="I41" s="60">
        <v>0.26</v>
      </c>
      <c r="J41" s="60">
        <v>0.6</v>
      </c>
      <c r="K41" s="60">
        <v>20.56</v>
      </c>
      <c r="L41" s="60">
        <v>17.940000000000001</v>
      </c>
      <c r="M41" s="60">
        <v>69</v>
      </c>
      <c r="N41" s="60">
        <v>90.9</v>
      </c>
      <c r="O41" s="60">
        <v>0</v>
      </c>
      <c r="P41" s="60">
        <v>1.28</v>
      </c>
      <c r="Q41" s="60">
        <v>31.56</v>
      </c>
      <c r="R41" s="198"/>
      <c r="S41" s="198"/>
      <c r="T41" s="198"/>
      <c r="U41" s="198"/>
    </row>
    <row r="42" spans="1:21" s="12" customFormat="1" x14ac:dyDescent="0.25">
      <c r="A42" s="213" t="s">
        <v>2888</v>
      </c>
      <c r="B42" s="60">
        <v>10</v>
      </c>
      <c r="C42" s="60">
        <v>80.959999999999994</v>
      </c>
      <c r="D42" s="60">
        <v>52.7</v>
      </c>
      <c r="E42" s="60">
        <v>3.76</v>
      </c>
      <c r="F42" s="60">
        <v>0.19</v>
      </c>
      <c r="G42" s="60">
        <v>110.65</v>
      </c>
      <c r="H42" s="60">
        <v>51.23</v>
      </c>
      <c r="I42" s="60">
        <v>0.26</v>
      </c>
      <c r="J42" s="60">
        <v>1.07</v>
      </c>
      <c r="K42" s="60">
        <v>98.2</v>
      </c>
      <c r="L42" s="60">
        <v>17.75</v>
      </c>
      <c r="M42" s="60">
        <v>71</v>
      </c>
      <c r="N42" s="60">
        <v>98.2</v>
      </c>
      <c r="O42" s="60">
        <v>0</v>
      </c>
      <c r="P42" s="60">
        <v>1.29</v>
      </c>
      <c r="Q42" s="60">
        <v>31.25</v>
      </c>
      <c r="R42" s="198"/>
      <c r="S42" s="198"/>
      <c r="T42" s="198"/>
      <c r="U42" s="198"/>
    </row>
    <row r="43" spans="1:21" s="12" customFormat="1" x14ac:dyDescent="0.25">
      <c r="A43" s="213" t="s">
        <v>2889</v>
      </c>
      <c r="B43" s="60">
        <v>9.93</v>
      </c>
      <c r="C43" s="60">
        <v>81.239999999999995</v>
      </c>
      <c r="D43" s="60">
        <v>52.8</v>
      </c>
      <c r="E43" s="60">
        <v>3.56</v>
      </c>
      <c r="F43" s="60">
        <v>0.18</v>
      </c>
      <c r="G43" s="60">
        <v>110.65</v>
      </c>
      <c r="H43" s="60">
        <v>51.23</v>
      </c>
      <c r="I43" s="60">
        <v>0.26</v>
      </c>
      <c r="J43" s="60">
        <v>1.1399999999999999</v>
      </c>
      <c r="K43" s="60">
        <v>102.16</v>
      </c>
      <c r="L43" s="60">
        <v>17.87</v>
      </c>
      <c r="M43" s="60">
        <v>71</v>
      </c>
      <c r="N43" s="60">
        <v>144.80000000000001</v>
      </c>
      <c r="O43" s="60">
        <v>0</v>
      </c>
      <c r="P43" s="60">
        <v>1.29</v>
      </c>
      <c r="Q43" s="60">
        <v>31.16</v>
      </c>
      <c r="R43" s="198"/>
      <c r="S43" s="198"/>
      <c r="T43" s="198"/>
      <c r="U43" s="198"/>
    </row>
    <row r="44" spans="1:21" s="12" customFormat="1" x14ac:dyDescent="0.25">
      <c r="A44" s="213" t="s">
        <v>2890</v>
      </c>
      <c r="B44" s="60">
        <v>9.5500000000000007</v>
      </c>
      <c r="C44" s="60">
        <v>80.48</v>
      </c>
      <c r="D44" s="60">
        <v>52.08</v>
      </c>
      <c r="E44" s="60">
        <v>3.71</v>
      </c>
      <c r="F44" s="60">
        <v>0.28000000000000003</v>
      </c>
      <c r="G44" s="60">
        <v>110.65</v>
      </c>
      <c r="H44" s="60">
        <v>51.23</v>
      </c>
      <c r="I44" s="60">
        <v>0.25</v>
      </c>
      <c r="J44" s="60">
        <v>0.6</v>
      </c>
      <c r="K44" s="60">
        <v>89.07</v>
      </c>
      <c r="L44" s="60">
        <v>18.79</v>
      </c>
      <c r="M44" s="60">
        <v>69</v>
      </c>
      <c r="N44" s="60">
        <v>157.9</v>
      </c>
      <c r="O44" s="60">
        <v>0</v>
      </c>
      <c r="P44" s="60">
        <v>1.29</v>
      </c>
      <c r="Q44" s="60">
        <v>30.62</v>
      </c>
      <c r="R44" s="198"/>
      <c r="S44" s="198"/>
      <c r="T44" s="198"/>
      <c r="U44" s="198"/>
    </row>
    <row r="45" spans="1:21" s="12" customFormat="1" x14ac:dyDescent="0.25">
      <c r="A45" s="213" t="s">
        <v>2891</v>
      </c>
      <c r="B45" s="60">
        <v>9.76</v>
      </c>
      <c r="C45" s="60">
        <v>80.790000000000006</v>
      </c>
      <c r="D45" s="60">
        <v>52.42</v>
      </c>
      <c r="E45" s="60">
        <v>3.43</v>
      </c>
      <c r="F45" s="255" t="s">
        <v>47</v>
      </c>
      <c r="G45" s="60">
        <v>107.72</v>
      </c>
      <c r="H45" s="60">
        <v>51.2</v>
      </c>
      <c r="I45" s="60">
        <v>0.26</v>
      </c>
      <c r="J45" s="60">
        <v>0.55000000000000004</v>
      </c>
      <c r="K45" s="60">
        <v>62.58</v>
      </c>
      <c r="L45" s="60">
        <v>20.22</v>
      </c>
      <c r="M45" s="60">
        <v>64</v>
      </c>
      <c r="N45" s="60">
        <v>197.3</v>
      </c>
      <c r="O45" s="60">
        <v>0</v>
      </c>
      <c r="P45" s="60">
        <v>1.3</v>
      </c>
      <c r="Q45" s="60">
        <v>30.08</v>
      </c>
      <c r="R45" s="198"/>
      <c r="S45" s="198"/>
      <c r="T45" s="198"/>
      <c r="U45" s="198"/>
    </row>
    <row r="46" spans="1:21" s="12" customFormat="1" x14ac:dyDescent="0.25">
      <c r="A46" s="213" t="s">
        <v>2892</v>
      </c>
      <c r="B46" s="60">
        <v>10.11</v>
      </c>
      <c r="C46" s="60">
        <v>81.37</v>
      </c>
      <c r="D46" s="60">
        <v>53.01</v>
      </c>
      <c r="E46" s="60">
        <v>3.42</v>
      </c>
      <c r="F46" s="60">
        <v>0.04</v>
      </c>
      <c r="G46" s="60">
        <v>92.41</v>
      </c>
      <c r="H46" s="60">
        <v>51.08</v>
      </c>
      <c r="I46" s="60">
        <v>0.26</v>
      </c>
      <c r="J46" s="60">
        <v>0.88</v>
      </c>
      <c r="K46" s="60">
        <v>99.48</v>
      </c>
      <c r="L46" s="60">
        <v>20.21</v>
      </c>
      <c r="M46" s="60">
        <v>66</v>
      </c>
      <c r="N46" s="60">
        <v>212.1</v>
      </c>
      <c r="O46" s="60">
        <v>0</v>
      </c>
      <c r="P46" s="60">
        <v>1.31</v>
      </c>
      <c r="Q46" s="60">
        <v>29.72</v>
      </c>
      <c r="R46" s="198"/>
      <c r="S46" s="198"/>
      <c r="T46" s="198"/>
      <c r="U46" s="198"/>
    </row>
    <row r="47" spans="1:21" s="12" customFormat="1" x14ac:dyDescent="0.25">
      <c r="A47" s="213" t="s">
        <v>2893</v>
      </c>
      <c r="B47" s="60">
        <v>10.220000000000001</v>
      </c>
      <c r="C47" s="60">
        <v>81.56</v>
      </c>
      <c r="D47" s="60">
        <v>53.21</v>
      </c>
      <c r="E47" s="60">
        <v>3.33</v>
      </c>
      <c r="F47" s="60">
        <v>0.01</v>
      </c>
      <c r="G47" s="60">
        <v>92.41</v>
      </c>
      <c r="H47" s="60">
        <v>51.08</v>
      </c>
      <c r="I47" s="60">
        <v>0.26</v>
      </c>
      <c r="J47" s="60">
        <v>0.47</v>
      </c>
      <c r="K47" s="60">
        <v>73.17</v>
      </c>
      <c r="L47" s="60">
        <v>21.36</v>
      </c>
      <c r="M47" s="60">
        <v>63</v>
      </c>
      <c r="N47" s="60">
        <v>219.8</v>
      </c>
      <c r="O47" s="60">
        <v>0</v>
      </c>
      <c r="P47" s="60">
        <v>1.32</v>
      </c>
      <c r="Q47" s="60">
        <v>30.04</v>
      </c>
      <c r="R47" s="198"/>
      <c r="S47" s="198"/>
      <c r="T47" s="198"/>
      <c r="U47" s="198"/>
    </row>
    <row r="48" spans="1:21" s="12" customFormat="1" x14ac:dyDescent="0.25">
      <c r="A48" s="213" t="s">
        <v>2894</v>
      </c>
      <c r="B48" s="60">
        <v>9.8000000000000007</v>
      </c>
      <c r="C48" s="60">
        <v>81.41</v>
      </c>
      <c r="D48" s="60">
        <v>52.79</v>
      </c>
      <c r="E48" s="60">
        <v>3.42</v>
      </c>
      <c r="F48" s="60">
        <v>0.02</v>
      </c>
      <c r="G48" s="60">
        <v>92.41</v>
      </c>
      <c r="H48" s="60">
        <v>51.08</v>
      </c>
      <c r="I48" s="60">
        <v>0.27</v>
      </c>
      <c r="J48" s="60">
        <v>0.53</v>
      </c>
      <c r="K48" s="60">
        <v>89.21</v>
      </c>
      <c r="L48" s="60">
        <v>22.06</v>
      </c>
      <c r="M48" s="60">
        <v>62</v>
      </c>
      <c r="N48" s="60">
        <v>227.6</v>
      </c>
      <c r="O48" s="60">
        <v>0</v>
      </c>
      <c r="P48" s="60">
        <v>1.32</v>
      </c>
      <c r="Q48" s="60">
        <v>30.38</v>
      </c>
      <c r="R48" s="198"/>
      <c r="S48" s="198"/>
      <c r="T48" s="198"/>
      <c r="U48" s="198"/>
    </row>
    <row r="49" spans="1:21" s="12" customFormat="1" x14ac:dyDescent="0.25">
      <c r="A49" s="213" t="s">
        <v>2895</v>
      </c>
      <c r="B49" s="60">
        <v>9.15</v>
      </c>
      <c r="C49" s="60">
        <v>81.260000000000005</v>
      </c>
      <c r="D49" s="60">
        <v>52.18</v>
      </c>
      <c r="E49" s="60">
        <v>3.87</v>
      </c>
      <c r="F49" s="60">
        <v>0.17</v>
      </c>
      <c r="G49" s="60">
        <v>92.31</v>
      </c>
      <c r="H49" s="60">
        <v>51.41</v>
      </c>
      <c r="I49" s="60">
        <v>0.27</v>
      </c>
      <c r="J49" s="60">
        <v>0.54</v>
      </c>
      <c r="K49" s="60">
        <v>85.4</v>
      </c>
      <c r="L49" s="60">
        <v>22.82</v>
      </c>
      <c r="M49" s="60">
        <v>61</v>
      </c>
      <c r="N49" s="60">
        <v>234.9</v>
      </c>
      <c r="O49" s="60">
        <v>0</v>
      </c>
      <c r="P49" s="60">
        <v>1.34</v>
      </c>
      <c r="Q49" s="60">
        <v>30.75</v>
      </c>
      <c r="R49" s="198"/>
      <c r="S49" s="198"/>
      <c r="T49" s="198"/>
      <c r="U49" s="198"/>
    </row>
    <row r="50" spans="1:21" s="12" customFormat="1" x14ac:dyDescent="0.25">
      <c r="A50" s="213" t="s">
        <v>2896</v>
      </c>
      <c r="B50" s="60">
        <v>8.43</v>
      </c>
      <c r="C50" s="60">
        <v>81.099999999999994</v>
      </c>
      <c r="D50" s="60">
        <v>51.51</v>
      </c>
      <c r="E50" s="60">
        <v>3.94</v>
      </c>
      <c r="F50" s="60">
        <v>0.17</v>
      </c>
      <c r="G50" s="60">
        <v>92.07</v>
      </c>
      <c r="H50" s="60">
        <v>52.57</v>
      </c>
      <c r="I50" s="60">
        <v>0.28000000000000003</v>
      </c>
      <c r="J50" s="60">
        <v>0.78</v>
      </c>
      <c r="K50" s="60">
        <v>101.52</v>
      </c>
      <c r="L50" s="60">
        <v>22.71</v>
      </c>
      <c r="M50" s="60">
        <v>62</v>
      </c>
      <c r="N50" s="60">
        <v>239.9</v>
      </c>
      <c r="O50" s="60">
        <v>0</v>
      </c>
      <c r="P50" s="60">
        <v>1.34</v>
      </c>
      <c r="Q50" s="60">
        <v>31</v>
      </c>
      <c r="R50" s="198"/>
      <c r="S50" s="198"/>
      <c r="T50" s="198"/>
      <c r="U50" s="198"/>
    </row>
    <row r="51" spans="1:21" s="12" customFormat="1" x14ac:dyDescent="0.25">
      <c r="A51" s="213" t="s">
        <v>2897</v>
      </c>
      <c r="B51" s="60">
        <v>7.61</v>
      </c>
      <c r="C51" s="60">
        <v>80.61</v>
      </c>
      <c r="D51" s="60">
        <v>50.59</v>
      </c>
      <c r="E51" s="60">
        <v>3.57</v>
      </c>
      <c r="F51" s="60">
        <v>0.35</v>
      </c>
      <c r="G51" s="60">
        <v>92.07</v>
      </c>
      <c r="H51" s="60">
        <v>52.57</v>
      </c>
      <c r="I51" s="60">
        <v>0.28000000000000003</v>
      </c>
      <c r="J51" s="60">
        <v>0.57999999999999996</v>
      </c>
      <c r="K51" s="60">
        <v>62.19</v>
      </c>
      <c r="L51" s="60">
        <v>23.67</v>
      </c>
      <c r="M51" s="60">
        <v>60</v>
      </c>
      <c r="N51" s="60">
        <v>249</v>
      </c>
      <c r="O51" s="60">
        <v>0</v>
      </c>
      <c r="P51" s="60">
        <v>1.34</v>
      </c>
      <c r="Q51" s="60">
        <v>31.96</v>
      </c>
      <c r="R51" s="198"/>
      <c r="S51" s="198"/>
      <c r="T51" s="198"/>
      <c r="U51" s="198"/>
    </row>
    <row r="52" spans="1:21" s="12" customFormat="1" x14ac:dyDescent="0.25">
      <c r="A52" s="213" t="s">
        <v>2898</v>
      </c>
      <c r="B52" s="60">
        <v>6.64</v>
      </c>
      <c r="C52" s="60">
        <v>80.92</v>
      </c>
      <c r="D52" s="60">
        <v>49.98</v>
      </c>
      <c r="E52" s="60">
        <v>4.1900000000000004</v>
      </c>
      <c r="F52" s="60">
        <v>0.66</v>
      </c>
      <c r="G52" s="60">
        <v>92.07</v>
      </c>
      <c r="H52" s="60">
        <v>52.57</v>
      </c>
      <c r="I52" s="60">
        <v>0.28999999999999998</v>
      </c>
      <c r="J52" s="60">
        <v>0.64</v>
      </c>
      <c r="K52" s="60">
        <v>73.819999999999993</v>
      </c>
      <c r="L52" s="60">
        <v>24.27</v>
      </c>
      <c r="M52" s="60">
        <v>59</v>
      </c>
      <c r="N52" s="60">
        <v>278.60000000000002</v>
      </c>
      <c r="O52" s="60">
        <v>0</v>
      </c>
      <c r="P52" s="60">
        <v>1.36</v>
      </c>
      <c r="Q52" s="60">
        <v>33.200000000000003</v>
      </c>
      <c r="R52" s="198"/>
      <c r="S52" s="198"/>
      <c r="T52" s="198"/>
      <c r="U52" s="198"/>
    </row>
    <row r="53" spans="1:21" s="12" customFormat="1" x14ac:dyDescent="0.25">
      <c r="A53" s="213" t="s">
        <v>2899</v>
      </c>
      <c r="B53" s="60">
        <v>5.64</v>
      </c>
      <c r="C53" s="60">
        <v>81.98</v>
      </c>
      <c r="D53" s="60">
        <v>49.76</v>
      </c>
      <c r="E53" s="60">
        <v>3.82</v>
      </c>
      <c r="F53" s="60">
        <v>1.98</v>
      </c>
      <c r="G53" s="60">
        <v>92</v>
      </c>
      <c r="H53" s="60">
        <v>52.43</v>
      </c>
      <c r="I53" s="60">
        <v>0.28000000000000003</v>
      </c>
      <c r="J53" s="60">
        <v>0.32</v>
      </c>
      <c r="K53" s="60">
        <v>72.77</v>
      </c>
      <c r="L53" s="60">
        <v>24.8</v>
      </c>
      <c r="M53" s="60">
        <v>57</v>
      </c>
      <c r="N53" s="60">
        <v>278.10000000000002</v>
      </c>
      <c r="O53" s="60">
        <v>0</v>
      </c>
      <c r="P53" s="60">
        <v>1.37</v>
      </c>
      <c r="Q53" s="60">
        <v>33.29</v>
      </c>
      <c r="R53" s="198"/>
      <c r="S53" s="198"/>
      <c r="T53" s="198"/>
      <c r="U53" s="198"/>
    </row>
    <row r="54" spans="1:21" s="12" customFormat="1" x14ac:dyDescent="0.25">
      <c r="A54" s="213" t="s">
        <v>2900</v>
      </c>
      <c r="B54" s="60">
        <v>4.68</v>
      </c>
      <c r="C54" s="60">
        <v>82.2</v>
      </c>
      <c r="D54" s="60">
        <v>49.12</v>
      </c>
      <c r="E54" s="60">
        <v>4.08</v>
      </c>
      <c r="F54" s="60">
        <v>1.47</v>
      </c>
      <c r="G54" s="60">
        <v>91.73</v>
      </c>
      <c r="H54" s="60">
        <v>51.91</v>
      </c>
      <c r="I54" s="60">
        <v>0.28000000000000003</v>
      </c>
      <c r="J54" s="60">
        <v>0.97</v>
      </c>
      <c r="K54" s="60">
        <v>110.8</v>
      </c>
      <c r="L54" s="60">
        <v>24.48</v>
      </c>
      <c r="M54" s="60">
        <v>59</v>
      </c>
      <c r="N54" s="60">
        <v>275.10000000000002</v>
      </c>
      <c r="O54" s="60">
        <v>0</v>
      </c>
      <c r="P54" s="60">
        <v>1.35</v>
      </c>
      <c r="Q54" s="60">
        <v>33.369999999999997</v>
      </c>
      <c r="R54" s="198"/>
      <c r="S54" s="198"/>
      <c r="T54" s="198"/>
      <c r="U54" s="198"/>
    </row>
    <row r="55" spans="1:21" s="12" customFormat="1" x14ac:dyDescent="0.25">
      <c r="A55" s="213" t="s">
        <v>2901</v>
      </c>
      <c r="B55" s="60">
        <v>3.59</v>
      </c>
      <c r="C55" s="60">
        <v>81.7</v>
      </c>
      <c r="D55" s="60">
        <v>47.97</v>
      </c>
      <c r="E55" s="60">
        <v>4.21</v>
      </c>
      <c r="F55" s="60">
        <v>2.16</v>
      </c>
      <c r="G55" s="60">
        <v>91.73</v>
      </c>
      <c r="H55" s="60">
        <v>51.91</v>
      </c>
      <c r="I55" s="60">
        <v>0.28000000000000003</v>
      </c>
      <c r="J55" s="60">
        <v>0.4</v>
      </c>
      <c r="K55" s="60">
        <v>33.549999999999997</v>
      </c>
      <c r="L55" s="60">
        <v>25.42</v>
      </c>
      <c r="M55" s="60">
        <v>55</v>
      </c>
      <c r="N55" s="60">
        <v>284.2</v>
      </c>
      <c r="O55" s="60">
        <v>0</v>
      </c>
      <c r="P55" s="60">
        <v>1.34</v>
      </c>
      <c r="Q55" s="60">
        <v>33.72</v>
      </c>
      <c r="R55" s="198"/>
      <c r="S55" s="198"/>
      <c r="T55" s="198"/>
      <c r="U55" s="198"/>
    </row>
    <row r="56" spans="1:21" s="12" customFormat="1" x14ac:dyDescent="0.25">
      <c r="A56" s="213" t="s">
        <v>2902</v>
      </c>
      <c r="B56" s="60">
        <v>3.12</v>
      </c>
      <c r="C56" s="60">
        <v>81.91</v>
      </c>
      <c r="D56" s="60">
        <v>47.7</v>
      </c>
      <c r="E56" s="60">
        <v>1.9</v>
      </c>
      <c r="F56" s="60">
        <v>1.25</v>
      </c>
      <c r="G56" s="60">
        <v>91.73</v>
      </c>
      <c r="H56" s="60">
        <v>51.91</v>
      </c>
      <c r="I56" s="60">
        <v>0.27</v>
      </c>
      <c r="J56" s="60">
        <v>0.64</v>
      </c>
      <c r="K56" s="60">
        <v>113.67</v>
      </c>
      <c r="L56" s="60">
        <v>25.54</v>
      </c>
      <c r="M56" s="60">
        <v>55</v>
      </c>
      <c r="N56" s="60">
        <v>282</v>
      </c>
      <c r="O56" s="60">
        <v>0</v>
      </c>
      <c r="P56" s="60">
        <v>1.34</v>
      </c>
      <c r="Q56" s="60">
        <v>34.04</v>
      </c>
      <c r="R56" s="198"/>
      <c r="S56" s="198"/>
      <c r="T56" s="198"/>
      <c r="U56" s="198"/>
    </row>
    <row r="57" spans="1:21" s="12" customFormat="1" x14ac:dyDescent="0.25">
      <c r="A57" s="213" t="s">
        <v>2903</v>
      </c>
      <c r="B57" s="60">
        <v>2.86</v>
      </c>
      <c r="C57" s="60">
        <v>82.22</v>
      </c>
      <c r="D57" s="60">
        <v>47.66</v>
      </c>
      <c r="E57" s="60">
        <v>4.46</v>
      </c>
      <c r="F57" s="60">
        <v>2.4700000000000002</v>
      </c>
      <c r="G57" s="60">
        <v>90.34</v>
      </c>
      <c r="H57" s="60">
        <v>51.61</v>
      </c>
      <c r="I57" s="60">
        <v>0.26</v>
      </c>
      <c r="J57" s="60">
        <v>0.72</v>
      </c>
      <c r="K57" s="60">
        <v>142.91999999999999</v>
      </c>
      <c r="L57" s="60">
        <v>25.24</v>
      </c>
      <c r="M57" s="60">
        <v>55</v>
      </c>
      <c r="N57" s="60">
        <v>280.10000000000002</v>
      </c>
      <c r="O57" s="60">
        <v>0</v>
      </c>
      <c r="P57" s="60">
        <v>1.32</v>
      </c>
      <c r="Q57" s="60">
        <v>34.17</v>
      </c>
      <c r="R57" s="198"/>
      <c r="S57" s="198"/>
      <c r="T57" s="198"/>
      <c r="U57" s="198"/>
    </row>
    <row r="58" spans="1:21" s="12" customFormat="1" x14ac:dyDescent="0.25">
      <c r="A58" s="213" t="s">
        <v>2904</v>
      </c>
      <c r="B58" s="60">
        <v>2.76</v>
      </c>
      <c r="C58" s="60">
        <v>82.44</v>
      </c>
      <c r="D58" s="60">
        <v>47.71</v>
      </c>
      <c r="E58" s="60">
        <v>4.3499999999999996</v>
      </c>
      <c r="F58" s="60">
        <v>2.79</v>
      </c>
      <c r="G58" s="60">
        <v>86.88</v>
      </c>
      <c r="H58" s="60">
        <v>50.54</v>
      </c>
      <c r="I58" s="60">
        <v>0.26</v>
      </c>
      <c r="J58" s="60">
        <v>0.66</v>
      </c>
      <c r="K58" s="60">
        <v>352.21</v>
      </c>
      <c r="L58" s="60">
        <v>27.74</v>
      </c>
      <c r="M58" s="60">
        <v>49</v>
      </c>
      <c r="N58" s="60">
        <v>277.60000000000002</v>
      </c>
      <c r="O58" s="60">
        <v>0</v>
      </c>
      <c r="P58" s="60">
        <v>1.31</v>
      </c>
      <c r="Q58" s="60">
        <v>33.72</v>
      </c>
      <c r="R58" s="198"/>
      <c r="S58" s="198"/>
      <c r="T58" s="198"/>
      <c r="U58" s="198"/>
    </row>
    <row r="59" spans="1:21" s="12" customFormat="1" x14ac:dyDescent="0.25">
      <c r="A59" s="213" t="s">
        <v>2905</v>
      </c>
      <c r="B59" s="60">
        <v>3.2</v>
      </c>
      <c r="C59" s="60">
        <v>83.36</v>
      </c>
      <c r="D59" s="60">
        <v>48.57</v>
      </c>
      <c r="E59" s="60">
        <v>4.25</v>
      </c>
      <c r="F59" s="60">
        <v>1.2</v>
      </c>
      <c r="G59" s="60">
        <v>86.88</v>
      </c>
      <c r="H59" s="60">
        <v>50.54</v>
      </c>
      <c r="I59" s="60">
        <v>0.26</v>
      </c>
      <c r="J59" s="60">
        <v>0.56999999999999995</v>
      </c>
      <c r="K59" s="60">
        <v>342.01</v>
      </c>
      <c r="L59" s="60">
        <v>29.76</v>
      </c>
      <c r="M59" s="60">
        <v>44</v>
      </c>
      <c r="N59" s="60">
        <v>267.60000000000002</v>
      </c>
      <c r="O59" s="60">
        <v>0</v>
      </c>
      <c r="P59" s="60">
        <v>1.31</v>
      </c>
      <c r="Q59" s="60">
        <v>33.049999999999997</v>
      </c>
      <c r="R59" s="198"/>
      <c r="S59" s="198"/>
      <c r="T59" s="198"/>
      <c r="U59" s="198"/>
    </row>
    <row r="60" spans="1:21" s="12" customFormat="1" x14ac:dyDescent="0.25">
      <c r="A60" s="213" t="s">
        <v>2906</v>
      </c>
      <c r="B60" s="60">
        <v>3.33</v>
      </c>
      <c r="C60" s="60">
        <v>83.57</v>
      </c>
      <c r="D60" s="60">
        <v>48.79</v>
      </c>
      <c r="E60" s="60">
        <v>4.5599999999999996</v>
      </c>
      <c r="F60" s="60">
        <v>2.65</v>
      </c>
      <c r="G60" s="60">
        <v>86.88</v>
      </c>
      <c r="H60" s="60">
        <v>50.54</v>
      </c>
      <c r="I60" s="60">
        <v>0.25</v>
      </c>
      <c r="J60" s="60">
        <v>0.61</v>
      </c>
      <c r="K60" s="60">
        <v>355.97</v>
      </c>
      <c r="L60" s="60">
        <v>30.18</v>
      </c>
      <c r="M60" s="60">
        <v>42</v>
      </c>
      <c r="N60" s="60">
        <v>260.10000000000002</v>
      </c>
      <c r="O60" s="60">
        <v>0</v>
      </c>
      <c r="P60" s="60">
        <v>1.32</v>
      </c>
      <c r="Q60" s="60">
        <v>32.76</v>
      </c>
      <c r="R60" s="198"/>
      <c r="S60" s="198"/>
      <c r="T60" s="198"/>
      <c r="U60" s="198"/>
    </row>
    <row r="61" spans="1:21" s="12" customFormat="1" x14ac:dyDescent="0.25">
      <c r="A61" s="213" t="s">
        <v>2907</v>
      </c>
      <c r="B61" s="60">
        <v>3.55</v>
      </c>
      <c r="C61" s="60">
        <v>83.61</v>
      </c>
      <c r="D61" s="60">
        <v>48.99</v>
      </c>
      <c r="E61" s="60">
        <v>5.45</v>
      </c>
      <c r="F61" s="60">
        <v>3.02</v>
      </c>
      <c r="G61" s="60">
        <v>86.84</v>
      </c>
      <c r="H61" s="60">
        <v>50.39</v>
      </c>
      <c r="I61" s="60">
        <v>0.26</v>
      </c>
      <c r="J61" s="60">
        <v>0.74</v>
      </c>
      <c r="K61" s="60">
        <v>7.02</v>
      </c>
      <c r="L61" s="60">
        <v>29.92</v>
      </c>
      <c r="M61" s="60">
        <v>42</v>
      </c>
      <c r="N61" s="60">
        <v>255.6</v>
      </c>
      <c r="O61" s="60">
        <v>0</v>
      </c>
      <c r="P61" s="60">
        <v>1.21</v>
      </c>
      <c r="Q61" s="60">
        <v>32.75</v>
      </c>
      <c r="R61" s="198"/>
      <c r="S61" s="198"/>
      <c r="T61" s="198"/>
      <c r="U61" s="198"/>
    </row>
    <row r="62" spans="1:21" s="12" customFormat="1" x14ac:dyDescent="0.25">
      <c r="A62" s="213" t="s">
        <v>2908</v>
      </c>
      <c r="B62" s="60">
        <v>2.81</v>
      </c>
      <c r="C62" s="60">
        <v>82.73</v>
      </c>
      <c r="D62" s="60">
        <v>47.9</v>
      </c>
      <c r="E62" s="60">
        <v>4.82</v>
      </c>
      <c r="F62" s="60">
        <v>3.9</v>
      </c>
      <c r="G62" s="60">
        <v>86.63</v>
      </c>
      <c r="H62" s="60">
        <v>49.84</v>
      </c>
      <c r="I62" s="60">
        <v>0.26</v>
      </c>
      <c r="J62" s="60">
        <v>0.36</v>
      </c>
      <c r="K62" s="60">
        <v>358.86</v>
      </c>
      <c r="L62" s="60">
        <v>29.81</v>
      </c>
      <c r="M62" s="60">
        <v>42</v>
      </c>
      <c r="N62" s="60">
        <v>240.7</v>
      </c>
      <c r="O62" s="60">
        <v>0</v>
      </c>
      <c r="P62" s="60">
        <v>1.27</v>
      </c>
      <c r="Q62" s="60">
        <v>32.82</v>
      </c>
      <c r="R62" s="198"/>
      <c r="S62" s="198"/>
      <c r="T62" s="198"/>
      <c r="U62" s="198"/>
    </row>
    <row r="63" spans="1:21" s="12" customFormat="1" x14ac:dyDescent="0.25">
      <c r="A63" s="213" t="s">
        <v>2909</v>
      </c>
      <c r="B63" s="60">
        <v>2.78</v>
      </c>
      <c r="C63" s="60">
        <v>84.73</v>
      </c>
      <c r="D63" s="60">
        <v>48.99</v>
      </c>
      <c r="E63" s="60">
        <v>5.61</v>
      </c>
      <c r="F63" s="60">
        <v>1.63</v>
      </c>
      <c r="G63" s="60">
        <v>86.63</v>
      </c>
      <c r="H63" s="60">
        <v>49.84</v>
      </c>
      <c r="I63" s="60">
        <v>0.26</v>
      </c>
      <c r="J63" s="60">
        <v>0.44</v>
      </c>
      <c r="K63" s="60">
        <v>340.86</v>
      </c>
      <c r="L63" s="60">
        <v>29.94</v>
      </c>
      <c r="M63" s="60">
        <v>41</v>
      </c>
      <c r="N63" s="60">
        <v>230.5</v>
      </c>
      <c r="O63" s="60">
        <v>0</v>
      </c>
      <c r="P63" s="60">
        <v>1.28</v>
      </c>
      <c r="Q63" s="60">
        <v>33.54</v>
      </c>
      <c r="R63" s="198"/>
      <c r="S63" s="198"/>
      <c r="T63" s="198"/>
      <c r="U63" s="198"/>
    </row>
    <row r="64" spans="1:21" s="12" customFormat="1" x14ac:dyDescent="0.25">
      <c r="A64" s="213" t="s">
        <v>2910</v>
      </c>
      <c r="B64" s="60">
        <v>2.46</v>
      </c>
      <c r="C64" s="60">
        <v>83.05</v>
      </c>
      <c r="D64" s="60">
        <v>47.81</v>
      </c>
      <c r="E64" s="60">
        <v>4.88</v>
      </c>
      <c r="F64" s="60">
        <v>4.82</v>
      </c>
      <c r="G64" s="60">
        <v>86.63</v>
      </c>
      <c r="H64" s="60">
        <v>49.84</v>
      </c>
      <c r="I64" s="60">
        <v>0.27</v>
      </c>
      <c r="J64" s="60">
        <v>0.4</v>
      </c>
      <c r="K64" s="60">
        <v>161.49</v>
      </c>
      <c r="L64" s="60">
        <v>29.13</v>
      </c>
      <c r="M64" s="60">
        <v>42</v>
      </c>
      <c r="N64" s="60">
        <v>222</v>
      </c>
      <c r="O64" s="60">
        <v>0</v>
      </c>
      <c r="P64" s="60">
        <v>1.27</v>
      </c>
      <c r="Q64" s="60">
        <v>34.29</v>
      </c>
      <c r="R64" s="198"/>
      <c r="S64" s="198"/>
      <c r="T64" s="198"/>
      <c r="U64" s="198"/>
    </row>
    <row r="65" spans="1:21" s="12" customFormat="1" x14ac:dyDescent="0.25">
      <c r="A65" s="213" t="s">
        <v>2911</v>
      </c>
      <c r="B65" s="60">
        <v>2.39</v>
      </c>
      <c r="C65" s="60">
        <v>83.54</v>
      </c>
      <c r="D65" s="60">
        <v>48.02</v>
      </c>
      <c r="E65" s="60">
        <v>5.03</v>
      </c>
      <c r="F65" s="60">
        <v>2.1800000000000002</v>
      </c>
      <c r="G65" s="60">
        <v>61.69</v>
      </c>
      <c r="H65" s="60">
        <v>48.89</v>
      </c>
      <c r="I65" s="60">
        <v>0.28000000000000003</v>
      </c>
      <c r="J65" s="60">
        <v>0.63</v>
      </c>
      <c r="K65" s="60">
        <v>20.04</v>
      </c>
      <c r="L65" s="60">
        <v>27.43</v>
      </c>
      <c r="M65" s="60">
        <v>46</v>
      </c>
      <c r="N65" s="60">
        <v>173.4</v>
      </c>
      <c r="O65" s="60">
        <v>0</v>
      </c>
      <c r="P65" s="60">
        <v>1.27</v>
      </c>
      <c r="Q65" s="60">
        <v>34.869999999999997</v>
      </c>
      <c r="R65" s="198"/>
      <c r="S65" s="198"/>
      <c r="T65" s="198"/>
      <c r="U65" s="198"/>
    </row>
    <row r="66" spans="1:21" s="12" customFormat="1" x14ac:dyDescent="0.25">
      <c r="A66" s="213" t="s">
        <v>2912</v>
      </c>
      <c r="B66" s="60">
        <v>2.4900000000000002</v>
      </c>
      <c r="C66" s="60">
        <v>85.12</v>
      </c>
      <c r="D66" s="60">
        <v>48.97</v>
      </c>
      <c r="E66" s="60">
        <v>5.08</v>
      </c>
      <c r="F66" s="60">
        <v>1.99</v>
      </c>
      <c r="G66" s="210" t="s">
        <v>36</v>
      </c>
      <c r="H66" s="60">
        <v>45.34</v>
      </c>
      <c r="I66" s="60">
        <v>0.28000000000000003</v>
      </c>
      <c r="J66" s="60">
        <v>0.54</v>
      </c>
      <c r="K66" s="60">
        <v>6.9</v>
      </c>
      <c r="L66" s="60">
        <v>28.97</v>
      </c>
      <c r="M66" s="60">
        <v>42</v>
      </c>
      <c r="N66" s="60">
        <v>178.6</v>
      </c>
      <c r="O66" s="60">
        <v>0</v>
      </c>
      <c r="P66" s="60">
        <v>1.28</v>
      </c>
      <c r="Q66" s="60">
        <v>36.770000000000003</v>
      </c>
      <c r="R66" s="198"/>
      <c r="S66" s="198"/>
      <c r="T66" s="198"/>
      <c r="U66" s="198"/>
    </row>
    <row r="67" spans="1:21" s="12" customFormat="1" x14ac:dyDescent="0.25">
      <c r="A67" s="213" t="s">
        <v>2913</v>
      </c>
      <c r="B67" s="60">
        <v>2.61</v>
      </c>
      <c r="C67" s="60">
        <v>87.75</v>
      </c>
      <c r="D67" s="60">
        <v>50.52</v>
      </c>
      <c r="E67" s="60">
        <v>4.62</v>
      </c>
      <c r="F67" s="60">
        <v>2.65</v>
      </c>
      <c r="G67" s="210" t="s">
        <v>36</v>
      </c>
      <c r="H67" s="60">
        <v>45.34</v>
      </c>
      <c r="I67" s="60">
        <v>0.28000000000000003</v>
      </c>
      <c r="J67" s="60">
        <v>0.45</v>
      </c>
      <c r="K67" s="60">
        <v>354.05</v>
      </c>
      <c r="L67" s="60">
        <v>29.22</v>
      </c>
      <c r="M67" s="60">
        <v>40</v>
      </c>
      <c r="N67" s="60">
        <v>146.69999999999999</v>
      </c>
      <c r="O67" s="60">
        <v>0</v>
      </c>
      <c r="P67" s="60">
        <v>1.27</v>
      </c>
      <c r="Q67" s="60">
        <v>37.729999999999997</v>
      </c>
      <c r="R67" s="198"/>
      <c r="S67" s="198"/>
      <c r="T67" s="198"/>
      <c r="U67" s="198"/>
    </row>
    <row r="68" spans="1:21" s="12" customFormat="1" x14ac:dyDescent="0.25">
      <c r="A68" s="213" t="s">
        <v>2914</v>
      </c>
      <c r="B68" s="60">
        <v>2.61</v>
      </c>
      <c r="C68" s="60">
        <v>89.55</v>
      </c>
      <c r="D68" s="60">
        <v>51.51</v>
      </c>
      <c r="E68" s="60">
        <v>4.57</v>
      </c>
      <c r="F68" s="60">
        <v>2.39</v>
      </c>
      <c r="G68" s="210" t="s">
        <v>36</v>
      </c>
      <c r="H68" s="60">
        <v>45.34</v>
      </c>
      <c r="I68" s="60">
        <v>0.28000000000000003</v>
      </c>
      <c r="J68" s="60">
        <v>0.1</v>
      </c>
      <c r="K68" s="60">
        <v>39.03</v>
      </c>
      <c r="L68" s="60">
        <v>28.39</v>
      </c>
      <c r="M68" s="60">
        <v>42</v>
      </c>
      <c r="N68" s="60">
        <v>150.80000000000001</v>
      </c>
      <c r="O68" s="60">
        <v>0</v>
      </c>
      <c r="P68" s="60">
        <v>1.25</v>
      </c>
      <c r="Q68" s="60">
        <v>38.049999999999997</v>
      </c>
      <c r="R68" s="198"/>
      <c r="S68" s="198"/>
      <c r="T68" s="198"/>
      <c r="U68" s="198"/>
    </row>
    <row r="69" spans="1:21" s="12" customFormat="1" x14ac:dyDescent="0.25">
      <c r="A69" s="213" t="s">
        <v>2915</v>
      </c>
      <c r="B69" s="60">
        <v>2.14</v>
      </c>
      <c r="C69" s="60">
        <v>90.17</v>
      </c>
      <c r="D69" s="60">
        <v>51.48</v>
      </c>
      <c r="E69" s="60">
        <v>4.5999999999999996</v>
      </c>
      <c r="F69" s="60">
        <v>2.1800000000000002</v>
      </c>
      <c r="G69" s="60">
        <v>55.39</v>
      </c>
      <c r="H69" s="60">
        <v>45.61</v>
      </c>
      <c r="I69" s="60">
        <v>0.28000000000000003</v>
      </c>
      <c r="J69" s="60">
        <v>0.28000000000000003</v>
      </c>
      <c r="K69" s="60">
        <v>345.36</v>
      </c>
      <c r="L69" s="60">
        <v>27.85</v>
      </c>
      <c r="M69" s="60">
        <v>44</v>
      </c>
      <c r="N69" s="60">
        <v>125.1</v>
      </c>
      <c r="O69" s="60">
        <v>0</v>
      </c>
      <c r="P69" s="60">
        <v>1.24</v>
      </c>
      <c r="Q69" s="60">
        <v>37.92</v>
      </c>
      <c r="R69" s="198"/>
      <c r="S69" s="198"/>
      <c r="T69" s="198"/>
      <c r="U69" s="198"/>
    </row>
    <row r="70" spans="1:21" s="12" customFormat="1" x14ac:dyDescent="0.25">
      <c r="A70" s="213" t="s">
        <v>2916</v>
      </c>
      <c r="B70" s="60">
        <v>1.79</v>
      </c>
      <c r="C70" s="60">
        <v>91.36</v>
      </c>
      <c r="D70" s="60">
        <v>51.85</v>
      </c>
      <c r="E70" s="60">
        <v>4.8899999999999997</v>
      </c>
      <c r="F70" s="60">
        <v>2.16</v>
      </c>
      <c r="G70" s="60">
        <v>192.4</v>
      </c>
      <c r="H70" s="60">
        <v>46.59</v>
      </c>
      <c r="I70" s="60">
        <v>0.27</v>
      </c>
      <c r="J70" s="60">
        <v>0.14000000000000001</v>
      </c>
      <c r="K70" s="60">
        <v>354.29</v>
      </c>
      <c r="L70" s="60">
        <v>27.41</v>
      </c>
      <c r="M70" s="60">
        <v>45</v>
      </c>
      <c r="N70" s="60">
        <v>86.2</v>
      </c>
      <c r="O70" s="60">
        <v>0</v>
      </c>
      <c r="P70" s="60">
        <v>1.26</v>
      </c>
      <c r="Q70" s="60">
        <v>38</v>
      </c>
      <c r="R70" s="198"/>
      <c r="S70" s="198"/>
      <c r="T70" s="198"/>
      <c r="U70" s="198"/>
    </row>
    <row r="71" spans="1:21" s="12" customFormat="1" x14ac:dyDescent="0.25">
      <c r="A71" s="213" t="s">
        <v>2917</v>
      </c>
      <c r="B71" s="60">
        <v>1.63</v>
      </c>
      <c r="C71" s="60">
        <v>92.91</v>
      </c>
      <c r="D71" s="60">
        <v>52.58</v>
      </c>
      <c r="E71" s="60">
        <v>4.79</v>
      </c>
      <c r="F71" s="60">
        <v>0.85</v>
      </c>
      <c r="G71" s="60">
        <v>192.4</v>
      </c>
      <c r="H71" s="60">
        <v>46.59</v>
      </c>
      <c r="I71" s="60">
        <v>0.26</v>
      </c>
      <c r="J71" s="60">
        <v>0.26</v>
      </c>
      <c r="K71" s="60">
        <v>330.91</v>
      </c>
      <c r="L71" s="60">
        <v>27.46</v>
      </c>
      <c r="M71" s="60">
        <v>45</v>
      </c>
      <c r="N71" s="60">
        <v>86.5</v>
      </c>
      <c r="O71" s="60">
        <v>0</v>
      </c>
      <c r="P71" s="60">
        <v>1.27</v>
      </c>
      <c r="Q71" s="60">
        <v>38.380000000000003</v>
      </c>
      <c r="R71" s="198"/>
      <c r="S71" s="198"/>
      <c r="T71" s="198"/>
      <c r="U71" s="198"/>
    </row>
    <row r="72" spans="1:21" s="12" customFormat="1" x14ac:dyDescent="0.25">
      <c r="A72" s="213" t="s">
        <v>2918</v>
      </c>
      <c r="B72" s="60">
        <v>2.76</v>
      </c>
      <c r="C72" s="60">
        <v>91.2</v>
      </c>
      <c r="D72" s="60">
        <v>52.54</v>
      </c>
      <c r="E72" s="60">
        <v>3.4</v>
      </c>
      <c r="F72" s="60">
        <v>7.14</v>
      </c>
      <c r="G72" s="60">
        <v>192.4</v>
      </c>
      <c r="H72" s="60">
        <v>46.59</v>
      </c>
      <c r="I72" s="60">
        <v>0.26</v>
      </c>
      <c r="J72" s="60">
        <v>0.39</v>
      </c>
      <c r="K72" s="60">
        <v>7.38</v>
      </c>
      <c r="L72" s="60">
        <v>26.83</v>
      </c>
      <c r="M72" s="60">
        <v>46</v>
      </c>
      <c r="N72" s="60">
        <v>67.400000000000006</v>
      </c>
      <c r="O72" s="60">
        <v>0</v>
      </c>
      <c r="P72" s="60">
        <v>1.28</v>
      </c>
      <c r="Q72" s="60">
        <v>37.869999999999997</v>
      </c>
      <c r="R72" s="198"/>
      <c r="S72" s="198"/>
      <c r="T72" s="198"/>
      <c r="U72" s="198"/>
    </row>
    <row r="73" spans="1:21" s="12" customFormat="1" x14ac:dyDescent="0.25">
      <c r="A73" s="213" t="s">
        <v>2919</v>
      </c>
      <c r="B73" s="60">
        <v>3.37</v>
      </c>
      <c r="C73" s="60">
        <v>93.61</v>
      </c>
      <c r="D73" s="60">
        <v>54.37</v>
      </c>
      <c r="E73" s="60">
        <v>4.17</v>
      </c>
      <c r="F73" s="60">
        <v>4.3099999999999996</v>
      </c>
      <c r="G73" s="60">
        <v>160.25</v>
      </c>
      <c r="H73" s="60">
        <v>46.34</v>
      </c>
      <c r="I73" s="60">
        <v>0.26</v>
      </c>
      <c r="J73" s="60">
        <v>0.28999999999999998</v>
      </c>
      <c r="K73" s="60">
        <v>344.87</v>
      </c>
      <c r="L73" s="60">
        <v>26.68</v>
      </c>
      <c r="M73" s="60">
        <v>48</v>
      </c>
      <c r="N73" s="60">
        <v>55.9</v>
      </c>
      <c r="O73" s="60">
        <v>0</v>
      </c>
      <c r="P73" s="60">
        <v>1.29</v>
      </c>
      <c r="Q73" s="60">
        <v>36.11</v>
      </c>
      <c r="R73" s="198"/>
      <c r="S73" s="198"/>
      <c r="T73" s="198"/>
      <c r="U73" s="198"/>
    </row>
    <row r="74" spans="1:21" s="12" customFormat="1" x14ac:dyDescent="0.25">
      <c r="A74" s="213" t="s">
        <v>2920</v>
      </c>
      <c r="B74" s="60">
        <v>3.98</v>
      </c>
      <c r="C74" s="60">
        <v>91</v>
      </c>
      <c r="D74" s="60">
        <v>53.42</v>
      </c>
      <c r="E74" s="60">
        <v>4.99</v>
      </c>
      <c r="F74" s="60">
        <v>4.5999999999999996</v>
      </c>
      <c r="G74" s="60">
        <v>76.31</v>
      </c>
      <c r="H74" s="60">
        <v>45.49</v>
      </c>
      <c r="I74" s="60">
        <v>0.26</v>
      </c>
      <c r="J74" s="60">
        <v>0.72</v>
      </c>
      <c r="K74" s="60">
        <v>1.67</v>
      </c>
      <c r="L74" s="60">
        <v>26.3</v>
      </c>
      <c r="M74" s="60">
        <v>51</v>
      </c>
      <c r="N74" s="60">
        <v>53.5</v>
      </c>
      <c r="O74" s="60">
        <v>0</v>
      </c>
      <c r="P74" s="60">
        <v>1.33</v>
      </c>
      <c r="Q74" s="60">
        <v>34.76</v>
      </c>
      <c r="R74" s="198"/>
      <c r="S74" s="198"/>
      <c r="T74" s="198"/>
      <c r="U74" s="198"/>
    </row>
    <row r="75" spans="1:21" s="12" customFormat="1" x14ac:dyDescent="0.25">
      <c r="A75" s="213" t="s">
        <v>2921</v>
      </c>
      <c r="B75" s="60">
        <v>4.66</v>
      </c>
      <c r="C75" s="60">
        <v>95.48</v>
      </c>
      <c r="D75" s="60">
        <v>56.43</v>
      </c>
      <c r="E75" s="60">
        <v>5.78</v>
      </c>
      <c r="F75" s="60">
        <v>4.42</v>
      </c>
      <c r="G75" s="60">
        <v>76.31</v>
      </c>
      <c r="H75" s="60">
        <v>45.49</v>
      </c>
      <c r="I75" s="60">
        <v>0.26</v>
      </c>
      <c r="J75" s="60">
        <v>0.87</v>
      </c>
      <c r="K75" s="60">
        <v>8.68</v>
      </c>
      <c r="L75" s="60">
        <v>25.85</v>
      </c>
      <c r="M75" s="60">
        <v>53</v>
      </c>
      <c r="N75" s="60">
        <v>46.2</v>
      </c>
      <c r="O75" s="60">
        <v>0</v>
      </c>
      <c r="P75" s="60">
        <v>1.34</v>
      </c>
      <c r="Q75" s="60">
        <v>35.08</v>
      </c>
      <c r="R75" s="198"/>
      <c r="S75" s="198"/>
      <c r="T75" s="198"/>
      <c r="U75" s="198"/>
    </row>
    <row r="76" spans="1:21" s="12" customFormat="1" x14ac:dyDescent="0.25">
      <c r="A76" s="213" t="s">
        <v>2922</v>
      </c>
      <c r="B76" s="60">
        <v>5.72</v>
      </c>
      <c r="C76" s="60">
        <v>96.64</v>
      </c>
      <c r="D76" s="60">
        <v>57.92</v>
      </c>
      <c r="E76" s="60">
        <v>6.39</v>
      </c>
      <c r="F76" s="60">
        <v>4.9800000000000004</v>
      </c>
      <c r="G76" s="60">
        <v>76.31</v>
      </c>
      <c r="H76" s="60">
        <v>45.49</v>
      </c>
      <c r="I76" s="60">
        <v>0.28000000000000003</v>
      </c>
      <c r="J76" s="60">
        <v>0.79</v>
      </c>
      <c r="K76" s="60">
        <v>11.68</v>
      </c>
      <c r="L76" s="60">
        <v>25.34</v>
      </c>
      <c r="M76" s="60">
        <v>55</v>
      </c>
      <c r="N76" s="60">
        <v>37.700000000000003</v>
      </c>
      <c r="O76" s="60">
        <v>0</v>
      </c>
      <c r="P76" s="60">
        <v>1.39</v>
      </c>
      <c r="Q76" s="60">
        <v>35.47</v>
      </c>
      <c r="R76" s="198"/>
      <c r="S76" s="198"/>
      <c r="T76" s="198"/>
      <c r="U76" s="198"/>
    </row>
    <row r="77" spans="1:21" s="12" customFormat="1" x14ac:dyDescent="0.25">
      <c r="A77" s="213" t="s">
        <v>2923</v>
      </c>
      <c r="B77" s="60">
        <v>10.63</v>
      </c>
      <c r="C77" s="60">
        <v>99.8</v>
      </c>
      <c r="D77" s="60">
        <v>63.6</v>
      </c>
      <c r="E77" s="60">
        <v>6.52</v>
      </c>
      <c r="F77" s="60">
        <v>3.83</v>
      </c>
      <c r="G77" s="60">
        <v>80.37</v>
      </c>
      <c r="H77" s="60">
        <v>45.94</v>
      </c>
      <c r="I77" s="60">
        <v>0.28999999999999998</v>
      </c>
      <c r="J77" s="60">
        <v>0.55000000000000004</v>
      </c>
      <c r="K77" s="60">
        <v>12.16</v>
      </c>
      <c r="L77" s="60">
        <v>24.86</v>
      </c>
      <c r="M77" s="60">
        <v>58</v>
      </c>
      <c r="N77" s="60">
        <v>31</v>
      </c>
      <c r="O77" s="60">
        <v>0</v>
      </c>
      <c r="P77" s="60">
        <v>1.51</v>
      </c>
      <c r="Q77" s="60">
        <v>35.14</v>
      </c>
      <c r="R77" s="198"/>
      <c r="S77" s="198"/>
      <c r="T77" s="198"/>
      <c r="U77" s="198"/>
    </row>
    <row r="78" spans="1:21" s="12" customFormat="1" x14ac:dyDescent="0.25">
      <c r="A78" s="213" t="s">
        <v>2924</v>
      </c>
      <c r="B78" s="60">
        <v>12.54</v>
      </c>
      <c r="C78" s="60">
        <v>106.78</v>
      </c>
      <c r="D78" s="60">
        <v>68.98</v>
      </c>
      <c r="E78" s="60">
        <v>6.86</v>
      </c>
      <c r="F78" s="60">
        <v>3.05</v>
      </c>
      <c r="G78" s="60">
        <v>99.42</v>
      </c>
      <c r="H78" s="60">
        <v>47.61</v>
      </c>
      <c r="I78" s="60">
        <v>0.3</v>
      </c>
      <c r="J78" s="60">
        <v>0.43</v>
      </c>
      <c r="K78" s="60">
        <v>19.579999999999998</v>
      </c>
      <c r="L78" s="60">
        <v>24.34</v>
      </c>
      <c r="M78" s="60">
        <v>60</v>
      </c>
      <c r="N78" s="60">
        <v>26.7</v>
      </c>
      <c r="O78" s="60">
        <v>0</v>
      </c>
      <c r="P78" s="60">
        <v>1.59</v>
      </c>
      <c r="Q78" s="60">
        <v>35.450000000000003</v>
      </c>
      <c r="R78" s="198"/>
      <c r="S78" s="198"/>
      <c r="T78" s="198"/>
      <c r="U78" s="198"/>
    </row>
    <row r="79" spans="1:21" s="12" customFormat="1" x14ac:dyDescent="0.25">
      <c r="A79" s="213" t="s">
        <v>2925</v>
      </c>
      <c r="B79" s="60">
        <v>11.04</v>
      </c>
      <c r="C79" s="60">
        <v>103.68</v>
      </c>
      <c r="D79" s="60">
        <v>66.069999999999993</v>
      </c>
      <c r="E79" s="60">
        <v>4.87</v>
      </c>
      <c r="F79" s="60">
        <v>1.89</v>
      </c>
      <c r="G79" s="60">
        <v>99.42</v>
      </c>
      <c r="H79" s="60">
        <v>47.61</v>
      </c>
      <c r="I79" s="60">
        <v>0.31</v>
      </c>
      <c r="J79" s="60">
        <v>0.24</v>
      </c>
      <c r="K79" s="60">
        <v>60.94</v>
      </c>
      <c r="L79" s="60">
        <v>23.74</v>
      </c>
      <c r="M79" s="60">
        <v>61</v>
      </c>
      <c r="N79" s="60">
        <v>25.1</v>
      </c>
      <c r="O79" s="60">
        <v>0</v>
      </c>
      <c r="P79" s="60">
        <v>1.56</v>
      </c>
      <c r="Q79" s="60">
        <v>36.5</v>
      </c>
      <c r="R79" s="198"/>
      <c r="S79" s="198"/>
      <c r="T79" s="198"/>
      <c r="U79" s="198"/>
    </row>
    <row r="80" spans="1:21" s="12" customFormat="1" x14ac:dyDescent="0.25">
      <c r="A80" s="213" t="s">
        <v>2926</v>
      </c>
      <c r="B80" s="60">
        <v>10.91</v>
      </c>
      <c r="C80" s="60">
        <v>103.15</v>
      </c>
      <c r="D80" s="60">
        <v>65.680000000000007</v>
      </c>
      <c r="E80" s="60">
        <v>4.3</v>
      </c>
      <c r="F80" s="60">
        <v>0.4</v>
      </c>
      <c r="G80" s="60">
        <v>99.42</v>
      </c>
      <c r="H80" s="60">
        <v>47.61</v>
      </c>
      <c r="I80" s="60">
        <v>0.33</v>
      </c>
      <c r="J80" s="60">
        <v>0.34</v>
      </c>
      <c r="K80" s="60">
        <v>68.59</v>
      </c>
      <c r="L80" s="60">
        <v>23.3</v>
      </c>
      <c r="M80" s="60">
        <v>63</v>
      </c>
      <c r="N80" s="60">
        <v>24.6</v>
      </c>
      <c r="O80" s="60">
        <v>0</v>
      </c>
      <c r="P80" s="60">
        <v>1.57</v>
      </c>
      <c r="Q80" s="60">
        <v>39.01</v>
      </c>
      <c r="R80" s="198"/>
      <c r="S80" s="198"/>
      <c r="T80" s="198"/>
      <c r="U80" s="198"/>
    </row>
    <row r="81" spans="1:26" s="12" customFormat="1" x14ac:dyDescent="0.25">
      <c r="A81" s="213" t="s">
        <v>2927</v>
      </c>
      <c r="B81" s="60">
        <v>11.68</v>
      </c>
      <c r="C81" s="60">
        <v>105.06</v>
      </c>
      <c r="D81" s="60">
        <v>67.34</v>
      </c>
      <c r="E81" s="60">
        <v>3.97</v>
      </c>
      <c r="F81" s="214" t="s">
        <v>42</v>
      </c>
      <c r="G81" s="60">
        <v>105.77</v>
      </c>
      <c r="H81" s="60">
        <v>48.35</v>
      </c>
      <c r="I81" s="60">
        <v>0.35</v>
      </c>
      <c r="J81" s="60">
        <v>0.3</v>
      </c>
      <c r="K81" s="60">
        <v>64.040000000000006</v>
      </c>
      <c r="L81" s="60">
        <v>23.03</v>
      </c>
      <c r="M81" s="60">
        <v>64</v>
      </c>
      <c r="N81" s="60">
        <v>24.5</v>
      </c>
      <c r="O81" s="60">
        <v>0</v>
      </c>
      <c r="P81" s="60">
        <v>1.63</v>
      </c>
      <c r="Q81" s="60">
        <v>40.11</v>
      </c>
      <c r="R81" s="198"/>
      <c r="S81" s="198"/>
      <c r="T81" s="198"/>
      <c r="U81" s="198"/>
    </row>
    <row r="82" spans="1:26" s="12" customFormat="1" x14ac:dyDescent="0.25">
      <c r="A82" s="213" t="s">
        <v>2928</v>
      </c>
      <c r="B82" s="60">
        <v>13.67</v>
      </c>
      <c r="C82" s="60">
        <v>108.27</v>
      </c>
      <c r="D82" s="60">
        <v>70.709999999999994</v>
      </c>
      <c r="E82" s="60">
        <v>3.91</v>
      </c>
      <c r="F82" s="214" t="s">
        <v>42</v>
      </c>
      <c r="G82" s="60">
        <v>121.49</v>
      </c>
      <c r="H82" s="60">
        <v>50.95</v>
      </c>
      <c r="I82" s="60">
        <v>0.36</v>
      </c>
      <c r="J82" s="60">
        <v>0.26</v>
      </c>
      <c r="K82" s="60">
        <v>51.58</v>
      </c>
      <c r="L82" s="60">
        <v>22.82</v>
      </c>
      <c r="M82" s="60">
        <v>65</v>
      </c>
      <c r="N82" s="60">
        <v>24.4</v>
      </c>
      <c r="O82" s="60">
        <v>0</v>
      </c>
      <c r="P82" s="60">
        <v>1.7</v>
      </c>
      <c r="Q82" s="60">
        <v>40.340000000000003</v>
      </c>
      <c r="R82" s="198"/>
      <c r="S82" s="198"/>
      <c r="T82" s="198"/>
      <c r="U82" s="198"/>
    </row>
    <row r="83" spans="1:26" s="12" customFormat="1" x14ac:dyDescent="0.25">
      <c r="A83" s="213" t="s">
        <v>2929</v>
      </c>
      <c r="B83" s="60">
        <v>15.06</v>
      </c>
      <c r="C83" s="60">
        <v>110.24</v>
      </c>
      <c r="D83" s="60">
        <v>72.91</v>
      </c>
      <c r="E83" s="60">
        <v>4.09</v>
      </c>
      <c r="F83" s="60">
        <v>0.02</v>
      </c>
      <c r="G83" s="60">
        <v>121.49</v>
      </c>
      <c r="H83" s="60">
        <v>50.95</v>
      </c>
      <c r="I83" s="60">
        <v>0.38</v>
      </c>
      <c r="J83" s="60">
        <v>0.32</v>
      </c>
      <c r="K83" s="60">
        <v>51.95</v>
      </c>
      <c r="L83" s="60">
        <v>22.65</v>
      </c>
      <c r="M83" s="60">
        <v>66</v>
      </c>
      <c r="N83" s="60">
        <v>24.3</v>
      </c>
      <c r="O83" s="60">
        <v>0</v>
      </c>
      <c r="P83" s="60">
        <v>1.78</v>
      </c>
      <c r="Q83" s="60">
        <v>40.61</v>
      </c>
      <c r="R83" s="198"/>
      <c r="S83" s="198"/>
      <c r="T83" s="198"/>
      <c r="U83" s="198"/>
    </row>
    <row r="84" spans="1:26" s="12" customFormat="1" x14ac:dyDescent="0.25">
      <c r="A84" s="213" t="s">
        <v>2930</v>
      </c>
      <c r="B84" s="60">
        <v>16.559999999999999</v>
      </c>
      <c r="C84" s="60">
        <v>112.32</v>
      </c>
      <c r="D84" s="60">
        <v>75.260000000000005</v>
      </c>
      <c r="E84" s="60">
        <v>3.89</v>
      </c>
      <c r="F84" s="60">
        <v>0.04</v>
      </c>
      <c r="G84" s="60">
        <v>121.49</v>
      </c>
      <c r="H84" s="60">
        <v>50.95</v>
      </c>
      <c r="I84" s="60">
        <v>0.4</v>
      </c>
      <c r="J84" s="60">
        <v>0.22</v>
      </c>
      <c r="K84" s="60">
        <v>27.3</v>
      </c>
      <c r="L84" s="60">
        <v>22.46</v>
      </c>
      <c r="M84" s="60">
        <v>67</v>
      </c>
      <c r="N84" s="60">
        <v>24.4</v>
      </c>
      <c r="O84" s="60">
        <v>0</v>
      </c>
      <c r="P84" s="60">
        <v>1.85</v>
      </c>
      <c r="Q84" s="60">
        <v>40.479999999999997</v>
      </c>
      <c r="R84" s="198"/>
      <c r="S84" s="198"/>
      <c r="T84" s="198"/>
      <c r="U84" s="198"/>
    </row>
    <row r="85" spans="1:26" s="12" customFormat="1" x14ac:dyDescent="0.25">
      <c r="A85" s="213" t="s">
        <v>2931</v>
      </c>
      <c r="B85" s="60">
        <v>18.62</v>
      </c>
      <c r="C85" s="60">
        <v>114.26</v>
      </c>
      <c r="D85" s="60">
        <v>77.989999999999995</v>
      </c>
      <c r="E85" s="60">
        <v>3.58</v>
      </c>
      <c r="F85" s="60">
        <v>7.0000000000000007E-2</v>
      </c>
      <c r="G85" s="60">
        <v>119.98</v>
      </c>
      <c r="H85" s="60">
        <v>50.81</v>
      </c>
      <c r="I85" s="60">
        <v>0.43</v>
      </c>
      <c r="J85" s="60">
        <v>0.28000000000000003</v>
      </c>
      <c r="K85" s="60">
        <v>57.57</v>
      </c>
      <c r="L85" s="60">
        <v>22.21</v>
      </c>
      <c r="M85" s="60">
        <v>68</v>
      </c>
      <c r="N85" s="60">
        <v>24.3</v>
      </c>
      <c r="O85" s="60">
        <v>0</v>
      </c>
      <c r="P85" s="60">
        <v>1.87</v>
      </c>
      <c r="Q85" s="60">
        <v>40.46</v>
      </c>
      <c r="R85" s="198"/>
      <c r="S85" s="198"/>
      <c r="T85" s="198"/>
      <c r="U85" s="198"/>
    </row>
    <row r="86" spans="1:26" s="12" customFormat="1" x14ac:dyDescent="0.25">
      <c r="A86" s="213" t="s">
        <v>2932</v>
      </c>
      <c r="B86" s="60">
        <v>19.73</v>
      </c>
      <c r="C86" s="60">
        <v>114.62</v>
      </c>
      <c r="D86" s="60">
        <v>79.08</v>
      </c>
      <c r="E86" s="60">
        <v>3.7</v>
      </c>
      <c r="F86" s="60">
        <v>0.3</v>
      </c>
      <c r="G86" s="60">
        <v>116.24</v>
      </c>
      <c r="H86" s="60">
        <v>50.3</v>
      </c>
      <c r="I86" s="60">
        <v>0.45</v>
      </c>
      <c r="J86" s="60">
        <v>0.4</v>
      </c>
      <c r="K86" s="60">
        <v>59.28</v>
      </c>
      <c r="L86" s="60">
        <v>22.09</v>
      </c>
      <c r="M86" s="60">
        <v>69</v>
      </c>
      <c r="N86" s="60">
        <v>24.2</v>
      </c>
      <c r="O86" s="60">
        <v>0</v>
      </c>
      <c r="P86" s="60">
        <v>1.97</v>
      </c>
      <c r="Q86" s="60">
        <v>39.97</v>
      </c>
      <c r="R86" s="198"/>
      <c r="S86" s="198"/>
      <c r="T86" s="198"/>
      <c r="U86" s="198"/>
    </row>
    <row r="87" spans="1:26" s="12" customFormat="1" x14ac:dyDescent="0.25">
      <c r="A87" s="213" t="s">
        <v>2933</v>
      </c>
      <c r="B87" s="60">
        <v>20.9</v>
      </c>
      <c r="C87" s="60">
        <v>114.57</v>
      </c>
      <c r="D87" s="60">
        <v>79.989999999999995</v>
      </c>
      <c r="E87" s="60">
        <v>3.49</v>
      </c>
      <c r="F87" s="60">
        <v>0.89</v>
      </c>
      <c r="G87" s="60">
        <v>116.24</v>
      </c>
      <c r="H87" s="60">
        <v>50.3</v>
      </c>
      <c r="I87" s="60">
        <v>0.46</v>
      </c>
      <c r="J87" s="60">
        <v>0.35</v>
      </c>
      <c r="K87" s="60">
        <v>48.05</v>
      </c>
      <c r="L87" s="60">
        <v>21.94</v>
      </c>
      <c r="M87" s="60">
        <v>70</v>
      </c>
      <c r="N87" s="60">
        <v>24.3</v>
      </c>
      <c r="O87" s="60">
        <v>0</v>
      </c>
      <c r="P87" s="60">
        <v>1.99</v>
      </c>
      <c r="Q87" s="60">
        <v>38.880000000000003</v>
      </c>
      <c r="R87" s="198"/>
      <c r="S87" s="198"/>
      <c r="T87" s="198"/>
      <c r="U87" s="198"/>
    </row>
    <row r="88" spans="1:26" s="12" customFormat="1" x14ac:dyDescent="0.25">
      <c r="A88" s="213" t="s">
        <v>2934</v>
      </c>
      <c r="B88" s="60">
        <v>21.96</v>
      </c>
      <c r="C88" s="60">
        <v>113.31</v>
      </c>
      <c r="D88" s="60">
        <v>80.14</v>
      </c>
      <c r="E88" s="60">
        <v>3.01</v>
      </c>
      <c r="F88" s="60">
        <v>0.44</v>
      </c>
      <c r="G88" s="60">
        <v>116.24</v>
      </c>
      <c r="H88" s="60">
        <v>50.3</v>
      </c>
      <c r="I88" s="60">
        <v>0.46</v>
      </c>
      <c r="J88" s="60">
        <v>0.36</v>
      </c>
      <c r="K88" s="60">
        <v>58.07</v>
      </c>
      <c r="L88" s="60">
        <v>21.72</v>
      </c>
      <c r="M88" s="60">
        <v>71</v>
      </c>
      <c r="N88" s="60">
        <v>24.3</v>
      </c>
      <c r="O88" s="60">
        <v>0</v>
      </c>
      <c r="P88" s="60">
        <v>1.99</v>
      </c>
      <c r="Q88" s="60">
        <v>38.11</v>
      </c>
      <c r="R88" s="198"/>
      <c r="S88" s="198"/>
      <c r="T88" s="198"/>
      <c r="U88" s="198"/>
    </row>
    <row r="89" spans="1:26" s="12" customFormat="1" x14ac:dyDescent="0.25">
      <c r="A89" s="213" t="s">
        <v>2935</v>
      </c>
      <c r="B89" s="60">
        <v>23.42</v>
      </c>
      <c r="C89" s="60">
        <v>113.41</v>
      </c>
      <c r="D89" s="60">
        <v>81.36</v>
      </c>
      <c r="E89" s="60">
        <v>4.49</v>
      </c>
      <c r="F89" s="60">
        <v>0.95</v>
      </c>
      <c r="G89" s="60">
        <v>82.78</v>
      </c>
      <c r="H89" s="60">
        <v>50.31</v>
      </c>
      <c r="I89" s="60">
        <v>0.46</v>
      </c>
      <c r="J89" s="60">
        <v>0.23</v>
      </c>
      <c r="K89" s="60">
        <v>50.67</v>
      </c>
      <c r="L89" s="60">
        <v>21.57</v>
      </c>
      <c r="M89" s="60">
        <v>72</v>
      </c>
      <c r="N89" s="60">
        <v>24.5</v>
      </c>
      <c r="O89" s="60">
        <v>0</v>
      </c>
      <c r="P89" s="60">
        <v>1.99</v>
      </c>
      <c r="Q89" s="60">
        <v>37.96</v>
      </c>
      <c r="R89" s="198"/>
      <c r="S89" s="198"/>
      <c r="T89" s="198"/>
      <c r="U89" s="198"/>
    </row>
    <row r="90" spans="1:26" s="12" customFormat="1" x14ac:dyDescent="0.25">
      <c r="A90" s="213" t="s">
        <v>2936</v>
      </c>
      <c r="B90" s="60">
        <v>22.16</v>
      </c>
      <c r="C90" s="60">
        <v>109.93</v>
      </c>
      <c r="D90" s="60">
        <v>78.44</v>
      </c>
      <c r="E90" s="60">
        <v>4.7699999999999996</v>
      </c>
      <c r="F90" s="60">
        <v>0.72</v>
      </c>
      <c r="G90" s="210" t="s">
        <v>36</v>
      </c>
      <c r="H90" s="60">
        <v>50.36</v>
      </c>
      <c r="I90" s="60">
        <v>0.47</v>
      </c>
      <c r="J90" s="60">
        <v>0.63</v>
      </c>
      <c r="K90" s="60">
        <v>96.47</v>
      </c>
      <c r="L90" s="60">
        <v>21.42</v>
      </c>
      <c r="M90" s="60">
        <v>73</v>
      </c>
      <c r="N90" s="60">
        <v>24.1</v>
      </c>
      <c r="O90" s="60">
        <v>0</v>
      </c>
      <c r="P90" s="60">
        <v>1.99</v>
      </c>
      <c r="Q90" s="60">
        <v>38.24</v>
      </c>
      <c r="R90" s="198"/>
      <c r="S90" s="198"/>
      <c r="T90" s="198"/>
      <c r="U90" s="198"/>
    </row>
    <row r="91" spans="1:26" s="12" customFormat="1" x14ac:dyDescent="0.25">
      <c r="A91" s="213" t="s">
        <v>2937</v>
      </c>
      <c r="B91" s="60">
        <v>21.26</v>
      </c>
      <c r="C91" s="60">
        <v>106.91</v>
      </c>
      <c r="D91" s="60">
        <v>76.05</v>
      </c>
      <c r="E91" s="60">
        <v>5.35</v>
      </c>
      <c r="F91" s="60">
        <v>0.56000000000000005</v>
      </c>
      <c r="G91" s="210" t="s">
        <v>36</v>
      </c>
      <c r="H91" s="60">
        <v>50.36</v>
      </c>
      <c r="I91" s="60">
        <v>0.47</v>
      </c>
      <c r="J91" s="60">
        <v>0.63</v>
      </c>
      <c r="K91" s="60">
        <v>89.21</v>
      </c>
      <c r="L91" s="60">
        <v>21.28</v>
      </c>
      <c r="M91" s="60">
        <v>73</v>
      </c>
      <c r="N91" s="60">
        <v>24.3</v>
      </c>
      <c r="O91" s="60">
        <v>0</v>
      </c>
      <c r="P91" s="60">
        <v>1.96</v>
      </c>
      <c r="Q91" s="60">
        <v>38.450000000000003</v>
      </c>
      <c r="R91" s="198"/>
      <c r="S91" s="198"/>
      <c r="T91" s="198"/>
      <c r="U91" s="198"/>
    </row>
    <row r="92" spans="1:26" s="12" customFormat="1" x14ac:dyDescent="0.25">
      <c r="A92" s="213" t="s">
        <v>2938</v>
      </c>
      <c r="B92" s="60">
        <v>20.22</v>
      </c>
      <c r="C92" s="60">
        <v>103.54</v>
      </c>
      <c r="D92" s="60">
        <v>73.36</v>
      </c>
      <c r="E92" s="60">
        <v>4.9000000000000004</v>
      </c>
      <c r="F92" s="60">
        <v>0.48</v>
      </c>
      <c r="G92" s="210" t="s">
        <v>36</v>
      </c>
      <c r="H92" s="60">
        <v>50.36</v>
      </c>
      <c r="I92" s="60">
        <v>0.48</v>
      </c>
      <c r="J92" s="60">
        <v>0.77</v>
      </c>
      <c r="K92" s="60">
        <v>95.69</v>
      </c>
      <c r="L92" s="60">
        <v>21.1</v>
      </c>
      <c r="M92" s="60">
        <v>74</v>
      </c>
      <c r="N92" s="60">
        <v>24.3</v>
      </c>
      <c r="O92" s="60">
        <v>0</v>
      </c>
      <c r="P92" s="60">
        <v>1.93</v>
      </c>
      <c r="Q92" s="60">
        <v>38.35</v>
      </c>
      <c r="R92" s="198"/>
      <c r="S92" s="198"/>
      <c r="T92" s="198"/>
      <c r="U92" s="198"/>
    </row>
    <row r="93" spans="1:26" s="12" customFormat="1" x14ac:dyDescent="0.25">
      <c r="A93" s="213" t="s">
        <v>2939</v>
      </c>
      <c r="B93" s="60">
        <v>19.23</v>
      </c>
      <c r="C93" s="60">
        <v>101.72</v>
      </c>
      <c r="D93" s="60">
        <v>71.56</v>
      </c>
      <c r="E93" s="60">
        <v>4.46</v>
      </c>
      <c r="F93" s="60">
        <v>0.74</v>
      </c>
      <c r="G93" s="60">
        <v>34.71</v>
      </c>
      <c r="H93" s="60">
        <v>50.54</v>
      </c>
      <c r="I93" s="60">
        <v>0.48</v>
      </c>
      <c r="J93" s="60">
        <v>0.71</v>
      </c>
      <c r="K93" s="60">
        <v>91.88</v>
      </c>
      <c r="L93" s="60">
        <v>21</v>
      </c>
      <c r="M93" s="60">
        <v>75</v>
      </c>
      <c r="N93" s="60">
        <v>24.4</v>
      </c>
      <c r="O93" s="60">
        <v>0</v>
      </c>
      <c r="P93" s="60">
        <v>1.91</v>
      </c>
      <c r="Q93" s="60">
        <v>38.56</v>
      </c>
      <c r="R93" s="198"/>
      <c r="S93" s="198"/>
      <c r="T93" s="198"/>
      <c r="U93" s="198"/>
    </row>
    <row r="94" spans="1:26" s="12" customFormat="1" x14ac:dyDescent="0.25">
      <c r="A94" s="213" t="s">
        <v>2940</v>
      </c>
      <c r="B94" s="60">
        <v>17.920000000000002</v>
      </c>
      <c r="C94" s="60">
        <v>96.97</v>
      </c>
      <c r="D94" s="60">
        <v>67.89</v>
      </c>
      <c r="E94" s="60">
        <v>4.88</v>
      </c>
      <c r="F94" s="60">
        <v>0.04</v>
      </c>
      <c r="G94" s="60">
        <v>197.83</v>
      </c>
      <c r="H94" s="60">
        <v>51.16</v>
      </c>
      <c r="I94" s="60">
        <v>0.48</v>
      </c>
      <c r="J94" s="60">
        <v>0.3</v>
      </c>
      <c r="K94" s="60">
        <v>68.739999999999995</v>
      </c>
      <c r="L94" s="60">
        <v>20.82</v>
      </c>
      <c r="M94" s="60">
        <v>75</v>
      </c>
      <c r="N94" s="60">
        <v>24.5</v>
      </c>
      <c r="O94" s="60">
        <v>0</v>
      </c>
      <c r="P94" s="60">
        <v>1.88</v>
      </c>
      <c r="Q94" s="60">
        <v>39.9</v>
      </c>
      <c r="R94" s="198"/>
      <c r="S94" s="198"/>
      <c r="T94" s="198"/>
      <c r="U94" s="198"/>
    </row>
    <row r="95" spans="1:26" s="12" customFormat="1" x14ac:dyDescent="0.25">
      <c r="A95" s="213" t="s">
        <v>2941</v>
      </c>
      <c r="B95" s="60">
        <v>18.57</v>
      </c>
      <c r="C95" s="60">
        <v>97.93</v>
      </c>
      <c r="D95" s="60">
        <v>68.930000000000007</v>
      </c>
      <c r="E95" s="60">
        <v>4.68</v>
      </c>
      <c r="F95" s="214" t="s">
        <v>42</v>
      </c>
      <c r="G95" s="60">
        <v>197.83</v>
      </c>
      <c r="H95" s="60">
        <v>51.16</v>
      </c>
      <c r="I95" s="60">
        <v>0.47</v>
      </c>
      <c r="J95" s="60">
        <v>0.35</v>
      </c>
      <c r="K95" s="60">
        <v>63.43</v>
      </c>
      <c r="L95" s="60">
        <v>20.76</v>
      </c>
      <c r="M95" s="60">
        <v>76</v>
      </c>
      <c r="N95" s="60">
        <v>24.2</v>
      </c>
      <c r="O95" s="60">
        <v>0</v>
      </c>
      <c r="P95" s="60">
        <v>1.89</v>
      </c>
      <c r="Q95" s="60">
        <v>40.43</v>
      </c>
      <c r="R95" s="198"/>
      <c r="S95" s="198"/>
      <c r="T95" s="198"/>
      <c r="U95" s="198"/>
    </row>
    <row r="96" spans="1:26" s="12" customFormat="1" x14ac:dyDescent="0.25">
      <c r="A96" s="213" t="s">
        <v>2942</v>
      </c>
      <c r="B96" s="60">
        <v>18.350000000000001</v>
      </c>
      <c r="C96" s="60">
        <v>101.55</v>
      </c>
      <c r="D96" s="60">
        <v>70.75</v>
      </c>
      <c r="E96" s="60">
        <v>5.03</v>
      </c>
      <c r="F96" s="214" t="s">
        <v>42</v>
      </c>
      <c r="G96" s="60">
        <v>197.83</v>
      </c>
      <c r="H96" s="60">
        <v>51.16</v>
      </c>
      <c r="I96" s="60">
        <v>0.47</v>
      </c>
      <c r="J96" s="60">
        <v>0.84</v>
      </c>
      <c r="K96" s="60">
        <v>99.73</v>
      </c>
      <c r="L96" s="60">
        <v>20.73</v>
      </c>
      <c r="M96" s="60">
        <v>76</v>
      </c>
      <c r="N96" s="60">
        <v>24.1</v>
      </c>
      <c r="O96" s="60">
        <v>0</v>
      </c>
      <c r="P96" s="60">
        <v>1.86</v>
      </c>
      <c r="Q96" s="60">
        <v>40.68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2943</v>
      </c>
      <c r="B97" s="60">
        <v>16.38</v>
      </c>
      <c r="C97" s="60">
        <v>101.2</v>
      </c>
      <c r="D97" s="60">
        <v>68.989999999999995</v>
      </c>
      <c r="E97" s="60">
        <v>4.8499999999999996</v>
      </c>
      <c r="F97" s="214" t="s">
        <v>42</v>
      </c>
      <c r="G97" s="60">
        <v>166.2</v>
      </c>
      <c r="H97" s="60">
        <v>51.22</v>
      </c>
      <c r="I97" s="60">
        <v>0.46</v>
      </c>
      <c r="J97" s="60">
        <v>0.71</v>
      </c>
      <c r="K97" s="60">
        <v>104.64</v>
      </c>
      <c r="L97" s="60">
        <v>20.65</v>
      </c>
      <c r="M97" s="60">
        <v>76</v>
      </c>
      <c r="N97" s="60">
        <v>24.3</v>
      </c>
      <c r="O97" s="60">
        <v>0</v>
      </c>
      <c r="P97" s="60">
        <v>1.81</v>
      </c>
      <c r="Q97" s="60">
        <v>40.159999999999997</v>
      </c>
      <c r="R97" s="198"/>
      <c r="S97" s="198"/>
      <c r="T97" s="198"/>
      <c r="U97" s="198"/>
    </row>
    <row r="98" spans="1:33" s="12" customFormat="1" x14ac:dyDescent="0.25">
      <c r="A98" s="213" t="s">
        <v>2944</v>
      </c>
      <c r="B98" s="60">
        <v>14.16</v>
      </c>
      <c r="C98" s="60">
        <v>99.77</v>
      </c>
      <c r="D98" s="60">
        <v>66.42</v>
      </c>
      <c r="E98" s="60">
        <v>4.53</v>
      </c>
      <c r="F98" s="60">
        <v>0.13</v>
      </c>
      <c r="G98" s="60">
        <v>81.3</v>
      </c>
      <c r="H98" s="60">
        <v>51.42</v>
      </c>
      <c r="I98" s="60">
        <v>0.45</v>
      </c>
      <c r="J98" s="60">
        <v>0.6</v>
      </c>
      <c r="K98" s="60">
        <v>84.95</v>
      </c>
      <c r="L98" s="60">
        <v>20.57</v>
      </c>
      <c r="M98" s="60">
        <v>76</v>
      </c>
      <c r="N98" s="60">
        <v>24.5</v>
      </c>
      <c r="O98" s="60">
        <v>0</v>
      </c>
      <c r="P98" s="60">
        <v>1.77</v>
      </c>
      <c r="Q98" s="60">
        <v>39.64</v>
      </c>
      <c r="R98" s="198"/>
      <c r="S98" s="198"/>
      <c r="T98" s="198"/>
      <c r="U98" s="198"/>
    </row>
    <row r="99" spans="1:33" s="12" customFormat="1" x14ac:dyDescent="0.25">
      <c r="A99" s="213" t="s">
        <v>2945</v>
      </c>
      <c r="B99" s="60">
        <v>11.96</v>
      </c>
      <c r="C99" s="60">
        <v>96.61</v>
      </c>
      <c r="D99" s="60">
        <v>62.91</v>
      </c>
      <c r="E99" s="60">
        <v>4.53</v>
      </c>
      <c r="F99" s="60">
        <v>0.89</v>
      </c>
      <c r="G99" s="60">
        <v>81.3</v>
      </c>
      <c r="H99" s="60">
        <v>51.42</v>
      </c>
      <c r="I99" s="60">
        <v>0.43</v>
      </c>
      <c r="J99" s="60">
        <v>0.51</v>
      </c>
      <c r="K99" s="60">
        <v>95.08</v>
      </c>
      <c r="L99" s="60">
        <v>20.53</v>
      </c>
      <c r="M99" s="60">
        <v>75</v>
      </c>
      <c r="N99" s="60">
        <v>24.4</v>
      </c>
      <c r="O99" s="60">
        <v>0</v>
      </c>
      <c r="P99" s="60">
        <v>1.71</v>
      </c>
      <c r="Q99" s="60">
        <v>39.380000000000003</v>
      </c>
      <c r="R99" s="198"/>
      <c r="S99" s="198"/>
      <c r="T99" s="198"/>
      <c r="U99" s="198"/>
    </row>
    <row r="100" spans="1:33" s="12" customFormat="1" x14ac:dyDescent="0.25">
      <c r="A100" s="213" t="s">
        <v>2946</v>
      </c>
      <c r="B100" s="60">
        <v>10.85</v>
      </c>
      <c r="C100" s="60">
        <v>96.88</v>
      </c>
      <c r="D100" s="60">
        <v>62.16</v>
      </c>
      <c r="E100" s="60">
        <v>4.8</v>
      </c>
      <c r="F100" s="60">
        <v>0.41</v>
      </c>
      <c r="G100" s="60">
        <v>81.3</v>
      </c>
      <c r="H100" s="60">
        <v>51.42</v>
      </c>
      <c r="I100" s="60">
        <v>0.41</v>
      </c>
      <c r="J100" s="60">
        <v>0.48</v>
      </c>
      <c r="K100" s="60">
        <v>91.67</v>
      </c>
      <c r="L100" s="60">
        <v>20.420000000000002</v>
      </c>
      <c r="M100" s="60">
        <v>76</v>
      </c>
      <c r="N100" s="60">
        <v>24.5</v>
      </c>
      <c r="O100" s="60">
        <v>0</v>
      </c>
      <c r="P100" s="60">
        <v>1.67</v>
      </c>
      <c r="Q100" s="60">
        <v>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2947</v>
      </c>
      <c r="B101" s="60">
        <v>9.77</v>
      </c>
      <c r="C101" s="60">
        <v>94.69</v>
      </c>
      <c r="D101" s="60">
        <v>60.1</v>
      </c>
      <c r="E101" s="60">
        <v>4.42</v>
      </c>
      <c r="F101" s="60">
        <v>0.22</v>
      </c>
      <c r="G101" s="60">
        <v>80.05</v>
      </c>
      <c r="H101" s="60">
        <v>51.05</v>
      </c>
      <c r="I101" s="60">
        <v>0.39</v>
      </c>
      <c r="J101" s="60">
        <v>0.44</v>
      </c>
      <c r="K101" s="60">
        <v>87.06</v>
      </c>
      <c r="L101" s="60">
        <v>20.36</v>
      </c>
      <c r="M101" s="60">
        <v>76</v>
      </c>
      <c r="N101" s="60">
        <v>24.4</v>
      </c>
      <c r="O101" s="60">
        <v>0</v>
      </c>
      <c r="P101" s="60">
        <v>1.62</v>
      </c>
      <c r="Q101" s="60">
        <v>37.270000000000003</v>
      </c>
      <c r="R101" s="198"/>
      <c r="S101" s="198"/>
      <c r="T101" s="198"/>
      <c r="U101" s="198"/>
    </row>
    <row r="102" spans="1:33" s="12" customFormat="1" x14ac:dyDescent="0.25">
      <c r="A102" s="213" t="s">
        <v>2948</v>
      </c>
      <c r="B102" s="60">
        <v>9.69</v>
      </c>
      <c r="C102" s="60">
        <v>94.45</v>
      </c>
      <c r="D102" s="60">
        <v>59.9</v>
      </c>
      <c r="E102" s="60">
        <v>4.34</v>
      </c>
      <c r="F102" s="60">
        <v>0.26</v>
      </c>
      <c r="G102" s="60">
        <v>76.959999999999994</v>
      </c>
      <c r="H102" s="60">
        <v>49.75</v>
      </c>
      <c r="I102" s="60">
        <v>0.38</v>
      </c>
      <c r="J102" s="60">
        <v>0.25</v>
      </c>
      <c r="K102" s="60">
        <v>47.36</v>
      </c>
      <c r="L102" s="60">
        <v>20.28</v>
      </c>
      <c r="M102" s="60">
        <v>77</v>
      </c>
      <c r="N102" s="60">
        <v>24.6</v>
      </c>
      <c r="O102" s="60">
        <v>0</v>
      </c>
      <c r="P102" s="60">
        <v>1.6</v>
      </c>
      <c r="Q102" s="60">
        <v>36.229999999999997</v>
      </c>
      <c r="R102" s="198"/>
      <c r="S102" s="198"/>
      <c r="T102" s="198"/>
      <c r="U102" s="198"/>
    </row>
    <row r="103" spans="1:33" s="12" customFormat="1" x14ac:dyDescent="0.25">
      <c r="A103" s="213" t="s">
        <v>2949</v>
      </c>
      <c r="B103" s="60">
        <v>9.74</v>
      </c>
      <c r="C103" s="60">
        <v>93.74</v>
      </c>
      <c r="D103" s="60">
        <v>59.55</v>
      </c>
      <c r="E103" s="60">
        <v>4.51</v>
      </c>
      <c r="F103" s="60">
        <v>0.69</v>
      </c>
      <c r="G103" s="60">
        <v>76.959999999999994</v>
      </c>
      <c r="H103" s="60">
        <v>49.75</v>
      </c>
      <c r="I103" s="60">
        <v>0.37</v>
      </c>
      <c r="J103" s="60">
        <v>0.23</v>
      </c>
      <c r="K103" s="60">
        <v>47.97</v>
      </c>
      <c r="L103" s="60">
        <v>20.27</v>
      </c>
      <c r="M103" s="60">
        <v>77</v>
      </c>
      <c r="N103" s="60">
        <v>24.7</v>
      </c>
      <c r="O103" s="60">
        <v>0</v>
      </c>
      <c r="P103" s="60">
        <v>1.57</v>
      </c>
      <c r="Q103" s="60">
        <v>36.35</v>
      </c>
      <c r="R103" s="198"/>
      <c r="S103" s="198"/>
      <c r="T103" s="198"/>
      <c r="U103" s="198"/>
    </row>
    <row r="104" spans="1:33" s="12" customFormat="1" x14ac:dyDescent="0.25">
      <c r="A104" s="213" t="s">
        <v>2950</v>
      </c>
      <c r="B104" s="60">
        <v>9.24</v>
      </c>
      <c r="C104" s="60">
        <v>91.23</v>
      </c>
      <c r="D104" s="60">
        <v>57.75</v>
      </c>
      <c r="E104" s="60">
        <v>1.88</v>
      </c>
      <c r="F104" s="60">
        <v>0.02</v>
      </c>
      <c r="G104" s="60">
        <v>76.959999999999994</v>
      </c>
      <c r="H104" s="60">
        <v>49.75</v>
      </c>
      <c r="I104" s="60">
        <v>0.37</v>
      </c>
      <c r="J104" s="60">
        <v>0.42</v>
      </c>
      <c r="K104" s="60">
        <v>89.23</v>
      </c>
      <c r="L104" s="60">
        <v>20.14</v>
      </c>
      <c r="M104" s="60">
        <v>78</v>
      </c>
      <c r="N104" s="60">
        <v>24.7</v>
      </c>
      <c r="O104" s="60">
        <v>0</v>
      </c>
      <c r="P104" s="60">
        <v>1.54</v>
      </c>
      <c r="Q104" s="60">
        <v>36.6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1.63</v>
      </c>
      <c r="C106" s="67">
        <f>MIN(C9:C104)</f>
        <v>73.22</v>
      </c>
      <c r="D106" s="67">
        <f t="shared" ref="D106:Q106" si="0">MIN(D9:D104)</f>
        <v>42.82</v>
      </c>
      <c r="E106" s="67">
        <f t="shared" si="0"/>
        <v>1.88</v>
      </c>
      <c r="F106" s="67">
        <f t="shared" si="0"/>
        <v>0.01</v>
      </c>
      <c r="G106" s="67">
        <f t="shared" si="0"/>
        <v>34.71</v>
      </c>
      <c r="H106" s="67">
        <f t="shared" si="0"/>
        <v>42.62</v>
      </c>
      <c r="I106" s="67">
        <f t="shared" si="0"/>
        <v>0.25</v>
      </c>
      <c r="J106" s="67">
        <f t="shared" si="0"/>
        <v>0.1</v>
      </c>
      <c r="K106" s="67">
        <f t="shared" si="0"/>
        <v>1.67</v>
      </c>
      <c r="L106" s="67">
        <f t="shared" si="0"/>
        <v>16.309999999999999</v>
      </c>
      <c r="M106" s="67">
        <f t="shared" si="0"/>
        <v>40</v>
      </c>
      <c r="N106" s="67">
        <f t="shared" si="0"/>
        <v>24</v>
      </c>
      <c r="O106" s="67">
        <f t="shared" si="0"/>
        <v>0</v>
      </c>
      <c r="P106" s="67">
        <f t="shared" si="0"/>
        <v>1.1499999999999999</v>
      </c>
      <c r="Q106" s="67">
        <f t="shared" si="0"/>
        <v>29.5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23.42</v>
      </c>
      <c r="C107" s="66">
        <f t="shared" ref="C107:Q107" si="1">MAX(C9:C104)</f>
        <v>114.62</v>
      </c>
      <c r="D107" s="66">
        <f t="shared" si="1"/>
        <v>81.36</v>
      </c>
      <c r="E107" s="66">
        <f t="shared" si="1"/>
        <v>6.86</v>
      </c>
      <c r="F107" s="66">
        <f t="shared" si="1"/>
        <v>7.48</v>
      </c>
      <c r="G107" s="66">
        <f t="shared" si="1"/>
        <v>197.83</v>
      </c>
      <c r="H107" s="66">
        <f t="shared" si="1"/>
        <v>52.57</v>
      </c>
      <c r="I107" s="66">
        <f t="shared" si="1"/>
        <v>0.48</v>
      </c>
      <c r="J107" s="66">
        <f t="shared" si="1"/>
        <v>1.1399999999999999</v>
      </c>
      <c r="K107" s="66">
        <f t="shared" si="1"/>
        <v>358.86</v>
      </c>
      <c r="L107" s="66">
        <f t="shared" si="1"/>
        <v>30.18</v>
      </c>
      <c r="M107" s="66">
        <f t="shared" si="1"/>
        <v>78</v>
      </c>
      <c r="N107" s="66">
        <f t="shared" si="1"/>
        <v>284.2</v>
      </c>
      <c r="O107" s="66">
        <f t="shared" si="1"/>
        <v>0</v>
      </c>
      <c r="P107" s="66">
        <f t="shared" si="1"/>
        <v>1.99</v>
      </c>
      <c r="Q107" s="66">
        <f t="shared" si="1"/>
        <v>40.68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8.1584375000000033</v>
      </c>
      <c r="C108" s="67">
        <f t="shared" ref="C108:Q108" si="2">AVERAGE(C9:C104)</f>
        <v>87.886041666666642</v>
      </c>
      <c r="D108" s="67">
        <f t="shared" si="2"/>
        <v>55.043958333333329</v>
      </c>
      <c r="E108" s="67">
        <f t="shared" si="2"/>
        <v>4.2082291666666656</v>
      </c>
      <c r="F108" s="67">
        <f t="shared" si="2"/>
        <v>1.226629213483146</v>
      </c>
      <c r="G108" s="67">
        <f t="shared" si="2"/>
        <v>94.153777777777734</v>
      </c>
      <c r="H108" s="67">
        <f t="shared" si="2"/>
        <v>47.862812500000011</v>
      </c>
      <c r="I108" s="67">
        <f t="shared" si="2"/>
        <v>0.31885416666666666</v>
      </c>
      <c r="J108" s="67">
        <f t="shared" si="2"/>
        <v>0.50552083333333331</v>
      </c>
      <c r="K108" s="67">
        <f t="shared" si="2"/>
        <v>83.624374999999986</v>
      </c>
      <c r="L108" s="67">
        <f t="shared" si="2"/>
        <v>21.626770833333328</v>
      </c>
      <c r="M108" s="67">
        <f t="shared" si="2"/>
        <v>64.166666666666671</v>
      </c>
      <c r="N108" s="67">
        <f t="shared" si="2"/>
        <v>86.987500000000026</v>
      </c>
      <c r="O108" s="67">
        <f t="shared" si="2"/>
        <v>0</v>
      </c>
      <c r="P108" s="67">
        <f t="shared" si="2"/>
        <v>1.4207291666666659</v>
      </c>
      <c r="Q108" s="67">
        <f t="shared" si="2"/>
        <v>34.529374999999987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5.8769915913223523</v>
      </c>
      <c r="C109" s="67">
        <f t="shared" ref="C109:Q109" si="3">STDEV(C9:C104)</f>
        <v>12.070958665907074</v>
      </c>
      <c r="D109" s="67">
        <f t="shared" si="3"/>
        <v>10.671625879101564</v>
      </c>
      <c r="E109" s="67">
        <f t="shared" si="3"/>
        <v>0.82376669511607492</v>
      </c>
      <c r="F109" s="67">
        <f t="shared" si="3"/>
        <v>1.5877606756774725</v>
      </c>
      <c r="G109" s="67">
        <f t="shared" si="3"/>
        <v>33.190281695869793</v>
      </c>
      <c r="H109" s="67">
        <f t="shared" si="3"/>
        <v>3.2004225718110875</v>
      </c>
      <c r="I109" s="67">
        <f t="shared" si="3"/>
        <v>7.4408117718809133E-2</v>
      </c>
      <c r="J109" s="67">
        <f t="shared" si="3"/>
        <v>0.21901151035200572</v>
      </c>
      <c r="K109" s="67">
        <f t="shared" si="3"/>
        <v>96.775082045268348</v>
      </c>
      <c r="L109" s="67">
        <f t="shared" si="3"/>
        <v>4.0881104874325853</v>
      </c>
      <c r="M109" s="67">
        <f t="shared" si="3"/>
        <v>10.967575816845098</v>
      </c>
      <c r="N109" s="67">
        <f t="shared" si="3"/>
        <v>92.387055655170542</v>
      </c>
      <c r="O109" s="67">
        <f t="shared" si="3"/>
        <v>0</v>
      </c>
      <c r="P109" s="67">
        <f t="shared" si="3"/>
        <v>0.25530681146898454</v>
      </c>
      <c r="Q109" s="67">
        <f t="shared" si="3"/>
        <v>3.4448615624159018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COUNT(F9:F104)+7</f>
        <v>96</v>
      </c>
      <c r="G110" s="66">
        <f>COUNT(G9:G104)+6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2951</v>
      </c>
      <c r="B9" s="60">
        <v>30.11</v>
      </c>
      <c r="C9" s="60">
        <v>89.65</v>
      </c>
      <c r="D9" s="60">
        <v>73.62</v>
      </c>
      <c r="E9" s="60">
        <v>3.59</v>
      </c>
      <c r="F9" s="60">
        <v>4</v>
      </c>
      <c r="G9" s="60">
        <v>102.31</v>
      </c>
      <c r="H9" s="60">
        <v>64.11</v>
      </c>
      <c r="I9" s="60">
        <v>0.34</v>
      </c>
      <c r="J9" s="60">
        <v>0.24</v>
      </c>
      <c r="K9" s="60">
        <v>123.89</v>
      </c>
      <c r="L9" s="60">
        <v>17.57</v>
      </c>
      <c r="M9" s="60">
        <v>83</v>
      </c>
      <c r="N9" s="60">
        <v>25</v>
      </c>
      <c r="O9" s="60">
        <v>0</v>
      </c>
      <c r="P9" s="60">
        <v>2.06</v>
      </c>
      <c r="Q9" s="60">
        <v>35.21</v>
      </c>
      <c r="R9" s="198"/>
      <c r="S9" s="198"/>
      <c r="T9" s="198"/>
      <c r="U9" s="198"/>
    </row>
    <row r="10" spans="1:21" s="12" customFormat="1" x14ac:dyDescent="0.25">
      <c r="A10" s="213" t="s">
        <v>2952</v>
      </c>
      <c r="B10" s="60">
        <v>28.64</v>
      </c>
      <c r="C10" s="60">
        <v>84.77</v>
      </c>
      <c r="D10" s="60">
        <v>69.75</v>
      </c>
      <c r="E10" s="60">
        <v>4.0599999999999996</v>
      </c>
      <c r="F10" s="60">
        <v>4</v>
      </c>
      <c r="G10" s="60">
        <v>90.91</v>
      </c>
      <c r="H10" s="60">
        <v>64.25</v>
      </c>
      <c r="I10" s="60">
        <v>0.32</v>
      </c>
      <c r="J10" s="60">
        <v>0.18</v>
      </c>
      <c r="K10" s="60">
        <v>33.9</v>
      </c>
      <c r="L10" s="60">
        <v>17.64</v>
      </c>
      <c r="M10" s="60">
        <v>84</v>
      </c>
      <c r="N10" s="60">
        <v>25</v>
      </c>
      <c r="O10" s="60">
        <v>0</v>
      </c>
      <c r="P10" s="60">
        <v>2.0099999999999998</v>
      </c>
      <c r="Q10" s="60">
        <v>34.28</v>
      </c>
      <c r="R10" s="198"/>
      <c r="S10" s="198"/>
      <c r="T10" s="198"/>
      <c r="U10" s="198"/>
    </row>
    <row r="11" spans="1:21" s="12" customFormat="1" x14ac:dyDescent="0.25">
      <c r="A11" s="213" t="s">
        <v>2953</v>
      </c>
      <c r="B11" s="60">
        <v>27.3</v>
      </c>
      <c r="C11" s="60">
        <v>85.78</v>
      </c>
      <c r="D11" s="60">
        <v>69.239999999999995</v>
      </c>
      <c r="E11" s="60">
        <v>3.29</v>
      </c>
      <c r="F11" s="60">
        <v>4.0199999999999996</v>
      </c>
      <c r="G11" s="60">
        <v>90.91</v>
      </c>
      <c r="H11" s="60">
        <v>64.25</v>
      </c>
      <c r="I11" s="60">
        <v>0.31</v>
      </c>
      <c r="J11" s="60">
        <v>0.62</v>
      </c>
      <c r="K11" s="60">
        <v>20.2</v>
      </c>
      <c r="L11" s="60">
        <v>17.690000000000001</v>
      </c>
      <c r="M11" s="60">
        <v>84</v>
      </c>
      <c r="N11" s="60">
        <v>25.1</v>
      </c>
      <c r="O11" s="60">
        <v>0</v>
      </c>
      <c r="P11" s="60">
        <v>1.97</v>
      </c>
      <c r="Q11" s="60">
        <v>33.630000000000003</v>
      </c>
      <c r="R11" s="198"/>
      <c r="S11" s="198"/>
      <c r="T11" s="198"/>
      <c r="U11" s="198"/>
    </row>
    <row r="12" spans="1:21" s="12" customFormat="1" x14ac:dyDescent="0.25">
      <c r="A12" s="213" t="s">
        <v>2954</v>
      </c>
      <c r="B12" s="60">
        <v>25.84</v>
      </c>
      <c r="C12" s="60">
        <v>83.55</v>
      </c>
      <c r="D12" s="60">
        <v>66.83</v>
      </c>
      <c r="E12" s="60">
        <v>3.49</v>
      </c>
      <c r="F12" s="60">
        <v>4</v>
      </c>
      <c r="G12" s="60">
        <v>90.91</v>
      </c>
      <c r="H12" s="60">
        <v>64.25</v>
      </c>
      <c r="I12" s="60">
        <v>0.32</v>
      </c>
      <c r="J12" s="60">
        <v>0.5</v>
      </c>
      <c r="K12" s="60">
        <v>19.920000000000002</v>
      </c>
      <c r="L12" s="60">
        <v>17.600000000000001</v>
      </c>
      <c r="M12" s="60">
        <v>83</v>
      </c>
      <c r="N12" s="60">
        <v>25.3</v>
      </c>
      <c r="O12" s="60">
        <v>0</v>
      </c>
      <c r="P12" s="60">
        <v>1.93</v>
      </c>
      <c r="Q12" s="60">
        <v>34.200000000000003</v>
      </c>
      <c r="R12" s="198"/>
      <c r="S12" s="198"/>
      <c r="T12" s="198"/>
      <c r="U12" s="198"/>
    </row>
    <row r="13" spans="1:21" s="12" customFormat="1" x14ac:dyDescent="0.25">
      <c r="A13" s="213" t="s">
        <v>2955</v>
      </c>
      <c r="B13" s="60">
        <v>24.22</v>
      </c>
      <c r="C13" s="60">
        <v>81.459999999999994</v>
      </c>
      <c r="D13" s="60">
        <v>64.38</v>
      </c>
      <c r="E13" s="60">
        <v>3.79</v>
      </c>
      <c r="F13" s="60">
        <v>4.2</v>
      </c>
      <c r="G13" s="60">
        <v>89.41</v>
      </c>
      <c r="H13" s="60">
        <v>63.35</v>
      </c>
      <c r="I13" s="60">
        <v>0.31</v>
      </c>
      <c r="J13" s="60">
        <v>0.31</v>
      </c>
      <c r="K13" s="60">
        <v>34.58</v>
      </c>
      <c r="L13" s="60">
        <v>17.46</v>
      </c>
      <c r="M13" s="60">
        <v>83</v>
      </c>
      <c r="N13" s="60">
        <v>25.1</v>
      </c>
      <c r="O13" s="60">
        <v>0</v>
      </c>
      <c r="P13" s="60">
        <v>1.83</v>
      </c>
      <c r="Q13" s="60">
        <v>33.53</v>
      </c>
      <c r="R13" s="198"/>
      <c r="S13" s="198"/>
      <c r="T13" s="198"/>
      <c r="U13" s="198"/>
    </row>
    <row r="14" spans="1:21" s="12" customFormat="1" x14ac:dyDescent="0.25">
      <c r="A14" s="213" t="s">
        <v>2956</v>
      </c>
      <c r="B14" s="60">
        <v>22.62</v>
      </c>
      <c r="C14" s="60">
        <v>80.599999999999994</v>
      </c>
      <c r="D14" s="60">
        <v>62.62</v>
      </c>
      <c r="E14" s="60">
        <v>3.89</v>
      </c>
      <c r="F14" s="60">
        <v>4.0199999999999996</v>
      </c>
      <c r="G14" s="60">
        <v>81.37</v>
      </c>
      <c r="H14" s="60">
        <v>59.98</v>
      </c>
      <c r="I14" s="60">
        <v>0.31</v>
      </c>
      <c r="J14" s="60">
        <v>0.25</v>
      </c>
      <c r="K14" s="60">
        <v>60.54</v>
      </c>
      <c r="L14" s="60">
        <v>17.29</v>
      </c>
      <c r="M14" s="60">
        <v>83</v>
      </c>
      <c r="N14" s="60">
        <v>25.3</v>
      </c>
      <c r="O14" s="60">
        <v>0</v>
      </c>
      <c r="P14" s="60">
        <v>1.83</v>
      </c>
      <c r="Q14" s="60">
        <v>34.46</v>
      </c>
      <c r="R14" s="198"/>
      <c r="S14" s="198"/>
      <c r="T14" s="198"/>
      <c r="U14" s="198"/>
    </row>
    <row r="15" spans="1:21" s="12" customFormat="1" x14ac:dyDescent="0.25">
      <c r="A15" s="213" t="s">
        <v>2957</v>
      </c>
      <c r="B15" s="60">
        <v>21.12</v>
      </c>
      <c r="C15" s="60">
        <v>78.45</v>
      </c>
      <c r="D15" s="60">
        <v>60.23</v>
      </c>
      <c r="E15" s="60">
        <v>3.65</v>
      </c>
      <c r="F15" s="60">
        <v>4.21</v>
      </c>
      <c r="G15" s="60">
        <v>81.37</v>
      </c>
      <c r="H15" s="60">
        <v>59.98</v>
      </c>
      <c r="I15" s="60">
        <v>0.3</v>
      </c>
      <c r="J15" s="60">
        <v>0.28999999999999998</v>
      </c>
      <c r="K15" s="60">
        <v>73.540000000000006</v>
      </c>
      <c r="L15" s="60">
        <v>17.05</v>
      </c>
      <c r="M15" s="60">
        <v>83</v>
      </c>
      <c r="N15" s="60">
        <v>25.2</v>
      </c>
      <c r="O15" s="60">
        <v>0</v>
      </c>
      <c r="P15" s="60">
        <v>1.79</v>
      </c>
      <c r="Q15" s="60">
        <v>33.380000000000003</v>
      </c>
      <c r="R15" s="198"/>
      <c r="S15" s="198"/>
      <c r="T15" s="198"/>
      <c r="U15" s="198"/>
    </row>
    <row r="16" spans="1:21" s="12" customFormat="1" x14ac:dyDescent="0.25">
      <c r="A16" s="213" t="s">
        <v>2958</v>
      </c>
      <c r="B16" s="60">
        <v>19.64</v>
      </c>
      <c r="C16" s="60">
        <v>77.599999999999994</v>
      </c>
      <c r="D16" s="60">
        <v>58.58</v>
      </c>
      <c r="E16" s="60">
        <v>3.42</v>
      </c>
      <c r="F16" s="60">
        <v>4</v>
      </c>
      <c r="G16" s="60">
        <v>81.37</v>
      </c>
      <c r="H16" s="60">
        <v>59.98</v>
      </c>
      <c r="I16" s="60">
        <v>0.3</v>
      </c>
      <c r="J16" s="60">
        <v>0.33</v>
      </c>
      <c r="K16" s="60">
        <v>24.29</v>
      </c>
      <c r="L16" s="60">
        <v>16.88</v>
      </c>
      <c r="M16" s="60">
        <v>84</v>
      </c>
      <c r="N16" s="60">
        <v>25</v>
      </c>
      <c r="O16" s="60">
        <v>0</v>
      </c>
      <c r="P16" s="60">
        <v>1.75</v>
      </c>
      <c r="Q16" s="60">
        <v>34.39</v>
      </c>
      <c r="R16" s="198"/>
      <c r="S16" s="198"/>
      <c r="T16" s="198"/>
      <c r="U16" s="198"/>
    </row>
    <row r="17" spans="1:21" s="12" customFormat="1" x14ac:dyDescent="0.25">
      <c r="A17" s="213" t="s">
        <v>2959</v>
      </c>
      <c r="B17" s="60">
        <v>18.079999999999998</v>
      </c>
      <c r="C17" s="60">
        <v>76.64</v>
      </c>
      <c r="D17" s="60">
        <v>56.8</v>
      </c>
      <c r="E17" s="60">
        <v>4.22</v>
      </c>
      <c r="F17" s="60">
        <v>4.03</v>
      </c>
      <c r="G17" s="60">
        <v>78.569999999999993</v>
      </c>
      <c r="H17" s="60">
        <v>59.11</v>
      </c>
      <c r="I17" s="60">
        <v>0.3</v>
      </c>
      <c r="J17" s="60">
        <v>0.22</v>
      </c>
      <c r="K17" s="60">
        <v>73.62</v>
      </c>
      <c r="L17" s="60">
        <v>16.71</v>
      </c>
      <c r="M17" s="60">
        <v>85</v>
      </c>
      <c r="N17" s="60">
        <v>24.9</v>
      </c>
      <c r="O17" s="60">
        <v>0</v>
      </c>
      <c r="P17" s="60">
        <v>1.7</v>
      </c>
      <c r="Q17" s="60">
        <v>35.89</v>
      </c>
      <c r="R17" s="198"/>
      <c r="S17" s="198"/>
      <c r="T17" s="198"/>
      <c r="U17" s="198"/>
    </row>
    <row r="18" spans="1:21" s="12" customFormat="1" x14ac:dyDescent="0.25">
      <c r="A18" s="213" t="s">
        <v>2960</v>
      </c>
      <c r="B18" s="60">
        <v>16.760000000000002</v>
      </c>
      <c r="C18" s="60">
        <v>75.78</v>
      </c>
      <c r="D18" s="60">
        <v>55.26</v>
      </c>
      <c r="E18" s="60">
        <v>3.76</v>
      </c>
      <c r="F18" s="60">
        <v>4.03</v>
      </c>
      <c r="G18" s="60">
        <v>70.33</v>
      </c>
      <c r="H18" s="60">
        <v>55.83</v>
      </c>
      <c r="I18" s="60">
        <v>0.28999999999999998</v>
      </c>
      <c r="J18" s="60">
        <v>0.56999999999999995</v>
      </c>
      <c r="K18" s="60">
        <v>20.96</v>
      </c>
      <c r="L18" s="60">
        <v>16.73</v>
      </c>
      <c r="M18" s="60">
        <v>86</v>
      </c>
      <c r="N18" s="60">
        <v>24.7</v>
      </c>
      <c r="O18" s="60">
        <v>0</v>
      </c>
      <c r="P18" s="60">
        <v>1.66</v>
      </c>
      <c r="Q18" s="60">
        <v>36.32</v>
      </c>
      <c r="R18" s="198"/>
      <c r="S18" s="198"/>
      <c r="T18" s="198"/>
      <c r="U18" s="198"/>
    </row>
    <row r="19" spans="1:21" s="12" customFormat="1" x14ac:dyDescent="0.25">
      <c r="A19" s="213" t="s">
        <v>2961</v>
      </c>
      <c r="B19" s="60">
        <v>15.32</v>
      </c>
      <c r="C19" s="60">
        <v>74.37</v>
      </c>
      <c r="D19" s="60">
        <v>53.33</v>
      </c>
      <c r="E19" s="60">
        <v>3.75</v>
      </c>
      <c r="F19" s="60">
        <v>4.16</v>
      </c>
      <c r="G19" s="60">
        <v>70.33</v>
      </c>
      <c r="H19" s="60">
        <v>55.83</v>
      </c>
      <c r="I19" s="60">
        <v>0.28000000000000003</v>
      </c>
      <c r="J19" s="60">
        <v>0.37</v>
      </c>
      <c r="K19" s="60">
        <v>15.79</v>
      </c>
      <c r="L19" s="60">
        <v>16.84</v>
      </c>
      <c r="M19" s="60">
        <v>85</v>
      </c>
      <c r="N19" s="60">
        <v>24.9</v>
      </c>
      <c r="O19" s="60">
        <v>0</v>
      </c>
      <c r="P19" s="60">
        <v>1.61</v>
      </c>
      <c r="Q19" s="60">
        <v>35.75</v>
      </c>
      <c r="R19" s="198"/>
      <c r="S19" s="198"/>
      <c r="T19" s="198"/>
      <c r="U19" s="198"/>
    </row>
    <row r="20" spans="1:21" s="12" customFormat="1" x14ac:dyDescent="0.25">
      <c r="A20" s="213" t="s">
        <v>2962</v>
      </c>
      <c r="B20" s="60">
        <v>13.99</v>
      </c>
      <c r="C20" s="60">
        <v>73.23</v>
      </c>
      <c r="D20" s="60">
        <v>51.64</v>
      </c>
      <c r="E20" s="60">
        <v>3.65</v>
      </c>
      <c r="F20" s="60">
        <v>4</v>
      </c>
      <c r="G20" s="60">
        <v>70.33</v>
      </c>
      <c r="H20" s="60">
        <v>55.83</v>
      </c>
      <c r="I20" s="60">
        <v>0.27</v>
      </c>
      <c r="J20" s="60">
        <v>0.68</v>
      </c>
      <c r="K20" s="60">
        <v>17.510000000000002</v>
      </c>
      <c r="L20" s="60">
        <v>16.86</v>
      </c>
      <c r="M20" s="60">
        <v>85</v>
      </c>
      <c r="N20" s="60">
        <v>25</v>
      </c>
      <c r="O20" s="60">
        <v>0</v>
      </c>
      <c r="P20" s="60">
        <v>1.58</v>
      </c>
      <c r="Q20" s="60">
        <v>35.51</v>
      </c>
      <c r="R20" s="198"/>
      <c r="S20" s="198"/>
      <c r="T20" s="198"/>
      <c r="U20" s="198"/>
    </row>
    <row r="21" spans="1:21" s="12" customFormat="1" x14ac:dyDescent="0.25">
      <c r="A21" s="213" t="s">
        <v>2963</v>
      </c>
      <c r="B21" s="60">
        <v>12.77</v>
      </c>
      <c r="C21" s="60">
        <v>71.73</v>
      </c>
      <c r="D21" s="60">
        <v>49.83</v>
      </c>
      <c r="E21" s="60">
        <v>3.43</v>
      </c>
      <c r="F21" s="60">
        <v>4</v>
      </c>
      <c r="G21" s="60">
        <v>70.040000000000006</v>
      </c>
      <c r="H21" s="60">
        <v>55.73</v>
      </c>
      <c r="I21" s="60">
        <v>0.26</v>
      </c>
      <c r="J21" s="60">
        <v>1.05</v>
      </c>
      <c r="K21" s="60">
        <v>18.989999999999998</v>
      </c>
      <c r="L21" s="60">
        <v>16.82</v>
      </c>
      <c r="M21" s="60">
        <v>84</v>
      </c>
      <c r="N21" s="60">
        <v>25</v>
      </c>
      <c r="O21" s="60">
        <v>0</v>
      </c>
      <c r="P21" s="60">
        <v>1.54</v>
      </c>
      <c r="Q21" s="60">
        <v>34.6</v>
      </c>
      <c r="R21" s="198"/>
      <c r="S21" s="198"/>
      <c r="T21" s="198"/>
      <c r="U21" s="198"/>
    </row>
    <row r="22" spans="1:21" s="12" customFormat="1" x14ac:dyDescent="0.25">
      <c r="A22" s="213" t="s">
        <v>2964</v>
      </c>
      <c r="B22" s="60">
        <v>11.48</v>
      </c>
      <c r="C22" s="60">
        <v>71.05</v>
      </c>
      <c r="D22" s="60">
        <v>48.42</v>
      </c>
      <c r="E22" s="60">
        <v>3.91</v>
      </c>
      <c r="F22" s="60">
        <v>4</v>
      </c>
      <c r="G22" s="60">
        <v>69.040000000000006</v>
      </c>
      <c r="H22" s="60">
        <v>55.36</v>
      </c>
      <c r="I22" s="60">
        <v>0.25</v>
      </c>
      <c r="J22" s="60">
        <v>1.32</v>
      </c>
      <c r="K22" s="60">
        <v>31.6</v>
      </c>
      <c r="L22" s="60">
        <v>16.760000000000002</v>
      </c>
      <c r="M22" s="60">
        <v>84</v>
      </c>
      <c r="N22" s="60">
        <v>25</v>
      </c>
      <c r="O22" s="60">
        <v>0</v>
      </c>
      <c r="P22" s="60">
        <v>1.5</v>
      </c>
      <c r="Q22" s="60">
        <v>34.340000000000003</v>
      </c>
      <c r="R22" s="198"/>
      <c r="S22" s="198"/>
      <c r="T22" s="198"/>
      <c r="U22" s="198"/>
    </row>
    <row r="23" spans="1:21" s="12" customFormat="1" x14ac:dyDescent="0.25">
      <c r="A23" s="213" t="s">
        <v>2965</v>
      </c>
      <c r="B23" s="60">
        <v>10.42</v>
      </c>
      <c r="C23" s="60">
        <v>68.66</v>
      </c>
      <c r="D23" s="60">
        <v>46.25</v>
      </c>
      <c r="E23" s="60">
        <v>3.39</v>
      </c>
      <c r="F23" s="60">
        <v>4</v>
      </c>
      <c r="G23" s="60">
        <v>69.040000000000006</v>
      </c>
      <c r="H23" s="60">
        <v>55.36</v>
      </c>
      <c r="I23" s="60">
        <v>0.24</v>
      </c>
      <c r="J23" s="60">
        <v>1.07</v>
      </c>
      <c r="K23" s="60">
        <v>28.21</v>
      </c>
      <c r="L23" s="60">
        <v>16.760000000000002</v>
      </c>
      <c r="M23" s="60">
        <v>84</v>
      </c>
      <c r="N23" s="60">
        <v>25</v>
      </c>
      <c r="O23" s="60">
        <v>0</v>
      </c>
      <c r="P23" s="60">
        <v>1.46</v>
      </c>
      <c r="Q23" s="60">
        <v>34.369999999999997</v>
      </c>
      <c r="R23" s="198"/>
      <c r="S23" s="198"/>
      <c r="T23" s="198"/>
      <c r="U23" s="198"/>
    </row>
    <row r="24" spans="1:21" s="12" customFormat="1" x14ac:dyDescent="0.25">
      <c r="A24" s="213" t="s">
        <v>2966</v>
      </c>
      <c r="B24" s="60">
        <v>9.77</v>
      </c>
      <c r="C24" s="60">
        <v>66.31</v>
      </c>
      <c r="D24" s="60">
        <v>44.43</v>
      </c>
      <c r="E24" s="60">
        <v>1.72</v>
      </c>
      <c r="F24" s="60">
        <v>4.0199999999999996</v>
      </c>
      <c r="G24" s="60">
        <v>69.040000000000006</v>
      </c>
      <c r="H24" s="60">
        <v>55.36</v>
      </c>
      <c r="I24" s="60">
        <v>0.22</v>
      </c>
      <c r="J24" s="60">
        <v>0.6</v>
      </c>
      <c r="K24" s="60">
        <v>27.97</v>
      </c>
      <c r="L24" s="60">
        <v>16.82</v>
      </c>
      <c r="M24" s="60">
        <v>83</v>
      </c>
      <c r="N24" s="60">
        <v>25</v>
      </c>
      <c r="O24" s="60">
        <v>0</v>
      </c>
      <c r="P24" s="60">
        <v>1.45</v>
      </c>
      <c r="Q24" s="60">
        <v>32.130000000000003</v>
      </c>
      <c r="R24" s="198"/>
      <c r="S24" s="198"/>
      <c r="T24" s="198"/>
      <c r="U24" s="198"/>
    </row>
    <row r="25" spans="1:21" s="12" customFormat="1" x14ac:dyDescent="0.25">
      <c r="A25" s="213" t="s">
        <v>2967</v>
      </c>
      <c r="B25" s="60">
        <v>9.7799999999999994</v>
      </c>
      <c r="C25" s="60">
        <v>69.66</v>
      </c>
      <c r="D25" s="60">
        <v>46.28</v>
      </c>
      <c r="E25" s="60">
        <v>3.11</v>
      </c>
      <c r="F25" s="60">
        <v>4.25</v>
      </c>
      <c r="G25" s="60">
        <v>71.2</v>
      </c>
      <c r="H25" s="60">
        <v>55.35</v>
      </c>
      <c r="I25" s="60">
        <v>0.22</v>
      </c>
      <c r="J25" s="60">
        <v>0.63</v>
      </c>
      <c r="K25" s="60">
        <v>24.22</v>
      </c>
      <c r="L25" s="60">
        <v>16.7</v>
      </c>
      <c r="M25" s="60">
        <v>84</v>
      </c>
      <c r="N25" s="60">
        <v>25.3</v>
      </c>
      <c r="O25" s="60">
        <v>0</v>
      </c>
      <c r="P25" s="60">
        <v>1.47</v>
      </c>
      <c r="Q25" s="60">
        <v>30.89</v>
      </c>
      <c r="R25" s="198"/>
      <c r="S25" s="198"/>
      <c r="T25" s="198"/>
      <c r="U25" s="198"/>
    </row>
    <row r="26" spans="1:21" s="12" customFormat="1" x14ac:dyDescent="0.25">
      <c r="A26" s="213" t="s">
        <v>2968</v>
      </c>
      <c r="B26" s="60">
        <v>10.220000000000001</v>
      </c>
      <c r="C26" s="60">
        <v>71.64</v>
      </c>
      <c r="D26" s="60">
        <v>47.73</v>
      </c>
      <c r="E26" s="60">
        <v>3.2</v>
      </c>
      <c r="F26" s="60">
        <v>4.0599999999999996</v>
      </c>
      <c r="G26" s="60">
        <v>78.72</v>
      </c>
      <c r="H26" s="60">
        <v>55.32</v>
      </c>
      <c r="I26" s="60">
        <v>0.22</v>
      </c>
      <c r="J26" s="60">
        <v>0.42</v>
      </c>
      <c r="K26" s="60">
        <v>43.8</v>
      </c>
      <c r="L26" s="60">
        <v>16.440000000000001</v>
      </c>
      <c r="M26" s="60">
        <v>84</v>
      </c>
      <c r="N26" s="60">
        <v>25.2</v>
      </c>
      <c r="O26" s="60">
        <v>0</v>
      </c>
      <c r="P26" s="60">
        <v>1.54</v>
      </c>
      <c r="Q26" s="60">
        <v>32.46</v>
      </c>
      <c r="R26" s="198"/>
      <c r="S26" s="198"/>
      <c r="T26" s="198"/>
      <c r="U26" s="198"/>
    </row>
    <row r="27" spans="1:21" s="12" customFormat="1" x14ac:dyDescent="0.25">
      <c r="A27" s="213" t="s">
        <v>2969</v>
      </c>
      <c r="B27" s="60">
        <v>10.34</v>
      </c>
      <c r="C27" s="60">
        <v>70.930000000000007</v>
      </c>
      <c r="D27" s="60">
        <v>47.44</v>
      </c>
      <c r="E27" s="60">
        <v>3.45</v>
      </c>
      <c r="F27" s="60">
        <v>4.1100000000000003</v>
      </c>
      <c r="G27" s="60">
        <v>78.72</v>
      </c>
      <c r="H27" s="60">
        <v>55.32</v>
      </c>
      <c r="I27" s="60">
        <v>0.22</v>
      </c>
      <c r="J27" s="60">
        <v>0.97</v>
      </c>
      <c r="K27" s="60">
        <v>26.37</v>
      </c>
      <c r="L27" s="60">
        <v>16.28</v>
      </c>
      <c r="M27" s="60">
        <v>85</v>
      </c>
      <c r="N27" s="60">
        <v>25</v>
      </c>
      <c r="O27" s="60">
        <v>0</v>
      </c>
      <c r="P27" s="60">
        <v>1.62</v>
      </c>
      <c r="Q27" s="60">
        <v>33.36</v>
      </c>
      <c r="R27" s="198"/>
      <c r="S27" s="198"/>
      <c r="T27" s="198"/>
      <c r="U27" s="198"/>
    </row>
    <row r="28" spans="1:21" s="12" customFormat="1" x14ac:dyDescent="0.25">
      <c r="A28" s="213" t="s">
        <v>2970</v>
      </c>
      <c r="B28" s="60">
        <v>10.35</v>
      </c>
      <c r="C28" s="60">
        <v>69.81</v>
      </c>
      <c r="D28" s="60">
        <v>46.82</v>
      </c>
      <c r="E28" s="60">
        <v>3.55</v>
      </c>
      <c r="F28" s="60">
        <v>4.12</v>
      </c>
      <c r="G28" s="60">
        <v>78.72</v>
      </c>
      <c r="H28" s="60">
        <v>55.32</v>
      </c>
      <c r="I28" s="60">
        <v>0.22</v>
      </c>
      <c r="J28" s="60">
        <v>0.88</v>
      </c>
      <c r="K28" s="60">
        <v>29.57</v>
      </c>
      <c r="L28" s="60">
        <v>16.16</v>
      </c>
      <c r="M28" s="60">
        <v>85</v>
      </c>
      <c r="N28" s="60">
        <v>25</v>
      </c>
      <c r="O28" s="60">
        <v>0</v>
      </c>
      <c r="P28" s="60">
        <v>1.68</v>
      </c>
      <c r="Q28" s="60">
        <v>31.25</v>
      </c>
      <c r="R28" s="198"/>
      <c r="S28" s="198"/>
      <c r="T28" s="198"/>
      <c r="U28" s="198"/>
    </row>
    <row r="29" spans="1:21" s="12" customFormat="1" x14ac:dyDescent="0.25">
      <c r="A29" s="213" t="s">
        <v>2971</v>
      </c>
      <c r="B29" s="60">
        <v>10.08</v>
      </c>
      <c r="C29" s="60">
        <v>70.069999999999993</v>
      </c>
      <c r="D29" s="60">
        <v>46.75</v>
      </c>
      <c r="E29" s="60">
        <v>3.42</v>
      </c>
      <c r="F29" s="60">
        <v>4.07</v>
      </c>
      <c r="G29" s="60">
        <v>78.97</v>
      </c>
      <c r="H29" s="60">
        <v>55.65</v>
      </c>
      <c r="I29" s="60">
        <v>0.22</v>
      </c>
      <c r="J29" s="60">
        <v>0.79</v>
      </c>
      <c r="K29" s="60">
        <v>22.31</v>
      </c>
      <c r="L29" s="60">
        <v>16.010000000000002</v>
      </c>
      <c r="M29" s="60">
        <v>85</v>
      </c>
      <c r="N29" s="60">
        <v>25</v>
      </c>
      <c r="O29" s="60">
        <v>0</v>
      </c>
      <c r="P29" s="60">
        <v>1.67</v>
      </c>
      <c r="Q29" s="60">
        <v>31.75</v>
      </c>
      <c r="R29" s="198"/>
      <c r="S29" s="198"/>
      <c r="T29" s="198"/>
      <c r="U29" s="198"/>
    </row>
    <row r="30" spans="1:21" s="12" customFormat="1" x14ac:dyDescent="0.25">
      <c r="A30" s="213" t="s">
        <v>2972</v>
      </c>
      <c r="B30" s="60">
        <v>9.81</v>
      </c>
      <c r="C30" s="60">
        <v>68.33</v>
      </c>
      <c r="D30" s="60">
        <v>45.58</v>
      </c>
      <c r="E30" s="60">
        <v>2.93</v>
      </c>
      <c r="F30" s="60">
        <v>4.1500000000000004</v>
      </c>
      <c r="G30" s="60">
        <v>79.83</v>
      </c>
      <c r="H30" s="60">
        <v>56.87</v>
      </c>
      <c r="I30" s="60">
        <v>0.22</v>
      </c>
      <c r="J30" s="60">
        <v>0.81</v>
      </c>
      <c r="K30" s="60">
        <v>28.97</v>
      </c>
      <c r="L30" s="60">
        <v>15.88</v>
      </c>
      <c r="M30" s="60">
        <v>85</v>
      </c>
      <c r="N30" s="60">
        <v>25</v>
      </c>
      <c r="O30" s="60">
        <v>0</v>
      </c>
      <c r="P30" s="60">
        <v>1.65</v>
      </c>
      <c r="Q30" s="60">
        <v>30.29</v>
      </c>
      <c r="R30" s="198"/>
      <c r="S30" s="198"/>
      <c r="T30" s="198"/>
      <c r="U30" s="198"/>
    </row>
    <row r="31" spans="1:21" s="12" customFormat="1" x14ac:dyDescent="0.25">
      <c r="A31" s="213" t="s">
        <v>2973</v>
      </c>
      <c r="B31" s="60">
        <v>9.9499999999999993</v>
      </c>
      <c r="C31" s="60">
        <v>69.790000000000006</v>
      </c>
      <c r="D31" s="60">
        <v>46.49</v>
      </c>
      <c r="E31" s="60">
        <v>3.37</v>
      </c>
      <c r="F31" s="60">
        <v>4.1399999999999997</v>
      </c>
      <c r="G31" s="60">
        <v>79.83</v>
      </c>
      <c r="H31" s="60">
        <v>56.87</v>
      </c>
      <c r="I31" s="60">
        <v>0.21</v>
      </c>
      <c r="J31" s="60">
        <v>0.86</v>
      </c>
      <c r="K31" s="60">
        <v>23.27</v>
      </c>
      <c r="L31" s="60">
        <v>15.71</v>
      </c>
      <c r="M31" s="60">
        <v>86</v>
      </c>
      <c r="N31" s="60">
        <v>24.8</v>
      </c>
      <c r="O31" s="60">
        <v>0</v>
      </c>
      <c r="P31" s="60">
        <v>1.61</v>
      </c>
      <c r="Q31" s="60">
        <v>33.74</v>
      </c>
      <c r="R31" s="198"/>
      <c r="S31" s="198"/>
      <c r="T31" s="198"/>
      <c r="U31" s="198"/>
    </row>
    <row r="32" spans="1:21" s="12" customFormat="1" x14ac:dyDescent="0.25">
      <c r="A32" s="213" t="s">
        <v>2974</v>
      </c>
      <c r="B32" s="60">
        <v>10.34</v>
      </c>
      <c r="C32" s="60">
        <v>69.349999999999994</v>
      </c>
      <c r="D32" s="60">
        <v>46.57</v>
      </c>
      <c r="E32" s="60">
        <v>3.33</v>
      </c>
      <c r="F32" s="60">
        <v>4.1100000000000003</v>
      </c>
      <c r="G32" s="60">
        <v>79.83</v>
      </c>
      <c r="H32" s="60">
        <v>56.87</v>
      </c>
      <c r="I32" s="60">
        <v>0.21</v>
      </c>
      <c r="J32" s="60">
        <v>1.1399999999999999</v>
      </c>
      <c r="K32" s="60">
        <v>21.35</v>
      </c>
      <c r="L32" s="60">
        <v>15.67</v>
      </c>
      <c r="M32" s="60">
        <v>87</v>
      </c>
      <c r="N32" s="60">
        <v>24.8</v>
      </c>
      <c r="O32" s="60">
        <v>0</v>
      </c>
      <c r="P32" s="60">
        <v>1.59</v>
      </c>
      <c r="Q32" s="60">
        <v>33.47</v>
      </c>
      <c r="R32" s="198"/>
      <c r="S32" s="198"/>
      <c r="T32" s="198"/>
      <c r="U32" s="198"/>
    </row>
    <row r="33" spans="1:21" s="12" customFormat="1" x14ac:dyDescent="0.25">
      <c r="A33" s="213" t="s">
        <v>2975</v>
      </c>
      <c r="B33" s="60">
        <v>10.76</v>
      </c>
      <c r="C33" s="60">
        <v>70.31</v>
      </c>
      <c r="D33" s="60">
        <v>47.43</v>
      </c>
      <c r="E33" s="60">
        <v>2.83</v>
      </c>
      <c r="F33" s="60">
        <v>4.03</v>
      </c>
      <c r="G33" s="60">
        <v>79.819999999999993</v>
      </c>
      <c r="H33" s="60">
        <v>56.47</v>
      </c>
      <c r="I33" s="60">
        <v>0.21</v>
      </c>
      <c r="J33" s="60">
        <v>0.5</v>
      </c>
      <c r="K33" s="60">
        <v>30.17</v>
      </c>
      <c r="L33" s="60">
        <v>15.69</v>
      </c>
      <c r="M33" s="60">
        <v>87</v>
      </c>
      <c r="N33" s="60">
        <v>24.9</v>
      </c>
      <c r="O33" s="60">
        <v>0</v>
      </c>
      <c r="P33" s="60">
        <v>1.56</v>
      </c>
      <c r="Q33" s="60">
        <v>32.97</v>
      </c>
      <c r="R33" s="198"/>
      <c r="S33" s="198"/>
      <c r="T33" s="198"/>
      <c r="U33" s="198"/>
    </row>
    <row r="34" spans="1:21" s="12" customFormat="1" x14ac:dyDescent="0.25">
      <c r="A34" s="213" t="s">
        <v>2976</v>
      </c>
      <c r="B34" s="60">
        <v>11.4</v>
      </c>
      <c r="C34" s="60">
        <v>70.44</v>
      </c>
      <c r="D34" s="60">
        <v>48.01</v>
      </c>
      <c r="E34" s="60">
        <v>2.73</v>
      </c>
      <c r="F34" s="60">
        <v>4.05</v>
      </c>
      <c r="G34" s="60">
        <v>79.75</v>
      </c>
      <c r="H34" s="60">
        <v>54.98</v>
      </c>
      <c r="I34" s="60">
        <v>0.2</v>
      </c>
      <c r="J34" s="60">
        <v>0.64</v>
      </c>
      <c r="K34" s="60">
        <v>19.34</v>
      </c>
      <c r="L34" s="60">
        <v>15.85</v>
      </c>
      <c r="M34" s="60">
        <v>86</v>
      </c>
      <c r="N34" s="60">
        <v>25.2</v>
      </c>
      <c r="O34" s="60">
        <v>0</v>
      </c>
      <c r="P34" s="60">
        <v>1.53</v>
      </c>
      <c r="Q34" s="60">
        <v>34.25</v>
      </c>
      <c r="R34" s="198"/>
      <c r="S34" s="198"/>
      <c r="T34" s="198"/>
      <c r="U34" s="198"/>
    </row>
    <row r="35" spans="1:21" s="12" customFormat="1" x14ac:dyDescent="0.25">
      <c r="A35" s="213" t="s">
        <v>2977</v>
      </c>
      <c r="B35" s="60">
        <v>11.84</v>
      </c>
      <c r="C35" s="60">
        <v>70.39</v>
      </c>
      <c r="D35" s="60">
        <v>48.34</v>
      </c>
      <c r="E35" s="60">
        <v>2.63</v>
      </c>
      <c r="F35" s="60">
        <v>4</v>
      </c>
      <c r="G35" s="60">
        <v>79.75</v>
      </c>
      <c r="H35" s="60">
        <v>54.98</v>
      </c>
      <c r="I35" s="60">
        <v>0.2</v>
      </c>
      <c r="J35" s="60">
        <v>0.54</v>
      </c>
      <c r="K35" s="60">
        <v>24.18</v>
      </c>
      <c r="L35" s="60">
        <v>15.99</v>
      </c>
      <c r="M35" s="60">
        <v>86</v>
      </c>
      <c r="N35" s="60">
        <v>26.9</v>
      </c>
      <c r="O35" s="60">
        <v>0</v>
      </c>
      <c r="P35" s="60">
        <v>1.52</v>
      </c>
      <c r="Q35" s="60">
        <v>33.6</v>
      </c>
      <c r="R35" s="198"/>
      <c r="S35" s="198"/>
      <c r="T35" s="198"/>
      <c r="U35" s="198"/>
    </row>
    <row r="36" spans="1:21" s="12" customFormat="1" x14ac:dyDescent="0.25">
      <c r="A36" s="213" t="s">
        <v>2978</v>
      </c>
      <c r="B36" s="60">
        <v>12.34</v>
      </c>
      <c r="C36" s="60">
        <v>70.510000000000005</v>
      </c>
      <c r="D36" s="60">
        <v>48.81</v>
      </c>
      <c r="E36" s="60">
        <v>3.04</v>
      </c>
      <c r="F36" s="60">
        <v>4</v>
      </c>
      <c r="G36" s="60">
        <v>79.75</v>
      </c>
      <c r="H36" s="60">
        <v>54.98</v>
      </c>
      <c r="I36" s="60">
        <v>0.2</v>
      </c>
      <c r="J36" s="60">
        <v>0.81</v>
      </c>
      <c r="K36" s="60">
        <v>22.97</v>
      </c>
      <c r="L36" s="60">
        <v>16.07</v>
      </c>
      <c r="M36" s="60">
        <v>85</v>
      </c>
      <c r="N36" s="60">
        <v>31.4</v>
      </c>
      <c r="O36" s="60">
        <v>0</v>
      </c>
      <c r="P36" s="60">
        <v>1.5</v>
      </c>
      <c r="Q36" s="60">
        <v>33.369999999999997</v>
      </c>
      <c r="R36" s="198"/>
      <c r="S36" s="198"/>
      <c r="T36" s="198"/>
      <c r="U36" s="198"/>
    </row>
    <row r="37" spans="1:21" s="12" customFormat="1" x14ac:dyDescent="0.25">
      <c r="A37" s="213" t="s">
        <v>2979</v>
      </c>
      <c r="B37" s="60">
        <v>12.66</v>
      </c>
      <c r="C37" s="60">
        <v>70.59</v>
      </c>
      <c r="D37" s="60">
        <v>49.11</v>
      </c>
      <c r="E37" s="60">
        <v>3.1</v>
      </c>
      <c r="F37" s="60">
        <v>4.01</v>
      </c>
      <c r="G37" s="60">
        <v>80.37</v>
      </c>
      <c r="H37" s="60">
        <v>55.56</v>
      </c>
      <c r="I37" s="60">
        <v>0.19</v>
      </c>
      <c r="J37" s="60">
        <v>1.0900000000000001</v>
      </c>
      <c r="K37" s="60">
        <v>22.32</v>
      </c>
      <c r="L37" s="60">
        <v>16.09</v>
      </c>
      <c r="M37" s="60">
        <v>85</v>
      </c>
      <c r="N37" s="60">
        <v>46.9</v>
      </c>
      <c r="O37" s="60">
        <v>0</v>
      </c>
      <c r="P37" s="60">
        <v>1.45</v>
      </c>
      <c r="Q37" s="60">
        <v>33.21</v>
      </c>
      <c r="R37" s="198"/>
      <c r="S37" s="198"/>
      <c r="T37" s="198"/>
      <c r="U37" s="198"/>
    </row>
    <row r="38" spans="1:21" s="12" customFormat="1" x14ac:dyDescent="0.25">
      <c r="A38" s="213" t="s">
        <v>2980</v>
      </c>
      <c r="B38" s="60">
        <v>13.11</v>
      </c>
      <c r="C38" s="60">
        <v>69.17</v>
      </c>
      <c r="D38" s="60">
        <v>48.69</v>
      </c>
      <c r="E38" s="60">
        <v>3.11</v>
      </c>
      <c r="F38" s="60">
        <v>4.0599999999999996</v>
      </c>
      <c r="G38" s="60">
        <v>82.51</v>
      </c>
      <c r="H38" s="60">
        <v>57.61</v>
      </c>
      <c r="I38" s="60">
        <v>0.19</v>
      </c>
      <c r="J38" s="60">
        <v>0.96</v>
      </c>
      <c r="K38" s="60">
        <v>13.71</v>
      </c>
      <c r="L38" s="60">
        <v>16.09</v>
      </c>
      <c r="M38" s="60">
        <v>85</v>
      </c>
      <c r="N38" s="60">
        <v>65.3</v>
      </c>
      <c r="O38" s="60">
        <v>0</v>
      </c>
      <c r="P38" s="60">
        <v>1.49</v>
      </c>
      <c r="Q38" s="60">
        <v>32.200000000000003</v>
      </c>
      <c r="R38" s="198"/>
      <c r="S38" s="198"/>
      <c r="T38" s="198"/>
      <c r="U38" s="198"/>
    </row>
    <row r="39" spans="1:21" s="12" customFormat="1" x14ac:dyDescent="0.25">
      <c r="A39" s="213" t="s">
        <v>2981</v>
      </c>
      <c r="B39" s="60">
        <v>14.59</v>
      </c>
      <c r="C39" s="60">
        <v>70.59</v>
      </c>
      <c r="D39" s="60">
        <v>50.66</v>
      </c>
      <c r="E39" s="60">
        <v>3.24</v>
      </c>
      <c r="F39" s="60">
        <v>4.1500000000000004</v>
      </c>
      <c r="G39" s="60">
        <v>82.51</v>
      </c>
      <c r="H39" s="60">
        <v>57.61</v>
      </c>
      <c r="I39" s="60">
        <v>0.19</v>
      </c>
      <c r="J39" s="60">
        <v>1</v>
      </c>
      <c r="K39" s="60">
        <v>16.25</v>
      </c>
      <c r="L39" s="60">
        <v>16.28</v>
      </c>
      <c r="M39" s="60">
        <v>84</v>
      </c>
      <c r="N39" s="60">
        <v>92.4</v>
      </c>
      <c r="O39" s="60">
        <v>0</v>
      </c>
      <c r="P39" s="60">
        <v>1.5</v>
      </c>
      <c r="Q39" s="60">
        <v>32.03</v>
      </c>
      <c r="R39" s="198"/>
      <c r="S39" s="198"/>
      <c r="T39" s="198"/>
      <c r="U39" s="198"/>
    </row>
    <row r="40" spans="1:21" s="12" customFormat="1" x14ac:dyDescent="0.25">
      <c r="A40" s="213" t="s">
        <v>2982</v>
      </c>
      <c r="B40" s="60">
        <v>16.12</v>
      </c>
      <c r="C40" s="60">
        <v>72.2</v>
      </c>
      <c r="D40" s="60">
        <v>52.77</v>
      </c>
      <c r="E40" s="60">
        <v>2.34</v>
      </c>
      <c r="F40" s="60">
        <v>4.13</v>
      </c>
      <c r="G40" s="60">
        <v>82.51</v>
      </c>
      <c r="H40" s="60">
        <v>57.61</v>
      </c>
      <c r="I40" s="60">
        <v>0.19</v>
      </c>
      <c r="J40" s="60">
        <v>0.69</v>
      </c>
      <c r="K40" s="60">
        <v>24.44</v>
      </c>
      <c r="L40" s="60">
        <v>16.489999999999998</v>
      </c>
      <c r="M40" s="60">
        <v>83</v>
      </c>
      <c r="N40" s="60">
        <v>106.3</v>
      </c>
      <c r="O40" s="60">
        <v>0</v>
      </c>
      <c r="P40" s="60">
        <v>1.5</v>
      </c>
      <c r="Q40" s="60">
        <v>31.28</v>
      </c>
      <c r="R40" s="198"/>
      <c r="S40" s="198"/>
      <c r="T40" s="198"/>
      <c r="U40" s="198"/>
    </row>
    <row r="41" spans="1:21" s="12" customFormat="1" x14ac:dyDescent="0.25">
      <c r="A41" s="213" t="s">
        <v>2983</v>
      </c>
      <c r="B41" s="60">
        <v>17.97</v>
      </c>
      <c r="C41" s="60">
        <v>72.98</v>
      </c>
      <c r="D41" s="60">
        <v>54.69</v>
      </c>
      <c r="E41" s="60">
        <v>3.21</v>
      </c>
      <c r="F41" s="60">
        <v>4.25</v>
      </c>
      <c r="G41" s="60">
        <v>83.61</v>
      </c>
      <c r="H41" s="60">
        <v>57.5</v>
      </c>
      <c r="I41" s="60">
        <v>0.19</v>
      </c>
      <c r="J41" s="60">
        <v>0.98</v>
      </c>
      <c r="K41" s="60">
        <v>23.21</v>
      </c>
      <c r="L41" s="60">
        <v>16.920000000000002</v>
      </c>
      <c r="M41" s="60">
        <v>81</v>
      </c>
      <c r="N41" s="60">
        <v>137.19999999999999</v>
      </c>
      <c r="O41" s="60">
        <v>0</v>
      </c>
      <c r="P41" s="60">
        <v>1.51</v>
      </c>
      <c r="Q41" s="60">
        <v>32.42</v>
      </c>
      <c r="R41" s="198"/>
      <c r="S41" s="198"/>
      <c r="T41" s="198"/>
      <c r="U41" s="198"/>
    </row>
    <row r="42" spans="1:21" s="12" customFormat="1" x14ac:dyDescent="0.25">
      <c r="A42" s="213" t="s">
        <v>2984</v>
      </c>
      <c r="B42" s="60">
        <v>19.47</v>
      </c>
      <c r="C42" s="60">
        <v>74.66</v>
      </c>
      <c r="D42" s="60">
        <v>56.81</v>
      </c>
      <c r="E42" s="60">
        <v>3.64</v>
      </c>
      <c r="F42" s="60">
        <v>4.13</v>
      </c>
      <c r="G42" s="60">
        <v>87.48</v>
      </c>
      <c r="H42" s="60">
        <v>57.1</v>
      </c>
      <c r="I42" s="60">
        <v>0.2</v>
      </c>
      <c r="J42" s="60">
        <v>0.77</v>
      </c>
      <c r="K42" s="60">
        <v>27.67</v>
      </c>
      <c r="L42" s="60">
        <v>17.190000000000001</v>
      </c>
      <c r="M42" s="60">
        <v>80</v>
      </c>
      <c r="N42" s="60">
        <v>164.5</v>
      </c>
      <c r="O42" s="60">
        <v>0</v>
      </c>
      <c r="P42" s="60">
        <v>1.53</v>
      </c>
      <c r="Q42" s="60">
        <v>31.06</v>
      </c>
      <c r="R42" s="198"/>
      <c r="S42" s="198"/>
      <c r="T42" s="198"/>
      <c r="U42" s="198"/>
    </row>
    <row r="43" spans="1:21" s="12" customFormat="1" x14ac:dyDescent="0.25">
      <c r="A43" s="213" t="s">
        <v>2985</v>
      </c>
      <c r="B43" s="60">
        <v>20.149999999999999</v>
      </c>
      <c r="C43" s="60">
        <v>75.37</v>
      </c>
      <c r="D43" s="60">
        <v>57.75</v>
      </c>
      <c r="E43" s="60">
        <v>3.66</v>
      </c>
      <c r="F43" s="60">
        <v>4.16</v>
      </c>
      <c r="G43" s="60">
        <v>87.48</v>
      </c>
      <c r="H43" s="60">
        <v>57.1</v>
      </c>
      <c r="I43" s="60">
        <v>0.2</v>
      </c>
      <c r="J43" s="60">
        <v>0.77</v>
      </c>
      <c r="K43" s="60">
        <v>36.340000000000003</v>
      </c>
      <c r="L43" s="60">
        <v>17.37</v>
      </c>
      <c r="M43" s="60">
        <v>79</v>
      </c>
      <c r="N43" s="60">
        <v>201.8</v>
      </c>
      <c r="O43" s="60">
        <v>0</v>
      </c>
      <c r="P43" s="60">
        <v>1.51</v>
      </c>
      <c r="Q43" s="60">
        <v>32.450000000000003</v>
      </c>
      <c r="R43" s="198"/>
      <c r="S43" s="198"/>
      <c r="T43" s="198"/>
      <c r="U43" s="198"/>
    </row>
    <row r="44" spans="1:21" s="12" customFormat="1" x14ac:dyDescent="0.25">
      <c r="A44" s="213" t="s">
        <v>2986</v>
      </c>
      <c r="B44" s="60">
        <v>20.52</v>
      </c>
      <c r="C44" s="60">
        <v>75.150000000000006</v>
      </c>
      <c r="D44" s="60">
        <v>57.93</v>
      </c>
      <c r="E44" s="60">
        <v>3.55</v>
      </c>
      <c r="F44" s="60">
        <v>4.1500000000000004</v>
      </c>
      <c r="G44" s="60">
        <v>87.48</v>
      </c>
      <c r="H44" s="60">
        <v>57.1</v>
      </c>
      <c r="I44" s="60">
        <v>0.21</v>
      </c>
      <c r="J44" s="60">
        <v>0.84</v>
      </c>
      <c r="K44" s="60">
        <v>23.81</v>
      </c>
      <c r="L44" s="60">
        <v>18.14</v>
      </c>
      <c r="M44" s="60">
        <v>77</v>
      </c>
      <c r="N44" s="60">
        <v>232.4</v>
      </c>
      <c r="O44" s="60">
        <v>0</v>
      </c>
      <c r="P44" s="60">
        <v>1.52</v>
      </c>
      <c r="Q44" s="60">
        <v>32.31</v>
      </c>
      <c r="R44" s="198"/>
      <c r="S44" s="198"/>
      <c r="T44" s="198"/>
      <c r="U44" s="198"/>
    </row>
    <row r="45" spans="1:21" s="12" customFormat="1" x14ac:dyDescent="0.25">
      <c r="A45" s="213" t="s">
        <v>2987</v>
      </c>
      <c r="B45" s="60">
        <v>21.03</v>
      </c>
      <c r="C45" s="60">
        <v>74.319999999999993</v>
      </c>
      <c r="D45" s="60">
        <v>57.88</v>
      </c>
      <c r="E45" s="60">
        <v>3.21</v>
      </c>
      <c r="F45" s="60">
        <v>4.16</v>
      </c>
      <c r="G45" s="60">
        <v>86.92</v>
      </c>
      <c r="H45" s="60">
        <v>57.4</v>
      </c>
      <c r="I45" s="60">
        <v>0.21</v>
      </c>
      <c r="J45" s="60">
        <v>0.78</v>
      </c>
      <c r="K45" s="60">
        <v>26.18</v>
      </c>
      <c r="L45" s="60">
        <v>18.510000000000002</v>
      </c>
      <c r="M45" s="60">
        <v>75</v>
      </c>
      <c r="N45" s="60">
        <v>265.7</v>
      </c>
      <c r="O45" s="60">
        <v>0</v>
      </c>
      <c r="P45" s="60">
        <v>1.52</v>
      </c>
      <c r="Q45" s="60">
        <v>35.229999999999997</v>
      </c>
      <c r="R45" s="198"/>
      <c r="S45" s="198"/>
      <c r="T45" s="198"/>
      <c r="U45" s="198"/>
    </row>
    <row r="46" spans="1:21" s="12" customFormat="1" x14ac:dyDescent="0.25">
      <c r="A46" s="213" t="s">
        <v>2988</v>
      </c>
      <c r="B46" s="60">
        <v>21.01</v>
      </c>
      <c r="C46" s="60">
        <v>75.03</v>
      </c>
      <c r="D46" s="60">
        <v>58.26</v>
      </c>
      <c r="E46" s="60">
        <v>3.57</v>
      </c>
      <c r="F46" s="60">
        <v>4.04</v>
      </c>
      <c r="G46" s="60">
        <v>84.83</v>
      </c>
      <c r="H46" s="60">
        <v>58.46</v>
      </c>
      <c r="I46" s="60">
        <v>0.21</v>
      </c>
      <c r="J46" s="60">
        <v>0.8</v>
      </c>
      <c r="K46" s="60">
        <v>29.26</v>
      </c>
      <c r="L46" s="60">
        <v>18.989999999999998</v>
      </c>
      <c r="M46" s="60">
        <v>74</v>
      </c>
      <c r="N46" s="60">
        <v>284.3</v>
      </c>
      <c r="O46" s="60">
        <v>0</v>
      </c>
      <c r="P46" s="60">
        <v>1.53</v>
      </c>
      <c r="Q46" s="60">
        <v>35.72</v>
      </c>
      <c r="R46" s="198"/>
      <c r="S46" s="198"/>
      <c r="T46" s="198"/>
      <c r="U46" s="198"/>
    </row>
    <row r="47" spans="1:21" s="12" customFormat="1" x14ac:dyDescent="0.25">
      <c r="A47" s="213" t="s">
        <v>2989</v>
      </c>
      <c r="B47" s="60">
        <v>21.03</v>
      </c>
      <c r="C47" s="60">
        <v>77.89</v>
      </c>
      <c r="D47" s="60">
        <v>59.85</v>
      </c>
      <c r="E47" s="60">
        <v>3.75</v>
      </c>
      <c r="F47" s="60">
        <v>4.12</v>
      </c>
      <c r="G47" s="60">
        <v>84.83</v>
      </c>
      <c r="H47" s="60">
        <v>58.46</v>
      </c>
      <c r="I47" s="60">
        <v>0.21</v>
      </c>
      <c r="J47" s="60">
        <v>0.48</v>
      </c>
      <c r="K47" s="60">
        <v>59.18</v>
      </c>
      <c r="L47" s="60">
        <v>19.079999999999998</v>
      </c>
      <c r="M47" s="60">
        <v>74</v>
      </c>
      <c r="N47" s="60">
        <v>333.5</v>
      </c>
      <c r="O47" s="60">
        <v>0</v>
      </c>
      <c r="P47" s="60">
        <v>1.53</v>
      </c>
      <c r="Q47" s="60">
        <v>37.54</v>
      </c>
      <c r="R47" s="198"/>
      <c r="S47" s="198"/>
      <c r="T47" s="198"/>
      <c r="U47" s="198"/>
    </row>
    <row r="48" spans="1:21" s="12" customFormat="1" x14ac:dyDescent="0.25">
      <c r="A48" s="213" t="s">
        <v>2990</v>
      </c>
      <c r="B48" s="60">
        <v>20.79</v>
      </c>
      <c r="C48" s="60">
        <v>78.98</v>
      </c>
      <c r="D48" s="60">
        <v>60.26</v>
      </c>
      <c r="E48" s="60">
        <v>3.65</v>
      </c>
      <c r="F48" s="60">
        <v>4.24</v>
      </c>
      <c r="G48" s="60">
        <v>84.83</v>
      </c>
      <c r="H48" s="60">
        <v>58.46</v>
      </c>
      <c r="I48" s="60">
        <v>0.21</v>
      </c>
      <c r="J48" s="60">
        <v>1.06</v>
      </c>
      <c r="K48" s="60">
        <v>113.72</v>
      </c>
      <c r="L48" s="60">
        <v>18.899999999999999</v>
      </c>
      <c r="M48" s="60">
        <v>74</v>
      </c>
      <c r="N48" s="60">
        <v>374.6</v>
      </c>
      <c r="O48" s="60">
        <v>0</v>
      </c>
      <c r="P48" s="60">
        <v>1.54</v>
      </c>
      <c r="Q48" s="60">
        <v>37.75</v>
      </c>
      <c r="R48" s="198"/>
      <c r="S48" s="198"/>
      <c r="T48" s="198"/>
      <c r="U48" s="198"/>
    </row>
    <row r="49" spans="1:21" s="12" customFormat="1" x14ac:dyDescent="0.25">
      <c r="A49" s="213" t="s">
        <v>2991</v>
      </c>
      <c r="B49" s="60">
        <v>20.8</v>
      </c>
      <c r="C49" s="60">
        <v>79.69</v>
      </c>
      <c r="D49" s="60">
        <v>60.65</v>
      </c>
      <c r="E49" s="60">
        <v>3.57</v>
      </c>
      <c r="F49" s="60">
        <v>4.45</v>
      </c>
      <c r="G49" s="60">
        <v>84.75</v>
      </c>
      <c r="H49" s="60">
        <v>57.65</v>
      </c>
      <c r="I49" s="60">
        <v>0.21</v>
      </c>
      <c r="J49" s="60">
        <v>0.7</v>
      </c>
      <c r="K49" s="60">
        <v>25.85</v>
      </c>
      <c r="L49" s="60">
        <v>20.62</v>
      </c>
      <c r="M49" s="60">
        <v>69</v>
      </c>
      <c r="N49" s="60">
        <v>389.5</v>
      </c>
      <c r="O49" s="60">
        <v>0</v>
      </c>
      <c r="P49" s="60">
        <v>1.54</v>
      </c>
      <c r="Q49" s="60">
        <v>38.049999999999997</v>
      </c>
      <c r="R49" s="198"/>
      <c r="S49" s="198"/>
      <c r="T49" s="198"/>
      <c r="U49" s="198"/>
    </row>
    <row r="50" spans="1:21" s="12" customFormat="1" x14ac:dyDescent="0.25">
      <c r="A50" s="213" t="s">
        <v>2992</v>
      </c>
      <c r="B50" s="60">
        <v>21.53</v>
      </c>
      <c r="C50" s="60">
        <v>81.89</v>
      </c>
      <c r="D50" s="60">
        <v>62.46</v>
      </c>
      <c r="E50" s="60">
        <v>3.68</v>
      </c>
      <c r="F50" s="60">
        <v>4.08</v>
      </c>
      <c r="G50" s="60">
        <v>84.45</v>
      </c>
      <c r="H50" s="60">
        <v>54.8</v>
      </c>
      <c r="I50" s="60">
        <v>0.22</v>
      </c>
      <c r="J50" s="60">
        <v>1.2</v>
      </c>
      <c r="K50" s="60">
        <v>19.850000000000001</v>
      </c>
      <c r="L50" s="60">
        <v>21.93</v>
      </c>
      <c r="M50" s="60">
        <v>64</v>
      </c>
      <c r="N50" s="60">
        <v>411.4</v>
      </c>
      <c r="O50" s="60">
        <v>0</v>
      </c>
      <c r="P50" s="60">
        <v>1.55</v>
      </c>
      <c r="Q50" s="60">
        <v>37.83</v>
      </c>
      <c r="R50" s="198"/>
      <c r="S50" s="198"/>
      <c r="T50" s="198"/>
      <c r="U50" s="198"/>
    </row>
    <row r="51" spans="1:21" s="12" customFormat="1" x14ac:dyDescent="0.25">
      <c r="A51" s="213" t="s">
        <v>2993</v>
      </c>
      <c r="B51" s="60">
        <v>22.23</v>
      </c>
      <c r="C51" s="60">
        <v>84.48</v>
      </c>
      <c r="D51" s="60">
        <v>64.44</v>
      </c>
      <c r="E51" s="60">
        <v>3.37</v>
      </c>
      <c r="F51" s="60">
        <v>4.26</v>
      </c>
      <c r="G51" s="60">
        <v>84.45</v>
      </c>
      <c r="H51" s="60">
        <v>54.8</v>
      </c>
      <c r="I51" s="60">
        <v>0.22</v>
      </c>
      <c r="J51" s="60">
        <v>0.81</v>
      </c>
      <c r="K51" s="60">
        <v>23.59</v>
      </c>
      <c r="L51" s="60">
        <v>22.37</v>
      </c>
      <c r="M51" s="60">
        <v>63</v>
      </c>
      <c r="N51" s="60">
        <v>425.4</v>
      </c>
      <c r="O51" s="60">
        <v>0</v>
      </c>
      <c r="P51" s="60">
        <v>1.57</v>
      </c>
      <c r="Q51" s="60">
        <v>37.409999999999997</v>
      </c>
      <c r="R51" s="198"/>
      <c r="S51" s="198"/>
      <c r="T51" s="198"/>
      <c r="U51" s="198"/>
    </row>
    <row r="52" spans="1:21" s="12" customFormat="1" x14ac:dyDescent="0.25">
      <c r="A52" s="213" t="s">
        <v>2994</v>
      </c>
      <c r="B52" s="60">
        <v>20.7</v>
      </c>
      <c r="C52" s="60">
        <v>88.88</v>
      </c>
      <c r="D52" s="60">
        <v>65.66</v>
      </c>
      <c r="E52" s="60">
        <v>4.8899999999999997</v>
      </c>
      <c r="F52" s="60">
        <v>4.58</v>
      </c>
      <c r="G52" s="60">
        <v>84.45</v>
      </c>
      <c r="H52" s="60">
        <v>54.8</v>
      </c>
      <c r="I52" s="60">
        <v>0.22</v>
      </c>
      <c r="J52" s="60">
        <v>0.62</v>
      </c>
      <c r="K52" s="60">
        <v>84.39</v>
      </c>
      <c r="L52" s="60">
        <v>21.9</v>
      </c>
      <c r="M52" s="60">
        <v>65</v>
      </c>
      <c r="N52" s="60">
        <v>446.1</v>
      </c>
      <c r="O52" s="60">
        <v>0</v>
      </c>
      <c r="P52" s="60">
        <v>1.6</v>
      </c>
      <c r="Q52" s="60">
        <v>33.76</v>
      </c>
      <c r="R52" s="198"/>
      <c r="S52" s="198"/>
      <c r="T52" s="198"/>
      <c r="U52" s="198"/>
    </row>
    <row r="53" spans="1:21" s="12" customFormat="1" x14ac:dyDescent="0.25">
      <c r="A53" s="213" t="s">
        <v>2995</v>
      </c>
      <c r="B53" s="60">
        <v>17.309999999999999</v>
      </c>
      <c r="C53" s="60">
        <v>88.91</v>
      </c>
      <c r="D53" s="60">
        <v>62.94</v>
      </c>
      <c r="E53" s="60">
        <v>29.26</v>
      </c>
      <c r="F53" s="60">
        <v>414.6</v>
      </c>
      <c r="G53" s="60">
        <v>84.45</v>
      </c>
      <c r="H53" s="60">
        <v>54.8</v>
      </c>
      <c r="I53" s="60">
        <v>0.21</v>
      </c>
      <c r="J53" s="60">
        <v>0.54</v>
      </c>
      <c r="K53" s="60">
        <v>71.25</v>
      </c>
      <c r="L53" s="60">
        <v>21.61</v>
      </c>
      <c r="M53" s="60">
        <v>66</v>
      </c>
      <c r="N53" s="60">
        <v>460.5</v>
      </c>
      <c r="O53" s="60">
        <v>0</v>
      </c>
      <c r="P53" s="60">
        <v>1.53</v>
      </c>
      <c r="Q53" s="60">
        <v>30.07</v>
      </c>
      <c r="R53" s="198"/>
      <c r="S53" s="198"/>
      <c r="T53" s="198"/>
      <c r="U53" s="198"/>
    </row>
    <row r="54" spans="1:21" s="12" customFormat="1" x14ac:dyDescent="0.25">
      <c r="A54" s="213" t="s">
        <v>2996</v>
      </c>
      <c r="B54" s="60">
        <v>15.1</v>
      </c>
      <c r="C54" s="60">
        <v>86.73</v>
      </c>
      <c r="D54" s="60">
        <v>59.97</v>
      </c>
      <c r="E54" s="60">
        <v>126.37</v>
      </c>
      <c r="F54" s="60">
        <v>401.89</v>
      </c>
      <c r="G54" s="60">
        <v>84.45</v>
      </c>
      <c r="H54" s="60">
        <v>54.8</v>
      </c>
      <c r="I54" s="60">
        <v>0.17</v>
      </c>
      <c r="J54" s="60">
        <v>0.62</v>
      </c>
      <c r="K54" s="60">
        <v>67.28</v>
      </c>
      <c r="L54" s="60">
        <v>22.2</v>
      </c>
      <c r="M54" s="60">
        <v>64</v>
      </c>
      <c r="N54" s="60">
        <v>486.3</v>
      </c>
      <c r="O54" s="60">
        <v>0</v>
      </c>
      <c r="P54" s="60">
        <v>1.49</v>
      </c>
      <c r="Q54" s="60">
        <v>29.53</v>
      </c>
      <c r="R54" s="198"/>
      <c r="S54" s="198"/>
      <c r="T54" s="198"/>
      <c r="U54" s="198"/>
    </row>
    <row r="55" spans="1:21" s="12" customFormat="1" x14ac:dyDescent="0.25">
      <c r="A55" s="213" t="s">
        <v>2997</v>
      </c>
      <c r="B55" s="60">
        <v>13.57</v>
      </c>
      <c r="C55" s="60">
        <v>88.27</v>
      </c>
      <c r="D55" s="60">
        <v>59.6</v>
      </c>
      <c r="E55" s="60">
        <v>152.96</v>
      </c>
      <c r="F55" s="60">
        <v>397.33</v>
      </c>
      <c r="G55" s="60">
        <v>84.45</v>
      </c>
      <c r="H55" s="60">
        <v>54.8</v>
      </c>
      <c r="I55" s="60">
        <v>0.16</v>
      </c>
      <c r="J55" s="60">
        <v>0.89</v>
      </c>
      <c r="K55" s="60">
        <v>96.17</v>
      </c>
      <c r="L55" s="60">
        <v>22.16</v>
      </c>
      <c r="M55" s="60">
        <v>65</v>
      </c>
      <c r="N55" s="60">
        <v>501.3</v>
      </c>
      <c r="O55" s="60">
        <v>0</v>
      </c>
      <c r="P55" s="60">
        <v>1.48</v>
      </c>
      <c r="Q55" s="60">
        <v>28.93</v>
      </c>
      <c r="R55" s="198"/>
      <c r="S55" s="198"/>
      <c r="T55" s="198"/>
      <c r="U55" s="198"/>
    </row>
    <row r="56" spans="1:21" s="12" customFormat="1" x14ac:dyDescent="0.25">
      <c r="A56" s="213" t="s">
        <v>2998</v>
      </c>
      <c r="B56" s="60">
        <v>10.53</v>
      </c>
      <c r="C56" s="60">
        <v>84.82</v>
      </c>
      <c r="D56" s="60">
        <v>55.26</v>
      </c>
      <c r="E56" s="60">
        <v>97.74</v>
      </c>
      <c r="F56" s="60">
        <v>3.92</v>
      </c>
      <c r="G56" s="60">
        <v>84.45</v>
      </c>
      <c r="H56" s="60">
        <v>54.8</v>
      </c>
      <c r="I56" s="60">
        <v>0.15</v>
      </c>
      <c r="J56" s="60">
        <v>1.25</v>
      </c>
      <c r="K56" s="60">
        <v>136.84</v>
      </c>
      <c r="L56" s="60">
        <v>21.52</v>
      </c>
      <c r="M56" s="60">
        <v>67</v>
      </c>
      <c r="N56" s="60">
        <v>508.1</v>
      </c>
      <c r="O56" s="60">
        <v>0</v>
      </c>
      <c r="P56" s="60">
        <v>1.45</v>
      </c>
      <c r="Q56" s="60">
        <v>29.72</v>
      </c>
      <c r="R56" s="198"/>
      <c r="S56" s="198"/>
      <c r="T56" s="198"/>
      <c r="U56" s="198"/>
    </row>
    <row r="57" spans="1:21" s="12" customFormat="1" x14ac:dyDescent="0.25">
      <c r="A57" s="213" t="s">
        <v>2999</v>
      </c>
      <c r="B57" s="60">
        <v>8.9600000000000009</v>
      </c>
      <c r="C57" s="60">
        <v>82.73</v>
      </c>
      <c r="D57" s="60">
        <v>52.84</v>
      </c>
      <c r="E57" s="60">
        <v>0.68</v>
      </c>
      <c r="F57" s="60">
        <v>4.43</v>
      </c>
      <c r="G57" s="60">
        <v>84.45</v>
      </c>
      <c r="H57" s="60">
        <v>54.8</v>
      </c>
      <c r="I57" s="60">
        <v>0.15</v>
      </c>
      <c r="J57" s="60">
        <v>0.56000000000000005</v>
      </c>
      <c r="K57" s="60">
        <v>90.01</v>
      </c>
      <c r="L57" s="60">
        <v>23.66</v>
      </c>
      <c r="M57" s="60">
        <v>60</v>
      </c>
      <c r="N57" s="60">
        <v>505.1</v>
      </c>
      <c r="O57" s="60">
        <v>0</v>
      </c>
      <c r="P57" s="60">
        <v>3.51</v>
      </c>
      <c r="Q57" s="60">
        <v>28.35</v>
      </c>
      <c r="R57" s="198"/>
      <c r="S57" s="198"/>
      <c r="T57" s="198"/>
      <c r="U57" s="198"/>
    </row>
    <row r="58" spans="1:21" s="12" customFormat="1" x14ac:dyDescent="0.25">
      <c r="A58" s="213" t="s">
        <v>3000</v>
      </c>
      <c r="B58" s="60">
        <v>7.45</v>
      </c>
      <c r="C58" s="60">
        <v>80.95</v>
      </c>
      <c r="D58" s="60">
        <v>50.65</v>
      </c>
      <c r="E58" s="60">
        <v>3.54</v>
      </c>
      <c r="F58" s="60">
        <v>3.71</v>
      </c>
      <c r="G58" s="60">
        <v>77.88</v>
      </c>
      <c r="H58" s="60">
        <v>50.54</v>
      </c>
      <c r="I58" s="60">
        <v>0.15</v>
      </c>
      <c r="J58" s="60">
        <v>0.62</v>
      </c>
      <c r="K58" s="60">
        <v>77.819999999999993</v>
      </c>
      <c r="L58" s="60">
        <v>22.95</v>
      </c>
      <c r="M58" s="60">
        <v>63</v>
      </c>
      <c r="N58" s="60">
        <v>515.5</v>
      </c>
      <c r="O58" s="60">
        <v>0</v>
      </c>
      <c r="P58" s="60">
        <v>5.3</v>
      </c>
      <c r="Q58" s="60">
        <v>27.37</v>
      </c>
      <c r="R58" s="198"/>
      <c r="S58" s="198"/>
      <c r="T58" s="198"/>
      <c r="U58" s="198"/>
    </row>
    <row r="59" spans="1:21" s="12" customFormat="1" x14ac:dyDescent="0.25">
      <c r="A59" s="213" t="s">
        <v>3001</v>
      </c>
      <c r="B59" s="60">
        <v>5.34</v>
      </c>
      <c r="C59" s="60">
        <v>86.42</v>
      </c>
      <c r="D59" s="60">
        <v>51.98</v>
      </c>
      <c r="E59" s="60">
        <v>4.8</v>
      </c>
      <c r="F59" s="60">
        <v>3.72</v>
      </c>
      <c r="G59" s="212" t="s">
        <v>40</v>
      </c>
      <c r="H59" s="212" t="s">
        <v>40</v>
      </c>
      <c r="I59" s="60">
        <v>0.14000000000000001</v>
      </c>
      <c r="J59" s="60">
        <v>0.9</v>
      </c>
      <c r="K59" s="60">
        <v>12.97</v>
      </c>
      <c r="L59" s="60">
        <v>25.23</v>
      </c>
      <c r="M59" s="60">
        <v>57</v>
      </c>
      <c r="N59" s="60">
        <v>483.2</v>
      </c>
      <c r="O59" s="60">
        <v>0</v>
      </c>
      <c r="P59" s="60">
        <v>0.02</v>
      </c>
      <c r="Q59" s="60">
        <v>27.79</v>
      </c>
      <c r="R59" s="198"/>
      <c r="S59" s="198"/>
      <c r="T59" s="198"/>
      <c r="U59" s="198"/>
    </row>
    <row r="60" spans="1:21" s="12" customFormat="1" x14ac:dyDescent="0.25">
      <c r="A60" s="213" t="s">
        <v>3002</v>
      </c>
      <c r="B60" s="60">
        <v>4.45</v>
      </c>
      <c r="C60" s="60">
        <v>89.15</v>
      </c>
      <c r="D60" s="60">
        <v>52.77</v>
      </c>
      <c r="E60" s="60">
        <v>4.2</v>
      </c>
      <c r="F60" s="60">
        <v>2.94</v>
      </c>
      <c r="G60" s="212" t="s">
        <v>40</v>
      </c>
      <c r="H60" s="212" t="s">
        <v>40</v>
      </c>
      <c r="I60" s="60">
        <v>0.14000000000000001</v>
      </c>
      <c r="J60" s="60">
        <v>0.56999999999999995</v>
      </c>
      <c r="K60" s="60">
        <v>72</v>
      </c>
      <c r="L60" s="60">
        <v>25.03</v>
      </c>
      <c r="M60" s="60">
        <v>57</v>
      </c>
      <c r="N60" s="60">
        <v>474</v>
      </c>
      <c r="O60" s="60">
        <v>0</v>
      </c>
      <c r="P60" s="60">
        <v>0.03</v>
      </c>
      <c r="Q60" s="60">
        <v>29.23</v>
      </c>
      <c r="R60" s="198"/>
      <c r="S60" s="198"/>
      <c r="T60" s="198"/>
      <c r="U60" s="198"/>
    </row>
    <row r="61" spans="1:21" s="12" customFormat="1" x14ac:dyDescent="0.25">
      <c r="A61" s="213" t="s">
        <v>3003</v>
      </c>
      <c r="B61" s="60">
        <v>4.6900000000000004</v>
      </c>
      <c r="C61" s="60">
        <v>85.69</v>
      </c>
      <c r="D61" s="60">
        <v>51.05</v>
      </c>
      <c r="E61" s="60">
        <v>4.01</v>
      </c>
      <c r="F61" s="60">
        <v>1.7</v>
      </c>
      <c r="G61" s="212" t="s">
        <v>40</v>
      </c>
      <c r="H61" s="212" t="s">
        <v>40</v>
      </c>
      <c r="I61" s="60">
        <v>0.14000000000000001</v>
      </c>
      <c r="J61" s="60">
        <v>0.51</v>
      </c>
      <c r="K61" s="60">
        <v>54.17</v>
      </c>
      <c r="L61" s="60">
        <v>24.66</v>
      </c>
      <c r="M61" s="60">
        <v>59</v>
      </c>
      <c r="N61" s="60">
        <v>454.2</v>
      </c>
      <c r="O61" s="60">
        <v>0</v>
      </c>
      <c r="P61" s="212" t="s">
        <v>40</v>
      </c>
      <c r="Q61" s="60">
        <v>30.92</v>
      </c>
      <c r="R61" s="198"/>
      <c r="S61" s="198"/>
      <c r="T61" s="198"/>
      <c r="U61" s="198"/>
    </row>
    <row r="62" spans="1:21" s="12" customFormat="1" x14ac:dyDescent="0.25">
      <c r="A62" s="213" t="s">
        <v>3004</v>
      </c>
      <c r="B62" s="60">
        <v>5.17</v>
      </c>
      <c r="C62" s="60">
        <v>81.93</v>
      </c>
      <c r="D62" s="60">
        <v>49.36</v>
      </c>
      <c r="E62" s="60">
        <v>3.69</v>
      </c>
      <c r="F62" s="60">
        <v>1.4</v>
      </c>
      <c r="G62" s="60">
        <v>10.64</v>
      </c>
      <c r="H62" s="60">
        <v>4.58</v>
      </c>
      <c r="I62" s="60">
        <v>0.14000000000000001</v>
      </c>
      <c r="J62" s="60">
        <v>0.53</v>
      </c>
      <c r="K62" s="60">
        <v>76.680000000000007</v>
      </c>
      <c r="L62" s="60">
        <v>24.55</v>
      </c>
      <c r="M62" s="60">
        <v>59</v>
      </c>
      <c r="N62" s="60">
        <v>432.8</v>
      </c>
      <c r="O62" s="60">
        <v>0</v>
      </c>
      <c r="P62" s="212" t="s">
        <v>40</v>
      </c>
      <c r="Q62" s="60">
        <v>31.59</v>
      </c>
      <c r="R62" s="198"/>
      <c r="S62" s="198"/>
      <c r="T62" s="198"/>
      <c r="U62" s="198"/>
    </row>
    <row r="63" spans="1:21" s="12" customFormat="1" x14ac:dyDescent="0.25">
      <c r="A63" s="213" t="s">
        <v>3005</v>
      </c>
      <c r="B63" s="60">
        <v>4.1399999999999997</v>
      </c>
      <c r="C63" s="60">
        <v>78.63</v>
      </c>
      <c r="D63" s="60">
        <v>46.71</v>
      </c>
      <c r="E63" s="60">
        <v>6.06</v>
      </c>
      <c r="F63" s="60">
        <v>3.51</v>
      </c>
      <c r="G63" s="60">
        <v>106.36</v>
      </c>
      <c r="H63" s="60">
        <v>45.77</v>
      </c>
      <c r="I63" s="60">
        <v>0.15</v>
      </c>
      <c r="J63" s="60">
        <v>0.56000000000000005</v>
      </c>
      <c r="K63" s="60">
        <v>65.95</v>
      </c>
      <c r="L63" s="60">
        <v>24.96</v>
      </c>
      <c r="M63" s="60">
        <v>58</v>
      </c>
      <c r="N63" s="60">
        <v>410.4</v>
      </c>
      <c r="O63" s="60">
        <v>0</v>
      </c>
      <c r="P63" s="60">
        <v>0.01</v>
      </c>
      <c r="Q63" s="60">
        <v>31.83</v>
      </c>
      <c r="R63" s="198"/>
      <c r="S63" s="198"/>
      <c r="T63" s="198"/>
      <c r="U63" s="198"/>
    </row>
    <row r="64" spans="1:21" s="12" customFormat="1" x14ac:dyDescent="0.25">
      <c r="A64" s="213" t="s">
        <v>3006</v>
      </c>
      <c r="B64" s="60">
        <v>3.55</v>
      </c>
      <c r="C64" s="60">
        <v>79.13</v>
      </c>
      <c r="D64" s="60">
        <v>46.52</v>
      </c>
      <c r="E64" s="60">
        <v>4.34</v>
      </c>
      <c r="F64" s="60">
        <v>3.26</v>
      </c>
      <c r="G64" s="60">
        <v>106.36</v>
      </c>
      <c r="H64" s="60">
        <v>45.77</v>
      </c>
      <c r="I64" s="60">
        <v>0.16</v>
      </c>
      <c r="J64" s="60">
        <v>0.68</v>
      </c>
      <c r="K64" s="60">
        <v>33.450000000000003</v>
      </c>
      <c r="L64" s="60">
        <v>25.03</v>
      </c>
      <c r="M64" s="60">
        <v>58</v>
      </c>
      <c r="N64" s="60">
        <v>390.5</v>
      </c>
      <c r="O64" s="60">
        <v>0</v>
      </c>
      <c r="P64" s="60">
        <v>0.01</v>
      </c>
      <c r="Q64" s="60">
        <v>31.24</v>
      </c>
      <c r="R64" s="198"/>
      <c r="S64" s="198"/>
      <c r="T64" s="198"/>
      <c r="U64" s="198"/>
    </row>
    <row r="65" spans="1:21" s="12" customFormat="1" x14ac:dyDescent="0.25">
      <c r="A65" s="213" t="s">
        <v>3007</v>
      </c>
      <c r="B65" s="60">
        <v>4.47</v>
      </c>
      <c r="C65" s="60">
        <v>75.849999999999994</v>
      </c>
      <c r="D65" s="60">
        <v>45.44</v>
      </c>
      <c r="E65" s="60">
        <v>5.88</v>
      </c>
      <c r="F65" s="60">
        <v>6.24</v>
      </c>
      <c r="G65" s="60">
        <v>106.36</v>
      </c>
      <c r="H65" s="60">
        <v>45.77</v>
      </c>
      <c r="I65" s="60">
        <v>0.15</v>
      </c>
      <c r="J65" s="60">
        <v>0.98</v>
      </c>
      <c r="K65" s="60">
        <v>21.05</v>
      </c>
      <c r="L65" s="60">
        <v>26.16</v>
      </c>
      <c r="M65" s="60">
        <v>54</v>
      </c>
      <c r="N65" s="60">
        <v>359.1</v>
      </c>
      <c r="O65" s="60">
        <v>0</v>
      </c>
      <c r="P65" s="60">
        <v>0.01</v>
      </c>
      <c r="Q65" s="60">
        <v>32.380000000000003</v>
      </c>
      <c r="R65" s="198"/>
      <c r="S65" s="198"/>
      <c r="T65" s="198"/>
      <c r="U65" s="198"/>
    </row>
    <row r="66" spans="1:21" s="12" customFormat="1" x14ac:dyDescent="0.25">
      <c r="A66" s="213" t="s">
        <v>3008</v>
      </c>
      <c r="B66" s="60">
        <v>6.15</v>
      </c>
      <c r="C66" s="60">
        <v>70.97</v>
      </c>
      <c r="D66" s="60">
        <v>44.09</v>
      </c>
      <c r="E66" s="60">
        <v>7.8</v>
      </c>
      <c r="F66" s="60">
        <v>8.82</v>
      </c>
      <c r="G66" s="60">
        <v>106.35</v>
      </c>
      <c r="H66" s="60">
        <v>46.22</v>
      </c>
      <c r="I66" s="60">
        <v>0.14000000000000001</v>
      </c>
      <c r="J66" s="60">
        <v>0.7</v>
      </c>
      <c r="K66" s="60">
        <v>84.28</v>
      </c>
      <c r="L66" s="60">
        <v>25.35</v>
      </c>
      <c r="M66" s="60">
        <v>56</v>
      </c>
      <c r="N66" s="60">
        <v>326.39999999999998</v>
      </c>
      <c r="O66" s="60">
        <v>0</v>
      </c>
      <c r="P66" s="60">
        <v>0.01</v>
      </c>
      <c r="Q66" s="60">
        <v>34.28</v>
      </c>
      <c r="R66" s="198"/>
      <c r="S66" s="198"/>
      <c r="T66" s="198"/>
      <c r="U66" s="198"/>
    </row>
    <row r="67" spans="1:21" s="12" customFormat="1" x14ac:dyDescent="0.25">
      <c r="A67" s="213" t="s">
        <v>3009</v>
      </c>
      <c r="B67" s="60">
        <v>3.8</v>
      </c>
      <c r="C67" s="60">
        <v>73.37</v>
      </c>
      <c r="D67" s="60">
        <v>43.54</v>
      </c>
      <c r="E67" s="60">
        <v>6.26</v>
      </c>
      <c r="F67" s="60">
        <v>8.2200000000000006</v>
      </c>
      <c r="G67" s="60">
        <v>106.31</v>
      </c>
      <c r="H67" s="60">
        <v>50.28</v>
      </c>
      <c r="I67" s="60">
        <v>0.13</v>
      </c>
      <c r="J67" s="60">
        <v>0.66</v>
      </c>
      <c r="K67" s="60">
        <v>105</v>
      </c>
      <c r="L67" s="60">
        <v>24.26</v>
      </c>
      <c r="M67" s="60">
        <v>60</v>
      </c>
      <c r="N67" s="60">
        <v>261</v>
      </c>
      <c r="O67" s="60">
        <v>0</v>
      </c>
      <c r="P67" s="60">
        <v>0.01</v>
      </c>
      <c r="Q67" s="60">
        <v>31.72</v>
      </c>
      <c r="R67" s="198"/>
      <c r="S67" s="198"/>
      <c r="T67" s="198"/>
      <c r="U67" s="198"/>
    </row>
    <row r="68" spans="1:21" s="12" customFormat="1" x14ac:dyDescent="0.25">
      <c r="A68" s="213" t="s">
        <v>3010</v>
      </c>
      <c r="B68" s="60">
        <v>2.4900000000000002</v>
      </c>
      <c r="C68" s="60">
        <v>69.61</v>
      </c>
      <c r="D68" s="60">
        <v>40.409999999999997</v>
      </c>
      <c r="E68" s="60">
        <v>9.99</v>
      </c>
      <c r="F68" s="60">
        <v>10.39</v>
      </c>
      <c r="G68" s="60">
        <v>106.31</v>
      </c>
      <c r="H68" s="60">
        <v>50.28</v>
      </c>
      <c r="I68" s="60">
        <v>0.14000000000000001</v>
      </c>
      <c r="J68" s="60">
        <v>0.56999999999999995</v>
      </c>
      <c r="K68" s="60">
        <v>129.55000000000001</v>
      </c>
      <c r="L68" s="60">
        <v>24.59</v>
      </c>
      <c r="M68" s="60">
        <v>59</v>
      </c>
      <c r="N68" s="60">
        <v>248.2</v>
      </c>
      <c r="O68" s="60">
        <v>0</v>
      </c>
      <c r="P68" s="60">
        <v>0.01</v>
      </c>
      <c r="Q68" s="60">
        <v>30.13</v>
      </c>
      <c r="R68" s="198"/>
      <c r="S68" s="198"/>
      <c r="T68" s="198"/>
      <c r="U68" s="198"/>
    </row>
    <row r="69" spans="1:21" s="12" customFormat="1" x14ac:dyDescent="0.25">
      <c r="A69" s="213" t="s">
        <v>3011</v>
      </c>
      <c r="B69" s="60">
        <v>2.29</v>
      </c>
      <c r="C69" s="60">
        <v>71.59</v>
      </c>
      <c r="D69" s="60">
        <v>41.34</v>
      </c>
      <c r="E69" s="60">
        <v>5.59</v>
      </c>
      <c r="F69" s="60">
        <v>8.1199999999999992</v>
      </c>
      <c r="G69" s="60">
        <v>106.31</v>
      </c>
      <c r="H69" s="60">
        <v>50.28</v>
      </c>
      <c r="I69" s="60">
        <v>0.14000000000000001</v>
      </c>
      <c r="J69" s="60">
        <v>0.84</v>
      </c>
      <c r="K69" s="60">
        <v>12.43</v>
      </c>
      <c r="L69" s="60">
        <v>25.06</v>
      </c>
      <c r="M69" s="60">
        <v>58</v>
      </c>
      <c r="N69" s="60">
        <v>225.7</v>
      </c>
      <c r="O69" s="60">
        <v>0</v>
      </c>
      <c r="P69" s="60">
        <v>0.01</v>
      </c>
      <c r="Q69" s="60">
        <v>29.73</v>
      </c>
      <c r="R69" s="198"/>
      <c r="S69" s="198"/>
      <c r="T69" s="198"/>
      <c r="U69" s="198"/>
    </row>
    <row r="70" spans="1:21" s="12" customFormat="1" x14ac:dyDescent="0.25">
      <c r="A70" s="213" t="s">
        <v>3012</v>
      </c>
      <c r="B70" s="60">
        <v>8.86</v>
      </c>
      <c r="C70" s="60">
        <v>80.59</v>
      </c>
      <c r="D70" s="60">
        <v>51.58</v>
      </c>
      <c r="E70" s="60">
        <v>8.5500000000000007</v>
      </c>
      <c r="F70" s="60">
        <v>17.329999999999998</v>
      </c>
      <c r="G70" s="60">
        <v>105.15</v>
      </c>
      <c r="H70" s="60">
        <v>50.24</v>
      </c>
      <c r="I70" s="60">
        <v>0.14000000000000001</v>
      </c>
      <c r="J70" s="60">
        <v>0.81</v>
      </c>
      <c r="K70" s="60">
        <v>14.91</v>
      </c>
      <c r="L70" s="60">
        <v>25.6</v>
      </c>
      <c r="M70" s="60">
        <v>56</v>
      </c>
      <c r="N70" s="60">
        <v>197</v>
      </c>
      <c r="O70" s="60">
        <v>0</v>
      </c>
      <c r="P70" s="60">
        <v>0.02</v>
      </c>
      <c r="Q70" s="60">
        <v>29.69</v>
      </c>
      <c r="R70" s="198"/>
      <c r="S70" s="198"/>
      <c r="T70" s="198"/>
      <c r="U70" s="198"/>
    </row>
    <row r="71" spans="1:21" s="12" customFormat="1" x14ac:dyDescent="0.25">
      <c r="A71" s="213" t="s">
        <v>3013</v>
      </c>
      <c r="B71" s="60">
        <v>5.26</v>
      </c>
      <c r="C71" s="60">
        <v>87.52</v>
      </c>
      <c r="D71" s="60">
        <v>52.52</v>
      </c>
      <c r="E71" s="60">
        <v>11.88</v>
      </c>
      <c r="F71" s="60">
        <v>8.5299999999999994</v>
      </c>
      <c r="G71" s="60">
        <v>96.62</v>
      </c>
      <c r="H71" s="60">
        <v>49.93</v>
      </c>
      <c r="I71" s="60">
        <v>0.13</v>
      </c>
      <c r="J71" s="60">
        <v>0.38</v>
      </c>
      <c r="K71" s="60">
        <v>19.18</v>
      </c>
      <c r="L71" s="60">
        <v>25.19</v>
      </c>
      <c r="M71" s="60">
        <v>57</v>
      </c>
      <c r="N71" s="60">
        <v>161.69999999999999</v>
      </c>
      <c r="O71" s="60">
        <v>0</v>
      </c>
      <c r="P71" s="60">
        <v>0.03</v>
      </c>
      <c r="Q71" s="60">
        <v>29.81</v>
      </c>
      <c r="R71" s="198"/>
      <c r="S71" s="198"/>
      <c r="T71" s="198"/>
      <c r="U71" s="198"/>
    </row>
    <row r="72" spans="1:21" s="12" customFormat="1" x14ac:dyDescent="0.25">
      <c r="A72" s="213" t="s">
        <v>3014</v>
      </c>
      <c r="B72" s="60">
        <v>8.11</v>
      </c>
      <c r="C72" s="60">
        <v>89.35</v>
      </c>
      <c r="D72" s="60">
        <v>55.82</v>
      </c>
      <c r="E72" s="60">
        <v>5.57</v>
      </c>
      <c r="F72" s="60">
        <v>6.78</v>
      </c>
      <c r="G72" s="60">
        <v>96.62</v>
      </c>
      <c r="H72" s="60">
        <v>49.93</v>
      </c>
      <c r="I72" s="60">
        <v>0.13</v>
      </c>
      <c r="J72" s="60">
        <v>0.5</v>
      </c>
      <c r="K72" s="60">
        <v>58.08</v>
      </c>
      <c r="L72" s="60">
        <v>24.25</v>
      </c>
      <c r="M72" s="60">
        <v>60</v>
      </c>
      <c r="N72" s="60">
        <v>118.1</v>
      </c>
      <c r="O72" s="60">
        <v>0</v>
      </c>
      <c r="P72" s="60">
        <v>0.03</v>
      </c>
      <c r="Q72" s="60">
        <v>30.01</v>
      </c>
      <c r="R72" s="198"/>
      <c r="S72" s="198"/>
      <c r="T72" s="198"/>
      <c r="U72" s="198"/>
    </row>
    <row r="73" spans="1:21" s="12" customFormat="1" x14ac:dyDescent="0.25">
      <c r="A73" s="213" t="s">
        <v>3015</v>
      </c>
      <c r="B73" s="60">
        <v>8.07</v>
      </c>
      <c r="C73" s="60">
        <v>98.26</v>
      </c>
      <c r="D73" s="60">
        <v>60.7</v>
      </c>
      <c r="E73" s="60">
        <v>14.35</v>
      </c>
      <c r="F73" s="60">
        <v>5.0999999999999996</v>
      </c>
      <c r="G73" s="60">
        <v>96.62</v>
      </c>
      <c r="H73" s="60">
        <v>49.93</v>
      </c>
      <c r="I73" s="60">
        <v>0.13</v>
      </c>
      <c r="J73" s="60">
        <v>1.1499999999999999</v>
      </c>
      <c r="K73" s="60">
        <v>9.34</v>
      </c>
      <c r="L73" s="60">
        <v>24.5</v>
      </c>
      <c r="M73" s="60">
        <v>60</v>
      </c>
      <c r="N73" s="60">
        <v>89.2</v>
      </c>
      <c r="O73" s="60">
        <v>0</v>
      </c>
      <c r="P73" s="60">
        <v>0.05</v>
      </c>
      <c r="Q73" s="60">
        <v>28.56</v>
      </c>
      <c r="R73" s="198"/>
      <c r="S73" s="198"/>
      <c r="T73" s="198"/>
      <c r="U73" s="198"/>
    </row>
    <row r="74" spans="1:21" s="12" customFormat="1" x14ac:dyDescent="0.25">
      <c r="A74" s="213" t="s">
        <v>3016</v>
      </c>
      <c r="B74" s="60">
        <v>8.61</v>
      </c>
      <c r="C74" s="60">
        <v>98.48</v>
      </c>
      <c r="D74" s="60">
        <v>61.26</v>
      </c>
      <c r="E74" s="60">
        <v>7.54</v>
      </c>
      <c r="F74" s="60">
        <v>3</v>
      </c>
      <c r="G74" s="60">
        <v>96.93</v>
      </c>
      <c r="H74" s="60">
        <v>50.35</v>
      </c>
      <c r="I74" s="60">
        <v>0.14000000000000001</v>
      </c>
      <c r="J74" s="60">
        <v>1.18</v>
      </c>
      <c r="K74" s="60">
        <v>5.3</v>
      </c>
      <c r="L74" s="60">
        <v>24.27</v>
      </c>
      <c r="M74" s="60">
        <v>60</v>
      </c>
      <c r="N74" s="60">
        <v>69.599999999999994</v>
      </c>
      <c r="O74" s="60">
        <v>0</v>
      </c>
      <c r="P74" s="60">
        <v>0.06</v>
      </c>
      <c r="Q74" s="60">
        <v>32.22</v>
      </c>
      <c r="R74" s="198"/>
      <c r="S74" s="198"/>
      <c r="T74" s="198"/>
      <c r="U74" s="198"/>
    </row>
    <row r="75" spans="1:21" s="12" customFormat="1" x14ac:dyDescent="0.25">
      <c r="A75" s="213" t="s">
        <v>3017</v>
      </c>
      <c r="B75" s="60">
        <v>7.76</v>
      </c>
      <c r="C75" s="60">
        <v>97.08</v>
      </c>
      <c r="D75" s="60">
        <v>59.79</v>
      </c>
      <c r="E75" s="60">
        <v>5.28</v>
      </c>
      <c r="F75" s="60">
        <v>2.58</v>
      </c>
      <c r="G75" s="60">
        <v>98.99</v>
      </c>
      <c r="H75" s="60">
        <v>54.18</v>
      </c>
      <c r="I75" s="60">
        <v>0.15</v>
      </c>
      <c r="J75" s="60">
        <v>1.37</v>
      </c>
      <c r="K75" s="60">
        <v>1.07</v>
      </c>
      <c r="L75" s="60">
        <v>23.64</v>
      </c>
      <c r="M75" s="60">
        <v>62</v>
      </c>
      <c r="N75" s="60">
        <v>65.7</v>
      </c>
      <c r="O75" s="60">
        <v>0</v>
      </c>
      <c r="P75" s="60">
        <v>0.06</v>
      </c>
      <c r="Q75" s="60">
        <v>31.99</v>
      </c>
      <c r="R75" s="198"/>
      <c r="S75" s="198"/>
      <c r="T75" s="198"/>
      <c r="U75" s="198"/>
    </row>
    <row r="76" spans="1:21" s="12" customFormat="1" x14ac:dyDescent="0.25">
      <c r="A76" s="213" t="s">
        <v>3018</v>
      </c>
      <c r="B76" s="60">
        <v>6.23</v>
      </c>
      <c r="C76" s="60">
        <v>98.83</v>
      </c>
      <c r="D76" s="60">
        <v>59.54</v>
      </c>
      <c r="E76" s="60">
        <v>4.8499999999999996</v>
      </c>
      <c r="F76" s="60">
        <v>1.88</v>
      </c>
      <c r="G76" s="60">
        <v>98.99</v>
      </c>
      <c r="H76" s="60">
        <v>54.18</v>
      </c>
      <c r="I76" s="60">
        <v>0.16</v>
      </c>
      <c r="J76" s="60">
        <v>1.17</v>
      </c>
      <c r="K76" s="60">
        <v>351.58</v>
      </c>
      <c r="L76" s="60">
        <v>23.09</v>
      </c>
      <c r="M76" s="60">
        <v>64</v>
      </c>
      <c r="N76" s="60">
        <v>52</v>
      </c>
      <c r="O76" s="60">
        <v>0</v>
      </c>
      <c r="P76" s="60">
        <v>0.06</v>
      </c>
      <c r="Q76" s="60">
        <v>32.369999999999997</v>
      </c>
      <c r="R76" s="198"/>
      <c r="S76" s="198"/>
      <c r="T76" s="198"/>
      <c r="U76" s="198"/>
    </row>
    <row r="77" spans="1:21" s="12" customFormat="1" x14ac:dyDescent="0.25">
      <c r="A77" s="213" t="s">
        <v>3019</v>
      </c>
      <c r="B77" s="60">
        <v>4.3</v>
      </c>
      <c r="C77" s="60">
        <v>97.58</v>
      </c>
      <c r="D77" s="60">
        <v>57.3</v>
      </c>
      <c r="E77" s="60">
        <v>4.24</v>
      </c>
      <c r="F77" s="60">
        <v>1.93</v>
      </c>
      <c r="G77" s="60">
        <v>98.99</v>
      </c>
      <c r="H77" s="60">
        <v>54.18</v>
      </c>
      <c r="I77" s="60">
        <v>0.16</v>
      </c>
      <c r="J77" s="60">
        <v>1.1599999999999999</v>
      </c>
      <c r="K77" s="60">
        <v>346.85</v>
      </c>
      <c r="L77" s="60">
        <v>22.53</v>
      </c>
      <c r="M77" s="60">
        <v>66</v>
      </c>
      <c r="N77" s="60">
        <v>38.6</v>
      </c>
      <c r="O77" s="60">
        <v>0</v>
      </c>
      <c r="P77" s="60">
        <v>0.08</v>
      </c>
      <c r="Q77" s="60">
        <v>31.53</v>
      </c>
      <c r="R77" s="198"/>
      <c r="S77" s="198"/>
      <c r="T77" s="198"/>
      <c r="U77" s="198"/>
    </row>
    <row r="78" spans="1:21" s="12" customFormat="1" x14ac:dyDescent="0.25">
      <c r="A78" s="213" t="s">
        <v>3020</v>
      </c>
      <c r="B78" s="60">
        <v>4.01</v>
      </c>
      <c r="C78" s="60">
        <v>93.84</v>
      </c>
      <c r="D78" s="60">
        <v>55</v>
      </c>
      <c r="E78" s="60">
        <v>3.56</v>
      </c>
      <c r="F78" s="60">
        <v>0.8</v>
      </c>
      <c r="G78" s="60">
        <v>99.38</v>
      </c>
      <c r="H78" s="60">
        <v>54.4</v>
      </c>
      <c r="I78" s="60">
        <v>0.16</v>
      </c>
      <c r="J78" s="60">
        <v>1.02</v>
      </c>
      <c r="K78" s="60">
        <v>350.69</v>
      </c>
      <c r="L78" s="60">
        <v>22.1</v>
      </c>
      <c r="M78" s="60">
        <v>68</v>
      </c>
      <c r="N78" s="60">
        <v>29.5</v>
      </c>
      <c r="O78" s="60">
        <v>0</v>
      </c>
      <c r="P78" s="60">
        <v>0.08</v>
      </c>
      <c r="Q78" s="60">
        <v>32.07</v>
      </c>
      <c r="R78" s="198"/>
      <c r="S78" s="198"/>
      <c r="T78" s="198"/>
      <c r="U78" s="198"/>
    </row>
    <row r="79" spans="1:21" s="12" customFormat="1" x14ac:dyDescent="0.25">
      <c r="A79" s="213" t="s">
        <v>3021</v>
      </c>
      <c r="B79" s="60">
        <v>5.84</v>
      </c>
      <c r="C79" s="60">
        <v>97.27</v>
      </c>
      <c r="D79" s="60">
        <v>58.37</v>
      </c>
      <c r="E79" s="60">
        <v>3.69</v>
      </c>
      <c r="F79" s="60">
        <v>1.1100000000000001</v>
      </c>
      <c r="G79" s="60">
        <v>102.83</v>
      </c>
      <c r="H79" s="60">
        <v>56.32</v>
      </c>
      <c r="I79" s="60">
        <v>0.16</v>
      </c>
      <c r="J79" s="60">
        <v>0.87</v>
      </c>
      <c r="K79" s="60">
        <v>9.52</v>
      </c>
      <c r="L79" s="60">
        <v>21.86</v>
      </c>
      <c r="M79" s="60">
        <v>69</v>
      </c>
      <c r="N79" s="60">
        <v>25.8</v>
      </c>
      <c r="O79" s="60">
        <v>0</v>
      </c>
      <c r="P79" s="60">
        <v>0.08</v>
      </c>
      <c r="Q79" s="60">
        <v>32.1</v>
      </c>
      <c r="R79" s="198"/>
      <c r="S79" s="198"/>
      <c r="T79" s="198"/>
      <c r="U79" s="198"/>
    </row>
    <row r="80" spans="1:21" s="12" customFormat="1" x14ac:dyDescent="0.25">
      <c r="A80" s="213" t="s">
        <v>3022</v>
      </c>
      <c r="B80" s="60">
        <v>7.04</v>
      </c>
      <c r="C80" s="60">
        <v>98.05</v>
      </c>
      <c r="D80" s="60">
        <v>59.76</v>
      </c>
      <c r="E80" s="60">
        <v>3.31</v>
      </c>
      <c r="F80" s="60">
        <v>0.46</v>
      </c>
      <c r="G80" s="60">
        <v>102.83</v>
      </c>
      <c r="H80" s="60">
        <v>56.32</v>
      </c>
      <c r="I80" s="60">
        <v>0.17</v>
      </c>
      <c r="J80" s="60">
        <v>0.76</v>
      </c>
      <c r="K80" s="60">
        <v>16.309999999999999</v>
      </c>
      <c r="L80" s="60">
        <v>21.66</v>
      </c>
      <c r="M80" s="60">
        <v>69</v>
      </c>
      <c r="N80" s="60">
        <v>25</v>
      </c>
      <c r="O80" s="60">
        <v>0</v>
      </c>
      <c r="P80" s="60">
        <v>0.09</v>
      </c>
      <c r="Q80" s="60">
        <v>33.89</v>
      </c>
      <c r="R80" s="198"/>
      <c r="S80" s="198"/>
      <c r="T80" s="198"/>
      <c r="U80" s="198"/>
    </row>
    <row r="81" spans="1:26" s="12" customFormat="1" x14ac:dyDescent="0.25">
      <c r="A81" s="213" t="s">
        <v>3023</v>
      </c>
      <c r="B81" s="60">
        <v>8.08</v>
      </c>
      <c r="C81" s="60">
        <v>92.19</v>
      </c>
      <c r="D81" s="60">
        <v>57.36</v>
      </c>
      <c r="E81" s="60">
        <v>2.98</v>
      </c>
      <c r="F81" s="60">
        <v>0.3</v>
      </c>
      <c r="G81" s="60">
        <v>102.83</v>
      </c>
      <c r="H81" s="60">
        <v>56.32</v>
      </c>
      <c r="I81" s="60">
        <v>0.18</v>
      </c>
      <c r="J81" s="60">
        <v>1.03</v>
      </c>
      <c r="K81" s="60">
        <v>13.67</v>
      </c>
      <c r="L81" s="60">
        <v>21.47</v>
      </c>
      <c r="M81" s="60">
        <v>70</v>
      </c>
      <c r="N81" s="60">
        <v>24.7</v>
      </c>
      <c r="O81" s="60">
        <v>0</v>
      </c>
      <c r="P81" s="60">
        <v>0.1</v>
      </c>
      <c r="Q81" s="60">
        <v>33.409999999999997</v>
      </c>
      <c r="R81" s="198"/>
      <c r="S81" s="198"/>
      <c r="T81" s="198"/>
      <c r="U81" s="198"/>
    </row>
    <row r="82" spans="1:26" s="12" customFormat="1" x14ac:dyDescent="0.25">
      <c r="A82" s="213" t="s">
        <v>3024</v>
      </c>
      <c r="B82" s="60">
        <v>9.2899999999999991</v>
      </c>
      <c r="C82" s="60">
        <v>95.05</v>
      </c>
      <c r="D82" s="60">
        <v>59.91</v>
      </c>
      <c r="E82" s="60">
        <v>2.87</v>
      </c>
      <c r="F82" s="60">
        <v>0.28999999999999998</v>
      </c>
      <c r="G82" s="60">
        <v>103.54</v>
      </c>
      <c r="H82" s="60">
        <v>56.67</v>
      </c>
      <c r="I82" s="60">
        <v>0.2</v>
      </c>
      <c r="J82" s="60">
        <v>1.05</v>
      </c>
      <c r="K82" s="60">
        <v>18.059999999999999</v>
      </c>
      <c r="L82" s="60">
        <v>21.31</v>
      </c>
      <c r="M82" s="60">
        <v>70</v>
      </c>
      <c r="N82" s="60">
        <v>24.7</v>
      </c>
      <c r="O82" s="60">
        <v>0</v>
      </c>
      <c r="P82" s="60">
        <v>0.1</v>
      </c>
      <c r="Q82" s="60">
        <v>30.34</v>
      </c>
      <c r="R82" s="198"/>
      <c r="S82" s="198"/>
      <c r="T82" s="198"/>
      <c r="U82" s="198"/>
    </row>
    <row r="83" spans="1:26" s="12" customFormat="1" x14ac:dyDescent="0.25">
      <c r="A83" s="213" t="s">
        <v>3025</v>
      </c>
      <c r="B83" s="60">
        <v>9.8699999999999992</v>
      </c>
      <c r="C83" s="60">
        <v>96.17</v>
      </c>
      <c r="D83" s="60">
        <v>60.99</v>
      </c>
      <c r="E83" s="60">
        <v>3.13</v>
      </c>
      <c r="F83" s="60">
        <v>0.41</v>
      </c>
      <c r="G83" s="60">
        <v>109.87</v>
      </c>
      <c r="H83" s="60">
        <v>59.78</v>
      </c>
      <c r="I83" s="60">
        <v>0.21</v>
      </c>
      <c r="J83" s="60">
        <v>1.23</v>
      </c>
      <c r="K83" s="60">
        <v>20.16</v>
      </c>
      <c r="L83" s="60">
        <v>21.23</v>
      </c>
      <c r="M83" s="60">
        <v>70</v>
      </c>
      <c r="N83" s="60">
        <v>24.7</v>
      </c>
      <c r="O83" s="60">
        <v>0</v>
      </c>
      <c r="P83" s="60">
        <v>0.12</v>
      </c>
      <c r="Q83" s="60">
        <v>34.299999999999997</v>
      </c>
      <c r="R83" s="198"/>
      <c r="S83" s="198"/>
      <c r="T83" s="198"/>
      <c r="U83" s="198"/>
    </row>
    <row r="84" spans="1:26" s="12" customFormat="1" x14ac:dyDescent="0.25">
      <c r="A84" s="213" t="s">
        <v>3026</v>
      </c>
      <c r="B84" s="60">
        <v>9.7899999999999991</v>
      </c>
      <c r="C84" s="60">
        <v>97.46</v>
      </c>
      <c r="D84" s="60">
        <v>61.63</v>
      </c>
      <c r="E84" s="60">
        <v>2.98</v>
      </c>
      <c r="F84" s="60">
        <v>0.64</v>
      </c>
      <c r="G84" s="60">
        <v>109.87</v>
      </c>
      <c r="H84" s="60">
        <v>59.78</v>
      </c>
      <c r="I84" s="60">
        <v>0.23</v>
      </c>
      <c r="J84" s="60">
        <v>1.44</v>
      </c>
      <c r="K84" s="60">
        <v>19.850000000000001</v>
      </c>
      <c r="L84" s="60">
        <v>21.1</v>
      </c>
      <c r="M84" s="60">
        <v>70</v>
      </c>
      <c r="N84" s="60">
        <v>24.7</v>
      </c>
      <c r="O84" s="60">
        <v>0</v>
      </c>
      <c r="P84" s="60">
        <v>0.12</v>
      </c>
      <c r="Q84" s="60">
        <v>32.06</v>
      </c>
      <c r="R84" s="198"/>
      <c r="S84" s="198"/>
      <c r="T84" s="198"/>
      <c r="U84" s="198"/>
    </row>
    <row r="85" spans="1:26" s="12" customFormat="1" x14ac:dyDescent="0.25">
      <c r="A85" s="213" t="s">
        <v>3027</v>
      </c>
      <c r="B85" s="60">
        <v>9.94</v>
      </c>
      <c r="C85" s="60">
        <v>97.28</v>
      </c>
      <c r="D85" s="60">
        <v>61.66</v>
      </c>
      <c r="E85" s="60">
        <v>3.36</v>
      </c>
      <c r="F85" s="60">
        <v>0.38</v>
      </c>
      <c r="G85" s="60">
        <v>109.87</v>
      </c>
      <c r="H85" s="60">
        <v>59.78</v>
      </c>
      <c r="I85" s="60">
        <v>0.25</v>
      </c>
      <c r="J85" s="60">
        <v>1.1399999999999999</v>
      </c>
      <c r="K85" s="60">
        <v>19.739999999999998</v>
      </c>
      <c r="L85" s="60">
        <v>21.01</v>
      </c>
      <c r="M85" s="60">
        <v>70</v>
      </c>
      <c r="N85" s="60">
        <v>24.9</v>
      </c>
      <c r="O85" s="60">
        <v>0</v>
      </c>
      <c r="P85" s="60">
        <v>0.01</v>
      </c>
      <c r="Q85" s="60">
        <v>34.450000000000003</v>
      </c>
      <c r="R85" s="198"/>
      <c r="S85" s="198"/>
      <c r="T85" s="198"/>
      <c r="U85" s="198"/>
    </row>
    <row r="86" spans="1:26" s="12" customFormat="1" x14ac:dyDescent="0.25">
      <c r="A86" s="213" t="s">
        <v>3028</v>
      </c>
      <c r="B86" s="60">
        <v>11.1</v>
      </c>
      <c r="C86" s="60">
        <v>98.18</v>
      </c>
      <c r="D86" s="60">
        <v>63.09</v>
      </c>
      <c r="E86" s="60">
        <v>4.05</v>
      </c>
      <c r="F86" s="60">
        <v>0.4</v>
      </c>
      <c r="G86" s="60">
        <v>110.78</v>
      </c>
      <c r="H86" s="60">
        <v>60.34</v>
      </c>
      <c r="I86" s="60">
        <v>0.26</v>
      </c>
      <c r="J86" s="60">
        <v>1.22</v>
      </c>
      <c r="K86" s="60">
        <v>19.22</v>
      </c>
      <c r="L86" s="60">
        <v>20.96</v>
      </c>
      <c r="M86" s="60">
        <v>70</v>
      </c>
      <c r="N86" s="60">
        <v>24.9</v>
      </c>
      <c r="O86" s="60">
        <v>0</v>
      </c>
      <c r="P86" s="60">
        <v>0.01</v>
      </c>
      <c r="Q86" s="60">
        <v>32.57</v>
      </c>
      <c r="R86" s="198"/>
      <c r="S86" s="198"/>
      <c r="T86" s="198"/>
      <c r="U86" s="198"/>
    </row>
    <row r="87" spans="1:26" s="12" customFormat="1" x14ac:dyDescent="0.25">
      <c r="A87" s="213" t="s">
        <v>3029</v>
      </c>
      <c r="B87" s="60">
        <v>12.6</v>
      </c>
      <c r="C87" s="60">
        <v>97.18</v>
      </c>
      <c r="D87" s="60">
        <v>63.73</v>
      </c>
      <c r="E87" s="60">
        <v>3.94</v>
      </c>
      <c r="F87" s="60">
        <v>0.35</v>
      </c>
      <c r="G87" s="60">
        <v>119.01</v>
      </c>
      <c r="H87" s="60">
        <v>65.42</v>
      </c>
      <c r="I87" s="60">
        <v>0.27</v>
      </c>
      <c r="J87" s="60">
        <v>0.88</v>
      </c>
      <c r="K87" s="60">
        <v>21.72</v>
      </c>
      <c r="L87" s="60">
        <v>20.95</v>
      </c>
      <c r="M87" s="60">
        <v>70</v>
      </c>
      <c r="N87" s="60">
        <v>25</v>
      </c>
      <c r="O87" s="60">
        <v>0</v>
      </c>
      <c r="P87" s="60">
        <v>0.01</v>
      </c>
      <c r="Q87" s="60">
        <v>35.090000000000003</v>
      </c>
      <c r="R87" s="198"/>
      <c r="S87" s="198"/>
      <c r="T87" s="198"/>
      <c r="U87" s="198"/>
    </row>
    <row r="88" spans="1:26" s="12" customFormat="1" x14ac:dyDescent="0.25">
      <c r="A88" s="213" t="s">
        <v>3030</v>
      </c>
      <c r="B88" s="60">
        <v>14.03</v>
      </c>
      <c r="C88" s="60">
        <v>100.5</v>
      </c>
      <c r="D88" s="60">
        <v>66.72</v>
      </c>
      <c r="E88" s="60">
        <v>1.71</v>
      </c>
      <c r="F88" s="60">
        <v>0.03</v>
      </c>
      <c r="G88" s="60">
        <v>119.01</v>
      </c>
      <c r="H88" s="60">
        <v>65.42</v>
      </c>
      <c r="I88" s="60">
        <v>0.28999999999999998</v>
      </c>
      <c r="J88" s="60">
        <v>0.83</v>
      </c>
      <c r="K88" s="60">
        <v>20.23</v>
      </c>
      <c r="L88" s="60">
        <v>20.91</v>
      </c>
      <c r="M88" s="60">
        <v>69</v>
      </c>
      <c r="N88" s="60">
        <v>24.9</v>
      </c>
      <c r="O88" s="60">
        <v>0</v>
      </c>
      <c r="P88" s="60">
        <v>0.03</v>
      </c>
      <c r="Q88" s="60">
        <v>35.29</v>
      </c>
      <c r="R88" s="198"/>
      <c r="S88" s="198"/>
      <c r="T88" s="198"/>
      <c r="U88" s="198"/>
    </row>
    <row r="89" spans="1:26" s="12" customFormat="1" x14ac:dyDescent="0.25">
      <c r="A89" s="213" t="s">
        <v>3031</v>
      </c>
      <c r="B89" s="60">
        <v>15.18</v>
      </c>
      <c r="C89" s="60">
        <v>102.78</v>
      </c>
      <c r="D89" s="60">
        <v>68.900000000000006</v>
      </c>
      <c r="E89" s="60">
        <v>2.71</v>
      </c>
      <c r="F89" s="210" t="s">
        <v>36</v>
      </c>
      <c r="G89" s="60">
        <v>119.01</v>
      </c>
      <c r="H89" s="60">
        <v>65.42</v>
      </c>
      <c r="I89" s="60">
        <v>0.31</v>
      </c>
      <c r="J89" s="60">
        <v>0.85</v>
      </c>
      <c r="K89" s="60">
        <v>21.49</v>
      </c>
      <c r="L89" s="60">
        <v>20.97</v>
      </c>
      <c r="M89" s="60">
        <v>68</v>
      </c>
      <c r="N89" s="60">
        <v>25</v>
      </c>
      <c r="O89" s="60">
        <v>0</v>
      </c>
      <c r="P89" s="60">
        <v>0.04</v>
      </c>
      <c r="Q89" s="60">
        <v>37.56</v>
      </c>
      <c r="R89" s="198"/>
      <c r="S89" s="198"/>
      <c r="T89" s="198"/>
      <c r="U89" s="198"/>
    </row>
    <row r="90" spans="1:26" s="12" customFormat="1" x14ac:dyDescent="0.25">
      <c r="A90" s="213" t="s">
        <v>3032</v>
      </c>
      <c r="B90" s="60">
        <v>15.62</v>
      </c>
      <c r="C90" s="60">
        <v>103.38</v>
      </c>
      <c r="D90" s="60">
        <v>69.58</v>
      </c>
      <c r="E90" s="60">
        <v>2.94</v>
      </c>
      <c r="F90" s="60">
        <v>0.04</v>
      </c>
      <c r="G90" s="60">
        <v>119.44</v>
      </c>
      <c r="H90" s="60">
        <v>65.55</v>
      </c>
      <c r="I90" s="60">
        <v>0.33</v>
      </c>
      <c r="J90" s="60">
        <v>0.45</v>
      </c>
      <c r="K90" s="60">
        <v>24.49</v>
      </c>
      <c r="L90" s="60">
        <v>20.81</v>
      </c>
      <c r="M90" s="60">
        <v>69</v>
      </c>
      <c r="N90" s="60">
        <v>25.2</v>
      </c>
      <c r="O90" s="60">
        <v>0</v>
      </c>
      <c r="P90" s="60">
        <v>0.05</v>
      </c>
      <c r="Q90" s="60">
        <v>37.76</v>
      </c>
      <c r="R90" s="198"/>
      <c r="S90" s="198"/>
      <c r="T90" s="198"/>
      <c r="U90" s="198"/>
    </row>
    <row r="91" spans="1:26" s="12" customFormat="1" x14ac:dyDescent="0.25">
      <c r="A91" s="213" t="s">
        <v>3033</v>
      </c>
      <c r="B91" s="60">
        <v>16.23</v>
      </c>
      <c r="C91" s="60">
        <v>104.3</v>
      </c>
      <c r="D91" s="60">
        <v>70.569999999999993</v>
      </c>
      <c r="E91" s="60">
        <v>2.85</v>
      </c>
      <c r="F91" s="60">
        <v>0.14000000000000001</v>
      </c>
      <c r="G91" s="60">
        <v>123.3</v>
      </c>
      <c r="H91" s="60">
        <v>66.680000000000007</v>
      </c>
      <c r="I91" s="60">
        <v>0.33</v>
      </c>
      <c r="J91" s="60">
        <v>0.59</v>
      </c>
      <c r="K91" s="60">
        <v>20.010000000000002</v>
      </c>
      <c r="L91" s="60">
        <v>20.78</v>
      </c>
      <c r="M91" s="60">
        <v>69</v>
      </c>
      <c r="N91" s="60">
        <v>25.1</v>
      </c>
      <c r="O91" s="60">
        <v>0</v>
      </c>
      <c r="P91" s="60">
        <v>0.06</v>
      </c>
      <c r="Q91" s="60">
        <v>38.03</v>
      </c>
      <c r="R91" s="198"/>
      <c r="S91" s="198"/>
      <c r="T91" s="198"/>
      <c r="U91" s="198"/>
    </row>
    <row r="92" spans="1:26" s="12" customFormat="1" x14ac:dyDescent="0.25">
      <c r="A92" s="213" t="s">
        <v>3034</v>
      </c>
      <c r="B92" s="60">
        <v>17.45</v>
      </c>
      <c r="C92" s="60">
        <v>104.53</v>
      </c>
      <c r="D92" s="60">
        <v>71.680000000000007</v>
      </c>
      <c r="E92" s="60">
        <v>2.56</v>
      </c>
      <c r="F92" s="60">
        <v>0.09</v>
      </c>
      <c r="G92" s="60">
        <v>123.3</v>
      </c>
      <c r="H92" s="60">
        <v>66.680000000000007</v>
      </c>
      <c r="I92" s="60">
        <v>0.34</v>
      </c>
      <c r="J92" s="60">
        <v>0.72</v>
      </c>
      <c r="K92" s="60">
        <v>19.86</v>
      </c>
      <c r="L92" s="60">
        <v>20.69</v>
      </c>
      <c r="M92" s="60">
        <v>69</v>
      </c>
      <c r="N92" s="60">
        <v>24.9</v>
      </c>
      <c r="O92" s="60">
        <v>0</v>
      </c>
      <c r="P92" s="60">
        <v>7.0000000000000007E-2</v>
      </c>
      <c r="Q92" s="60">
        <v>38.65</v>
      </c>
      <c r="R92" s="198"/>
      <c r="S92" s="198"/>
      <c r="T92" s="198"/>
      <c r="U92" s="198"/>
    </row>
    <row r="93" spans="1:26" s="12" customFormat="1" x14ac:dyDescent="0.25">
      <c r="A93" s="213" t="s">
        <v>3035</v>
      </c>
      <c r="B93" s="60">
        <v>18.23</v>
      </c>
      <c r="C93" s="60">
        <v>104.51</v>
      </c>
      <c r="D93" s="60">
        <v>72.3</v>
      </c>
      <c r="E93" s="60">
        <v>2.29</v>
      </c>
      <c r="F93" s="60">
        <v>0.01</v>
      </c>
      <c r="G93" s="60">
        <v>123.3</v>
      </c>
      <c r="H93" s="60">
        <v>66.680000000000007</v>
      </c>
      <c r="I93" s="60">
        <v>0.34</v>
      </c>
      <c r="J93" s="60">
        <v>0.61</v>
      </c>
      <c r="K93" s="60">
        <v>21</v>
      </c>
      <c r="L93" s="60">
        <v>20.66</v>
      </c>
      <c r="M93" s="60">
        <v>69</v>
      </c>
      <c r="N93" s="60">
        <v>25</v>
      </c>
      <c r="O93" s="60">
        <v>0</v>
      </c>
      <c r="P93" s="60">
        <v>0.09</v>
      </c>
      <c r="Q93" s="60">
        <v>38.869999999999997</v>
      </c>
      <c r="R93" s="198"/>
      <c r="S93" s="198"/>
      <c r="T93" s="198"/>
      <c r="U93" s="198"/>
    </row>
    <row r="94" spans="1:26" s="12" customFormat="1" x14ac:dyDescent="0.25">
      <c r="A94" s="213" t="s">
        <v>3036</v>
      </c>
      <c r="B94" s="60">
        <v>19.11</v>
      </c>
      <c r="C94" s="60">
        <v>103.68</v>
      </c>
      <c r="D94" s="60">
        <v>72.540000000000006</v>
      </c>
      <c r="E94" s="60">
        <v>3.06</v>
      </c>
      <c r="F94" s="60">
        <v>0.22</v>
      </c>
      <c r="G94" s="60">
        <v>123.42</v>
      </c>
      <c r="H94" s="60">
        <v>66.58</v>
      </c>
      <c r="I94" s="60">
        <v>0.35</v>
      </c>
      <c r="J94" s="60">
        <v>0.81</v>
      </c>
      <c r="K94" s="60">
        <v>18.329999999999998</v>
      </c>
      <c r="L94" s="60">
        <v>20.55</v>
      </c>
      <c r="M94" s="60">
        <v>69</v>
      </c>
      <c r="N94" s="60">
        <v>24.9</v>
      </c>
      <c r="O94" s="60">
        <v>0</v>
      </c>
      <c r="P94" s="60">
        <v>0.08</v>
      </c>
      <c r="Q94" s="60">
        <v>38.75</v>
      </c>
      <c r="R94" s="198"/>
      <c r="S94" s="198"/>
      <c r="T94" s="198"/>
      <c r="U94" s="198"/>
    </row>
    <row r="95" spans="1:26" s="12" customFormat="1" x14ac:dyDescent="0.25">
      <c r="A95" s="213" t="s">
        <v>3037</v>
      </c>
      <c r="B95" s="60">
        <v>18.68</v>
      </c>
      <c r="C95" s="60">
        <v>98.94</v>
      </c>
      <c r="D95" s="60">
        <v>69.59</v>
      </c>
      <c r="E95" s="60">
        <v>4.08</v>
      </c>
      <c r="F95" s="60">
        <v>1.08</v>
      </c>
      <c r="G95" s="60">
        <v>124.5</v>
      </c>
      <c r="H95" s="60">
        <v>65.739999999999995</v>
      </c>
      <c r="I95" s="60">
        <v>0.35</v>
      </c>
      <c r="J95" s="60">
        <v>0.86</v>
      </c>
      <c r="K95" s="60">
        <v>20.67</v>
      </c>
      <c r="L95" s="60">
        <v>20.45</v>
      </c>
      <c r="M95" s="60">
        <v>69</v>
      </c>
      <c r="N95" s="60">
        <v>25</v>
      </c>
      <c r="O95" s="60">
        <v>0</v>
      </c>
      <c r="P95" s="60">
        <v>0.08</v>
      </c>
      <c r="Q95" s="60">
        <v>39.840000000000003</v>
      </c>
      <c r="R95" s="198"/>
      <c r="S95" s="198"/>
      <c r="T95" s="198"/>
      <c r="U95" s="198"/>
    </row>
    <row r="96" spans="1:26" s="12" customFormat="1" x14ac:dyDescent="0.25">
      <c r="A96" s="213" t="s">
        <v>3038</v>
      </c>
      <c r="B96" s="60">
        <v>18.78</v>
      </c>
      <c r="C96" s="60">
        <v>98.54</v>
      </c>
      <c r="D96" s="60">
        <v>69.44</v>
      </c>
      <c r="E96" s="60">
        <v>3.77</v>
      </c>
      <c r="F96" s="60">
        <v>0.51</v>
      </c>
      <c r="G96" s="60">
        <v>124.5</v>
      </c>
      <c r="H96" s="60">
        <v>65.739999999999995</v>
      </c>
      <c r="I96" s="60">
        <v>0.35</v>
      </c>
      <c r="J96" s="60">
        <v>0.93</v>
      </c>
      <c r="K96" s="60">
        <v>23.9</v>
      </c>
      <c r="L96" s="60">
        <v>20.239999999999998</v>
      </c>
      <c r="M96" s="60">
        <v>70</v>
      </c>
      <c r="N96" s="60">
        <v>25</v>
      </c>
      <c r="O96" s="60">
        <v>0</v>
      </c>
      <c r="P96" s="60">
        <v>0.08</v>
      </c>
      <c r="Q96" s="60">
        <v>36.79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3039</v>
      </c>
      <c r="B97" s="60">
        <v>18.100000000000001</v>
      </c>
      <c r="C97" s="60">
        <v>96.52</v>
      </c>
      <c r="D97" s="60">
        <v>67.78</v>
      </c>
      <c r="E97" s="60">
        <v>3.06</v>
      </c>
      <c r="F97" s="60">
        <v>0.42</v>
      </c>
      <c r="G97" s="60">
        <v>124.5</v>
      </c>
      <c r="H97" s="60">
        <v>65.739999999999995</v>
      </c>
      <c r="I97" s="60">
        <v>0.34</v>
      </c>
      <c r="J97" s="60">
        <v>0.95</v>
      </c>
      <c r="K97" s="60">
        <v>20.91</v>
      </c>
      <c r="L97" s="60">
        <v>20.09</v>
      </c>
      <c r="M97" s="60">
        <v>70</v>
      </c>
      <c r="N97" s="60">
        <v>25</v>
      </c>
      <c r="O97" s="60">
        <v>0</v>
      </c>
      <c r="P97" s="60">
        <v>0.08</v>
      </c>
      <c r="Q97" s="60">
        <v>36.25</v>
      </c>
      <c r="R97" s="198"/>
      <c r="S97" s="198"/>
      <c r="T97" s="198"/>
      <c r="U97" s="198"/>
    </row>
    <row r="98" spans="1:33" s="12" customFormat="1" x14ac:dyDescent="0.25">
      <c r="A98" s="213" t="s">
        <v>3040</v>
      </c>
      <c r="B98" s="60">
        <v>17.5</v>
      </c>
      <c r="C98" s="60">
        <v>93.78</v>
      </c>
      <c r="D98" s="60">
        <v>65.790000000000006</v>
      </c>
      <c r="E98" s="60">
        <v>3.28</v>
      </c>
      <c r="F98" s="60">
        <v>0.21</v>
      </c>
      <c r="G98" s="60">
        <v>123.9</v>
      </c>
      <c r="H98" s="60">
        <v>65.75</v>
      </c>
      <c r="I98" s="60">
        <v>0.35</v>
      </c>
      <c r="J98" s="60">
        <v>0.68</v>
      </c>
      <c r="K98" s="60">
        <v>20.9</v>
      </c>
      <c r="L98" s="60">
        <v>19.88</v>
      </c>
      <c r="M98" s="60">
        <v>71</v>
      </c>
      <c r="N98" s="60">
        <v>25</v>
      </c>
      <c r="O98" s="60">
        <v>0</v>
      </c>
      <c r="P98" s="60">
        <v>7.0000000000000007E-2</v>
      </c>
      <c r="Q98" s="60">
        <v>37.770000000000003</v>
      </c>
      <c r="R98" s="198"/>
      <c r="S98" s="198"/>
      <c r="T98" s="198"/>
      <c r="U98" s="198"/>
    </row>
    <row r="99" spans="1:33" s="12" customFormat="1" x14ac:dyDescent="0.25">
      <c r="A99" s="213" t="s">
        <v>3041</v>
      </c>
      <c r="B99" s="60">
        <v>17.079999999999998</v>
      </c>
      <c r="C99" s="60">
        <v>92.41</v>
      </c>
      <c r="D99" s="60">
        <v>64.7</v>
      </c>
      <c r="E99" s="60">
        <v>3.18</v>
      </c>
      <c r="F99" s="60">
        <v>0.08</v>
      </c>
      <c r="G99" s="60">
        <v>118.47</v>
      </c>
      <c r="H99" s="60">
        <v>65.8</v>
      </c>
      <c r="I99" s="60">
        <v>0.34</v>
      </c>
      <c r="J99" s="60">
        <v>0.33</v>
      </c>
      <c r="K99" s="60">
        <v>68.290000000000006</v>
      </c>
      <c r="L99" s="60">
        <v>19.62</v>
      </c>
      <c r="M99" s="60">
        <v>72</v>
      </c>
      <c r="N99" s="60">
        <v>25</v>
      </c>
      <c r="O99" s="60">
        <v>0</v>
      </c>
      <c r="P99" s="60">
        <v>0.06</v>
      </c>
      <c r="Q99" s="60">
        <v>36.840000000000003</v>
      </c>
      <c r="R99" s="198"/>
      <c r="S99" s="198"/>
      <c r="T99" s="198"/>
      <c r="U99" s="198"/>
    </row>
    <row r="100" spans="1:33" s="12" customFormat="1" x14ac:dyDescent="0.25">
      <c r="A100" s="213" t="s">
        <v>3042</v>
      </c>
      <c r="B100" s="60">
        <v>16.96</v>
      </c>
      <c r="C100" s="60">
        <v>93.21</v>
      </c>
      <c r="D100" s="60">
        <v>65.040000000000006</v>
      </c>
      <c r="E100" s="60">
        <v>3.21</v>
      </c>
      <c r="F100" s="60">
        <v>0.04</v>
      </c>
      <c r="G100" s="60">
        <v>118.47</v>
      </c>
      <c r="H100" s="60">
        <v>65.8</v>
      </c>
      <c r="I100" s="60">
        <v>0.34</v>
      </c>
      <c r="J100" s="60">
        <v>0.28999999999999998</v>
      </c>
      <c r="K100" s="60">
        <v>77.97</v>
      </c>
      <c r="L100" s="60">
        <v>19.329999999999998</v>
      </c>
      <c r="M100" s="60">
        <v>73</v>
      </c>
      <c r="N100" s="60">
        <v>24.9</v>
      </c>
      <c r="O100" s="60">
        <v>0</v>
      </c>
      <c r="P100" s="60">
        <v>0.06</v>
      </c>
      <c r="Q100" s="60">
        <v>37.61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3043</v>
      </c>
      <c r="B101" s="60">
        <v>16.850000000000001</v>
      </c>
      <c r="C101" s="60">
        <v>91.57</v>
      </c>
      <c r="D101" s="60">
        <v>64.05</v>
      </c>
      <c r="E101" s="60">
        <v>2.77</v>
      </c>
      <c r="F101" s="210" t="s">
        <v>36</v>
      </c>
      <c r="G101" s="60">
        <v>118.47</v>
      </c>
      <c r="H101" s="60">
        <v>65.8</v>
      </c>
      <c r="I101" s="60">
        <v>0.34</v>
      </c>
      <c r="J101" s="60">
        <v>0.25</v>
      </c>
      <c r="K101" s="60">
        <v>57.44</v>
      </c>
      <c r="L101" s="60">
        <v>19.14</v>
      </c>
      <c r="M101" s="60">
        <v>74</v>
      </c>
      <c r="N101" s="60">
        <v>24.9</v>
      </c>
      <c r="O101" s="60">
        <v>0</v>
      </c>
      <c r="P101" s="60">
        <v>0.05</v>
      </c>
      <c r="Q101" s="60">
        <v>38.56</v>
      </c>
      <c r="R101" s="198"/>
      <c r="S101" s="198"/>
      <c r="T101" s="198"/>
      <c r="U101" s="198"/>
    </row>
    <row r="102" spans="1:33" s="12" customFormat="1" x14ac:dyDescent="0.25">
      <c r="A102" s="213" t="s">
        <v>3044</v>
      </c>
      <c r="B102" s="60">
        <v>17.04</v>
      </c>
      <c r="C102" s="60">
        <v>89.29</v>
      </c>
      <c r="D102" s="60">
        <v>62.94</v>
      </c>
      <c r="E102" s="60">
        <v>2.67</v>
      </c>
      <c r="F102" s="60">
        <v>0.04</v>
      </c>
      <c r="G102" s="60">
        <v>117.61</v>
      </c>
      <c r="H102" s="60">
        <v>65.64</v>
      </c>
      <c r="I102" s="60">
        <v>0.34</v>
      </c>
      <c r="J102" s="60">
        <v>0.25</v>
      </c>
      <c r="K102" s="60">
        <v>42.11</v>
      </c>
      <c r="L102" s="60">
        <v>19.010000000000002</v>
      </c>
      <c r="M102" s="60">
        <v>74</v>
      </c>
      <c r="N102" s="60">
        <v>24.8</v>
      </c>
      <c r="O102" s="60">
        <v>0</v>
      </c>
      <c r="P102" s="60">
        <v>0.05</v>
      </c>
      <c r="Q102" s="60">
        <v>41.87</v>
      </c>
      <c r="R102" s="198"/>
      <c r="S102" s="198"/>
      <c r="T102" s="198"/>
      <c r="U102" s="198"/>
    </row>
    <row r="103" spans="1:33" s="12" customFormat="1" x14ac:dyDescent="0.25">
      <c r="A103" s="213" t="s">
        <v>3045</v>
      </c>
      <c r="B103" s="60">
        <v>16.43</v>
      </c>
      <c r="C103" s="60">
        <v>82.59</v>
      </c>
      <c r="D103" s="60">
        <v>58.75</v>
      </c>
      <c r="E103" s="60">
        <v>3.07</v>
      </c>
      <c r="F103" s="210" t="s">
        <v>36</v>
      </c>
      <c r="G103" s="60">
        <v>109.84</v>
      </c>
      <c r="H103" s="60">
        <v>64.17</v>
      </c>
      <c r="I103" s="60">
        <v>0.34</v>
      </c>
      <c r="J103" s="60">
        <v>0.35</v>
      </c>
      <c r="K103" s="60">
        <v>19.98</v>
      </c>
      <c r="L103" s="60">
        <v>18.84</v>
      </c>
      <c r="M103" s="60">
        <v>76</v>
      </c>
      <c r="N103" s="60">
        <v>24.9</v>
      </c>
      <c r="O103" s="60">
        <v>0</v>
      </c>
      <c r="P103" s="60">
        <v>0.05</v>
      </c>
      <c r="Q103" s="60">
        <v>40.159999999999997</v>
      </c>
      <c r="R103" s="198"/>
      <c r="S103" s="198"/>
      <c r="T103" s="198"/>
      <c r="U103" s="198"/>
    </row>
    <row r="104" spans="1:33" s="12" customFormat="1" x14ac:dyDescent="0.25">
      <c r="A104" s="213" t="s">
        <v>3046</v>
      </c>
      <c r="B104" s="60">
        <v>15.78</v>
      </c>
      <c r="C104" s="60">
        <v>84.74</v>
      </c>
      <c r="D104" s="60">
        <v>59.42</v>
      </c>
      <c r="E104" s="60">
        <v>2.23</v>
      </c>
      <c r="F104" s="60">
        <v>0.01</v>
      </c>
      <c r="G104" s="60">
        <v>109.84</v>
      </c>
      <c r="H104" s="60">
        <v>64.17</v>
      </c>
      <c r="I104" s="60">
        <v>0.34</v>
      </c>
      <c r="J104" s="60">
        <v>0.28000000000000003</v>
      </c>
      <c r="K104" s="60">
        <v>28.37</v>
      </c>
      <c r="L104" s="60">
        <v>18.760000000000002</v>
      </c>
      <c r="M104" s="60">
        <v>76</v>
      </c>
      <c r="N104" s="60">
        <v>24.7</v>
      </c>
      <c r="O104" s="60">
        <v>0</v>
      </c>
      <c r="P104" s="60">
        <v>0.04</v>
      </c>
      <c r="Q104" s="60">
        <v>41.5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2.29</v>
      </c>
      <c r="C106" s="67">
        <f>MIN(C9:C104)</f>
        <v>66.31</v>
      </c>
      <c r="D106" s="67">
        <f t="shared" ref="D106:Q106" si="0">MIN(D9:D104)</f>
        <v>40.409999999999997</v>
      </c>
      <c r="E106" s="67">
        <f t="shared" si="0"/>
        <v>0.68</v>
      </c>
      <c r="F106" s="67">
        <f t="shared" si="0"/>
        <v>0.01</v>
      </c>
      <c r="G106" s="67">
        <f t="shared" si="0"/>
        <v>10.64</v>
      </c>
      <c r="H106" s="67">
        <f t="shared" si="0"/>
        <v>4.58</v>
      </c>
      <c r="I106" s="67">
        <f t="shared" si="0"/>
        <v>0.13</v>
      </c>
      <c r="J106" s="67">
        <f t="shared" si="0"/>
        <v>0.18</v>
      </c>
      <c r="K106" s="67">
        <f t="shared" si="0"/>
        <v>1.07</v>
      </c>
      <c r="L106" s="67">
        <f t="shared" si="0"/>
        <v>15.67</v>
      </c>
      <c r="M106" s="67">
        <f t="shared" si="0"/>
        <v>54</v>
      </c>
      <c r="N106" s="67">
        <f t="shared" si="0"/>
        <v>24.7</v>
      </c>
      <c r="O106" s="67">
        <f t="shared" si="0"/>
        <v>0</v>
      </c>
      <c r="P106" s="67">
        <f t="shared" si="0"/>
        <v>0.01</v>
      </c>
      <c r="Q106" s="67">
        <f t="shared" si="0"/>
        <v>27.37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30.11</v>
      </c>
      <c r="C107" s="66">
        <f t="shared" ref="C107:Q107" si="1">MAX(C9:C104)</f>
        <v>104.53</v>
      </c>
      <c r="D107" s="66">
        <f t="shared" si="1"/>
        <v>73.62</v>
      </c>
      <c r="E107" s="66">
        <f t="shared" si="1"/>
        <v>152.96</v>
      </c>
      <c r="F107" s="66">
        <f t="shared" si="1"/>
        <v>414.6</v>
      </c>
      <c r="G107" s="66">
        <f t="shared" si="1"/>
        <v>124.5</v>
      </c>
      <c r="H107" s="66">
        <f t="shared" si="1"/>
        <v>66.680000000000007</v>
      </c>
      <c r="I107" s="66">
        <f t="shared" si="1"/>
        <v>0.35</v>
      </c>
      <c r="J107" s="66">
        <f t="shared" si="1"/>
        <v>1.44</v>
      </c>
      <c r="K107" s="66">
        <f t="shared" si="1"/>
        <v>351.58</v>
      </c>
      <c r="L107" s="66">
        <f t="shared" si="1"/>
        <v>26.16</v>
      </c>
      <c r="M107" s="66">
        <f t="shared" si="1"/>
        <v>87</v>
      </c>
      <c r="N107" s="66">
        <f t="shared" si="1"/>
        <v>515.5</v>
      </c>
      <c r="O107" s="66">
        <f t="shared" si="1"/>
        <v>0</v>
      </c>
      <c r="P107" s="66">
        <f t="shared" si="1"/>
        <v>5.3</v>
      </c>
      <c r="Q107" s="66">
        <f t="shared" si="1"/>
        <v>41.87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13.461145833333328</v>
      </c>
      <c r="C108" s="67">
        <f t="shared" ref="C108:Q108" si="2">AVERAGE(C9:C104)</f>
        <v>83.678229166666696</v>
      </c>
      <c r="D108" s="67">
        <f t="shared" si="2"/>
        <v>56.974999999999994</v>
      </c>
      <c r="E108" s="67">
        <f t="shared" si="2"/>
        <v>8.0091666666666654</v>
      </c>
      <c r="F108" s="67">
        <f t="shared" si="2"/>
        <v>16.345591397849464</v>
      </c>
      <c r="G108" s="67">
        <f t="shared" si="2"/>
        <v>93.864086021505358</v>
      </c>
      <c r="H108" s="67">
        <f t="shared" si="2"/>
        <v>57.080215053763467</v>
      </c>
      <c r="I108" s="67">
        <f t="shared" si="2"/>
        <v>0.22864583333333352</v>
      </c>
      <c r="J108" s="67">
        <f t="shared" si="2"/>
        <v>0.74489583333333342</v>
      </c>
      <c r="K108" s="67">
        <f t="shared" si="2"/>
        <v>47.498958333333299</v>
      </c>
      <c r="L108" s="67">
        <f t="shared" si="2"/>
        <v>19.991979166666663</v>
      </c>
      <c r="M108" s="67">
        <f t="shared" si="2"/>
        <v>72.791666666666671</v>
      </c>
      <c r="N108" s="67">
        <f t="shared" si="2"/>
        <v>137.48541666666674</v>
      </c>
      <c r="O108" s="67">
        <f t="shared" si="2"/>
        <v>0</v>
      </c>
      <c r="P108" s="67">
        <f t="shared" si="2"/>
        <v>0.93648936170212826</v>
      </c>
      <c r="Q108" s="67">
        <f t="shared" si="2"/>
        <v>33.718854166666674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6.3631005136592007</v>
      </c>
      <c r="C109" s="67">
        <f t="shared" ref="C109:Q109" si="3">STDEV(C9:C104)</f>
        <v>11.248012970231771</v>
      </c>
      <c r="D109" s="67">
        <f t="shared" si="3"/>
        <v>8.2746345443232396</v>
      </c>
      <c r="E109" s="67">
        <f t="shared" si="3"/>
        <v>21.85782676473562</v>
      </c>
      <c r="F109" s="67">
        <f t="shared" si="3"/>
        <v>71.330951411473634</v>
      </c>
      <c r="G109" s="67">
        <f t="shared" si="3"/>
        <v>18.693672100505353</v>
      </c>
      <c r="H109" s="67">
        <f t="shared" si="3"/>
        <v>7.7092017263523918</v>
      </c>
      <c r="I109" s="67">
        <f t="shared" si="3"/>
        <v>7.1061423270244548E-2</v>
      </c>
      <c r="J109" s="67">
        <f t="shared" si="3"/>
        <v>0.29902647230696938</v>
      </c>
      <c r="K109" s="67">
        <f t="shared" si="3"/>
        <v>61.889215546884877</v>
      </c>
      <c r="L109" s="67">
        <f t="shared" si="3"/>
        <v>3.1064081881073324</v>
      </c>
      <c r="M109" s="67">
        <f t="shared" si="3"/>
        <v>9.9587746727424218</v>
      </c>
      <c r="N109" s="67">
        <f t="shared" si="3"/>
        <v>167.30658147885367</v>
      </c>
      <c r="O109" s="67">
        <f t="shared" si="3"/>
        <v>0</v>
      </c>
      <c r="P109" s="67">
        <f t="shared" si="3"/>
        <v>0.94227784803441261</v>
      </c>
      <c r="Q109" s="67">
        <f t="shared" si="3"/>
        <v>3.1504702639085376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</f>
        <v>96</v>
      </c>
      <c r="G110" s="66">
        <f t="shared" ref="G110:H110" si="5">COUNT(G9:G104)+3</f>
        <v>96</v>
      </c>
      <c r="H110" s="66">
        <f t="shared" si="5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COUNT(P9:P104)+2</f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3047</v>
      </c>
      <c r="B9" s="64">
        <v>5.17</v>
      </c>
      <c r="C9" s="64">
        <v>27.41</v>
      </c>
      <c r="D9" s="64">
        <v>18.38</v>
      </c>
      <c r="E9" s="64">
        <v>1.38</v>
      </c>
      <c r="F9" s="64">
        <v>3.88</v>
      </c>
      <c r="G9" s="64">
        <v>20.96</v>
      </c>
      <c r="H9" s="64">
        <v>6.67</v>
      </c>
      <c r="I9" s="64">
        <v>3.17</v>
      </c>
      <c r="J9" s="64">
        <v>0.96</v>
      </c>
      <c r="K9" s="64">
        <v>332.79</v>
      </c>
      <c r="L9" s="64">
        <v>20.8</v>
      </c>
      <c r="M9" s="64">
        <v>85.77</v>
      </c>
      <c r="N9" s="64">
        <v>15.8</v>
      </c>
      <c r="O9" s="64">
        <v>0</v>
      </c>
      <c r="P9" s="64">
        <v>0.28000000000000003</v>
      </c>
      <c r="Q9" s="64">
        <v>9.89</v>
      </c>
      <c r="R9" s="198"/>
      <c r="S9" s="198"/>
      <c r="T9" s="198"/>
      <c r="U9" s="198"/>
    </row>
    <row r="10" spans="1:21" s="12" customFormat="1" x14ac:dyDescent="0.25">
      <c r="A10" s="213" t="s">
        <v>3048</v>
      </c>
      <c r="B10" s="64">
        <v>5.43</v>
      </c>
      <c r="C10" s="64">
        <v>26.7</v>
      </c>
      <c r="D10" s="64">
        <v>18.23</v>
      </c>
      <c r="E10" s="64">
        <v>1.41</v>
      </c>
      <c r="F10" s="64">
        <v>3.02</v>
      </c>
      <c r="G10" s="64">
        <v>20.96</v>
      </c>
      <c r="H10" s="64">
        <v>6.67</v>
      </c>
      <c r="I10" s="64">
        <v>3.38</v>
      </c>
      <c r="J10" s="64">
        <v>0.63</v>
      </c>
      <c r="K10" s="64">
        <v>341.69</v>
      </c>
      <c r="L10" s="64">
        <v>20.65</v>
      </c>
      <c r="M10" s="64">
        <v>85.38</v>
      </c>
      <c r="N10" s="64">
        <v>15.7</v>
      </c>
      <c r="O10" s="64">
        <v>0</v>
      </c>
      <c r="P10" s="64">
        <v>0.28000000000000003</v>
      </c>
      <c r="Q10" s="64">
        <v>9.8699999999999992</v>
      </c>
      <c r="R10" s="198"/>
      <c r="S10" s="198"/>
      <c r="T10" s="198"/>
      <c r="U10" s="198"/>
    </row>
    <row r="11" spans="1:21" s="12" customFormat="1" x14ac:dyDescent="0.25">
      <c r="A11" s="213" t="s">
        <v>3049</v>
      </c>
      <c r="B11" s="64">
        <v>5.88</v>
      </c>
      <c r="C11" s="64">
        <v>25.82</v>
      </c>
      <c r="D11" s="64">
        <v>18.13</v>
      </c>
      <c r="E11" s="64">
        <v>1.0900000000000001</v>
      </c>
      <c r="F11" s="64">
        <v>3.37</v>
      </c>
      <c r="G11" s="64">
        <v>20.96</v>
      </c>
      <c r="H11" s="64">
        <v>6.67</v>
      </c>
      <c r="I11" s="64">
        <v>3.56</v>
      </c>
      <c r="J11" s="64">
        <v>0.73</v>
      </c>
      <c r="K11" s="64">
        <v>325.99</v>
      </c>
      <c r="L11" s="64">
        <v>20.53</v>
      </c>
      <c r="M11" s="64">
        <v>87.38</v>
      </c>
      <c r="N11" s="64">
        <v>15.4</v>
      </c>
      <c r="O11" s="64">
        <v>0</v>
      </c>
      <c r="P11" s="64">
        <v>0.28000000000000003</v>
      </c>
      <c r="Q11" s="64">
        <v>9.85</v>
      </c>
      <c r="R11" s="198"/>
      <c r="S11" s="198"/>
      <c r="T11" s="198"/>
      <c r="U11" s="198"/>
    </row>
    <row r="12" spans="1:21" s="12" customFormat="1" x14ac:dyDescent="0.25">
      <c r="A12" s="213" t="s">
        <v>3050</v>
      </c>
      <c r="B12" s="64">
        <v>6.23</v>
      </c>
      <c r="C12" s="64">
        <v>26.53</v>
      </c>
      <c r="D12" s="64">
        <v>18.78</v>
      </c>
      <c r="E12" s="64">
        <v>0.94</v>
      </c>
      <c r="F12" s="64">
        <v>3.59</v>
      </c>
      <c r="G12" s="64">
        <v>22.22</v>
      </c>
      <c r="H12" s="64">
        <v>6.86</v>
      </c>
      <c r="I12" s="64">
        <v>3.32</v>
      </c>
      <c r="J12" s="64">
        <v>0.48</v>
      </c>
      <c r="K12" s="64">
        <v>327.81</v>
      </c>
      <c r="L12" s="64">
        <v>20.5</v>
      </c>
      <c r="M12" s="64">
        <v>89.08</v>
      </c>
      <c r="N12" s="64">
        <v>15.7</v>
      </c>
      <c r="O12" s="64">
        <v>0</v>
      </c>
      <c r="P12" s="64">
        <v>0.28999999999999998</v>
      </c>
      <c r="Q12" s="64">
        <v>9.8800000000000008</v>
      </c>
      <c r="R12" s="198"/>
      <c r="S12" s="198"/>
      <c r="T12" s="198"/>
      <c r="U12" s="198"/>
    </row>
    <row r="13" spans="1:21" s="12" customFormat="1" x14ac:dyDescent="0.25">
      <c r="A13" s="213" t="s">
        <v>3051</v>
      </c>
      <c r="B13" s="64">
        <v>6.04</v>
      </c>
      <c r="C13" s="64">
        <v>26.29</v>
      </c>
      <c r="D13" s="64">
        <v>18.5</v>
      </c>
      <c r="E13" s="64">
        <v>1.2</v>
      </c>
      <c r="F13" s="64">
        <v>3.91</v>
      </c>
      <c r="G13" s="64">
        <v>23.06</v>
      </c>
      <c r="H13" s="64">
        <v>6.98</v>
      </c>
      <c r="I13" s="64">
        <v>3.41</v>
      </c>
      <c r="J13" s="64">
        <v>0.35</v>
      </c>
      <c r="K13" s="64">
        <v>343.28</v>
      </c>
      <c r="L13" s="64">
        <v>20.27</v>
      </c>
      <c r="M13" s="64">
        <v>90.87</v>
      </c>
      <c r="N13" s="64">
        <v>15.7</v>
      </c>
      <c r="O13" s="64">
        <v>0</v>
      </c>
      <c r="P13" s="64">
        <v>0.27</v>
      </c>
      <c r="Q13" s="64">
        <v>9.9</v>
      </c>
      <c r="R13" s="198"/>
      <c r="S13" s="198"/>
      <c r="T13" s="198"/>
      <c r="U13" s="198"/>
    </row>
    <row r="14" spans="1:21" s="12" customFormat="1" x14ac:dyDescent="0.25">
      <c r="A14" s="213" t="s">
        <v>3052</v>
      </c>
      <c r="B14" s="64">
        <v>5.4</v>
      </c>
      <c r="C14" s="64">
        <v>24.49</v>
      </c>
      <c r="D14" s="64">
        <v>17.04</v>
      </c>
      <c r="E14" s="64">
        <v>1.18</v>
      </c>
      <c r="F14" s="64">
        <v>3.92</v>
      </c>
      <c r="G14" s="64">
        <v>23.06</v>
      </c>
      <c r="H14" s="64">
        <v>6.98</v>
      </c>
      <c r="I14" s="64">
        <v>3.42</v>
      </c>
      <c r="J14" s="64">
        <v>0.2</v>
      </c>
      <c r="K14" s="64">
        <v>33.76</v>
      </c>
      <c r="L14" s="64">
        <v>20.18</v>
      </c>
      <c r="M14" s="64">
        <v>91.88</v>
      </c>
      <c r="N14" s="64">
        <v>15.7</v>
      </c>
      <c r="O14" s="64">
        <v>0</v>
      </c>
      <c r="P14" s="64">
        <v>0.28000000000000003</v>
      </c>
      <c r="Q14" s="64">
        <v>9.83</v>
      </c>
      <c r="R14" s="198"/>
      <c r="S14" s="198"/>
      <c r="T14" s="198"/>
      <c r="U14" s="198"/>
    </row>
    <row r="15" spans="1:21" s="12" customFormat="1" x14ac:dyDescent="0.25">
      <c r="A15" s="213" t="s">
        <v>3053</v>
      </c>
      <c r="B15" s="64">
        <v>4.12</v>
      </c>
      <c r="C15" s="64">
        <v>24.08</v>
      </c>
      <c r="D15" s="64">
        <v>15.81</v>
      </c>
      <c r="E15" s="64">
        <v>1.04</v>
      </c>
      <c r="F15" s="64">
        <v>4.47</v>
      </c>
      <c r="G15" s="64">
        <v>23.06</v>
      </c>
      <c r="H15" s="64">
        <v>6.98</v>
      </c>
      <c r="I15" s="64">
        <v>3.19</v>
      </c>
      <c r="J15" s="64">
        <v>0.14000000000000001</v>
      </c>
      <c r="K15" s="64">
        <v>32.270000000000003</v>
      </c>
      <c r="L15" s="64">
        <v>19.940000000000001</v>
      </c>
      <c r="M15" s="64">
        <v>94.26</v>
      </c>
      <c r="N15" s="64">
        <v>15.7</v>
      </c>
      <c r="O15" s="64">
        <v>0</v>
      </c>
      <c r="P15" s="64">
        <v>0.28000000000000003</v>
      </c>
      <c r="Q15" s="64">
        <v>9.83</v>
      </c>
      <c r="R15" s="198"/>
      <c r="S15" s="198"/>
      <c r="T15" s="198"/>
      <c r="U15" s="198"/>
    </row>
    <row r="16" spans="1:21" s="12" customFormat="1" x14ac:dyDescent="0.25">
      <c r="A16" s="213" t="s">
        <v>3054</v>
      </c>
      <c r="B16" s="64">
        <v>3.32</v>
      </c>
      <c r="C16" s="64">
        <v>24.09</v>
      </c>
      <c r="D16" s="64">
        <v>15.17</v>
      </c>
      <c r="E16" s="64">
        <v>1.18</v>
      </c>
      <c r="F16" s="64">
        <v>4.2</v>
      </c>
      <c r="G16" s="64">
        <v>28.33</v>
      </c>
      <c r="H16" s="64">
        <v>7.78</v>
      </c>
      <c r="I16" s="64">
        <v>2.96</v>
      </c>
      <c r="J16" s="64">
        <v>0.15</v>
      </c>
      <c r="K16" s="64">
        <v>38.15</v>
      </c>
      <c r="L16" s="64">
        <v>19.940000000000001</v>
      </c>
      <c r="M16" s="64">
        <v>94.15</v>
      </c>
      <c r="N16" s="64">
        <v>15.5</v>
      </c>
      <c r="O16" s="64">
        <v>0</v>
      </c>
      <c r="P16" s="64">
        <v>0.28999999999999998</v>
      </c>
      <c r="Q16" s="64">
        <v>9.81</v>
      </c>
      <c r="R16" s="198"/>
      <c r="S16" s="198"/>
      <c r="T16" s="198"/>
      <c r="U16" s="198"/>
    </row>
    <row r="17" spans="1:21" s="12" customFormat="1" x14ac:dyDescent="0.25">
      <c r="A17" s="213" t="s">
        <v>3055</v>
      </c>
      <c r="B17" s="64">
        <v>3.09</v>
      </c>
      <c r="C17" s="64">
        <v>23.75</v>
      </c>
      <c r="D17" s="64">
        <v>14.81</v>
      </c>
      <c r="E17" s="64">
        <v>0.93</v>
      </c>
      <c r="F17" s="64">
        <v>4.5199999999999996</v>
      </c>
      <c r="G17" s="64">
        <v>32.01</v>
      </c>
      <c r="H17" s="64">
        <v>8.34</v>
      </c>
      <c r="I17" s="64">
        <v>2.8</v>
      </c>
      <c r="J17" s="64">
        <v>7.0000000000000007E-2</v>
      </c>
      <c r="K17" s="64">
        <v>190.91</v>
      </c>
      <c r="L17" s="64">
        <v>19.91</v>
      </c>
      <c r="M17" s="64">
        <v>93.6</v>
      </c>
      <c r="N17" s="64">
        <v>15.5</v>
      </c>
      <c r="O17" s="64">
        <v>0</v>
      </c>
      <c r="P17" s="64">
        <v>0.31</v>
      </c>
      <c r="Q17" s="64">
        <v>9.76</v>
      </c>
      <c r="R17" s="198"/>
      <c r="S17" s="198"/>
      <c r="T17" s="198"/>
      <c r="U17" s="198"/>
    </row>
    <row r="18" spans="1:21" s="12" customFormat="1" x14ac:dyDescent="0.25">
      <c r="A18" s="213" t="s">
        <v>3056</v>
      </c>
      <c r="B18" s="64">
        <v>3.11</v>
      </c>
      <c r="C18" s="64">
        <v>22.85</v>
      </c>
      <c r="D18" s="64">
        <v>14.35</v>
      </c>
      <c r="E18" s="64">
        <v>1.08</v>
      </c>
      <c r="F18" s="64">
        <v>3.92</v>
      </c>
      <c r="G18" s="64">
        <v>32.01</v>
      </c>
      <c r="H18" s="64">
        <v>8.34</v>
      </c>
      <c r="I18" s="64">
        <v>3.05</v>
      </c>
      <c r="J18" s="64">
        <v>0.44</v>
      </c>
      <c r="K18" s="64">
        <v>180.77</v>
      </c>
      <c r="L18" s="64">
        <v>19.84</v>
      </c>
      <c r="M18" s="64">
        <v>94.13</v>
      </c>
      <c r="N18" s="64">
        <v>15.5</v>
      </c>
      <c r="O18" s="64">
        <v>0</v>
      </c>
      <c r="P18" s="64">
        <v>0.31</v>
      </c>
      <c r="Q18" s="64">
        <v>9.74</v>
      </c>
      <c r="R18" s="198"/>
      <c r="S18" s="198"/>
      <c r="T18" s="198"/>
      <c r="U18" s="198"/>
    </row>
    <row r="19" spans="1:21" s="12" customFormat="1" x14ac:dyDescent="0.25">
      <c r="A19" s="213" t="s">
        <v>3057</v>
      </c>
      <c r="B19" s="64">
        <v>3.3</v>
      </c>
      <c r="C19" s="64">
        <v>21.7</v>
      </c>
      <c r="D19" s="64">
        <v>13.9</v>
      </c>
      <c r="E19" s="64">
        <v>0.71</v>
      </c>
      <c r="F19" s="64">
        <v>4.04</v>
      </c>
      <c r="G19" s="64">
        <v>32.01</v>
      </c>
      <c r="H19" s="64">
        <v>8.34</v>
      </c>
      <c r="I19" s="64">
        <v>3.05</v>
      </c>
      <c r="J19" s="64">
        <v>0.69</v>
      </c>
      <c r="K19" s="64">
        <v>175.2</v>
      </c>
      <c r="L19" s="64">
        <v>19.7</v>
      </c>
      <c r="M19" s="64">
        <v>95.14</v>
      </c>
      <c r="N19" s="64">
        <v>15.7</v>
      </c>
      <c r="O19" s="64">
        <v>0</v>
      </c>
      <c r="P19" s="64">
        <v>0.31</v>
      </c>
      <c r="Q19" s="64">
        <v>9.73</v>
      </c>
      <c r="R19" s="198"/>
      <c r="S19" s="198"/>
      <c r="T19" s="198"/>
      <c r="U19" s="198"/>
    </row>
    <row r="20" spans="1:21" s="12" customFormat="1" x14ac:dyDescent="0.25">
      <c r="A20" s="213" t="s">
        <v>3058</v>
      </c>
      <c r="B20" s="64">
        <v>3.51</v>
      </c>
      <c r="C20" s="64">
        <v>21.52</v>
      </c>
      <c r="D20" s="64">
        <v>13.98</v>
      </c>
      <c r="E20" s="64">
        <v>0.94</v>
      </c>
      <c r="F20" s="64">
        <v>3.01</v>
      </c>
      <c r="G20" s="64">
        <v>30.51</v>
      </c>
      <c r="H20" s="64">
        <v>7.81</v>
      </c>
      <c r="I20" s="64">
        <v>2.98</v>
      </c>
      <c r="J20" s="64">
        <v>0.46</v>
      </c>
      <c r="K20" s="64">
        <v>205.77</v>
      </c>
      <c r="L20" s="64">
        <v>19.52</v>
      </c>
      <c r="M20" s="64">
        <v>96.77</v>
      </c>
      <c r="N20" s="64">
        <v>15.7</v>
      </c>
      <c r="O20" s="64">
        <v>0</v>
      </c>
      <c r="P20" s="64">
        <v>0.31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3" t="s">
        <v>3059</v>
      </c>
      <c r="B21" s="64">
        <v>3.58</v>
      </c>
      <c r="C21" s="64">
        <v>21.21</v>
      </c>
      <c r="D21" s="64">
        <v>13.87</v>
      </c>
      <c r="E21" s="64">
        <v>1.28</v>
      </c>
      <c r="F21" s="64">
        <v>3.74</v>
      </c>
      <c r="G21" s="64">
        <v>29.46</v>
      </c>
      <c r="H21" s="64">
        <v>7.44</v>
      </c>
      <c r="I21" s="64">
        <v>2.89</v>
      </c>
      <c r="J21" s="64">
        <v>0.44</v>
      </c>
      <c r="K21" s="64">
        <v>196.45</v>
      </c>
      <c r="L21" s="64">
        <v>19.46</v>
      </c>
      <c r="M21" s="64">
        <v>96.75</v>
      </c>
      <c r="N21" s="64">
        <v>15.5</v>
      </c>
      <c r="O21" s="64">
        <v>0</v>
      </c>
      <c r="P21" s="64">
        <v>0.3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3" t="s">
        <v>3060</v>
      </c>
      <c r="B22" s="64">
        <v>3.67</v>
      </c>
      <c r="C22" s="64">
        <v>21.33</v>
      </c>
      <c r="D22" s="64">
        <v>14</v>
      </c>
      <c r="E22" s="64">
        <v>1.26</v>
      </c>
      <c r="F22" s="64">
        <v>3.07</v>
      </c>
      <c r="G22" s="64">
        <v>29.46</v>
      </c>
      <c r="H22" s="64">
        <v>7.44</v>
      </c>
      <c r="I22" s="64">
        <v>2.79</v>
      </c>
      <c r="J22" s="64">
        <v>0.48</v>
      </c>
      <c r="K22" s="64">
        <v>180.45</v>
      </c>
      <c r="L22" s="64">
        <v>19.420000000000002</v>
      </c>
      <c r="M22" s="64">
        <v>95.75</v>
      </c>
      <c r="N22" s="64">
        <v>15.7</v>
      </c>
      <c r="O22" s="64">
        <v>0</v>
      </c>
      <c r="P22" s="64">
        <v>0.3</v>
      </c>
      <c r="Q22" s="64">
        <v>9.7100000000000009</v>
      </c>
      <c r="R22" s="198"/>
      <c r="S22" s="198"/>
      <c r="T22" s="198"/>
      <c r="U22" s="198"/>
    </row>
    <row r="23" spans="1:21" s="12" customFormat="1" x14ac:dyDescent="0.25">
      <c r="A23" s="213" t="s">
        <v>3061</v>
      </c>
      <c r="B23" s="64">
        <v>3.79</v>
      </c>
      <c r="C23" s="64">
        <v>20.96</v>
      </c>
      <c r="D23" s="64">
        <v>13.91</v>
      </c>
      <c r="E23" s="64">
        <v>0.82</v>
      </c>
      <c r="F23" s="64">
        <v>3.76</v>
      </c>
      <c r="G23" s="64">
        <v>29.46</v>
      </c>
      <c r="H23" s="64">
        <v>7.44</v>
      </c>
      <c r="I23" s="64">
        <v>2.76</v>
      </c>
      <c r="J23" s="64">
        <v>0.15</v>
      </c>
      <c r="K23" s="64">
        <v>222.3</v>
      </c>
      <c r="L23" s="64">
        <v>19.510000000000002</v>
      </c>
      <c r="M23" s="64">
        <v>95.72</v>
      </c>
      <c r="N23" s="64">
        <v>15.6</v>
      </c>
      <c r="O23" s="64">
        <v>0</v>
      </c>
      <c r="P23" s="64">
        <v>0.28999999999999998</v>
      </c>
      <c r="Q23" s="64">
        <v>9.6999999999999993</v>
      </c>
      <c r="R23" s="198"/>
      <c r="S23" s="198"/>
      <c r="T23" s="198"/>
      <c r="U23" s="198"/>
    </row>
    <row r="24" spans="1:21" s="12" customFormat="1" x14ac:dyDescent="0.25">
      <c r="A24" s="213" t="s">
        <v>3062</v>
      </c>
      <c r="B24" s="64">
        <v>3.83</v>
      </c>
      <c r="C24" s="64">
        <v>20.56</v>
      </c>
      <c r="D24" s="64">
        <v>13.74</v>
      </c>
      <c r="E24" s="64">
        <v>0.74</v>
      </c>
      <c r="F24" s="64">
        <v>4.2699999999999996</v>
      </c>
      <c r="G24" s="64">
        <v>23.49</v>
      </c>
      <c r="H24" s="64">
        <v>6.55</v>
      </c>
      <c r="I24" s="64">
        <v>2.83</v>
      </c>
      <c r="J24" s="64">
        <v>0.05</v>
      </c>
      <c r="K24" s="64">
        <v>14.75</v>
      </c>
      <c r="L24" s="64">
        <v>19.53</v>
      </c>
      <c r="M24" s="64">
        <v>96.16</v>
      </c>
      <c r="N24" s="64">
        <v>15.6</v>
      </c>
      <c r="O24" s="64">
        <v>0</v>
      </c>
      <c r="P24" s="64">
        <v>0.28999999999999998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3" t="s">
        <v>3063</v>
      </c>
      <c r="B25" s="64">
        <v>3.93</v>
      </c>
      <c r="C25" s="64">
        <v>22.1</v>
      </c>
      <c r="D25" s="64">
        <v>14.62</v>
      </c>
      <c r="E25" s="64">
        <v>0.85</v>
      </c>
      <c r="F25" s="64">
        <v>3.57</v>
      </c>
      <c r="G25" s="64">
        <v>19.32</v>
      </c>
      <c r="H25" s="64">
        <v>5.93</v>
      </c>
      <c r="I25" s="64">
        <v>2.79</v>
      </c>
      <c r="J25" s="64">
        <v>0.01</v>
      </c>
      <c r="K25" s="64">
        <v>94.29</v>
      </c>
      <c r="L25" s="64">
        <v>19.71</v>
      </c>
      <c r="M25" s="64">
        <v>94.17</v>
      </c>
      <c r="N25" s="64">
        <v>15.5</v>
      </c>
      <c r="O25" s="64">
        <v>0</v>
      </c>
      <c r="P25" s="64">
        <v>0.28999999999999998</v>
      </c>
      <c r="Q25" s="64">
        <v>9.76</v>
      </c>
      <c r="R25" s="198"/>
      <c r="S25" s="198"/>
      <c r="T25" s="198"/>
      <c r="U25" s="198"/>
    </row>
    <row r="26" spans="1:21" s="12" customFormat="1" x14ac:dyDescent="0.25">
      <c r="A26" s="213" t="s">
        <v>3064</v>
      </c>
      <c r="B26" s="64">
        <v>4.1100000000000003</v>
      </c>
      <c r="C26" s="64">
        <v>22.38</v>
      </c>
      <c r="D26" s="64">
        <v>14.9</v>
      </c>
      <c r="E26" s="64">
        <v>1.19</v>
      </c>
      <c r="F26" s="64">
        <v>4.07</v>
      </c>
      <c r="G26" s="64">
        <v>19.32</v>
      </c>
      <c r="H26" s="64">
        <v>5.93</v>
      </c>
      <c r="I26" s="64">
        <v>2.82</v>
      </c>
      <c r="J26" s="64">
        <v>0.24</v>
      </c>
      <c r="K26" s="64">
        <v>19.97</v>
      </c>
      <c r="L26" s="64">
        <v>19.82</v>
      </c>
      <c r="M26" s="64">
        <v>94.1</v>
      </c>
      <c r="N26" s="64">
        <v>15.8</v>
      </c>
      <c r="O26" s="64">
        <v>0</v>
      </c>
      <c r="P26" s="64">
        <v>0.28000000000000003</v>
      </c>
      <c r="Q26" s="64">
        <v>9.77</v>
      </c>
      <c r="R26" s="198"/>
      <c r="S26" s="198"/>
      <c r="T26" s="198"/>
      <c r="U26" s="198"/>
    </row>
    <row r="27" spans="1:21" s="12" customFormat="1" x14ac:dyDescent="0.25">
      <c r="A27" s="213" t="s">
        <v>3065</v>
      </c>
      <c r="B27" s="64">
        <v>4.24</v>
      </c>
      <c r="C27" s="64">
        <v>22.69</v>
      </c>
      <c r="D27" s="64">
        <v>15.18</v>
      </c>
      <c r="E27" s="64">
        <v>1.02</v>
      </c>
      <c r="F27" s="64">
        <v>3.78</v>
      </c>
      <c r="G27" s="64">
        <v>19.32</v>
      </c>
      <c r="H27" s="64">
        <v>5.93</v>
      </c>
      <c r="I27" s="64">
        <v>2.81</v>
      </c>
      <c r="J27" s="64">
        <v>0.26</v>
      </c>
      <c r="K27" s="64">
        <v>356.22</v>
      </c>
      <c r="L27" s="64">
        <v>19.82</v>
      </c>
      <c r="M27" s="64">
        <v>95.18</v>
      </c>
      <c r="N27" s="64">
        <v>15.6</v>
      </c>
      <c r="O27" s="64">
        <v>0</v>
      </c>
      <c r="P27" s="64">
        <v>0.27</v>
      </c>
      <c r="Q27" s="64">
        <v>9.7799999999999994</v>
      </c>
      <c r="R27" s="198"/>
      <c r="S27" s="198"/>
      <c r="T27" s="198"/>
      <c r="U27" s="198"/>
    </row>
    <row r="28" spans="1:21" s="12" customFormat="1" x14ac:dyDescent="0.25">
      <c r="A28" s="213" t="s">
        <v>3066</v>
      </c>
      <c r="B28" s="64">
        <v>4.25</v>
      </c>
      <c r="C28" s="64">
        <v>22.89</v>
      </c>
      <c r="D28" s="64">
        <v>15.29</v>
      </c>
      <c r="E28" s="64">
        <v>1.33</v>
      </c>
      <c r="F28" s="64">
        <v>4.4400000000000004</v>
      </c>
      <c r="G28" s="64">
        <v>19.28</v>
      </c>
      <c r="H28" s="64">
        <v>5.41</v>
      </c>
      <c r="I28" s="64">
        <v>2.79</v>
      </c>
      <c r="J28" s="64">
        <v>0.28999999999999998</v>
      </c>
      <c r="K28" s="64">
        <v>24.01</v>
      </c>
      <c r="L28" s="64">
        <v>19.899999999999999</v>
      </c>
      <c r="M28" s="64">
        <v>93.83</v>
      </c>
      <c r="N28" s="64">
        <v>15.5</v>
      </c>
      <c r="O28" s="64">
        <v>0</v>
      </c>
      <c r="P28" s="64">
        <v>0.28000000000000003</v>
      </c>
      <c r="Q28" s="64">
        <v>9.77</v>
      </c>
      <c r="R28" s="198"/>
      <c r="S28" s="198"/>
      <c r="T28" s="198"/>
      <c r="U28" s="198"/>
    </row>
    <row r="29" spans="1:21" s="12" customFormat="1" x14ac:dyDescent="0.25">
      <c r="A29" s="213" t="s">
        <v>3067</v>
      </c>
      <c r="B29" s="64">
        <v>4.2</v>
      </c>
      <c r="C29" s="64">
        <v>23.71</v>
      </c>
      <c r="D29" s="64">
        <v>15.68</v>
      </c>
      <c r="E29" s="64">
        <v>1.45</v>
      </c>
      <c r="F29" s="64">
        <v>3.87</v>
      </c>
      <c r="G29" s="64">
        <v>19.25</v>
      </c>
      <c r="H29" s="64">
        <v>5.05</v>
      </c>
      <c r="I29" s="64">
        <v>2.74</v>
      </c>
      <c r="J29" s="64">
        <v>0.24</v>
      </c>
      <c r="K29" s="64">
        <v>23.14</v>
      </c>
      <c r="L29" s="64">
        <v>19.91</v>
      </c>
      <c r="M29" s="64">
        <v>93.46</v>
      </c>
      <c r="N29" s="64">
        <v>16</v>
      </c>
      <c r="O29" s="64">
        <v>0</v>
      </c>
      <c r="P29" s="64">
        <v>0.28000000000000003</v>
      </c>
      <c r="Q29" s="64">
        <v>9.77</v>
      </c>
      <c r="R29" s="198"/>
      <c r="S29" s="198"/>
      <c r="T29" s="198"/>
      <c r="U29" s="198"/>
    </row>
    <row r="30" spans="1:21" s="12" customFormat="1" x14ac:dyDescent="0.25">
      <c r="A30" s="213" t="s">
        <v>3068</v>
      </c>
      <c r="B30" s="64">
        <v>4.3</v>
      </c>
      <c r="C30" s="64">
        <v>23.92</v>
      </c>
      <c r="D30" s="64">
        <v>15.86</v>
      </c>
      <c r="E30" s="64">
        <v>1.08</v>
      </c>
      <c r="F30" s="64">
        <v>3.57</v>
      </c>
      <c r="G30" s="64">
        <v>19.25</v>
      </c>
      <c r="H30" s="64">
        <v>5.05</v>
      </c>
      <c r="I30" s="64">
        <v>2.71</v>
      </c>
      <c r="J30" s="64">
        <v>0.26</v>
      </c>
      <c r="K30" s="64">
        <v>335.75</v>
      </c>
      <c r="L30" s="64">
        <v>19.91</v>
      </c>
      <c r="M30" s="64">
        <v>93.18</v>
      </c>
      <c r="N30" s="64">
        <v>19</v>
      </c>
      <c r="O30" s="64">
        <v>0</v>
      </c>
      <c r="P30" s="64">
        <v>0.28000000000000003</v>
      </c>
      <c r="Q30" s="64">
        <v>9.75</v>
      </c>
      <c r="R30" s="198"/>
      <c r="S30" s="198"/>
      <c r="T30" s="198"/>
      <c r="U30" s="198"/>
    </row>
    <row r="31" spans="1:21" s="12" customFormat="1" x14ac:dyDescent="0.25">
      <c r="A31" s="213" t="s">
        <v>3069</v>
      </c>
      <c r="B31" s="64">
        <v>4.5999999999999996</v>
      </c>
      <c r="C31" s="64">
        <v>23.8</v>
      </c>
      <c r="D31" s="64">
        <v>16.04</v>
      </c>
      <c r="E31" s="64">
        <v>0.81</v>
      </c>
      <c r="F31" s="64">
        <v>3.38</v>
      </c>
      <c r="G31" s="64">
        <v>19.25</v>
      </c>
      <c r="H31" s="64">
        <v>5.05</v>
      </c>
      <c r="I31" s="64">
        <v>2.61</v>
      </c>
      <c r="J31" s="64">
        <v>0.23</v>
      </c>
      <c r="K31" s="64">
        <v>1.53</v>
      </c>
      <c r="L31" s="64">
        <v>19.88</v>
      </c>
      <c r="M31" s="64">
        <v>93.98</v>
      </c>
      <c r="N31" s="64">
        <v>29.2</v>
      </c>
      <c r="O31" s="64">
        <v>0</v>
      </c>
      <c r="P31" s="64">
        <v>0.28999999999999998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13" t="s">
        <v>3070</v>
      </c>
      <c r="B32" s="64">
        <v>4.88</v>
      </c>
      <c r="C32" s="64">
        <v>23.49</v>
      </c>
      <c r="D32" s="64">
        <v>16.11</v>
      </c>
      <c r="E32" s="64">
        <v>0.7</v>
      </c>
      <c r="F32" s="64">
        <v>3.76</v>
      </c>
      <c r="G32" s="64">
        <v>18.989999999999998</v>
      </c>
      <c r="H32" s="64">
        <v>5.67</v>
      </c>
      <c r="I32" s="64">
        <v>2.54</v>
      </c>
      <c r="J32" s="64">
        <v>0.23</v>
      </c>
      <c r="K32" s="64">
        <v>146.97999999999999</v>
      </c>
      <c r="L32" s="64">
        <v>20.04</v>
      </c>
      <c r="M32" s="64">
        <v>91.95</v>
      </c>
      <c r="N32" s="64">
        <v>39</v>
      </c>
      <c r="O32" s="64">
        <v>0</v>
      </c>
      <c r="P32" s="64">
        <v>0.32</v>
      </c>
      <c r="Q32" s="64">
        <v>9.7799999999999994</v>
      </c>
      <c r="R32" s="198"/>
      <c r="S32" s="198"/>
      <c r="T32" s="198"/>
      <c r="U32" s="198"/>
    </row>
    <row r="33" spans="1:21" s="12" customFormat="1" x14ac:dyDescent="0.25">
      <c r="A33" s="213" t="s">
        <v>3071</v>
      </c>
      <c r="B33" s="64">
        <v>5.04</v>
      </c>
      <c r="C33" s="64">
        <v>23.68</v>
      </c>
      <c r="D33" s="64">
        <v>16.329999999999998</v>
      </c>
      <c r="E33" s="64">
        <v>0.97</v>
      </c>
      <c r="F33" s="64">
        <v>3.55</v>
      </c>
      <c r="G33" s="64">
        <v>18.8</v>
      </c>
      <c r="H33" s="64">
        <v>6.11</v>
      </c>
      <c r="I33" s="64">
        <v>2.46</v>
      </c>
      <c r="J33" s="64">
        <v>0.47</v>
      </c>
      <c r="K33" s="64">
        <v>149.69</v>
      </c>
      <c r="L33" s="64">
        <v>20.07</v>
      </c>
      <c r="M33" s="64">
        <v>92.47</v>
      </c>
      <c r="N33" s="64">
        <v>61.3</v>
      </c>
      <c r="O33" s="64">
        <v>0</v>
      </c>
      <c r="P33" s="64">
        <v>0.34</v>
      </c>
      <c r="Q33" s="64">
        <v>9.77</v>
      </c>
      <c r="R33" s="198"/>
      <c r="S33" s="198"/>
      <c r="T33" s="198"/>
      <c r="U33" s="198"/>
    </row>
    <row r="34" spans="1:21" s="12" customFormat="1" x14ac:dyDescent="0.25">
      <c r="A34" s="213" t="s">
        <v>3072</v>
      </c>
      <c r="B34" s="64">
        <v>5.16</v>
      </c>
      <c r="C34" s="64">
        <v>23.8</v>
      </c>
      <c r="D34" s="64">
        <v>16.489999999999998</v>
      </c>
      <c r="E34" s="64">
        <v>1.32</v>
      </c>
      <c r="F34" s="64">
        <v>3.68</v>
      </c>
      <c r="G34" s="64">
        <v>18.8</v>
      </c>
      <c r="H34" s="64">
        <v>6.11</v>
      </c>
      <c r="I34" s="64">
        <v>2.92</v>
      </c>
      <c r="J34" s="64">
        <v>0.23</v>
      </c>
      <c r="K34" s="64">
        <v>106.63</v>
      </c>
      <c r="L34" s="64">
        <v>20.47</v>
      </c>
      <c r="M34" s="64">
        <v>91.91</v>
      </c>
      <c r="N34" s="64">
        <v>112.3</v>
      </c>
      <c r="O34" s="64">
        <v>0</v>
      </c>
      <c r="P34" s="64">
        <v>0.34</v>
      </c>
      <c r="Q34" s="64">
        <v>9.7899999999999991</v>
      </c>
      <c r="R34" s="198"/>
      <c r="S34" s="198"/>
      <c r="T34" s="198"/>
      <c r="U34" s="198"/>
    </row>
    <row r="35" spans="1:21" s="12" customFormat="1" x14ac:dyDescent="0.25">
      <c r="A35" s="213" t="s">
        <v>3073</v>
      </c>
      <c r="B35" s="64">
        <v>5.22</v>
      </c>
      <c r="C35" s="64">
        <v>23.88</v>
      </c>
      <c r="D35" s="64">
        <v>16.579999999999998</v>
      </c>
      <c r="E35" s="64">
        <v>1.19</v>
      </c>
      <c r="F35" s="64">
        <v>3.53</v>
      </c>
      <c r="G35" s="64">
        <v>18.8</v>
      </c>
      <c r="H35" s="64">
        <v>6.11</v>
      </c>
      <c r="I35" s="64">
        <v>3.06</v>
      </c>
      <c r="J35" s="64">
        <v>1.1399999999999999</v>
      </c>
      <c r="K35" s="64">
        <v>148.49</v>
      </c>
      <c r="L35" s="64">
        <v>20.54</v>
      </c>
      <c r="M35" s="64">
        <v>92.43</v>
      </c>
      <c r="N35" s="64">
        <v>126.3</v>
      </c>
      <c r="O35" s="64">
        <v>0</v>
      </c>
      <c r="P35" s="64">
        <v>0.35</v>
      </c>
      <c r="Q35" s="64">
        <v>9.77</v>
      </c>
      <c r="R35" s="198"/>
      <c r="S35" s="198"/>
      <c r="T35" s="198"/>
      <c r="U35" s="198"/>
    </row>
    <row r="36" spans="1:21" s="12" customFormat="1" x14ac:dyDescent="0.25">
      <c r="A36" s="213" t="s">
        <v>3074</v>
      </c>
      <c r="B36" s="64">
        <v>5.54</v>
      </c>
      <c r="C36" s="64">
        <v>23.11</v>
      </c>
      <c r="D36" s="64">
        <v>16.43</v>
      </c>
      <c r="E36" s="64">
        <v>1.04</v>
      </c>
      <c r="F36" s="64">
        <v>3.73</v>
      </c>
      <c r="G36" s="64">
        <v>20.22</v>
      </c>
      <c r="H36" s="64">
        <v>5.55</v>
      </c>
      <c r="I36" s="64">
        <v>3.16</v>
      </c>
      <c r="J36" s="64">
        <v>1.08</v>
      </c>
      <c r="K36" s="64">
        <v>159.26</v>
      </c>
      <c r="L36" s="64">
        <v>20.71</v>
      </c>
      <c r="M36" s="64">
        <v>91.62</v>
      </c>
      <c r="N36" s="64">
        <v>133.1</v>
      </c>
      <c r="O36" s="64">
        <v>0</v>
      </c>
      <c r="P36" s="64">
        <v>0.34</v>
      </c>
      <c r="Q36" s="64">
        <v>9.75</v>
      </c>
      <c r="R36" s="198"/>
      <c r="S36" s="198"/>
      <c r="T36" s="198"/>
      <c r="U36" s="198"/>
    </row>
    <row r="37" spans="1:21" s="12" customFormat="1" x14ac:dyDescent="0.25">
      <c r="A37" s="213" t="s">
        <v>3075</v>
      </c>
      <c r="B37" s="64">
        <v>5.81</v>
      </c>
      <c r="C37" s="64">
        <v>23.45</v>
      </c>
      <c r="D37" s="64">
        <v>16.829999999999998</v>
      </c>
      <c r="E37" s="64">
        <v>0.86</v>
      </c>
      <c r="F37" s="64">
        <v>3.36</v>
      </c>
      <c r="G37" s="64">
        <v>21.22</v>
      </c>
      <c r="H37" s="64">
        <v>5.17</v>
      </c>
      <c r="I37" s="64">
        <v>3.23</v>
      </c>
      <c r="J37" s="64">
        <v>0.97</v>
      </c>
      <c r="K37" s="64">
        <v>154.63</v>
      </c>
      <c r="L37" s="64">
        <v>21.15</v>
      </c>
      <c r="M37" s="64">
        <v>89.59</v>
      </c>
      <c r="N37" s="64">
        <v>195</v>
      </c>
      <c r="O37" s="64">
        <v>0</v>
      </c>
      <c r="P37" s="64">
        <v>0.34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13" t="s">
        <v>3076</v>
      </c>
      <c r="B38" s="64">
        <v>5.94</v>
      </c>
      <c r="C38" s="64">
        <v>23.16</v>
      </c>
      <c r="D38" s="64">
        <v>16.78</v>
      </c>
      <c r="E38" s="64">
        <v>1.17</v>
      </c>
      <c r="F38" s="64">
        <v>3.56</v>
      </c>
      <c r="G38" s="64">
        <v>21.22</v>
      </c>
      <c r="H38" s="64">
        <v>5.17</v>
      </c>
      <c r="I38" s="64">
        <v>3.3</v>
      </c>
      <c r="J38" s="64">
        <v>1.19</v>
      </c>
      <c r="K38" s="64">
        <v>162.37</v>
      </c>
      <c r="L38" s="64">
        <v>21.77</v>
      </c>
      <c r="M38" s="64">
        <v>85.22</v>
      </c>
      <c r="N38" s="64">
        <v>301.7</v>
      </c>
      <c r="O38" s="64">
        <v>0</v>
      </c>
      <c r="P38" s="64">
        <v>0.36</v>
      </c>
      <c r="Q38" s="64">
        <v>9.7799999999999994</v>
      </c>
      <c r="R38" s="198"/>
      <c r="S38" s="198"/>
      <c r="T38" s="198"/>
      <c r="U38" s="198"/>
    </row>
    <row r="39" spans="1:21" s="12" customFormat="1" x14ac:dyDescent="0.25">
      <c r="A39" s="213" t="s">
        <v>3077</v>
      </c>
      <c r="B39" s="64">
        <v>5.69</v>
      </c>
      <c r="C39" s="64">
        <v>23.5</v>
      </c>
      <c r="D39" s="64">
        <v>16.760000000000002</v>
      </c>
      <c r="E39" s="64">
        <v>1.02</v>
      </c>
      <c r="F39" s="64">
        <v>3.46</v>
      </c>
      <c r="G39" s="64">
        <v>21.22</v>
      </c>
      <c r="H39" s="64">
        <v>5.17</v>
      </c>
      <c r="I39" s="64">
        <v>3.34</v>
      </c>
      <c r="J39" s="64">
        <v>1.23</v>
      </c>
      <c r="K39" s="64">
        <v>152.43</v>
      </c>
      <c r="L39" s="64">
        <v>22.44</v>
      </c>
      <c r="M39" s="64">
        <v>82.41</v>
      </c>
      <c r="N39" s="64">
        <v>375.3</v>
      </c>
      <c r="O39" s="64">
        <v>0</v>
      </c>
      <c r="P39" s="64">
        <v>0.35</v>
      </c>
      <c r="Q39" s="64">
        <v>9.7799999999999994</v>
      </c>
      <c r="R39" s="198"/>
      <c r="S39" s="198"/>
      <c r="T39" s="198"/>
      <c r="U39" s="198"/>
    </row>
    <row r="40" spans="1:21" s="12" customFormat="1" x14ac:dyDescent="0.25">
      <c r="A40" s="213" t="s">
        <v>3078</v>
      </c>
      <c r="B40" s="64">
        <v>5.56</v>
      </c>
      <c r="C40" s="64">
        <v>23.89</v>
      </c>
      <c r="D40" s="64">
        <v>16.86</v>
      </c>
      <c r="E40" s="64">
        <v>0.24</v>
      </c>
      <c r="F40" s="64">
        <v>3.8</v>
      </c>
      <c r="G40" s="64">
        <v>20.96</v>
      </c>
      <c r="H40" s="64">
        <v>4.43</v>
      </c>
      <c r="I40" s="64">
        <v>3.49</v>
      </c>
      <c r="J40" s="64">
        <v>1.05</v>
      </c>
      <c r="K40" s="64">
        <v>157.47</v>
      </c>
      <c r="L40" s="64">
        <v>23.3</v>
      </c>
      <c r="M40" s="64">
        <v>78.09</v>
      </c>
      <c r="N40" s="64">
        <v>449.6</v>
      </c>
      <c r="O40" s="64">
        <v>0</v>
      </c>
      <c r="P40" s="64">
        <v>0.35</v>
      </c>
      <c r="Q40" s="64">
        <v>9.7799999999999994</v>
      </c>
      <c r="R40" s="198"/>
      <c r="S40" s="198"/>
      <c r="T40" s="198"/>
      <c r="U40" s="198"/>
    </row>
    <row r="41" spans="1:21" s="12" customFormat="1" x14ac:dyDescent="0.25">
      <c r="A41" s="213" t="s">
        <v>3079</v>
      </c>
      <c r="B41" s="64">
        <v>5.35</v>
      </c>
      <c r="C41" s="64">
        <v>24.16</v>
      </c>
      <c r="D41" s="64">
        <v>16.829999999999998</v>
      </c>
      <c r="E41" s="64">
        <v>0.69</v>
      </c>
      <c r="F41" s="64">
        <v>3.66</v>
      </c>
      <c r="G41" s="64">
        <v>20.78</v>
      </c>
      <c r="H41" s="64">
        <v>3.91</v>
      </c>
      <c r="I41" s="64">
        <v>3.51</v>
      </c>
      <c r="J41" s="64">
        <v>0.96</v>
      </c>
      <c r="K41" s="64">
        <v>145.41</v>
      </c>
      <c r="L41" s="64">
        <v>23.65</v>
      </c>
      <c r="M41" s="64">
        <v>76.64</v>
      </c>
      <c r="N41" s="64">
        <v>508.9</v>
      </c>
      <c r="O41" s="64">
        <v>0</v>
      </c>
      <c r="P41" s="64">
        <v>0.34</v>
      </c>
      <c r="Q41" s="64">
        <v>9.77</v>
      </c>
      <c r="R41" s="198"/>
      <c r="S41" s="198"/>
      <c r="T41" s="198"/>
      <c r="U41" s="198"/>
    </row>
    <row r="42" spans="1:21" s="12" customFormat="1" x14ac:dyDescent="0.25">
      <c r="A42" s="213" t="s">
        <v>3080</v>
      </c>
      <c r="B42" s="64">
        <v>5.08</v>
      </c>
      <c r="C42" s="64">
        <v>22.81</v>
      </c>
      <c r="D42" s="64">
        <v>15.92</v>
      </c>
      <c r="E42" s="64">
        <v>0.38</v>
      </c>
      <c r="F42" s="64">
        <v>3.92</v>
      </c>
      <c r="G42" s="64">
        <v>20.78</v>
      </c>
      <c r="H42" s="64">
        <v>3.91</v>
      </c>
      <c r="I42" s="64">
        <v>3.55</v>
      </c>
      <c r="J42" s="64">
        <v>0.8</v>
      </c>
      <c r="K42" s="64">
        <v>142</v>
      </c>
      <c r="L42" s="64">
        <v>24.11</v>
      </c>
      <c r="M42" s="64">
        <v>74.87</v>
      </c>
      <c r="N42" s="64">
        <v>549.6</v>
      </c>
      <c r="O42" s="64">
        <v>0</v>
      </c>
      <c r="P42" s="64">
        <v>0.33</v>
      </c>
      <c r="Q42" s="64">
        <v>9.7200000000000006</v>
      </c>
      <c r="R42" s="198"/>
      <c r="S42" s="198"/>
      <c r="T42" s="198"/>
      <c r="U42" s="198"/>
    </row>
    <row r="43" spans="1:21" s="12" customFormat="1" x14ac:dyDescent="0.25">
      <c r="A43" s="213" t="s">
        <v>3081</v>
      </c>
      <c r="B43" s="64">
        <v>4.7300000000000004</v>
      </c>
      <c r="C43" s="64">
        <v>23.52</v>
      </c>
      <c r="D43" s="64">
        <v>16</v>
      </c>
      <c r="E43" s="64">
        <v>0.46</v>
      </c>
      <c r="F43" s="64">
        <v>4.47</v>
      </c>
      <c r="G43" s="64">
        <v>20.78</v>
      </c>
      <c r="H43" s="64">
        <v>3.91</v>
      </c>
      <c r="I43" s="64">
        <v>3.62</v>
      </c>
      <c r="J43" s="64">
        <v>1.57</v>
      </c>
      <c r="K43" s="64">
        <v>160.18</v>
      </c>
      <c r="L43" s="64">
        <v>24.04</v>
      </c>
      <c r="M43" s="64">
        <v>74.19</v>
      </c>
      <c r="N43" s="64">
        <v>583.1</v>
      </c>
      <c r="O43" s="64">
        <v>0</v>
      </c>
      <c r="P43" s="64">
        <v>0.34</v>
      </c>
      <c r="Q43" s="64">
        <v>9.75</v>
      </c>
      <c r="R43" s="198"/>
      <c r="S43" s="198"/>
      <c r="T43" s="198"/>
      <c r="U43" s="198"/>
    </row>
    <row r="44" spans="1:21" s="12" customFormat="1" x14ac:dyDescent="0.25">
      <c r="A44" s="213" t="s">
        <v>3082</v>
      </c>
      <c r="B44" s="64">
        <v>4.2699999999999996</v>
      </c>
      <c r="C44" s="64">
        <v>24.57</v>
      </c>
      <c r="D44" s="64">
        <v>16.18</v>
      </c>
      <c r="E44" s="64">
        <v>0.26</v>
      </c>
      <c r="F44" s="64">
        <v>4.16</v>
      </c>
      <c r="G44" s="64">
        <v>20.75</v>
      </c>
      <c r="H44" s="64">
        <v>4.6900000000000004</v>
      </c>
      <c r="I44" s="64">
        <v>3.79</v>
      </c>
      <c r="J44" s="64">
        <v>1.27</v>
      </c>
      <c r="K44" s="64">
        <v>148.07</v>
      </c>
      <c r="L44" s="64">
        <v>24.27</v>
      </c>
      <c r="M44" s="64">
        <v>74.38</v>
      </c>
      <c r="N44" s="64">
        <v>613.1</v>
      </c>
      <c r="O44" s="64">
        <v>0</v>
      </c>
      <c r="P44" s="64">
        <v>0.33</v>
      </c>
      <c r="Q44" s="64">
        <v>9.77</v>
      </c>
      <c r="R44" s="198"/>
      <c r="S44" s="198"/>
      <c r="T44" s="198"/>
      <c r="U44" s="198"/>
    </row>
    <row r="45" spans="1:21" s="12" customFormat="1" x14ac:dyDescent="0.25">
      <c r="A45" s="213" t="s">
        <v>3083</v>
      </c>
      <c r="B45" s="64">
        <v>4.05</v>
      </c>
      <c r="C45" s="64">
        <v>25.18</v>
      </c>
      <c r="D45" s="64">
        <v>16.32</v>
      </c>
      <c r="E45" s="64">
        <v>0.4</v>
      </c>
      <c r="F45" s="64">
        <v>4.12</v>
      </c>
      <c r="G45" s="64">
        <v>20.73</v>
      </c>
      <c r="H45" s="64">
        <v>5.24</v>
      </c>
      <c r="I45" s="64">
        <v>3.92</v>
      </c>
      <c r="J45" s="64">
        <v>0.84</v>
      </c>
      <c r="K45" s="64">
        <v>163.89</v>
      </c>
      <c r="L45" s="64">
        <v>24.88</v>
      </c>
      <c r="M45" s="64">
        <v>72.510000000000005</v>
      </c>
      <c r="N45" s="64">
        <v>674</v>
      </c>
      <c r="O45" s="64">
        <v>0</v>
      </c>
      <c r="P45" s="64">
        <v>0.33</v>
      </c>
      <c r="Q45" s="64">
        <v>9.7799999999999994</v>
      </c>
      <c r="R45" s="198"/>
      <c r="S45" s="198"/>
      <c r="T45" s="198"/>
      <c r="U45" s="198"/>
    </row>
    <row r="46" spans="1:21" s="12" customFormat="1" x14ac:dyDescent="0.25">
      <c r="A46" s="213" t="s">
        <v>3084</v>
      </c>
      <c r="B46" s="64">
        <v>3.94</v>
      </c>
      <c r="C46" s="64">
        <v>24.97</v>
      </c>
      <c r="D46" s="64">
        <v>16.13</v>
      </c>
      <c r="E46" s="64">
        <v>0.34</v>
      </c>
      <c r="F46" s="64">
        <v>4.55</v>
      </c>
      <c r="G46" s="64">
        <v>20.73</v>
      </c>
      <c r="H46" s="64">
        <v>5.24</v>
      </c>
      <c r="I46" s="64">
        <v>4.0199999999999996</v>
      </c>
      <c r="J46" s="64">
        <v>1.38</v>
      </c>
      <c r="K46" s="64">
        <v>157</v>
      </c>
      <c r="L46" s="64">
        <v>25.21</v>
      </c>
      <c r="M46" s="64">
        <v>70.88</v>
      </c>
      <c r="N46" s="64">
        <v>728.9</v>
      </c>
      <c r="O46" s="64">
        <v>0</v>
      </c>
      <c r="P46" s="64">
        <v>0.32</v>
      </c>
      <c r="Q46" s="64">
        <v>9.7899999999999991</v>
      </c>
      <c r="R46" s="198"/>
      <c r="S46" s="198"/>
      <c r="T46" s="198"/>
      <c r="U46" s="198"/>
    </row>
    <row r="47" spans="1:21" s="12" customFormat="1" x14ac:dyDescent="0.25">
      <c r="A47" s="213" t="s">
        <v>3085</v>
      </c>
      <c r="B47" s="64">
        <v>3.73</v>
      </c>
      <c r="C47" s="64">
        <v>24.45</v>
      </c>
      <c r="D47" s="64">
        <v>15.68</v>
      </c>
      <c r="E47" s="64">
        <v>0.59</v>
      </c>
      <c r="F47" s="64">
        <v>4.72</v>
      </c>
      <c r="G47" s="64">
        <v>20.73</v>
      </c>
      <c r="H47" s="64">
        <v>5.24</v>
      </c>
      <c r="I47" s="64">
        <v>4.1100000000000003</v>
      </c>
      <c r="J47" s="64">
        <v>1.05</v>
      </c>
      <c r="K47" s="64">
        <v>155.41999999999999</v>
      </c>
      <c r="L47" s="64">
        <v>25.75</v>
      </c>
      <c r="M47" s="64">
        <v>67.02</v>
      </c>
      <c r="N47" s="64">
        <v>768.7</v>
      </c>
      <c r="O47" s="64">
        <v>0</v>
      </c>
      <c r="P47" s="64">
        <v>0.32</v>
      </c>
      <c r="Q47" s="64">
        <v>9.7799999999999994</v>
      </c>
      <c r="R47" s="198"/>
      <c r="S47" s="198"/>
      <c r="T47" s="198"/>
      <c r="U47" s="198"/>
    </row>
    <row r="48" spans="1:21" s="12" customFormat="1" x14ac:dyDescent="0.25">
      <c r="A48" s="213" t="s">
        <v>3086</v>
      </c>
      <c r="B48" s="64">
        <v>3.48</v>
      </c>
      <c r="C48" s="64">
        <v>24.25</v>
      </c>
      <c r="D48" s="64">
        <v>15.38</v>
      </c>
      <c r="E48" s="64">
        <v>0.84</v>
      </c>
      <c r="F48" s="64">
        <v>4.43</v>
      </c>
      <c r="G48" s="64">
        <v>18.850000000000001</v>
      </c>
      <c r="H48" s="64">
        <v>4.9800000000000004</v>
      </c>
      <c r="I48" s="64">
        <v>4.13</v>
      </c>
      <c r="J48" s="64">
        <v>0.51</v>
      </c>
      <c r="K48" s="64">
        <v>180.64</v>
      </c>
      <c r="L48" s="64">
        <v>26.71</v>
      </c>
      <c r="M48" s="64">
        <v>63.95</v>
      </c>
      <c r="N48" s="64">
        <v>803.7</v>
      </c>
      <c r="O48" s="64">
        <v>0</v>
      </c>
      <c r="P48" s="64">
        <v>0.31</v>
      </c>
      <c r="Q48" s="64">
        <v>9.7899999999999991</v>
      </c>
      <c r="R48" s="198"/>
      <c r="S48" s="198"/>
      <c r="T48" s="198"/>
      <c r="U48" s="198"/>
    </row>
    <row r="49" spans="1:21" s="12" customFormat="1" x14ac:dyDescent="0.25">
      <c r="A49" s="213" t="s">
        <v>3087</v>
      </c>
      <c r="B49" s="64">
        <v>3.28</v>
      </c>
      <c r="C49" s="64">
        <v>24.96</v>
      </c>
      <c r="D49" s="64">
        <v>15.59</v>
      </c>
      <c r="E49" s="64">
        <v>0.79</v>
      </c>
      <c r="F49" s="64">
        <v>4.66</v>
      </c>
      <c r="G49" s="64">
        <v>17.54</v>
      </c>
      <c r="H49" s="64">
        <v>4.8099999999999996</v>
      </c>
      <c r="I49" s="64">
        <v>4.1399999999999997</v>
      </c>
      <c r="J49" s="64">
        <v>1.26</v>
      </c>
      <c r="K49" s="64">
        <v>153.72</v>
      </c>
      <c r="L49" s="64">
        <v>26.89</v>
      </c>
      <c r="M49" s="64">
        <v>63.35</v>
      </c>
      <c r="N49" s="64">
        <v>845.1</v>
      </c>
      <c r="O49" s="64">
        <v>0</v>
      </c>
      <c r="P49" s="64">
        <v>0.32</v>
      </c>
      <c r="Q49" s="64">
        <v>9.7799999999999994</v>
      </c>
      <c r="R49" s="198"/>
      <c r="S49" s="198"/>
      <c r="T49" s="198"/>
      <c r="U49" s="198"/>
    </row>
    <row r="50" spans="1:21" s="12" customFormat="1" x14ac:dyDescent="0.25">
      <c r="A50" s="213" t="s">
        <v>3088</v>
      </c>
      <c r="B50" s="64">
        <v>2.91</v>
      </c>
      <c r="C50" s="64">
        <v>23.6</v>
      </c>
      <c r="D50" s="64">
        <v>14.59</v>
      </c>
      <c r="E50" s="64">
        <v>0.83</v>
      </c>
      <c r="F50" s="64">
        <v>5.74</v>
      </c>
      <c r="G50" s="64">
        <v>17.54</v>
      </c>
      <c r="H50" s="64">
        <v>4.8099999999999996</v>
      </c>
      <c r="I50" s="64">
        <v>4.03</v>
      </c>
      <c r="J50" s="64">
        <v>0.54</v>
      </c>
      <c r="K50" s="64">
        <v>167.78</v>
      </c>
      <c r="L50" s="64">
        <v>26.81</v>
      </c>
      <c r="M50" s="64">
        <v>64.23</v>
      </c>
      <c r="N50" s="64">
        <v>878.5</v>
      </c>
      <c r="O50" s="64">
        <v>0</v>
      </c>
      <c r="P50" s="64">
        <v>0.31</v>
      </c>
      <c r="Q50" s="64">
        <v>9.73</v>
      </c>
      <c r="R50" s="198"/>
      <c r="S50" s="198"/>
      <c r="T50" s="198"/>
      <c r="U50" s="198"/>
    </row>
    <row r="51" spans="1:21" s="12" customFormat="1" x14ac:dyDescent="0.25">
      <c r="A51" s="213" t="s">
        <v>3089</v>
      </c>
      <c r="B51" s="64">
        <v>2.14</v>
      </c>
      <c r="C51" s="64">
        <v>23.79</v>
      </c>
      <c r="D51" s="64">
        <v>14.06</v>
      </c>
      <c r="E51" s="64">
        <v>1.01</v>
      </c>
      <c r="F51" s="64">
        <v>19.559999999999999</v>
      </c>
      <c r="G51" s="64">
        <v>17.54</v>
      </c>
      <c r="H51" s="64">
        <v>4.8099999999999996</v>
      </c>
      <c r="I51" s="64">
        <v>3.74</v>
      </c>
      <c r="J51" s="64">
        <v>1.01</v>
      </c>
      <c r="K51" s="64">
        <v>163.5</v>
      </c>
      <c r="L51" s="64">
        <v>27.05</v>
      </c>
      <c r="M51" s="64">
        <v>62.56</v>
      </c>
      <c r="N51" s="64">
        <v>912.3</v>
      </c>
      <c r="O51" s="64">
        <v>0</v>
      </c>
      <c r="P51" s="64">
        <v>0.28000000000000003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3" t="s">
        <v>3090</v>
      </c>
      <c r="B52" s="64">
        <v>1.64</v>
      </c>
      <c r="C52" s="64">
        <v>24.97</v>
      </c>
      <c r="D52" s="64">
        <v>14.28</v>
      </c>
      <c r="E52" s="64">
        <v>0.91</v>
      </c>
      <c r="F52" s="64">
        <v>11.31</v>
      </c>
      <c r="G52" s="64">
        <v>14.68</v>
      </c>
      <c r="H52" s="64">
        <v>5.05</v>
      </c>
      <c r="I52" s="64">
        <v>3.6</v>
      </c>
      <c r="J52" s="64">
        <v>0.47</v>
      </c>
      <c r="K52" s="64">
        <v>164.17</v>
      </c>
      <c r="L52" s="64">
        <v>27.44</v>
      </c>
      <c r="M52" s="64">
        <v>59.94</v>
      </c>
      <c r="N52" s="64">
        <v>928</v>
      </c>
      <c r="O52" s="64">
        <v>0</v>
      </c>
      <c r="P52" s="64">
        <v>0.27</v>
      </c>
      <c r="Q52" s="64">
        <v>9.69</v>
      </c>
      <c r="R52" s="198"/>
      <c r="S52" s="198"/>
      <c r="T52" s="198"/>
      <c r="U52" s="198"/>
    </row>
    <row r="53" spans="1:21" s="12" customFormat="1" x14ac:dyDescent="0.25">
      <c r="A53" s="213" t="s">
        <v>3091</v>
      </c>
      <c r="B53" s="64">
        <v>1.66</v>
      </c>
      <c r="C53" s="64">
        <v>23.36</v>
      </c>
      <c r="D53" s="64">
        <v>13.46</v>
      </c>
      <c r="E53" s="64">
        <v>0.94</v>
      </c>
      <c r="F53" s="64">
        <v>8.85</v>
      </c>
      <c r="G53" s="64">
        <v>12.68</v>
      </c>
      <c r="H53" s="64">
        <v>5.21</v>
      </c>
      <c r="I53" s="64">
        <v>2.61</v>
      </c>
      <c r="J53" s="64">
        <v>0.45</v>
      </c>
      <c r="K53" s="64">
        <v>164.62</v>
      </c>
      <c r="L53" s="64">
        <v>28.24</v>
      </c>
      <c r="M53" s="64">
        <v>57.38</v>
      </c>
      <c r="N53" s="64">
        <v>946.8</v>
      </c>
      <c r="O53" s="64">
        <v>0</v>
      </c>
      <c r="P53" s="64">
        <v>0.26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3" t="s">
        <v>3092</v>
      </c>
      <c r="B54" s="64">
        <v>1.75</v>
      </c>
      <c r="C54" s="64">
        <v>22.02</v>
      </c>
      <c r="D54" s="64">
        <v>12.83</v>
      </c>
      <c r="E54" s="64">
        <v>0.84</v>
      </c>
      <c r="F54" s="64">
        <v>7.08</v>
      </c>
      <c r="G54" s="64">
        <v>12.68</v>
      </c>
      <c r="H54" s="64">
        <v>5.21</v>
      </c>
      <c r="I54" s="64">
        <v>2.2799999999999998</v>
      </c>
      <c r="J54" s="64">
        <v>0.78</v>
      </c>
      <c r="K54" s="64">
        <v>149.55000000000001</v>
      </c>
      <c r="L54" s="64">
        <v>28.45</v>
      </c>
      <c r="M54" s="64">
        <v>57.75</v>
      </c>
      <c r="N54" s="64">
        <v>961</v>
      </c>
      <c r="O54" s="64">
        <v>0</v>
      </c>
      <c r="P54" s="64">
        <v>0.26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3" t="s">
        <v>3093</v>
      </c>
      <c r="B55" s="64">
        <v>2.08</v>
      </c>
      <c r="C55" s="64">
        <v>23.48</v>
      </c>
      <c r="D55" s="64">
        <v>13.85</v>
      </c>
      <c r="E55" s="64">
        <v>0.94</v>
      </c>
      <c r="F55" s="64">
        <v>8</v>
      </c>
      <c r="G55" s="64">
        <v>12.68</v>
      </c>
      <c r="H55" s="64">
        <v>5.21</v>
      </c>
      <c r="I55" s="64">
        <v>2.02</v>
      </c>
      <c r="J55" s="64">
        <v>0.7</v>
      </c>
      <c r="K55" s="64">
        <v>148.65</v>
      </c>
      <c r="L55" s="64">
        <v>29.14</v>
      </c>
      <c r="M55" s="64">
        <v>54.89</v>
      </c>
      <c r="N55" s="64">
        <v>961.7</v>
      </c>
      <c r="O55" s="64">
        <v>0</v>
      </c>
      <c r="P55" s="64">
        <v>0.28000000000000003</v>
      </c>
      <c r="Q55" s="64">
        <v>9.56</v>
      </c>
      <c r="R55" s="198"/>
      <c r="S55" s="198"/>
      <c r="T55" s="198"/>
      <c r="U55" s="198"/>
    </row>
    <row r="56" spans="1:21" s="12" customFormat="1" x14ac:dyDescent="0.25">
      <c r="A56" s="213" t="s">
        <v>3094</v>
      </c>
      <c r="B56" s="64">
        <v>2.0299999999999998</v>
      </c>
      <c r="C56" s="64">
        <v>23.3</v>
      </c>
      <c r="D56" s="64">
        <v>13.72</v>
      </c>
      <c r="E56" s="64">
        <v>2.39</v>
      </c>
      <c r="F56" s="64">
        <v>15.27</v>
      </c>
      <c r="G56" s="64">
        <v>18.03</v>
      </c>
      <c r="H56" s="64">
        <v>4.83</v>
      </c>
      <c r="I56" s="64">
        <v>2.09</v>
      </c>
      <c r="J56" s="64">
        <v>0.27</v>
      </c>
      <c r="K56" s="64">
        <v>189.33</v>
      </c>
      <c r="L56" s="64">
        <v>29.65</v>
      </c>
      <c r="M56" s="64">
        <v>49.65</v>
      </c>
      <c r="N56" s="64">
        <v>954.8</v>
      </c>
      <c r="O56" s="64">
        <v>0</v>
      </c>
      <c r="P56" s="64">
        <v>0.27</v>
      </c>
      <c r="Q56" s="64">
        <v>9.56</v>
      </c>
      <c r="R56" s="198"/>
      <c r="S56" s="198"/>
      <c r="T56" s="198"/>
      <c r="U56" s="198"/>
    </row>
    <row r="57" spans="1:21" s="12" customFormat="1" x14ac:dyDescent="0.25">
      <c r="A57" s="213" t="s">
        <v>3095</v>
      </c>
      <c r="B57" s="64">
        <v>2.0099999999999998</v>
      </c>
      <c r="C57" s="64">
        <v>21.65</v>
      </c>
      <c r="D57" s="64">
        <v>12.85</v>
      </c>
      <c r="E57" s="64">
        <v>1.59</v>
      </c>
      <c r="F57" s="64">
        <v>8.9499999999999993</v>
      </c>
      <c r="G57" s="64">
        <v>21.76</v>
      </c>
      <c r="H57" s="64">
        <v>4.57</v>
      </c>
      <c r="I57" s="64">
        <v>2.29</v>
      </c>
      <c r="J57" s="64">
        <v>0.56999999999999995</v>
      </c>
      <c r="K57" s="64">
        <v>187.82</v>
      </c>
      <c r="L57" s="64">
        <v>29.68</v>
      </c>
      <c r="M57" s="64">
        <v>50.67</v>
      </c>
      <c r="N57" s="64">
        <v>955.2</v>
      </c>
      <c r="O57" s="64">
        <v>0</v>
      </c>
      <c r="P57" s="64">
        <v>0.26</v>
      </c>
      <c r="Q57" s="64">
        <v>9.48</v>
      </c>
      <c r="R57" s="198"/>
      <c r="S57" s="198"/>
      <c r="T57" s="198"/>
      <c r="U57" s="198"/>
    </row>
    <row r="58" spans="1:21" s="12" customFormat="1" x14ac:dyDescent="0.25">
      <c r="A58" s="213" t="s">
        <v>3096</v>
      </c>
      <c r="B58" s="64">
        <v>2.27</v>
      </c>
      <c r="C58" s="64">
        <v>20.49</v>
      </c>
      <c r="D58" s="64">
        <v>12.44</v>
      </c>
      <c r="E58" s="64">
        <v>1.57</v>
      </c>
      <c r="F58" s="64">
        <v>5.97</v>
      </c>
      <c r="G58" s="64">
        <v>21.76</v>
      </c>
      <c r="H58" s="64">
        <v>4.57</v>
      </c>
      <c r="I58" s="64">
        <v>2.06</v>
      </c>
      <c r="J58" s="64">
        <v>0.25</v>
      </c>
      <c r="K58" s="64">
        <v>188.77</v>
      </c>
      <c r="L58" s="64">
        <v>30.3</v>
      </c>
      <c r="M58" s="64">
        <v>48.06</v>
      </c>
      <c r="N58" s="64">
        <v>950.7</v>
      </c>
      <c r="O58" s="64">
        <v>0</v>
      </c>
      <c r="P58" s="64">
        <v>0.26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13" t="s">
        <v>3097</v>
      </c>
      <c r="B59" s="64">
        <v>2.36</v>
      </c>
      <c r="C59" s="64">
        <v>20.13</v>
      </c>
      <c r="D59" s="64">
        <v>12.33</v>
      </c>
      <c r="E59" s="64">
        <v>1.55</v>
      </c>
      <c r="F59" s="64">
        <v>7.32</v>
      </c>
      <c r="G59" s="64">
        <v>21.76</v>
      </c>
      <c r="H59" s="64">
        <v>4.57</v>
      </c>
      <c r="I59" s="64">
        <v>1.98</v>
      </c>
      <c r="J59" s="64">
        <v>0.18</v>
      </c>
      <c r="K59" s="64">
        <v>162.94999999999999</v>
      </c>
      <c r="L59" s="64">
        <v>30.74</v>
      </c>
      <c r="M59" s="64">
        <v>46.07</v>
      </c>
      <c r="N59" s="64">
        <v>936.8</v>
      </c>
      <c r="O59" s="64">
        <v>0</v>
      </c>
      <c r="P59" s="64">
        <v>0.26</v>
      </c>
      <c r="Q59" s="64">
        <v>9.42</v>
      </c>
      <c r="R59" s="198"/>
      <c r="S59" s="198"/>
      <c r="T59" s="198"/>
      <c r="U59" s="198"/>
    </row>
    <row r="60" spans="1:21" s="12" customFormat="1" x14ac:dyDescent="0.25">
      <c r="A60" s="213" t="s">
        <v>3098</v>
      </c>
      <c r="B60" s="64">
        <v>2.17</v>
      </c>
      <c r="C60" s="64">
        <v>21.78</v>
      </c>
      <c r="D60" s="64">
        <v>13.04</v>
      </c>
      <c r="E60" s="64">
        <v>1.18</v>
      </c>
      <c r="F60" s="64">
        <v>7.13</v>
      </c>
      <c r="G60" s="64">
        <v>20.81</v>
      </c>
      <c r="H60" s="64">
        <v>6.84</v>
      </c>
      <c r="I60" s="64">
        <v>1.81</v>
      </c>
      <c r="J60" s="64">
        <v>0.41</v>
      </c>
      <c r="K60" s="64">
        <v>181.17</v>
      </c>
      <c r="L60" s="64">
        <v>30.53</v>
      </c>
      <c r="M60" s="64">
        <v>46.84</v>
      </c>
      <c r="N60" s="64">
        <v>914.8</v>
      </c>
      <c r="O60" s="64">
        <v>0</v>
      </c>
      <c r="P60" s="64">
        <v>0.26</v>
      </c>
      <c r="Q60" s="64">
        <v>9.49</v>
      </c>
      <c r="R60" s="198"/>
      <c r="S60" s="198"/>
      <c r="T60" s="198"/>
      <c r="U60" s="198"/>
    </row>
    <row r="61" spans="1:21" s="12" customFormat="1" x14ac:dyDescent="0.25">
      <c r="A61" s="213" t="s">
        <v>3099</v>
      </c>
      <c r="B61" s="64">
        <v>2.17</v>
      </c>
      <c r="C61" s="64">
        <v>19.22</v>
      </c>
      <c r="D61" s="64">
        <v>11.71</v>
      </c>
      <c r="E61" s="64">
        <v>1</v>
      </c>
      <c r="F61" s="64">
        <v>8.07</v>
      </c>
      <c r="G61" s="64">
        <v>20.14</v>
      </c>
      <c r="H61" s="64">
        <v>8.42</v>
      </c>
      <c r="I61" s="64">
        <v>1.96</v>
      </c>
      <c r="J61" s="64">
        <v>0.06</v>
      </c>
      <c r="K61" s="64">
        <v>206.58</v>
      </c>
      <c r="L61" s="64">
        <v>31.14</v>
      </c>
      <c r="M61" s="64">
        <v>45.45</v>
      </c>
      <c r="N61" s="64">
        <v>890.6</v>
      </c>
      <c r="O61" s="64">
        <v>0</v>
      </c>
      <c r="P61" s="64">
        <v>0.25</v>
      </c>
      <c r="Q61" s="64">
        <v>9.4600000000000009</v>
      </c>
      <c r="R61" s="198"/>
      <c r="S61" s="198"/>
      <c r="T61" s="198"/>
      <c r="U61" s="198"/>
    </row>
    <row r="62" spans="1:21" s="12" customFormat="1" x14ac:dyDescent="0.25">
      <c r="A62" s="213" t="s">
        <v>3100</v>
      </c>
      <c r="B62" s="64">
        <v>2.37</v>
      </c>
      <c r="C62" s="64">
        <v>20.23</v>
      </c>
      <c r="D62" s="64">
        <v>12.39</v>
      </c>
      <c r="E62" s="64">
        <v>1.51</v>
      </c>
      <c r="F62" s="64">
        <v>8.26</v>
      </c>
      <c r="G62" s="64">
        <v>20.14</v>
      </c>
      <c r="H62" s="64">
        <v>8.42</v>
      </c>
      <c r="I62" s="64">
        <v>2</v>
      </c>
      <c r="J62" s="64">
        <v>0.86</v>
      </c>
      <c r="K62" s="64">
        <v>149.9</v>
      </c>
      <c r="L62" s="64">
        <v>31.32</v>
      </c>
      <c r="M62" s="64">
        <v>44.11</v>
      </c>
      <c r="N62" s="64">
        <v>870.2</v>
      </c>
      <c r="O62" s="64">
        <v>0</v>
      </c>
      <c r="P62" s="64">
        <v>0.28000000000000003</v>
      </c>
      <c r="Q62" s="64">
        <v>9.5299999999999994</v>
      </c>
      <c r="R62" s="198"/>
      <c r="S62" s="198"/>
      <c r="T62" s="198"/>
      <c r="U62" s="198"/>
    </row>
    <row r="63" spans="1:21" s="12" customFormat="1" x14ac:dyDescent="0.25">
      <c r="A63" s="213" t="s">
        <v>3101</v>
      </c>
      <c r="B63" s="64">
        <v>2.36</v>
      </c>
      <c r="C63" s="64">
        <v>20.170000000000002</v>
      </c>
      <c r="D63" s="64">
        <v>12.35</v>
      </c>
      <c r="E63" s="64">
        <v>1.71</v>
      </c>
      <c r="F63" s="64">
        <v>7.01</v>
      </c>
      <c r="G63" s="64">
        <v>20.14</v>
      </c>
      <c r="H63" s="64">
        <v>8.42</v>
      </c>
      <c r="I63" s="64">
        <v>1.87</v>
      </c>
      <c r="J63" s="64">
        <v>1.32</v>
      </c>
      <c r="K63" s="64">
        <v>157.38999999999999</v>
      </c>
      <c r="L63" s="64">
        <v>30.67</v>
      </c>
      <c r="M63" s="64">
        <v>44.78</v>
      </c>
      <c r="N63" s="64">
        <v>830.1</v>
      </c>
      <c r="O63" s="64">
        <v>0</v>
      </c>
      <c r="P63" s="64">
        <v>0.27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3" t="s">
        <v>3102</v>
      </c>
      <c r="B64" s="64">
        <v>2.61</v>
      </c>
      <c r="C64" s="64">
        <v>19.28</v>
      </c>
      <c r="D64" s="64">
        <v>12.09</v>
      </c>
      <c r="E64" s="64">
        <v>1.53</v>
      </c>
      <c r="F64" s="64">
        <v>5.58</v>
      </c>
      <c r="G64" s="64">
        <v>21.55</v>
      </c>
      <c r="H64" s="64">
        <v>7.2</v>
      </c>
      <c r="I64" s="64">
        <v>1.95</v>
      </c>
      <c r="J64" s="64">
        <v>0.24</v>
      </c>
      <c r="K64" s="64">
        <v>341.29</v>
      </c>
      <c r="L64" s="64">
        <v>31.72</v>
      </c>
      <c r="M64" s="64">
        <v>43.47</v>
      </c>
      <c r="N64" s="64">
        <v>780.6</v>
      </c>
      <c r="O64" s="64">
        <v>0</v>
      </c>
      <c r="P64" s="64">
        <v>0.28000000000000003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3" t="s">
        <v>3103</v>
      </c>
      <c r="B65" s="64">
        <v>2.89</v>
      </c>
      <c r="C65" s="64">
        <v>18.55</v>
      </c>
      <c r="D65" s="64">
        <v>11.93</v>
      </c>
      <c r="E65" s="64">
        <v>1.47</v>
      </c>
      <c r="F65" s="64">
        <v>5.26</v>
      </c>
      <c r="G65" s="64">
        <v>22.53</v>
      </c>
      <c r="H65" s="64">
        <v>6.35</v>
      </c>
      <c r="I65" s="64">
        <v>2.09</v>
      </c>
      <c r="J65" s="64">
        <v>0.71</v>
      </c>
      <c r="K65" s="64">
        <v>167.75</v>
      </c>
      <c r="L65" s="64">
        <v>30.83</v>
      </c>
      <c r="M65" s="64">
        <v>45.07</v>
      </c>
      <c r="N65" s="64">
        <v>506.5</v>
      </c>
      <c r="O65" s="64">
        <v>0</v>
      </c>
      <c r="P65" s="64">
        <v>0.28000000000000003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3" t="s">
        <v>3104</v>
      </c>
      <c r="B66" s="64">
        <v>2.88</v>
      </c>
      <c r="C66" s="64">
        <v>18.03</v>
      </c>
      <c r="D66" s="64">
        <v>11.65</v>
      </c>
      <c r="E66" s="64">
        <v>1.2</v>
      </c>
      <c r="F66" s="64">
        <v>6.48</v>
      </c>
      <c r="G66" s="64">
        <v>22.53</v>
      </c>
      <c r="H66" s="64">
        <v>6.35</v>
      </c>
      <c r="I66" s="64">
        <v>2.31</v>
      </c>
      <c r="J66" s="64">
        <v>0.2</v>
      </c>
      <c r="K66" s="64">
        <v>356.53</v>
      </c>
      <c r="L66" s="64">
        <v>31.24</v>
      </c>
      <c r="M66" s="64">
        <v>44.39</v>
      </c>
      <c r="N66" s="64">
        <v>365.3</v>
      </c>
      <c r="O66" s="64">
        <v>0</v>
      </c>
      <c r="P66" s="64">
        <v>0.27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3" t="s">
        <v>3105</v>
      </c>
      <c r="B67" s="64">
        <v>2.08</v>
      </c>
      <c r="C67" s="64">
        <v>19.61</v>
      </c>
      <c r="D67" s="64">
        <v>11.83</v>
      </c>
      <c r="E67" s="64">
        <v>2.14</v>
      </c>
      <c r="F67" s="64">
        <v>43.24</v>
      </c>
      <c r="G67" s="64">
        <v>22.53</v>
      </c>
      <c r="H67" s="64">
        <v>6.35</v>
      </c>
      <c r="I67" s="64">
        <v>2.72</v>
      </c>
      <c r="J67" s="64">
        <v>0.18</v>
      </c>
      <c r="K67" s="64">
        <v>178.36</v>
      </c>
      <c r="L67" s="64">
        <v>31.22</v>
      </c>
      <c r="M67" s="64">
        <v>44.44</v>
      </c>
      <c r="N67" s="64">
        <v>382.4</v>
      </c>
      <c r="O67" s="64">
        <v>0</v>
      </c>
      <c r="P67" s="64">
        <v>0.3</v>
      </c>
      <c r="Q67" s="64">
        <v>9.68</v>
      </c>
      <c r="R67" s="198"/>
      <c r="S67" s="198"/>
      <c r="T67" s="198"/>
      <c r="U67" s="198"/>
    </row>
    <row r="68" spans="1:21" s="12" customFormat="1" x14ac:dyDescent="0.25">
      <c r="A68" s="213" t="s">
        <v>3106</v>
      </c>
      <c r="B68" s="64">
        <v>0.97</v>
      </c>
      <c r="C68" s="64">
        <v>19.03</v>
      </c>
      <c r="D68" s="64">
        <v>10.63</v>
      </c>
      <c r="E68" s="64">
        <v>3.59</v>
      </c>
      <c r="F68" s="64">
        <v>63.89</v>
      </c>
      <c r="G68" s="64">
        <v>19.72</v>
      </c>
      <c r="H68" s="64">
        <v>6.45</v>
      </c>
      <c r="I68" s="64">
        <v>2.54</v>
      </c>
      <c r="J68" s="64">
        <v>0.99</v>
      </c>
      <c r="K68" s="64">
        <v>156.34</v>
      </c>
      <c r="L68" s="64">
        <v>30.84</v>
      </c>
      <c r="M68" s="64">
        <v>44.49</v>
      </c>
      <c r="N68" s="64">
        <v>274</v>
      </c>
      <c r="O68" s="64">
        <v>0</v>
      </c>
      <c r="P68" s="64">
        <v>0.27</v>
      </c>
      <c r="Q68" s="64">
        <v>9.68</v>
      </c>
      <c r="R68" s="198"/>
      <c r="S68" s="198"/>
      <c r="T68" s="198"/>
      <c r="U68" s="198"/>
    </row>
    <row r="69" spans="1:21" s="12" customFormat="1" x14ac:dyDescent="0.25">
      <c r="A69" s="213" t="s">
        <v>3107</v>
      </c>
      <c r="B69" s="64">
        <v>0.59</v>
      </c>
      <c r="C69" s="64">
        <v>18.34</v>
      </c>
      <c r="D69" s="64">
        <v>9.9700000000000006</v>
      </c>
      <c r="E69" s="64">
        <v>3.2</v>
      </c>
      <c r="F69" s="64">
        <v>50</v>
      </c>
      <c r="G69" s="64">
        <v>17.760000000000002</v>
      </c>
      <c r="H69" s="64">
        <v>6.52</v>
      </c>
      <c r="I69" s="64">
        <v>2.0499999999999998</v>
      </c>
      <c r="J69" s="64">
        <v>0.66</v>
      </c>
      <c r="K69" s="64">
        <v>166.7</v>
      </c>
      <c r="L69" s="64">
        <v>30.87</v>
      </c>
      <c r="M69" s="64">
        <v>43.7</v>
      </c>
      <c r="N69" s="64">
        <v>301.7</v>
      </c>
      <c r="O69" s="64">
        <v>0</v>
      </c>
      <c r="P69" s="64">
        <v>0.27</v>
      </c>
      <c r="Q69" s="64">
        <v>9.5399999999999991</v>
      </c>
      <c r="R69" s="198"/>
      <c r="S69" s="198"/>
      <c r="T69" s="198"/>
      <c r="U69" s="198"/>
    </row>
    <row r="70" spans="1:21" s="12" customFormat="1" x14ac:dyDescent="0.25">
      <c r="A70" s="213" t="s">
        <v>3108</v>
      </c>
      <c r="B70" s="64">
        <v>0.27</v>
      </c>
      <c r="C70" s="64">
        <v>16.57</v>
      </c>
      <c r="D70" s="64">
        <v>8.7899999999999991</v>
      </c>
      <c r="E70" s="64">
        <v>3.75</v>
      </c>
      <c r="F70" s="64">
        <v>59.14</v>
      </c>
      <c r="G70" s="64">
        <v>17.760000000000002</v>
      </c>
      <c r="H70" s="64">
        <v>6.52</v>
      </c>
      <c r="I70" s="64">
        <v>1.42</v>
      </c>
      <c r="J70" s="64">
        <v>0.64</v>
      </c>
      <c r="K70" s="64">
        <v>149.87</v>
      </c>
      <c r="L70" s="64">
        <v>30.78</v>
      </c>
      <c r="M70" s="64">
        <v>43.39</v>
      </c>
      <c r="N70" s="64">
        <v>252.5</v>
      </c>
      <c r="O70" s="64">
        <v>0</v>
      </c>
      <c r="P70" s="64">
        <v>0.32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3" t="s">
        <v>3109</v>
      </c>
      <c r="B71" s="64">
        <v>0.16</v>
      </c>
      <c r="C71" s="64">
        <v>19.89</v>
      </c>
      <c r="D71" s="64">
        <v>10.44</v>
      </c>
      <c r="E71" s="64">
        <v>3.81</v>
      </c>
      <c r="F71" s="64">
        <v>57.12</v>
      </c>
      <c r="G71" s="64">
        <v>17.760000000000002</v>
      </c>
      <c r="H71" s="64">
        <v>6.52</v>
      </c>
      <c r="I71" s="64">
        <v>1.61</v>
      </c>
      <c r="J71" s="64">
        <v>0.53</v>
      </c>
      <c r="K71" s="64">
        <v>168.95</v>
      </c>
      <c r="L71" s="64">
        <v>30.97</v>
      </c>
      <c r="M71" s="64">
        <v>42.02</v>
      </c>
      <c r="N71" s="64">
        <v>170</v>
      </c>
      <c r="O71" s="64">
        <v>0</v>
      </c>
      <c r="P71" s="64">
        <v>0.35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3" t="s">
        <v>3110</v>
      </c>
      <c r="B72" s="64">
        <v>0.1</v>
      </c>
      <c r="C72" s="64">
        <v>20.23</v>
      </c>
      <c r="D72" s="64">
        <v>10.57</v>
      </c>
      <c r="E72" s="64">
        <v>3.48</v>
      </c>
      <c r="F72" s="64">
        <v>58.72</v>
      </c>
      <c r="G72" s="64">
        <v>18.12</v>
      </c>
      <c r="H72" s="64">
        <v>6.72</v>
      </c>
      <c r="I72" s="64">
        <v>1.95</v>
      </c>
      <c r="J72" s="64">
        <v>0.17</v>
      </c>
      <c r="K72" s="64">
        <v>192.92</v>
      </c>
      <c r="L72" s="64">
        <v>31.03</v>
      </c>
      <c r="M72" s="64">
        <v>42.25</v>
      </c>
      <c r="N72" s="64">
        <v>212.7</v>
      </c>
      <c r="O72" s="64">
        <v>0</v>
      </c>
      <c r="P72" s="64">
        <v>0.33</v>
      </c>
      <c r="Q72" s="64">
        <v>9.2100000000000009</v>
      </c>
      <c r="R72" s="198"/>
      <c r="S72" s="198"/>
      <c r="T72" s="198"/>
      <c r="U72" s="198"/>
    </row>
    <row r="73" spans="1:21" s="12" customFormat="1" x14ac:dyDescent="0.25">
      <c r="A73" s="213" t="s">
        <v>3111</v>
      </c>
      <c r="B73" s="64">
        <v>0.1</v>
      </c>
      <c r="C73" s="64">
        <v>20.29</v>
      </c>
      <c r="D73" s="64">
        <v>10.6</v>
      </c>
      <c r="E73" s="64">
        <v>3.21</v>
      </c>
      <c r="F73" s="64">
        <v>50.02</v>
      </c>
      <c r="G73" s="64">
        <v>18.38</v>
      </c>
      <c r="H73" s="64">
        <v>6.86</v>
      </c>
      <c r="I73" s="64">
        <v>1.83</v>
      </c>
      <c r="J73" s="64">
        <v>0.43</v>
      </c>
      <c r="K73" s="64">
        <v>169.22</v>
      </c>
      <c r="L73" s="64">
        <v>31.12</v>
      </c>
      <c r="M73" s="64">
        <v>41.77</v>
      </c>
      <c r="N73" s="64">
        <v>137.5</v>
      </c>
      <c r="O73" s="64">
        <v>0</v>
      </c>
      <c r="P73" s="64">
        <v>0.3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3" t="s">
        <v>3112</v>
      </c>
      <c r="B74" s="64">
        <v>0.1</v>
      </c>
      <c r="C74" s="64">
        <v>22.99</v>
      </c>
      <c r="D74" s="64">
        <v>12.01</v>
      </c>
      <c r="E74" s="64">
        <v>1.89</v>
      </c>
      <c r="F74" s="64">
        <v>24.91</v>
      </c>
      <c r="G74" s="64">
        <v>18.38</v>
      </c>
      <c r="H74" s="64">
        <v>6.86</v>
      </c>
      <c r="I74" s="64">
        <v>1.44</v>
      </c>
      <c r="J74" s="64">
        <v>0.45</v>
      </c>
      <c r="K74" s="64">
        <v>149.94999999999999</v>
      </c>
      <c r="L74" s="64">
        <v>30.88</v>
      </c>
      <c r="M74" s="64">
        <v>41.51</v>
      </c>
      <c r="N74" s="64">
        <v>110.6</v>
      </c>
      <c r="O74" s="64">
        <v>0</v>
      </c>
      <c r="P74" s="64">
        <v>0.31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3" t="s">
        <v>3113</v>
      </c>
      <c r="B75" s="64">
        <v>0.13</v>
      </c>
      <c r="C75" s="64">
        <v>21.22</v>
      </c>
      <c r="D75" s="64">
        <v>11.11</v>
      </c>
      <c r="E75" s="64">
        <v>1.59</v>
      </c>
      <c r="F75" s="64">
        <v>29.04</v>
      </c>
      <c r="G75" s="64">
        <v>18.38</v>
      </c>
      <c r="H75" s="64">
        <v>6.86</v>
      </c>
      <c r="I75" s="64">
        <v>1.26</v>
      </c>
      <c r="J75" s="64">
        <v>0.61</v>
      </c>
      <c r="K75" s="64">
        <v>146.6</v>
      </c>
      <c r="L75" s="64">
        <v>30.76</v>
      </c>
      <c r="M75" s="64">
        <v>42.18</v>
      </c>
      <c r="N75" s="64">
        <v>98.7</v>
      </c>
      <c r="O75" s="64">
        <v>0</v>
      </c>
      <c r="P75" s="64">
        <v>0.28000000000000003</v>
      </c>
      <c r="Q75" s="64">
        <v>9.0399999999999991</v>
      </c>
      <c r="R75" s="198"/>
      <c r="S75" s="198"/>
      <c r="T75" s="198"/>
      <c r="U75" s="198"/>
    </row>
    <row r="76" spans="1:21" s="12" customFormat="1" x14ac:dyDescent="0.25">
      <c r="A76" s="213" t="s">
        <v>3114</v>
      </c>
      <c r="B76" s="64">
        <v>0.1</v>
      </c>
      <c r="C76" s="64">
        <v>17.8</v>
      </c>
      <c r="D76" s="64">
        <v>9.3000000000000007</v>
      </c>
      <c r="E76" s="64">
        <v>2.4900000000000002</v>
      </c>
      <c r="F76" s="64">
        <v>47.4</v>
      </c>
      <c r="G76" s="64">
        <v>15.28</v>
      </c>
      <c r="H76" s="64">
        <v>6.56</v>
      </c>
      <c r="I76" s="64">
        <v>1.44</v>
      </c>
      <c r="J76" s="64">
        <v>0.66</v>
      </c>
      <c r="K76" s="64">
        <v>148.11000000000001</v>
      </c>
      <c r="L76" s="64">
        <v>30.71</v>
      </c>
      <c r="M76" s="64">
        <v>41.98</v>
      </c>
      <c r="N76" s="64">
        <v>90.6</v>
      </c>
      <c r="O76" s="64">
        <v>0</v>
      </c>
      <c r="P76" s="64">
        <v>0.26</v>
      </c>
      <c r="Q76" s="64">
        <v>9.08</v>
      </c>
      <c r="R76" s="198"/>
      <c r="S76" s="198"/>
      <c r="T76" s="198"/>
      <c r="U76" s="198"/>
    </row>
    <row r="77" spans="1:21" s="12" customFormat="1" x14ac:dyDescent="0.25">
      <c r="A77" s="213" t="s">
        <v>3115</v>
      </c>
      <c r="B77" s="64">
        <v>0.1</v>
      </c>
      <c r="C77" s="64">
        <v>17.420000000000002</v>
      </c>
      <c r="D77" s="64">
        <v>9.1</v>
      </c>
      <c r="E77" s="64">
        <v>1.97</v>
      </c>
      <c r="F77" s="64">
        <v>28.97</v>
      </c>
      <c r="G77" s="64">
        <v>13.12</v>
      </c>
      <c r="H77" s="64">
        <v>6.34</v>
      </c>
      <c r="I77" s="64">
        <v>1.58</v>
      </c>
      <c r="J77" s="64">
        <v>0.66</v>
      </c>
      <c r="K77" s="64">
        <v>157.13999999999999</v>
      </c>
      <c r="L77" s="64">
        <v>30.62</v>
      </c>
      <c r="M77" s="64">
        <v>41.89</v>
      </c>
      <c r="N77" s="64">
        <v>81.7</v>
      </c>
      <c r="O77" s="64">
        <v>0</v>
      </c>
      <c r="P77" s="64">
        <v>0.26</v>
      </c>
      <c r="Q77" s="64">
        <v>9.0299999999999994</v>
      </c>
      <c r="R77" s="198"/>
      <c r="S77" s="198"/>
      <c r="T77" s="198"/>
      <c r="U77" s="198"/>
    </row>
    <row r="78" spans="1:21" s="12" customFormat="1" x14ac:dyDescent="0.25">
      <c r="A78" s="213" t="s">
        <v>3116</v>
      </c>
      <c r="B78" s="64">
        <v>0.1</v>
      </c>
      <c r="C78" s="64">
        <v>20.13</v>
      </c>
      <c r="D78" s="64">
        <v>10.52</v>
      </c>
      <c r="E78" s="64">
        <v>2.4500000000000002</v>
      </c>
      <c r="F78" s="64">
        <v>48.21</v>
      </c>
      <c r="G78" s="64">
        <v>13.12</v>
      </c>
      <c r="H78" s="64">
        <v>6.34</v>
      </c>
      <c r="I78" s="64">
        <v>1.54</v>
      </c>
      <c r="J78" s="64">
        <v>1.18</v>
      </c>
      <c r="K78" s="64">
        <v>150.83000000000001</v>
      </c>
      <c r="L78" s="64">
        <v>30.36</v>
      </c>
      <c r="M78" s="64">
        <v>41.58</v>
      </c>
      <c r="N78" s="64">
        <v>65.5</v>
      </c>
      <c r="O78" s="64">
        <v>0</v>
      </c>
      <c r="P78" s="64">
        <v>0.26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3" t="s">
        <v>3117</v>
      </c>
      <c r="B79" s="64">
        <v>0.1</v>
      </c>
      <c r="C79" s="64">
        <v>20.09</v>
      </c>
      <c r="D79" s="64">
        <v>10.5</v>
      </c>
      <c r="E79" s="64">
        <v>2.73</v>
      </c>
      <c r="F79" s="64">
        <v>44.89</v>
      </c>
      <c r="G79" s="64">
        <v>13.12</v>
      </c>
      <c r="H79" s="64">
        <v>6.34</v>
      </c>
      <c r="I79" s="64">
        <v>1.45</v>
      </c>
      <c r="J79" s="64">
        <v>0.78</v>
      </c>
      <c r="K79" s="64">
        <v>157.59</v>
      </c>
      <c r="L79" s="64">
        <v>30.33</v>
      </c>
      <c r="M79" s="64">
        <v>42.03</v>
      </c>
      <c r="N79" s="64">
        <v>54.1</v>
      </c>
      <c r="O79" s="64">
        <v>0</v>
      </c>
      <c r="P79" s="64">
        <v>0.26</v>
      </c>
      <c r="Q79" s="64">
        <v>9.15</v>
      </c>
      <c r="R79" s="198"/>
      <c r="S79" s="198"/>
      <c r="T79" s="198"/>
      <c r="U79" s="198"/>
    </row>
    <row r="80" spans="1:21" s="12" customFormat="1" x14ac:dyDescent="0.25">
      <c r="A80" s="213" t="s">
        <v>3118</v>
      </c>
      <c r="B80" s="64">
        <v>0.1</v>
      </c>
      <c r="C80" s="64">
        <v>21.16</v>
      </c>
      <c r="D80" s="64">
        <v>11.06</v>
      </c>
      <c r="E80" s="64">
        <v>1.8</v>
      </c>
      <c r="F80" s="64">
        <v>20.149999999999999</v>
      </c>
      <c r="G80" s="64">
        <v>12.79</v>
      </c>
      <c r="H80" s="64">
        <v>6.65</v>
      </c>
      <c r="I80" s="64">
        <v>1.33</v>
      </c>
      <c r="J80" s="64">
        <v>0.66</v>
      </c>
      <c r="K80" s="64">
        <v>146.04</v>
      </c>
      <c r="L80" s="64">
        <v>30.05</v>
      </c>
      <c r="M80" s="64">
        <v>44.27</v>
      </c>
      <c r="N80" s="64">
        <v>41.9</v>
      </c>
      <c r="O80" s="64">
        <v>0</v>
      </c>
      <c r="P80" s="64">
        <v>0.26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3" t="s">
        <v>3119</v>
      </c>
      <c r="B81" s="64">
        <v>0.14000000000000001</v>
      </c>
      <c r="C81" s="64">
        <v>21.65</v>
      </c>
      <c r="D81" s="64">
        <v>11.34</v>
      </c>
      <c r="E81" s="64">
        <v>1.52</v>
      </c>
      <c r="F81" s="64">
        <v>10.95</v>
      </c>
      <c r="G81" s="64">
        <v>12.56</v>
      </c>
      <c r="H81" s="64">
        <v>6.87</v>
      </c>
      <c r="I81" s="64">
        <v>1.47</v>
      </c>
      <c r="J81" s="64">
        <v>0.1</v>
      </c>
      <c r="K81" s="64">
        <v>119.89</v>
      </c>
      <c r="L81" s="64">
        <v>29.22</v>
      </c>
      <c r="M81" s="64">
        <v>48.57</v>
      </c>
      <c r="N81" s="64">
        <v>30.1</v>
      </c>
      <c r="O81" s="64">
        <v>0</v>
      </c>
      <c r="P81" s="64">
        <v>0.27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13" t="s">
        <v>3120</v>
      </c>
      <c r="B82" s="64">
        <v>0.32</v>
      </c>
      <c r="C82" s="64">
        <v>21.63</v>
      </c>
      <c r="D82" s="64">
        <v>11.48</v>
      </c>
      <c r="E82" s="64">
        <v>1.02</v>
      </c>
      <c r="F82" s="64">
        <v>7.11</v>
      </c>
      <c r="G82" s="64">
        <v>12.56</v>
      </c>
      <c r="H82" s="64">
        <v>6.87</v>
      </c>
      <c r="I82" s="64">
        <v>1.92</v>
      </c>
      <c r="J82" s="64">
        <v>0.16</v>
      </c>
      <c r="K82" s="64">
        <v>154.09</v>
      </c>
      <c r="L82" s="64">
        <v>28.85</v>
      </c>
      <c r="M82" s="64">
        <v>48.35</v>
      </c>
      <c r="N82" s="64">
        <v>21.9</v>
      </c>
      <c r="O82" s="64">
        <v>0</v>
      </c>
      <c r="P82" s="64">
        <v>0.28000000000000003</v>
      </c>
      <c r="Q82" s="64">
        <v>9.2899999999999991</v>
      </c>
      <c r="R82" s="198"/>
      <c r="S82" s="198"/>
      <c r="T82" s="198"/>
      <c r="U82" s="198"/>
    </row>
    <row r="83" spans="1:26" s="12" customFormat="1" x14ac:dyDescent="0.25">
      <c r="A83" s="213" t="s">
        <v>3121</v>
      </c>
      <c r="B83" s="64">
        <v>0.7</v>
      </c>
      <c r="C83" s="64">
        <v>22.55</v>
      </c>
      <c r="D83" s="64">
        <v>12.26</v>
      </c>
      <c r="E83" s="64">
        <v>1.19</v>
      </c>
      <c r="F83" s="64">
        <v>5.6</v>
      </c>
      <c r="G83" s="64">
        <v>12.56</v>
      </c>
      <c r="H83" s="64">
        <v>6.87</v>
      </c>
      <c r="I83" s="64">
        <v>2.38</v>
      </c>
      <c r="J83" s="64">
        <v>0.24</v>
      </c>
      <c r="K83" s="64">
        <v>147.33000000000001</v>
      </c>
      <c r="L83" s="64">
        <v>28.7</v>
      </c>
      <c r="M83" s="64">
        <v>50.8</v>
      </c>
      <c r="N83" s="64">
        <v>19.5</v>
      </c>
      <c r="O83" s="64">
        <v>0</v>
      </c>
      <c r="P83" s="64">
        <v>0.28000000000000003</v>
      </c>
      <c r="Q83" s="64">
        <v>9.36</v>
      </c>
      <c r="R83" s="198"/>
      <c r="S83" s="198"/>
      <c r="T83" s="198"/>
      <c r="U83" s="198"/>
    </row>
    <row r="84" spans="1:26" s="12" customFormat="1" x14ac:dyDescent="0.25">
      <c r="A84" s="213" t="s">
        <v>3122</v>
      </c>
      <c r="B84" s="64">
        <v>1.08</v>
      </c>
      <c r="C84" s="64">
        <v>23.43</v>
      </c>
      <c r="D84" s="64">
        <v>13.03</v>
      </c>
      <c r="E84" s="64">
        <v>1.68</v>
      </c>
      <c r="F84" s="64">
        <v>4.9400000000000004</v>
      </c>
      <c r="G84" s="64">
        <v>22.61</v>
      </c>
      <c r="H84" s="64">
        <v>7.09</v>
      </c>
      <c r="I84" s="64">
        <v>2.78</v>
      </c>
      <c r="J84" s="64">
        <v>0.1</v>
      </c>
      <c r="K84" s="64">
        <v>63.13</v>
      </c>
      <c r="L84" s="64">
        <v>28.41</v>
      </c>
      <c r="M84" s="64">
        <v>50.69</v>
      </c>
      <c r="N84" s="64">
        <v>19.8</v>
      </c>
      <c r="O84" s="64">
        <v>0</v>
      </c>
      <c r="P84" s="64">
        <v>0.3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13" t="s">
        <v>3123</v>
      </c>
      <c r="B85" s="64">
        <v>1.45</v>
      </c>
      <c r="C85" s="64">
        <v>24.56</v>
      </c>
      <c r="D85" s="64">
        <v>13.91</v>
      </c>
      <c r="E85" s="64">
        <v>1.47</v>
      </c>
      <c r="F85" s="64">
        <v>4.25</v>
      </c>
      <c r="G85" s="64">
        <v>29.62</v>
      </c>
      <c r="H85" s="64">
        <v>7.24</v>
      </c>
      <c r="I85" s="64">
        <v>3.14</v>
      </c>
      <c r="J85" s="64">
        <v>0.2</v>
      </c>
      <c r="K85" s="64">
        <v>36.450000000000003</v>
      </c>
      <c r="L85" s="64">
        <v>28.19</v>
      </c>
      <c r="M85" s="64">
        <v>51.34</v>
      </c>
      <c r="N85" s="64">
        <v>19.5</v>
      </c>
      <c r="O85" s="64">
        <v>0</v>
      </c>
      <c r="P85" s="64">
        <v>0.32</v>
      </c>
      <c r="Q85" s="64">
        <v>9.48</v>
      </c>
      <c r="R85" s="198"/>
      <c r="S85" s="198"/>
      <c r="T85" s="198"/>
      <c r="U85" s="198"/>
    </row>
    <row r="86" spans="1:26" s="12" customFormat="1" x14ac:dyDescent="0.25">
      <c r="A86" s="213" t="s">
        <v>3124</v>
      </c>
      <c r="B86" s="64">
        <v>2.59</v>
      </c>
      <c r="C86" s="64">
        <v>24.68</v>
      </c>
      <c r="D86" s="64">
        <v>14.89</v>
      </c>
      <c r="E86" s="64">
        <v>1.52</v>
      </c>
      <c r="F86" s="64">
        <v>3.79</v>
      </c>
      <c r="G86" s="64">
        <v>29.62</v>
      </c>
      <c r="H86" s="64">
        <v>7.24</v>
      </c>
      <c r="I86" s="64">
        <v>3.73</v>
      </c>
      <c r="J86" s="64">
        <v>0.09</v>
      </c>
      <c r="K86" s="64">
        <v>36.11</v>
      </c>
      <c r="L86" s="64">
        <v>28</v>
      </c>
      <c r="M86" s="64">
        <v>59.97</v>
      </c>
      <c r="N86" s="64">
        <v>19.7</v>
      </c>
      <c r="O86" s="64">
        <v>0</v>
      </c>
      <c r="P86" s="64">
        <v>0.46</v>
      </c>
      <c r="Q86" s="64">
        <v>9.4700000000000006</v>
      </c>
      <c r="R86" s="198"/>
      <c r="S86" s="198"/>
      <c r="T86" s="198"/>
      <c r="U86" s="198"/>
    </row>
    <row r="87" spans="1:26" s="12" customFormat="1" x14ac:dyDescent="0.25">
      <c r="A87" s="213" t="s">
        <v>3125</v>
      </c>
      <c r="B87" s="64">
        <v>4.1100000000000003</v>
      </c>
      <c r="C87" s="64">
        <v>24.85</v>
      </c>
      <c r="D87" s="64">
        <v>16.2</v>
      </c>
      <c r="E87" s="64">
        <v>1.28</v>
      </c>
      <c r="F87" s="64">
        <v>4.0199999999999996</v>
      </c>
      <c r="G87" s="64">
        <v>29.62</v>
      </c>
      <c r="H87" s="64">
        <v>7.24</v>
      </c>
      <c r="I87" s="64">
        <v>4.54</v>
      </c>
      <c r="J87" s="64">
        <v>0.11</v>
      </c>
      <c r="K87" s="64">
        <v>313.56</v>
      </c>
      <c r="L87" s="64">
        <v>27.6</v>
      </c>
      <c r="M87" s="64">
        <v>58.81</v>
      </c>
      <c r="N87" s="64">
        <v>19.7</v>
      </c>
      <c r="O87" s="64">
        <v>0</v>
      </c>
      <c r="P87" s="64">
        <v>0.53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13" t="s">
        <v>3126</v>
      </c>
      <c r="B88" s="64">
        <v>6.24</v>
      </c>
      <c r="C88" s="64">
        <v>25.22</v>
      </c>
      <c r="D88" s="64">
        <v>18.100000000000001</v>
      </c>
      <c r="E88" s="64">
        <v>0.9</v>
      </c>
      <c r="F88" s="64">
        <v>3.6</v>
      </c>
      <c r="G88" s="64">
        <v>39.89</v>
      </c>
      <c r="H88" s="64">
        <v>9.02</v>
      </c>
      <c r="I88" s="64">
        <v>5.27</v>
      </c>
      <c r="J88" s="64">
        <v>0.36</v>
      </c>
      <c r="K88" s="64">
        <v>0.38</v>
      </c>
      <c r="L88" s="64">
        <v>27.31</v>
      </c>
      <c r="M88" s="64">
        <v>68.92</v>
      </c>
      <c r="N88" s="64">
        <v>19.600000000000001</v>
      </c>
      <c r="O88" s="64">
        <v>0</v>
      </c>
      <c r="P88" s="64">
        <v>0.64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3" t="s">
        <v>3127</v>
      </c>
      <c r="B89" s="64">
        <v>9.58</v>
      </c>
      <c r="C89" s="64">
        <v>24.73</v>
      </c>
      <c r="D89" s="64">
        <v>20.52</v>
      </c>
      <c r="E89" s="64">
        <v>1.3</v>
      </c>
      <c r="F89" s="64">
        <v>3.3</v>
      </c>
      <c r="G89" s="64">
        <v>47.07</v>
      </c>
      <c r="H89" s="64">
        <v>10.26</v>
      </c>
      <c r="I89" s="64">
        <v>5.21</v>
      </c>
      <c r="J89" s="64">
        <v>0.25</v>
      </c>
      <c r="K89" s="64">
        <v>35.049999999999997</v>
      </c>
      <c r="L89" s="64">
        <v>27.16</v>
      </c>
      <c r="M89" s="64">
        <v>60.91</v>
      </c>
      <c r="N89" s="64">
        <v>19</v>
      </c>
      <c r="O89" s="64">
        <v>0</v>
      </c>
      <c r="P89" s="64">
        <v>0.78</v>
      </c>
      <c r="Q89" s="64">
        <v>9.5500000000000007</v>
      </c>
      <c r="R89" s="198"/>
      <c r="S89" s="198"/>
      <c r="T89" s="198"/>
      <c r="U89" s="198"/>
    </row>
    <row r="90" spans="1:26" s="12" customFormat="1" x14ac:dyDescent="0.25">
      <c r="A90" s="213" t="s">
        <v>3128</v>
      </c>
      <c r="B90" s="64">
        <v>11.27</v>
      </c>
      <c r="C90" s="64">
        <v>25.07</v>
      </c>
      <c r="D90" s="64">
        <v>22.06</v>
      </c>
      <c r="E90" s="64">
        <v>1.44</v>
      </c>
      <c r="F90" s="64">
        <v>3.63</v>
      </c>
      <c r="G90" s="64">
        <v>47.07</v>
      </c>
      <c r="H90" s="64">
        <v>10.26</v>
      </c>
      <c r="I90" s="64">
        <v>5.81</v>
      </c>
      <c r="J90" s="64">
        <v>0.2</v>
      </c>
      <c r="K90" s="64">
        <v>46.97</v>
      </c>
      <c r="L90" s="64">
        <v>27.43</v>
      </c>
      <c r="M90" s="64">
        <v>59.88</v>
      </c>
      <c r="N90" s="64">
        <v>19.399999999999999</v>
      </c>
      <c r="O90" s="64">
        <v>0</v>
      </c>
      <c r="P90" s="64">
        <v>0.85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3" t="s">
        <v>3129</v>
      </c>
      <c r="B91" s="64">
        <v>13.51</v>
      </c>
      <c r="C91" s="64">
        <v>25.89</v>
      </c>
      <c r="D91" s="64">
        <v>24.28</v>
      </c>
      <c r="E91" s="64">
        <v>1.69</v>
      </c>
      <c r="F91" s="64">
        <v>3.15</v>
      </c>
      <c r="G91" s="64">
        <v>47.07</v>
      </c>
      <c r="H91" s="64">
        <v>10.26</v>
      </c>
      <c r="I91" s="64">
        <v>6.43</v>
      </c>
      <c r="J91" s="64">
        <v>0.11</v>
      </c>
      <c r="K91" s="64">
        <v>22.74</v>
      </c>
      <c r="L91" s="64">
        <v>27.3</v>
      </c>
      <c r="M91" s="64">
        <v>59.22</v>
      </c>
      <c r="N91" s="64">
        <v>19.3</v>
      </c>
      <c r="O91" s="64">
        <v>0</v>
      </c>
      <c r="P91" s="64">
        <v>0.91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3" t="s">
        <v>3130</v>
      </c>
      <c r="B92" s="64">
        <v>16.07</v>
      </c>
      <c r="C92" s="64">
        <v>25.23</v>
      </c>
      <c r="D92" s="64">
        <v>25.98</v>
      </c>
      <c r="E92" s="64">
        <v>1.1599999999999999</v>
      </c>
      <c r="F92" s="64">
        <v>3.77</v>
      </c>
      <c r="G92" s="64">
        <v>50.46</v>
      </c>
      <c r="H92" s="64">
        <v>11.15</v>
      </c>
      <c r="I92" s="64">
        <v>6.27</v>
      </c>
      <c r="J92" s="64">
        <v>0.23</v>
      </c>
      <c r="K92" s="64">
        <v>13.46</v>
      </c>
      <c r="L92" s="64">
        <v>27.15</v>
      </c>
      <c r="M92" s="64">
        <v>62.32</v>
      </c>
      <c r="N92" s="64">
        <v>19.600000000000001</v>
      </c>
      <c r="O92" s="64">
        <v>0</v>
      </c>
      <c r="P92" s="64">
        <v>1.05</v>
      </c>
      <c r="Q92" s="64">
        <v>9.61</v>
      </c>
      <c r="R92" s="198"/>
      <c r="S92" s="198"/>
      <c r="T92" s="198"/>
      <c r="U92" s="198"/>
    </row>
    <row r="93" spans="1:26" s="12" customFormat="1" x14ac:dyDescent="0.25">
      <c r="A93" s="213" t="s">
        <v>3131</v>
      </c>
      <c r="B93" s="64">
        <v>18.559999999999999</v>
      </c>
      <c r="C93" s="64">
        <v>25.69</v>
      </c>
      <c r="D93" s="64">
        <v>28.23</v>
      </c>
      <c r="E93" s="64">
        <v>1.24</v>
      </c>
      <c r="F93" s="64">
        <v>2.87</v>
      </c>
      <c r="G93" s="64">
        <v>52.84</v>
      </c>
      <c r="H93" s="64">
        <v>11.77</v>
      </c>
      <c r="I93" s="64">
        <v>6.37</v>
      </c>
      <c r="J93" s="64">
        <v>0.39</v>
      </c>
      <c r="K93" s="64">
        <v>81.010000000000005</v>
      </c>
      <c r="L93" s="64">
        <v>27.39</v>
      </c>
      <c r="M93" s="64">
        <v>54.92</v>
      </c>
      <c r="N93" s="64">
        <v>18.7</v>
      </c>
      <c r="O93" s="64">
        <v>0</v>
      </c>
      <c r="P93" s="64">
        <v>1.1100000000000001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3" t="s">
        <v>3132</v>
      </c>
      <c r="B94" s="64">
        <v>20.71</v>
      </c>
      <c r="C94" s="64">
        <v>26.23</v>
      </c>
      <c r="D94" s="64">
        <v>30.23</v>
      </c>
      <c r="E94" s="64">
        <v>1.54</v>
      </c>
      <c r="F94" s="64">
        <v>3.49</v>
      </c>
      <c r="G94" s="64">
        <v>52.84</v>
      </c>
      <c r="H94" s="64">
        <v>11.77</v>
      </c>
      <c r="I94" s="64">
        <v>6.94</v>
      </c>
      <c r="J94" s="64">
        <v>0.32</v>
      </c>
      <c r="K94" s="64">
        <v>27.63</v>
      </c>
      <c r="L94" s="64">
        <v>27.58</v>
      </c>
      <c r="M94" s="64">
        <v>58.36</v>
      </c>
      <c r="N94" s="64">
        <v>19.600000000000001</v>
      </c>
      <c r="O94" s="64">
        <v>0</v>
      </c>
      <c r="P94" s="64">
        <v>1.1499999999999999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3" t="s">
        <v>3133</v>
      </c>
      <c r="B95" s="64">
        <v>24.12</v>
      </c>
      <c r="C95" s="64">
        <v>26.58</v>
      </c>
      <c r="D95" s="64">
        <v>33.15</v>
      </c>
      <c r="E95" s="64">
        <v>1.24</v>
      </c>
      <c r="F95" s="64">
        <v>3.49</v>
      </c>
      <c r="G95" s="64">
        <v>52.84</v>
      </c>
      <c r="H95" s="64">
        <v>11.77</v>
      </c>
      <c r="I95" s="64">
        <v>6.77</v>
      </c>
      <c r="J95" s="64">
        <v>0.25</v>
      </c>
      <c r="K95" s="64">
        <v>1.1499999999999999</v>
      </c>
      <c r="L95" s="64">
        <v>26.98</v>
      </c>
      <c r="M95" s="64">
        <v>65</v>
      </c>
      <c r="N95" s="64">
        <v>20.2</v>
      </c>
      <c r="O95" s="64">
        <v>0</v>
      </c>
      <c r="P95" s="64">
        <v>1.26</v>
      </c>
      <c r="Q95" s="64">
        <v>9.6199999999999992</v>
      </c>
      <c r="R95" s="198"/>
      <c r="S95" s="198"/>
      <c r="T95" s="198"/>
      <c r="U95" s="198"/>
    </row>
    <row r="96" spans="1:26" s="12" customFormat="1" x14ac:dyDescent="0.25">
      <c r="A96" s="213" t="s">
        <v>3134</v>
      </c>
      <c r="B96" s="64">
        <v>28.14</v>
      </c>
      <c r="C96" s="64">
        <v>27.21</v>
      </c>
      <c r="D96" s="64">
        <v>36.700000000000003</v>
      </c>
      <c r="E96" s="64">
        <v>1.32</v>
      </c>
      <c r="F96" s="64">
        <v>3.3</v>
      </c>
      <c r="G96" s="64">
        <v>58.46</v>
      </c>
      <c r="H96" s="64">
        <v>14.24</v>
      </c>
      <c r="I96" s="64">
        <v>6.99</v>
      </c>
      <c r="J96" s="64">
        <v>0.28000000000000003</v>
      </c>
      <c r="K96" s="64">
        <v>6.23</v>
      </c>
      <c r="L96" s="64">
        <v>26.28</v>
      </c>
      <c r="M96" s="64">
        <v>67.88</v>
      </c>
      <c r="N96" s="64">
        <v>20.3</v>
      </c>
      <c r="O96" s="64">
        <v>0</v>
      </c>
      <c r="P96" s="64">
        <v>1.37</v>
      </c>
      <c r="Q96" s="64">
        <v>9.68</v>
      </c>
      <c r="R96" s="198"/>
      <c r="S96" s="198"/>
      <c r="T96" s="215"/>
      <c r="U96" s="198"/>
      <c r="Z96" s="109"/>
    </row>
    <row r="97" spans="1:33" s="12" customFormat="1" x14ac:dyDescent="0.25">
      <c r="A97" s="213" t="s">
        <v>3135</v>
      </c>
      <c r="B97" s="64">
        <v>31.12</v>
      </c>
      <c r="C97" s="64">
        <v>30.46</v>
      </c>
      <c r="D97" s="64">
        <v>40.799999999999997</v>
      </c>
      <c r="E97" s="64">
        <v>1.38</v>
      </c>
      <c r="F97" s="64">
        <v>3.58</v>
      </c>
      <c r="G97" s="64">
        <v>62.38</v>
      </c>
      <c r="H97" s="64">
        <v>15.96</v>
      </c>
      <c r="I97" s="64">
        <v>7.59</v>
      </c>
      <c r="J97" s="64">
        <v>0.16</v>
      </c>
      <c r="K97" s="64">
        <v>8.1</v>
      </c>
      <c r="L97" s="64">
        <v>25.85</v>
      </c>
      <c r="M97" s="64">
        <v>69.06</v>
      </c>
      <c r="N97" s="64">
        <v>20.2</v>
      </c>
      <c r="O97" s="64">
        <v>0</v>
      </c>
      <c r="P97" s="64">
        <v>1.47</v>
      </c>
      <c r="Q97" s="64">
        <v>9.82</v>
      </c>
      <c r="R97" s="198"/>
      <c r="S97" s="198"/>
      <c r="T97" s="198"/>
      <c r="U97" s="198"/>
    </row>
    <row r="98" spans="1:33" s="12" customFormat="1" x14ac:dyDescent="0.25">
      <c r="A98" s="213" t="s">
        <v>3136</v>
      </c>
      <c r="B98" s="64">
        <v>33.56</v>
      </c>
      <c r="C98" s="64">
        <v>31.24</v>
      </c>
      <c r="D98" s="64">
        <v>43.16</v>
      </c>
      <c r="E98" s="64">
        <v>1.21</v>
      </c>
      <c r="F98" s="64">
        <v>3.58</v>
      </c>
      <c r="G98" s="64">
        <v>62.38</v>
      </c>
      <c r="H98" s="64">
        <v>15.96</v>
      </c>
      <c r="I98" s="64">
        <v>7.89</v>
      </c>
      <c r="J98" s="64">
        <v>0.27</v>
      </c>
      <c r="K98" s="64">
        <v>334.28</v>
      </c>
      <c r="L98" s="64">
        <v>25.83</v>
      </c>
      <c r="M98" s="64">
        <v>71.87</v>
      </c>
      <c r="N98" s="64">
        <v>19.899999999999999</v>
      </c>
      <c r="O98" s="64">
        <v>0</v>
      </c>
      <c r="P98" s="64">
        <v>1.5</v>
      </c>
      <c r="Q98" s="64">
        <v>9.9499999999999993</v>
      </c>
      <c r="R98" s="198"/>
      <c r="S98" s="198"/>
      <c r="T98" s="198"/>
      <c r="U98" s="198"/>
    </row>
    <row r="99" spans="1:33" s="12" customFormat="1" x14ac:dyDescent="0.25">
      <c r="A99" s="213" t="s">
        <v>3137</v>
      </c>
      <c r="B99" s="64">
        <v>37.17</v>
      </c>
      <c r="C99" s="64">
        <v>30.81</v>
      </c>
      <c r="D99" s="64">
        <v>45.82</v>
      </c>
      <c r="E99" s="64">
        <v>1.59</v>
      </c>
      <c r="F99" s="64">
        <v>3.51</v>
      </c>
      <c r="G99" s="64">
        <v>62.38</v>
      </c>
      <c r="H99" s="64">
        <v>15.96</v>
      </c>
      <c r="I99" s="64">
        <v>8.3699999999999992</v>
      </c>
      <c r="J99" s="64">
        <v>0.4</v>
      </c>
      <c r="K99" s="64">
        <v>355.91</v>
      </c>
      <c r="L99" s="64">
        <v>25.77</v>
      </c>
      <c r="M99" s="64">
        <v>78.16</v>
      </c>
      <c r="N99" s="64">
        <v>20.100000000000001</v>
      </c>
      <c r="O99" s="64">
        <v>0</v>
      </c>
      <c r="P99" s="64">
        <v>1.55</v>
      </c>
      <c r="Q99" s="64">
        <v>10.09</v>
      </c>
      <c r="R99" s="198"/>
      <c r="S99" s="198"/>
      <c r="T99" s="198"/>
      <c r="U99" s="198"/>
    </row>
    <row r="100" spans="1:33" s="12" customFormat="1" x14ac:dyDescent="0.25">
      <c r="A100" s="213" t="s">
        <v>3138</v>
      </c>
      <c r="B100" s="64">
        <v>39.31</v>
      </c>
      <c r="C100" s="64">
        <v>30.06</v>
      </c>
      <c r="D100" s="64">
        <v>47.15</v>
      </c>
      <c r="E100" s="64">
        <v>1.86</v>
      </c>
      <c r="F100" s="64">
        <v>3.44</v>
      </c>
      <c r="G100" s="64">
        <v>70.77</v>
      </c>
      <c r="H100" s="64">
        <v>18.190000000000001</v>
      </c>
      <c r="I100" s="64">
        <v>8.3800000000000008</v>
      </c>
      <c r="J100" s="64">
        <v>0.2</v>
      </c>
      <c r="K100" s="64">
        <v>89.19</v>
      </c>
      <c r="L100" s="64">
        <v>25.8</v>
      </c>
      <c r="M100" s="64">
        <v>69.2</v>
      </c>
      <c r="N100" s="64">
        <v>19.399999999999999</v>
      </c>
      <c r="O100" s="64">
        <v>0</v>
      </c>
      <c r="P100" s="64">
        <v>1.55</v>
      </c>
      <c r="Q100" s="64">
        <v>10.25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3139</v>
      </c>
      <c r="B101" s="64">
        <v>39</v>
      </c>
      <c r="C101" s="64">
        <v>29.89</v>
      </c>
      <c r="D101" s="64">
        <v>46.81</v>
      </c>
      <c r="E101" s="64">
        <v>1.2</v>
      </c>
      <c r="F101" s="64">
        <v>3.4</v>
      </c>
      <c r="G101" s="64">
        <v>76.63</v>
      </c>
      <c r="H101" s="64">
        <v>19.75</v>
      </c>
      <c r="I101" s="64">
        <v>8.61</v>
      </c>
      <c r="J101" s="64">
        <v>0.21</v>
      </c>
      <c r="K101" s="64">
        <v>16.809999999999999</v>
      </c>
      <c r="L101" s="64">
        <v>26.49</v>
      </c>
      <c r="M101" s="64">
        <v>65.62</v>
      </c>
      <c r="N101" s="64">
        <v>19.7</v>
      </c>
      <c r="O101" s="64">
        <v>0</v>
      </c>
      <c r="P101" s="64">
        <v>1.53</v>
      </c>
      <c r="Q101" s="64">
        <v>10.33</v>
      </c>
      <c r="R101" s="198"/>
      <c r="S101" s="198"/>
      <c r="T101" s="198"/>
      <c r="U101" s="198"/>
    </row>
    <row r="102" spans="1:33" s="12" customFormat="1" x14ac:dyDescent="0.25">
      <c r="A102" s="213" t="s">
        <v>3140</v>
      </c>
      <c r="B102" s="64">
        <v>38.86</v>
      </c>
      <c r="C102" s="64">
        <v>29.15</v>
      </c>
      <c r="D102" s="64">
        <v>46.31</v>
      </c>
      <c r="E102" s="64">
        <v>1.5</v>
      </c>
      <c r="F102" s="64">
        <v>3.2</v>
      </c>
      <c r="G102" s="64">
        <v>76.63</v>
      </c>
      <c r="H102" s="64">
        <v>19.75</v>
      </c>
      <c r="I102" s="64">
        <v>8.31</v>
      </c>
      <c r="J102" s="64">
        <v>1.03</v>
      </c>
      <c r="K102" s="64">
        <v>353.87</v>
      </c>
      <c r="L102" s="64">
        <v>25.9</v>
      </c>
      <c r="M102" s="64">
        <v>68.680000000000007</v>
      </c>
      <c r="N102" s="64">
        <v>19.100000000000001</v>
      </c>
      <c r="O102" s="64">
        <v>0</v>
      </c>
      <c r="P102" s="64">
        <v>1.56</v>
      </c>
      <c r="Q102" s="64">
        <v>10.38</v>
      </c>
      <c r="R102" s="198"/>
      <c r="S102" s="198"/>
      <c r="T102" s="198"/>
      <c r="U102" s="198"/>
    </row>
    <row r="103" spans="1:33" s="12" customFormat="1" x14ac:dyDescent="0.25">
      <c r="A103" s="213" t="s">
        <v>3141</v>
      </c>
      <c r="B103" s="64">
        <v>36.520000000000003</v>
      </c>
      <c r="C103" s="64">
        <v>30.21</v>
      </c>
      <c r="D103" s="64">
        <v>44.99</v>
      </c>
      <c r="E103" s="64">
        <v>1.63</v>
      </c>
      <c r="F103" s="64">
        <v>3.61</v>
      </c>
      <c r="G103" s="64">
        <v>76.63</v>
      </c>
      <c r="H103" s="64">
        <v>19.75</v>
      </c>
      <c r="I103" s="64">
        <v>8.1300000000000008</v>
      </c>
      <c r="J103" s="64">
        <v>1.66</v>
      </c>
      <c r="K103" s="64">
        <v>352.42</v>
      </c>
      <c r="L103" s="64">
        <v>26.21</v>
      </c>
      <c r="M103" s="64">
        <v>55.76</v>
      </c>
      <c r="N103" s="64">
        <v>19.600000000000001</v>
      </c>
      <c r="O103" s="64">
        <v>0</v>
      </c>
      <c r="P103" s="64">
        <v>1.51</v>
      </c>
      <c r="Q103" s="64">
        <v>10.41</v>
      </c>
      <c r="R103" s="198"/>
      <c r="S103" s="198"/>
      <c r="T103" s="198"/>
      <c r="U103" s="198"/>
    </row>
    <row r="104" spans="1:33" s="12" customFormat="1" x14ac:dyDescent="0.25">
      <c r="A104" s="213" t="s">
        <v>3142</v>
      </c>
      <c r="B104" s="64">
        <v>32.729999999999997</v>
      </c>
      <c r="C104" s="64">
        <v>30.31</v>
      </c>
      <c r="D104" s="64">
        <v>42</v>
      </c>
      <c r="E104" s="64">
        <v>1.3</v>
      </c>
      <c r="F104" s="64">
        <v>3.63</v>
      </c>
      <c r="G104" s="64">
        <v>74.38</v>
      </c>
      <c r="H104" s="64">
        <v>19.12</v>
      </c>
      <c r="I104" s="64">
        <v>9.31</v>
      </c>
      <c r="J104" s="64">
        <v>1.24</v>
      </c>
      <c r="K104" s="64">
        <v>351.18</v>
      </c>
      <c r="L104" s="64">
        <v>25.78</v>
      </c>
      <c r="M104" s="64">
        <v>55.39</v>
      </c>
      <c r="N104" s="64">
        <v>20.5</v>
      </c>
      <c r="O104" s="64">
        <v>0</v>
      </c>
      <c r="P104" s="64">
        <v>1.45</v>
      </c>
      <c r="Q104" s="64">
        <v>10.39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16.57</v>
      </c>
      <c r="D106" s="67">
        <f t="shared" ref="D106:Q106" si="0">MIN(D9:D104)</f>
        <v>8.7899999999999991</v>
      </c>
      <c r="E106" s="67">
        <f t="shared" si="0"/>
        <v>0.24</v>
      </c>
      <c r="F106" s="67">
        <f t="shared" si="0"/>
        <v>2.87</v>
      </c>
      <c r="G106" s="67">
        <f t="shared" si="0"/>
        <v>12.56</v>
      </c>
      <c r="H106" s="67">
        <f t="shared" si="0"/>
        <v>3.91</v>
      </c>
      <c r="I106" s="67">
        <f t="shared" si="0"/>
        <v>1.26</v>
      </c>
      <c r="J106" s="67">
        <f t="shared" si="0"/>
        <v>0.01</v>
      </c>
      <c r="K106" s="67">
        <f t="shared" si="0"/>
        <v>0.38</v>
      </c>
      <c r="L106" s="67">
        <f t="shared" si="0"/>
        <v>19.420000000000002</v>
      </c>
      <c r="M106" s="67">
        <f t="shared" si="0"/>
        <v>41.51</v>
      </c>
      <c r="N106" s="67">
        <f t="shared" si="0"/>
        <v>15.4</v>
      </c>
      <c r="O106" s="67">
        <f t="shared" si="0"/>
        <v>0</v>
      </c>
      <c r="P106" s="67">
        <f t="shared" si="0"/>
        <v>0.25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39.31</v>
      </c>
      <c r="C107" s="66">
        <f t="shared" ref="C107:Q107" si="1">MAX(C9:C104)</f>
        <v>31.24</v>
      </c>
      <c r="D107" s="66">
        <f t="shared" si="1"/>
        <v>47.15</v>
      </c>
      <c r="E107" s="66">
        <f t="shared" si="1"/>
        <v>3.81</v>
      </c>
      <c r="F107" s="66">
        <f t="shared" si="1"/>
        <v>63.89</v>
      </c>
      <c r="G107" s="66">
        <f t="shared" si="1"/>
        <v>76.63</v>
      </c>
      <c r="H107" s="66">
        <f t="shared" si="1"/>
        <v>19.75</v>
      </c>
      <c r="I107" s="66">
        <f t="shared" si="1"/>
        <v>9.31</v>
      </c>
      <c r="J107" s="66">
        <f t="shared" si="1"/>
        <v>1.66</v>
      </c>
      <c r="K107" s="66">
        <f t="shared" si="1"/>
        <v>356.53</v>
      </c>
      <c r="L107" s="66">
        <f t="shared" si="1"/>
        <v>31.72</v>
      </c>
      <c r="M107" s="66">
        <f t="shared" si="1"/>
        <v>96.77</v>
      </c>
      <c r="N107" s="66">
        <f t="shared" si="1"/>
        <v>961.7</v>
      </c>
      <c r="O107" s="66">
        <f t="shared" si="1"/>
        <v>0</v>
      </c>
      <c r="P107" s="66">
        <f t="shared" si="1"/>
        <v>1.56</v>
      </c>
      <c r="Q107" s="66">
        <f t="shared" si="1"/>
        <v>10.41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7.0417708333333318</v>
      </c>
      <c r="C108" s="67">
        <f t="shared" ref="C108:Q108" si="2">AVERAGE(C9:C104)</f>
        <v>23.414166666666663</v>
      </c>
      <c r="D108" s="67">
        <f t="shared" si="2"/>
        <v>17.799687500000005</v>
      </c>
      <c r="E108" s="67">
        <f t="shared" si="2"/>
        <v>1.3710416666666667</v>
      </c>
      <c r="F108" s="67">
        <f t="shared" si="2"/>
        <v>10.721250000000003</v>
      </c>
      <c r="G108" s="67">
        <f t="shared" si="2"/>
        <v>27.426562499999992</v>
      </c>
      <c r="H108" s="67">
        <f t="shared" si="2"/>
        <v>7.6473958333333343</v>
      </c>
      <c r="I108" s="67">
        <f t="shared" si="2"/>
        <v>3.526875</v>
      </c>
      <c r="J108" s="67">
        <f t="shared" si="2"/>
        <v>0.53500000000000014</v>
      </c>
      <c r="K108" s="67">
        <f t="shared" si="2"/>
        <v>158.27958333333336</v>
      </c>
      <c r="L108" s="67">
        <f t="shared" si="2"/>
        <v>25.638749999999998</v>
      </c>
      <c r="M108" s="67">
        <f t="shared" si="2"/>
        <v>67.673541666666679</v>
      </c>
      <c r="N108" s="67">
        <f t="shared" si="2"/>
        <v>266.11979166666657</v>
      </c>
      <c r="O108" s="67">
        <f t="shared" si="2"/>
        <v>0</v>
      </c>
      <c r="P108" s="67">
        <f t="shared" si="2"/>
        <v>0.4685416666666668</v>
      </c>
      <c r="Q108" s="67">
        <f t="shared" si="2"/>
        <v>9.6581250000000001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10.02181872293402</v>
      </c>
      <c r="C109" s="67">
        <f t="shared" ref="C109:Q109" si="3">STDEV(C9:C104)</f>
        <v>3.1127728936945327</v>
      </c>
      <c r="D109" s="67">
        <f t="shared" si="3"/>
        <v>9.3742359636034198</v>
      </c>
      <c r="E109" s="67">
        <f t="shared" si="3"/>
        <v>0.72236815102413943</v>
      </c>
      <c r="F109" s="67">
        <f t="shared" si="3"/>
        <v>15.215166066167416</v>
      </c>
      <c r="G109" s="67">
        <f t="shared" si="3"/>
        <v>16.341781957084592</v>
      </c>
      <c r="H109" s="67">
        <f t="shared" si="3"/>
        <v>3.6853463008862763</v>
      </c>
      <c r="I109" s="67">
        <f t="shared" si="3"/>
        <v>1.9343691001950669</v>
      </c>
      <c r="J109" s="67">
        <f t="shared" si="3"/>
        <v>0.3955675469632538</v>
      </c>
      <c r="K109" s="67">
        <f t="shared" si="3"/>
        <v>98.935993811168174</v>
      </c>
      <c r="L109" s="67">
        <f t="shared" si="3"/>
        <v>4.2579278998123273</v>
      </c>
      <c r="M109" s="67">
        <f t="shared" si="3"/>
        <v>19.574944456688922</v>
      </c>
      <c r="N109" s="67">
        <f t="shared" si="3"/>
        <v>345.81452394685181</v>
      </c>
      <c r="O109" s="67">
        <f t="shared" si="3"/>
        <v>0</v>
      </c>
      <c r="P109" s="67">
        <f t="shared" si="3"/>
        <v>0.38751836402439077</v>
      </c>
      <c r="Q109" s="67">
        <f t="shared" si="3"/>
        <v>0.27399313283749521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H127" sqref="H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31/07/2024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3143</v>
      </c>
      <c r="B9" s="64">
        <v>51.31</v>
      </c>
      <c r="C9" s="64">
        <v>43.51</v>
      </c>
      <c r="D9" s="64">
        <v>63.8</v>
      </c>
      <c r="E9" s="64">
        <v>1.68</v>
      </c>
      <c r="F9" s="64">
        <v>3.73</v>
      </c>
      <c r="G9" s="64">
        <v>102.19</v>
      </c>
      <c r="H9" s="64">
        <v>34.43</v>
      </c>
      <c r="I9" s="64">
        <v>9.5500000000000007</v>
      </c>
      <c r="J9" s="64">
        <v>0.22</v>
      </c>
      <c r="K9" s="64">
        <v>280.57</v>
      </c>
      <c r="L9" s="64">
        <v>26.21</v>
      </c>
      <c r="M9" s="64">
        <v>25.59</v>
      </c>
      <c r="N9" s="64">
        <v>17.100000000000001</v>
      </c>
      <c r="O9" s="64">
        <v>0</v>
      </c>
      <c r="P9" s="64">
        <v>1.46</v>
      </c>
      <c r="Q9" s="64">
        <v>11.18</v>
      </c>
      <c r="R9" s="198"/>
      <c r="S9" s="198"/>
      <c r="T9" s="198"/>
      <c r="U9" s="198"/>
    </row>
    <row r="10" spans="1:21" s="12" customFormat="1" x14ac:dyDescent="0.25">
      <c r="A10" s="213" t="s">
        <v>3144</v>
      </c>
      <c r="B10" s="64">
        <v>47.5</v>
      </c>
      <c r="C10" s="64">
        <v>42.99</v>
      </c>
      <c r="D10" s="64">
        <v>60.47</v>
      </c>
      <c r="E10" s="64">
        <v>1.82</v>
      </c>
      <c r="F10" s="64">
        <v>3.69</v>
      </c>
      <c r="G10" s="64">
        <v>102.19</v>
      </c>
      <c r="H10" s="64">
        <v>34.43</v>
      </c>
      <c r="I10" s="64">
        <v>10.25</v>
      </c>
      <c r="J10" s="64">
        <v>0.15</v>
      </c>
      <c r="K10" s="64">
        <v>249.87</v>
      </c>
      <c r="L10" s="64">
        <v>25.91</v>
      </c>
      <c r="M10" s="64">
        <v>26.92</v>
      </c>
      <c r="N10" s="64">
        <v>17.100000000000001</v>
      </c>
      <c r="O10" s="64">
        <v>0</v>
      </c>
      <c r="P10" s="64">
        <v>1.42</v>
      </c>
      <c r="Q10" s="64">
        <v>11.09</v>
      </c>
      <c r="R10" s="198"/>
      <c r="S10" s="198"/>
      <c r="T10" s="198"/>
      <c r="U10" s="198"/>
    </row>
    <row r="11" spans="1:21" s="12" customFormat="1" x14ac:dyDescent="0.25">
      <c r="A11" s="213" t="s">
        <v>3145</v>
      </c>
      <c r="B11" s="64">
        <v>44.01</v>
      </c>
      <c r="C11" s="64">
        <v>42.41</v>
      </c>
      <c r="D11" s="64">
        <v>57.37</v>
      </c>
      <c r="E11" s="64">
        <v>1.47</v>
      </c>
      <c r="F11" s="64">
        <v>3.96</v>
      </c>
      <c r="G11" s="64">
        <v>102.19</v>
      </c>
      <c r="H11" s="64">
        <v>34.43</v>
      </c>
      <c r="I11" s="64">
        <v>9.99</v>
      </c>
      <c r="J11" s="64">
        <v>0.23</v>
      </c>
      <c r="K11" s="64">
        <v>309.02</v>
      </c>
      <c r="L11" s="64">
        <v>25.76</v>
      </c>
      <c r="M11" s="64">
        <v>28.37</v>
      </c>
      <c r="N11" s="64">
        <v>17</v>
      </c>
      <c r="O11" s="64">
        <v>0</v>
      </c>
      <c r="P11" s="64">
        <v>1.38</v>
      </c>
      <c r="Q11" s="64">
        <v>11</v>
      </c>
      <c r="R11" s="198"/>
      <c r="S11" s="198"/>
      <c r="T11" s="198"/>
      <c r="U11" s="198"/>
    </row>
    <row r="12" spans="1:21" s="12" customFormat="1" x14ac:dyDescent="0.25">
      <c r="A12" s="213" t="s">
        <v>3146</v>
      </c>
      <c r="B12" s="64">
        <v>40.01</v>
      </c>
      <c r="C12" s="64">
        <v>42.35</v>
      </c>
      <c r="D12" s="64">
        <v>54.13</v>
      </c>
      <c r="E12" s="64">
        <v>1.85</v>
      </c>
      <c r="F12" s="64">
        <v>3.55</v>
      </c>
      <c r="G12" s="64">
        <v>100.99</v>
      </c>
      <c r="H12" s="64">
        <v>33.28</v>
      </c>
      <c r="I12" s="64">
        <v>10</v>
      </c>
      <c r="J12" s="64">
        <v>0.22</v>
      </c>
      <c r="K12" s="64">
        <v>292.39</v>
      </c>
      <c r="L12" s="64">
        <v>26.02</v>
      </c>
      <c r="M12" s="64">
        <v>26.24</v>
      </c>
      <c r="N12" s="64">
        <v>17</v>
      </c>
      <c r="O12" s="64">
        <v>0</v>
      </c>
      <c r="P12" s="64">
        <v>1.33</v>
      </c>
      <c r="Q12" s="64">
        <v>10.94</v>
      </c>
      <c r="R12" s="198"/>
      <c r="S12" s="198"/>
      <c r="T12" s="198"/>
      <c r="U12" s="198"/>
    </row>
    <row r="13" spans="1:21" s="12" customFormat="1" x14ac:dyDescent="0.25">
      <c r="A13" s="213" t="s">
        <v>3147</v>
      </c>
      <c r="B13" s="64">
        <v>36.18</v>
      </c>
      <c r="C13" s="64">
        <v>41.37</v>
      </c>
      <c r="D13" s="64">
        <v>50.55</v>
      </c>
      <c r="E13" s="64">
        <v>1.72</v>
      </c>
      <c r="F13" s="64">
        <v>3.56</v>
      </c>
      <c r="G13" s="64">
        <v>100.15</v>
      </c>
      <c r="H13" s="64">
        <v>32.5</v>
      </c>
      <c r="I13" s="64">
        <v>10.01</v>
      </c>
      <c r="J13" s="64">
        <v>7.0000000000000007E-2</v>
      </c>
      <c r="K13" s="64">
        <v>249.6</v>
      </c>
      <c r="L13" s="64">
        <v>25.87</v>
      </c>
      <c r="M13" s="64">
        <v>25.75</v>
      </c>
      <c r="N13" s="64">
        <v>17</v>
      </c>
      <c r="O13" s="64">
        <v>0</v>
      </c>
      <c r="P13" s="64">
        <v>1.24</v>
      </c>
      <c r="Q13" s="64">
        <v>10.84</v>
      </c>
      <c r="R13" s="198"/>
      <c r="S13" s="198"/>
      <c r="T13" s="198"/>
      <c r="U13" s="198"/>
    </row>
    <row r="14" spans="1:21" s="12" customFormat="1" x14ac:dyDescent="0.25">
      <c r="A14" s="213" t="s">
        <v>3148</v>
      </c>
      <c r="B14" s="64">
        <v>32.72</v>
      </c>
      <c r="C14" s="64">
        <v>40.72</v>
      </c>
      <c r="D14" s="64">
        <v>47.43</v>
      </c>
      <c r="E14" s="64">
        <v>1.5</v>
      </c>
      <c r="F14" s="64">
        <v>3.48</v>
      </c>
      <c r="G14" s="64">
        <v>100.15</v>
      </c>
      <c r="H14" s="64">
        <v>32.5</v>
      </c>
      <c r="I14" s="64">
        <v>9.5399999999999991</v>
      </c>
      <c r="J14" s="64">
        <v>0.05</v>
      </c>
      <c r="K14" s="64">
        <v>312.7</v>
      </c>
      <c r="L14" s="64">
        <v>25.99</v>
      </c>
      <c r="M14" s="64">
        <v>28.8</v>
      </c>
      <c r="N14" s="64">
        <v>17.100000000000001</v>
      </c>
      <c r="O14" s="64">
        <v>0</v>
      </c>
      <c r="P14" s="64">
        <v>1.23</v>
      </c>
      <c r="Q14" s="64">
        <v>10.74</v>
      </c>
      <c r="R14" s="198"/>
      <c r="S14" s="198"/>
      <c r="T14" s="198"/>
      <c r="U14" s="198"/>
    </row>
    <row r="15" spans="1:21" s="12" customFormat="1" x14ac:dyDescent="0.25">
      <c r="A15" s="213" t="s">
        <v>3149</v>
      </c>
      <c r="B15" s="64">
        <v>29.95</v>
      </c>
      <c r="C15" s="64">
        <v>39.75</v>
      </c>
      <c r="D15" s="64">
        <v>44.71</v>
      </c>
      <c r="E15" s="64">
        <v>1.21</v>
      </c>
      <c r="F15" s="64">
        <v>3.36</v>
      </c>
      <c r="G15" s="64">
        <v>100.15</v>
      </c>
      <c r="H15" s="64">
        <v>32.5</v>
      </c>
      <c r="I15" s="64">
        <v>9.59</v>
      </c>
      <c r="J15" s="64">
        <v>0.24</v>
      </c>
      <c r="K15" s="64">
        <v>296.83999999999997</v>
      </c>
      <c r="L15" s="64">
        <v>24.99</v>
      </c>
      <c r="M15" s="64">
        <v>32.51</v>
      </c>
      <c r="N15" s="64">
        <v>17.5</v>
      </c>
      <c r="O15" s="64">
        <v>0</v>
      </c>
      <c r="P15" s="64">
        <v>1.2</v>
      </c>
      <c r="Q15" s="64">
        <v>10.69</v>
      </c>
      <c r="R15" s="198"/>
      <c r="S15" s="198"/>
      <c r="T15" s="198"/>
      <c r="U15" s="198"/>
    </row>
    <row r="16" spans="1:21" s="12" customFormat="1" x14ac:dyDescent="0.25">
      <c r="A16" s="213" t="s">
        <v>3150</v>
      </c>
      <c r="B16" s="64">
        <v>27.74</v>
      </c>
      <c r="C16" s="64">
        <v>38.85</v>
      </c>
      <c r="D16" s="64">
        <v>42.46</v>
      </c>
      <c r="E16" s="64">
        <v>1.47</v>
      </c>
      <c r="F16" s="64">
        <v>3.54</v>
      </c>
      <c r="G16" s="64">
        <v>94.43</v>
      </c>
      <c r="H16" s="64">
        <v>31.63</v>
      </c>
      <c r="I16" s="64">
        <v>9.44</v>
      </c>
      <c r="J16" s="64">
        <v>0.14000000000000001</v>
      </c>
      <c r="K16" s="64">
        <v>189.66</v>
      </c>
      <c r="L16" s="64">
        <v>24.47</v>
      </c>
      <c r="M16" s="64">
        <v>31.22</v>
      </c>
      <c r="N16" s="64">
        <v>17.399999999999999</v>
      </c>
      <c r="O16" s="64">
        <v>0</v>
      </c>
      <c r="P16" s="64">
        <v>1.1599999999999999</v>
      </c>
      <c r="Q16" s="64">
        <v>10.63</v>
      </c>
      <c r="R16" s="198"/>
      <c r="S16" s="198"/>
      <c r="T16" s="198"/>
      <c r="U16" s="198"/>
    </row>
    <row r="17" spans="1:21" s="12" customFormat="1" x14ac:dyDescent="0.25">
      <c r="A17" s="213" t="s">
        <v>3151</v>
      </c>
      <c r="B17" s="64">
        <v>25.61</v>
      </c>
      <c r="C17" s="64">
        <v>37.94</v>
      </c>
      <c r="D17" s="64">
        <v>40.28</v>
      </c>
      <c r="E17" s="64">
        <v>1.41</v>
      </c>
      <c r="F17" s="64">
        <v>3.2</v>
      </c>
      <c r="G17" s="64">
        <v>90.43</v>
      </c>
      <c r="H17" s="64">
        <v>31.02</v>
      </c>
      <c r="I17" s="64">
        <v>9.23</v>
      </c>
      <c r="J17" s="64">
        <v>0.19</v>
      </c>
      <c r="K17" s="64">
        <v>334.24</v>
      </c>
      <c r="L17" s="64">
        <v>24.2</v>
      </c>
      <c r="M17" s="64">
        <v>37.25</v>
      </c>
      <c r="N17" s="64">
        <v>17.399999999999999</v>
      </c>
      <c r="O17" s="64">
        <v>0</v>
      </c>
      <c r="P17" s="64">
        <v>1.1299999999999999</v>
      </c>
      <c r="Q17" s="64">
        <v>10.55</v>
      </c>
      <c r="R17" s="198"/>
      <c r="S17" s="198"/>
      <c r="T17" s="198"/>
      <c r="U17" s="198"/>
    </row>
    <row r="18" spans="1:21" s="12" customFormat="1" x14ac:dyDescent="0.25">
      <c r="A18" s="213" t="s">
        <v>3152</v>
      </c>
      <c r="B18" s="64">
        <v>24.74</v>
      </c>
      <c r="C18" s="64">
        <v>36.32</v>
      </c>
      <c r="D18" s="64">
        <v>38.74</v>
      </c>
      <c r="E18" s="64">
        <v>1.39</v>
      </c>
      <c r="F18" s="64">
        <v>3.16</v>
      </c>
      <c r="G18" s="64">
        <v>90.43</v>
      </c>
      <c r="H18" s="64">
        <v>31.02</v>
      </c>
      <c r="I18" s="64">
        <v>8.91</v>
      </c>
      <c r="J18" s="64">
        <v>0.19</v>
      </c>
      <c r="K18" s="64">
        <v>269.7</v>
      </c>
      <c r="L18" s="64">
        <v>23.73</v>
      </c>
      <c r="M18" s="64">
        <v>36.83</v>
      </c>
      <c r="N18" s="64">
        <v>17.100000000000001</v>
      </c>
      <c r="O18" s="64">
        <v>0</v>
      </c>
      <c r="P18" s="64">
        <v>1.0900000000000001</v>
      </c>
      <c r="Q18" s="64">
        <v>10.51</v>
      </c>
      <c r="R18" s="198"/>
      <c r="S18" s="198"/>
      <c r="T18" s="198"/>
      <c r="U18" s="198"/>
    </row>
    <row r="19" spans="1:21" s="12" customFormat="1" x14ac:dyDescent="0.25">
      <c r="A19" s="213" t="s">
        <v>3153</v>
      </c>
      <c r="B19" s="64">
        <v>24.79</v>
      </c>
      <c r="C19" s="64">
        <v>34.49</v>
      </c>
      <c r="D19" s="64">
        <v>37.82</v>
      </c>
      <c r="E19" s="64">
        <v>1.0900000000000001</v>
      </c>
      <c r="F19" s="64">
        <v>3.28</v>
      </c>
      <c r="G19" s="64">
        <v>90.43</v>
      </c>
      <c r="H19" s="64">
        <v>31.02</v>
      </c>
      <c r="I19" s="64">
        <v>8.76</v>
      </c>
      <c r="J19" s="64">
        <v>0.3</v>
      </c>
      <c r="K19" s="64">
        <v>104.64</v>
      </c>
      <c r="L19" s="64">
        <v>23.69</v>
      </c>
      <c r="M19" s="64">
        <v>36.869999999999997</v>
      </c>
      <c r="N19" s="64">
        <v>16.8</v>
      </c>
      <c r="O19" s="64">
        <v>0</v>
      </c>
      <c r="P19" s="64">
        <v>1.07</v>
      </c>
      <c r="Q19" s="64">
        <v>10.48</v>
      </c>
      <c r="R19" s="198"/>
      <c r="S19" s="198"/>
      <c r="T19" s="198"/>
      <c r="U19" s="198"/>
    </row>
    <row r="20" spans="1:21" s="12" customFormat="1" x14ac:dyDescent="0.25">
      <c r="A20" s="213" t="s">
        <v>3154</v>
      </c>
      <c r="B20" s="64">
        <v>25.24</v>
      </c>
      <c r="C20" s="64">
        <v>32.880000000000003</v>
      </c>
      <c r="D20" s="64">
        <v>37.340000000000003</v>
      </c>
      <c r="E20" s="64">
        <v>1.1299999999999999</v>
      </c>
      <c r="F20" s="64">
        <v>3.2</v>
      </c>
      <c r="G20" s="64">
        <v>87.22</v>
      </c>
      <c r="H20" s="64">
        <v>29.7</v>
      </c>
      <c r="I20" s="64">
        <v>8.2200000000000006</v>
      </c>
      <c r="J20" s="64">
        <v>0.16</v>
      </c>
      <c r="K20" s="64">
        <v>224.9</v>
      </c>
      <c r="L20" s="64">
        <v>23.48</v>
      </c>
      <c r="M20" s="64">
        <v>40.36</v>
      </c>
      <c r="N20" s="64">
        <v>16.899999999999999</v>
      </c>
      <c r="O20" s="64">
        <v>0</v>
      </c>
      <c r="P20" s="64">
        <v>1.05</v>
      </c>
      <c r="Q20" s="64">
        <v>10.48</v>
      </c>
      <c r="R20" s="198"/>
      <c r="S20" s="198"/>
      <c r="T20" s="198"/>
      <c r="U20" s="198"/>
    </row>
    <row r="21" spans="1:21" s="12" customFormat="1" x14ac:dyDescent="0.25">
      <c r="A21" s="213" t="s">
        <v>3155</v>
      </c>
      <c r="B21" s="64">
        <v>25.52</v>
      </c>
      <c r="C21" s="64">
        <v>31.29</v>
      </c>
      <c r="D21" s="64">
        <v>36.74</v>
      </c>
      <c r="E21" s="64">
        <v>1.28</v>
      </c>
      <c r="F21" s="64">
        <v>3.12</v>
      </c>
      <c r="G21" s="64">
        <v>84.97</v>
      </c>
      <c r="H21" s="64">
        <v>28.78</v>
      </c>
      <c r="I21" s="64">
        <v>8.25</v>
      </c>
      <c r="J21" s="64">
        <v>0.26</v>
      </c>
      <c r="K21" s="64">
        <v>328.62</v>
      </c>
      <c r="L21" s="64">
        <v>23.23</v>
      </c>
      <c r="M21" s="64">
        <v>45.37</v>
      </c>
      <c r="N21" s="64">
        <v>17.100000000000001</v>
      </c>
      <c r="O21" s="64">
        <v>0</v>
      </c>
      <c r="P21" s="64">
        <v>1.05</v>
      </c>
      <c r="Q21" s="64">
        <v>10.48</v>
      </c>
      <c r="R21" s="198"/>
      <c r="S21" s="198"/>
      <c r="T21" s="198"/>
      <c r="U21" s="198"/>
    </row>
    <row r="22" spans="1:21" s="12" customFormat="1" x14ac:dyDescent="0.25">
      <c r="A22" s="213" t="s">
        <v>3156</v>
      </c>
      <c r="B22" s="64">
        <v>25.29</v>
      </c>
      <c r="C22" s="64">
        <v>30.27</v>
      </c>
      <c r="D22" s="64">
        <v>36.020000000000003</v>
      </c>
      <c r="E22" s="64">
        <v>1.29</v>
      </c>
      <c r="F22" s="64">
        <v>3.08</v>
      </c>
      <c r="G22" s="64">
        <v>84.97</v>
      </c>
      <c r="H22" s="64">
        <v>28.78</v>
      </c>
      <c r="I22" s="64">
        <v>8.6</v>
      </c>
      <c r="J22" s="64">
        <v>0.26</v>
      </c>
      <c r="K22" s="64">
        <v>256.39999999999998</v>
      </c>
      <c r="L22" s="64">
        <v>22.91</v>
      </c>
      <c r="M22" s="64">
        <v>43.78</v>
      </c>
      <c r="N22" s="64">
        <v>17.100000000000001</v>
      </c>
      <c r="O22" s="64">
        <v>0</v>
      </c>
      <c r="P22" s="64">
        <v>1.03</v>
      </c>
      <c r="Q22" s="64">
        <v>10.47</v>
      </c>
      <c r="R22" s="198"/>
      <c r="S22" s="198"/>
      <c r="T22" s="198"/>
      <c r="U22" s="198"/>
    </row>
    <row r="23" spans="1:21" s="12" customFormat="1" x14ac:dyDescent="0.25">
      <c r="A23" s="213" t="s">
        <v>3157</v>
      </c>
      <c r="B23" s="64">
        <v>25.35</v>
      </c>
      <c r="C23" s="64">
        <v>29.37</v>
      </c>
      <c r="D23" s="64">
        <v>35.590000000000003</v>
      </c>
      <c r="E23" s="64">
        <v>1.37</v>
      </c>
      <c r="F23" s="64">
        <v>3.09</v>
      </c>
      <c r="G23" s="64">
        <v>84.97</v>
      </c>
      <c r="H23" s="64">
        <v>28.78</v>
      </c>
      <c r="I23" s="64">
        <v>9.0399999999999991</v>
      </c>
      <c r="J23" s="64">
        <v>0.17</v>
      </c>
      <c r="K23" s="64">
        <v>306.05</v>
      </c>
      <c r="L23" s="64">
        <v>22.6</v>
      </c>
      <c r="M23" s="64">
        <v>45.82</v>
      </c>
      <c r="N23" s="64">
        <v>17.399999999999999</v>
      </c>
      <c r="O23" s="64">
        <v>0</v>
      </c>
      <c r="P23" s="64">
        <v>1.03</v>
      </c>
      <c r="Q23" s="64">
        <v>10.43</v>
      </c>
      <c r="R23" s="198"/>
      <c r="S23" s="198"/>
      <c r="T23" s="198"/>
      <c r="U23" s="198"/>
    </row>
    <row r="24" spans="1:21" s="12" customFormat="1" x14ac:dyDescent="0.25">
      <c r="A24" s="213" t="s">
        <v>3158</v>
      </c>
      <c r="B24" s="64">
        <v>25.74</v>
      </c>
      <c r="C24" s="64">
        <v>28.48</v>
      </c>
      <c r="D24" s="64">
        <v>35.44</v>
      </c>
      <c r="E24" s="64">
        <v>2.0499999999999998</v>
      </c>
      <c r="F24" s="64">
        <v>3.11</v>
      </c>
      <c r="G24" s="64">
        <v>91.13</v>
      </c>
      <c r="H24" s="64">
        <v>27.33</v>
      </c>
      <c r="I24" s="64">
        <v>8.92</v>
      </c>
      <c r="J24" s="64">
        <v>0.25</v>
      </c>
      <c r="K24" s="64">
        <v>316.8</v>
      </c>
      <c r="L24" s="64">
        <v>22.32</v>
      </c>
      <c r="M24" s="64">
        <v>49.09</v>
      </c>
      <c r="N24" s="64">
        <v>16.899999999999999</v>
      </c>
      <c r="O24" s="64">
        <v>0</v>
      </c>
      <c r="P24" s="64">
        <v>1.01</v>
      </c>
      <c r="Q24" s="64">
        <v>10.4</v>
      </c>
      <c r="R24" s="198"/>
      <c r="S24" s="198"/>
      <c r="T24" s="198"/>
      <c r="U24" s="198"/>
    </row>
    <row r="25" spans="1:21" s="12" customFormat="1" x14ac:dyDescent="0.25">
      <c r="A25" s="213" t="s">
        <v>3159</v>
      </c>
      <c r="B25" s="64">
        <v>27.24</v>
      </c>
      <c r="C25" s="64">
        <v>27.6</v>
      </c>
      <c r="D25" s="64">
        <v>36.19</v>
      </c>
      <c r="E25" s="64">
        <v>2.62</v>
      </c>
      <c r="F25" s="64">
        <v>3.07</v>
      </c>
      <c r="G25" s="64">
        <v>95.43</v>
      </c>
      <c r="H25" s="64">
        <v>26.32</v>
      </c>
      <c r="I25" s="64">
        <v>9.08</v>
      </c>
      <c r="J25" s="64">
        <v>0.19</v>
      </c>
      <c r="K25" s="64">
        <v>292.51</v>
      </c>
      <c r="L25" s="64">
        <v>22.26</v>
      </c>
      <c r="M25" s="64">
        <v>49.36</v>
      </c>
      <c r="N25" s="64">
        <v>17.100000000000001</v>
      </c>
      <c r="O25" s="64">
        <v>0</v>
      </c>
      <c r="P25" s="64">
        <v>1.01</v>
      </c>
      <c r="Q25" s="64">
        <v>10.38</v>
      </c>
      <c r="R25" s="198"/>
      <c r="S25" s="198"/>
      <c r="T25" s="198"/>
      <c r="U25" s="198"/>
    </row>
    <row r="26" spans="1:21" s="12" customFormat="1" x14ac:dyDescent="0.25">
      <c r="A26" s="213" t="s">
        <v>3160</v>
      </c>
      <c r="B26" s="64">
        <v>28.94</v>
      </c>
      <c r="C26" s="64">
        <v>26.49</v>
      </c>
      <c r="D26" s="64">
        <v>36.97</v>
      </c>
      <c r="E26" s="64">
        <v>2.63</v>
      </c>
      <c r="F26" s="64">
        <v>3.17</v>
      </c>
      <c r="G26" s="64">
        <v>95.43</v>
      </c>
      <c r="H26" s="64">
        <v>26.32</v>
      </c>
      <c r="I26" s="64">
        <v>9.42</v>
      </c>
      <c r="J26" s="64">
        <v>0.25</v>
      </c>
      <c r="K26" s="64">
        <v>270.14</v>
      </c>
      <c r="L26" s="64">
        <v>22.64</v>
      </c>
      <c r="M26" s="64">
        <v>46.64</v>
      </c>
      <c r="N26" s="64">
        <v>16.899999999999999</v>
      </c>
      <c r="O26" s="64">
        <v>0</v>
      </c>
      <c r="P26" s="64">
        <v>1</v>
      </c>
      <c r="Q26" s="64">
        <v>10.37</v>
      </c>
      <c r="R26" s="198"/>
      <c r="S26" s="198"/>
      <c r="T26" s="198"/>
      <c r="U26" s="198"/>
    </row>
    <row r="27" spans="1:21" s="12" customFormat="1" x14ac:dyDescent="0.25">
      <c r="A27" s="213" t="s">
        <v>3161</v>
      </c>
      <c r="B27" s="64">
        <v>31.65</v>
      </c>
      <c r="C27" s="64">
        <v>27.51</v>
      </c>
      <c r="D27" s="64">
        <v>39.67</v>
      </c>
      <c r="E27" s="64">
        <v>2.4700000000000002</v>
      </c>
      <c r="F27" s="64">
        <v>3.32</v>
      </c>
      <c r="G27" s="64">
        <v>95.43</v>
      </c>
      <c r="H27" s="64">
        <v>26.32</v>
      </c>
      <c r="I27" s="64">
        <v>9.82</v>
      </c>
      <c r="J27" s="64">
        <v>0.28000000000000003</v>
      </c>
      <c r="K27" s="64">
        <v>313.38</v>
      </c>
      <c r="L27" s="64">
        <v>22.59</v>
      </c>
      <c r="M27" s="64">
        <v>48.29</v>
      </c>
      <c r="N27" s="64">
        <v>16.8</v>
      </c>
      <c r="O27" s="64">
        <v>0</v>
      </c>
      <c r="P27" s="64">
        <v>0.99</v>
      </c>
      <c r="Q27" s="64">
        <v>10.41</v>
      </c>
      <c r="R27" s="198"/>
      <c r="S27" s="198"/>
      <c r="T27" s="198"/>
      <c r="U27" s="198"/>
    </row>
    <row r="28" spans="1:21" s="12" customFormat="1" x14ac:dyDescent="0.25">
      <c r="A28" s="213" t="s">
        <v>3162</v>
      </c>
      <c r="B28" s="64">
        <v>35.53</v>
      </c>
      <c r="C28" s="64">
        <v>27.84</v>
      </c>
      <c r="D28" s="64">
        <v>42.96</v>
      </c>
      <c r="E28" s="64">
        <v>2.54</v>
      </c>
      <c r="F28" s="64">
        <v>3.32</v>
      </c>
      <c r="G28" s="64">
        <v>102.98</v>
      </c>
      <c r="H28" s="64">
        <v>27.98</v>
      </c>
      <c r="I28" s="64">
        <v>10.46</v>
      </c>
      <c r="J28" s="64">
        <v>0.27</v>
      </c>
      <c r="K28" s="64">
        <v>304.95999999999998</v>
      </c>
      <c r="L28" s="64">
        <v>22.18</v>
      </c>
      <c r="M28" s="64">
        <v>49.24</v>
      </c>
      <c r="N28" s="64">
        <v>17.100000000000001</v>
      </c>
      <c r="O28" s="64">
        <v>0</v>
      </c>
      <c r="P28" s="64">
        <v>0.99</v>
      </c>
      <c r="Q28" s="64">
        <v>10.46</v>
      </c>
      <c r="R28" s="198"/>
      <c r="S28" s="198"/>
      <c r="T28" s="198"/>
      <c r="U28" s="198"/>
    </row>
    <row r="29" spans="1:21" s="12" customFormat="1" x14ac:dyDescent="0.25">
      <c r="A29" s="213" t="s">
        <v>3163</v>
      </c>
      <c r="B29" s="64">
        <v>39.18</v>
      </c>
      <c r="C29" s="64">
        <v>28.26</v>
      </c>
      <c r="D29" s="64">
        <v>46.1</v>
      </c>
      <c r="E29" s="64">
        <v>2.44</v>
      </c>
      <c r="F29" s="64">
        <v>3.15</v>
      </c>
      <c r="G29" s="64">
        <v>108.25</v>
      </c>
      <c r="H29" s="64">
        <v>29.15</v>
      </c>
      <c r="I29" s="64">
        <v>10.36</v>
      </c>
      <c r="J29" s="64">
        <v>0.26</v>
      </c>
      <c r="K29" s="64">
        <v>342.67</v>
      </c>
      <c r="L29" s="64">
        <v>21.97</v>
      </c>
      <c r="M29" s="64">
        <v>49.76</v>
      </c>
      <c r="N29" s="64">
        <v>18.3</v>
      </c>
      <c r="O29" s="64">
        <v>0</v>
      </c>
      <c r="P29" s="64">
        <v>0.98</v>
      </c>
      <c r="Q29" s="64">
        <v>10.55</v>
      </c>
      <c r="R29" s="198"/>
      <c r="S29" s="198"/>
      <c r="T29" s="198"/>
      <c r="U29" s="198"/>
    </row>
    <row r="30" spans="1:21" s="12" customFormat="1" x14ac:dyDescent="0.25">
      <c r="A30" s="213" t="s">
        <v>3164</v>
      </c>
      <c r="B30" s="64">
        <v>42.67</v>
      </c>
      <c r="C30" s="64">
        <v>28.57</v>
      </c>
      <c r="D30" s="64">
        <v>49.07</v>
      </c>
      <c r="E30" s="64">
        <v>2.67</v>
      </c>
      <c r="F30" s="64">
        <v>3.19</v>
      </c>
      <c r="G30" s="64">
        <v>108.25</v>
      </c>
      <c r="H30" s="64">
        <v>29.15</v>
      </c>
      <c r="I30" s="64">
        <v>10.27</v>
      </c>
      <c r="J30" s="64">
        <v>0.28000000000000003</v>
      </c>
      <c r="K30" s="64">
        <v>270.77</v>
      </c>
      <c r="L30" s="64">
        <v>21.94</v>
      </c>
      <c r="M30" s="64">
        <v>43.1</v>
      </c>
      <c r="N30" s="64">
        <v>22.6</v>
      </c>
      <c r="O30" s="64">
        <v>0</v>
      </c>
      <c r="P30" s="64">
        <v>0.98</v>
      </c>
      <c r="Q30" s="64">
        <v>10.63</v>
      </c>
      <c r="R30" s="198"/>
      <c r="S30" s="198"/>
      <c r="T30" s="198"/>
      <c r="U30" s="198"/>
    </row>
    <row r="31" spans="1:21" s="12" customFormat="1" x14ac:dyDescent="0.25">
      <c r="A31" s="213" t="s">
        <v>3165</v>
      </c>
      <c r="B31" s="64">
        <v>44.1</v>
      </c>
      <c r="C31" s="64">
        <v>29.01</v>
      </c>
      <c r="D31" s="64">
        <v>50.44</v>
      </c>
      <c r="E31" s="64">
        <v>2.4</v>
      </c>
      <c r="F31" s="64">
        <v>3.37</v>
      </c>
      <c r="G31" s="64">
        <v>108.25</v>
      </c>
      <c r="H31" s="64">
        <v>29.15</v>
      </c>
      <c r="I31" s="64">
        <v>10.17</v>
      </c>
      <c r="J31" s="64">
        <v>0.25</v>
      </c>
      <c r="K31" s="64">
        <v>264.75</v>
      </c>
      <c r="L31" s="64">
        <v>22.29</v>
      </c>
      <c r="M31" s="64">
        <v>40.409999999999997</v>
      </c>
      <c r="N31" s="64">
        <v>39.299999999999997</v>
      </c>
      <c r="O31" s="64">
        <v>0</v>
      </c>
      <c r="P31" s="64">
        <v>0.97</v>
      </c>
      <c r="Q31" s="64">
        <v>10.76</v>
      </c>
      <c r="R31" s="198"/>
      <c r="S31" s="198"/>
      <c r="T31" s="198"/>
      <c r="U31" s="198"/>
    </row>
    <row r="32" spans="1:21" s="12" customFormat="1" x14ac:dyDescent="0.25">
      <c r="A32" s="213" t="s">
        <v>3166</v>
      </c>
      <c r="B32" s="64">
        <v>44.44</v>
      </c>
      <c r="C32" s="64">
        <v>29.35</v>
      </c>
      <c r="D32" s="64">
        <v>50.89</v>
      </c>
      <c r="E32" s="64">
        <v>2.41</v>
      </c>
      <c r="F32" s="64">
        <v>3.3</v>
      </c>
      <c r="G32" s="64">
        <v>105.83</v>
      </c>
      <c r="H32" s="64">
        <v>29.08</v>
      </c>
      <c r="I32" s="64">
        <v>10.039999999999999</v>
      </c>
      <c r="J32" s="64">
        <v>0.41</v>
      </c>
      <c r="K32" s="64">
        <v>213.64</v>
      </c>
      <c r="L32" s="64">
        <v>23.41</v>
      </c>
      <c r="M32" s="64">
        <v>36.299999999999997</v>
      </c>
      <c r="N32" s="64">
        <v>54.2</v>
      </c>
      <c r="O32" s="64">
        <v>0</v>
      </c>
      <c r="P32" s="64">
        <v>0.96</v>
      </c>
      <c r="Q32" s="64">
        <v>10.81</v>
      </c>
      <c r="R32" s="198"/>
      <c r="S32" s="198"/>
      <c r="T32" s="198"/>
      <c r="U32" s="198"/>
    </row>
    <row r="33" spans="1:21" s="12" customFormat="1" x14ac:dyDescent="0.25">
      <c r="A33" s="213" t="s">
        <v>3167</v>
      </c>
      <c r="B33" s="64">
        <v>42.9</v>
      </c>
      <c r="C33" s="64">
        <v>31.01</v>
      </c>
      <c r="D33" s="64">
        <v>50.52</v>
      </c>
      <c r="E33" s="64">
        <v>2.2799999999999998</v>
      </c>
      <c r="F33" s="64">
        <v>3.1</v>
      </c>
      <c r="G33" s="64">
        <v>104.14</v>
      </c>
      <c r="H33" s="64">
        <v>29.04</v>
      </c>
      <c r="I33" s="64">
        <v>9.8699999999999992</v>
      </c>
      <c r="J33" s="64">
        <v>0.34</v>
      </c>
      <c r="K33" s="64">
        <v>179.86</v>
      </c>
      <c r="L33" s="64">
        <v>24.02</v>
      </c>
      <c r="M33" s="64">
        <v>35.619999999999997</v>
      </c>
      <c r="N33" s="64">
        <v>80.2</v>
      </c>
      <c r="O33" s="64">
        <v>0</v>
      </c>
      <c r="P33" s="64">
        <v>0.94</v>
      </c>
      <c r="Q33" s="64">
        <v>10.89</v>
      </c>
      <c r="R33" s="198"/>
      <c r="S33" s="198"/>
      <c r="T33" s="198"/>
      <c r="U33" s="198"/>
    </row>
    <row r="34" spans="1:21" s="12" customFormat="1" x14ac:dyDescent="0.25">
      <c r="A34" s="213" t="s">
        <v>3168</v>
      </c>
      <c r="B34" s="64">
        <v>39.880000000000003</v>
      </c>
      <c r="C34" s="64">
        <v>32.31</v>
      </c>
      <c r="D34" s="64">
        <v>48.79</v>
      </c>
      <c r="E34" s="64">
        <v>2.46</v>
      </c>
      <c r="F34" s="64">
        <v>3.47</v>
      </c>
      <c r="G34" s="64">
        <v>104.14</v>
      </c>
      <c r="H34" s="64">
        <v>29.04</v>
      </c>
      <c r="I34" s="64">
        <v>9.7200000000000006</v>
      </c>
      <c r="J34" s="64">
        <v>0.75</v>
      </c>
      <c r="K34" s="64">
        <v>164.86</v>
      </c>
      <c r="L34" s="64">
        <v>24.24</v>
      </c>
      <c r="M34" s="64">
        <v>36.479999999999997</v>
      </c>
      <c r="N34" s="64">
        <v>118.6</v>
      </c>
      <c r="O34" s="64">
        <v>0</v>
      </c>
      <c r="P34" s="64">
        <v>0.92</v>
      </c>
      <c r="Q34" s="64">
        <v>10.88</v>
      </c>
      <c r="R34" s="198"/>
      <c r="S34" s="198"/>
      <c r="T34" s="198"/>
      <c r="U34" s="198"/>
    </row>
    <row r="35" spans="1:21" s="12" customFormat="1" x14ac:dyDescent="0.25">
      <c r="A35" s="213" t="s">
        <v>3169</v>
      </c>
      <c r="B35" s="64">
        <v>37.229999999999997</v>
      </c>
      <c r="C35" s="64">
        <v>32.93</v>
      </c>
      <c r="D35" s="64">
        <v>46.98</v>
      </c>
      <c r="E35" s="64">
        <v>2.65</v>
      </c>
      <c r="F35" s="64">
        <v>3.24</v>
      </c>
      <c r="G35" s="64">
        <v>104.14</v>
      </c>
      <c r="H35" s="64">
        <v>29.04</v>
      </c>
      <c r="I35" s="64">
        <v>9.57</v>
      </c>
      <c r="J35" s="64">
        <v>0.87</v>
      </c>
      <c r="K35" s="64">
        <v>163.75</v>
      </c>
      <c r="L35" s="64">
        <v>24.63</v>
      </c>
      <c r="M35" s="64">
        <v>36.19</v>
      </c>
      <c r="N35" s="64">
        <v>156.9</v>
      </c>
      <c r="O35" s="64">
        <v>0</v>
      </c>
      <c r="P35" s="64">
        <v>0.91</v>
      </c>
      <c r="Q35" s="64">
        <v>10.86</v>
      </c>
      <c r="R35" s="198"/>
      <c r="S35" s="198"/>
      <c r="T35" s="198"/>
      <c r="U35" s="198"/>
    </row>
    <row r="36" spans="1:21" s="12" customFormat="1" x14ac:dyDescent="0.25">
      <c r="A36" s="213" t="s">
        <v>3170</v>
      </c>
      <c r="B36" s="64">
        <v>34.33</v>
      </c>
      <c r="C36" s="64">
        <v>33.299999999999997</v>
      </c>
      <c r="D36" s="64">
        <v>44.84</v>
      </c>
      <c r="E36" s="64">
        <v>2.57</v>
      </c>
      <c r="F36" s="64">
        <v>3.08</v>
      </c>
      <c r="G36" s="64">
        <v>98.33</v>
      </c>
      <c r="H36" s="64">
        <v>29.43</v>
      </c>
      <c r="I36" s="64">
        <v>9.42</v>
      </c>
      <c r="J36" s="64">
        <v>0.28000000000000003</v>
      </c>
      <c r="K36" s="64">
        <v>197.99</v>
      </c>
      <c r="L36" s="64">
        <v>25</v>
      </c>
      <c r="M36" s="64">
        <v>34.76</v>
      </c>
      <c r="N36" s="64">
        <v>237.2</v>
      </c>
      <c r="O36" s="64">
        <v>0</v>
      </c>
      <c r="P36" s="64">
        <v>0.89</v>
      </c>
      <c r="Q36" s="64">
        <v>10.85</v>
      </c>
      <c r="R36" s="198"/>
      <c r="S36" s="198"/>
      <c r="T36" s="198"/>
      <c r="U36" s="198"/>
    </row>
    <row r="37" spans="1:21" s="12" customFormat="1" x14ac:dyDescent="0.25">
      <c r="A37" s="213" t="s">
        <v>3171</v>
      </c>
      <c r="B37" s="64">
        <v>32.1</v>
      </c>
      <c r="C37" s="64">
        <v>32.26</v>
      </c>
      <c r="D37" s="64">
        <v>42.52</v>
      </c>
      <c r="E37" s="64">
        <v>2.35</v>
      </c>
      <c r="F37" s="64">
        <v>3.21</v>
      </c>
      <c r="G37" s="64">
        <v>94.28</v>
      </c>
      <c r="H37" s="64">
        <v>29.7</v>
      </c>
      <c r="I37" s="64">
        <v>9.2100000000000009</v>
      </c>
      <c r="J37" s="64">
        <v>0.38</v>
      </c>
      <c r="K37" s="64">
        <v>168.53</v>
      </c>
      <c r="L37" s="64">
        <v>25.94</v>
      </c>
      <c r="M37" s="64">
        <v>34.35</v>
      </c>
      <c r="N37" s="64">
        <v>276.39999999999998</v>
      </c>
      <c r="O37" s="64">
        <v>0</v>
      </c>
      <c r="P37" s="64">
        <v>0.83</v>
      </c>
      <c r="Q37" s="64">
        <v>10.79</v>
      </c>
      <c r="R37" s="198"/>
      <c r="S37" s="198"/>
      <c r="T37" s="198"/>
      <c r="U37" s="198"/>
    </row>
    <row r="38" spans="1:21" s="12" customFormat="1" x14ac:dyDescent="0.25">
      <c r="A38" s="213" t="s">
        <v>3172</v>
      </c>
      <c r="B38" s="64">
        <v>30.6</v>
      </c>
      <c r="C38" s="64">
        <v>31.82</v>
      </c>
      <c r="D38" s="64">
        <v>41.09</v>
      </c>
      <c r="E38" s="64">
        <v>2.5</v>
      </c>
      <c r="F38" s="64">
        <v>3.3</v>
      </c>
      <c r="G38" s="64">
        <v>94.28</v>
      </c>
      <c r="H38" s="64">
        <v>29.7</v>
      </c>
      <c r="I38" s="64">
        <v>8.9</v>
      </c>
      <c r="J38" s="64">
        <v>0.5</v>
      </c>
      <c r="K38" s="64">
        <v>178.08</v>
      </c>
      <c r="L38" s="64">
        <v>26.39</v>
      </c>
      <c r="M38" s="64">
        <v>33.39</v>
      </c>
      <c r="N38" s="64">
        <v>340.1</v>
      </c>
      <c r="O38" s="64">
        <v>0</v>
      </c>
      <c r="P38" s="64">
        <v>0.86</v>
      </c>
      <c r="Q38" s="64">
        <v>10.74</v>
      </c>
      <c r="R38" s="198"/>
      <c r="S38" s="198"/>
      <c r="T38" s="198"/>
      <c r="U38" s="198"/>
    </row>
    <row r="39" spans="1:21" s="12" customFormat="1" x14ac:dyDescent="0.25">
      <c r="A39" s="213" t="s">
        <v>3173</v>
      </c>
      <c r="B39" s="64">
        <v>27.68</v>
      </c>
      <c r="C39" s="64">
        <v>33.450000000000003</v>
      </c>
      <c r="D39" s="64">
        <v>39.590000000000003</v>
      </c>
      <c r="E39" s="64">
        <v>2.75</v>
      </c>
      <c r="F39" s="64">
        <v>3.15</v>
      </c>
      <c r="G39" s="64">
        <v>94.28</v>
      </c>
      <c r="H39" s="64">
        <v>29.7</v>
      </c>
      <c r="I39" s="64">
        <v>8.86</v>
      </c>
      <c r="J39" s="64">
        <v>0.06</v>
      </c>
      <c r="K39" s="64">
        <v>358.91</v>
      </c>
      <c r="L39" s="64">
        <v>27.44</v>
      </c>
      <c r="M39" s="64">
        <v>32.1</v>
      </c>
      <c r="N39" s="64">
        <v>380.8</v>
      </c>
      <c r="O39" s="64">
        <v>0</v>
      </c>
      <c r="P39" s="64">
        <v>0.85</v>
      </c>
      <c r="Q39" s="64">
        <v>10.74</v>
      </c>
      <c r="R39" s="198"/>
      <c r="S39" s="198"/>
      <c r="T39" s="198"/>
      <c r="U39" s="198"/>
    </row>
    <row r="40" spans="1:21" s="12" customFormat="1" x14ac:dyDescent="0.25">
      <c r="A40" s="213" t="s">
        <v>3174</v>
      </c>
      <c r="B40" s="64">
        <v>24.37</v>
      </c>
      <c r="C40" s="64">
        <v>34.909999999999997</v>
      </c>
      <c r="D40" s="64">
        <v>37.700000000000003</v>
      </c>
      <c r="E40" s="64">
        <v>1.86</v>
      </c>
      <c r="F40" s="64">
        <v>3.37</v>
      </c>
      <c r="G40" s="64">
        <v>87.06</v>
      </c>
      <c r="H40" s="64">
        <v>27.73</v>
      </c>
      <c r="I40" s="64">
        <v>8.94</v>
      </c>
      <c r="J40" s="64">
        <v>0.19</v>
      </c>
      <c r="K40" s="64">
        <v>203.55</v>
      </c>
      <c r="L40" s="64">
        <v>28.54</v>
      </c>
      <c r="M40" s="64">
        <v>30.47</v>
      </c>
      <c r="N40" s="64">
        <v>439</v>
      </c>
      <c r="O40" s="64">
        <v>0</v>
      </c>
      <c r="P40" s="64">
        <v>0.84</v>
      </c>
      <c r="Q40" s="64">
        <v>10.7</v>
      </c>
      <c r="R40" s="198"/>
      <c r="S40" s="198"/>
      <c r="T40" s="198"/>
      <c r="U40" s="198"/>
    </row>
    <row r="41" spans="1:21" s="12" customFormat="1" x14ac:dyDescent="0.25">
      <c r="A41" s="213" t="s">
        <v>3175</v>
      </c>
      <c r="B41" s="64">
        <v>21.16</v>
      </c>
      <c r="C41" s="64">
        <v>36.39</v>
      </c>
      <c r="D41" s="64">
        <v>35.9</v>
      </c>
      <c r="E41" s="64">
        <v>1.85</v>
      </c>
      <c r="F41" s="64">
        <v>3.67</v>
      </c>
      <c r="G41" s="64">
        <v>82.02</v>
      </c>
      <c r="H41" s="64">
        <v>26.36</v>
      </c>
      <c r="I41" s="64">
        <v>8.91</v>
      </c>
      <c r="J41" s="64">
        <v>0.12</v>
      </c>
      <c r="K41" s="64">
        <v>190.2</v>
      </c>
      <c r="L41" s="64">
        <v>29.25</v>
      </c>
      <c r="M41" s="64">
        <v>30.89</v>
      </c>
      <c r="N41" s="64">
        <v>483.3</v>
      </c>
      <c r="O41" s="64">
        <v>0</v>
      </c>
      <c r="P41" s="64">
        <v>0.82</v>
      </c>
      <c r="Q41" s="64">
        <v>10.64</v>
      </c>
      <c r="R41" s="198"/>
      <c r="S41" s="198"/>
      <c r="T41" s="198"/>
      <c r="U41" s="198"/>
    </row>
    <row r="42" spans="1:21" s="12" customFormat="1" x14ac:dyDescent="0.25">
      <c r="A42" s="213" t="s">
        <v>3176</v>
      </c>
      <c r="B42" s="64">
        <v>18.27</v>
      </c>
      <c r="C42" s="64">
        <v>37.619999999999997</v>
      </c>
      <c r="D42" s="64">
        <v>34.229999999999997</v>
      </c>
      <c r="E42" s="64">
        <v>1.52</v>
      </c>
      <c r="F42" s="64">
        <v>3.71</v>
      </c>
      <c r="G42" s="64">
        <v>82.02</v>
      </c>
      <c r="H42" s="64">
        <v>26.36</v>
      </c>
      <c r="I42" s="64">
        <v>8.85</v>
      </c>
      <c r="J42" s="64">
        <v>0.06</v>
      </c>
      <c r="K42" s="64">
        <v>337.99</v>
      </c>
      <c r="L42" s="64">
        <v>31.67</v>
      </c>
      <c r="M42" s="64">
        <v>28.38</v>
      </c>
      <c r="N42" s="64">
        <v>529.6</v>
      </c>
      <c r="O42" s="64">
        <v>0</v>
      </c>
      <c r="P42" s="64">
        <v>0.82</v>
      </c>
      <c r="Q42" s="64">
        <v>10.58</v>
      </c>
      <c r="R42" s="198"/>
      <c r="S42" s="198"/>
      <c r="T42" s="198"/>
      <c r="U42" s="198"/>
    </row>
    <row r="43" spans="1:21" s="12" customFormat="1" x14ac:dyDescent="0.25">
      <c r="A43" s="213" t="s">
        <v>3177</v>
      </c>
      <c r="B43" s="64">
        <v>15.2</v>
      </c>
      <c r="C43" s="64">
        <v>39.17</v>
      </c>
      <c r="D43" s="64">
        <v>32.57</v>
      </c>
      <c r="E43" s="64">
        <v>1.7</v>
      </c>
      <c r="F43" s="64">
        <v>3.73</v>
      </c>
      <c r="G43" s="64">
        <v>82.02</v>
      </c>
      <c r="H43" s="64">
        <v>26.36</v>
      </c>
      <c r="I43" s="64">
        <v>8.7899999999999991</v>
      </c>
      <c r="J43" s="64">
        <v>0.24</v>
      </c>
      <c r="K43" s="64">
        <v>347.77</v>
      </c>
      <c r="L43" s="64">
        <v>31.91</v>
      </c>
      <c r="M43" s="64">
        <v>25.19</v>
      </c>
      <c r="N43" s="64">
        <v>589.9</v>
      </c>
      <c r="O43" s="64">
        <v>0</v>
      </c>
      <c r="P43" s="64">
        <v>0.81</v>
      </c>
      <c r="Q43" s="64">
        <v>10.56</v>
      </c>
      <c r="R43" s="198"/>
      <c r="S43" s="198"/>
      <c r="T43" s="198"/>
      <c r="U43" s="198"/>
    </row>
    <row r="44" spans="1:21" s="12" customFormat="1" x14ac:dyDescent="0.25">
      <c r="A44" s="213" t="s">
        <v>3178</v>
      </c>
      <c r="B44" s="64">
        <v>12.21</v>
      </c>
      <c r="C44" s="64">
        <v>40.79</v>
      </c>
      <c r="D44" s="64">
        <v>31.02</v>
      </c>
      <c r="E44" s="64">
        <v>1.68</v>
      </c>
      <c r="F44" s="64">
        <v>4.05</v>
      </c>
      <c r="G44" s="64">
        <v>79.38</v>
      </c>
      <c r="H44" s="64">
        <v>27</v>
      </c>
      <c r="I44" s="64">
        <v>8.59</v>
      </c>
      <c r="J44" s="64">
        <v>0.05</v>
      </c>
      <c r="K44" s="64">
        <v>11.67</v>
      </c>
      <c r="L44" s="64">
        <v>33.479999999999997</v>
      </c>
      <c r="M44" s="64">
        <v>21.32</v>
      </c>
      <c r="N44" s="64">
        <v>609.70000000000005</v>
      </c>
      <c r="O44" s="64">
        <v>0</v>
      </c>
      <c r="P44" s="64">
        <v>0.8</v>
      </c>
      <c r="Q44" s="64">
        <v>10.49</v>
      </c>
      <c r="R44" s="198"/>
      <c r="S44" s="198"/>
      <c r="T44" s="198"/>
      <c r="U44" s="198"/>
    </row>
    <row r="45" spans="1:21" s="12" customFormat="1" x14ac:dyDescent="0.25">
      <c r="A45" s="213" t="s">
        <v>3179</v>
      </c>
      <c r="B45" s="64">
        <v>9.02</v>
      </c>
      <c r="C45" s="64">
        <v>42.74</v>
      </c>
      <c r="D45" s="64">
        <v>29.48</v>
      </c>
      <c r="E45" s="64">
        <v>1.96</v>
      </c>
      <c r="F45" s="64">
        <v>4.9800000000000004</v>
      </c>
      <c r="G45" s="64">
        <v>77.540000000000006</v>
      </c>
      <c r="H45" s="64">
        <v>27.45</v>
      </c>
      <c r="I45" s="64">
        <v>8.6999999999999993</v>
      </c>
      <c r="J45" s="64">
        <v>0.15</v>
      </c>
      <c r="K45" s="64">
        <v>7.88</v>
      </c>
      <c r="L45" s="64">
        <v>33.29</v>
      </c>
      <c r="M45" s="64">
        <v>21.47</v>
      </c>
      <c r="N45" s="64">
        <v>672.3</v>
      </c>
      <c r="O45" s="64">
        <v>0</v>
      </c>
      <c r="P45" s="64">
        <v>0.78</v>
      </c>
      <c r="Q45" s="64">
        <v>10.41</v>
      </c>
      <c r="R45" s="198"/>
      <c r="S45" s="198"/>
      <c r="T45" s="198"/>
      <c r="U45" s="198"/>
    </row>
    <row r="46" spans="1:21" s="12" customFormat="1" x14ac:dyDescent="0.25">
      <c r="A46" s="213" t="s">
        <v>3180</v>
      </c>
      <c r="B46" s="64">
        <v>6.64</v>
      </c>
      <c r="C46" s="64">
        <v>43.36</v>
      </c>
      <c r="D46" s="64">
        <v>27.9</v>
      </c>
      <c r="E46" s="64">
        <v>2.12</v>
      </c>
      <c r="F46" s="64">
        <v>5.61</v>
      </c>
      <c r="G46" s="64">
        <v>77.540000000000006</v>
      </c>
      <c r="H46" s="64">
        <v>27.45</v>
      </c>
      <c r="I46" s="64">
        <v>8.4700000000000006</v>
      </c>
      <c r="J46" s="64">
        <v>7.0000000000000007E-2</v>
      </c>
      <c r="K46" s="64">
        <v>1.05</v>
      </c>
      <c r="L46" s="64">
        <v>34.020000000000003</v>
      </c>
      <c r="M46" s="64">
        <v>19.7</v>
      </c>
      <c r="N46" s="64">
        <v>700</v>
      </c>
      <c r="O46" s="64">
        <v>0</v>
      </c>
      <c r="P46" s="64">
        <v>0.77</v>
      </c>
      <c r="Q46" s="64">
        <v>10.28</v>
      </c>
      <c r="R46" s="198"/>
      <c r="S46" s="198"/>
      <c r="T46" s="198"/>
      <c r="U46" s="198"/>
    </row>
    <row r="47" spans="1:21" s="12" customFormat="1" x14ac:dyDescent="0.25">
      <c r="A47" s="213" t="s">
        <v>3181</v>
      </c>
      <c r="B47" s="64">
        <v>5.14</v>
      </c>
      <c r="C47" s="64">
        <v>43.08</v>
      </c>
      <c r="D47" s="64">
        <v>26.55</v>
      </c>
      <c r="E47" s="64">
        <v>2.0699999999999998</v>
      </c>
      <c r="F47" s="64">
        <v>6.88</v>
      </c>
      <c r="G47" s="64">
        <v>77.540000000000006</v>
      </c>
      <c r="H47" s="64">
        <v>27.45</v>
      </c>
      <c r="I47" s="64">
        <v>8.2200000000000006</v>
      </c>
      <c r="J47" s="64">
        <v>7.0000000000000007E-2</v>
      </c>
      <c r="K47" s="64">
        <v>10.27</v>
      </c>
      <c r="L47" s="64">
        <v>34.950000000000003</v>
      </c>
      <c r="M47" s="64">
        <v>17.47</v>
      </c>
      <c r="N47" s="64">
        <v>741.1</v>
      </c>
      <c r="O47" s="64">
        <v>0</v>
      </c>
      <c r="P47" s="64">
        <v>0.74</v>
      </c>
      <c r="Q47" s="64">
        <v>10.210000000000001</v>
      </c>
      <c r="R47" s="198"/>
      <c r="S47" s="198"/>
      <c r="T47" s="198"/>
      <c r="U47" s="198"/>
    </row>
    <row r="48" spans="1:21" s="12" customFormat="1" x14ac:dyDescent="0.25">
      <c r="A48" s="213" t="s">
        <v>3182</v>
      </c>
      <c r="B48" s="64">
        <v>4.45</v>
      </c>
      <c r="C48" s="64">
        <v>40.479999999999997</v>
      </c>
      <c r="D48" s="64">
        <v>24.64</v>
      </c>
      <c r="E48" s="64">
        <v>1.81</v>
      </c>
      <c r="F48" s="64">
        <v>7.71</v>
      </c>
      <c r="G48" s="64">
        <v>76.33</v>
      </c>
      <c r="H48" s="64">
        <v>27.11</v>
      </c>
      <c r="I48" s="64">
        <v>7.92</v>
      </c>
      <c r="J48" s="64">
        <v>0.22</v>
      </c>
      <c r="K48" s="64">
        <v>356.58</v>
      </c>
      <c r="L48" s="64">
        <v>35.97</v>
      </c>
      <c r="M48" s="64">
        <v>16.82</v>
      </c>
      <c r="N48" s="64">
        <v>765.4</v>
      </c>
      <c r="O48" s="64">
        <v>0</v>
      </c>
      <c r="P48" s="64">
        <v>0.72</v>
      </c>
      <c r="Q48" s="64">
        <v>10.11</v>
      </c>
      <c r="R48" s="198"/>
      <c r="S48" s="198"/>
      <c r="T48" s="198"/>
      <c r="U48" s="198"/>
    </row>
    <row r="49" spans="1:21" s="12" customFormat="1" x14ac:dyDescent="0.25">
      <c r="A49" s="213" t="s">
        <v>3183</v>
      </c>
      <c r="B49" s="64">
        <v>4.2699999999999996</v>
      </c>
      <c r="C49" s="64">
        <v>38.700000000000003</v>
      </c>
      <c r="D49" s="64">
        <v>23.57</v>
      </c>
      <c r="E49" s="64">
        <v>1.57</v>
      </c>
      <c r="F49" s="64">
        <v>7.92</v>
      </c>
      <c r="G49" s="64">
        <v>75.489999999999995</v>
      </c>
      <c r="H49" s="64">
        <v>26.87</v>
      </c>
      <c r="I49" s="64">
        <v>7.48</v>
      </c>
      <c r="J49" s="64">
        <v>0.11</v>
      </c>
      <c r="K49" s="64">
        <v>354.14</v>
      </c>
      <c r="L49" s="64">
        <v>36.619999999999997</v>
      </c>
      <c r="M49" s="64">
        <v>14.73</v>
      </c>
      <c r="N49" s="64">
        <v>812</v>
      </c>
      <c r="O49" s="64">
        <v>0</v>
      </c>
      <c r="P49" s="64">
        <v>0.7</v>
      </c>
      <c r="Q49" s="64">
        <v>10.050000000000001</v>
      </c>
      <c r="R49" s="198"/>
      <c r="S49" s="198"/>
      <c r="T49" s="198"/>
      <c r="U49" s="198"/>
    </row>
    <row r="50" spans="1:21" s="12" customFormat="1" x14ac:dyDescent="0.25">
      <c r="A50" s="213" t="s">
        <v>3184</v>
      </c>
      <c r="B50" s="64">
        <v>4.16</v>
      </c>
      <c r="C50" s="64">
        <v>37.83</v>
      </c>
      <c r="D50" s="64">
        <v>23.02</v>
      </c>
      <c r="E50" s="64">
        <v>2.0099999999999998</v>
      </c>
      <c r="F50" s="64">
        <v>8.6300000000000008</v>
      </c>
      <c r="G50" s="64">
        <v>75.489999999999995</v>
      </c>
      <c r="H50" s="64">
        <v>26.87</v>
      </c>
      <c r="I50" s="64">
        <v>7.14</v>
      </c>
      <c r="J50" s="64">
        <v>0.18</v>
      </c>
      <c r="K50" s="64">
        <v>340.63</v>
      </c>
      <c r="L50" s="64">
        <v>37.96</v>
      </c>
      <c r="M50" s="64">
        <v>13.07</v>
      </c>
      <c r="N50" s="64">
        <v>840.3</v>
      </c>
      <c r="O50" s="64">
        <v>0</v>
      </c>
      <c r="P50" s="64">
        <v>0.68</v>
      </c>
      <c r="Q50" s="64">
        <v>10</v>
      </c>
      <c r="R50" s="198"/>
      <c r="S50" s="198"/>
      <c r="T50" s="198"/>
      <c r="U50" s="198"/>
    </row>
    <row r="51" spans="1:21" s="12" customFormat="1" x14ac:dyDescent="0.25">
      <c r="A51" s="213" t="s">
        <v>3185</v>
      </c>
      <c r="B51" s="64">
        <v>4.0999999999999996</v>
      </c>
      <c r="C51" s="64">
        <v>36.78</v>
      </c>
      <c r="D51" s="64">
        <v>22.42</v>
      </c>
      <c r="E51" s="64">
        <v>1.76</v>
      </c>
      <c r="F51" s="64">
        <v>8.57</v>
      </c>
      <c r="G51" s="64">
        <v>75.489999999999995</v>
      </c>
      <c r="H51" s="64">
        <v>26.87</v>
      </c>
      <c r="I51" s="64">
        <v>6.87</v>
      </c>
      <c r="J51" s="64">
        <v>0.06</v>
      </c>
      <c r="K51" s="64">
        <v>258.51</v>
      </c>
      <c r="L51" s="64">
        <v>37.83</v>
      </c>
      <c r="M51" s="64">
        <v>12.86</v>
      </c>
      <c r="N51" s="64">
        <v>871.6</v>
      </c>
      <c r="O51" s="64">
        <v>0</v>
      </c>
      <c r="P51" s="64">
        <v>0.66</v>
      </c>
      <c r="Q51" s="64">
        <v>9.98</v>
      </c>
      <c r="R51" s="198"/>
      <c r="S51" s="198"/>
      <c r="T51" s="198"/>
      <c r="U51" s="198"/>
    </row>
    <row r="52" spans="1:21" s="12" customFormat="1" x14ac:dyDescent="0.25">
      <c r="A52" s="213" t="s">
        <v>3186</v>
      </c>
      <c r="B52" s="64">
        <v>3.98</v>
      </c>
      <c r="C52" s="64">
        <v>35.200000000000003</v>
      </c>
      <c r="D52" s="64">
        <v>21.5</v>
      </c>
      <c r="E52" s="64">
        <v>2.06</v>
      </c>
      <c r="F52" s="64">
        <v>9.2799999999999994</v>
      </c>
      <c r="G52" s="64">
        <v>71.319999999999993</v>
      </c>
      <c r="H52" s="64">
        <v>26.62</v>
      </c>
      <c r="I52" s="64">
        <v>6.54</v>
      </c>
      <c r="J52" s="64">
        <v>0.55000000000000004</v>
      </c>
      <c r="K52" s="64">
        <v>163.9</v>
      </c>
      <c r="L52" s="64">
        <v>37.06</v>
      </c>
      <c r="M52" s="64">
        <v>14.06</v>
      </c>
      <c r="N52" s="64">
        <v>890.3</v>
      </c>
      <c r="O52" s="64">
        <v>0</v>
      </c>
      <c r="P52" s="64">
        <v>0.63</v>
      </c>
      <c r="Q52" s="64">
        <v>9.9499999999999993</v>
      </c>
      <c r="R52" s="198"/>
      <c r="S52" s="198"/>
      <c r="T52" s="198"/>
      <c r="U52" s="198"/>
    </row>
    <row r="53" spans="1:21" s="12" customFormat="1" x14ac:dyDescent="0.25">
      <c r="A53" s="213" t="s">
        <v>3187</v>
      </c>
      <c r="B53" s="64">
        <v>3.96</v>
      </c>
      <c r="C53" s="64">
        <v>33.58</v>
      </c>
      <c r="D53" s="64">
        <v>20.64</v>
      </c>
      <c r="E53" s="64">
        <v>2.19</v>
      </c>
      <c r="F53" s="64">
        <v>9.56</v>
      </c>
      <c r="G53" s="64">
        <v>68.41</v>
      </c>
      <c r="H53" s="64">
        <v>26.44</v>
      </c>
      <c r="I53" s="64">
        <v>6.26</v>
      </c>
      <c r="J53" s="64">
        <v>0.17</v>
      </c>
      <c r="K53" s="64">
        <v>313.32</v>
      </c>
      <c r="L53" s="64">
        <v>38.36</v>
      </c>
      <c r="M53" s="64">
        <v>15.03</v>
      </c>
      <c r="N53" s="64">
        <v>884.7</v>
      </c>
      <c r="O53" s="64">
        <v>0</v>
      </c>
      <c r="P53" s="64">
        <v>0.6</v>
      </c>
      <c r="Q53" s="64">
        <v>9.94</v>
      </c>
      <c r="R53" s="198"/>
      <c r="S53" s="198"/>
      <c r="T53" s="198"/>
      <c r="U53" s="198"/>
    </row>
    <row r="54" spans="1:21" s="12" customFormat="1" x14ac:dyDescent="0.25">
      <c r="A54" s="213" t="s">
        <v>3188</v>
      </c>
      <c r="B54" s="64">
        <v>3.96</v>
      </c>
      <c r="C54" s="64">
        <v>33.39</v>
      </c>
      <c r="D54" s="64">
        <v>20.54</v>
      </c>
      <c r="E54" s="64">
        <v>1.82</v>
      </c>
      <c r="F54" s="64">
        <v>8.89</v>
      </c>
      <c r="G54" s="64">
        <v>68.41</v>
      </c>
      <c r="H54" s="64">
        <v>26.44</v>
      </c>
      <c r="I54" s="64">
        <v>5.94</v>
      </c>
      <c r="J54" s="64">
        <v>0.56000000000000005</v>
      </c>
      <c r="K54" s="64">
        <v>157.79</v>
      </c>
      <c r="L54" s="64">
        <v>37.97</v>
      </c>
      <c r="M54" s="64">
        <v>15.24</v>
      </c>
      <c r="N54" s="64">
        <v>889.5</v>
      </c>
      <c r="O54" s="64">
        <v>0</v>
      </c>
      <c r="P54" s="64">
        <v>0.59</v>
      </c>
      <c r="Q54" s="64">
        <v>9.93</v>
      </c>
      <c r="R54" s="198"/>
      <c r="S54" s="198"/>
      <c r="T54" s="198"/>
      <c r="U54" s="198"/>
    </row>
    <row r="55" spans="1:21" s="12" customFormat="1" x14ac:dyDescent="0.25">
      <c r="A55" s="213" t="s">
        <v>3189</v>
      </c>
      <c r="B55" s="64">
        <v>3.87</v>
      </c>
      <c r="C55" s="64">
        <v>32.5</v>
      </c>
      <c r="D55" s="64">
        <v>20</v>
      </c>
      <c r="E55" s="64">
        <v>1.99</v>
      </c>
      <c r="F55" s="64">
        <v>9.34</v>
      </c>
      <c r="G55" s="64">
        <v>68.41</v>
      </c>
      <c r="H55" s="64">
        <v>26.44</v>
      </c>
      <c r="I55" s="64">
        <v>5.8</v>
      </c>
      <c r="J55" s="64">
        <v>0.14000000000000001</v>
      </c>
      <c r="K55" s="64">
        <v>228.14</v>
      </c>
      <c r="L55" s="64">
        <v>38.28</v>
      </c>
      <c r="M55" s="64">
        <v>14.48</v>
      </c>
      <c r="N55" s="64">
        <v>880.4</v>
      </c>
      <c r="O55" s="64">
        <v>0</v>
      </c>
      <c r="P55" s="64">
        <v>0.56999999999999995</v>
      </c>
      <c r="Q55" s="64">
        <v>9.94</v>
      </c>
      <c r="R55" s="198"/>
      <c r="S55" s="198"/>
      <c r="T55" s="198"/>
      <c r="U55" s="198"/>
    </row>
    <row r="56" spans="1:21" s="12" customFormat="1" x14ac:dyDescent="0.25">
      <c r="A56" s="213" t="s">
        <v>3190</v>
      </c>
      <c r="B56" s="64">
        <v>3.88</v>
      </c>
      <c r="C56" s="64">
        <v>31.91</v>
      </c>
      <c r="D56" s="64">
        <v>19.7</v>
      </c>
      <c r="E56" s="64">
        <v>2.38</v>
      </c>
      <c r="F56" s="64">
        <v>8.9499999999999993</v>
      </c>
      <c r="G56" s="64">
        <v>67.06</v>
      </c>
      <c r="H56" s="64">
        <v>27.05</v>
      </c>
      <c r="I56" s="64">
        <v>5.66</v>
      </c>
      <c r="J56" s="64">
        <v>0.1</v>
      </c>
      <c r="K56" s="64">
        <v>145.25</v>
      </c>
      <c r="L56" s="64">
        <v>39.450000000000003</v>
      </c>
      <c r="M56" s="64">
        <v>13.94</v>
      </c>
      <c r="N56" s="64">
        <v>870.6</v>
      </c>
      <c r="O56" s="64">
        <v>0</v>
      </c>
      <c r="P56" s="64">
        <v>0.56000000000000005</v>
      </c>
      <c r="Q56" s="64">
        <v>9.9600000000000009</v>
      </c>
      <c r="R56" s="198"/>
      <c r="S56" s="198"/>
      <c r="T56" s="198"/>
      <c r="U56" s="198"/>
    </row>
    <row r="57" spans="1:21" s="12" customFormat="1" x14ac:dyDescent="0.25">
      <c r="A57" s="213" t="s">
        <v>3191</v>
      </c>
      <c r="B57" s="64">
        <v>3.97</v>
      </c>
      <c r="C57" s="64">
        <v>31.86</v>
      </c>
      <c r="D57" s="64">
        <v>19.75</v>
      </c>
      <c r="E57" s="64">
        <v>1.56</v>
      </c>
      <c r="F57" s="64">
        <v>8.31</v>
      </c>
      <c r="G57" s="64">
        <v>66.12</v>
      </c>
      <c r="H57" s="64">
        <v>27.48</v>
      </c>
      <c r="I57" s="64">
        <v>5.52</v>
      </c>
      <c r="J57" s="64">
        <v>0.38</v>
      </c>
      <c r="K57" s="64">
        <v>335.28</v>
      </c>
      <c r="L57" s="64">
        <v>40.14</v>
      </c>
      <c r="M57" s="64">
        <v>14.19</v>
      </c>
      <c r="N57" s="64">
        <v>862.9</v>
      </c>
      <c r="O57" s="64">
        <v>0</v>
      </c>
      <c r="P57" s="64">
        <v>0.56000000000000005</v>
      </c>
      <c r="Q57" s="64">
        <v>9.9700000000000006</v>
      </c>
      <c r="R57" s="198"/>
      <c r="S57" s="198"/>
      <c r="T57" s="198"/>
      <c r="U57" s="198"/>
    </row>
    <row r="58" spans="1:21" s="12" customFormat="1" x14ac:dyDescent="0.25">
      <c r="A58" s="213" t="s">
        <v>3192</v>
      </c>
      <c r="B58" s="64">
        <v>3.96</v>
      </c>
      <c r="C58" s="64">
        <v>32.229999999999997</v>
      </c>
      <c r="D58" s="64">
        <v>19.940000000000001</v>
      </c>
      <c r="E58" s="64">
        <v>1.87</v>
      </c>
      <c r="F58" s="64">
        <v>8.5399999999999991</v>
      </c>
      <c r="G58" s="64">
        <v>66.12</v>
      </c>
      <c r="H58" s="64">
        <v>27.48</v>
      </c>
      <c r="I58" s="64">
        <v>5.61</v>
      </c>
      <c r="J58" s="64">
        <v>0.34</v>
      </c>
      <c r="K58" s="64">
        <v>310.74</v>
      </c>
      <c r="L58" s="64">
        <v>40.31</v>
      </c>
      <c r="M58" s="64">
        <v>12.68</v>
      </c>
      <c r="N58" s="64">
        <v>873.8</v>
      </c>
      <c r="O58" s="64">
        <v>0</v>
      </c>
      <c r="P58" s="64">
        <v>0.56000000000000005</v>
      </c>
      <c r="Q58" s="64">
        <v>10.02</v>
      </c>
      <c r="R58" s="198"/>
      <c r="S58" s="198"/>
      <c r="T58" s="198"/>
      <c r="U58" s="198"/>
    </row>
    <row r="59" spans="1:21" s="12" customFormat="1" x14ac:dyDescent="0.25">
      <c r="A59" s="213" t="s">
        <v>3193</v>
      </c>
      <c r="B59" s="64">
        <v>3.99</v>
      </c>
      <c r="C59" s="64">
        <v>32.39</v>
      </c>
      <c r="D59" s="64">
        <v>20.04</v>
      </c>
      <c r="E59" s="64">
        <v>1.88</v>
      </c>
      <c r="F59" s="64">
        <v>8.7799999999999994</v>
      </c>
      <c r="G59" s="64">
        <v>66.12</v>
      </c>
      <c r="H59" s="64">
        <v>27.48</v>
      </c>
      <c r="I59" s="64">
        <v>5.75</v>
      </c>
      <c r="J59" s="64">
        <v>0.52</v>
      </c>
      <c r="K59" s="64">
        <v>322.06</v>
      </c>
      <c r="L59" s="64">
        <v>40.450000000000003</v>
      </c>
      <c r="M59" s="64">
        <v>11.89</v>
      </c>
      <c r="N59" s="64">
        <v>841.6</v>
      </c>
      <c r="O59" s="64">
        <v>0</v>
      </c>
      <c r="P59" s="64">
        <v>0.56000000000000005</v>
      </c>
      <c r="Q59" s="64">
        <v>10.039999999999999</v>
      </c>
      <c r="R59" s="198"/>
      <c r="S59" s="198"/>
      <c r="T59" s="198"/>
      <c r="U59" s="198"/>
    </row>
    <row r="60" spans="1:21" s="12" customFormat="1" x14ac:dyDescent="0.25">
      <c r="A60" s="213" t="s">
        <v>3194</v>
      </c>
      <c r="B60" s="64">
        <v>3.95</v>
      </c>
      <c r="C60" s="64">
        <v>33.130000000000003</v>
      </c>
      <c r="D60" s="64">
        <v>20.399999999999999</v>
      </c>
      <c r="E60" s="64">
        <v>1.76</v>
      </c>
      <c r="F60" s="64">
        <v>9.5399999999999991</v>
      </c>
      <c r="G60" s="64">
        <v>66.150000000000006</v>
      </c>
      <c r="H60" s="64">
        <v>28.31</v>
      </c>
      <c r="I60" s="64">
        <v>5.7</v>
      </c>
      <c r="J60" s="64">
        <v>0.13</v>
      </c>
      <c r="K60" s="64">
        <v>342.91</v>
      </c>
      <c r="L60" s="64">
        <v>40.36</v>
      </c>
      <c r="M60" s="64">
        <v>12.95</v>
      </c>
      <c r="N60" s="64">
        <v>819.2</v>
      </c>
      <c r="O60" s="64">
        <v>0</v>
      </c>
      <c r="P60" s="64">
        <v>0.59</v>
      </c>
      <c r="Q60" s="64">
        <v>10.050000000000001</v>
      </c>
      <c r="R60" s="198"/>
      <c r="S60" s="198"/>
      <c r="T60" s="198"/>
      <c r="U60" s="198"/>
    </row>
    <row r="61" spans="1:21" s="12" customFormat="1" x14ac:dyDescent="0.25">
      <c r="A61" s="213" t="s">
        <v>3195</v>
      </c>
      <c r="B61" s="64">
        <v>3.84</v>
      </c>
      <c r="C61" s="64">
        <v>33.82</v>
      </c>
      <c r="D61" s="64">
        <v>20.67</v>
      </c>
      <c r="E61" s="64">
        <v>1.89</v>
      </c>
      <c r="F61" s="64">
        <v>10.16</v>
      </c>
      <c r="G61" s="64">
        <v>66.16</v>
      </c>
      <c r="H61" s="64">
        <v>28.89</v>
      </c>
      <c r="I61" s="64">
        <v>5.81</v>
      </c>
      <c r="J61" s="64">
        <v>0.19</v>
      </c>
      <c r="K61" s="64">
        <v>3.85</v>
      </c>
      <c r="L61" s="64">
        <v>40.06</v>
      </c>
      <c r="M61" s="64">
        <v>11.29</v>
      </c>
      <c r="N61" s="64">
        <v>820.2</v>
      </c>
      <c r="O61" s="64">
        <v>0</v>
      </c>
      <c r="P61" s="64">
        <v>0.57999999999999996</v>
      </c>
      <c r="Q61" s="64">
        <v>10.07</v>
      </c>
      <c r="R61" s="198"/>
      <c r="S61" s="198"/>
      <c r="T61" s="198"/>
      <c r="U61" s="198"/>
    </row>
    <row r="62" spans="1:21" s="12" customFormat="1" x14ac:dyDescent="0.25">
      <c r="A62" s="213" t="s">
        <v>3196</v>
      </c>
      <c r="B62" s="64">
        <v>3.65</v>
      </c>
      <c r="C62" s="64">
        <v>33.340000000000003</v>
      </c>
      <c r="D62" s="64">
        <v>20.260000000000002</v>
      </c>
      <c r="E62" s="64">
        <v>2.02</v>
      </c>
      <c r="F62" s="64">
        <v>12.28</v>
      </c>
      <c r="G62" s="64">
        <v>66.16</v>
      </c>
      <c r="H62" s="64">
        <v>28.89</v>
      </c>
      <c r="I62" s="64">
        <v>5.94</v>
      </c>
      <c r="J62" s="64">
        <v>0.56999999999999995</v>
      </c>
      <c r="K62" s="64">
        <v>197.47</v>
      </c>
      <c r="L62" s="64">
        <v>38.94</v>
      </c>
      <c r="M62" s="64">
        <v>9.67</v>
      </c>
      <c r="N62" s="64">
        <v>777.4</v>
      </c>
      <c r="O62" s="64">
        <v>0</v>
      </c>
      <c r="P62" s="64">
        <v>0.6</v>
      </c>
      <c r="Q62" s="64">
        <v>10.050000000000001</v>
      </c>
      <c r="R62" s="198"/>
      <c r="S62" s="198"/>
      <c r="T62" s="198"/>
      <c r="U62" s="198"/>
    </row>
    <row r="63" spans="1:21" s="12" customFormat="1" x14ac:dyDescent="0.25">
      <c r="A63" s="213" t="s">
        <v>3197</v>
      </c>
      <c r="B63" s="64">
        <v>3.53</v>
      </c>
      <c r="C63" s="64">
        <v>32.15</v>
      </c>
      <c r="D63" s="64">
        <v>19.55</v>
      </c>
      <c r="E63" s="64">
        <v>2.41</v>
      </c>
      <c r="F63" s="64">
        <v>12.68</v>
      </c>
      <c r="G63" s="64">
        <v>66.16</v>
      </c>
      <c r="H63" s="64">
        <v>28.89</v>
      </c>
      <c r="I63" s="64">
        <v>5.95</v>
      </c>
      <c r="J63" s="64">
        <v>0.16</v>
      </c>
      <c r="K63" s="64">
        <v>1.75</v>
      </c>
      <c r="L63" s="64">
        <v>39.159999999999997</v>
      </c>
      <c r="M63" s="64">
        <v>11.11</v>
      </c>
      <c r="N63" s="64">
        <v>763.4</v>
      </c>
      <c r="O63" s="64">
        <v>0</v>
      </c>
      <c r="P63" s="64">
        <v>0.59</v>
      </c>
      <c r="Q63" s="64">
        <v>9.9700000000000006</v>
      </c>
      <c r="R63" s="198"/>
      <c r="S63" s="198"/>
      <c r="T63" s="198"/>
      <c r="U63" s="198"/>
    </row>
    <row r="64" spans="1:21" s="12" customFormat="1" x14ac:dyDescent="0.25">
      <c r="A64" s="213" t="s">
        <v>3198</v>
      </c>
      <c r="B64" s="64">
        <v>3.46</v>
      </c>
      <c r="C64" s="64">
        <v>31.79</v>
      </c>
      <c r="D64" s="64">
        <v>19.3</v>
      </c>
      <c r="E64" s="64">
        <v>2.2200000000000002</v>
      </c>
      <c r="F64" s="64">
        <v>11.99</v>
      </c>
      <c r="G64" s="64">
        <v>65.03</v>
      </c>
      <c r="H64" s="64">
        <v>27.13</v>
      </c>
      <c r="I64" s="64">
        <v>6.09</v>
      </c>
      <c r="J64" s="64">
        <v>0.28000000000000003</v>
      </c>
      <c r="K64" s="64">
        <v>305.66000000000003</v>
      </c>
      <c r="L64" s="64">
        <v>40.049999999999997</v>
      </c>
      <c r="M64" s="64">
        <v>12.34</v>
      </c>
      <c r="N64" s="64">
        <v>701.4</v>
      </c>
      <c r="O64" s="64">
        <v>0</v>
      </c>
      <c r="P64" s="64">
        <v>0.59</v>
      </c>
      <c r="Q64" s="64">
        <v>9.93</v>
      </c>
      <c r="R64" s="198"/>
      <c r="S64" s="198"/>
      <c r="T64" s="198"/>
      <c r="U64" s="198"/>
    </row>
    <row r="65" spans="1:21" s="12" customFormat="1" x14ac:dyDescent="0.25">
      <c r="A65" s="213" t="s">
        <v>3199</v>
      </c>
      <c r="B65" s="64">
        <v>3.43</v>
      </c>
      <c r="C65" s="64">
        <v>31.55</v>
      </c>
      <c r="D65" s="64">
        <v>19.149999999999999</v>
      </c>
      <c r="E65" s="64">
        <v>2.0299999999999998</v>
      </c>
      <c r="F65" s="64">
        <v>11.97</v>
      </c>
      <c r="G65" s="64">
        <v>64.23</v>
      </c>
      <c r="H65" s="64">
        <v>25.9</v>
      </c>
      <c r="I65" s="64">
        <v>5.93</v>
      </c>
      <c r="J65" s="64">
        <v>0.21</v>
      </c>
      <c r="K65" s="64">
        <v>142.13</v>
      </c>
      <c r="L65" s="64">
        <v>38.92</v>
      </c>
      <c r="M65" s="64">
        <v>12.23</v>
      </c>
      <c r="N65" s="64">
        <v>575.4</v>
      </c>
      <c r="O65" s="64">
        <v>0</v>
      </c>
      <c r="P65" s="64">
        <v>0.59</v>
      </c>
      <c r="Q65" s="64">
        <v>9.91</v>
      </c>
      <c r="R65" s="198"/>
      <c r="S65" s="198"/>
      <c r="T65" s="198"/>
      <c r="U65" s="198"/>
    </row>
    <row r="66" spans="1:21" s="12" customFormat="1" x14ac:dyDescent="0.25">
      <c r="A66" s="213" t="s">
        <v>3200</v>
      </c>
      <c r="B66" s="64">
        <v>3.37</v>
      </c>
      <c r="C66" s="64">
        <v>31.08</v>
      </c>
      <c r="D66" s="64">
        <v>18.86</v>
      </c>
      <c r="E66" s="64">
        <v>2.15</v>
      </c>
      <c r="F66" s="64">
        <v>11.76</v>
      </c>
      <c r="G66" s="64">
        <v>64.23</v>
      </c>
      <c r="H66" s="64">
        <v>25.9</v>
      </c>
      <c r="I66" s="64">
        <v>5.88</v>
      </c>
      <c r="J66" s="64">
        <v>0.09</v>
      </c>
      <c r="K66" s="64">
        <v>252.55</v>
      </c>
      <c r="L66" s="64">
        <v>38.659999999999997</v>
      </c>
      <c r="M66" s="64">
        <v>13.94</v>
      </c>
      <c r="N66" s="64">
        <v>437.5</v>
      </c>
      <c r="O66" s="64">
        <v>0</v>
      </c>
      <c r="P66" s="64">
        <v>0.57999999999999996</v>
      </c>
      <c r="Q66" s="64">
        <v>9.92</v>
      </c>
      <c r="R66" s="198"/>
      <c r="S66" s="198"/>
      <c r="T66" s="198"/>
      <c r="U66" s="198"/>
    </row>
    <row r="67" spans="1:21" s="12" customFormat="1" x14ac:dyDescent="0.25">
      <c r="A67" s="213" t="s">
        <v>3201</v>
      </c>
      <c r="B67" s="64">
        <v>3.33</v>
      </c>
      <c r="C67" s="64">
        <v>31.09</v>
      </c>
      <c r="D67" s="64">
        <v>18.829999999999998</v>
      </c>
      <c r="E67" s="64">
        <v>2.23</v>
      </c>
      <c r="F67" s="64">
        <v>12.03</v>
      </c>
      <c r="G67" s="64">
        <v>64.23</v>
      </c>
      <c r="H67" s="64">
        <v>25.9</v>
      </c>
      <c r="I67" s="64">
        <v>5.82</v>
      </c>
      <c r="J67" s="64">
        <v>0.3</v>
      </c>
      <c r="K67" s="64">
        <v>330.18</v>
      </c>
      <c r="L67" s="64">
        <v>38.79</v>
      </c>
      <c r="M67" s="64">
        <v>14.25</v>
      </c>
      <c r="N67" s="64">
        <v>337.4</v>
      </c>
      <c r="O67" s="64">
        <v>0</v>
      </c>
      <c r="P67" s="64">
        <v>0.56999999999999995</v>
      </c>
      <c r="Q67" s="64">
        <v>9.9</v>
      </c>
      <c r="R67" s="198"/>
      <c r="S67" s="198"/>
      <c r="T67" s="198"/>
      <c r="U67" s="198"/>
    </row>
    <row r="68" spans="1:21" s="12" customFormat="1" x14ac:dyDescent="0.25">
      <c r="A68" s="213" t="s">
        <v>3202</v>
      </c>
      <c r="B68" s="64">
        <v>3.32</v>
      </c>
      <c r="C68" s="64">
        <v>31.46</v>
      </c>
      <c r="D68" s="64">
        <v>19.02</v>
      </c>
      <c r="E68" s="64">
        <v>2.09</v>
      </c>
      <c r="F68" s="64">
        <v>11.12</v>
      </c>
      <c r="G68" s="64">
        <v>61.93</v>
      </c>
      <c r="H68" s="64">
        <v>25.54</v>
      </c>
      <c r="I68" s="64">
        <v>5.84</v>
      </c>
      <c r="J68" s="64">
        <v>0.24</v>
      </c>
      <c r="K68" s="64">
        <v>238.24</v>
      </c>
      <c r="L68" s="64">
        <v>38.96</v>
      </c>
      <c r="M68" s="64">
        <v>14.66</v>
      </c>
      <c r="N68" s="64">
        <v>323.7</v>
      </c>
      <c r="O68" s="64">
        <v>0</v>
      </c>
      <c r="P68" s="64">
        <v>0.56000000000000005</v>
      </c>
      <c r="Q68" s="64">
        <v>9.91</v>
      </c>
      <c r="R68" s="198"/>
      <c r="S68" s="198"/>
      <c r="T68" s="198"/>
      <c r="U68" s="198"/>
    </row>
    <row r="69" spans="1:21" s="12" customFormat="1" x14ac:dyDescent="0.25">
      <c r="A69" s="213" t="s">
        <v>3203</v>
      </c>
      <c r="B69" s="64">
        <v>3.33</v>
      </c>
      <c r="C69" s="64">
        <v>31.78</v>
      </c>
      <c r="D69" s="64">
        <v>19.190000000000001</v>
      </c>
      <c r="E69" s="64">
        <v>2.38</v>
      </c>
      <c r="F69" s="64">
        <v>12.04</v>
      </c>
      <c r="G69" s="64">
        <v>60.32</v>
      </c>
      <c r="H69" s="64">
        <v>25.29</v>
      </c>
      <c r="I69" s="64">
        <v>5.6</v>
      </c>
      <c r="J69" s="64">
        <v>0.25</v>
      </c>
      <c r="K69" s="64">
        <v>350.49</v>
      </c>
      <c r="L69" s="64">
        <v>38.549999999999997</v>
      </c>
      <c r="M69" s="64">
        <v>14.09</v>
      </c>
      <c r="N69" s="64">
        <v>388.2</v>
      </c>
      <c r="O69" s="64">
        <v>0</v>
      </c>
      <c r="P69" s="64">
        <v>0.55000000000000004</v>
      </c>
      <c r="Q69" s="64">
        <v>9.9499999999999993</v>
      </c>
      <c r="R69" s="198"/>
      <c r="S69" s="198"/>
      <c r="T69" s="198"/>
      <c r="U69" s="198"/>
    </row>
    <row r="70" spans="1:21" s="12" customFormat="1" x14ac:dyDescent="0.25">
      <c r="A70" s="213" t="s">
        <v>3204</v>
      </c>
      <c r="B70" s="64">
        <v>3.28</v>
      </c>
      <c r="C70" s="64">
        <v>32.21</v>
      </c>
      <c r="D70" s="64">
        <v>19.37</v>
      </c>
      <c r="E70" s="64">
        <v>2.16</v>
      </c>
      <c r="F70" s="64">
        <v>12.82</v>
      </c>
      <c r="G70" s="64">
        <v>60.32</v>
      </c>
      <c r="H70" s="64">
        <v>25.29</v>
      </c>
      <c r="I70" s="64">
        <v>5.16</v>
      </c>
      <c r="J70" s="64">
        <v>0.3</v>
      </c>
      <c r="K70" s="64">
        <v>193.7</v>
      </c>
      <c r="L70" s="64">
        <v>38.25</v>
      </c>
      <c r="M70" s="64">
        <v>14.44</v>
      </c>
      <c r="N70" s="64">
        <v>297.10000000000002</v>
      </c>
      <c r="O70" s="64">
        <v>0</v>
      </c>
      <c r="P70" s="64">
        <v>0.54</v>
      </c>
      <c r="Q70" s="64">
        <v>9.94</v>
      </c>
      <c r="R70" s="198"/>
      <c r="S70" s="198"/>
      <c r="T70" s="198"/>
      <c r="U70" s="198"/>
    </row>
    <row r="71" spans="1:21" s="12" customFormat="1" x14ac:dyDescent="0.25">
      <c r="A71" s="213" t="s">
        <v>3205</v>
      </c>
      <c r="B71" s="64">
        <v>3.27</v>
      </c>
      <c r="C71" s="64">
        <v>31.98</v>
      </c>
      <c r="D71" s="64">
        <v>19.260000000000002</v>
      </c>
      <c r="E71" s="64">
        <v>1.71</v>
      </c>
      <c r="F71" s="64">
        <v>11.19</v>
      </c>
      <c r="G71" s="64">
        <v>60.32</v>
      </c>
      <c r="H71" s="64">
        <v>25.29</v>
      </c>
      <c r="I71" s="64">
        <v>4.97</v>
      </c>
      <c r="J71" s="64">
        <v>0.22</v>
      </c>
      <c r="K71" s="64">
        <v>351.47</v>
      </c>
      <c r="L71" s="64">
        <v>38.229999999999997</v>
      </c>
      <c r="M71" s="64">
        <v>14.87</v>
      </c>
      <c r="N71" s="64">
        <v>167.9</v>
      </c>
      <c r="O71" s="64">
        <v>0</v>
      </c>
      <c r="P71" s="64">
        <v>0.53</v>
      </c>
      <c r="Q71" s="64">
        <v>9.93</v>
      </c>
      <c r="R71" s="198"/>
      <c r="S71" s="198"/>
      <c r="T71" s="198"/>
      <c r="U71" s="198"/>
    </row>
    <row r="72" spans="1:21" s="12" customFormat="1" x14ac:dyDescent="0.25">
      <c r="A72" s="213" t="s">
        <v>3206</v>
      </c>
      <c r="B72" s="64">
        <v>3.34</v>
      </c>
      <c r="C72" s="64">
        <v>32.020000000000003</v>
      </c>
      <c r="D72" s="64">
        <v>19.329999999999998</v>
      </c>
      <c r="E72" s="64">
        <v>1.95</v>
      </c>
      <c r="F72" s="64">
        <v>10.17</v>
      </c>
      <c r="G72" s="64">
        <v>59.46</v>
      </c>
      <c r="H72" s="64">
        <v>23.49</v>
      </c>
      <c r="I72" s="64">
        <v>4.71</v>
      </c>
      <c r="J72" s="64">
        <v>0.31</v>
      </c>
      <c r="K72" s="64">
        <v>303.05</v>
      </c>
      <c r="L72" s="64">
        <v>38.39</v>
      </c>
      <c r="M72" s="64">
        <v>12.14</v>
      </c>
      <c r="N72" s="64">
        <v>198.3</v>
      </c>
      <c r="O72" s="64">
        <v>0</v>
      </c>
      <c r="P72" s="64">
        <v>0.53</v>
      </c>
      <c r="Q72" s="64">
        <v>9.9600000000000009</v>
      </c>
      <c r="R72" s="198"/>
      <c r="S72" s="198"/>
      <c r="T72" s="198"/>
      <c r="U72" s="198"/>
    </row>
    <row r="73" spans="1:21" s="12" customFormat="1" x14ac:dyDescent="0.25">
      <c r="A73" s="213" t="s">
        <v>3207</v>
      </c>
      <c r="B73" s="64">
        <v>3.28</v>
      </c>
      <c r="C73" s="64">
        <v>32.090000000000003</v>
      </c>
      <c r="D73" s="64">
        <v>19.32</v>
      </c>
      <c r="E73" s="64">
        <v>1.58</v>
      </c>
      <c r="F73" s="64">
        <v>10.66</v>
      </c>
      <c r="G73" s="64">
        <v>58.87</v>
      </c>
      <c r="H73" s="64">
        <v>22.24</v>
      </c>
      <c r="I73" s="64">
        <v>4.67</v>
      </c>
      <c r="J73" s="64">
        <v>0.17</v>
      </c>
      <c r="K73" s="64">
        <v>7.98</v>
      </c>
      <c r="L73" s="64">
        <v>38.22</v>
      </c>
      <c r="M73" s="64">
        <v>10.44</v>
      </c>
      <c r="N73" s="64">
        <v>157.30000000000001</v>
      </c>
      <c r="O73" s="64">
        <v>0</v>
      </c>
      <c r="P73" s="64">
        <v>0.51</v>
      </c>
      <c r="Q73" s="64">
        <v>9.9700000000000006</v>
      </c>
      <c r="R73" s="198"/>
      <c r="S73" s="198"/>
      <c r="T73" s="198"/>
      <c r="U73" s="198"/>
    </row>
    <row r="74" spans="1:21" s="12" customFormat="1" x14ac:dyDescent="0.25">
      <c r="A74" s="213" t="s">
        <v>3208</v>
      </c>
      <c r="B74" s="64">
        <v>3.28</v>
      </c>
      <c r="C74" s="64">
        <v>31.87</v>
      </c>
      <c r="D74" s="64">
        <v>19.2</v>
      </c>
      <c r="E74" s="64">
        <v>1.5</v>
      </c>
      <c r="F74" s="64">
        <v>10.94</v>
      </c>
      <c r="G74" s="64">
        <v>58.87</v>
      </c>
      <c r="H74" s="64">
        <v>22.24</v>
      </c>
      <c r="I74" s="64">
        <v>4.67</v>
      </c>
      <c r="J74" s="64">
        <v>0.44</v>
      </c>
      <c r="K74" s="64">
        <v>320.06</v>
      </c>
      <c r="L74" s="64">
        <v>37.9</v>
      </c>
      <c r="M74" s="64">
        <v>11.22</v>
      </c>
      <c r="N74" s="64">
        <v>109.9</v>
      </c>
      <c r="O74" s="64">
        <v>0</v>
      </c>
      <c r="P74" s="64">
        <v>0.5</v>
      </c>
      <c r="Q74" s="64">
        <v>9.93</v>
      </c>
      <c r="R74" s="198"/>
      <c r="S74" s="198"/>
      <c r="T74" s="198"/>
      <c r="U74" s="198"/>
    </row>
    <row r="75" spans="1:21" s="12" customFormat="1" x14ac:dyDescent="0.25">
      <c r="A75" s="213" t="s">
        <v>3209</v>
      </c>
      <c r="B75" s="64">
        <v>3.37</v>
      </c>
      <c r="C75" s="64">
        <v>31.32</v>
      </c>
      <c r="D75" s="64">
        <v>18.98</v>
      </c>
      <c r="E75" s="64">
        <v>1.29</v>
      </c>
      <c r="F75" s="64">
        <v>10.61</v>
      </c>
      <c r="G75" s="64">
        <v>58.87</v>
      </c>
      <c r="H75" s="64">
        <v>22.24</v>
      </c>
      <c r="I75" s="64">
        <v>4.66</v>
      </c>
      <c r="J75" s="64">
        <v>0.22</v>
      </c>
      <c r="K75" s="64">
        <v>0.54</v>
      </c>
      <c r="L75" s="64">
        <v>37.86</v>
      </c>
      <c r="M75" s="64">
        <v>10.61</v>
      </c>
      <c r="N75" s="64">
        <v>91.2</v>
      </c>
      <c r="O75" s="64">
        <v>0</v>
      </c>
      <c r="P75" s="64">
        <v>0.49</v>
      </c>
      <c r="Q75" s="64">
        <v>9.89</v>
      </c>
      <c r="R75" s="198"/>
      <c r="S75" s="198"/>
      <c r="T75" s="198"/>
      <c r="U75" s="198"/>
    </row>
    <row r="76" spans="1:21" s="12" customFormat="1" x14ac:dyDescent="0.25">
      <c r="A76" s="213" t="s">
        <v>3210</v>
      </c>
      <c r="B76" s="64">
        <v>3.39</v>
      </c>
      <c r="C76" s="64">
        <v>31.29</v>
      </c>
      <c r="D76" s="64">
        <v>18.98</v>
      </c>
      <c r="E76" s="64">
        <v>1.59</v>
      </c>
      <c r="F76" s="64">
        <v>10.65</v>
      </c>
      <c r="G76" s="64">
        <v>58.02</v>
      </c>
      <c r="H76" s="64">
        <v>22.34</v>
      </c>
      <c r="I76" s="64">
        <v>4.21</v>
      </c>
      <c r="J76" s="64">
        <v>0.3</v>
      </c>
      <c r="K76" s="64">
        <v>341.52</v>
      </c>
      <c r="L76" s="64">
        <v>37.58</v>
      </c>
      <c r="M76" s="64">
        <v>11.4</v>
      </c>
      <c r="N76" s="64">
        <v>79</v>
      </c>
      <c r="O76" s="64">
        <v>0</v>
      </c>
      <c r="P76" s="64">
        <v>0.48</v>
      </c>
      <c r="Q76" s="64">
        <v>9.8800000000000008</v>
      </c>
      <c r="R76" s="198"/>
      <c r="S76" s="198"/>
      <c r="T76" s="198"/>
      <c r="U76" s="198"/>
    </row>
    <row r="77" spans="1:21" s="12" customFormat="1" x14ac:dyDescent="0.25">
      <c r="A77" s="213" t="s">
        <v>3211</v>
      </c>
      <c r="B77" s="64">
        <v>3.54</v>
      </c>
      <c r="C77" s="64">
        <v>31.53</v>
      </c>
      <c r="D77" s="64">
        <v>19.239999999999998</v>
      </c>
      <c r="E77" s="64">
        <v>1.41</v>
      </c>
      <c r="F77" s="64">
        <v>9.06</v>
      </c>
      <c r="G77" s="64">
        <v>57.42</v>
      </c>
      <c r="H77" s="64">
        <v>22.41</v>
      </c>
      <c r="I77" s="64">
        <v>4.09</v>
      </c>
      <c r="J77" s="64">
        <v>0.48</v>
      </c>
      <c r="K77" s="64">
        <v>311.54000000000002</v>
      </c>
      <c r="L77" s="64">
        <v>37.06</v>
      </c>
      <c r="M77" s="64">
        <v>12.07</v>
      </c>
      <c r="N77" s="64">
        <v>69.400000000000006</v>
      </c>
      <c r="O77" s="64">
        <v>0</v>
      </c>
      <c r="P77" s="64">
        <v>0.49</v>
      </c>
      <c r="Q77" s="64">
        <v>9.81</v>
      </c>
      <c r="R77" s="198"/>
      <c r="S77" s="198"/>
      <c r="T77" s="198"/>
      <c r="U77" s="198"/>
    </row>
    <row r="78" spans="1:21" s="12" customFormat="1" x14ac:dyDescent="0.25">
      <c r="A78" s="213" t="s">
        <v>3212</v>
      </c>
      <c r="B78" s="64">
        <v>3.77</v>
      </c>
      <c r="C78" s="64">
        <v>31.68</v>
      </c>
      <c r="D78" s="64">
        <v>19.489999999999998</v>
      </c>
      <c r="E78" s="64">
        <v>1.25</v>
      </c>
      <c r="F78" s="64">
        <v>6.75</v>
      </c>
      <c r="G78" s="64">
        <v>57.42</v>
      </c>
      <c r="H78" s="64">
        <v>22.41</v>
      </c>
      <c r="I78" s="64">
        <v>4.1100000000000003</v>
      </c>
      <c r="J78" s="64">
        <v>0.37</v>
      </c>
      <c r="K78" s="64">
        <v>318.39999999999998</v>
      </c>
      <c r="L78" s="64">
        <v>36.33</v>
      </c>
      <c r="M78" s="64">
        <v>15.5</v>
      </c>
      <c r="N78" s="64">
        <v>53.3</v>
      </c>
      <c r="O78" s="64">
        <v>0</v>
      </c>
      <c r="P78" s="64">
        <v>0.51</v>
      </c>
      <c r="Q78" s="64">
        <v>9.7200000000000006</v>
      </c>
      <c r="R78" s="198"/>
      <c r="S78" s="198"/>
      <c r="T78" s="198"/>
      <c r="U78" s="198"/>
    </row>
    <row r="79" spans="1:21" s="12" customFormat="1" x14ac:dyDescent="0.25">
      <c r="A79" s="213" t="s">
        <v>3213</v>
      </c>
      <c r="B79" s="64">
        <v>4.5599999999999996</v>
      </c>
      <c r="C79" s="64">
        <v>32.94</v>
      </c>
      <c r="D79" s="64">
        <v>20.78</v>
      </c>
      <c r="E79" s="64">
        <v>0.77</v>
      </c>
      <c r="F79" s="64">
        <v>5.89</v>
      </c>
      <c r="G79" s="64">
        <v>57.42</v>
      </c>
      <c r="H79" s="64">
        <v>22.41</v>
      </c>
      <c r="I79" s="64">
        <v>4.26</v>
      </c>
      <c r="J79" s="64">
        <v>0.47</v>
      </c>
      <c r="K79" s="64">
        <v>328.17</v>
      </c>
      <c r="L79" s="64">
        <v>34.69</v>
      </c>
      <c r="M79" s="64">
        <v>20.51</v>
      </c>
      <c r="N79" s="64">
        <v>51.7</v>
      </c>
      <c r="O79" s="64">
        <v>0</v>
      </c>
      <c r="P79" s="64">
        <v>0.51</v>
      </c>
      <c r="Q79" s="64">
        <v>9.69</v>
      </c>
      <c r="R79" s="198"/>
      <c r="S79" s="198"/>
      <c r="T79" s="198"/>
      <c r="U79" s="198"/>
    </row>
    <row r="80" spans="1:21" s="12" customFormat="1" x14ac:dyDescent="0.25">
      <c r="A80" s="213" t="s">
        <v>3214</v>
      </c>
      <c r="B80" s="64">
        <v>4.84</v>
      </c>
      <c r="C80" s="64">
        <v>33.92</v>
      </c>
      <c r="D80" s="64">
        <v>21.53</v>
      </c>
      <c r="E80" s="64">
        <v>0.79</v>
      </c>
      <c r="F80" s="64">
        <v>5.2</v>
      </c>
      <c r="G80" s="64">
        <v>56.48</v>
      </c>
      <c r="H80" s="64">
        <v>22.76</v>
      </c>
      <c r="I80" s="64">
        <v>4.08</v>
      </c>
      <c r="J80" s="64">
        <v>0.49</v>
      </c>
      <c r="K80" s="64">
        <v>324.69</v>
      </c>
      <c r="L80" s="64">
        <v>33.630000000000003</v>
      </c>
      <c r="M80" s="64">
        <v>21.75</v>
      </c>
      <c r="N80" s="64">
        <v>37.299999999999997</v>
      </c>
      <c r="O80" s="64">
        <v>0</v>
      </c>
      <c r="P80" s="64">
        <v>0.52</v>
      </c>
      <c r="Q80" s="64">
        <v>9.7100000000000009</v>
      </c>
      <c r="R80" s="198"/>
      <c r="S80" s="198"/>
      <c r="T80" s="198"/>
      <c r="U80" s="198"/>
    </row>
    <row r="81" spans="1:26" s="12" customFormat="1" x14ac:dyDescent="0.25">
      <c r="A81" s="213" t="s">
        <v>3215</v>
      </c>
      <c r="B81" s="64">
        <v>4.96</v>
      </c>
      <c r="C81" s="64">
        <v>34.770000000000003</v>
      </c>
      <c r="D81" s="64">
        <v>22.06</v>
      </c>
      <c r="E81" s="64">
        <v>1.05</v>
      </c>
      <c r="F81" s="64">
        <v>5.24</v>
      </c>
      <c r="G81" s="64">
        <v>55.83</v>
      </c>
      <c r="H81" s="64">
        <v>23</v>
      </c>
      <c r="I81" s="64">
        <v>5.07</v>
      </c>
      <c r="J81" s="64">
        <v>0.46</v>
      </c>
      <c r="K81" s="64">
        <v>321.04000000000002</v>
      </c>
      <c r="L81" s="64">
        <v>32.81</v>
      </c>
      <c r="M81" s="64">
        <v>23.05</v>
      </c>
      <c r="N81" s="64">
        <v>21.8</v>
      </c>
      <c r="O81" s="64">
        <v>0</v>
      </c>
      <c r="P81" s="64">
        <v>0.54</v>
      </c>
      <c r="Q81" s="64">
        <v>9.6999999999999993</v>
      </c>
      <c r="R81" s="198"/>
      <c r="S81" s="198"/>
      <c r="T81" s="198"/>
      <c r="U81" s="198"/>
    </row>
    <row r="82" spans="1:26" s="12" customFormat="1" x14ac:dyDescent="0.25">
      <c r="A82" s="213" t="s">
        <v>3216</v>
      </c>
      <c r="B82" s="64">
        <v>5.19</v>
      </c>
      <c r="C82" s="64">
        <v>36.68</v>
      </c>
      <c r="D82" s="64">
        <v>23.24</v>
      </c>
      <c r="E82" s="64">
        <v>0.81</v>
      </c>
      <c r="F82" s="64">
        <v>5.44</v>
      </c>
      <c r="G82" s="64">
        <v>55.83</v>
      </c>
      <c r="H82" s="64">
        <v>23</v>
      </c>
      <c r="I82" s="64">
        <v>5.38</v>
      </c>
      <c r="J82" s="64">
        <v>0.32</v>
      </c>
      <c r="K82" s="64">
        <v>346.34</v>
      </c>
      <c r="L82" s="64">
        <v>32.6</v>
      </c>
      <c r="M82" s="64">
        <v>22.47</v>
      </c>
      <c r="N82" s="64">
        <v>17.7</v>
      </c>
      <c r="O82" s="64">
        <v>0</v>
      </c>
      <c r="P82" s="64">
        <v>0.59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13" t="s">
        <v>3217</v>
      </c>
      <c r="B83" s="64">
        <v>6.12</v>
      </c>
      <c r="C83" s="64">
        <v>39.659999999999997</v>
      </c>
      <c r="D83" s="64">
        <v>25.55</v>
      </c>
      <c r="E83" s="64">
        <v>1.28</v>
      </c>
      <c r="F83" s="64">
        <v>4.5999999999999996</v>
      </c>
      <c r="G83" s="64">
        <v>55.83</v>
      </c>
      <c r="H83" s="64">
        <v>23</v>
      </c>
      <c r="I83" s="64">
        <v>5.45</v>
      </c>
      <c r="J83" s="64">
        <v>0.35</v>
      </c>
      <c r="K83" s="64">
        <v>324.55</v>
      </c>
      <c r="L83" s="64">
        <v>31.92</v>
      </c>
      <c r="M83" s="64">
        <v>24.73</v>
      </c>
      <c r="N83" s="64">
        <v>15.9</v>
      </c>
      <c r="O83" s="64">
        <v>0</v>
      </c>
      <c r="P83" s="64">
        <v>0.65</v>
      </c>
      <c r="Q83" s="64">
        <v>9.69</v>
      </c>
      <c r="R83" s="198"/>
      <c r="S83" s="198"/>
      <c r="T83" s="198"/>
      <c r="U83" s="198"/>
    </row>
    <row r="84" spans="1:26" s="12" customFormat="1" x14ac:dyDescent="0.25">
      <c r="A84" s="213" t="s">
        <v>3218</v>
      </c>
      <c r="B84" s="64">
        <v>6.78</v>
      </c>
      <c r="C84" s="64">
        <v>41.87</v>
      </c>
      <c r="D84" s="64">
        <v>27.23</v>
      </c>
      <c r="E84" s="64">
        <v>1.2</v>
      </c>
      <c r="F84" s="64">
        <v>4.28</v>
      </c>
      <c r="G84" s="64">
        <v>56.37</v>
      </c>
      <c r="H84" s="64">
        <v>22.41</v>
      </c>
      <c r="I84" s="64">
        <v>5.46</v>
      </c>
      <c r="J84" s="64">
        <v>0.21</v>
      </c>
      <c r="K84" s="64">
        <v>330.71</v>
      </c>
      <c r="L84" s="64">
        <v>31.94</v>
      </c>
      <c r="M84" s="64">
        <v>19.170000000000002</v>
      </c>
      <c r="N84" s="64">
        <v>15.8</v>
      </c>
      <c r="O84" s="64">
        <v>0</v>
      </c>
      <c r="P84" s="64">
        <v>0.74</v>
      </c>
      <c r="Q84" s="64">
        <v>9.74</v>
      </c>
      <c r="R84" s="198"/>
      <c r="S84" s="198"/>
      <c r="T84" s="198"/>
      <c r="U84" s="198"/>
    </row>
    <row r="85" spans="1:26" s="12" customFormat="1" x14ac:dyDescent="0.25">
      <c r="A85" s="213" t="s">
        <v>3219</v>
      </c>
      <c r="B85" s="64">
        <v>7.9</v>
      </c>
      <c r="C85" s="64">
        <v>43.93</v>
      </c>
      <c r="D85" s="64">
        <v>29.21</v>
      </c>
      <c r="E85" s="64">
        <v>1.6</v>
      </c>
      <c r="F85" s="64">
        <v>3.83</v>
      </c>
      <c r="G85" s="64">
        <v>56.75</v>
      </c>
      <c r="H85" s="64">
        <v>22.01</v>
      </c>
      <c r="I85" s="64">
        <v>5.63</v>
      </c>
      <c r="J85" s="64">
        <v>0.15</v>
      </c>
      <c r="K85" s="64">
        <v>288.19</v>
      </c>
      <c r="L85" s="64">
        <v>32.56</v>
      </c>
      <c r="M85" s="64">
        <v>17.37</v>
      </c>
      <c r="N85" s="64">
        <v>16.100000000000001</v>
      </c>
      <c r="O85" s="64">
        <v>0</v>
      </c>
      <c r="P85" s="64">
        <v>0.8</v>
      </c>
      <c r="Q85" s="64">
        <v>9.82</v>
      </c>
      <c r="R85" s="198"/>
      <c r="S85" s="198"/>
      <c r="T85" s="198"/>
      <c r="U85" s="198"/>
    </row>
    <row r="86" spans="1:26" s="12" customFormat="1" x14ac:dyDescent="0.25">
      <c r="A86" s="213" t="s">
        <v>3220</v>
      </c>
      <c r="B86" s="64">
        <v>10.8</v>
      </c>
      <c r="C86" s="64">
        <v>46.22</v>
      </c>
      <c r="D86" s="64">
        <v>32.729999999999997</v>
      </c>
      <c r="E86" s="64">
        <v>1.36</v>
      </c>
      <c r="F86" s="64">
        <v>3.8</v>
      </c>
      <c r="G86" s="64">
        <v>56.75</v>
      </c>
      <c r="H86" s="64">
        <v>22.01</v>
      </c>
      <c r="I86" s="64">
        <v>5.88</v>
      </c>
      <c r="J86" s="64">
        <v>0.08</v>
      </c>
      <c r="K86" s="64">
        <v>288.14999999999998</v>
      </c>
      <c r="L86" s="64">
        <v>31.99</v>
      </c>
      <c r="M86" s="64">
        <v>18.29</v>
      </c>
      <c r="N86" s="64">
        <v>15.9</v>
      </c>
      <c r="O86" s="64">
        <v>0</v>
      </c>
      <c r="P86" s="64">
        <v>1.02</v>
      </c>
      <c r="Q86" s="64">
        <v>9.82</v>
      </c>
      <c r="R86" s="198"/>
      <c r="S86" s="198"/>
      <c r="T86" s="198"/>
      <c r="U86" s="198"/>
    </row>
    <row r="87" spans="1:26" s="12" customFormat="1" x14ac:dyDescent="0.25">
      <c r="A87" s="213" t="s">
        <v>3221</v>
      </c>
      <c r="B87" s="64">
        <v>14.24</v>
      </c>
      <c r="C87" s="64">
        <v>47.5</v>
      </c>
      <c r="D87" s="64">
        <v>36.159999999999997</v>
      </c>
      <c r="E87" s="64">
        <v>1.6</v>
      </c>
      <c r="F87" s="64">
        <v>3.57</v>
      </c>
      <c r="G87" s="64">
        <v>56.75</v>
      </c>
      <c r="H87" s="64">
        <v>22.01</v>
      </c>
      <c r="I87" s="64">
        <v>6.54</v>
      </c>
      <c r="J87" s="64">
        <v>0.2</v>
      </c>
      <c r="K87" s="64">
        <v>345.49</v>
      </c>
      <c r="L87" s="64">
        <v>31.77</v>
      </c>
      <c r="M87" s="64">
        <v>20.18</v>
      </c>
      <c r="N87" s="64">
        <v>15.8</v>
      </c>
      <c r="O87" s="64">
        <v>0</v>
      </c>
      <c r="P87" s="64">
        <v>1.08</v>
      </c>
      <c r="Q87" s="64">
        <v>9.9600000000000009</v>
      </c>
      <c r="R87" s="198"/>
      <c r="S87" s="198"/>
      <c r="T87" s="198"/>
      <c r="U87" s="198"/>
    </row>
    <row r="88" spans="1:26" s="12" customFormat="1" x14ac:dyDescent="0.25">
      <c r="A88" s="213" t="s">
        <v>3222</v>
      </c>
      <c r="B88" s="64">
        <v>16.940000000000001</v>
      </c>
      <c r="C88" s="64">
        <v>48.65</v>
      </c>
      <c r="D88" s="64">
        <v>38.93</v>
      </c>
      <c r="E88" s="64">
        <v>0.31</v>
      </c>
      <c r="F88" s="64">
        <v>3.88</v>
      </c>
      <c r="G88" s="64">
        <v>62.35</v>
      </c>
      <c r="H88" s="64">
        <v>23.72</v>
      </c>
      <c r="I88" s="64">
        <v>7.02</v>
      </c>
      <c r="J88" s="64">
        <v>0.17</v>
      </c>
      <c r="K88" s="64">
        <v>224.86</v>
      </c>
      <c r="L88" s="64">
        <v>31.37</v>
      </c>
      <c r="M88" s="64">
        <v>19.989999999999998</v>
      </c>
      <c r="N88" s="64">
        <v>15.9</v>
      </c>
      <c r="O88" s="64">
        <v>0</v>
      </c>
      <c r="P88" s="64">
        <v>1.17</v>
      </c>
      <c r="Q88" s="64">
        <v>10.039999999999999</v>
      </c>
      <c r="R88" s="198"/>
      <c r="S88" s="198"/>
      <c r="T88" s="198"/>
      <c r="U88" s="198"/>
    </row>
    <row r="89" spans="1:26" s="12" customFormat="1" x14ac:dyDescent="0.25">
      <c r="A89" s="213" t="s">
        <v>3223</v>
      </c>
      <c r="B89" s="64">
        <v>19.809999999999999</v>
      </c>
      <c r="C89" s="64">
        <v>48.74</v>
      </c>
      <c r="D89" s="64">
        <v>41.27</v>
      </c>
      <c r="E89" s="64">
        <v>0.63</v>
      </c>
      <c r="F89" s="64">
        <v>3.45</v>
      </c>
      <c r="G89" s="64">
        <v>66.260000000000005</v>
      </c>
      <c r="H89" s="64">
        <v>24.91</v>
      </c>
      <c r="I89" s="64">
        <v>6.99</v>
      </c>
      <c r="J89" s="64">
        <v>0.14000000000000001</v>
      </c>
      <c r="K89" s="64">
        <v>300.77</v>
      </c>
      <c r="L89" s="64">
        <v>31.12</v>
      </c>
      <c r="M89" s="64">
        <v>21.07</v>
      </c>
      <c r="N89" s="64">
        <v>15.6</v>
      </c>
      <c r="O89" s="64">
        <v>0</v>
      </c>
      <c r="P89" s="64">
        <v>1.25</v>
      </c>
      <c r="Q89" s="64">
        <v>10.16</v>
      </c>
      <c r="R89" s="198"/>
      <c r="S89" s="198"/>
      <c r="T89" s="198"/>
      <c r="U89" s="198"/>
    </row>
    <row r="90" spans="1:26" s="12" customFormat="1" x14ac:dyDescent="0.25">
      <c r="A90" s="213" t="s">
        <v>3224</v>
      </c>
      <c r="B90" s="64">
        <v>22.23</v>
      </c>
      <c r="C90" s="64">
        <v>48.67</v>
      </c>
      <c r="D90" s="64">
        <v>43.17</v>
      </c>
      <c r="E90" s="64">
        <v>0.36</v>
      </c>
      <c r="F90" s="64">
        <v>3.34</v>
      </c>
      <c r="G90" s="64">
        <v>66.260000000000005</v>
      </c>
      <c r="H90" s="64">
        <v>24.91</v>
      </c>
      <c r="I90" s="64">
        <v>7.35</v>
      </c>
      <c r="J90" s="64">
        <v>0.14000000000000001</v>
      </c>
      <c r="K90" s="64">
        <v>270.07</v>
      </c>
      <c r="L90" s="64">
        <v>30.63</v>
      </c>
      <c r="M90" s="64">
        <v>20.78</v>
      </c>
      <c r="N90" s="64">
        <v>15.8</v>
      </c>
      <c r="O90" s="64">
        <v>0</v>
      </c>
      <c r="P90" s="64">
        <v>1.33</v>
      </c>
      <c r="Q90" s="64">
        <v>10.26</v>
      </c>
      <c r="R90" s="198"/>
      <c r="S90" s="198"/>
      <c r="T90" s="198"/>
      <c r="U90" s="198"/>
    </row>
    <row r="91" spans="1:26" s="12" customFormat="1" x14ac:dyDescent="0.25">
      <c r="A91" s="213" t="s">
        <v>3225</v>
      </c>
      <c r="B91" s="64">
        <v>25.33</v>
      </c>
      <c r="C91" s="64">
        <v>48.2</v>
      </c>
      <c r="D91" s="64">
        <v>45.42</v>
      </c>
      <c r="E91" s="64">
        <v>0.52</v>
      </c>
      <c r="F91" s="64">
        <v>3.27</v>
      </c>
      <c r="G91" s="64">
        <v>66.260000000000005</v>
      </c>
      <c r="H91" s="64">
        <v>24.91</v>
      </c>
      <c r="I91" s="64">
        <v>7.76</v>
      </c>
      <c r="J91" s="64">
        <v>0.09</v>
      </c>
      <c r="K91" s="64">
        <v>303.14999999999998</v>
      </c>
      <c r="L91" s="64">
        <v>30.83</v>
      </c>
      <c r="M91" s="64">
        <v>21.63</v>
      </c>
      <c r="N91" s="64">
        <v>15.2</v>
      </c>
      <c r="O91" s="64">
        <v>0</v>
      </c>
      <c r="P91" s="64">
        <v>1.38</v>
      </c>
      <c r="Q91" s="64">
        <v>10.29</v>
      </c>
      <c r="R91" s="198"/>
      <c r="S91" s="198"/>
      <c r="T91" s="198"/>
      <c r="U91" s="198"/>
    </row>
    <row r="92" spans="1:26" s="12" customFormat="1" x14ac:dyDescent="0.25">
      <c r="A92" s="213" t="s">
        <v>3226</v>
      </c>
      <c r="B92" s="64">
        <v>25.53</v>
      </c>
      <c r="C92" s="64">
        <v>48.57</v>
      </c>
      <c r="D92" s="64">
        <v>45.77</v>
      </c>
      <c r="E92" s="64">
        <v>0.28000000000000003</v>
      </c>
      <c r="F92" s="64">
        <v>3.23</v>
      </c>
      <c r="G92" s="64">
        <v>77.64</v>
      </c>
      <c r="H92" s="64">
        <v>28.37</v>
      </c>
      <c r="I92" s="64">
        <v>8.34</v>
      </c>
      <c r="J92" s="64">
        <v>0.15</v>
      </c>
      <c r="K92" s="64">
        <v>235.37</v>
      </c>
      <c r="L92" s="64">
        <v>31.14</v>
      </c>
      <c r="M92" s="64">
        <v>21.21</v>
      </c>
      <c r="N92" s="64">
        <v>14.7</v>
      </c>
      <c r="O92" s="64">
        <v>0</v>
      </c>
      <c r="P92" s="64">
        <v>1.38</v>
      </c>
      <c r="Q92" s="64">
        <v>10.34</v>
      </c>
      <c r="R92" s="198"/>
      <c r="S92" s="198"/>
      <c r="T92" s="198"/>
      <c r="U92" s="198"/>
    </row>
    <row r="93" spans="1:26" s="12" customFormat="1" x14ac:dyDescent="0.25">
      <c r="A93" s="213" t="s">
        <v>3227</v>
      </c>
      <c r="B93" s="64">
        <v>24.35</v>
      </c>
      <c r="C93" s="64">
        <v>48.84</v>
      </c>
      <c r="D93" s="64">
        <v>44.97</v>
      </c>
      <c r="E93" s="64">
        <v>0.37</v>
      </c>
      <c r="F93" s="64">
        <v>3.17</v>
      </c>
      <c r="G93" s="64">
        <v>85.59</v>
      </c>
      <c r="H93" s="64">
        <v>30.78</v>
      </c>
      <c r="I93" s="64">
        <v>8.19</v>
      </c>
      <c r="J93" s="64">
        <v>0.11</v>
      </c>
      <c r="K93" s="64">
        <v>259.79000000000002</v>
      </c>
      <c r="L93" s="64">
        <v>31.05</v>
      </c>
      <c r="M93" s="64">
        <v>20.98</v>
      </c>
      <c r="N93" s="64">
        <v>15.2</v>
      </c>
      <c r="O93" s="64">
        <v>0</v>
      </c>
      <c r="P93" s="64">
        <v>1.32</v>
      </c>
      <c r="Q93" s="64">
        <v>10.4</v>
      </c>
      <c r="R93" s="198"/>
      <c r="S93" s="198"/>
      <c r="T93" s="198"/>
      <c r="U93" s="198"/>
    </row>
    <row r="94" spans="1:26" s="12" customFormat="1" x14ac:dyDescent="0.25">
      <c r="A94" s="213" t="s">
        <v>3228</v>
      </c>
      <c r="B94" s="64">
        <v>23.77</v>
      </c>
      <c r="C94" s="64">
        <v>48.16</v>
      </c>
      <c r="D94" s="64">
        <v>44.14</v>
      </c>
      <c r="E94" s="64">
        <v>0.44</v>
      </c>
      <c r="F94" s="64">
        <v>3.6</v>
      </c>
      <c r="G94" s="64">
        <v>85.59</v>
      </c>
      <c r="H94" s="64">
        <v>30.78</v>
      </c>
      <c r="I94" s="64">
        <v>8.0500000000000007</v>
      </c>
      <c r="J94" s="64">
        <v>0.14000000000000001</v>
      </c>
      <c r="K94" s="64">
        <v>314.37</v>
      </c>
      <c r="L94" s="64">
        <v>30.55</v>
      </c>
      <c r="M94" s="64">
        <v>21.65</v>
      </c>
      <c r="N94" s="64">
        <v>15.8</v>
      </c>
      <c r="O94" s="64">
        <v>0</v>
      </c>
      <c r="P94" s="64">
        <v>1.36</v>
      </c>
      <c r="Q94" s="64">
        <v>10.48</v>
      </c>
      <c r="R94" s="198"/>
      <c r="S94" s="198"/>
      <c r="T94" s="198"/>
      <c r="U94" s="198"/>
    </row>
    <row r="95" spans="1:26" s="12" customFormat="1" x14ac:dyDescent="0.25">
      <c r="A95" s="213" t="s">
        <v>3229</v>
      </c>
      <c r="B95" s="64">
        <v>24.32</v>
      </c>
      <c r="C95" s="64">
        <v>46.88</v>
      </c>
      <c r="D95" s="64">
        <v>43.92</v>
      </c>
      <c r="E95" s="64">
        <v>0.4</v>
      </c>
      <c r="F95" s="64">
        <v>3.76</v>
      </c>
      <c r="G95" s="64">
        <v>85.59</v>
      </c>
      <c r="H95" s="64">
        <v>30.78</v>
      </c>
      <c r="I95" s="64">
        <v>7.3</v>
      </c>
      <c r="J95" s="64">
        <v>0.09</v>
      </c>
      <c r="K95" s="64">
        <v>264.86</v>
      </c>
      <c r="L95" s="64">
        <v>30.67</v>
      </c>
      <c r="M95" s="64">
        <v>20.93</v>
      </c>
      <c r="N95" s="64">
        <v>15.5</v>
      </c>
      <c r="O95" s="64">
        <v>0</v>
      </c>
      <c r="P95" s="64">
        <v>1.38</v>
      </c>
      <c r="Q95" s="64">
        <v>10.5</v>
      </c>
      <c r="R95" s="198"/>
      <c r="S95" s="198"/>
      <c r="T95" s="198"/>
      <c r="U95" s="198"/>
    </row>
    <row r="96" spans="1:26" s="12" customFormat="1" x14ac:dyDescent="0.25">
      <c r="A96" s="213" t="s">
        <v>3230</v>
      </c>
      <c r="B96" s="64">
        <v>23.99</v>
      </c>
      <c r="C96" s="64">
        <v>46.35</v>
      </c>
      <c r="D96" s="64">
        <v>43.37</v>
      </c>
      <c r="E96" s="64">
        <v>0.37</v>
      </c>
      <c r="F96" s="64">
        <v>3.6</v>
      </c>
      <c r="G96" s="64">
        <v>85.12</v>
      </c>
      <c r="H96" s="64">
        <v>31.35</v>
      </c>
      <c r="I96" s="64">
        <v>7.14</v>
      </c>
      <c r="J96" s="64">
        <v>0.16</v>
      </c>
      <c r="K96" s="64">
        <v>172.63</v>
      </c>
      <c r="L96" s="64">
        <v>30.61</v>
      </c>
      <c r="M96" s="64">
        <v>22.01</v>
      </c>
      <c r="N96" s="64">
        <v>15.4</v>
      </c>
      <c r="O96" s="64">
        <v>0</v>
      </c>
      <c r="P96" s="64">
        <v>1.28</v>
      </c>
      <c r="Q96" s="64">
        <v>10.51</v>
      </c>
      <c r="R96" s="198"/>
      <c r="S96" s="198"/>
      <c r="T96" s="215"/>
      <c r="U96" s="198"/>
      <c r="Z96" s="109"/>
    </row>
    <row r="97" spans="1:33" s="12" customFormat="1" x14ac:dyDescent="0.25">
      <c r="A97" s="213" t="s">
        <v>3231</v>
      </c>
      <c r="B97" s="64">
        <v>23.09</v>
      </c>
      <c r="C97" s="64">
        <v>45.32</v>
      </c>
      <c r="D97" s="64">
        <v>42.11</v>
      </c>
      <c r="E97" s="64">
        <v>0.41</v>
      </c>
      <c r="F97" s="64">
        <v>3.36</v>
      </c>
      <c r="G97" s="64">
        <v>84.79</v>
      </c>
      <c r="H97" s="64">
        <v>31.75</v>
      </c>
      <c r="I97" s="64">
        <v>7.07</v>
      </c>
      <c r="J97" s="64">
        <v>0.16</v>
      </c>
      <c r="K97" s="64">
        <v>210.91</v>
      </c>
      <c r="L97" s="64">
        <v>30.29</v>
      </c>
      <c r="M97" s="64">
        <v>22.78</v>
      </c>
      <c r="N97" s="64">
        <v>15.6</v>
      </c>
      <c r="O97" s="64">
        <v>0</v>
      </c>
      <c r="P97" s="64">
        <v>1.25</v>
      </c>
      <c r="Q97" s="64">
        <v>10.49</v>
      </c>
      <c r="R97" s="198"/>
      <c r="S97" s="198"/>
      <c r="T97" s="198"/>
      <c r="U97" s="198"/>
    </row>
    <row r="98" spans="1:33" s="12" customFormat="1" x14ac:dyDescent="0.25">
      <c r="A98" s="213" t="s">
        <v>3232</v>
      </c>
      <c r="B98" s="64">
        <v>22.22</v>
      </c>
      <c r="C98" s="64">
        <v>44.28</v>
      </c>
      <c r="D98" s="64">
        <v>40.869999999999997</v>
      </c>
      <c r="E98" s="64">
        <v>0.55000000000000004</v>
      </c>
      <c r="F98" s="64">
        <v>3.43</v>
      </c>
      <c r="G98" s="64">
        <v>84.79</v>
      </c>
      <c r="H98" s="64">
        <v>31.75</v>
      </c>
      <c r="I98" s="64">
        <v>6.99</v>
      </c>
      <c r="J98" s="64">
        <v>0.12</v>
      </c>
      <c r="K98" s="64">
        <v>26.43</v>
      </c>
      <c r="L98" s="64">
        <v>30.09</v>
      </c>
      <c r="M98" s="64">
        <v>23.1</v>
      </c>
      <c r="N98" s="64">
        <v>15.8</v>
      </c>
      <c r="O98" s="64">
        <v>0</v>
      </c>
      <c r="P98" s="64">
        <v>1.25</v>
      </c>
      <c r="Q98" s="64">
        <v>10.5</v>
      </c>
      <c r="R98" s="198"/>
      <c r="S98" s="198"/>
      <c r="T98" s="198"/>
      <c r="U98" s="198"/>
    </row>
    <row r="99" spans="1:33" s="12" customFormat="1" x14ac:dyDescent="0.25">
      <c r="A99" s="213" t="s">
        <v>3233</v>
      </c>
      <c r="B99" s="64">
        <v>20.94</v>
      </c>
      <c r="C99" s="64">
        <v>43.45</v>
      </c>
      <c r="D99" s="64">
        <v>39.409999999999997</v>
      </c>
      <c r="E99" s="64">
        <v>0.27</v>
      </c>
      <c r="F99" s="64">
        <v>3.2</v>
      </c>
      <c r="G99" s="64">
        <v>84.79</v>
      </c>
      <c r="H99" s="64">
        <v>31.75</v>
      </c>
      <c r="I99" s="64">
        <v>7.49</v>
      </c>
      <c r="J99" s="64">
        <v>0.1</v>
      </c>
      <c r="K99" s="64">
        <v>10.17</v>
      </c>
      <c r="L99" s="64">
        <v>29.98</v>
      </c>
      <c r="M99" s="64">
        <v>22.72</v>
      </c>
      <c r="N99" s="64">
        <v>15.4</v>
      </c>
      <c r="O99" s="64">
        <v>0</v>
      </c>
      <c r="P99" s="64">
        <v>1.24</v>
      </c>
      <c r="Q99" s="64">
        <v>10.5</v>
      </c>
      <c r="R99" s="198"/>
      <c r="S99" s="198"/>
      <c r="T99" s="198"/>
      <c r="U99" s="198"/>
    </row>
    <row r="100" spans="1:33" s="12" customFormat="1" x14ac:dyDescent="0.25">
      <c r="A100" s="213" t="s">
        <v>3234</v>
      </c>
      <c r="B100" s="64">
        <v>19.12</v>
      </c>
      <c r="C100" s="64">
        <v>43.53</v>
      </c>
      <c r="D100" s="64">
        <v>37.99</v>
      </c>
      <c r="E100" s="64">
        <v>0.36</v>
      </c>
      <c r="F100" s="64">
        <v>3.62</v>
      </c>
      <c r="G100" s="64">
        <v>84.72</v>
      </c>
      <c r="H100" s="64">
        <v>30.73</v>
      </c>
      <c r="I100" s="64">
        <v>7.97</v>
      </c>
      <c r="J100" s="64">
        <v>0.06</v>
      </c>
      <c r="K100" s="64">
        <v>210.78</v>
      </c>
      <c r="L100" s="64">
        <v>29.66</v>
      </c>
      <c r="M100" s="64">
        <v>23.18</v>
      </c>
      <c r="N100" s="64">
        <v>15.6</v>
      </c>
      <c r="O100" s="64">
        <v>0</v>
      </c>
      <c r="P100" s="64">
        <v>1.19</v>
      </c>
      <c r="Q100" s="64">
        <v>10.52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3235</v>
      </c>
      <c r="B101" s="64">
        <v>17.53</v>
      </c>
      <c r="C101" s="64">
        <v>43.22</v>
      </c>
      <c r="D101" s="64">
        <v>36.56</v>
      </c>
      <c r="E101" s="64">
        <v>0.19</v>
      </c>
      <c r="F101" s="64">
        <v>3.69</v>
      </c>
      <c r="G101" s="64">
        <v>84.67</v>
      </c>
      <c r="H101" s="64">
        <v>30.02</v>
      </c>
      <c r="I101" s="64">
        <v>8.65</v>
      </c>
      <c r="J101" s="64">
        <v>0.12</v>
      </c>
      <c r="K101" s="64">
        <v>220.55</v>
      </c>
      <c r="L101" s="64">
        <v>29.31</v>
      </c>
      <c r="M101" s="64">
        <v>23.99</v>
      </c>
      <c r="N101" s="64">
        <v>15.4</v>
      </c>
      <c r="O101" s="64">
        <v>0</v>
      </c>
      <c r="P101" s="64">
        <v>1.1599999999999999</v>
      </c>
      <c r="Q101" s="64">
        <v>10.45</v>
      </c>
      <c r="R101" s="198"/>
      <c r="S101" s="198"/>
      <c r="T101" s="198"/>
      <c r="U101" s="198"/>
    </row>
    <row r="102" spans="1:33" s="12" customFormat="1" x14ac:dyDescent="0.25">
      <c r="A102" s="213" t="s">
        <v>3236</v>
      </c>
      <c r="B102" s="64">
        <v>16.04</v>
      </c>
      <c r="C102" s="64">
        <v>43.11</v>
      </c>
      <c r="D102" s="64">
        <v>35.31</v>
      </c>
      <c r="E102" s="64">
        <v>0.39</v>
      </c>
      <c r="F102" s="64">
        <v>3.55</v>
      </c>
      <c r="G102" s="64">
        <v>84.67</v>
      </c>
      <c r="H102" s="64">
        <v>30.02</v>
      </c>
      <c r="I102" s="64">
        <v>8.51</v>
      </c>
      <c r="J102" s="64">
        <v>0.06</v>
      </c>
      <c r="K102" s="64">
        <v>107.19</v>
      </c>
      <c r="L102" s="64">
        <v>29.27</v>
      </c>
      <c r="M102" s="64">
        <v>25.06</v>
      </c>
      <c r="N102" s="64">
        <v>15.8</v>
      </c>
      <c r="O102" s="64">
        <v>0</v>
      </c>
      <c r="P102" s="64">
        <v>1.1100000000000001</v>
      </c>
      <c r="Q102" s="64">
        <v>10.39</v>
      </c>
      <c r="R102" s="198"/>
      <c r="S102" s="198"/>
      <c r="T102" s="198"/>
      <c r="U102" s="198"/>
    </row>
    <row r="103" spans="1:33" s="12" customFormat="1" x14ac:dyDescent="0.25">
      <c r="A103" s="213" t="s">
        <v>3237</v>
      </c>
      <c r="B103" s="64">
        <v>15.03</v>
      </c>
      <c r="C103" s="64">
        <v>42.77</v>
      </c>
      <c r="D103" s="64">
        <v>34.32</v>
      </c>
      <c r="E103" s="64">
        <v>0.43</v>
      </c>
      <c r="F103" s="64">
        <v>3.6</v>
      </c>
      <c r="G103" s="64">
        <v>84.67</v>
      </c>
      <c r="H103" s="64">
        <v>30.02</v>
      </c>
      <c r="I103" s="64">
        <v>8.15</v>
      </c>
      <c r="J103" s="64">
        <v>7.0000000000000007E-2</v>
      </c>
      <c r="K103" s="64">
        <v>321.75</v>
      </c>
      <c r="L103" s="64">
        <v>29.08</v>
      </c>
      <c r="M103" s="64">
        <v>23.85</v>
      </c>
      <c r="N103" s="64">
        <v>15.6</v>
      </c>
      <c r="O103" s="64">
        <v>0</v>
      </c>
      <c r="P103" s="64">
        <v>1.07</v>
      </c>
      <c r="Q103" s="64">
        <v>10.34</v>
      </c>
      <c r="R103" s="198"/>
      <c r="S103" s="198"/>
      <c r="T103" s="198"/>
      <c r="U103" s="198"/>
    </row>
    <row r="104" spans="1:33" s="12" customFormat="1" x14ac:dyDescent="0.25">
      <c r="A104" s="213" t="s">
        <v>3238</v>
      </c>
      <c r="B104" s="64">
        <v>14.1</v>
      </c>
      <c r="C104" s="64">
        <v>42.43</v>
      </c>
      <c r="D104" s="64">
        <v>33.39</v>
      </c>
      <c r="E104" s="64">
        <v>1.8</v>
      </c>
      <c r="F104" s="64">
        <v>3.51</v>
      </c>
      <c r="G104" s="64">
        <v>80.290000000000006</v>
      </c>
      <c r="H104" s="64">
        <v>28.52</v>
      </c>
      <c r="I104" s="64">
        <v>7.94</v>
      </c>
      <c r="J104" s="64">
        <v>0.08</v>
      </c>
      <c r="K104" s="64">
        <v>285.44</v>
      </c>
      <c r="L104" s="64">
        <v>29.04</v>
      </c>
      <c r="M104" s="64">
        <v>23.96</v>
      </c>
      <c r="N104" s="64">
        <v>15.8</v>
      </c>
      <c r="O104" s="64">
        <v>0</v>
      </c>
      <c r="P104" s="64">
        <v>1.04</v>
      </c>
      <c r="Q104" s="64">
        <v>10.3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3.27</v>
      </c>
      <c r="C106" s="67">
        <f>MIN(C9:C104)</f>
        <v>26.49</v>
      </c>
      <c r="D106" s="67">
        <f t="shared" ref="D106:Q106" si="0">MIN(D9:D104)</f>
        <v>18.829999999999998</v>
      </c>
      <c r="E106" s="67">
        <f t="shared" si="0"/>
        <v>0.19</v>
      </c>
      <c r="F106" s="67">
        <f t="shared" si="0"/>
        <v>3.07</v>
      </c>
      <c r="G106" s="67">
        <f t="shared" si="0"/>
        <v>55.83</v>
      </c>
      <c r="H106" s="67">
        <f t="shared" si="0"/>
        <v>22.01</v>
      </c>
      <c r="I106" s="67">
        <f t="shared" si="0"/>
        <v>4.08</v>
      </c>
      <c r="J106" s="67">
        <f t="shared" si="0"/>
        <v>0.05</v>
      </c>
      <c r="K106" s="67">
        <f t="shared" si="0"/>
        <v>0.54</v>
      </c>
      <c r="L106" s="67">
        <f t="shared" si="0"/>
        <v>21.94</v>
      </c>
      <c r="M106" s="67">
        <f t="shared" si="0"/>
        <v>9.67</v>
      </c>
      <c r="N106" s="67">
        <f t="shared" si="0"/>
        <v>14.7</v>
      </c>
      <c r="O106" s="67">
        <f t="shared" si="0"/>
        <v>0</v>
      </c>
      <c r="P106" s="67">
        <f t="shared" si="0"/>
        <v>0.48</v>
      </c>
      <c r="Q106" s="67">
        <f t="shared" si="0"/>
        <v>9.69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51.31</v>
      </c>
      <c r="C107" s="66">
        <f t="shared" ref="C107:Q107" si="1">MAX(C9:C104)</f>
        <v>48.84</v>
      </c>
      <c r="D107" s="66">
        <f t="shared" si="1"/>
        <v>63.8</v>
      </c>
      <c r="E107" s="66">
        <f t="shared" si="1"/>
        <v>2.75</v>
      </c>
      <c r="F107" s="66">
        <f t="shared" si="1"/>
        <v>12.82</v>
      </c>
      <c r="G107" s="66">
        <f t="shared" si="1"/>
        <v>108.25</v>
      </c>
      <c r="H107" s="66">
        <f t="shared" si="1"/>
        <v>34.43</v>
      </c>
      <c r="I107" s="66">
        <f t="shared" si="1"/>
        <v>10.46</v>
      </c>
      <c r="J107" s="66">
        <f t="shared" si="1"/>
        <v>0.87</v>
      </c>
      <c r="K107" s="66">
        <f t="shared" si="1"/>
        <v>358.91</v>
      </c>
      <c r="L107" s="66">
        <f t="shared" si="1"/>
        <v>40.450000000000003</v>
      </c>
      <c r="M107" s="66">
        <f t="shared" si="1"/>
        <v>49.76</v>
      </c>
      <c r="N107" s="66">
        <f t="shared" si="1"/>
        <v>890.3</v>
      </c>
      <c r="O107" s="66">
        <f t="shared" si="1"/>
        <v>0</v>
      </c>
      <c r="P107" s="66">
        <f t="shared" si="1"/>
        <v>1.46</v>
      </c>
      <c r="Q107" s="66">
        <f t="shared" si="1"/>
        <v>11.18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17.668645833333326</v>
      </c>
      <c r="C108" s="67">
        <f t="shared" ref="C108:Q108" si="2">AVERAGE(C9:C104)</f>
        <v>36.723437499999996</v>
      </c>
      <c r="D108" s="67">
        <f t="shared" si="2"/>
        <v>33.275312499999991</v>
      </c>
      <c r="E108" s="67">
        <f t="shared" si="2"/>
        <v>1.5967708333333339</v>
      </c>
      <c r="F108" s="67">
        <f t="shared" si="2"/>
        <v>5.7558333333333325</v>
      </c>
      <c r="G108" s="67">
        <f t="shared" si="2"/>
        <v>78.609895833333312</v>
      </c>
      <c r="H108" s="67">
        <f t="shared" si="2"/>
        <v>27.571145833333343</v>
      </c>
      <c r="I108" s="67">
        <f t="shared" si="2"/>
        <v>7.478125000000003</v>
      </c>
      <c r="J108" s="67">
        <f t="shared" si="2"/>
        <v>0.23614583333333342</v>
      </c>
      <c r="K108" s="67">
        <f t="shared" si="2"/>
        <v>243.26489583333321</v>
      </c>
      <c r="L108" s="67">
        <f t="shared" si="2"/>
        <v>31.319791666666664</v>
      </c>
      <c r="M108" s="67">
        <f t="shared" si="2"/>
        <v>24.33614583333333</v>
      </c>
      <c r="N108" s="67">
        <f t="shared" si="2"/>
        <v>257.85104166666673</v>
      </c>
      <c r="O108" s="67">
        <f t="shared" si="2"/>
        <v>0</v>
      </c>
      <c r="P108" s="67">
        <f t="shared" si="2"/>
        <v>0.88250000000000017</v>
      </c>
      <c r="Q108" s="67">
        <f t="shared" si="2"/>
        <v>10.289270833333335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13.754209431817547</v>
      </c>
      <c r="C109" s="67">
        <f t="shared" ref="C109:Q109" si="3">STDEV(C9:C104)</f>
        <v>6.2878006912508519</v>
      </c>
      <c r="D109" s="67">
        <f t="shared" si="3"/>
        <v>11.755187876277416</v>
      </c>
      <c r="E109" s="67">
        <f t="shared" si="3"/>
        <v>0.70051033245569727</v>
      </c>
      <c r="F109" s="67">
        <f t="shared" si="3"/>
        <v>3.2079295394108294</v>
      </c>
      <c r="G109" s="67">
        <f t="shared" si="3"/>
        <v>16.143590776123347</v>
      </c>
      <c r="H109" s="67">
        <f t="shared" si="3"/>
        <v>3.1938473317471545</v>
      </c>
      <c r="I109" s="67">
        <f t="shared" si="3"/>
        <v>1.8462703870520309</v>
      </c>
      <c r="J109" s="67">
        <f t="shared" si="3"/>
        <v>0.1545136327943207</v>
      </c>
      <c r="K109" s="67">
        <f t="shared" si="3"/>
        <v>101.86253649424654</v>
      </c>
      <c r="L109" s="67">
        <f t="shared" si="3"/>
        <v>5.9778297380565144</v>
      </c>
      <c r="M109" s="67">
        <f t="shared" si="3"/>
        <v>11.087511074679487</v>
      </c>
      <c r="N109" s="67">
        <f t="shared" si="3"/>
        <v>323.65180087468974</v>
      </c>
      <c r="O109" s="67">
        <f t="shared" si="3"/>
        <v>0</v>
      </c>
      <c r="P109" s="67">
        <f t="shared" si="3"/>
        <v>0.29044430574008934</v>
      </c>
      <c r="Q109" s="67">
        <f t="shared" si="3"/>
        <v>0.37561246768071066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20" t="s">
        <v>217</v>
      </c>
      <c r="C115" s="220"/>
      <c r="D115" s="220"/>
    </row>
    <row r="116" spans="1:21" x14ac:dyDescent="0.25">
      <c r="D116" s="2"/>
      <c r="E116" s="2"/>
      <c r="F116" s="2"/>
      <c r="G116" s="2"/>
      <c r="H116" s="2"/>
      <c r="I116" s="2"/>
    </row>
    <row r="117" spans="1:21" x14ac:dyDescent="0.2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33" activePane="bottomRight" state="frozen"/>
      <selection activeCell="B2" sqref="B2"/>
      <selection pane="topRight" activeCell="B2" sqref="B2"/>
      <selection pane="bottomLeft" activeCell="B2" sqref="B2"/>
      <selection pane="bottomRight" activeCell="Q46" sqref="Q46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2470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b">
        <f>C3=$A$9</f>
        <v>0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2452</v>
      </c>
      <c r="C7" s="198" t="s">
        <v>2453</v>
      </c>
      <c r="D7" s="198" t="s">
        <v>2454</v>
      </c>
      <c r="E7" s="198" t="s">
        <v>2455</v>
      </c>
      <c r="F7" s="198" t="s">
        <v>2456</v>
      </c>
      <c r="G7" s="198" t="s">
        <v>2457</v>
      </c>
      <c r="H7" s="198" t="s">
        <v>2458</v>
      </c>
      <c r="I7" s="198" t="s">
        <v>2459</v>
      </c>
      <c r="J7" s="198" t="s">
        <v>2460</v>
      </c>
      <c r="K7" s="198" t="s">
        <v>2461</v>
      </c>
      <c r="L7" s="198" t="s">
        <v>2462</v>
      </c>
      <c r="M7" s="198" t="s">
        <v>2463</v>
      </c>
      <c r="N7" s="198" t="s">
        <v>2464</v>
      </c>
      <c r="O7" s="198" t="s">
        <v>2465</v>
      </c>
      <c r="P7" s="198" t="s">
        <v>2466</v>
      </c>
      <c r="Q7" s="198" t="s">
        <v>2467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01/07/2024 00:15</v>
      </c>
      <c r="B9" s="61">
        <f>'01'!B108</f>
        <v>8.2598958333333368</v>
      </c>
      <c r="C9" s="61">
        <f>'01'!C108</f>
        <v>3.2446874999999999</v>
      </c>
      <c r="D9" s="61">
        <f>'01'!D108</f>
        <v>12.093229166666658</v>
      </c>
      <c r="E9" s="61">
        <f>'01'!E108</f>
        <v>3.9110416666666676</v>
      </c>
      <c r="F9" s="61">
        <f>'01'!F108</f>
        <v>4.1796875</v>
      </c>
      <c r="G9" s="99">
        <f>'01'!$G$108</f>
        <v>27.276562500000022</v>
      </c>
      <c r="H9" s="61">
        <f>'01'!H108</f>
        <v>8.4948958333333326</v>
      </c>
      <c r="I9" s="61">
        <f>'01'!I108</f>
        <v>2.4802083333333336</v>
      </c>
      <c r="J9" s="61">
        <f>'01'!J108</f>
        <v>0.47427083333333342</v>
      </c>
      <c r="K9" s="61">
        <f>'01'!K108</f>
        <v>213.11208333333332</v>
      </c>
      <c r="L9" s="61">
        <f>'01'!L108</f>
        <v>24.301562500000003</v>
      </c>
      <c r="M9" s="61">
        <f>'01'!M108</f>
        <v>92.957708333333343</v>
      </c>
      <c r="N9" s="61">
        <f>'01'!N108</f>
        <v>97.876041666666723</v>
      </c>
      <c r="O9" s="61">
        <f>'01'!O108</f>
        <v>1.4583333333333332E-2</v>
      </c>
      <c r="P9" s="202">
        <f>'01'!P108</f>
        <v>0.37375000000000003</v>
      </c>
      <c r="Q9" s="61">
        <f>'01'!Q108</f>
        <v>9.2879166666666695</v>
      </c>
      <c r="R9" s="118"/>
      <c r="S9" s="118"/>
      <c r="T9" s="118"/>
      <c r="U9" s="118"/>
    </row>
    <row r="10" spans="1:21" x14ac:dyDescent="0.25">
      <c r="A10" s="94" t="str">
        <f>'02'!$B$2</f>
        <v>02/07/2024 00:15</v>
      </c>
      <c r="B10" s="61">
        <f>'02'!B108</f>
        <v>8.2084375000000005</v>
      </c>
      <c r="C10" s="61">
        <f>'02'!C108</f>
        <v>3.1937500000000001</v>
      </c>
      <c r="D10" s="61">
        <f>'02'!D108</f>
        <v>12.025416666666667</v>
      </c>
      <c r="E10" s="61">
        <f>'02'!E108</f>
        <v>4.1141666666666632</v>
      </c>
      <c r="F10" s="61">
        <f>'02'!F108</f>
        <v>3.980208333333334</v>
      </c>
      <c r="G10" s="61">
        <f>'02'!G108</f>
        <v>29.526562499999986</v>
      </c>
      <c r="H10" s="61">
        <f>'02'!H108</f>
        <v>7.563958333333332</v>
      </c>
      <c r="I10" s="61">
        <f>'02'!I108</f>
        <v>2.3561458333333332</v>
      </c>
      <c r="J10" s="61">
        <f>'02'!J108</f>
        <v>0.40187499999999993</v>
      </c>
      <c r="K10" s="61">
        <f>'02'!K108</f>
        <v>206.02156249999996</v>
      </c>
      <c r="L10" s="61">
        <f>'02'!L108</f>
        <v>24.586458333333329</v>
      </c>
      <c r="M10" s="61">
        <f>'02'!M108</f>
        <v>89.659166666666692</v>
      </c>
      <c r="N10" s="61">
        <f>'02'!N108</f>
        <v>138.28437499999998</v>
      </c>
      <c r="O10" s="61">
        <f>'02'!O108</f>
        <v>2.7083333333333334E-2</v>
      </c>
      <c r="P10" s="202">
        <f>'02'!P108</f>
        <v>0.34770833333333312</v>
      </c>
      <c r="Q10" s="61">
        <f>'02'!Q108</f>
        <v>9.2786458333333357</v>
      </c>
      <c r="R10" s="118"/>
      <c r="S10" s="118"/>
      <c r="T10" s="118"/>
      <c r="U10" s="118"/>
    </row>
    <row r="11" spans="1:21" x14ac:dyDescent="0.25">
      <c r="A11" s="94" t="str">
        <f>'03'!$B$2</f>
        <v>03/07/2024 00:15</v>
      </c>
      <c r="B11" s="61">
        <f>'03'!B108</f>
        <v>8.2321874999999913</v>
      </c>
      <c r="C11" s="61">
        <f>'03'!C108</f>
        <v>3.2198958333333341</v>
      </c>
      <c r="D11" s="61">
        <f>'03'!D108</f>
        <v>12.058020833333336</v>
      </c>
      <c r="E11" s="61">
        <f>'03'!E108</f>
        <v>4.067708333333333</v>
      </c>
      <c r="F11" s="61">
        <f>'03'!F108</f>
        <v>4.4481249999999983</v>
      </c>
      <c r="G11" s="61">
        <f>'03'!G108</f>
        <v>35.809462365591408</v>
      </c>
      <c r="H11" s="61">
        <f>'03'!H108</f>
        <v>10.24516129032258</v>
      </c>
      <c r="I11" s="61">
        <f>'03'!I108</f>
        <v>1.8420833333333333</v>
      </c>
      <c r="J11" s="61">
        <f>'03'!J108</f>
        <v>0.51052083333333342</v>
      </c>
      <c r="K11" s="61">
        <f>'03'!K108</f>
        <v>178.07739583333333</v>
      </c>
      <c r="L11" s="61">
        <f>'03'!L108</f>
        <v>25.237187500000001</v>
      </c>
      <c r="M11" s="61">
        <f>'03'!M108</f>
        <v>85.494583333333324</v>
      </c>
      <c r="N11" s="61">
        <f>'03'!N108</f>
        <v>137.2677083333333</v>
      </c>
      <c r="O11" s="61">
        <f>'03'!O108</f>
        <v>0</v>
      </c>
      <c r="P11" s="202">
        <f>'03'!P108</f>
        <v>0.39552083333333338</v>
      </c>
      <c r="Q11" s="61">
        <f>'03'!Q108</f>
        <v>9.2434374999999935</v>
      </c>
      <c r="R11" s="118"/>
      <c r="S11" s="118"/>
      <c r="T11" s="118"/>
      <c r="U11" s="118"/>
    </row>
    <row r="12" spans="1:21" x14ac:dyDescent="0.25">
      <c r="A12" s="94" t="str">
        <f>'04'!$B$2</f>
        <v>04/07/2024 00:15</v>
      </c>
      <c r="B12" s="61">
        <f>'04'!B108</f>
        <v>8.2789583333333301</v>
      </c>
      <c r="C12" s="61">
        <f>'04'!C108</f>
        <v>3.2295833333333324</v>
      </c>
      <c r="D12" s="61">
        <f>'04'!D108</f>
        <v>12.100208333333335</v>
      </c>
      <c r="E12" s="61">
        <f>'04'!E108</f>
        <v>4.2056249999999986</v>
      </c>
      <c r="F12" s="61">
        <f>'04'!F108</f>
        <v>4.1684374999999996</v>
      </c>
      <c r="G12" s="61">
        <f>'04'!G108</f>
        <v>37.072688172043016</v>
      </c>
      <c r="H12" s="61">
        <f>'04'!H108</f>
        <v>12.578494623655908</v>
      </c>
      <c r="I12" s="61">
        <f>'04'!I108</f>
        <v>2.4829166666666658</v>
      </c>
      <c r="J12" s="61">
        <f>'04'!J108</f>
        <v>0.47864583333333327</v>
      </c>
      <c r="K12" s="61">
        <f>'04'!K108</f>
        <v>208.71437499999999</v>
      </c>
      <c r="L12" s="61">
        <f>'04'!L108</f>
        <v>24.532708333333332</v>
      </c>
      <c r="M12" s="61">
        <f>'04'!M108</f>
        <v>90.29604166666671</v>
      </c>
      <c r="N12" s="61">
        <f>'04'!N108</f>
        <v>127.66979166666665</v>
      </c>
      <c r="O12" s="61">
        <f>'04'!O108</f>
        <v>0.10416666666666664</v>
      </c>
      <c r="P12" s="202">
        <f>'04'!P108</f>
        <v>0.35229166666666661</v>
      </c>
      <c r="Q12" s="61">
        <f>'04'!Q108</f>
        <v>9.2331250000000029</v>
      </c>
      <c r="R12" s="118"/>
      <c r="S12" s="118"/>
      <c r="T12" s="118"/>
      <c r="U12" s="118"/>
    </row>
    <row r="13" spans="1:21" x14ac:dyDescent="0.25">
      <c r="A13" s="94" t="str">
        <f>'05'!$B$2</f>
        <v>05/07/2024 00:15</v>
      </c>
      <c r="B13" s="61">
        <f>'05'!B108</f>
        <v>8.2627083333333307</v>
      </c>
      <c r="C13" s="61">
        <f>'05'!C108</f>
        <v>3.2131249999999985</v>
      </c>
      <c r="D13" s="61">
        <f>'05'!D108</f>
        <v>12.079374999999997</v>
      </c>
      <c r="E13" s="61">
        <f>'05'!E108</f>
        <v>4.1686458333333336</v>
      </c>
      <c r="F13" s="61">
        <f>'05'!F108</f>
        <v>4.0208333333333348</v>
      </c>
      <c r="G13" s="61">
        <f>'05'!G108</f>
        <v>35.034270833333345</v>
      </c>
      <c r="H13" s="61">
        <f>'05'!H108</f>
        <v>9.0636458333333305</v>
      </c>
      <c r="I13" s="61">
        <f>'05'!I108</f>
        <v>2.5894791666666674</v>
      </c>
      <c r="J13" s="61">
        <f>'05'!J108</f>
        <v>0.42552083333333329</v>
      </c>
      <c r="K13" s="61">
        <f>'05'!K108</f>
        <v>238.1021875000001</v>
      </c>
      <c r="L13" s="61">
        <f>'05'!L108</f>
        <v>25.68510416666668</v>
      </c>
      <c r="M13" s="61">
        <f>'05'!M108</f>
        <v>83.157395833333311</v>
      </c>
      <c r="N13" s="61">
        <f>'05'!N108</f>
        <v>162.96875000000003</v>
      </c>
      <c r="O13" s="61">
        <f>'05'!O108</f>
        <v>2.0833333333333333E-3</v>
      </c>
      <c r="P13" s="202">
        <f>'05'!P108</f>
        <v>0.35958333333333337</v>
      </c>
      <c r="Q13" s="61">
        <f>'05'!Q108</f>
        <v>9.2036458333333346</v>
      </c>
      <c r="R13" s="118"/>
      <c r="S13" s="118"/>
      <c r="T13" s="118"/>
      <c r="U13" s="118"/>
    </row>
    <row r="14" spans="1:21" x14ac:dyDescent="0.25">
      <c r="A14" s="94" t="str">
        <f>'06'!$B$2</f>
        <v>06/07/2024 00:15</v>
      </c>
      <c r="B14" s="61">
        <f>'06'!B108</f>
        <v>8.2139583333333324</v>
      </c>
      <c r="C14" s="61">
        <f>'06'!C108</f>
        <v>3.1828124999999994</v>
      </c>
      <c r="D14" s="61">
        <f>'06'!D108</f>
        <v>12.024166666666671</v>
      </c>
      <c r="E14" s="61">
        <f>'06'!E108</f>
        <v>4.234791666666669</v>
      </c>
      <c r="F14" s="61">
        <f>'06'!F108</f>
        <v>4.0391666666666675</v>
      </c>
      <c r="G14" s="61">
        <f>'06'!G108</f>
        <v>33.583645833333321</v>
      </c>
      <c r="H14" s="61">
        <f>'06'!H108</f>
        <v>9.90083333333334</v>
      </c>
      <c r="I14" s="61">
        <f>'06'!I108</f>
        <v>2.6110416666666678</v>
      </c>
      <c r="J14" s="61">
        <f>'06'!J108</f>
        <v>0.38989583333333316</v>
      </c>
      <c r="K14" s="61">
        <f>'06'!K108</f>
        <v>227.96989583333334</v>
      </c>
      <c r="L14" s="61">
        <f>'06'!L108</f>
        <v>26.15916666666665</v>
      </c>
      <c r="M14" s="61">
        <f>'06'!M108</f>
        <v>81.220104166666644</v>
      </c>
      <c r="N14" s="61">
        <f>'06'!N108</f>
        <v>160.08750000000001</v>
      </c>
      <c r="O14" s="61">
        <f>'06'!O108</f>
        <v>0</v>
      </c>
      <c r="P14" s="202">
        <f>'06'!P108</f>
        <v>0.31104166666666672</v>
      </c>
      <c r="Q14" s="61">
        <f>'06'!Q108</f>
        <v>9.2127083333333335</v>
      </c>
      <c r="R14" s="118"/>
      <c r="S14" s="118"/>
      <c r="T14" s="118"/>
      <c r="U14" s="118"/>
    </row>
    <row r="15" spans="1:21" x14ac:dyDescent="0.25">
      <c r="A15" s="94" t="str">
        <f>'07'!$B$2</f>
        <v>07/07/2024 00:15</v>
      </c>
      <c r="B15" s="61">
        <f>'07'!B108</f>
        <v>8.2048958333333335</v>
      </c>
      <c r="C15" s="61">
        <f>'07'!C108</f>
        <v>3.1898958333333329</v>
      </c>
      <c r="D15" s="61">
        <f>'07'!D108</f>
        <v>12.020416666666664</v>
      </c>
      <c r="E15" s="61">
        <f>'07'!E108</f>
        <v>4.4485416666666664</v>
      </c>
      <c r="F15" s="61">
        <f>'07'!F108</f>
        <v>3.846562500000001</v>
      </c>
      <c r="G15" s="100">
        <f>'07'!$G$108</f>
        <v>35.076041666666669</v>
      </c>
      <c r="H15" s="61">
        <f>'07'!H108</f>
        <v>9.8484375000000028</v>
      </c>
      <c r="I15" s="61">
        <f>'07'!I108</f>
        <v>2.9339583333333343</v>
      </c>
      <c r="J15" s="61">
        <f>'07'!J108</f>
        <v>0.48947916666666685</v>
      </c>
      <c r="K15" s="61">
        <f>'07'!K108</f>
        <v>237.24958333333328</v>
      </c>
      <c r="L15" s="61">
        <f>'07'!L108</f>
        <v>25.16895833333334</v>
      </c>
      <c r="M15" s="61">
        <f>'07'!M108</f>
        <v>88.35604166666667</v>
      </c>
      <c r="N15" s="61">
        <f>'07'!N108</f>
        <v>106.83437500000002</v>
      </c>
      <c r="O15" s="61">
        <f>'07'!O108</f>
        <v>2.0833333333333333E-3</v>
      </c>
      <c r="P15" s="202">
        <f>'07'!P108</f>
        <v>0.40656249999999994</v>
      </c>
      <c r="Q15" s="61">
        <f>'07'!Q108</f>
        <v>9.2413541666666656</v>
      </c>
      <c r="R15" s="118"/>
      <c r="S15" s="118"/>
      <c r="T15" s="118"/>
      <c r="U15" s="118"/>
    </row>
    <row r="16" spans="1:21" x14ac:dyDescent="0.25">
      <c r="A16" s="94" t="str">
        <f>'08'!$B$2</f>
        <v>08/07/2024 00:15</v>
      </c>
      <c r="B16" s="61">
        <f>'08'!B108</f>
        <v>8.2460416666666685</v>
      </c>
      <c r="C16" s="61">
        <f>'08'!C108</f>
        <v>3.2206249999999996</v>
      </c>
      <c r="D16" s="61">
        <f>'08'!D108</f>
        <v>12.070208333333332</v>
      </c>
      <c r="E16" s="61">
        <f>'08'!E108</f>
        <v>4.5475000000000003</v>
      </c>
      <c r="F16" s="61">
        <f>'08'!F108</f>
        <v>3.8488541666666678</v>
      </c>
      <c r="G16" s="100">
        <f>'08'!$G$108</f>
        <v>40.199166666666649</v>
      </c>
      <c r="H16" s="61">
        <f>'08'!H108</f>
        <v>13.021770833333335</v>
      </c>
      <c r="I16" s="61">
        <f>'08'!I108</f>
        <v>5.4574999999999996</v>
      </c>
      <c r="J16" s="61">
        <f>'08'!J108</f>
        <v>0.58177083333333346</v>
      </c>
      <c r="K16" s="61">
        <f>'08'!K108</f>
        <v>203.27895833333341</v>
      </c>
      <c r="L16" s="61">
        <f>'08'!L108</f>
        <v>25.801979166666658</v>
      </c>
      <c r="M16" s="61">
        <f>'08'!M108</f>
        <v>90.418854166666691</v>
      </c>
      <c r="N16" s="61">
        <f>'08'!N108</f>
        <v>130.78333333333322</v>
      </c>
      <c r="O16" s="61">
        <f>'08'!O108</f>
        <v>5.6250000000000001E-2</v>
      </c>
      <c r="P16" s="202">
        <f>'08'!P108</f>
        <v>0.52489583333333323</v>
      </c>
      <c r="Q16" s="61">
        <f>'08'!Q108</f>
        <v>8.8040625000000006</v>
      </c>
      <c r="R16" s="118"/>
      <c r="S16" s="118"/>
      <c r="T16" s="118"/>
      <c r="U16" s="118"/>
    </row>
    <row r="17" spans="1:21" x14ac:dyDescent="0.25">
      <c r="A17" s="94" t="str">
        <f>'09'!$B$2</f>
        <v>09/07/2024 00:15</v>
      </c>
      <c r="B17" s="61">
        <f>'09'!B108</f>
        <v>8.2496875000000021</v>
      </c>
      <c r="C17" s="61">
        <f>'09'!C108</f>
        <v>3.2161458333333317</v>
      </c>
      <c r="D17" s="61">
        <f>'09'!D108</f>
        <v>12.07010416666666</v>
      </c>
      <c r="E17" s="61">
        <f>'09'!E108</f>
        <v>4.0663541666666667</v>
      </c>
      <c r="F17" s="61">
        <f>'09'!F108</f>
        <v>3.6700000000000004</v>
      </c>
      <c r="G17" s="100">
        <f>'09'!$G$108</f>
        <v>24.639062499999984</v>
      </c>
      <c r="H17" s="61">
        <f>'09'!H108</f>
        <v>7.0831250000000034</v>
      </c>
      <c r="I17" s="61">
        <f>'09'!I108</f>
        <v>4.7663541666666669</v>
      </c>
      <c r="J17" s="61">
        <f>'09'!J108</f>
        <v>0.49770833333333325</v>
      </c>
      <c r="K17" s="61">
        <f>'09'!K108</f>
        <v>183.78156249999998</v>
      </c>
      <c r="L17" s="61">
        <f>'09'!L108</f>
        <v>26.017604166666661</v>
      </c>
      <c r="M17" s="61">
        <f>'09'!M108</f>
        <v>85.726458333333355</v>
      </c>
      <c r="N17" s="61">
        <f>'09'!N108</f>
        <v>167.39166666666665</v>
      </c>
      <c r="O17" s="61">
        <f>'09'!O108</f>
        <v>7.9166666666666677E-2</v>
      </c>
      <c r="P17" s="202">
        <f>'09'!P108</f>
        <v>0.41687500000000016</v>
      </c>
      <c r="Q17" s="61">
        <f>'09'!Q108</f>
        <v>9.4122916666666647</v>
      </c>
      <c r="R17" s="118"/>
      <c r="S17" s="118"/>
      <c r="T17" s="118"/>
      <c r="U17" s="118"/>
    </row>
    <row r="18" spans="1:21" x14ac:dyDescent="0.25">
      <c r="A18" s="94" t="str">
        <f>'10'!$B$2</f>
        <v>10/07/2024 00:15</v>
      </c>
      <c r="B18" s="61">
        <f>'10'!B108</f>
        <v>8.2856250000000049</v>
      </c>
      <c r="C18" s="61">
        <f>'10'!C108</f>
        <v>3.2462500000000003</v>
      </c>
      <c r="D18" s="61">
        <f>'10'!D108</f>
        <v>12.114791666666669</v>
      </c>
      <c r="E18" s="61">
        <f>'10'!E108</f>
        <v>4.6880208333333337</v>
      </c>
      <c r="F18" s="61">
        <f>'10'!F108</f>
        <v>3.9128125000000025</v>
      </c>
      <c r="G18" s="101">
        <f>'10'!$G$108</f>
        <v>36.596874999999997</v>
      </c>
      <c r="H18" s="61">
        <f>'10'!H108</f>
        <v>9.2254166666666659</v>
      </c>
      <c r="I18" s="61">
        <f>'10'!I108</f>
        <v>3.7487500000000016</v>
      </c>
      <c r="J18" s="61">
        <f>'10'!J108</f>
        <v>0.4271875</v>
      </c>
      <c r="K18" s="61">
        <f>'10'!K108</f>
        <v>178.60322916666664</v>
      </c>
      <c r="L18" s="61">
        <f>'10'!L108</f>
        <v>25.808645833333333</v>
      </c>
      <c r="M18" s="61">
        <f>'10'!M108</f>
        <v>86.220833333333317</v>
      </c>
      <c r="N18" s="61">
        <f>'10'!N108</f>
        <v>110.48645833333326</v>
      </c>
      <c r="O18" s="61">
        <f>'10'!O108</f>
        <v>2.0833333333333333E-3</v>
      </c>
      <c r="P18" s="202">
        <f>'10'!P108</f>
        <v>0.44177083333333322</v>
      </c>
      <c r="Q18" s="61">
        <f>'10'!Q108</f>
        <v>9.381354166666668</v>
      </c>
      <c r="R18" s="118"/>
      <c r="S18" s="118"/>
      <c r="T18" s="118"/>
      <c r="U18" s="118"/>
    </row>
    <row r="19" spans="1:21" x14ac:dyDescent="0.25">
      <c r="A19" s="94" t="str">
        <f>'11'!$B$2</f>
        <v>11/07/2024 00:15</v>
      </c>
      <c r="B19" s="61">
        <f>'11'!B108</f>
        <v>8.3267708333333328</v>
      </c>
      <c r="C19" s="61">
        <f>'11'!C108</f>
        <v>3.2539583333333333</v>
      </c>
      <c r="D19" s="61">
        <f>'11'!D108</f>
        <v>12.151666666666669</v>
      </c>
      <c r="E19" s="61">
        <f>'11'!E108</f>
        <v>3.886458333333334</v>
      </c>
      <c r="F19" s="61">
        <f>'11'!F108</f>
        <v>4.3150000000000004</v>
      </c>
      <c r="G19" s="99">
        <f>'11'!$G$108</f>
        <v>35.977526881720422</v>
      </c>
      <c r="H19" s="61">
        <f>'11'!H108</f>
        <v>9.589784946236561</v>
      </c>
      <c r="I19" s="61">
        <f>'11'!I108</f>
        <v>2.7771875000000001</v>
      </c>
      <c r="J19" s="61">
        <f>'11'!J108</f>
        <v>0.44416666666666643</v>
      </c>
      <c r="K19" s="61">
        <f>'11'!K108</f>
        <v>197.33864583333323</v>
      </c>
      <c r="L19" s="61">
        <f>'11'!L108</f>
        <v>26.076666666666679</v>
      </c>
      <c r="M19" s="61">
        <f>'11'!M108</f>
        <v>85.852604166666637</v>
      </c>
      <c r="N19" s="61">
        <f>'11'!N108</f>
        <v>154.32604166666667</v>
      </c>
      <c r="O19" s="61">
        <f>'11'!O108</f>
        <v>2.0833333333333333E-3</v>
      </c>
      <c r="P19" s="202">
        <f>'11'!P108</f>
        <v>0.36177083333333321</v>
      </c>
      <c r="Q19" s="61">
        <f>'11'!Q108</f>
        <v>9.3049999999999997</v>
      </c>
      <c r="R19" s="118"/>
      <c r="S19" s="118"/>
      <c r="T19" s="118"/>
      <c r="U19" s="118"/>
    </row>
    <row r="20" spans="1:21" x14ac:dyDescent="0.25">
      <c r="A20" s="94" t="str">
        <f>'12'!$B$2</f>
        <v>12/07/2024 00:15</v>
      </c>
      <c r="B20" s="61">
        <f>'12'!B108</f>
        <v>8.3492708333333336</v>
      </c>
      <c r="C20" s="61">
        <f>'12'!C108</f>
        <v>3.2871874999999999</v>
      </c>
      <c r="D20" s="61">
        <f>'12'!D108</f>
        <v>12.187604166666667</v>
      </c>
      <c r="E20" s="61">
        <f>'12'!E108</f>
        <v>4.3296874999999995</v>
      </c>
      <c r="F20" s="61">
        <f>'12'!F108</f>
        <v>4.2524999999999977</v>
      </c>
      <c r="G20" s="101">
        <f>'12'!$G$108</f>
        <v>41.686249999999994</v>
      </c>
      <c r="H20" s="61">
        <f>'12'!H108</f>
        <v>12.528854166666671</v>
      </c>
      <c r="I20" s="61">
        <f>'12'!I108</f>
        <v>3.0649999999999995</v>
      </c>
      <c r="J20" s="61">
        <f>'12'!J108</f>
        <v>0.55114583333333333</v>
      </c>
      <c r="K20" s="61">
        <f>'12'!K108</f>
        <v>263.33916666666676</v>
      </c>
      <c r="L20" s="61">
        <f>'12'!L108</f>
        <v>25.487812500000004</v>
      </c>
      <c r="M20" s="61">
        <f>'12'!M108</f>
        <v>88.008437499999999</v>
      </c>
      <c r="N20" s="61">
        <f>'12'!N108</f>
        <v>143.21250000000001</v>
      </c>
      <c r="O20" s="61">
        <f>'12'!O108</f>
        <v>2.0833333333333333E-3</v>
      </c>
      <c r="P20" s="202">
        <f>'12'!P108</f>
        <v>0.43729166666666669</v>
      </c>
      <c r="Q20" s="61">
        <f>'12'!Q108</f>
        <v>9.4436458333333348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13/07/2024 00:15</v>
      </c>
      <c r="B21" s="91">
        <f>'13'!B108</f>
        <v>8.3476041666666667</v>
      </c>
      <c r="C21" s="91">
        <f>'13'!C108</f>
        <v>3.2704166666666672</v>
      </c>
      <c r="D21" s="91">
        <f>'13'!D108</f>
        <v>12.177395833333335</v>
      </c>
      <c r="E21" s="91">
        <f>'13'!E108</f>
        <v>4.2968750000000009</v>
      </c>
      <c r="F21" s="91">
        <f>'13'!F108</f>
        <v>3.6796874999999996</v>
      </c>
      <c r="G21" s="100">
        <f>'13'!$G$108</f>
        <v>29.41010416666666</v>
      </c>
      <c r="H21" s="91">
        <f>'13'!H108</f>
        <v>7.4284374999999914</v>
      </c>
      <c r="I21" s="91">
        <f>'13'!I108</f>
        <v>3.7496875000000003</v>
      </c>
      <c r="J21" s="91">
        <f>'13'!J108</f>
        <v>0.51270833333333354</v>
      </c>
      <c r="K21" s="91">
        <f>'13'!K108</f>
        <v>218.55291666666668</v>
      </c>
      <c r="L21" s="91">
        <f>'13'!L108</f>
        <v>24.17114583333333</v>
      </c>
      <c r="M21" s="91">
        <f>'13'!M108</f>
        <v>94.753020833333309</v>
      </c>
      <c r="N21" s="91">
        <f>'13'!N108</f>
        <v>139.99166666666665</v>
      </c>
      <c r="O21" s="91">
        <f>'13'!O108</f>
        <v>0.31666666666666671</v>
      </c>
      <c r="P21" s="203">
        <f>'13'!P108</f>
        <v>0.44135416666666688</v>
      </c>
      <c r="Q21" s="91">
        <f>'13'!Q108</f>
        <v>9.4443749999999973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14/07/2024 00:15</v>
      </c>
      <c r="B22" s="90">
        <f>'14'!B108</f>
        <v>8.3430208333333358</v>
      </c>
      <c r="C22" s="90">
        <f>'14'!C108</f>
        <v>3.2520833333333332</v>
      </c>
      <c r="D22" s="90">
        <f>'14'!D108</f>
        <v>12.163958333333335</v>
      </c>
      <c r="E22" s="90">
        <f>'14'!E108</f>
        <v>4.0614583333333343</v>
      </c>
      <c r="F22" s="90">
        <f>'14'!F108</f>
        <v>3.699166666666668</v>
      </c>
      <c r="G22" s="100">
        <f>'14'!$G$108</f>
        <v>27.531666666666677</v>
      </c>
      <c r="H22" s="100">
        <f>'14'!$G$108</f>
        <v>27.531666666666677</v>
      </c>
      <c r="I22" s="90">
        <f>'14'!I108</f>
        <v>3.5183333333333331</v>
      </c>
      <c r="J22" s="90">
        <f>'14'!J108</f>
        <v>0.43854166666666661</v>
      </c>
      <c r="K22" s="90">
        <f>'14'!K108</f>
        <v>234.60052083333346</v>
      </c>
      <c r="L22" s="90">
        <f>'14'!L108</f>
        <v>25.023541666666677</v>
      </c>
      <c r="M22" s="90">
        <f>'14'!M108</f>
        <v>94.353645833333317</v>
      </c>
      <c r="N22" s="90">
        <f>'14'!N108</f>
        <v>212.25104166666657</v>
      </c>
      <c r="O22" s="90">
        <f>'14'!O108</f>
        <v>2.5000000000000005E-2</v>
      </c>
      <c r="P22" s="204">
        <f>'14'!P108</f>
        <v>0.51708333333333334</v>
      </c>
      <c r="Q22" s="90">
        <f>'14'!Q108</f>
        <v>9.4298958333333349</v>
      </c>
      <c r="R22" s="206"/>
      <c r="S22" s="206"/>
      <c r="T22" s="206"/>
      <c r="U22" s="206"/>
    </row>
    <row r="23" spans="1:21" x14ac:dyDescent="0.25">
      <c r="A23" s="94" t="str">
        <f>'15'!$B$2</f>
        <v>15/07/2024 00:15</v>
      </c>
      <c r="B23" s="61">
        <f>'15'!B108</f>
        <v>8.3821875000000006</v>
      </c>
      <c r="C23" s="61">
        <f>'15'!C108</f>
        <v>3.3153124999999997</v>
      </c>
      <c r="D23" s="61">
        <f>'15'!D108</f>
        <v>12.228229166666667</v>
      </c>
      <c r="E23" s="61">
        <f>'15'!E108</f>
        <v>4.4844791666666657</v>
      </c>
      <c r="F23" s="61">
        <f>'15'!F108</f>
        <v>3.5069791666666661</v>
      </c>
      <c r="G23" s="100">
        <f>'15'!$G$108</f>
        <v>43.494166666666644</v>
      </c>
      <c r="H23" s="61">
        <f>'15'!H108</f>
        <v>16.558333333333334</v>
      </c>
      <c r="I23" s="61">
        <f>'15'!I108</f>
        <v>6.3953124999999984</v>
      </c>
      <c r="J23" s="61">
        <f>'15'!J108</f>
        <v>0.67895833333333322</v>
      </c>
      <c r="K23" s="61">
        <f>'15'!K108</f>
        <v>246.97166666666655</v>
      </c>
      <c r="L23" s="61">
        <f>'15'!L108</f>
        <v>24.848854166666673</v>
      </c>
      <c r="M23" s="61">
        <f>'15'!M108</f>
        <v>95.692916666666619</v>
      </c>
      <c r="N23" s="61">
        <f>'15'!N108</f>
        <v>163.16458333333333</v>
      </c>
      <c r="O23" s="61">
        <f>'15'!O108</f>
        <v>5.4166666666666669E-2</v>
      </c>
      <c r="P23" s="202">
        <f>'15'!P108</f>
        <v>0.61875000000000013</v>
      </c>
      <c r="Q23" s="61">
        <f>'15'!Q108</f>
        <v>9.7036458333333311</v>
      </c>
      <c r="R23" s="118"/>
      <c r="S23" s="118"/>
      <c r="T23" s="118"/>
      <c r="U23" s="118"/>
    </row>
    <row r="24" spans="1:21" x14ac:dyDescent="0.25">
      <c r="A24" s="94" t="str">
        <f>'16'!$B$2</f>
        <v>16/07/2024 00:15</v>
      </c>
      <c r="B24" s="61">
        <f>'16'!B108</f>
        <v>8.3748958333333299</v>
      </c>
      <c r="C24" s="61">
        <f>'16'!C108</f>
        <v>3.2879166666666659</v>
      </c>
      <c r="D24" s="61">
        <f>'16'!D108</f>
        <v>12.208229166666667</v>
      </c>
      <c r="E24" s="61">
        <f>'16'!E108</f>
        <v>3.9215625000000016</v>
      </c>
      <c r="F24" s="61">
        <f>'16'!F108</f>
        <v>3.4700000000000006</v>
      </c>
      <c r="G24" s="100">
        <f>'16'!$G$108</f>
        <v>31.661354166666655</v>
      </c>
      <c r="H24" s="61">
        <f>'16'!H108</f>
        <v>11.843854166666659</v>
      </c>
      <c r="I24" s="61">
        <f>'16'!I108</f>
        <v>7.7212500000000004</v>
      </c>
      <c r="J24" s="61">
        <f>'16'!J108</f>
        <v>0.7803125000000003</v>
      </c>
      <c r="K24" s="61">
        <f>'16'!K108</f>
        <v>178.13229166666665</v>
      </c>
      <c r="L24" s="61">
        <f>'16'!L108</f>
        <v>25.670729166666664</v>
      </c>
      <c r="M24" s="61">
        <f>'16'!M108</f>
        <v>93.110937500000077</v>
      </c>
      <c r="N24" s="61">
        <f>'16'!N108</f>
        <v>291.37499999999994</v>
      </c>
      <c r="O24" s="61">
        <f>'16'!O108</f>
        <v>8.7500000000000008E-2</v>
      </c>
      <c r="P24" s="202">
        <f>'16'!P108</f>
        <v>0.58750000000000002</v>
      </c>
      <c r="Q24" s="61">
        <f>'16'!Q108</f>
        <v>9.6367708333333351</v>
      </c>
      <c r="R24" s="118"/>
      <c r="S24" s="118"/>
      <c r="T24" s="118"/>
      <c r="U24" s="118"/>
    </row>
    <row r="25" spans="1:21" x14ac:dyDescent="0.25">
      <c r="A25" s="94" t="str">
        <f>'17'!$B$2</f>
        <v>17/07/2024 00:15</v>
      </c>
      <c r="B25" s="61">
        <f>'17'!B108</f>
        <v>8.2412500000000009</v>
      </c>
      <c r="C25" s="61">
        <f>'17'!C108</f>
        <v>3.1989583333333331</v>
      </c>
      <c r="D25" s="61">
        <f>'17'!D108</f>
        <v>12.055208333333333</v>
      </c>
      <c r="E25" s="61">
        <f>'17'!E108</f>
        <v>4.4816666666666665</v>
      </c>
      <c r="F25" s="61">
        <f>'17'!F108</f>
        <v>3.9203124999999996</v>
      </c>
      <c r="G25" s="101">
        <f>'17'!$G$108</f>
        <v>23.029479166666672</v>
      </c>
      <c r="H25" s="61">
        <f>'17'!H108</f>
        <v>7.9233333333333347</v>
      </c>
      <c r="I25" s="61">
        <f>'17'!I108</f>
        <v>4.8561458333333327</v>
      </c>
      <c r="J25" s="61">
        <f>'17'!J108</f>
        <v>0.4770833333333333</v>
      </c>
      <c r="K25" s="61">
        <f>'17'!K108</f>
        <v>245.22770833333337</v>
      </c>
      <c r="L25" s="61">
        <f>'17'!L108</f>
        <v>25.302708333333339</v>
      </c>
      <c r="M25" s="61">
        <f>'17'!M108</f>
        <v>95.117083333333412</v>
      </c>
      <c r="N25" s="61">
        <f>'17'!N108</f>
        <v>261.55104166666672</v>
      </c>
      <c r="O25" s="61">
        <f>'17'!O108</f>
        <v>0.12291666666666666</v>
      </c>
      <c r="P25" s="202">
        <f>'17'!P108</f>
        <v>0.46208333333333312</v>
      </c>
      <c r="Q25" s="61">
        <f>'17'!Q108</f>
        <v>9.5121875000000014</v>
      </c>
      <c r="R25" s="118"/>
      <c r="S25" s="118"/>
      <c r="T25" s="118"/>
      <c r="U25" s="118"/>
    </row>
    <row r="26" spans="1:21" x14ac:dyDescent="0.25">
      <c r="A26" s="94" t="str">
        <f>'18'!$B$2</f>
        <v>18/07/2024 00:15</v>
      </c>
      <c r="B26" s="61">
        <f>'18'!B108</f>
        <v>8.0771874999999991</v>
      </c>
      <c r="C26" s="61">
        <f>'18'!C108</f>
        <v>3.1260416666666671</v>
      </c>
      <c r="D26" s="61">
        <f>'18'!D108</f>
        <v>11.884062500000001</v>
      </c>
      <c r="E26" s="61">
        <f>'18'!E108</f>
        <v>4.3458333333333323</v>
      </c>
      <c r="F26" s="61">
        <f>'18'!F108</f>
        <v>3.9302083333333333</v>
      </c>
      <c r="G26" s="99">
        <f>'18'!$G$108</f>
        <v>36.335833333333319</v>
      </c>
      <c r="H26" s="61">
        <f>'18'!H108</f>
        <v>9.6383333333333354</v>
      </c>
      <c r="I26" s="61">
        <f>'18'!I108</f>
        <v>5.0138541666666656</v>
      </c>
      <c r="J26" s="61">
        <f>'18'!J108</f>
        <v>0.62635416666666699</v>
      </c>
      <c r="K26" s="61">
        <f>'18'!K108</f>
        <v>194.12093749999997</v>
      </c>
      <c r="L26" s="61">
        <f>'18'!L108</f>
        <v>26.723437499999999</v>
      </c>
      <c r="M26" s="61">
        <f>'18'!M108</f>
        <v>86.687916666666695</v>
      </c>
      <c r="N26" s="61">
        <f>'18'!N108</f>
        <v>250.64375000000004</v>
      </c>
      <c r="O26" s="61">
        <f>'18'!O108</f>
        <v>0</v>
      </c>
      <c r="P26" s="202">
        <f>'18'!P108</f>
        <v>0.43927083333333322</v>
      </c>
      <c r="Q26" s="61">
        <f>'18'!Q108</f>
        <v>9.4556249999999995</v>
      </c>
      <c r="R26" s="118"/>
      <c r="S26" s="118"/>
      <c r="T26" s="118"/>
      <c r="U26" s="118"/>
    </row>
    <row r="27" spans="1:21" x14ac:dyDescent="0.25">
      <c r="A27" s="94" t="str">
        <f>'19'!$B$2</f>
        <v>19/07/2024 00:15</v>
      </c>
      <c r="B27" s="61">
        <f>'19'!B108</f>
        <v>8.0968750000000025</v>
      </c>
      <c r="C27" s="61">
        <f>'19'!C108</f>
        <v>3.1545833333333326</v>
      </c>
      <c r="D27" s="61">
        <f>'19'!D108</f>
        <v>11.915104166666671</v>
      </c>
      <c r="E27" s="61">
        <f>'19'!E108</f>
        <v>4.6296875000000002</v>
      </c>
      <c r="F27" s="61">
        <f>'19'!F108</f>
        <v>4.1456249999999999</v>
      </c>
      <c r="G27" s="61">
        <f>'19'!G108</f>
        <v>60.915208333333368</v>
      </c>
      <c r="H27" s="61">
        <f>'19'!H108</f>
        <v>18.547812500000003</v>
      </c>
      <c r="I27" s="61">
        <f>'19'!I108</f>
        <v>5.476770833333334</v>
      </c>
      <c r="J27" s="61">
        <f>'19'!J108</f>
        <v>0.81864583333333341</v>
      </c>
      <c r="K27" s="61">
        <f>'19'!K108</f>
        <v>238.35322916666675</v>
      </c>
      <c r="L27" s="61">
        <f>'19'!L108</f>
        <v>27.707291666666688</v>
      </c>
      <c r="M27" s="61">
        <f>'19'!M108</f>
        <v>83.398125000000036</v>
      </c>
      <c r="N27" s="61">
        <f>'19'!N108</f>
        <v>270.13541666666663</v>
      </c>
      <c r="O27" s="61">
        <f>'19'!O108</f>
        <v>1.8749999999999999E-2</v>
      </c>
      <c r="P27" s="202">
        <f>'19'!P108</f>
        <v>0.57635416666666661</v>
      </c>
      <c r="Q27" s="61">
        <f>'19'!Q108</f>
        <v>8.880729166666665</v>
      </c>
      <c r="R27" s="118"/>
      <c r="S27" s="118"/>
      <c r="T27" s="118"/>
      <c r="U27" s="118"/>
    </row>
    <row r="28" spans="1:21" x14ac:dyDescent="0.25">
      <c r="A28" s="94" t="str">
        <f>'20'!$B$2</f>
        <v>20/07/2024 00:15</v>
      </c>
      <c r="B28" s="61">
        <f>'20'!B108</f>
        <v>8.1154166666666665</v>
      </c>
      <c r="C28" s="61">
        <f>'20'!C108</f>
        <v>3.1471875000000007</v>
      </c>
      <c r="D28" s="61">
        <f>'20'!D108</f>
        <v>11.926562500000001</v>
      </c>
      <c r="E28" s="61">
        <f>'20'!E108</f>
        <v>3.6983333333333337</v>
      </c>
      <c r="F28" s="61">
        <f>'20'!F108</f>
        <v>3.7372916666666662</v>
      </c>
      <c r="G28" s="61">
        <f>'20'!G108</f>
        <v>30.74447916666665</v>
      </c>
      <c r="H28" s="61">
        <f>'20'!H108</f>
        <v>11.320833333333333</v>
      </c>
      <c r="I28" s="61">
        <f>'20'!I108</f>
        <v>6.3491666666666662</v>
      </c>
      <c r="J28" s="61">
        <f>'20'!J108</f>
        <v>0.74510416666666679</v>
      </c>
      <c r="K28" s="61">
        <f>'20'!K108</f>
        <v>176.84312499999999</v>
      </c>
      <c r="L28" s="61">
        <f>'20'!L108</f>
        <v>25.656770833333336</v>
      </c>
      <c r="M28" s="61">
        <f>'20'!M108</f>
        <v>88.62864583333328</v>
      </c>
      <c r="N28" s="61">
        <f>'20'!N108</f>
        <v>268.82499999999999</v>
      </c>
      <c r="O28" s="61">
        <f>'20'!O108</f>
        <v>0.39791666666666664</v>
      </c>
      <c r="P28" s="202">
        <f>'20'!P108</f>
        <v>0.44854166666666662</v>
      </c>
      <c r="Q28" s="61">
        <f>'20'!Q108</f>
        <v>9.5653125000000028</v>
      </c>
      <c r="R28" s="118"/>
      <c r="S28" s="118"/>
      <c r="T28" s="118"/>
      <c r="U28" s="118"/>
    </row>
    <row r="29" spans="1:21" x14ac:dyDescent="0.25">
      <c r="A29" s="94" t="str">
        <f>'21'!$B$2</f>
        <v>21/07/2024 00:15</v>
      </c>
      <c r="B29" s="61">
        <f>'21'!B108</f>
        <v>8.2161458333333357</v>
      </c>
      <c r="C29" s="61">
        <f>'21'!C108</f>
        <v>3.3626041666666655</v>
      </c>
      <c r="D29" s="61">
        <f>'21'!D108</f>
        <v>12.120104166666669</v>
      </c>
      <c r="E29" s="61">
        <f>'21'!E108</f>
        <v>4.8373958333333338</v>
      </c>
      <c r="F29" s="61">
        <f>'21'!F108</f>
        <v>3.6579166666666656</v>
      </c>
      <c r="G29" s="61">
        <f>'21'!G108</f>
        <v>24.552840909090904</v>
      </c>
      <c r="H29" s="61">
        <f>'21'!H108</f>
        <v>9.0693181818181809</v>
      </c>
      <c r="I29" s="61">
        <f>'21'!I108</f>
        <v>5.1855208333333342</v>
      </c>
      <c r="J29" s="61">
        <f>'21'!J108</f>
        <v>0.60385416666666669</v>
      </c>
      <c r="K29" s="61">
        <f>'21'!K108</f>
        <v>239.96989583333337</v>
      </c>
      <c r="L29" s="61">
        <f>'21'!L108</f>
        <v>24.767604166666661</v>
      </c>
      <c r="M29" s="61">
        <f>'21'!M108</f>
        <v>96.590729166666733</v>
      </c>
      <c r="N29" s="61">
        <f>'21'!N108</f>
        <v>151.22812500000001</v>
      </c>
      <c r="O29" s="61">
        <f>'21'!O108</f>
        <v>8.7499999999999981E-2</v>
      </c>
      <c r="P29" s="202">
        <f>'21'!P108</f>
        <v>0.41437499999999977</v>
      </c>
      <c r="Q29" s="61">
        <f>'21'!Q108</f>
        <v>9.4728125000000016</v>
      </c>
      <c r="R29" s="118"/>
      <c r="S29" s="118"/>
      <c r="T29" s="118"/>
      <c r="U29" s="118"/>
    </row>
    <row r="30" spans="1:21" x14ac:dyDescent="0.25">
      <c r="A30" s="94" t="str">
        <f>'22'!$B$2</f>
        <v>22/07/2024 00:15</v>
      </c>
      <c r="B30" s="61">
        <f>'22'!B108</f>
        <v>8.1071875000000002</v>
      </c>
      <c r="C30" s="61">
        <f>'22'!C108</f>
        <v>3.1495833333333341</v>
      </c>
      <c r="D30" s="61">
        <f>'22'!D108</f>
        <v>11.921458333333332</v>
      </c>
      <c r="E30" s="61">
        <f>'22'!E108</f>
        <v>4.2073958333333357</v>
      </c>
      <c r="F30" s="61">
        <f>'22'!F108</f>
        <v>3.9979166666666663</v>
      </c>
      <c r="G30" s="61">
        <f>'22'!G108</f>
        <v>8.0072916666666654</v>
      </c>
      <c r="H30" s="61">
        <f>'22'!H108</f>
        <v>2.5831250000000003</v>
      </c>
      <c r="I30" s="61">
        <f>'22'!I108</f>
        <v>1.3644791666666667</v>
      </c>
      <c r="J30" s="61">
        <f>'22'!J108</f>
        <v>0.58489583333333306</v>
      </c>
      <c r="K30" s="61">
        <f>'22'!K108</f>
        <v>173.68218749999994</v>
      </c>
      <c r="L30" s="61">
        <f>'22'!L108</f>
        <v>22.963229166666668</v>
      </c>
      <c r="M30" s="61">
        <f>'22'!M108</f>
        <v>99.020625000000038</v>
      </c>
      <c r="N30" s="61">
        <f>'22'!N108</f>
        <v>73.754166666666677</v>
      </c>
      <c r="O30" s="61">
        <f>'22'!O108</f>
        <v>0.11249999999999999</v>
      </c>
      <c r="P30" s="202">
        <f>'22'!P108</f>
        <v>0.3598958333333333</v>
      </c>
      <c r="Q30" s="61">
        <f>'22'!Q108</f>
        <v>8.9555208333333312</v>
      </c>
      <c r="R30" s="118"/>
      <c r="S30" s="118"/>
      <c r="T30" s="118"/>
      <c r="U30" s="118"/>
    </row>
    <row r="31" spans="1:21" x14ac:dyDescent="0.25">
      <c r="A31" s="94" t="str">
        <f>'23'!$B$2</f>
        <v>23/07/2024 00:15</v>
      </c>
      <c r="B31" s="61">
        <f>'23'!B108</f>
        <v>8.2206249999999983</v>
      </c>
      <c r="C31" s="61">
        <f>'23'!C108</f>
        <v>3.2097916666666659</v>
      </c>
      <c r="D31" s="61">
        <f>'23'!D108</f>
        <v>12.042812499999997</v>
      </c>
      <c r="E31" s="61">
        <f>'23'!E108</f>
        <v>4.0986458333333342</v>
      </c>
      <c r="F31" s="61">
        <f>'23'!F108</f>
        <v>5.8882291666666662</v>
      </c>
      <c r="G31" s="61">
        <f>'23'!G108</f>
        <v>6.4298958333333305</v>
      </c>
      <c r="H31" s="61">
        <f>'23'!H108</f>
        <v>2.0088541666666671</v>
      </c>
      <c r="I31" s="61">
        <f>'23'!I108</f>
        <v>0.81260416666666668</v>
      </c>
      <c r="J31" s="61">
        <f>'23'!J108</f>
        <v>0.62927083333333356</v>
      </c>
      <c r="K31" s="61">
        <f>'23'!K108</f>
        <v>48.416979166666671</v>
      </c>
      <c r="L31" s="61">
        <f>'23'!L108</f>
        <v>22.239479166666673</v>
      </c>
      <c r="M31" s="61">
        <f>'23'!M108</f>
        <v>99.049479166666643</v>
      </c>
      <c r="N31" s="61">
        <f>'23'!N108</f>
        <v>72.606250000000074</v>
      </c>
      <c r="O31" s="61">
        <f>'23'!O108</f>
        <v>0.51875000000000004</v>
      </c>
      <c r="P31" s="9" t="s">
        <v>36</v>
      </c>
      <c r="Q31" s="9" t="s">
        <v>36</v>
      </c>
      <c r="R31" s="118"/>
      <c r="S31" s="207"/>
      <c r="T31" s="118"/>
      <c r="U31" s="118"/>
    </row>
    <row r="32" spans="1:21" x14ac:dyDescent="0.25">
      <c r="A32" s="94" t="str">
        <f>'24'!$B$2</f>
        <v>24/07/2024 00:15</v>
      </c>
      <c r="B32" s="61">
        <f>'24'!B108</f>
        <v>8.3186440677966083</v>
      </c>
      <c r="C32" s="61">
        <f>'24'!C108</f>
        <v>3.2781355932203389</v>
      </c>
      <c r="D32" s="61">
        <f>'24'!D108</f>
        <v>12.157966101694916</v>
      </c>
      <c r="E32" s="61">
        <f>'24'!E108</f>
        <v>4.232372881355932</v>
      </c>
      <c r="F32" s="61">
        <f>'24'!F108</f>
        <v>4.6345762711864396</v>
      </c>
      <c r="G32" s="61">
        <f>'24'!G108</f>
        <v>3.4013559322033919</v>
      </c>
      <c r="H32" s="61">
        <f>'24'!H108</f>
        <v>1.8235593220338984</v>
      </c>
      <c r="I32" s="61">
        <f>'24'!I108</f>
        <v>0.6622033898305083</v>
      </c>
      <c r="J32" s="61">
        <f>'24'!J108</f>
        <v>0.64067796610169492</v>
      </c>
      <c r="K32" s="61">
        <f>'24'!K108</f>
        <v>67.741694915254243</v>
      </c>
      <c r="L32" s="61">
        <f>'24'!L108</f>
        <v>21.701186440677969</v>
      </c>
      <c r="M32" s="61">
        <f>'24'!M108</f>
        <v>99.118305084745771</v>
      </c>
      <c r="N32" s="61">
        <f>'24'!N108</f>
        <v>91.077966101694955</v>
      </c>
      <c r="O32" s="61">
        <f>'24'!O108</f>
        <v>0.30508474576271172</v>
      </c>
      <c r="P32" s="202">
        <f>'24'!P108</f>
        <v>0.24271186440677972</v>
      </c>
      <c r="Q32" s="61">
        <f>'24'!Q108</f>
        <v>9.2547457627118597</v>
      </c>
      <c r="R32" s="118"/>
      <c r="S32" s="118"/>
      <c r="T32" s="118"/>
      <c r="U32" s="118"/>
    </row>
    <row r="33" spans="1:21" x14ac:dyDescent="0.25">
      <c r="A33" s="94" t="str">
        <f>'25'!$B$2</f>
        <v>25/07/2024 00:15</v>
      </c>
      <c r="B33" s="61">
        <f>'25'!B108</f>
        <v>49.069687500000008</v>
      </c>
      <c r="C33" s="61">
        <f>'25'!C108</f>
        <v>78.117500000000021</v>
      </c>
      <c r="D33" s="61">
        <f>'25'!D108</f>
        <v>82.876145833333339</v>
      </c>
      <c r="E33" s="61">
        <f>'25'!E108</f>
        <v>4.3880208333333348</v>
      </c>
      <c r="F33" s="61">
        <f>'25'!F108</f>
        <v>7.4672916666666644</v>
      </c>
      <c r="G33" s="61">
        <f>'25'!G108</f>
        <v>106.02552941176472</v>
      </c>
      <c r="H33" s="61">
        <f>'25'!H108</f>
        <v>43.391411764705879</v>
      </c>
      <c r="I33" s="61">
        <f>'25'!I108</f>
        <v>0.95302083333333332</v>
      </c>
      <c r="J33" s="61">
        <f>'25'!J108</f>
        <v>0.233125</v>
      </c>
      <c r="K33" s="61">
        <f>'25'!K108</f>
        <v>171.895625</v>
      </c>
      <c r="L33" s="61">
        <f>'25'!L108</f>
        <v>24.16843750000001</v>
      </c>
      <c r="M33" s="61">
        <f>'25'!M108</f>
        <v>56.177083333333336</v>
      </c>
      <c r="N33" s="61">
        <f>'25'!N108</f>
        <v>148.65208333333331</v>
      </c>
      <c r="O33" s="61">
        <f>'25'!O108</f>
        <v>0</v>
      </c>
      <c r="P33" s="202">
        <f>'25'!P108</f>
        <v>1.8486458333333331</v>
      </c>
      <c r="Q33" s="61">
        <f>'25'!Q108</f>
        <v>38.888541666666647</v>
      </c>
      <c r="R33" s="118"/>
      <c r="S33" s="207"/>
      <c r="T33" s="118"/>
      <c r="U33" s="118"/>
    </row>
    <row r="34" spans="1:21" x14ac:dyDescent="0.25">
      <c r="A34" s="94" t="str">
        <f>'26'!$B$2</f>
        <v>26/07/2024 00:15</v>
      </c>
      <c r="B34" s="61">
        <f>'26'!B108</f>
        <v>52.681875000000012</v>
      </c>
      <c r="C34" s="61">
        <f>'26'!C108</f>
        <v>82.938020833333326</v>
      </c>
      <c r="D34" s="61">
        <f>'26'!D108</f>
        <v>88.434062500000024</v>
      </c>
      <c r="E34" s="61">
        <f>'26'!E108</f>
        <v>4.0243749999999991</v>
      </c>
      <c r="F34" s="61">
        <f>'26'!F108</f>
        <v>1.657384615384615</v>
      </c>
      <c r="G34" s="61">
        <f>'26'!G108</f>
        <v>90.564130434782584</v>
      </c>
      <c r="H34" s="61">
        <f>'26'!H108</f>
        <v>41.493437500000006</v>
      </c>
      <c r="I34" s="61">
        <f>'26'!I108</f>
        <v>0.92843750000000036</v>
      </c>
      <c r="J34" s="61">
        <f>'26'!J108</f>
        <v>0.27621052631578952</v>
      </c>
      <c r="K34" s="61">
        <f>'26'!K108</f>
        <v>184.5753125</v>
      </c>
      <c r="L34" s="61">
        <f>'26'!L108</f>
        <v>23.383958333333336</v>
      </c>
      <c r="M34" s="61">
        <f>'26'!M108</f>
        <v>55.375</v>
      </c>
      <c r="N34" s="61">
        <f>'26'!N108</f>
        <v>154.37500000000009</v>
      </c>
      <c r="O34" s="61">
        <f>'26'!O108</f>
        <v>0</v>
      </c>
      <c r="P34" s="202">
        <f>'26'!P108</f>
        <v>1.6648958333333332</v>
      </c>
      <c r="Q34" s="61">
        <f>'26'!Q108</f>
        <v>44.870833333333337</v>
      </c>
      <c r="R34" s="118"/>
      <c r="S34" s="118"/>
      <c r="T34" s="118"/>
      <c r="U34" s="118"/>
    </row>
    <row r="35" spans="1:21" x14ac:dyDescent="0.25">
      <c r="A35" s="94" t="str">
        <f>'27'!$B$2</f>
        <v>28/07/2024 00:15</v>
      </c>
      <c r="B35" s="61">
        <f>'27'!B108</f>
        <v>8.1584375000000033</v>
      </c>
      <c r="C35" s="61">
        <f>'27'!C108</f>
        <v>87.886041666666642</v>
      </c>
      <c r="D35" s="61">
        <f>'27'!D108</f>
        <v>55.043958333333329</v>
      </c>
      <c r="E35" s="61">
        <f>'27'!E108</f>
        <v>4.2082291666666656</v>
      </c>
      <c r="F35" s="61">
        <f>'27'!F108</f>
        <v>1.226629213483146</v>
      </c>
      <c r="G35" s="61">
        <f>'27'!G108</f>
        <v>94.153777777777734</v>
      </c>
      <c r="H35" s="61">
        <f>'27'!H108</f>
        <v>47.862812500000011</v>
      </c>
      <c r="I35" s="61">
        <f>'27'!I108</f>
        <v>0.31885416666666666</v>
      </c>
      <c r="J35" s="61">
        <f>'27'!J108</f>
        <v>0.50552083333333331</v>
      </c>
      <c r="K35" s="61">
        <f>'27'!K108</f>
        <v>83.624374999999986</v>
      </c>
      <c r="L35" s="61">
        <f>'27'!L108</f>
        <v>21.626770833333328</v>
      </c>
      <c r="M35" s="61">
        <f>'27'!M108</f>
        <v>64.166666666666671</v>
      </c>
      <c r="N35" s="61">
        <f>'27'!N108</f>
        <v>86.987500000000026</v>
      </c>
      <c r="O35" s="61">
        <f>'27'!O108</f>
        <v>0</v>
      </c>
      <c r="P35" s="202">
        <f>'27'!P108</f>
        <v>1.4207291666666659</v>
      </c>
      <c r="Q35" s="61">
        <f>'27'!Q108</f>
        <v>34.529374999999987</v>
      </c>
      <c r="R35" s="118"/>
      <c r="S35" s="118"/>
      <c r="T35" s="118"/>
      <c r="U35" s="118"/>
    </row>
    <row r="36" spans="1:21" x14ac:dyDescent="0.25">
      <c r="A36" s="94" t="str">
        <f>'28'!$B$2</f>
        <v>27/07/2024 00:15</v>
      </c>
      <c r="B36" s="61">
        <f>'28'!B108</f>
        <v>10.805833333333327</v>
      </c>
      <c r="C36" s="61">
        <f>'28'!C108</f>
        <v>88.711458333333312</v>
      </c>
      <c r="D36" s="61">
        <f>'28'!D108</f>
        <v>57.623333333333328</v>
      </c>
      <c r="E36" s="61">
        <f>'28'!E108</f>
        <v>5.1968749999999995</v>
      </c>
      <c r="F36" s="61">
        <f>'28'!F108</f>
        <v>1.2671578947368423</v>
      </c>
      <c r="G36" s="61">
        <f>'28'!G108</f>
        <v>56.108437500000058</v>
      </c>
      <c r="H36" s="61">
        <f>'28'!H108</f>
        <v>28.14041666666667</v>
      </c>
      <c r="I36" s="61">
        <f>'28'!I108</f>
        <v>0.28927083333333331</v>
      </c>
      <c r="J36" s="61">
        <f>'28'!J108</f>
        <v>0.6338541666666665</v>
      </c>
      <c r="K36" s="61">
        <f>'28'!K108</f>
        <v>46.040833333333346</v>
      </c>
      <c r="L36" s="61">
        <f>'28'!L108</f>
        <v>22.39885416666667</v>
      </c>
      <c r="M36" s="61">
        <f>'28'!M108</f>
        <v>43.302083333333336</v>
      </c>
      <c r="N36" s="61">
        <f>'28'!N108</f>
        <v>110.18749999999994</v>
      </c>
      <c r="O36" s="61">
        <f>'28'!O108</f>
        <v>0</v>
      </c>
      <c r="P36" s="202">
        <f>'28'!P108</f>
        <v>1.1073958333333334</v>
      </c>
      <c r="Q36" s="61">
        <f>'28'!Q108</f>
        <v>32.611875000000012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29/07/2024 00:15</v>
      </c>
      <c r="B37" s="61">
        <f>'29'!B108</f>
        <v>13.461145833333328</v>
      </c>
      <c r="C37" s="61">
        <f>'29'!C108</f>
        <v>83.678229166666696</v>
      </c>
      <c r="D37" s="61">
        <f>'29'!D108</f>
        <v>56.974999999999994</v>
      </c>
      <c r="E37" s="61">
        <f>'29'!E108</f>
        <v>8.0091666666666654</v>
      </c>
      <c r="F37" s="61">
        <f>'29'!F108</f>
        <v>16.345591397849464</v>
      </c>
      <c r="G37" s="61">
        <f>'29'!G108</f>
        <v>93.864086021505358</v>
      </c>
      <c r="H37" s="61">
        <f>'29'!H108</f>
        <v>57.080215053763467</v>
      </c>
      <c r="I37" s="61">
        <f>'29'!I108</f>
        <v>0.22864583333333352</v>
      </c>
      <c r="J37" s="61">
        <f>'29'!J108</f>
        <v>0.74489583333333342</v>
      </c>
      <c r="K37" s="61">
        <f>'29'!K108</f>
        <v>47.498958333333299</v>
      </c>
      <c r="L37" s="61">
        <f>'29'!L108</f>
        <v>19.991979166666663</v>
      </c>
      <c r="M37" s="61">
        <f>'29'!M108</f>
        <v>72.791666666666671</v>
      </c>
      <c r="N37" s="61">
        <f>'29'!N108</f>
        <v>137.48541666666674</v>
      </c>
      <c r="O37" s="61">
        <f>'29'!O108</f>
        <v>0</v>
      </c>
      <c r="P37" s="202">
        <f>'29'!P108</f>
        <v>0.93648936170212826</v>
      </c>
      <c r="Q37" s="61">
        <f>'29'!Q108</f>
        <v>33.718854166666674</v>
      </c>
      <c r="R37" s="118"/>
      <c r="S37" s="118"/>
      <c r="T37" s="118"/>
      <c r="U37" s="118"/>
    </row>
    <row r="38" spans="1:21" s="54" customFormat="1" x14ac:dyDescent="0.25">
      <c r="A38" s="94" t="str">
        <f>'31'!$B$2</f>
        <v>31/07/2024 00:15</v>
      </c>
      <c r="B38" s="61">
        <f>'30'!B108</f>
        <v>7.0417708333333318</v>
      </c>
      <c r="C38" s="61">
        <f>'30'!C108</f>
        <v>23.414166666666663</v>
      </c>
      <c r="D38" s="61">
        <f>'30'!D108</f>
        <v>17.799687500000005</v>
      </c>
      <c r="E38" s="61">
        <f>'30'!E108</f>
        <v>1.3710416666666667</v>
      </c>
      <c r="F38" s="61">
        <f>'30'!F108</f>
        <v>10.721250000000003</v>
      </c>
      <c r="G38" s="61">
        <f>'30'!G108</f>
        <v>27.426562499999992</v>
      </c>
      <c r="H38" s="61">
        <f>'30'!H108</f>
        <v>7.6473958333333343</v>
      </c>
      <c r="I38" s="61">
        <f>'30'!I108</f>
        <v>3.526875</v>
      </c>
      <c r="J38" s="61">
        <f>'30'!J108</f>
        <v>0.53500000000000014</v>
      </c>
      <c r="K38" s="61">
        <f>'30'!K108</f>
        <v>158.27958333333336</v>
      </c>
      <c r="L38" s="61">
        <f>'30'!L108</f>
        <v>25.638749999999998</v>
      </c>
      <c r="M38" s="61">
        <f>'30'!M108</f>
        <v>67.673541666666679</v>
      </c>
      <c r="N38" s="61">
        <f>'30'!N108</f>
        <v>266.11979166666657</v>
      </c>
      <c r="O38" s="61">
        <f>'30'!O108</f>
        <v>0</v>
      </c>
      <c r="P38" s="202">
        <f>'30'!P108</f>
        <v>0.4685416666666668</v>
      </c>
      <c r="Q38" s="61">
        <f>'30'!Q108</f>
        <v>9.6581250000000001</v>
      </c>
      <c r="R38" s="118"/>
      <c r="S38" s="118"/>
      <c r="T38" s="118"/>
      <c r="U38" s="118"/>
    </row>
    <row r="39" spans="1:21" s="54" customFormat="1" x14ac:dyDescent="0.25">
      <c r="A39" s="94" t="str">
        <f>'30'!$B$2</f>
        <v>30/07/2024 00:15</v>
      </c>
      <c r="B39" s="61">
        <f>'31'!B109</f>
        <v>13.754209431817547</v>
      </c>
      <c r="C39" s="61">
        <f>'31'!C109</f>
        <v>6.2878006912508519</v>
      </c>
      <c r="D39" s="61">
        <f>'31'!D109</f>
        <v>11.755187876277416</v>
      </c>
      <c r="E39" s="61">
        <f>'31'!E109</f>
        <v>0.70051033245569727</v>
      </c>
      <c r="F39" s="61">
        <f>'31'!F109</f>
        <v>3.2079295394108294</v>
      </c>
      <c r="G39" s="61">
        <f>'31'!G109</f>
        <v>16.143590776123347</v>
      </c>
      <c r="H39" s="61">
        <f>'31'!H109</f>
        <v>3.1938473317471545</v>
      </c>
      <c r="I39" s="61">
        <f>'31'!I109</f>
        <v>1.8462703870520309</v>
      </c>
      <c r="J39" s="61">
        <f>'31'!J109</f>
        <v>0.1545136327943207</v>
      </c>
      <c r="K39" s="61">
        <f>'31'!K109</f>
        <v>101.86253649424654</v>
      </c>
      <c r="L39" s="61">
        <f>'31'!L109</f>
        <v>5.9778297380565144</v>
      </c>
      <c r="M39" s="61">
        <f>'31'!M109</f>
        <v>11.087511074679487</v>
      </c>
      <c r="N39" s="61">
        <f>'31'!N109</f>
        <v>323.65180087468974</v>
      </c>
      <c r="O39" s="61">
        <f>'31'!O109</f>
        <v>0</v>
      </c>
      <c r="P39" s="61">
        <f>'31'!P109</f>
        <v>0.29044430574008934</v>
      </c>
      <c r="Q39" s="61">
        <f>'31'!Q109</f>
        <v>0.37561246768071066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7.0417708333333318</v>
      </c>
      <c r="C41" s="16">
        <f t="shared" si="0"/>
        <v>3.1260416666666671</v>
      </c>
      <c r="D41" s="16">
        <f t="shared" si="0"/>
        <v>11.884062500000001</v>
      </c>
      <c r="E41" s="16">
        <f t="shared" si="0"/>
        <v>1.3710416666666667</v>
      </c>
      <c r="F41" s="16">
        <f t="shared" si="0"/>
        <v>1.226629213483146</v>
      </c>
      <c r="G41" s="16">
        <f t="shared" si="0"/>
        <v>3.4013559322033919</v>
      </c>
      <c r="H41" s="16">
        <f t="shared" si="0"/>
        <v>1.8235593220338984</v>
      </c>
      <c r="I41" s="16">
        <f t="shared" si="0"/>
        <v>0.22864583333333352</v>
      </c>
      <c r="J41" s="16">
        <f t="shared" si="0"/>
        <v>0.233125</v>
      </c>
      <c r="K41" s="16">
        <f t="shared" si="0"/>
        <v>46.040833333333346</v>
      </c>
      <c r="L41" s="16">
        <f t="shared" si="0"/>
        <v>19.991979166666663</v>
      </c>
      <c r="M41" s="16">
        <f t="shared" si="0"/>
        <v>43.302083333333336</v>
      </c>
      <c r="N41" s="16">
        <f t="shared" si="0"/>
        <v>72.606250000000074</v>
      </c>
      <c r="O41" s="16">
        <f t="shared" si="0"/>
        <v>0</v>
      </c>
      <c r="P41" s="16">
        <f t="shared" si="0"/>
        <v>0.24271186440677972</v>
      </c>
      <c r="Q41" s="16">
        <f t="shared" si="0"/>
        <v>8.8040625000000006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52.681875000000012</v>
      </c>
      <c r="C42" s="16">
        <f t="shared" si="1"/>
        <v>88.711458333333312</v>
      </c>
      <c r="D42" s="16">
        <f t="shared" si="1"/>
        <v>88.434062500000024</v>
      </c>
      <c r="E42" s="16">
        <f t="shared" si="1"/>
        <v>8.0091666666666654</v>
      </c>
      <c r="F42" s="16">
        <f t="shared" si="1"/>
        <v>16.345591397849464</v>
      </c>
      <c r="G42" s="16">
        <f t="shared" si="1"/>
        <v>106.02552941176472</v>
      </c>
      <c r="H42" s="16">
        <f t="shared" si="1"/>
        <v>57.080215053763467</v>
      </c>
      <c r="I42" s="16">
        <f t="shared" si="1"/>
        <v>7.7212500000000004</v>
      </c>
      <c r="J42" s="16">
        <f t="shared" si="1"/>
        <v>0.81864583333333341</v>
      </c>
      <c r="K42" s="16">
        <f t="shared" si="1"/>
        <v>263.33916666666676</v>
      </c>
      <c r="L42" s="16">
        <f t="shared" si="1"/>
        <v>27.707291666666688</v>
      </c>
      <c r="M42" s="16">
        <f t="shared" si="1"/>
        <v>99.118305084745771</v>
      </c>
      <c r="N42" s="16">
        <f t="shared" si="1"/>
        <v>291.37499999999994</v>
      </c>
      <c r="O42" s="16">
        <f t="shared" si="1"/>
        <v>0.51875000000000004</v>
      </c>
      <c r="P42" s="16">
        <f t="shared" si="1"/>
        <v>1.8486458333333331</v>
      </c>
      <c r="Q42" s="16">
        <f t="shared" si="1"/>
        <v>44.870833333333337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11.305940913370998</v>
      </c>
      <c r="C43" s="16">
        <f t="shared" si="2"/>
        <v>17.406531603107346</v>
      </c>
      <c r="D43" s="16">
        <f t="shared" si="2"/>
        <v>21.618282897834277</v>
      </c>
      <c r="E43" s="16">
        <f t="shared" si="2"/>
        <v>4.3053985404896427</v>
      </c>
      <c r="F43" s="16">
        <f t="shared" si="2"/>
        <v>4.5211800630880159</v>
      </c>
      <c r="G43" s="16">
        <f t="shared" si="2"/>
        <v>40.204477152438209</v>
      </c>
      <c r="H43" s="16">
        <f t="shared" si="2"/>
        <v>15.701250950528998</v>
      </c>
      <c r="I43" s="16">
        <f t="shared" si="2"/>
        <v>3.148701918549905</v>
      </c>
      <c r="J43" s="16">
        <f t="shared" si="2"/>
        <v>0.53790669974724947</v>
      </c>
      <c r="K43" s="16">
        <f t="shared" si="2"/>
        <v>183.00388288606402</v>
      </c>
      <c r="L43" s="16">
        <f t="shared" si="2"/>
        <v>24.628286075800371</v>
      </c>
      <c r="M43" s="16">
        <f t="shared" si="2"/>
        <v>84.412523363935961</v>
      </c>
      <c r="N43" s="16">
        <f t="shared" si="2"/>
        <v>159.5866613700565</v>
      </c>
      <c r="O43" s="16">
        <f t="shared" si="2"/>
        <v>7.7947269303201505E-2</v>
      </c>
      <c r="P43" s="16">
        <f t="shared" si="2"/>
        <v>0.59598897906122661</v>
      </c>
      <c r="Q43" s="16">
        <f t="shared" si="2"/>
        <v>14.090910773426842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10.820805410922238</v>
      </c>
      <c r="C44" s="16">
        <f t="shared" si="3"/>
        <v>30.673700994687213</v>
      </c>
      <c r="D44" s="16">
        <f t="shared" si="3"/>
        <v>22.035435733034944</v>
      </c>
      <c r="E44" s="16">
        <f t="shared" si="3"/>
        <v>0.92931887997342699</v>
      </c>
      <c r="F44" s="16">
        <f t="shared" si="3"/>
        <v>2.801497626692671</v>
      </c>
      <c r="G44" s="16">
        <f t="shared" si="3"/>
        <v>25.409216692651736</v>
      </c>
      <c r="H44" s="16">
        <f t="shared" si="3"/>
        <v>14.121748942313252</v>
      </c>
      <c r="I44" s="16">
        <f t="shared" si="3"/>
        <v>2.0333958258362403</v>
      </c>
      <c r="J44" s="16">
        <f t="shared" si="3"/>
        <v>0.13782087916711494</v>
      </c>
      <c r="K44" s="16">
        <f t="shared" si="3"/>
        <v>62.921860451008655</v>
      </c>
      <c r="L44" s="16">
        <f t="shared" si="3"/>
        <v>1.7017604617431599</v>
      </c>
      <c r="M44" s="16">
        <f t="shared" si="3"/>
        <v>14.03786116067411</v>
      </c>
      <c r="N44" s="16">
        <f t="shared" si="3"/>
        <v>62.956646061547744</v>
      </c>
      <c r="O44" s="16">
        <f t="shared" si="3"/>
        <v>0.13219085724729082</v>
      </c>
      <c r="P44" s="16">
        <f t="shared" si="3"/>
        <v>0.4061596409155489</v>
      </c>
      <c r="Q44" s="16">
        <f t="shared" si="3"/>
        <v>10.777957196252389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6">
        <f>COUNT(P9:P39)+1</f>
        <v>31</v>
      </c>
      <c r="Q45" s="16">
        <f>COUNT(Q9:Q39)+1</f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133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H69" sqref="H69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3" t="s">
        <v>2468</v>
      </c>
      <c r="E1" s="223"/>
      <c r="F1" s="223"/>
      <c r="G1" s="223"/>
      <c r="H1" s="223"/>
      <c r="I1" s="223"/>
      <c r="J1" s="224"/>
    </row>
    <row r="2" spans="2:24" ht="22.5" customHeight="1" thickBot="1" x14ac:dyDescent="0.3">
      <c r="B2" s="54"/>
      <c r="C2" s="111" t="s">
        <v>0</v>
      </c>
      <c r="D2" s="112" t="s">
        <v>3239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7" t="s">
        <v>1</v>
      </c>
      <c r="H5" s="227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45476.472916666666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197.98</v>
      </c>
      <c r="I8" s="60">
        <v>0</v>
      </c>
      <c r="J8" s="61">
        <f>F8/H8</f>
        <v>1.0102030508132136</v>
      </c>
      <c r="K8" s="61">
        <f>(H8-F8)*100/F8</f>
        <v>-1.0100000000000051</v>
      </c>
      <c r="L8" s="60" t="s">
        <v>67</v>
      </c>
      <c r="M8" s="78" t="s">
        <v>217</v>
      </c>
      <c r="O8" s="63">
        <v>45507.5</v>
      </c>
      <c r="P8" s="64" t="s">
        <v>70</v>
      </c>
      <c r="Q8" s="64">
        <v>5094.75</v>
      </c>
      <c r="R8" s="64">
        <v>3919.01</v>
      </c>
      <c r="S8" s="77" t="s">
        <v>2450</v>
      </c>
      <c r="T8" s="77">
        <v>837.26</v>
      </c>
      <c r="U8" s="86">
        <v>0.93489999999999995</v>
      </c>
      <c r="V8" s="86">
        <v>0.95</v>
      </c>
      <c r="W8" s="60" t="s">
        <v>67</v>
      </c>
      <c r="X8" s="78" t="s">
        <v>217</v>
      </c>
    </row>
    <row r="9" spans="2:24" ht="15.75" x14ac:dyDescent="0.25">
      <c r="B9" s="63">
        <v>45485.482638888891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199.85</v>
      </c>
      <c r="I9" s="60">
        <v>0</v>
      </c>
      <c r="J9" s="61">
        <f t="shared" ref="J9:J14" si="0">F9/H9</f>
        <v>1.0007505629221918</v>
      </c>
      <c r="K9" s="61">
        <f t="shared" ref="K9:K14" si="1">(H9-F9)*100/F9</f>
        <v>-7.5000000000002842E-2</v>
      </c>
      <c r="L9" s="60" t="s">
        <v>67</v>
      </c>
      <c r="M9" s="62" t="s">
        <v>217</v>
      </c>
      <c r="O9" s="63">
        <v>45516.611805555556</v>
      </c>
      <c r="P9" s="64" t="s">
        <v>70</v>
      </c>
      <c r="Q9" s="64">
        <v>5111.46</v>
      </c>
      <c r="R9" s="64">
        <v>3956.35</v>
      </c>
      <c r="S9" s="77" t="s">
        <v>2450</v>
      </c>
      <c r="T9" s="77">
        <v>841.34</v>
      </c>
      <c r="U9" s="86">
        <v>0.95</v>
      </c>
      <c r="V9" s="86">
        <v>0.94579999999999997</v>
      </c>
      <c r="W9" s="60" t="s">
        <v>67</v>
      </c>
      <c r="X9" s="62" t="s">
        <v>217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217</v>
      </c>
      <c r="O10" s="63"/>
      <c r="P10" s="64" t="s">
        <v>70</v>
      </c>
      <c r="Q10" s="64"/>
      <c r="R10" s="64"/>
      <c r="S10" s="77" t="s">
        <v>2450</v>
      </c>
      <c r="T10" s="77"/>
      <c r="U10" s="86"/>
      <c r="V10" s="86"/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/>
      <c r="P11" s="64" t="s">
        <v>70</v>
      </c>
      <c r="Q11" s="64"/>
      <c r="R11" s="64"/>
      <c r="S11" s="77" t="s">
        <v>2450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2450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6" t="s">
        <v>25</v>
      </c>
      <c r="D21" s="226"/>
      <c r="E21" s="226"/>
      <c r="F21" s="226"/>
      <c r="G21" s="226"/>
      <c r="H21" s="226"/>
      <c r="I21" s="45">
        <f>COUNT(B8:B20)</f>
        <v>2</v>
      </c>
      <c r="J21" s="46"/>
      <c r="K21" s="46"/>
      <c r="L21" s="47"/>
      <c r="M21" s="48"/>
      <c r="O21" s="80"/>
      <c r="P21" s="228" t="s">
        <v>84</v>
      </c>
      <c r="Q21" s="228"/>
      <c r="R21" s="228"/>
      <c r="S21" s="228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5" t="s">
        <v>2</v>
      </c>
      <c r="H24" s="225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45476.509027777778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203.24</v>
      </c>
      <c r="I27" s="60">
        <v>0</v>
      </c>
      <c r="J27" s="61">
        <f>F27/H27</f>
        <v>0.98405825624876986</v>
      </c>
      <c r="K27" s="61">
        <f>(H27-F27)*100/F27</f>
        <v>1.6200000000000045</v>
      </c>
      <c r="L27" s="60" t="s">
        <v>67</v>
      </c>
      <c r="M27" s="78" t="s">
        <v>217</v>
      </c>
      <c r="O27" s="63">
        <v>45507.5</v>
      </c>
      <c r="P27" s="64" t="s">
        <v>71</v>
      </c>
      <c r="Q27" s="64">
        <v>4951.96</v>
      </c>
      <c r="R27" s="64">
        <v>3900.55</v>
      </c>
      <c r="S27" s="77" t="s">
        <v>2451</v>
      </c>
      <c r="T27" s="77">
        <v>800.88</v>
      </c>
      <c r="U27" s="86">
        <v>0.99790000000000001</v>
      </c>
      <c r="V27" s="86">
        <v>1.0043</v>
      </c>
      <c r="W27" s="60" t="s">
        <v>67</v>
      </c>
      <c r="X27" s="78" t="s">
        <v>217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62" t="s">
        <v>223</v>
      </c>
      <c r="O28" s="63">
        <v>45516.611805555556</v>
      </c>
      <c r="P28" s="64" t="s">
        <v>71</v>
      </c>
      <c r="Q28" s="64">
        <v>4413.3100000000004</v>
      </c>
      <c r="R28" s="64">
        <v>3340.92</v>
      </c>
      <c r="S28" s="77" t="s">
        <v>2451</v>
      </c>
      <c r="T28" s="77">
        <v>829.09</v>
      </c>
      <c r="U28" s="86">
        <v>0.89229999999999998</v>
      </c>
      <c r="V28" s="86">
        <v>0.89870000000000005</v>
      </c>
      <c r="W28" s="60" t="s">
        <v>67</v>
      </c>
      <c r="X28" s="62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/>
      <c r="P29" s="64" t="s">
        <v>71</v>
      </c>
      <c r="Q29" s="64"/>
      <c r="R29" s="64"/>
      <c r="S29" s="77" t="s">
        <v>2451</v>
      </c>
      <c r="T29" s="77"/>
      <c r="U29" s="86"/>
      <c r="V29" s="86"/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/>
      <c r="P30" s="64" t="s">
        <v>71</v>
      </c>
      <c r="Q30" s="64"/>
      <c r="R30" s="64"/>
      <c r="S30" s="77" t="s">
        <v>2451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8" t="s">
        <v>85</v>
      </c>
      <c r="Q40" s="228"/>
      <c r="R40" s="228"/>
      <c r="S40" s="228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6" t="s">
        <v>26</v>
      </c>
      <c r="E41" s="226"/>
      <c r="F41" s="226"/>
      <c r="G41" s="226"/>
      <c r="H41" s="226"/>
      <c r="I41" s="226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5" t="s">
        <v>23</v>
      </c>
      <c r="H44" s="225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6" t="s">
        <v>27</v>
      </c>
      <c r="E61" s="226"/>
      <c r="F61" s="226"/>
      <c r="G61" s="226"/>
      <c r="H61" s="226"/>
      <c r="I61" s="226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5" t="s">
        <v>3</v>
      </c>
      <c r="H64" s="225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45476.537499999999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223</v>
      </c>
    </row>
    <row r="68" spans="2:13" ht="15.75" x14ac:dyDescent="0.25">
      <c r="B68" s="63">
        <v>45485.551388888889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4.9800000000000004</v>
      </c>
      <c r="I68" s="60">
        <v>0</v>
      </c>
      <c r="J68" s="61">
        <f t="shared" ref="J68:J73" si="4">F68/H68</f>
        <v>1.0040160642570279</v>
      </c>
      <c r="K68" s="61">
        <f t="shared" ref="K68:K73" si="5">(H68-F68)*100/F68</f>
        <v>-0.39999999999999147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6" t="s">
        <v>28</v>
      </c>
      <c r="E81" s="226"/>
      <c r="F81" s="226"/>
      <c r="G81" s="226"/>
      <c r="H81" s="226"/>
      <c r="I81" s="226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5" t="s">
        <v>24</v>
      </c>
      <c r="H84" s="225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6" t="s">
        <v>29</v>
      </c>
      <c r="E101" s="226"/>
      <c r="F101" s="226"/>
      <c r="G101" s="226"/>
      <c r="H101" s="226"/>
      <c r="I101" s="226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7" t="s">
        <v>4</v>
      </c>
      <c r="H104" s="227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6" t="s">
        <v>69</v>
      </c>
      <c r="D119" s="226"/>
      <c r="E119" s="226"/>
      <c r="F119" s="226"/>
      <c r="G119" s="226"/>
      <c r="H119" s="226"/>
      <c r="I119" s="52">
        <f>COUNT(B107:B118)</f>
        <v>0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9" t="s">
        <v>2469</v>
      </c>
      <c r="C2" s="229"/>
      <c r="D2" s="230">
        <v>45505</v>
      </c>
      <c r="E2" s="230"/>
    </row>
    <row r="3" spans="1:5" x14ac:dyDescent="0.25">
      <c r="B3" s="229" t="s">
        <v>21</v>
      </c>
      <c r="C3" s="229"/>
      <c r="D3" s="230"/>
      <c r="E3" s="230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1" t="s">
        <v>22</v>
      </c>
      <c r="C44" s="231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2" t="s">
        <v>221</v>
      </c>
      <c r="C2" s="232"/>
      <c r="D2" s="232"/>
      <c r="E2" s="232"/>
      <c r="F2" s="233">
        <v>44713</v>
      </c>
      <c r="G2" s="234"/>
      <c r="H2" s="234"/>
    </row>
    <row r="3" spans="2:24" s="12" customFormat="1" ht="15" customHeight="1" x14ac:dyDescent="0.25">
      <c r="B3" s="232"/>
      <c r="C3" s="232"/>
      <c r="D3" s="232"/>
      <c r="E3" s="232"/>
      <c r="F3" s="234"/>
      <c r="G3" s="234"/>
      <c r="H3" s="234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5" t="s">
        <v>4</v>
      </c>
      <c r="C12" s="237" t="s">
        <v>134</v>
      </c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127"/>
      <c r="U12" s="125"/>
    </row>
    <row r="13" spans="2:24" ht="15" customHeight="1" x14ac:dyDescent="0.25">
      <c r="B13" s="236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36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6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36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36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6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9" t="s">
        <v>2</v>
      </c>
      <c r="C25" s="241" t="s">
        <v>134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3"/>
      <c r="S25" s="188"/>
      <c r="T25" s="189"/>
    </row>
    <row r="26" spans="2:28" ht="15" customHeight="1" x14ac:dyDescent="0.3">
      <c r="B26" s="239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9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9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40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7" t="s">
        <v>3</v>
      </c>
      <c r="C36" s="249" t="s">
        <v>134</v>
      </c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50"/>
    </row>
    <row r="37" spans="2:25" ht="15.75" customHeight="1" x14ac:dyDescent="0.25">
      <c r="B37" s="248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8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8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8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1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2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52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2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5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9" t="s">
        <v>185</v>
      </c>
      <c r="C61" s="241" t="s">
        <v>134</v>
      </c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3"/>
      <c r="S61" s="166"/>
      <c r="T61" s="167"/>
    </row>
    <row r="62" spans="2:20" ht="15.75" x14ac:dyDescent="0.3">
      <c r="B62" s="239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53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3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40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9" t="s">
        <v>202</v>
      </c>
      <c r="C69" s="241" t="s">
        <v>134</v>
      </c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3"/>
      <c r="S69" s="166"/>
      <c r="T69" s="167"/>
    </row>
    <row r="70" spans="2:20" ht="15.75" x14ac:dyDescent="0.3">
      <c r="B70" s="239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9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3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40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4" t="s">
        <v>24</v>
      </c>
      <c r="C77" s="243" t="s">
        <v>134</v>
      </c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177"/>
      <c r="S77" s="177"/>
      <c r="T77" s="178"/>
    </row>
    <row r="78" spans="2:20" x14ac:dyDescent="0.25">
      <c r="B78" s="245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45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5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45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45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5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28</vt:lpstr>
      <vt:lpstr>27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2024-09-05T17:00:02Z</dcterms:modified>
</cp:coreProperties>
</file>