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Q45" i="39" l="1"/>
  <c r="P17" i="39"/>
  <c r="P15" i="39"/>
  <c r="N17" i="39"/>
  <c r="O17" i="39"/>
  <c r="O15" i="39"/>
  <c r="N15" i="39"/>
  <c r="Q38" i="42"/>
  <c r="Q40" i="42" s="1"/>
  <c r="P38" i="42"/>
  <c r="P40" i="42" s="1"/>
  <c r="O38" i="42"/>
  <c r="O40" i="42" s="1"/>
  <c r="N38" i="42"/>
  <c r="N39" i="42" s="1"/>
  <c r="M38" i="42"/>
  <c r="M40" i="42" s="1"/>
  <c r="L38" i="42"/>
  <c r="L40" i="42" s="1"/>
  <c r="K38" i="42"/>
  <c r="K39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39" i="42" s="1"/>
  <c r="D38" i="42"/>
  <c r="D40" i="42" s="1"/>
  <c r="C38" i="42"/>
  <c r="C39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L39" i="42" l="1"/>
  <c r="N40" i="42"/>
  <c r="O39" i="42"/>
  <c r="P39" i="42"/>
  <c r="Q39" i="42"/>
  <c r="B39" i="42"/>
  <c r="C40" i="42"/>
  <c r="D39" i="42"/>
  <c r="E40" i="42"/>
  <c r="F39" i="42"/>
  <c r="G39" i="42"/>
  <c r="H39" i="42"/>
  <c r="I39" i="42"/>
  <c r="J39" i="42"/>
  <c r="K40" i="42"/>
  <c r="M39" i="42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B38" i="29"/>
  <c r="Q38" i="18"/>
  <c r="H38" i="16"/>
  <c r="G38" i="16"/>
  <c r="H38" i="17"/>
  <c r="G38" i="17"/>
  <c r="Q38" i="13" l="1"/>
  <c r="Q38" i="12"/>
  <c r="Q38" i="11"/>
  <c r="Q38" i="10"/>
  <c r="H38" i="9"/>
  <c r="G38" i="9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B38" i="2"/>
  <c r="B2" i="20" l="1"/>
  <c r="D37" i="39"/>
  <c r="H33" i="39"/>
  <c r="I32" i="39"/>
  <c r="N31" i="39"/>
  <c r="J31" i="39"/>
  <c r="D31" i="39"/>
  <c r="M30" i="39"/>
  <c r="K30" i="39"/>
  <c r="E30" i="39"/>
  <c r="Q29" i="39"/>
  <c r="M29" i="39"/>
  <c r="L29" i="39"/>
  <c r="I29" i="39"/>
  <c r="A29" i="39"/>
  <c r="Q28" i="39"/>
  <c r="N28" i="39"/>
  <c r="M28" i="39"/>
  <c r="I28" i="39"/>
  <c r="A28" i="39"/>
  <c r="P27" i="39"/>
  <c r="N27" i="39"/>
  <c r="H27" i="39"/>
  <c r="P25" i="39"/>
  <c r="Q24" i="39"/>
  <c r="B24" i="39"/>
  <c r="A24" i="39"/>
  <c r="C23" i="39"/>
  <c r="B23" i="39"/>
  <c r="A23" i="39"/>
  <c r="C22" i="39"/>
  <c r="D21" i="39"/>
  <c r="O20" i="39"/>
  <c r="N20" i="39"/>
  <c r="J20" i="39"/>
  <c r="F20" i="39"/>
  <c r="B20" i="39"/>
  <c r="F19" i="39"/>
  <c r="J18" i="39"/>
  <c r="G18" i="39"/>
  <c r="A18" i="39"/>
  <c r="K17" i="39"/>
  <c r="G17" i="39"/>
  <c r="B17" i="39"/>
  <c r="I16" i="39"/>
  <c r="J15" i="39"/>
  <c r="K14" i="39"/>
  <c r="M13" i="39"/>
  <c r="L13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39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39" i="41" s="1"/>
  <c r="Q37" i="41"/>
  <c r="Q39" i="39" s="1"/>
  <c r="P37" i="41"/>
  <c r="P39" i="39" s="1"/>
  <c r="O37" i="41"/>
  <c r="O39" i="39" s="1"/>
  <c r="N37" i="41"/>
  <c r="N39" i="39" s="1"/>
  <c r="M37" i="41"/>
  <c r="M39" i="39" s="1"/>
  <c r="L37" i="41"/>
  <c r="L39" i="39" s="1"/>
  <c r="K37" i="41"/>
  <c r="K39" i="39" s="1"/>
  <c r="J37" i="41"/>
  <c r="J39" i="39" s="1"/>
  <c r="I37" i="41"/>
  <c r="I39" i="39" s="1"/>
  <c r="H37" i="41"/>
  <c r="H39" i="39" s="1"/>
  <c r="G37" i="41"/>
  <c r="G39" i="39" s="1"/>
  <c r="F37" i="41"/>
  <c r="F39" i="39" s="1"/>
  <c r="E37" i="41"/>
  <c r="E39" i="39" s="1"/>
  <c r="D37" i="41"/>
  <c r="D39" i="39" s="1"/>
  <c r="C37" i="41"/>
  <c r="C39" i="39" s="1"/>
  <c r="B37" i="41"/>
  <c r="B39" i="39" s="1"/>
  <c r="Q36" i="41"/>
  <c r="Q38" i="39" s="1"/>
  <c r="P36" i="41"/>
  <c r="P38" i="39" s="1"/>
  <c r="P45" i="39" s="1"/>
  <c r="O36" i="41"/>
  <c r="O38" i="39" s="1"/>
  <c r="O45" i="39" s="1"/>
  <c r="N36" i="41"/>
  <c r="N38" i="39" s="1"/>
  <c r="N45" i="39" s="1"/>
  <c r="M36" i="41"/>
  <c r="M38" i="39" s="1"/>
  <c r="M45" i="39" s="1"/>
  <c r="L36" i="41"/>
  <c r="L38" i="39" s="1"/>
  <c r="L45" i="39" s="1"/>
  <c r="K36" i="41"/>
  <c r="K38" i="39" s="1"/>
  <c r="K45" i="39" s="1"/>
  <c r="J36" i="41"/>
  <c r="J38" i="39" s="1"/>
  <c r="J45" i="39" s="1"/>
  <c r="I36" i="41"/>
  <c r="I38" i="39" s="1"/>
  <c r="I45" i="39" s="1"/>
  <c r="H36" i="41"/>
  <c r="H38" i="39" s="1"/>
  <c r="H45" i="39" s="1"/>
  <c r="G36" i="41"/>
  <c r="G38" i="39" s="1"/>
  <c r="G45" i="39" s="1"/>
  <c r="F36" i="41"/>
  <c r="F38" i="39" s="1"/>
  <c r="F45" i="39" s="1"/>
  <c r="E36" i="41"/>
  <c r="E38" i="39" s="1"/>
  <c r="E45" i="39" s="1"/>
  <c r="D36" i="41"/>
  <c r="D38" i="39" s="1"/>
  <c r="D45" i="39" s="1"/>
  <c r="C36" i="41"/>
  <c r="C38" i="39" s="1"/>
  <c r="C45" i="39" s="1"/>
  <c r="B36" i="41"/>
  <c r="B38" i="39" s="1"/>
  <c r="B45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39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39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9" i="32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39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M36" i="28"/>
  <c r="M31" i="39" s="1"/>
  <c r="L36" i="28"/>
  <c r="L31" i="39" s="1"/>
  <c r="K36" i="28"/>
  <c r="K31" i="39" s="1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O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39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39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39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39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40" i="18"/>
  <c r="P38" i="18"/>
  <c r="P40" i="18" s="1"/>
  <c r="O38" i="18"/>
  <c r="O40" i="18" s="1"/>
  <c r="N38" i="18"/>
  <c r="N39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39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39" i="17" s="1"/>
  <c r="K38" i="17"/>
  <c r="K40" i="17" s="1"/>
  <c r="J38" i="17"/>
  <c r="J40" i="17" s="1"/>
  <c r="I38" i="17"/>
  <c r="I40" i="17" s="1"/>
  <c r="H39" i="17"/>
  <c r="G40" i="17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P36" i="17"/>
  <c r="P20" i="39" s="1"/>
  <c r="O36" i="17"/>
  <c r="N36" i="17"/>
  <c r="M36" i="17"/>
  <c r="M20" i="39" s="1"/>
  <c r="L36" i="17"/>
  <c r="L20" i="39" s="1"/>
  <c r="K36" i="17"/>
  <c r="K20" i="39" s="1"/>
  <c r="J36" i="17"/>
  <c r="I36" i="17"/>
  <c r="I20" i="39" s="1"/>
  <c r="H36" i="17"/>
  <c r="H20" i="39" s="1"/>
  <c r="G36" i="17"/>
  <c r="G20" i="39" s="1"/>
  <c r="F36" i="17"/>
  <c r="E36" i="17"/>
  <c r="E20" i="39" s="1"/>
  <c r="D36" i="17"/>
  <c r="D20" i="39" s="1"/>
  <c r="C36" i="17"/>
  <c r="C20" i="39" s="1"/>
  <c r="B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K40" i="16"/>
  <c r="K39" i="16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J38" i="16"/>
  <c r="J40" i="16" s="1"/>
  <c r="I38" i="16"/>
  <c r="I40" i="16" s="1"/>
  <c r="H40" i="16"/>
  <c r="G40" i="16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I39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39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Q38" i="14"/>
  <c r="Q40" i="14" s="1"/>
  <c r="P38" i="14"/>
  <c r="P40" i="14" s="1"/>
  <c r="O38" i="14"/>
  <c r="O39" i="14" s="1"/>
  <c r="N38" i="14"/>
  <c r="N40" i="14" s="1"/>
  <c r="M38" i="14"/>
  <c r="M40" i="14" s="1"/>
  <c r="L38" i="14"/>
  <c r="L39" i="14" s="1"/>
  <c r="K38" i="14"/>
  <c r="K40" i="14" s="1"/>
  <c r="J38" i="14"/>
  <c r="J40" i="14" s="1"/>
  <c r="I38" i="14"/>
  <c r="I40" i="14" s="1"/>
  <c r="H38" i="14"/>
  <c r="H39" i="14" s="1"/>
  <c r="G38" i="14"/>
  <c r="G40" i="14" s="1"/>
  <c r="F38" i="14"/>
  <c r="F40" i="14" s="1"/>
  <c r="E38" i="14"/>
  <c r="E39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M17" i="39" s="1"/>
  <c r="L36" i="14"/>
  <c r="L17" i="39" s="1"/>
  <c r="K36" i="14"/>
  <c r="J36" i="14"/>
  <c r="J17" i="39" s="1"/>
  <c r="I36" i="14"/>
  <c r="I17" i="39" s="1"/>
  <c r="H36" i="14"/>
  <c r="H17" i="39" s="1"/>
  <c r="G36" i="14"/>
  <c r="F36" i="14"/>
  <c r="F17" i="39" s="1"/>
  <c r="E36" i="14"/>
  <c r="E17" i="39" s="1"/>
  <c r="D36" i="14"/>
  <c r="D17" i="39" s="1"/>
  <c r="C36" i="14"/>
  <c r="C17" i="39" s="1"/>
  <c r="B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40" i="13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40" i="12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O36" i="12"/>
  <c r="N36" i="12"/>
  <c r="M36" i="12"/>
  <c r="M15" i="39" s="1"/>
  <c r="L36" i="12"/>
  <c r="L15" i="39" s="1"/>
  <c r="K36" i="12"/>
  <c r="K15" i="39" s="1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40" i="1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40" i="10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39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39" i="9" s="1"/>
  <c r="K38" i="9"/>
  <c r="K40" i="9" s="1"/>
  <c r="J38" i="9"/>
  <c r="J39" i="9" s="1"/>
  <c r="I38" i="9"/>
  <c r="I40" i="9" s="1"/>
  <c r="H40" i="9"/>
  <c r="G40" i="9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39" i="8" s="1"/>
  <c r="J38" i="8"/>
  <c r="J39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H39" i="41" l="1"/>
  <c r="I39" i="41"/>
  <c r="K39" i="41"/>
  <c r="L39" i="41"/>
  <c r="M39" i="41"/>
  <c r="J40" i="41"/>
  <c r="N39" i="41"/>
  <c r="O39" i="41"/>
  <c r="P39" i="41"/>
  <c r="A38" i="39"/>
  <c r="A39" i="39"/>
  <c r="Q39" i="41"/>
  <c r="C39" i="41"/>
  <c r="D39" i="41"/>
  <c r="B40" i="41"/>
  <c r="E39" i="41"/>
  <c r="F39" i="41"/>
  <c r="G39" i="41"/>
  <c r="K39" i="40"/>
  <c r="M39" i="40"/>
  <c r="N39" i="40"/>
  <c r="O39" i="40"/>
  <c r="P39" i="40"/>
  <c r="Q39" i="40"/>
  <c r="B39" i="40"/>
  <c r="C39" i="40"/>
  <c r="D39" i="40"/>
  <c r="E39" i="40"/>
  <c r="F39" i="40"/>
  <c r="G39" i="40"/>
  <c r="H39" i="40"/>
  <c r="L40" i="40"/>
  <c r="I39" i="40"/>
  <c r="J39" i="40"/>
  <c r="M39" i="33"/>
  <c r="N39" i="33"/>
  <c r="P39" i="33"/>
  <c r="Q39" i="33"/>
  <c r="B39" i="33"/>
  <c r="C39" i="33"/>
  <c r="D39" i="33"/>
  <c r="O40" i="33"/>
  <c r="E39" i="33"/>
  <c r="F39" i="33"/>
  <c r="H39" i="33"/>
  <c r="G39" i="33"/>
  <c r="I39" i="33"/>
  <c r="J39" i="33"/>
  <c r="K39" i="33"/>
  <c r="L39" i="33"/>
  <c r="O39" i="32"/>
  <c r="P39" i="32"/>
  <c r="B39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Q40" i="31"/>
  <c r="B39" i="31"/>
  <c r="C39" i="31"/>
  <c r="D39" i="31"/>
  <c r="E39" i="31"/>
  <c r="F39" i="31"/>
  <c r="G39" i="31"/>
  <c r="H39" i="31"/>
  <c r="I39" i="31"/>
  <c r="J39" i="31"/>
  <c r="K39" i="31"/>
  <c r="L39" i="31"/>
  <c r="M39" i="31"/>
  <c r="N39" i="31"/>
  <c r="O39" i="31"/>
  <c r="P39" i="31"/>
  <c r="B39" i="30"/>
  <c r="C39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B39" i="29"/>
  <c r="B39" i="28"/>
  <c r="C39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Q39" i="27"/>
  <c r="B39" i="27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P39" i="26"/>
  <c r="Q39" i="26"/>
  <c r="B39" i="26"/>
  <c r="C39" i="26"/>
  <c r="D39" i="26"/>
  <c r="E39" i="26"/>
  <c r="F39" i="26"/>
  <c r="G39" i="26"/>
  <c r="H39" i="26"/>
  <c r="I39" i="26"/>
  <c r="N39" i="26"/>
  <c r="J39" i="26"/>
  <c r="K39" i="26"/>
  <c r="L39" i="26"/>
  <c r="M39" i="26"/>
  <c r="K40" i="25"/>
  <c r="L39" i="25"/>
  <c r="M39" i="25"/>
  <c r="N39" i="25"/>
  <c r="O39" i="25"/>
  <c r="P39" i="25"/>
  <c r="Q39" i="25"/>
  <c r="B39" i="25"/>
  <c r="C39" i="25"/>
  <c r="D39" i="25"/>
  <c r="E39" i="25"/>
  <c r="F39" i="25"/>
  <c r="G39" i="25"/>
  <c r="H39" i="25"/>
  <c r="I39" i="25"/>
  <c r="J39" i="25"/>
  <c r="J39" i="24"/>
  <c r="K39" i="24"/>
  <c r="M39" i="24"/>
  <c r="N39" i="24"/>
  <c r="O39" i="24"/>
  <c r="L39" i="24"/>
  <c r="P39" i="24"/>
  <c r="Q39" i="24"/>
  <c r="B39" i="24"/>
  <c r="C39" i="24"/>
  <c r="D40" i="24"/>
  <c r="E39" i="24"/>
  <c r="F39" i="24"/>
  <c r="G39" i="24"/>
  <c r="H39" i="24"/>
  <c r="I39" i="24"/>
  <c r="L39" i="23"/>
  <c r="M39" i="23"/>
  <c r="N39" i="23"/>
  <c r="O39" i="23"/>
  <c r="P39" i="23"/>
  <c r="C39" i="23"/>
  <c r="Q39" i="23"/>
  <c r="B39" i="23"/>
  <c r="D39" i="23"/>
  <c r="E39" i="23"/>
  <c r="F39" i="23"/>
  <c r="G39" i="23"/>
  <c r="H39" i="23"/>
  <c r="I39" i="23"/>
  <c r="J39" i="23"/>
  <c r="K39" i="23"/>
  <c r="N39" i="22"/>
  <c r="O39" i="22"/>
  <c r="P39" i="22"/>
  <c r="M39" i="22"/>
  <c r="Q39" i="22"/>
  <c r="B39" i="22"/>
  <c r="C39" i="22"/>
  <c r="D39" i="22"/>
  <c r="E39" i="22"/>
  <c r="F39" i="22"/>
  <c r="G39" i="22"/>
  <c r="H39" i="22"/>
  <c r="I39" i="22"/>
  <c r="J39" i="22"/>
  <c r="K39" i="22"/>
  <c r="L39" i="22"/>
  <c r="N39" i="21"/>
  <c r="L40" i="21"/>
  <c r="M39" i="21"/>
  <c r="O39" i="21"/>
  <c r="P39" i="21"/>
  <c r="Q39" i="21"/>
  <c r="B39" i="21"/>
  <c r="C39" i="21"/>
  <c r="D39" i="21"/>
  <c r="E39" i="21"/>
  <c r="F39" i="21"/>
  <c r="G39" i="21"/>
  <c r="H39" i="21"/>
  <c r="I39" i="21"/>
  <c r="J39" i="21"/>
  <c r="K39" i="21"/>
  <c r="L40" i="20"/>
  <c r="M39" i="20"/>
  <c r="N39" i="20"/>
  <c r="K39" i="20"/>
  <c r="O39" i="20"/>
  <c r="P39" i="20"/>
  <c r="Q39" i="20"/>
  <c r="B39" i="20"/>
  <c r="C39" i="20"/>
  <c r="D39" i="20"/>
  <c r="E39" i="20"/>
  <c r="F39" i="20"/>
  <c r="G39" i="20"/>
  <c r="H39" i="20"/>
  <c r="I39" i="20"/>
  <c r="J39" i="20"/>
  <c r="K39" i="19"/>
  <c r="L39" i="19"/>
  <c r="M39" i="19"/>
  <c r="N39" i="19"/>
  <c r="O39" i="19"/>
  <c r="P39" i="19"/>
  <c r="Q39" i="19"/>
  <c r="B39" i="19"/>
  <c r="C39" i="19"/>
  <c r="D39" i="19"/>
  <c r="E39" i="19"/>
  <c r="F39" i="19"/>
  <c r="J40" i="19"/>
  <c r="G39" i="19"/>
  <c r="H39" i="19"/>
  <c r="I39" i="19"/>
  <c r="L39" i="18"/>
  <c r="M39" i="18"/>
  <c r="O39" i="18"/>
  <c r="N40" i="18"/>
  <c r="P39" i="18"/>
  <c r="Q39" i="18"/>
  <c r="B39" i="18"/>
  <c r="C39" i="18"/>
  <c r="D39" i="18"/>
  <c r="E39" i="18"/>
  <c r="G39" i="18"/>
  <c r="H39" i="18"/>
  <c r="I39" i="18"/>
  <c r="F40" i="18"/>
  <c r="J39" i="18"/>
  <c r="K39" i="18"/>
  <c r="H40" i="17"/>
  <c r="J39" i="17"/>
  <c r="K39" i="17"/>
  <c r="L40" i="17"/>
  <c r="M39" i="17"/>
  <c r="N39" i="17"/>
  <c r="O39" i="17"/>
  <c r="P39" i="17"/>
  <c r="Q39" i="17"/>
  <c r="B39" i="17"/>
  <c r="C39" i="17"/>
  <c r="D39" i="17"/>
  <c r="E39" i="17"/>
  <c r="F39" i="17"/>
  <c r="G39" i="17"/>
  <c r="I39" i="17"/>
  <c r="L39" i="16"/>
  <c r="M39" i="16"/>
  <c r="N39" i="16"/>
  <c r="O39" i="16"/>
  <c r="P39" i="16"/>
  <c r="J39" i="16"/>
  <c r="Q39" i="16"/>
  <c r="B39" i="16"/>
  <c r="C39" i="16"/>
  <c r="D39" i="16"/>
  <c r="E39" i="16"/>
  <c r="F39" i="16"/>
  <c r="G39" i="16"/>
  <c r="H39" i="16"/>
  <c r="I39" i="16"/>
  <c r="J39" i="15"/>
  <c r="K39" i="15"/>
  <c r="L40" i="15"/>
  <c r="M39" i="15"/>
  <c r="N39" i="15"/>
  <c r="O39" i="15"/>
  <c r="P39" i="15"/>
  <c r="Q39" i="15"/>
  <c r="B39" i="15"/>
  <c r="C39" i="15"/>
  <c r="D39" i="15"/>
  <c r="E39" i="15"/>
  <c r="F39" i="15"/>
  <c r="G39" i="15"/>
  <c r="H39" i="15"/>
  <c r="E40" i="14"/>
  <c r="F39" i="14"/>
  <c r="G39" i="14"/>
  <c r="H40" i="14"/>
  <c r="I39" i="14"/>
  <c r="J39" i="14"/>
  <c r="K39" i="14"/>
  <c r="L40" i="14"/>
  <c r="M39" i="14"/>
  <c r="N39" i="14"/>
  <c r="P39" i="14"/>
  <c r="Q39" i="14"/>
  <c r="O40" i="14"/>
  <c r="B39" i="14"/>
  <c r="C39" i="14"/>
  <c r="D39" i="14"/>
  <c r="G39" i="13"/>
  <c r="H39" i="13"/>
  <c r="I39" i="13"/>
  <c r="J39" i="13"/>
  <c r="F39" i="13"/>
  <c r="K39" i="13"/>
  <c r="L39" i="13"/>
  <c r="M39" i="13"/>
  <c r="N39" i="13"/>
  <c r="O39" i="13"/>
  <c r="P39" i="13"/>
  <c r="Q39" i="13"/>
  <c r="B39" i="13"/>
  <c r="C39" i="13"/>
  <c r="D39" i="13"/>
  <c r="E39" i="13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B39" i="12"/>
  <c r="C39" i="12"/>
  <c r="F39" i="11"/>
  <c r="G39" i="11"/>
  <c r="H39" i="11"/>
  <c r="I39" i="11"/>
  <c r="J39" i="11"/>
  <c r="K39" i="11"/>
  <c r="L39" i="11"/>
  <c r="E39" i="11"/>
  <c r="M39" i="11"/>
  <c r="N39" i="11"/>
  <c r="O39" i="11"/>
  <c r="P39" i="11"/>
  <c r="Q39" i="11"/>
  <c r="B39" i="11"/>
  <c r="C39" i="11"/>
  <c r="D39" i="11"/>
  <c r="G39" i="10"/>
  <c r="F40" i="10"/>
  <c r="H39" i="10"/>
  <c r="I39" i="10"/>
  <c r="J39" i="10"/>
  <c r="K39" i="10"/>
  <c r="E39" i="10"/>
  <c r="L39" i="10"/>
  <c r="M39" i="10"/>
  <c r="N39" i="10"/>
  <c r="O39" i="10"/>
  <c r="P39" i="10"/>
  <c r="Q39" i="10"/>
  <c r="B39" i="10"/>
  <c r="C39" i="10"/>
  <c r="D39" i="10"/>
  <c r="J40" i="8"/>
  <c r="J40" i="9"/>
  <c r="K39" i="9"/>
  <c r="M39" i="9"/>
  <c r="N39" i="9"/>
  <c r="O39" i="9"/>
  <c r="P39" i="9"/>
  <c r="Q39" i="9"/>
  <c r="B39" i="9"/>
  <c r="C39" i="9"/>
  <c r="D39" i="9"/>
  <c r="E39" i="9"/>
  <c r="L40" i="9"/>
  <c r="F39" i="9"/>
  <c r="G39" i="9"/>
  <c r="H39" i="9"/>
  <c r="I39" i="9"/>
  <c r="L39" i="8"/>
  <c r="M39" i="8"/>
  <c r="N39" i="8"/>
  <c r="K40" i="8"/>
  <c r="O39" i="8"/>
  <c r="P39" i="8"/>
  <c r="Q39" i="8"/>
  <c r="B39" i="8"/>
  <c r="C39" i="8"/>
  <c r="D39" i="8"/>
  <c r="E39" i="8"/>
  <c r="F39" i="8"/>
  <c r="G39" i="8"/>
  <c r="H39" i="8"/>
  <c r="I39" i="8"/>
  <c r="L39" i="3"/>
  <c r="K40" i="3"/>
  <c r="M39" i="3"/>
  <c r="N39" i="3"/>
  <c r="O39" i="3"/>
  <c r="P39" i="3"/>
  <c r="Q39" i="3"/>
  <c r="B39" i="3"/>
  <c r="C39" i="3"/>
  <c r="D39" i="3"/>
  <c r="E39" i="3"/>
  <c r="F39" i="3"/>
  <c r="G39" i="3"/>
  <c r="H39" i="3"/>
  <c r="I39" i="3"/>
  <c r="J39" i="3"/>
  <c r="J44" i="39"/>
  <c r="J43" i="39"/>
  <c r="J42" i="39"/>
  <c r="J41" i="39"/>
  <c r="K44" i="39"/>
  <c r="K43" i="39"/>
  <c r="K42" i="39"/>
  <c r="K41" i="39"/>
  <c r="L44" i="39"/>
  <c r="L43" i="39"/>
  <c r="L42" i="39"/>
  <c r="L41" i="39"/>
  <c r="M44" i="39"/>
  <c r="M43" i="39"/>
  <c r="M42" i="39"/>
  <c r="M41" i="39"/>
  <c r="N44" i="39"/>
  <c r="N43" i="39"/>
  <c r="N42" i="39"/>
  <c r="N41" i="39"/>
  <c r="O44" i="39"/>
  <c r="O43" i="39"/>
  <c r="O42" i="39"/>
  <c r="O41" i="39"/>
  <c r="P44" i="39"/>
  <c r="P43" i="39"/>
  <c r="P42" i="39"/>
  <c r="P41" i="39"/>
  <c r="Q44" i="39"/>
  <c r="Q43" i="39"/>
  <c r="Q42" i="39"/>
  <c r="Q41" i="39"/>
  <c r="C44" i="39"/>
  <c r="C43" i="39"/>
  <c r="C42" i="39"/>
  <c r="C41" i="39"/>
  <c r="B44" i="39"/>
  <c r="B43" i="39"/>
  <c r="B42" i="39"/>
  <c r="B41" i="39"/>
  <c r="D44" i="39"/>
  <c r="D43" i="39"/>
  <c r="D42" i="39"/>
  <c r="D41" i="39"/>
  <c r="E44" i="39"/>
  <c r="E43" i="39"/>
  <c r="E42" i="39"/>
  <c r="E41" i="39"/>
  <c r="F44" i="39"/>
  <c r="F43" i="39"/>
  <c r="F42" i="39"/>
  <c r="F41" i="39"/>
  <c r="G44" i="39"/>
  <c r="G43" i="39"/>
  <c r="G42" i="39"/>
  <c r="G41" i="39"/>
  <c r="H44" i="39"/>
  <c r="H43" i="39"/>
  <c r="H42" i="39"/>
  <c r="H41" i="39"/>
  <c r="I44" i="39"/>
  <c r="I43" i="39"/>
  <c r="I42" i="39"/>
  <c r="I41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G47" i="39" l="1"/>
  <c r="G46" i="39"/>
  <c r="J47" i="39"/>
  <c r="J46" i="39"/>
  <c r="M47" i="39"/>
  <c r="M46" i="39"/>
  <c r="P47" i="39"/>
  <c r="P46" i="39"/>
  <c r="F47" i="39"/>
  <c r="F46" i="39"/>
  <c r="I47" i="39"/>
  <c r="I46" i="39"/>
  <c r="B47" i="39"/>
  <c r="B46" i="39"/>
  <c r="L47" i="39"/>
  <c r="L46" i="39"/>
  <c r="O47" i="39"/>
  <c r="O46" i="39"/>
  <c r="C47" i="39"/>
  <c r="C46" i="39"/>
  <c r="E47" i="39"/>
  <c r="E46" i="39"/>
  <c r="H47" i="39"/>
  <c r="H46" i="39"/>
  <c r="K47" i="39"/>
  <c r="K46" i="39"/>
  <c r="Q47" i="39"/>
  <c r="Q46" i="39"/>
  <c r="N47" i="39"/>
  <c r="N46" i="39"/>
  <c r="D47" i="39"/>
  <c r="D46" i="39"/>
</calcChain>
</file>

<file path=xl/sharedStrings.xml><?xml version="1.0" encoding="utf-8"?>
<sst xmlns="http://schemas.openxmlformats.org/spreadsheetml/2006/main" count="3264" uniqueCount="821">
  <si>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</si>
  <si>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</si>
  <si>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</si>
  <si>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</si>
  <si>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</si>
  <si>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</si>
  <si>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</si>
  <si>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</si>
  <si>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</si>
  <si>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</si>
  <si>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</si>
  <si>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</si>
  <si>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</si>
  <si>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</si>
  <si>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</si>
  <si>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</si>
  <si>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</si>
  <si>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</si>
  <si>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</si>
  <si>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</si>
  <si>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</si>
  <si>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</si>
  <si>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</si>
  <si>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</si>
  <si>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</si>
  <si>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</si>
  <si>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</si>
  <si>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</si>
  <si>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</si>
  <si>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</si>
  <si>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</si>
  <si>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</si>
  <si>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</si>
  <si>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</si>
  <si>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</si>
  <si>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</si>
  <si>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</si>
  <si>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</si>
  <si>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</si>
  <si>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</si>
  <si>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</si>
  <si>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</si>
  <si>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</si>
  <si>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</si>
  <si>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</si>
  <si>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</si>
  <si>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</si>
  <si>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</si>
  <si>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</si>
  <si>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</si>
  <si>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</si>
  <si>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</si>
  <si>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</si>
  <si>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</si>
  <si>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</si>
  <si>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</si>
  <si>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</si>
  <si>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</si>
  <si>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</si>
  <si>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</si>
  <si>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01/07/2024 01:00</t>
  </si>
  <si>
    <t>01/07/2024 02:00</t>
  </si>
  <si>
    <t>01/07/2024 03:00</t>
  </si>
  <si>
    <t>01/07/2024 04:00</t>
  </si>
  <si>
    <t>01/07/2024 05:00</t>
  </si>
  <si>
    <t>01/07/2024 06:00</t>
  </si>
  <si>
    <t>01/07/2024 07:00</t>
  </si>
  <si>
    <t>01/07/2024 08:00</t>
  </si>
  <si>
    <t>01/07/2024 09:00</t>
  </si>
  <si>
    <t>01/07/2024 10:00</t>
  </si>
  <si>
    <t>01/07/2024 11:00</t>
  </si>
  <si>
    <t>01/07/2024 12:00</t>
  </si>
  <si>
    <t>01/07/2024 13:00</t>
  </si>
  <si>
    <t>01/07/2024 14:00</t>
  </si>
  <si>
    <t>01/07/2024 15:00</t>
  </si>
  <si>
    <t>01/07/2024 16:00</t>
  </si>
  <si>
    <t>01/07/2024 17:00</t>
  </si>
  <si>
    <t>01/07/2024 18:00</t>
  </si>
  <si>
    <t>01/07/2024 19:00</t>
  </si>
  <si>
    <t>01/07/2024 20:00</t>
  </si>
  <si>
    <t>01/07/2024 21:00</t>
  </si>
  <si>
    <t>01/07/2024 22:00</t>
  </si>
  <si>
    <t>01/07/2024 23:00</t>
  </si>
  <si>
    <t>01/07/2024 24:00</t>
  </si>
  <si>
    <t>01/07/2024</t>
  </si>
  <si>
    <t>NO</t>
  </si>
  <si>
    <t>NO2</t>
  </si>
  <si>
    <t>NOx</t>
  </si>
  <si>
    <t>SO2</t>
  </si>
  <si>
    <t>Ozone</t>
  </si>
  <si>
    <t>PM10</t>
  </si>
  <si>
    <t>PM2.5</t>
  </si>
  <si>
    <t>Benzene</t>
  </si>
  <si>
    <t>WS</t>
  </si>
  <si>
    <t>WD</t>
  </si>
  <si>
    <t>AT</t>
  </si>
  <si>
    <t>RH</t>
  </si>
  <si>
    <t>SR</t>
  </si>
  <si>
    <t>RF</t>
  </si>
  <si>
    <t>CO</t>
  </si>
  <si>
    <t>NH3</t>
  </si>
  <si>
    <t>02/07/2024 01:00</t>
  </si>
  <si>
    <t>02/07/2024 02:00</t>
  </si>
  <si>
    <t>02/07/2024 03:00</t>
  </si>
  <si>
    <t>02/07/2024 04:00</t>
  </si>
  <si>
    <t>02/07/2024 05:00</t>
  </si>
  <si>
    <t>02/07/2024 06:00</t>
  </si>
  <si>
    <t>02/07/2024 07:00</t>
  </si>
  <si>
    <t>02/07/2024 08:00</t>
  </si>
  <si>
    <t>02/07/2024 09:00</t>
  </si>
  <si>
    <t>02/07/2024 10:00</t>
  </si>
  <si>
    <t>02/07/2024 11:00</t>
  </si>
  <si>
    <t>02/07/2024 12:00</t>
  </si>
  <si>
    <t>02/07/2024 13:00</t>
  </si>
  <si>
    <t>02/07/2024 14:00</t>
  </si>
  <si>
    <t>02/07/2024 15:00</t>
  </si>
  <si>
    <t>02/07/2024 16:00</t>
  </si>
  <si>
    <t>02/07/2024 17:00</t>
  </si>
  <si>
    <t>02/07/2024 18:00</t>
  </si>
  <si>
    <t>02/07/2024 19:00</t>
  </si>
  <si>
    <t>02/07/2024 20:00</t>
  </si>
  <si>
    <t>02/07/2024 21:00</t>
  </si>
  <si>
    <t>02/07/2024 22:00</t>
  </si>
  <si>
    <t>02/07/2024 23:00</t>
  </si>
  <si>
    <t>02/07/2024 24:00</t>
  </si>
  <si>
    <t>03/07/2024 01:00</t>
  </si>
  <si>
    <t>03/07/2024 02:00</t>
  </si>
  <si>
    <t>03/07/2024 03:00</t>
  </si>
  <si>
    <t>03/07/2024 04:00</t>
  </si>
  <si>
    <t>03/07/2024 05:00</t>
  </si>
  <si>
    <t>03/07/2024 06:00</t>
  </si>
  <si>
    <t>03/07/2024 07:00</t>
  </si>
  <si>
    <t>03/07/2024 08:00</t>
  </si>
  <si>
    <t>03/07/2024 09:00</t>
  </si>
  <si>
    <t>03/07/2024 10:00</t>
  </si>
  <si>
    <t>03/07/2024 11:00</t>
  </si>
  <si>
    <t>03/07/2024 12:00</t>
  </si>
  <si>
    <t>03/07/2024 13:00</t>
  </si>
  <si>
    <t>03/07/2024 14:00</t>
  </si>
  <si>
    <t>03/07/2024 15:00</t>
  </si>
  <si>
    <t>03/07/2024 16:00</t>
  </si>
  <si>
    <t>03/07/2024 17:00</t>
  </si>
  <si>
    <t>03/07/2024 18:00</t>
  </si>
  <si>
    <t>03/07/2024 19:00</t>
  </si>
  <si>
    <t>03/07/2024 20:00</t>
  </si>
  <si>
    <t>03/07/2024 21:00</t>
  </si>
  <si>
    <t>03/07/2024 22:00</t>
  </si>
  <si>
    <t>03/07/2024 23:00</t>
  </si>
  <si>
    <t>03/07/2024 24:00</t>
  </si>
  <si>
    <t>04/07/2024 01:00</t>
  </si>
  <si>
    <t>04/07/2024 02:00</t>
  </si>
  <si>
    <t>04/07/2024 03:00</t>
  </si>
  <si>
    <t>04/07/2024 04:00</t>
  </si>
  <si>
    <t>04/07/2024 05:00</t>
  </si>
  <si>
    <t>04/07/2024 06:00</t>
  </si>
  <si>
    <t>04/07/2024 07:00</t>
  </si>
  <si>
    <t>04/07/2024 08:00</t>
  </si>
  <si>
    <t>04/07/2024 09:00</t>
  </si>
  <si>
    <t>04/07/2024 10:00</t>
  </si>
  <si>
    <t>04/07/2024 11:00</t>
  </si>
  <si>
    <t>04/07/2024 12:00</t>
  </si>
  <si>
    <t>04/07/2024 13:00</t>
  </si>
  <si>
    <t>04/07/2024 14:00</t>
  </si>
  <si>
    <t>04/07/2024 15:00</t>
  </si>
  <si>
    <t>04/07/2024 16:00</t>
  </si>
  <si>
    <t>04/07/2024 17:00</t>
  </si>
  <si>
    <t>04/07/2024 18:00</t>
  </si>
  <si>
    <t>04/07/2024 19:00</t>
  </si>
  <si>
    <t>04/07/2024 20:00</t>
  </si>
  <si>
    <t>04/07/2024 21:00</t>
  </si>
  <si>
    <t>04/07/2024 22:00</t>
  </si>
  <si>
    <t>04/07/2024 23:00</t>
  </si>
  <si>
    <t>04/07/2024 24:00</t>
  </si>
  <si>
    <t>05/07/2024 01:00</t>
  </si>
  <si>
    <t>05/07/2024 02:00</t>
  </si>
  <si>
    <t>05/07/2024 03:00</t>
  </si>
  <si>
    <t>05/07/2024 04:00</t>
  </si>
  <si>
    <t>05/07/2024 05:00</t>
  </si>
  <si>
    <t>05/07/2024 06:00</t>
  </si>
  <si>
    <t>05/07/2024 07:00</t>
  </si>
  <si>
    <t>05/07/2024 08:00</t>
  </si>
  <si>
    <t>05/07/2024 09:00</t>
  </si>
  <si>
    <t>05/07/2024 10:00</t>
  </si>
  <si>
    <t>05/07/2024 11:00</t>
  </si>
  <si>
    <t>05/07/2024 12:00</t>
  </si>
  <si>
    <t>05/07/2024 13:00</t>
  </si>
  <si>
    <t>05/07/2024 14:00</t>
  </si>
  <si>
    <t>05/07/2024 15:00</t>
  </si>
  <si>
    <t>05/07/2024 16:00</t>
  </si>
  <si>
    <t>05/07/2024 17:00</t>
  </si>
  <si>
    <t>05/07/2024 18:00</t>
  </si>
  <si>
    <t>05/07/2024 19:00</t>
  </si>
  <si>
    <t>05/07/2024 20:00</t>
  </si>
  <si>
    <t>05/07/2024 21:00</t>
  </si>
  <si>
    <t>05/07/2024 22:00</t>
  </si>
  <si>
    <t>05/07/2024 23:00</t>
  </si>
  <si>
    <t>05/07/2024 24:00</t>
  </si>
  <si>
    <t>06/07/2024 01:00</t>
  </si>
  <si>
    <t>06/07/2024 02:00</t>
  </si>
  <si>
    <t>06/07/2024 03:00</t>
  </si>
  <si>
    <t>06/07/2024 04:00</t>
  </si>
  <si>
    <t>06/07/2024 05:00</t>
  </si>
  <si>
    <t>06/07/2024 06:00</t>
  </si>
  <si>
    <t>06/07/2024 07:00</t>
  </si>
  <si>
    <t>06/07/2024 08:00</t>
  </si>
  <si>
    <t>06/07/2024 09:00</t>
  </si>
  <si>
    <t>06/07/2024 10:00</t>
  </si>
  <si>
    <t>06/07/2024 11:00</t>
  </si>
  <si>
    <t>06/07/2024 12:00</t>
  </si>
  <si>
    <t>06/07/2024 13:00</t>
  </si>
  <si>
    <t>06/07/2024 14:00</t>
  </si>
  <si>
    <t>06/07/2024 15:00</t>
  </si>
  <si>
    <t>06/07/2024 16:00</t>
  </si>
  <si>
    <t>06/07/2024 17:00</t>
  </si>
  <si>
    <t>06/07/2024 18:00</t>
  </si>
  <si>
    <t>06/07/2024 19:00</t>
  </si>
  <si>
    <t>06/07/2024 20:00</t>
  </si>
  <si>
    <t>06/07/2024 21:00</t>
  </si>
  <si>
    <t>06/07/2024 22:00</t>
  </si>
  <si>
    <t>06/07/2024 23:00</t>
  </si>
  <si>
    <t>06/07/2024 24:00</t>
  </si>
  <si>
    <t>07/07/2024 01:00</t>
  </si>
  <si>
    <t>07/07/2024 02:00</t>
  </si>
  <si>
    <t>07/07/2024 03:00</t>
  </si>
  <si>
    <t>07/07/2024 04:00</t>
  </si>
  <si>
    <t>07/07/2024 05:00</t>
  </si>
  <si>
    <t>07/07/2024 06:00</t>
  </si>
  <si>
    <t>07/07/2024 07:00</t>
  </si>
  <si>
    <t>07/07/2024 08:00</t>
  </si>
  <si>
    <t>07/07/2024 09:00</t>
  </si>
  <si>
    <t>07/07/2024 10:00</t>
  </si>
  <si>
    <t>07/07/2024 11:00</t>
  </si>
  <si>
    <t>07/07/2024 12:00</t>
  </si>
  <si>
    <t>07/07/2024 13:00</t>
  </si>
  <si>
    <t>07/07/2024 14:00</t>
  </si>
  <si>
    <t>07/07/2024 15:00</t>
  </si>
  <si>
    <t>07/07/2024 16:00</t>
  </si>
  <si>
    <t>07/07/2024 17:00</t>
  </si>
  <si>
    <t>07/07/2024 18:00</t>
  </si>
  <si>
    <t>07/07/2024 19:00</t>
  </si>
  <si>
    <t>07/07/2024 20:00</t>
  </si>
  <si>
    <t>07/07/2024 21:00</t>
  </si>
  <si>
    <t>07/07/2024 22:00</t>
  </si>
  <si>
    <t>07/07/2024 23:00</t>
  </si>
  <si>
    <t>07/07/2024 24:00</t>
  </si>
  <si>
    <t>08/07/2024 01:00</t>
  </si>
  <si>
    <t>08/07/2024 02:00</t>
  </si>
  <si>
    <t>08/07/2024 03:00</t>
  </si>
  <si>
    <t>08/07/2024 04:00</t>
  </si>
  <si>
    <t>08/07/2024 05:00</t>
  </si>
  <si>
    <t>08/07/2024 06:00</t>
  </si>
  <si>
    <t>08/07/2024 07:00</t>
  </si>
  <si>
    <t>08/07/2024 08:00</t>
  </si>
  <si>
    <t>08/07/2024 09:00</t>
  </si>
  <si>
    <t>08/07/2024 10:00</t>
  </si>
  <si>
    <t>08/07/2024 11:00</t>
  </si>
  <si>
    <t>08/07/2024 12:00</t>
  </si>
  <si>
    <t>08/07/2024 13:00</t>
  </si>
  <si>
    <t>08/07/2024 14:00</t>
  </si>
  <si>
    <t>08/07/2024 15:00</t>
  </si>
  <si>
    <t>08/07/2024 16:00</t>
  </si>
  <si>
    <t>08/07/2024 17:00</t>
  </si>
  <si>
    <t>08/07/2024 18:00</t>
  </si>
  <si>
    <t>08/07/2024 19:00</t>
  </si>
  <si>
    <t>08/07/2024 20:00</t>
  </si>
  <si>
    <t>08/07/2024 21:00</t>
  </si>
  <si>
    <t>08/07/2024 22:00</t>
  </si>
  <si>
    <t>08/07/2024 23:00</t>
  </si>
  <si>
    <t>08/07/2024 24:00</t>
  </si>
  <si>
    <t>09/07/2024 01:00</t>
  </si>
  <si>
    <t>09/07/2024 02:00</t>
  </si>
  <si>
    <t>09/07/2024 03:00</t>
  </si>
  <si>
    <t>09/07/2024 04:00</t>
  </si>
  <si>
    <t>09/07/2024 05:00</t>
  </si>
  <si>
    <t>09/07/2024 06:00</t>
  </si>
  <si>
    <t>09/07/2024 07:00</t>
  </si>
  <si>
    <t>09/07/2024 08:00</t>
  </si>
  <si>
    <t>09/07/2024 09:00</t>
  </si>
  <si>
    <t>09/07/2024 10:00</t>
  </si>
  <si>
    <t>09/07/2024 11:00</t>
  </si>
  <si>
    <t>09/07/2024 12:00</t>
  </si>
  <si>
    <t>09/07/2024 13:00</t>
  </si>
  <si>
    <t>09/07/2024 14:00</t>
  </si>
  <si>
    <t>09/07/2024 15:00</t>
  </si>
  <si>
    <t>09/07/2024 16:00</t>
  </si>
  <si>
    <t>09/07/2024 17:00</t>
  </si>
  <si>
    <t>09/07/2024 18:00</t>
  </si>
  <si>
    <t>09/07/2024 19:00</t>
  </si>
  <si>
    <t>09/07/2024 20:00</t>
  </si>
  <si>
    <t>09/07/2024 21:00</t>
  </si>
  <si>
    <t>09/07/2024 22:00</t>
  </si>
  <si>
    <t>09/07/2024 23:00</t>
  </si>
  <si>
    <t>09/07/2024 24:00</t>
  </si>
  <si>
    <t>10/07/2024 01:00</t>
  </si>
  <si>
    <t>10/07/2024 02:00</t>
  </si>
  <si>
    <t>10/07/2024 03:00</t>
  </si>
  <si>
    <t>10/07/2024 04:00</t>
  </si>
  <si>
    <t>10/07/2024 05:00</t>
  </si>
  <si>
    <t>10/07/2024 06:00</t>
  </si>
  <si>
    <t>10/07/2024 07:00</t>
  </si>
  <si>
    <t>10/07/2024 08:00</t>
  </si>
  <si>
    <t>10/07/2024 09:00</t>
  </si>
  <si>
    <t>10/07/2024 10:00</t>
  </si>
  <si>
    <t>10/07/2024 11:00</t>
  </si>
  <si>
    <t>10/07/2024 12:00</t>
  </si>
  <si>
    <t>10/07/2024 13:00</t>
  </si>
  <si>
    <t>10/07/2024 14:00</t>
  </si>
  <si>
    <t>10/07/2024 15:00</t>
  </si>
  <si>
    <t>10/07/2024 16:00</t>
  </si>
  <si>
    <t>10/07/2024 17:00</t>
  </si>
  <si>
    <t>10/07/2024 18:00</t>
  </si>
  <si>
    <t>10/07/2024 19:00</t>
  </si>
  <si>
    <t>10/07/2024 20:00</t>
  </si>
  <si>
    <t>10/07/2024 21:00</t>
  </si>
  <si>
    <t>10/07/2024 22:00</t>
  </si>
  <si>
    <t>10/07/2024 23:00</t>
  </si>
  <si>
    <t>10/07/2024 24:00</t>
  </si>
  <si>
    <t>11/07/2024 01:00</t>
  </si>
  <si>
    <t>11/07/2024 02:00</t>
  </si>
  <si>
    <t>11/07/2024 03:00</t>
  </si>
  <si>
    <t>11/07/2024 04:00</t>
  </si>
  <si>
    <t>11/07/2024 05:00</t>
  </si>
  <si>
    <t>11/07/2024 06:00</t>
  </si>
  <si>
    <t>11/07/2024 07:00</t>
  </si>
  <si>
    <t>11/07/2024 08:00</t>
  </si>
  <si>
    <t>11/07/2024 09:00</t>
  </si>
  <si>
    <t>11/07/2024 10:00</t>
  </si>
  <si>
    <t>11/07/2024 11:00</t>
  </si>
  <si>
    <t>11/07/2024 12:00</t>
  </si>
  <si>
    <t>11/07/2024 13:00</t>
  </si>
  <si>
    <t>11/07/2024 14:00</t>
  </si>
  <si>
    <t>11/07/2024 15:00</t>
  </si>
  <si>
    <t>11/07/2024 16:00</t>
  </si>
  <si>
    <t>11/07/2024 17:00</t>
  </si>
  <si>
    <t>11/07/2024 18:00</t>
  </si>
  <si>
    <t>11/07/2024 19:00</t>
  </si>
  <si>
    <t>11/07/2024 20:00</t>
  </si>
  <si>
    <t>11/07/2024 21:00</t>
  </si>
  <si>
    <t>11/07/2024 22:00</t>
  </si>
  <si>
    <t>11/07/2024 23:00</t>
  </si>
  <si>
    <t>11/07/2024 24:00</t>
  </si>
  <si>
    <t>12/07/2024 01:00</t>
  </si>
  <si>
    <t>12/07/2024 02:00</t>
  </si>
  <si>
    <t>12/07/2024 03:00</t>
  </si>
  <si>
    <t>12/07/2024 04:00</t>
  </si>
  <si>
    <t>12/07/2024 05:00</t>
  </si>
  <si>
    <t>12/07/2024 06:00</t>
  </si>
  <si>
    <t>12/07/2024 07:00</t>
  </si>
  <si>
    <t>12/07/2024 08:00</t>
  </si>
  <si>
    <t>12/07/2024 09:00</t>
  </si>
  <si>
    <t>12/07/2024 10:00</t>
  </si>
  <si>
    <t>12/07/2024 11:00</t>
  </si>
  <si>
    <t>12/07/2024 12:00</t>
  </si>
  <si>
    <t>12/07/2024 13:00</t>
  </si>
  <si>
    <t>12/07/2024 14:00</t>
  </si>
  <si>
    <t>12/07/2024 15:00</t>
  </si>
  <si>
    <t>12/07/2024 16:00</t>
  </si>
  <si>
    <t>12/07/2024 17:00</t>
  </si>
  <si>
    <t>12/07/2024 18:00</t>
  </si>
  <si>
    <t>12/07/2024 19:00</t>
  </si>
  <si>
    <t>12/07/2024 20:00</t>
  </si>
  <si>
    <t>12/07/2024 21:00</t>
  </si>
  <si>
    <t>12/07/2024 22:00</t>
  </si>
  <si>
    <t>12/07/2024 23:00</t>
  </si>
  <si>
    <t>12/07/2024 24:00</t>
  </si>
  <si>
    <t>13/07/2024 01:00</t>
  </si>
  <si>
    <t>13/07/2024 02:00</t>
  </si>
  <si>
    <t>13/07/2024 03:00</t>
  </si>
  <si>
    <t>13/07/2024 04:00</t>
  </si>
  <si>
    <t>13/07/2024 05:00</t>
  </si>
  <si>
    <t>13/07/2024 06:00</t>
  </si>
  <si>
    <t>13/07/2024 07:00</t>
  </si>
  <si>
    <t>13/07/2024 08:00</t>
  </si>
  <si>
    <t>13/07/2024 09:00</t>
  </si>
  <si>
    <t>13/07/2024 10:00</t>
  </si>
  <si>
    <t>13/07/2024 11:00</t>
  </si>
  <si>
    <t>13/07/2024 12:00</t>
  </si>
  <si>
    <t>13/07/2024 13:00</t>
  </si>
  <si>
    <t>13/07/2024 14:00</t>
  </si>
  <si>
    <t>13/07/2024 15:00</t>
  </si>
  <si>
    <t>13/07/2024 16:00</t>
  </si>
  <si>
    <t>13/07/2024 17:00</t>
  </si>
  <si>
    <t>13/07/2024 18:00</t>
  </si>
  <si>
    <t>13/07/2024 19:00</t>
  </si>
  <si>
    <t>13/07/2024 20:00</t>
  </si>
  <si>
    <t>13/07/2024 21:00</t>
  </si>
  <si>
    <t>13/07/2024 22:00</t>
  </si>
  <si>
    <t>13/07/2024 23:00</t>
  </si>
  <si>
    <t>13/07/2024 24:00</t>
  </si>
  <si>
    <t>14/07/2024 01:00</t>
  </si>
  <si>
    <t>14/07/2024 02:00</t>
  </si>
  <si>
    <t>14/07/2024 03:00</t>
  </si>
  <si>
    <t>14/07/2024 04:00</t>
  </si>
  <si>
    <t>14/07/2024 05:00</t>
  </si>
  <si>
    <t>14/07/2024 06:00</t>
  </si>
  <si>
    <t>14/07/2024 07:00</t>
  </si>
  <si>
    <t>14/07/2024 08:00</t>
  </si>
  <si>
    <t>14/07/2024 09:00</t>
  </si>
  <si>
    <t>14/07/2024 10:00</t>
  </si>
  <si>
    <t>14/07/2024 11:00</t>
  </si>
  <si>
    <t>14/07/2024 12:00</t>
  </si>
  <si>
    <t>14/07/2024 13:00</t>
  </si>
  <si>
    <t>14/07/2024 14:00</t>
  </si>
  <si>
    <t>14/07/2024 15:00</t>
  </si>
  <si>
    <t>14/07/2024 16:00</t>
  </si>
  <si>
    <t>14/07/2024 17:00</t>
  </si>
  <si>
    <t>14/07/2024 18:00</t>
  </si>
  <si>
    <t>14/07/2024 19:00</t>
  </si>
  <si>
    <t>14/07/2024 20:00</t>
  </si>
  <si>
    <t>14/07/2024 21:00</t>
  </si>
  <si>
    <t>14/07/2024 22:00</t>
  </si>
  <si>
    <t>14/07/2024 23:00</t>
  </si>
  <si>
    <t>14/07/2024 24:00</t>
  </si>
  <si>
    <t>15/07/2024 01:00</t>
  </si>
  <si>
    <t>15/07/2024 02:00</t>
  </si>
  <si>
    <t>15/07/2024 03:00</t>
  </si>
  <si>
    <t>15/07/2024 04:00</t>
  </si>
  <si>
    <t>15/07/2024 05:00</t>
  </si>
  <si>
    <t>15/07/2024 06:00</t>
  </si>
  <si>
    <t>15/07/2024 07:00</t>
  </si>
  <si>
    <t>15/07/2024 08:00</t>
  </si>
  <si>
    <t>15/07/2024 09:00</t>
  </si>
  <si>
    <t>15/07/2024 10:00</t>
  </si>
  <si>
    <t>15/07/2024 11:00</t>
  </si>
  <si>
    <t>15/07/2024 12:00</t>
  </si>
  <si>
    <t>15/07/2024 13:00</t>
  </si>
  <si>
    <t>15/07/2024 14:00</t>
  </si>
  <si>
    <t>15/07/2024 15:00</t>
  </si>
  <si>
    <t>15/07/2024 16:00</t>
  </si>
  <si>
    <t>15/07/2024 17:00</t>
  </si>
  <si>
    <t>15/07/2024 18:00</t>
  </si>
  <si>
    <t>15/07/2024 19:00</t>
  </si>
  <si>
    <t>15/07/2024 20:00</t>
  </si>
  <si>
    <t>15/07/2024 21:00</t>
  </si>
  <si>
    <t>15/07/2024 22:00</t>
  </si>
  <si>
    <t>15/07/2024 23:00</t>
  </si>
  <si>
    <t>15/07/2024 24:00</t>
  </si>
  <si>
    <t>16/07/2024 01:00</t>
  </si>
  <si>
    <t>16/07/2024 02:00</t>
  </si>
  <si>
    <t>16/07/2024 03:00</t>
  </si>
  <si>
    <t>16/07/2024 04:00</t>
  </si>
  <si>
    <t>16/07/2024 05:00</t>
  </si>
  <si>
    <t>16/07/2024 06:00</t>
  </si>
  <si>
    <t>16/07/2024 07:00</t>
  </si>
  <si>
    <t>16/07/2024 08:00</t>
  </si>
  <si>
    <t>16/07/2024 09:00</t>
  </si>
  <si>
    <t>16/07/2024 10:00</t>
  </si>
  <si>
    <t>16/07/2024 11:00</t>
  </si>
  <si>
    <t>16/07/2024 12:00</t>
  </si>
  <si>
    <t>16/07/2024 13:00</t>
  </si>
  <si>
    <t>16/07/2024 14:00</t>
  </si>
  <si>
    <t>16/07/2024 15:00</t>
  </si>
  <si>
    <t>16/07/2024 16:00</t>
  </si>
  <si>
    <t>16/07/2024 17:00</t>
  </si>
  <si>
    <t>16/07/2024 18:00</t>
  </si>
  <si>
    <t>16/07/2024 19:00</t>
  </si>
  <si>
    <t>16/07/2024 20:00</t>
  </si>
  <si>
    <t>16/07/2024 21:00</t>
  </si>
  <si>
    <t>16/07/2024 22:00</t>
  </si>
  <si>
    <t>16/07/2024 23:00</t>
  </si>
  <si>
    <t>16/07/2024 24:00</t>
  </si>
  <si>
    <t>17/07/2024 01:00</t>
  </si>
  <si>
    <t>17/07/2024 02:00</t>
  </si>
  <si>
    <t>17/07/2024 03:00</t>
  </si>
  <si>
    <t>17/07/2024 04:00</t>
  </si>
  <si>
    <t>17/07/2024 05:00</t>
  </si>
  <si>
    <t>17/07/2024 06:00</t>
  </si>
  <si>
    <t>17/07/2024 07:00</t>
  </si>
  <si>
    <t>17/07/2024 08:00</t>
  </si>
  <si>
    <t>17/07/2024 09:00</t>
  </si>
  <si>
    <t>17/07/2024 10:00</t>
  </si>
  <si>
    <t>17/07/2024 11:00</t>
  </si>
  <si>
    <t>17/07/2024 12:00</t>
  </si>
  <si>
    <t>17/07/2024 13:00</t>
  </si>
  <si>
    <t>17/07/2024 14:00</t>
  </si>
  <si>
    <t>17/07/2024 15:00</t>
  </si>
  <si>
    <t>17/07/2024 16:00</t>
  </si>
  <si>
    <t>17/07/2024 17:00</t>
  </si>
  <si>
    <t>17/07/2024 18:00</t>
  </si>
  <si>
    <t>17/07/2024 19:00</t>
  </si>
  <si>
    <t>17/07/2024 20:00</t>
  </si>
  <si>
    <t>17/07/2024 21:00</t>
  </si>
  <si>
    <t>17/07/2024 22:00</t>
  </si>
  <si>
    <t>17/07/2024 23:00</t>
  </si>
  <si>
    <t>17/07/2024 24:00</t>
  </si>
  <si>
    <t>18/07/2024 01:00</t>
  </si>
  <si>
    <t>18/07/2024 02:00</t>
  </si>
  <si>
    <t>18/07/2024 03:00</t>
  </si>
  <si>
    <t>18/07/2024 04:00</t>
  </si>
  <si>
    <t>18/07/2024 05:00</t>
  </si>
  <si>
    <t>18/07/2024 06:00</t>
  </si>
  <si>
    <t>18/07/2024 07:00</t>
  </si>
  <si>
    <t>18/07/2024 08:00</t>
  </si>
  <si>
    <t>18/07/2024 09:00</t>
  </si>
  <si>
    <t>18/07/2024 10:00</t>
  </si>
  <si>
    <t>18/07/2024 11:00</t>
  </si>
  <si>
    <t>18/07/2024 12:00</t>
  </si>
  <si>
    <t>18/07/2024 13:00</t>
  </si>
  <si>
    <t>18/07/2024 14:00</t>
  </si>
  <si>
    <t>18/07/2024 15:00</t>
  </si>
  <si>
    <t>18/07/2024 16:00</t>
  </si>
  <si>
    <t>18/07/2024 17:00</t>
  </si>
  <si>
    <t>18/07/2024 18:00</t>
  </si>
  <si>
    <t>18/07/2024 19:00</t>
  </si>
  <si>
    <t>18/07/2024 20:00</t>
  </si>
  <si>
    <t>18/07/2024 21:00</t>
  </si>
  <si>
    <t>18/07/2024 22:00</t>
  </si>
  <si>
    <t>18/07/2024 23:00</t>
  </si>
  <si>
    <t>18/07/2024 24:00</t>
  </si>
  <si>
    <t>19/07/2024 01:00</t>
  </si>
  <si>
    <t>19/07/2024 02:00</t>
  </si>
  <si>
    <t>19/07/2024 03:00</t>
  </si>
  <si>
    <t>19/07/2024 04:00</t>
  </si>
  <si>
    <t>19/07/2024 05:00</t>
  </si>
  <si>
    <t>19/07/2024 06:00</t>
  </si>
  <si>
    <t>19/07/2024 07:00</t>
  </si>
  <si>
    <t>19/07/2024 08:00</t>
  </si>
  <si>
    <t>19/07/2024 09:00</t>
  </si>
  <si>
    <t>19/07/2024 10:00</t>
  </si>
  <si>
    <t>19/07/2024 11:00</t>
  </si>
  <si>
    <t>19/07/2024 12:00</t>
  </si>
  <si>
    <t>19/07/2024 13:00</t>
  </si>
  <si>
    <t>19/07/2024 14:00</t>
  </si>
  <si>
    <t>19/07/2024 15:00</t>
  </si>
  <si>
    <t>19/07/2024 16:00</t>
  </si>
  <si>
    <t>19/07/2024 17:00</t>
  </si>
  <si>
    <t>19/07/2024 18:00</t>
  </si>
  <si>
    <t>19/07/2024 19:00</t>
  </si>
  <si>
    <t>19/07/2024 20:00</t>
  </si>
  <si>
    <t>19/07/2024 21:00</t>
  </si>
  <si>
    <t>19/07/2024 22:00</t>
  </si>
  <si>
    <t>19/07/2024 23:00</t>
  </si>
  <si>
    <t>19/07/2024 24:00</t>
  </si>
  <si>
    <t>20/07/2024 01:00</t>
  </si>
  <si>
    <t>20/07/2024 02:00</t>
  </si>
  <si>
    <t>20/07/2024 03:00</t>
  </si>
  <si>
    <t>20/07/2024 04:00</t>
  </si>
  <si>
    <t>20/07/2024 05:00</t>
  </si>
  <si>
    <t>20/07/2024 06:00</t>
  </si>
  <si>
    <t>20/07/2024 07:00</t>
  </si>
  <si>
    <t>20/07/2024 08:00</t>
  </si>
  <si>
    <t>20/07/2024 09:00</t>
  </si>
  <si>
    <t>20/07/2024 10:00</t>
  </si>
  <si>
    <t>20/07/2024 11:00</t>
  </si>
  <si>
    <t>20/07/2024 12:00</t>
  </si>
  <si>
    <t>20/07/2024 13:00</t>
  </si>
  <si>
    <t>20/07/2024 14:00</t>
  </si>
  <si>
    <t>20/07/2024 15:00</t>
  </si>
  <si>
    <t>20/07/2024 16:00</t>
  </si>
  <si>
    <t>20/07/2024 17:00</t>
  </si>
  <si>
    <t>20/07/2024 18:00</t>
  </si>
  <si>
    <t>20/07/2024 19:00</t>
  </si>
  <si>
    <t>20/07/2024 20:00</t>
  </si>
  <si>
    <t>20/07/2024 21:00</t>
  </si>
  <si>
    <t>20/07/2024 22:00</t>
  </si>
  <si>
    <t>20/07/2024 23:00</t>
  </si>
  <si>
    <t>20/07/2024 24:00</t>
  </si>
  <si>
    <t>21/07/2024 01:00</t>
  </si>
  <si>
    <t>21/07/2024 02:00</t>
  </si>
  <si>
    <t>21/07/2024 03:00</t>
  </si>
  <si>
    <t>21/07/2024 04:00</t>
  </si>
  <si>
    <t>21/07/2024 05:00</t>
  </si>
  <si>
    <t>21/07/2024 06:00</t>
  </si>
  <si>
    <t>21/07/2024 07:00</t>
  </si>
  <si>
    <t>21/07/2024 08:00</t>
  </si>
  <si>
    <t>21/07/2024 09:00</t>
  </si>
  <si>
    <t>21/07/2024 10:00</t>
  </si>
  <si>
    <t>21/07/2024 11:00</t>
  </si>
  <si>
    <t>21/07/2024 12:00</t>
  </si>
  <si>
    <t>21/07/2024 13:00</t>
  </si>
  <si>
    <t>21/07/2024 14:00</t>
  </si>
  <si>
    <t>21/07/2024 15:00</t>
  </si>
  <si>
    <t>21/07/2024 16:00</t>
  </si>
  <si>
    <t>21/07/2024 17:00</t>
  </si>
  <si>
    <t>21/07/2024 18:00</t>
  </si>
  <si>
    <t>21/07/2024 19:00</t>
  </si>
  <si>
    <t>21/07/2024 20:00</t>
  </si>
  <si>
    <t>21/07/2024 21:00</t>
  </si>
  <si>
    <t>21/07/2024 22:00</t>
  </si>
  <si>
    <t>21/07/2024 23:00</t>
  </si>
  <si>
    <t>21/07/2024 24:00</t>
  </si>
  <si>
    <t>22/07/2024 01:00</t>
  </si>
  <si>
    <t>22/07/2024 02:00</t>
  </si>
  <si>
    <t>22/07/2024 03:00</t>
  </si>
  <si>
    <t>22/07/2024 04:00</t>
  </si>
  <si>
    <t>22/07/2024 05:00</t>
  </si>
  <si>
    <t>22/07/2024 06:00</t>
  </si>
  <si>
    <t>22/07/2024 07:00</t>
  </si>
  <si>
    <t>22/07/2024 08:00</t>
  </si>
  <si>
    <t>22/07/2024 09:00</t>
  </si>
  <si>
    <t>22/07/2024 10:00</t>
  </si>
  <si>
    <t>22/07/2024 11:00</t>
  </si>
  <si>
    <t>22/07/2024 12:00</t>
  </si>
  <si>
    <t>22/07/2024 13:00</t>
  </si>
  <si>
    <t>22/07/2024 14:00</t>
  </si>
  <si>
    <t>22/07/2024 15:00</t>
  </si>
  <si>
    <t>22/07/2024 16:00</t>
  </si>
  <si>
    <t>22/07/2024 17:00</t>
  </si>
  <si>
    <t>22/07/2024 18:00</t>
  </si>
  <si>
    <t>22/07/2024 19:00</t>
  </si>
  <si>
    <t>22/07/2024 20:00</t>
  </si>
  <si>
    <t>22/07/2024 21:00</t>
  </si>
  <si>
    <t>22/07/2024 22:00</t>
  </si>
  <si>
    <t>22/07/2024 23:00</t>
  </si>
  <si>
    <t>22/07/2024 24:00</t>
  </si>
  <si>
    <t>23/07/2024 01:00</t>
  </si>
  <si>
    <t>23/07/2024 02:00</t>
  </si>
  <si>
    <t>23/07/2024 03:00</t>
  </si>
  <si>
    <t>23/07/2024 04:00</t>
  </si>
  <si>
    <t>23/07/2024 05:00</t>
  </si>
  <si>
    <t>23/07/2024 06:00</t>
  </si>
  <si>
    <t>23/07/2024 07:00</t>
  </si>
  <si>
    <t>23/07/2024 08:00</t>
  </si>
  <si>
    <t>23/07/2024 09:00</t>
  </si>
  <si>
    <t>23/07/2024 10:00</t>
  </si>
  <si>
    <t>23/07/2024 11:00</t>
  </si>
  <si>
    <t>23/07/2024 12:00</t>
  </si>
  <si>
    <t>23/07/2024 13:00</t>
  </si>
  <si>
    <t>23/07/2024 14:00</t>
  </si>
  <si>
    <t>23/07/2024 15:00</t>
  </si>
  <si>
    <t>23/07/2024 16:00</t>
  </si>
  <si>
    <t>23/07/2024 17:00</t>
  </si>
  <si>
    <t>23/07/2024 18:00</t>
  </si>
  <si>
    <t>23/07/2024 19:00</t>
  </si>
  <si>
    <t>23/07/2024 20:00</t>
  </si>
  <si>
    <t>23/07/2024 21:00</t>
  </si>
  <si>
    <t>23/07/2024 22:00</t>
  </si>
  <si>
    <t>23/07/2024 23:00</t>
  </si>
  <si>
    <t>23/07/2024 24:00</t>
  </si>
  <si>
    <t>24/07/2024 01:00</t>
  </si>
  <si>
    <t>24/07/2024 02:00</t>
  </si>
  <si>
    <t>24/07/2024 03:00</t>
  </si>
  <si>
    <t>24/07/2024 04:00</t>
  </si>
  <si>
    <t>24/07/2024 05:00</t>
  </si>
  <si>
    <t>24/07/2024 06:00</t>
  </si>
  <si>
    <t>24/07/2024 07:00</t>
  </si>
  <si>
    <t>24/07/2024 08:00</t>
  </si>
  <si>
    <t>24/07/2024 09:00</t>
  </si>
  <si>
    <t>24/07/2024 10:00</t>
  </si>
  <si>
    <t>24/07/2024 11:00</t>
  </si>
  <si>
    <t>24/07/2024 12:00</t>
  </si>
  <si>
    <t>24/07/2024 13:00</t>
  </si>
  <si>
    <t>24/07/2024 14:00</t>
  </si>
  <si>
    <t>24/07/2024 15:00</t>
  </si>
  <si>
    <t>24/07/2024 16:00</t>
  </si>
  <si>
    <t>24/07/2024 17:00</t>
  </si>
  <si>
    <t>24/07/2024 18:00</t>
  </si>
  <si>
    <t>24/07/2024 19:00</t>
  </si>
  <si>
    <t>24/07/2024 20:00</t>
  </si>
  <si>
    <t>24/07/2024 21:00</t>
  </si>
  <si>
    <t>24/07/2024 22:00</t>
  </si>
  <si>
    <t>24/07/2024 23:00</t>
  </si>
  <si>
    <t>24/07/2024 24:00</t>
  </si>
  <si>
    <t>25/07/2024 01:00</t>
  </si>
  <si>
    <t>25/07/2024 02:00</t>
  </si>
  <si>
    <t>25/07/2024 03:00</t>
  </si>
  <si>
    <t>25/07/2024 04:00</t>
  </si>
  <si>
    <t>25/07/2024 05:00</t>
  </si>
  <si>
    <t>25/07/2024 06:00</t>
  </si>
  <si>
    <t>25/07/2024 07:00</t>
  </si>
  <si>
    <t>25/07/2024 08:00</t>
  </si>
  <si>
    <t>25/07/2024 09:00</t>
  </si>
  <si>
    <t>25/07/2024 10:00</t>
  </si>
  <si>
    <t>25/07/2024 11:00</t>
  </si>
  <si>
    <t>25/07/2024 12:00</t>
  </si>
  <si>
    <t>25/07/2024 13:00</t>
  </si>
  <si>
    <t>25/07/2024 14:00</t>
  </si>
  <si>
    <t>25/07/2024 15:00</t>
  </si>
  <si>
    <t>25/07/2024 16:00</t>
  </si>
  <si>
    <t>25/07/2024 17:00</t>
  </si>
  <si>
    <t>25/07/2024 18:00</t>
  </si>
  <si>
    <t>25/07/2024 19:00</t>
  </si>
  <si>
    <t>25/07/2024 20:00</t>
  </si>
  <si>
    <t>25/07/2024 21:00</t>
  </si>
  <si>
    <t>25/07/2024 22:00</t>
  </si>
  <si>
    <t>25/07/2024 23:00</t>
  </si>
  <si>
    <t>25/07/2024 24:00</t>
  </si>
  <si>
    <t>26/07/2024 01:00</t>
  </si>
  <si>
    <t>26/07/2024 02:00</t>
  </si>
  <si>
    <t>26/07/2024 03:00</t>
  </si>
  <si>
    <t>26/07/2024 04:00</t>
  </si>
  <si>
    <t>26/07/2024 05:00</t>
  </si>
  <si>
    <t>26/07/2024 06:00</t>
  </si>
  <si>
    <t>26/07/2024 07:00</t>
  </si>
  <si>
    <t>26/07/2024 08:00</t>
  </si>
  <si>
    <t>26/07/2024 09:00</t>
  </si>
  <si>
    <t>26/07/2024 10:00</t>
  </si>
  <si>
    <t>26/07/2024 11:00</t>
  </si>
  <si>
    <t>26/07/2024 12:00</t>
  </si>
  <si>
    <t>26/07/2024 13:00</t>
  </si>
  <si>
    <t>26/07/2024 14:00</t>
  </si>
  <si>
    <t>26/07/2024 15:00</t>
  </si>
  <si>
    <t>26/07/2024 16:00</t>
  </si>
  <si>
    <t>26/07/2024 17:00</t>
  </si>
  <si>
    <t>26/07/2024 18:00</t>
  </si>
  <si>
    <t>26/07/2024 19:00</t>
  </si>
  <si>
    <t>26/07/2024 20:00</t>
  </si>
  <si>
    <t>26/07/2024 21:00</t>
  </si>
  <si>
    <t>26/07/2024 22:00</t>
  </si>
  <si>
    <t>26/07/2024 23:00</t>
  </si>
  <si>
    <t>26/07/2024 24:00</t>
  </si>
  <si>
    <t>27/07/2024 01:00</t>
  </si>
  <si>
    <t>27/07/2024 02:00</t>
  </si>
  <si>
    <t>27/07/2024 03:00</t>
  </si>
  <si>
    <t>27/07/2024 04:00</t>
  </si>
  <si>
    <t>27/07/2024 05:00</t>
  </si>
  <si>
    <t>27/07/2024 06:00</t>
  </si>
  <si>
    <t>27/07/2024 07:00</t>
  </si>
  <si>
    <t>27/07/2024 08:00</t>
  </si>
  <si>
    <t>27/07/2024 09:00</t>
  </si>
  <si>
    <t>27/07/2024 10:00</t>
  </si>
  <si>
    <t>27/07/2024 11:00</t>
  </si>
  <si>
    <t>27/07/2024 12:00</t>
  </si>
  <si>
    <t>27/07/2024 13:00</t>
  </si>
  <si>
    <t>27/07/2024 14:00</t>
  </si>
  <si>
    <t>27/07/2024 15:00</t>
  </si>
  <si>
    <t>27/07/2024 16:00</t>
  </si>
  <si>
    <t>27/07/2024 17:00</t>
  </si>
  <si>
    <t>27/07/2024 18:00</t>
  </si>
  <si>
    <t>27/07/2024 19:00</t>
  </si>
  <si>
    <t>27/07/2024 20:00</t>
  </si>
  <si>
    <t>27/07/2024 21:00</t>
  </si>
  <si>
    <t>27/07/2024 22:00</t>
  </si>
  <si>
    <t>27/07/2024 23:00</t>
  </si>
  <si>
    <t>27/07/2024 24:00</t>
  </si>
  <si>
    <t>28/07/2024 01:00</t>
  </si>
  <si>
    <t>28/07/2024 02:00</t>
  </si>
  <si>
    <t>28/07/2024 03:00</t>
  </si>
  <si>
    <t>28/07/2024 04:00</t>
  </si>
  <si>
    <t>28/07/2024 05:00</t>
  </si>
  <si>
    <t>28/07/2024 06:00</t>
  </si>
  <si>
    <t>28/07/2024 07:00</t>
  </si>
  <si>
    <t>28/07/2024 08:00</t>
  </si>
  <si>
    <t>28/07/2024 09:00</t>
  </si>
  <si>
    <t>28/07/2024 10:00</t>
  </si>
  <si>
    <t>28/07/2024 11:00</t>
  </si>
  <si>
    <t>28/07/2024 12:00</t>
  </si>
  <si>
    <t>28/07/2024 13:00</t>
  </si>
  <si>
    <t>28/07/2024 14:00</t>
  </si>
  <si>
    <t>28/07/2024 15:00</t>
  </si>
  <si>
    <t>28/07/2024 16:00</t>
  </si>
  <si>
    <t>28/07/2024 17:00</t>
  </si>
  <si>
    <t>28/07/2024 18:00</t>
  </si>
  <si>
    <t>28/07/2024 19:00</t>
  </si>
  <si>
    <t>28/07/2024 20:00</t>
  </si>
  <si>
    <t>28/07/2024 21:00</t>
  </si>
  <si>
    <t>28/07/2024 22:00</t>
  </si>
  <si>
    <t>28/07/2024 23:00</t>
  </si>
  <si>
    <t>28/07/2024 24:00</t>
  </si>
  <si>
    <t>29/07/2024 01:00</t>
  </si>
  <si>
    <t>29/07/2024 02:00</t>
  </si>
  <si>
    <t>29/07/2024 03:00</t>
  </si>
  <si>
    <t>29/07/2024 04:00</t>
  </si>
  <si>
    <t>29/07/2024 05:00</t>
  </si>
  <si>
    <t>29/07/2024 06:00</t>
  </si>
  <si>
    <t>29/07/2024 07:00</t>
  </si>
  <si>
    <t>29/07/2024 08:00</t>
  </si>
  <si>
    <t>29/07/2024 09:00</t>
  </si>
  <si>
    <t>29/07/2024 10:00</t>
  </si>
  <si>
    <t>29/07/2024 11:00</t>
  </si>
  <si>
    <t>29/07/2024 12:00</t>
  </si>
  <si>
    <t>29/07/2024 13:00</t>
  </si>
  <si>
    <t>29/07/2024 14:00</t>
  </si>
  <si>
    <t>29/07/2024 15:00</t>
  </si>
  <si>
    <t>29/07/2024 16:00</t>
  </si>
  <si>
    <t>29/07/2024 17:00</t>
  </si>
  <si>
    <t>29/07/2024 18:00</t>
  </si>
  <si>
    <t>29/07/2024 19:00</t>
  </si>
  <si>
    <t>29/07/2024 20:00</t>
  </si>
  <si>
    <t>29/07/2024 21:00</t>
  </si>
  <si>
    <t>29/07/2024 22:00</t>
  </si>
  <si>
    <t>29/07/2024 23:00</t>
  </si>
  <si>
    <t>29/07/2024 24:00</t>
  </si>
  <si>
    <t>30/07/2024 01:00</t>
  </si>
  <si>
    <t>30/07/2024 02:00</t>
  </si>
  <si>
    <t>30/07/2024 03:00</t>
  </si>
  <si>
    <t>30/07/2024 04:00</t>
  </si>
  <si>
    <t>30/07/2024 05:00</t>
  </si>
  <si>
    <t>30/07/2024 06:00</t>
  </si>
  <si>
    <t>30/07/2024 07:00</t>
  </si>
  <si>
    <t>30/07/2024 08:00</t>
  </si>
  <si>
    <t>30/07/2024 09:00</t>
  </si>
  <si>
    <t>30/07/2024 10:00</t>
  </si>
  <si>
    <t>30/07/2024 11:00</t>
  </si>
  <si>
    <t>30/07/2024 12:00</t>
  </si>
  <si>
    <t>30/07/2024 13:00</t>
  </si>
  <si>
    <t>30/07/2024 14:00</t>
  </si>
  <si>
    <t>30/07/2024 15:00</t>
  </si>
  <si>
    <t>30/07/2024 16:00</t>
  </si>
  <si>
    <t>30/07/2024 17:00</t>
  </si>
  <si>
    <t>30/07/2024 18:00</t>
  </si>
  <si>
    <t>30/07/2024 19:00</t>
  </si>
  <si>
    <t>30/07/2024 20:00</t>
  </si>
  <si>
    <t>30/07/2024 21:00</t>
  </si>
  <si>
    <t>30/07/2024 22:00</t>
  </si>
  <si>
    <t>30/07/2024 23:00</t>
  </si>
  <si>
    <t>30/07/2024 24:00</t>
  </si>
  <si>
    <t>31/07/2024 01:00</t>
  </si>
  <si>
    <t>31/07/2024 02:00</t>
  </si>
  <si>
    <t>31/07/2024 03:00</t>
  </si>
  <si>
    <t>31/07/2024 04:00</t>
  </si>
  <si>
    <t>31/07/2024 05:00</t>
  </si>
  <si>
    <t>31/07/2024 06:00</t>
  </si>
  <si>
    <t>31/07/2024 07:00</t>
  </si>
  <si>
    <t>31/07/2024 08:00</t>
  </si>
  <si>
    <t>31/07/2024 09:00</t>
  </si>
  <si>
    <t>31/07/2024 10:00</t>
  </si>
  <si>
    <t>31/07/2024 11:00</t>
  </si>
  <si>
    <t>31/07/2024 12:00</t>
  </si>
  <si>
    <t>31/07/2024 13:00</t>
  </si>
  <si>
    <t>31/07/2024 14:00</t>
  </si>
  <si>
    <t>31/07/2024 15:00</t>
  </si>
  <si>
    <t>31/07/2024 16:00</t>
  </si>
  <si>
    <t>31/07/2024 17:00</t>
  </si>
  <si>
    <t>31/07/2024 18:00</t>
  </si>
  <si>
    <t>31/07/2024 19:00</t>
  </si>
  <si>
    <t>31/07/2024 20:00</t>
  </si>
  <si>
    <t>31/07/2024 21:00</t>
  </si>
  <si>
    <t>31/07/2024 22:00</t>
  </si>
  <si>
    <t>31/07/2024 23:00</t>
  </si>
  <si>
    <t>31/07/2024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</si>
</sst>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9" borderId="0" xfId="0" applyFont="1" applyFill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01/07/2024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84</v>
      </c>
      <c r="B9" s="54" t="s">
        <v>85</v>
      </c>
      <c r="C9" s="54" t="s">
        <v>86</v>
      </c>
      <c r="D9" s="54" t="s">
        <v>87</v>
      </c>
      <c r="E9" s="54" t="s">
        <v>88</v>
      </c>
      <c r="F9" s="54" t="s">
        <v>89</v>
      </c>
      <c r="G9" s="54" t="s">
        <v>90</v>
      </c>
      <c r="H9" s="54" t="s">
        <v>91</v>
      </c>
      <c r="I9" s="54" t="s">
        <v>92</v>
      </c>
      <c r="J9" s="54" t="s">
        <v>93</v>
      </c>
      <c r="K9" s="54" t="s">
        <v>94</v>
      </c>
      <c r="L9" s="54" t="s">
        <v>95</v>
      </c>
      <c r="M9" s="54" t="s">
        <v>96</v>
      </c>
      <c r="N9" s="54" t="s">
        <v>97</v>
      </c>
      <c r="O9" s="54" t="s">
        <v>98</v>
      </c>
      <c r="P9" s="54" t="s">
        <v>99</v>
      </c>
      <c r="Q9" s="54" t="s">
        <v>100</v>
      </c>
      <c r="R9" s="43"/>
      <c r="S9" s="43"/>
      <c r="T9" s="43"/>
      <c r="U9" s="43"/>
    </row>
    <row r="10" spans="1:21" s="11" customFormat="1" x14ac:dyDescent="0.25">
      <c r="A10" s="53" t="s">
        <v>60</v>
      </c>
      <c r="B10" s="54">
        <v>8.3699999999999992</v>
      </c>
      <c r="C10" s="54">
        <v>3.26</v>
      </c>
      <c r="D10" s="54">
        <v>12.19</v>
      </c>
      <c r="E10" s="54">
        <v>3.61</v>
      </c>
      <c r="F10" s="54">
        <v>4.2</v>
      </c>
      <c r="G10" s="54">
        <v>21.93</v>
      </c>
      <c r="H10" s="54">
        <v>6.68</v>
      </c>
      <c r="I10" s="54">
        <v>4.9400000000000004</v>
      </c>
      <c r="J10" s="54">
        <v>1.64</v>
      </c>
      <c r="K10" s="54">
        <v>149.93</v>
      </c>
      <c r="L10" s="54">
        <v>23.06</v>
      </c>
      <c r="M10" s="54">
        <v>98.39</v>
      </c>
      <c r="N10" s="54">
        <v>17.5</v>
      </c>
      <c r="O10" s="54">
        <v>0</v>
      </c>
      <c r="P10" s="54">
        <v>0.35</v>
      </c>
      <c r="Q10" s="54">
        <v>9.32</v>
      </c>
      <c r="R10" s="43"/>
      <c r="S10" s="43"/>
      <c r="T10" s="43"/>
      <c r="U10" s="43"/>
    </row>
    <row r="11" spans="1:21" s="11" customFormat="1" x14ac:dyDescent="0.25">
      <c r="A11" s="53" t="s">
        <v>61</v>
      </c>
      <c r="B11" s="54">
        <v>8.35</v>
      </c>
      <c r="C11" s="54">
        <v>3.23</v>
      </c>
      <c r="D11" s="54">
        <v>12.15</v>
      </c>
      <c r="E11" s="54">
        <v>3.51</v>
      </c>
      <c r="F11" s="54">
        <v>4.13</v>
      </c>
      <c r="G11" s="54">
        <v>21.93</v>
      </c>
      <c r="H11" s="54">
        <v>6.65</v>
      </c>
      <c r="I11" s="54">
        <v>4.6900000000000004</v>
      </c>
      <c r="J11" s="54">
        <v>1.06</v>
      </c>
      <c r="K11" s="54">
        <v>169.96</v>
      </c>
      <c r="L11" s="54">
        <v>23.21</v>
      </c>
      <c r="M11" s="54">
        <v>98.35</v>
      </c>
      <c r="N11" s="54">
        <v>17.899999999999999</v>
      </c>
      <c r="O11" s="54">
        <v>0</v>
      </c>
      <c r="P11" s="54">
        <v>0.37</v>
      </c>
      <c r="Q11" s="54">
        <v>9.31</v>
      </c>
      <c r="R11" s="43"/>
      <c r="S11" s="43"/>
      <c r="T11" s="43"/>
      <c r="U11" s="43"/>
    </row>
    <row r="12" spans="1:21" s="11" customFormat="1" x14ac:dyDescent="0.25">
      <c r="A12" s="53" t="s">
        <v>62</v>
      </c>
      <c r="B12" s="54">
        <v>8.39</v>
      </c>
      <c r="C12" s="54">
        <v>3.33</v>
      </c>
      <c r="D12" s="54">
        <v>12.24</v>
      </c>
      <c r="E12" s="54">
        <v>3.22</v>
      </c>
      <c r="F12" s="54">
        <v>3.68</v>
      </c>
      <c r="G12" s="54">
        <v>18.68</v>
      </c>
      <c r="H12" s="54">
        <v>5.68</v>
      </c>
      <c r="I12" s="54">
        <v>4.45</v>
      </c>
      <c r="J12" s="54">
        <v>0.39</v>
      </c>
      <c r="K12" s="54">
        <v>351.46</v>
      </c>
      <c r="L12" s="54">
        <v>23.53</v>
      </c>
      <c r="M12" s="54">
        <v>98.35</v>
      </c>
      <c r="N12" s="54">
        <v>18.100000000000001</v>
      </c>
      <c r="O12" s="54">
        <v>0</v>
      </c>
      <c r="P12" s="54">
        <v>0.34</v>
      </c>
      <c r="Q12" s="54">
        <v>9.35</v>
      </c>
      <c r="R12" s="43"/>
      <c r="S12" s="43"/>
      <c r="T12" s="43"/>
      <c r="U12" s="43"/>
    </row>
    <row r="13" spans="1:21" s="11" customFormat="1" x14ac:dyDescent="0.25">
      <c r="A13" s="53" t="s">
        <v>63</v>
      </c>
      <c r="B13" s="54">
        <v>8.35</v>
      </c>
      <c r="C13" s="54">
        <v>3.37</v>
      </c>
      <c r="D13" s="54">
        <v>12.21</v>
      </c>
      <c r="E13" s="54">
        <v>3.93</v>
      </c>
      <c r="F13" s="54">
        <v>5.14</v>
      </c>
      <c r="G13" s="54">
        <v>18.39</v>
      </c>
      <c r="H13" s="54">
        <v>5.68</v>
      </c>
      <c r="I13" s="54">
        <v>4.1399999999999997</v>
      </c>
      <c r="J13" s="54">
        <v>0.6</v>
      </c>
      <c r="K13" s="54">
        <v>354.95</v>
      </c>
      <c r="L13" s="54">
        <v>23.61</v>
      </c>
      <c r="M13" s="54">
        <v>98.33</v>
      </c>
      <c r="N13" s="54">
        <v>17.8</v>
      </c>
      <c r="O13" s="54">
        <v>0</v>
      </c>
      <c r="P13" s="54">
        <v>0.31</v>
      </c>
      <c r="Q13" s="54">
        <v>9.34</v>
      </c>
      <c r="R13" s="43"/>
      <c r="S13" s="43"/>
      <c r="T13" s="43"/>
      <c r="U13" s="43"/>
    </row>
    <row r="14" spans="1:21" s="11" customFormat="1" x14ac:dyDescent="0.25">
      <c r="A14" s="53" t="s">
        <v>64</v>
      </c>
      <c r="B14" s="54">
        <v>8.32</v>
      </c>
      <c r="C14" s="54">
        <v>3.35</v>
      </c>
      <c r="D14" s="54">
        <v>12.19</v>
      </c>
      <c r="E14" s="54">
        <v>4.74</v>
      </c>
      <c r="F14" s="54">
        <v>5.28</v>
      </c>
      <c r="G14" s="54">
        <v>15.49</v>
      </c>
      <c r="H14" s="54">
        <v>6.1</v>
      </c>
      <c r="I14" s="54">
        <v>2.9</v>
      </c>
      <c r="J14" s="54">
        <v>0.64</v>
      </c>
      <c r="K14" s="54">
        <v>357.8</v>
      </c>
      <c r="L14" s="54">
        <v>23.32</v>
      </c>
      <c r="M14" s="54">
        <v>97.48</v>
      </c>
      <c r="N14" s="54">
        <v>17.8</v>
      </c>
      <c r="O14" s="54">
        <v>0</v>
      </c>
      <c r="P14" s="54">
        <v>0.38</v>
      </c>
      <c r="Q14" s="54">
        <v>9.2200000000000006</v>
      </c>
      <c r="R14" s="43"/>
      <c r="S14" s="43"/>
      <c r="T14" s="43"/>
      <c r="U14" s="43"/>
    </row>
    <row r="15" spans="1:21" s="11" customFormat="1" x14ac:dyDescent="0.25">
      <c r="A15" s="53" t="s">
        <v>65</v>
      </c>
      <c r="B15" s="54">
        <v>8.41</v>
      </c>
      <c r="C15" s="54">
        <v>3.56</v>
      </c>
      <c r="D15" s="54">
        <v>12.37</v>
      </c>
      <c r="E15" s="54">
        <v>4.97</v>
      </c>
      <c r="F15" s="54">
        <v>4.46</v>
      </c>
      <c r="G15" s="54">
        <v>18.84</v>
      </c>
      <c r="H15" s="54">
        <v>6.1</v>
      </c>
      <c r="I15" s="54">
        <v>2.5499999999999998</v>
      </c>
      <c r="J15" s="54">
        <v>0.6</v>
      </c>
      <c r="K15" s="54">
        <v>359.68</v>
      </c>
      <c r="L15" s="54">
        <v>23.09</v>
      </c>
      <c r="M15" s="54">
        <v>98.32</v>
      </c>
      <c r="N15" s="54">
        <v>30.4</v>
      </c>
      <c r="O15" s="54">
        <v>0</v>
      </c>
      <c r="P15" s="54">
        <v>0.41</v>
      </c>
      <c r="Q15" s="54">
        <v>9.25</v>
      </c>
      <c r="R15" s="43"/>
      <c r="S15" s="43"/>
      <c r="T15" s="43"/>
      <c r="U15" s="43"/>
    </row>
    <row r="16" spans="1:21" s="11" customFormat="1" x14ac:dyDescent="0.25">
      <c r="A16" s="53" t="s">
        <v>66</v>
      </c>
      <c r="B16" s="54">
        <v>8.33</v>
      </c>
      <c r="C16" s="54">
        <v>3.24</v>
      </c>
      <c r="D16" s="54">
        <v>12.15</v>
      </c>
      <c r="E16" s="54">
        <v>4.79</v>
      </c>
      <c r="F16" s="54">
        <v>3.83</v>
      </c>
      <c r="G16" s="54">
        <v>21.67</v>
      </c>
      <c r="H16" s="54">
        <v>5.54</v>
      </c>
      <c r="I16" s="54">
        <v>2.42</v>
      </c>
      <c r="J16" s="54">
        <v>0.56000000000000005</v>
      </c>
      <c r="K16" s="54">
        <v>359.42</v>
      </c>
      <c r="L16" s="54">
        <v>22.92</v>
      </c>
      <c r="M16" s="54">
        <v>98.33</v>
      </c>
      <c r="N16" s="54">
        <v>61.9</v>
      </c>
      <c r="O16" s="54">
        <v>0</v>
      </c>
      <c r="P16" s="54">
        <v>0.38</v>
      </c>
      <c r="Q16" s="54">
        <v>9.27</v>
      </c>
      <c r="R16" s="43"/>
      <c r="S16" s="43"/>
      <c r="T16" s="43"/>
      <c r="U16" s="43"/>
    </row>
    <row r="17" spans="1:21" s="11" customFormat="1" x14ac:dyDescent="0.25">
      <c r="A17" s="53" t="s">
        <v>67</v>
      </c>
      <c r="B17" s="54">
        <v>8.34</v>
      </c>
      <c r="C17" s="54">
        <v>3.26</v>
      </c>
      <c r="D17" s="54">
        <v>12.15</v>
      </c>
      <c r="E17" s="54">
        <v>4.79</v>
      </c>
      <c r="F17" s="54">
        <v>4.16</v>
      </c>
      <c r="G17" s="54">
        <v>21.67</v>
      </c>
      <c r="H17" s="54">
        <v>5.54</v>
      </c>
      <c r="I17" s="54">
        <v>1.86</v>
      </c>
      <c r="J17" s="54">
        <v>0.51</v>
      </c>
      <c r="K17" s="54">
        <v>347.9</v>
      </c>
      <c r="L17" s="54">
        <v>23.03</v>
      </c>
      <c r="M17" s="54">
        <v>98.33</v>
      </c>
      <c r="N17" s="54">
        <v>68.8</v>
      </c>
      <c r="O17" s="54">
        <v>0</v>
      </c>
      <c r="P17" s="54">
        <v>0.32</v>
      </c>
      <c r="Q17" s="54">
        <v>9.26</v>
      </c>
      <c r="R17" s="43"/>
      <c r="S17" s="43"/>
      <c r="T17" s="43"/>
      <c r="U17" s="43"/>
    </row>
    <row r="18" spans="1:21" s="11" customFormat="1" x14ac:dyDescent="0.25">
      <c r="A18" s="53" t="s">
        <v>68</v>
      </c>
      <c r="B18" s="54">
        <v>8.36</v>
      </c>
      <c r="C18" s="54">
        <v>3.41</v>
      </c>
      <c r="D18" s="54">
        <v>12.26</v>
      </c>
      <c r="E18" s="54">
        <v>4.68</v>
      </c>
      <c r="F18" s="54">
        <v>5.04</v>
      </c>
      <c r="G18" s="54">
        <v>15.25</v>
      </c>
      <c r="H18" s="54">
        <v>4.99</v>
      </c>
      <c r="I18" s="54">
        <v>1.85</v>
      </c>
      <c r="J18" s="54">
        <v>0.71</v>
      </c>
      <c r="K18" s="54">
        <v>358.27</v>
      </c>
      <c r="L18" s="54">
        <v>23.38</v>
      </c>
      <c r="M18" s="54">
        <v>98.28</v>
      </c>
      <c r="N18" s="54">
        <v>139.1</v>
      </c>
      <c r="O18" s="54">
        <v>0</v>
      </c>
      <c r="P18" s="54">
        <v>0.34</v>
      </c>
      <c r="Q18" s="54">
        <v>9.25</v>
      </c>
      <c r="R18" s="43"/>
      <c r="S18" s="43"/>
      <c r="T18" s="43"/>
      <c r="U18" s="43"/>
    </row>
    <row r="19" spans="1:21" s="11" customFormat="1" x14ac:dyDescent="0.25">
      <c r="A19" s="53" t="s">
        <v>69</v>
      </c>
      <c r="B19" s="54">
        <v>8.3699999999999992</v>
      </c>
      <c r="C19" s="54">
        <v>3.42</v>
      </c>
      <c r="D19" s="54">
        <v>12.27</v>
      </c>
      <c r="E19" s="54">
        <v>4.53</v>
      </c>
      <c r="F19" s="54">
        <v>4.53</v>
      </c>
      <c r="G19" s="54">
        <v>20.76</v>
      </c>
      <c r="H19" s="54">
        <v>3.49</v>
      </c>
      <c r="I19" s="54">
        <v>1.64</v>
      </c>
      <c r="J19" s="54">
        <v>0.52</v>
      </c>
      <c r="K19" s="54">
        <v>11.46</v>
      </c>
      <c r="L19" s="54">
        <v>24.38</v>
      </c>
      <c r="M19" s="54">
        <v>96.15</v>
      </c>
      <c r="N19" s="54">
        <v>185.9</v>
      </c>
      <c r="O19" s="54">
        <v>0</v>
      </c>
      <c r="P19" s="54">
        <v>0.35</v>
      </c>
      <c r="Q19" s="54">
        <v>9.2200000000000006</v>
      </c>
      <c r="R19" s="43"/>
      <c r="S19" s="43"/>
      <c r="T19" s="43"/>
      <c r="U19" s="43"/>
    </row>
    <row r="20" spans="1:21" s="11" customFormat="1" x14ac:dyDescent="0.25">
      <c r="A20" s="53" t="s">
        <v>70</v>
      </c>
      <c r="B20" s="54">
        <v>8.3699999999999992</v>
      </c>
      <c r="C20" s="54">
        <v>3.48</v>
      </c>
      <c r="D20" s="54">
        <v>12.31</v>
      </c>
      <c r="E20" s="54">
        <v>4.67</v>
      </c>
      <c r="F20" s="54">
        <v>5.57</v>
      </c>
      <c r="G20" s="54">
        <v>25.17</v>
      </c>
      <c r="H20" s="54">
        <v>8.4700000000000006</v>
      </c>
      <c r="I20" s="54">
        <v>1.56</v>
      </c>
      <c r="J20" s="54">
        <v>0.68</v>
      </c>
      <c r="K20" s="54">
        <v>359.47</v>
      </c>
      <c r="L20" s="54">
        <v>25.74</v>
      </c>
      <c r="M20" s="54">
        <v>90.82</v>
      </c>
      <c r="N20" s="54">
        <v>324.39999999999998</v>
      </c>
      <c r="O20" s="54">
        <v>0</v>
      </c>
      <c r="P20" s="54">
        <v>0.39</v>
      </c>
      <c r="Q20" s="54">
        <v>9.26</v>
      </c>
      <c r="R20" s="43"/>
      <c r="S20" s="43"/>
      <c r="T20" s="43"/>
      <c r="U20" s="43"/>
    </row>
    <row r="21" spans="1:21" s="11" customFormat="1" x14ac:dyDescent="0.25">
      <c r="A21" s="53" t="s">
        <v>71</v>
      </c>
      <c r="B21" s="54">
        <v>8.3000000000000007</v>
      </c>
      <c r="C21" s="54">
        <v>3.27</v>
      </c>
      <c r="D21" s="54">
        <v>12.14</v>
      </c>
      <c r="E21" s="54">
        <v>4.4000000000000004</v>
      </c>
      <c r="F21" s="54">
        <v>7.3</v>
      </c>
      <c r="G21" s="54">
        <v>30.69</v>
      </c>
      <c r="H21" s="54">
        <v>10.19</v>
      </c>
      <c r="I21" s="54">
        <v>1.38</v>
      </c>
      <c r="J21" s="54">
        <v>0.66</v>
      </c>
      <c r="K21" s="54">
        <v>356.91</v>
      </c>
      <c r="L21" s="54">
        <v>27.1</v>
      </c>
      <c r="M21" s="54">
        <v>82.31</v>
      </c>
      <c r="N21" s="54">
        <v>388.4</v>
      </c>
      <c r="O21" s="54">
        <v>0</v>
      </c>
      <c r="P21" s="54">
        <v>0.39</v>
      </c>
      <c r="Q21" s="54">
        <v>9.24</v>
      </c>
      <c r="R21" s="43"/>
      <c r="S21" s="43"/>
      <c r="T21" s="43"/>
      <c r="U21" s="43"/>
    </row>
    <row r="22" spans="1:21" s="11" customFormat="1" x14ac:dyDescent="0.25">
      <c r="A22" s="53" t="s">
        <v>72</v>
      </c>
      <c r="B22" s="54">
        <v>8.2100000000000009</v>
      </c>
      <c r="C22" s="54">
        <v>3.25</v>
      </c>
      <c r="D22" s="54">
        <v>12.04</v>
      </c>
      <c r="E22" s="54">
        <v>4.6399999999999997</v>
      </c>
      <c r="F22" s="54">
        <v>6.71</v>
      </c>
      <c r="G22" s="54">
        <v>30.69</v>
      </c>
      <c r="H22" s="54">
        <v>11.69</v>
      </c>
      <c r="I22" s="54">
        <v>1.37</v>
      </c>
      <c r="J22" s="54">
        <v>0.67</v>
      </c>
      <c r="K22" s="54">
        <v>358.22</v>
      </c>
      <c r="L22" s="54">
        <v>26.84</v>
      </c>
      <c r="M22" s="54">
        <v>80.25</v>
      </c>
      <c r="N22" s="54">
        <v>303.3</v>
      </c>
      <c r="O22" s="54">
        <v>0</v>
      </c>
      <c r="P22" s="54">
        <v>0.39</v>
      </c>
      <c r="Q22" s="54">
        <v>9.3000000000000007</v>
      </c>
      <c r="R22" s="43"/>
      <c r="S22" s="43"/>
      <c r="T22" s="43"/>
      <c r="U22" s="43"/>
    </row>
    <row r="23" spans="1:21" s="11" customFormat="1" x14ac:dyDescent="0.25">
      <c r="A23" s="53" t="s">
        <v>73</v>
      </c>
      <c r="B23" s="54">
        <v>8.19</v>
      </c>
      <c r="C23" s="54">
        <v>3.21</v>
      </c>
      <c r="D23" s="54">
        <v>12.02</v>
      </c>
      <c r="E23" s="54">
        <v>4.6399999999999997</v>
      </c>
      <c r="F23" s="54">
        <v>7.02</v>
      </c>
      <c r="G23" s="54">
        <v>26.4</v>
      </c>
      <c r="H23" s="54">
        <v>11.69</v>
      </c>
      <c r="I23" s="54">
        <v>1.28</v>
      </c>
      <c r="J23" s="54">
        <v>0.56999999999999995</v>
      </c>
      <c r="K23" s="54">
        <v>359.68</v>
      </c>
      <c r="L23" s="54">
        <v>27.04</v>
      </c>
      <c r="M23" s="54">
        <v>79.459999999999994</v>
      </c>
      <c r="N23" s="54">
        <v>319.5</v>
      </c>
      <c r="O23" s="54">
        <v>0</v>
      </c>
      <c r="P23" s="54">
        <v>0.35</v>
      </c>
      <c r="Q23" s="54">
        <v>9.2899999999999991</v>
      </c>
      <c r="R23" s="43"/>
      <c r="S23" s="43"/>
      <c r="T23" s="43"/>
      <c r="U23" s="43"/>
    </row>
    <row r="24" spans="1:21" s="11" customFormat="1" x14ac:dyDescent="0.25">
      <c r="A24" s="53" t="s">
        <v>74</v>
      </c>
      <c r="B24" s="54">
        <v>8.2200000000000006</v>
      </c>
      <c r="C24" s="54">
        <v>3.3</v>
      </c>
      <c r="D24" s="54">
        <v>12.09</v>
      </c>
      <c r="E24" s="54">
        <v>4.66</v>
      </c>
      <c r="F24" s="54">
        <v>8.31</v>
      </c>
      <c r="G24" s="54">
        <v>54.4</v>
      </c>
      <c r="H24" s="54">
        <v>14.09</v>
      </c>
      <c r="I24" s="54">
        <v>1.0900000000000001</v>
      </c>
      <c r="J24" s="54">
        <v>0.59</v>
      </c>
      <c r="K24" s="54">
        <v>353.07</v>
      </c>
      <c r="L24" s="54">
        <v>27.02</v>
      </c>
      <c r="M24" s="54">
        <v>78.739999999999995</v>
      </c>
      <c r="N24" s="54">
        <v>251.9</v>
      </c>
      <c r="O24" s="54">
        <v>0</v>
      </c>
      <c r="P24" s="54">
        <v>0.36</v>
      </c>
      <c r="Q24" s="54">
        <v>9.2899999999999991</v>
      </c>
      <c r="R24" s="43"/>
      <c r="S24" s="43"/>
      <c r="T24" s="43"/>
      <c r="U24" s="43"/>
    </row>
    <row r="25" spans="1:21" s="11" customFormat="1" x14ac:dyDescent="0.25">
      <c r="A25" s="53" t="s">
        <v>75</v>
      </c>
      <c r="B25" s="54">
        <v>8.2100000000000009</v>
      </c>
      <c r="C25" s="54">
        <v>3.24</v>
      </c>
      <c r="D25" s="54">
        <v>12.05</v>
      </c>
      <c r="E25" s="54">
        <v>4.72</v>
      </c>
      <c r="F25" s="54">
        <v>5.62</v>
      </c>
      <c r="G25" s="54">
        <v>54.4</v>
      </c>
      <c r="H25" s="54">
        <v>14.09</v>
      </c>
      <c r="I25" s="54">
        <v>1.1299999999999999</v>
      </c>
      <c r="J25" s="54">
        <v>0.52</v>
      </c>
      <c r="K25" s="54">
        <v>358.32</v>
      </c>
      <c r="L25" s="54">
        <v>27.43</v>
      </c>
      <c r="M25" s="54">
        <v>78.489999999999995</v>
      </c>
      <c r="N25" s="54">
        <v>197.4</v>
      </c>
      <c r="O25" s="54">
        <v>0</v>
      </c>
      <c r="P25" s="54">
        <v>0.35</v>
      </c>
      <c r="Q25" s="54">
        <v>9.26</v>
      </c>
      <c r="R25" s="43"/>
      <c r="S25" s="43"/>
      <c r="T25" s="43"/>
      <c r="U25" s="43"/>
    </row>
    <row r="26" spans="1:21" s="11" customFormat="1" x14ac:dyDescent="0.25">
      <c r="A26" s="53" t="s">
        <v>76</v>
      </c>
      <c r="B26" s="54">
        <v>8.2100000000000009</v>
      </c>
      <c r="C26" s="54">
        <v>3.25</v>
      </c>
      <c r="D26" s="54">
        <v>12.05</v>
      </c>
      <c r="E26" s="54">
        <v>3.86</v>
      </c>
      <c r="F26" s="54">
        <v>5.7</v>
      </c>
      <c r="G26" s="54">
        <v>50.15</v>
      </c>
      <c r="H26" s="54">
        <v>12.99</v>
      </c>
      <c r="I26" s="54">
        <v>1.44</v>
      </c>
      <c r="J26" s="54">
        <v>1.04</v>
      </c>
      <c r="K26" s="54">
        <v>344.3</v>
      </c>
      <c r="L26" s="54">
        <v>26.86</v>
      </c>
      <c r="M26" s="54">
        <v>94.65</v>
      </c>
      <c r="N26" s="54">
        <v>129.19999999999999</v>
      </c>
      <c r="O26" s="54">
        <v>1.2</v>
      </c>
      <c r="P26" s="54">
        <v>0.35</v>
      </c>
      <c r="Q26" s="54">
        <v>9.2799999999999994</v>
      </c>
      <c r="R26" s="43"/>
      <c r="S26" s="43"/>
      <c r="T26" s="43"/>
      <c r="U26" s="43"/>
    </row>
    <row r="27" spans="1:21" s="11" customFormat="1" x14ac:dyDescent="0.25">
      <c r="A27" s="53" t="s">
        <v>77</v>
      </c>
      <c r="B27" s="54">
        <v>8.26</v>
      </c>
      <c r="C27" s="54">
        <v>3.36</v>
      </c>
      <c r="D27" s="54">
        <v>12.15</v>
      </c>
      <c r="E27" s="54">
        <v>3.73</v>
      </c>
      <c r="F27" s="54">
        <v>4.46</v>
      </c>
      <c r="G27" s="54">
        <v>38.659999999999997</v>
      </c>
      <c r="H27" s="54">
        <v>12.68</v>
      </c>
      <c r="I27" s="54">
        <v>1.61</v>
      </c>
      <c r="J27" s="54">
        <v>0.77</v>
      </c>
      <c r="K27" s="54">
        <v>314.22000000000003</v>
      </c>
      <c r="L27" s="54">
        <v>23.75</v>
      </c>
      <c r="M27" s="54">
        <v>98.35</v>
      </c>
      <c r="N27" s="54">
        <v>83.5</v>
      </c>
      <c r="O27" s="54">
        <v>0.2</v>
      </c>
      <c r="P27" s="54">
        <v>0.41</v>
      </c>
      <c r="Q27" s="54">
        <v>9.3699999999999992</v>
      </c>
      <c r="R27" s="43"/>
      <c r="S27" s="43"/>
      <c r="T27" s="43"/>
      <c r="U27" s="43"/>
    </row>
    <row r="28" spans="1:21" s="11" customFormat="1" x14ac:dyDescent="0.25">
      <c r="A28" s="53" t="s">
        <v>78</v>
      </c>
      <c r="B28" s="54">
        <v>8.3000000000000007</v>
      </c>
      <c r="C28" s="54">
        <v>3.51</v>
      </c>
      <c r="D28" s="54">
        <v>12.26</v>
      </c>
      <c r="E28" s="54">
        <v>3.98</v>
      </c>
      <c r="F28" s="54">
        <v>4.45</v>
      </c>
      <c r="G28" s="54">
        <v>40.93</v>
      </c>
      <c r="H28" s="54">
        <v>12.91</v>
      </c>
      <c r="I28" s="54">
        <v>2.1</v>
      </c>
      <c r="J28" s="54">
        <v>0.49</v>
      </c>
      <c r="K28" s="54">
        <v>347.19</v>
      </c>
      <c r="L28" s="54">
        <v>23.68</v>
      </c>
      <c r="M28" s="54">
        <v>98.35</v>
      </c>
      <c r="N28" s="54">
        <v>39.5</v>
      </c>
      <c r="O28" s="54">
        <v>0</v>
      </c>
      <c r="P28" s="54">
        <v>0.47</v>
      </c>
      <c r="Q28" s="54">
        <v>9.4</v>
      </c>
      <c r="R28" s="43"/>
      <c r="S28" s="43"/>
      <c r="T28" s="43"/>
      <c r="U28" s="43"/>
    </row>
    <row r="29" spans="1:21" s="11" customFormat="1" x14ac:dyDescent="0.25">
      <c r="A29" s="53" t="s">
        <v>79</v>
      </c>
      <c r="B29" s="54">
        <v>8.18</v>
      </c>
      <c r="C29" s="54">
        <v>3.18</v>
      </c>
      <c r="D29" s="54">
        <v>12</v>
      </c>
      <c r="E29" s="54">
        <v>3.92</v>
      </c>
      <c r="F29" s="54">
        <v>3.96</v>
      </c>
      <c r="G29" s="54">
        <v>40.93</v>
      </c>
      <c r="H29" s="54">
        <v>12.91</v>
      </c>
      <c r="I29" s="54">
        <v>2.37</v>
      </c>
      <c r="J29" s="54">
        <v>0.16</v>
      </c>
      <c r="K29" s="54">
        <v>342.3</v>
      </c>
      <c r="L29" s="54">
        <v>23.51</v>
      </c>
      <c r="M29" s="54">
        <v>98.33</v>
      </c>
      <c r="N29" s="54">
        <v>18.2</v>
      </c>
      <c r="O29" s="54">
        <v>0</v>
      </c>
      <c r="P29" s="54">
        <v>0.46</v>
      </c>
      <c r="Q29" s="54">
        <v>9.39</v>
      </c>
      <c r="R29" s="43"/>
      <c r="S29" s="43"/>
      <c r="T29" s="43"/>
      <c r="U29" s="43"/>
    </row>
    <row r="30" spans="1:21" s="11" customFormat="1" x14ac:dyDescent="0.25">
      <c r="A30" s="53" t="s">
        <v>80</v>
      </c>
      <c r="B30" s="54">
        <v>8.2200000000000006</v>
      </c>
      <c r="C30" s="54">
        <v>3.21</v>
      </c>
      <c r="D30" s="54">
        <v>12.04</v>
      </c>
      <c r="E30" s="54">
        <v>3.22</v>
      </c>
      <c r="F30" s="54">
        <v>3.58</v>
      </c>
      <c r="G30" s="54">
        <v>34.380000000000003</v>
      </c>
      <c r="H30" s="54">
        <v>11.36</v>
      </c>
      <c r="I30" s="54">
        <v>3.32</v>
      </c>
      <c r="J30" s="54">
        <v>0.25</v>
      </c>
      <c r="K30" s="54">
        <v>310.29000000000002</v>
      </c>
      <c r="L30" s="54">
        <v>23.63</v>
      </c>
      <c r="M30" s="54">
        <v>98.34</v>
      </c>
      <c r="N30" s="54">
        <v>18.100000000000001</v>
      </c>
      <c r="O30" s="54">
        <v>0</v>
      </c>
      <c r="P30" s="54">
        <v>0.45</v>
      </c>
      <c r="Q30" s="54">
        <v>9.36</v>
      </c>
      <c r="R30" s="43"/>
      <c r="S30" s="43"/>
      <c r="T30" s="43"/>
      <c r="U30" s="43"/>
    </row>
    <row r="31" spans="1:21" s="11" customFormat="1" x14ac:dyDescent="0.25">
      <c r="A31" s="53" t="s">
        <v>81</v>
      </c>
      <c r="B31" s="54">
        <v>8.31</v>
      </c>
      <c r="C31" s="54">
        <v>3.34</v>
      </c>
      <c r="D31" s="54">
        <v>12.18</v>
      </c>
      <c r="E31" s="54">
        <v>3.23</v>
      </c>
      <c r="F31" s="54">
        <v>4</v>
      </c>
      <c r="G31" s="54">
        <v>34.380000000000003</v>
      </c>
      <c r="H31" s="54">
        <v>11.1</v>
      </c>
      <c r="I31" s="54">
        <v>4.0599999999999996</v>
      </c>
      <c r="J31" s="54">
        <v>0.28999999999999998</v>
      </c>
      <c r="K31" s="54">
        <v>359.76</v>
      </c>
      <c r="L31" s="54">
        <v>23.69</v>
      </c>
      <c r="M31" s="54">
        <v>98.34</v>
      </c>
      <c r="N31" s="54">
        <v>18.100000000000001</v>
      </c>
      <c r="O31" s="54">
        <v>0</v>
      </c>
      <c r="P31" s="54">
        <v>0.45</v>
      </c>
      <c r="Q31" s="54">
        <v>9.4</v>
      </c>
      <c r="R31" s="43"/>
      <c r="S31" s="43"/>
      <c r="T31" s="43"/>
      <c r="U31" s="43"/>
    </row>
    <row r="32" spans="1:21" s="11" customFormat="1" x14ac:dyDescent="0.25">
      <c r="A32" s="53" t="s">
        <v>82</v>
      </c>
      <c r="B32" s="54">
        <v>8.24</v>
      </c>
      <c r="C32" s="54">
        <v>3.32</v>
      </c>
      <c r="D32" s="54">
        <v>12.11</v>
      </c>
      <c r="E32" s="54">
        <v>3.69</v>
      </c>
      <c r="F32" s="54">
        <v>4.18</v>
      </c>
      <c r="G32" s="54">
        <v>34.130000000000003</v>
      </c>
      <c r="H32" s="54">
        <v>11.1</v>
      </c>
      <c r="I32" s="54">
        <v>4.37</v>
      </c>
      <c r="J32" s="54">
        <v>0.41</v>
      </c>
      <c r="K32" s="54">
        <v>147.77000000000001</v>
      </c>
      <c r="L32" s="54">
        <v>23.61</v>
      </c>
      <c r="M32" s="54">
        <v>98.35</v>
      </c>
      <c r="N32" s="54">
        <v>18.100000000000001</v>
      </c>
      <c r="O32" s="54">
        <v>0</v>
      </c>
      <c r="P32" s="54">
        <v>0.45</v>
      </c>
      <c r="Q32" s="54">
        <v>9.39</v>
      </c>
      <c r="R32" s="43"/>
      <c r="S32" s="43"/>
      <c r="T32" s="43"/>
      <c r="U32" s="43"/>
    </row>
    <row r="33" spans="1:21" s="21" customFormat="1" x14ac:dyDescent="0.25">
      <c r="A33" s="57" t="s">
        <v>83</v>
      </c>
      <c r="B33" s="58">
        <v>8.2899999999999991</v>
      </c>
      <c r="C33" s="58">
        <v>3.36</v>
      </c>
      <c r="D33" s="58">
        <v>12.18</v>
      </c>
      <c r="E33" s="58">
        <v>3.43</v>
      </c>
      <c r="F33" s="58">
        <v>3.94</v>
      </c>
      <c r="G33" s="58">
        <v>30.39</v>
      </c>
      <c r="H33" s="58">
        <v>9.65</v>
      </c>
      <c r="I33" s="58">
        <v>4.1399999999999997</v>
      </c>
      <c r="J33" s="58">
        <v>0.2</v>
      </c>
      <c r="K33" s="58">
        <v>339.93</v>
      </c>
      <c r="L33" s="58">
        <v>23.75</v>
      </c>
      <c r="M33" s="58">
        <v>98.33</v>
      </c>
      <c r="N33" s="58">
        <v>18.100000000000001</v>
      </c>
      <c r="O33" s="58">
        <v>0</v>
      </c>
      <c r="P33" s="58">
        <v>0.42</v>
      </c>
      <c r="Q33" s="58">
        <v>9.39</v>
      </c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8.18</v>
      </c>
      <c r="C34" s="28">
        <f t="shared" si="0"/>
        <v>3.18</v>
      </c>
      <c r="D34" s="28">
        <f t="shared" si="0"/>
        <v>12</v>
      </c>
      <c r="E34" s="28">
        <f t="shared" si="0"/>
        <v>3.22</v>
      </c>
      <c r="F34" s="28">
        <f t="shared" si="0"/>
        <v>3.58</v>
      </c>
      <c r="G34" s="28">
        <f t="shared" si="0"/>
        <v>15.25</v>
      </c>
      <c r="H34" s="28">
        <f t="shared" si="0"/>
        <v>3.49</v>
      </c>
      <c r="I34" s="28">
        <f t="shared" si="0"/>
        <v>1.0900000000000001</v>
      </c>
      <c r="J34" s="28">
        <f t="shared" si="0"/>
        <v>0.16</v>
      </c>
      <c r="K34" s="28">
        <f t="shared" si="0"/>
        <v>11.46</v>
      </c>
      <c r="L34" s="28">
        <f t="shared" si="0"/>
        <v>22.92</v>
      </c>
      <c r="M34" s="28">
        <f t="shared" si="0"/>
        <v>78.489999999999995</v>
      </c>
      <c r="N34" s="28">
        <f t="shared" si="0"/>
        <v>17.5</v>
      </c>
      <c r="O34" s="28">
        <f t="shared" si="0"/>
        <v>0</v>
      </c>
      <c r="P34" s="28">
        <f t="shared" si="0"/>
        <v>0.31</v>
      </c>
      <c r="Q34" s="28">
        <f t="shared" si="0"/>
        <v>9.2200000000000006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8.41</v>
      </c>
      <c r="C35" s="29">
        <f t="shared" si="1"/>
        <v>3.56</v>
      </c>
      <c r="D35" s="29">
        <f t="shared" si="1"/>
        <v>12.37</v>
      </c>
      <c r="E35" s="29">
        <f t="shared" si="1"/>
        <v>4.97</v>
      </c>
      <c r="F35" s="29">
        <f t="shared" si="1"/>
        <v>8.31</v>
      </c>
      <c r="G35" s="29">
        <f t="shared" si="1"/>
        <v>54.4</v>
      </c>
      <c r="H35" s="29">
        <f t="shared" si="1"/>
        <v>14.09</v>
      </c>
      <c r="I35" s="29">
        <f t="shared" si="1"/>
        <v>4.9400000000000004</v>
      </c>
      <c r="J35" s="29">
        <f t="shared" si="1"/>
        <v>1.64</v>
      </c>
      <c r="K35" s="29">
        <f t="shared" si="1"/>
        <v>359.76</v>
      </c>
      <c r="L35" s="29">
        <f t="shared" si="1"/>
        <v>27.43</v>
      </c>
      <c r="M35" s="29">
        <f t="shared" si="1"/>
        <v>98.39</v>
      </c>
      <c r="N35" s="29">
        <f t="shared" si="1"/>
        <v>388.4</v>
      </c>
      <c r="O35" s="29">
        <f t="shared" si="1"/>
        <v>1.2</v>
      </c>
      <c r="P35" s="29">
        <f t="shared" si="1"/>
        <v>0.47</v>
      </c>
      <c r="Q35" s="29">
        <f t="shared" si="1"/>
        <v>9.4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8.2960869565217408</v>
      </c>
      <c r="C36" s="28">
        <f t="shared" si="2"/>
        <v>3.3195652173913039</v>
      </c>
      <c r="D36" s="28">
        <f t="shared" si="2"/>
        <v>12.157391304347826</v>
      </c>
      <c r="E36" s="28">
        <f t="shared" si="2"/>
        <v>4.1795652173913052</v>
      </c>
      <c r="F36" s="28">
        <f t="shared" si="2"/>
        <v>5.0134782608695643</v>
      </c>
      <c r="G36" s="28">
        <f t="shared" si="2"/>
        <v>29.996521739130429</v>
      </c>
      <c r="H36" s="28">
        <f t="shared" si="2"/>
        <v>9.2052173913043465</v>
      </c>
      <c r="I36" s="28">
        <f t="shared" si="2"/>
        <v>2.5443478260869568</v>
      </c>
      <c r="J36" s="28">
        <f t="shared" si="2"/>
        <v>0.62304347826086959</v>
      </c>
      <c r="K36" s="28">
        <f t="shared" si="2"/>
        <v>310.1013043478261</v>
      </c>
      <c r="L36" s="28">
        <f t="shared" si="2"/>
        <v>24.496956521739133</v>
      </c>
      <c r="M36" s="28">
        <f t="shared" si="2"/>
        <v>93.699565217391296</v>
      </c>
      <c r="N36" s="28">
        <f t="shared" si="2"/>
        <v>116.73043478260867</v>
      </c>
      <c r="O36" s="28">
        <f t="shared" si="2"/>
        <v>6.08695652173913E-2</v>
      </c>
      <c r="P36" s="28">
        <f t="shared" si="2"/>
        <v>0.38347826086956516</v>
      </c>
      <c r="Q36" s="28">
        <f t="shared" si="2"/>
        <v>9.3052173913043497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7.2283477958456827E-2</v>
      </c>
      <c r="C37" s="28">
        <f t="shared" ref="C37:Q37" si="3">STDEV(C9:C32)</f>
        <v>0.1016892888285221</v>
      </c>
      <c r="D37" s="28">
        <f t="shared" si="3"/>
        <v>9.9096710857458803E-2</v>
      </c>
      <c r="E37" s="28">
        <f t="shared" si="3"/>
        <v>0.58475696786139142</v>
      </c>
      <c r="F37" s="28">
        <f t="shared" si="3"/>
        <v>1.2727229531264983</v>
      </c>
      <c r="G37" s="28">
        <f t="shared" si="3"/>
        <v>12.010075924631593</v>
      </c>
      <c r="H37" s="28">
        <f t="shared" si="3"/>
        <v>3.448307713496078</v>
      </c>
      <c r="I37" s="28">
        <f t="shared" si="3"/>
        <v>1.2863084109432066</v>
      </c>
      <c r="J37" s="28">
        <f t="shared" si="3"/>
        <v>0.30600705254214916</v>
      </c>
      <c r="K37" s="28">
        <f t="shared" si="3"/>
        <v>94.172704996740634</v>
      </c>
      <c r="L37" s="28">
        <f t="shared" si="3"/>
        <v>1.6504391558353866</v>
      </c>
      <c r="M37" s="28">
        <f t="shared" si="3"/>
        <v>7.6849377345681678</v>
      </c>
      <c r="N37" s="28">
        <f t="shared" si="3"/>
        <v>122.60571481112872</v>
      </c>
      <c r="O37" s="28">
        <f t="shared" si="3"/>
        <v>0.25179199646963762</v>
      </c>
      <c r="P37" s="28">
        <f t="shared" si="3"/>
        <v>4.6574348739132874E-2</v>
      </c>
      <c r="Q37" s="28">
        <f t="shared" si="3"/>
        <v>5.8919788712929778E-2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COUNT(B9:B33)</f>
        <v>24</v>
      </c>
      <c r="C38" s="32">
        <f t="shared" ref="C38:Q38" si="4">COUNT(C9:C33)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101</v>
      </c>
      <c r="B9" s="54">
        <v>8.33</v>
      </c>
      <c r="C9" s="54">
        <v>3.3</v>
      </c>
      <c r="D9" s="54">
        <v>12.18</v>
      </c>
      <c r="E9" s="54">
        <v>3.84</v>
      </c>
      <c r="F9" s="54">
        <v>3.53</v>
      </c>
      <c r="G9" s="54">
        <v>30.39</v>
      </c>
      <c r="H9" s="54">
        <v>7.68</v>
      </c>
      <c r="I9" s="54">
        <v>3.77</v>
      </c>
      <c r="J9" s="54">
        <v>0.2</v>
      </c>
      <c r="K9" s="54">
        <v>241.29</v>
      </c>
      <c r="L9" s="54">
        <v>23.91</v>
      </c>
      <c r="M9" s="54">
        <v>98.33</v>
      </c>
      <c r="N9" s="54">
        <v>18</v>
      </c>
      <c r="O9" s="54">
        <v>0</v>
      </c>
      <c r="P9" s="54">
        <v>0.38</v>
      </c>
      <c r="Q9" s="54">
        <v>9.3699999999999992</v>
      </c>
      <c r="R9" s="43"/>
      <c r="S9" s="43"/>
      <c r="T9" s="43"/>
      <c r="U9" s="43"/>
    </row>
    <row r="10" spans="1:21" s="11" customFormat="1" x14ac:dyDescent="0.25">
      <c r="A10" s="53" t="s">
        <v>102</v>
      </c>
      <c r="B10" s="54">
        <v>8.2799999999999994</v>
      </c>
      <c r="C10" s="54">
        <v>3.24</v>
      </c>
      <c r="D10" s="54">
        <v>12.09</v>
      </c>
      <c r="E10" s="54">
        <v>3.83</v>
      </c>
      <c r="F10" s="54">
        <v>3.95</v>
      </c>
      <c r="G10" s="54">
        <v>25.74</v>
      </c>
      <c r="H10" s="54">
        <v>5.8</v>
      </c>
      <c r="I10" s="54">
        <v>3.78</v>
      </c>
      <c r="J10" s="54">
        <v>0.22</v>
      </c>
      <c r="K10" s="54">
        <v>348.94</v>
      </c>
      <c r="L10" s="54">
        <v>24.07</v>
      </c>
      <c r="M10" s="54">
        <v>98.28</v>
      </c>
      <c r="N10" s="54">
        <v>18.100000000000001</v>
      </c>
      <c r="O10" s="54">
        <v>0</v>
      </c>
      <c r="P10" s="54">
        <v>0.34</v>
      </c>
      <c r="Q10" s="54">
        <v>9.3800000000000008</v>
      </c>
      <c r="R10" s="43"/>
      <c r="S10" s="43"/>
      <c r="T10" s="43"/>
      <c r="U10" s="43"/>
    </row>
    <row r="11" spans="1:21" s="11" customFormat="1" x14ac:dyDescent="0.25">
      <c r="A11" s="53" t="s">
        <v>103</v>
      </c>
      <c r="B11" s="54">
        <v>8.19</v>
      </c>
      <c r="C11" s="54">
        <v>3.16</v>
      </c>
      <c r="D11" s="54">
        <v>11.97</v>
      </c>
      <c r="E11" s="54">
        <v>4.0999999999999996</v>
      </c>
      <c r="F11" s="54">
        <v>5.61</v>
      </c>
      <c r="G11" s="54">
        <v>23.17</v>
      </c>
      <c r="H11" s="54">
        <v>4.0599999999999996</v>
      </c>
      <c r="I11" s="54">
        <v>3.59</v>
      </c>
      <c r="J11" s="54">
        <v>0.56999999999999995</v>
      </c>
      <c r="K11" s="54">
        <v>343.78</v>
      </c>
      <c r="L11" s="54">
        <v>23.6</v>
      </c>
      <c r="M11" s="54">
        <v>94.34</v>
      </c>
      <c r="N11" s="54">
        <v>17.8</v>
      </c>
      <c r="O11" s="54">
        <v>0</v>
      </c>
      <c r="P11" s="54">
        <v>0.3</v>
      </c>
      <c r="Q11" s="54">
        <v>9.34</v>
      </c>
      <c r="R11" s="43"/>
      <c r="S11" s="43"/>
      <c r="T11" s="43"/>
      <c r="U11" s="43"/>
    </row>
    <row r="12" spans="1:21" s="11" customFormat="1" x14ac:dyDescent="0.25">
      <c r="A12" s="53" t="s">
        <v>104</v>
      </c>
      <c r="B12" s="54">
        <v>8.24</v>
      </c>
      <c r="C12" s="54">
        <v>3.34</v>
      </c>
      <c r="D12" s="54">
        <v>12.12</v>
      </c>
      <c r="E12" s="54">
        <v>3.61</v>
      </c>
      <c r="F12" s="54">
        <v>5.42</v>
      </c>
      <c r="G12" s="54">
        <v>23.17</v>
      </c>
      <c r="H12" s="54">
        <v>3.68</v>
      </c>
      <c r="I12" s="54">
        <v>2.54</v>
      </c>
      <c r="J12" s="54">
        <v>0.52</v>
      </c>
      <c r="K12" s="54">
        <v>350.75</v>
      </c>
      <c r="L12" s="54">
        <v>22.83</v>
      </c>
      <c r="M12" s="54">
        <v>95.37</v>
      </c>
      <c r="N12" s="54">
        <v>17.8</v>
      </c>
      <c r="O12" s="54">
        <v>0</v>
      </c>
      <c r="P12" s="54">
        <v>0.24</v>
      </c>
      <c r="Q12" s="54">
        <v>9.24</v>
      </c>
      <c r="R12" s="43"/>
      <c r="S12" s="43"/>
      <c r="T12" s="43"/>
      <c r="U12" s="43"/>
    </row>
    <row r="13" spans="1:21" s="11" customFormat="1" x14ac:dyDescent="0.25">
      <c r="A13" s="53" t="s">
        <v>105</v>
      </c>
      <c r="B13" s="54">
        <v>8.17</v>
      </c>
      <c r="C13" s="54">
        <v>3.14</v>
      </c>
      <c r="D13" s="54">
        <v>11.97</v>
      </c>
      <c r="E13" s="54">
        <v>3.75</v>
      </c>
      <c r="F13" s="54">
        <v>4.7300000000000004</v>
      </c>
      <c r="G13" s="54">
        <v>16.32</v>
      </c>
      <c r="H13" s="54">
        <v>2.98</v>
      </c>
      <c r="I13" s="54">
        <v>1.75</v>
      </c>
      <c r="J13" s="54">
        <v>0.51</v>
      </c>
      <c r="K13" s="54">
        <v>2.85</v>
      </c>
      <c r="L13" s="54">
        <v>22.22</v>
      </c>
      <c r="M13" s="54">
        <v>98.3</v>
      </c>
      <c r="N13" s="54">
        <v>17.5</v>
      </c>
      <c r="O13" s="54">
        <v>0</v>
      </c>
      <c r="P13" s="54">
        <v>0.23</v>
      </c>
      <c r="Q13" s="54">
        <v>9.25</v>
      </c>
      <c r="R13" s="43"/>
      <c r="S13" s="43"/>
      <c r="T13" s="43"/>
      <c r="U13" s="43"/>
    </row>
    <row r="14" spans="1:21" s="11" customFormat="1" x14ac:dyDescent="0.25">
      <c r="A14" s="53" t="s">
        <v>106</v>
      </c>
      <c r="B14" s="54">
        <v>8.24</v>
      </c>
      <c r="C14" s="54">
        <v>3.17</v>
      </c>
      <c r="D14" s="54">
        <v>12.04</v>
      </c>
      <c r="E14" s="54">
        <v>3.96</v>
      </c>
      <c r="F14" s="54">
        <v>3.77</v>
      </c>
      <c r="G14" s="54">
        <v>15.26</v>
      </c>
      <c r="H14" s="54">
        <v>2.08</v>
      </c>
      <c r="I14" s="54">
        <v>1.34</v>
      </c>
      <c r="J14" s="54">
        <v>0.52</v>
      </c>
      <c r="K14" s="54">
        <v>351.85</v>
      </c>
      <c r="L14" s="54">
        <v>22.22</v>
      </c>
      <c r="M14" s="54">
        <v>98.33</v>
      </c>
      <c r="N14" s="54">
        <v>30.1</v>
      </c>
      <c r="O14" s="54">
        <v>0</v>
      </c>
      <c r="P14" s="54">
        <v>0.21</v>
      </c>
      <c r="Q14" s="54">
        <v>9.2200000000000006</v>
      </c>
      <c r="R14" s="43"/>
      <c r="S14" s="43"/>
      <c r="T14" s="43"/>
      <c r="U14" s="43"/>
    </row>
    <row r="15" spans="1:21" s="11" customFormat="1" x14ac:dyDescent="0.25">
      <c r="A15" s="53" t="s">
        <v>107</v>
      </c>
      <c r="B15" s="54">
        <v>8.25</v>
      </c>
      <c r="C15" s="54">
        <v>3.14</v>
      </c>
      <c r="D15" s="54">
        <v>12.03</v>
      </c>
      <c r="E15" s="54">
        <v>3.77</v>
      </c>
      <c r="F15" s="54">
        <v>3.6</v>
      </c>
      <c r="G15" s="54">
        <v>19.36</v>
      </c>
      <c r="H15" s="54">
        <v>1.5</v>
      </c>
      <c r="I15" s="54">
        <v>1.86</v>
      </c>
      <c r="J15" s="54">
        <v>0.22</v>
      </c>
      <c r="K15" s="54">
        <v>310.16000000000003</v>
      </c>
      <c r="L15" s="54">
        <v>22.39</v>
      </c>
      <c r="M15" s="54">
        <v>98.33</v>
      </c>
      <c r="N15" s="54">
        <v>67.5</v>
      </c>
      <c r="O15" s="54">
        <v>0</v>
      </c>
      <c r="P15" s="54">
        <v>0.23</v>
      </c>
      <c r="Q15" s="54">
        <v>9.25</v>
      </c>
      <c r="R15" s="43"/>
      <c r="S15" s="43"/>
      <c r="T15" s="43"/>
      <c r="U15" s="43"/>
    </row>
    <row r="16" spans="1:21" s="11" customFormat="1" x14ac:dyDescent="0.25">
      <c r="A16" s="53" t="s">
        <v>108</v>
      </c>
      <c r="B16" s="54">
        <v>8.3000000000000007</v>
      </c>
      <c r="C16" s="54">
        <v>3.41</v>
      </c>
      <c r="D16" s="54">
        <v>12.21</v>
      </c>
      <c r="E16" s="54">
        <v>4.22</v>
      </c>
      <c r="F16" s="54">
        <v>4.41</v>
      </c>
      <c r="G16" s="54">
        <v>19.57</v>
      </c>
      <c r="H16" s="54">
        <v>5.14</v>
      </c>
      <c r="I16" s="54">
        <v>2.2400000000000002</v>
      </c>
      <c r="J16" s="54">
        <v>0.32</v>
      </c>
      <c r="K16" s="54">
        <v>201.37</v>
      </c>
      <c r="L16" s="54">
        <v>22.72</v>
      </c>
      <c r="M16" s="54">
        <v>98.32</v>
      </c>
      <c r="N16" s="54">
        <v>104.5</v>
      </c>
      <c r="O16" s="54">
        <v>0.2</v>
      </c>
      <c r="P16" s="54">
        <v>0.28000000000000003</v>
      </c>
      <c r="Q16" s="54">
        <v>9.24</v>
      </c>
      <c r="R16" s="43"/>
      <c r="S16" s="43"/>
      <c r="T16" s="43"/>
      <c r="U16" s="43"/>
    </row>
    <row r="17" spans="1:21" s="11" customFormat="1" x14ac:dyDescent="0.25">
      <c r="A17" s="53" t="s">
        <v>109</v>
      </c>
      <c r="B17" s="54">
        <v>8.23</v>
      </c>
      <c r="C17" s="54">
        <v>3.29</v>
      </c>
      <c r="D17" s="54">
        <v>12.09</v>
      </c>
      <c r="E17" s="54">
        <v>4.3099999999999996</v>
      </c>
      <c r="F17" s="54">
        <v>4.3099999999999996</v>
      </c>
      <c r="G17" s="54">
        <v>19.57</v>
      </c>
      <c r="H17" s="54">
        <v>5.14</v>
      </c>
      <c r="I17" s="54">
        <v>2.2999999999999998</v>
      </c>
      <c r="J17" s="54">
        <v>0.54</v>
      </c>
      <c r="K17" s="54">
        <v>174.35</v>
      </c>
      <c r="L17" s="54">
        <v>23.31</v>
      </c>
      <c r="M17" s="54">
        <v>98.12</v>
      </c>
      <c r="N17" s="54">
        <v>195.3</v>
      </c>
      <c r="O17" s="54">
        <v>0</v>
      </c>
      <c r="P17" s="54">
        <v>0.28999999999999998</v>
      </c>
      <c r="Q17" s="54">
        <v>9.26</v>
      </c>
      <c r="R17" s="43"/>
      <c r="S17" s="43"/>
      <c r="T17" s="43"/>
      <c r="U17" s="43"/>
    </row>
    <row r="18" spans="1:21" s="11" customFormat="1" x14ac:dyDescent="0.25">
      <c r="A18" s="53" t="s">
        <v>110</v>
      </c>
      <c r="B18" s="54">
        <v>8.23</v>
      </c>
      <c r="C18" s="54">
        <v>3.21</v>
      </c>
      <c r="D18" s="54">
        <v>12.05</v>
      </c>
      <c r="E18" s="54">
        <v>4.54</v>
      </c>
      <c r="F18" s="54">
        <v>4.07</v>
      </c>
      <c r="G18" s="54">
        <v>20.47</v>
      </c>
      <c r="H18" s="54">
        <v>7.64</v>
      </c>
      <c r="I18" s="54">
        <v>2.36</v>
      </c>
      <c r="J18" s="54">
        <v>0.2</v>
      </c>
      <c r="K18" s="54">
        <v>335.7</v>
      </c>
      <c r="L18" s="54">
        <v>25.49</v>
      </c>
      <c r="M18" s="54">
        <v>95.65</v>
      </c>
      <c r="N18" s="54">
        <v>395.2</v>
      </c>
      <c r="O18" s="54">
        <v>0</v>
      </c>
      <c r="P18" s="54">
        <v>0.28999999999999998</v>
      </c>
      <c r="Q18" s="54">
        <v>9.26</v>
      </c>
      <c r="R18" s="43"/>
      <c r="S18" s="43"/>
      <c r="T18" s="43"/>
      <c r="U18" s="43"/>
    </row>
    <row r="19" spans="1:21" s="11" customFormat="1" x14ac:dyDescent="0.25">
      <c r="A19" s="53" t="s">
        <v>111</v>
      </c>
      <c r="B19" s="54">
        <v>8.25</v>
      </c>
      <c r="C19" s="54">
        <v>3.23</v>
      </c>
      <c r="D19" s="54">
        <v>12.08</v>
      </c>
      <c r="E19" s="54">
        <v>4.32</v>
      </c>
      <c r="F19" s="54">
        <v>5.23</v>
      </c>
      <c r="G19" s="54">
        <v>32.299999999999997</v>
      </c>
      <c r="H19" s="54">
        <v>7.64</v>
      </c>
      <c r="I19" s="54">
        <v>2.17</v>
      </c>
      <c r="J19" s="54">
        <v>0.69</v>
      </c>
      <c r="K19" s="54">
        <v>348.96</v>
      </c>
      <c r="L19" s="54">
        <v>27.56</v>
      </c>
      <c r="M19" s="54">
        <v>84.36</v>
      </c>
      <c r="N19" s="54">
        <v>632.5</v>
      </c>
      <c r="O19" s="54">
        <v>0</v>
      </c>
      <c r="P19" s="54">
        <v>0.33</v>
      </c>
      <c r="Q19" s="54">
        <v>9.24</v>
      </c>
      <c r="R19" s="43"/>
      <c r="S19" s="43"/>
      <c r="T19" s="43"/>
      <c r="U19" s="43"/>
    </row>
    <row r="20" spans="1:21" s="11" customFormat="1" x14ac:dyDescent="0.25">
      <c r="A20" s="53" t="s">
        <v>112</v>
      </c>
      <c r="B20" s="54">
        <v>8.23</v>
      </c>
      <c r="C20" s="54">
        <v>3.24</v>
      </c>
      <c r="D20" s="54">
        <v>12.04</v>
      </c>
      <c r="E20" s="54">
        <v>4.4000000000000004</v>
      </c>
      <c r="F20" s="54">
        <v>6.28</v>
      </c>
      <c r="G20" s="54">
        <v>33.92</v>
      </c>
      <c r="H20" s="54">
        <v>9.6999999999999993</v>
      </c>
      <c r="I20" s="54">
        <v>1.67</v>
      </c>
      <c r="J20" s="54">
        <v>0.56000000000000005</v>
      </c>
      <c r="K20" s="54">
        <v>359.56</v>
      </c>
      <c r="L20" s="54">
        <v>28.57</v>
      </c>
      <c r="M20" s="54">
        <v>71.64</v>
      </c>
      <c r="N20" s="54">
        <v>819.5</v>
      </c>
      <c r="O20" s="54">
        <v>0</v>
      </c>
      <c r="P20" s="54">
        <v>0.35</v>
      </c>
      <c r="Q20" s="54">
        <v>9.25</v>
      </c>
      <c r="R20" s="43"/>
      <c r="S20" s="43"/>
      <c r="T20" s="43"/>
      <c r="U20" s="43"/>
    </row>
    <row r="21" spans="1:21" s="11" customFormat="1" x14ac:dyDescent="0.25">
      <c r="A21" s="53" t="s">
        <v>113</v>
      </c>
      <c r="B21" s="54">
        <v>8.26</v>
      </c>
      <c r="C21" s="54">
        <v>3.46</v>
      </c>
      <c r="D21" s="54">
        <v>12.2</v>
      </c>
      <c r="E21" s="54">
        <v>4.26</v>
      </c>
      <c r="F21" s="54">
        <v>5.16</v>
      </c>
      <c r="G21" s="54">
        <v>37.04</v>
      </c>
      <c r="H21" s="54">
        <v>9.6999999999999993</v>
      </c>
      <c r="I21" s="54">
        <v>1.3</v>
      </c>
      <c r="J21" s="54">
        <v>0.72</v>
      </c>
      <c r="K21" s="54">
        <v>359.81</v>
      </c>
      <c r="L21" s="54">
        <v>28.64</v>
      </c>
      <c r="M21" s="54">
        <v>70.55</v>
      </c>
      <c r="N21" s="54">
        <v>749.2</v>
      </c>
      <c r="O21" s="54">
        <v>0</v>
      </c>
      <c r="P21" s="54">
        <v>0.34</v>
      </c>
      <c r="Q21" s="54">
        <v>9.2200000000000006</v>
      </c>
      <c r="R21" s="43"/>
      <c r="S21" s="43"/>
      <c r="T21" s="43"/>
      <c r="U21" s="43"/>
    </row>
    <row r="22" spans="1:21" s="11" customFormat="1" x14ac:dyDescent="0.25">
      <c r="A22" s="53" t="s">
        <v>114</v>
      </c>
      <c r="B22" s="54">
        <v>8.18</v>
      </c>
      <c r="C22" s="54">
        <v>3.16</v>
      </c>
      <c r="D22" s="54">
        <v>11.98</v>
      </c>
      <c r="E22" s="54">
        <v>4.3899999999999997</v>
      </c>
      <c r="F22" s="54">
        <v>5.68</v>
      </c>
      <c r="G22" s="54">
        <v>37.04</v>
      </c>
      <c r="H22" s="54">
        <v>6.94</v>
      </c>
      <c r="I22" s="54">
        <v>1.0900000000000001</v>
      </c>
      <c r="J22" s="54">
        <v>0.73</v>
      </c>
      <c r="K22" s="54">
        <v>359.09</v>
      </c>
      <c r="L22" s="54">
        <v>28.52</v>
      </c>
      <c r="M22" s="54">
        <v>70.150000000000006</v>
      </c>
      <c r="N22" s="54">
        <v>373.9</v>
      </c>
      <c r="O22" s="54">
        <v>0</v>
      </c>
      <c r="P22" s="54">
        <v>0.28999999999999998</v>
      </c>
      <c r="Q22" s="54">
        <v>9.24</v>
      </c>
      <c r="R22" s="43"/>
      <c r="S22" s="43"/>
      <c r="T22" s="43"/>
      <c r="U22" s="43"/>
    </row>
    <row r="23" spans="1:21" s="11" customFormat="1" x14ac:dyDescent="0.25">
      <c r="A23" s="53" t="s">
        <v>115</v>
      </c>
      <c r="B23" s="54">
        <v>8.23</v>
      </c>
      <c r="C23" s="54">
        <v>3.26</v>
      </c>
      <c r="D23" s="54">
        <v>12.08</v>
      </c>
      <c r="E23" s="54">
        <v>4.21</v>
      </c>
      <c r="F23" s="54">
        <v>5.27</v>
      </c>
      <c r="G23" s="54">
        <v>36.270000000000003</v>
      </c>
      <c r="H23" s="54">
        <v>8.1300000000000008</v>
      </c>
      <c r="I23" s="54">
        <v>1.04</v>
      </c>
      <c r="J23" s="54">
        <v>0.75</v>
      </c>
      <c r="K23" s="54">
        <v>357.98</v>
      </c>
      <c r="L23" s="54">
        <v>28</v>
      </c>
      <c r="M23" s="54">
        <v>70.95</v>
      </c>
      <c r="N23" s="54">
        <v>251.6</v>
      </c>
      <c r="O23" s="54">
        <v>0</v>
      </c>
      <c r="P23" s="54">
        <v>0.3</v>
      </c>
      <c r="Q23" s="54">
        <v>9.2200000000000006</v>
      </c>
      <c r="R23" s="43"/>
      <c r="S23" s="43"/>
      <c r="T23" s="43"/>
      <c r="U23" s="43"/>
    </row>
    <row r="24" spans="1:21" s="11" customFormat="1" x14ac:dyDescent="0.25">
      <c r="A24" s="53" t="s">
        <v>116</v>
      </c>
      <c r="B24" s="54">
        <v>8.2100000000000009</v>
      </c>
      <c r="C24" s="54">
        <v>3.23</v>
      </c>
      <c r="D24" s="54">
        <v>12.05</v>
      </c>
      <c r="E24" s="54">
        <v>4.38</v>
      </c>
      <c r="F24" s="54">
        <v>5.05</v>
      </c>
      <c r="G24" s="54">
        <v>43.35</v>
      </c>
      <c r="H24" s="54">
        <v>10.199999999999999</v>
      </c>
      <c r="I24" s="54">
        <v>1.01</v>
      </c>
      <c r="J24" s="54">
        <v>0.56999999999999995</v>
      </c>
      <c r="K24" s="54">
        <v>358.39</v>
      </c>
      <c r="L24" s="54">
        <v>27.6</v>
      </c>
      <c r="M24" s="54">
        <v>72.400000000000006</v>
      </c>
      <c r="N24" s="54">
        <v>190</v>
      </c>
      <c r="O24" s="54">
        <v>0</v>
      </c>
      <c r="P24" s="54">
        <v>0.3</v>
      </c>
      <c r="Q24" s="54">
        <v>9.1999999999999993</v>
      </c>
      <c r="R24" s="43"/>
      <c r="S24" s="43"/>
      <c r="T24" s="43"/>
      <c r="U24" s="43"/>
    </row>
    <row r="25" spans="1:21" s="11" customFormat="1" x14ac:dyDescent="0.25">
      <c r="A25" s="53" t="s">
        <v>117</v>
      </c>
      <c r="B25" s="54">
        <v>8.2899999999999991</v>
      </c>
      <c r="C25" s="54">
        <v>3.48</v>
      </c>
      <c r="D25" s="54">
        <v>12.24</v>
      </c>
      <c r="E25" s="54">
        <v>4.46</v>
      </c>
      <c r="F25" s="54">
        <v>4.7300000000000004</v>
      </c>
      <c r="G25" s="54">
        <v>46.52</v>
      </c>
      <c r="H25" s="54">
        <v>11.1</v>
      </c>
      <c r="I25" s="54">
        <v>1.37</v>
      </c>
      <c r="J25" s="54">
        <v>0.57999999999999996</v>
      </c>
      <c r="K25" s="54">
        <v>342.2</v>
      </c>
      <c r="L25" s="54">
        <v>27.5</v>
      </c>
      <c r="M25" s="54">
        <v>82.9</v>
      </c>
      <c r="N25" s="54">
        <v>166.1</v>
      </c>
      <c r="O25" s="54">
        <v>0</v>
      </c>
      <c r="P25" s="54">
        <v>0.32</v>
      </c>
      <c r="Q25" s="54">
        <v>9.2200000000000006</v>
      </c>
      <c r="R25" s="43"/>
      <c r="S25" s="43"/>
      <c r="T25" s="43"/>
      <c r="U25" s="43"/>
    </row>
    <row r="26" spans="1:21" s="11" customFormat="1" x14ac:dyDescent="0.25">
      <c r="A26" s="53" t="s">
        <v>118</v>
      </c>
      <c r="B26" s="54">
        <v>8.3699999999999992</v>
      </c>
      <c r="C26" s="54">
        <v>3.71</v>
      </c>
      <c r="D26" s="54">
        <v>12.43</v>
      </c>
      <c r="E26" s="54">
        <v>4.57</v>
      </c>
      <c r="F26" s="54">
        <v>4.51</v>
      </c>
      <c r="G26" s="54">
        <v>46.52</v>
      </c>
      <c r="H26" s="54">
        <v>12.72</v>
      </c>
      <c r="I26" s="54">
        <v>1.52</v>
      </c>
      <c r="J26" s="54">
        <v>0.74</v>
      </c>
      <c r="K26" s="54">
        <v>325.22000000000003</v>
      </c>
      <c r="L26" s="54">
        <v>24.73</v>
      </c>
      <c r="M26" s="54">
        <v>98.35</v>
      </c>
      <c r="N26" s="54">
        <v>40</v>
      </c>
      <c r="O26" s="54">
        <v>2.4</v>
      </c>
      <c r="P26" s="54">
        <v>0.39</v>
      </c>
      <c r="Q26" s="54">
        <v>9.27</v>
      </c>
      <c r="R26" s="43"/>
      <c r="S26" s="43"/>
      <c r="T26" s="43"/>
      <c r="U26" s="43"/>
    </row>
    <row r="27" spans="1:21" s="11" customFormat="1" x14ac:dyDescent="0.25">
      <c r="A27" s="53" t="s">
        <v>119</v>
      </c>
      <c r="B27" s="54">
        <v>8.17</v>
      </c>
      <c r="C27" s="54">
        <v>3.13</v>
      </c>
      <c r="D27" s="54">
        <v>11.96</v>
      </c>
      <c r="E27" s="54">
        <v>4.8099999999999996</v>
      </c>
      <c r="F27" s="54">
        <v>3.44</v>
      </c>
      <c r="G27" s="54">
        <v>42.46</v>
      </c>
      <c r="H27" s="54">
        <v>12.72</v>
      </c>
      <c r="I27" s="54">
        <v>2.31</v>
      </c>
      <c r="J27" s="54">
        <v>0.5</v>
      </c>
      <c r="K27" s="54">
        <v>322.42</v>
      </c>
      <c r="L27" s="54">
        <v>23.54</v>
      </c>
      <c r="M27" s="54">
        <v>98.35</v>
      </c>
      <c r="N27" s="54">
        <v>28.5</v>
      </c>
      <c r="O27" s="54">
        <v>0</v>
      </c>
      <c r="P27" s="54">
        <v>0.52</v>
      </c>
      <c r="Q27" s="54">
        <v>9.36</v>
      </c>
      <c r="R27" s="43"/>
      <c r="S27" s="43"/>
      <c r="T27" s="43"/>
      <c r="U27" s="43"/>
    </row>
    <row r="28" spans="1:21" s="11" customFormat="1" x14ac:dyDescent="0.25">
      <c r="A28" s="53" t="s">
        <v>120</v>
      </c>
      <c r="B28" s="54">
        <v>8.27</v>
      </c>
      <c r="C28" s="54">
        <v>3.25</v>
      </c>
      <c r="D28" s="54">
        <v>12.1</v>
      </c>
      <c r="E28" s="54">
        <v>4.71</v>
      </c>
      <c r="F28" s="54">
        <v>3.37</v>
      </c>
      <c r="G28" s="54">
        <v>38.96</v>
      </c>
      <c r="H28" s="54">
        <v>13.78</v>
      </c>
      <c r="I28" s="54">
        <v>3.61</v>
      </c>
      <c r="J28" s="54">
        <v>0.57999999999999996</v>
      </c>
      <c r="K28" s="54">
        <v>269.39</v>
      </c>
      <c r="L28" s="54">
        <v>23.65</v>
      </c>
      <c r="M28" s="54">
        <v>98.35</v>
      </c>
      <c r="N28" s="54">
        <v>18.2</v>
      </c>
      <c r="O28" s="54">
        <v>0</v>
      </c>
      <c r="P28" s="54">
        <v>0.57999999999999996</v>
      </c>
      <c r="Q28" s="54">
        <v>9.43</v>
      </c>
      <c r="R28" s="43"/>
      <c r="S28" s="43"/>
      <c r="T28" s="43"/>
      <c r="U28" s="43"/>
    </row>
    <row r="29" spans="1:21" s="11" customFormat="1" x14ac:dyDescent="0.25">
      <c r="A29" s="53" t="s">
        <v>121</v>
      </c>
      <c r="B29" s="54">
        <v>8.2899999999999991</v>
      </c>
      <c r="C29" s="54">
        <v>3.26</v>
      </c>
      <c r="D29" s="54">
        <v>12.12</v>
      </c>
      <c r="E29" s="54">
        <v>4.45</v>
      </c>
      <c r="F29" s="54">
        <v>4.37</v>
      </c>
      <c r="G29" s="54">
        <v>38.96</v>
      </c>
      <c r="H29" s="54">
        <v>13.78</v>
      </c>
      <c r="I29" s="54">
        <v>4.76</v>
      </c>
      <c r="J29" s="54">
        <v>0.57999999999999996</v>
      </c>
      <c r="K29" s="54">
        <v>232.05</v>
      </c>
      <c r="L29" s="54">
        <v>23.96</v>
      </c>
      <c r="M29" s="54">
        <v>98.35</v>
      </c>
      <c r="N29" s="54">
        <v>18.5</v>
      </c>
      <c r="O29" s="54">
        <v>0</v>
      </c>
      <c r="P29" s="54">
        <v>0.6</v>
      </c>
      <c r="Q29" s="54">
        <v>9.4700000000000006</v>
      </c>
      <c r="R29" s="43"/>
      <c r="S29" s="43"/>
      <c r="T29" s="43"/>
      <c r="U29" s="43"/>
    </row>
    <row r="30" spans="1:21" s="11" customFormat="1" x14ac:dyDescent="0.25">
      <c r="A30" s="53" t="s">
        <v>122</v>
      </c>
      <c r="B30" s="54">
        <v>8.39</v>
      </c>
      <c r="C30" s="54">
        <v>3.54</v>
      </c>
      <c r="D30" s="54">
        <v>12.36</v>
      </c>
      <c r="E30" s="54">
        <v>5.0599999999999996</v>
      </c>
      <c r="F30" s="54">
        <v>3.98</v>
      </c>
      <c r="G30" s="54">
        <v>37.409999999999997</v>
      </c>
      <c r="H30" s="54">
        <v>14.84</v>
      </c>
      <c r="I30" s="54">
        <v>4.8600000000000003</v>
      </c>
      <c r="J30" s="54">
        <v>0.34</v>
      </c>
      <c r="K30" s="54">
        <v>242.63</v>
      </c>
      <c r="L30" s="54">
        <v>23.96</v>
      </c>
      <c r="M30" s="54">
        <v>98.33</v>
      </c>
      <c r="N30" s="54">
        <v>18.7</v>
      </c>
      <c r="O30" s="54">
        <v>0</v>
      </c>
      <c r="P30" s="54">
        <v>0.6</v>
      </c>
      <c r="Q30" s="54">
        <v>9.44</v>
      </c>
      <c r="R30" s="43"/>
      <c r="S30" s="43"/>
      <c r="T30" s="43"/>
      <c r="U30" s="43"/>
    </row>
    <row r="31" spans="1:21" s="11" customFormat="1" x14ac:dyDescent="0.25">
      <c r="A31" s="53" t="s">
        <v>123</v>
      </c>
      <c r="B31" s="54">
        <v>8.2799999999999994</v>
      </c>
      <c r="C31" s="54">
        <v>3.36</v>
      </c>
      <c r="D31" s="54">
        <v>12.17</v>
      </c>
      <c r="E31" s="54">
        <v>4.62</v>
      </c>
      <c r="F31" s="54">
        <v>4.4800000000000004</v>
      </c>
      <c r="G31" s="54">
        <v>37.409999999999997</v>
      </c>
      <c r="H31" s="54">
        <v>14.84</v>
      </c>
      <c r="I31" s="54">
        <v>4.4800000000000004</v>
      </c>
      <c r="J31" s="54">
        <v>0.55000000000000004</v>
      </c>
      <c r="K31" s="54">
        <v>324.86</v>
      </c>
      <c r="L31" s="54">
        <v>24.04</v>
      </c>
      <c r="M31" s="54">
        <v>98.33</v>
      </c>
      <c r="N31" s="54">
        <v>18.3</v>
      </c>
      <c r="O31" s="54">
        <v>0</v>
      </c>
      <c r="P31" s="54">
        <v>0.54</v>
      </c>
      <c r="Q31" s="54">
        <v>9.4499999999999993</v>
      </c>
      <c r="R31" s="43"/>
      <c r="S31" s="43"/>
      <c r="T31" s="43"/>
      <c r="U31" s="43"/>
    </row>
    <row r="32" spans="1:21" s="11" customFormat="1" x14ac:dyDescent="0.25">
      <c r="A32" s="53" t="s">
        <v>124</v>
      </c>
      <c r="B32" s="54">
        <v>8.27</v>
      </c>
      <c r="C32" s="54">
        <v>3.27</v>
      </c>
      <c r="D32" s="54">
        <v>12.12</v>
      </c>
      <c r="E32" s="54">
        <v>4.7</v>
      </c>
      <c r="F32" s="54">
        <v>4.37</v>
      </c>
      <c r="G32" s="54">
        <v>31.98</v>
      </c>
      <c r="H32" s="54">
        <v>11.01</v>
      </c>
      <c r="I32" s="54">
        <v>3.99</v>
      </c>
      <c r="J32" s="54">
        <v>0.65</v>
      </c>
      <c r="K32" s="54">
        <v>20.07</v>
      </c>
      <c r="L32" s="54">
        <v>23.62</v>
      </c>
      <c r="M32" s="54">
        <v>98.33</v>
      </c>
      <c r="N32" s="54">
        <v>18.100000000000001</v>
      </c>
      <c r="O32" s="54">
        <v>0</v>
      </c>
      <c r="P32" s="54">
        <v>0.47</v>
      </c>
      <c r="Q32" s="54">
        <v>9.3800000000000008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8.17</v>
      </c>
      <c r="C34" s="28">
        <f t="shared" si="0"/>
        <v>3.13</v>
      </c>
      <c r="D34" s="28">
        <f t="shared" si="0"/>
        <v>11.96</v>
      </c>
      <c r="E34" s="28">
        <f t="shared" si="0"/>
        <v>3.61</v>
      </c>
      <c r="F34" s="28">
        <f t="shared" si="0"/>
        <v>3.37</v>
      </c>
      <c r="G34" s="28">
        <f t="shared" si="0"/>
        <v>15.26</v>
      </c>
      <c r="H34" s="28">
        <f t="shared" si="0"/>
        <v>1.5</v>
      </c>
      <c r="I34" s="28">
        <f t="shared" si="0"/>
        <v>1.01</v>
      </c>
      <c r="J34" s="28">
        <f t="shared" si="0"/>
        <v>0.2</v>
      </c>
      <c r="K34" s="28">
        <f t="shared" si="0"/>
        <v>2.85</v>
      </c>
      <c r="L34" s="28">
        <f t="shared" si="0"/>
        <v>22.22</v>
      </c>
      <c r="M34" s="28">
        <f t="shared" si="0"/>
        <v>70.150000000000006</v>
      </c>
      <c r="N34" s="28">
        <f t="shared" si="0"/>
        <v>17.5</v>
      </c>
      <c r="O34" s="28">
        <f t="shared" si="0"/>
        <v>0</v>
      </c>
      <c r="P34" s="28">
        <f t="shared" si="0"/>
        <v>0.21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8.39</v>
      </c>
      <c r="C35" s="29">
        <f t="shared" si="1"/>
        <v>3.71</v>
      </c>
      <c r="D35" s="29">
        <f t="shared" si="1"/>
        <v>12.43</v>
      </c>
      <c r="E35" s="29">
        <f t="shared" si="1"/>
        <v>5.0599999999999996</v>
      </c>
      <c r="F35" s="29">
        <f t="shared" si="1"/>
        <v>6.28</v>
      </c>
      <c r="G35" s="29">
        <f t="shared" si="1"/>
        <v>46.52</v>
      </c>
      <c r="H35" s="29">
        <f t="shared" si="1"/>
        <v>14.84</v>
      </c>
      <c r="I35" s="29">
        <f t="shared" si="1"/>
        <v>4.8600000000000003</v>
      </c>
      <c r="J35" s="29">
        <f t="shared" si="1"/>
        <v>0.75</v>
      </c>
      <c r="K35" s="29">
        <f t="shared" si="1"/>
        <v>359.81</v>
      </c>
      <c r="L35" s="29">
        <f t="shared" si="1"/>
        <v>28.64</v>
      </c>
      <c r="M35" s="29">
        <f t="shared" si="1"/>
        <v>98.35</v>
      </c>
      <c r="N35" s="29">
        <f t="shared" si="1"/>
        <v>819.5</v>
      </c>
      <c r="O35" s="29">
        <f t="shared" si="1"/>
        <v>2.4</v>
      </c>
      <c r="P35" s="29">
        <f t="shared" si="1"/>
        <v>0.6</v>
      </c>
      <c r="Q35" s="29">
        <f t="shared" si="1"/>
        <v>9.4700000000000006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8.2562500000000014</v>
      </c>
      <c r="C36" s="28">
        <f t="shared" si="2"/>
        <v>3.2908333333333331</v>
      </c>
      <c r="D36" s="28">
        <f t="shared" si="2"/>
        <v>12.11166666666667</v>
      </c>
      <c r="E36" s="28">
        <f t="shared" si="2"/>
        <v>4.3029166666666665</v>
      </c>
      <c r="F36" s="28">
        <f t="shared" si="2"/>
        <v>4.5550000000000006</v>
      </c>
      <c r="G36" s="28">
        <f t="shared" si="2"/>
        <v>31.381666666666671</v>
      </c>
      <c r="H36" s="28">
        <f t="shared" si="2"/>
        <v>8.4500000000000011</v>
      </c>
      <c r="I36" s="28">
        <f t="shared" si="2"/>
        <v>2.5295833333333335</v>
      </c>
      <c r="J36" s="28">
        <f t="shared" si="2"/>
        <v>0.51500000000000001</v>
      </c>
      <c r="K36" s="28">
        <f t="shared" si="2"/>
        <v>286.81958333333336</v>
      </c>
      <c r="L36" s="28">
        <f t="shared" si="2"/>
        <v>24.860416666666666</v>
      </c>
      <c r="M36" s="28">
        <f t="shared" si="2"/>
        <v>91.029583333333335</v>
      </c>
      <c r="N36" s="28">
        <f t="shared" si="2"/>
        <v>176.03750000000002</v>
      </c>
      <c r="O36" s="28">
        <f t="shared" si="2"/>
        <v>0.10833333333333334</v>
      </c>
      <c r="P36" s="28">
        <f t="shared" si="2"/>
        <v>0.36333333333333334</v>
      </c>
      <c r="Q36" s="28">
        <f t="shared" si="2"/>
        <v>9.2999999999999989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5.6168419101375974E-2</v>
      </c>
      <c r="C37" s="28">
        <f t="shared" ref="C37:Q37" si="3">STDEV(C9:C32)</f>
        <v>0.14249078281912059</v>
      </c>
      <c r="D37" s="28">
        <f t="shared" si="3"/>
        <v>0.11671841502435276</v>
      </c>
      <c r="E37" s="28">
        <f t="shared" si="3"/>
        <v>0.36921160618936066</v>
      </c>
      <c r="F37" s="28">
        <f t="shared" si="3"/>
        <v>0.78177612718953726</v>
      </c>
      <c r="G37" s="28">
        <f t="shared" si="3"/>
        <v>9.7901435201393845</v>
      </c>
      <c r="H37" s="28">
        <f t="shared" si="3"/>
        <v>4.1112729436746589</v>
      </c>
      <c r="I37" s="28">
        <f t="shared" si="3"/>
        <v>1.2470085218727209</v>
      </c>
      <c r="J37" s="28">
        <f t="shared" si="3"/>
        <v>0.17532578371358437</v>
      </c>
      <c r="K37" s="28">
        <f t="shared" si="3"/>
        <v>100.98928270642369</v>
      </c>
      <c r="L37" s="28">
        <f t="shared" si="3"/>
        <v>2.2339523936515411</v>
      </c>
      <c r="M37" s="28">
        <f t="shared" si="3"/>
        <v>11.202249960015438</v>
      </c>
      <c r="N37" s="28">
        <f t="shared" si="3"/>
        <v>244.27233521215618</v>
      </c>
      <c r="O37" s="28">
        <f t="shared" si="3"/>
        <v>0.48982398494957763</v>
      </c>
      <c r="P37" s="28">
        <f t="shared" si="3"/>
        <v>0.12171480088149979</v>
      </c>
      <c r="Q37" s="28">
        <f t="shared" si="3"/>
        <v>8.6577434553774021E-2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125</v>
      </c>
      <c r="B9" s="54">
        <v>8.25</v>
      </c>
      <c r="C9" s="54">
        <v>3.26</v>
      </c>
      <c r="D9" s="54">
        <v>12.08</v>
      </c>
      <c r="E9" s="54">
        <v>4.72</v>
      </c>
      <c r="F9" s="54">
        <v>5.07</v>
      </c>
      <c r="G9" s="54">
        <v>23.79</v>
      </c>
      <c r="H9" s="54">
        <v>8.61</v>
      </c>
      <c r="I9" s="54">
        <v>3.07</v>
      </c>
      <c r="J9" s="54">
        <v>0.74</v>
      </c>
      <c r="K9" s="54">
        <v>13.51</v>
      </c>
      <c r="L9" s="54">
        <v>23.19</v>
      </c>
      <c r="M9" s="54">
        <v>98.32</v>
      </c>
      <c r="N9" s="54">
        <v>18</v>
      </c>
      <c r="O9" s="54">
        <v>0</v>
      </c>
      <c r="P9" s="54">
        <v>0.35</v>
      </c>
      <c r="Q9" s="54">
        <v>9.31</v>
      </c>
      <c r="R9" s="43"/>
      <c r="S9" s="43"/>
      <c r="T9" s="43"/>
      <c r="U9" s="43"/>
    </row>
    <row r="10" spans="1:21" s="11" customFormat="1" x14ac:dyDescent="0.25">
      <c r="A10" s="53" t="s">
        <v>126</v>
      </c>
      <c r="B10" s="54">
        <v>8.2100000000000009</v>
      </c>
      <c r="C10" s="54">
        <v>3.21</v>
      </c>
      <c r="D10" s="54">
        <v>12.01</v>
      </c>
      <c r="E10" s="54">
        <v>4.68</v>
      </c>
      <c r="F10" s="54">
        <v>6.41</v>
      </c>
      <c r="G10" s="54">
        <v>17.440000000000001</v>
      </c>
      <c r="H10" s="54">
        <v>6.25</v>
      </c>
      <c r="I10" s="54">
        <v>1.76</v>
      </c>
      <c r="J10" s="54">
        <v>0.77</v>
      </c>
      <c r="K10" s="54">
        <v>25.9</v>
      </c>
      <c r="L10" s="54">
        <v>22.73</v>
      </c>
      <c r="M10" s="54">
        <v>98.33</v>
      </c>
      <c r="N10" s="54">
        <v>17.8</v>
      </c>
      <c r="O10" s="54">
        <v>0</v>
      </c>
      <c r="P10" s="54">
        <v>0.31</v>
      </c>
      <c r="Q10" s="54">
        <v>9.2200000000000006</v>
      </c>
      <c r="R10" s="43"/>
      <c r="S10" s="43"/>
      <c r="T10" s="43"/>
      <c r="U10" s="43"/>
    </row>
    <row r="11" spans="1:21" s="11" customFormat="1" x14ac:dyDescent="0.25">
      <c r="A11" s="53" t="s">
        <v>127</v>
      </c>
      <c r="B11" s="54">
        <v>8.15</v>
      </c>
      <c r="C11" s="54">
        <v>3.12</v>
      </c>
      <c r="D11" s="54">
        <v>11.93</v>
      </c>
      <c r="E11" s="54">
        <v>4.78</v>
      </c>
      <c r="F11" s="54">
        <v>5.88</v>
      </c>
      <c r="G11" s="54">
        <v>14.64</v>
      </c>
      <c r="H11" s="54">
        <v>4.59</v>
      </c>
      <c r="I11" s="54">
        <v>1.38</v>
      </c>
      <c r="J11" s="54">
        <v>0.75</v>
      </c>
      <c r="K11" s="54">
        <v>14.13</v>
      </c>
      <c r="L11" s="54">
        <v>22.66</v>
      </c>
      <c r="M11" s="54">
        <v>98.33</v>
      </c>
      <c r="N11" s="54">
        <v>17.8</v>
      </c>
      <c r="O11" s="54">
        <v>0</v>
      </c>
      <c r="P11" s="54">
        <v>0.26</v>
      </c>
      <c r="Q11" s="54">
        <v>9.23</v>
      </c>
      <c r="R11" s="43"/>
      <c r="S11" s="43"/>
      <c r="T11" s="43"/>
      <c r="U11" s="43"/>
    </row>
    <row r="12" spans="1:21" s="11" customFormat="1" x14ac:dyDescent="0.25">
      <c r="A12" s="53" t="s">
        <v>128</v>
      </c>
      <c r="B12" s="54">
        <v>8.2799999999999994</v>
      </c>
      <c r="C12" s="54">
        <v>3.47</v>
      </c>
      <c r="D12" s="54">
        <v>12.23</v>
      </c>
      <c r="E12" s="54">
        <v>4.42</v>
      </c>
      <c r="F12" s="54">
        <v>6.05</v>
      </c>
      <c r="G12" s="54">
        <v>10.81</v>
      </c>
      <c r="H12" s="54">
        <v>3.27</v>
      </c>
      <c r="I12" s="54">
        <v>0.97</v>
      </c>
      <c r="J12" s="54">
        <v>0.66</v>
      </c>
      <c r="K12" s="54">
        <v>11.34</v>
      </c>
      <c r="L12" s="54">
        <v>22.59</v>
      </c>
      <c r="M12" s="54">
        <v>98.22</v>
      </c>
      <c r="N12" s="54">
        <v>17.8</v>
      </c>
      <c r="O12" s="54">
        <v>0</v>
      </c>
      <c r="P12" s="54">
        <v>0.24</v>
      </c>
      <c r="Q12" s="54">
        <v>9.1999999999999993</v>
      </c>
      <c r="R12" s="43"/>
      <c r="S12" s="43"/>
      <c r="T12" s="43"/>
      <c r="U12" s="43"/>
    </row>
    <row r="13" spans="1:21" s="11" customFormat="1" x14ac:dyDescent="0.25">
      <c r="A13" s="53" t="s">
        <v>129</v>
      </c>
      <c r="B13" s="54">
        <v>8.1999999999999993</v>
      </c>
      <c r="C13" s="54">
        <v>3.14</v>
      </c>
      <c r="D13" s="54">
        <v>11.98</v>
      </c>
      <c r="E13" s="54">
        <v>3.72</v>
      </c>
      <c r="F13" s="54">
        <v>5.44</v>
      </c>
      <c r="G13" s="54">
        <v>8.8800000000000008</v>
      </c>
      <c r="H13" s="54">
        <v>2.39</v>
      </c>
      <c r="I13" s="54">
        <v>0.68</v>
      </c>
      <c r="J13" s="54">
        <v>0.59</v>
      </c>
      <c r="K13" s="54">
        <v>357.47</v>
      </c>
      <c r="L13" s="54">
        <v>22.49</v>
      </c>
      <c r="M13" s="54">
        <v>97.93</v>
      </c>
      <c r="N13" s="54">
        <v>17.8</v>
      </c>
      <c r="O13" s="54">
        <v>0</v>
      </c>
      <c r="P13" s="54">
        <v>0.22</v>
      </c>
      <c r="Q13" s="54">
        <v>9.17</v>
      </c>
      <c r="R13" s="43"/>
      <c r="S13" s="43"/>
      <c r="T13" s="43"/>
      <c r="U13" s="43"/>
    </row>
    <row r="14" spans="1:21" s="11" customFormat="1" x14ac:dyDescent="0.25">
      <c r="A14" s="53" t="s">
        <v>130</v>
      </c>
      <c r="B14" s="54">
        <v>8.2100000000000009</v>
      </c>
      <c r="C14" s="54">
        <v>3.1</v>
      </c>
      <c r="D14" s="54">
        <v>11.98</v>
      </c>
      <c r="E14" s="54">
        <v>3.77</v>
      </c>
      <c r="F14" s="54">
        <v>4.53</v>
      </c>
      <c r="G14" s="54">
        <v>13.44</v>
      </c>
      <c r="H14" s="54">
        <v>2.04</v>
      </c>
      <c r="I14" s="54">
        <v>0.74</v>
      </c>
      <c r="J14" s="54">
        <v>0.51</v>
      </c>
      <c r="K14" s="54">
        <v>354.7</v>
      </c>
      <c r="L14" s="54">
        <v>22.37</v>
      </c>
      <c r="M14" s="54">
        <v>98.32</v>
      </c>
      <c r="N14" s="54">
        <v>36.4</v>
      </c>
      <c r="O14" s="54">
        <v>0</v>
      </c>
      <c r="P14" s="54">
        <v>0.24</v>
      </c>
      <c r="Q14" s="54">
        <v>9.18</v>
      </c>
      <c r="R14" s="43"/>
      <c r="S14" s="43"/>
      <c r="T14" s="43"/>
      <c r="U14" s="43"/>
    </row>
    <row r="15" spans="1:21" s="11" customFormat="1" x14ac:dyDescent="0.25">
      <c r="A15" s="53" t="s">
        <v>131</v>
      </c>
      <c r="B15" s="54">
        <v>8.2100000000000009</v>
      </c>
      <c r="C15" s="54">
        <v>3.22</v>
      </c>
      <c r="D15" s="54">
        <v>12.04</v>
      </c>
      <c r="E15" s="54">
        <v>4.04</v>
      </c>
      <c r="F15" s="54">
        <v>4.8600000000000003</v>
      </c>
      <c r="G15" s="54">
        <v>19.8</v>
      </c>
      <c r="H15" s="54">
        <v>4.84</v>
      </c>
      <c r="I15" s="54">
        <v>1.01</v>
      </c>
      <c r="J15" s="54">
        <v>0.56999999999999995</v>
      </c>
      <c r="K15" s="54">
        <v>357.36</v>
      </c>
      <c r="L15" s="54">
        <v>22.66</v>
      </c>
      <c r="M15" s="54">
        <v>98.32</v>
      </c>
      <c r="N15" s="54">
        <v>116.9</v>
      </c>
      <c r="O15" s="54">
        <v>0</v>
      </c>
      <c r="P15" s="54">
        <v>0.27</v>
      </c>
      <c r="Q15" s="54">
        <v>9.2200000000000006</v>
      </c>
      <c r="R15" s="43"/>
      <c r="S15" s="43"/>
      <c r="T15" s="43"/>
      <c r="U15" s="43"/>
    </row>
    <row r="16" spans="1:21" s="11" customFormat="1" x14ac:dyDescent="0.25">
      <c r="A16" s="53" t="s">
        <v>132</v>
      </c>
      <c r="B16" s="54">
        <v>8.2899999999999991</v>
      </c>
      <c r="C16" s="54">
        <v>3.51</v>
      </c>
      <c r="D16" s="54">
        <v>12.25</v>
      </c>
      <c r="E16" s="54">
        <v>4.71</v>
      </c>
      <c r="F16" s="54">
        <v>4.7699999999999996</v>
      </c>
      <c r="G16" s="54">
        <v>29.37</v>
      </c>
      <c r="H16" s="54">
        <v>6.4</v>
      </c>
      <c r="I16" s="54">
        <v>1.0900000000000001</v>
      </c>
      <c r="J16" s="54">
        <v>0.66</v>
      </c>
      <c r="K16" s="54">
        <v>359.23</v>
      </c>
      <c r="L16" s="54">
        <v>23.7</v>
      </c>
      <c r="M16" s="54">
        <v>94.97</v>
      </c>
      <c r="N16" s="54">
        <v>224.2</v>
      </c>
      <c r="O16" s="54">
        <v>0</v>
      </c>
      <c r="P16" s="54">
        <v>0.31</v>
      </c>
      <c r="Q16" s="54">
        <v>9.25</v>
      </c>
      <c r="R16" s="43"/>
      <c r="S16" s="43"/>
      <c r="T16" s="43"/>
      <c r="U16" s="43"/>
    </row>
    <row r="17" spans="1:21" s="11" customFormat="1" x14ac:dyDescent="0.25">
      <c r="A17" s="53" t="s">
        <v>133</v>
      </c>
      <c r="B17" s="54">
        <v>8.27</v>
      </c>
      <c r="C17" s="54">
        <v>3.46</v>
      </c>
      <c r="D17" s="54">
        <v>12.22</v>
      </c>
      <c r="E17" s="54">
        <v>4.9800000000000004</v>
      </c>
      <c r="F17" s="54">
        <v>4.8</v>
      </c>
      <c r="G17" s="54">
        <v>29.74</v>
      </c>
      <c r="H17" s="54">
        <v>6.4</v>
      </c>
      <c r="I17" s="54">
        <v>1.1299999999999999</v>
      </c>
      <c r="J17" s="54">
        <v>0.64</v>
      </c>
      <c r="K17" s="54">
        <v>358.71</v>
      </c>
      <c r="L17" s="54">
        <v>24.97</v>
      </c>
      <c r="M17" s="54">
        <v>90.3</v>
      </c>
      <c r="N17" s="54">
        <v>314.60000000000002</v>
      </c>
      <c r="O17" s="54">
        <v>0</v>
      </c>
      <c r="P17" s="54">
        <v>0.31</v>
      </c>
      <c r="Q17" s="54">
        <v>9.2200000000000006</v>
      </c>
      <c r="R17" s="43"/>
      <c r="S17" s="43"/>
      <c r="T17" s="43"/>
      <c r="U17" s="43"/>
    </row>
    <row r="18" spans="1:21" s="11" customFormat="1" x14ac:dyDescent="0.25">
      <c r="A18" s="53" t="s">
        <v>134</v>
      </c>
      <c r="B18" s="54">
        <v>8.1999999999999993</v>
      </c>
      <c r="C18" s="54">
        <v>3.13</v>
      </c>
      <c r="D18" s="54">
        <v>11.98</v>
      </c>
      <c r="E18" s="54">
        <v>4.9000000000000004</v>
      </c>
      <c r="F18" s="54">
        <v>4.8099999999999996</v>
      </c>
      <c r="G18" s="54">
        <v>29.93</v>
      </c>
      <c r="H18" s="54">
        <v>5.26</v>
      </c>
      <c r="I18" s="54">
        <v>1.03</v>
      </c>
      <c r="J18" s="54">
        <v>0.68</v>
      </c>
      <c r="K18" s="54">
        <v>350.51</v>
      </c>
      <c r="L18" s="54">
        <v>25.78</v>
      </c>
      <c r="M18" s="54">
        <v>86.32</v>
      </c>
      <c r="N18" s="54">
        <v>363.8</v>
      </c>
      <c r="O18" s="54">
        <v>0</v>
      </c>
      <c r="P18" s="54">
        <v>0.35</v>
      </c>
      <c r="Q18" s="54">
        <v>9.1999999999999993</v>
      </c>
      <c r="R18" s="43"/>
      <c r="S18" s="43"/>
      <c r="T18" s="43"/>
      <c r="U18" s="43"/>
    </row>
    <row r="19" spans="1:21" s="11" customFormat="1" x14ac:dyDescent="0.25">
      <c r="A19" s="53" t="s">
        <v>135</v>
      </c>
      <c r="B19" s="54">
        <v>8.2100000000000009</v>
      </c>
      <c r="C19" s="54">
        <v>3.31</v>
      </c>
      <c r="D19" s="54">
        <v>12.08</v>
      </c>
      <c r="E19" s="54">
        <v>4.92</v>
      </c>
      <c r="F19" s="54">
        <v>5.16</v>
      </c>
      <c r="G19" s="54">
        <v>39.71</v>
      </c>
      <c r="H19" s="54">
        <v>9.92</v>
      </c>
      <c r="I19" s="54">
        <v>1.28</v>
      </c>
      <c r="J19" s="54">
        <v>0.63</v>
      </c>
      <c r="K19" s="54">
        <v>358.55</v>
      </c>
      <c r="L19" s="54">
        <v>27.02</v>
      </c>
      <c r="M19" s="54">
        <v>79.48</v>
      </c>
      <c r="N19" s="54">
        <v>454.8</v>
      </c>
      <c r="O19" s="54">
        <v>0</v>
      </c>
      <c r="P19" s="54">
        <v>0.59</v>
      </c>
      <c r="Q19" s="54">
        <v>9.27</v>
      </c>
      <c r="R19" s="43"/>
      <c r="S19" s="43"/>
      <c r="T19" s="43"/>
      <c r="U19" s="43"/>
    </row>
    <row r="20" spans="1:21" s="11" customFormat="1" x14ac:dyDescent="0.25">
      <c r="A20" s="53" t="s">
        <v>136</v>
      </c>
      <c r="B20" s="54">
        <v>8.1999999999999993</v>
      </c>
      <c r="C20" s="54">
        <v>3.37</v>
      </c>
      <c r="D20" s="54">
        <v>12.09</v>
      </c>
      <c r="E20" s="54">
        <v>4.75</v>
      </c>
      <c r="F20" s="54">
        <v>5.73</v>
      </c>
      <c r="G20" s="54">
        <v>39.71</v>
      </c>
      <c r="H20" s="54">
        <v>13.33</v>
      </c>
      <c r="I20" s="54">
        <v>2.4</v>
      </c>
      <c r="J20" s="54">
        <v>0.57999999999999996</v>
      </c>
      <c r="K20" s="54">
        <v>353.66</v>
      </c>
      <c r="L20" s="54">
        <v>28.07</v>
      </c>
      <c r="M20" s="54">
        <v>77.27</v>
      </c>
      <c r="N20" s="54">
        <v>456.4</v>
      </c>
      <c r="O20" s="54">
        <v>0</v>
      </c>
      <c r="P20" s="54">
        <v>0.76</v>
      </c>
      <c r="Q20" s="54">
        <v>9.3000000000000007</v>
      </c>
      <c r="R20" s="43"/>
      <c r="S20" s="43"/>
      <c r="T20" s="43"/>
      <c r="U20" s="43"/>
    </row>
    <row r="21" spans="1:21" s="11" customFormat="1" x14ac:dyDescent="0.25">
      <c r="A21" s="53" t="s">
        <v>137</v>
      </c>
      <c r="B21" s="54">
        <v>8.2899999999999991</v>
      </c>
      <c r="C21" s="54">
        <v>3.33</v>
      </c>
      <c r="D21" s="54">
        <v>12.16</v>
      </c>
      <c r="E21" s="54">
        <v>3.83</v>
      </c>
      <c r="F21" s="54">
        <v>5.0199999999999996</v>
      </c>
      <c r="G21" s="54">
        <v>49.39</v>
      </c>
      <c r="H21" s="54">
        <v>15.13</v>
      </c>
      <c r="I21" s="54">
        <v>2.62</v>
      </c>
      <c r="J21" s="54">
        <v>0.57999999999999996</v>
      </c>
      <c r="K21" s="54">
        <v>355.57</v>
      </c>
      <c r="L21" s="54">
        <v>28.21</v>
      </c>
      <c r="M21" s="54">
        <v>73.739999999999995</v>
      </c>
      <c r="N21" s="54">
        <v>391.8</v>
      </c>
      <c r="O21" s="54">
        <v>0</v>
      </c>
      <c r="P21" s="54">
        <v>0.7</v>
      </c>
      <c r="Q21" s="54">
        <v>9.2899999999999991</v>
      </c>
      <c r="R21" s="43"/>
      <c r="S21" s="43"/>
      <c r="T21" s="43"/>
      <c r="U21" s="43"/>
    </row>
    <row r="22" spans="1:21" s="11" customFormat="1" x14ac:dyDescent="0.25">
      <c r="A22" s="53" t="s">
        <v>138</v>
      </c>
      <c r="B22" s="54">
        <v>8.34</v>
      </c>
      <c r="C22" s="54">
        <v>3.5</v>
      </c>
      <c r="D22" s="54">
        <v>12.29</v>
      </c>
      <c r="E22" s="54">
        <v>4.58</v>
      </c>
      <c r="F22" s="54">
        <v>5.79</v>
      </c>
      <c r="G22" s="54">
        <v>69.489999999999995</v>
      </c>
      <c r="H22" s="54">
        <v>17.34</v>
      </c>
      <c r="I22" s="54">
        <v>2.4900000000000002</v>
      </c>
      <c r="J22" s="54">
        <v>0.61</v>
      </c>
      <c r="K22" s="54">
        <v>339.53</v>
      </c>
      <c r="L22" s="54">
        <v>30.22</v>
      </c>
      <c r="M22" s="54">
        <v>72.33</v>
      </c>
      <c r="N22" s="54">
        <v>693.8</v>
      </c>
      <c r="O22" s="54">
        <v>0</v>
      </c>
      <c r="P22" s="54">
        <v>0.56999999999999995</v>
      </c>
      <c r="Q22" s="54">
        <v>9.27</v>
      </c>
      <c r="R22" s="43"/>
      <c r="S22" s="43"/>
      <c r="T22" s="43"/>
      <c r="U22" s="43"/>
    </row>
    <row r="23" spans="1:21" s="11" customFormat="1" x14ac:dyDescent="0.25">
      <c r="A23" s="53" t="s">
        <v>139</v>
      </c>
      <c r="B23" s="54">
        <v>8.27</v>
      </c>
      <c r="C23" s="54">
        <v>3.23</v>
      </c>
      <c r="D23" s="54">
        <v>12.09</v>
      </c>
      <c r="E23" s="54">
        <v>4.05</v>
      </c>
      <c r="F23" s="54">
        <v>8.75</v>
      </c>
      <c r="G23" s="54">
        <v>69.489999999999995</v>
      </c>
      <c r="H23" s="54">
        <v>19.760000000000002</v>
      </c>
      <c r="I23" s="54">
        <v>2.14</v>
      </c>
      <c r="J23" s="54">
        <v>0.61</v>
      </c>
      <c r="K23" s="54">
        <v>353.87</v>
      </c>
      <c r="L23" s="54">
        <v>30.83</v>
      </c>
      <c r="M23" s="54">
        <v>64.39</v>
      </c>
      <c r="N23" s="54">
        <v>627.9</v>
      </c>
      <c r="O23" s="54">
        <v>0</v>
      </c>
      <c r="P23" s="54">
        <v>0.47</v>
      </c>
      <c r="Q23" s="54">
        <v>9.26</v>
      </c>
      <c r="R23" s="43"/>
      <c r="S23" s="43"/>
      <c r="T23" s="43"/>
      <c r="U23" s="43"/>
    </row>
    <row r="24" spans="1:21" s="11" customFormat="1" x14ac:dyDescent="0.25">
      <c r="A24" s="53" t="s">
        <v>140</v>
      </c>
      <c r="B24" s="54">
        <v>8.2799999999999994</v>
      </c>
      <c r="C24" s="54">
        <v>3.32</v>
      </c>
      <c r="D24" s="54">
        <v>12.14</v>
      </c>
      <c r="E24" s="54">
        <v>4.33</v>
      </c>
      <c r="F24" s="54">
        <v>5.39</v>
      </c>
      <c r="G24" s="54">
        <v>63.65</v>
      </c>
      <c r="H24" s="54">
        <v>19.760000000000002</v>
      </c>
      <c r="I24" s="54">
        <v>1.8</v>
      </c>
      <c r="J24" s="54">
        <v>0.77</v>
      </c>
      <c r="K24" s="54">
        <v>358.43</v>
      </c>
      <c r="L24" s="54">
        <v>29.84</v>
      </c>
      <c r="M24" s="54">
        <v>71.69</v>
      </c>
      <c r="N24" s="54">
        <v>328.3</v>
      </c>
      <c r="O24" s="54">
        <v>0</v>
      </c>
      <c r="P24" s="54">
        <v>0.46</v>
      </c>
      <c r="Q24" s="54">
        <v>9.33</v>
      </c>
      <c r="R24" s="43"/>
      <c r="S24" s="43"/>
      <c r="T24" s="43"/>
      <c r="U24" s="43"/>
    </row>
    <row r="25" spans="1:21" s="11" customFormat="1" x14ac:dyDescent="0.25">
      <c r="A25" s="53" t="s">
        <v>141</v>
      </c>
      <c r="B25" s="54">
        <v>8.33</v>
      </c>
      <c r="C25" s="54">
        <v>3.5</v>
      </c>
      <c r="D25" s="54">
        <v>12.28</v>
      </c>
      <c r="E25" s="54">
        <v>4.62</v>
      </c>
      <c r="F25" s="54">
        <v>4.84</v>
      </c>
      <c r="G25" s="54">
        <v>59.95</v>
      </c>
      <c r="H25" s="54">
        <v>18.71</v>
      </c>
      <c r="I25" s="54">
        <v>1.76</v>
      </c>
      <c r="J25" s="54">
        <v>0.48</v>
      </c>
      <c r="K25" s="54">
        <v>20.16</v>
      </c>
      <c r="L25" s="54">
        <v>27.27</v>
      </c>
      <c r="M25" s="54">
        <v>75.03</v>
      </c>
      <c r="N25" s="54">
        <v>150.30000000000001</v>
      </c>
      <c r="O25" s="54">
        <v>0</v>
      </c>
      <c r="P25" s="54">
        <v>0.39</v>
      </c>
      <c r="Q25" s="54">
        <v>9.31</v>
      </c>
      <c r="R25" s="43"/>
      <c r="S25" s="43"/>
      <c r="T25" s="43"/>
      <c r="U25" s="43"/>
    </row>
    <row r="26" spans="1:21" s="11" customFormat="1" x14ac:dyDescent="0.25">
      <c r="A26" s="53" t="s">
        <v>142</v>
      </c>
      <c r="B26" s="54">
        <v>8.2799999999999994</v>
      </c>
      <c r="C26" s="54">
        <v>3.19</v>
      </c>
      <c r="D26" s="54">
        <v>12.08</v>
      </c>
      <c r="E26" s="54">
        <v>4.6399999999999997</v>
      </c>
      <c r="F26" s="54">
        <v>3.8</v>
      </c>
      <c r="G26" s="54">
        <v>47.3</v>
      </c>
      <c r="H26" s="54">
        <v>17.579999999999998</v>
      </c>
      <c r="I26" s="54">
        <v>1.59</v>
      </c>
      <c r="J26" s="54">
        <v>0.64</v>
      </c>
      <c r="K26" s="54">
        <v>17.309999999999999</v>
      </c>
      <c r="L26" s="54">
        <v>27.15</v>
      </c>
      <c r="M26" s="54">
        <v>76.760000000000005</v>
      </c>
      <c r="N26" s="54">
        <v>54.9</v>
      </c>
      <c r="O26" s="54">
        <v>0</v>
      </c>
      <c r="P26" s="54">
        <v>0.42</v>
      </c>
      <c r="Q26" s="54">
        <v>9.3000000000000007</v>
      </c>
      <c r="R26" s="43"/>
      <c r="S26" s="43"/>
      <c r="T26" s="43"/>
      <c r="U26" s="43"/>
    </row>
    <row r="27" spans="1:21" s="11" customFormat="1" x14ac:dyDescent="0.25">
      <c r="A27" s="53" t="s">
        <v>143</v>
      </c>
      <c r="B27" s="54">
        <v>8.35</v>
      </c>
      <c r="C27" s="54">
        <v>3.34</v>
      </c>
      <c r="D27" s="54">
        <v>12.22</v>
      </c>
      <c r="E27" s="54">
        <v>4.8099999999999996</v>
      </c>
      <c r="F27" s="54">
        <v>4.3899999999999997</v>
      </c>
      <c r="G27" s="54">
        <v>49.79</v>
      </c>
      <c r="H27" s="54">
        <v>17.579999999999998</v>
      </c>
      <c r="I27" s="54">
        <v>2.0299999999999998</v>
      </c>
      <c r="J27" s="54">
        <v>0.56999999999999995</v>
      </c>
      <c r="K27" s="54">
        <v>349.45</v>
      </c>
      <c r="L27" s="54">
        <v>26.37</v>
      </c>
      <c r="M27" s="54">
        <v>83.62</v>
      </c>
      <c r="N27" s="54">
        <v>31</v>
      </c>
      <c r="O27" s="54">
        <v>0</v>
      </c>
      <c r="P27" s="54">
        <v>0.4</v>
      </c>
      <c r="Q27" s="54">
        <v>9.3000000000000007</v>
      </c>
      <c r="R27" s="43"/>
      <c r="S27" s="43"/>
      <c r="T27" s="43"/>
      <c r="U27" s="43"/>
    </row>
    <row r="28" spans="1:21" s="11" customFormat="1" x14ac:dyDescent="0.25">
      <c r="A28" s="53" t="s">
        <v>144</v>
      </c>
      <c r="B28" s="54">
        <v>8.31</v>
      </c>
      <c r="C28" s="54">
        <v>3.27</v>
      </c>
      <c r="D28" s="54">
        <v>12.13</v>
      </c>
      <c r="E28" s="54">
        <v>4.95</v>
      </c>
      <c r="F28" s="54">
        <v>4.91</v>
      </c>
      <c r="G28" s="54">
        <v>49.79</v>
      </c>
      <c r="H28" s="54">
        <v>15.48</v>
      </c>
      <c r="I28" s="54">
        <v>2.96</v>
      </c>
      <c r="J28" s="54">
        <v>0.37</v>
      </c>
      <c r="K28" s="54">
        <v>348.81</v>
      </c>
      <c r="L28" s="54">
        <v>25.58</v>
      </c>
      <c r="M28" s="54">
        <v>86.1</v>
      </c>
      <c r="N28" s="54">
        <v>18</v>
      </c>
      <c r="O28" s="54">
        <v>0</v>
      </c>
      <c r="P28" s="54">
        <v>0.45</v>
      </c>
      <c r="Q28" s="54">
        <v>9.31</v>
      </c>
      <c r="R28" s="43"/>
      <c r="S28" s="43"/>
      <c r="T28" s="43"/>
      <c r="U28" s="43"/>
    </row>
    <row r="29" spans="1:21" s="11" customFormat="1" x14ac:dyDescent="0.25">
      <c r="A29" s="53" t="s">
        <v>145</v>
      </c>
      <c r="B29" s="54">
        <v>8.31</v>
      </c>
      <c r="C29" s="54">
        <v>3.32</v>
      </c>
      <c r="D29" s="54">
        <v>12.17</v>
      </c>
      <c r="E29" s="54">
        <v>3.41</v>
      </c>
      <c r="F29" s="54">
        <v>3.42</v>
      </c>
      <c r="G29" s="54">
        <v>47.9</v>
      </c>
      <c r="H29" s="54">
        <v>15.18</v>
      </c>
      <c r="I29" s="54">
        <v>3.08</v>
      </c>
      <c r="J29" s="54">
        <v>0.56000000000000005</v>
      </c>
      <c r="K29" s="54">
        <v>197.54</v>
      </c>
      <c r="L29" s="54">
        <v>25.51</v>
      </c>
      <c r="M29" s="54">
        <v>86.31</v>
      </c>
      <c r="N29" s="54">
        <v>18.100000000000001</v>
      </c>
      <c r="O29" s="54">
        <v>0</v>
      </c>
      <c r="P29" s="54">
        <v>0.5</v>
      </c>
      <c r="Q29" s="54">
        <v>9.3000000000000007</v>
      </c>
      <c r="R29" s="43"/>
      <c r="S29" s="43"/>
      <c r="T29" s="43"/>
      <c r="U29" s="43"/>
    </row>
    <row r="30" spans="1:21" s="11" customFormat="1" x14ac:dyDescent="0.25">
      <c r="A30" s="53" t="s">
        <v>146</v>
      </c>
      <c r="B30" s="54">
        <v>8.42</v>
      </c>
      <c r="C30" s="54">
        <v>3.59</v>
      </c>
      <c r="D30" s="54">
        <v>12.4</v>
      </c>
      <c r="E30" s="54">
        <v>3.55</v>
      </c>
      <c r="F30" s="54">
        <v>4.47</v>
      </c>
      <c r="G30" s="54">
        <v>47.9</v>
      </c>
      <c r="H30" s="54">
        <v>15.18</v>
      </c>
      <c r="I30" s="54">
        <v>3.23</v>
      </c>
      <c r="J30" s="54">
        <v>0.52</v>
      </c>
      <c r="K30" s="54">
        <v>191.4</v>
      </c>
      <c r="L30" s="54">
        <v>25.22</v>
      </c>
      <c r="M30" s="54">
        <v>89.39</v>
      </c>
      <c r="N30" s="54">
        <v>18.100000000000001</v>
      </c>
      <c r="O30" s="54">
        <v>0</v>
      </c>
      <c r="P30" s="54">
        <v>0.5</v>
      </c>
      <c r="Q30" s="54">
        <v>9.35</v>
      </c>
      <c r="R30" s="43"/>
      <c r="S30" s="43"/>
      <c r="T30" s="43"/>
      <c r="U30" s="43"/>
    </row>
    <row r="31" spans="1:21" s="11" customFormat="1" x14ac:dyDescent="0.25">
      <c r="A31" s="53" t="s">
        <v>147</v>
      </c>
      <c r="B31" s="54">
        <v>8.31</v>
      </c>
      <c r="C31" s="54">
        <v>3.29</v>
      </c>
      <c r="D31" s="54">
        <v>12.16</v>
      </c>
      <c r="E31" s="54">
        <v>3.55</v>
      </c>
      <c r="F31" s="54">
        <v>3.58</v>
      </c>
      <c r="G31" s="54">
        <v>46.87</v>
      </c>
      <c r="H31" s="54">
        <v>14.72</v>
      </c>
      <c r="I31" s="54">
        <v>3.46</v>
      </c>
      <c r="J31" s="54">
        <v>0.54</v>
      </c>
      <c r="K31" s="54">
        <v>221.1</v>
      </c>
      <c r="L31" s="54">
        <v>24.79</v>
      </c>
      <c r="M31" s="54">
        <v>91.08</v>
      </c>
      <c r="N31" s="54">
        <v>18.2</v>
      </c>
      <c r="O31" s="54">
        <v>0</v>
      </c>
      <c r="P31" s="54">
        <v>0.48</v>
      </c>
      <c r="Q31" s="54">
        <v>9.33</v>
      </c>
      <c r="R31" s="43"/>
      <c r="S31" s="43"/>
      <c r="T31" s="43"/>
      <c r="U31" s="43"/>
    </row>
    <row r="32" spans="1:21" s="11" customFormat="1" x14ac:dyDescent="0.25">
      <c r="A32" s="53" t="s">
        <v>148</v>
      </c>
      <c r="B32" s="54">
        <v>8.3000000000000007</v>
      </c>
      <c r="C32" s="54">
        <v>3.24</v>
      </c>
      <c r="D32" s="54">
        <v>12.11</v>
      </c>
      <c r="E32" s="54">
        <v>3.42</v>
      </c>
      <c r="F32" s="54">
        <v>3.89</v>
      </c>
      <c r="G32" s="54">
        <v>46.62</v>
      </c>
      <c r="H32" s="54">
        <v>14.72</v>
      </c>
      <c r="I32" s="54">
        <v>4.04</v>
      </c>
      <c r="J32" s="54">
        <v>1.03</v>
      </c>
      <c r="K32" s="54">
        <v>172.65</v>
      </c>
      <c r="L32" s="54">
        <v>24.16</v>
      </c>
      <c r="M32" s="54">
        <v>90.61</v>
      </c>
      <c r="N32" s="54">
        <v>18.100000000000001</v>
      </c>
      <c r="O32" s="54">
        <v>0</v>
      </c>
      <c r="P32" s="54">
        <v>0.43</v>
      </c>
      <c r="Q32" s="54">
        <v>9.36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8.15</v>
      </c>
      <c r="C34" s="28">
        <f t="shared" si="0"/>
        <v>3.1</v>
      </c>
      <c r="D34" s="28">
        <f t="shared" si="0"/>
        <v>11.93</v>
      </c>
      <c r="E34" s="28">
        <f t="shared" si="0"/>
        <v>3.41</v>
      </c>
      <c r="F34" s="28">
        <f t="shared" si="0"/>
        <v>3.42</v>
      </c>
      <c r="G34" s="28">
        <f t="shared" si="0"/>
        <v>8.8800000000000008</v>
      </c>
      <c r="H34" s="28">
        <f t="shared" si="0"/>
        <v>2.04</v>
      </c>
      <c r="I34" s="28">
        <f t="shared" si="0"/>
        <v>0.68</v>
      </c>
      <c r="J34" s="28">
        <f t="shared" si="0"/>
        <v>0.37</v>
      </c>
      <c r="K34" s="28">
        <f t="shared" si="0"/>
        <v>11.34</v>
      </c>
      <c r="L34" s="28">
        <f t="shared" si="0"/>
        <v>22.37</v>
      </c>
      <c r="M34" s="28">
        <f t="shared" si="0"/>
        <v>64.39</v>
      </c>
      <c r="N34" s="28">
        <f t="shared" si="0"/>
        <v>17.8</v>
      </c>
      <c r="O34" s="28">
        <f t="shared" si="0"/>
        <v>0</v>
      </c>
      <c r="P34" s="28">
        <f t="shared" si="0"/>
        <v>0.22</v>
      </c>
      <c r="Q34" s="28">
        <f t="shared" si="0"/>
        <v>9.17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8.42</v>
      </c>
      <c r="C35" s="29">
        <f t="shared" si="1"/>
        <v>3.59</v>
      </c>
      <c r="D35" s="29">
        <f t="shared" si="1"/>
        <v>12.4</v>
      </c>
      <c r="E35" s="29">
        <f t="shared" si="1"/>
        <v>4.9800000000000004</v>
      </c>
      <c r="F35" s="29">
        <f t="shared" si="1"/>
        <v>8.75</v>
      </c>
      <c r="G35" s="29">
        <f t="shared" si="1"/>
        <v>69.489999999999995</v>
      </c>
      <c r="H35" s="29">
        <f t="shared" si="1"/>
        <v>19.760000000000002</v>
      </c>
      <c r="I35" s="29">
        <f t="shared" si="1"/>
        <v>4.04</v>
      </c>
      <c r="J35" s="29">
        <f t="shared" si="1"/>
        <v>1.03</v>
      </c>
      <c r="K35" s="29">
        <f t="shared" si="1"/>
        <v>359.23</v>
      </c>
      <c r="L35" s="29">
        <f t="shared" si="1"/>
        <v>30.83</v>
      </c>
      <c r="M35" s="29">
        <f t="shared" si="1"/>
        <v>98.33</v>
      </c>
      <c r="N35" s="29">
        <f t="shared" si="1"/>
        <v>693.8</v>
      </c>
      <c r="O35" s="29">
        <f t="shared" si="1"/>
        <v>0</v>
      </c>
      <c r="P35" s="29">
        <f t="shared" si="1"/>
        <v>0.76</v>
      </c>
      <c r="Q35" s="29">
        <f t="shared" si="1"/>
        <v>9.36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8.2695833333333351</v>
      </c>
      <c r="C36" s="28">
        <f t="shared" si="2"/>
        <v>3.3091666666666661</v>
      </c>
      <c r="D36" s="28">
        <f t="shared" si="2"/>
        <v>12.129166666666668</v>
      </c>
      <c r="E36" s="28">
        <f t="shared" si="2"/>
        <v>4.3387500000000001</v>
      </c>
      <c r="F36" s="28">
        <f t="shared" si="2"/>
        <v>5.0733333333333333</v>
      </c>
      <c r="G36" s="28">
        <f t="shared" si="2"/>
        <v>38.55833333333333</v>
      </c>
      <c r="H36" s="28">
        <f t="shared" si="2"/>
        <v>11.435</v>
      </c>
      <c r="I36" s="28">
        <f t="shared" si="2"/>
        <v>1.9891666666666665</v>
      </c>
      <c r="J36" s="28">
        <f t="shared" si="2"/>
        <v>0.62749999999999984</v>
      </c>
      <c r="K36" s="28">
        <f t="shared" si="2"/>
        <v>243.37041666666667</v>
      </c>
      <c r="L36" s="28">
        <f t="shared" si="2"/>
        <v>25.557499999999994</v>
      </c>
      <c r="M36" s="28">
        <f t="shared" si="2"/>
        <v>86.548333333333332</v>
      </c>
      <c r="N36" s="28">
        <f t="shared" si="2"/>
        <v>184.36666666666667</v>
      </c>
      <c r="O36" s="28">
        <f t="shared" si="2"/>
        <v>0</v>
      </c>
      <c r="P36" s="28">
        <f t="shared" si="2"/>
        <v>0.41583333333333333</v>
      </c>
      <c r="Q36" s="28">
        <f t="shared" si="2"/>
        <v>9.2700000000000031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6.1889042836259761E-2</v>
      </c>
      <c r="C37" s="28">
        <f t="shared" ref="C37:Q37" si="3">STDEV(C9:C32)</f>
        <v>0.13730058002558587</v>
      </c>
      <c r="D37" s="28">
        <f t="shared" si="3"/>
        <v>0.11537902253260648</v>
      </c>
      <c r="E37" s="28">
        <f t="shared" si="3"/>
        <v>0.54160239306516511</v>
      </c>
      <c r="F37" s="28">
        <f t="shared" si="3"/>
        <v>1.0949118156536557</v>
      </c>
      <c r="G37" s="28">
        <f t="shared" si="3"/>
        <v>18.491389457203354</v>
      </c>
      <c r="H37" s="28">
        <f t="shared" si="3"/>
        <v>6.0370342560478862</v>
      </c>
      <c r="I37" s="28">
        <f t="shared" si="3"/>
        <v>0.95471788078157382</v>
      </c>
      <c r="J37" s="28">
        <f t="shared" si="3"/>
        <v>0.12756072722603543</v>
      </c>
      <c r="K37" s="28">
        <f t="shared" si="3"/>
        <v>145.87671049566563</v>
      </c>
      <c r="L37" s="28">
        <f t="shared" si="3"/>
        <v>2.5940102410042214</v>
      </c>
      <c r="M37" s="28">
        <f t="shared" si="3"/>
        <v>10.510043092066798</v>
      </c>
      <c r="N37" s="28">
        <f t="shared" si="3"/>
        <v>214.94566485644626</v>
      </c>
      <c r="O37" s="28">
        <f t="shared" si="3"/>
        <v>0</v>
      </c>
      <c r="P37" s="28">
        <f t="shared" si="3"/>
        <v>0.1424602665174815</v>
      </c>
      <c r="Q37" s="28">
        <f t="shared" si="3"/>
        <v>5.4373906785612165E-2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E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8" sqref="H48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149</v>
      </c>
      <c r="B9" s="54">
        <v>8.3000000000000007</v>
      </c>
      <c r="C9" s="54">
        <v>3.22</v>
      </c>
      <c r="D9" s="54">
        <v>12.11</v>
      </c>
      <c r="E9" s="54">
        <v>4.8600000000000003</v>
      </c>
      <c r="F9" s="54">
        <v>4.55</v>
      </c>
      <c r="G9" s="54">
        <v>34.43</v>
      </c>
      <c r="H9" s="54">
        <v>11.37</v>
      </c>
      <c r="I9" s="54">
        <v>4.4000000000000004</v>
      </c>
      <c r="J9" s="54">
        <v>0.76</v>
      </c>
      <c r="K9" s="54">
        <v>234.56</v>
      </c>
      <c r="L9" s="54">
        <v>23.76</v>
      </c>
      <c r="M9" s="54">
        <v>90.4</v>
      </c>
      <c r="N9" s="54">
        <v>18.100000000000001</v>
      </c>
      <c r="O9" s="54">
        <v>0</v>
      </c>
      <c r="P9" s="54">
        <v>0.41</v>
      </c>
      <c r="Q9" s="54">
        <v>9.33</v>
      </c>
      <c r="R9" s="43"/>
      <c r="S9" s="43"/>
      <c r="T9" s="43"/>
      <c r="U9" s="43"/>
    </row>
    <row r="10" spans="1:21" s="11" customFormat="1" x14ac:dyDescent="0.25">
      <c r="A10" s="53" t="s">
        <v>150</v>
      </c>
      <c r="B10" s="54">
        <v>8.35</v>
      </c>
      <c r="C10" s="54">
        <v>3.31</v>
      </c>
      <c r="D10" s="54">
        <v>12.2</v>
      </c>
      <c r="E10" s="54">
        <v>4.6500000000000004</v>
      </c>
      <c r="F10" s="54">
        <v>4.75</v>
      </c>
      <c r="G10" s="54">
        <v>30.95</v>
      </c>
      <c r="H10" s="54">
        <v>8.44</v>
      </c>
      <c r="I10" s="54">
        <v>4.22</v>
      </c>
      <c r="J10" s="54">
        <v>0.53</v>
      </c>
      <c r="K10" s="54">
        <v>344.62</v>
      </c>
      <c r="L10" s="54">
        <v>23.77</v>
      </c>
      <c r="M10" s="54">
        <v>90.91</v>
      </c>
      <c r="N10" s="54">
        <v>18.100000000000001</v>
      </c>
      <c r="O10" s="54">
        <v>0</v>
      </c>
      <c r="P10" s="54">
        <v>0.36</v>
      </c>
      <c r="Q10" s="54">
        <v>9.2799999999999994</v>
      </c>
      <c r="R10" s="43"/>
      <c r="S10" s="43"/>
      <c r="T10" s="43"/>
      <c r="U10" s="43"/>
    </row>
    <row r="11" spans="1:21" s="11" customFormat="1" x14ac:dyDescent="0.25">
      <c r="A11" s="53" t="s">
        <v>151</v>
      </c>
      <c r="B11" s="54">
        <v>8.2899999999999991</v>
      </c>
      <c r="C11" s="54">
        <v>3.27</v>
      </c>
      <c r="D11" s="54">
        <v>12.13</v>
      </c>
      <c r="E11" s="54">
        <v>4.8099999999999996</v>
      </c>
      <c r="F11" s="54">
        <v>3.54</v>
      </c>
      <c r="G11" s="54">
        <v>30.04</v>
      </c>
      <c r="H11" s="54">
        <v>8.11</v>
      </c>
      <c r="I11" s="54">
        <v>3.51</v>
      </c>
      <c r="J11" s="54">
        <v>1.41</v>
      </c>
      <c r="K11" s="54">
        <v>329.69</v>
      </c>
      <c r="L11" s="54">
        <v>23.78</v>
      </c>
      <c r="M11" s="54">
        <v>97.41</v>
      </c>
      <c r="N11" s="54">
        <v>18.2</v>
      </c>
      <c r="O11" s="54">
        <v>0</v>
      </c>
      <c r="P11" s="54">
        <v>0.34</v>
      </c>
      <c r="Q11" s="54">
        <v>9.25</v>
      </c>
      <c r="R11" s="43"/>
      <c r="S11" s="43"/>
      <c r="T11" s="43"/>
      <c r="U11" s="43"/>
    </row>
    <row r="12" spans="1:21" s="11" customFormat="1" x14ac:dyDescent="0.25">
      <c r="A12" s="53" t="s">
        <v>152</v>
      </c>
      <c r="B12" s="54">
        <v>8.3000000000000007</v>
      </c>
      <c r="C12" s="54">
        <v>3.22</v>
      </c>
      <c r="D12" s="54">
        <v>12.1</v>
      </c>
      <c r="E12" s="54">
        <v>4.92</v>
      </c>
      <c r="F12" s="54">
        <v>3.76</v>
      </c>
      <c r="G12" s="54">
        <v>26.88</v>
      </c>
      <c r="H12" s="54">
        <v>8.17</v>
      </c>
      <c r="I12" s="54">
        <v>3.02</v>
      </c>
      <c r="J12" s="54">
        <v>0.88</v>
      </c>
      <c r="K12" s="54">
        <v>319</v>
      </c>
      <c r="L12" s="54">
        <v>23.3</v>
      </c>
      <c r="M12" s="54">
        <v>98.35</v>
      </c>
      <c r="N12" s="54">
        <v>18.399999999999999</v>
      </c>
      <c r="O12" s="54">
        <v>0.2</v>
      </c>
      <c r="P12" s="54">
        <v>0.32</v>
      </c>
      <c r="Q12" s="54">
        <v>9.24</v>
      </c>
      <c r="R12" s="43"/>
      <c r="S12" s="43"/>
      <c r="T12" s="43"/>
      <c r="U12" s="43"/>
    </row>
    <row r="13" spans="1:21" s="11" customFormat="1" x14ac:dyDescent="0.25">
      <c r="A13" s="53" t="s">
        <v>153</v>
      </c>
      <c r="B13" s="54">
        <v>8.33</v>
      </c>
      <c r="C13" s="54">
        <v>3.25</v>
      </c>
      <c r="D13" s="54">
        <v>12.15</v>
      </c>
      <c r="E13" s="54">
        <v>4.03</v>
      </c>
      <c r="F13" s="54">
        <v>4.34</v>
      </c>
      <c r="G13" s="54">
        <v>21.26</v>
      </c>
      <c r="H13" s="54">
        <v>8.17</v>
      </c>
      <c r="I13" s="54">
        <v>3.3</v>
      </c>
      <c r="J13" s="54">
        <v>0.69</v>
      </c>
      <c r="K13" s="54">
        <v>341.49</v>
      </c>
      <c r="L13" s="54">
        <v>22.69</v>
      </c>
      <c r="M13" s="54">
        <v>98.4</v>
      </c>
      <c r="N13" s="54">
        <v>18.3</v>
      </c>
      <c r="O13" s="54">
        <v>0.2</v>
      </c>
      <c r="P13" s="54">
        <v>0.32</v>
      </c>
      <c r="Q13" s="54">
        <v>9.2799999999999994</v>
      </c>
      <c r="R13" s="43"/>
      <c r="S13" s="43"/>
      <c r="T13" s="43"/>
      <c r="U13" s="43"/>
    </row>
    <row r="14" spans="1:21" s="11" customFormat="1" x14ac:dyDescent="0.25">
      <c r="A14" s="53" t="s">
        <v>154</v>
      </c>
      <c r="B14" s="54">
        <v>8.41</v>
      </c>
      <c r="C14" s="54">
        <v>3.56</v>
      </c>
      <c r="D14" s="54">
        <v>12.38</v>
      </c>
      <c r="E14" s="54">
        <v>4.22</v>
      </c>
      <c r="F14" s="54">
        <v>4.78</v>
      </c>
      <c r="G14" s="54">
        <v>17.649999999999999</v>
      </c>
      <c r="H14" s="54">
        <v>7.21</v>
      </c>
      <c r="I14" s="54">
        <v>3.46</v>
      </c>
      <c r="J14" s="54">
        <v>0.52</v>
      </c>
      <c r="K14" s="54">
        <v>344.64</v>
      </c>
      <c r="L14" s="54">
        <v>22.65</v>
      </c>
      <c r="M14" s="54">
        <v>98.4</v>
      </c>
      <c r="N14" s="54">
        <v>21.3</v>
      </c>
      <c r="O14" s="54">
        <v>1.8</v>
      </c>
      <c r="P14" s="54">
        <v>0.32</v>
      </c>
      <c r="Q14" s="54">
        <v>9.26</v>
      </c>
      <c r="R14" s="43"/>
      <c r="S14" s="43"/>
      <c r="T14" s="43"/>
      <c r="U14" s="43"/>
    </row>
    <row r="15" spans="1:21" s="11" customFormat="1" x14ac:dyDescent="0.25">
      <c r="A15" s="53" t="s">
        <v>155</v>
      </c>
      <c r="B15" s="54">
        <v>8.2799999999999994</v>
      </c>
      <c r="C15" s="54">
        <v>3.25</v>
      </c>
      <c r="D15" s="54">
        <v>12.11</v>
      </c>
      <c r="E15" s="54">
        <v>4.3</v>
      </c>
      <c r="F15" s="54">
        <v>4.63</v>
      </c>
      <c r="G15" s="54">
        <v>13.07</v>
      </c>
      <c r="H15" s="54">
        <v>7.18</v>
      </c>
      <c r="I15" s="54">
        <v>2.71</v>
      </c>
      <c r="J15" s="54">
        <v>0.51</v>
      </c>
      <c r="K15" s="54">
        <v>318.68</v>
      </c>
      <c r="L15" s="54">
        <v>21.84</v>
      </c>
      <c r="M15" s="54">
        <v>98.4</v>
      </c>
      <c r="N15" s="54">
        <v>40.200000000000003</v>
      </c>
      <c r="O15" s="54">
        <v>1</v>
      </c>
      <c r="P15" s="54">
        <v>0.32</v>
      </c>
      <c r="Q15" s="54">
        <v>9.26</v>
      </c>
      <c r="R15" s="43"/>
      <c r="S15" s="43"/>
      <c r="T15" s="43"/>
      <c r="U15" s="43"/>
    </row>
    <row r="16" spans="1:21" s="11" customFormat="1" x14ac:dyDescent="0.25">
      <c r="A16" s="53" t="s">
        <v>156</v>
      </c>
      <c r="B16" s="54">
        <v>8.26</v>
      </c>
      <c r="C16" s="54">
        <v>3.18</v>
      </c>
      <c r="D16" s="54">
        <v>12.06</v>
      </c>
      <c r="E16" s="54">
        <v>4.22</v>
      </c>
      <c r="F16" s="54">
        <v>4.18</v>
      </c>
      <c r="G16" s="54">
        <v>10.72</v>
      </c>
      <c r="H16" s="54">
        <v>8.09</v>
      </c>
      <c r="I16" s="54">
        <v>2.31</v>
      </c>
      <c r="J16" s="54">
        <v>0.46</v>
      </c>
      <c r="K16" s="54">
        <v>353.88</v>
      </c>
      <c r="L16" s="54">
        <v>21.77</v>
      </c>
      <c r="M16" s="54">
        <v>98.4</v>
      </c>
      <c r="N16" s="54">
        <v>87.2</v>
      </c>
      <c r="O16" s="54">
        <v>0.6</v>
      </c>
      <c r="P16" s="54">
        <v>0.31</v>
      </c>
      <c r="Q16" s="54">
        <v>9.2100000000000009</v>
      </c>
      <c r="R16" s="43"/>
      <c r="S16" s="43"/>
      <c r="T16" s="43"/>
      <c r="U16" s="43"/>
    </row>
    <row r="17" spans="1:21" s="11" customFormat="1" x14ac:dyDescent="0.25">
      <c r="A17" s="53" t="s">
        <v>157</v>
      </c>
      <c r="B17" s="54">
        <v>8.33</v>
      </c>
      <c r="C17" s="54">
        <v>3.32</v>
      </c>
      <c r="D17" s="54">
        <v>12.19</v>
      </c>
      <c r="E17" s="54">
        <v>4.2300000000000004</v>
      </c>
      <c r="F17" s="54">
        <v>3.75</v>
      </c>
      <c r="G17" s="54">
        <v>11.85</v>
      </c>
      <c r="H17" s="54">
        <v>8.09</v>
      </c>
      <c r="I17" s="54">
        <v>2.35</v>
      </c>
      <c r="J17" s="54">
        <v>0.36</v>
      </c>
      <c r="K17" s="54">
        <v>329.09</v>
      </c>
      <c r="L17" s="54">
        <v>22.29</v>
      </c>
      <c r="M17" s="54">
        <v>98.4</v>
      </c>
      <c r="N17" s="54">
        <v>155.30000000000001</v>
      </c>
      <c r="O17" s="54">
        <v>0.2</v>
      </c>
      <c r="P17" s="54">
        <v>0.3</v>
      </c>
      <c r="Q17" s="54">
        <v>9.24</v>
      </c>
      <c r="R17" s="43"/>
      <c r="S17" s="43"/>
      <c r="T17" s="43"/>
      <c r="U17" s="43"/>
    </row>
    <row r="18" spans="1:21" s="11" customFormat="1" x14ac:dyDescent="0.25">
      <c r="A18" s="53" t="s">
        <v>158</v>
      </c>
      <c r="B18" s="54">
        <v>8.33</v>
      </c>
      <c r="C18" s="54">
        <v>3.24</v>
      </c>
      <c r="D18" s="54">
        <v>12.14</v>
      </c>
      <c r="E18" s="54">
        <v>4.16</v>
      </c>
      <c r="F18" s="54">
        <v>5.49</v>
      </c>
      <c r="G18" s="54">
        <v>11.85</v>
      </c>
      <c r="H18" s="54">
        <v>5.9</v>
      </c>
      <c r="I18" s="54">
        <v>2.52</v>
      </c>
      <c r="J18" s="54">
        <v>0.56000000000000005</v>
      </c>
      <c r="K18" s="54">
        <v>354.14</v>
      </c>
      <c r="L18" s="54">
        <v>23.54</v>
      </c>
      <c r="M18" s="54">
        <v>98.4</v>
      </c>
      <c r="N18" s="54">
        <v>285.60000000000002</v>
      </c>
      <c r="O18" s="54">
        <v>0</v>
      </c>
      <c r="P18" s="54">
        <v>0.34</v>
      </c>
      <c r="Q18" s="54">
        <v>9.24</v>
      </c>
      <c r="R18" s="43"/>
      <c r="S18" s="43"/>
      <c r="T18" s="43"/>
      <c r="U18" s="43"/>
    </row>
    <row r="19" spans="1:21" s="11" customFormat="1" x14ac:dyDescent="0.25">
      <c r="A19" s="53" t="s">
        <v>159</v>
      </c>
      <c r="B19" s="54">
        <v>8.31</v>
      </c>
      <c r="C19" s="54">
        <v>3.4</v>
      </c>
      <c r="D19" s="54">
        <v>12.21</v>
      </c>
      <c r="E19" s="54">
        <v>4.2300000000000004</v>
      </c>
      <c r="F19" s="54">
        <v>5.29</v>
      </c>
      <c r="G19" s="54">
        <v>9.81</v>
      </c>
      <c r="H19" s="54">
        <v>4.25</v>
      </c>
      <c r="I19" s="54">
        <v>2.2999999999999998</v>
      </c>
      <c r="J19" s="54">
        <v>0.6</v>
      </c>
      <c r="K19" s="54">
        <v>12.66</v>
      </c>
      <c r="L19" s="54">
        <v>24.91</v>
      </c>
      <c r="M19" s="54">
        <v>98.33</v>
      </c>
      <c r="N19" s="54">
        <v>361</v>
      </c>
      <c r="O19" s="54">
        <v>0</v>
      </c>
      <c r="P19" s="54">
        <v>0.39</v>
      </c>
      <c r="Q19" s="54">
        <v>9.24</v>
      </c>
      <c r="R19" s="43"/>
      <c r="S19" s="43"/>
      <c r="T19" s="43"/>
      <c r="U19" s="43"/>
    </row>
    <row r="20" spans="1:21" s="11" customFormat="1" x14ac:dyDescent="0.25">
      <c r="A20" s="53" t="s">
        <v>160</v>
      </c>
      <c r="B20" s="54">
        <v>8.32</v>
      </c>
      <c r="C20" s="54">
        <v>3.35</v>
      </c>
      <c r="D20" s="54">
        <v>12.2</v>
      </c>
      <c r="E20" s="54">
        <v>5.21</v>
      </c>
      <c r="F20" s="54">
        <v>5.4</v>
      </c>
      <c r="G20" s="59" t="s">
        <v>12</v>
      </c>
      <c r="H20" s="59" t="s">
        <v>12</v>
      </c>
      <c r="I20" s="54">
        <v>1.66</v>
      </c>
      <c r="J20" s="54">
        <v>0.65</v>
      </c>
      <c r="K20" s="54">
        <v>358.65</v>
      </c>
      <c r="L20" s="54">
        <v>25.6</v>
      </c>
      <c r="M20" s="54">
        <v>90.84</v>
      </c>
      <c r="N20" s="54">
        <v>413.2</v>
      </c>
      <c r="O20" s="54">
        <v>0</v>
      </c>
      <c r="P20" s="54">
        <v>0.42</v>
      </c>
      <c r="Q20" s="54">
        <v>9.23</v>
      </c>
      <c r="R20" s="43"/>
      <c r="S20" s="43"/>
      <c r="T20" s="43"/>
      <c r="U20" s="43"/>
    </row>
    <row r="21" spans="1:21" s="11" customFormat="1" x14ac:dyDescent="0.25">
      <c r="A21" s="53" t="s">
        <v>161</v>
      </c>
      <c r="B21" s="54">
        <v>8.31</v>
      </c>
      <c r="C21" s="54">
        <v>3.3</v>
      </c>
      <c r="D21" s="54">
        <v>12.16</v>
      </c>
      <c r="E21" s="54">
        <v>4.99</v>
      </c>
      <c r="F21" s="54">
        <v>8.23</v>
      </c>
      <c r="G21" s="59" t="s">
        <v>12</v>
      </c>
      <c r="H21" s="59" t="s">
        <v>12</v>
      </c>
      <c r="I21" s="54">
        <v>1.49</v>
      </c>
      <c r="J21" s="54">
        <v>0.6</v>
      </c>
      <c r="K21" s="54">
        <v>348.94</v>
      </c>
      <c r="L21" s="54">
        <v>26.78</v>
      </c>
      <c r="M21" s="54">
        <v>88.55</v>
      </c>
      <c r="N21" s="54">
        <v>541.5</v>
      </c>
      <c r="O21" s="54">
        <v>0</v>
      </c>
      <c r="P21" s="54">
        <v>0.39</v>
      </c>
      <c r="Q21" s="54">
        <v>9.1999999999999993</v>
      </c>
      <c r="R21" s="43"/>
      <c r="S21" s="43"/>
      <c r="T21" s="43"/>
      <c r="U21" s="43"/>
    </row>
    <row r="22" spans="1:21" s="11" customFormat="1" x14ac:dyDescent="0.25">
      <c r="A22" s="53" t="s">
        <v>162</v>
      </c>
      <c r="B22" s="54">
        <v>8.3000000000000007</v>
      </c>
      <c r="C22" s="54">
        <v>3.27</v>
      </c>
      <c r="D22" s="54">
        <v>12.14</v>
      </c>
      <c r="E22" s="54">
        <v>5.0999999999999996</v>
      </c>
      <c r="F22" s="54">
        <v>8.6300000000000008</v>
      </c>
      <c r="G22" s="54">
        <v>92.94</v>
      </c>
      <c r="H22" s="54">
        <v>34.17</v>
      </c>
      <c r="I22" s="54">
        <v>1.22</v>
      </c>
      <c r="J22" s="54">
        <v>0.66</v>
      </c>
      <c r="K22" s="54">
        <v>359.8</v>
      </c>
      <c r="L22" s="54">
        <v>27.33</v>
      </c>
      <c r="M22" s="54">
        <v>82.21</v>
      </c>
      <c r="N22" s="54">
        <v>644.9</v>
      </c>
      <c r="O22" s="54">
        <v>0</v>
      </c>
      <c r="P22" s="54">
        <v>0.35</v>
      </c>
      <c r="Q22" s="54">
        <v>9.2100000000000009</v>
      </c>
      <c r="R22" s="43"/>
      <c r="S22" s="43"/>
      <c r="T22" s="43"/>
      <c r="U22" s="43"/>
    </row>
    <row r="23" spans="1:21" s="11" customFormat="1" x14ac:dyDescent="0.25">
      <c r="A23" s="53" t="s">
        <v>163</v>
      </c>
      <c r="B23" s="54">
        <v>8.31</v>
      </c>
      <c r="C23" s="54">
        <v>3.39</v>
      </c>
      <c r="D23" s="54">
        <v>12.2</v>
      </c>
      <c r="E23" s="54">
        <v>5.01</v>
      </c>
      <c r="F23" s="54">
        <v>7.12</v>
      </c>
      <c r="G23" s="54">
        <v>61.25</v>
      </c>
      <c r="H23" s="54">
        <v>24.43</v>
      </c>
      <c r="I23" s="54">
        <v>1</v>
      </c>
      <c r="J23" s="54">
        <v>0.6</v>
      </c>
      <c r="K23" s="54">
        <v>349.36</v>
      </c>
      <c r="L23" s="54">
        <v>27.7</v>
      </c>
      <c r="M23" s="54">
        <v>77.67</v>
      </c>
      <c r="N23" s="54">
        <v>511.4</v>
      </c>
      <c r="O23" s="54">
        <v>0</v>
      </c>
      <c r="P23" s="54">
        <v>0.35</v>
      </c>
      <c r="Q23" s="54">
        <v>9.23</v>
      </c>
      <c r="R23" s="43"/>
      <c r="S23" s="43"/>
      <c r="T23" s="43"/>
      <c r="U23" s="43"/>
    </row>
    <row r="24" spans="1:21" s="11" customFormat="1" x14ac:dyDescent="0.25">
      <c r="A24" s="53" t="s">
        <v>164</v>
      </c>
      <c r="B24" s="54">
        <v>8.35</v>
      </c>
      <c r="C24" s="54">
        <v>3.54</v>
      </c>
      <c r="D24" s="54">
        <v>12.32</v>
      </c>
      <c r="E24" s="54">
        <v>4.87</v>
      </c>
      <c r="F24" s="54">
        <v>4.75</v>
      </c>
      <c r="G24" s="54">
        <v>62.2</v>
      </c>
      <c r="H24" s="54">
        <v>22.43</v>
      </c>
      <c r="I24" s="54">
        <v>0.98</v>
      </c>
      <c r="J24" s="54">
        <v>0.3</v>
      </c>
      <c r="K24" s="54">
        <v>352.75</v>
      </c>
      <c r="L24" s="54">
        <v>27.28</v>
      </c>
      <c r="M24" s="54">
        <v>82.67</v>
      </c>
      <c r="N24" s="54">
        <v>257.39999999999998</v>
      </c>
      <c r="O24" s="54">
        <v>0</v>
      </c>
      <c r="P24" s="54">
        <v>0.33</v>
      </c>
      <c r="Q24" s="54">
        <v>9.27</v>
      </c>
      <c r="R24" s="43"/>
      <c r="S24" s="43"/>
      <c r="T24" s="43"/>
      <c r="U24" s="43"/>
    </row>
    <row r="25" spans="1:21" s="11" customFormat="1" x14ac:dyDescent="0.25">
      <c r="A25" s="53" t="s">
        <v>165</v>
      </c>
      <c r="B25" s="54">
        <v>8.25</v>
      </c>
      <c r="C25" s="54">
        <v>3.16</v>
      </c>
      <c r="D25" s="54">
        <v>12.04</v>
      </c>
      <c r="E25" s="54">
        <v>3.8</v>
      </c>
      <c r="F25" s="54">
        <v>4.7300000000000004</v>
      </c>
      <c r="G25" s="54">
        <v>44.05</v>
      </c>
      <c r="H25" s="54">
        <v>17.04</v>
      </c>
      <c r="I25" s="54">
        <v>1.0900000000000001</v>
      </c>
      <c r="J25" s="54">
        <v>0.52</v>
      </c>
      <c r="K25" s="54">
        <v>354.35</v>
      </c>
      <c r="L25" s="54">
        <v>27.31</v>
      </c>
      <c r="M25" s="54">
        <v>79.569999999999993</v>
      </c>
      <c r="N25" s="54">
        <v>188.5</v>
      </c>
      <c r="O25" s="54">
        <v>0</v>
      </c>
      <c r="P25" s="54">
        <v>0.32</v>
      </c>
      <c r="Q25" s="54">
        <v>9.26</v>
      </c>
      <c r="R25" s="43"/>
      <c r="S25" s="43"/>
      <c r="T25" s="43"/>
      <c r="U25" s="43"/>
    </row>
    <row r="26" spans="1:21" s="11" customFormat="1" x14ac:dyDescent="0.25">
      <c r="A26" s="53" t="s">
        <v>166</v>
      </c>
      <c r="B26" s="54">
        <v>8.3000000000000007</v>
      </c>
      <c r="C26" s="54">
        <v>3.29</v>
      </c>
      <c r="D26" s="54">
        <v>12.15</v>
      </c>
      <c r="E26" s="54">
        <v>3.52</v>
      </c>
      <c r="F26" s="54">
        <v>4.51</v>
      </c>
      <c r="G26" s="54">
        <v>56.15</v>
      </c>
      <c r="H26" s="54">
        <v>17.440000000000001</v>
      </c>
      <c r="I26" s="54">
        <v>1.51</v>
      </c>
      <c r="J26" s="54">
        <v>0.53</v>
      </c>
      <c r="K26" s="54">
        <v>356.63</v>
      </c>
      <c r="L26" s="54">
        <v>27.22</v>
      </c>
      <c r="M26" s="54">
        <v>78.91</v>
      </c>
      <c r="N26" s="54">
        <v>105.8</v>
      </c>
      <c r="O26" s="54">
        <v>0</v>
      </c>
      <c r="P26" s="54">
        <v>0.34</v>
      </c>
      <c r="Q26" s="54">
        <v>9.24</v>
      </c>
      <c r="R26" s="43"/>
      <c r="S26" s="43"/>
      <c r="T26" s="43"/>
      <c r="U26" s="43"/>
    </row>
    <row r="27" spans="1:21" s="11" customFormat="1" x14ac:dyDescent="0.25">
      <c r="A27" s="53" t="s">
        <v>167</v>
      </c>
      <c r="B27" s="54">
        <v>8.31</v>
      </c>
      <c r="C27" s="54">
        <v>3.29</v>
      </c>
      <c r="D27" s="54">
        <v>12.16</v>
      </c>
      <c r="E27" s="54">
        <v>3.97</v>
      </c>
      <c r="F27" s="54">
        <v>4.88</v>
      </c>
      <c r="G27" s="54">
        <v>66.97</v>
      </c>
      <c r="H27" s="54">
        <v>17.64</v>
      </c>
      <c r="I27" s="54">
        <v>2.16</v>
      </c>
      <c r="J27" s="54">
        <v>0.48</v>
      </c>
      <c r="K27" s="54">
        <v>358.23</v>
      </c>
      <c r="L27" s="54">
        <v>26.73</v>
      </c>
      <c r="M27" s="54">
        <v>81.27</v>
      </c>
      <c r="N27" s="54">
        <v>37.700000000000003</v>
      </c>
      <c r="O27" s="54">
        <v>0</v>
      </c>
      <c r="P27" s="54">
        <v>0.41</v>
      </c>
      <c r="Q27" s="54">
        <v>9.26</v>
      </c>
      <c r="R27" s="43"/>
      <c r="S27" s="43"/>
      <c r="T27" s="43"/>
      <c r="U27" s="43"/>
    </row>
    <row r="28" spans="1:21" s="11" customFormat="1" x14ac:dyDescent="0.25">
      <c r="A28" s="53" t="s">
        <v>168</v>
      </c>
      <c r="B28" s="54">
        <v>8.25</v>
      </c>
      <c r="C28" s="54">
        <v>3.26</v>
      </c>
      <c r="D28" s="54">
        <v>12.09</v>
      </c>
      <c r="E28" s="54">
        <v>4.33</v>
      </c>
      <c r="F28" s="54">
        <v>4.1900000000000004</v>
      </c>
      <c r="G28" s="54">
        <v>67.650000000000006</v>
      </c>
      <c r="H28" s="54">
        <v>17.11</v>
      </c>
      <c r="I28" s="54">
        <v>2.79</v>
      </c>
      <c r="J28" s="54">
        <v>0.57999999999999996</v>
      </c>
      <c r="K28" s="54">
        <v>198.87</v>
      </c>
      <c r="L28" s="54">
        <v>26.06</v>
      </c>
      <c r="M28" s="54">
        <v>87.41</v>
      </c>
      <c r="N28" s="54">
        <v>18.600000000000001</v>
      </c>
      <c r="O28" s="54">
        <v>0</v>
      </c>
      <c r="P28" s="54">
        <v>0.43</v>
      </c>
      <c r="Q28" s="54">
        <v>9.26</v>
      </c>
      <c r="R28" s="43"/>
      <c r="S28" s="43"/>
      <c r="T28" s="43"/>
      <c r="U28" s="43"/>
    </row>
    <row r="29" spans="1:21" s="11" customFormat="1" x14ac:dyDescent="0.25">
      <c r="A29" s="53" t="s">
        <v>169</v>
      </c>
      <c r="B29" s="54">
        <v>8.4</v>
      </c>
      <c r="C29" s="54">
        <v>3.59</v>
      </c>
      <c r="D29" s="54">
        <v>12.39</v>
      </c>
      <c r="E29" s="54">
        <v>4.4000000000000004</v>
      </c>
      <c r="F29" s="54">
        <v>3.77</v>
      </c>
      <c r="G29" s="54">
        <v>61.58</v>
      </c>
      <c r="H29" s="54">
        <v>15.93</v>
      </c>
      <c r="I29" s="54">
        <v>3.02</v>
      </c>
      <c r="J29" s="54">
        <v>0.46</v>
      </c>
      <c r="K29" s="54">
        <v>205.84</v>
      </c>
      <c r="L29" s="54">
        <v>25.09</v>
      </c>
      <c r="M29" s="54">
        <v>91.47</v>
      </c>
      <c r="N29" s="54">
        <v>18.5</v>
      </c>
      <c r="O29" s="54">
        <v>0</v>
      </c>
      <c r="P29" s="54">
        <v>0.42</v>
      </c>
      <c r="Q29" s="54">
        <v>9.26</v>
      </c>
      <c r="R29" s="43"/>
      <c r="S29" s="43"/>
      <c r="T29" s="43"/>
      <c r="U29" s="43"/>
    </row>
    <row r="30" spans="1:21" s="11" customFormat="1" x14ac:dyDescent="0.25">
      <c r="A30" s="53" t="s">
        <v>170</v>
      </c>
      <c r="B30" s="54">
        <v>8.26</v>
      </c>
      <c r="C30" s="54">
        <v>3.23</v>
      </c>
      <c r="D30" s="54">
        <v>12.08</v>
      </c>
      <c r="E30" s="54">
        <v>4.5199999999999996</v>
      </c>
      <c r="F30" s="54">
        <v>4.32</v>
      </c>
      <c r="G30" s="54">
        <v>54.26</v>
      </c>
      <c r="H30" s="54">
        <v>14.5</v>
      </c>
      <c r="I30" s="54">
        <v>3.45</v>
      </c>
      <c r="J30" s="54">
        <v>0.41</v>
      </c>
      <c r="K30" s="54">
        <v>354.61</v>
      </c>
      <c r="L30" s="54">
        <v>24.61</v>
      </c>
      <c r="M30" s="54">
        <v>95.35</v>
      </c>
      <c r="N30" s="54">
        <v>18.399999999999999</v>
      </c>
      <c r="O30" s="54">
        <v>0</v>
      </c>
      <c r="P30" s="54">
        <v>0.43</v>
      </c>
      <c r="Q30" s="54">
        <v>9.26</v>
      </c>
      <c r="R30" s="43"/>
      <c r="S30" s="43"/>
      <c r="T30" s="43"/>
      <c r="U30" s="43"/>
    </row>
    <row r="31" spans="1:21" s="11" customFormat="1" x14ac:dyDescent="0.25">
      <c r="A31" s="53" t="s">
        <v>171</v>
      </c>
      <c r="B31" s="54">
        <v>8.32</v>
      </c>
      <c r="C31" s="54">
        <v>3.28</v>
      </c>
      <c r="D31" s="54">
        <v>12.16</v>
      </c>
      <c r="E31" s="54">
        <v>4.2699999999999996</v>
      </c>
      <c r="F31" s="54">
        <v>3.37</v>
      </c>
      <c r="G31" s="54">
        <v>46.47</v>
      </c>
      <c r="H31" s="54">
        <v>14.37</v>
      </c>
      <c r="I31" s="54">
        <v>4.49</v>
      </c>
      <c r="J31" s="54">
        <v>1.54</v>
      </c>
      <c r="K31" s="54">
        <v>177.41</v>
      </c>
      <c r="L31" s="54">
        <v>24.24</v>
      </c>
      <c r="M31" s="54">
        <v>96.56</v>
      </c>
      <c r="N31" s="54">
        <v>18.5</v>
      </c>
      <c r="O31" s="54">
        <v>0</v>
      </c>
      <c r="P31" s="54">
        <v>0.41</v>
      </c>
      <c r="Q31" s="54">
        <v>9.26</v>
      </c>
      <c r="R31" s="43"/>
      <c r="S31" s="43"/>
      <c r="T31" s="43"/>
      <c r="U31" s="43"/>
    </row>
    <row r="32" spans="1:21" s="11" customFormat="1" x14ac:dyDescent="0.25">
      <c r="A32" s="53" t="s">
        <v>172</v>
      </c>
      <c r="B32" s="54">
        <v>8.3800000000000008</v>
      </c>
      <c r="C32" s="54">
        <v>3.45</v>
      </c>
      <c r="D32" s="54">
        <v>12.3</v>
      </c>
      <c r="E32" s="54">
        <v>4.3899999999999997</v>
      </c>
      <c r="F32" s="54">
        <v>4.2</v>
      </c>
      <c r="G32" s="54">
        <v>45.59</v>
      </c>
      <c r="H32" s="54">
        <v>14.41</v>
      </c>
      <c r="I32" s="54">
        <v>4.5199999999999996</v>
      </c>
      <c r="J32" s="54">
        <v>0.72</v>
      </c>
      <c r="K32" s="54">
        <v>182.69</v>
      </c>
      <c r="L32" s="54">
        <v>23.96</v>
      </c>
      <c r="M32" s="54">
        <v>95.71</v>
      </c>
      <c r="N32" s="54">
        <v>18.5</v>
      </c>
      <c r="O32" s="54">
        <v>0</v>
      </c>
      <c r="P32" s="54">
        <v>0.39</v>
      </c>
      <c r="Q32" s="54">
        <v>9.26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8.25</v>
      </c>
      <c r="C34" s="28">
        <f t="shared" si="0"/>
        <v>3.16</v>
      </c>
      <c r="D34" s="28">
        <f t="shared" si="0"/>
        <v>12.04</v>
      </c>
      <c r="E34" s="28">
        <f t="shared" si="0"/>
        <v>3.52</v>
      </c>
      <c r="F34" s="28">
        <f t="shared" si="0"/>
        <v>3.37</v>
      </c>
      <c r="G34" s="28">
        <f t="shared" si="0"/>
        <v>9.81</v>
      </c>
      <c r="H34" s="28">
        <f t="shared" si="0"/>
        <v>4.25</v>
      </c>
      <c r="I34" s="28">
        <f t="shared" si="0"/>
        <v>0.98</v>
      </c>
      <c r="J34" s="28">
        <f t="shared" si="0"/>
        <v>0.3</v>
      </c>
      <c r="K34" s="28">
        <f t="shared" si="0"/>
        <v>12.66</v>
      </c>
      <c r="L34" s="28">
        <f t="shared" si="0"/>
        <v>21.77</v>
      </c>
      <c r="M34" s="28">
        <f t="shared" si="0"/>
        <v>77.67</v>
      </c>
      <c r="N34" s="28">
        <f t="shared" si="0"/>
        <v>18.100000000000001</v>
      </c>
      <c r="O34" s="28">
        <f t="shared" si="0"/>
        <v>0</v>
      </c>
      <c r="P34" s="28">
        <f t="shared" si="0"/>
        <v>0.3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8.41</v>
      </c>
      <c r="C35" s="29">
        <f t="shared" si="1"/>
        <v>3.59</v>
      </c>
      <c r="D35" s="29">
        <f t="shared" si="1"/>
        <v>12.39</v>
      </c>
      <c r="E35" s="29">
        <f t="shared" si="1"/>
        <v>5.21</v>
      </c>
      <c r="F35" s="29">
        <f t="shared" si="1"/>
        <v>8.6300000000000008</v>
      </c>
      <c r="G35" s="29">
        <f t="shared" si="1"/>
        <v>92.94</v>
      </c>
      <c r="H35" s="29">
        <f t="shared" si="1"/>
        <v>34.17</v>
      </c>
      <c r="I35" s="29">
        <f t="shared" si="1"/>
        <v>4.5199999999999996</v>
      </c>
      <c r="J35" s="29">
        <f t="shared" si="1"/>
        <v>1.54</v>
      </c>
      <c r="K35" s="29">
        <f t="shared" si="1"/>
        <v>359.8</v>
      </c>
      <c r="L35" s="29">
        <f t="shared" si="1"/>
        <v>27.7</v>
      </c>
      <c r="M35" s="29">
        <f t="shared" si="1"/>
        <v>98.4</v>
      </c>
      <c r="N35" s="29">
        <f t="shared" si="1"/>
        <v>644.9</v>
      </c>
      <c r="O35" s="29">
        <f t="shared" si="1"/>
        <v>1.8</v>
      </c>
      <c r="P35" s="29">
        <f t="shared" si="1"/>
        <v>0.43</v>
      </c>
      <c r="Q35" s="29">
        <f t="shared" si="1"/>
        <v>9.33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8.3145833333333332</v>
      </c>
      <c r="C36" s="28">
        <f t="shared" si="2"/>
        <v>3.3175000000000008</v>
      </c>
      <c r="D36" s="28">
        <f t="shared" si="2"/>
        <v>12.173749999999998</v>
      </c>
      <c r="E36" s="28">
        <f t="shared" si="2"/>
        <v>4.4587500000000002</v>
      </c>
      <c r="F36" s="28">
        <f t="shared" si="2"/>
        <v>4.8816666666666668</v>
      </c>
      <c r="G36" s="28">
        <f t="shared" si="2"/>
        <v>39.891818181818181</v>
      </c>
      <c r="H36" s="28">
        <f t="shared" si="2"/>
        <v>13.384090909090911</v>
      </c>
      <c r="I36" s="28">
        <f t="shared" si="2"/>
        <v>2.645</v>
      </c>
      <c r="J36" s="28">
        <f t="shared" si="2"/>
        <v>0.63875000000000004</v>
      </c>
      <c r="K36" s="28">
        <f t="shared" si="2"/>
        <v>301.69083333333327</v>
      </c>
      <c r="L36" s="28">
        <f t="shared" si="2"/>
        <v>24.758749999999996</v>
      </c>
      <c r="M36" s="28">
        <f t="shared" si="2"/>
        <v>91.416250000000005</v>
      </c>
      <c r="N36" s="28">
        <f t="shared" si="2"/>
        <v>159.77500000000001</v>
      </c>
      <c r="O36" s="28">
        <f t="shared" si="2"/>
        <v>0.16666666666666666</v>
      </c>
      <c r="P36" s="28">
        <f t="shared" si="2"/>
        <v>0.36333333333333329</v>
      </c>
      <c r="Q36" s="28">
        <f t="shared" si="2"/>
        <v>9.2512499999999971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4.2218805480874193E-2</v>
      </c>
      <c r="C37" s="28">
        <f t="shared" ref="C37:Q37" si="3">STDEV(C9:C32)</f>
        <v>0.11606782125307072</v>
      </c>
      <c r="D37" s="28">
        <f t="shared" si="3"/>
        <v>9.2398593062881854E-2</v>
      </c>
      <c r="E37" s="28">
        <f t="shared" si="3"/>
        <v>0.43736674989423174</v>
      </c>
      <c r="F37" s="28">
        <f t="shared" si="3"/>
        <v>1.3410011401825934</v>
      </c>
      <c r="G37" s="28">
        <f t="shared" si="3"/>
        <v>23.47426952793483</v>
      </c>
      <c r="H37" s="28">
        <f t="shared" si="3"/>
        <v>7.2053403865868892</v>
      </c>
      <c r="I37" s="28">
        <f t="shared" si="3"/>
        <v>1.1299249686517276</v>
      </c>
      <c r="J37" s="28">
        <f t="shared" si="3"/>
        <v>0.28789056646731148</v>
      </c>
      <c r="K37" s="28">
        <f t="shared" si="3"/>
        <v>87.427525061652233</v>
      </c>
      <c r="L37" s="28">
        <f t="shared" si="3"/>
        <v>1.9160541711957211</v>
      </c>
      <c r="M37" s="28">
        <f t="shared" si="3"/>
        <v>7.4032729615676258</v>
      </c>
      <c r="N37" s="28">
        <f t="shared" si="3"/>
        <v>196.95093021624311</v>
      </c>
      <c r="O37" s="28">
        <f t="shared" si="3"/>
        <v>0.41979981426624169</v>
      </c>
      <c r="P37" s="28">
        <f t="shared" si="3"/>
        <v>4.3405736614121837E-2</v>
      </c>
      <c r="Q37" s="28">
        <f t="shared" si="3"/>
        <v>2.6753707585402194E-2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173</v>
      </c>
      <c r="B9" s="54">
        <v>8.2799999999999994</v>
      </c>
      <c r="C9" s="54">
        <v>3.23</v>
      </c>
      <c r="D9" s="54">
        <v>12.1</v>
      </c>
      <c r="E9" s="54">
        <v>4.78</v>
      </c>
      <c r="F9" s="54">
        <v>3.71</v>
      </c>
      <c r="G9" s="54">
        <v>36.33</v>
      </c>
      <c r="H9" s="54">
        <v>10.99</v>
      </c>
      <c r="I9" s="54">
        <v>4.2300000000000004</v>
      </c>
      <c r="J9" s="54">
        <v>0.61</v>
      </c>
      <c r="K9" s="54">
        <v>179.27</v>
      </c>
      <c r="L9" s="54">
        <v>23.63</v>
      </c>
      <c r="M9" s="54">
        <v>96.62</v>
      </c>
      <c r="N9" s="54">
        <v>18.399999999999999</v>
      </c>
      <c r="O9" s="54">
        <v>0</v>
      </c>
      <c r="P9" s="54">
        <v>0.37</v>
      </c>
      <c r="Q9" s="60" t="s">
        <v>8</v>
      </c>
      <c r="R9" s="43"/>
      <c r="S9" s="43"/>
      <c r="T9" s="43"/>
      <c r="U9" s="43"/>
    </row>
    <row r="10" spans="1:21" s="11" customFormat="1" x14ac:dyDescent="0.25">
      <c r="A10" s="53" t="s">
        <v>174</v>
      </c>
      <c r="B10" s="54">
        <v>8.2799999999999994</v>
      </c>
      <c r="C10" s="54">
        <v>3.22</v>
      </c>
      <c r="D10" s="54">
        <v>12.1</v>
      </c>
      <c r="E10" s="54">
        <v>4.67</v>
      </c>
      <c r="F10" s="54">
        <v>3.84</v>
      </c>
      <c r="G10" s="54">
        <v>32.1</v>
      </c>
      <c r="H10" s="54">
        <v>8.14</v>
      </c>
      <c r="I10" s="54">
        <v>3.85</v>
      </c>
      <c r="J10" s="54">
        <v>0.43</v>
      </c>
      <c r="K10" s="54">
        <v>231.44</v>
      </c>
      <c r="L10" s="54">
        <v>23.41</v>
      </c>
      <c r="M10" s="54">
        <v>95.94</v>
      </c>
      <c r="N10" s="54">
        <v>18.2</v>
      </c>
      <c r="O10" s="54">
        <v>0</v>
      </c>
      <c r="P10" s="54">
        <v>0.33</v>
      </c>
      <c r="Q10" s="60" t="s">
        <v>8</v>
      </c>
      <c r="R10" s="43"/>
      <c r="S10" s="43"/>
      <c r="T10" s="43"/>
      <c r="U10" s="43"/>
    </row>
    <row r="11" spans="1:21" s="11" customFormat="1" x14ac:dyDescent="0.25">
      <c r="A11" s="53" t="s">
        <v>175</v>
      </c>
      <c r="B11" s="54">
        <v>8.4700000000000006</v>
      </c>
      <c r="C11" s="54">
        <v>3.58</v>
      </c>
      <c r="D11" s="54">
        <v>12.44</v>
      </c>
      <c r="E11" s="54">
        <v>4.55</v>
      </c>
      <c r="F11" s="54">
        <v>3.46</v>
      </c>
      <c r="G11" s="54">
        <v>27.96</v>
      </c>
      <c r="H11" s="54">
        <v>8</v>
      </c>
      <c r="I11" s="54">
        <v>4.03</v>
      </c>
      <c r="J11" s="54">
        <v>0.34</v>
      </c>
      <c r="K11" s="54">
        <v>341.34</v>
      </c>
      <c r="L11" s="54">
        <v>23.18</v>
      </c>
      <c r="M11" s="54">
        <v>97.89</v>
      </c>
      <c r="N11" s="54">
        <v>18.2</v>
      </c>
      <c r="O11" s="54">
        <v>0</v>
      </c>
      <c r="P11" s="54">
        <v>0.31</v>
      </c>
      <c r="Q11" s="60" t="s">
        <v>8</v>
      </c>
      <c r="R11" s="43"/>
      <c r="S11" s="43"/>
      <c r="T11" s="43"/>
      <c r="U11" s="43"/>
    </row>
    <row r="12" spans="1:21" s="11" customFormat="1" x14ac:dyDescent="0.25">
      <c r="A12" s="53" t="s">
        <v>176</v>
      </c>
      <c r="B12" s="54">
        <v>8.3000000000000007</v>
      </c>
      <c r="C12" s="54">
        <v>3.12</v>
      </c>
      <c r="D12" s="54">
        <v>12.05</v>
      </c>
      <c r="E12" s="54">
        <v>4.67</v>
      </c>
      <c r="F12" s="54">
        <v>4.41</v>
      </c>
      <c r="G12" s="54">
        <v>23.54</v>
      </c>
      <c r="H12" s="54">
        <v>7.19</v>
      </c>
      <c r="I12" s="54">
        <v>4.45</v>
      </c>
      <c r="J12" s="54">
        <v>0.49</v>
      </c>
      <c r="K12" s="54">
        <v>358.71</v>
      </c>
      <c r="L12" s="54">
        <v>23.23</v>
      </c>
      <c r="M12" s="54">
        <v>98.33</v>
      </c>
      <c r="N12" s="54">
        <v>18.5</v>
      </c>
      <c r="O12" s="54">
        <v>0.2</v>
      </c>
      <c r="P12" s="54">
        <v>0.3</v>
      </c>
      <c r="Q12" s="60" t="s">
        <v>8</v>
      </c>
      <c r="R12" s="43"/>
      <c r="S12" s="43"/>
      <c r="T12" s="43"/>
      <c r="U12" s="43"/>
    </row>
    <row r="13" spans="1:21" s="11" customFormat="1" x14ac:dyDescent="0.25">
      <c r="A13" s="53" t="s">
        <v>177</v>
      </c>
      <c r="B13" s="54">
        <v>8.2799999999999994</v>
      </c>
      <c r="C13" s="54">
        <v>3.27</v>
      </c>
      <c r="D13" s="54">
        <v>12.13</v>
      </c>
      <c r="E13" s="54">
        <v>5.16</v>
      </c>
      <c r="F13" s="54">
        <v>3.96</v>
      </c>
      <c r="G13" s="54">
        <v>21.91</v>
      </c>
      <c r="H13" s="54">
        <v>7.72</v>
      </c>
      <c r="I13" s="54">
        <v>4.2699999999999996</v>
      </c>
      <c r="J13" s="54">
        <v>0.54</v>
      </c>
      <c r="K13" s="54">
        <v>359.39</v>
      </c>
      <c r="L13" s="54">
        <v>23.06</v>
      </c>
      <c r="M13" s="54">
        <v>98.33</v>
      </c>
      <c r="N13" s="54">
        <v>18.5</v>
      </c>
      <c r="O13" s="54">
        <v>0</v>
      </c>
      <c r="P13" s="54">
        <v>0.28999999999999998</v>
      </c>
      <c r="Q13" s="60" t="s">
        <v>8</v>
      </c>
      <c r="R13" s="43"/>
      <c r="S13" s="43"/>
      <c r="T13" s="43"/>
      <c r="U13" s="43"/>
    </row>
    <row r="14" spans="1:21" s="11" customFormat="1" x14ac:dyDescent="0.25">
      <c r="A14" s="53" t="s">
        <v>178</v>
      </c>
      <c r="B14" s="54">
        <v>8.26</v>
      </c>
      <c r="C14" s="54">
        <v>3.25</v>
      </c>
      <c r="D14" s="54">
        <v>12.09</v>
      </c>
      <c r="E14" s="54">
        <v>5.0999999999999996</v>
      </c>
      <c r="F14" s="54">
        <v>4.84</v>
      </c>
      <c r="G14" s="54">
        <v>20.48</v>
      </c>
      <c r="H14" s="54">
        <v>5.4</v>
      </c>
      <c r="I14" s="54">
        <v>3.34</v>
      </c>
      <c r="J14" s="54">
        <v>0.66</v>
      </c>
      <c r="K14" s="54">
        <v>359.77</v>
      </c>
      <c r="L14" s="54">
        <v>23.16</v>
      </c>
      <c r="M14" s="54">
        <v>96.79</v>
      </c>
      <c r="N14" s="54">
        <v>45</v>
      </c>
      <c r="O14" s="54">
        <v>0</v>
      </c>
      <c r="P14" s="54">
        <v>0.28000000000000003</v>
      </c>
      <c r="Q14" s="60" t="s">
        <v>8</v>
      </c>
      <c r="R14" s="43"/>
      <c r="S14" s="43"/>
      <c r="T14" s="43"/>
      <c r="U14" s="43"/>
    </row>
    <row r="15" spans="1:21" s="11" customFormat="1" x14ac:dyDescent="0.25">
      <c r="A15" s="53" t="s">
        <v>179</v>
      </c>
      <c r="B15" s="54">
        <v>8.36</v>
      </c>
      <c r="C15" s="54">
        <v>3.57</v>
      </c>
      <c r="D15" s="54">
        <v>12.35</v>
      </c>
      <c r="E15" s="54">
        <v>4.95</v>
      </c>
      <c r="F15" s="54">
        <v>4.33</v>
      </c>
      <c r="G15" s="54">
        <v>19.78</v>
      </c>
      <c r="H15" s="54">
        <v>5.77</v>
      </c>
      <c r="I15" s="54">
        <v>2.34</v>
      </c>
      <c r="J15" s="54">
        <v>0.55000000000000004</v>
      </c>
      <c r="K15" s="54">
        <v>359.95</v>
      </c>
      <c r="L15" s="54">
        <v>23.17</v>
      </c>
      <c r="M15" s="54">
        <v>95.46</v>
      </c>
      <c r="N15" s="54">
        <v>99.8</v>
      </c>
      <c r="O15" s="54">
        <v>0</v>
      </c>
      <c r="P15" s="54">
        <v>0.28000000000000003</v>
      </c>
      <c r="Q15" s="60" t="s">
        <v>8</v>
      </c>
      <c r="R15" s="43"/>
      <c r="S15" s="43"/>
      <c r="T15" s="43"/>
      <c r="U15" s="43"/>
    </row>
    <row r="16" spans="1:21" s="11" customFormat="1" x14ac:dyDescent="0.25">
      <c r="A16" s="53" t="s">
        <v>180</v>
      </c>
      <c r="B16" s="54">
        <v>8.2899999999999991</v>
      </c>
      <c r="C16" s="54">
        <v>3.22</v>
      </c>
      <c r="D16" s="54">
        <v>12.1</v>
      </c>
      <c r="E16" s="54">
        <v>5.23</v>
      </c>
      <c r="F16" s="54">
        <v>4.3099999999999996</v>
      </c>
      <c r="G16" s="54">
        <v>24.87</v>
      </c>
      <c r="H16" s="54">
        <v>8.0399999999999991</v>
      </c>
      <c r="I16" s="54">
        <v>1.69</v>
      </c>
      <c r="J16" s="54">
        <v>0.42</v>
      </c>
      <c r="K16" s="54">
        <v>351.43</v>
      </c>
      <c r="L16" s="54">
        <v>23.66</v>
      </c>
      <c r="M16" s="54">
        <v>94.07</v>
      </c>
      <c r="N16" s="54">
        <v>178.5</v>
      </c>
      <c r="O16" s="54">
        <v>0</v>
      </c>
      <c r="P16" s="54">
        <v>0.28000000000000003</v>
      </c>
      <c r="Q16" s="60" t="s">
        <v>8</v>
      </c>
      <c r="R16" s="43"/>
      <c r="S16" s="43"/>
      <c r="T16" s="43"/>
      <c r="U16" s="43"/>
    </row>
    <row r="17" spans="1:21" s="11" customFormat="1" x14ac:dyDescent="0.25">
      <c r="A17" s="53" t="s">
        <v>181</v>
      </c>
      <c r="B17" s="54">
        <v>8.26</v>
      </c>
      <c r="C17" s="54">
        <v>3.18</v>
      </c>
      <c r="D17" s="54">
        <v>12.06</v>
      </c>
      <c r="E17" s="54">
        <v>4.7</v>
      </c>
      <c r="F17" s="54">
        <v>5.31</v>
      </c>
      <c r="G17" s="54">
        <v>26.55</v>
      </c>
      <c r="H17" s="54">
        <v>6.93</v>
      </c>
      <c r="I17" s="54">
        <v>1.71</v>
      </c>
      <c r="J17" s="54">
        <v>0.63</v>
      </c>
      <c r="K17" s="54">
        <v>357.29</v>
      </c>
      <c r="L17" s="54">
        <v>25.19</v>
      </c>
      <c r="M17" s="54">
        <v>90.52</v>
      </c>
      <c r="N17" s="54">
        <v>431.3</v>
      </c>
      <c r="O17" s="54">
        <v>0</v>
      </c>
      <c r="P17" s="54">
        <v>0.31</v>
      </c>
      <c r="Q17" s="60" t="s">
        <v>8</v>
      </c>
      <c r="R17" s="43"/>
      <c r="S17" s="43"/>
      <c r="T17" s="43"/>
      <c r="U17" s="43"/>
    </row>
    <row r="18" spans="1:21" s="11" customFormat="1" x14ac:dyDescent="0.25">
      <c r="A18" s="53" t="s">
        <v>182</v>
      </c>
      <c r="B18" s="54">
        <v>8.34</v>
      </c>
      <c r="C18" s="54">
        <v>3.52</v>
      </c>
      <c r="D18" s="54">
        <v>12.3</v>
      </c>
      <c r="E18" s="54">
        <v>4.9000000000000004</v>
      </c>
      <c r="F18" s="54">
        <v>4.78</v>
      </c>
      <c r="G18" s="54">
        <v>26.92</v>
      </c>
      <c r="H18" s="54">
        <v>5.0999999999999996</v>
      </c>
      <c r="I18" s="54">
        <v>1.59</v>
      </c>
      <c r="J18" s="54">
        <v>0.44</v>
      </c>
      <c r="K18" s="54">
        <v>353.2</v>
      </c>
      <c r="L18" s="54">
        <v>27.52</v>
      </c>
      <c r="M18" s="54">
        <v>83.69</v>
      </c>
      <c r="N18" s="54">
        <v>797.1</v>
      </c>
      <c r="O18" s="54">
        <v>0</v>
      </c>
      <c r="P18" s="54">
        <v>0.31</v>
      </c>
      <c r="Q18" s="60" t="s">
        <v>8</v>
      </c>
      <c r="R18" s="43"/>
      <c r="S18" s="43"/>
      <c r="T18" s="43"/>
      <c r="U18" s="43"/>
    </row>
    <row r="19" spans="1:21" s="11" customFormat="1" x14ac:dyDescent="0.25">
      <c r="A19" s="53" t="s">
        <v>183</v>
      </c>
      <c r="B19" s="54">
        <v>8.3000000000000007</v>
      </c>
      <c r="C19" s="54">
        <v>3.44</v>
      </c>
      <c r="D19" s="54">
        <v>12.22</v>
      </c>
      <c r="E19" s="54">
        <v>4.95</v>
      </c>
      <c r="F19" s="54">
        <v>5.09</v>
      </c>
      <c r="G19" s="54">
        <v>27.68</v>
      </c>
      <c r="H19" s="54">
        <v>5.66</v>
      </c>
      <c r="I19" s="54">
        <v>1.42</v>
      </c>
      <c r="J19" s="54">
        <v>0.66</v>
      </c>
      <c r="K19" s="54">
        <v>354.35</v>
      </c>
      <c r="L19" s="54">
        <v>29.94</v>
      </c>
      <c r="M19" s="54">
        <v>73.489999999999995</v>
      </c>
      <c r="N19" s="54">
        <v>812.5</v>
      </c>
      <c r="O19" s="54">
        <v>0</v>
      </c>
      <c r="P19" s="54">
        <v>0.35</v>
      </c>
      <c r="Q19" s="60" t="s">
        <v>8</v>
      </c>
      <c r="R19" s="43"/>
      <c r="S19" s="43"/>
      <c r="T19" s="43"/>
      <c r="U19" s="43"/>
    </row>
    <row r="20" spans="1:21" s="11" customFormat="1" x14ac:dyDescent="0.25">
      <c r="A20" s="53" t="s">
        <v>184</v>
      </c>
      <c r="B20" s="54">
        <v>8.25</v>
      </c>
      <c r="C20" s="54">
        <v>3.15</v>
      </c>
      <c r="D20" s="54">
        <v>12.03</v>
      </c>
      <c r="E20" s="54">
        <v>4.7699999999999996</v>
      </c>
      <c r="F20" s="54">
        <v>5.52</v>
      </c>
      <c r="G20" s="54">
        <v>31.82</v>
      </c>
      <c r="H20" s="54">
        <v>7.91</v>
      </c>
      <c r="I20" s="54">
        <v>1.39</v>
      </c>
      <c r="J20" s="54">
        <v>0.72</v>
      </c>
      <c r="K20" s="54">
        <v>347.65</v>
      </c>
      <c r="L20" s="54">
        <v>29.18</v>
      </c>
      <c r="M20" s="54">
        <v>69.11</v>
      </c>
      <c r="N20" s="54">
        <v>541.1</v>
      </c>
      <c r="O20" s="54">
        <v>0</v>
      </c>
      <c r="P20" s="54">
        <v>0.37</v>
      </c>
      <c r="Q20" s="60" t="s">
        <v>8</v>
      </c>
      <c r="R20" s="43"/>
      <c r="S20" s="43"/>
      <c r="T20" s="43"/>
      <c r="U20" s="43"/>
    </row>
    <row r="21" spans="1:21" s="11" customFormat="1" x14ac:dyDescent="0.25">
      <c r="A21" s="53" t="s">
        <v>185</v>
      </c>
      <c r="B21" s="54">
        <v>8.2799999999999994</v>
      </c>
      <c r="C21" s="54">
        <v>3.2</v>
      </c>
      <c r="D21" s="54">
        <v>12.09</v>
      </c>
      <c r="E21" s="54">
        <v>4.1500000000000004</v>
      </c>
      <c r="F21" s="54">
        <v>5.27</v>
      </c>
      <c r="G21" s="54">
        <v>35.78</v>
      </c>
      <c r="H21" s="54">
        <v>8.32</v>
      </c>
      <c r="I21" s="54">
        <v>1.24</v>
      </c>
      <c r="J21" s="54">
        <v>0.56999999999999995</v>
      </c>
      <c r="K21" s="54">
        <v>348.08</v>
      </c>
      <c r="L21" s="54">
        <v>28.97</v>
      </c>
      <c r="M21" s="54">
        <v>71.92</v>
      </c>
      <c r="N21" s="54">
        <v>369.8</v>
      </c>
      <c r="O21" s="54">
        <v>0</v>
      </c>
      <c r="P21" s="54">
        <v>0.4</v>
      </c>
      <c r="Q21" s="60" t="s">
        <v>8</v>
      </c>
      <c r="R21" s="43"/>
      <c r="S21" s="43"/>
      <c r="T21" s="43"/>
      <c r="U21" s="43"/>
    </row>
    <row r="22" spans="1:21" s="11" customFormat="1" x14ac:dyDescent="0.25">
      <c r="A22" s="53" t="s">
        <v>186</v>
      </c>
      <c r="B22" s="54">
        <v>8.31</v>
      </c>
      <c r="C22" s="54">
        <v>3.43</v>
      </c>
      <c r="D22" s="54">
        <v>12.23</v>
      </c>
      <c r="E22" s="54">
        <v>4.22</v>
      </c>
      <c r="F22" s="54">
        <v>4.8</v>
      </c>
      <c r="G22" s="54">
        <v>38.450000000000003</v>
      </c>
      <c r="H22" s="54">
        <v>9.5500000000000007</v>
      </c>
      <c r="I22" s="54">
        <v>1.47</v>
      </c>
      <c r="J22" s="54">
        <v>0.73</v>
      </c>
      <c r="K22" s="54">
        <v>351.42</v>
      </c>
      <c r="L22" s="54">
        <v>29.93</v>
      </c>
      <c r="M22" s="54">
        <v>76.540000000000006</v>
      </c>
      <c r="N22" s="54">
        <v>445.2</v>
      </c>
      <c r="O22" s="54">
        <v>0</v>
      </c>
      <c r="P22" s="54">
        <v>0.43</v>
      </c>
      <c r="Q22" s="60" t="s">
        <v>8</v>
      </c>
      <c r="R22" s="43"/>
      <c r="S22" s="43"/>
      <c r="T22" s="43"/>
      <c r="U22" s="43"/>
    </row>
    <row r="23" spans="1:21" s="11" customFormat="1" x14ac:dyDescent="0.25">
      <c r="A23" s="53" t="s">
        <v>187</v>
      </c>
      <c r="B23" s="54">
        <v>8.33</v>
      </c>
      <c r="C23" s="54">
        <v>3.5</v>
      </c>
      <c r="D23" s="54">
        <v>12.28</v>
      </c>
      <c r="E23" s="54">
        <v>4.21</v>
      </c>
      <c r="F23" s="54">
        <v>4.6100000000000003</v>
      </c>
      <c r="G23" s="54">
        <v>40.96</v>
      </c>
      <c r="H23" s="54">
        <v>12.51</v>
      </c>
      <c r="I23" s="54">
        <v>1.58</v>
      </c>
      <c r="J23" s="54">
        <v>0.52</v>
      </c>
      <c r="K23" s="54">
        <v>354.34</v>
      </c>
      <c r="L23" s="54">
        <v>27.87</v>
      </c>
      <c r="M23" s="54">
        <v>77.930000000000007</v>
      </c>
      <c r="N23" s="54">
        <v>193</v>
      </c>
      <c r="O23" s="54">
        <v>0</v>
      </c>
      <c r="P23" s="54">
        <v>0.4</v>
      </c>
      <c r="Q23" s="60" t="s">
        <v>8</v>
      </c>
      <c r="R23" s="43"/>
      <c r="S23" s="43"/>
      <c r="T23" s="43"/>
      <c r="U23" s="43"/>
    </row>
    <row r="24" spans="1:21" s="11" customFormat="1" x14ac:dyDescent="0.25">
      <c r="A24" s="53" t="s">
        <v>188</v>
      </c>
      <c r="B24" s="54">
        <v>8.36</v>
      </c>
      <c r="C24" s="54">
        <v>3.5</v>
      </c>
      <c r="D24" s="54">
        <v>12.3</v>
      </c>
      <c r="E24" s="54">
        <v>4.24</v>
      </c>
      <c r="F24" s="54">
        <v>4.38</v>
      </c>
      <c r="G24" s="54">
        <v>44.38</v>
      </c>
      <c r="H24" s="54">
        <v>13.07</v>
      </c>
      <c r="I24" s="54">
        <v>1.67</v>
      </c>
      <c r="J24" s="54">
        <v>0.49</v>
      </c>
      <c r="K24" s="54">
        <v>343.87</v>
      </c>
      <c r="L24" s="54">
        <v>29.91</v>
      </c>
      <c r="M24" s="54">
        <v>72.319999999999993</v>
      </c>
      <c r="N24" s="54">
        <v>282.39999999999998</v>
      </c>
      <c r="O24" s="54">
        <v>0</v>
      </c>
      <c r="P24" s="54">
        <v>0.42</v>
      </c>
      <c r="Q24" s="60" t="s">
        <v>8</v>
      </c>
      <c r="R24" s="43"/>
      <c r="S24" s="43"/>
      <c r="T24" s="43"/>
      <c r="U24" s="43"/>
    </row>
    <row r="25" spans="1:21" s="11" customFormat="1" x14ac:dyDescent="0.25">
      <c r="A25" s="53" t="s">
        <v>189</v>
      </c>
      <c r="B25" s="54">
        <v>8.3000000000000007</v>
      </c>
      <c r="C25" s="54">
        <v>3.31</v>
      </c>
      <c r="D25" s="54">
        <v>12.16</v>
      </c>
      <c r="E25" s="54">
        <v>3.56</v>
      </c>
      <c r="F25" s="54">
        <v>4.5</v>
      </c>
      <c r="G25" s="54">
        <v>46.85</v>
      </c>
      <c r="H25" s="54">
        <v>13.96</v>
      </c>
      <c r="I25" s="54">
        <v>1.67</v>
      </c>
      <c r="J25" s="54">
        <v>0.65</v>
      </c>
      <c r="K25" s="54">
        <v>359.72</v>
      </c>
      <c r="L25" s="54">
        <v>29.61</v>
      </c>
      <c r="M25" s="54">
        <v>70.55</v>
      </c>
      <c r="N25" s="54">
        <v>215</v>
      </c>
      <c r="O25" s="54">
        <v>0</v>
      </c>
      <c r="P25" s="54">
        <v>0.42</v>
      </c>
      <c r="Q25" s="60" t="s">
        <v>8</v>
      </c>
      <c r="R25" s="43"/>
      <c r="S25" s="43"/>
      <c r="T25" s="43"/>
      <c r="U25" s="43"/>
    </row>
    <row r="26" spans="1:21" s="11" customFormat="1" x14ac:dyDescent="0.25">
      <c r="A26" s="53" t="s">
        <v>190</v>
      </c>
      <c r="B26" s="54">
        <v>8.31</v>
      </c>
      <c r="C26" s="54">
        <v>3.27</v>
      </c>
      <c r="D26" s="54">
        <v>12.14</v>
      </c>
      <c r="E26" s="54">
        <v>3.97</v>
      </c>
      <c r="F26" s="54">
        <v>3.88</v>
      </c>
      <c r="G26" s="54">
        <v>53.78</v>
      </c>
      <c r="H26" s="54">
        <v>12.11</v>
      </c>
      <c r="I26" s="54">
        <v>2.54</v>
      </c>
      <c r="J26" s="54">
        <v>0.51</v>
      </c>
      <c r="K26" s="54">
        <v>338.9</v>
      </c>
      <c r="L26" s="54">
        <v>29.04</v>
      </c>
      <c r="M26" s="54">
        <v>73.540000000000006</v>
      </c>
      <c r="N26" s="54">
        <v>113</v>
      </c>
      <c r="O26" s="54">
        <v>0</v>
      </c>
      <c r="P26" s="54">
        <v>0.5</v>
      </c>
      <c r="Q26" s="60" t="s">
        <v>8</v>
      </c>
      <c r="R26" s="43"/>
      <c r="S26" s="43"/>
      <c r="T26" s="43"/>
      <c r="U26" s="43"/>
    </row>
    <row r="27" spans="1:21" s="11" customFormat="1" x14ac:dyDescent="0.25">
      <c r="A27" s="53" t="s">
        <v>191</v>
      </c>
      <c r="B27" s="54">
        <v>8.2799999999999994</v>
      </c>
      <c r="C27" s="54">
        <v>3.31</v>
      </c>
      <c r="D27" s="54">
        <v>12.13</v>
      </c>
      <c r="E27" s="54">
        <v>4.09</v>
      </c>
      <c r="F27" s="54">
        <v>3.91</v>
      </c>
      <c r="G27" s="54">
        <v>60.35</v>
      </c>
      <c r="H27" s="54">
        <v>14.31</v>
      </c>
      <c r="I27" s="54">
        <v>3.22</v>
      </c>
      <c r="J27" s="54">
        <v>0.74</v>
      </c>
      <c r="K27" s="54">
        <v>329.91</v>
      </c>
      <c r="L27" s="54">
        <v>27.74</v>
      </c>
      <c r="M27" s="54">
        <v>77.14</v>
      </c>
      <c r="N27" s="54">
        <v>40.299999999999997</v>
      </c>
      <c r="O27" s="54">
        <v>0</v>
      </c>
      <c r="P27" s="54">
        <v>0.5</v>
      </c>
      <c r="Q27" s="60" t="s">
        <v>8</v>
      </c>
      <c r="R27" s="43"/>
      <c r="S27" s="43"/>
      <c r="T27" s="43"/>
      <c r="U27" s="43"/>
    </row>
    <row r="28" spans="1:21" s="11" customFormat="1" x14ac:dyDescent="0.25">
      <c r="A28" s="53" t="s">
        <v>192</v>
      </c>
      <c r="B28" s="54">
        <v>8.48</v>
      </c>
      <c r="C28" s="54">
        <v>3.9</v>
      </c>
      <c r="D28" s="54">
        <v>12.61</v>
      </c>
      <c r="E28" s="54">
        <v>4.2300000000000004</v>
      </c>
      <c r="F28" s="54">
        <v>4.38</v>
      </c>
      <c r="G28" s="54">
        <v>53.11</v>
      </c>
      <c r="H28" s="54">
        <v>13.85</v>
      </c>
      <c r="I28" s="54">
        <v>3.55</v>
      </c>
      <c r="J28" s="54">
        <v>0.75</v>
      </c>
      <c r="K28" s="54">
        <v>229.3</v>
      </c>
      <c r="L28" s="54">
        <v>26.96</v>
      </c>
      <c r="M28" s="54">
        <v>79.44</v>
      </c>
      <c r="N28" s="54">
        <v>19</v>
      </c>
      <c r="O28" s="54">
        <v>0</v>
      </c>
      <c r="P28" s="54">
        <v>0.44</v>
      </c>
      <c r="Q28" s="60" t="s">
        <v>8</v>
      </c>
      <c r="R28" s="43"/>
      <c r="S28" s="43"/>
      <c r="T28" s="43"/>
      <c r="U28" s="43"/>
    </row>
    <row r="29" spans="1:21" s="11" customFormat="1" x14ac:dyDescent="0.25">
      <c r="A29" s="53" t="s">
        <v>193</v>
      </c>
      <c r="B29" s="54">
        <v>8.2899999999999991</v>
      </c>
      <c r="C29" s="54">
        <v>3.38</v>
      </c>
      <c r="D29" s="54">
        <v>12.19</v>
      </c>
      <c r="E29" s="54">
        <v>3.67</v>
      </c>
      <c r="F29" s="54">
        <v>3.94</v>
      </c>
      <c r="G29" s="54">
        <v>51.94</v>
      </c>
      <c r="H29" s="54">
        <v>16.84</v>
      </c>
      <c r="I29" s="54">
        <v>3.45</v>
      </c>
      <c r="J29" s="54">
        <v>0.68</v>
      </c>
      <c r="K29" s="54">
        <v>157.71</v>
      </c>
      <c r="L29" s="54">
        <v>24.78</v>
      </c>
      <c r="M29" s="54">
        <v>89.5</v>
      </c>
      <c r="N29" s="54">
        <v>18.2</v>
      </c>
      <c r="O29" s="54">
        <v>0</v>
      </c>
      <c r="P29" s="54">
        <v>0.42</v>
      </c>
      <c r="Q29" s="60" t="s">
        <v>8</v>
      </c>
      <c r="R29" s="43"/>
      <c r="S29" s="43"/>
      <c r="T29" s="43"/>
      <c r="U29" s="43"/>
    </row>
    <row r="30" spans="1:21" s="11" customFormat="1" x14ac:dyDescent="0.25">
      <c r="A30" s="53" t="s">
        <v>194</v>
      </c>
      <c r="B30" s="54">
        <v>8.2899999999999991</v>
      </c>
      <c r="C30" s="54">
        <v>3.14</v>
      </c>
      <c r="D30" s="54">
        <v>12.05</v>
      </c>
      <c r="E30" s="54">
        <v>3.62</v>
      </c>
      <c r="F30" s="54">
        <v>3.59</v>
      </c>
      <c r="G30" s="54">
        <v>45.94</v>
      </c>
      <c r="H30" s="54">
        <v>12.04</v>
      </c>
      <c r="I30" s="54">
        <v>3.42</v>
      </c>
      <c r="J30" s="54">
        <v>0.54</v>
      </c>
      <c r="K30" s="54">
        <v>162.11000000000001</v>
      </c>
      <c r="L30" s="54">
        <v>24.18</v>
      </c>
      <c r="M30" s="54">
        <v>85.69</v>
      </c>
      <c r="N30" s="54">
        <v>17.8</v>
      </c>
      <c r="O30" s="54">
        <v>0</v>
      </c>
      <c r="P30" s="54">
        <v>0.4</v>
      </c>
      <c r="Q30" s="60" t="s">
        <v>8</v>
      </c>
      <c r="R30" s="43"/>
      <c r="S30" s="43"/>
      <c r="T30" s="43"/>
      <c r="U30" s="43"/>
    </row>
    <row r="31" spans="1:21" s="11" customFormat="1" x14ac:dyDescent="0.25">
      <c r="A31" s="53" t="s">
        <v>195</v>
      </c>
      <c r="B31" s="54">
        <v>8.27</v>
      </c>
      <c r="C31" s="54">
        <v>3.14</v>
      </c>
      <c r="D31" s="54">
        <v>12.02</v>
      </c>
      <c r="E31" s="54">
        <v>3.72</v>
      </c>
      <c r="F31" s="54">
        <v>3.73</v>
      </c>
      <c r="G31" s="54">
        <v>37.06</v>
      </c>
      <c r="H31" s="54">
        <v>8.49</v>
      </c>
      <c r="I31" s="54">
        <v>3.84</v>
      </c>
      <c r="J31" s="54">
        <v>1.06</v>
      </c>
      <c r="K31" s="54">
        <v>188.64</v>
      </c>
      <c r="L31" s="54">
        <v>24.21</v>
      </c>
      <c r="M31" s="54">
        <v>86.45</v>
      </c>
      <c r="N31" s="54">
        <v>17.7</v>
      </c>
      <c r="O31" s="54">
        <v>0</v>
      </c>
      <c r="P31" s="54">
        <v>0.39</v>
      </c>
      <c r="Q31" s="60" t="s">
        <v>8</v>
      </c>
      <c r="R31" s="43"/>
      <c r="S31" s="43"/>
      <c r="T31" s="43"/>
      <c r="U31" s="43"/>
    </row>
    <row r="32" spans="1:21" s="11" customFormat="1" x14ac:dyDescent="0.25">
      <c r="A32" s="53" t="s">
        <v>196</v>
      </c>
      <c r="B32" s="54">
        <v>8.25</v>
      </c>
      <c r="C32" s="54">
        <v>3.19</v>
      </c>
      <c r="D32" s="54">
        <v>12.06</v>
      </c>
      <c r="E32" s="54">
        <v>3.66</v>
      </c>
      <c r="F32" s="54">
        <v>3.79</v>
      </c>
      <c r="G32" s="54">
        <v>34.82</v>
      </c>
      <c r="H32" s="54">
        <v>9.08</v>
      </c>
      <c r="I32" s="54">
        <v>3.83</v>
      </c>
      <c r="J32" s="54">
        <v>0.59</v>
      </c>
      <c r="K32" s="54">
        <v>355.93</v>
      </c>
      <c r="L32" s="54">
        <v>24.28</v>
      </c>
      <c r="M32" s="54">
        <v>90.8</v>
      </c>
      <c r="N32" s="54">
        <v>18</v>
      </c>
      <c r="O32" s="54">
        <v>0</v>
      </c>
      <c r="P32" s="54">
        <v>0.36</v>
      </c>
      <c r="Q32" s="60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8.25</v>
      </c>
      <c r="C34" s="28">
        <f t="shared" si="0"/>
        <v>3.12</v>
      </c>
      <c r="D34" s="28">
        <f t="shared" si="0"/>
        <v>12.02</v>
      </c>
      <c r="E34" s="28">
        <f t="shared" si="0"/>
        <v>3.56</v>
      </c>
      <c r="F34" s="28">
        <f t="shared" si="0"/>
        <v>3.46</v>
      </c>
      <c r="G34" s="28">
        <f t="shared" si="0"/>
        <v>19.78</v>
      </c>
      <c r="H34" s="28">
        <f t="shared" si="0"/>
        <v>5.0999999999999996</v>
      </c>
      <c r="I34" s="28">
        <f t="shared" si="0"/>
        <v>1.24</v>
      </c>
      <c r="J34" s="28">
        <f t="shared" si="0"/>
        <v>0.34</v>
      </c>
      <c r="K34" s="28">
        <f t="shared" si="0"/>
        <v>157.71</v>
      </c>
      <c r="L34" s="28">
        <f t="shared" si="0"/>
        <v>23.06</v>
      </c>
      <c r="M34" s="28">
        <f t="shared" si="0"/>
        <v>69.11</v>
      </c>
      <c r="N34" s="28">
        <f t="shared" si="0"/>
        <v>17.7</v>
      </c>
      <c r="O34" s="28">
        <f t="shared" si="0"/>
        <v>0</v>
      </c>
      <c r="P34" s="28">
        <f t="shared" si="0"/>
        <v>0.28000000000000003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8.48</v>
      </c>
      <c r="C35" s="29">
        <f t="shared" si="1"/>
        <v>3.9</v>
      </c>
      <c r="D35" s="29">
        <f t="shared" si="1"/>
        <v>12.61</v>
      </c>
      <c r="E35" s="29">
        <f t="shared" si="1"/>
        <v>5.23</v>
      </c>
      <c r="F35" s="29">
        <f t="shared" si="1"/>
        <v>5.52</v>
      </c>
      <c r="G35" s="29">
        <f t="shared" si="1"/>
        <v>60.35</v>
      </c>
      <c r="H35" s="29">
        <f t="shared" si="1"/>
        <v>16.84</v>
      </c>
      <c r="I35" s="29">
        <f t="shared" si="1"/>
        <v>4.45</v>
      </c>
      <c r="J35" s="29">
        <f t="shared" si="1"/>
        <v>1.06</v>
      </c>
      <c r="K35" s="29">
        <f t="shared" si="1"/>
        <v>359.95</v>
      </c>
      <c r="L35" s="29">
        <f t="shared" si="1"/>
        <v>29.94</v>
      </c>
      <c r="M35" s="29">
        <f t="shared" si="1"/>
        <v>98.33</v>
      </c>
      <c r="N35" s="29">
        <f t="shared" si="1"/>
        <v>812.5</v>
      </c>
      <c r="O35" s="29">
        <f t="shared" si="1"/>
        <v>0.2</v>
      </c>
      <c r="P35" s="29">
        <f t="shared" si="1"/>
        <v>0.5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8.3091666666666661</v>
      </c>
      <c r="C36" s="28">
        <f t="shared" si="2"/>
        <v>3.3341666666666669</v>
      </c>
      <c r="D36" s="28">
        <f t="shared" si="2"/>
        <v>12.176250000000001</v>
      </c>
      <c r="E36" s="28">
        <f t="shared" si="2"/>
        <v>4.4070833333333335</v>
      </c>
      <c r="F36" s="28">
        <f t="shared" si="2"/>
        <v>4.3474999999999993</v>
      </c>
      <c r="G36" s="28">
        <f t="shared" si="2"/>
        <v>35.973333333333336</v>
      </c>
      <c r="H36" s="28">
        <f t="shared" si="2"/>
        <v>9.6241666666666674</v>
      </c>
      <c r="I36" s="28">
        <f t="shared" si="2"/>
        <v>2.7412500000000004</v>
      </c>
      <c r="J36" s="28">
        <f t="shared" si="2"/>
        <v>0.59666666666666679</v>
      </c>
      <c r="K36" s="28">
        <f t="shared" si="2"/>
        <v>311.40500000000003</v>
      </c>
      <c r="L36" s="28">
        <f t="shared" si="2"/>
        <v>26.075416666666669</v>
      </c>
      <c r="M36" s="28">
        <f t="shared" si="2"/>
        <v>85.085833333333341</v>
      </c>
      <c r="N36" s="28">
        <f t="shared" si="2"/>
        <v>197.77083333333334</v>
      </c>
      <c r="O36" s="28">
        <f t="shared" si="2"/>
        <v>8.3333333333333332E-3</v>
      </c>
      <c r="P36" s="28">
        <f t="shared" si="2"/>
        <v>0.3691666666666667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5.919141144123715E-2</v>
      </c>
      <c r="C37" s="28">
        <f t="shared" ref="C37:Q37" si="3">STDEV(C9:C32)</f>
        <v>0.18874682068538415</v>
      </c>
      <c r="D37" s="28">
        <f t="shared" si="3"/>
        <v>0.14403539721948169</v>
      </c>
      <c r="E37" s="28">
        <f t="shared" si="3"/>
        <v>0.53051639458883271</v>
      </c>
      <c r="F37" s="28">
        <f t="shared" si="3"/>
        <v>0.58538170378859089</v>
      </c>
      <c r="G37" s="28">
        <f t="shared" si="3"/>
        <v>11.60173924992233</v>
      </c>
      <c r="H37" s="28">
        <f t="shared" si="3"/>
        <v>3.2573207403934124</v>
      </c>
      <c r="I37" s="28">
        <f t="shared" si="3"/>
        <v>1.1371486557250949</v>
      </c>
      <c r="J37" s="28">
        <f t="shared" si="3"/>
        <v>0.14828488054114414</v>
      </c>
      <c r="K37" s="28">
        <f t="shared" si="3"/>
        <v>72.705781003331268</v>
      </c>
      <c r="L37" s="28">
        <f t="shared" si="3"/>
        <v>2.6933654059827634</v>
      </c>
      <c r="M37" s="28">
        <f t="shared" si="3"/>
        <v>10.355888019221906</v>
      </c>
      <c r="N37" s="28">
        <f t="shared" si="3"/>
        <v>246.30887551161672</v>
      </c>
      <c r="O37" s="28">
        <f t="shared" si="3"/>
        <v>4.0824829046386311E-2</v>
      </c>
      <c r="P37" s="28">
        <f t="shared" si="3"/>
        <v>6.6392552402304336E-2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197</v>
      </c>
      <c r="B9" s="54">
        <v>8.5</v>
      </c>
      <c r="C9" s="54">
        <v>3.78</v>
      </c>
      <c r="D9" s="54">
        <v>12.57</v>
      </c>
      <c r="E9" s="54">
        <v>3.23</v>
      </c>
      <c r="F9" s="54">
        <v>3.98</v>
      </c>
      <c r="G9" s="54">
        <v>36.24</v>
      </c>
      <c r="H9" s="54">
        <v>9.65</v>
      </c>
      <c r="I9" s="54">
        <v>3.51</v>
      </c>
      <c r="J9" s="54">
        <v>0.46</v>
      </c>
      <c r="K9" s="54">
        <v>351.29</v>
      </c>
      <c r="L9" s="54">
        <v>24.1</v>
      </c>
      <c r="M9" s="54">
        <v>93.89</v>
      </c>
      <c r="N9" s="54">
        <v>18</v>
      </c>
      <c r="O9" s="54">
        <v>0</v>
      </c>
      <c r="P9" s="54">
        <v>0.33</v>
      </c>
      <c r="Q9" s="60" t="s">
        <v>8</v>
      </c>
      <c r="R9" s="43"/>
      <c r="S9" s="43"/>
      <c r="T9" s="43"/>
      <c r="U9" s="43"/>
    </row>
    <row r="10" spans="1:21" s="11" customFormat="1" x14ac:dyDescent="0.25">
      <c r="A10" s="53" t="s">
        <v>198</v>
      </c>
      <c r="B10" s="54">
        <v>8.2899999999999991</v>
      </c>
      <c r="C10" s="54">
        <v>3.15</v>
      </c>
      <c r="D10" s="54">
        <v>12.05</v>
      </c>
      <c r="E10" s="54">
        <v>3.21</v>
      </c>
      <c r="F10" s="54">
        <v>3.36</v>
      </c>
      <c r="G10" s="54">
        <v>32.54</v>
      </c>
      <c r="H10" s="54">
        <v>8.6199999999999992</v>
      </c>
      <c r="I10" s="54">
        <v>3.1</v>
      </c>
      <c r="J10" s="54">
        <v>0.5</v>
      </c>
      <c r="K10" s="54">
        <v>343.94</v>
      </c>
      <c r="L10" s="54">
        <v>23.68</v>
      </c>
      <c r="M10" s="54">
        <v>97.28</v>
      </c>
      <c r="N10" s="54">
        <v>18</v>
      </c>
      <c r="O10" s="54">
        <v>0</v>
      </c>
      <c r="P10" s="54">
        <v>0.3</v>
      </c>
      <c r="Q10" s="60" t="s">
        <v>8</v>
      </c>
      <c r="R10" s="43"/>
      <c r="S10" s="43"/>
      <c r="T10" s="43"/>
      <c r="U10" s="43"/>
    </row>
    <row r="11" spans="1:21" s="11" customFormat="1" x14ac:dyDescent="0.25">
      <c r="A11" s="53" t="s">
        <v>199</v>
      </c>
      <c r="B11" s="54">
        <v>8.2799999999999994</v>
      </c>
      <c r="C11" s="54">
        <v>3.15</v>
      </c>
      <c r="D11" s="54">
        <v>12.05</v>
      </c>
      <c r="E11" s="54">
        <v>3.24</v>
      </c>
      <c r="F11" s="54">
        <v>3.64</v>
      </c>
      <c r="G11" s="54">
        <v>26.05</v>
      </c>
      <c r="H11" s="54">
        <v>8.2799999999999994</v>
      </c>
      <c r="I11" s="54">
        <v>3.14</v>
      </c>
      <c r="J11" s="54">
        <v>0.38</v>
      </c>
      <c r="K11" s="54">
        <v>352.16</v>
      </c>
      <c r="L11" s="54">
        <v>23.36</v>
      </c>
      <c r="M11" s="54">
        <v>98.3</v>
      </c>
      <c r="N11" s="54">
        <v>17.899999999999999</v>
      </c>
      <c r="O11" s="54">
        <v>0</v>
      </c>
      <c r="P11" s="54">
        <v>0.28999999999999998</v>
      </c>
      <c r="Q11" s="60" t="s">
        <v>8</v>
      </c>
      <c r="R11" s="43"/>
      <c r="S11" s="43"/>
      <c r="T11" s="43"/>
      <c r="U11" s="43"/>
    </row>
    <row r="12" spans="1:21" s="11" customFormat="1" x14ac:dyDescent="0.25">
      <c r="A12" s="53" t="s">
        <v>200</v>
      </c>
      <c r="B12" s="54">
        <v>8.23</v>
      </c>
      <c r="C12" s="54">
        <v>3.14</v>
      </c>
      <c r="D12" s="54">
        <v>12.01</v>
      </c>
      <c r="E12" s="54">
        <v>3.98</v>
      </c>
      <c r="F12" s="54">
        <v>3.85</v>
      </c>
      <c r="G12" s="54">
        <v>24.19</v>
      </c>
      <c r="H12" s="54">
        <v>7.22</v>
      </c>
      <c r="I12" s="54">
        <v>3.26</v>
      </c>
      <c r="J12" s="54">
        <v>0.35</v>
      </c>
      <c r="K12" s="54">
        <v>339.62</v>
      </c>
      <c r="L12" s="54">
        <v>23.28</v>
      </c>
      <c r="M12" s="54">
        <v>98.25</v>
      </c>
      <c r="N12" s="54">
        <v>17.8</v>
      </c>
      <c r="O12" s="54">
        <v>0</v>
      </c>
      <c r="P12" s="54">
        <v>0.26</v>
      </c>
      <c r="Q12" s="60" t="s">
        <v>8</v>
      </c>
      <c r="R12" s="43"/>
      <c r="S12" s="43"/>
      <c r="T12" s="43"/>
      <c r="U12" s="43"/>
    </row>
    <row r="13" spans="1:21" s="11" customFormat="1" x14ac:dyDescent="0.25">
      <c r="A13" s="53" t="s">
        <v>201</v>
      </c>
      <c r="B13" s="54">
        <v>8.31</v>
      </c>
      <c r="C13" s="54">
        <v>3.34</v>
      </c>
      <c r="D13" s="54">
        <v>12.19</v>
      </c>
      <c r="E13" s="54">
        <v>4.29</v>
      </c>
      <c r="F13" s="54">
        <v>4.63</v>
      </c>
      <c r="G13" s="54">
        <v>23.98</v>
      </c>
      <c r="H13" s="54">
        <v>5.91</v>
      </c>
      <c r="I13" s="54">
        <v>3.11</v>
      </c>
      <c r="J13" s="54">
        <v>0.72</v>
      </c>
      <c r="K13" s="54">
        <v>174.68</v>
      </c>
      <c r="L13" s="54">
        <v>23.22</v>
      </c>
      <c r="M13" s="54">
        <v>96.1</v>
      </c>
      <c r="N13" s="54">
        <v>18</v>
      </c>
      <c r="O13" s="54">
        <v>0</v>
      </c>
      <c r="P13" s="54">
        <v>0.25</v>
      </c>
      <c r="Q13" s="60" t="s">
        <v>8</v>
      </c>
      <c r="R13" s="43"/>
      <c r="S13" s="43"/>
      <c r="T13" s="43"/>
      <c r="U13" s="43"/>
    </row>
    <row r="14" spans="1:21" s="11" customFormat="1" x14ac:dyDescent="0.25">
      <c r="A14" s="53" t="s">
        <v>202</v>
      </c>
      <c r="B14" s="54">
        <v>8.33</v>
      </c>
      <c r="C14" s="54">
        <v>3.35</v>
      </c>
      <c r="D14" s="54">
        <v>12.18</v>
      </c>
      <c r="E14" s="54">
        <v>3.98</v>
      </c>
      <c r="F14" s="54">
        <v>3.68</v>
      </c>
      <c r="G14" s="54">
        <v>17.8</v>
      </c>
      <c r="H14" s="54">
        <v>4.47</v>
      </c>
      <c r="I14" s="54">
        <v>2.75</v>
      </c>
      <c r="J14" s="54">
        <v>0.36</v>
      </c>
      <c r="K14" s="54">
        <v>307.82</v>
      </c>
      <c r="L14" s="54">
        <v>23.16</v>
      </c>
      <c r="M14" s="54">
        <v>93.95</v>
      </c>
      <c r="N14" s="54">
        <v>34.6</v>
      </c>
      <c r="O14" s="54">
        <v>0</v>
      </c>
      <c r="P14" s="54">
        <v>0.22</v>
      </c>
      <c r="Q14" s="60" t="s">
        <v>8</v>
      </c>
      <c r="R14" s="43"/>
      <c r="S14" s="43"/>
      <c r="T14" s="43"/>
      <c r="U14" s="43"/>
    </row>
    <row r="15" spans="1:21" s="11" customFormat="1" x14ac:dyDescent="0.25">
      <c r="A15" s="53" t="s">
        <v>203</v>
      </c>
      <c r="B15" s="54">
        <v>8.31</v>
      </c>
      <c r="C15" s="54">
        <v>3.16</v>
      </c>
      <c r="D15" s="54">
        <v>12.09</v>
      </c>
      <c r="E15" s="54">
        <v>4.08</v>
      </c>
      <c r="F15" s="54">
        <v>4.59</v>
      </c>
      <c r="G15" s="54">
        <v>18.13</v>
      </c>
      <c r="H15" s="54">
        <v>5.44</v>
      </c>
      <c r="I15" s="54">
        <v>3.18</v>
      </c>
      <c r="J15" s="54">
        <v>0.55000000000000004</v>
      </c>
      <c r="K15" s="54">
        <v>355.38</v>
      </c>
      <c r="L15" s="54">
        <v>23.56</v>
      </c>
      <c r="M15" s="54">
        <v>93.9</v>
      </c>
      <c r="N15" s="54">
        <v>83.4</v>
      </c>
      <c r="O15" s="54">
        <v>0</v>
      </c>
      <c r="P15" s="54">
        <v>0.21</v>
      </c>
      <c r="Q15" s="60" t="s">
        <v>8</v>
      </c>
      <c r="R15" s="43"/>
      <c r="S15" s="43"/>
      <c r="T15" s="43"/>
      <c r="U15" s="43"/>
    </row>
    <row r="16" spans="1:21" s="11" customFormat="1" x14ac:dyDescent="0.25">
      <c r="A16" s="53" t="s">
        <v>204</v>
      </c>
      <c r="B16" s="54">
        <v>8.31</v>
      </c>
      <c r="C16" s="54">
        <v>3.24</v>
      </c>
      <c r="D16" s="54">
        <v>12.11</v>
      </c>
      <c r="E16" s="54">
        <v>4.51</v>
      </c>
      <c r="F16" s="54">
        <v>4.16</v>
      </c>
      <c r="G16" s="54">
        <v>17.28</v>
      </c>
      <c r="H16" s="54">
        <v>7.91</v>
      </c>
      <c r="I16" s="54">
        <v>3.29</v>
      </c>
      <c r="J16" s="54">
        <v>0.57999999999999996</v>
      </c>
      <c r="K16" s="54">
        <v>357.55</v>
      </c>
      <c r="L16" s="54">
        <v>23.95</v>
      </c>
      <c r="M16" s="54">
        <v>92.16</v>
      </c>
      <c r="N16" s="54">
        <v>145.19999999999999</v>
      </c>
      <c r="O16" s="54">
        <v>0</v>
      </c>
      <c r="P16" s="54">
        <v>0.3</v>
      </c>
      <c r="Q16" s="60" t="s">
        <v>8</v>
      </c>
      <c r="R16" s="43"/>
      <c r="S16" s="43"/>
      <c r="T16" s="43"/>
      <c r="U16" s="43"/>
    </row>
    <row r="17" spans="1:21" s="11" customFormat="1" x14ac:dyDescent="0.25">
      <c r="A17" s="53" t="s">
        <v>205</v>
      </c>
      <c r="B17" s="54">
        <v>8.32</v>
      </c>
      <c r="C17" s="54">
        <v>3.38</v>
      </c>
      <c r="D17" s="54">
        <v>12.21</v>
      </c>
      <c r="E17" s="54">
        <v>4.71</v>
      </c>
      <c r="F17" s="54">
        <v>4.46</v>
      </c>
      <c r="G17" s="54">
        <v>19.54</v>
      </c>
      <c r="H17" s="54">
        <v>8.24</v>
      </c>
      <c r="I17" s="54">
        <v>2.93</v>
      </c>
      <c r="J17" s="54">
        <v>0.14000000000000001</v>
      </c>
      <c r="K17" s="54">
        <v>352.1</v>
      </c>
      <c r="L17" s="54">
        <v>25.29</v>
      </c>
      <c r="M17" s="54">
        <v>89.14</v>
      </c>
      <c r="N17" s="54">
        <v>459.9</v>
      </c>
      <c r="O17" s="54">
        <v>0</v>
      </c>
      <c r="P17" s="54">
        <v>0.3</v>
      </c>
      <c r="Q17" s="60" t="s">
        <v>8</v>
      </c>
      <c r="R17" s="43"/>
      <c r="S17" s="43"/>
      <c r="T17" s="43"/>
      <c r="U17" s="43"/>
    </row>
    <row r="18" spans="1:21" s="11" customFormat="1" x14ac:dyDescent="0.25">
      <c r="A18" s="53" t="s">
        <v>206</v>
      </c>
      <c r="B18" s="54">
        <v>8.4700000000000006</v>
      </c>
      <c r="C18" s="54">
        <v>3.78</v>
      </c>
      <c r="D18" s="54">
        <v>12.55</v>
      </c>
      <c r="E18" s="54">
        <v>4.88</v>
      </c>
      <c r="F18" s="54">
        <v>4.62</v>
      </c>
      <c r="G18" s="54">
        <v>20.68</v>
      </c>
      <c r="H18" s="54">
        <v>5.86</v>
      </c>
      <c r="I18" s="54">
        <v>2.5</v>
      </c>
      <c r="J18" s="54">
        <v>0.44</v>
      </c>
      <c r="K18" s="54">
        <v>346.7</v>
      </c>
      <c r="L18" s="54">
        <v>26.2</v>
      </c>
      <c r="M18" s="54">
        <v>82.44</v>
      </c>
      <c r="N18" s="54">
        <v>474.9</v>
      </c>
      <c r="O18" s="54">
        <v>0</v>
      </c>
      <c r="P18" s="54">
        <v>0.3</v>
      </c>
      <c r="Q18" s="60" t="s">
        <v>8</v>
      </c>
      <c r="R18" s="43"/>
      <c r="S18" s="43"/>
      <c r="T18" s="43"/>
      <c r="U18" s="43"/>
    </row>
    <row r="19" spans="1:21" s="11" customFormat="1" x14ac:dyDescent="0.25">
      <c r="A19" s="53" t="s">
        <v>207</v>
      </c>
      <c r="B19" s="54">
        <v>8.26</v>
      </c>
      <c r="C19" s="54">
        <v>3.17</v>
      </c>
      <c r="D19" s="54">
        <v>12.05</v>
      </c>
      <c r="E19" s="54">
        <v>4.75</v>
      </c>
      <c r="F19" s="54">
        <v>5.52</v>
      </c>
      <c r="G19" s="54">
        <v>18.97</v>
      </c>
      <c r="H19" s="54">
        <v>6.15</v>
      </c>
      <c r="I19" s="54">
        <v>2.11</v>
      </c>
      <c r="J19" s="54">
        <v>0.45</v>
      </c>
      <c r="K19" s="54">
        <v>347.22</v>
      </c>
      <c r="L19" s="54">
        <v>27.24</v>
      </c>
      <c r="M19" s="54">
        <v>82.58</v>
      </c>
      <c r="N19" s="54">
        <v>409.8</v>
      </c>
      <c r="O19" s="54">
        <v>0</v>
      </c>
      <c r="P19" s="54">
        <v>0.31</v>
      </c>
      <c r="Q19" s="60" t="s">
        <v>8</v>
      </c>
      <c r="R19" s="43"/>
      <c r="S19" s="43"/>
      <c r="T19" s="43"/>
      <c r="U19" s="43"/>
    </row>
    <row r="20" spans="1:21" s="11" customFormat="1" x14ac:dyDescent="0.25">
      <c r="A20" s="53" t="s">
        <v>208</v>
      </c>
      <c r="B20" s="54">
        <v>8.27</v>
      </c>
      <c r="C20" s="54">
        <v>3.25</v>
      </c>
      <c r="D20" s="54">
        <v>12.08</v>
      </c>
      <c r="E20" s="54">
        <v>4.71</v>
      </c>
      <c r="F20" s="54">
        <v>6.05</v>
      </c>
      <c r="G20" s="54">
        <v>15.33</v>
      </c>
      <c r="H20" s="54">
        <v>8.36</v>
      </c>
      <c r="I20" s="54">
        <v>1.66</v>
      </c>
      <c r="J20" s="54">
        <v>0.47</v>
      </c>
      <c r="K20" s="54">
        <v>349.26</v>
      </c>
      <c r="L20" s="54">
        <v>27.9</v>
      </c>
      <c r="M20" s="54">
        <v>77.7</v>
      </c>
      <c r="N20" s="54">
        <v>1001</v>
      </c>
      <c r="O20" s="54">
        <v>0</v>
      </c>
      <c r="P20" s="54">
        <v>0.32</v>
      </c>
      <c r="Q20" s="54">
        <v>9.1999999999999993</v>
      </c>
      <c r="R20" s="43"/>
      <c r="S20" s="43"/>
      <c r="T20" s="43"/>
      <c r="U20" s="43"/>
    </row>
    <row r="21" spans="1:21" s="11" customFormat="1" x14ac:dyDescent="0.25">
      <c r="A21" s="53" t="s">
        <v>209</v>
      </c>
      <c r="B21" s="54">
        <v>8.16</v>
      </c>
      <c r="C21" s="54">
        <v>3.14</v>
      </c>
      <c r="D21" s="54">
        <v>11.96</v>
      </c>
      <c r="E21" s="54">
        <v>4.22</v>
      </c>
      <c r="F21" s="54">
        <v>5.39</v>
      </c>
      <c r="G21" s="54">
        <v>16.329999999999998</v>
      </c>
      <c r="H21" s="54">
        <v>9.42</v>
      </c>
      <c r="I21" s="54">
        <v>1.55</v>
      </c>
      <c r="J21" s="54">
        <v>0.52</v>
      </c>
      <c r="K21" s="54">
        <v>336.56</v>
      </c>
      <c r="L21" s="54">
        <v>29.92</v>
      </c>
      <c r="M21" s="54">
        <v>71.72</v>
      </c>
      <c r="N21" s="54">
        <v>732.1</v>
      </c>
      <c r="O21" s="54">
        <v>0</v>
      </c>
      <c r="P21" s="54">
        <v>0.32</v>
      </c>
      <c r="Q21" s="54">
        <v>9.25</v>
      </c>
      <c r="R21" s="43"/>
      <c r="S21" s="43"/>
      <c r="T21" s="43"/>
      <c r="U21" s="43"/>
    </row>
    <row r="22" spans="1:21" s="11" customFormat="1" x14ac:dyDescent="0.25">
      <c r="A22" s="53" t="s">
        <v>210</v>
      </c>
      <c r="B22" s="54">
        <v>8.1300000000000008</v>
      </c>
      <c r="C22" s="54">
        <v>3.19</v>
      </c>
      <c r="D22" s="54">
        <v>11.96</v>
      </c>
      <c r="E22" s="54">
        <v>4.82</v>
      </c>
      <c r="F22" s="54">
        <v>5.27</v>
      </c>
      <c r="G22" s="54">
        <v>15.16</v>
      </c>
      <c r="H22" s="54">
        <v>8.2100000000000009</v>
      </c>
      <c r="I22" s="54">
        <v>1.46</v>
      </c>
      <c r="J22" s="54">
        <v>0.44</v>
      </c>
      <c r="K22" s="54">
        <v>343.76</v>
      </c>
      <c r="L22" s="54">
        <v>29.37</v>
      </c>
      <c r="M22" s="54">
        <v>69.010000000000005</v>
      </c>
      <c r="N22" s="54">
        <v>623.5</v>
      </c>
      <c r="O22" s="54">
        <v>0</v>
      </c>
      <c r="P22" s="54">
        <v>0.3</v>
      </c>
      <c r="Q22" s="54">
        <v>9.25</v>
      </c>
      <c r="R22" s="43"/>
      <c r="S22" s="43"/>
      <c r="T22" s="43"/>
      <c r="U22" s="43"/>
    </row>
    <row r="23" spans="1:21" s="11" customFormat="1" x14ac:dyDescent="0.25">
      <c r="A23" s="53" t="s">
        <v>211</v>
      </c>
      <c r="B23" s="54">
        <v>8.32</v>
      </c>
      <c r="C23" s="54">
        <v>3.62</v>
      </c>
      <c r="D23" s="54">
        <v>12.34</v>
      </c>
      <c r="E23" s="54">
        <v>4.55</v>
      </c>
      <c r="F23" s="54">
        <v>5.96</v>
      </c>
      <c r="G23" s="54">
        <v>25.2</v>
      </c>
      <c r="H23" s="54">
        <v>12.75</v>
      </c>
      <c r="I23" s="54">
        <v>1.32</v>
      </c>
      <c r="J23" s="54">
        <v>1.18</v>
      </c>
      <c r="K23" s="54">
        <v>335.03</v>
      </c>
      <c r="L23" s="54">
        <v>30.88</v>
      </c>
      <c r="M23" s="54">
        <v>64.67</v>
      </c>
      <c r="N23" s="54">
        <v>695.9</v>
      </c>
      <c r="O23" s="54">
        <v>0</v>
      </c>
      <c r="P23" s="54">
        <v>0.33</v>
      </c>
      <c r="Q23" s="54">
        <v>9.23</v>
      </c>
      <c r="R23" s="43"/>
      <c r="S23" s="43"/>
      <c r="T23" s="43"/>
      <c r="U23" s="43"/>
    </row>
    <row r="24" spans="1:21" s="11" customFormat="1" x14ac:dyDescent="0.25">
      <c r="A24" s="53" t="s">
        <v>212</v>
      </c>
      <c r="B24" s="54">
        <v>8.17</v>
      </c>
      <c r="C24" s="54">
        <v>3.11</v>
      </c>
      <c r="D24" s="54">
        <v>11.95</v>
      </c>
      <c r="E24" s="54">
        <v>4.57</v>
      </c>
      <c r="F24" s="54">
        <v>4.0599999999999996</v>
      </c>
      <c r="G24" s="54">
        <v>44.24</v>
      </c>
      <c r="H24" s="54">
        <v>16.350000000000001</v>
      </c>
      <c r="I24" s="54">
        <v>2.02</v>
      </c>
      <c r="J24" s="54">
        <v>0.53</v>
      </c>
      <c r="K24" s="54">
        <v>343.82</v>
      </c>
      <c r="L24" s="54">
        <v>30.03</v>
      </c>
      <c r="M24" s="54">
        <v>61.53</v>
      </c>
      <c r="N24" s="54">
        <v>230.8</v>
      </c>
      <c r="O24" s="54">
        <v>0</v>
      </c>
      <c r="P24" s="54">
        <v>0.32</v>
      </c>
      <c r="Q24" s="54">
        <v>9.2100000000000009</v>
      </c>
      <c r="R24" s="43"/>
      <c r="S24" s="43"/>
      <c r="T24" s="43"/>
      <c r="U24" s="43"/>
    </row>
    <row r="25" spans="1:21" s="11" customFormat="1" x14ac:dyDescent="0.25">
      <c r="A25" s="53" t="s">
        <v>213</v>
      </c>
      <c r="B25" s="54">
        <v>8.16</v>
      </c>
      <c r="C25" s="54">
        <v>3.13</v>
      </c>
      <c r="D25" s="54">
        <v>11.95</v>
      </c>
      <c r="E25" s="54">
        <v>4.5</v>
      </c>
      <c r="F25" s="54">
        <v>5.59</v>
      </c>
      <c r="G25" s="54">
        <v>52.25</v>
      </c>
      <c r="H25" s="54">
        <v>16.57</v>
      </c>
      <c r="I25" s="54">
        <v>2.17</v>
      </c>
      <c r="J25" s="54">
        <v>0.39</v>
      </c>
      <c r="K25" s="54">
        <v>359.85</v>
      </c>
      <c r="L25" s="54">
        <v>30.06</v>
      </c>
      <c r="M25" s="54">
        <v>61.34</v>
      </c>
      <c r="N25" s="54">
        <v>210.4</v>
      </c>
      <c r="O25" s="54">
        <v>0</v>
      </c>
      <c r="P25" s="54">
        <v>0.33</v>
      </c>
      <c r="Q25" s="54">
        <v>9.27</v>
      </c>
      <c r="R25" s="43"/>
      <c r="S25" s="43"/>
      <c r="T25" s="43"/>
      <c r="U25" s="43"/>
    </row>
    <row r="26" spans="1:21" s="11" customFormat="1" x14ac:dyDescent="0.25">
      <c r="A26" s="53" t="s">
        <v>214</v>
      </c>
      <c r="B26" s="54">
        <v>8.18</v>
      </c>
      <c r="C26" s="54">
        <v>3.24</v>
      </c>
      <c r="D26" s="54">
        <v>12.02</v>
      </c>
      <c r="E26" s="54">
        <v>5.17</v>
      </c>
      <c r="F26" s="54">
        <v>5.25</v>
      </c>
      <c r="G26" s="54">
        <v>52.51</v>
      </c>
      <c r="H26" s="54">
        <v>12.33</v>
      </c>
      <c r="I26" s="54">
        <v>2.12</v>
      </c>
      <c r="J26" s="54">
        <v>0.42</v>
      </c>
      <c r="K26" s="54">
        <v>50.12</v>
      </c>
      <c r="L26" s="54">
        <v>28.96</v>
      </c>
      <c r="M26" s="54">
        <v>64.42</v>
      </c>
      <c r="N26" s="54">
        <v>96.6</v>
      </c>
      <c r="O26" s="54">
        <v>0</v>
      </c>
      <c r="P26" s="54">
        <v>0.37</v>
      </c>
      <c r="Q26" s="54">
        <v>9.27</v>
      </c>
      <c r="R26" s="43"/>
      <c r="S26" s="43"/>
      <c r="T26" s="43"/>
      <c r="U26" s="43"/>
    </row>
    <row r="27" spans="1:21" s="11" customFormat="1" x14ac:dyDescent="0.25">
      <c r="A27" s="53" t="s">
        <v>215</v>
      </c>
      <c r="B27" s="54">
        <v>8.23</v>
      </c>
      <c r="C27" s="54">
        <v>3.37</v>
      </c>
      <c r="D27" s="54">
        <v>12.13</v>
      </c>
      <c r="E27" s="54">
        <v>4.95</v>
      </c>
      <c r="F27" s="54">
        <v>4.22</v>
      </c>
      <c r="G27" s="54">
        <v>54.56</v>
      </c>
      <c r="H27" s="54">
        <v>14.29</v>
      </c>
      <c r="I27" s="54">
        <v>2.12</v>
      </c>
      <c r="J27" s="54">
        <v>1.38</v>
      </c>
      <c r="K27" s="54">
        <v>202.01</v>
      </c>
      <c r="L27" s="54">
        <v>28.33</v>
      </c>
      <c r="M27" s="54">
        <v>74.7</v>
      </c>
      <c r="N27" s="54">
        <v>58.1</v>
      </c>
      <c r="O27" s="54">
        <v>0</v>
      </c>
      <c r="P27" s="54">
        <v>0.38</v>
      </c>
      <c r="Q27" s="54">
        <v>9.27</v>
      </c>
      <c r="R27" s="43"/>
      <c r="S27" s="43"/>
      <c r="T27" s="43"/>
      <c r="U27" s="43"/>
    </row>
    <row r="28" spans="1:21" s="11" customFormat="1" x14ac:dyDescent="0.25">
      <c r="A28" s="53" t="s">
        <v>216</v>
      </c>
      <c r="B28" s="54">
        <v>8.2200000000000006</v>
      </c>
      <c r="C28" s="54">
        <v>3.19</v>
      </c>
      <c r="D28" s="54">
        <v>12.01</v>
      </c>
      <c r="E28" s="54">
        <v>5.05</v>
      </c>
      <c r="F28" s="54">
        <v>4.82</v>
      </c>
      <c r="G28" s="54">
        <v>70.930000000000007</v>
      </c>
      <c r="H28" s="54">
        <v>17.45</v>
      </c>
      <c r="I28" s="54">
        <v>2.82</v>
      </c>
      <c r="J28" s="54">
        <v>0.54</v>
      </c>
      <c r="K28" s="54">
        <v>178.26</v>
      </c>
      <c r="L28" s="54">
        <v>27.22</v>
      </c>
      <c r="M28" s="54">
        <v>79.19</v>
      </c>
      <c r="N28" s="54">
        <v>17.399999999999999</v>
      </c>
      <c r="O28" s="54">
        <v>0</v>
      </c>
      <c r="P28" s="54">
        <v>0.37</v>
      </c>
      <c r="Q28" s="54">
        <v>9.23</v>
      </c>
      <c r="R28" s="43"/>
      <c r="S28" s="43"/>
      <c r="T28" s="43"/>
      <c r="U28" s="43"/>
    </row>
    <row r="29" spans="1:21" s="11" customFormat="1" x14ac:dyDescent="0.25">
      <c r="A29" s="53" t="s">
        <v>217</v>
      </c>
      <c r="B29" s="54">
        <v>8.23</v>
      </c>
      <c r="C29" s="54">
        <v>3.21</v>
      </c>
      <c r="D29" s="54">
        <v>12.05</v>
      </c>
      <c r="E29" s="54">
        <v>4.7300000000000004</v>
      </c>
      <c r="F29" s="54">
        <v>3.81</v>
      </c>
      <c r="G29" s="54">
        <v>67.39</v>
      </c>
      <c r="H29" s="54">
        <v>14.84</v>
      </c>
      <c r="I29" s="54">
        <v>3.83</v>
      </c>
      <c r="J29" s="54">
        <v>0.75</v>
      </c>
      <c r="K29" s="54">
        <v>199.84</v>
      </c>
      <c r="L29" s="54">
        <v>26.62</v>
      </c>
      <c r="M29" s="54">
        <v>81.41</v>
      </c>
      <c r="N29" s="54">
        <v>17.2</v>
      </c>
      <c r="O29" s="54">
        <v>0</v>
      </c>
      <c r="P29" s="54">
        <v>0.38</v>
      </c>
      <c r="Q29" s="54">
        <v>9.2799999999999994</v>
      </c>
      <c r="R29" s="43"/>
      <c r="S29" s="43"/>
      <c r="T29" s="43"/>
      <c r="U29" s="43"/>
    </row>
    <row r="30" spans="1:21" s="11" customFormat="1" x14ac:dyDescent="0.25">
      <c r="A30" s="53" t="s">
        <v>218</v>
      </c>
      <c r="B30" s="54">
        <v>8.16</v>
      </c>
      <c r="C30" s="54">
        <v>3.16</v>
      </c>
      <c r="D30" s="54">
        <v>11.97</v>
      </c>
      <c r="E30" s="54">
        <v>4.91</v>
      </c>
      <c r="F30" s="54">
        <v>4.26</v>
      </c>
      <c r="G30" s="54">
        <v>59.03</v>
      </c>
      <c r="H30" s="54">
        <v>14.44</v>
      </c>
      <c r="I30" s="54">
        <v>3.98</v>
      </c>
      <c r="J30" s="54">
        <v>0.63</v>
      </c>
      <c r="K30" s="54">
        <v>218.14</v>
      </c>
      <c r="L30" s="54">
        <v>26.41</v>
      </c>
      <c r="M30" s="54">
        <v>84.13</v>
      </c>
      <c r="N30" s="54">
        <v>17.3</v>
      </c>
      <c r="O30" s="54">
        <v>0</v>
      </c>
      <c r="P30" s="54">
        <v>0.39</v>
      </c>
      <c r="Q30" s="60" t="s">
        <v>8</v>
      </c>
      <c r="R30" s="43"/>
      <c r="S30" s="43"/>
      <c r="T30" s="43"/>
      <c r="U30" s="43"/>
    </row>
    <row r="31" spans="1:21" s="11" customFormat="1" x14ac:dyDescent="0.25">
      <c r="A31" s="53" t="s">
        <v>219</v>
      </c>
      <c r="B31" s="54">
        <v>8.3800000000000008</v>
      </c>
      <c r="C31" s="54">
        <v>3.57</v>
      </c>
      <c r="D31" s="54">
        <v>12.36</v>
      </c>
      <c r="E31" s="54">
        <v>4.88</v>
      </c>
      <c r="F31" s="54">
        <v>4.33</v>
      </c>
      <c r="G31" s="54">
        <v>61.4</v>
      </c>
      <c r="H31" s="54">
        <v>13.08</v>
      </c>
      <c r="I31" s="54">
        <v>3.99</v>
      </c>
      <c r="J31" s="54">
        <v>0.91</v>
      </c>
      <c r="K31" s="54">
        <v>194.53</v>
      </c>
      <c r="L31" s="54">
        <v>25.93</v>
      </c>
      <c r="M31" s="54">
        <v>86.63</v>
      </c>
      <c r="N31" s="54">
        <v>17.2</v>
      </c>
      <c r="O31" s="54">
        <v>0</v>
      </c>
      <c r="P31" s="54">
        <v>0.39</v>
      </c>
      <c r="Q31" s="60" t="s">
        <v>8</v>
      </c>
      <c r="R31" s="43"/>
      <c r="S31" s="43"/>
      <c r="T31" s="43"/>
      <c r="U31" s="43"/>
    </row>
    <row r="32" spans="1:21" s="11" customFormat="1" x14ac:dyDescent="0.25">
      <c r="A32" s="53" t="s">
        <v>220</v>
      </c>
      <c r="B32" s="54">
        <v>8.17</v>
      </c>
      <c r="C32" s="54">
        <v>3.17</v>
      </c>
      <c r="D32" s="54">
        <v>11.98</v>
      </c>
      <c r="E32" s="54">
        <v>5.55</v>
      </c>
      <c r="F32" s="54">
        <v>4.0599999999999996</v>
      </c>
      <c r="G32" s="54">
        <v>52.96</v>
      </c>
      <c r="H32" s="54">
        <v>13.33</v>
      </c>
      <c r="I32" s="54">
        <v>4.09</v>
      </c>
      <c r="J32" s="54">
        <v>0.98</v>
      </c>
      <c r="K32" s="54">
        <v>153.71</v>
      </c>
      <c r="L32" s="54">
        <v>25.65</v>
      </c>
      <c r="M32" s="54">
        <v>88.34</v>
      </c>
      <c r="N32" s="54">
        <v>17.8</v>
      </c>
      <c r="O32" s="54">
        <v>0</v>
      </c>
      <c r="P32" s="54">
        <v>0.38</v>
      </c>
      <c r="Q32" s="60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8.1300000000000008</v>
      </c>
      <c r="C34" s="28">
        <f t="shared" si="0"/>
        <v>3.11</v>
      </c>
      <c r="D34" s="28">
        <f t="shared" si="0"/>
        <v>11.95</v>
      </c>
      <c r="E34" s="28">
        <f t="shared" si="0"/>
        <v>3.21</v>
      </c>
      <c r="F34" s="28">
        <f t="shared" si="0"/>
        <v>3.36</v>
      </c>
      <c r="G34" s="28">
        <f t="shared" si="0"/>
        <v>15.16</v>
      </c>
      <c r="H34" s="28">
        <f t="shared" si="0"/>
        <v>4.47</v>
      </c>
      <c r="I34" s="28">
        <f t="shared" si="0"/>
        <v>1.32</v>
      </c>
      <c r="J34" s="28">
        <f t="shared" si="0"/>
        <v>0.14000000000000001</v>
      </c>
      <c r="K34" s="28">
        <f t="shared" si="0"/>
        <v>50.12</v>
      </c>
      <c r="L34" s="28">
        <f t="shared" si="0"/>
        <v>23.16</v>
      </c>
      <c r="M34" s="28">
        <f t="shared" si="0"/>
        <v>61.34</v>
      </c>
      <c r="N34" s="28">
        <f t="shared" si="0"/>
        <v>17.2</v>
      </c>
      <c r="O34" s="28">
        <f t="shared" si="0"/>
        <v>0</v>
      </c>
      <c r="P34" s="28">
        <f t="shared" si="0"/>
        <v>0.21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</v>
      </c>
      <c r="C35" s="29">
        <f t="shared" si="1"/>
        <v>3.78</v>
      </c>
      <c r="D35" s="29">
        <f t="shared" si="1"/>
        <v>12.57</v>
      </c>
      <c r="E35" s="29">
        <f t="shared" si="1"/>
        <v>5.55</v>
      </c>
      <c r="F35" s="29">
        <f t="shared" si="1"/>
        <v>6.05</v>
      </c>
      <c r="G35" s="29">
        <f t="shared" si="1"/>
        <v>70.930000000000007</v>
      </c>
      <c r="H35" s="29">
        <f t="shared" si="1"/>
        <v>17.45</v>
      </c>
      <c r="I35" s="29">
        <f t="shared" si="1"/>
        <v>4.09</v>
      </c>
      <c r="J35" s="29">
        <f t="shared" si="1"/>
        <v>1.38</v>
      </c>
      <c r="K35" s="29">
        <f t="shared" si="1"/>
        <v>359.85</v>
      </c>
      <c r="L35" s="29">
        <f t="shared" si="1"/>
        <v>30.88</v>
      </c>
      <c r="M35" s="29">
        <f t="shared" si="1"/>
        <v>98.3</v>
      </c>
      <c r="N35" s="29">
        <f t="shared" si="1"/>
        <v>1001</v>
      </c>
      <c r="O35" s="29">
        <f t="shared" si="1"/>
        <v>0</v>
      </c>
      <c r="P35" s="29">
        <f t="shared" si="1"/>
        <v>0.39</v>
      </c>
      <c r="Q35" s="29">
        <f t="shared" si="1"/>
        <v>9.2799999999999994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8.2662499999999977</v>
      </c>
      <c r="C36" s="28">
        <f t="shared" si="2"/>
        <v>3.2912499999999993</v>
      </c>
      <c r="D36" s="28">
        <f t="shared" si="2"/>
        <v>12.117500000000001</v>
      </c>
      <c r="E36" s="28">
        <f t="shared" si="2"/>
        <v>4.4779166666666663</v>
      </c>
      <c r="F36" s="28">
        <f t="shared" si="2"/>
        <v>4.5650000000000004</v>
      </c>
      <c r="G36" s="28">
        <f t="shared" si="2"/>
        <v>35.112083333333338</v>
      </c>
      <c r="H36" s="28">
        <f t="shared" si="2"/>
        <v>10.382083333333332</v>
      </c>
      <c r="I36" s="28">
        <f t="shared" si="2"/>
        <v>2.7504166666666663</v>
      </c>
      <c r="J36" s="28">
        <f t="shared" si="2"/>
        <v>0.58625000000000005</v>
      </c>
      <c r="K36" s="28">
        <f t="shared" si="2"/>
        <v>287.22291666666672</v>
      </c>
      <c r="L36" s="28">
        <f t="shared" si="2"/>
        <v>26.429999999999993</v>
      </c>
      <c r="M36" s="28">
        <f t="shared" si="2"/>
        <v>82.615833333333356</v>
      </c>
      <c r="N36" s="28">
        <f t="shared" si="2"/>
        <v>226.36666666666667</v>
      </c>
      <c r="O36" s="28">
        <f t="shared" si="2"/>
        <v>0</v>
      </c>
      <c r="P36" s="28">
        <f t="shared" si="2"/>
        <v>0.31874999999999992</v>
      </c>
      <c r="Q36" s="28">
        <f t="shared" si="2"/>
        <v>9.2459999999999987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9.5544776664274522E-2</v>
      </c>
      <c r="C37" s="28">
        <f t="shared" ref="C37:Q37" si="3">STDEV(C9:C32)</f>
        <v>0.20063621633281417</v>
      </c>
      <c r="D37" s="28">
        <f t="shared" si="3"/>
        <v>0.17661675532312773</v>
      </c>
      <c r="E37" s="28">
        <f t="shared" si="3"/>
        <v>0.60861195723774797</v>
      </c>
      <c r="F37" s="28">
        <f t="shared" si="3"/>
        <v>0.76044609333572499</v>
      </c>
      <c r="G37" s="28">
        <f t="shared" si="3"/>
        <v>18.830448972727464</v>
      </c>
      <c r="H37" s="28">
        <f t="shared" si="3"/>
        <v>3.9401522583322337</v>
      </c>
      <c r="I37" s="28">
        <f t="shared" si="3"/>
        <v>0.84030263268227079</v>
      </c>
      <c r="J37" s="28">
        <f t="shared" si="3"/>
        <v>0.28077242060771007</v>
      </c>
      <c r="K37" s="28">
        <f t="shared" si="3"/>
        <v>89.13395441835614</v>
      </c>
      <c r="L37" s="28">
        <f t="shared" si="3"/>
        <v>2.5553490359737889</v>
      </c>
      <c r="M37" s="28">
        <f t="shared" si="3"/>
        <v>12.17501465642048</v>
      </c>
      <c r="N37" s="28">
        <f t="shared" si="3"/>
        <v>289.58510450923262</v>
      </c>
      <c r="O37" s="28">
        <f t="shared" si="3"/>
        <v>0</v>
      </c>
      <c r="P37" s="28">
        <f t="shared" si="3"/>
        <v>5.0846101983894096E-2</v>
      </c>
      <c r="Q37" s="28">
        <f t="shared" si="3"/>
        <v>2.7568097504180187E-2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221</v>
      </c>
      <c r="B9" s="54">
        <v>8.2100000000000009</v>
      </c>
      <c r="C9" s="54">
        <v>3.17</v>
      </c>
      <c r="D9" s="54">
        <v>12.02</v>
      </c>
      <c r="E9" s="54">
        <v>5.79</v>
      </c>
      <c r="F9" s="54">
        <v>4.68</v>
      </c>
      <c r="G9" s="54">
        <v>52.32</v>
      </c>
      <c r="H9" s="54">
        <v>12.83</v>
      </c>
      <c r="I9" s="54">
        <v>3.69</v>
      </c>
      <c r="J9" s="54">
        <v>0.54</v>
      </c>
      <c r="K9" s="54">
        <v>18.170000000000002</v>
      </c>
      <c r="L9" s="54">
        <v>24.64</v>
      </c>
      <c r="M9" s="54">
        <v>84.92</v>
      </c>
      <c r="N9" s="54">
        <v>17.7</v>
      </c>
      <c r="O9" s="54">
        <v>0</v>
      </c>
      <c r="P9" s="54">
        <v>0.33</v>
      </c>
      <c r="Q9" s="61" t="s">
        <v>8</v>
      </c>
      <c r="R9" s="43"/>
      <c r="S9" s="43"/>
      <c r="T9" s="43"/>
      <c r="U9" s="43"/>
    </row>
    <row r="10" spans="1:21" s="11" customFormat="1" x14ac:dyDescent="0.25">
      <c r="A10" s="53" t="s">
        <v>222</v>
      </c>
      <c r="B10" s="54">
        <v>8.1999999999999993</v>
      </c>
      <c r="C10" s="54">
        <v>3.16</v>
      </c>
      <c r="D10" s="54">
        <v>12</v>
      </c>
      <c r="E10" s="54">
        <v>6.05</v>
      </c>
      <c r="F10" s="54">
        <v>4.6100000000000003</v>
      </c>
      <c r="G10" s="54">
        <v>44.28</v>
      </c>
      <c r="H10" s="54">
        <v>9.2799999999999994</v>
      </c>
      <c r="I10" s="54">
        <v>2.54</v>
      </c>
      <c r="J10" s="54">
        <v>0.56000000000000005</v>
      </c>
      <c r="K10" s="54">
        <v>343.66</v>
      </c>
      <c r="L10" s="54">
        <v>23.65</v>
      </c>
      <c r="M10" s="54">
        <v>91.16</v>
      </c>
      <c r="N10" s="54">
        <v>17.3</v>
      </c>
      <c r="O10" s="54">
        <v>0</v>
      </c>
      <c r="P10" s="54">
        <v>0.28999999999999998</v>
      </c>
      <c r="Q10" s="61" t="s">
        <v>8</v>
      </c>
      <c r="R10" s="43"/>
      <c r="S10" s="43"/>
      <c r="T10" s="43"/>
      <c r="U10" s="43"/>
    </row>
    <row r="11" spans="1:21" s="11" customFormat="1" x14ac:dyDescent="0.25">
      <c r="A11" s="53" t="s">
        <v>223</v>
      </c>
      <c r="B11" s="54">
        <v>8.23</v>
      </c>
      <c r="C11" s="54">
        <v>3.27</v>
      </c>
      <c r="D11" s="54">
        <v>12.08</v>
      </c>
      <c r="E11" s="54">
        <v>5.83</v>
      </c>
      <c r="F11" s="54">
        <v>5.08</v>
      </c>
      <c r="G11" s="54">
        <v>35.93</v>
      </c>
      <c r="H11" s="54">
        <v>9.32</v>
      </c>
      <c r="I11" s="54">
        <v>2.63</v>
      </c>
      <c r="J11" s="54">
        <v>0.62</v>
      </c>
      <c r="K11" s="54">
        <v>359.75</v>
      </c>
      <c r="L11" s="54">
        <v>23.56</v>
      </c>
      <c r="M11" s="54">
        <v>94.82</v>
      </c>
      <c r="N11" s="54">
        <v>17.399999999999999</v>
      </c>
      <c r="O11" s="54">
        <v>0</v>
      </c>
      <c r="P11" s="54">
        <v>0.27</v>
      </c>
      <c r="Q11" s="61" t="s">
        <v>8</v>
      </c>
      <c r="R11" s="43"/>
      <c r="S11" s="43"/>
      <c r="T11" s="43"/>
      <c r="U11" s="43"/>
    </row>
    <row r="12" spans="1:21" s="11" customFormat="1" x14ac:dyDescent="0.25">
      <c r="A12" s="53" t="s">
        <v>224</v>
      </c>
      <c r="B12" s="54">
        <v>8.2200000000000006</v>
      </c>
      <c r="C12" s="54">
        <v>3.22</v>
      </c>
      <c r="D12" s="54">
        <v>12.05</v>
      </c>
      <c r="E12" s="54">
        <v>5.83</v>
      </c>
      <c r="F12" s="54">
        <v>5.08</v>
      </c>
      <c r="G12" s="54">
        <v>24.16</v>
      </c>
      <c r="H12" s="54">
        <v>7.01</v>
      </c>
      <c r="I12" s="54">
        <v>2.02</v>
      </c>
      <c r="J12" s="54">
        <v>0.49</v>
      </c>
      <c r="K12" s="54">
        <v>349.47</v>
      </c>
      <c r="L12" s="54">
        <v>23.19</v>
      </c>
      <c r="M12" s="54">
        <v>96.14</v>
      </c>
      <c r="N12" s="54">
        <v>17.3</v>
      </c>
      <c r="O12" s="54">
        <v>0</v>
      </c>
      <c r="P12" s="54">
        <v>0.25</v>
      </c>
      <c r="Q12" s="61" t="s">
        <v>8</v>
      </c>
      <c r="R12" s="43"/>
      <c r="S12" s="43"/>
      <c r="T12" s="43"/>
      <c r="U12" s="43"/>
    </row>
    <row r="13" spans="1:21" s="11" customFormat="1" x14ac:dyDescent="0.25">
      <c r="A13" s="53" t="s">
        <v>225</v>
      </c>
      <c r="B13" s="54">
        <v>8.2100000000000009</v>
      </c>
      <c r="C13" s="54">
        <v>3.15</v>
      </c>
      <c r="D13" s="54">
        <v>11.99</v>
      </c>
      <c r="E13" s="54">
        <v>3.6</v>
      </c>
      <c r="F13" s="54">
        <v>4.03</v>
      </c>
      <c r="G13" s="54">
        <v>19.57</v>
      </c>
      <c r="H13" s="54">
        <v>5.99</v>
      </c>
      <c r="I13" s="54">
        <v>1.56</v>
      </c>
      <c r="J13" s="54">
        <v>0.51</v>
      </c>
      <c r="K13" s="54">
        <v>338.84</v>
      </c>
      <c r="L13" s="54">
        <v>22.93</v>
      </c>
      <c r="M13" s="54">
        <v>96.42</v>
      </c>
      <c r="N13" s="54">
        <v>17</v>
      </c>
      <c r="O13" s="54">
        <v>0</v>
      </c>
      <c r="P13" s="54">
        <v>0.24</v>
      </c>
      <c r="Q13" s="61" t="s">
        <v>8</v>
      </c>
      <c r="R13" s="43"/>
      <c r="S13" s="43"/>
      <c r="T13" s="43"/>
      <c r="U13" s="43"/>
    </row>
    <row r="14" spans="1:21" s="11" customFormat="1" x14ac:dyDescent="0.25">
      <c r="A14" s="53" t="s">
        <v>226</v>
      </c>
      <c r="B14" s="54">
        <v>8.1999999999999993</v>
      </c>
      <c r="C14" s="54">
        <v>3.11</v>
      </c>
      <c r="D14" s="54">
        <v>11.97</v>
      </c>
      <c r="E14" s="54">
        <v>3.4</v>
      </c>
      <c r="F14" s="54">
        <v>3.82</v>
      </c>
      <c r="G14" s="54">
        <v>17.649999999999999</v>
      </c>
      <c r="H14" s="54">
        <v>4.38</v>
      </c>
      <c r="I14" s="54">
        <v>1.79</v>
      </c>
      <c r="J14" s="54">
        <v>0.41</v>
      </c>
      <c r="K14" s="54">
        <v>355.97</v>
      </c>
      <c r="L14" s="54">
        <v>23.05</v>
      </c>
      <c r="M14" s="54">
        <v>96.96</v>
      </c>
      <c r="N14" s="54">
        <v>38.4</v>
      </c>
      <c r="O14" s="54">
        <v>0</v>
      </c>
      <c r="P14" s="54">
        <v>0.24</v>
      </c>
      <c r="Q14" s="61" t="s">
        <v>8</v>
      </c>
      <c r="R14" s="43"/>
      <c r="S14" s="43"/>
      <c r="T14" s="43"/>
      <c r="U14" s="43"/>
    </row>
    <row r="15" spans="1:21" s="11" customFormat="1" x14ac:dyDescent="0.25">
      <c r="A15" s="53" t="s">
        <v>227</v>
      </c>
      <c r="B15" s="54">
        <v>8.2200000000000006</v>
      </c>
      <c r="C15" s="54">
        <v>3.22</v>
      </c>
      <c r="D15" s="54">
        <v>12.04</v>
      </c>
      <c r="E15" s="54">
        <v>3.53</v>
      </c>
      <c r="F15" s="54">
        <v>4.4800000000000004</v>
      </c>
      <c r="G15" s="54">
        <v>22.12</v>
      </c>
      <c r="H15" s="54">
        <v>4.4800000000000004</v>
      </c>
      <c r="I15" s="54">
        <v>1.95</v>
      </c>
      <c r="J15" s="54">
        <v>0.55000000000000004</v>
      </c>
      <c r="K15" s="54">
        <v>358.9</v>
      </c>
      <c r="L15" s="54">
        <v>23.52</v>
      </c>
      <c r="M15" s="54">
        <v>96.51</v>
      </c>
      <c r="N15" s="54">
        <v>88.6</v>
      </c>
      <c r="O15" s="54">
        <v>0</v>
      </c>
      <c r="P15" s="54">
        <v>0.28000000000000003</v>
      </c>
      <c r="Q15" s="61" t="s">
        <v>8</v>
      </c>
      <c r="R15" s="43"/>
      <c r="S15" s="43"/>
      <c r="T15" s="43"/>
      <c r="U15" s="43"/>
    </row>
    <row r="16" spans="1:21" s="11" customFormat="1" x14ac:dyDescent="0.25">
      <c r="A16" s="53" t="s">
        <v>228</v>
      </c>
      <c r="B16" s="54">
        <v>8.18</v>
      </c>
      <c r="C16" s="54">
        <v>3.17</v>
      </c>
      <c r="D16" s="54">
        <v>11.99</v>
      </c>
      <c r="E16" s="54">
        <v>3.57</v>
      </c>
      <c r="F16" s="54">
        <v>4.5199999999999996</v>
      </c>
      <c r="G16" s="54">
        <v>23.09</v>
      </c>
      <c r="H16" s="54">
        <v>6.16</v>
      </c>
      <c r="I16" s="54">
        <v>1.81</v>
      </c>
      <c r="J16" s="54">
        <v>0.67</v>
      </c>
      <c r="K16" s="54">
        <v>358.63</v>
      </c>
      <c r="L16" s="54">
        <v>24.93</v>
      </c>
      <c r="M16" s="54">
        <v>93.56</v>
      </c>
      <c r="N16" s="54">
        <v>278.89999999999998</v>
      </c>
      <c r="O16" s="54">
        <v>0</v>
      </c>
      <c r="P16" s="54">
        <v>0.3</v>
      </c>
      <c r="Q16" s="61" t="s">
        <v>8</v>
      </c>
      <c r="R16" s="43"/>
      <c r="S16" s="43"/>
      <c r="T16" s="43"/>
      <c r="U16" s="43"/>
    </row>
    <row r="17" spans="1:21" s="11" customFormat="1" x14ac:dyDescent="0.25">
      <c r="A17" s="53" t="s">
        <v>229</v>
      </c>
      <c r="B17" s="54">
        <v>8.2200000000000006</v>
      </c>
      <c r="C17" s="54">
        <v>3.32</v>
      </c>
      <c r="D17" s="54">
        <v>12.1</v>
      </c>
      <c r="E17" s="54">
        <v>3.99</v>
      </c>
      <c r="F17" s="54">
        <v>4.6399999999999997</v>
      </c>
      <c r="G17" s="54">
        <v>23.99</v>
      </c>
      <c r="H17" s="54">
        <v>7.61</v>
      </c>
      <c r="I17" s="54">
        <v>1.63</v>
      </c>
      <c r="J17" s="54">
        <v>0.66</v>
      </c>
      <c r="K17" s="54">
        <v>334.71</v>
      </c>
      <c r="L17" s="54">
        <v>26.29</v>
      </c>
      <c r="M17" s="54">
        <v>84.77</v>
      </c>
      <c r="N17" s="54">
        <v>315.8</v>
      </c>
      <c r="O17" s="54">
        <v>0</v>
      </c>
      <c r="P17" s="54">
        <v>0.33</v>
      </c>
      <c r="Q17" s="61" t="s">
        <v>8</v>
      </c>
      <c r="R17" s="43"/>
      <c r="S17" s="43"/>
      <c r="T17" s="43"/>
      <c r="U17" s="43"/>
    </row>
    <row r="18" spans="1:21" s="11" customFormat="1" x14ac:dyDescent="0.25">
      <c r="A18" s="53" t="s">
        <v>230</v>
      </c>
      <c r="B18" s="54">
        <v>8.2200000000000006</v>
      </c>
      <c r="C18" s="54">
        <v>3.22</v>
      </c>
      <c r="D18" s="54">
        <v>12.04</v>
      </c>
      <c r="E18" s="54">
        <v>3.79</v>
      </c>
      <c r="F18" s="54">
        <v>4.03</v>
      </c>
      <c r="G18" s="54">
        <v>22.39</v>
      </c>
      <c r="H18" s="54">
        <v>5.65</v>
      </c>
      <c r="I18" s="54">
        <v>1.31</v>
      </c>
      <c r="J18" s="54">
        <v>0.63</v>
      </c>
      <c r="K18" s="54">
        <v>349.17</v>
      </c>
      <c r="L18" s="54">
        <v>25.78</v>
      </c>
      <c r="M18" s="54">
        <v>84.13</v>
      </c>
      <c r="N18" s="54">
        <v>215.1</v>
      </c>
      <c r="O18" s="54">
        <v>0</v>
      </c>
      <c r="P18" s="54">
        <v>0.37</v>
      </c>
      <c r="Q18" s="61" t="s">
        <v>8</v>
      </c>
      <c r="R18" s="43"/>
      <c r="S18" s="43"/>
      <c r="T18" s="43"/>
      <c r="U18" s="43"/>
    </row>
    <row r="19" spans="1:21" s="11" customFormat="1" x14ac:dyDescent="0.25">
      <c r="A19" s="53" t="s">
        <v>231</v>
      </c>
      <c r="B19" s="54">
        <v>8.1999999999999993</v>
      </c>
      <c r="C19" s="54">
        <v>3.17</v>
      </c>
      <c r="D19" s="54">
        <v>12.01</v>
      </c>
      <c r="E19" s="54">
        <v>4.16</v>
      </c>
      <c r="F19" s="54">
        <v>4.82</v>
      </c>
      <c r="G19" s="54">
        <v>27.68</v>
      </c>
      <c r="H19" s="54">
        <v>6.75</v>
      </c>
      <c r="I19" s="54">
        <v>1.62</v>
      </c>
      <c r="J19" s="54">
        <v>0.53</v>
      </c>
      <c r="K19" s="54">
        <v>336.79</v>
      </c>
      <c r="L19" s="54">
        <v>26.24</v>
      </c>
      <c r="M19" s="54">
        <v>83.79</v>
      </c>
      <c r="N19" s="54">
        <v>238.3</v>
      </c>
      <c r="O19" s="54">
        <v>0</v>
      </c>
      <c r="P19" s="54">
        <v>0.44</v>
      </c>
      <c r="Q19" s="61" t="s">
        <v>8</v>
      </c>
      <c r="R19" s="43"/>
      <c r="S19" s="43"/>
      <c r="T19" s="43"/>
      <c r="U19" s="43"/>
    </row>
    <row r="20" spans="1:21" s="11" customFormat="1" x14ac:dyDescent="0.25">
      <c r="A20" s="53" t="s">
        <v>232</v>
      </c>
      <c r="B20" s="54">
        <v>8.35</v>
      </c>
      <c r="C20" s="54">
        <v>3.59</v>
      </c>
      <c r="D20" s="54">
        <v>12.34</v>
      </c>
      <c r="E20" s="54">
        <v>4.2300000000000004</v>
      </c>
      <c r="F20" s="54">
        <v>4.1100000000000003</v>
      </c>
      <c r="G20" s="54">
        <v>36.520000000000003</v>
      </c>
      <c r="H20" s="54">
        <v>11.24</v>
      </c>
      <c r="I20" s="54">
        <v>2.04</v>
      </c>
      <c r="J20" s="54">
        <v>0.81</v>
      </c>
      <c r="K20" s="54">
        <v>314.88</v>
      </c>
      <c r="L20" s="54">
        <v>28.26</v>
      </c>
      <c r="M20" s="54">
        <v>79.67</v>
      </c>
      <c r="N20" s="54">
        <v>280.3</v>
      </c>
      <c r="O20" s="54">
        <v>0</v>
      </c>
      <c r="P20" s="54">
        <v>0.51</v>
      </c>
      <c r="Q20" s="61" t="s">
        <v>8</v>
      </c>
      <c r="R20" s="43"/>
      <c r="S20" s="43"/>
      <c r="T20" s="43"/>
      <c r="U20" s="43"/>
    </row>
    <row r="21" spans="1:21" s="11" customFormat="1" x14ac:dyDescent="0.25">
      <c r="A21" s="53" t="s">
        <v>233</v>
      </c>
      <c r="B21" s="54">
        <v>8.18</v>
      </c>
      <c r="C21" s="54">
        <v>3.19</v>
      </c>
      <c r="D21" s="54">
        <v>12</v>
      </c>
      <c r="E21" s="54">
        <v>4.6100000000000003</v>
      </c>
      <c r="F21" s="54">
        <v>4.34</v>
      </c>
      <c r="G21" s="54">
        <v>43</v>
      </c>
      <c r="H21" s="54">
        <v>13.72</v>
      </c>
      <c r="I21" s="54">
        <v>2.4900000000000002</v>
      </c>
      <c r="J21" s="54">
        <v>1.38</v>
      </c>
      <c r="K21" s="54">
        <v>346.16</v>
      </c>
      <c r="L21" s="54">
        <v>30.48</v>
      </c>
      <c r="M21" s="54">
        <v>71.08</v>
      </c>
      <c r="N21" s="54">
        <v>570</v>
      </c>
      <c r="O21" s="54">
        <v>0</v>
      </c>
      <c r="P21" s="54">
        <v>0.56000000000000005</v>
      </c>
      <c r="Q21" s="61" t="s">
        <v>8</v>
      </c>
      <c r="R21" s="43"/>
      <c r="S21" s="43"/>
      <c r="T21" s="43"/>
      <c r="U21" s="43"/>
    </row>
    <row r="22" spans="1:21" s="11" customFormat="1" x14ac:dyDescent="0.25">
      <c r="A22" s="53" t="s">
        <v>234</v>
      </c>
      <c r="B22" s="54">
        <v>8.24</v>
      </c>
      <c r="C22" s="54">
        <v>3.33</v>
      </c>
      <c r="D22" s="54">
        <v>12.12</v>
      </c>
      <c r="E22" s="54">
        <v>4.96</v>
      </c>
      <c r="F22" s="54">
        <v>4.5599999999999996</v>
      </c>
      <c r="G22" s="54">
        <v>47.5</v>
      </c>
      <c r="H22" s="54">
        <v>15.57</v>
      </c>
      <c r="I22" s="54">
        <v>3.45</v>
      </c>
      <c r="J22" s="54">
        <v>0.56999999999999995</v>
      </c>
      <c r="K22" s="54">
        <v>332.13</v>
      </c>
      <c r="L22" s="54">
        <v>29.73</v>
      </c>
      <c r="M22" s="54">
        <v>83.93</v>
      </c>
      <c r="N22" s="54">
        <v>408.1</v>
      </c>
      <c r="O22" s="54">
        <v>0</v>
      </c>
      <c r="P22" s="54">
        <v>0.52</v>
      </c>
      <c r="Q22" s="61" t="s">
        <v>8</v>
      </c>
      <c r="R22" s="43"/>
      <c r="S22" s="43"/>
      <c r="T22" s="43"/>
      <c r="U22" s="43"/>
    </row>
    <row r="23" spans="1:21" s="11" customFormat="1" x14ac:dyDescent="0.25">
      <c r="A23" s="53" t="s">
        <v>235</v>
      </c>
      <c r="B23" s="54">
        <v>8.2100000000000009</v>
      </c>
      <c r="C23" s="54">
        <v>3.23</v>
      </c>
      <c r="D23" s="54">
        <v>12.04</v>
      </c>
      <c r="E23" s="54">
        <v>4.76</v>
      </c>
      <c r="F23" s="54">
        <v>4.21</v>
      </c>
      <c r="G23" s="54">
        <v>48.07</v>
      </c>
      <c r="H23" s="54">
        <v>16.66</v>
      </c>
      <c r="I23" s="54">
        <v>3.66</v>
      </c>
      <c r="J23" s="54">
        <v>0.46</v>
      </c>
      <c r="K23" s="54">
        <v>349.7</v>
      </c>
      <c r="L23" s="54">
        <v>25.25</v>
      </c>
      <c r="M23" s="54">
        <v>98.33</v>
      </c>
      <c r="N23" s="54">
        <v>105.4</v>
      </c>
      <c r="O23" s="54">
        <v>0.2</v>
      </c>
      <c r="P23" s="54">
        <v>0.46</v>
      </c>
      <c r="Q23" s="61" t="s">
        <v>8</v>
      </c>
      <c r="R23" s="43"/>
      <c r="S23" s="43"/>
      <c r="T23" s="43"/>
      <c r="U23" s="43"/>
    </row>
    <row r="24" spans="1:21" s="11" customFormat="1" x14ac:dyDescent="0.25">
      <c r="A24" s="53" t="s">
        <v>236</v>
      </c>
      <c r="B24" s="54">
        <v>8.18</v>
      </c>
      <c r="C24" s="54">
        <v>3.14</v>
      </c>
      <c r="D24" s="54">
        <v>11.97</v>
      </c>
      <c r="E24" s="54">
        <v>4.51</v>
      </c>
      <c r="F24" s="54">
        <v>4.66</v>
      </c>
      <c r="G24" s="54">
        <v>41.79</v>
      </c>
      <c r="H24" s="54">
        <v>14.86</v>
      </c>
      <c r="I24" s="54">
        <v>2.77</v>
      </c>
      <c r="J24" s="54">
        <v>0.53</v>
      </c>
      <c r="K24" s="54">
        <v>358.89</v>
      </c>
      <c r="L24" s="54">
        <v>24.81</v>
      </c>
      <c r="M24" s="54">
        <v>98.34</v>
      </c>
      <c r="N24" s="54">
        <v>115.3</v>
      </c>
      <c r="O24" s="54">
        <v>0</v>
      </c>
      <c r="P24" s="54">
        <v>0.44</v>
      </c>
      <c r="Q24" s="61" t="s">
        <v>8</v>
      </c>
      <c r="R24" s="43"/>
      <c r="S24" s="43"/>
      <c r="T24" s="43"/>
      <c r="U24" s="43"/>
    </row>
    <row r="25" spans="1:21" s="11" customFormat="1" x14ac:dyDescent="0.25">
      <c r="A25" s="53" t="s">
        <v>237</v>
      </c>
      <c r="B25" s="54">
        <v>8.3800000000000008</v>
      </c>
      <c r="C25" s="54">
        <v>3.63</v>
      </c>
      <c r="D25" s="54">
        <v>12.39</v>
      </c>
      <c r="E25" s="54">
        <v>4.43</v>
      </c>
      <c r="F25" s="54">
        <v>4.17</v>
      </c>
      <c r="G25" s="54">
        <v>40.47</v>
      </c>
      <c r="H25" s="54">
        <v>13.38</v>
      </c>
      <c r="I25" s="54">
        <v>2.9</v>
      </c>
      <c r="J25" s="54">
        <v>0.49</v>
      </c>
      <c r="K25" s="54">
        <v>330.7</v>
      </c>
      <c r="L25" s="54">
        <v>25.91</v>
      </c>
      <c r="M25" s="54">
        <v>96.92</v>
      </c>
      <c r="N25" s="54">
        <v>163.9</v>
      </c>
      <c r="O25" s="54">
        <v>0</v>
      </c>
      <c r="P25" s="54">
        <v>0.49</v>
      </c>
      <c r="Q25" s="61" t="s">
        <v>8</v>
      </c>
      <c r="R25" s="43"/>
      <c r="S25" s="43"/>
      <c r="T25" s="43"/>
      <c r="U25" s="43"/>
    </row>
    <row r="26" spans="1:21" s="11" customFormat="1" x14ac:dyDescent="0.25">
      <c r="A26" s="53" t="s">
        <v>238</v>
      </c>
      <c r="B26" s="54">
        <v>8.24</v>
      </c>
      <c r="C26" s="54">
        <v>3.29</v>
      </c>
      <c r="D26" s="54">
        <v>12.1</v>
      </c>
      <c r="E26" s="54">
        <v>4.3499999999999996</v>
      </c>
      <c r="F26" s="54">
        <v>4.99</v>
      </c>
      <c r="G26" s="54">
        <v>43.87</v>
      </c>
      <c r="H26" s="54">
        <v>11.26</v>
      </c>
      <c r="I26" s="54">
        <v>3.16</v>
      </c>
      <c r="J26" s="54">
        <v>0.48</v>
      </c>
      <c r="K26" s="54">
        <v>358.83</v>
      </c>
      <c r="L26" s="54">
        <v>26.39</v>
      </c>
      <c r="M26" s="54">
        <v>87.24</v>
      </c>
      <c r="N26" s="54">
        <v>105.2</v>
      </c>
      <c r="O26" s="54">
        <v>0</v>
      </c>
      <c r="P26" s="54">
        <v>0.49</v>
      </c>
      <c r="Q26" s="61" t="s">
        <v>8</v>
      </c>
      <c r="R26" s="43"/>
      <c r="S26" s="43"/>
      <c r="T26" s="43"/>
      <c r="U26" s="43"/>
    </row>
    <row r="27" spans="1:21" s="11" customFormat="1" x14ac:dyDescent="0.25">
      <c r="A27" s="53" t="s">
        <v>239</v>
      </c>
      <c r="B27" s="54">
        <v>8.17</v>
      </c>
      <c r="C27" s="54">
        <v>3.14</v>
      </c>
      <c r="D27" s="54">
        <v>11.97</v>
      </c>
      <c r="E27" s="54">
        <v>4.6100000000000003</v>
      </c>
      <c r="F27" s="54">
        <v>3.5</v>
      </c>
      <c r="G27" s="54">
        <v>44.18</v>
      </c>
      <c r="H27" s="54">
        <v>11.12</v>
      </c>
      <c r="I27" s="54">
        <v>4.16</v>
      </c>
      <c r="J27" s="54">
        <v>0.54</v>
      </c>
      <c r="K27" s="54">
        <v>331.78</v>
      </c>
      <c r="L27" s="54">
        <v>26.42</v>
      </c>
      <c r="M27" s="54">
        <v>87.19</v>
      </c>
      <c r="N27" s="54">
        <v>49.9</v>
      </c>
      <c r="O27" s="54">
        <v>0</v>
      </c>
      <c r="P27" s="54">
        <v>0.46</v>
      </c>
      <c r="Q27" s="61" t="s">
        <v>8</v>
      </c>
      <c r="R27" s="43"/>
      <c r="S27" s="43"/>
      <c r="T27" s="43"/>
      <c r="U27" s="43"/>
    </row>
    <row r="28" spans="1:21" s="11" customFormat="1" x14ac:dyDescent="0.25">
      <c r="A28" s="53" t="s">
        <v>240</v>
      </c>
      <c r="B28" s="54">
        <v>8.2200000000000006</v>
      </c>
      <c r="C28" s="54">
        <v>3.18</v>
      </c>
      <c r="D28" s="54">
        <v>12.02</v>
      </c>
      <c r="E28" s="54">
        <v>5.56</v>
      </c>
      <c r="F28" s="54">
        <v>3.92</v>
      </c>
      <c r="G28" s="54">
        <v>40.479999999999997</v>
      </c>
      <c r="H28" s="54">
        <v>10.5</v>
      </c>
      <c r="I28" s="54">
        <v>5.01</v>
      </c>
      <c r="J28" s="54">
        <v>1.17</v>
      </c>
      <c r="K28" s="54">
        <v>156.47999999999999</v>
      </c>
      <c r="L28" s="54">
        <v>25.91</v>
      </c>
      <c r="M28" s="54">
        <v>87.1</v>
      </c>
      <c r="N28" s="54">
        <v>17.600000000000001</v>
      </c>
      <c r="O28" s="54">
        <v>0</v>
      </c>
      <c r="P28" s="54">
        <v>0.45</v>
      </c>
      <c r="Q28" s="61" t="s">
        <v>8</v>
      </c>
      <c r="R28" s="43"/>
      <c r="S28" s="43"/>
      <c r="T28" s="43"/>
      <c r="U28" s="43"/>
    </row>
    <row r="29" spans="1:21" s="11" customFormat="1" x14ac:dyDescent="0.25">
      <c r="A29" s="53" t="s">
        <v>241</v>
      </c>
      <c r="B29" s="54">
        <v>8.2899999999999991</v>
      </c>
      <c r="C29" s="54">
        <v>3.41</v>
      </c>
      <c r="D29" s="54">
        <v>12.2</v>
      </c>
      <c r="E29" s="54">
        <v>5.29</v>
      </c>
      <c r="F29" s="54">
        <v>4.05</v>
      </c>
      <c r="G29" s="54">
        <v>37.36</v>
      </c>
      <c r="H29" s="54">
        <v>11.21</v>
      </c>
      <c r="I29" s="54">
        <v>5.49</v>
      </c>
      <c r="J29" s="54">
        <v>0.85</v>
      </c>
      <c r="K29" s="54">
        <v>160.28</v>
      </c>
      <c r="L29" s="54">
        <v>25.78</v>
      </c>
      <c r="M29" s="54">
        <v>89.04</v>
      </c>
      <c r="N29" s="54">
        <v>17.5</v>
      </c>
      <c r="O29" s="54">
        <v>0</v>
      </c>
      <c r="P29" s="54">
        <v>0.48</v>
      </c>
      <c r="Q29" s="61" t="s">
        <v>8</v>
      </c>
      <c r="R29" s="43"/>
      <c r="S29" s="43"/>
      <c r="T29" s="43"/>
      <c r="U29" s="43"/>
    </row>
    <row r="30" spans="1:21" s="11" customFormat="1" x14ac:dyDescent="0.25">
      <c r="A30" s="53" t="s">
        <v>242</v>
      </c>
      <c r="B30" s="54">
        <v>8.3800000000000008</v>
      </c>
      <c r="C30" s="54">
        <v>3.59</v>
      </c>
      <c r="D30" s="54">
        <v>12.37</v>
      </c>
      <c r="E30" s="54">
        <v>4.95</v>
      </c>
      <c r="F30" s="54">
        <v>4.1399999999999997</v>
      </c>
      <c r="G30" s="54">
        <v>35.590000000000003</v>
      </c>
      <c r="H30" s="54">
        <v>11.23</v>
      </c>
      <c r="I30" s="54">
        <v>5.37</v>
      </c>
      <c r="J30" s="54">
        <v>0.51</v>
      </c>
      <c r="K30" s="54">
        <v>318.68</v>
      </c>
      <c r="L30" s="54">
        <v>25.47</v>
      </c>
      <c r="M30" s="54">
        <v>91.72</v>
      </c>
      <c r="N30" s="54">
        <v>17.8</v>
      </c>
      <c r="O30" s="54">
        <v>0</v>
      </c>
      <c r="P30" s="54">
        <v>0.52</v>
      </c>
      <c r="Q30" s="61" t="s">
        <v>8</v>
      </c>
      <c r="R30" s="43"/>
      <c r="S30" s="43"/>
      <c r="T30" s="43"/>
      <c r="U30" s="43"/>
    </row>
    <row r="31" spans="1:21" s="11" customFormat="1" x14ac:dyDescent="0.25">
      <c r="A31" s="53" t="s">
        <v>243</v>
      </c>
      <c r="B31" s="54">
        <v>8.27</v>
      </c>
      <c r="C31" s="54">
        <v>3.25</v>
      </c>
      <c r="D31" s="54">
        <v>12.09</v>
      </c>
      <c r="E31" s="54">
        <v>5.27</v>
      </c>
      <c r="F31" s="54">
        <v>3.86</v>
      </c>
      <c r="G31" s="54">
        <v>43.72</v>
      </c>
      <c r="H31" s="54">
        <v>11.64</v>
      </c>
      <c r="I31" s="54">
        <v>5.51</v>
      </c>
      <c r="J31" s="54">
        <v>0.6</v>
      </c>
      <c r="K31" s="54">
        <v>348.67</v>
      </c>
      <c r="L31" s="54">
        <v>25.15</v>
      </c>
      <c r="M31" s="54">
        <v>97.73</v>
      </c>
      <c r="N31" s="54">
        <v>17.600000000000001</v>
      </c>
      <c r="O31" s="54">
        <v>0</v>
      </c>
      <c r="P31" s="54">
        <v>0.66</v>
      </c>
      <c r="Q31" s="61" t="s">
        <v>8</v>
      </c>
      <c r="R31" s="43"/>
      <c r="S31" s="43"/>
      <c r="T31" s="43"/>
      <c r="U31" s="43"/>
    </row>
    <row r="32" spans="1:21" s="11" customFormat="1" x14ac:dyDescent="0.25">
      <c r="A32" s="53" t="s">
        <v>244</v>
      </c>
      <c r="B32" s="54">
        <v>8.65</v>
      </c>
      <c r="C32" s="54">
        <v>3.8</v>
      </c>
      <c r="D32" s="54">
        <v>12.7</v>
      </c>
      <c r="E32" s="54">
        <v>5.16</v>
      </c>
      <c r="F32" s="54">
        <v>3.34</v>
      </c>
      <c r="G32" s="54">
        <v>56.51</v>
      </c>
      <c r="H32" s="54">
        <v>15.94</v>
      </c>
      <c r="I32" s="54">
        <v>6.25</v>
      </c>
      <c r="J32" s="54">
        <v>0.56000000000000005</v>
      </c>
      <c r="K32" s="54">
        <v>336.19</v>
      </c>
      <c r="L32" s="54">
        <v>25.03</v>
      </c>
      <c r="M32" s="54">
        <v>98.33</v>
      </c>
      <c r="N32" s="54">
        <v>17.600000000000001</v>
      </c>
      <c r="O32" s="54">
        <v>0</v>
      </c>
      <c r="P32" s="54">
        <v>0.7</v>
      </c>
      <c r="Q32" s="61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8.17</v>
      </c>
      <c r="C34" s="28">
        <f t="shared" si="0"/>
        <v>3.11</v>
      </c>
      <c r="D34" s="28">
        <f t="shared" si="0"/>
        <v>11.97</v>
      </c>
      <c r="E34" s="28">
        <f t="shared" si="0"/>
        <v>3.4</v>
      </c>
      <c r="F34" s="28">
        <f t="shared" si="0"/>
        <v>3.34</v>
      </c>
      <c r="G34" s="28">
        <f t="shared" si="0"/>
        <v>17.649999999999999</v>
      </c>
      <c r="H34" s="28">
        <f t="shared" si="0"/>
        <v>4.38</v>
      </c>
      <c r="I34" s="28">
        <f t="shared" si="0"/>
        <v>1.31</v>
      </c>
      <c r="J34" s="28">
        <f t="shared" si="0"/>
        <v>0.41</v>
      </c>
      <c r="K34" s="28">
        <f t="shared" si="0"/>
        <v>18.170000000000002</v>
      </c>
      <c r="L34" s="28">
        <f t="shared" si="0"/>
        <v>22.93</v>
      </c>
      <c r="M34" s="28">
        <f t="shared" si="0"/>
        <v>71.08</v>
      </c>
      <c r="N34" s="28">
        <f t="shared" si="0"/>
        <v>17</v>
      </c>
      <c r="O34" s="28">
        <f t="shared" si="0"/>
        <v>0</v>
      </c>
      <c r="P34" s="28">
        <f t="shared" si="0"/>
        <v>0.24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8.65</v>
      </c>
      <c r="C35" s="29">
        <f t="shared" si="1"/>
        <v>3.8</v>
      </c>
      <c r="D35" s="29">
        <f t="shared" si="1"/>
        <v>12.7</v>
      </c>
      <c r="E35" s="29">
        <f t="shared" si="1"/>
        <v>6.05</v>
      </c>
      <c r="F35" s="29">
        <f t="shared" si="1"/>
        <v>5.08</v>
      </c>
      <c r="G35" s="29">
        <f t="shared" si="1"/>
        <v>56.51</v>
      </c>
      <c r="H35" s="29">
        <f t="shared" si="1"/>
        <v>16.66</v>
      </c>
      <c r="I35" s="29">
        <f t="shared" si="1"/>
        <v>6.25</v>
      </c>
      <c r="J35" s="29">
        <f t="shared" si="1"/>
        <v>1.38</v>
      </c>
      <c r="K35" s="29">
        <f t="shared" si="1"/>
        <v>359.75</v>
      </c>
      <c r="L35" s="29">
        <f t="shared" si="1"/>
        <v>30.48</v>
      </c>
      <c r="M35" s="29">
        <f t="shared" si="1"/>
        <v>98.34</v>
      </c>
      <c r="N35" s="29">
        <f t="shared" si="1"/>
        <v>570</v>
      </c>
      <c r="O35" s="29">
        <f t="shared" si="1"/>
        <v>0.2</v>
      </c>
      <c r="P35" s="29">
        <f t="shared" si="1"/>
        <v>0.7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8.2529166666666658</v>
      </c>
      <c r="C36" s="28">
        <f t="shared" si="2"/>
        <v>3.2895833333333329</v>
      </c>
      <c r="D36" s="28">
        <f t="shared" si="2"/>
        <v>12.108333333333329</v>
      </c>
      <c r="E36" s="28">
        <f t="shared" si="2"/>
        <v>4.6762500000000005</v>
      </c>
      <c r="F36" s="28">
        <f t="shared" si="2"/>
        <v>4.3183333333333325</v>
      </c>
      <c r="G36" s="28">
        <f t="shared" si="2"/>
        <v>36.343333333333334</v>
      </c>
      <c r="H36" s="28">
        <f t="shared" si="2"/>
        <v>10.324583333333331</v>
      </c>
      <c r="I36" s="28">
        <f t="shared" si="2"/>
        <v>3.117083333333333</v>
      </c>
      <c r="J36" s="28">
        <f t="shared" si="2"/>
        <v>0.63</v>
      </c>
      <c r="K36" s="28">
        <f t="shared" si="2"/>
        <v>314.47624999999999</v>
      </c>
      <c r="L36" s="28">
        <f t="shared" si="2"/>
        <v>25.51541666666667</v>
      </c>
      <c r="M36" s="28">
        <f t="shared" si="2"/>
        <v>90.408333333333317</v>
      </c>
      <c r="N36" s="28">
        <f t="shared" si="2"/>
        <v>131.16666666666666</v>
      </c>
      <c r="O36" s="28">
        <f t="shared" si="2"/>
        <v>8.3333333333333332E-3</v>
      </c>
      <c r="P36" s="28">
        <f t="shared" si="2"/>
        <v>0.42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0.10301874741444199</v>
      </c>
      <c r="C37" s="28">
        <f t="shared" ref="C37:Q37" si="3">STDEV(C9:C32)</f>
        <v>0.18321949693733741</v>
      </c>
      <c r="D37" s="28">
        <f t="shared" si="3"/>
        <v>0.17605993709323908</v>
      </c>
      <c r="E37" s="28">
        <f t="shared" si="3"/>
        <v>0.80614386729826371</v>
      </c>
      <c r="F37" s="28">
        <f t="shared" si="3"/>
        <v>0.46699470871843424</v>
      </c>
      <c r="G37" s="28">
        <f t="shared" si="3"/>
        <v>11.129383227047789</v>
      </c>
      <c r="H37" s="28">
        <f t="shared" si="3"/>
        <v>3.6908912310863582</v>
      </c>
      <c r="I37" s="28">
        <f t="shared" si="3"/>
        <v>1.4762363401176861</v>
      </c>
      <c r="J37" s="28">
        <f t="shared" si="3"/>
        <v>0.22478975684538793</v>
      </c>
      <c r="K37" s="28">
        <f t="shared" si="3"/>
        <v>82.811781708123775</v>
      </c>
      <c r="L37" s="28">
        <f t="shared" si="3"/>
        <v>1.9179449581045962</v>
      </c>
      <c r="M37" s="28">
        <f t="shared" si="3"/>
        <v>7.1458852049496873</v>
      </c>
      <c r="N37" s="28">
        <f t="shared" si="3"/>
        <v>149.61905443249989</v>
      </c>
      <c r="O37" s="28">
        <f t="shared" si="3"/>
        <v>4.0824829046386311E-2</v>
      </c>
      <c r="P37" s="28">
        <f t="shared" si="3"/>
        <v>0.12984941110847367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245</v>
      </c>
      <c r="B9" s="54">
        <v>8.42</v>
      </c>
      <c r="C9" s="54">
        <v>3.47</v>
      </c>
      <c r="D9" s="54">
        <v>12.33</v>
      </c>
      <c r="E9" s="54">
        <v>5.43</v>
      </c>
      <c r="F9" s="54">
        <v>3.78</v>
      </c>
      <c r="G9" s="54">
        <v>59.24</v>
      </c>
      <c r="H9" s="54">
        <v>18.79</v>
      </c>
      <c r="I9" s="54">
        <v>6.73</v>
      </c>
      <c r="J9" s="54">
        <v>1.35</v>
      </c>
      <c r="K9" s="54">
        <v>198.71</v>
      </c>
      <c r="L9" s="54">
        <v>24.95</v>
      </c>
      <c r="M9" s="54">
        <v>97.42</v>
      </c>
      <c r="N9" s="54">
        <v>17.7</v>
      </c>
      <c r="O9" s="54">
        <v>0</v>
      </c>
      <c r="P9" s="54">
        <v>0.69</v>
      </c>
      <c r="Q9" s="60" t="s">
        <v>8</v>
      </c>
      <c r="R9" s="43"/>
      <c r="S9" s="43"/>
      <c r="T9" s="43"/>
      <c r="U9" s="43"/>
    </row>
    <row r="10" spans="1:21" s="11" customFormat="1" x14ac:dyDescent="0.25">
      <c r="A10" s="53" t="s">
        <v>246</v>
      </c>
      <c r="B10" s="54">
        <v>8.24</v>
      </c>
      <c r="C10" s="54">
        <v>3.24</v>
      </c>
      <c r="D10" s="54">
        <v>12.07</v>
      </c>
      <c r="E10" s="54">
        <v>5.36</v>
      </c>
      <c r="F10" s="54">
        <v>3.8</v>
      </c>
      <c r="G10" s="54">
        <v>47.33</v>
      </c>
      <c r="H10" s="54">
        <v>14.61</v>
      </c>
      <c r="I10" s="54">
        <v>6.61</v>
      </c>
      <c r="J10" s="54">
        <v>1.18</v>
      </c>
      <c r="K10" s="54">
        <v>148.85</v>
      </c>
      <c r="L10" s="54">
        <v>24.85</v>
      </c>
      <c r="M10" s="54">
        <v>98.01</v>
      </c>
      <c r="N10" s="54">
        <v>17.8</v>
      </c>
      <c r="O10" s="54">
        <v>0</v>
      </c>
      <c r="P10" s="54">
        <v>0.61</v>
      </c>
      <c r="Q10" s="60" t="s">
        <v>8</v>
      </c>
      <c r="R10" s="43"/>
      <c r="S10" s="43"/>
      <c r="T10" s="43"/>
      <c r="U10" s="43"/>
    </row>
    <row r="11" spans="1:21" s="11" customFormat="1" x14ac:dyDescent="0.25">
      <c r="A11" s="53" t="s">
        <v>247</v>
      </c>
      <c r="B11" s="54">
        <v>8.41</v>
      </c>
      <c r="C11" s="54">
        <v>3.49</v>
      </c>
      <c r="D11" s="54">
        <v>12.35</v>
      </c>
      <c r="E11" s="54">
        <v>5.25</v>
      </c>
      <c r="F11" s="54">
        <v>3.97</v>
      </c>
      <c r="G11" s="54">
        <v>38.14</v>
      </c>
      <c r="H11" s="54">
        <v>12.9</v>
      </c>
      <c r="I11" s="54">
        <v>6.07</v>
      </c>
      <c r="J11" s="54">
        <v>0.94</v>
      </c>
      <c r="K11" s="54">
        <v>157</v>
      </c>
      <c r="L11" s="54">
        <v>24.6</v>
      </c>
      <c r="M11" s="54">
        <v>98.29</v>
      </c>
      <c r="N11" s="54">
        <v>17.600000000000001</v>
      </c>
      <c r="O11" s="54">
        <v>0</v>
      </c>
      <c r="P11" s="54">
        <v>0.53</v>
      </c>
      <c r="Q11" s="60" t="s">
        <v>8</v>
      </c>
      <c r="R11" s="43"/>
      <c r="S11" s="43"/>
      <c r="T11" s="43"/>
      <c r="U11" s="43"/>
    </row>
    <row r="12" spans="1:21" s="11" customFormat="1" x14ac:dyDescent="0.25">
      <c r="A12" s="53" t="s">
        <v>248</v>
      </c>
      <c r="B12" s="54">
        <v>8.27</v>
      </c>
      <c r="C12" s="54">
        <v>3.27</v>
      </c>
      <c r="D12" s="54">
        <v>12.11</v>
      </c>
      <c r="E12" s="54">
        <v>5.93</v>
      </c>
      <c r="F12" s="54">
        <v>3.35</v>
      </c>
      <c r="G12" s="54">
        <v>38.51</v>
      </c>
      <c r="H12" s="54">
        <v>12.48</v>
      </c>
      <c r="I12" s="54">
        <v>5.61</v>
      </c>
      <c r="J12" s="54">
        <v>1.4</v>
      </c>
      <c r="K12" s="54">
        <v>168.04</v>
      </c>
      <c r="L12" s="54">
        <v>24.62</v>
      </c>
      <c r="M12" s="54">
        <v>96.65</v>
      </c>
      <c r="N12" s="54">
        <v>17.8</v>
      </c>
      <c r="O12" s="54">
        <v>0</v>
      </c>
      <c r="P12" s="54">
        <v>0.46</v>
      </c>
      <c r="Q12" s="60" t="s">
        <v>8</v>
      </c>
      <c r="R12" s="43"/>
      <c r="S12" s="43"/>
      <c r="T12" s="43"/>
      <c r="U12" s="43"/>
    </row>
    <row r="13" spans="1:21" s="11" customFormat="1" x14ac:dyDescent="0.25">
      <c r="A13" s="53" t="s">
        <v>249</v>
      </c>
      <c r="B13" s="54">
        <v>8.2799999999999994</v>
      </c>
      <c r="C13" s="54">
        <v>3.17</v>
      </c>
      <c r="D13" s="54">
        <v>12.07</v>
      </c>
      <c r="E13" s="54">
        <v>4.79</v>
      </c>
      <c r="F13" s="54">
        <v>3.76</v>
      </c>
      <c r="G13" s="54">
        <v>24.65</v>
      </c>
      <c r="H13" s="54">
        <v>9.77</v>
      </c>
      <c r="I13" s="54">
        <v>5.86</v>
      </c>
      <c r="J13" s="54">
        <v>1.43</v>
      </c>
      <c r="K13" s="54">
        <v>150.21</v>
      </c>
      <c r="L13" s="54">
        <v>24.31</v>
      </c>
      <c r="M13" s="54">
        <v>98.22</v>
      </c>
      <c r="N13" s="54">
        <v>18.100000000000001</v>
      </c>
      <c r="O13" s="54">
        <v>0</v>
      </c>
      <c r="P13" s="54">
        <v>0.42</v>
      </c>
      <c r="Q13" s="60" t="s">
        <v>8</v>
      </c>
      <c r="R13" s="43"/>
      <c r="S13" s="43"/>
      <c r="T13" s="43"/>
      <c r="U13" s="43"/>
    </row>
    <row r="14" spans="1:21" s="11" customFormat="1" x14ac:dyDescent="0.25">
      <c r="A14" s="53" t="s">
        <v>250</v>
      </c>
      <c r="B14" s="54">
        <v>8.18</v>
      </c>
      <c r="C14" s="54">
        <v>3.14</v>
      </c>
      <c r="D14" s="54">
        <v>11.95</v>
      </c>
      <c r="E14" s="54">
        <v>4.6900000000000004</v>
      </c>
      <c r="F14" s="54">
        <v>4.41</v>
      </c>
      <c r="G14" s="54">
        <v>20.38</v>
      </c>
      <c r="H14" s="54">
        <v>7.08</v>
      </c>
      <c r="I14" s="54">
        <v>5.49</v>
      </c>
      <c r="J14" s="54">
        <v>0.69</v>
      </c>
      <c r="K14" s="54">
        <v>348.01</v>
      </c>
      <c r="L14" s="54">
        <v>23.56</v>
      </c>
      <c r="M14" s="54">
        <v>98.19</v>
      </c>
      <c r="N14" s="54">
        <v>25.5</v>
      </c>
      <c r="O14" s="54">
        <v>0</v>
      </c>
      <c r="P14" s="54">
        <v>0.37</v>
      </c>
      <c r="Q14" s="60" t="s">
        <v>8</v>
      </c>
      <c r="R14" s="43"/>
      <c r="S14" s="43"/>
      <c r="T14" s="43"/>
      <c r="U14" s="43"/>
    </row>
    <row r="15" spans="1:21" s="11" customFormat="1" x14ac:dyDescent="0.25">
      <c r="A15" s="53" t="s">
        <v>251</v>
      </c>
      <c r="B15" s="54">
        <v>8.31</v>
      </c>
      <c r="C15" s="54">
        <v>3.47</v>
      </c>
      <c r="D15" s="54">
        <v>12.25</v>
      </c>
      <c r="E15" s="54">
        <v>4.63</v>
      </c>
      <c r="F15" s="54">
        <v>3.81</v>
      </c>
      <c r="G15" s="54">
        <v>24.79</v>
      </c>
      <c r="H15" s="54">
        <v>5.92</v>
      </c>
      <c r="I15" s="54">
        <v>4.24</v>
      </c>
      <c r="J15" s="54">
        <v>0.5</v>
      </c>
      <c r="K15" s="54">
        <v>234.88</v>
      </c>
      <c r="L15" s="54">
        <v>23</v>
      </c>
      <c r="M15" s="54">
        <v>98.35</v>
      </c>
      <c r="N15" s="54">
        <v>57.9</v>
      </c>
      <c r="O15" s="54">
        <v>0</v>
      </c>
      <c r="P15" s="54">
        <v>0.32</v>
      </c>
      <c r="Q15" s="60" t="s">
        <v>8</v>
      </c>
      <c r="R15" s="43"/>
      <c r="S15" s="43"/>
      <c r="T15" s="43"/>
      <c r="U15" s="43"/>
    </row>
    <row r="16" spans="1:21" s="11" customFormat="1" x14ac:dyDescent="0.25">
      <c r="A16" s="53" t="s">
        <v>252</v>
      </c>
      <c r="B16" s="54">
        <v>8.27</v>
      </c>
      <c r="C16" s="54">
        <v>3.33</v>
      </c>
      <c r="D16" s="54">
        <v>12.15</v>
      </c>
      <c r="E16" s="54">
        <v>4.7300000000000004</v>
      </c>
      <c r="F16" s="54">
        <v>4.2699999999999996</v>
      </c>
      <c r="G16" s="54">
        <v>18.03</v>
      </c>
      <c r="H16" s="54">
        <v>4.24</v>
      </c>
      <c r="I16" s="54">
        <v>3.61</v>
      </c>
      <c r="J16" s="54">
        <v>0.28999999999999998</v>
      </c>
      <c r="K16" s="54">
        <v>344.23</v>
      </c>
      <c r="L16" s="54">
        <v>22.11</v>
      </c>
      <c r="M16" s="54">
        <v>98.4</v>
      </c>
      <c r="N16" s="54">
        <v>60.8</v>
      </c>
      <c r="O16" s="54">
        <v>2.4</v>
      </c>
      <c r="P16" s="54">
        <v>0.31</v>
      </c>
      <c r="Q16" s="60" t="s">
        <v>8</v>
      </c>
      <c r="R16" s="43"/>
      <c r="S16" s="43"/>
      <c r="T16" s="43"/>
      <c r="U16" s="43"/>
    </row>
    <row r="17" spans="1:21" s="11" customFormat="1" x14ac:dyDescent="0.25">
      <c r="A17" s="53" t="s">
        <v>253</v>
      </c>
      <c r="B17" s="54">
        <v>8.2100000000000009</v>
      </c>
      <c r="C17" s="54">
        <v>3.13</v>
      </c>
      <c r="D17" s="54">
        <v>11.98</v>
      </c>
      <c r="E17" s="54">
        <v>4.28</v>
      </c>
      <c r="F17" s="54">
        <v>3.33</v>
      </c>
      <c r="G17" s="54">
        <v>14.62</v>
      </c>
      <c r="H17" s="54">
        <v>4.53</v>
      </c>
      <c r="I17" s="54">
        <v>3.53</v>
      </c>
      <c r="J17" s="54">
        <v>0.5</v>
      </c>
      <c r="K17" s="54">
        <v>338.62</v>
      </c>
      <c r="L17" s="54">
        <v>24.17</v>
      </c>
      <c r="M17" s="54">
        <v>98.4</v>
      </c>
      <c r="N17" s="54">
        <v>288.3</v>
      </c>
      <c r="O17" s="54">
        <v>0.2</v>
      </c>
      <c r="P17" s="54">
        <v>0.32</v>
      </c>
      <c r="Q17" s="60" t="s">
        <v>8</v>
      </c>
      <c r="R17" s="43"/>
      <c r="S17" s="43"/>
      <c r="T17" s="43"/>
      <c r="U17" s="43"/>
    </row>
    <row r="18" spans="1:21" s="11" customFormat="1" x14ac:dyDescent="0.25">
      <c r="A18" s="53" t="s">
        <v>254</v>
      </c>
      <c r="B18" s="54">
        <v>8.24</v>
      </c>
      <c r="C18" s="54">
        <v>3.24</v>
      </c>
      <c r="D18" s="54">
        <v>12.06</v>
      </c>
      <c r="E18" s="54">
        <v>4.24</v>
      </c>
      <c r="F18" s="54">
        <v>4.37</v>
      </c>
      <c r="G18" s="54">
        <v>12.82</v>
      </c>
      <c r="H18" s="54">
        <v>5.19</v>
      </c>
      <c r="I18" s="54">
        <v>4.12</v>
      </c>
      <c r="J18" s="54">
        <v>0.46</v>
      </c>
      <c r="K18" s="54">
        <v>352.18</v>
      </c>
      <c r="L18" s="54">
        <v>25.28</v>
      </c>
      <c r="M18" s="54">
        <v>98.35</v>
      </c>
      <c r="N18" s="54">
        <v>262.89999999999998</v>
      </c>
      <c r="O18" s="54">
        <v>0</v>
      </c>
      <c r="P18" s="54">
        <v>0.37</v>
      </c>
      <c r="Q18" s="60" t="s">
        <v>8</v>
      </c>
      <c r="R18" s="43"/>
      <c r="S18" s="43"/>
      <c r="T18" s="43"/>
      <c r="U18" s="43"/>
    </row>
    <row r="19" spans="1:21" s="11" customFormat="1" x14ac:dyDescent="0.25">
      <c r="A19" s="53" t="s">
        <v>255</v>
      </c>
      <c r="B19" s="54">
        <v>8.2799999999999994</v>
      </c>
      <c r="C19" s="54">
        <v>3.4</v>
      </c>
      <c r="D19" s="54">
        <v>12.19</v>
      </c>
      <c r="E19" s="54">
        <v>4.54</v>
      </c>
      <c r="F19" s="54">
        <v>5.58</v>
      </c>
      <c r="G19" s="54">
        <v>12.6</v>
      </c>
      <c r="H19" s="54">
        <v>5.12</v>
      </c>
      <c r="I19" s="54">
        <v>4.13</v>
      </c>
      <c r="J19" s="54">
        <v>0.5</v>
      </c>
      <c r="K19" s="54">
        <v>333.4</v>
      </c>
      <c r="L19" s="54">
        <v>27.28</v>
      </c>
      <c r="M19" s="54">
        <v>95.63</v>
      </c>
      <c r="N19" s="54">
        <v>379.9</v>
      </c>
      <c r="O19" s="54">
        <v>0</v>
      </c>
      <c r="P19" s="54">
        <v>0.46</v>
      </c>
      <c r="Q19" s="60" t="s">
        <v>8</v>
      </c>
      <c r="R19" s="43"/>
      <c r="S19" s="43"/>
      <c r="T19" s="43"/>
      <c r="U19" s="43"/>
    </row>
    <row r="20" spans="1:21" s="11" customFormat="1" x14ac:dyDescent="0.25">
      <c r="A20" s="53" t="s">
        <v>256</v>
      </c>
      <c r="B20" s="54">
        <v>8.2200000000000006</v>
      </c>
      <c r="C20" s="54">
        <v>3.26</v>
      </c>
      <c r="D20" s="54">
        <v>12.05</v>
      </c>
      <c r="E20" s="54">
        <v>4.42</v>
      </c>
      <c r="F20" s="54">
        <v>5.55</v>
      </c>
      <c r="G20" s="54">
        <v>22.84</v>
      </c>
      <c r="H20" s="54">
        <v>6.07</v>
      </c>
      <c r="I20" s="54">
        <v>3.87</v>
      </c>
      <c r="J20" s="54">
        <v>0.4</v>
      </c>
      <c r="K20" s="54">
        <v>353.17</v>
      </c>
      <c r="L20" s="54">
        <v>28.81</v>
      </c>
      <c r="M20" s="54">
        <v>87.5</v>
      </c>
      <c r="N20" s="54">
        <v>805.7</v>
      </c>
      <c r="O20" s="54">
        <v>0</v>
      </c>
      <c r="P20" s="54">
        <v>0.48</v>
      </c>
      <c r="Q20" s="60" t="s">
        <v>8</v>
      </c>
      <c r="R20" s="43"/>
      <c r="S20" s="43"/>
      <c r="T20" s="43"/>
      <c r="U20" s="43"/>
    </row>
    <row r="21" spans="1:21" s="11" customFormat="1" x14ac:dyDescent="0.25">
      <c r="A21" s="53" t="s">
        <v>257</v>
      </c>
      <c r="B21" s="54">
        <v>8.2200000000000006</v>
      </c>
      <c r="C21" s="54">
        <v>3.25</v>
      </c>
      <c r="D21" s="54">
        <v>12.06</v>
      </c>
      <c r="E21" s="54">
        <v>4.2300000000000004</v>
      </c>
      <c r="F21" s="54">
        <v>8.26</v>
      </c>
      <c r="G21" s="54">
        <v>49.31</v>
      </c>
      <c r="H21" s="54">
        <v>10.25</v>
      </c>
      <c r="I21" s="54">
        <v>3.55</v>
      </c>
      <c r="J21" s="54">
        <v>0.55000000000000004</v>
      </c>
      <c r="K21" s="54">
        <v>311.26</v>
      </c>
      <c r="L21" s="54">
        <v>29.76</v>
      </c>
      <c r="M21" s="54">
        <v>82.45</v>
      </c>
      <c r="N21" s="54">
        <v>361.1</v>
      </c>
      <c r="O21" s="54">
        <v>0</v>
      </c>
      <c r="P21" s="54">
        <v>0.67</v>
      </c>
      <c r="Q21" s="60" t="s">
        <v>8</v>
      </c>
      <c r="R21" s="43"/>
      <c r="S21" s="43"/>
      <c r="T21" s="43"/>
      <c r="U21" s="43"/>
    </row>
    <row r="22" spans="1:21" s="11" customFormat="1" x14ac:dyDescent="0.25">
      <c r="A22" s="53" t="s">
        <v>258</v>
      </c>
      <c r="B22" s="54">
        <v>8.25</v>
      </c>
      <c r="C22" s="54">
        <v>3.29</v>
      </c>
      <c r="D22" s="54">
        <v>12.09</v>
      </c>
      <c r="E22" s="54">
        <v>4.16</v>
      </c>
      <c r="F22" s="54">
        <v>6.15</v>
      </c>
      <c r="G22" s="54">
        <v>71.19</v>
      </c>
      <c r="H22" s="54">
        <v>15.85</v>
      </c>
      <c r="I22" s="54">
        <v>5.19</v>
      </c>
      <c r="J22" s="54">
        <v>0.69</v>
      </c>
      <c r="K22" s="54">
        <v>310.92</v>
      </c>
      <c r="L22" s="54">
        <v>28.53</v>
      </c>
      <c r="M22" s="54">
        <v>81.680000000000007</v>
      </c>
      <c r="N22" s="54">
        <v>814.1</v>
      </c>
      <c r="O22" s="54">
        <v>0</v>
      </c>
      <c r="P22" s="54">
        <v>0.63</v>
      </c>
      <c r="Q22" s="60" t="s">
        <v>8</v>
      </c>
      <c r="R22" s="43"/>
      <c r="S22" s="43"/>
      <c r="T22" s="43"/>
      <c r="U22" s="43"/>
    </row>
    <row r="23" spans="1:21" s="11" customFormat="1" x14ac:dyDescent="0.25">
      <c r="A23" s="53" t="s">
        <v>259</v>
      </c>
      <c r="B23" s="54">
        <v>8.23</v>
      </c>
      <c r="C23" s="54">
        <v>3.19</v>
      </c>
      <c r="D23" s="54">
        <v>12.02</v>
      </c>
      <c r="E23" s="54">
        <v>3.99</v>
      </c>
      <c r="F23" s="54">
        <v>8.08</v>
      </c>
      <c r="G23" s="54">
        <v>66.77</v>
      </c>
      <c r="H23" s="54">
        <v>19.13</v>
      </c>
      <c r="I23" s="54">
        <v>6.1</v>
      </c>
      <c r="J23" s="54">
        <v>1.1100000000000001</v>
      </c>
      <c r="K23" s="54">
        <v>353.91</v>
      </c>
      <c r="L23" s="54">
        <v>30.05</v>
      </c>
      <c r="M23" s="54">
        <v>71.7</v>
      </c>
      <c r="N23" s="54">
        <v>648.29999999999995</v>
      </c>
      <c r="O23" s="54">
        <v>0</v>
      </c>
      <c r="P23" s="54">
        <v>0.65</v>
      </c>
      <c r="Q23" s="60" t="s">
        <v>8</v>
      </c>
      <c r="R23" s="43"/>
      <c r="S23" s="43"/>
      <c r="T23" s="43"/>
      <c r="U23" s="43"/>
    </row>
    <row r="24" spans="1:21" s="11" customFormat="1" x14ac:dyDescent="0.25">
      <c r="A24" s="53" t="s">
        <v>260</v>
      </c>
      <c r="B24" s="54">
        <v>8.24</v>
      </c>
      <c r="C24" s="54">
        <v>3.28</v>
      </c>
      <c r="D24" s="54">
        <v>12.1</v>
      </c>
      <c r="E24" s="54">
        <v>4.22</v>
      </c>
      <c r="F24" s="54">
        <v>5.15</v>
      </c>
      <c r="G24" s="54">
        <v>85.52</v>
      </c>
      <c r="H24" s="54">
        <v>22.01</v>
      </c>
      <c r="I24" s="54">
        <v>6.78</v>
      </c>
      <c r="J24" s="54">
        <v>1.07</v>
      </c>
      <c r="K24" s="54">
        <v>115.34</v>
      </c>
      <c r="L24" s="54">
        <v>29.35</v>
      </c>
      <c r="M24" s="54">
        <v>70.150000000000006</v>
      </c>
      <c r="N24" s="54">
        <v>280.39999999999998</v>
      </c>
      <c r="O24" s="54">
        <v>0</v>
      </c>
      <c r="P24" s="54">
        <v>0.61</v>
      </c>
      <c r="Q24" s="60" t="s">
        <v>8</v>
      </c>
      <c r="R24" s="43"/>
      <c r="S24" s="43"/>
      <c r="T24" s="43"/>
      <c r="U24" s="43"/>
    </row>
    <row r="25" spans="1:21" s="11" customFormat="1" x14ac:dyDescent="0.25">
      <c r="A25" s="53" t="s">
        <v>261</v>
      </c>
      <c r="B25" s="54">
        <v>8.24</v>
      </c>
      <c r="C25" s="54">
        <v>3.27</v>
      </c>
      <c r="D25" s="54">
        <v>12.09</v>
      </c>
      <c r="E25" s="54">
        <v>4.91</v>
      </c>
      <c r="F25" s="54">
        <v>4.29</v>
      </c>
      <c r="G25" s="54">
        <v>54.9</v>
      </c>
      <c r="H25" s="54">
        <v>21.8</v>
      </c>
      <c r="I25" s="54">
        <v>6.81</v>
      </c>
      <c r="J25" s="54">
        <v>1.36</v>
      </c>
      <c r="K25" s="54">
        <v>167.1</v>
      </c>
      <c r="L25" s="54">
        <v>28.06</v>
      </c>
      <c r="M25" s="54">
        <v>84.82</v>
      </c>
      <c r="N25" s="54">
        <v>150.9</v>
      </c>
      <c r="O25" s="54">
        <v>0</v>
      </c>
      <c r="P25" s="54">
        <v>0.51</v>
      </c>
      <c r="Q25" s="60" t="s">
        <v>8</v>
      </c>
      <c r="R25" s="43"/>
      <c r="S25" s="43"/>
      <c r="T25" s="43"/>
      <c r="U25" s="43"/>
    </row>
    <row r="26" spans="1:21" s="11" customFormat="1" x14ac:dyDescent="0.25">
      <c r="A26" s="53" t="s">
        <v>262</v>
      </c>
      <c r="B26" s="54">
        <v>8.27</v>
      </c>
      <c r="C26" s="54">
        <v>3.24</v>
      </c>
      <c r="D26" s="54">
        <v>12.1</v>
      </c>
      <c r="E26" s="54">
        <v>4.83</v>
      </c>
      <c r="F26" s="54">
        <v>3.79</v>
      </c>
      <c r="G26" s="54">
        <v>26.77</v>
      </c>
      <c r="H26" s="54">
        <v>16.239999999999998</v>
      </c>
      <c r="I26" s="54">
        <v>6.74</v>
      </c>
      <c r="J26" s="54">
        <v>1.0900000000000001</v>
      </c>
      <c r="K26" s="54">
        <v>164.72</v>
      </c>
      <c r="L26" s="54">
        <v>27.29</v>
      </c>
      <c r="M26" s="54">
        <v>83.39</v>
      </c>
      <c r="N26" s="54">
        <v>86.8</v>
      </c>
      <c r="O26" s="54">
        <v>0</v>
      </c>
      <c r="P26" s="54">
        <v>0.43</v>
      </c>
      <c r="Q26" s="60" t="s">
        <v>8</v>
      </c>
      <c r="R26" s="43"/>
      <c r="S26" s="43"/>
      <c r="T26" s="43"/>
      <c r="U26" s="43"/>
    </row>
    <row r="27" spans="1:21" s="11" customFormat="1" x14ac:dyDescent="0.25">
      <c r="A27" s="53" t="s">
        <v>263</v>
      </c>
      <c r="B27" s="54">
        <v>8.3000000000000007</v>
      </c>
      <c r="C27" s="54">
        <v>3.27</v>
      </c>
      <c r="D27" s="54">
        <v>12.13</v>
      </c>
      <c r="E27" s="54">
        <v>4.88</v>
      </c>
      <c r="F27" s="54">
        <v>4.1399999999999997</v>
      </c>
      <c r="G27" s="54">
        <v>28.98</v>
      </c>
      <c r="H27" s="54">
        <v>16.329999999999998</v>
      </c>
      <c r="I27" s="54">
        <v>6.36</v>
      </c>
      <c r="J27" s="54">
        <v>0.85</v>
      </c>
      <c r="K27" s="54">
        <v>239.27</v>
      </c>
      <c r="L27" s="54">
        <v>27.31</v>
      </c>
      <c r="M27" s="54">
        <v>86.24</v>
      </c>
      <c r="N27" s="54">
        <v>36.799999999999997</v>
      </c>
      <c r="O27" s="54">
        <v>0</v>
      </c>
      <c r="P27" s="54">
        <v>0.39</v>
      </c>
      <c r="Q27" s="60" t="s">
        <v>8</v>
      </c>
      <c r="R27" s="43"/>
      <c r="S27" s="43"/>
      <c r="T27" s="43"/>
      <c r="U27" s="43"/>
    </row>
    <row r="28" spans="1:21" s="11" customFormat="1" x14ac:dyDescent="0.25">
      <c r="A28" s="53" t="s">
        <v>264</v>
      </c>
      <c r="B28" s="54">
        <v>8.4</v>
      </c>
      <c r="C28" s="54">
        <v>3.45</v>
      </c>
      <c r="D28" s="54">
        <v>12.31</v>
      </c>
      <c r="E28" s="54">
        <v>5.18</v>
      </c>
      <c r="F28" s="54">
        <v>3.47</v>
      </c>
      <c r="G28" s="54">
        <v>48.44</v>
      </c>
      <c r="H28" s="54">
        <v>17.170000000000002</v>
      </c>
      <c r="I28" s="54">
        <v>6.88</v>
      </c>
      <c r="J28" s="54">
        <v>0.59</v>
      </c>
      <c r="K28" s="54">
        <v>359.96</v>
      </c>
      <c r="L28" s="54">
        <v>26.66</v>
      </c>
      <c r="M28" s="54">
        <v>95.08</v>
      </c>
      <c r="N28" s="54">
        <v>17.7</v>
      </c>
      <c r="O28" s="54">
        <v>0</v>
      </c>
      <c r="P28" s="54">
        <v>0.75</v>
      </c>
      <c r="Q28" s="60" t="s">
        <v>8</v>
      </c>
      <c r="R28" s="43"/>
      <c r="S28" s="43"/>
      <c r="T28" s="43"/>
      <c r="U28" s="43"/>
    </row>
    <row r="29" spans="1:21" s="11" customFormat="1" x14ac:dyDescent="0.25">
      <c r="A29" s="53" t="s">
        <v>265</v>
      </c>
      <c r="B29" s="54">
        <v>8.36</v>
      </c>
      <c r="C29" s="54">
        <v>3.4</v>
      </c>
      <c r="D29" s="54">
        <v>12.26</v>
      </c>
      <c r="E29" s="54">
        <v>5.24</v>
      </c>
      <c r="F29" s="54">
        <v>4.29</v>
      </c>
      <c r="G29" s="54">
        <v>69.069999999999993</v>
      </c>
      <c r="H29" s="54">
        <v>21.69</v>
      </c>
      <c r="I29" s="54">
        <v>7.12</v>
      </c>
      <c r="J29" s="54">
        <v>0.52</v>
      </c>
      <c r="K29" s="54">
        <v>227.06</v>
      </c>
      <c r="L29" s="54">
        <v>26.28</v>
      </c>
      <c r="M29" s="54">
        <v>96.25</v>
      </c>
      <c r="N29" s="54">
        <v>17.5</v>
      </c>
      <c r="O29" s="54">
        <v>0</v>
      </c>
      <c r="P29" s="54">
        <v>0.8</v>
      </c>
      <c r="Q29" s="60" t="s">
        <v>8</v>
      </c>
      <c r="R29" s="43"/>
      <c r="S29" s="43"/>
      <c r="T29" s="43"/>
      <c r="U29" s="43"/>
    </row>
    <row r="30" spans="1:21" s="11" customFormat="1" x14ac:dyDescent="0.25">
      <c r="A30" s="53" t="s">
        <v>266</v>
      </c>
      <c r="B30" s="54">
        <v>8.3699999999999992</v>
      </c>
      <c r="C30" s="54">
        <v>3.42</v>
      </c>
      <c r="D30" s="54">
        <v>12.27</v>
      </c>
      <c r="E30" s="54">
        <v>5.04</v>
      </c>
      <c r="F30" s="54">
        <v>3.94</v>
      </c>
      <c r="G30" s="54">
        <v>67.36</v>
      </c>
      <c r="H30" s="54">
        <v>23.29</v>
      </c>
      <c r="I30" s="54">
        <v>6.85</v>
      </c>
      <c r="J30" s="54">
        <v>0.57999999999999996</v>
      </c>
      <c r="K30" s="54">
        <v>262.31</v>
      </c>
      <c r="L30" s="54">
        <v>25.98</v>
      </c>
      <c r="M30" s="54">
        <v>96.87</v>
      </c>
      <c r="N30" s="54">
        <v>17.399999999999999</v>
      </c>
      <c r="O30" s="54">
        <v>0</v>
      </c>
      <c r="P30" s="54">
        <v>0.77</v>
      </c>
      <c r="Q30" s="60" t="s">
        <v>8</v>
      </c>
      <c r="R30" s="43"/>
      <c r="S30" s="43"/>
      <c r="T30" s="43"/>
      <c r="U30" s="43"/>
    </row>
    <row r="31" spans="1:21" s="11" customFormat="1" x14ac:dyDescent="0.25">
      <c r="A31" s="53" t="s">
        <v>267</v>
      </c>
      <c r="B31" s="54">
        <v>8.2899999999999991</v>
      </c>
      <c r="C31" s="54">
        <v>3.24</v>
      </c>
      <c r="D31" s="54">
        <v>12.1</v>
      </c>
      <c r="E31" s="54">
        <v>5.14</v>
      </c>
      <c r="F31" s="54">
        <v>3.89</v>
      </c>
      <c r="G31" s="54">
        <v>65.97</v>
      </c>
      <c r="H31" s="54">
        <v>17.809999999999999</v>
      </c>
      <c r="I31" s="54">
        <v>6.87</v>
      </c>
      <c r="J31" s="54">
        <v>0.61</v>
      </c>
      <c r="K31" s="54">
        <v>333.88</v>
      </c>
      <c r="L31" s="54">
        <v>25.99</v>
      </c>
      <c r="M31" s="54">
        <v>98.15</v>
      </c>
      <c r="N31" s="54">
        <v>17.600000000000001</v>
      </c>
      <c r="O31" s="54">
        <v>0</v>
      </c>
      <c r="P31" s="54">
        <v>0.8</v>
      </c>
      <c r="Q31" s="60" t="s">
        <v>8</v>
      </c>
      <c r="R31" s="43"/>
      <c r="S31" s="43"/>
      <c r="T31" s="43"/>
      <c r="U31" s="43"/>
    </row>
    <row r="32" spans="1:21" s="11" customFormat="1" x14ac:dyDescent="0.25">
      <c r="A32" s="53" t="s">
        <v>268</v>
      </c>
      <c r="B32" s="54">
        <v>8.35</v>
      </c>
      <c r="C32" s="54">
        <v>3.28</v>
      </c>
      <c r="D32" s="54">
        <v>12.18</v>
      </c>
      <c r="E32" s="54">
        <v>5.19</v>
      </c>
      <c r="F32" s="54">
        <v>4.51</v>
      </c>
      <c r="G32" s="54">
        <v>71.72</v>
      </c>
      <c r="H32" s="54">
        <v>18.010000000000002</v>
      </c>
      <c r="I32" s="54">
        <v>7.13</v>
      </c>
      <c r="J32" s="54">
        <v>1.41</v>
      </c>
      <c r="K32" s="54">
        <v>155.84</v>
      </c>
      <c r="L32" s="54">
        <v>25.79</v>
      </c>
      <c r="M32" s="54">
        <v>96.83</v>
      </c>
      <c r="N32" s="54">
        <v>17.399999999999999</v>
      </c>
      <c r="O32" s="54">
        <v>0</v>
      </c>
      <c r="P32" s="54">
        <v>0.79</v>
      </c>
      <c r="Q32" s="60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8.18</v>
      </c>
      <c r="C34" s="28">
        <f t="shared" si="0"/>
        <v>3.13</v>
      </c>
      <c r="D34" s="28">
        <f t="shared" si="0"/>
        <v>11.95</v>
      </c>
      <c r="E34" s="28">
        <f t="shared" si="0"/>
        <v>3.99</v>
      </c>
      <c r="F34" s="28">
        <f t="shared" si="0"/>
        <v>3.33</v>
      </c>
      <c r="G34" s="28">
        <f t="shared" si="0"/>
        <v>12.6</v>
      </c>
      <c r="H34" s="28">
        <f t="shared" si="0"/>
        <v>4.24</v>
      </c>
      <c r="I34" s="28">
        <f t="shared" si="0"/>
        <v>3.53</v>
      </c>
      <c r="J34" s="28">
        <f t="shared" si="0"/>
        <v>0.28999999999999998</v>
      </c>
      <c r="K34" s="28">
        <f t="shared" si="0"/>
        <v>115.34</v>
      </c>
      <c r="L34" s="28">
        <f t="shared" si="0"/>
        <v>22.11</v>
      </c>
      <c r="M34" s="28">
        <f t="shared" si="0"/>
        <v>70.150000000000006</v>
      </c>
      <c r="N34" s="28">
        <f t="shared" si="0"/>
        <v>17.399999999999999</v>
      </c>
      <c r="O34" s="28">
        <f t="shared" si="0"/>
        <v>0</v>
      </c>
      <c r="P34" s="28">
        <f t="shared" si="0"/>
        <v>0.31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8.42</v>
      </c>
      <c r="C35" s="29">
        <f t="shared" si="1"/>
        <v>3.49</v>
      </c>
      <c r="D35" s="29">
        <f t="shared" si="1"/>
        <v>12.35</v>
      </c>
      <c r="E35" s="29">
        <f t="shared" si="1"/>
        <v>5.93</v>
      </c>
      <c r="F35" s="29">
        <f t="shared" si="1"/>
        <v>8.26</v>
      </c>
      <c r="G35" s="29">
        <f t="shared" si="1"/>
        <v>85.52</v>
      </c>
      <c r="H35" s="29">
        <f t="shared" si="1"/>
        <v>23.29</v>
      </c>
      <c r="I35" s="29">
        <f t="shared" si="1"/>
        <v>7.13</v>
      </c>
      <c r="J35" s="29">
        <f t="shared" si="1"/>
        <v>1.43</v>
      </c>
      <c r="K35" s="29">
        <f t="shared" si="1"/>
        <v>359.96</v>
      </c>
      <c r="L35" s="29">
        <f t="shared" si="1"/>
        <v>30.05</v>
      </c>
      <c r="M35" s="29">
        <f t="shared" si="1"/>
        <v>98.4</v>
      </c>
      <c r="N35" s="29">
        <f t="shared" si="1"/>
        <v>814.1</v>
      </c>
      <c r="O35" s="29">
        <f t="shared" si="1"/>
        <v>2.4</v>
      </c>
      <c r="P35" s="29">
        <f t="shared" si="1"/>
        <v>0.8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8.2854166666666682</v>
      </c>
      <c r="C36" s="28">
        <f t="shared" si="2"/>
        <v>3.2995833333333331</v>
      </c>
      <c r="D36" s="28">
        <f t="shared" si="2"/>
        <v>12.136250000000002</v>
      </c>
      <c r="E36" s="28">
        <f t="shared" si="2"/>
        <v>4.8041666666666663</v>
      </c>
      <c r="F36" s="28">
        <f t="shared" si="2"/>
        <v>4.5808333333333335</v>
      </c>
      <c r="G36" s="28">
        <f t="shared" si="2"/>
        <v>43.33124999999999</v>
      </c>
      <c r="H36" s="28">
        <f t="shared" si="2"/>
        <v>13.595000000000001</v>
      </c>
      <c r="I36" s="28">
        <f t="shared" si="2"/>
        <v>5.6770833333333321</v>
      </c>
      <c r="J36" s="28">
        <f t="shared" si="2"/>
        <v>0.83625000000000005</v>
      </c>
      <c r="K36" s="28">
        <f t="shared" si="2"/>
        <v>255.36958333333345</v>
      </c>
      <c r="L36" s="28">
        <f t="shared" si="2"/>
        <v>26.19125</v>
      </c>
      <c r="M36" s="28">
        <f t="shared" si="2"/>
        <v>91.959166666666661</v>
      </c>
      <c r="N36" s="28">
        <f t="shared" si="2"/>
        <v>184.83333333333334</v>
      </c>
      <c r="O36" s="28">
        <f t="shared" si="2"/>
        <v>0.10833333333333334</v>
      </c>
      <c r="P36" s="28">
        <f t="shared" si="2"/>
        <v>0.54749999999999999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6.6983396168892637E-2</v>
      </c>
      <c r="C37" s="28">
        <f t="shared" ref="C37:Q37" si="3">STDEV(C9:C32)</f>
        <v>0.10576755344773202</v>
      </c>
      <c r="D37" s="28">
        <f t="shared" si="3"/>
        <v>0.1091394202086407</v>
      </c>
      <c r="E37" s="28">
        <f t="shared" si="3"/>
        <v>0.48638789911530184</v>
      </c>
      <c r="F37" s="28">
        <f t="shared" si="3"/>
        <v>1.3148315040559257</v>
      </c>
      <c r="G37" s="28">
        <f t="shared" si="3"/>
        <v>22.494553217535163</v>
      </c>
      <c r="H37" s="28">
        <f t="shared" si="3"/>
        <v>6.336894727120586</v>
      </c>
      <c r="I37" s="28">
        <f t="shared" si="3"/>
        <v>1.2973768825450593</v>
      </c>
      <c r="J37" s="28">
        <f t="shared" si="3"/>
        <v>0.37489491281180887</v>
      </c>
      <c r="K37" s="28">
        <f t="shared" si="3"/>
        <v>86.333032495208812</v>
      </c>
      <c r="L37" s="28">
        <f t="shared" si="3"/>
        <v>2.1679589930744019</v>
      </c>
      <c r="M37" s="28">
        <f t="shared" si="3"/>
        <v>8.7430374369087769</v>
      </c>
      <c r="N37" s="28">
        <f t="shared" si="3"/>
        <v>251.97791081011823</v>
      </c>
      <c r="O37" s="28">
        <f t="shared" si="3"/>
        <v>0.48982398494957763</v>
      </c>
      <c r="P37" s="28">
        <f t="shared" si="3"/>
        <v>0.16637438138910915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9" sqref="Q9:Q3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269</v>
      </c>
      <c r="B9" s="54">
        <v>8.3699999999999992</v>
      </c>
      <c r="C9" s="54">
        <v>3.41</v>
      </c>
      <c r="D9" s="54">
        <v>12.26</v>
      </c>
      <c r="E9" s="54">
        <v>4.21</v>
      </c>
      <c r="F9" s="54">
        <v>4</v>
      </c>
      <c r="G9" s="54">
        <v>57.41</v>
      </c>
      <c r="H9" s="54">
        <v>16.48</v>
      </c>
      <c r="I9" s="54">
        <v>6.93</v>
      </c>
      <c r="J9" s="54">
        <v>1.7</v>
      </c>
      <c r="K9" s="54">
        <v>173.86</v>
      </c>
      <c r="L9" s="54">
        <v>25.2</v>
      </c>
      <c r="M9" s="54">
        <v>96.83</v>
      </c>
      <c r="N9" s="54">
        <v>18.3</v>
      </c>
      <c r="O9" s="54">
        <v>0</v>
      </c>
      <c r="P9" s="54">
        <v>0.7</v>
      </c>
      <c r="Q9" s="62" t="s">
        <v>15</v>
      </c>
      <c r="R9" s="43"/>
      <c r="S9" s="43"/>
      <c r="T9" s="43"/>
      <c r="U9" s="43"/>
    </row>
    <row r="10" spans="1:21" s="11" customFormat="1" x14ac:dyDescent="0.25">
      <c r="A10" s="53" t="s">
        <v>270</v>
      </c>
      <c r="B10" s="54">
        <v>8.26</v>
      </c>
      <c r="C10" s="54">
        <v>3.24</v>
      </c>
      <c r="D10" s="54">
        <v>12.1</v>
      </c>
      <c r="E10" s="54">
        <v>3.92</v>
      </c>
      <c r="F10" s="54">
        <v>4</v>
      </c>
      <c r="G10" s="54">
        <v>38.130000000000003</v>
      </c>
      <c r="H10" s="54">
        <v>11.95</v>
      </c>
      <c r="I10" s="54">
        <v>6.52</v>
      </c>
      <c r="J10" s="54">
        <v>0.57999999999999996</v>
      </c>
      <c r="K10" s="54">
        <v>235.68</v>
      </c>
      <c r="L10" s="54">
        <v>23.48</v>
      </c>
      <c r="M10" s="54">
        <v>98.2</v>
      </c>
      <c r="N10" s="54">
        <v>17.8</v>
      </c>
      <c r="O10" s="54">
        <v>0</v>
      </c>
      <c r="P10" s="54">
        <v>0.54</v>
      </c>
      <c r="Q10" s="62" t="s">
        <v>15</v>
      </c>
      <c r="R10" s="43"/>
      <c r="S10" s="43"/>
      <c r="T10" s="43"/>
      <c r="U10" s="43"/>
    </row>
    <row r="11" spans="1:21" s="11" customFormat="1" x14ac:dyDescent="0.25">
      <c r="A11" s="53" t="s">
        <v>271</v>
      </c>
      <c r="B11" s="54">
        <v>8.26</v>
      </c>
      <c r="C11" s="54">
        <v>3.18</v>
      </c>
      <c r="D11" s="54">
        <v>12.05</v>
      </c>
      <c r="E11" s="54">
        <v>3.93</v>
      </c>
      <c r="F11" s="54">
        <v>3.89</v>
      </c>
      <c r="G11" s="54">
        <v>22.62</v>
      </c>
      <c r="H11" s="54">
        <v>8.4600000000000009</v>
      </c>
      <c r="I11" s="54">
        <v>5.31</v>
      </c>
      <c r="J11" s="54">
        <v>0.72</v>
      </c>
      <c r="K11" s="54">
        <v>314.81</v>
      </c>
      <c r="L11" s="54">
        <v>23.06</v>
      </c>
      <c r="M11" s="54">
        <v>98.32</v>
      </c>
      <c r="N11" s="54">
        <v>17.399999999999999</v>
      </c>
      <c r="O11" s="54">
        <v>0</v>
      </c>
      <c r="P11" s="54">
        <v>0.46</v>
      </c>
      <c r="Q11" s="62" t="s">
        <v>15</v>
      </c>
      <c r="R11" s="43"/>
      <c r="S11" s="43"/>
      <c r="T11" s="43"/>
      <c r="U11" s="43"/>
    </row>
    <row r="12" spans="1:21" s="11" customFormat="1" x14ac:dyDescent="0.25">
      <c r="A12" s="53" t="s">
        <v>272</v>
      </c>
      <c r="B12" s="54">
        <v>8.2899999999999991</v>
      </c>
      <c r="C12" s="54">
        <v>3.23</v>
      </c>
      <c r="D12" s="54">
        <v>12.1</v>
      </c>
      <c r="E12" s="54">
        <v>4.45</v>
      </c>
      <c r="F12" s="54">
        <v>4.04</v>
      </c>
      <c r="G12" s="54">
        <v>19.420000000000002</v>
      </c>
      <c r="H12" s="54">
        <v>6.23</v>
      </c>
      <c r="I12" s="54">
        <v>5.33</v>
      </c>
      <c r="J12" s="54">
        <v>0.59</v>
      </c>
      <c r="K12" s="54">
        <v>237.73</v>
      </c>
      <c r="L12" s="54">
        <v>23</v>
      </c>
      <c r="M12" s="54">
        <v>98.14</v>
      </c>
      <c r="N12" s="54">
        <v>17.399999999999999</v>
      </c>
      <c r="O12" s="54">
        <v>0</v>
      </c>
      <c r="P12" s="54">
        <v>0.42</v>
      </c>
      <c r="Q12" s="62" t="s">
        <v>15</v>
      </c>
      <c r="R12" s="43"/>
      <c r="S12" s="43"/>
      <c r="T12" s="43"/>
      <c r="U12" s="43"/>
    </row>
    <row r="13" spans="1:21" s="11" customFormat="1" x14ac:dyDescent="0.25">
      <c r="A13" s="53" t="s">
        <v>273</v>
      </c>
      <c r="B13" s="54">
        <v>8.3000000000000007</v>
      </c>
      <c r="C13" s="54">
        <v>3.3</v>
      </c>
      <c r="D13" s="54">
        <v>12.15</v>
      </c>
      <c r="E13" s="54">
        <v>4.18</v>
      </c>
      <c r="F13" s="54">
        <v>4.28</v>
      </c>
      <c r="G13" s="54">
        <v>13.8</v>
      </c>
      <c r="H13" s="54">
        <v>5.08</v>
      </c>
      <c r="I13" s="54">
        <v>5.36</v>
      </c>
      <c r="J13" s="54">
        <v>0.62</v>
      </c>
      <c r="K13" s="54">
        <v>356.21</v>
      </c>
      <c r="L13" s="54">
        <v>22.91</v>
      </c>
      <c r="M13" s="54">
        <v>98.35</v>
      </c>
      <c r="N13" s="54">
        <v>17.399999999999999</v>
      </c>
      <c r="O13" s="54">
        <v>0</v>
      </c>
      <c r="P13" s="54">
        <v>0.4</v>
      </c>
      <c r="Q13" s="62" t="s">
        <v>15</v>
      </c>
      <c r="R13" s="43"/>
      <c r="S13" s="43"/>
      <c r="T13" s="43"/>
      <c r="U13" s="43"/>
    </row>
    <row r="14" spans="1:21" s="11" customFormat="1" x14ac:dyDescent="0.25">
      <c r="A14" s="53" t="s">
        <v>274</v>
      </c>
      <c r="B14" s="54">
        <v>8.2799999999999994</v>
      </c>
      <c r="C14" s="54">
        <v>3.32</v>
      </c>
      <c r="D14" s="54">
        <v>12.15</v>
      </c>
      <c r="E14" s="54">
        <v>4.18</v>
      </c>
      <c r="F14" s="54">
        <v>3.6</v>
      </c>
      <c r="G14" s="54">
        <v>15.82</v>
      </c>
      <c r="H14" s="54">
        <v>3.56</v>
      </c>
      <c r="I14" s="54">
        <v>4.76</v>
      </c>
      <c r="J14" s="54">
        <v>0.44</v>
      </c>
      <c r="K14" s="54">
        <v>339.97</v>
      </c>
      <c r="L14" s="54">
        <v>22.68</v>
      </c>
      <c r="M14" s="54">
        <v>98.35</v>
      </c>
      <c r="N14" s="54">
        <v>45.9</v>
      </c>
      <c r="O14" s="54">
        <v>0</v>
      </c>
      <c r="P14" s="54">
        <v>0.36</v>
      </c>
      <c r="Q14" s="62" t="s">
        <v>15</v>
      </c>
      <c r="R14" s="43"/>
      <c r="S14" s="43"/>
      <c r="T14" s="43"/>
      <c r="U14" s="43"/>
    </row>
    <row r="15" spans="1:21" s="11" customFormat="1" x14ac:dyDescent="0.25">
      <c r="A15" s="53" t="s">
        <v>275</v>
      </c>
      <c r="B15" s="54">
        <v>8.2100000000000009</v>
      </c>
      <c r="C15" s="54">
        <v>3.17</v>
      </c>
      <c r="D15" s="54">
        <v>12.01</v>
      </c>
      <c r="E15" s="54">
        <v>3.92</v>
      </c>
      <c r="F15" s="54">
        <v>3.94</v>
      </c>
      <c r="G15" s="54">
        <v>11.76</v>
      </c>
      <c r="H15" s="54">
        <v>2.4900000000000002</v>
      </c>
      <c r="I15" s="54">
        <v>4.4400000000000004</v>
      </c>
      <c r="J15" s="54">
        <v>0.49</v>
      </c>
      <c r="K15" s="54">
        <v>278.7</v>
      </c>
      <c r="L15" s="54">
        <v>23.21</v>
      </c>
      <c r="M15" s="54">
        <v>98.33</v>
      </c>
      <c r="N15" s="54">
        <v>80.5</v>
      </c>
      <c r="O15" s="54">
        <v>0</v>
      </c>
      <c r="P15" s="54">
        <v>0.34</v>
      </c>
      <c r="Q15" s="62" t="s">
        <v>15</v>
      </c>
      <c r="R15" s="43"/>
      <c r="S15" s="43"/>
      <c r="T15" s="43"/>
      <c r="U15" s="43"/>
    </row>
    <row r="16" spans="1:21" s="11" customFormat="1" x14ac:dyDescent="0.25">
      <c r="A16" s="53" t="s">
        <v>276</v>
      </c>
      <c r="B16" s="54">
        <v>8.31</v>
      </c>
      <c r="C16" s="54">
        <v>3.27</v>
      </c>
      <c r="D16" s="54">
        <v>12.14</v>
      </c>
      <c r="E16" s="54">
        <v>5.29</v>
      </c>
      <c r="F16" s="54">
        <v>3.49</v>
      </c>
      <c r="G16" s="54">
        <v>13.09</v>
      </c>
      <c r="H16" s="54">
        <v>1.74</v>
      </c>
      <c r="I16" s="54">
        <v>4.0599999999999996</v>
      </c>
      <c r="J16" s="54">
        <v>0.95</v>
      </c>
      <c r="K16" s="54">
        <v>306.63</v>
      </c>
      <c r="L16" s="54">
        <v>24.33</v>
      </c>
      <c r="M16" s="54">
        <v>98.22</v>
      </c>
      <c r="N16" s="54">
        <v>234.1</v>
      </c>
      <c r="O16" s="54">
        <v>0</v>
      </c>
      <c r="P16" s="54">
        <v>0.31</v>
      </c>
      <c r="Q16" s="62" t="s">
        <v>15</v>
      </c>
      <c r="R16" s="43"/>
      <c r="S16" s="43"/>
      <c r="T16" s="43"/>
      <c r="U16" s="43"/>
    </row>
    <row r="17" spans="1:21" s="11" customFormat="1" x14ac:dyDescent="0.25">
      <c r="A17" s="53" t="s">
        <v>277</v>
      </c>
      <c r="B17" s="54">
        <v>8.27</v>
      </c>
      <c r="C17" s="54">
        <v>3.2</v>
      </c>
      <c r="D17" s="54">
        <v>12.05</v>
      </c>
      <c r="E17" s="54">
        <v>5.33</v>
      </c>
      <c r="F17" s="54">
        <v>3.93</v>
      </c>
      <c r="G17" s="54">
        <v>14.11</v>
      </c>
      <c r="H17" s="54">
        <v>1.26</v>
      </c>
      <c r="I17" s="54">
        <v>4.5999999999999996</v>
      </c>
      <c r="J17" s="54">
        <v>0.3</v>
      </c>
      <c r="K17" s="54">
        <v>209.9</v>
      </c>
      <c r="L17" s="54">
        <v>26.39</v>
      </c>
      <c r="M17" s="54">
        <v>91.22</v>
      </c>
      <c r="N17" s="54">
        <v>309</v>
      </c>
      <c r="O17" s="54">
        <v>0</v>
      </c>
      <c r="P17" s="54">
        <v>0.31</v>
      </c>
      <c r="Q17" s="62" t="s">
        <v>15</v>
      </c>
      <c r="R17" s="43"/>
      <c r="S17" s="43"/>
      <c r="T17" s="43"/>
      <c r="U17" s="43"/>
    </row>
    <row r="18" spans="1:21" s="11" customFormat="1" x14ac:dyDescent="0.25">
      <c r="A18" s="53" t="s">
        <v>278</v>
      </c>
      <c r="B18" s="54">
        <v>8.32</v>
      </c>
      <c r="C18" s="54">
        <v>3.38</v>
      </c>
      <c r="D18" s="54">
        <v>12.21</v>
      </c>
      <c r="E18" s="54">
        <v>5.01</v>
      </c>
      <c r="F18" s="54">
        <v>4.82</v>
      </c>
      <c r="G18" s="54">
        <v>17.64</v>
      </c>
      <c r="H18" s="54">
        <v>1.41</v>
      </c>
      <c r="I18" s="54">
        <v>4.4800000000000004</v>
      </c>
      <c r="J18" s="54">
        <v>0.59</v>
      </c>
      <c r="K18" s="54">
        <v>348.81</v>
      </c>
      <c r="L18" s="54">
        <v>30.13</v>
      </c>
      <c r="M18" s="54">
        <v>79.47</v>
      </c>
      <c r="N18" s="54">
        <v>705.3</v>
      </c>
      <c r="O18" s="54">
        <v>0</v>
      </c>
      <c r="P18" s="54">
        <v>0.32</v>
      </c>
      <c r="Q18" s="62" t="s">
        <v>15</v>
      </c>
      <c r="R18" s="43"/>
      <c r="S18" s="43"/>
      <c r="T18" s="43"/>
      <c r="U18" s="43"/>
    </row>
    <row r="19" spans="1:21" s="11" customFormat="1" x14ac:dyDescent="0.25">
      <c r="A19" s="53" t="s">
        <v>279</v>
      </c>
      <c r="B19" s="54">
        <v>8.25</v>
      </c>
      <c r="C19" s="54">
        <v>3.31</v>
      </c>
      <c r="D19" s="54">
        <v>12.12</v>
      </c>
      <c r="E19" s="54">
        <v>4.99</v>
      </c>
      <c r="F19" s="54">
        <v>4</v>
      </c>
      <c r="G19" s="54">
        <v>20.76</v>
      </c>
      <c r="H19" s="54">
        <v>2.09</v>
      </c>
      <c r="I19" s="54">
        <v>3.54</v>
      </c>
      <c r="J19" s="54">
        <v>0.48</v>
      </c>
      <c r="K19" s="54">
        <v>345.35</v>
      </c>
      <c r="L19" s="54">
        <v>29.72</v>
      </c>
      <c r="M19" s="54">
        <v>75.599999999999994</v>
      </c>
      <c r="N19" s="54">
        <v>62.4</v>
      </c>
      <c r="O19" s="54">
        <v>0</v>
      </c>
      <c r="P19" s="54">
        <v>0.34</v>
      </c>
      <c r="Q19" s="62" t="s">
        <v>15</v>
      </c>
      <c r="R19" s="43"/>
      <c r="S19" s="43"/>
      <c r="T19" s="43"/>
      <c r="U19" s="43"/>
    </row>
    <row r="20" spans="1:21" s="11" customFormat="1" x14ac:dyDescent="0.25">
      <c r="A20" s="53" t="s">
        <v>280</v>
      </c>
      <c r="B20" s="54">
        <v>8.25</v>
      </c>
      <c r="C20" s="54">
        <v>3.27</v>
      </c>
      <c r="D20" s="54">
        <v>12.08</v>
      </c>
      <c r="E20" s="54">
        <v>4.78</v>
      </c>
      <c r="F20" s="54">
        <v>4.24</v>
      </c>
      <c r="G20" s="54">
        <v>24.87</v>
      </c>
      <c r="H20" s="54">
        <v>4.62</v>
      </c>
      <c r="I20" s="54">
        <v>3.12</v>
      </c>
      <c r="J20" s="54">
        <v>0.3</v>
      </c>
      <c r="K20" s="54">
        <v>330.47</v>
      </c>
      <c r="L20" s="54">
        <v>29.16</v>
      </c>
      <c r="M20" s="54">
        <v>74.02</v>
      </c>
      <c r="N20" s="54">
        <v>496.9</v>
      </c>
      <c r="O20" s="54">
        <v>0</v>
      </c>
      <c r="P20" s="54">
        <v>0.35</v>
      </c>
      <c r="Q20" s="62" t="s">
        <v>15</v>
      </c>
      <c r="R20" s="43"/>
      <c r="S20" s="43"/>
      <c r="T20" s="43"/>
      <c r="U20" s="43"/>
    </row>
    <row r="21" spans="1:21" s="11" customFormat="1" x14ac:dyDescent="0.25">
      <c r="A21" s="53" t="s">
        <v>281</v>
      </c>
      <c r="B21" s="54">
        <v>8.25</v>
      </c>
      <c r="C21" s="54">
        <v>3.17</v>
      </c>
      <c r="D21" s="54">
        <v>12.03</v>
      </c>
      <c r="E21" s="54">
        <v>4.5199999999999996</v>
      </c>
      <c r="F21" s="54">
        <v>3.69</v>
      </c>
      <c r="G21" s="54">
        <v>30.7</v>
      </c>
      <c r="H21" s="54">
        <v>8.85</v>
      </c>
      <c r="I21" s="54">
        <v>3.36</v>
      </c>
      <c r="J21" s="54">
        <v>0.46</v>
      </c>
      <c r="K21" s="54">
        <v>345.96</v>
      </c>
      <c r="L21" s="54">
        <v>31.56</v>
      </c>
      <c r="M21" s="54">
        <v>68.37</v>
      </c>
      <c r="N21" s="54">
        <v>948.8</v>
      </c>
      <c r="O21" s="54">
        <v>0</v>
      </c>
      <c r="P21" s="54">
        <v>0.36</v>
      </c>
      <c r="Q21" s="62" t="s">
        <v>15</v>
      </c>
      <c r="R21" s="43"/>
      <c r="S21" s="43"/>
      <c r="T21" s="43"/>
      <c r="U21" s="43"/>
    </row>
    <row r="22" spans="1:21" s="11" customFormat="1" x14ac:dyDescent="0.25">
      <c r="A22" s="53" t="s">
        <v>282</v>
      </c>
      <c r="B22" s="54">
        <v>8.23</v>
      </c>
      <c r="C22" s="54">
        <v>3.19</v>
      </c>
      <c r="D22" s="54">
        <v>12.03</v>
      </c>
      <c r="E22" s="54">
        <v>4.54</v>
      </c>
      <c r="F22" s="54">
        <v>4.0999999999999996</v>
      </c>
      <c r="G22" s="54">
        <v>34.409999999999997</v>
      </c>
      <c r="H22" s="54">
        <v>11.02</v>
      </c>
      <c r="I22" s="54">
        <v>3.68</v>
      </c>
      <c r="J22" s="54">
        <v>1.19</v>
      </c>
      <c r="K22" s="54">
        <v>350.84</v>
      </c>
      <c r="L22" s="54">
        <v>33.58</v>
      </c>
      <c r="M22" s="54">
        <v>63.25</v>
      </c>
      <c r="N22" s="54">
        <v>1012</v>
      </c>
      <c r="O22" s="54">
        <v>0</v>
      </c>
      <c r="P22" s="54">
        <v>0.38</v>
      </c>
      <c r="Q22" s="62" t="s">
        <v>15</v>
      </c>
      <c r="R22" s="43"/>
      <c r="S22" s="43"/>
      <c r="T22" s="43"/>
      <c r="U22" s="43"/>
    </row>
    <row r="23" spans="1:21" s="11" customFormat="1" x14ac:dyDescent="0.25">
      <c r="A23" s="53" t="s">
        <v>283</v>
      </c>
      <c r="B23" s="54">
        <v>8.27</v>
      </c>
      <c r="C23" s="54">
        <v>3.34</v>
      </c>
      <c r="D23" s="54">
        <v>12.15</v>
      </c>
      <c r="E23" s="54">
        <v>4.5199999999999996</v>
      </c>
      <c r="F23" s="54">
        <v>4.34</v>
      </c>
      <c r="G23" s="54">
        <v>30.12</v>
      </c>
      <c r="H23" s="54">
        <v>8.57</v>
      </c>
      <c r="I23" s="54">
        <v>4.1500000000000004</v>
      </c>
      <c r="J23" s="54">
        <v>0.91</v>
      </c>
      <c r="K23" s="54">
        <v>151.29</v>
      </c>
      <c r="L23" s="54">
        <v>31.08</v>
      </c>
      <c r="M23" s="54">
        <v>65.02</v>
      </c>
      <c r="N23" s="54">
        <v>666.8</v>
      </c>
      <c r="O23" s="54">
        <v>0</v>
      </c>
      <c r="P23" s="54">
        <v>0.39</v>
      </c>
      <c r="Q23" s="62" t="s">
        <v>15</v>
      </c>
      <c r="R23" s="43"/>
      <c r="S23" s="43"/>
      <c r="T23" s="43"/>
      <c r="U23" s="43"/>
    </row>
    <row r="24" spans="1:21" s="11" customFormat="1" x14ac:dyDescent="0.25">
      <c r="A24" s="53" t="s">
        <v>284</v>
      </c>
      <c r="B24" s="54">
        <v>8.2200000000000006</v>
      </c>
      <c r="C24" s="54">
        <v>3.21</v>
      </c>
      <c r="D24" s="54">
        <v>12.05</v>
      </c>
      <c r="E24" s="54">
        <v>4.6399999999999997</v>
      </c>
      <c r="F24" s="54">
        <v>4.51</v>
      </c>
      <c r="G24" s="54">
        <v>29.1</v>
      </c>
      <c r="H24" s="54">
        <v>8.48</v>
      </c>
      <c r="I24" s="54">
        <v>4.4800000000000004</v>
      </c>
      <c r="J24" s="54">
        <v>0.76</v>
      </c>
      <c r="K24" s="54">
        <v>167.35</v>
      </c>
      <c r="L24" s="54">
        <v>30.22</v>
      </c>
      <c r="M24" s="54">
        <v>62.06</v>
      </c>
      <c r="N24" s="54">
        <v>153.6</v>
      </c>
      <c r="O24" s="54">
        <v>0</v>
      </c>
      <c r="P24" s="54">
        <v>0.37</v>
      </c>
      <c r="Q24" s="62" t="s">
        <v>15</v>
      </c>
      <c r="R24" s="43"/>
      <c r="S24" s="43"/>
      <c r="T24" s="43"/>
      <c r="U24" s="43"/>
    </row>
    <row r="25" spans="1:21" s="11" customFormat="1" x14ac:dyDescent="0.25">
      <c r="A25" s="53" t="s">
        <v>285</v>
      </c>
      <c r="B25" s="54">
        <v>8.26</v>
      </c>
      <c r="C25" s="54">
        <v>3.2</v>
      </c>
      <c r="D25" s="54">
        <v>12.07</v>
      </c>
      <c r="E25" s="54">
        <v>3.94</v>
      </c>
      <c r="F25" s="54">
        <v>3.86</v>
      </c>
      <c r="G25" s="54">
        <v>28.86</v>
      </c>
      <c r="H25" s="54">
        <v>8.74</v>
      </c>
      <c r="I25" s="54">
        <v>5.04</v>
      </c>
      <c r="J25" s="54">
        <v>0.87</v>
      </c>
      <c r="K25" s="54">
        <v>287.11</v>
      </c>
      <c r="L25" s="54">
        <v>30.22</v>
      </c>
      <c r="M25" s="54">
        <v>60.1</v>
      </c>
      <c r="N25" s="54">
        <v>164</v>
      </c>
      <c r="O25" s="54">
        <v>0</v>
      </c>
      <c r="P25" s="54">
        <v>0.34</v>
      </c>
      <c r="Q25" s="62" t="s">
        <v>15</v>
      </c>
      <c r="R25" s="43"/>
      <c r="S25" s="43"/>
      <c r="T25" s="43"/>
      <c r="U25" s="43"/>
    </row>
    <row r="26" spans="1:21" s="11" customFormat="1" x14ac:dyDescent="0.25">
      <c r="A26" s="53" t="s">
        <v>286</v>
      </c>
      <c r="B26" s="54">
        <v>8.26</v>
      </c>
      <c r="C26" s="54">
        <v>3.18</v>
      </c>
      <c r="D26" s="54">
        <v>12.05</v>
      </c>
      <c r="E26" s="54">
        <v>4</v>
      </c>
      <c r="F26" s="54">
        <v>4.75</v>
      </c>
      <c r="G26" s="54">
        <v>28.56</v>
      </c>
      <c r="H26" s="54">
        <v>8.8800000000000008</v>
      </c>
      <c r="I26" s="54">
        <v>5.0999999999999996</v>
      </c>
      <c r="J26" s="54">
        <v>2.1</v>
      </c>
      <c r="K26" s="54">
        <v>287.58999999999997</v>
      </c>
      <c r="L26" s="54">
        <v>30.04</v>
      </c>
      <c r="M26" s="54">
        <v>95.2</v>
      </c>
      <c r="N26" s="54">
        <v>126.7</v>
      </c>
      <c r="O26" s="54">
        <v>1.6</v>
      </c>
      <c r="P26" s="54">
        <v>0.34</v>
      </c>
      <c r="Q26" s="62" t="s">
        <v>15</v>
      </c>
      <c r="R26" s="43"/>
      <c r="S26" s="43"/>
      <c r="T26" s="43"/>
      <c r="U26" s="43"/>
    </row>
    <row r="27" spans="1:21" s="11" customFormat="1" x14ac:dyDescent="0.25">
      <c r="A27" s="53" t="s">
        <v>287</v>
      </c>
      <c r="B27" s="54">
        <v>8.2200000000000006</v>
      </c>
      <c r="C27" s="54">
        <v>3.24</v>
      </c>
      <c r="D27" s="54">
        <v>12.06</v>
      </c>
      <c r="E27" s="54">
        <v>4.17</v>
      </c>
      <c r="F27" s="54">
        <v>7.28</v>
      </c>
      <c r="G27" s="54">
        <v>29.78</v>
      </c>
      <c r="H27" s="54">
        <v>10.02</v>
      </c>
      <c r="I27" s="54">
        <v>5.33</v>
      </c>
      <c r="J27" s="54">
        <v>0.6</v>
      </c>
      <c r="K27" s="54">
        <v>341.31</v>
      </c>
      <c r="L27" s="54">
        <v>23.6</v>
      </c>
      <c r="M27" s="54">
        <v>98.38</v>
      </c>
      <c r="N27" s="54">
        <v>24</v>
      </c>
      <c r="O27" s="54">
        <v>4.4000000000000004</v>
      </c>
      <c r="P27" s="54">
        <v>0.41</v>
      </c>
      <c r="Q27" s="62" t="s">
        <v>15</v>
      </c>
      <c r="R27" s="43"/>
      <c r="S27" s="43"/>
      <c r="T27" s="43"/>
      <c r="U27" s="43"/>
    </row>
    <row r="28" spans="1:21" s="11" customFormat="1" x14ac:dyDescent="0.25">
      <c r="A28" s="53" t="s">
        <v>288</v>
      </c>
      <c r="B28" s="54">
        <v>8.2799999999999994</v>
      </c>
      <c r="C28" s="54">
        <v>3.38</v>
      </c>
      <c r="D28" s="54">
        <v>12.18</v>
      </c>
      <c r="E28" s="54">
        <v>3.84</v>
      </c>
      <c r="F28" s="54">
        <v>4.17</v>
      </c>
      <c r="G28" s="54">
        <v>24.02</v>
      </c>
      <c r="H28" s="54">
        <v>9.43</v>
      </c>
      <c r="I28" s="54">
        <v>4.88</v>
      </c>
      <c r="J28" s="54">
        <v>0.74</v>
      </c>
      <c r="K28" s="54">
        <v>238.13</v>
      </c>
      <c r="L28" s="54">
        <v>23.75</v>
      </c>
      <c r="M28" s="54">
        <v>98.38</v>
      </c>
      <c r="N28" s="54">
        <v>18.899999999999999</v>
      </c>
      <c r="O28" s="54">
        <v>0</v>
      </c>
      <c r="P28" s="54">
        <v>0.59</v>
      </c>
      <c r="Q28" s="62" t="s">
        <v>15</v>
      </c>
      <c r="R28" s="43"/>
      <c r="S28" s="43"/>
      <c r="T28" s="43"/>
      <c r="U28" s="43"/>
    </row>
    <row r="29" spans="1:21" s="11" customFormat="1" x14ac:dyDescent="0.25">
      <c r="A29" s="53" t="s">
        <v>289</v>
      </c>
      <c r="B29" s="54">
        <v>8.31</v>
      </c>
      <c r="C29" s="54">
        <v>3.43</v>
      </c>
      <c r="D29" s="54">
        <v>12.23</v>
      </c>
      <c r="E29" s="54">
        <v>3.77</v>
      </c>
      <c r="F29" s="54">
        <v>4.13</v>
      </c>
      <c r="G29" s="54">
        <v>27.31</v>
      </c>
      <c r="H29" s="54">
        <v>10</v>
      </c>
      <c r="I29" s="54">
        <v>5.56</v>
      </c>
      <c r="J29" s="54">
        <v>1.23</v>
      </c>
      <c r="K29" s="54">
        <v>219.54</v>
      </c>
      <c r="L29" s="54">
        <v>25</v>
      </c>
      <c r="M29" s="54">
        <v>98.38</v>
      </c>
      <c r="N29" s="54">
        <v>19.600000000000001</v>
      </c>
      <c r="O29" s="54">
        <v>0</v>
      </c>
      <c r="P29" s="54">
        <v>0.66</v>
      </c>
      <c r="Q29" s="62" t="s">
        <v>15</v>
      </c>
      <c r="R29" s="43"/>
      <c r="S29" s="43"/>
      <c r="T29" s="43"/>
      <c r="U29" s="43"/>
    </row>
    <row r="30" spans="1:21" s="11" customFormat="1" x14ac:dyDescent="0.25">
      <c r="A30" s="53" t="s">
        <v>290</v>
      </c>
      <c r="B30" s="54">
        <v>8.34</v>
      </c>
      <c r="C30" s="54">
        <v>3.34</v>
      </c>
      <c r="D30" s="54">
        <v>12.2</v>
      </c>
      <c r="E30" s="54">
        <v>3.83</v>
      </c>
      <c r="F30" s="54">
        <v>3.43</v>
      </c>
      <c r="G30" s="54">
        <v>28.27</v>
      </c>
      <c r="H30" s="54">
        <v>9.34</v>
      </c>
      <c r="I30" s="54">
        <v>6.34</v>
      </c>
      <c r="J30" s="54">
        <v>1.07</v>
      </c>
      <c r="K30" s="54">
        <v>159.63</v>
      </c>
      <c r="L30" s="54">
        <v>25.08</v>
      </c>
      <c r="M30" s="54">
        <v>98.35</v>
      </c>
      <c r="N30" s="54">
        <v>18.899999999999999</v>
      </c>
      <c r="O30" s="54">
        <v>0</v>
      </c>
      <c r="P30" s="54">
        <v>0.64</v>
      </c>
      <c r="Q30" s="62" t="s">
        <v>15</v>
      </c>
      <c r="R30" s="43"/>
      <c r="S30" s="43"/>
      <c r="T30" s="43"/>
      <c r="U30" s="43"/>
    </row>
    <row r="31" spans="1:21" s="11" customFormat="1" x14ac:dyDescent="0.25">
      <c r="A31" s="53" t="s">
        <v>291</v>
      </c>
      <c r="B31" s="54">
        <v>8.31</v>
      </c>
      <c r="C31" s="54">
        <v>3.3</v>
      </c>
      <c r="D31" s="54">
        <v>12.16</v>
      </c>
      <c r="E31" s="54">
        <v>3.68</v>
      </c>
      <c r="F31" s="54">
        <v>4.57</v>
      </c>
      <c r="G31" s="54">
        <v>31.89</v>
      </c>
      <c r="H31" s="54">
        <v>9.6999999999999993</v>
      </c>
      <c r="I31" s="54">
        <v>6.58</v>
      </c>
      <c r="J31" s="54">
        <v>0.88</v>
      </c>
      <c r="K31" s="54">
        <v>150.13</v>
      </c>
      <c r="L31" s="54">
        <v>24.92</v>
      </c>
      <c r="M31" s="54">
        <v>98.28</v>
      </c>
      <c r="N31" s="54">
        <v>18.399999999999999</v>
      </c>
      <c r="O31" s="54">
        <v>0</v>
      </c>
      <c r="P31" s="54">
        <v>0.6</v>
      </c>
      <c r="Q31" s="62" t="s">
        <v>15</v>
      </c>
      <c r="R31" s="43"/>
      <c r="S31" s="43"/>
      <c r="T31" s="43"/>
      <c r="U31" s="43"/>
    </row>
    <row r="32" spans="1:21" s="11" customFormat="1" x14ac:dyDescent="0.25">
      <c r="A32" s="53" t="s">
        <v>292</v>
      </c>
      <c r="B32" s="54">
        <v>8.25</v>
      </c>
      <c r="C32" s="54">
        <v>3.24</v>
      </c>
      <c r="D32" s="54">
        <v>12.07</v>
      </c>
      <c r="E32" s="54">
        <v>4.6500000000000004</v>
      </c>
      <c r="F32" s="54">
        <v>5.29</v>
      </c>
      <c r="G32" s="54">
        <v>23.97</v>
      </c>
      <c r="H32" s="54">
        <v>9.4700000000000006</v>
      </c>
      <c r="I32" s="54">
        <v>5.98</v>
      </c>
      <c r="J32" s="54">
        <v>0.46</v>
      </c>
      <c r="K32" s="54">
        <v>349.99</v>
      </c>
      <c r="L32" s="54">
        <v>24.36</v>
      </c>
      <c r="M32" s="54">
        <v>96.53</v>
      </c>
      <c r="N32" s="54">
        <v>18.100000000000001</v>
      </c>
      <c r="O32" s="54">
        <v>0</v>
      </c>
      <c r="P32" s="54">
        <v>0.51</v>
      </c>
      <c r="Q32" s="62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8.2100000000000009</v>
      </c>
      <c r="C34" s="28">
        <f t="shared" si="0"/>
        <v>3.17</v>
      </c>
      <c r="D34" s="28">
        <f t="shared" si="0"/>
        <v>12.01</v>
      </c>
      <c r="E34" s="28">
        <f t="shared" si="0"/>
        <v>3.68</v>
      </c>
      <c r="F34" s="28">
        <f t="shared" si="0"/>
        <v>3.43</v>
      </c>
      <c r="G34" s="28">
        <f t="shared" si="0"/>
        <v>11.76</v>
      </c>
      <c r="H34" s="28">
        <f t="shared" si="0"/>
        <v>1.26</v>
      </c>
      <c r="I34" s="28">
        <f t="shared" si="0"/>
        <v>3.12</v>
      </c>
      <c r="J34" s="28">
        <f t="shared" si="0"/>
        <v>0.3</v>
      </c>
      <c r="K34" s="28">
        <f t="shared" si="0"/>
        <v>150.13</v>
      </c>
      <c r="L34" s="28">
        <f t="shared" si="0"/>
        <v>22.68</v>
      </c>
      <c r="M34" s="28">
        <f t="shared" si="0"/>
        <v>60.1</v>
      </c>
      <c r="N34" s="28">
        <f t="shared" si="0"/>
        <v>17.399999999999999</v>
      </c>
      <c r="O34" s="28">
        <f t="shared" si="0"/>
        <v>0</v>
      </c>
      <c r="P34" s="28">
        <f t="shared" si="0"/>
        <v>0.31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8.3699999999999992</v>
      </c>
      <c r="C35" s="29">
        <f t="shared" si="1"/>
        <v>3.43</v>
      </c>
      <c r="D35" s="29">
        <f t="shared" si="1"/>
        <v>12.26</v>
      </c>
      <c r="E35" s="29">
        <f t="shared" si="1"/>
        <v>5.33</v>
      </c>
      <c r="F35" s="29">
        <f t="shared" si="1"/>
        <v>7.28</v>
      </c>
      <c r="G35" s="29">
        <f t="shared" si="1"/>
        <v>57.41</v>
      </c>
      <c r="H35" s="29">
        <f t="shared" si="1"/>
        <v>16.48</v>
      </c>
      <c r="I35" s="29">
        <f t="shared" si="1"/>
        <v>6.93</v>
      </c>
      <c r="J35" s="29">
        <f t="shared" si="1"/>
        <v>2.1</v>
      </c>
      <c r="K35" s="29">
        <f t="shared" si="1"/>
        <v>356.21</v>
      </c>
      <c r="L35" s="29">
        <f t="shared" si="1"/>
        <v>33.58</v>
      </c>
      <c r="M35" s="29">
        <f t="shared" si="1"/>
        <v>98.38</v>
      </c>
      <c r="N35" s="29">
        <f t="shared" si="1"/>
        <v>1012</v>
      </c>
      <c r="O35" s="29">
        <f t="shared" si="1"/>
        <v>4.4000000000000004</v>
      </c>
      <c r="P35" s="29">
        <f t="shared" si="1"/>
        <v>0.7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8.2737499999999997</v>
      </c>
      <c r="C36" s="28">
        <f t="shared" si="2"/>
        <v>3.2708333333333339</v>
      </c>
      <c r="D36" s="28">
        <f t="shared" si="2"/>
        <v>12.112500000000002</v>
      </c>
      <c r="E36" s="28">
        <f t="shared" si="2"/>
        <v>4.3454166666666669</v>
      </c>
      <c r="F36" s="28">
        <f t="shared" si="2"/>
        <v>4.2645833333333334</v>
      </c>
      <c r="G36" s="28">
        <f t="shared" si="2"/>
        <v>25.684166666666666</v>
      </c>
      <c r="H36" s="28">
        <f t="shared" si="2"/>
        <v>7.4112499999999999</v>
      </c>
      <c r="I36" s="28">
        <f t="shared" si="2"/>
        <v>4.9554166666666672</v>
      </c>
      <c r="J36" s="28">
        <f t="shared" si="2"/>
        <v>0.7929166666666666</v>
      </c>
      <c r="K36" s="28">
        <f t="shared" si="2"/>
        <v>271.95791666666668</v>
      </c>
      <c r="L36" s="28">
        <f t="shared" si="2"/>
        <v>26.528333333333336</v>
      </c>
      <c r="M36" s="28">
        <f t="shared" si="2"/>
        <v>87.806249999999991</v>
      </c>
      <c r="N36" s="28">
        <f t="shared" si="2"/>
        <v>217.17499999999998</v>
      </c>
      <c r="O36" s="28">
        <f t="shared" si="2"/>
        <v>0.25</v>
      </c>
      <c r="P36" s="28">
        <f t="shared" si="2"/>
        <v>0.435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3.9321694421450101E-2</v>
      </c>
      <c r="C37" s="28">
        <f t="shared" ref="C37:Q37" si="3">STDEV(C9:C32)</f>
        <v>7.9504807985137718E-2</v>
      </c>
      <c r="D37" s="28">
        <f t="shared" si="3"/>
        <v>6.9797844740613457E-2</v>
      </c>
      <c r="E37" s="28">
        <f t="shared" si="3"/>
        <v>0.48517123079218455</v>
      </c>
      <c r="F37" s="28">
        <f t="shared" si="3"/>
        <v>0.77326512224162913</v>
      </c>
      <c r="G37" s="28">
        <f t="shared" si="3"/>
        <v>9.8818951345010522</v>
      </c>
      <c r="H37" s="28">
        <f t="shared" si="3"/>
        <v>3.8686379048872523</v>
      </c>
      <c r="I37" s="28">
        <f t="shared" si="3"/>
        <v>1.0383765722497287</v>
      </c>
      <c r="J37" s="28">
        <f t="shared" si="3"/>
        <v>0.42907868100472402</v>
      </c>
      <c r="K37" s="28">
        <f t="shared" si="3"/>
        <v>73.84260064071438</v>
      </c>
      <c r="L37" s="28">
        <f t="shared" si="3"/>
        <v>3.4436515839851913</v>
      </c>
      <c r="M37" s="28">
        <f t="shared" si="3"/>
        <v>14.575247574152041</v>
      </c>
      <c r="N37" s="28">
        <f t="shared" si="3"/>
        <v>310.30091180911023</v>
      </c>
      <c r="O37" s="28">
        <f t="shared" si="3"/>
        <v>0.94224523716308684</v>
      </c>
      <c r="P37" s="28">
        <f t="shared" si="3"/>
        <v>0.12190516627779741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9" sqref="Q9:Q3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293</v>
      </c>
      <c r="B9" s="50">
        <v>8.2899999999999991</v>
      </c>
      <c r="C9" s="50">
        <v>3.31</v>
      </c>
      <c r="D9" s="50">
        <v>12.15</v>
      </c>
      <c r="E9" s="50">
        <v>4.57</v>
      </c>
      <c r="F9" s="50">
        <v>4</v>
      </c>
      <c r="G9" s="50">
        <v>20.98</v>
      </c>
      <c r="H9" s="50">
        <v>7.59</v>
      </c>
      <c r="I9" s="50">
        <v>4.4800000000000004</v>
      </c>
      <c r="J9" s="50">
        <v>0.3</v>
      </c>
      <c r="K9" s="50">
        <v>321.11</v>
      </c>
      <c r="L9" s="50">
        <v>23.52</v>
      </c>
      <c r="M9" s="50">
        <v>95.84</v>
      </c>
      <c r="N9" s="50">
        <v>17.899999999999999</v>
      </c>
      <c r="O9" s="50">
        <v>0</v>
      </c>
      <c r="P9" s="50">
        <v>0.43</v>
      </c>
      <c r="Q9" s="62" t="s">
        <v>15</v>
      </c>
      <c r="R9" s="43"/>
      <c r="S9" s="43"/>
      <c r="T9" s="43"/>
      <c r="U9" s="43"/>
    </row>
    <row r="10" spans="1:21" s="11" customFormat="1" x14ac:dyDescent="0.25">
      <c r="A10" s="49" t="s">
        <v>294</v>
      </c>
      <c r="B10" s="50">
        <v>8.24</v>
      </c>
      <c r="C10" s="50">
        <v>3.15</v>
      </c>
      <c r="D10" s="50">
        <v>12.02</v>
      </c>
      <c r="E10" s="50">
        <v>4.6399999999999997</v>
      </c>
      <c r="F10" s="50">
        <v>4.04</v>
      </c>
      <c r="G10" s="50">
        <v>15.39</v>
      </c>
      <c r="H10" s="50">
        <v>5.31</v>
      </c>
      <c r="I10" s="50">
        <v>3.74</v>
      </c>
      <c r="J10" s="50">
        <v>0.55000000000000004</v>
      </c>
      <c r="K10" s="50">
        <v>353.78</v>
      </c>
      <c r="L10" s="50">
        <v>22.84</v>
      </c>
      <c r="M10" s="50">
        <v>98.33</v>
      </c>
      <c r="N10" s="50">
        <v>17.8</v>
      </c>
      <c r="O10" s="50">
        <v>0</v>
      </c>
      <c r="P10" s="50">
        <v>0.36</v>
      </c>
      <c r="Q10" s="62" t="s">
        <v>15</v>
      </c>
      <c r="R10" s="43"/>
      <c r="S10" s="43"/>
      <c r="T10" s="43"/>
      <c r="U10" s="43"/>
    </row>
    <row r="11" spans="1:21" s="11" customFormat="1" x14ac:dyDescent="0.25">
      <c r="A11" s="49" t="s">
        <v>295</v>
      </c>
      <c r="B11" s="50">
        <v>8.2799999999999994</v>
      </c>
      <c r="C11" s="50">
        <v>3.21</v>
      </c>
      <c r="D11" s="50">
        <v>12.09</v>
      </c>
      <c r="E11" s="50">
        <v>4.59</v>
      </c>
      <c r="F11" s="50">
        <v>4.04</v>
      </c>
      <c r="G11" s="50">
        <v>14.29</v>
      </c>
      <c r="H11" s="50">
        <v>5.16</v>
      </c>
      <c r="I11" s="50">
        <v>3.72</v>
      </c>
      <c r="J11" s="50">
        <v>0.34</v>
      </c>
      <c r="K11" s="50">
        <v>353.78</v>
      </c>
      <c r="L11" s="50">
        <v>22.68</v>
      </c>
      <c r="M11" s="50">
        <v>98.33</v>
      </c>
      <c r="N11" s="50">
        <v>17.7</v>
      </c>
      <c r="O11" s="50">
        <v>0</v>
      </c>
      <c r="P11" s="50">
        <v>0.35</v>
      </c>
      <c r="Q11" s="62" t="s">
        <v>15</v>
      </c>
      <c r="R11" s="43"/>
      <c r="S11" s="43"/>
      <c r="T11" s="43"/>
      <c r="U11" s="43"/>
    </row>
    <row r="12" spans="1:21" s="11" customFormat="1" x14ac:dyDescent="0.25">
      <c r="A12" s="49" t="s">
        <v>296</v>
      </c>
      <c r="B12" s="50">
        <v>8.26</v>
      </c>
      <c r="C12" s="50">
        <v>3.25</v>
      </c>
      <c r="D12" s="50">
        <v>12.1</v>
      </c>
      <c r="E12" s="50">
        <v>5.03</v>
      </c>
      <c r="F12" s="50">
        <v>4.4400000000000004</v>
      </c>
      <c r="G12" s="50">
        <v>10.64</v>
      </c>
      <c r="H12" s="50">
        <v>3.5</v>
      </c>
      <c r="I12" s="50">
        <v>3.84</v>
      </c>
      <c r="J12" s="50">
        <v>0.52</v>
      </c>
      <c r="K12" s="50">
        <v>339.71</v>
      </c>
      <c r="L12" s="50">
        <v>22.42</v>
      </c>
      <c r="M12" s="50">
        <v>98.33</v>
      </c>
      <c r="N12" s="50">
        <v>17.7</v>
      </c>
      <c r="O12" s="50">
        <v>0</v>
      </c>
      <c r="P12" s="50">
        <v>0.33</v>
      </c>
      <c r="Q12" s="62" t="s">
        <v>15</v>
      </c>
      <c r="R12" s="43"/>
      <c r="S12" s="43"/>
      <c r="T12" s="43"/>
      <c r="U12" s="43"/>
    </row>
    <row r="13" spans="1:21" s="11" customFormat="1" x14ac:dyDescent="0.25">
      <c r="A13" s="49" t="s">
        <v>297</v>
      </c>
      <c r="B13" s="50">
        <v>8.2100000000000009</v>
      </c>
      <c r="C13" s="50">
        <v>3.19</v>
      </c>
      <c r="D13" s="50">
        <v>12.02</v>
      </c>
      <c r="E13" s="50">
        <v>5.33</v>
      </c>
      <c r="F13" s="50">
        <v>4.04</v>
      </c>
      <c r="G13" s="50">
        <v>11.01</v>
      </c>
      <c r="H13" s="50">
        <v>2.86</v>
      </c>
      <c r="I13" s="50">
        <v>3.41</v>
      </c>
      <c r="J13" s="50">
        <v>0.42</v>
      </c>
      <c r="K13" s="50">
        <v>200.57</v>
      </c>
      <c r="L13" s="50">
        <v>22.41</v>
      </c>
      <c r="M13" s="50">
        <v>98.33</v>
      </c>
      <c r="N13" s="50">
        <v>18.100000000000001</v>
      </c>
      <c r="O13" s="50">
        <v>0</v>
      </c>
      <c r="P13" s="50">
        <v>0.3</v>
      </c>
      <c r="Q13" s="62" t="s">
        <v>15</v>
      </c>
      <c r="R13" s="43"/>
      <c r="S13" s="43"/>
      <c r="T13" s="43"/>
      <c r="U13" s="43"/>
    </row>
    <row r="14" spans="1:21" s="11" customFormat="1" x14ac:dyDescent="0.25">
      <c r="A14" s="49" t="s">
        <v>298</v>
      </c>
      <c r="B14" s="50">
        <v>8.26</v>
      </c>
      <c r="C14" s="50">
        <v>3.28</v>
      </c>
      <c r="D14" s="50">
        <v>12.11</v>
      </c>
      <c r="E14" s="50">
        <v>5.39</v>
      </c>
      <c r="F14" s="50">
        <v>3.9</v>
      </c>
      <c r="G14" s="50">
        <v>11.47</v>
      </c>
      <c r="H14" s="50">
        <v>2.44</v>
      </c>
      <c r="I14" s="50">
        <v>3.2</v>
      </c>
      <c r="J14" s="50">
        <v>0.38</v>
      </c>
      <c r="K14" s="50">
        <v>179.58</v>
      </c>
      <c r="L14" s="50">
        <v>22.34</v>
      </c>
      <c r="M14" s="50">
        <v>98.35</v>
      </c>
      <c r="N14" s="50">
        <v>49.1</v>
      </c>
      <c r="O14" s="50">
        <v>0</v>
      </c>
      <c r="P14" s="50">
        <v>0.27</v>
      </c>
      <c r="Q14" s="62" t="s">
        <v>15</v>
      </c>
      <c r="R14" s="43"/>
      <c r="S14" s="43"/>
      <c r="T14" s="43"/>
      <c r="U14" s="43"/>
    </row>
    <row r="15" spans="1:21" s="11" customFormat="1" x14ac:dyDescent="0.25">
      <c r="A15" s="49" t="s">
        <v>299</v>
      </c>
      <c r="B15" s="50">
        <v>8.2899999999999991</v>
      </c>
      <c r="C15" s="50">
        <v>3.2</v>
      </c>
      <c r="D15" s="50">
        <v>12.09</v>
      </c>
      <c r="E15" s="50">
        <v>5.34</v>
      </c>
      <c r="F15" s="50">
        <v>3.49</v>
      </c>
      <c r="G15" s="50">
        <v>9.67</v>
      </c>
      <c r="H15" s="50">
        <v>1.82</v>
      </c>
      <c r="I15" s="50">
        <v>3.94</v>
      </c>
      <c r="J15" s="50">
        <v>0.49</v>
      </c>
      <c r="K15" s="50">
        <v>187.79</v>
      </c>
      <c r="L15" s="50">
        <v>23.92</v>
      </c>
      <c r="M15" s="50">
        <v>98.35</v>
      </c>
      <c r="N15" s="50">
        <v>234.6</v>
      </c>
      <c r="O15" s="50">
        <v>0</v>
      </c>
      <c r="P15" s="50">
        <v>0.26</v>
      </c>
      <c r="Q15" s="62" t="s">
        <v>15</v>
      </c>
      <c r="R15" s="43"/>
      <c r="S15" s="43"/>
      <c r="T15" s="43"/>
      <c r="U15" s="43"/>
    </row>
    <row r="16" spans="1:21" s="11" customFormat="1" x14ac:dyDescent="0.25">
      <c r="A16" s="49" t="s">
        <v>300</v>
      </c>
      <c r="B16" s="50">
        <v>8.2799999999999994</v>
      </c>
      <c r="C16" s="50">
        <v>3.26</v>
      </c>
      <c r="D16" s="50">
        <v>12.12</v>
      </c>
      <c r="E16" s="50">
        <v>5.55</v>
      </c>
      <c r="F16" s="50">
        <v>3.94</v>
      </c>
      <c r="G16" s="50">
        <v>11.4</v>
      </c>
      <c r="H16" s="50">
        <v>1.65</v>
      </c>
      <c r="I16" s="50">
        <v>4.3899999999999997</v>
      </c>
      <c r="J16" s="50">
        <v>0.87</v>
      </c>
      <c r="K16" s="50">
        <v>338.38</v>
      </c>
      <c r="L16" s="50">
        <v>24.84</v>
      </c>
      <c r="M16" s="50">
        <v>93.99</v>
      </c>
      <c r="N16" s="50">
        <v>274.2</v>
      </c>
      <c r="O16" s="50">
        <v>0</v>
      </c>
      <c r="P16" s="50">
        <v>0.26</v>
      </c>
      <c r="Q16" s="62" t="s">
        <v>15</v>
      </c>
      <c r="R16" s="43"/>
      <c r="S16" s="43"/>
      <c r="T16" s="43"/>
      <c r="U16" s="43"/>
    </row>
    <row r="17" spans="1:21" s="11" customFormat="1" x14ac:dyDescent="0.25">
      <c r="A17" s="49" t="s">
        <v>301</v>
      </c>
      <c r="B17" s="50">
        <v>8.25</v>
      </c>
      <c r="C17" s="50">
        <v>3.34</v>
      </c>
      <c r="D17" s="50">
        <v>12.14</v>
      </c>
      <c r="E17" s="50">
        <v>4.28</v>
      </c>
      <c r="F17" s="50">
        <v>4.01</v>
      </c>
      <c r="G17" s="50">
        <v>12.26</v>
      </c>
      <c r="H17" s="50">
        <v>1.64</v>
      </c>
      <c r="I17" s="50">
        <v>4.13</v>
      </c>
      <c r="J17" s="50">
        <v>0.33</v>
      </c>
      <c r="K17" s="50">
        <v>202.84</v>
      </c>
      <c r="L17" s="50">
        <v>25.54</v>
      </c>
      <c r="M17" s="50">
        <v>90.78</v>
      </c>
      <c r="N17" s="50">
        <v>303.89999999999998</v>
      </c>
      <c r="O17" s="50">
        <v>0</v>
      </c>
      <c r="P17" s="50">
        <v>0.26</v>
      </c>
      <c r="Q17" s="62" t="s">
        <v>15</v>
      </c>
      <c r="R17" s="43"/>
      <c r="S17" s="43"/>
      <c r="T17" s="43"/>
      <c r="U17" s="43"/>
    </row>
    <row r="18" spans="1:21" s="11" customFormat="1" x14ac:dyDescent="0.25">
      <c r="A18" s="49" t="s">
        <v>302</v>
      </c>
      <c r="B18" s="50">
        <v>8.2200000000000006</v>
      </c>
      <c r="C18" s="50">
        <v>3.28</v>
      </c>
      <c r="D18" s="50">
        <v>12.07</v>
      </c>
      <c r="E18" s="50">
        <v>4.16</v>
      </c>
      <c r="F18" s="50">
        <v>4.6900000000000004</v>
      </c>
      <c r="G18" s="50">
        <v>13.1</v>
      </c>
      <c r="H18" s="50">
        <v>1.48</v>
      </c>
      <c r="I18" s="50">
        <v>3.64</v>
      </c>
      <c r="J18" s="50">
        <v>0.41</v>
      </c>
      <c r="K18" s="50">
        <v>339.57</v>
      </c>
      <c r="L18" s="50">
        <v>26.82</v>
      </c>
      <c r="M18" s="50">
        <v>87.46</v>
      </c>
      <c r="N18" s="50">
        <v>142.19999999999999</v>
      </c>
      <c r="O18" s="50">
        <v>0</v>
      </c>
      <c r="P18" s="50">
        <v>0.28000000000000003</v>
      </c>
      <c r="Q18" s="62" t="s">
        <v>15</v>
      </c>
      <c r="R18" s="43"/>
      <c r="S18" s="43"/>
      <c r="T18" s="43"/>
      <c r="U18" s="43"/>
    </row>
    <row r="19" spans="1:21" s="11" customFormat="1" x14ac:dyDescent="0.25">
      <c r="A19" s="49" t="s">
        <v>303</v>
      </c>
      <c r="B19" s="50">
        <v>8.23</v>
      </c>
      <c r="C19" s="50">
        <v>3.29</v>
      </c>
      <c r="D19" s="50">
        <v>12.09</v>
      </c>
      <c r="E19" s="50">
        <v>4.29</v>
      </c>
      <c r="F19" s="50">
        <v>5.68</v>
      </c>
      <c r="G19" s="50">
        <v>17.54</v>
      </c>
      <c r="H19" s="50">
        <v>1.89</v>
      </c>
      <c r="I19" s="50">
        <v>2.84</v>
      </c>
      <c r="J19" s="50">
        <v>0.42</v>
      </c>
      <c r="K19" s="50">
        <v>353.01</v>
      </c>
      <c r="L19" s="50">
        <v>30.52</v>
      </c>
      <c r="M19" s="50">
        <v>78.5</v>
      </c>
      <c r="N19" s="50">
        <v>639.70000000000005</v>
      </c>
      <c r="O19" s="50">
        <v>0</v>
      </c>
      <c r="P19" s="50">
        <v>0.3</v>
      </c>
      <c r="Q19" s="62" t="s">
        <v>15</v>
      </c>
      <c r="R19" s="43"/>
      <c r="S19" s="43"/>
      <c r="T19" s="43"/>
      <c r="U19" s="43"/>
    </row>
    <row r="20" spans="1:21" s="11" customFormat="1" x14ac:dyDescent="0.25">
      <c r="A20" s="49" t="s">
        <v>304</v>
      </c>
      <c r="B20" s="50">
        <v>8.24</v>
      </c>
      <c r="C20" s="50">
        <v>3.21</v>
      </c>
      <c r="D20" s="50">
        <v>12.06</v>
      </c>
      <c r="E20" s="50">
        <v>4.49</v>
      </c>
      <c r="F20" s="50">
        <v>10.74</v>
      </c>
      <c r="G20" s="50">
        <v>19.079999999999998</v>
      </c>
      <c r="H20" s="50">
        <v>4.55</v>
      </c>
      <c r="I20" s="50">
        <v>2.68</v>
      </c>
      <c r="J20" s="50">
        <v>0.54</v>
      </c>
      <c r="K20" s="50">
        <v>342.99</v>
      </c>
      <c r="L20" s="50">
        <v>29.43</v>
      </c>
      <c r="M20" s="50">
        <v>73.03</v>
      </c>
      <c r="N20" s="50">
        <v>624.70000000000005</v>
      </c>
      <c r="O20" s="50">
        <v>0</v>
      </c>
      <c r="P20" s="50">
        <v>0.31</v>
      </c>
      <c r="Q20" s="62" t="s">
        <v>15</v>
      </c>
      <c r="R20" s="43"/>
      <c r="S20" s="43"/>
      <c r="T20" s="43"/>
      <c r="U20" s="43"/>
    </row>
    <row r="21" spans="1:21" s="11" customFormat="1" x14ac:dyDescent="0.25">
      <c r="A21" s="49" t="s">
        <v>305</v>
      </c>
      <c r="B21" s="50">
        <v>8.2200000000000006</v>
      </c>
      <c r="C21" s="50">
        <v>3.28</v>
      </c>
      <c r="D21" s="50">
        <v>12.08</v>
      </c>
      <c r="E21" s="50">
        <v>5.13</v>
      </c>
      <c r="F21" s="50">
        <v>5.78</v>
      </c>
      <c r="G21" s="50">
        <v>84.63</v>
      </c>
      <c r="H21" s="50">
        <v>10.23</v>
      </c>
      <c r="I21" s="50">
        <v>2.2400000000000002</v>
      </c>
      <c r="J21" s="50">
        <v>0.72</v>
      </c>
      <c r="K21" s="50">
        <v>327.71</v>
      </c>
      <c r="L21" s="50">
        <v>30.63</v>
      </c>
      <c r="M21" s="50">
        <v>74.400000000000006</v>
      </c>
      <c r="N21" s="50">
        <v>363.5</v>
      </c>
      <c r="O21" s="50">
        <v>0</v>
      </c>
      <c r="P21" s="50">
        <v>0.44</v>
      </c>
      <c r="Q21" s="62" t="s">
        <v>15</v>
      </c>
      <c r="R21" s="43"/>
      <c r="S21" s="43"/>
      <c r="T21" s="43"/>
      <c r="U21" s="43"/>
    </row>
    <row r="22" spans="1:21" s="11" customFormat="1" x14ac:dyDescent="0.25">
      <c r="A22" s="49" t="s">
        <v>306</v>
      </c>
      <c r="B22" s="50">
        <v>8.34</v>
      </c>
      <c r="C22" s="50">
        <v>3.39</v>
      </c>
      <c r="D22" s="50">
        <v>12.23</v>
      </c>
      <c r="E22" s="50">
        <v>5.75</v>
      </c>
      <c r="F22" s="50">
        <v>5.86</v>
      </c>
      <c r="G22" s="50">
        <v>162.78</v>
      </c>
      <c r="H22" s="50">
        <v>14.17</v>
      </c>
      <c r="I22" s="50">
        <v>2.77</v>
      </c>
      <c r="J22" s="50">
        <v>0.64</v>
      </c>
      <c r="K22" s="50">
        <v>339.53</v>
      </c>
      <c r="L22" s="50">
        <v>28.04</v>
      </c>
      <c r="M22" s="50">
        <v>94.47</v>
      </c>
      <c r="N22" s="50">
        <v>454.4</v>
      </c>
      <c r="O22" s="50">
        <v>0.2</v>
      </c>
      <c r="P22" s="50">
        <v>0.45</v>
      </c>
      <c r="Q22" s="62" t="s">
        <v>15</v>
      </c>
      <c r="R22" s="43"/>
      <c r="S22" s="43"/>
      <c r="T22" s="43"/>
      <c r="U22" s="43"/>
    </row>
    <row r="23" spans="1:21" s="11" customFormat="1" x14ac:dyDescent="0.25">
      <c r="A23" s="49" t="s">
        <v>307</v>
      </c>
      <c r="B23" s="50">
        <v>8.36</v>
      </c>
      <c r="C23" s="50">
        <v>3.43</v>
      </c>
      <c r="D23" s="50">
        <v>12.27</v>
      </c>
      <c r="E23" s="50">
        <v>5.13</v>
      </c>
      <c r="F23" s="50">
        <v>5.59</v>
      </c>
      <c r="G23" s="50">
        <v>48</v>
      </c>
      <c r="H23" s="50">
        <v>15.87</v>
      </c>
      <c r="I23" s="50">
        <v>2.36</v>
      </c>
      <c r="J23" s="50">
        <v>0.63</v>
      </c>
      <c r="K23" s="50">
        <v>324.5</v>
      </c>
      <c r="L23" s="50">
        <v>29.57</v>
      </c>
      <c r="M23" s="50">
        <v>86.08</v>
      </c>
      <c r="N23" s="50">
        <v>597.6</v>
      </c>
      <c r="O23" s="50">
        <v>0</v>
      </c>
      <c r="P23" s="50">
        <v>0.55000000000000004</v>
      </c>
      <c r="Q23" s="62" t="s">
        <v>15</v>
      </c>
      <c r="R23" s="43"/>
      <c r="S23" s="43"/>
      <c r="T23" s="43"/>
      <c r="U23" s="43"/>
    </row>
    <row r="24" spans="1:21" s="11" customFormat="1" x14ac:dyDescent="0.25">
      <c r="A24" s="49" t="s">
        <v>308</v>
      </c>
      <c r="B24" s="50">
        <v>8.34</v>
      </c>
      <c r="C24" s="50">
        <v>3.29</v>
      </c>
      <c r="D24" s="50">
        <v>12.19</v>
      </c>
      <c r="E24" s="50">
        <v>5.25</v>
      </c>
      <c r="F24" s="50">
        <v>3.91</v>
      </c>
      <c r="G24" s="50">
        <v>90.6</v>
      </c>
      <c r="H24" s="50">
        <v>17.97</v>
      </c>
      <c r="I24" s="50">
        <v>2.83</v>
      </c>
      <c r="J24" s="50">
        <v>0.63</v>
      </c>
      <c r="K24" s="50">
        <v>340.73</v>
      </c>
      <c r="L24" s="50">
        <v>29.46</v>
      </c>
      <c r="M24" s="50">
        <v>78.099999999999994</v>
      </c>
      <c r="N24" s="50">
        <v>229.9</v>
      </c>
      <c r="O24" s="50">
        <v>0</v>
      </c>
      <c r="P24" s="50">
        <v>0.63</v>
      </c>
      <c r="Q24" s="62" t="s">
        <v>15</v>
      </c>
      <c r="R24" s="43"/>
      <c r="S24" s="43"/>
      <c r="T24" s="43"/>
      <c r="U24" s="43"/>
    </row>
    <row r="25" spans="1:21" s="11" customFormat="1" x14ac:dyDescent="0.25">
      <c r="A25" s="49" t="s">
        <v>309</v>
      </c>
      <c r="B25" s="50">
        <v>8.3699999999999992</v>
      </c>
      <c r="C25" s="50">
        <v>3.34</v>
      </c>
      <c r="D25" s="50">
        <v>12.23</v>
      </c>
      <c r="E25" s="50">
        <v>3.75</v>
      </c>
      <c r="F25" s="50">
        <v>4.83</v>
      </c>
      <c r="G25" s="50">
        <v>78.540000000000006</v>
      </c>
      <c r="H25" s="50">
        <v>18.399999999999999</v>
      </c>
      <c r="I25" s="50">
        <v>3.64</v>
      </c>
      <c r="J25" s="50">
        <v>0.52</v>
      </c>
      <c r="K25" s="50">
        <v>333.05</v>
      </c>
      <c r="L25" s="50">
        <v>28.96</v>
      </c>
      <c r="M25" s="50">
        <v>72.39</v>
      </c>
      <c r="N25" s="50">
        <v>138.9</v>
      </c>
      <c r="O25" s="50">
        <v>0</v>
      </c>
      <c r="P25" s="50">
        <v>0.71</v>
      </c>
      <c r="Q25" s="62" t="s">
        <v>15</v>
      </c>
      <c r="R25" s="43"/>
      <c r="S25" s="43"/>
      <c r="T25" s="43"/>
      <c r="U25" s="43"/>
    </row>
    <row r="26" spans="1:21" s="11" customFormat="1" x14ac:dyDescent="0.25">
      <c r="A26" s="49" t="s">
        <v>310</v>
      </c>
      <c r="B26" s="50">
        <v>8.3800000000000008</v>
      </c>
      <c r="C26" s="50">
        <v>3.47</v>
      </c>
      <c r="D26" s="50">
        <v>12.3</v>
      </c>
      <c r="E26" s="50">
        <v>4.0999999999999996</v>
      </c>
      <c r="F26" s="50">
        <v>3.81</v>
      </c>
      <c r="G26" s="50">
        <v>82.45</v>
      </c>
      <c r="H26" s="50">
        <v>16.41</v>
      </c>
      <c r="I26" s="50">
        <v>3.79</v>
      </c>
      <c r="J26" s="50">
        <v>0.5</v>
      </c>
      <c r="K26" s="50">
        <v>37.17</v>
      </c>
      <c r="L26" s="50">
        <v>28.21</v>
      </c>
      <c r="M26" s="50">
        <v>73.63</v>
      </c>
      <c r="N26" s="50">
        <v>75.5</v>
      </c>
      <c r="O26" s="50">
        <v>0</v>
      </c>
      <c r="P26" s="50">
        <v>0.75</v>
      </c>
      <c r="Q26" s="62" t="s">
        <v>15</v>
      </c>
      <c r="R26" s="43"/>
      <c r="S26" s="43"/>
      <c r="T26" s="43"/>
      <c r="U26" s="43"/>
    </row>
    <row r="27" spans="1:21" s="11" customFormat="1" x14ac:dyDescent="0.25">
      <c r="A27" s="49" t="s">
        <v>311</v>
      </c>
      <c r="B27" s="50">
        <v>8.3800000000000008</v>
      </c>
      <c r="C27" s="50">
        <v>3.43</v>
      </c>
      <c r="D27" s="50">
        <v>12.28</v>
      </c>
      <c r="E27" s="50">
        <v>4.0999999999999996</v>
      </c>
      <c r="F27" s="50">
        <v>4.29</v>
      </c>
      <c r="G27" s="50">
        <v>52.17</v>
      </c>
      <c r="H27" s="50">
        <v>15.98</v>
      </c>
      <c r="I27" s="50">
        <v>3.86</v>
      </c>
      <c r="J27" s="50">
        <v>0.45</v>
      </c>
      <c r="K27" s="50">
        <v>332.65</v>
      </c>
      <c r="L27" s="50">
        <v>27.97</v>
      </c>
      <c r="M27" s="50">
        <v>81.66</v>
      </c>
      <c r="N27" s="50">
        <v>37.299999999999997</v>
      </c>
      <c r="O27" s="50">
        <v>0</v>
      </c>
      <c r="P27" s="50">
        <v>0.77</v>
      </c>
      <c r="Q27" s="62" t="s">
        <v>15</v>
      </c>
      <c r="R27" s="43"/>
      <c r="S27" s="43"/>
      <c r="T27" s="43"/>
      <c r="U27" s="43"/>
    </row>
    <row r="28" spans="1:21" s="11" customFormat="1" x14ac:dyDescent="0.25">
      <c r="A28" s="49" t="s">
        <v>312</v>
      </c>
      <c r="B28" s="50">
        <v>8.3699999999999992</v>
      </c>
      <c r="C28" s="50">
        <v>3.29</v>
      </c>
      <c r="D28" s="50">
        <v>12.2</v>
      </c>
      <c r="E28" s="50">
        <v>5.56</v>
      </c>
      <c r="F28" s="50">
        <v>3.62</v>
      </c>
      <c r="G28" s="50">
        <v>103.1</v>
      </c>
      <c r="H28" s="50">
        <v>17.38</v>
      </c>
      <c r="I28" s="50">
        <v>4.5999999999999996</v>
      </c>
      <c r="J28" s="50">
        <v>1.89</v>
      </c>
      <c r="K28" s="50">
        <v>219.35</v>
      </c>
      <c r="L28" s="50">
        <v>27.18</v>
      </c>
      <c r="M28" s="50">
        <v>84.64</v>
      </c>
      <c r="N28" s="50">
        <v>17.3</v>
      </c>
      <c r="O28" s="50">
        <v>0</v>
      </c>
      <c r="P28" s="50">
        <v>0.7</v>
      </c>
      <c r="Q28" s="62" t="s">
        <v>15</v>
      </c>
      <c r="R28" s="43"/>
      <c r="S28" s="43"/>
      <c r="T28" s="43"/>
      <c r="U28" s="43"/>
    </row>
    <row r="29" spans="1:21" s="11" customFormat="1" x14ac:dyDescent="0.25">
      <c r="A29" s="49" t="s">
        <v>313</v>
      </c>
      <c r="B29" s="50">
        <v>8.3800000000000008</v>
      </c>
      <c r="C29" s="50">
        <v>3.35</v>
      </c>
      <c r="D29" s="50">
        <v>12.24</v>
      </c>
      <c r="E29" s="50">
        <v>5.82</v>
      </c>
      <c r="F29" s="50">
        <v>3.98</v>
      </c>
      <c r="G29" s="50">
        <v>67.05</v>
      </c>
      <c r="H29" s="50">
        <v>24.04</v>
      </c>
      <c r="I29" s="50">
        <v>5.86</v>
      </c>
      <c r="J29" s="50">
        <v>1.22</v>
      </c>
      <c r="K29" s="50">
        <v>172.48</v>
      </c>
      <c r="L29" s="50">
        <v>26.32</v>
      </c>
      <c r="M29" s="50">
        <v>86.47</v>
      </c>
      <c r="N29" s="50">
        <v>17.7</v>
      </c>
      <c r="O29" s="50">
        <v>0</v>
      </c>
      <c r="P29" s="50">
        <v>0.67</v>
      </c>
      <c r="Q29" s="62" t="s">
        <v>15</v>
      </c>
      <c r="R29" s="43"/>
      <c r="S29" s="43"/>
      <c r="T29" s="43"/>
      <c r="U29" s="43"/>
    </row>
    <row r="30" spans="1:21" s="11" customFormat="1" x14ac:dyDescent="0.25">
      <c r="A30" s="49" t="s">
        <v>314</v>
      </c>
      <c r="B30" s="50">
        <v>8.42</v>
      </c>
      <c r="C30" s="50">
        <v>3.46</v>
      </c>
      <c r="D30" s="50">
        <v>12.33</v>
      </c>
      <c r="E30" s="50">
        <v>5.95</v>
      </c>
      <c r="F30" s="50">
        <v>4.32</v>
      </c>
      <c r="G30" s="50">
        <v>40.51</v>
      </c>
      <c r="H30" s="50">
        <v>17.12</v>
      </c>
      <c r="I30" s="50">
        <v>6.43</v>
      </c>
      <c r="J30" s="50">
        <v>1.71</v>
      </c>
      <c r="K30" s="50">
        <v>156.36000000000001</v>
      </c>
      <c r="L30" s="50">
        <v>25.4</v>
      </c>
      <c r="M30" s="50">
        <v>91.53</v>
      </c>
      <c r="N30" s="50">
        <v>17.3</v>
      </c>
      <c r="O30" s="50">
        <v>0</v>
      </c>
      <c r="P30" s="50">
        <v>0.62</v>
      </c>
      <c r="Q30" s="62" t="s">
        <v>15</v>
      </c>
      <c r="R30" s="43"/>
      <c r="S30" s="43"/>
      <c r="T30" s="43"/>
      <c r="U30" s="43"/>
    </row>
    <row r="31" spans="1:21" s="11" customFormat="1" x14ac:dyDescent="0.25">
      <c r="A31" s="49" t="s">
        <v>315</v>
      </c>
      <c r="B31" s="50">
        <v>8.4</v>
      </c>
      <c r="C31" s="50">
        <v>3.39</v>
      </c>
      <c r="D31" s="50">
        <v>12.28</v>
      </c>
      <c r="E31" s="50">
        <v>5.84</v>
      </c>
      <c r="F31" s="50">
        <v>4.5199999999999996</v>
      </c>
      <c r="G31" s="50">
        <v>42</v>
      </c>
      <c r="H31" s="50">
        <v>13.77</v>
      </c>
      <c r="I31" s="50">
        <v>6.42</v>
      </c>
      <c r="J31" s="50">
        <v>0.48</v>
      </c>
      <c r="K31" s="50">
        <v>159.69999999999999</v>
      </c>
      <c r="L31" s="50">
        <v>25.45</v>
      </c>
      <c r="M31" s="50">
        <v>93.09</v>
      </c>
      <c r="N31" s="50">
        <v>17.399999999999999</v>
      </c>
      <c r="O31" s="50">
        <v>0</v>
      </c>
      <c r="P31" s="50">
        <v>0.55000000000000004</v>
      </c>
      <c r="Q31" s="62" t="s">
        <v>15</v>
      </c>
      <c r="R31" s="43"/>
      <c r="S31" s="43"/>
      <c r="T31" s="43"/>
      <c r="U31" s="43"/>
    </row>
    <row r="32" spans="1:21" s="11" customFormat="1" x14ac:dyDescent="0.25">
      <c r="A32" s="49" t="s">
        <v>316</v>
      </c>
      <c r="B32" s="50">
        <v>8.3699999999999992</v>
      </c>
      <c r="C32" s="50">
        <v>3.35</v>
      </c>
      <c r="D32" s="50">
        <v>12.23</v>
      </c>
      <c r="E32" s="50">
        <v>6.04</v>
      </c>
      <c r="F32" s="50">
        <v>3.79</v>
      </c>
      <c r="G32" s="50">
        <v>27.3</v>
      </c>
      <c r="H32" s="50">
        <v>14.55</v>
      </c>
      <c r="I32" s="50">
        <v>5.84</v>
      </c>
      <c r="J32" s="50">
        <v>0.55000000000000004</v>
      </c>
      <c r="K32" s="50">
        <v>247.35</v>
      </c>
      <c r="L32" s="50">
        <v>25.62</v>
      </c>
      <c r="M32" s="50">
        <v>90.65</v>
      </c>
      <c r="N32" s="50">
        <v>17.399999999999999</v>
      </c>
      <c r="O32" s="50">
        <v>0</v>
      </c>
      <c r="P32" s="50">
        <v>0.48</v>
      </c>
      <c r="Q32" s="62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8.2100000000000009</v>
      </c>
      <c r="C34" s="28">
        <f t="shared" si="0"/>
        <v>3.15</v>
      </c>
      <c r="D34" s="28">
        <f t="shared" si="0"/>
        <v>12.02</v>
      </c>
      <c r="E34" s="28">
        <f t="shared" si="0"/>
        <v>3.75</v>
      </c>
      <c r="F34" s="28">
        <f t="shared" si="0"/>
        <v>3.49</v>
      </c>
      <c r="G34" s="28">
        <f t="shared" si="0"/>
        <v>9.67</v>
      </c>
      <c r="H34" s="28">
        <f t="shared" si="0"/>
        <v>1.48</v>
      </c>
      <c r="I34" s="28">
        <f t="shared" si="0"/>
        <v>2.2400000000000002</v>
      </c>
      <c r="J34" s="28">
        <f t="shared" si="0"/>
        <v>0.3</v>
      </c>
      <c r="K34" s="28">
        <f t="shared" si="0"/>
        <v>37.17</v>
      </c>
      <c r="L34" s="28">
        <f t="shared" si="0"/>
        <v>22.34</v>
      </c>
      <c r="M34" s="28">
        <f t="shared" si="0"/>
        <v>72.39</v>
      </c>
      <c r="N34" s="28">
        <f t="shared" si="0"/>
        <v>17.3</v>
      </c>
      <c r="O34" s="28">
        <f t="shared" si="0"/>
        <v>0</v>
      </c>
      <c r="P34" s="28">
        <f t="shared" si="0"/>
        <v>0.26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8.42</v>
      </c>
      <c r="C35" s="29">
        <f t="shared" si="1"/>
        <v>3.47</v>
      </c>
      <c r="D35" s="29">
        <f t="shared" si="1"/>
        <v>12.33</v>
      </c>
      <c r="E35" s="29">
        <f t="shared" si="1"/>
        <v>6.04</v>
      </c>
      <c r="F35" s="29">
        <f t="shared" si="1"/>
        <v>10.74</v>
      </c>
      <c r="G35" s="29">
        <f t="shared" si="1"/>
        <v>162.78</v>
      </c>
      <c r="H35" s="29">
        <f t="shared" si="1"/>
        <v>24.04</v>
      </c>
      <c r="I35" s="29">
        <f t="shared" si="1"/>
        <v>6.43</v>
      </c>
      <c r="J35" s="29">
        <f t="shared" si="1"/>
        <v>1.89</v>
      </c>
      <c r="K35" s="29">
        <f t="shared" si="1"/>
        <v>353.78</v>
      </c>
      <c r="L35" s="29">
        <f t="shared" si="1"/>
        <v>30.63</v>
      </c>
      <c r="M35" s="29">
        <f t="shared" si="1"/>
        <v>98.35</v>
      </c>
      <c r="N35" s="29">
        <f t="shared" si="1"/>
        <v>639.70000000000005</v>
      </c>
      <c r="O35" s="29">
        <f t="shared" si="1"/>
        <v>0.2</v>
      </c>
      <c r="P35" s="29">
        <f t="shared" si="1"/>
        <v>0.77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8.3074999999999992</v>
      </c>
      <c r="C36" s="28">
        <f t="shared" si="2"/>
        <v>3.3099999999999992</v>
      </c>
      <c r="D36" s="28">
        <f t="shared" si="2"/>
        <v>12.163333333333334</v>
      </c>
      <c r="E36" s="28">
        <f t="shared" si="2"/>
        <v>5.003333333333333</v>
      </c>
      <c r="F36" s="28">
        <f t="shared" si="2"/>
        <v>4.6379166666666682</v>
      </c>
      <c r="G36" s="28">
        <f t="shared" si="2"/>
        <v>43.581666666666671</v>
      </c>
      <c r="H36" s="28">
        <f t="shared" si="2"/>
        <v>9.8241666666666667</v>
      </c>
      <c r="I36" s="28">
        <f t="shared" si="2"/>
        <v>3.9437499999999996</v>
      </c>
      <c r="J36" s="28">
        <f t="shared" si="2"/>
        <v>0.6462500000000001</v>
      </c>
      <c r="K36" s="28">
        <f t="shared" si="2"/>
        <v>270.98708333333332</v>
      </c>
      <c r="L36" s="28">
        <f t="shared" si="2"/>
        <v>26.253749999999997</v>
      </c>
      <c r="M36" s="28">
        <f t="shared" si="2"/>
        <v>88.197083333333339</v>
      </c>
      <c r="N36" s="28">
        <f t="shared" si="2"/>
        <v>180.9083333333333</v>
      </c>
      <c r="O36" s="28">
        <f t="shared" si="2"/>
        <v>8.3333333333333332E-3</v>
      </c>
      <c r="P36" s="28">
        <f t="shared" si="2"/>
        <v>0.45958333333333329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6.706583397644815E-2</v>
      </c>
      <c r="C37" s="28">
        <f t="shared" ref="C37:Q37" si="3">STDEV(C9:C32)</f>
        <v>8.7675290257512931E-2</v>
      </c>
      <c r="D37" s="28">
        <f t="shared" si="3"/>
        <v>9.3094933625126317E-2</v>
      </c>
      <c r="E37" s="28">
        <f t="shared" si="3"/>
        <v>0.68103288988231059</v>
      </c>
      <c r="F37" s="28">
        <f t="shared" si="3"/>
        <v>1.4739299115147761</v>
      </c>
      <c r="G37" s="28">
        <f t="shared" si="3"/>
        <v>39.571312914750521</v>
      </c>
      <c r="H37" s="28">
        <f t="shared" si="3"/>
        <v>7.1489871077423723</v>
      </c>
      <c r="I37" s="28">
        <f t="shared" si="3"/>
        <v>1.1893213720802975</v>
      </c>
      <c r="J37" s="28">
        <f t="shared" si="3"/>
        <v>0.4054070686413197</v>
      </c>
      <c r="K37" s="28">
        <f t="shared" si="3"/>
        <v>89.297374783904473</v>
      </c>
      <c r="L37" s="28">
        <f t="shared" si="3"/>
        <v>2.7473921429159898</v>
      </c>
      <c r="M37" s="28">
        <f t="shared" si="3"/>
        <v>9.1788246283482735</v>
      </c>
      <c r="N37" s="28">
        <f t="shared" si="3"/>
        <v>212.36688908516356</v>
      </c>
      <c r="O37" s="28">
        <f t="shared" si="3"/>
        <v>4.0824829046386311E-2</v>
      </c>
      <c r="P37" s="28">
        <f t="shared" si="3"/>
        <v>0.17669623077761051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317</v>
      </c>
      <c r="B9" s="54">
        <v>8.36</v>
      </c>
      <c r="C9" s="54">
        <v>3.27</v>
      </c>
      <c r="D9" s="54">
        <v>12.19</v>
      </c>
      <c r="E9" s="54">
        <v>4.8499999999999996</v>
      </c>
      <c r="F9" s="54">
        <v>3.56</v>
      </c>
      <c r="G9" s="54">
        <v>33.47</v>
      </c>
      <c r="H9" s="54">
        <v>14.59</v>
      </c>
      <c r="I9" s="54">
        <v>4.63</v>
      </c>
      <c r="J9" s="54">
        <v>0.59</v>
      </c>
      <c r="K9" s="54">
        <v>334.92</v>
      </c>
      <c r="L9" s="54">
        <v>24.94</v>
      </c>
      <c r="M9" s="54">
        <v>93.86</v>
      </c>
      <c r="N9" s="54">
        <v>17.2</v>
      </c>
      <c r="O9" s="54">
        <v>0</v>
      </c>
      <c r="P9" s="54">
        <v>0.41</v>
      </c>
      <c r="Q9" s="62" t="s">
        <v>15</v>
      </c>
      <c r="R9" s="43"/>
      <c r="S9" s="43"/>
      <c r="T9" s="43"/>
      <c r="U9" s="43"/>
    </row>
    <row r="10" spans="1:21" s="11" customFormat="1" x14ac:dyDescent="0.25">
      <c r="A10" s="53" t="s">
        <v>318</v>
      </c>
      <c r="B10" s="54">
        <v>8.35</v>
      </c>
      <c r="C10" s="54">
        <v>3.24</v>
      </c>
      <c r="D10" s="54">
        <v>12.16</v>
      </c>
      <c r="E10" s="54">
        <v>4.88</v>
      </c>
      <c r="F10" s="54">
        <v>4.25</v>
      </c>
      <c r="G10" s="54">
        <v>23.06</v>
      </c>
      <c r="H10" s="54">
        <v>14.31</v>
      </c>
      <c r="I10" s="54">
        <v>4.83</v>
      </c>
      <c r="J10" s="54">
        <v>0.35</v>
      </c>
      <c r="K10" s="54">
        <v>357.31</v>
      </c>
      <c r="L10" s="54">
        <v>24.35</v>
      </c>
      <c r="M10" s="54">
        <v>95.81</v>
      </c>
      <c r="N10" s="54">
        <v>17.2</v>
      </c>
      <c r="O10" s="54">
        <v>0</v>
      </c>
      <c r="P10" s="54">
        <v>0.36</v>
      </c>
      <c r="Q10" s="62" t="s">
        <v>15</v>
      </c>
      <c r="R10" s="43"/>
      <c r="S10" s="43"/>
      <c r="T10" s="43"/>
      <c r="U10" s="43"/>
    </row>
    <row r="11" spans="1:21" s="11" customFormat="1" x14ac:dyDescent="0.25">
      <c r="A11" s="53" t="s">
        <v>319</v>
      </c>
      <c r="B11" s="54">
        <v>8.36</v>
      </c>
      <c r="C11" s="54">
        <v>3.32</v>
      </c>
      <c r="D11" s="54">
        <v>12.22</v>
      </c>
      <c r="E11" s="54">
        <v>4.92</v>
      </c>
      <c r="F11" s="54">
        <v>4.83</v>
      </c>
      <c r="G11" s="54">
        <v>18</v>
      </c>
      <c r="H11" s="54">
        <v>12.7</v>
      </c>
      <c r="I11" s="54">
        <v>4.9400000000000004</v>
      </c>
      <c r="J11" s="54">
        <v>0.53</v>
      </c>
      <c r="K11" s="54">
        <v>359.39</v>
      </c>
      <c r="L11" s="54">
        <v>24.11</v>
      </c>
      <c r="M11" s="54">
        <v>96.92</v>
      </c>
      <c r="N11" s="54">
        <v>17</v>
      </c>
      <c r="O11" s="54">
        <v>0</v>
      </c>
      <c r="P11" s="54">
        <v>0.35</v>
      </c>
      <c r="Q11" s="62" t="s">
        <v>15</v>
      </c>
      <c r="R11" s="43"/>
      <c r="S11" s="43"/>
      <c r="T11" s="43"/>
      <c r="U11" s="43"/>
    </row>
    <row r="12" spans="1:21" s="11" customFormat="1" x14ac:dyDescent="0.25">
      <c r="A12" s="53" t="s">
        <v>320</v>
      </c>
      <c r="B12" s="54">
        <v>8.35</v>
      </c>
      <c r="C12" s="54">
        <v>3.29</v>
      </c>
      <c r="D12" s="54">
        <v>12.19</v>
      </c>
      <c r="E12" s="54">
        <v>4.83</v>
      </c>
      <c r="F12" s="54">
        <v>4.49</v>
      </c>
      <c r="G12" s="54">
        <v>21.4</v>
      </c>
      <c r="H12" s="54">
        <v>9.1</v>
      </c>
      <c r="I12" s="54">
        <v>4.28</v>
      </c>
      <c r="J12" s="54">
        <v>0.51</v>
      </c>
      <c r="K12" s="54">
        <v>354.19</v>
      </c>
      <c r="L12" s="54">
        <v>23.85</v>
      </c>
      <c r="M12" s="54">
        <v>98.3</v>
      </c>
      <c r="N12" s="54">
        <v>17</v>
      </c>
      <c r="O12" s="54">
        <v>0</v>
      </c>
      <c r="P12" s="54">
        <v>0.31</v>
      </c>
      <c r="Q12" s="62" t="s">
        <v>15</v>
      </c>
      <c r="R12" s="43"/>
      <c r="S12" s="43"/>
      <c r="T12" s="43"/>
      <c r="U12" s="43"/>
    </row>
    <row r="13" spans="1:21" s="11" customFormat="1" x14ac:dyDescent="0.25">
      <c r="A13" s="53" t="s">
        <v>321</v>
      </c>
      <c r="B13" s="54">
        <v>8.36</v>
      </c>
      <c r="C13" s="54">
        <v>3.35</v>
      </c>
      <c r="D13" s="54">
        <v>12.22</v>
      </c>
      <c r="E13" s="54">
        <v>4.28</v>
      </c>
      <c r="F13" s="54">
        <v>3.98</v>
      </c>
      <c r="G13" s="54">
        <v>20.059999999999999</v>
      </c>
      <c r="H13" s="54">
        <v>6.91</v>
      </c>
      <c r="I13" s="54">
        <v>3.8</v>
      </c>
      <c r="J13" s="54">
        <v>0.4</v>
      </c>
      <c r="K13" s="54">
        <v>350.61</v>
      </c>
      <c r="L13" s="54">
        <v>23.68</v>
      </c>
      <c r="M13" s="54">
        <v>98.33</v>
      </c>
      <c r="N13" s="54">
        <v>17.3</v>
      </c>
      <c r="O13" s="54">
        <v>0</v>
      </c>
      <c r="P13" s="54">
        <v>0.27</v>
      </c>
      <c r="Q13" s="62" t="s">
        <v>15</v>
      </c>
      <c r="R13" s="43"/>
      <c r="S13" s="43"/>
      <c r="T13" s="43"/>
      <c r="U13" s="43"/>
    </row>
    <row r="14" spans="1:21" s="11" customFormat="1" x14ac:dyDescent="0.25">
      <c r="A14" s="53" t="s">
        <v>322</v>
      </c>
      <c r="B14" s="54">
        <v>8.3699999999999992</v>
      </c>
      <c r="C14" s="54">
        <v>3.23</v>
      </c>
      <c r="D14" s="54">
        <v>12.18</v>
      </c>
      <c r="E14" s="54">
        <v>3.98</v>
      </c>
      <c r="F14" s="54">
        <v>3.72</v>
      </c>
      <c r="G14" s="54">
        <v>24.35</v>
      </c>
      <c r="H14" s="54">
        <v>4.84</v>
      </c>
      <c r="I14" s="54">
        <v>4.4800000000000004</v>
      </c>
      <c r="J14" s="54">
        <v>0.43</v>
      </c>
      <c r="K14" s="54">
        <v>251.97</v>
      </c>
      <c r="L14" s="54">
        <v>23.46</v>
      </c>
      <c r="M14" s="54">
        <v>98.33</v>
      </c>
      <c r="N14" s="54">
        <v>46.6</v>
      </c>
      <c r="O14" s="54">
        <v>0</v>
      </c>
      <c r="P14" s="54">
        <v>0.25</v>
      </c>
      <c r="Q14" s="62" t="s">
        <v>15</v>
      </c>
      <c r="R14" s="43"/>
      <c r="S14" s="43"/>
      <c r="T14" s="43"/>
      <c r="U14" s="43"/>
    </row>
    <row r="15" spans="1:21" s="11" customFormat="1" x14ac:dyDescent="0.25">
      <c r="A15" s="53" t="s">
        <v>323</v>
      </c>
      <c r="B15" s="54">
        <v>8.36</v>
      </c>
      <c r="C15" s="54">
        <v>3.28</v>
      </c>
      <c r="D15" s="54">
        <v>12.19</v>
      </c>
      <c r="E15" s="54">
        <v>4.22</v>
      </c>
      <c r="F15" s="54">
        <v>4.29</v>
      </c>
      <c r="G15" s="54">
        <v>29.89</v>
      </c>
      <c r="H15" s="54">
        <v>3.39</v>
      </c>
      <c r="I15" s="54">
        <v>5.09</v>
      </c>
      <c r="J15" s="54">
        <v>0.49</v>
      </c>
      <c r="K15" s="54">
        <v>346.38</v>
      </c>
      <c r="L15" s="54">
        <v>24.26</v>
      </c>
      <c r="M15" s="54">
        <v>98.33</v>
      </c>
      <c r="N15" s="54">
        <v>107.6</v>
      </c>
      <c r="O15" s="54">
        <v>0</v>
      </c>
      <c r="P15" s="54">
        <v>0.26</v>
      </c>
      <c r="Q15" s="62" t="s">
        <v>15</v>
      </c>
      <c r="R15" s="43"/>
      <c r="S15" s="43"/>
      <c r="T15" s="43"/>
      <c r="U15" s="43"/>
    </row>
    <row r="16" spans="1:21" s="11" customFormat="1" x14ac:dyDescent="0.25">
      <c r="A16" s="53" t="s">
        <v>324</v>
      </c>
      <c r="B16" s="54">
        <v>8.4</v>
      </c>
      <c r="C16" s="54">
        <v>3.44</v>
      </c>
      <c r="D16" s="54">
        <v>12.31</v>
      </c>
      <c r="E16" s="54">
        <v>4.28</v>
      </c>
      <c r="F16" s="54">
        <v>4.75</v>
      </c>
      <c r="G16" s="54">
        <v>36.369999999999997</v>
      </c>
      <c r="H16" s="54">
        <v>9.2899999999999991</v>
      </c>
      <c r="I16" s="54">
        <v>5.03</v>
      </c>
      <c r="J16" s="54">
        <v>0.5</v>
      </c>
      <c r="K16" s="54">
        <v>355.16</v>
      </c>
      <c r="L16" s="54">
        <v>24.95</v>
      </c>
      <c r="M16" s="54">
        <v>96.61</v>
      </c>
      <c r="N16" s="54">
        <v>87.3</v>
      </c>
      <c r="O16" s="54">
        <v>0</v>
      </c>
      <c r="P16" s="54">
        <v>0.27</v>
      </c>
      <c r="Q16" s="62" t="s">
        <v>15</v>
      </c>
      <c r="R16" s="43"/>
      <c r="S16" s="43"/>
      <c r="T16" s="43"/>
      <c r="U16" s="43"/>
    </row>
    <row r="17" spans="1:21" s="11" customFormat="1" x14ac:dyDescent="0.25">
      <c r="A17" s="53" t="s">
        <v>325</v>
      </c>
      <c r="B17" s="54">
        <v>8.34</v>
      </c>
      <c r="C17" s="54">
        <v>3.3</v>
      </c>
      <c r="D17" s="54">
        <v>12.19</v>
      </c>
      <c r="E17" s="54">
        <v>4.82</v>
      </c>
      <c r="F17" s="54">
        <v>4.59</v>
      </c>
      <c r="G17" s="54">
        <v>43.08</v>
      </c>
      <c r="H17" s="54">
        <v>16.86</v>
      </c>
      <c r="I17" s="54">
        <v>4.09</v>
      </c>
      <c r="J17" s="54">
        <v>0.49</v>
      </c>
      <c r="K17" s="54">
        <v>354.3</v>
      </c>
      <c r="L17" s="54">
        <v>25.74</v>
      </c>
      <c r="M17" s="54">
        <v>92.31</v>
      </c>
      <c r="N17" s="54">
        <v>135.1</v>
      </c>
      <c r="O17" s="54">
        <v>0</v>
      </c>
      <c r="P17" s="54">
        <v>0.27</v>
      </c>
      <c r="Q17" s="62" t="s">
        <v>15</v>
      </c>
      <c r="R17" s="43"/>
      <c r="S17" s="43"/>
      <c r="T17" s="43"/>
      <c r="U17" s="43"/>
    </row>
    <row r="18" spans="1:21" s="11" customFormat="1" x14ac:dyDescent="0.25">
      <c r="A18" s="53" t="s">
        <v>326</v>
      </c>
      <c r="B18" s="54">
        <v>8.3800000000000008</v>
      </c>
      <c r="C18" s="54">
        <v>3.39</v>
      </c>
      <c r="D18" s="54">
        <v>12.26</v>
      </c>
      <c r="E18" s="54">
        <v>4.8</v>
      </c>
      <c r="F18" s="54">
        <v>4.47</v>
      </c>
      <c r="G18" s="54">
        <v>46.83</v>
      </c>
      <c r="H18" s="54">
        <v>11.47</v>
      </c>
      <c r="I18" s="54">
        <v>3.43</v>
      </c>
      <c r="J18" s="54">
        <v>0.68</v>
      </c>
      <c r="K18" s="54">
        <v>359.71</v>
      </c>
      <c r="L18" s="54">
        <v>27.92</v>
      </c>
      <c r="M18" s="54">
        <v>89.69</v>
      </c>
      <c r="N18" s="54">
        <v>415.3</v>
      </c>
      <c r="O18" s="54">
        <v>0</v>
      </c>
      <c r="P18" s="54">
        <v>0.28999999999999998</v>
      </c>
      <c r="Q18" s="62" t="s">
        <v>15</v>
      </c>
      <c r="R18" s="43"/>
      <c r="S18" s="43"/>
      <c r="T18" s="43"/>
      <c r="U18" s="43"/>
    </row>
    <row r="19" spans="1:21" s="11" customFormat="1" x14ac:dyDescent="0.25">
      <c r="A19" s="53" t="s">
        <v>327</v>
      </c>
      <c r="B19" s="54">
        <v>8.36</v>
      </c>
      <c r="C19" s="54">
        <v>3.34</v>
      </c>
      <c r="D19" s="54">
        <v>12.23</v>
      </c>
      <c r="E19" s="54">
        <v>4.7</v>
      </c>
      <c r="F19" s="54">
        <v>7.1</v>
      </c>
      <c r="G19" s="54">
        <v>38.69</v>
      </c>
      <c r="H19" s="54">
        <v>10.36</v>
      </c>
      <c r="I19" s="54">
        <v>2.62</v>
      </c>
      <c r="J19" s="54">
        <v>0.7</v>
      </c>
      <c r="K19" s="54">
        <v>349.47</v>
      </c>
      <c r="L19" s="54">
        <v>29</v>
      </c>
      <c r="M19" s="54">
        <v>78.010000000000005</v>
      </c>
      <c r="N19" s="54">
        <v>636.9</v>
      </c>
      <c r="O19" s="54">
        <v>0</v>
      </c>
      <c r="P19" s="54">
        <v>0.31</v>
      </c>
      <c r="Q19" s="62" t="s">
        <v>15</v>
      </c>
      <c r="R19" s="43"/>
      <c r="S19" s="43"/>
      <c r="T19" s="43"/>
      <c r="U19" s="43"/>
    </row>
    <row r="20" spans="1:21" s="11" customFormat="1" x14ac:dyDescent="0.25">
      <c r="A20" s="53" t="s">
        <v>328</v>
      </c>
      <c r="B20" s="54">
        <v>8.3000000000000007</v>
      </c>
      <c r="C20" s="54">
        <v>3.26</v>
      </c>
      <c r="D20" s="54">
        <v>12.13</v>
      </c>
      <c r="E20" s="54">
        <v>4.68</v>
      </c>
      <c r="F20" s="54">
        <v>7.23</v>
      </c>
      <c r="G20" s="60" t="s">
        <v>8</v>
      </c>
      <c r="H20" s="60" t="s">
        <v>8</v>
      </c>
      <c r="I20" s="54">
        <v>1.98</v>
      </c>
      <c r="J20" s="54">
        <v>0.63</v>
      </c>
      <c r="K20" s="54">
        <v>353.92</v>
      </c>
      <c r="L20" s="54">
        <v>30.02</v>
      </c>
      <c r="M20" s="54">
        <v>76.03</v>
      </c>
      <c r="N20" s="54">
        <v>830</v>
      </c>
      <c r="O20" s="54">
        <v>0</v>
      </c>
      <c r="P20" s="54">
        <v>0.32</v>
      </c>
      <c r="Q20" s="62" t="s">
        <v>15</v>
      </c>
      <c r="R20" s="43"/>
      <c r="S20" s="43"/>
      <c r="T20" s="43"/>
      <c r="U20" s="43"/>
    </row>
    <row r="21" spans="1:21" s="11" customFormat="1" x14ac:dyDescent="0.25">
      <c r="A21" s="53" t="s">
        <v>329</v>
      </c>
      <c r="B21" s="54">
        <v>8.33</v>
      </c>
      <c r="C21" s="54">
        <v>3.31</v>
      </c>
      <c r="D21" s="54">
        <v>12.18</v>
      </c>
      <c r="E21" s="54">
        <v>3.62</v>
      </c>
      <c r="F21" s="54">
        <v>6.26</v>
      </c>
      <c r="G21" s="60" t="s">
        <v>8</v>
      </c>
      <c r="H21" s="60" t="s">
        <v>8</v>
      </c>
      <c r="I21" s="54">
        <v>1.4</v>
      </c>
      <c r="J21" s="54">
        <v>0.8</v>
      </c>
      <c r="K21" s="54">
        <v>355.88</v>
      </c>
      <c r="L21" s="54">
        <v>30.03</v>
      </c>
      <c r="M21" s="54">
        <v>92.31</v>
      </c>
      <c r="N21" s="54">
        <v>349.9</v>
      </c>
      <c r="O21" s="54">
        <v>0.2</v>
      </c>
      <c r="P21" s="54">
        <v>0.3</v>
      </c>
      <c r="Q21" s="62" t="s">
        <v>15</v>
      </c>
      <c r="R21" s="43"/>
      <c r="S21" s="43"/>
      <c r="T21" s="43"/>
      <c r="U21" s="43"/>
    </row>
    <row r="22" spans="1:21" s="11" customFormat="1" x14ac:dyDescent="0.25">
      <c r="A22" s="53" t="s">
        <v>330</v>
      </c>
      <c r="B22" s="54">
        <v>8.36</v>
      </c>
      <c r="C22" s="54">
        <v>3.39</v>
      </c>
      <c r="D22" s="54">
        <v>12.25</v>
      </c>
      <c r="E22" s="54">
        <v>3.77</v>
      </c>
      <c r="F22" s="54">
        <v>6.74</v>
      </c>
      <c r="G22" s="60" t="s">
        <v>8</v>
      </c>
      <c r="H22" s="60" t="s">
        <v>8</v>
      </c>
      <c r="I22" s="54">
        <v>1.22</v>
      </c>
      <c r="J22" s="54">
        <v>0.69</v>
      </c>
      <c r="K22" s="54">
        <v>359.02</v>
      </c>
      <c r="L22" s="54">
        <v>28.53</v>
      </c>
      <c r="M22" s="54">
        <v>86.23</v>
      </c>
      <c r="N22" s="54">
        <v>853.8</v>
      </c>
      <c r="O22" s="54">
        <v>0</v>
      </c>
      <c r="P22" s="54">
        <v>0.33</v>
      </c>
      <c r="Q22" s="62" t="s">
        <v>15</v>
      </c>
      <c r="R22" s="43"/>
      <c r="S22" s="43"/>
      <c r="T22" s="43"/>
      <c r="U22" s="43"/>
    </row>
    <row r="23" spans="1:21" s="11" customFormat="1" x14ac:dyDescent="0.25">
      <c r="A23" s="53" t="s">
        <v>331</v>
      </c>
      <c r="B23" s="54">
        <v>8.33</v>
      </c>
      <c r="C23" s="54">
        <v>3.29</v>
      </c>
      <c r="D23" s="54">
        <v>12.17</v>
      </c>
      <c r="E23" s="54">
        <v>3.98</v>
      </c>
      <c r="F23" s="54">
        <v>8.23</v>
      </c>
      <c r="G23" s="60" t="s">
        <v>8</v>
      </c>
      <c r="H23" s="60" t="s">
        <v>8</v>
      </c>
      <c r="I23" s="54">
        <v>1.08</v>
      </c>
      <c r="J23" s="54">
        <v>0.48</v>
      </c>
      <c r="K23" s="54">
        <v>352.45</v>
      </c>
      <c r="L23" s="54">
        <v>28.6</v>
      </c>
      <c r="M23" s="54">
        <v>74.91</v>
      </c>
      <c r="N23" s="54">
        <v>714.1</v>
      </c>
      <c r="O23" s="54">
        <v>0</v>
      </c>
      <c r="P23" s="54">
        <v>0.33</v>
      </c>
      <c r="Q23" s="62" t="s">
        <v>15</v>
      </c>
      <c r="R23" s="43"/>
      <c r="S23" s="43"/>
      <c r="T23" s="43"/>
      <c r="U23" s="43"/>
    </row>
    <row r="24" spans="1:21" s="11" customFormat="1" x14ac:dyDescent="0.25">
      <c r="A24" s="53" t="s">
        <v>332</v>
      </c>
      <c r="B24" s="54">
        <v>8.33</v>
      </c>
      <c r="C24" s="54">
        <v>3.24</v>
      </c>
      <c r="D24" s="54">
        <v>12.14</v>
      </c>
      <c r="E24" s="54">
        <v>3.94</v>
      </c>
      <c r="F24" s="54">
        <v>6.32</v>
      </c>
      <c r="G24" s="60" t="s">
        <v>8</v>
      </c>
      <c r="H24" s="60" t="s">
        <v>8</v>
      </c>
      <c r="I24" s="54">
        <v>1.06</v>
      </c>
      <c r="J24" s="54">
        <v>0.57999999999999996</v>
      </c>
      <c r="K24" s="54">
        <v>357.65</v>
      </c>
      <c r="L24" s="54">
        <v>29.26</v>
      </c>
      <c r="M24" s="54">
        <v>73.75</v>
      </c>
      <c r="N24" s="54">
        <v>334.2</v>
      </c>
      <c r="O24" s="54">
        <v>0</v>
      </c>
      <c r="P24" s="54">
        <v>0.36</v>
      </c>
      <c r="Q24" s="62" t="s">
        <v>15</v>
      </c>
      <c r="R24" s="43"/>
      <c r="S24" s="43"/>
      <c r="T24" s="43"/>
      <c r="U24" s="43"/>
    </row>
    <row r="25" spans="1:21" s="11" customFormat="1" x14ac:dyDescent="0.25">
      <c r="A25" s="53" t="s">
        <v>333</v>
      </c>
      <c r="B25" s="54">
        <v>8.2899999999999991</v>
      </c>
      <c r="C25" s="54">
        <v>3.2</v>
      </c>
      <c r="D25" s="54">
        <v>12.09</v>
      </c>
      <c r="E25" s="54">
        <v>3.58</v>
      </c>
      <c r="F25" s="54">
        <v>5.81</v>
      </c>
      <c r="G25" s="60" t="s">
        <v>8</v>
      </c>
      <c r="H25" s="60" t="s">
        <v>8</v>
      </c>
      <c r="I25" s="54">
        <v>1.1599999999999999</v>
      </c>
      <c r="J25" s="54">
        <v>0.73</v>
      </c>
      <c r="K25" s="54">
        <v>357.57</v>
      </c>
      <c r="L25" s="54">
        <v>28.94</v>
      </c>
      <c r="M25" s="54">
        <v>72.61</v>
      </c>
      <c r="N25" s="54">
        <v>148.9</v>
      </c>
      <c r="O25" s="54">
        <v>0</v>
      </c>
      <c r="P25" s="54">
        <v>0.4</v>
      </c>
      <c r="Q25" s="62" t="s">
        <v>15</v>
      </c>
      <c r="R25" s="43"/>
      <c r="S25" s="43"/>
      <c r="T25" s="43"/>
      <c r="U25" s="43"/>
    </row>
    <row r="26" spans="1:21" s="11" customFormat="1" x14ac:dyDescent="0.25">
      <c r="A26" s="53" t="s">
        <v>334</v>
      </c>
      <c r="B26" s="54">
        <v>8.32</v>
      </c>
      <c r="C26" s="54">
        <v>3.38</v>
      </c>
      <c r="D26" s="54">
        <v>12.21</v>
      </c>
      <c r="E26" s="54">
        <v>3.69</v>
      </c>
      <c r="F26" s="54">
        <v>5.38</v>
      </c>
      <c r="G26" s="60" t="s">
        <v>8</v>
      </c>
      <c r="H26" s="60" t="s">
        <v>8</v>
      </c>
      <c r="I26" s="54">
        <v>1.26</v>
      </c>
      <c r="J26" s="54">
        <v>0.76</v>
      </c>
      <c r="K26" s="54">
        <v>25.51</v>
      </c>
      <c r="L26" s="54">
        <v>29.14</v>
      </c>
      <c r="M26" s="54">
        <v>73.97</v>
      </c>
      <c r="N26" s="54">
        <v>118.8</v>
      </c>
      <c r="O26" s="54">
        <v>0</v>
      </c>
      <c r="P26" s="54">
        <v>0.44</v>
      </c>
      <c r="Q26" s="62" t="s">
        <v>15</v>
      </c>
      <c r="R26" s="43"/>
      <c r="S26" s="43"/>
      <c r="T26" s="43"/>
      <c r="U26" s="43"/>
    </row>
    <row r="27" spans="1:21" s="11" customFormat="1" x14ac:dyDescent="0.25">
      <c r="A27" s="53" t="s">
        <v>335</v>
      </c>
      <c r="B27" s="54">
        <v>8.3000000000000007</v>
      </c>
      <c r="C27" s="54">
        <v>3.24</v>
      </c>
      <c r="D27" s="54">
        <v>12.12</v>
      </c>
      <c r="E27" s="54">
        <v>3.51</v>
      </c>
      <c r="F27" s="54">
        <v>4.07</v>
      </c>
      <c r="G27" s="60" t="s">
        <v>8</v>
      </c>
      <c r="H27" s="60" t="s">
        <v>8</v>
      </c>
      <c r="I27" s="54">
        <v>1.54</v>
      </c>
      <c r="J27" s="54">
        <v>0.71</v>
      </c>
      <c r="K27" s="54">
        <v>24.96</v>
      </c>
      <c r="L27" s="54">
        <v>27.96</v>
      </c>
      <c r="M27" s="54">
        <v>79.959999999999994</v>
      </c>
      <c r="N27" s="54">
        <v>30.6</v>
      </c>
      <c r="O27" s="54">
        <v>0</v>
      </c>
      <c r="P27" s="54">
        <v>0.5</v>
      </c>
      <c r="Q27" s="62" t="s">
        <v>15</v>
      </c>
      <c r="R27" s="43"/>
      <c r="S27" s="43"/>
      <c r="T27" s="43"/>
      <c r="U27" s="43"/>
    </row>
    <row r="28" spans="1:21" s="11" customFormat="1" x14ac:dyDescent="0.25">
      <c r="A28" s="53" t="s">
        <v>336</v>
      </c>
      <c r="B28" s="54">
        <v>8.3699999999999992</v>
      </c>
      <c r="C28" s="54">
        <v>3.38</v>
      </c>
      <c r="D28" s="54">
        <v>12.25</v>
      </c>
      <c r="E28" s="54">
        <v>3.61</v>
      </c>
      <c r="F28" s="54">
        <v>3.9</v>
      </c>
      <c r="G28" s="60" t="s">
        <v>8</v>
      </c>
      <c r="H28" s="60" t="s">
        <v>8</v>
      </c>
      <c r="I28" s="54">
        <v>1.97</v>
      </c>
      <c r="J28" s="54">
        <v>0.56999999999999995</v>
      </c>
      <c r="K28" s="54">
        <v>23.24</v>
      </c>
      <c r="L28" s="54">
        <v>27.13</v>
      </c>
      <c r="M28" s="54">
        <v>84.59</v>
      </c>
      <c r="N28" s="54">
        <v>17.600000000000001</v>
      </c>
      <c r="O28" s="54">
        <v>0</v>
      </c>
      <c r="P28" s="54">
        <v>0.47</v>
      </c>
      <c r="Q28" s="62" t="s">
        <v>15</v>
      </c>
      <c r="R28" s="43"/>
      <c r="S28" s="43"/>
      <c r="T28" s="43"/>
      <c r="U28" s="43"/>
    </row>
    <row r="29" spans="1:21" s="11" customFormat="1" x14ac:dyDescent="0.25">
      <c r="A29" s="53" t="s">
        <v>337</v>
      </c>
      <c r="B29" s="54">
        <v>8.36</v>
      </c>
      <c r="C29" s="54">
        <v>3.27</v>
      </c>
      <c r="D29" s="54">
        <v>12.19</v>
      </c>
      <c r="E29" s="54">
        <v>3.56</v>
      </c>
      <c r="F29" s="54">
        <v>4.42</v>
      </c>
      <c r="G29" s="60" t="s">
        <v>8</v>
      </c>
      <c r="H29" s="60" t="s">
        <v>8</v>
      </c>
      <c r="I29" s="54">
        <v>2.48</v>
      </c>
      <c r="J29" s="54">
        <v>0.61</v>
      </c>
      <c r="K29" s="54">
        <v>22.8</v>
      </c>
      <c r="L29" s="54">
        <v>25.61</v>
      </c>
      <c r="M29" s="54">
        <v>86.97</v>
      </c>
      <c r="N29" s="54">
        <v>16.399999999999999</v>
      </c>
      <c r="O29" s="54">
        <v>0</v>
      </c>
      <c r="P29" s="54">
        <v>0.52</v>
      </c>
      <c r="Q29" s="62" t="s">
        <v>15</v>
      </c>
      <c r="R29" s="43"/>
      <c r="S29" s="43"/>
      <c r="T29" s="43"/>
      <c r="U29" s="43"/>
    </row>
    <row r="30" spans="1:21" s="11" customFormat="1" x14ac:dyDescent="0.25">
      <c r="A30" s="53" t="s">
        <v>338</v>
      </c>
      <c r="B30" s="54">
        <v>8.36</v>
      </c>
      <c r="C30" s="54">
        <v>3.4</v>
      </c>
      <c r="D30" s="54">
        <v>12.25</v>
      </c>
      <c r="E30" s="54">
        <v>3.56</v>
      </c>
      <c r="F30" s="54">
        <v>4.58</v>
      </c>
      <c r="G30" s="60" t="s">
        <v>8</v>
      </c>
      <c r="H30" s="60" t="s">
        <v>8</v>
      </c>
      <c r="I30" s="54">
        <v>2.5299999999999998</v>
      </c>
      <c r="J30" s="54">
        <v>0.61</v>
      </c>
      <c r="K30" s="54">
        <v>27.55</v>
      </c>
      <c r="L30" s="54">
        <v>25.42</v>
      </c>
      <c r="M30" s="54">
        <v>88.02</v>
      </c>
      <c r="N30" s="54">
        <v>16.5</v>
      </c>
      <c r="O30" s="54">
        <v>0</v>
      </c>
      <c r="P30" s="54">
        <v>0.59</v>
      </c>
      <c r="Q30" s="62" t="s">
        <v>15</v>
      </c>
      <c r="R30" s="43"/>
      <c r="S30" s="43"/>
      <c r="T30" s="43"/>
      <c r="U30" s="43"/>
    </row>
    <row r="31" spans="1:21" s="11" customFormat="1" x14ac:dyDescent="0.25">
      <c r="A31" s="53" t="s">
        <v>339</v>
      </c>
      <c r="B31" s="54">
        <v>8.3800000000000008</v>
      </c>
      <c r="C31" s="54">
        <v>3.46</v>
      </c>
      <c r="D31" s="54">
        <v>12.3</v>
      </c>
      <c r="E31" s="54">
        <v>3.55</v>
      </c>
      <c r="F31" s="54">
        <v>3.6</v>
      </c>
      <c r="G31" s="60" t="s">
        <v>8</v>
      </c>
      <c r="H31" s="60" t="s">
        <v>8</v>
      </c>
      <c r="I31" s="54">
        <v>2.59</v>
      </c>
      <c r="J31" s="54">
        <v>0.57999999999999996</v>
      </c>
      <c r="K31" s="54">
        <v>18.600000000000001</v>
      </c>
      <c r="L31" s="54">
        <v>25</v>
      </c>
      <c r="M31" s="54">
        <v>88.05</v>
      </c>
      <c r="N31" s="54">
        <v>16.399999999999999</v>
      </c>
      <c r="O31" s="54">
        <v>0</v>
      </c>
      <c r="P31" s="54">
        <v>0.6</v>
      </c>
      <c r="Q31" s="62" t="s">
        <v>15</v>
      </c>
      <c r="R31" s="43"/>
      <c r="S31" s="43"/>
      <c r="T31" s="43"/>
      <c r="U31" s="43"/>
    </row>
    <row r="32" spans="1:21" s="11" customFormat="1" x14ac:dyDescent="0.25">
      <c r="A32" s="53" t="s">
        <v>340</v>
      </c>
      <c r="B32" s="54">
        <v>8.3699999999999992</v>
      </c>
      <c r="C32" s="54">
        <v>3.34</v>
      </c>
      <c r="D32" s="54">
        <v>12.23</v>
      </c>
      <c r="E32" s="54">
        <v>5.01</v>
      </c>
      <c r="F32" s="54">
        <v>3.32</v>
      </c>
      <c r="G32" s="60" t="s">
        <v>8</v>
      </c>
      <c r="H32" s="60" t="s">
        <v>8</v>
      </c>
      <c r="I32" s="54">
        <v>2.6</v>
      </c>
      <c r="J32" s="54">
        <v>0.51</v>
      </c>
      <c r="K32" s="54">
        <v>356.31</v>
      </c>
      <c r="L32" s="54">
        <v>24.75</v>
      </c>
      <c r="M32" s="54">
        <v>90.41</v>
      </c>
      <c r="N32" s="54">
        <v>16.600000000000001</v>
      </c>
      <c r="O32" s="54">
        <v>0</v>
      </c>
      <c r="P32" s="54">
        <v>0.52</v>
      </c>
      <c r="Q32" s="62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8.2899999999999991</v>
      </c>
      <c r="C34" s="28">
        <f t="shared" si="0"/>
        <v>3.2</v>
      </c>
      <c r="D34" s="28">
        <f t="shared" si="0"/>
        <v>12.09</v>
      </c>
      <c r="E34" s="28">
        <f t="shared" si="0"/>
        <v>3.51</v>
      </c>
      <c r="F34" s="28">
        <f t="shared" si="0"/>
        <v>3.32</v>
      </c>
      <c r="G34" s="28">
        <f t="shared" si="0"/>
        <v>18</v>
      </c>
      <c r="H34" s="28">
        <f t="shared" si="0"/>
        <v>3.39</v>
      </c>
      <c r="I34" s="28">
        <f t="shared" si="0"/>
        <v>1.06</v>
      </c>
      <c r="J34" s="28">
        <f t="shared" si="0"/>
        <v>0.35</v>
      </c>
      <c r="K34" s="28">
        <f t="shared" si="0"/>
        <v>18.600000000000001</v>
      </c>
      <c r="L34" s="28">
        <f t="shared" si="0"/>
        <v>23.46</v>
      </c>
      <c r="M34" s="28">
        <f t="shared" si="0"/>
        <v>72.61</v>
      </c>
      <c r="N34" s="28">
        <f t="shared" si="0"/>
        <v>16.399999999999999</v>
      </c>
      <c r="O34" s="28">
        <f t="shared" si="0"/>
        <v>0</v>
      </c>
      <c r="P34" s="28">
        <f t="shared" si="0"/>
        <v>0.25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</v>
      </c>
      <c r="C35" s="29">
        <f t="shared" si="1"/>
        <v>3.46</v>
      </c>
      <c r="D35" s="29">
        <f t="shared" si="1"/>
        <v>12.31</v>
      </c>
      <c r="E35" s="29">
        <f t="shared" si="1"/>
        <v>5.01</v>
      </c>
      <c r="F35" s="29">
        <f t="shared" si="1"/>
        <v>8.23</v>
      </c>
      <c r="G35" s="29">
        <f t="shared" si="1"/>
        <v>46.83</v>
      </c>
      <c r="H35" s="29">
        <f t="shared" si="1"/>
        <v>16.86</v>
      </c>
      <c r="I35" s="29">
        <f t="shared" si="1"/>
        <v>5.09</v>
      </c>
      <c r="J35" s="29">
        <f t="shared" si="1"/>
        <v>0.8</v>
      </c>
      <c r="K35" s="29">
        <f t="shared" si="1"/>
        <v>359.71</v>
      </c>
      <c r="L35" s="29">
        <f t="shared" si="1"/>
        <v>30.03</v>
      </c>
      <c r="M35" s="29">
        <f t="shared" si="1"/>
        <v>98.33</v>
      </c>
      <c r="N35" s="29">
        <f t="shared" si="1"/>
        <v>853.8</v>
      </c>
      <c r="O35" s="29">
        <f t="shared" si="1"/>
        <v>0.2</v>
      </c>
      <c r="P35" s="29">
        <f t="shared" si="1"/>
        <v>0.6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8.3495833333333334</v>
      </c>
      <c r="C36" s="28">
        <f t="shared" si="2"/>
        <v>3.317083333333334</v>
      </c>
      <c r="D36" s="28">
        <f t="shared" si="2"/>
        <v>12.202083333333334</v>
      </c>
      <c r="E36" s="28">
        <f t="shared" si="2"/>
        <v>4.1924999999999999</v>
      </c>
      <c r="F36" s="28">
        <f t="shared" si="2"/>
        <v>4.9954166666666664</v>
      </c>
      <c r="G36" s="28">
        <f t="shared" si="2"/>
        <v>30.472727272727273</v>
      </c>
      <c r="H36" s="28">
        <f t="shared" si="2"/>
        <v>10.347272727272726</v>
      </c>
      <c r="I36" s="28">
        <f t="shared" si="2"/>
        <v>2.9204166666666658</v>
      </c>
      <c r="J36" s="28">
        <f t="shared" si="2"/>
        <v>0.58041666666666669</v>
      </c>
      <c r="K36" s="28">
        <f t="shared" si="2"/>
        <v>267.03625</v>
      </c>
      <c r="L36" s="28">
        <f t="shared" si="2"/>
        <v>26.527083333333326</v>
      </c>
      <c r="M36" s="28">
        <f t="shared" si="2"/>
        <v>87.679583333333326</v>
      </c>
      <c r="N36" s="28">
        <f t="shared" si="2"/>
        <v>207.42916666666667</v>
      </c>
      <c r="O36" s="28">
        <f t="shared" si="2"/>
        <v>8.3333333333333332E-3</v>
      </c>
      <c r="P36" s="28">
        <f t="shared" si="2"/>
        <v>0.37624999999999997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2.7263475593718237E-2</v>
      </c>
      <c r="C37" s="28">
        <f t="shared" ref="C37:Q37" si="3">STDEV(C9:C32)</f>
        <v>7.0122821855138795E-2</v>
      </c>
      <c r="D37" s="28">
        <f t="shared" si="3"/>
        <v>5.3809581065947458E-2</v>
      </c>
      <c r="E37" s="28">
        <f t="shared" si="3"/>
        <v>0.55517525630866837</v>
      </c>
      <c r="F37" s="28">
        <f t="shared" si="3"/>
        <v>1.3345410517629557</v>
      </c>
      <c r="G37" s="28">
        <f t="shared" si="3"/>
        <v>9.8836876629212576</v>
      </c>
      <c r="H37" s="28">
        <f t="shared" si="3"/>
        <v>4.1968752445339401</v>
      </c>
      <c r="I37" s="28">
        <f t="shared" si="3"/>
        <v>1.4556710066873462</v>
      </c>
      <c r="J37" s="28">
        <f t="shared" si="3"/>
        <v>0.11682313524099684</v>
      </c>
      <c r="K37" s="28">
        <f t="shared" si="3"/>
        <v>145.03786704385323</v>
      </c>
      <c r="L37" s="28">
        <f t="shared" si="3"/>
        <v>2.2549818839852018</v>
      </c>
      <c r="M37" s="28">
        <f t="shared" si="3"/>
        <v>8.9691604372580702</v>
      </c>
      <c r="N37" s="28">
        <f t="shared" si="3"/>
        <v>278.74813858480337</v>
      </c>
      <c r="O37" s="28">
        <f t="shared" si="3"/>
        <v>4.0824829046386311E-2</v>
      </c>
      <c r="P37" s="28">
        <f t="shared" si="3"/>
        <v>0.10651852257787799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COUNT(G9:G32)+13</f>
        <v>24</v>
      </c>
      <c r="H38" s="32">
        <f>COUNT(H9:H32)+13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8" sqref="I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341</v>
      </c>
      <c r="B9" s="54">
        <v>8.34</v>
      </c>
      <c r="C9" s="54">
        <v>3.21</v>
      </c>
      <c r="D9" s="54">
        <v>12.14</v>
      </c>
      <c r="E9" s="54">
        <v>4.8</v>
      </c>
      <c r="F9" s="54">
        <v>4.34</v>
      </c>
      <c r="G9" s="60" t="s">
        <v>8</v>
      </c>
      <c r="H9" s="60" t="s">
        <v>8</v>
      </c>
      <c r="I9" s="54">
        <v>2.95</v>
      </c>
      <c r="J9" s="54">
        <v>0.46</v>
      </c>
      <c r="K9" s="54">
        <v>356.86</v>
      </c>
      <c r="L9" s="54">
        <v>24.36</v>
      </c>
      <c r="M9" s="54">
        <v>92.21</v>
      </c>
      <c r="N9" s="54">
        <v>16.600000000000001</v>
      </c>
      <c r="O9" s="54">
        <v>0</v>
      </c>
      <c r="P9" s="54">
        <v>0.48</v>
      </c>
      <c r="Q9" s="62" t="s">
        <v>15</v>
      </c>
      <c r="R9" s="43"/>
      <c r="S9" s="43"/>
      <c r="T9" s="43"/>
      <c r="U9" s="43"/>
    </row>
    <row r="10" spans="1:21" s="11" customFormat="1" x14ac:dyDescent="0.25">
      <c r="A10" s="53" t="s">
        <v>342</v>
      </c>
      <c r="B10" s="54">
        <v>8.4</v>
      </c>
      <c r="C10" s="54">
        <v>3.43</v>
      </c>
      <c r="D10" s="54">
        <v>12.3</v>
      </c>
      <c r="E10" s="54">
        <v>4.8499999999999996</v>
      </c>
      <c r="F10" s="54">
        <v>4.3099999999999996</v>
      </c>
      <c r="G10" s="60" t="s">
        <v>8</v>
      </c>
      <c r="H10" s="60" t="s">
        <v>8</v>
      </c>
      <c r="I10" s="54">
        <v>3.1</v>
      </c>
      <c r="J10" s="54">
        <v>0.38</v>
      </c>
      <c r="K10" s="54">
        <v>280.33</v>
      </c>
      <c r="L10" s="54">
        <v>24.18</v>
      </c>
      <c r="M10" s="54">
        <v>96.38</v>
      </c>
      <c r="N10" s="54">
        <v>16.600000000000001</v>
      </c>
      <c r="O10" s="54">
        <v>0</v>
      </c>
      <c r="P10" s="54">
        <v>0.42</v>
      </c>
      <c r="Q10" s="62" t="s">
        <v>15</v>
      </c>
      <c r="R10" s="43"/>
      <c r="S10" s="43"/>
      <c r="T10" s="43"/>
      <c r="U10" s="43"/>
    </row>
    <row r="11" spans="1:21" s="11" customFormat="1" x14ac:dyDescent="0.25">
      <c r="A11" s="53" t="s">
        <v>343</v>
      </c>
      <c r="B11" s="54">
        <v>8.3000000000000007</v>
      </c>
      <c r="C11" s="54">
        <v>3.3</v>
      </c>
      <c r="D11" s="54">
        <v>12.16</v>
      </c>
      <c r="E11" s="54">
        <v>4.99</v>
      </c>
      <c r="F11" s="54">
        <v>4.33</v>
      </c>
      <c r="G11" s="60" t="s">
        <v>8</v>
      </c>
      <c r="H11" s="60" t="s">
        <v>8</v>
      </c>
      <c r="I11" s="54">
        <v>3.13</v>
      </c>
      <c r="J11" s="54">
        <v>0.54</v>
      </c>
      <c r="K11" s="54">
        <v>322.13</v>
      </c>
      <c r="L11" s="54">
        <v>23.77</v>
      </c>
      <c r="M11" s="54">
        <v>97.95</v>
      </c>
      <c r="N11" s="54">
        <v>16.3</v>
      </c>
      <c r="O11" s="54">
        <v>0</v>
      </c>
      <c r="P11" s="54">
        <v>0.38</v>
      </c>
      <c r="Q11" s="62" t="s">
        <v>15</v>
      </c>
      <c r="R11" s="43"/>
      <c r="S11" s="43"/>
      <c r="T11" s="43"/>
      <c r="U11" s="43"/>
    </row>
    <row r="12" spans="1:21" s="11" customFormat="1" x14ac:dyDescent="0.25">
      <c r="A12" s="53" t="s">
        <v>344</v>
      </c>
      <c r="B12" s="54">
        <v>8.3699999999999992</v>
      </c>
      <c r="C12" s="54">
        <v>3.34</v>
      </c>
      <c r="D12" s="54">
        <v>12.2</v>
      </c>
      <c r="E12" s="54">
        <v>4.8899999999999997</v>
      </c>
      <c r="F12" s="54">
        <v>3.42</v>
      </c>
      <c r="G12" s="60" t="s">
        <v>8</v>
      </c>
      <c r="H12" s="60" t="s">
        <v>8</v>
      </c>
      <c r="I12" s="54">
        <v>3.15</v>
      </c>
      <c r="J12" s="54">
        <v>0.49</v>
      </c>
      <c r="K12" s="54">
        <v>298.57</v>
      </c>
      <c r="L12" s="54">
        <v>23.44</v>
      </c>
      <c r="M12" s="54">
        <v>98.32</v>
      </c>
      <c r="N12" s="54">
        <v>16.3</v>
      </c>
      <c r="O12" s="54">
        <v>0</v>
      </c>
      <c r="P12" s="54">
        <v>0.34</v>
      </c>
      <c r="Q12" s="62" t="s">
        <v>15</v>
      </c>
      <c r="R12" s="43"/>
      <c r="S12" s="43"/>
      <c r="T12" s="43"/>
      <c r="U12" s="43"/>
    </row>
    <row r="13" spans="1:21" s="11" customFormat="1" x14ac:dyDescent="0.25">
      <c r="A13" s="53" t="s">
        <v>345</v>
      </c>
      <c r="B13" s="54">
        <v>8.3699999999999992</v>
      </c>
      <c r="C13" s="54">
        <v>3.3</v>
      </c>
      <c r="D13" s="54">
        <v>12.21</v>
      </c>
      <c r="E13" s="54">
        <v>4.9400000000000004</v>
      </c>
      <c r="F13" s="54">
        <v>3.56</v>
      </c>
      <c r="G13" s="60" t="s">
        <v>8</v>
      </c>
      <c r="H13" s="60" t="s">
        <v>8</v>
      </c>
      <c r="I13" s="54">
        <v>3.85</v>
      </c>
      <c r="J13" s="54">
        <v>0.4</v>
      </c>
      <c r="K13" s="54">
        <v>306.38</v>
      </c>
      <c r="L13" s="54">
        <v>23.36</v>
      </c>
      <c r="M13" s="54">
        <v>98.27</v>
      </c>
      <c r="N13" s="54">
        <v>16.3</v>
      </c>
      <c r="O13" s="54">
        <v>0</v>
      </c>
      <c r="P13" s="54">
        <v>0.32</v>
      </c>
      <c r="Q13" s="62" t="s">
        <v>15</v>
      </c>
      <c r="R13" s="43"/>
      <c r="S13" s="43"/>
      <c r="T13" s="43"/>
      <c r="U13" s="43"/>
    </row>
    <row r="14" spans="1:21" s="11" customFormat="1" x14ac:dyDescent="0.25">
      <c r="A14" s="53" t="s">
        <v>346</v>
      </c>
      <c r="B14" s="54">
        <v>8.36</v>
      </c>
      <c r="C14" s="54">
        <v>3.26</v>
      </c>
      <c r="D14" s="54">
        <v>12.15</v>
      </c>
      <c r="E14" s="54">
        <v>5.28</v>
      </c>
      <c r="F14" s="54">
        <v>4.26</v>
      </c>
      <c r="G14" s="60" t="s">
        <v>8</v>
      </c>
      <c r="H14" s="60" t="s">
        <v>8</v>
      </c>
      <c r="I14" s="54">
        <v>4.5599999999999996</v>
      </c>
      <c r="J14" s="54">
        <v>0.28000000000000003</v>
      </c>
      <c r="K14" s="54">
        <v>280.63</v>
      </c>
      <c r="L14" s="54">
        <v>23.22</v>
      </c>
      <c r="M14" s="54">
        <v>98.29</v>
      </c>
      <c r="N14" s="54">
        <v>36</v>
      </c>
      <c r="O14" s="54">
        <v>0</v>
      </c>
      <c r="P14" s="54">
        <v>0.31</v>
      </c>
      <c r="Q14" s="62" t="s">
        <v>15</v>
      </c>
      <c r="R14" s="43"/>
      <c r="S14" s="43"/>
      <c r="T14" s="43"/>
      <c r="U14" s="43"/>
    </row>
    <row r="15" spans="1:21" s="11" customFormat="1" x14ac:dyDescent="0.25">
      <c r="A15" s="53" t="s">
        <v>347</v>
      </c>
      <c r="B15" s="54">
        <v>8.4499999999999993</v>
      </c>
      <c r="C15" s="54">
        <v>3.52</v>
      </c>
      <c r="D15" s="54">
        <v>12.39</v>
      </c>
      <c r="E15" s="54">
        <v>5.12</v>
      </c>
      <c r="F15" s="54">
        <v>4.45</v>
      </c>
      <c r="G15" s="60" t="s">
        <v>8</v>
      </c>
      <c r="H15" s="60" t="s">
        <v>8</v>
      </c>
      <c r="I15" s="54">
        <v>4.21</v>
      </c>
      <c r="J15" s="54">
        <v>0.52</v>
      </c>
      <c r="K15" s="54">
        <v>354.1</v>
      </c>
      <c r="L15" s="54">
        <v>23.93</v>
      </c>
      <c r="M15" s="54">
        <v>98.19</v>
      </c>
      <c r="N15" s="54">
        <v>87.2</v>
      </c>
      <c r="O15" s="54">
        <v>0</v>
      </c>
      <c r="P15" s="54">
        <v>0.3</v>
      </c>
      <c r="Q15" s="62" t="s">
        <v>15</v>
      </c>
      <c r="R15" s="43"/>
      <c r="S15" s="43"/>
      <c r="T15" s="43"/>
      <c r="U15" s="43"/>
    </row>
    <row r="16" spans="1:21" s="11" customFormat="1" x14ac:dyDescent="0.25">
      <c r="A16" s="53" t="s">
        <v>348</v>
      </c>
      <c r="B16" s="54">
        <v>8.31</v>
      </c>
      <c r="C16" s="54">
        <v>3.2</v>
      </c>
      <c r="D16" s="54">
        <v>12.11</v>
      </c>
      <c r="E16" s="54">
        <v>4.91</v>
      </c>
      <c r="F16" s="54">
        <v>4.4800000000000004</v>
      </c>
      <c r="G16" s="60" t="s">
        <v>8</v>
      </c>
      <c r="H16" s="60" t="s">
        <v>8</v>
      </c>
      <c r="I16" s="54">
        <v>4</v>
      </c>
      <c r="J16" s="54">
        <v>0.57999999999999996</v>
      </c>
      <c r="K16" s="54">
        <v>356.05</v>
      </c>
      <c r="L16" s="54">
        <v>24.29</v>
      </c>
      <c r="M16" s="54">
        <v>97.23</v>
      </c>
      <c r="N16" s="54">
        <v>111.2</v>
      </c>
      <c r="O16" s="54">
        <v>0.2</v>
      </c>
      <c r="P16" s="54">
        <v>0.32</v>
      </c>
      <c r="Q16" s="62" t="s">
        <v>15</v>
      </c>
      <c r="R16" s="43"/>
      <c r="S16" s="43"/>
      <c r="T16" s="43"/>
      <c r="U16" s="43"/>
    </row>
    <row r="17" spans="1:21" s="11" customFormat="1" x14ac:dyDescent="0.25">
      <c r="A17" s="53" t="s">
        <v>349</v>
      </c>
      <c r="B17" s="54">
        <v>8.3699999999999992</v>
      </c>
      <c r="C17" s="54">
        <v>3.31</v>
      </c>
      <c r="D17" s="54">
        <v>12.21</v>
      </c>
      <c r="E17" s="54">
        <v>4.49</v>
      </c>
      <c r="F17" s="54">
        <v>3.39</v>
      </c>
      <c r="G17" s="60" t="s">
        <v>8</v>
      </c>
      <c r="H17" s="60" t="s">
        <v>8</v>
      </c>
      <c r="I17" s="54">
        <v>3.22</v>
      </c>
      <c r="J17" s="54">
        <v>0.59</v>
      </c>
      <c r="K17" s="54">
        <v>355.07</v>
      </c>
      <c r="L17" s="54">
        <v>26.69</v>
      </c>
      <c r="M17" s="54">
        <v>98.33</v>
      </c>
      <c r="N17" s="54">
        <v>410.6</v>
      </c>
      <c r="O17" s="54">
        <v>0</v>
      </c>
      <c r="P17" s="54">
        <v>0.33</v>
      </c>
      <c r="Q17" s="62" t="s">
        <v>15</v>
      </c>
      <c r="R17" s="43"/>
      <c r="S17" s="43"/>
      <c r="T17" s="43"/>
      <c r="U17" s="43"/>
    </row>
    <row r="18" spans="1:21" s="11" customFormat="1" x14ac:dyDescent="0.25">
      <c r="A18" s="53" t="s">
        <v>350</v>
      </c>
      <c r="B18" s="54">
        <v>8.39</v>
      </c>
      <c r="C18" s="54">
        <v>3.35</v>
      </c>
      <c r="D18" s="54">
        <v>12.25</v>
      </c>
      <c r="E18" s="54">
        <v>4.3899999999999997</v>
      </c>
      <c r="F18" s="54">
        <v>7.74</v>
      </c>
      <c r="G18" s="54">
        <v>29.92</v>
      </c>
      <c r="H18" s="54">
        <v>17.7</v>
      </c>
      <c r="I18" s="54">
        <v>3.07</v>
      </c>
      <c r="J18" s="54">
        <v>0.67</v>
      </c>
      <c r="K18" s="54">
        <v>355.95</v>
      </c>
      <c r="L18" s="54">
        <v>27.41</v>
      </c>
      <c r="M18" s="54">
        <v>83.5</v>
      </c>
      <c r="N18" s="54">
        <v>372.5</v>
      </c>
      <c r="O18" s="54">
        <v>0</v>
      </c>
      <c r="P18" s="54">
        <v>0.42</v>
      </c>
      <c r="Q18" s="62" t="s">
        <v>15</v>
      </c>
      <c r="R18" s="43"/>
      <c r="S18" s="43"/>
      <c r="T18" s="43"/>
      <c r="U18" s="43"/>
    </row>
    <row r="19" spans="1:21" s="11" customFormat="1" x14ac:dyDescent="0.25">
      <c r="A19" s="53" t="s">
        <v>351</v>
      </c>
      <c r="B19" s="54">
        <v>8.33</v>
      </c>
      <c r="C19" s="54">
        <v>3.46</v>
      </c>
      <c r="D19" s="54">
        <v>12.26</v>
      </c>
      <c r="E19" s="54">
        <v>4.84</v>
      </c>
      <c r="F19" s="54">
        <v>6.62</v>
      </c>
      <c r="G19" s="54">
        <v>29.92</v>
      </c>
      <c r="H19" s="54">
        <v>17.7</v>
      </c>
      <c r="I19" s="54">
        <v>2.77</v>
      </c>
      <c r="J19" s="54">
        <v>0.63</v>
      </c>
      <c r="K19" s="54">
        <v>358.03</v>
      </c>
      <c r="L19" s="54">
        <v>27.86</v>
      </c>
      <c r="M19" s="54">
        <v>79.23</v>
      </c>
      <c r="N19" s="54">
        <v>483.2</v>
      </c>
      <c r="O19" s="54">
        <v>0</v>
      </c>
      <c r="P19" s="54">
        <v>0.57999999999999996</v>
      </c>
      <c r="Q19" s="62" t="s">
        <v>15</v>
      </c>
      <c r="R19" s="43"/>
      <c r="S19" s="43"/>
      <c r="T19" s="43"/>
      <c r="U19" s="43"/>
    </row>
    <row r="20" spans="1:21" s="11" customFormat="1" x14ac:dyDescent="0.25">
      <c r="A20" s="53" t="s">
        <v>352</v>
      </c>
      <c r="B20" s="54">
        <v>8.3000000000000007</v>
      </c>
      <c r="C20" s="54">
        <v>3.34</v>
      </c>
      <c r="D20" s="54">
        <v>12.17</v>
      </c>
      <c r="E20" s="54">
        <v>4.55</v>
      </c>
      <c r="F20" s="54">
        <v>6.39</v>
      </c>
      <c r="G20" s="54">
        <v>44.51</v>
      </c>
      <c r="H20" s="54">
        <v>14.38</v>
      </c>
      <c r="I20" s="54">
        <v>2.4700000000000002</v>
      </c>
      <c r="J20" s="54">
        <v>0.59</v>
      </c>
      <c r="K20" s="54">
        <v>351.46</v>
      </c>
      <c r="L20" s="54">
        <v>29.43</v>
      </c>
      <c r="M20" s="54">
        <v>72.05</v>
      </c>
      <c r="N20" s="54">
        <v>779.3</v>
      </c>
      <c r="O20" s="54">
        <v>0</v>
      </c>
      <c r="P20" s="54">
        <v>0.55000000000000004</v>
      </c>
      <c r="Q20" s="62" t="s">
        <v>15</v>
      </c>
      <c r="R20" s="43"/>
      <c r="S20" s="43"/>
      <c r="T20" s="43"/>
      <c r="U20" s="43"/>
    </row>
    <row r="21" spans="1:21" s="11" customFormat="1" x14ac:dyDescent="0.25">
      <c r="A21" s="53" t="s">
        <v>353</v>
      </c>
      <c r="B21" s="54">
        <v>8.32</v>
      </c>
      <c r="C21" s="54">
        <v>3.41</v>
      </c>
      <c r="D21" s="54">
        <v>12.23</v>
      </c>
      <c r="E21" s="54">
        <v>4.0999999999999996</v>
      </c>
      <c r="F21" s="54">
        <v>6.9</v>
      </c>
      <c r="G21" s="54">
        <v>44.51</v>
      </c>
      <c r="H21" s="54">
        <v>14.38</v>
      </c>
      <c r="I21" s="54">
        <v>2.13</v>
      </c>
      <c r="J21" s="54">
        <v>0.85</v>
      </c>
      <c r="K21" s="54">
        <v>337.12</v>
      </c>
      <c r="L21" s="54">
        <v>31.66</v>
      </c>
      <c r="M21" s="54">
        <v>66.03</v>
      </c>
      <c r="N21" s="54">
        <v>860.9</v>
      </c>
      <c r="O21" s="54">
        <v>0</v>
      </c>
      <c r="P21" s="54">
        <v>0.53</v>
      </c>
      <c r="Q21" s="62" t="s">
        <v>15</v>
      </c>
      <c r="R21" s="43"/>
      <c r="S21" s="43"/>
      <c r="T21" s="43"/>
      <c r="U21" s="43"/>
    </row>
    <row r="22" spans="1:21" s="11" customFormat="1" x14ac:dyDescent="0.25">
      <c r="A22" s="53" t="s">
        <v>354</v>
      </c>
      <c r="B22" s="54">
        <v>8.34</v>
      </c>
      <c r="C22" s="54">
        <v>3.29</v>
      </c>
      <c r="D22" s="54">
        <v>12.17</v>
      </c>
      <c r="E22" s="54">
        <v>4.4000000000000004</v>
      </c>
      <c r="F22" s="54">
        <v>6.23</v>
      </c>
      <c r="G22" s="54">
        <v>57.86</v>
      </c>
      <c r="H22" s="54">
        <v>14.91</v>
      </c>
      <c r="I22" s="54">
        <v>1.82</v>
      </c>
      <c r="J22" s="54">
        <v>0.63</v>
      </c>
      <c r="K22" s="54">
        <v>345.97</v>
      </c>
      <c r="L22" s="54">
        <v>31.06</v>
      </c>
      <c r="M22" s="54">
        <v>69.2</v>
      </c>
      <c r="N22" s="54">
        <v>400.8</v>
      </c>
      <c r="O22" s="54">
        <v>0</v>
      </c>
      <c r="P22" s="54">
        <v>0.52</v>
      </c>
      <c r="Q22" s="62" t="s">
        <v>15</v>
      </c>
      <c r="R22" s="43"/>
      <c r="S22" s="43"/>
      <c r="T22" s="43"/>
      <c r="U22" s="43"/>
    </row>
    <row r="23" spans="1:21" s="11" customFormat="1" x14ac:dyDescent="0.25">
      <c r="A23" s="53" t="s">
        <v>355</v>
      </c>
      <c r="B23" s="54">
        <v>8.33</v>
      </c>
      <c r="C23" s="54">
        <v>3.22</v>
      </c>
      <c r="D23" s="54">
        <v>12.14</v>
      </c>
      <c r="E23" s="54">
        <v>4.47</v>
      </c>
      <c r="F23" s="54">
        <v>16.649999999999999</v>
      </c>
      <c r="G23" s="54">
        <v>57.86</v>
      </c>
      <c r="H23" s="54">
        <v>14.91</v>
      </c>
      <c r="I23" s="54">
        <v>1.85</v>
      </c>
      <c r="J23" s="54">
        <v>0.64</v>
      </c>
      <c r="K23" s="54">
        <v>355.97</v>
      </c>
      <c r="L23" s="54">
        <v>29.62</v>
      </c>
      <c r="M23" s="54">
        <v>76.02</v>
      </c>
      <c r="N23" s="54">
        <v>246.1</v>
      </c>
      <c r="O23" s="54">
        <v>0</v>
      </c>
      <c r="P23" s="54">
        <v>0.55000000000000004</v>
      </c>
      <c r="Q23" s="62" t="s">
        <v>15</v>
      </c>
      <c r="R23" s="43"/>
      <c r="S23" s="43"/>
      <c r="T23" s="43"/>
      <c r="U23" s="43"/>
    </row>
    <row r="24" spans="1:21" s="11" customFormat="1" x14ac:dyDescent="0.25">
      <c r="A24" s="53" t="s">
        <v>356</v>
      </c>
      <c r="B24" s="54">
        <v>8.35</v>
      </c>
      <c r="C24" s="54">
        <v>3.39</v>
      </c>
      <c r="D24" s="54">
        <v>12.24</v>
      </c>
      <c r="E24" s="54">
        <v>3.99</v>
      </c>
      <c r="F24" s="54">
        <v>5.24</v>
      </c>
      <c r="G24" s="54">
        <v>60.32</v>
      </c>
      <c r="H24" s="54">
        <v>12.01</v>
      </c>
      <c r="I24" s="54">
        <v>1.57</v>
      </c>
      <c r="J24" s="54">
        <v>0.49</v>
      </c>
      <c r="K24" s="54">
        <v>317.24</v>
      </c>
      <c r="L24" s="54">
        <v>28.54</v>
      </c>
      <c r="M24" s="54">
        <v>77.66</v>
      </c>
      <c r="N24" s="54">
        <v>128.69999999999999</v>
      </c>
      <c r="O24" s="54">
        <v>0</v>
      </c>
      <c r="P24" s="54">
        <v>0.4</v>
      </c>
      <c r="Q24" s="62" t="s">
        <v>15</v>
      </c>
      <c r="R24" s="43"/>
      <c r="S24" s="43"/>
      <c r="T24" s="43"/>
      <c r="U24" s="43"/>
    </row>
    <row r="25" spans="1:21" s="11" customFormat="1" x14ac:dyDescent="0.25">
      <c r="A25" s="53" t="s">
        <v>357</v>
      </c>
      <c r="B25" s="54">
        <v>8.34</v>
      </c>
      <c r="C25" s="54">
        <v>3.23</v>
      </c>
      <c r="D25" s="54">
        <v>12.15</v>
      </c>
      <c r="E25" s="54">
        <v>3.96</v>
      </c>
      <c r="F25" s="54">
        <v>4.43</v>
      </c>
      <c r="G25" s="54">
        <v>69.099999999999994</v>
      </c>
      <c r="H25" s="54">
        <v>13.94</v>
      </c>
      <c r="I25" s="54">
        <v>2.65</v>
      </c>
      <c r="J25" s="54">
        <v>2.36</v>
      </c>
      <c r="K25" s="54">
        <v>338.47</v>
      </c>
      <c r="L25" s="54">
        <v>28.71</v>
      </c>
      <c r="M25" s="54">
        <v>81.52</v>
      </c>
      <c r="N25" s="54">
        <v>128.5</v>
      </c>
      <c r="O25" s="54">
        <v>0</v>
      </c>
      <c r="P25" s="54">
        <v>0.46</v>
      </c>
      <c r="Q25" s="62" t="s">
        <v>15</v>
      </c>
      <c r="R25" s="43"/>
      <c r="S25" s="43"/>
      <c r="T25" s="43"/>
      <c r="U25" s="43"/>
    </row>
    <row r="26" spans="1:21" s="11" customFormat="1" x14ac:dyDescent="0.25">
      <c r="A26" s="53" t="s">
        <v>358</v>
      </c>
      <c r="B26" s="54">
        <v>8.43</v>
      </c>
      <c r="C26" s="54">
        <v>3.43</v>
      </c>
      <c r="D26" s="54">
        <v>12.33</v>
      </c>
      <c r="E26" s="54">
        <v>4.1900000000000004</v>
      </c>
      <c r="F26" s="54">
        <v>4.09</v>
      </c>
      <c r="G26" s="54">
        <v>76.98</v>
      </c>
      <c r="H26" s="54">
        <v>13.94</v>
      </c>
      <c r="I26" s="54">
        <v>3.16</v>
      </c>
      <c r="J26" s="54">
        <v>2.12</v>
      </c>
      <c r="K26" s="54">
        <v>339.65</v>
      </c>
      <c r="L26" s="54">
        <v>26.27</v>
      </c>
      <c r="M26" s="54">
        <v>86.74</v>
      </c>
      <c r="N26" s="54">
        <v>64</v>
      </c>
      <c r="O26" s="54">
        <v>0</v>
      </c>
      <c r="P26" s="54">
        <v>0.54</v>
      </c>
      <c r="Q26" s="62" t="s">
        <v>15</v>
      </c>
      <c r="R26" s="43"/>
      <c r="S26" s="43"/>
      <c r="T26" s="43"/>
      <c r="U26" s="43"/>
    </row>
    <row r="27" spans="1:21" s="11" customFormat="1" x14ac:dyDescent="0.25">
      <c r="A27" s="53" t="s">
        <v>359</v>
      </c>
      <c r="B27" s="54">
        <v>8.52</v>
      </c>
      <c r="C27" s="54">
        <v>3.58</v>
      </c>
      <c r="D27" s="54">
        <v>12.48</v>
      </c>
      <c r="E27" s="54">
        <v>4.33</v>
      </c>
      <c r="F27" s="54">
        <v>3.62</v>
      </c>
      <c r="G27" s="54">
        <v>83.78</v>
      </c>
      <c r="H27" s="54">
        <v>33.520000000000003</v>
      </c>
      <c r="I27" s="54">
        <v>3.32</v>
      </c>
      <c r="J27" s="54">
        <v>2.1</v>
      </c>
      <c r="K27" s="54">
        <v>342.8</v>
      </c>
      <c r="L27" s="54">
        <v>24.94</v>
      </c>
      <c r="M27" s="54">
        <v>93.47</v>
      </c>
      <c r="N27" s="54">
        <v>29.3</v>
      </c>
      <c r="O27" s="54">
        <v>0</v>
      </c>
      <c r="P27" s="54">
        <v>0.59</v>
      </c>
      <c r="Q27" s="62" t="s">
        <v>15</v>
      </c>
      <c r="R27" s="43"/>
      <c r="S27" s="43"/>
      <c r="T27" s="43"/>
      <c r="U27" s="43"/>
    </row>
    <row r="28" spans="1:21" s="11" customFormat="1" x14ac:dyDescent="0.25">
      <c r="A28" s="53" t="s">
        <v>360</v>
      </c>
      <c r="B28" s="54">
        <v>8.51</v>
      </c>
      <c r="C28" s="54">
        <v>3.53</v>
      </c>
      <c r="D28" s="54">
        <v>12.44</v>
      </c>
      <c r="E28" s="54">
        <v>4.45</v>
      </c>
      <c r="F28" s="54">
        <v>4.13</v>
      </c>
      <c r="G28" s="54">
        <v>83.78</v>
      </c>
      <c r="H28" s="54">
        <v>33.520000000000003</v>
      </c>
      <c r="I28" s="54">
        <v>3.53</v>
      </c>
      <c r="J28" s="54">
        <v>0.81</v>
      </c>
      <c r="K28" s="54">
        <v>334.35</v>
      </c>
      <c r="L28" s="54">
        <v>24.52</v>
      </c>
      <c r="M28" s="54">
        <v>97.67</v>
      </c>
      <c r="N28" s="54">
        <v>17</v>
      </c>
      <c r="O28" s="54">
        <v>0</v>
      </c>
      <c r="P28" s="54">
        <v>0.6</v>
      </c>
      <c r="Q28" s="62" t="s">
        <v>15</v>
      </c>
      <c r="R28" s="43"/>
      <c r="S28" s="43"/>
      <c r="T28" s="43"/>
      <c r="U28" s="43"/>
    </row>
    <row r="29" spans="1:21" s="11" customFormat="1" x14ac:dyDescent="0.25">
      <c r="A29" s="53" t="s">
        <v>361</v>
      </c>
      <c r="B29" s="54">
        <v>8.41</v>
      </c>
      <c r="C29" s="54">
        <v>3.39</v>
      </c>
      <c r="D29" s="54">
        <v>12.29</v>
      </c>
      <c r="E29" s="54">
        <v>4.43</v>
      </c>
      <c r="F29" s="54">
        <v>3.51</v>
      </c>
      <c r="G29" s="54">
        <v>70.02</v>
      </c>
      <c r="H29" s="54">
        <v>25.53</v>
      </c>
      <c r="I29" s="54">
        <v>3.64</v>
      </c>
      <c r="J29" s="54">
        <v>0.74</v>
      </c>
      <c r="K29" s="54">
        <v>196.35</v>
      </c>
      <c r="L29" s="54">
        <v>23.65</v>
      </c>
      <c r="M29" s="54">
        <v>98.33</v>
      </c>
      <c r="N29" s="54">
        <v>16.899999999999999</v>
      </c>
      <c r="O29" s="54">
        <v>0</v>
      </c>
      <c r="P29" s="54">
        <v>0.56999999999999995</v>
      </c>
      <c r="Q29" s="62" t="s">
        <v>15</v>
      </c>
      <c r="R29" s="43"/>
      <c r="S29" s="43"/>
      <c r="T29" s="43"/>
      <c r="U29" s="43"/>
    </row>
    <row r="30" spans="1:21" s="11" customFormat="1" x14ac:dyDescent="0.25">
      <c r="A30" s="53" t="s">
        <v>362</v>
      </c>
      <c r="B30" s="54">
        <v>8.4600000000000009</v>
      </c>
      <c r="C30" s="54">
        <v>3.46</v>
      </c>
      <c r="D30" s="54">
        <v>12.36</v>
      </c>
      <c r="E30" s="54">
        <v>3.97</v>
      </c>
      <c r="F30" s="54">
        <v>3.59</v>
      </c>
      <c r="G30" s="54">
        <v>59.68</v>
      </c>
      <c r="H30" s="54">
        <v>22.65</v>
      </c>
      <c r="I30" s="54">
        <v>3.97</v>
      </c>
      <c r="J30" s="54">
        <v>0.61</v>
      </c>
      <c r="K30" s="54">
        <v>175.63</v>
      </c>
      <c r="L30" s="54">
        <v>23.25</v>
      </c>
      <c r="M30" s="54">
        <v>98.33</v>
      </c>
      <c r="N30" s="54">
        <v>16.5</v>
      </c>
      <c r="O30" s="54">
        <v>0</v>
      </c>
      <c r="P30" s="54">
        <v>0.52</v>
      </c>
      <c r="Q30" s="62" t="s">
        <v>15</v>
      </c>
      <c r="R30" s="43"/>
      <c r="S30" s="43"/>
      <c r="T30" s="43"/>
      <c r="U30" s="43"/>
    </row>
    <row r="31" spans="1:21" s="11" customFormat="1" x14ac:dyDescent="0.25">
      <c r="A31" s="53" t="s">
        <v>363</v>
      </c>
      <c r="B31" s="54">
        <v>8.41</v>
      </c>
      <c r="C31" s="54">
        <v>3.29</v>
      </c>
      <c r="D31" s="54">
        <v>12.24</v>
      </c>
      <c r="E31" s="54">
        <v>4.22</v>
      </c>
      <c r="F31" s="54">
        <v>3.99</v>
      </c>
      <c r="G31" s="54">
        <v>45.03</v>
      </c>
      <c r="H31" s="54">
        <v>22.65</v>
      </c>
      <c r="I31" s="54">
        <v>4.5599999999999996</v>
      </c>
      <c r="J31" s="54">
        <v>0.42</v>
      </c>
      <c r="K31" s="54">
        <v>354.95</v>
      </c>
      <c r="L31" s="54">
        <v>23.03</v>
      </c>
      <c r="M31" s="54">
        <v>98.34</v>
      </c>
      <c r="N31" s="54">
        <v>16.100000000000001</v>
      </c>
      <c r="O31" s="54">
        <v>0</v>
      </c>
      <c r="P31" s="54">
        <v>0.48</v>
      </c>
      <c r="Q31" s="62" t="s">
        <v>15</v>
      </c>
      <c r="R31" s="43"/>
      <c r="S31" s="43"/>
      <c r="T31" s="43"/>
      <c r="U31" s="43"/>
    </row>
    <row r="32" spans="1:21" s="11" customFormat="1" x14ac:dyDescent="0.25">
      <c r="A32" s="53" t="s">
        <v>364</v>
      </c>
      <c r="B32" s="54">
        <v>8.4</v>
      </c>
      <c r="C32" s="54">
        <v>3.3</v>
      </c>
      <c r="D32" s="54">
        <v>12.23</v>
      </c>
      <c r="E32" s="54">
        <v>5.55</v>
      </c>
      <c r="F32" s="54">
        <v>4.45</v>
      </c>
      <c r="G32" s="54">
        <v>37.99</v>
      </c>
      <c r="H32" s="54">
        <v>15.96</v>
      </c>
      <c r="I32" s="54">
        <v>4.6900000000000004</v>
      </c>
      <c r="J32" s="54">
        <v>0.3</v>
      </c>
      <c r="K32" s="54">
        <v>235.4</v>
      </c>
      <c r="L32" s="54">
        <v>22.63</v>
      </c>
      <c r="M32" s="54">
        <v>98.33</v>
      </c>
      <c r="N32" s="54">
        <v>16.5</v>
      </c>
      <c r="O32" s="54">
        <v>0</v>
      </c>
      <c r="P32" s="54">
        <v>0.44</v>
      </c>
      <c r="Q32" s="62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8.3000000000000007</v>
      </c>
      <c r="C34" s="28">
        <f t="shared" si="0"/>
        <v>3.2</v>
      </c>
      <c r="D34" s="28">
        <f t="shared" si="0"/>
        <v>12.11</v>
      </c>
      <c r="E34" s="28">
        <f t="shared" si="0"/>
        <v>3.96</v>
      </c>
      <c r="F34" s="28">
        <f t="shared" si="0"/>
        <v>3.39</v>
      </c>
      <c r="G34" s="28">
        <f t="shared" si="0"/>
        <v>29.92</v>
      </c>
      <c r="H34" s="28">
        <f t="shared" si="0"/>
        <v>12.01</v>
      </c>
      <c r="I34" s="28">
        <f t="shared" si="0"/>
        <v>1.57</v>
      </c>
      <c r="J34" s="28">
        <f t="shared" si="0"/>
        <v>0.28000000000000003</v>
      </c>
      <c r="K34" s="28">
        <f t="shared" si="0"/>
        <v>175.63</v>
      </c>
      <c r="L34" s="28">
        <f t="shared" si="0"/>
        <v>22.63</v>
      </c>
      <c r="M34" s="28">
        <f t="shared" si="0"/>
        <v>66.03</v>
      </c>
      <c r="N34" s="28">
        <f t="shared" si="0"/>
        <v>16.100000000000001</v>
      </c>
      <c r="O34" s="28">
        <f t="shared" si="0"/>
        <v>0</v>
      </c>
      <c r="P34" s="28">
        <f t="shared" si="0"/>
        <v>0.3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8.52</v>
      </c>
      <c r="C35" s="29">
        <f t="shared" si="1"/>
        <v>3.58</v>
      </c>
      <c r="D35" s="29">
        <f t="shared" si="1"/>
        <v>12.48</v>
      </c>
      <c r="E35" s="29">
        <f t="shared" si="1"/>
        <v>5.55</v>
      </c>
      <c r="F35" s="29">
        <f t="shared" si="1"/>
        <v>16.649999999999999</v>
      </c>
      <c r="G35" s="29">
        <f t="shared" si="1"/>
        <v>83.78</v>
      </c>
      <c r="H35" s="29">
        <f t="shared" si="1"/>
        <v>33.520000000000003</v>
      </c>
      <c r="I35" s="29">
        <f t="shared" si="1"/>
        <v>4.6900000000000004</v>
      </c>
      <c r="J35" s="29">
        <f t="shared" si="1"/>
        <v>2.36</v>
      </c>
      <c r="K35" s="29">
        <f t="shared" si="1"/>
        <v>358.03</v>
      </c>
      <c r="L35" s="29">
        <f t="shared" si="1"/>
        <v>31.66</v>
      </c>
      <c r="M35" s="29">
        <f t="shared" si="1"/>
        <v>98.34</v>
      </c>
      <c r="N35" s="29">
        <f t="shared" si="1"/>
        <v>860.9</v>
      </c>
      <c r="O35" s="29">
        <f t="shared" si="1"/>
        <v>0.2</v>
      </c>
      <c r="P35" s="29">
        <f t="shared" si="1"/>
        <v>0.6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8.3795833333333345</v>
      </c>
      <c r="C36" s="28">
        <f t="shared" si="2"/>
        <v>3.3558333333333326</v>
      </c>
      <c r="D36" s="28">
        <f t="shared" si="2"/>
        <v>12.24375</v>
      </c>
      <c r="E36" s="28">
        <f t="shared" si="2"/>
        <v>4.5879166666666658</v>
      </c>
      <c r="F36" s="28">
        <f t="shared" si="2"/>
        <v>5.171666666666666</v>
      </c>
      <c r="G36" s="28">
        <f t="shared" si="2"/>
        <v>56.75066666666666</v>
      </c>
      <c r="H36" s="28">
        <f t="shared" si="2"/>
        <v>19.18</v>
      </c>
      <c r="I36" s="28">
        <f t="shared" si="2"/>
        <v>3.2237500000000003</v>
      </c>
      <c r="J36" s="28">
        <f t="shared" si="2"/>
        <v>0.7583333333333333</v>
      </c>
      <c r="K36" s="28">
        <f t="shared" si="2"/>
        <v>318.72750000000002</v>
      </c>
      <c r="L36" s="28">
        <f t="shared" si="2"/>
        <v>25.825833333333332</v>
      </c>
      <c r="M36" s="28">
        <f t="shared" si="2"/>
        <v>89.649583333333325</v>
      </c>
      <c r="N36" s="28">
        <f t="shared" si="2"/>
        <v>179.30833333333337</v>
      </c>
      <c r="O36" s="28">
        <f t="shared" si="2"/>
        <v>8.3333333333333332E-3</v>
      </c>
      <c r="P36" s="28">
        <f t="shared" si="2"/>
        <v>0.45624999999999999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6.104019820660346E-2</v>
      </c>
      <c r="C37" s="28">
        <f t="shared" ref="C37:Q37" si="3">STDEV(C9:C32)</f>
        <v>0.1053324619299857</v>
      </c>
      <c r="D37" s="28">
        <f t="shared" si="3"/>
        <v>9.8192911282265927E-2</v>
      </c>
      <c r="E37" s="28">
        <f t="shared" si="3"/>
        <v>0.42838401267885873</v>
      </c>
      <c r="F37" s="28">
        <f t="shared" si="3"/>
        <v>2.7286573648028374</v>
      </c>
      <c r="G37" s="28">
        <f t="shared" si="3"/>
        <v>17.831619374689769</v>
      </c>
      <c r="H37" s="28">
        <f t="shared" si="3"/>
        <v>6.9657047638514555</v>
      </c>
      <c r="I37" s="28">
        <f t="shared" si="3"/>
        <v>0.87342311326333055</v>
      </c>
      <c r="J37" s="28">
        <f t="shared" si="3"/>
        <v>0.57326423580925667</v>
      </c>
      <c r="K37" s="28">
        <f t="shared" si="3"/>
        <v>51.392024186638118</v>
      </c>
      <c r="L37" s="28">
        <f t="shared" si="3"/>
        <v>2.7786858274256989</v>
      </c>
      <c r="M37" s="28">
        <f t="shared" si="3"/>
        <v>10.969153777819427</v>
      </c>
      <c r="N37" s="28">
        <f t="shared" si="3"/>
        <v>246.79517456466971</v>
      </c>
      <c r="O37" s="28">
        <f t="shared" si="3"/>
        <v>4.0824829046386311E-2</v>
      </c>
      <c r="P37" s="28">
        <f t="shared" si="3"/>
        <v>0.10007877332164546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COUNT(G9:G32)+9</f>
        <v>24</v>
      </c>
      <c r="H38" s="32">
        <f>COUNT(H9:H32)+9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365</v>
      </c>
      <c r="B9" s="54">
        <v>8.36</v>
      </c>
      <c r="C9" s="54">
        <v>3.32</v>
      </c>
      <c r="D9" s="54">
        <v>12.2</v>
      </c>
      <c r="E9" s="54">
        <v>4.83</v>
      </c>
      <c r="F9" s="54">
        <v>4.32</v>
      </c>
      <c r="G9" s="54">
        <v>30.44</v>
      </c>
      <c r="H9" s="54">
        <v>11.59</v>
      </c>
      <c r="I9" s="54">
        <v>4.72</v>
      </c>
      <c r="J9" s="54">
        <v>0.49</v>
      </c>
      <c r="K9" s="54">
        <v>355.32</v>
      </c>
      <c r="L9" s="54">
        <v>22.74</v>
      </c>
      <c r="M9" s="54">
        <v>98.33</v>
      </c>
      <c r="N9" s="54">
        <v>16.600000000000001</v>
      </c>
      <c r="O9" s="54">
        <v>0</v>
      </c>
      <c r="P9" s="54">
        <v>0.41</v>
      </c>
      <c r="Q9" s="60" t="s">
        <v>8</v>
      </c>
      <c r="R9" s="43"/>
      <c r="S9" s="43"/>
      <c r="T9" s="43"/>
      <c r="U9" s="43"/>
    </row>
    <row r="10" spans="1:21" s="11" customFormat="1" x14ac:dyDescent="0.25">
      <c r="A10" s="53" t="s">
        <v>366</v>
      </c>
      <c r="B10" s="54">
        <v>8.39</v>
      </c>
      <c r="C10" s="54">
        <v>3.36</v>
      </c>
      <c r="D10" s="54">
        <v>12.26</v>
      </c>
      <c r="E10" s="54">
        <v>4.6500000000000004</v>
      </c>
      <c r="F10" s="54">
        <v>4.17</v>
      </c>
      <c r="G10" s="54">
        <v>21.92</v>
      </c>
      <c r="H10" s="54">
        <v>8.23</v>
      </c>
      <c r="I10" s="54">
        <v>4.17</v>
      </c>
      <c r="J10" s="54">
        <v>0.98</v>
      </c>
      <c r="K10" s="54">
        <v>143.27000000000001</v>
      </c>
      <c r="L10" s="54">
        <v>22.89</v>
      </c>
      <c r="M10" s="54">
        <v>98.33</v>
      </c>
      <c r="N10" s="54">
        <v>16.7</v>
      </c>
      <c r="O10" s="54">
        <v>0</v>
      </c>
      <c r="P10" s="54">
        <v>0.36</v>
      </c>
      <c r="Q10" s="60" t="s">
        <v>8</v>
      </c>
      <c r="R10" s="43"/>
      <c r="S10" s="43"/>
      <c r="T10" s="43"/>
      <c r="U10" s="43"/>
    </row>
    <row r="11" spans="1:21" s="11" customFormat="1" x14ac:dyDescent="0.25">
      <c r="A11" s="53" t="s">
        <v>367</v>
      </c>
      <c r="B11" s="54">
        <v>8.39</v>
      </c>
      <c r="C11" s="54">
        <v>3.3</v>
      </c>
      <c r="D11" s="54">
        <v>12.22</v>
      </c>
      <c r="E11" s="54">
        <v>4.76</v>
      </c>
      <c r="F11" s="54">
        <v>3.87</v>
      </c>
      <c r="G11" s="54">
        <v>19.559999999999999</v>
      </c>
      <c r="H11" s="54">
        <v>5.97</v>
      </c>
      <c r="I11" s="54">
        <v>4.38</v>
      </c>
      <c r="J11" s="54">
        <v>1.23</v>
      </c>
      <c r="K11" s="54">
        <v>299.64999999999998</v>
      </c>
      <c r="L11" s="54">
        <v>22.99</v>
      </c>
      <c r="M11" s="54">
        <v>98.33</v>
      </c>
      <c r="N11" s="54">
        <v>16.600000000000001</v>
      </c>
      <c r="O11" s="54">
        <v>0</v>
      </c>
      <c r="P11" s="54">
        <v>0.34</v>
      </c>
      <c r="Q11" s="60" t="s">
        <v>8</v>
      </c>
      <c r="R11" s="43"/>
      <c r="S11" s="43"/>
      <c r="T11" s="43"/>
      <c r="U11" s="43"/>
    </row>
    <row r="12" spans="1:21" s="11" customFormat="1" x14ac:dyDescent="0.25">
      <c r="A12" s="53" t="s">
        <v>368</v>
      </c>
      <c r="B12" s="54">
        <v>8.41</v>
      </c>
      <c r="C12" s="54">
        <v>3.33</v>
      </c>
      <c r="D12" s="54">
        <v>12.25</v>
      </c>
      <c r="E12" s="54">
        <v>4.68</v>
      </c>
      <c r="F12" s="54">
        <v>3.57</v>
      </c>
      <c r="G12" s="54">
        <v>19.559999999999999</v>
      </c>
      <c r="H12" s="54">
        <v>5.69</v>
      </c>
      <c r="I12" s="54">
        <v>4.99</v>
      </c>
      <c r="J12" s="54">
        <v>0.57999999999999996</v>
      </c>
      <c r="K12" s="54">
        <v>174.93</v>
      </c>
      <c r="L12" s="54">
        <v>22.9</v>
      </c>
      <c r="M12" s="54">
        <v>98.35</v>
      </c>
      <c r="N12" s="54">
        <v>16.600000000000001</v>
      </c>
      <c r="O12" s="54">
        <v>0</v>
      </c>
      <c r="P12" s="54">
        <v>0.31</v>
      </c>
      <c r="Q12" s="60" t="s">
        <v>8</v>
      </c>
      <c r="R12" s="43"/>
      <c r="S12" s="43"/>
      <c r="T12" s="43"/>
      <c r="U12" s="43"/>
    </row>
    <row r="13" spans="1:21" s="11" customFormat="1" x14ac:dyDescent="0.25">
      <c r="A13" s="53" t="s">
        <v>369</v>
      </c>
      <c r="B13" s="54">
        <v>8.36</v>
      </c>
      <c r="C13" s="54">
        <v>3.25</v>
      </c>
      <c r="D13" s="54">
        <v>12.17</v>
      </c>
      <c r="E13" s="54">
        <v>4.78</v>
      </c>
      <c r="F13" s="54">
        <v>4.22</v>
      </c>
      <c r="G13" s="54">
        <v>19.96</v>
      </c>
      <c r="H13" s="54">
        <v>5.69</v>
      </c>
      <c r="I13" s="54">
        <v>5.46</v>
      </c>
      <c r="J13" s="54">
        <v>1.1100000000000001</v>
      </c>
      <c r="K13" s="54">
        <v>201.69</v>
      </c>
      <c r="L13" s="54">
        <v>22.66</v>
      </c>
      <c r="M13" s="54">
        <v>98.35</v>
      </c>
      <c r="N13" s="54">
        <v>16.399999999999999</v>
      </c>
      <c r="O13" s="54">
        <v>0</v>
      </c>
      <c r="P13" s="54">
        <v>0.3</v>
      </c>
      <c r="Q13" s="60" t="s">
        <v>8</v>
      </c>
      <c r="R13" s="43"/>
      <c r="S13" s="43"/>
      <c r="T13" s="43"/>
      <c r="U13" s="43"/>
    </row>
    <row r="14" spans="1:21" s="11" customFormat="1" x14ac:dyDescent="0.25">
      <c r="A14" s="53" t="s">
        <v>370</v>
      </c>
      <c r="B14" s="54">
        <v>8.36</v>
      </c>
      <c r="C14" s="54">
        <v>3.27</v>
      </c>
      <c r="D14" s="54">
        <v>12.19</v>
      </c>
      <c r="E14" s="54">
        <v>4.76</v>
      </c>
      <c r="F14" s="54">
        <v>4.1500000000000004</v>
      </c>
      <c r="G14" s="54">
        <v>19.96</v>
      </c>
      <c r="H14" s="54">
        <v>5.23</v>
      </c>
      <c r="I14" s="54">
        <v>5.29</v>
      </c>
      <c r="J14" s="54">
        <v>0.47</v>
      </c>
      <c r="K14" s="54">
        <v>351.06</v>
      </c>
      <c r="L14" s="54">
        <v>23.04</v>
      </c>
      <c r="M14" s="54">
        <v>98.35</v>
      </c>
      <c r="N14" s="54">
        <v>29</v>
      </c>
      <c r="O14" s="54">
        <v>0</v>
      </c>
      <c r="P14" s="54">
        <v>0.28000000000000003</v>
      </c>
      <c r="Q14" s="60" t="s">
        <v>8</v>
      </c>
      <c r="R14" s="43"/>
      <c r="S14" s="43"/>
      <c r="T14" s="43"/>
      <c r="U14" s="43"/>
    </row>
    <row r="15" spans="1:21" s="11" customFormat="1" x14ac:dyDescent="0.25">
      <c r="A15" s="53" t="s">
        <v>371</v>
      </c>
      <c r="B15" s="54">
        <v>8.35</v>
      </c>
      <c r="C15" s="54">
        <v>3.25</v>
      </c>
      <c r="D15" s="54">
        <v>12.17</v>
      </c>
      <c r="E15" s="54">
        <v>4.5999999999999996</v>
      </c>
      <c r="F15" s="54">
        <v>3.99</v>
      </c>
      <c r="G15" s="54">
        <v>23.28</v>
      </c>
      <c r="H15" s="54">
        <v>4.3099999999999996</v>
      </c>
      <c r="I15" s="54">
        <v>4.76</v>
      </c>
      <c r="J15" s="54">
        <v>0.51</v>
      </c>
      <c r="K15" s="54">
        <v>355.79</v>
      </c>
      <c r="L15" s="54">
        <v>23.91</v>
      </c>
      <c r="M15" s="54">
        <v>98.35</v>
      </c>
      <c r="N15" s="54">
        <v>163.19999999999999</v>
      </c>
      <c r="O15" s="54">
        <v>0</v>
      </c>
      <c r="P15" s="54">
        <v>0.27</v>
      </c>
      <c r="Q15" s="60" t="s">
        <v>8</v>
      </c>
      <c r="R15" s="43"/>
      <c r="S15" s="43"/>
      <c r="T15" s="43"/>
      <c r="U15" s="43"/>
    </row>
    <row r="16" spans="1:21" s="11" customFormat="1" x14ac:dyDescent="0.25">
      <c r="A16" s="53" t="s">
        <v>372</v>
      </c>
      <c r="B16" s="54">
        <v>8.3800000000000008</v>
      </c>
      <c r="C16" s="54">
        <v>3.28</v>
      </c>
      <c r="D16" s="54">
        <v>12.2</v>
      </c>
      <c r="E16" s="54">
        <v>4.8899999999999997</v>
      </c>
      <c r="F16" s="54">
        <v>3.46</v>
      </c>
      <c r="G16" s="54">
        <v>26.36</v>
      </c>
      <c r="H16" s="54">
        <v>3.12</v>
      </c>
      <c r="I16" s="54">
        <v>3.95</v>
      </c>
      <c r="J16" s="54">
        <v>0.68</v>
      </c>
      <c r="K16" s="54">
        <v>337.81</v>
      </c>
      <c r="L16" s="54">
        <v>26.77</v>
      </c>
      <c r="M16" s="54">
        <v>97.44</v>
      </c>
      <c r="N16" s="54">
        <v>200.1</v>
      </c>
      <c r="O16" s="54">
        <v>0</v>
      </c>
      <c r="P16" s="54">
        <v>0.37</v>
      </c>
      <c r="Q16" s="60" t="s">
        <v>8</v>
      </c>
      <c r="R16" s="43"/>
      <c r="S16" s="43"/>
      <c r="T16" s="43"/>
      <c r="U16" s="43"/>
    </row>
    <row r="17" spans="1:21" s="11" customFormat="1" x14ac:dyDescent="0.25">
      <c r="A17" s="53" t="s">
        <v>373</v>
      </c>
      <c r="B17" s="54">
        <v>8.39</v>
      </c>
      <c r="C17" s="54">
        <v>3.28</v>
      </c>
      <c r="D17" s="54">
        <v>12.22</v>
      </c>
      <c r="E17" s="54">
        <v>3.84</v>
      </c>
      <c r="F17" s="54">
        <v>3.74</v>
      </c>
      <c r="G17" s="54">
        <v>38.270000000000003</v>
      </c>
      <c r="H17" s="54">
        <v>6.23</v>
      </c>
      <c r="I17" s="54">
        <v>3.55</v>
      </c>
      <c r="J17" s="54">
        <v>0.93</v>
      </c>
      <c r="K17" s="54">
        <v>317.52999999999997</v>
      </c>
      <c r="L17" s="54">
        <v>27.58</v>
      </c>
      <c r="M17" s="54">
        <v>86.49</v>
      </c>
      <c r="N17" s="54">
        <v>263.89999999999998</v>
      </c>
      <c r="O17" s="54">
        <v>0</v>
      </c>
      <c r="P17" s="54">
        <v>0.41</v>
      </c>
      <c r="Q17" s="60" t="s">
        <v>8</v>
      </c>
      <c r="R17" s="43"/>
      <c r="S17" s="43"/>
      <c r="T17" s="43"/>
      <c r="U17" s="43"/>
    </row>
    <row r="18" spans="1:21" s="11" customFormat="1" x14ac:dyDescent="0.25">
      <c r="A18" s="53" t="s">
        <v>374</v>
      </c>
      <c r="B18" s="54">
        <v>8.3800000000000008</v>
      </c>
      <c r="C18" s="54">
        <v>3.35</v>
      </c>
      <c r="D18" s="54">
        <v>12.25</v>
      </c>
      <c r="E18" s="54">
        <v>3.79</v>
      </c>
      <c r="F18" s="54">
        <v>3.66</v>
      </c>
      <c r="G18" s="54">
        <v>42.64</v>
      </c>
      <c r="H18" s="54">
        <v>7.73</v>
      </c>
      <c r="I18" s="54">
        <v>3.42</v>
      </c>
      <c r="J18" s="54">
        <v>0.82</v>
      </c>
      <c r="K18" s="54">
        <v>327.35000000000002</v>
      </c>
      <c r="L18" s="54">
        <v>28.67</v>
      </c>
      <c r="M18" s="54">
        <v>81.27</v>
      </c>
      <c r="N18" s="54">
        <v>336.9</v>
      </c>
      <c r="O18" s="54">
        <v>0</v>
      </c>
      <c r="P18" s="54">
        <v>0.44</v>
      </c>
      <c r="Q18" s="60" t="s">
        <v>8</v>
      </c>
      <c r="R18" s="43"/>
      <c r="S18" s="43"/>
      <c r="T18" s="43"/>
      <c r="U18" s="43"/>
    </row>
    <row r="19" spans="1:21" s="11" customFormat="1" x14ac:dyDescent="0.25">
      <c r="A19" s="53" t="s">
        <v>375</v>
      </c>
      <c r="B19" s="54">
        <v>8.3800000000000008</v>
      </c>
      <c r="C19" s="54">
        <v>3.45</v>
      </c>
      <c r="D19" s="54">
        <v>12.29</v>
      </c>
      <c r="E19" s="54">
        <v>4.12</v>
      </c>
      <c r="F19" s="54">
        <v>5.89</v>
      </c>
      <c r="G19" s="54">
        <v>42.64</v>
      </c>
      <c r="H19" s="54">
        <v>8.9</v>
      </c>
      <c r="I19" s="54">
        <v>3.35</v>
      </c>
      <c r="J19" s="54">
        <v>1.28</v>
      </c>
      <c r="K19" s="54">
        <v>316.83999999999997</v>
      </c>
      <c r="L19" s="54">
        <v>29.41</v>
      </c>
      <c r="M19" s="54">
        <v>76.099999999999994</v>
      </c>
      <c r="N19" s="54">
        <v>306.39999999999998</v>
      </c>
      <c r="O19" s="54">
        <v>0</v>
      </c>
      <c r="P19" s="54">
        <v>0.51</v>
      </c>
      <c r="Q19" s="54">
        <v>9.3699999999999992</v>
      </c>
      <c r="R19" s="43"/>
      <c r="S19" s="43"/>
      <c r="T19" s="43"/>
      <c r="U19" s="43"/>
    </row>
    <row r="20" spans="1:21" s="11" customFormat="1" x14ac:dyDescent="0.25">
      <c r="A20" s="53" t="s">
        <v>376</v>
      </c>
      <c r="B20" s="54">
        <v>8.4600000000000009</v>
      </c>
      <c r="C20" s="54">
        <v>3.74</v>
      </c>
      <c r="D20" s="54">
        <v>12.51</v>
      </c>
      <c r="E20" s="54">
        <v>4.51</v>
      </c>
      <c r="F20" s="54">
        <v>6.31</v>
      </c>
      <c r="G20" s="54">
        <v>47.5</v>
      </c>
      <c r="H20" s="54">
        <v>9.85</v>
      </c>
      <c r="I20" s="54">
        <v>3.56</v>
      </c>
      <c r="J20" s="54">
        <v>1.1100000000000001</v>
      </c>
      <c r="K20" s="54">
        <v>333.05</v>
      </c>
      <c r="L20" s="54">
        <v>29.99</v>
      </c>
      <c r="M20" s="54">
        <v>94.75</v>
      </c>
      <c r="N20" s="54">
        <v>641.9</v>
      </c>
      <c r="O20" s="54">
        <v>0.8</v>
      </c>
      <c r="P20" s="54">
        <v>0.54</v>
      </c>
      <c r="Q20" s="54">
        <v>9.08</v>
      </c>
      <c r="R20" s="43"/>
      <c r="S20" s="43"/>
      <c r="T20" s="43"/>
      <c r="U20" s="43"/>
    </row>
    <row r="21" spans="1:21" s="11" customFormat="1" x14ac:dyDescent="0.25">
      <c r="A21" s="53" t="s">
        <v>377</v>
      </c>
      <c r="B21" s="54">
        <v>8.34</v>
      </c>
      <c r="C21" s="54">
        <v>3.32</v>
      </c>
      <c r="D21" s="54">
        <v>12.19</v>
      </c>
      <c r="E21" s="54">
        <v>4.37</v>
      </c>
      <c r="F21" s="54">
        <v>4.22</v>
      </c>
      <c r="G21" s="54">
        <v>47.5</v>
      </c>
      <c r="H21" s="54">
        <v>13.39</v>
      </c>
      <c r="I21" s="54">
        <v>3.5</v>
      </c>
      <c r="J21" s="54">
        <v>1.41</v>
      </c>
      <c r="K21" s="54">
        <v>339.04</v>
      </c>
      <c r="L21" s="54">
        <v>29.9</v>
      </c>
      <c r="M21" s="54">
        <v>90.27</v>
      </c>
      <c r="N21" s="54">
        <v>1191.3</v>
      </c>
      <c r="O21" s="54">
        <v>2</v>
      </c>
      <c r="P21" s="54">
        <v>0.54</v>
      </c>
      <c r="Q21" s="54">
        <v>9.64</v>
      </c>
      <c r="R21" s="43"/>
      <c r="S21" s="43"/>
      <c r="T21" s="43"/>
      <c r="U21" s="43"/>
    </row>
    <row r="22" spans="1:21" s="11" customFormat="1" x14ac:dyDescent="0.25">
      <c r="A22" s="53" t="s">
        <v>378</v>
      </c>
      <c r="B22" s="54">
        <v>8.3699999999999992</v>
      </c>
      <c r="C22" s="54">
        <v>3.32</v>
      </c>
      <c r="D22" s="54">
        <v>12.2</v>
      </c>
      <c r="E22" s="54">
        <v>4.21</v>
      </c>
      <c r="F22" s="54">
        <v>7.17</v>
      </c>
      <c r="G22" s="54">
        <v>44.35</v>
      </c>
      <c r="H22" s="54">
        <v>13.49</v>
      </c>
      <c r="I22" s="54">
        <v>3.96</v>
      </c>
      <c r="J22" s="54">
        <v>0.7</v>
      </c>
      <c r="K22" s="54">
        <v>232.95</v>
      </c>
      <c r="L22" s="54">
        <v>24.38</v>
      </c>
      <c r="M22" s="54">
        <v>98.7</v>
      </c>
      <c r="N22" s="54">
        <v>142.4</v>
      </c>
      <c r="O22" s="54">
        <v>13.8</v>
      </c>
      <c r="P22" s="54">
        <v>0.46</v>
      </c>
      <c r="Q22" s="54">
        <v>9.64</v>
      </c>
      <c r="R22" s="43"/>
      <c r="S22" s="43"/>
      <c r="T22" s="43"/>
      <c r="U22" s="43"/>
    </row>
    <row r="23" spans="1:21" s="11" customFormat="1" x14ac:dyDescent="0.25">
      <c r="A23" s="53" t="s">
        <v>379</v>
      </c>
      <c r="B23" s="54">
        <v>8.33</v>
      </c>
      <c r="C23" s="54">
        <v>3.26</v>
      </c>
      <c r="D23" s="54">
        <v>12.16</v>
      </c>
      <c r="E23" s="54">
        <v>4.25</v>
      </c>
      <c r="F23" s="54">
        <v>4.66</v>
      </c>
      <c r="G23" s="54">
        <v>41.38</v>
      </c>
      <c r="H23" s="54">
        <v>13.49</v>
      </c>
      <c r="I23" s="54">
        <v>3.86</v>
      </c>
      <c r="J23" s="54">
        <v>0.72</v>
      </c>
      <c r="K23" s="54">
        <v>333.45</v>
      </c>
      <c r="L23" s="54">
        <v>22.51</v>
      </c>
      <c r="M23" s="54">
        <v>98.85</v>
      </c>
      <c r="N23" s="54">
        <v>164.4</v>
      </c>
      <c r="O23" s="54">
        <v>0.2</v>
      </c>
      <c r="P23" s="54">
        <v>0.44</v>
      </c>
      <c r="Q23" s="54">
        <v>9.64</v>
      </c>
      <c r="R23" s="43"/>
      <c r="S23" s="43"/>
      <c r="T23" s="43"/>
      <c r="U23" s="43"/>
    </row>
    <row r="24" spans="1:21" s="11" customFormat="1" x14ac:dyDescent="0.25">
      <c r="A24" s="53" t="s">
        <v>380</v>
      </c>
      <c r="B24" s="54">
        <v>8.36</v>
      </c>
      <c r="C24" s="54">
        <v>3.35</v>
      </c>
      <c r="D24" s="54">
        <v>12.23</v>
      </c>
      <c r="E24" s="54">
        <v>4.72</v>
      </c>
      <c r="F24" s="54">
        <v>4.2</v>
      </c>
      <c r="G24" s="54">
        <v>36.130000000000003</v>
      </c>
      <c r="H24" s="54">
        <v>9.58</v>
      </c>
      <c r="I24" s="54">
        <v>3.3</v>
      </c>
      <c r="J24" s="54">
        <v>0.56000000000000005</v>
      </c>
      <c r="K24" s="54">
        <v>356.14</v>
      </c>
      <c r="L24" s="54">
        <v>23.01</v>
      </c>
      <c r="M24" s="54">
        <v>98.85</v>
      </c>
      <c r="N24" s="54">
        <v>237.1</v>
      </c>
      <c r="O24" s="54">
        <v>0</v>
      </c>
      <c r="P24" s="54">
        <v>0.42</v>
      </c>
      <c r="Q24" s="54">
        <v>9.5299999999999994</v>
      </c>
      <c r="R24" s="43"/>
      <c r="S24" s="43"/>
      <c r="T24" s="43"/>
      <c r="U24" s="43"/>
    </row>
    <row r="25" spans="1:21" s="11" customFormat="1" x14ac:dyDescent="0.25">
      <c r="A25" s="53" t="s">
        <v>381</v>
      </c>
      <c r="B25" s="54">
        <v>8.42</v>
      </c>
      <c r="C25" s="54">
        <v>3.48</v>
      </c>
      <c r="D25" s="54">
        <v>12.35</v>
      </c>
      <c r="E25" s="54">
        <v>4.7300000000000004</v>
      </c>
      <c r="F25" s="54">
        <v>3.6</v>
      </c>
      <c r="G25" s="54">
        <v>23.87</v>
      </c>
      <c r="H25" s="54">
        <v>7.82</v>
      </c>
      <c r="I25" s="54">
        <v>2.76</v>
      </c>
      <c r="J25" s="54">
        <v>0.61</v>
      </c>
      <c r="K25" s="54">
        <v>357.18</v>
      </c>
      <c r="L25" s="54">
        <v>24.13</v>
      </c>
      <c r="M25" s="54">
        <v>98.85</v>
      </c>
      <c r="N25" s="54">
        <v>222.1</v>
      </c>
      <c r="O25" s="54">
        <v>0</v>
      </c>
      <c r="P25" s="54">
        <v>0.45</v>
      </c>
      <c r="Q25" s="54">
        <v>9.4700000000000006</v>
      </c>
      <c r="R25" s="43"/>
      <c r="S25" s="43"/>
      <c r="T25" s="43"/>
      <c r="U25" s="43"/>
    </row>
    <row r="26" spans="1:21" s="11" customFormat="1" x14ac:dyDescent="0.25">
      <c r="A26" s="53" t="s">
        <v>382</v>
      </c>
      <c r="B26" s="54">
        <v>8.3800000000000008</v>
      </c>
      <c r="C26" s="54">
        <v>3.32</v>
      </c>
      <c r="D26" s="54">
        <v>12.23</v>
      </c>
      <c r="E26" s="54">
        <v>4.74</v>
      </c>
      <c r="F26" s="54">
        <v>4.09</v>
      </c>
      <c r="G26" s="54">
        <v>32.58</v>
      </c>
      <c r="H26" s="54">
        <v>8.17</v>
      </c>
      <c r="I26" s="54">
        <v>2.74</v>
      </c>
      <c r="J26" s="54">
        <v>0.6</v>
      </c>
      <c r="K26" s="54">
        <v>353.91</v>
      </c>
      <c r="L26" s="54">
        <v>24.08</v>
      </c>
      <c r="M26" s="54">
        <v>98.81</v>
      </c>
      <c r="N26" s="54">
        <v>133.30000000000001</v>
      </c>
      <c r="O26" s="54">
        <v>0</v>
      </c>
      <c r="P26" s="54">
        <v>0.47</v>
      </c>
      <c r="Q26" s="54">
        <v>9.44</v>
      </c>
      <c r="R26" s="43"/>
      <c r="S26" s="43"/>
      <c r="T26" s="43"/>
      <c r="U26" s="43"/>
    </row>
    <row r="27" spans="1:21" s="11" customFormat="1" x14ac:dyDescent="0.25">
      <c r="A27" s="53" t="s">
        <v>383</v>
      </c>
      <c r="B27" s="54">
        <v>8.39</v>
      </c>
      <c r="C27" s="54">
        <v>3.37</v>
      </c>
      <c r="D27" s="54">
        <v>12.26</v>
      </c>
      <c r="E27" s="54">
        <v>4.8099999999999996</v>
      </c>
      <c r="F27" s="54">
        <v>4.04</v>
      </c>
      <c r="G27" s="54">
        <v>34.729999999999997</v>
      </c>
      <c r="H27" s="54">
        <v>9.8699999999999992</v>
      </c>
      <c r="I27" s="54">
        <v>3.07</v>
      </c>
      <c r="J27" s="54">
        <v>0.65</v>
      </c>
      <c r="K27" s="54">
        <v>340.02</v>
      </c>
      <c r="L27" s="54">
        <v>23.7</v>
      </c>
      <c r="M27" s="54">
        <v>98.86</v>
      </c>
      <c r="N27" s="54">
        <v>60.9</v>
      </c>
      <c r="O27" s="54">
        <v>0.8</v>
      </c>
      <c r="P27" s="54">
        <v>0.55000000000000004</v>
      </c>
      <c r="Q27" s="54">
        <v>9.5</v>
      </c>
      <c r="R27" s="43"/>
      <c r="S27" s="43"/>
      <c r="T27" s="43"/>
      <c r="U27" s="43"/>
    </row>
    <row r="28" spans="1:21" s="11" customFormat="1" x14ac:dyDescent="0.25">
      <c r="A28" s="53" t="s">
        <v>384</v>
      </c>
      <c r="B28" s="54">
        <v>8.36</v>
      </c>
      <c r="C28" s="54">
        <v>3.36</v>
      </c>
      <c r="D28" s="54">
        <v>12.23</v>
      </c>
      <c r="E28" s="54">
        <v>5</v>
      </c>
      <c r="F28" s="54">
        <v>4.1100000000000003</v>
      </c>
      <c r="G28" s="54">
        <v>34.729999999999997</v>
      </c>
      <c r="H28" s="54">
        <v>10.15</v>
      </c>
      <c r="I28" s="54">
        <v>3.15</v>
      </c>
      <c r="J28" s="54">
        <v>0.5</v>
      </c>
      <c r="K28" s="54">
        <v>17.52</v>
      </c>
      <c r="L28" s="54">
        <v>22.9</v>
      </c>
      <c r="M28" s="54">
        <v>98.88</v>
      </c>
      <c r="N28" s="54">
        <v>57.7</v>
      </c>
      <c r="O28" s="54">
        <v>0</v>
      </c>
      <c r="P28" s="54">
        <v>0.62</v>
      </c>
      <c r="Q28" s="54">
        <v>9.5299999999999994</v>
      </c>
      <c r="R28" s="43"/>
      <c r="S28" s="43"/>
      <c r="T28" s="43"/>
      <c r="U28" s="43"/>
    </row>
    <row r="29" spans="1:21" s="11" customFormat="1" x14ac:dyDescent="0.25">
      <c r="A29" s="53" t="s">
        <v>385</v>
      </c>
      <c r="B29" s="54">
        <v>8.4</v>
      </c>
      <c r="C29" s="54">
        <v>3.49</v>
      </c>
      <c r="D29" s="54">
        <v>12.33</v>
      </c>
      <c r="E29" s="54">
        <v>4.33</v>
      </c>
      <c r="F29" s="54">
        <v>3.96</v>
      </c>
      <c r="G29" s="54">
        <v>30.63</v>
      </c>
      <c r="H29" s="54">
        <v>10.15</v>
      </c>
      <c r="I29" s="54">
        <v>3.27</v>
      </c>
      <c r="J29" s="54">
        <v>0.5</v>
      </c>
      <c r="K29" s="54">
        <v>358.56</v>
      </c>
      <c r="L29" s="54">
        <v>22.81</v>
      </c>
      <c r="M29" s="54">
        <v>98.88</v>
      </c>
      <c r="N29" s="54">
        <v>58</v>
      </c>
      <c r="O29" s="54">
        <v>0</v>
      </c>
      <c r="P29" s="54">
        <v>0.63</v>
      </c>
      <c r="Q29" s="54">
        <v>9.56</v>
      </c>
      <c r="R29" s="43"/>
      <c r="S29" s="43"/>
      <c r="T29" s="43"/>
      <c r="U29" s="43"/>
    </row>
    <row r="30" spans="1:21" s="11" customFormat="1" x14ac:dyDescent="0.25">
      <c r="A30" s="53" t="s">
        <v>386</v>
      </c>
      <c r="B30" s="54">
        <v>8.3699999999999992</v>
      </c>
      <c r="C30" s="54">
        <v>3.23</v>
      </c>
      <c r="D30" s="54">
        <v>12.16</v>
      </c>
      <c r="E30" s="54">
        <v>4.38</v>
      </c>
      <c r="F30" s="54">
        <v>3.58</v>
      </c>
      <c r="G30" s="54">
        <v>26.46</v>
      </c>
      <c r="H30" s="54">
        <v>7.41</v>
      </c>
      <c r="I30" s="54">
        <v>3.71</v>
      </c>
      <c r="J30" s="54">
        <v>0.43</v>
      </c>
      <c r="K30" s="54">
        <v>347.75</v>
      </c>
      <c r="L30" s="54">
        <v>22.76</v>
      </c>
      <c r="M30" s="54">
        <v>98.88</v>
      </c>
      <c r="N30" s="54">
        <v>58.2</v>
      </c>
      <c r="O30" s="54">
        <v>0</v>
      </c>
      <c r="P30" s="54">
        <v>0.63</v>
      </c>
      <c r="Q30" s="54">
        <v>9.57</v>
      </c>
      <c r="R30" s="43"/>
      <c r="S30" s="43"/>
      <c r="T30" s="43"/>
      <c r="U30" s="43"/>
    </row>
    <row r="31" spans="1:21" s="11" customFormat="1" x14ac:dyDescent="0.25">
      <c r="A31" s="53" t="s">
        <v>387</v>
      </c>
      <c r="B31" s="54">
        <v>8.36</v>
      </c>
      <c r="C31" s="54">
        <v>3.21</v>
      </c>
      <c r="D31" s="54">
        <v>12.15</v>
      </c>
      <c r="E31" s="54">
        <v>4.3099999999999996</v>
      </c>
      <c r="F31" s="54">
        <v>3.78</v>
      </c>
      <c r="G31" s="54">
        <v>26.46</v>
      </c>
      <c r="H31" s="54">
        <v>5.93</v>
      </c>
      <c r="I31" s="54">
        <v>4.17</v>
      </c>
      <c r="J31" s="54">
        <v>0.49</v>
      </c>
      <c r="K31" s="54">
        <v>354.22</v>
      </c>
      <c r="L31" s="54">
        <v>22.8</v>
      </c>
      <c r="M31" s="54">
        <v>98.88</v>
      </c>
      <c r="N31" s="54">
        <v>58.5</v>
      </c>
      <c r="O31" s="54">
        <v>0</v>
      </c>
      <c r="P31" s="54">
        <v>0.61</v>
      </c>
      <c r="Q31" s="54">
        <v>9.56</v>
      </c>
      <c r="R31" s="43"/>
      <c r="S31" s="43"/>
      <c r="T31" s="43"/>
      <c r="U31" s="43"/>
    </row>
    <row r="32" spans="1:21" s="11" customFormat="1" x14ac:dyDescent="0.25">
      <c r="A32" s="53" t="s">
        <v>388</v>
      </c>
      <c r="B32" s="54">
        <v>8.34</v>
      </c>
      <c r="C32" s="54">
        <v>3.2</v>
      </c>
      <c r="D32" s="54">
        <v>12.12</v>
      </c>
      <c r="E32" s="54">
        <v>4.68</v>
      </c>
      <c r="F32" s="54">
        <v>3.85</v>
      </c>
      <c r="G32" s="54">
        <v>23.18</v>
      </c>
      <c r="H32" s="54">
        <v>5.65</v>
      </c>
      <c r="I32" s="54">
        <v>4.17</v>
      </c>
      <c r="J32" s="54">
        <v>0.52</v>
      </c>
      <c r="K32" s="54">
        <v>19.73</v>
      </c>
      <c r="L32" s="54">
        <v>22.83</v>
      </c>
      <c r="M32" s="54">
        <v>98.88</v>
      </c>
      <c r="N32" s="54">
        <v>58.5</v>
      </c>
      <c r="O32" s="54">
        <v>0</v>
      </c>
      <c r="P32" s="54">
        <v>0.56000000000000005</v>
      </c>
      <c r="Q32" s="54">
        <v>9.51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8.33</v>
      </c>
      <c r="C34" s="28">
        <f t="shared" si="0"/>
        <v>3.2</v>
      </c>
      <c r="D34" s="28">
        <f t="shared" si="0"/>
        <v>12.12</v>
      </c>
      <c r="E34" s="28">
        <f t="shared" si="0"/>
        <v>3.79</v>
      </c>
      <c r="F34" s="28">
        <f t="shared" si="0"/>
        <v>3.46</v>
      </c>
      <c r="G34" s="28">
        <f t="shared" si="0"/>
        <v>19.559999999999999</v>
      </c>
      <c r="H34" s="28">
        <f t="shared" si="0"/>
        <v>3.12</v>
      </c>
      <c r="I34" s="28">
        <f t="shared" si="0"/>
        <v>2.74</v>
      </c>
      <c r="J34" s="28">
        <f t="shared" si="0"/>
        <v>0.43</v>
      </c>
      <c r="K34" s="28">
        <f t="shared" si="0"/>
        <v>17.52</v>
      </c>
      <c r="L34" s="28">
        <f t="shared" si="0"/>
        <v>22.51</v>
      </c>
      <c r="M34" s="28">
        <f t="shared" si="0"/>
        <v>76.099999999999994</v>
      </c>
      <c r="N34" s="28">
        <f t="shared" si="0"/>
        <v>16.399999999999999</v>
      </c>
      <c r="O34" s="28">
        <f t="shared" si="0"/>
        <v>0</v>
      </c>
      <c r="P34" s="28">
        <f t="shared" si="0"/>
        <v>0.27</v>
      </c>
      <c r="Q34" s="28">
        <f t="shared" si="0"/>
        <v>9.08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8.4600000000000009</v>
      </c>
      <c r="C35" s="29">
        <f t="shared" si="1"/>
        <v>3.74</v>
      </c>
      <c r="D35" s="29">
        <f t="shared" si="1"/>
        <v>12.51</v>
      </c>
      <c r="E35" s="29">
        <f t="shared" si="1"/>
        <v>5</v>
      </c>
      <c r="F35" s="29">
        <f t="shared" si="1"/>
        <v>7.17</v>
      </c>
      <c r="G35" s="29">
        <f t="shared" si="1"/>
        <v>47.5</v>
      </c>
      <c r="H35" s="29">
        <f t="shared" si="1"/>
        <v>13.49</v>
      </c>
      <c r="I35" s="29">
        <f t="shared" si="1"/>
        <v>5.46</v>
      </c>
      <c r="J35" s="29">
        <f t="shared" si="1"/>
        <v>1.41</v>
      </c>
      <c r="K35" s="29">
        <f t="shared" si="1"/>
        <v>358.56</v>
      </c>
      <c r="L35" s="29">
        <f t="shared" si="1"/>
        <v>29.99</v>
      </c>
      <c r="M35" s="29">
        <f t="shared" si="1"/>
        <v>98.88</v>
      </c>
      <c r="N35" s="29">
        <f t="shared" si="1"/>
        <v>1191.3</v>
      </c>
      <c r="O35" s="29">
        <f t="shared" si="1"/>
        <v>13.8</v>
      </c>
      <c r="P35" s="29">
        <f t="shared" si="1"/>
        <v>0.63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8.3762500000000006</v>
      </c>
      <c r="C36" s="28">
        <f t="shared" si="2"/>
        <v>3.3370833333333336</v>
      </c>
      <c r="D36" s="28">
        <f t="shared" si="2"/>
        <v>12.230833333333331</v>
      </c>
      <c r="E36" s="28">
        <f t="shared" si="2"/>
        <v>4.5308333333333328</v>
      </c>
      <c r="F36" s="28">
        <f t="shared" si="2"/>
        <v>4.2754166666666666</v>
      </c>
      <c r="G36" s="28">
        <f t="shared" si="2"/>
        <v>31.420416666666672</v>
      </c>
      <c r="H36" s="28">
        <f t="shared" si="2"/>
        <v>8.2350000000000012</v>
      </c>
      <c r="I36" s="28">
        <f t="shared" si="2"/>
        <v>3.8858333333333328</v>
      </c>
      <c r="J36" s="28">
        <f t="shared" si="2"/>
        <v>0.74499999999999977</v>
      </c>
      <c r="K36" s="28">
        <f t="shared" si="2"/>
        <v>288.53166666666675</v>
      </c>
      <c r="L36" s="28">
        <f t="shared" si="2"/>
        <v>24.556666666666661</v>
      </c>
      <c r="M36" s="28">
        <f t="shared" si="2"/>
        <v>95.91791666666667</v>
      </c>
      <c r="N36" s="28">
        <f t="shared" si="2"/>
        <v>186.11249999999998</v>
      </c>
      <c r="O36" s="28">
        <f t="shared" si="2"/>
        <v>0.73333333333333339</v>
      </c>
      <c r="P36" s="28">
        <f t="shared" si="2"/>
        <v>0.45500000000000007</v>
      </c>
      <c r="Q36" s="28">
        <f t="shared" si="2"/>
        <v>9.5028571428571418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2.8408893279945318E-2</v>
      </c>
      <c r="C37" s="28">
        <f t="shared" ref="C37:Q37" si="3">STDEV(C9:C32)</f>
        <v>0.11468213790134539</v>
      </c>
      <c r="D37" s="28">
        <f t="shared" si="3"/>
        <v>8.0914160993458731E-2</v>
      </c>
      <c r="E37" s="28">
        <f t="shared" si="3"/>
        <v>0.3217603302847129</v>
      </c>
      <c r="F37" s="28">
        <f t="shared" si="3"/>
        <v>0.9081801160498989</v>
      </c>
      <c r="G37" s="28">
        <f t="shared" si="3"/>
        <v>9.3934387272812998</v>
      </c>
      <c r="H37" s="28">
        <f t="shared" si="3"/>
        <v>2.9023064291517611</v>
      </c>
      <c r="I37" s="28">
        <f t="shared" si="3"/>
        <v>0.75291847625360875</v>
      </c>
      <c r="J37" s="28">
        <f t="shared" si="3"/>
        <v>0.29285699136490589</v>
      </c>
      <c r="K37" s="28">
        <f t="shared" si="3"/>
        <v>103.08696728097277</v>
      </c>
      <c r="L37" s="28">
        <f t="shared" si="3"/>
        <v>2.5793910077796665</v>
      </c>
      <c r="M37" s="28">
        <f t="shared" si="3"/>
        <v>6.1407838185200028</v>
      </c>
      <c r="N37" s="28">
        <f t="shared" si="3"/>
        <v>258.5150593754899</v>
      </c>
      <c r="O37" s="28">
        <f t="shared" si="3"/>
        <v>2.8196001361072871</v>
      </c>
      <c r="P37" s="28">
        <f t="shared" si="3"/>
        <v>0.11332907067857532</v>
      </c>
      <c r="Q37" s="28">
        <f t="shared" si="3"/>
        <v>0.1442449077319316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COUNT(Q9:Q32)+10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389</v>
      </c>
      <c r="B9" s="54">
        <v>8.36</v>
      </c>
      <c r="C9" s="54">
        <v>3.34</v>
      </c>
      <c r="D9" s="54">
        <v>12.23</v>
      </c>
      <c r="E9" s="54">
        <v>5.16</v>
      </c>
      <c r="F9" s="54">
        <v>4.13</v>
      </c>
      <c r="G9" s="54">
        <v>18.68</v>
      </c>
      <c r="H9" s="54">
        <v>5.14</v>
      </c>
      <c r="I9" s="54">
        <v>3.92</v>
      </c>
      <c r="J9" s="54">
        <v>0.53</v>
      </c>
      <c r="K9" s="54">
        <v>358.56</v>
      </c>
      <c r="L9" s="54">
        <v>22.81</v>
      </c>
      <c r="M9" s="54">
        <v>98.88</v>
      </c>
      <c r="N9" s="54">
        <v>58.9</v>
      </c>
      <c r="O9" s="54">
        <v>0</v>
      </c>
      <c r="P9" s="54">
        <v>0.5</v>
      </c>
      <c r="Q9" s="54">
        <v>9.4499999999999993</v>
      </c>
      <c r="R9" s="43"/>
      <c r="S9" s="43"/>
      <c r="T9" s="43"/>
      <c r="U9" s="43"/>
    </row>
    <row r="10" spans="1:21" s="11" customFormat="1" x14ac:dyDescent="0.25">
      <c r="A10" s="53" t="s">
        <v>390</v>
      </c>
      <c r="B10" s="54">
        <v>8.34</v>
      </c>
      <c r="C10" s="54">
        <v>3.25</v>
      </c>
      <c r="D10" s="54">
        <v>12.15</v>
      </c>
      <c r="E10" s="54">
        <v>4.71</v>
      </c>
      <c r="F10" s="54">
        <v>3.92</v>
      </c>
      <c r="G10" s="54">
        <v>18.68</v>
      </c>
      <c r="H10" s="54">
        <v>5.14</v>
      </c>
      <c r="I10" s="54">
        <v>3.48</v>
      </c>
      <c r="J10" s="54">
        <v>0.56000000000000005</v>
      </c>
      <c r="K10" s="54">
        <v>349.88</v>
      </c>
      <c r="L10" s="54">
        <v>22.89</v>
      </c>
      <c r="M10" s="54">
        <v>98.88</v>
      </c>
      <c r="N10" s="54">
        <v>59.5</v>
      </c>
      <c r="O10" s="54">
        <v>0</v>
      </c>
      <c r="P10" s="54">
        <v>0.45</v>
      </c>
      <c r="Q10" s="54">
        <v>9.43</v>
      </c>
      <c r="R10" s="43"/>
      <c r="S10" s="43"/>
      <c r="T10" s="43"/>
      <c r="U10" s="43"/>
    </row>
    <row r="11" spans="1:21" s="11" customFormat="1" x14ac:dyDescent="0.25">
      <c r="A11" s="53" t="s">
        <v>391</v>
      </c>
      <c r="B11" s="54">
        <v>8.36</v>
      </c>
      <c r="C11" s="54">
        <v>3.24</v>
      </c>
      <c r="D11" s="54">
        <v>12.16</v>
      </c>
      <c r="E11" s="54">
        <v>4.72</v>
      </c>
      <c r="F11" s="54">
        <v>4.34</v>
      </c>
      <c r="G11" s="54">
        <v>16.3</v>
      </c>
      <c r="H11" s="54">
        <v>3.84</v>
      </c>
      <c r="I11" s="54">
        <v>2.8</v>
      </c>
      <c r="J11" s="54">
        <v>0.57999999999999996</v>
      </c>
      <c r="K11" s="54">
        <v>359.15</v>
      </c>
      <c r="L11" s="54">
        <v>22.91</v>
      </c>
      <c r="M11" s="54">
        <v>98.85</v>
      </c>
      <c r="N11" s="54">
        <v>59.6</v>
      </c>
      <c r="O11" s="54">
        <v>0</v>
      </c>
      <c r="P11" s="54">
        <v>0.39</v>
      </c>
      <c r="Q11" s="54">
        <v>9.39</v>
      </c>
      <c r="R11" s="43"/>
      <c r="S11" s="43"/>
      <c r="T11" s="43"/>
      <c r="U11" s="43"/>
    </row>
    <row r="12" spans="1:21" s="11" customFormat="1" x14ac:dyDescent="0.25">
      <c r="A12" s="53" t="s">
        <v>392</v>
      </c>
      <c r="B12" s="54">
        <v>8.34</v>
      </c>
      <c r="C12" s="54">
        <v>3.27</v>
      </c>
      <c r="D12" s="54">
        <v>12.17</v>
      </c>
      <c r="E12" s="54">
        <v>4.74</v>
      </c>
      <c r="F12" s="54">
        <v>4.6500000000000004</v>
      </c>
      <c r="G12" s="54">
        <v>13.87</v>
      </c>
      <c r="H12" s="54">
        <v>4.07</v>
      </c>
      <c r="I12" s="54">
        <v>2.04</v>
      </c>
      <c r="J12" s="54">
        <v>0.5</v>
      </c>
      <c r="K12" s="54">
        <v>358.95</v>
      </c>
      <c r="L12" s="54">
        <v>22.87</v>
      </c>
      <c r="M12" s="54">
        <v>98.85</v>
      </c>
      <c r="N12" s="54">
        <v>59.5</v>
      </c>
      <c r="O12" s="54">
        <v>0</v>
      </c>
      <c r="P12" s="54">
        <v>0.33</v>
      </c>
      <c r="Q12" s="54">
        <v>9.34</v>
      </c>
      <c r="R12" s="43"/>
      <c r="S12" s="43"/>
      <c r="T12" s="43"/>
      <c r="U12" s="43"/>
    </row>
    <row r="13" spans="1:21" s="11" customFormat="1" x14ac:dyDescent="0.25">
      <c r="A13" s="53" t="s">
        <v>393</v>
      </c>
      <c r="B13" s="54">
        <v>8.31</v>
      </c>
      <c r="C13" s="54">
        <v>3.23</v>
      </c>
      <c r="D13" s="54">
        <v>12.13</v>
      </c>
      <c r="E13" s="54">
        <v>3.88</v>
      </c>
      <c r="F13" s="54">
        <v>4.42</v>
      </c>
      <c r="G13" s="54">
        <v>14.35</v>
      </c>
      <c r="H13" s="54">
        <v>4.07</v>
      </c>
      <c r="I13" s="54">
        <v>1.74</v>
      </c>
      <c r="J13" s="54">
        <v>0.45</v>
      </c>
      <c r="K13" s="54">
        <v>336.32</v>
      </c>
      <c r="L13" s="54">
        <v>22.76</v>
      </c>
      <c r="M13" s="54">
        <v>98.88</v>
      </c>
      <c r="N13" s="54">
        <v>59.2</v>
      </c>
      <c r="O13" s="54">
        <v>0</v>
      </c>
      <c r="P13" s="54">
        <v>0.3</v>
      </c>
      <c r="Q13" s="54">
        <v>9.3000000000000007</v>
      </c>
      <c r="R13" s="43"/>
      <c r="S13" s="43"/>
      <c r="T13" s="43"/>
      <c r="U13" s="43"/>
    </row>
    <row r="14" spans="1:21" s="11" customFormat="1" x14ac:dyDescent="0.25">
      <c r="A14" s="53" t="s">
        <v>394</v>
      </c>
      <c r="B14" s="54">
        <v>8.33</v>
      </c>
      <c r="C14" s="54">
        <v>3.27</v>
      </c>
      <c r="D14" s="54">
        <v>12.16</v>
      </c>
      <c r="E14" s="54">
        <v>3.95</v>
      </c>
      <c r="F14" s="54">
        <v>4.5</v>
      </c>
      <c r="G14" s="54">
        <v>14.35</v>
      </c>
      <c r="H14" s="54">
        <v>3.27</v>
      </c>
      <c r="I14" s="54">
        <v>2.2799999999999998</v>
      </c>
      <c r="J14" s="54">
        <v>0.48</v>
      </c>
      <c r="K14" s="54">
        <v>226.34</v>
      </c>
      <c r="L14" s="54">
        <v>22.66</v>
      </c>
      <c r="M14" s="54">
        <v>98.9</v>
      </c>
      <c r="N14" s="54">
        <v>86.2</v>
      </c>
      <c r="O14" s="54">
        <v>0</v>
      </c>
      <c r="P14" s="54">
        <v>0.3</v>
      </c>
      <c r="Q14" s="54">
        <v>9.35</v>
      </c>
      <c r="R14" s="43"/>
      <c r="S14" s="43"/>
      <c r="T14" s="43"/>
      <c r="U14" s="43"/>
    </row>
    <row r="15" spans="1:21" s="11" customFormat="1" x14ac:dyDescent="0.25">
      <c r="A15" s="53" t="s">
        <v>395</v>
      </c>
      <c r="B15" s="54">
        <v>8.35</v>
      </c>
      <c r="C15" s="54">
        <v>3.22</v>
      </c>
      <c r="D15" s="54">
        <v>12.15</v>
      </c>
      <c r="E15" s="54">
        <v>3.66</v>
      </c>
      <c r="F15" s="54">
        <v>3.4</v>
      </c>
      <c r="G15" s="54">
        <v>13.96</v>
      </c>
      <c r="H15" s="54">
        <v>2.5</v>
      </c>
      <c r="I15" s="54">
        <v>3.01</v>
      </c>
      <c r="J15" s="54">
        <v>0.5</v>
      </c>
      <c r="K15" s="54">
        <v>356.45</v>
      </c>
      <c r="L15" s="54">
        <v>23.7</v>
      </c>
      <c r="M15" s="54">
        <v>98.88</v>
      </c>
      <c r="N15" s="54">
        <v>217.8</v>
      </c>
      <c r="O15" s="54">
        <v>0</v>
      </c>
      <c r="P15" s="54">
        <v>0.3</v>
      </c>
      <c r="Q15" s="54">
        <v>9.39</v>
      </c>
      <c r="R15" s="43"/>
      <c r="S15" s="43"/>
      <c r="T15" s="43"/>
      <c r="U15" s="43"/>
    </row>
    <row r="16" spans="1:21" s="11" customFormat="1" x14ac:dyDescent="0.25">
      <c r="A16" s="53" t="s">
        <v>396</v>
      </c>
      <c r="B16" s="54">
        <v>8.36</v>
      </c>
      <c r="C16" s="54">
        <v>3.33</v>
      </c>
      <c r="D16" s="54">
        <v>12.22</v>
      </c>
      <c r="E16" s="54">
        <v>4.46</v>
      </c>
      <c r="F16" s="54">
        <v>4.37</v>
      </c>
      <c r="G16" s="54">
        <v>15.84</v>
      </c>
      <c r="H16" s="54">
        <v>3.37</v>
      </c>
      <c r="I16" s="54">
        <v>3.08</v>
      </c>
      <c r="J16" s="54">
        <v>0.56000000000000005</v>
      </c>
      <c r="K16" s="54">
        <v>357.42</v>
      </c>
      <c r="L16" s="54">
        <v>25.42</v>
      </c>
      <c r="M16" s="54">
        <v>96.24</v>
      </c>
      <c r="N16" s="54">
        <v>354.4</v>
      </c>
      <c r="O16" s="54">
        <v>0</v>
      </c>
      <c r="P16" s="54">
        <v>0.33</v>
      </c>
      <c r="Q16" s="54">
        <v>9.4</v>
      </c>
      <c r="R16" s="43"/>
      <c r="S16" s="43"/>
      <c r="T16" s="43"/>
      <c r="U16" s="43"/>
    </row>
    <row r="17" spans="1:21" s="11" customFormat="1" x14ac:dyDescent="0.25">
      <c r="A17" s="53" t="s">
        <v>397</v>
      </c>
      <c r="B17" s="54">
        <v>8.32</v>
      </c>
      <c r="C17" s="54">
        <v>3.24</v>
      </c>
      <c r="D17" s="54">
        <v>12.14</v>
      </c>
      <c r="E17" s="54">
        <v>4.8</v>
      </c>
      <c r="F17" s="54">
        <v>4</v>
      </c>
      <c r="G17" s="54">
        <v>21.64</v>
      </c>
      <c r="H17" s="54">
        <v>4.0199999999999996</v>
      </c>
      <c r="I17" s="54">
        <v>2.46</v>
      </c>
      <c r="J17" s="54">
        <v>0.59</v>
      </c>
      <c r="K17" s="54">
        <v>355.22</v>
      </c>
      <c r="L17" s="54">
        <v>26.61</v>
      </c>
      <c r="M17" s="54">
        <v>97.93</v>
      </c>
      <c r="N17" s="54">
        <v>628</v>
      </c>
      <c r="O17" s="54">
        <v>0</v>
      </c>
      <c r="P17" s="54">
        <v>0.4</v>
      </c>
      <c r="Q17" s="54">
        <v>9.33</v>
      </c>
      <c r="R17" s="43"/>
      <c r="S17" s="43"/>
      <c r="T17" s="43"/>
      <c r="U17" s="43"/>
    </row>
    <row r="18" spans="1:21" s="11" customFormat="1" x14ac:dyDescent="0.25">
      <c r="A18" s="53" t="s">
        <v>398</v>
      </c>
      <c r="B18" s="54">
        <v>8.3699999999999992</v>
      </c>
      <c r="C18" s="54">
        <v>3.38</v>
      </c>
      <c r="D18" s="54">
        <v>12.24</v>
      </c>
      <c r="E18" s="54">
        <v>4.72</v>
      </c>
      <c r="F18" s="54">
        <v>4.43</v>
      </c>
      <c r="G18" s="54">
        <v>29.81</v>
      </c>
      <c r="H18" s="54">
        <v>4.96</v>
      </c>
      <c r="I18" s="54">
        <v>2.7</v>
      </c>
      <c r="J18" s="54">
        <v>0.54</v>
      </c>
      <c r="K18" s="54">
        <v>351.38</v>
      </c>
      <c r="L18" s="54">
        <v>29.15</v>
      </c>
      <c r="M18" s="54">
        <v>86.38</v>
      </c>
      <c r="N18" s="54">
        <v>776.9</v>
      </c>
      <c r="O18" s="54">
        <v>0</v>
      </c>
      <c r="P18" s="54">
        <v>0.53</v>
      </c>
      <c r="Q18" s="54">
        <v>9.4499999999999993</v>
      </c>
      <c r="R18" s="43"/>
      <c r="S18" s="43"/>
      <c r="T18" s="43"/>
      <c r="U18" s="43"/>
    </row>
    <row r="19" spans="1:21" s="11" customFormat="1" x14ac:dyDescent="0.25">
      <c r="A19" s="53" t="s">
        <v>399</v>
      </c>
      <c r="B19" s="54">
        <v>8.35</v>
      </c>
      <c r="C19" s="54">
        <v>3.28</v>
      </c>
      <c r="D19" s="54">
        <v>12.17</v>
      </c>
      <c r="E19" s="54">
        <v>4.8</v>
      </c>
      <c r="F19" s="54">
        <v>3.73</v>
      </c>
      <c r="G19" s="54">
        <v>41.7</v>
      </c>
      <c r="H19" s="54">
        <v>4.96</v>
      </c>
      <c r="I19" s="54">
        <v>2.7</v>
      </c>
      <c r="J19" s="54">
        <v>0.57999999999999996</v>
      </c>
      <c r="K19" s="54">
        <v>352.22</v>
      </c>
      <c r="L19" s="54">
        <v>29.25</v>
      </c>
      <c r="M19" s="54">
        <v>83.5</v>
      </c>
      <c r="N19" s="54">
        <v>828.4</v>
      </c>
      <c r="O19" s="54">
        <v>0</v>
      </c>
      <c r="P19" s="54">
        <v>0.61</v>
      </c>
      <c r="Q19" s="54">
        <v>9.42</v>
      </c>
      <c r="R19" s="43"/>
      <c r="S19" s="43"/>
      <c r="T19" s="43"/>
      <c r="U19" s="43"/>
    </row>
    <row r="20" spans="1:21" s="11" customFormat="1" x14ac:dyDescent="0.25">
      <c r="A20" s="53" t="s">
        <v>400</v>
      </c>
      <c r="B20" s="54">
        <v>8.41</v>
      </c>
      <c r="C20" s="54">
        <v>3.39</v>
      </c>
      <c r="D20" s="54">
        <v>12.29</v>
      </c>
      <c r="E20" s="54">
        <v>4.78</v>
      </c>
      <c r="F20" s="54">
        <v>3.74</v>
      </c>
      <c r="G20" s="54">
        <v>42.29</v>
      </c>
      <c r="H20" s="54">
        <v>10.98</v>
      </c>
      <c r="I20" s="54">
        <v>2.85</v>
      </c>
      <c r="J20" s="54">
        <v>0.51</v>
      </c>
      <c r="K20" s="54">
        <v>358.43</v>
      </c>
      <c r="L20" s="54">
        <v>29.65</v>
      </c>
      <c r="M20" s="54">
        <v>84.21</v>
      </c>
      <c r="N20" s="54">
        <v>1031.9000000000001</v>
      </c>
      <c r="O20" s="54">
        <v>0</v>
      </c>
      <c r="P20" s="54">
        <v>0.61</v>
      </c>
      <c r="Q20" s="54">
        <v>9.42</v>
      </c>
      <c r="R20" s="43"/>
      <c r="S20" s="43"/>
      <c r="T20" s="43"/>
      <c r="U20" s="43"/>
    </row>
    <row r="21" spans="1:21" s="11" customFormat="1" x14ac:dyDescent="0.25">
      <c r="A21" s="53" t="s">
        <v>401</v>
      </c>
      <c r="B21" s="54">
        <v>8.3800000000000008</v>
      </c>
      <c r="C21" s="54">
        <v>3.32</v>
      </c>
      <c r="D21" s="54">
        <v>12.23</v>
      </c>
      <c r="E21" s="54">
        <v>5.24</v>
      </c>
      <c r="F21" s="54">
        <v>4.3600000000000003</v>
      </c>
      <c r="G21" s="54">
        <v>45.76</v>
      </c>
      <c r="H21" s="54">
        <v>12.93</v>
      </c>
      <c r="I21" s="54">
        <v>3.78</v>
      </c>
      <c r="J21" s="54">
        <v>0.82</v>
      </c>
      <c r="K21" s="54">
        <v>342.42</v>
      </c>
      <c r="L21" s="54">
        <v>29.89</v>
      </c>
      <c r="M21" s="54">
        <v>78.209999999999994</v>
      </c>
      <c r="N21" s="54">
        <v>1030.9000000000001</v>
      </c>
      <c r="O21" s="54">
        <v>0</v>
      </c>
      <c r="P21" s="54">
        <v>0.61</v>
      </c>
      <c r="Q21" s="54">
        <v>9.4</v>
      </c>
      <c r="R21" s="43"/>
      <c r="S21" s="43"/>
      <c r="T21" s="43"/>
      <c r="U21" s="43"/>
    </row>
    <row r="22" spans="1:21" s="11" customFormat="1" x14ac:dyDescent="0.25">
      <c r="A22" s="53" t="s">
        <v>402</v>
      </c>
      <c r="B22" s="54">
        <v>8.32</v>
      </c>
      <c r="C22" s="54">
        <v>3.22</v>
      </c>
      <c r="D22" s="54">
        <v>12.13</v>
      </c>
      <c r="E22" s="54">
        <v>4.84</v>
      </c>
      <c r="F22" s="54">
        <v>4.84</v>
      </c>
      <c r="G22" s="54">
        <v>45.76</v>
      </c>
      <c r="H22" s="54">
        <v>14.83</v>
      </c>
      <c r="I22" s="54">
        <v>3.86</v>
      </c>
      <c r="J22" s="54">
        <v>0.45</v>
      </c>
      <c r="K22" s="54">
        <v>346.17</v>
      </c>
      <c r="L22" s="54">
        <v>29.43</v>
      </c>
      <c r="M22" s="54">
        <v>84.44</v>
      </c>
      <c r="N22" s="54">
        <v>474.9</v>
      </c>
      <c r="O22" s="54">
        <v>0</v>
      </c>
      <c r="P22" s="54">
        <v>0.56000000000000005</v>
      </c>
      <c r="Q22" s="54">
        <v>9.4</v>
      </c>
      <c r="R22" s="43"/>
      <c r="S22" s="43"/>
      <c r="T22" s="43"/>
      <c r="U22" s="43"/>
    </row>
    <row r="23" spans="1:21" s="11" customFormat="1" x14ac:dyDescent="0.25">
      <c r="A23" s="53" t="s">
        <v>403</v>
      </c>
      <c r="B23" s="54">
        <v>8.33</v>
      </c>
      <c r="C23" s="54">
        <v>3.31</v>
      </c>
      <c r="D23" s="54">
        <v>12.18</v>
      </c>
      <c r="E23" s="54">
        <v>4.9400000000000004</v>
      </c>
      <c r="F23" s="54">
        <v>4.5999999999999996</v>
      </c>
      <c r="G23" s="54">
        <v>42.92</v>
      </c>
      <c r="H23" s="54">
        <v>15.93</v>
      </c>
      <c r="I23" s="54">
        <v>3.58</v>
      </c>
      <c r="J23" s="54">
        <v>0.55000000000000004</v>
      </c>
      <c r="K23" s="54">
        <v>336.29</v>
      </c>
      <c r="L23" s="54">
        <v>27.68</v>
      </c>
      <c r="M23" s="54">
        <v>98.21</v>
      </c>
      <c r="N23" s="54">
        <v>257.8</v>
      </c>
      <c r="O23" s="54">
        <v>0.4</v>
      </c>
      <c r="P23" s="54">
        <v>0.54</v>
      </c>
      <c r="Q23" s="54">
        <v>9.36</v>
      </c>
      <c r="R23" s="43"/>
      <c r="S23" s="43"/>
      <c r="T23" s="43"/>
      <c r="U23" s="43"/>
    </row>
    <row r="24" spans="1:21" s="11" customFormat="1" x14ac:dyDescent="0.25">
      <c r="A24" s="53" t="s">
        <v>404</v>
      </c>
      <c r="B24" s="54">
        <v>8.36</v>
      </c>
      <c r="C24" s="54">
        <v>3.36</v>
      </c>
      <c r="D24" s="54">
        <v>12.24</v>
      </c>
      <c r="E24" s="54">
        <v>5.1100000000000003</v>
      </c>
      <c r="F24" s="54">
        <v>4.12</v>
      </c>
      <c r="G24" s="54">
        <v>37.72</v>
      </c>
      <c r="H24" s="54">
        <v>15.93</v>
      </c>
      <c r="I24" s="54">
        <v>4</v>
      </c>
      <c r="J24" s="54">
        <v>0.57999999999999996</v>
      </c>
      <c r="K24" s="54">
        <v>295.8</v>
      </c>
      <c r="L24" s="54">
        <v>26.11</v>
      </c>
      <c r="M24" s="54">
        <v>98.86</v>
      </c>
      <c r="N24" s="54">
        <v>115.9</v>
      </c>
      <c r="O24" s="54">
        <v>0.6</v>
      </c>
      <c r="P24" s="54">
        <v>0.53</v>
      </c>
      <c r="Q24" s="54">
        <v>9.31</v>
      </c>
      <c r="R24" s="43"/>
      <c r="S24" s="43"/>
      <c r="T24" s="43"/>
      <c r="U24" s="43"/>
    </row>
    <row r="25" spans="1:21" s="11" customFormat="1" x14ac:dyDescent="0.25">
      <c r="A25" s="53" t="s">
        <v>405</v>
      </c>
      <c r="B25" s="54">
        <v>8.35</v>
      </c>
      <c r="C25" s="54">
        <v>3.23</v>
      </c>
      <c r="D25" s="54">
        <v>12.15</v>
      </c>
      <c r="E25" s="54">
        <v>3.08</v>
      </c>
      <c r="F25" s="54">
        <v>5.54</v>
      </c>
      <c r="G25" s="54">
        <v>33.15</v>
      </c>
      <c r="H25" s="54">
        <v>15.49</v>
      </c>
      <c r="I25" s="54">
        <v>4.1100000000000003</v>
      </c>
      <c r="J25" s="54">
        <v>0.56999999999999995</v>
      </c>
      <c r="K25" s="54">
        <v>340.94</v>
      </c>
      <c r="L25" s="54">
        <v>24.84</v>
      </c>
      <c r="M25" s="54">
        <v>98.88</v>
      </c>
      <c r="N25" s="54">
        <v>149.19999999999999</v>
      </c>
      <c r="O25" s="54">
        <v>0</v>
      </c>
      <c r="P25" s="54">
        <v>0.49</v>
      </c>
      <c r="Q25" s="54">
        <v>9.33</v>
      </c>
      <c r="R25" s="43"/>
      <c r="S25" s="43"/>
      <c r="T25" s="43"/>
      <c r="U25" s="43"/>
    </row>
    <row r="26" spans="1:21" s="11" customFormat="1" x14ac:dyDescent="0.25">
      <c r="A26" s="53" t="s">
        <v>406</v>
      </c>
      <c r="B26" s="54">
        <v>8.31</v>
      </c>
      <c r="C26" s="54">
        <v>3.21</v>
      </c>
      <c r="D26" s="54">
        <v>12.11</v>
      </c>
      <c r="E26" s="54">
        <v>2.76</v>
      </c>
      <c r="F26" s="54">
        <v>4.43</v>
      </c>
      <c r="G26" s="54">
        <v>27.84</v>
      </c>
      <c r="H26" s="54">
        <v>12.88</v>
      </c>
      <c r="I26" s="54">
        <v>3.38</v>
      </c>
      <c r="J26" s="54">
        <v>0.87</v>
      </c>
      <c r="K26" s="54">
        <v>322.52</v>
      </c>
      <c r="L26" s="54">
        <v>25.49</v>
      </c>
      <c r="M26" s="54">
        <v>98.88</v>
      </c>
      <c r="N26" s="54">
        <v>159.80000000000001</v>
      </c>
      <c r="O26" s="54">
        <v>0</v>
      </c>
      <c r="P26" s="54">
        <v>0.56000000000000005</v>
      </c>
      <c r="Q26" s="54">
        <v>9.41</v>
      </c>
      <c r="R26" s="43"/>
      <c r="S26" s="43"/>
      <c r="T26" s="43"/>
      <c r="U26" s="43"/>
    </row>
    <row r="27" spans="1:21" s="11" customFormat="1" x14ac:dyDescent="0.25">
      <c r="A27" s="53" t="s">
        <v>407</v>
      </c>
      <c r="B27" s="54">
        <v>8.3800000000000008</v>
      </c>
      <c r="C27" s="54">
        <v>3.36</v>
      </c>
      <c r="D27" s="54">
        <v>12.25</v>
      </c>
      <c r="E27" s="54">
        <v>2.83</v>
      </c>
      <c r="F27" s="54">
        <v>3.99</v>
      </c>
      <c r="G27" s="54">
        <v>36.630000000000003</v>
      </c>
      <c r="H27" s="54">
        <v>12.71</v>
      </c>
      <c r="I27" s="54">
        <v>3.74</v>
      </c>
      <c r="J27" s="54">
        <v>0.92</v>
      </c>
      <c r="K27" s="54">
        <v>329.95</v>
      </c>
      <c r="L27" s="54">
        <v>25.18</v>
      </c>
      <c r="M27" s="54">
        <v>98.85</v>
      </c>
      <c r="N27" s="54">
        <v>78.900000000000006</v>
      </c>
      <c r="O27" s="54">
        <v>0</v>
      </c>
      <c r="P27" s="54">
        <v>0.61</v>
      </c>
      <c r="Q27" s="54">
        <v>9.48</v>
      </c>
      <c r="R27" s="43"/>
      <c r="S27" s="43"/>
      <c r="T27" s="43"/>
      <c r="U27" s="43"/>
    </row>
    <row r="28" spans="1:21" s="11" customFormat="1" x14ac:dyDescent="0.25">
      <c r="A28" s="53" t="s">
        <v>408</v>
      </c>
      <c r="B28" s="54">
        <v>8.43</v>
      </c>
      <c r="C28" s="54">
        <v>3.41</v>
      </c>
      <c r="D28" s="54">
        <v>12.32</v>
      </c>
      <c r="E28" s="54">
        <v>2.91</v>
      </c>
      <c r="F28" s="54">
        <v>4.2300000000000004</v>
      </c>
      <c r="G28" s="54">
        <v>36.630000000000003</v>
      </c>
      <c r="H28" s="54">
        <v>11.68</v>
      </c>
      <c r="I28" s="54">
        <v>4.5599999999999996</v>
      </c>
      <c r="J28" s="54">
        <v>0.77</v>
      </c>
      <c r="K28" s="54">
        <v>339.27</v>
      </c>
      <c r="L28" s="54">
        <v>24.51</v>
      </c>
      <c r="M28" s="54">
        <v>98.88</v>
      </c>
      <c r="N28" s="54">
        <v>52.6</v>
      </c>
      <c r="O28" s="54">
        <v>0.4</v>
      </c>
      <c r="P28" s="54">
        <v>0.71</v>
      </c>
      <c r="Q28" s="54">
        <v>9.6300000000000008</v>
      </c>
      <c r="R28" s="43"/>
      <c r="S28" s="43"/>
      <c r="T28" s="43"/>
      <c r="U28" s="43"/>
    </row>
    <row r="29" spans="1:21" s="11" customFormat="1" x14ac:dyDescent="0.25">
      <c r="A29" s="53" t="s">
        <v>409</v>
      </c>
      <c r="B29" s="54">
        <v>8.42</v>
      </c>
      <c r="C29" s="54">
        <v>3.36</v>
      </c>
      <c r="D29" s="54">
        <v>12.28</v>
      </c>
      <c r="E29" s="54">
        <v>3.91</v>
      </c>
      <c r="F29" s="54">
        <v>3.4</v>
      </c>
      <c r="G29" s="54">
        <v>40.700000000000003</v>
      </c>
      <c r="H29" s="54">
        <v>11.12</v>
      </c>
      <c r="I29" s="54">
        <v>5.69</v>
      </c>
      <c r="J29" s="54">
        <v>0.78</v>
      </c>
      <c r="K29" s="54">
        <v>278.58999999999997</v>
      </c>
      <c r="L29" s="54">
        <v>24.04</v>
      </c>
      <c r="M29" s="54">
        <v>98.9</v>
      </c>
      <c r="N29" s="54">
        <v>52.8</v>
      </c>
      <c r="O29" s="54">
        <v>0</v>
      </c>
      <c r="P29" s="54">
        <v>0.77</v>
      </c>
      <c r="Q29" s="54">
        <v>9.76</v>
      </c>
      <c r="R29" s="43"/>
      <c r="S29" s="43"/>
      <c r="T29" s="43"/>
      <c r="U29" s="43"/>
    </row>
    <row r="30" spans="1:21" s="11" customFormat="1" x14ac:dyDescent="0.25">
      <c r="A30" s="53" t="s">
        <v>410</v>
      </c>
      <c r="B30" s="54">
        <v>8.4600000000000009</v>
      </c>
      <c r="C30" s="54">
        <v>3.43</v>
      </c>
      <c r="D30" s="54">
        <v>12.35</v>
      </c>
      <c r="E30" s="54">
        <v>4.29</v>
      </c>
      <c r="F30" s="54">
        <v>4.0999999999999996</v>
      </c>
      <c r="G30" s="54">
        <v>40.700000000000003</v>
      </c>
      <c r="H30" s="54">
        <v>15.02</v>
      </c>
      <c r="I30" s="54">
        <v>6.32</v>
      </c>
      <c r="J30" s="54">
        <v>0.54</v>
      </c>
      <c r="K30" s="54">
        <v>226.66</v>
      </c>
      <c r="L30" s="54">
        <v>23.94</v>
      </c>
      <c r="M30" s="54">
        <v>98.92</v>
      </c>
      <c r="N30" s="54">
        <v>52.5</v>
      </c>
      <c r="O30" s="54">
        <v>0</v>
      </c>
      <c r="P30" s="54">
        <v>0.78</v>
      </c>
      <c r="Q30" s="54">
        <v>9.86</v>
      </c>
      <c r="R30" s="43"/>
      <c r="S30" s="43"/>
      <c r="T30" s="43"/>
      <c r="U30" s="43"/>
    </row>
    <row r="31" spans="1:21" s="11" customFormat="1" x14ac:dyDescent="0.25">
      <c r="A31" s="53" t="s">
        <v>411</v>
      </c>
      <c r="B31" s="54">
        <v>8.44</v>
      </c>
      <c r="C31" s="54">
        <v>3.43</v>
      </c>
      <c r="D31" s="54">
        <v>12.34</v>
      </c>
      <c r="E31" s="54">
        <v>4.1100000000000003</v>
      </c>
      <c r="F31" s="54">
        <v>4.22</v>
      </c>
      <c r="G31" s="54">
        <v>32.159999999999997</v>
      </c>
      <c r="H31" s="54">
        <v>15.02</v>
      </c>
      <c r="I31" s="54">
        <v>6.37</v>
      </c>
      <c r="J31" s="54">
        <v>0.47</v>
      </c>
      <c r="K31" s="54">
        <v>317.27</v>
      </c>
      <c r="L31" s="54">
        <v>23.96</v>
      </c>
      <c r="M31" s="54">
        <v>98.93</v>
      </c>
      <c r="N31" s="54">
        <v>53.6</v>
      </c>
      <c r="O31" s="54">
        <v>0</v>
      </c>
      <c r="P31" s="54">
        <v>0.8</v>
      </c>
      <c r="Q31" s="54">
        <v>9.8000000000000007</v>
      </c>
      <c r="R31" s="43"/>
      <c r="S31" s="43"/>
      <c r="T31" s="43"/>
      <c r="U31" s="43"/>
    </row>
    <row r="32" spans="1:21" s="11" customFormat="1" x14ac:dyDescent="0.25">
      <c r="A32" s="53" t="s">
        <v>412</v>
      </c>
      <c r="B32" s="54">
        <v>8.42</v>
      </c>
      <c r="C32" s="54">
        <v>3.39</v>
      </c>
      <c r="D32" s="54">
        <v>12.3</v>
      </c>
      <c r="E32" s="54">
        <v>4.53</v>
      </c>
      <c r="F32" s="54">
        <v>3.4</v>
      </c>
      <c r="G32" s="54">
        <v>32.32</v>
      </c>
      <c r="H32" s="54">
        <v>13.61</v>
      </c>
      <c r="I32" s="54">
        <v>6.18</v>
      </c>
      <c r="J32" s="54">
        <v>0.48</v>
      </c>
      <c r="K32" s="54">
        <v>352.73</v>
      </c>
      <c r="L32" s="54">
        <v>23.83</v>
      </c>
      <c r="M32" s="54">
        <v>98.93</v>
      </c>
      <c r="N32" s="54">
        <v>53.4</v>
      </c>
      <c r="O32" s="54">
        <v>0</v>
      </c>
      <c r="P32" s="54">
        <v>0.8</v>
      </c>
      <c r="Q32" s="54">
        <v>9.84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8.31</v>
      </c>
      <c r="C34" s="28">
        <f t="shared" si="0"/>
        <v>3.21</v>
      </c>
      <c r="D34" s="28">
        <f t="shared" si="0"/>
        <v>12.11</v>
      </c>
      <c r="E34" s="28">
        <f t="shared" si="0"/>
        <v>2.76</v>
      </c>
      <c r="F34" s="28">
        <f t="shared" si="0"/>
        <v>3.4</v>
      </c>
      <c r="G34" s="28">
        <f t="shared" si="0"/>
        <v>13.87</v>
      </c>
      <c r="H34" s="28">
        <f t="shared" si="0"/>
        <v>2.5</v>
      </c>
      <c r="I34" s="28">
        <f t="shared" si="0"/>
        <v>1.74</v>
      </c>
      <c r="J34" s="28">
        <f t="shared" si="0"/>
        <v>0.45</v>
      </c>
      <c r="K34" s="28">
        <f t="shared" si="0"/>
        <v>226.34</v>
      </c>
      <c r="L34" s="28">
        <f t="shared" si="0"/>
        <v>22.66</v>
      </c>
      <c r="M34" s="28">
        <f t="shared" si="0"/>
        <v>78.209999999999994</v>
      </c>
      <c r="N34" s="28">
        <f t="shared" si="0"/>
        <v>52.5</v>
      </c>
      <c r="O34" s="28">
        <f t="shared" si="0"/>
        <v>0</v>
      </c>
      <c r="P34" s="28">
        <f t="shared" si="0"/>
        <v>0.3</v>
      </c>
      <c r="Q34" s="28">
        <f t="shared" si="0"/>
        <v>9.3000000000000007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8.4600000000000009</v>
      </c>
      <c r="C35" s="29">
        <f t="shared" si="1"/>
        <v>3.43</v>
      </c>
      <c r="D35" s="29">
        <f t="shared" si="1"/>
        <v>12.35</v>
      </c>
      <c r="E35" s="29">
        <f t="shared" si="1"/>
        <v>5.24</v>
      </c>
      <c r="F35" s="29">
        <f t="shared" si="1"/>
        <v>5.54</v>
      </c>
      <c r="G35" s="29">
        <f t="shared" si="1"/>
        <v>45.76</v>
      </c>
      <c r="H35" s="29">
        <f t="shared" si="1"/>
        <v>15.93</v>
      </c>
      <c r="I35" s="29">
        <f t="shared" si="1"/>
        <v>6.37</v>
      </c>
      <c r="J35" s="29">
        <f t="shared" si="1"/>
        <v>0.92</v>
      </c>
      <c r="K35" s="29">
        <f t="shared" si="1"/>
        <v>359.15</v>
      </c>
      <c r="L35" s="29">
        <f t="shared" si="1"/>
        <v>29.89</v>
      </c>
      <c r="M35" s="29">
        <f t="shared" si="1"/>
        <v>98.93</v>
      </c>
      <c r="N35" s="29">
        <f t="shared" si="1"/>
        <v>1031.9000000000001</v>
      </c>
      <c r="O35" s="29">
        <f t="shared" si="1"/>
        <v>0.6</v>
      </c>
      <c r="P35" s="29">
        <f t="shared" si="1"/>
        <v>0.8</v>
      </c>
      <c r="Q35" s="29">
        <f t="shared" si="1"/>
        <v>9.86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8.3666666666666654</v>
      </c>
      <c r="C36" s="28">
        <f t="shared" si="2"/>
        <v>3.3112500000000007</v>
      </c>
      <c r="D36" s="28">
        <f t="shared" si="2"/>
        <v>12.212083333333332</v>
      </c>
      <c r="E36" s="28">
        <f t="shared" si="2"/>
        <v>4.2887499999999994</v>
      </c>
      <c r="F36" s="28">
        <f t="shared" si="2"/>
        <v>4.2025000000000006</v>
      </c>
      <c r="G36" s="28">
        <f t="shared" si="2"/>
        <v>29.740000000000006</v>
      </c>
      <c r="H36" s="28">
        <f t="shared" si="2"/>
        <v>9.3112500000000011</v>
      </c>
      <c r="I36" s="28">
        <f t="shared" si="2"/>
        <v>3.6929166666666666</v>
      </c>
      <c r="J36" s="28">
        <f t="shared" si="2"/>
        <v>0.59083333333333343</v>
      </c>
      <c r="K36" s="28">
        <f t="shared" si="2"/>
        <v>331.20541666666668</v>
      </c>
      <c r="L36" s="28">
        <f t="shared" si="2"/>
        <v>25.39916666666667</v>
      </c>
      <c r="M36" s="28">
        <f t="shared" si="2"/>
        <v>95.469583333333333</v>
      </c>
      <c r="N36" s="28">
        <f t="shared" si="2"/>
        <v>281.35833333333335</v>
      </c>
      <c r="O36" s="28">
        <f t="shared" si="2"/>
        <v>5.8333333333333327E-2</v>
      </c>
      <c r="P36" s="28">
        <f t="shared" si="2"/>
        <v>0.53375000000000006</v>
      </c>
      <c r="Q36" s="28">
        <f t="shared" si="2"/>
        <v>9.4687500000000018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4.2698810355759335E-2</v>
      </c>
      <c r="C37" s="28">
        <f t="shared" ref="C37:Q37" si="3">STDEV(C9:C32)</f>
        <v>7.2789900159413529E-2</v>
      </c>
      <c r="D37" s="28">
        <f t="shared" si="3"/>
        <v>7.217003874707012E-2</v>
      </c>
      <c r="E37" s="28">
        <f t="shared" si="3"/>
        <v>0.76188160954082573</v>
      </c>
      <c r="F37" s="28">
        <f t="shared" si="3"/>
        <v>0.4855946600952703</v>
      </c>
      <c r="G37" s="28">
        <f t="shared" si="3"/>
        <v>11.558605301754136</v>
      </c>
      <c r="H37" s="28">
        <f t="shared" si="3"/>
        <v>5.076310122177496</v>
      </c>
      <c r="I37" s="28">
        <f t="shared" si="3"/>
        <v>1.3169743953361501</v>
      </c>
      <c r="J37" s="28">
        <f t="shared" si="3"/>
        <v>0.13541937009564545</v>
      </c>
      <c r="K37" s="28">
        <f t="shared" si="3"/>
        <v>38.097775580297103</v>
      </c>
      <c r="L37" s="28">
        <f t="shared" si="3"/>
        <v>2.4949843890191525</v>
      </c>
      <c r="M37" s="28">
        <f t="shared" si="3"/>
        <v>6.5040278350965064</v>
      </c>
      <c r="N37" s="28">
        <f t="shared" si="3"/>
        <v>328.59585183105952</v>
      </c>
      <c r="O37" s="28">
        <f t="shared" si="3"/>
        <v>0.1612900888263851</v>
      </c>
      <c r="P37" s="28">
        <f t="shared" si="3"/>
        <v>0.16279655214808569</v>
      </c>
      <c r="Q37" s="28">
        <f t="shared" si="3"/>
        <v>0.17235737645192703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413</v>
      </c>
      <c r="B9" s="54">
        <v>8.3800000000000008</v>
      </c>
      <c r="C9" s="54">
        <v>3.3</v>
      </c>
      <c r="D9" s="54">
        <v>12.22</v>
      </c>
      <c r="E9" s="54">
        <v>4.5</v>
      </c>
      <c r="F9" s="54">
        <v>3.57</v>
      </c>
      <c r="G9" s="54">
        <v>32.32</v>
      </c>
      <c r="H9" s="54">
        <v>13.6</v>
      </c>
      <c r="I9" s="54">
        <v>6.1</v>
      </c>
      <c r="J9" s="54">
        <v>1.1000000000000001</v>
      </c>
      <c r="K9" s="54">
        <v>326.57</v>
      </c>
      <c r="L9" s="54">
        <v>23.9</v>
      </c>
      <c r="M9" s="54">
        <v>98.92</v>
      </c>
      <c r="N9" s="54">
        <v>53.7</v>
      </c>
      <c r="O9" s="54">
        <v>0</v>
      </c>
      <c r="P9" s="54">
        <v>0.74</v>
      </c>
      <c r="Q9" s="54">
        <v>9.7200000000000006</v>
      </c>
      <c r="R9" s="43"/>
      <c r="S9" s="43"/>
      <c r="T9" s="43"/>
      <c r="U9" s="43"/>
    </row>
    <row r="10" spans="1:21" s="11" customFormat="1" x14ac:dyDescent="0.25">
      <c r="A10" s="53" t="s">
        <v>414</v>
      </c>
      <c r="B10" s="54">
        <v>8.41</v>
      </c>
      <c r="C10" s="54">
        <v>3.31</v>
      </c>
      <c r="D10" s="54">
        <v>12.25</v>
      </c>
      <c r="E10" s="54">
        <v>4.63</v>
      </c>
      <c r="F10" s="54">
        <v>3.42</v>
      </c>
      <c r="G10" s="54">
        <v>26.86</v>
      </c>
      <c r="H10" s="54">
        <v>15.5</v>
      </c>
      <c r="I10" s="54">
        <v>5.87</v>
      </c>
      <c r="J10" s="54">
        <v>0.74</v>
      </c>
      <c r="K10" s="54">
        <v>357.46</v>
      </c>
      <c r="L10" s="54">
        <v>23.85</v>
      </c>
      <c r="M10" s="54">
        <v>98.91</v>
      </c>
      <c r="N10" s="54">
        <v>53.9</v>
      </c>
      <c r="O10" s="54">
        <v>0</v>
      </c>
      <c r="P10" s="54">
        <v>0.64</v>
      </c>
      <c r="Q10" s="54">
        <v>9.74</v>
      </c>
      <c r="R10" s="43"/>
      <c r="S10" s="43"/>
      <c r="T10" s="43"/>
      <c r="U10" s="43"/>
    </row>
    <row r="11" spans="1:21" s="11" customFormat="1" x14ac:dyDescent="0.25">
      <c r="A11" s="53" t="s">
        <v>415</v>
      </c>
      <c r="B11" s="54">
        <v>8.3800000000000008</v>
      </c>
      <c r="C11" s="54">
        <v>3.3</v>
      </c>
      <c r="D11" s="54">
        <v>12.2</v>
      </c>
      <c r="E11" s="54">
        <v>4.58</v>
      </c>
      <c r="F11" s="54">
        <v>4.55</v>
      </c>
      <c r="G11" s="54">
        <v>30.49</v>
      </c>
      <c r="H11" s="54">
        <v>15.5</v>
      </c>
      <c r="I11" s="54">
        <v>5.61</v>
      </c>
      <c r="J11" s="54">
        <v>0.84</v>
      </c>
      <c r="K11" s="54">
        <v>332.09</v>
      </c>
      <c r="L11" s="54">
        <v>23.52</v>
      </c>
      <c r="M11" s="54">
        <v>98.9</v>
      </c>
      <c r="N11" s="54">
        <v>53.8</v>
      </c>
      <c r="O11" s="54">
        <v>0</v>
      </c>
      <c r="P11" s="54">
        <v>0.61</v>
      </c>
      <c r="Q11" s="54">
        <v>9.67</v>
      </c>
      <c r="R11" s="43"/>
      <c r="S11" s="43"/>
      <c r="T11" s="43"/>
      <c r="U11" s="43"/>
    </row>
    <row r="12" spans="1:21" s="11" customFormat="1" x14ac:dyDescent="0.25">
      <c r="A12" s="53" t="s">
        <v>416</v>
      </c>
      <c r="B12" s="54">
        <v>8.44</v>
      </c>
      <c r="C12" s="54">
        <v>3.51</v>
      </c>
      <c r="D12" s="54">
        <v>12.37</v>
      </c>
      <c r="E12" s="54">
        <v>5.28</v>
      </c>
      <c r="F12" s="54">
        <v>6.24</v>
      </c>
      <c r="G12" s="54">
        <v>33.619999999999997</v>
      </c>
      <c r="H12" s="54">
        <v>11.39</v>
      </c>
      <c r="I12" s="54">
        <v>5.4</v>
      </c>
      <c r="J12" s="54">
        <v>0.66</v>
      </c>
      <c r="K12" s="54">
        <v>343.98</v>
      </c>
      <c r="L12" s="54">
        <v>23.53</v>
      </c>
      <c r="M12" s="54">
        <v>98.91</v>
      </c>
      <c r="N12" s="54">
        <v>53.7</v>
      </c>
      <c r="O12" s="54">
        <v>0</v>
      </c>
      <c r="P12" s="54">
        <v>0.57999999999999996</v>
      </c>
      <c r="Q12" s="54">
        <v>9.3699999999999992</v>
      </c>
      <c r="R12" s="43"/>
      <c r="S12" s="43"/>
      <c r="T12" s="43"/>
      <c r="U12" s="43"/>
    </row>
    <row r="13" spans="1:21" s="11" customFormat="1" x14ac:dyDescent="0.25">
      <c r="A13" s="53" t="s">
        <v>417</v>
      </c>
      <c r="B13" s="54">
        <v>8.42</v>
      </c>
      <c r="C13" s="54">
        <v>3.62</v>
      </c>
      <c r="D13" s="54">
        <v>12.42</v>
      </c>
      <c r="E13" s="54">
        <v>5.19</v>
      </c>
      <c r="F13" s="54">
        <v>4.5599999999999996</v>
      </c>
      <c r="G13" s="54">
        <v>40.81</v>
      </c>
      <c r="H13" s="54">
        <v>12.29</v>
      </c>
      <c r="I13" s="54">
        <v>6.06</v>
      </c>
      <c r="J13" s="54">
        <v>0.91</v>
      </c>
      <c r="K13" s="54">
        <v>146.47</v>
      </c>
      <c r="L13" s="54">
        <v>23.36</v>
      </c>
      <c r="M13" s="54">
        <v>98.99</v>
      </c>
      <c r="N13" s="54">
        <v>54.2</v>
      </c>
      <c r="O13" s="54">
        <v>0</v>
      </c>
      <c r="P13" s="54">
        <v>0.56000000000000005</v>
      </c>
      <c r="Q13" s="54">
        <v>9.07</v>
      </c>
      <c r="R13" s="43"/>
      <c r="S13" s="43"/>
      <c r="T13" s="43"/>
      <c r="U13" s="43"/>
    </row>
    <row r="14" spans="1:21" s="11" customFormat="1" x14ac:dyDescent="0.25">
      <c r="A14" s="53" t="s">
        <v>418</v>
      </c>
      <c r="B14" s="54">
        <v>8.48</v>
      </c>
      <c r="C14" s="54">
        <v>3.45</v>
      </c>
      <c r="D14" s="54">
        <v>12.37</v>
      </c>
      <c r="E14" s="54">
        <v>3.94</v>
      </c>
      <c r="F14" s="54">
        <v>3.61</v>
      </c>
      <c r="G14" s="54">
        <v>40.81</v>
      </c>
      <c r="H14" s="54">
        <v>12.29</v>
      </c>
      <c r="I14" s="54">
        <v>6.38</v>
      </c>
      <c r="J14" s="54">
        <v>0.32</v>
      </c>
      <c r="K14" s="54">
        <v>314.68</v>
      </c>
      <c r="L14" s="54">
        <v>23.44</v>
      </c>
      <c r="M14" s="54">
        <v>98.97</v>
      </c>
      <c r="N14" s="54">
        <v>88.5</v>
      </c>
      <c r="O14" s="54">
        <v>0</v>
      </c>
      <c r="P14" s="54">
        <v>0.5</v>
      </c>
      <c r="Q14" s="54">
        <v>9.9499999999999993</v>
      </c>
      <c r="R14" s="43"/>
      <c r="S14" s="43"/>
      <c r="T14" s="43"/>
      <c r="U14" s="43"/>
    </row>
    <row r="15" spans="1:21" s="11" customFormat="1" x14ac:dyDescent="0.25">
      <c r="A15" s="53" t="s">
        <v>419</v>
      </c>
      <c r="B15" s="54">
        <v>8.44</v>
      </c>
      <c r="C15" s="54">
        <v>3.39</v>
      </c>
      <c r="D15" s="54">
        <v>12.32</v>
      </c>
      <c r="E15" s="54">
        <v>4.22</v>
      </c>
      <c r="F15" s="54">
        <v>3.3</v>
      </c>
      <c r="G15" s="54">
        <v>28.32</v>
      </c>
      <c r="H15" s="54">
        <v>10.34</v>
      </c>
      <c r="I15" s="54">
        <v>6.4</v>
      </c>
      <c r="J15" s="54">
        <v>0.52</v>
      </c>
      <c r="K15" s="54">
        <v>347.38</v>
      </c>
      <c r="L15" s="54">
        <v>24.46</v>
      </c>
      <c r="M15" s="54">
        <v>98.95</v>
      </c>
      <c r="N15" s="54">
        <v>153.5</v>
      </c>
      <c r="O15" s="54">
        <v>0</v>
      </c>
      <c r="P15" s="54">
        <v>0.46</v>
      </c>
      <c r="Q15" s="54">
        <v>9.93</v>
      </c>
      <c r="R15" s="43"/>
      <c r="S15" s="43"/>
      <c r="T15" s="43"/>
      <c r="U15" s="43"/>
    </row>
    <row r="16" spans="1:21" s="11" customFormat="1" x14ac:dyDescent="0.25">
      <c r="A16" s="53" t="s">
        <v>420</v>
      </c>
      <c r="B16" s="54">
        <v>8.3699999999999992</v>
      </c>
      <c r="C16" s="54">
        <v>3.27</v>
      </c>
      <c r="D16" s="54">
        <v>12.19</v>
      </c>
      <c r="E16" s="54">
        <v>4.6399999999999997</v>
      </c>
      <c r="F16" s="54">
        <v>3.99</v>
      </c>
      <c r="G16" s="54">
        <v>40.01</v>
      </c>
      <c r="H16" s="54">
        <v>12.32</v>
      </c>
      <c r="I16" s="54">
        <v>6.07</v>
      </c>
      <c r="J16" s="54">
        <v>0.71</v>
      </c>
      <c r="K16" s="54">
        <v>331.96</v>
      </c>
      <c r="L16" s="54">
        <v>25.88</v>
      </c>
      <c r="M16" s="54">
        <v>98.93</v>
      </c>
      <c r="N16" s="54">
        <v>205.9</v>
      </c>
      <c r="O16" s="54">
        <v>0</v>
      </c>
      <c r="P16" s="54">
        <v>0.5</v>
      </c>
      <c r="Q16" s="54">
        <v>9.9600000000000009</v>
      </c>
      <c r="R16" s="43"/>
      <c r="S16" s="43"/>
      <c r="T16" s="43"/>
      <c r="U16" s="43"/>
    </row>
    <row r="17" spans="1:21" s="11" customFormat="1" x14ac:dyDescent="0.25">
      <c r="A17" s="53" t="s">
        <v>421</v>
      </c>
      <c r="B17" s="54">
        <v>8.3699999999999992</v>
      </c>
      <c r="C17" s="54">
        <v>3.28</v>
      </c>
      <c r="D17" s="54">
        <v>12.19</v>
      </c>
      <c r="E17" s="54">
        <v>4.88</v>
      </c>
      <c r="F17" s="54">
        <v>3.61</v>
      </c>
      <c r="G17" s="54">
        <v>55.21</v>
      </c>
      <c r="H17" s="54">
        <v>12.92</v>
      </c>
      <c r="I17" s="54">
        <v>5.48</v>
      </c>
      <c r="J17" s="54">
        <v>1.29</v>
      </c>
      <c r="K17" s="54">
        <v>339.22</v>
      </c>
      <c r="L17" s="54">
        <v>27.48</v>
      </c>
      <c r="M17" s="54">
        <v>96.22</v>
      </c>
      <c r="N17" s="54">
        <v>284.39999999999998</v>
      </c>
      <c r="O17" s="54">
        <v>0</v>
      </c>
      <c r="P17" s="54">
        <v>0.54</v>
      </c>
      <c r="Q17" s="54">
        <v>9.94</v>
      </c>
      <c r="R17" s="43"/>
      <c r="S17" s="43"/>
      <c r="T17" s="43"/>
      <c r="U17" s="43"/>
    </row>
    <row r="18" spans="1:21" s="11" customFormat="1" x14ac:dyDescent="0.25">
      <c r="A18" s="53" t="s">
        <v>422</v>
      </c>
      <c r="B18" s="54">
        <v>8.6199999999999992</v>
      </c>
      <c r="C18" s="54">
        <v>3.66</v>
      </c>
      <c r="D18" s="54">
        <v>12.6</v>
      </c>
      <c r="E18" s="54">
        <v>5.0199999999999996</v>
      </c>
      <c r="F18" s="54">
        <v>4.01</v>
      </c>
      <c r="G18" s="54">
        <v>66.260000000000005</v>
      </c>
      <c r="H18" s="54">
        <v>18.53</v>
      </c>
      <c r="I18" s="54">
        <v>5.38</v>
      </c>
      <c r="J18" s="54">
        <v>1.52</v>
      </c>
      <c r="K18" s="54">
        <v>344.24</v>
      </c>
      <c r="L18" s="54">
        <v>28</v>
      </c>
      <c r="M18" s="54">
        <v>94.16</v>
      </c>
      <c r="N18" s="54">
        <v>353</v>
      </c>
      <c r="O18" s="54">
        <v>0.2</v>
      </c>
      <c r="P18" s="54">
        <v>0.6</v>
      </c>
      <c r="Q18" s="54">
        <v>9.92</v>
      </c>
      <c r="R18" s="43"/>
      <c r="S18" s="43"/>
      <c r="T18" s="43"/>
      <c r="U18" s="43"/>
    </row>
    <row r="19" spans="1:21" s="11" customFormat="1" x14ac:dyDescent="0.25">
      <c r="A19" s="53" t="s">
        <v>423</v>
      </c>
      <c r="B19" s="54">
        <v>8.4499999999999993</v>
      </c>
      <c r="C19" s="54">
        <v>3.34</v>
      </c>
      <c r="D19" s="54">
        <v>12.29</v>
      </c>
      <c r="E19" s="54">
        <v>4.84</v>
      </c>
      <c r="F19" s="54">
        <v>3.26</v>
      </c>
      <c r="G19" s="54">
        <v>70.78</v>
      </c>
      <c r="H19" s="54">
        <v>20.440000000000001</v>
      </c>
      <c r="I19" s="54">
        <v>6.03</v>
      </c>
      <c r="J19" s="54">
        <v>1.32</v>
      </c>
      <c r="K19" s="54">
        <v>351.1</v>
      </c>
      <c r="L19" s="54">
        <v>29.39</v>
      </c>
      <c r="M19" s="54">
        <v>93.71</v>
      </c>
      <c r="N19" s="54">
        <v>636.70000000000005</v>
      </c>
      <c r="O19" s="54">
        <v>0</v>
      </c>
      <c r="P19" s="54">
        <v>0.66</v>
      </c>
      <c r="Q19" s="54">
        <v>10.029999999999999</v>
      </c>
      <c r="R19" s="43"/>
      <c r="S19" s="43"/>
      <c r="T19" s="43"/>
      <c r="U19" s="43"/>
    </row>
    <row r="20" spans="1:21" s="11" customFormat="1" x14ac:dyDescent="0.25">
      <c r="A20" s="53" t="s">
        <v>424</v>
      </c>
      <c r="B20" s="54">
        <v>8.4600000000000009</v>
      </c>
      <c r="C20" s="54">
        <v>3.46</v>
      </c>
      <c r="D20" s="54">
        <v>12.36</v>
      </c>
      <c r="E20" s="54">
        <v>5.16</v>
      </c>
      <c r="F20" s="54">
        <v>3.59</v>
      </c>
      <c r="G20" s="54">
        <v>76.06</v>
      </c>
      <c r="H20" s="54">
        <v>22.88</v>
      </c>
      <c r="I20" s="54">
        <v>7.16</v>
      </c>
      <c r="J20" s="54">
        <v>0.85</v>
      </c>
      <c r="K20" s="54">
        <v>350.69</v>
      </c>
      <c r="L20" s="54">
        <v>29.72</v>
      </c>
      <c r="M20" s="54">
        <v>91.34</v>
      </c>
      <c r="N20" s="54">
        <v>725.1</v>
      </c>
      <c r="O20" s="54">
        <v>0</v>
      </c>
      <c r="P20" s="54">
        <v>0.69</v>
      </c>
      <c r="Q20" s="54">
        <v>10.15</v>
      </c>
      <c r="R20" s="43"/>
      <c r="S20" s="43"/>
      <c r="T20" s="43"/>
      <c r="U20" s="43"/>
    </row>
    <row r="21" spans="1:21" s="11" customFormat="1" x14ac:dyDescent="0.25">
      <c r="A21" s="53" t="s">
        <v>425</v>
      </c>
      <c r="B21" s="54">
        <v>8.6</v>
      </c>
      <c r="C21" s="54">
        <v>3.72</v>
      </c>
      <c r="D21" s="54">
        <v>12.61</v>
      </c>
      <c r="E21" s="54">
        <v>4.3099999999999996</v>
      </c>
      <c r="F21" s="54">
        <v>3.8</v>
      </c>
      <c r="G21" s="54">
        <v>76.06</v>
      </c>
      <c r="H21" s="54">
        <v>23.39</v>
      </c>
      <c r="I21" s="54">
        <v>7.41</v>
      </c>
      <c r="J21" s="54">
        <v>2.12</v>
      </c>
      <c r="K21" s="54">
        <v>115.26</v>
      </c>
      <c r="L21" s="54">
        <v>28.62</v>
      </c>
      <c r="M21" s="54">
        <v>89.32</v>
      </c>
      <c r="N21" s="54">
        <v>740.4</v>
      </c>
      <c r="O21" s="54">
        <v>0</v>
      </c>
      <c r="P21" s="54">
        <v>0.68</v>
      </c>
      <c r="Q21" s="54">
        <v>10.08</v>
      </c>
      <c r="R21" s="43"/>
      <c r="S21" s="43"/>
      <c r="T21" s="43"/>
      <c r="U21" s="43"/>
    </row>
    <row r="22" spans="1:21" s="11" customFormat="1" x14ac:dyDescent="0.25">
      <c r="A22" s="53" t="s">
        <v>426</v>
      </c>
      <c r="B22" s="54">
        <v>8.35</v>
      </c>
      <c r="C22" s="54">
        <v>3.31</v>
      </c>
      <c r="D22" s="54">
        <v>12.2</v>
      </c>
      <c r="E22" s="54">
        <v>4.49</v>
      </c>
      <c r="F22" s="54">
        <v>3.88</v>
      </c>
      <c r="G22" s="54">
        <v>72.67</v>
      </c>
      <c r="H22" s="54">
        <v>24.99</v>
      </c>
      <c r="I22" s="54">
        <v>8.09</v>
      </c>
      <c r="J22" s="54">
        <v>1.23</v>
      </c>
      <c r="K22" s="54">
        <v>159.65</v>
      </c>
      <c r="L22" s="54">
        <v>28.26</v>
      </c>
      <c r="M22" s="54">
        <v>94.2</v>
      </c>
      <c r="N22" s="54">
        <v>476.3</v>
      </c>
      <c r="O22" s="54">
        <v>0</v>
      </c>
      <c r="P22" s="54">
        <v>0.57999999999999996</v>
      </c>
      <c r="Q22" s="54">
        <v>9.92</v>
      </c>
      <c r="R22" s="43"/>
      <c r="S22" s="43"/>
      <c r="T22" s="43"/>
      <c r="U22" s="43"/>
    </row>
    <row r="23" spans="1:21" s="11" customFormat="1" x14ac:dyDescent="0.25">
      <c r="A23" s="53" t="s">
        <v>427</v>
      </c>
      <c r="B23" s="54">
        <v>8.36</v>
      </c>
      <c r="C23" s="54">
        <v>3.33</v>
      </c>
      <c r="D23" s="54">
        <v>12.22</v>
      </c>
      <c r="E23" s="54">
        <v>4.33</v>
      </c>
      <c r="F23" s="54">
        <v>3.9</v>
      </c>
      <c r="G23" s="54">
        <v>64.63</v>
      </c>
      <c r="H23" s="54">
        <v>24.99</v>
      </c>
      <c r="I23" s="54">
        <v>8.07</v>
      </c>
      <c r="J23" s="54">
        <v>1.2</v>
      </c>
      <c r="K23" s="54">
        <v>165.08</v>
      </c>
      <c r="L23" s="54">
        <v>28.15</v>
      </c>
      <c r="M23" s="54">
        <v>92.73</v>
      </c>
      <c r="N23" s="54">
        <v>471.4</v>
      </c>
      <c r="O23" s="54">
        <v>0</v>
      </c>
      <c r="P23" s="54">
        <v>0.54</v>
      </c>
      <c r="Q23" s="54">
        <v>9.64</v>
      </c>
      <c r="R23" s="43"/>
      <c r="S23" s="43"/>
      <c r="T23" s="43"/>
      <c r="U23" s="43"/>
    </row>
    <row r="24" spans="1:21" s="11" customFormat="1" x14ac:dyDescent="0.25">
      <c r="A24" s="53" t="s">
        <v>428</v>
      </c>
      <c r="B24" s="54">
        <v>8.4</v>
      </c>
      <c r="C24" s="54">
        <v>3.31</v>
      </c>
      <c r="D24" s="54">
        <v>12.24</v>
      </c>
      <c r="E24" s="54">
        <v>4.03</v>
      </c>
      <c r="F24" s="54">
        <v>3.95</v>
      </c>
      <c r="G24" s="54">
        <v>57.29</v>
      </c>
      <c r="H24" s="54">
        <v>23.67</v>
      </c>
      <c r="I24" s="54">
        <v>7.61</v>
      </c>
      <c r="J24" s="54">
        <v>1.21</v>
      </c>
      <c r="K24" s="54">
        <v>328.86</v>
      </c>
      <c r="L24" s="54">
        <v>26.97</v>
      </c>
      <c r="M24" s="54">
        <v>98.9</v>
      </c>
      <c r="N24" s="54">
        <v>124.1</v>
      </c>
      <c r="O24" s="54">
        <v>0.2</v>
      </c>
      <c r="P24" s="54">
        <v>0.5</v>
      </c>
      <c r="Q24" s="54">
        <v>9.5299999999999994</v>
      </c>
      <c r="R24" s="43"/>
      <c r="S24" s="43"/>
      <c r="T24" s="43"/>
      <c r="U24" s="43"/>
    </row>
    <row r="25" spans="1:21" s="11" customFormat="1" x14ac:dyDescent="0.25">
      <c r="A25" s="53" t="s">
        <v>429</v>
      </c>
      <c r="B25" s="54">
        <v>8.35</v>
      </c>
      <c r="C25" s="54">
        <v>3.31</v>
      </c>
      <c r="D25" s="54">
        <v>12.2</v>
      </c>
      <c r="E25" s="54">
        <v>4.45</v>
      </c>
      <c r="F25" s="54">
        <v>4.32</v>
      </c>
      <c r="G25" s="54">
        <v>51.49</v>
      </c>
      <c r="H25" s="54">
        <v>23.48</v>
      </c>
      <c r="I25" s="54">
        <v>6.93</v>
      </c>
      <c r="J25" s="54">
        <v>1.54</v>
      </c>
      <c r="K25" s="54">
        <v>317.38</v>
      </c>
      <c r="L25" s="54">
        <v>25</v>
      </c>
      <c r="M25" s="54">
        <v>99</v>
      </c>
      <c r="N25" s="54">
        <v>87.4</v>
      </c>
      <c r="O25" s="54">
        <v>2.2000000000000002</v>
      </c>
      <c r="P25" s="54">
        <v>0.47</v>
      </c>
      <c r="Q25" s="54">
        <v>9.5</v>
      </c>
      <c r="R25" s="43"/>
      <c r="S25" s="43"/>
      <c r="T25" s="43"/>
      <c r="U25" s="43"/>
    </row>
    <row r="26" spans="1:21" s="11" customFormat="1" x14ac:dyDescent="0.25">
      <c r="A26" s="53" t="s">
        <v>430</v>
      </c>
      <c r="B26" s="54">
        <v>8.35</v>
      </c>
      <c r="C26" s="54">
        <v>3.32</v>
      </c>
      <c r="D26" s="54">
        <v>12.2</v>
      </c>
      <c r="E26" s="54">
        <v>4.6100000000000003</v>
      </c>
      <c r="F26" s="54">
        <v>3.65</v>
      </c>
      <c r="G26" s="54">
        <v>43.99</v>
      </c>
      <c r="H26" s="54">
        <v>20.16</v>
      </c>
      <c r="I26" s="54">
        <v>6.46</v>
      </c>
      <c r="J26" s="54">
        <v>0.68</v>
      </c>
      <c r="K26" s="54">
        <v>348.09</v>
      </c>
      <c r="L26" s="54">
        <v>23</v>
      </c>
      <c r="M26" s="54">
        <v>99</v>
      </c>
      <c r="N26" s="54">
        <v>78.599999999999994</v>
      </c>
      <c r="O26" s="54">
        <v>0</v>
      </c>
      <c r="P26" s="54">
        <v>0.49</v>
      </c>
      <c r="Q26" s="54">
        <v>9.41</v>
      </c>
      <c r="R26" s="43"/>
      <c r="S26" s="43"/>
      <c r="T26" s="43"/>
      <c r="U26" s="43"/>
    </row>
    <row r="27" spans="1:21" s="11" customFormat="1" x14ac:dyDescent="0.25">
      <c r="A27" s="53" t="s">
        <v>431</v>
      </c>
      <c r="B27" s="54">
        <v>8.5</v>
      </c>
      <c r="C27" s="54">
        <v>3.68</v>
      </c>
      <c r="D27" s="54">
        <v>12.52</v>
      </c>
      <c r="E27" s="54">
        <v>4.4000000000000004</v>
      </c>
      <c r="F27" s="54">
        <v>3.56</v>
      </c>
      <c r="G27" s="54">
        <v>31.24</v>
      </c>
      <c r="H27" s="54">
        <v>16.940000000000001</v>
      </c>
      <c r="I27" s="54">
        <v>5.83</v>
      </c>
      <c r="J27" s="54">
        <v>0.56999999999999995</v>
      </c>
      <c r="K27" s="54">
        <v>352.63</v>
      </c>
      <c r="L27" s="54">
        <v>23.03</v>
      </c>
      <c r="M27" s="54">
        <v>99</v>
      </c>
      <c r="N27" s="54">
        <v>67.400000000000006</v>
      </c>
      <c r="O27" s="54">
        <v>0</v>
      </c>
      <c r="P27" s="54">
        <v>0.61</v>
      </c>
      <c r="Q27" s="54">
        <v>9.58</v>
      </c>
      <c r="R27" s="43"/>
      <c r="S27" s="43"/>
      <c r="T27" s="43"/>
      <c r="U27" s="43"/>
    </row>
    <row r="28" spans="1:21" s="11" customFormat="1" x14ac:dyDescent="0.25">
      <c r="A28" s="53" t="s">
        <v>432</v>
      </c>
      <c r="B28" s="54">
        <v>8.42</v>
      </c>
      <c r="C28" s="54">
        <v>3.33</v>
      </c>
      <c r="D28" s="54">
        <v>12.26</v>
      </c>
      <c r="E28" s="54">
        <v>5.42</v>
      </c>
      <c r="F28" s="54">
        <v>3.44</v>
      </c>
      <c r="G28" s="54">
        <v>31.84</v>
      </c>
      <c r="H28" s="54">
        <v>15.59</v>
      </c>
      <c r="I28" s="54">
        <v>6.44</v>
      </c>
      <c r="J28" s="54">
        <v>1.25</v>
      </c>
      <c r="K28" s="54">
        <v>248.17</v>
      </c>
      <c r="L28" s="54">
        <v>23.35</v>
      </c>
      <c r="M28" s="54">
        <v>99</v>
      </c>
      <c r="N28" s="54">
        <v>51.8</v>
      </c>
      <c r="O28" s="54">
        <v>0</v>
      </c>
      <c r="P28" s="54">
        <v>0.69</v>
      </c>
      <c r="Q28" s="54">
        <v>9.69</v>
      </c>
      <c r="R28" s="43"/>
      <c r="S28" s="43"/>
      <c r="T28" s="43"/>
      <c r="U28" s="43"/>
    </row>
    <row r="29" spans="1:21" s="11" customFormat="1" x14ac:dyDescent="0.25">
      <c r="A29" s="53" t="s">
        <v>433</v>
      </c>
      <c r="B29" s="54">
        <v>8.4700000000000006</v>
      </c>
      <c r="C29" s="54">
        <v>3.43</v>
      </c>
      <c r="D29" s="54">
        <v>12.32</v>
      </c>
      <c r="E29" s="54">
        <v>5.32</v>
      </c>
      <c r="F29" s="54">
        <v>3.97</v>
      </c>
      <c r="G29" s="54">
        <v>31.84</v>
      </c>
      <c r="H29" s="54">
        <v>15.81</v>
      </c>
      <c r="I29" s="54">
        <v>7</v>
      </c>
      <c r="J29" s="54">
        <v>0.57999999999999996</v>
      </c>
      <c r="K29" s="54">
        <v>352.37</v>
      </c>
      <c r="L29" s="54">
        <v>23.28</v>
      </c>
      <c r="M29" s="54">
        <v>99</v>
      </c>
      <c r="N29" s="54">
        <v>51.8</v>
      </c>
      <c r="O29" s="54">
        <v>0</v>
      </c>
      <c r="P29" s="54">
        <v>0.8</v>
      </c>
      <c r="Q29" s="54">
        <v>9.77</v>
      </c>
      <c r="R29" s="43"/>
      <c r="S29" s="43"/>
      <c r="T29" s="43"/>
      <c r="U29" s="43"/>
    </row>
    <row r="30" spans="1:21" s="11" customFormat="1" x14ac:dyDescent="0.25">
      <c r="A30" s="53" t="s">
        <v>434</v>
      </c>
      <c r="B30" s="54">
        <v>8.39</v>
      </c>
      <c r="C30" s="54">
        <v>3.38</v>
      </c>
      <c r="D30" s="54">
        <v>12.27</v>
      </c>
      <c r="E30" s="54">
        <v>5.24</v>
      </c>
      <c r="F30" s="54">
        <v>3.97</v>
      </c>
      <c r="G30" s="54">
        <v>36.409999999999997</v>
      </c>
      <c r="H30" s="54">
        <v>18.13</v>
      </c>
      <c r="I30" s="54">
        <v>7.14</v>
      </c>
      <c r="J30" s="54">
        <v>0.6</v>
      </c>
      <c r="K30" s="54">
        <v>291.33</v>
      </c>
      <c r="L30" s="54">
        <v>23.3</v>
      </c>
      <c r="M30" s="54">
        <v>99</v>
      </c>
      <c r="N30" s="54">
        <v>51.5</v>
      </c>
      <c r="O30" s="54">
        <v>0</v>
      </c>
      <c r="P30" s="54">
        <v>0.95</v>
      </c>
      <c r="Q30" s="54">
        <v>9.7799999999999994</v>
      </c>
      <c r="R30" s="43"/>
      <c r="S30" s="43"/>
      <c r="T30" s="43"/>
      <c r="U30" s="43"/>
    </row>
    <row r="31" spans="1:21" s="11" customFormat="1" x14ac:dyDescent="0.25">
      <c r="A31" s="53" t="s">
        <v>435</v>
      </c>
      <c r="B31" s="54">
        <v>8.4</v>
      </c>
      <c r="C31" s="54">
        <v>3.36</v>
      </c>
      <c r="D31" s="54">
        <v>12.27</v>
      </c>
      <c r="E31" s="54">
        <v>5.26</v>
      </c>
      <c r="F31" s="54">
        <v>3.97</v>
      </c>
      <c r="G31" s="54">
        <v>42.6</v>
      </c>
      <c r="H31" s="54">
        <v>18.13</v>
      </c>
      <c r="I31" s="54">
        <v>7.41</v>
      </c>
      <c r="J31" s="54">
        <v>0.57999999999999996</v>
      </c>
      <c r="K31" s="54">
        <v>291.5</v>
      </c>
      <c r="L31" s="54">
        <v>23.21</v>
      </c>
      <c r="M31" s="54">
        <v>99</v>
      </c>
      <c r="N31" s="54">
        <v>51.7</v>
      </c>
      <c r="O31" s="54">
        <v>0</v>
      </c>
      <c r="P31" s="54">
        <v>0.99</v>
      </c>
      <c r="Q31" s="54">
        <v>10</v>
      </c>
      <c r="R31" s="43"/>
      <c r="S31" s="43"/>
      <c r="T31" s="43"/>
      <c r="U31" s="43"/>
    </row>
    <row r="32" spans="1:21" s="11" customFormat="1" x14ac:dyDescent="0.25">
      <c r="A32" s="53" t="s">
        <v>436</v>
      </c>
      <c r="B32" s="54">
        <v>8.44</v>
      </c>
      <c r="C32" s="54">
        <v>3.35</v>
      </c>
      <c r="D32" s="54">
        <v>12.28</v>
      </c>
      <c r="E32" s="54">
        <v>5.1100000000000003</v>
      </c>
      <c r="F32" s="54">
        <v>3.45</v>
      </c>
      <c r="G32" s="54">
        <v>45.14</v>
      </c>
      <c r="H32" s="54">
        <v>19.829999999999998</v>
      </c>
      <c r="I32" s="54">
        <v>7.36</v>
      </c>
      <c r="J32" s="54">
        <v>0.6</v>
      </c>
      <c r="K32" s="54">
        <v>240.58</v>
      </c>
      <c r="L32" s="54">
        <v>23.27</v>
      </c>
      <c r="M32" s="54">
        <v>99</v>
      </c>
      <c r="N32" s="54">
        <v>51.5</v>
      </c>
      <c r="O32" s="54">
        <v>0</v>
      </c>
      <c r="P32" s="54">
        <v>0.96</v>
      </c>
      <c r="Q32" s="54">
        <v>10.02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8.35</v>
      </c>
      <c r="C34" s="28">
        <f t="shared" si="0"/>
        <v>3.27</v>
      </c>
      <c r="D34" s="28">
        <f t="shared" si="0"/>
        <v>12.19</v>
      </c>
      <c r="E34" s="28">
        <f t="shared" si="0"/>
        <v>3.94</v>
      </c>
      <c r="F34" s="28">
        <f t="shared" si="0"/>
        <v>3.26</v>
      </c>
      <c r="G34" s="28">
        <f t="shared" si="0"/>
        <v>26.86</v>
      </c>
      <c r="H34" s="28">
        <f t="shared" si="0"/>
        <v>10.34</v>
      </c>
      <c r="I34" s="28">
        <f t="shared" si="0"/>
        <v>5.38</v>
      </c>
      <c r="J34" s="28">
        <f t="shared" si="0"/>
        <v>0.32</v>
      </c>
      <c r="K34" s="28">
        <f t="shared" si="0"/>
        <v>115.26</v>
      </c>
      <c r="L34" s="28">
        <f t="shared" si="0"/>
        <v>23</v>
      </c>
      <c r="M34" s="28">
        <f t="shared" si="0"/>
        <v>89.32</v>
      </c>
      <c r="N34" s="28">
        <f t="shared" si="0"/>
        <v>51.5</v>
      </c>
      <c r="O34" s="28">
        <f t="shared" si="0"/>
        <v>0</v>
      </c>
      <c r="P34" s="28">
        <f t="shared" si="0"/>
        <v>0.46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8.6199999999999992</v>
      </c>
      <c r="C35" s="29">
        <f t="shared" si="1"/>
        <v>3.72</v>
      </c>
      <c r="D35" s="29">
        <f t="shared" si="1"/>
        <v>12.61</v>
      </c>
      <c r="E35" s="29">
        <f t="shared" si="1"/>
        <v>5.42</v>
      </c>
      <c r="F35" s="29">
        <f t="shared" si="1"/>
        <v>6.24</v>
      </c>
      <c r="G35" s="29">
        <f t="shared" si="1"/>
        <v>76.06</v>
      </c>
      <c r="H35" s="29">
        <f t="shared" si="1"/>
        <v>24.99</v>
      </c>
      <c r="I35" s="29">
        <f t="shared" si="1"/>
        <v>8.09</v>
      </c>
      <c r="J35" s="29">
        <f t="shared" si="1"/>
        <v>2.12</v>
      </c>
      <c r="K35" s="29">
        <f t="shared" si="1"/>
        <v>357.46</v>
      </c>
      <c r="L35" s="29">
        <f t="shared" si="1"/>
        <v>29.72</v>
      </c>
      <c r="M35" s="29">
        <f t="shared" si="1"/>
        <v>99</v>
      </c>
      <c r="N35" s="29">
        <f t="shared" si="1"/>
        <v>740.4</v>
      </c>
      <c r="O35" s="29">
        <f t="shared" si="1"/>
        <v>2.2000000000000002</v>
      </c>
      <c r="P35" s="29">
        <f t="shared" si="1"/>
        <v>0.99</v>
      </c>
      <c r="Q35" s="29">
        <f t="shared" si="1"/>
        <v>10.15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8.4270833333333321</v>
      </c>
      <c r="C36" s="28">
        <f t="shared" si="2"/>
        <v>3.4050000000000007</v>
      </c>
      <c r="D36" s="28">
        <f t="shared" si="2"/>
        <v>12.307083333333329</v>
      </c>
      <c r="E36" s="28">
        <f t="shared" si="2"/>
        <v>4.7437500000000004</v>
      </c>
      <c r="F36" s="28">
        <f t="shared" si="2"/>
        <v>3.8987500000000002</v>
      </c>
      <c r="G36" s="28">
        <f t="shared" si="2"/>
        <v>46.947916666666664</v>
      </c>
      <c r="H36" s="28">
        <f t="shared" si="2"/>
        <v>17.629583333333333</v>
      </c>
      <c r="I36" s="28">
        <f t="shared" si="2"/>
        <v>6.5704166666666657</v>
      </c>
      <c r="J36" s="28">
        <f t="shared" si="2"/>
        <v>0.9558333333333332</v>
      </c>
      <c r="K36" s="28">
        <f t="shared" si="2"/>
        <v>295.69749999999999</v>
      </c>
      <c r="L36" s="28">
        <f t="shared" si="2"/>
        <v>25.248749999999998</v>
      </c>
      <c r="M36" s="28">
        <f t="shared" si="2"/>
        <v>97.252499999999998</v>
      </c>
      <c r="N36" s="28">
        <f t="shared" si="2"/>
        <v>209.17916666666667</v>
      </c>
      <c r="O36" s="28">
        <f t="shared" si="2"/>
        <v>0.10833333333333334</v>
      </c>
      <c r="P36" s="28">
        <f t="shared" si="2"/>
        <v>0.63916666666666666</v>
      </c>
      <c r="Q36" s="28">
        <f t="shared" si="2"/>
        <v>9.7654166666666669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7.092428091414392E-2</v>
      </c>
      <c r="C37" s="28">
        <f t="shared" ref="C37:Q37" si="3">STDEV(C9:C32)</f>
        <v>0.13567864847563132</v>
      </c>
      <c r="D37" s="28">
        <f t="shared" si="3"/>
        <v>0.12316405343269196</v>
      </c>
      <c r="E37" s="28">
        <f t="shared" si="3"/>
        <v>0.43669522254234061</v>
      </c>
      <c r="F37" s="28">
        <f t="shared" si="3"/>
        <v>0.60875005579858232</v>
      </c>
      <c r="G37" s="28">
        <f t="shared" si="3"/>
        <v>16.402240032376984</v>
      </c>
      <c r="H37" s="28">
        <f t="shared" si="3"/>
        <v>4.6297163770455825</v>
      </c>
      <c r="I37" s="28">
        <f t="shared" si="3"/>
        <v>0.82656165327620001</v>
      </c>
      <c r="J37" s="28">
        <f t="shared" si="3"/>
        <v>0.42436568179349526</v>
      </c>
      <c r="K37" s="28">
        <f t="shared" si="3"/>
        <v>75.068588014706648</v>
      </c>
      <c r="L37" s="28">
        <f t="shared" si="3"/>
        <v>2.3634266068754823</v>
      </c>
      <c r="M37" s="28">
        <f t="shared" si="3"/>
        <v>2.9534787889066934</v>
      </c>
      <c r="N37" s="28">
        <f t="shared" si="3"/>
        <v>230.23400568375732</v>
      </c>
      <c r="O37" s="28">
        <f t="shared" si="3"/>
        <v>0.44907311951024936</v>
      </c>
      <c r="P37" s="28">
        <f t="shared" si="3"/>
        <v>0.15367715076310684</v>
      </c>
      <c r="Q37" s="28">
        <f t="shared" si="3"/>
        <v>0.26160007922260908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437</v>
      </c>
      <c r="B9" s="54">
        <v>8.49</v>
      </c>
      <c r="C9" s="54">
        <v>3.4</v>
      </c>
      <c r="D9" s="54">
        <v>12.36</v>
      </c>
      <c r="E9" s="54">
        <v>4.2</v>
      </c>
      <c r="F9" s="54">
        <v>3.43</v>
      </c>
      <c r="G9" s="54">
        <v>45.14</v>
      </c>
      <c r="H9" s="54">
        <v>19.829999999999998</v>
      </c>
      <c r="I9" s="54">
        <v>7.63</v>
      </c>
      <c r="J9" s="54">
        <v>0.53</v>
      </c>
      <c r="K9" s="54">
        <v>295.49</v>
      </c>
      <c r="L9" s="54">
        <v>23.44</v>
      </c>
      <c r="M9" s="54">
        <v>98.92</v>
      </c>
      <c r="N9" s="54">
        <v>51.2</v>
      </c>
      <c r="O9" s="54">
        <v>0</v>
      </c>
      <c r="P9" s="54">
        <v>0.91</v>
      </c>
      <c r="Q9" s="54">
        <v>9.9600000000000009</v>
      </c>
      <c r="R9" s="43"/>
      <c r="S9" s="43"/>
      <c r="T9" s="43"/>
      <c r="U9" s="43"/>
    </row>
    <row r="10" spans="1:21" s="11" customFormat="1" x14ac:dyDescent="0.25">
      <c r="A10" s="53" t="s">
        <v>438</v>
      </c>
      <c r="B10" s="54">
        <v>8.4499999999999993</v>
      </c>
      <c r="C10" s="54">
        <v>3.49</v>
      </c>
      <c r="D10" s="54">
        <v>12.38</v>
      </c>
      <c r="E10" s="54">
        <v>4.54</v>
      </c>
      <c r="F10" s="54">
        <v>4.0599999999999996</v>
      </c>
      <c r="G10" s="54">
        <v>41.85</v>
      </c>
      <c r="H10" s="54">
        <v>16.64</v>
      </c>
      <c r="I10" s="54">
        <v>7.82</v>
      </c>
      <c r="J10" s="54">
        <v>0.7</v>
      </c>
      <c r="K10" s="54">
        <v>354.72</v>
      </c>
      <c r="L10" s="54">
        <v>23.48</v>
      </c>
      <c r="M10" s="54">
        <v>99.01</v>
      </c>
      <c r="N10" s="54">
        <v>51.1</v>
      </c>
      <c r="O10" s="54">
        <v>0</v>
      </c>
      <c r="P10" s="54">
        <v>0.79</v>
      </c>
      <c r="Q10" s="54">
        <v>9.93</v>
      </c>
      <c r="R10" s="43"/>
      <c r="S10" s="43"/>
      <c r="T10" s="43"/>
      <c r="U10" s="43"/>
    </row>
    <row r="11" spans="1:21" s="11" customFormat="1" x14ac:dyDescent="0.25">
      <c r="A11" s="53" t="s">
        <v>439</v>
      </c>
      <c r="B11" s="54">
        <v>8.4499999999999993</v>
      </c>
      <c r="C11" s="54">
        <v>3.44</v>
      </c>
      <c r="D11" s="54">
        <v>12.34</v>
      </c>
      <c r="E11" s="54">
        <v>4.3499999999999996</v>
      </c>
      <c r="F11" s="54">
        <v>3.99</v>
      </c>
      <c r="G11" s="54">
        <v>41.85</v>
      </c>
      <c r="H11" s="54">
        <v>15.49</v>
      </c>
      <c r="I11" s="54">
        <v>7.53</v>
      </c>
      <c r="J11" s="54">
        <v>1.03</v>
      </c>
      <c r="K11" s="54">
        <v>346.06</v>
      </c>
      <c r="L11" s="54">
        <v>23.73</v>
      </c>
      <c r="M11" s="54">
        <v>99.05</v>
      </c>
      <c r="N11" s="54">
        <v>51.2</v>
      </c>
      <c r="O11" s="54">
        <v>0</v>
      </c>
      <c r="P11" s="54">
        <v>0.74</v>
      </c>
      <c r="Q11" s="54">
        <v>9.8000000000000007</v>
      </c>
      <c r="R11" s="43"/>
      <c r="S11" s="43"/>
      <c r="T11" s="43"/>
      <c r="U11" s="43"/>
    </row>
    <row r="12" spans="1:21" s="11" customFormat="1" x14ac:dyDescent="0.25">
      <c r="A12" s="53" t="s">
        <v>440</v>
      </c>
      <c r="B12" s="54">
        <v>8.3699999999999992</v>
      </c>
      <c r="C12" s="54">
        <v>3.3</v>
      </c>
      <c r="D12" s="54">
        <v>12.21</v>
      </c>
      <c r="E12" s="54">
        <v>4.1500000000000004</v>
      </c>
      <c r="F12" s="54">
        <v>3.95</v>
      </c>
      <c r="G12" s="54">
        <v>47.26</v>
      </c>
      <c r="H12" s="54">
        <v>18.03</v>
      </c>
      <c r="I12" s="54">
        <v>7.32</v>
      </c>
      <c r="J12" s="54">
        <v>0.9</v>
      </c>
      <c r="K12" s="54">
        <v>334.91</v>
      </c>
      <c r="L12" s="54">
        <v>23.82</v>
      </c>
      <c r="M12" s="54">
        <v>99</v>
      </c>
      <c r="N12" s="54">
        <v>51.3</v>
      </c>
      <c r="O12" s="54">
        <v>0.2</v>
      </c>
      <c r="P12" s="54">
        <v>0.73</v>
      </c>
      <c r="Q12" s="54">
        <v>9.8000000000000007</v>
      </c>
      <c r="R12" s="43"/>
      <c r="S12" s="43"/>
      <c r="T12" s="43"/>
      <c r="U12" s="43"/>
    </row>
    <row r="13" spans="1:21" s="11" customFormat="1" x14ac:dyDescent="0.25">
      <c r="A13" s="53" t="s">
        <v>441</v>
      </c>
      <c r="B13" s="54">
        <v>8.43</v>
      </c>
      <c r="C13" s="54">
        <v>3.35</v>
      </c>
      <c r="D13" s="54">
        <v>12.29</v>
      </c>
      <c r="E13" s="54">
        <v>3.59</v>
      </c>
      <c r="F13" s="54">
        <v>3.34</v>
      </c>
      <c r="G13" s="54">
        <v>47.26</v>
      </c>
      <c r="H13" s="54">
        <v>22.04</v>
      </c>
      <c r="I13" s="54">
        <v>7.87</v>
      </c>
      <c r="J13" s="54">
        <v>1.24</v>
      </c>
      <c r="K13" s="54">
        <v>115.42</v>
      </c>
      <c r="L13" s="54">
        <v>23.65</v>
      </c>
      <c r="M13" s="54">
        <v>99</v>
      </c>
      <c r="N13" s="54">
        <v>51.5</v>
      </c>
      <c r="O13" s="54">
        <v>0</v>
      </c>
      <c r="P13" s="54">
        <v>0.68</v>
      </c>
      <c r="Q13" s="54">
        <v>9.82</v>
      </c>
      <c r="R13" s="43"/>
      <c r="S13" s="43"/>
      <c r="T13" s="43"/>
      <c r="U13" s="43"/>
    </row>
    <row r="14" spans="1:21" s="11" customFormat="1" x14ac:dyDescent="0.25">
      <c r="A14" s="53" t="s">
        <v>442</v>
      </c>
      <c r="B14" s="54">
        <v>8.42</v>
      </c>
      <c r="C14" s="54">
        <v>3.3</v>
      </c>
      <c r="D14" s="54">
        <v>12.25</v>
      </c>
      <c r="E14" s="54">
        <v>3.65</v>
      </c>
      <c r="F14" s="54">
        <v>3.56</v>
      </c>
      <c r="G14" s="54">
        <v>47.22</v>
      </c>
      <c r="H14" s="54">
        <v>22.04</v>
      </c>
      <c r="I14" s="54">
        <v>8.44</v>
      </c>
      <c r="J14" s="54">
        <v>0.69</v>
      </c>
      <c r="K14" s="54">
        <v>139.63</v>
      </c>
      <c r="L14" s="54">
        <v>23.32</v>
      </c>
      <c r="M14" s="54">
        <v>99</v>
      </c>
      <c r="N14" s="54">
        <v>76.2</v>
      </c>
      <c r="O14" s="54">
        <v>0</v>
      </c>
      <c r="P14" s="54">
        <v>0.64</v>
      </c>
      <c r="Q14" s="54">
        <v>9.8000000000000007</v>
      </c>
      <c r="R14" s="43"/>
      <c r="S14" s="43"/>
      <c r="T14" s="43"/>
      <c r="U14" s="43"/>
    </row>
    <row r="15" spans="1:21" s="11" customFormat="1" x14ac:dyDescent="0.25">
      <c r="A15" s="53" t="s">
        <v>443</v>
      </c>
      <c r="B15" s="54">
        <v>8.3699999999999992</v>
      </c>
      <c r="C15" s="54">
        <v>3.28</v>
      </c>
      <c r="D15" s="54">
        <v>12.19</v>
      </c>
      <c r="E15" s="54">
        <v>3.81</v>
      </c>
      <c r="F15" s="54">
        <v>4.1500000000000004</v>
      </c>
      <c r="G15" s="54">
        <v>40.49</v>
      </c>
      <c r="H15" s="54">
        <v>15.43</v>
      </c>
      <c r="I15" s="54">
        <v>8.33</v>
      </c>
      <c r="J15" s="54">
        <v>1</v>
      </c>
      <c r="K15" s="54">
        <v>224.33</v>
      </c>
      <c r="L15" s="54">
        <v>24.43</v>
      </c>
      <c r="M15" s="54">
        <v>98.98</v>
      </c>
      <c r="N15" s="54">
        <v>157.30000000000001</v>
      </c>
      <c r="O15" s="54">
        <v>0</v>
      </c>
      <c r="P15" s="54">
        <v>0.57999999999999996</v>
      </c>
      <c r="Q15" s="54">
        <v>9.6999999999999993</v>
      </c>
      <c r="R15" s="43"/>
      <c r="S15" s="43"/>
      <c r="T15" s="43"/>
      <c r="U15" s="43"/>
    </row>
    <row r="16" spans="1:21" s="11" customFormat="1" x14ac:dyDescent="0.25">
      <c r="A16" s="53" t="s">
        <v>444</v>
      </c>
      <c r="B16" s="54">
        <v>8.4499999999999993</v>
      </c>
      <c r="C16" s="54">
        <v>3.45</v>
      </c>
      <c r="D16" s="54">
        <v>12.36</v>
      </c>
      <c r="E16" s="54">
        <v>3.89</v>
      </c>
      <c r="F16" s="54">
        <v>3.91</v>
      </c>
      <c r="G16" s="54">
        <v>36.049999999999997</v>
      </c>
      <c r="H16" s="54">
        <v>13.95</v>
      </c>
      <c r="I16" s="54">
        <v>8.01</v>
      </c>
      <c r="J16" s="54">
        <v>1.63</v>
      </c>
      <c r="K16" s="54">
        <v>118.76</v>
      </c>
      <c r="L16" s="54">
        <v>25.53</v>
      </c>
      <c r="M16" s="54">
        <v>98.98</v>
      </c>
      <c r="N16" s="54">
        <v>370.1</v>
      </c>
      <c r="O16" s="54">
        <v>0</v>
      </c>
      <c r="P16" s="54">
        <v>0.6</v>
      </c>
      <c r="Q16" s="54">
        <v>9.74</v>
      </c>
      <c r="R16" s="43"/>
      <c r="S16" s="43"/>
      <c r="T16" s="43"/>
      <c r="U16" s="43"/>
    </row>
    <row r="17" spans="1:21" s="11" customFormat="1" x14ac:dyDescent="0.25">
      <c r="A17" s="53" t="s">
        <v>445</v>
      </c>
      <c r="B17" s="54">
        <v>8.5</v>
      </c>
      <c r="C17" s="54">
        <v>3.54</v>
      </c>
      <c r="D17" s="54">
        <v>12.44</v>
      </c>
      <c r="E17" s="54">
        <v>3.86</v>
      </c>
      <c r="F17" s="54">
        <v>3.51</v>
      </c>
      <c r="G17" s="54">
        <v>36.049999999999997</v>
      </c>
      <c r="H17" s="54">
        <v>16.600000000000001</v>
      </c>
      <c r="I17" s="54">
        <v>8.49</v>
      </c>
      <c r="J17" s="54">
        <v>2.06</v>
      </c>
      <c r="K17" s="54">
        <v>113.62</v>
      </c>
      <c r="L17" s="54">
        <v>26.16</v>
      </c>
      <c r="M17" s="54">
        <v>98.31</v>
      </c>
      <c r="N17" s="54">
        <v>329.8</v>
      </c>
      <c r="O17" s="54">
        <v>0</v>
      </c>
      <c r="P17" s="54">
        <v>0.56000000000000005</v>
      </c>
      <c r="Q17" s="54">
        <v>9.66</v>
      </c>
      <c r="R17" s="43"/>
      <c r="S17" s="43"/>
      <c r="T17" s="43"/>
      <c r="U17" s="43"/>
    </row>
    <row r="18" spans="1:21" s="11" customFormat="1" x14ac:dyDescent="0.25">
      <c r="A18" s="53" t="s">
        <v>446</v>
      </c>
      <c r="B18" s="54">
        <v>8.3699999999999992</v>
      </c>
      <c r="C18" s="54">
        <v>3.24</v>
      </c>
      <c r="D18" s="54">
        <v>12.18</v>
      </c>
      <c r="E18" s="54">
        <v>4.03</v>
      </c>
      <c r="F18" s="54">
        <v>3.48</v>
      </c>
      <c r="G18" s="54">
        <v>34.450000000000003</v>
      </c>
      <c r="H18" s="54">
        <v>16.600000000000001</v>
      </c>
      <c r="I18" s="54">
        <v>9.67</v>
      </c>
      <c r="J18" s="54">
        <v>1.7</v>
      </c>
      <c r="K18" s="54">
        <v>115.79</v>
      </c>
      <c r="L18" s="54">
        <v>26.5</v>
      </c>
      <c r="M18" s="54">
        <v>97</v>
      </c>
      <c r="N18" s="54">
        <v>573.20000000000005</v>
      </c>
      <c r="O18" s="54">
        <v>0</v>
      </c>
      <c r="P18" s="54">
        <v>0.52</v>
      </c>
      <c r="Q18" s="54">
        <v>9.68</v>
      </c>
      <c r="R18" s="43"/>
      <c r="S18" s="43"/>
      <c r="T18" s="43"/>
      <c r="U18" s="43"/>
    </row>
    <row r="19" spans="1:21" s="11" customFormat="1" x14ac:dyDescent="0.25">
      <c r="A19" s="53" t="s">
        <v>447</v>
      </c>
      <c r="B19" s="54">
        <v>8.4</v>
      </c>
      <c r="C19" s="54">
        <v>3.34</v>
      </c>
      <c r="D19" s="54">
        <v>12.25</v>
      </c>
      <c r="E19" s="54">
        <v>4.1900000000000004</v>
      </c>
      <c r="F19" s="54">
        <v>3.91</v>
      </c>
      <c r="G19" s="54">
        <v>32.549999999999997</v>
      </c>
      <c r="H19" s="54">
        <v>13.26</v>
      </c>
      <c r="I19" s="54">
        <v>9.9600000000000009</v>
      </c>
      <c r="J19" s="54">
        <v>2.0299999999999998</v>
      </c>
      <c r="K19" s="54">
        <v>116.37</v>
      </c>
      <c r="L19" s="54">
        <v>28.65</v>
      </c>
      <c r="M19" s="54">
        <v>89.43</v>
      </c>
      <c r="N19" s="54">
        <v>1143.5</v>
      </c>
      <c r="O19" s="54">
        <v>0</v>
      </c>
      <c r="P19" s="54">
        <v>0.49</v>
      </c>
      <c r="Q19" s="54">
        <v>9.61</v>
      </c>
      <c r="R19" s="43"/>
      <c r="S19" s="43"/>
      <c r="T19" s="43"/>
      <c r="U19" s="43"/>
    </row>
    <row r="20" spans="1:21" s="11" customFormat="1" x14ac:dyDescent="0.25">
      <c r="A20" s="53" t="s">
        <v>448</v>
      </c>
      <c r="B20" s="54">
        <v>8.36</v>
      </c>
      <c r="C20" s="54">
        <v>3.28</v>
      </c>
      <c r="D20" s="54">
        <v>12.19</v>
      </c>
      <c r="E20" s="54">
        <v>4.0999999999999996</v>
      </c>
      <c r="F20" s="54">
        <v>4.08</v>
      </c>
      <c r="G20" s="54">
        <v>27.71</v>
      </c>
      <c r="H20" s="54">
        <v>10.8</v>
      </c>
      <c r="I20" s="54">
        <v>9.42</v>
      </c>
      <c r="J20" s="54">
        <v>1.66</v>
      </c>
      <c r="K20" s="54">
        <v>115.7</v>
      </c>
      <c r="L20" s="54">
        <v>28.91</v>
      </c>
      <c r="M20" s="54">
        <v>78.650000000000006</v>
      </c>
      <c r="N20" s="54">
        <v>1132.9000000000001</v>
      </c>
      <c r="O20" s="54">
        <v>0</v>
      </c>
      <c r="P20" s="54">
        <v>0.46</v>
      </c>
      <c r="Q20" s="54">
        <v>9.59</v>
      </c>
      <c r="R20" s="43"/>
      <c r="S20" s="43"/>
      <c r="T20" s="43"/>
      <c r="U20" s="43"/>
    </row>
    <row r="21" spans="1:21" s="11" customFormat="1" x14ac:dyDescent="0.25">
      <c r="A21" s="53" t="s">
        <v>449</v>
      </c>
      <c r="B21" s="54">
        <v>8.4</v>
      </c>
      <c r="C21" s="54">
        <v>3.42</v>
      </c>
      <c r="D21" s="54">
        <v>12.3</v>
      </c>
      <c r="E21" s="54">
        <v>4.67</v>
      </c>
      <c r="F21" s="54">
        <v>4.12</v>
      </c>
      <c r="G21" s="54">
        <v>27.27</v>
      </c>
      <c r="H21" s="54">
        <v>8.3000000000000007</v>
      </c>
      <c r="I21" s="54">
        <v>9.0299999999999994</v>
      </c>
      <c r="J21" s="54">
        <v>1.44</v>
      </c>
      <c r="K21" s="54">
        <v>112.18</v>
      </c>
      <c r="L21" s="54">
        <v>29.7</v>
      </c>
      <c r="M21" s="54">
        <v>78.209999999999994</v>
      </c>
      <c r="N21" s="54">
        <v>1151.5</v>
      </c>
      <c r="O21" s="54">
        <v>0</v>
      </c>
      <c r="P21" s="54">
        <v>0.42</v>
      </c>
      <c r="Q21" s="54">
        <v>9.5399999999999991</v>
      </c>
      <c r="R21" s="43"/>
      <c r="S21" s="43"/>
      <c r="T21" s="43"/>
      <c r="U21" s="43"/>
    </row>
    <row r="22" spans="1:21" s="11" customFormat="1" x14ac:dyDescent="0.25">
      <c r="A22" s="53" t="s">
        <v>450</v>
      </c>
      <c r="B22" s="54">
        <v>8.3800000000000008</v>
      </c>
      <c r="C22" s="54">
        <v>3.3</v>
      </c>
      <c r="D22" s="54">
        <v>12.22</v>
      </c>
      <c r="E22" s="54">
        <v>4.84</v>
      </c>
      <c r="F22" s="54">
        <v>3.79</v>
      </c>
      <c r="G22" s="54">
        <v>24.31</v>
      </c>
      <c r="H22" s="54">
        <v>8.3000000000000007</v>
      </c>
      <c r="I22" s="54">
        <v>8.6300000000000008</v>
      </c>
      <c r="J22" s="54">
        <v>1.24</v>
      </c>
      <c r="K22" s="54">
        <v>348.72</v>
      </c>
      <c r="L22" s="54">
        <v>29.75</v>
      </c>
      <c r="M22" s="54">
        <v>76.77</v>
      </c>
      <c r="N22" s="54">
        <v>875.7</v>
      </c>
      <c r="O22" s="54">
        <v>0</v>
      </c>
      <c r="P22" s="54">
        <v>0.44</v>
      </c>
      <c r="Q22" s="54">
        <v>9.49</v>
      </c>
      <c r="R22" s="43"/>
      <c r="S22" s="43"/>
      <c r="T22" s="43"/>
      <c r="U22" s="43"/>
    </row>
    <row r="23" spans="1:21" s="11" customFormat="1" x14ac:dyDescent="0.25">
      <c r="A23" s="53" t="s">
        <v>451</v>
      </c>
      <c r="B23" s="54">
        <v>8.3800000000000008</v>
      </c>
      <c r="C23" s="54">
        <v>3.27</v>
      </c>
      <c r="D23" s="54">
        <v>12.21</v>
      </c>
      <c r="E23" s="54">
        <v>4.71</v>
      </c>
      <c r="F23" s="54">
        <v>4.62</v>
      </c>
      <c r="G23" s="54">
        <v>28.1</v>
      </c>
      <c r="H23" s="54">
        <v>9.56</v>
      </c>
      <c r="I23" s="54">
        <v>8.44</v>
      </c>
      <c r="J23" s="54">
        <v>1.65</v>
      </c>
      <c r="K23" s="54">
        <v>155.29</v>
      </c>
      <c r="L23" s="54">
        <v>28.31</v>
      </c>
      <c r="M23" s="54">
        <v>86.84</v>
      </c>
      <c r="N23" s="54">
        <v>727.1</v>
      </c>
      <c r="O23" s="54">
        <v>0</v>
      </c>
      <c r="P23" s="54">
        <v>0.44</v>
      </c>
      <c r="Q23" s="54">
        <v>9.5399999999999991</v>
      </c>
      <c r="R23" s="43"/>
      <c r="S23" s="43"/>
      <c r="T23" s="43"/>
      <c r="U23" s="43"/>
    </row>
    <row r="24" spans="1:21" s="11" customFormat="1" x14ac:dyDescent="0.25">
      <c r="A24" s="53" t="s">
        <v>452</v>
      </c>
      <c r="B24" s="54">
        <v>8.34</v>
      </c>
      <c r="C24" s="54">
        <v>3.28</v>
      </c>
      <c r="D24" s="54">
        <v>12.18</v>
      </c>
      <c r="E24" s="54">
        <v>4.78</v>
      </c>
      <c r="F24" s="54">
        <v>4.72</v>
      </c>
      <c r="G24" s="54">
        <v>28.1</v>
      </c>
      <c r="H24" s="54">
        <v>9.56</v>
      </c>
      <c r="I24" s="54">
        <v>8.31</v>
      </c>
      <c r="J24" s="54">
        <v>1.1399999999999999</v>
      </c>
      <c r="K24" s="54">
        <v>358.65</v>
      </c>
      <c r="L24" s="54">
        <v>28.05</v>
      </c>
      <c r="M24" s="54">
        <v>88.52</v>
      </c>
      <c r="N24" s="54">
        <v>330.3</v>
      </c>
      <c r="O24" s="54">
        <v>0</v>
      </c>
      <c r="P24" s="54">
        <v>0.4</v>
      </c>
      <c r="Q24" s="54">
        <v>9.48</v>
      </c>
      <c r="R24" s="43"/>
      <c r="S24" s="43"/>
      <c r="T24" s="43"/>
      <c r="U24" s="43"/>
    </row>
    <row r="25" spans="1:21" s="11" customFormat="1" x14ac:dyDescent="0.25">
      <c r="A25" s="53" t="s">
        <v>453</v>
      </c>
      <c r="B25" s="54">
        <v>8.31</v>
      </c>
      <c r="C25" s="54">
        <v>3.35</v>
      </c>
      <c r="D25" s="54">
        <v>12.19</v>
      </c>
      <c r="E25" s="54">
        <v>4.0999999999999996</v>
      </c>
      <c r="F25" s="54">
        <v>5.04</v>
      </c>
      <c r="G25" s="54">
        <v>21.52</v>
      </c>
      <c r="H25" s="54">
        <v>7.05</v>
      </c>
      <c r="I25" s="54">
        <v>6.87</v>
      </c>
      <c r="J25" s="54">
        <v>1.61</v>
      </c>
      <c r="K25" s="54">
        <v>153.78</v>
      </c>
      <c r="L25" s="54">
        <v>28.16</v>
      </c>
      <c r="M25" s="54">
        <v>86.62</v>
      </c>
      <c r="N25" s="54">
        <v>300.10000000000002</v>
      </c>
      <c r="O25" s="54">
        <v>0</v>
      </c>
      <c r="P25" s="54">
        <v>0.4</v>
      </c>
      <c r="Q25" s="54">
        <v>9.2899999999999991</v>
      </c>
      <c r="R25" s="43"/>
      <c r="S25" s="43"/>
      <c r="T25" s="43"/>
      <c r="U25" s="43"/>
    </row>
    <row r="26" spans="1:21" s="11" customFormat="1" x14ac:dyDescent="0.25">
      <c r="A26" s="53" t="s">
        <v>454</v>
      </c>
      <c r="B26" s="54">
        <v>8.36</v>
      </c>
      <c r="C26" s="54">
        <v>3.4</v>
      </c>
      <c r="D26" s="54">
        <v>12.25</v>
      </c>
      <c r="E26" s="54">
        <v>3.77</v>
      </c>
      <c r="F26" s="54">
        <v>4.18</v>
      </c>
      <c r="G26" s="54">
        <v>21</v>
      </c>
      <c r="H26" s="54">
        <v>8.09</v>
      </c>
      <c r="I26" s="54">
        <v>6.55</v>
      </c>
      <c r="J26" s="54">
        <v>1.93</v>
      </c>
      <c r="K26" s="54">
        <v>336.56</v>
      </c>
      <c r="L26" s="54">
        <v>28.23</v>
      </c>
      <c r="M26" s="54">
        <v>99.01</v>
      </c>
      <c r="N26" s="54">
        <v>248.3</v>
      </c>
      <c r="O26" s="54">
        <v>4.8</v>
      </c>
      <c r="P26" s="54">
        <v>0.36</v>
      </c>
      <c r="Q26" s="54">
        <v>9.39</v>
      </c>
      <c r="R26" s="43"/>
      <c r="S26" s="43"/>
      <c r="T26" s="43"/>
      <c r="U26" s="43"/>
    </row>
    <row r="27" spans="1:21" s="11" customFormat="1" x14ac:dyDescent="0.25">
      <c r="A27" s="53" t="s">
        <v>455</v>
      </c>
      <c r="B27" s="54">
        <v>8.3699999999999992</v>
      </c>
      <c r="C27" s="54">
        <v>3.25</v>
      </c>
      <c r="D27" s="54">
        <v>12.18</v>
      </c>
      <c r="E27" s="54">
        <v>3.92</v>
      </c>
      <c r="F27" s="54">
        <v>3.39</v>
      </c>
      <c r="G27" s="54">
        <v>23.93</v>
      </c>
      <c r="H27" s="54">
        <v>8.09</v>
      </c>
      <c r="I27" s="54">
        <v>6.27</v>
      </c>
      <c r="J27" s="54">
        <v>0.7</v>
      </c>
      <c r="K27" s="54">
        <v>321.27999999999997</v>
      </c>
      <c r="L27" s="54">
        <v>24.53</v>
      </c>
      <c r="M27" s="54">
        <v>99.05</v>
      </c>
      <c r="N27" s="54">
        <v>166.4</v>
      </c>
      <c r="O27" s="54">
        <v>0</v>
      </c>
      <c r="P27" s="54">
        <v>0.44</v>
      </c>
      <c r="Q27" s="54">
        <v>9.56</v>
      </c>
      <c r="R27" s="43"/>
      <c r="S27" s="43"/>
      <c r="T27" s="43"/>
      <c r="U27" s="43"/>
    </row>
    <row r="28" spans="1:21" s="11" customFormat="1" x14ac:dyDescent="0.25">
      <c r="A28" s="53" t="s">
        <v>456</v>
      </c>
      <c r="B28" s="54">
        <v>8.3800000000000008</v>
      </c>
      <c r="C28" s="54">
        <v>3.24</v>
      </c>
      <c r="D28" s="54">
        <v>12.18</v>
      </c>
      <c r="E28" s="54">
        <v>4.1100000000000003</v>
      </c>
      <c r="F28" s="54">
        <v>4.03</v>
      </c>
      <c r="G28" s="54">
        <v>23.93</v>
      </c>
      <c r="H28" s="54">
        <v>8.7799999999999994</v>
      </c>
      <c r="I28" s="54">
        <v>6.06</v>
      </c>
      <c r="J28" s="54">
        <v>0.59</v>
      </c>
      <c r="K28" s="54">
        <v>329.5</v>
      </c>
      <c r="L28" s="54">
        <v>24.6</v>
      </c>
      <c r="M28" s="54">
        <v>99.06</v>
      </c>
      <c r="N28" s="54">
        <v>121.3</v>
      </c>
      <c r="O28" s="54">
        <v>0</v>
      </c>
      <c r="P28" s="54">
        <v>0.6</v>
      </c>
      <c r="Q28" s="54">
        <v>9.6</v>
      </c>
      <c r="R28" s="43"/>
      <c r="S28" s="43"/>
      <c r="T28" s="43"/>
      <c r="U28" s="43"/>
    </row>
    <row r="29" spans="1:21" s="11" customFormat="1" x14ac:dyDescent="0.25">
      <c r="A29" s="53" t="s">
        <v>457</v>
      </c>
      <c r="B29" s="54">
        <v>8.5500000000000007</v>
      </c>
      <c r="C29" s="54">
        <v>3.66</v>
      </c>
      <c r="D29" s="54">
        <v>12.54</v>
      </c>
      <c r="E29" s="54">
        <v>3.85</v>
      </c>
      <c r="F29" s="54">
        <v>4.12</v>
      </c>
      <c r="G29" s="54">
        <v>32.619999999999997</v>
      </c>
      <c r="H29" s="54">
        <v>9.75</v>
      </c>
      <c r="I29" s="54">
        <v>6.75</v>
      </c>
      <c r="J29" s="54">
        <v>0.46</v>
      </c>
      <c r="K29" s="54">
        <v>359.82</v>
      </c>
      <c r="L29" s="54">
        <v>25.01</v>
      </c>
      <c r="M29" s="54">
        <v>99.07</v>
      </c>
      <c r="N29" s="54">
        <v>120.6</v>
      </c>
      <c r="O29" s="54">
        <v>0.2</v>
      </c>
      <c r="P29" s="54">
        <v>0.88</v>
      </c>
      <c r="Q29" s="54">
        <v>9.7100000000000009</v>
      </c>
      <c r="R29" s="43"/>
      <c r="S29" s="43"/>
      <c r="T29" s="43"/>
      <c r="U29" s="43"/>
    </row>
    <row r="30" spans="1:21" s="11" customFormat="1" x14ac:dyDescent="0.25">
      <c r="A30" s="53" t="s">
        <v>458</v>
      </c>
      <c r="B30" s="54">
        <v>8.7200000000000006</v>
      </c>
      <c r="C30" s="54">
        <v>3.94</v>
      </c>
      <c r="D30" s="54">
        <v>12.82</v>
      </c>
      <c r="E30" s="54">
        <v>3.82</v>
      </c>
      <c r="F30" s="54">
        <v>3.51</v>
      </c>
      <c r="G30" s="54">
        <v>33.21</v>
      </c>
      <c r="H30" s="54">
        <v>10.99</v>
      </c>
      <c r="I30" s="54">
        <v>7.16</v>
      </c>
      <c r="J30" s="54">
        <v>1.41</v>
      </c>
      <c r="K30" s="54">
        <v>149.97999999999999</v>
      </c>
      <c r="L30" s="54">
        <v>25.28</v>
      </c>
      <c r="M30" s="54">
        <v>99.08</v>
      </c>
      <c r="N30" s="54">
        <v>117</v>
      </c>
      <c r="O30" s="54">
        <v>0</v>
      </c>
      <c r="P30" s="54">
        <v>0.93</v>
      </c>
      <c r="Q30" s="54">
        <v>9.8800000000000008</v>
      </c>
      <c r="R30" s="43"/>
      <c r="S30" s="43"/>
      <c r="T30" s="43"/>
      <c r="U30" s="43"/>
    </row>
    <row r="31" spans="1:21" s="11" customFormat="1" x14ac:dyDescent="0.25">
      <c r="A31" s="53" t="s">
        <v>459</v>
      </c>
      <c r="B31" s="54">
        <v>8.41</v>
      </c>
      <c r="C31" s="54">
        <v>3.34</v>
      </c>
      <c r="D31" s="54">
        <v>12.27</v>
      </c>
      <c r="E31" s="54">
        <v>3.84</v>
      </c>
      <c r="F31" s="54">
        <v>3.41</v>
      </c>
      <c r="G31" s="54">
        <v>33.21</v>
      </c>
      <c r="H31" s="54">
        <v>10.99</v>
      </c>
      <c r="I31" s="54">
        <v>7.73</v>
      </c>
      <c r="J31" s="54">
        <v>0.73</v>
      </c>
      <c r="K31" s="54">
        <v>312.37</v>
      </c>
      <c r="L31" s="54">
        <v>25.18</v>
      </c>
      <c r="M31" s="54">
        <v>99.03</v>
      </c>
      <c r="N31" s="54">
        <v>117.3</v>
      </c>
      <c r="O31" s="54">
        <v>0.6</v>
      </c>
      <c r="P31" s="54">
        <v>0.86</v>
      </c>
      <c r="Q31" s="54">
        <v>9.9</v>
      </c>
      <c r="R31" s="43"/>
      <c r="S31" s="43"/>
      <c r="T31" s="43"/>
      <c r="U31" s="43"/>
    </row>
    <row r="32" spans="1:21" s="11" customFormat="1" x14ac:dyDescent="0.25">
      <c r="A32" s="53" t="s">
        <v>460</v>
      </c>
      <c r="B32" s="54">
        <v>8.43</v>
      </c>
      <c r="C32" s="54">
        <v>3.33</v>
      </c>
      <c r="D32" s="54">
        <v>12.27</v>
      </c>
      <c r="E32" s="54">
        <v>3.7</v>
      </c>
      <c r="F32" s="54">
        <v>3.3</v>
      </c>
      <c r="G32" s="54">
        <v>27.08</v>
      </c>
      <c r="H32" s="54">
        <v>8.56</v>
      </c>
      <c r="I32" s="54">
        <v>7.55</v>
      </c>
      <c r="J32" s="54">
        <v>0.53</v>
      </c>
      <c r="K32" s="54">
        <v>331.41</v>
      </c>
      <c r="L32" s="54">
        <v>24.37</v>
      </c>
      <c r="M32" s="54">
        <v>99.03</v>
      </c>
      <c r="N32" s="54">
        <v>116.8</v>
      </c>
      <c r="O32" s="54">
        <v>0</v>
      </c>
      <c r="P32" s="54">
        <v>0.78</v>
      </c>
      <c r="Q32" s="54">
        <v>9.8800000000000008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8.31</v>
      </c>
      <c r="C34" s="28">
        <f t="shared" si="0"/>
        <v>3.24</v>
      </c>
      <c r="D34" s="28">
        <f t="shared" si="0"/>
        <v>12.18</v>
      </c>
      <c r="E34" s="28">
        <f t="shared" si="0"/>
        <v>3.59</v>
      </c>
      <c r="F34" s="28">
        <f t="shared" si="0"/>
        <v>3.3</v>
      </c>
      <c r="G34" s="28">
        <f t="shared" si="0"/>
        <v>21</v>
      </c>
      <c r="H34" s="28">
        <f t="shared" si="0"/>
        <v>7.05</v>
      </c>
      <c r="I34" s="28">
        <f t="shared" si="0"/>
        <v>6.06</v>
      </c>
      <c r="J34" s="28">
        <f t="shared" si="0"/>
        <v>0.46</v>
      </c>
      <c r="K34" s="28">
        <f t="shared" si="0"/>
        <v>112.18</v>
      </c>
      <c r="L34" s="28">
        <f t="shared" si="0"/>
        <v>23.32</v>
      </c>
      <c r="M34" s="28">
        <f t="shared" si="0"/>
        <v>76.77</v>
      </c>
      <c r="N34" s="28">
        <f t="shared" si="0"/>
        <v>51.1</v>
      </c>
      <c r="O34" s="28">
        <f t="shared" si="0"/>
        <v>0</v>
      </c>
      <c r="P34" s="28">
        <f t="shared" si="0"/>
        <v>0.36</v>
      </c>
      <c r="Q34" s="28">
        <f t="shared" si="0"/>
        <v>9.2899999999999991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8.7200000000000006</v>
      </c>
      <c r="C35" s="29">
        <f t="shared" si="1"/>
        <v>3.94</v>
      </c>
      <c r="D35" s="29">
        <f t="shared" si="1"/>
        <v>12.82</v>
      </c>
      <c r="E35" s="29">
        <f t="shared" si="1"/>
        <v>4.84</v>
      </c>
      <c r="F35" s="29">
        <f t="shared" si="1"/>
        <v>5.04</v>
      </c>
      <c r="G35" s="29">
        <f t="shared" si="1"/>
        <v>47.26</v>
      </c>
      <c r="H35" s="29">
        <f t="shared" si="1"/>
        <v>22.04</v>
      </c>
      <c r="I35" s="29">
        <f t="shared" si="1"/>
        <v>9.9600000000000009</v>
      </c>
      <c r="J35" s="29">
        <f t="shared" si="1"/>
        <v>2.06</v>
      </c>
      <c r="K35" s="29">
        <f t="shared" si="1"/>
        <v>359.82</v>
      </c>
      <c r="L35" s="29">
        <f t="shared" si="1"/>
        <v>29.75</v>
      </c>
      <c r="M35" s="29">
        <f t="shared" si="1"/>
        <v>99.08</v>
      </c>
      <c r="N35" s="29">
        <f t="shared" si="1"/>
        <v>1151.5</v>
      </c>
      <c r="O35" s="29">
        <f t="shared" si="1"/>
        <v>4.8</v>
      </c>
      <c r="P35" s="29">
        <f t="shared" si="1"/>
        <v>0.93</v>
      </c>
      <c r="Q35" s="29">
        <f t="shared" si="1"/>
        <v>9.9600000000000009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8.420416666666668</v>
      </c>
      <c r="C36" s="28">
        <f t="shared" si="2"/>
        <v>3.3829166666666666</v>
      </c>
      <c r="D36" s="28">
        <f t="shared" si="2"/>
        <v>12.293750000000001</v>
      </c>
      <c r="E36" s="28">
        <f t="shared" si="2"/>
        <v>4.1029166666666663</v>
      </c>
      <c r="F36" s="28">
        <f t="shared" si="2"/>
        <v>3.899999999999999</v>
      </c>
      <c r="G36" s="28">
        <f t="shared" si="2"/>
        <v>33.423333333333332</v>
      </c>
      <c r="H36" s="28">
        <f t="shared" si="2"/>
        <v>12.863750000000001</v>
      </c>
      <c r="I36" s="28">
        <f t="shared" si="2"/>
        <v>7.91</v>
      </c>
      <c r="J36" s="28">
        <f t="shared" si="2"/>
        <v>1.1916666666666667</v>
      </c>
      <c r="K36" s="28">
        <f t="shared" si="2"/>
        <v>235.84749999999997</v>
      </c>
      <c r="L36" s="28">
        <f t="shared" si="2"/>
        <v>25.949583333333333</v>
      </c>
      <c r="M36" s="28">
        <f t="shared" si="2"/>
        <v>94.400833333333352</v>
      </c>
      <c r="N36" s="28">
        <f t="shared" si="2"/>
        <v>351.32083333333338</v>
      </c>
      <c r="O36" s="28">
        <f t="shared" si="2"/>
        <v>0.24166666666666667</v>
      </c>
      <c r="P36" s="28">
        <f t="shared" si="2"/>
        <v>0.61041666666666661</v>
      </c>
      <c r="Q36" s="28">
        <f t="shared" si="2"/>
        <v>9.6812500000000004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8.4053769885021126E-2</v>
      </c>
      <c r="C37" s="28">
        <f t="shared" ref="C37:Q37" si="3">STDEV(C9:C32)</f>
        <v>0.15677397650804464</v>
      </c>
      <c r="D37" s="28">
        <f t="shared" si="3"/>
        <v>0.145626457820656</v>
      </c>
      <c r="E37" s="28">
        <f t="shared" si="3"/>
        <v>0.36988222763312184</v>
      </c>
      <c r="F37" s="28">
        <f t="shared" si="3"/>
        <v>0.45763095061035164</v>
      </c>
      <c r="G37" s="28">
        <f t="shared" si="3"/>
        <v>8.4585679056500283</v>
      </c>
      <c r="H37" s="28">
        <f t="shared" si="3"/>
        <v>4.660951398028363</v>
      </c>
      <c r="I37" s="28">
        <f t="shared" si="3"/>
        <v>1.0276947609767801</v>
      </c>
      <c r="J37" s="28">
        <f t="shared" si="3"/>
        <v>0.51256954282505374</v>
      </c>
      <c r="K37" s="28">
        <f t="shared" si="3"/>
        <v>105.41762760975786</v>
      </c>
      <c r="L37" s="28">
        <f t="shared" si="3"/>
        <v>2.1847643971409112</v>
      </c>
      <c r="M37" s="28">
        <f t="shared" si="3"/>
        <v>7.6326358297867802</v>
      </c>
      <c r="N37" s="28">
        <f t="shared" si="3"/>
        <v>374.5801429068884</v>
      </c>
      <c r="O37" s="28">
        <f t="shared" si="3"/>
        <v>0.97975891740360488</v>
      </c>
      <c r="P37" s="28">
        <f t="shared" si="3"/>
        <v>0.18037350539720498</v>
      </c>
      <c r="Q37" s="28">
        <f t="shared" si="3"/>
        <v>0.17725718235279572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461</v>
      </c>
      <c r="B9" s="54">
        <v>8.4</v>
      </c>
      <c r="C9" s="54">
        <v>3.29</v>
      </c>
      <c r="D9" s="54">
        <v>12.23</v>
      </c>
      <c r="E9" s="54">
        <v>3.95</v>
      </c>
      <c r="F9" s="54">
        <v>4.21</v>
      </c>
      <c r="G9" s="54">
        <v>22.4</v>
      </c>
      <c r="H9" s="54">
        <v>8.1300000000000008</v>
      </c>
      <c r="I9" s="54">
        <v>7.18</v>
      </c>
      <c r="J9" s="54">
        <v>0.41</v>
      </c>
      <c r="K9" s="54">
        <v>333.82</v>
      </c>
      <c r="L9" s="54">
        <v>24.31</v>
      </c>
      <c r="M9" s="54">
        <v>99.03</v>
      </c>
      <c r="N9" s="54">
        <v>116.6</v>
      </c>
      <c r="O9" s="54">
        <v>0</v>
      </c>
      <c r="P9" s="54">
        <v>0.71</v>
      </c>
      <c r="Q9" s="54">
        <v>9.83</v>
      </c>
      <c r="R9" s="43"/>
      <c r="S9" s="43"/>
      <c r="T9" s="43"/>
      <c r="U9" s="43"/>
    </row>
    <row r="10" spans="1:21" s="11" customFormat="1" x14ac:dyDescent="0.25">
      <c r="A10" s="53" t="s">
        <v>462</v>
      </c>
      <c r="B10" s="54">
        <v>8.39</v>
      </c>
      <c r="C10" s="54">
        <v>3.36</v>
      </c>
      <c r="D10" s="54">
        <v>12.26</v>
      </c>
      <c r="E10" s="54">
        <v>3.8</v>
      </c>
      <c r="F10" s="54">
        <v>4.3099999999999996</v>
      </c>
      <c r="G10" s="54">
        <v>22.38</v>
      </c>
      <c r="H10" s="54">
        <v>8.1300000000000008</v>
      </c>
      <c r="I10" s="54">
        <v>6.57</v>
      </c>
      <c r="J10" s="54">
        <v>0.21</v>
      </c>
      <c r="K10" s="54">
        <v>342.43</v>
      </c>
      <c r="L10" s="54">
        <v>24.26</v>
      </c>
      <c r="M10" s="54">
        <v>99.03</v>
      </c>
      <c r="N10" s="54">
        <v>118.1</v>
      </c>
      <c r="O10" s="54">
        <v>0</v>
      </c>
      <c r="P10" s="54">
        <v>0.55000000000000004</v>
      </c>
      <c r="Q10" s="54">
        <v>9.7200000000000006</v>
      </c>
      <c r="R10" s="43"/>
      <c r="S10" s="43"/>
      <c r="T10" s="43"/>
      <c r="U10" s="43"/>
    </row>
    <row r="11" spans="1:21" s="11" customFormat="1" x14ac:dyDescent="0.25">
      <c r="A11" s="53" t="s">
        <v>463</v>
      </c>
      <c r="B11" s="54">
        <v>8.3000000000000007</v>
      </c>
      <c r="C11" s="54">
        <v>3.19</v>
      </c>
      <c r="D11" s="54">
        <v>12.1</v>
      </c>
      <c r="E11" s="54">
        <v>4.5</v>
      </c>
      <c r="F11" s="54">
        <v>6.13</v>
      </c>
      <c r="G11" s="54">
        <v>19.079999999999998</v>
      </c>
      <c r="H11" s="54">
        <v>6.1</v>
      </c>
      <c r="I11" s="54">
        <v>5.93</v>
      </c>
      <c r="J11" s="54">
        <v>0.67</v>
      </c>
      <c r="K11" s="54">
        <v>344.4</v>
      </c>
      <c r="L11" s="54">
        <v>24.08</v>
      </c>
      <c r="M11" s="54">
        <v>99.05</v>
      </c>
      <c r="N11" s="54">
        <v>118.2</v>
      </c>
      <c r="O11" s="54">
        <v>0</v>
      </c>
      <c r="P11" s="54">
        <v>0.53</v>
      </c>
      <c r="Q11" s="54">
        <v>9.6</v>
      </c>
      <c r="R11" s="43"/>
      <c r="S11" s="43"/>
      <c r="T11" s="43"/>
      <c r="U11" s="43"/>
    </row>
    <row r="12" spans="1:21" s="11" customFormat="1" x14ac:dyDescent="0.25">
      <c r="A12" s="53" t="s">
        <v>464</v>
      </c>
      <c r="B12" s="54">
        <v>8.5399999999999991</v>
      </c>
      <c r="C12" s="54">
        <v>3.57</v>
      </c>
      <c r="D12" s="54">
        <v>12.48</v>
      </c>
      <c r="E12" s="54">
        <v>4.41</v>
      </c>
      <c r="F12" s="54">
        <v>4.01</v>
      </c>
      <c r="G12" s="54">
        <v>19.079999999999998</v>
      </c>
      <c r="H12" s="54">
        <v>4.2699999999999996</v>
      </c>
      <c r="I12" s="54">
        <v>6.22</v>
      </c>
      <c r="J12" s="54">
        <v>0.43</v>
      </c>
      <c r="K12" s="54">
        <v>222.15</v>
      </c>
      <c r="L12" s="54">
        <v>23.83</v>
      </c>
      <c r="M12" s="54">
        <v>99.05</v>
      </c>
      <c r="N12" s="54">
        <v>118.1</v>
      </c>
      <c r="O12" s="54">
        <v>0</v>
      </c>
      <c r="P12" s="54">
        <v>0.48</v>
      </c>
      <c r="Q12" s="54">
        <v>9.81</v>
      </c>
      <c r="R12" s="43"/>
      <c r="S12" s="43"/>
      <c r="T12" s="43"/>
      <c r="U12" s="43"/>
    </row>
    <row r="13" spans="1:21" s="11" customFormat="1" x14ac:dyDescent="0.25">
      <c r="A13" s="53" t="s">
        <v>465</v>
      </c>
      <c r="B13" s="54">
        <v>8.34</v>
      </c>
      <c r="C13" s="54">
        <v>3.19</v>
      </c>
      <c r="D13" s="54">
        <v>12.13</v>
      </c>
      <c r="E13" s="54">
        <v>4.9000000000000004</v>
      </c>
      <c r="F13" s="54">
        <v>3.63</v>
      </c>
      <c r="G13" s="54">
        <v>17.71</v>
      </c>
      <c r="H13" s="54">
        <v>4.29</v>
      </c>
      <c r="I13" s="54">
        <v>6.61</v>
      </c>
      <c r="J13" s="54">
        <v>0.8</v>
      </c>
      <c r="K13" s="54">
        <v>217.94</v>
      </c>
      <c r="L13" s="54">
        <v>23.65</v>
      </c>
      <c r="M13" s="54">
        <v>99.05</v>
      </c>
      <c r="N13" s="54">
        <v>117.9</v>
      </c>
      <c r="O13" s="54">
        <v>0</v>
      </c>
      <c r="P13" s="54">
        <v>0.43</v>
      </c>
      <c r="Q13" s="54">
        <v>9.83</v>
      </c>
      <c r="R13" s="43"/>
      <c r="S13" s="43"/>
      <c r="T13" s="43"/>
      <c r="U13" s="43"/>
    </row>
    <row r="14" spans="1:21" s="11" customFormat="1" x14ac:dyDescent="0.25">
      <c r="A14" s="53" t="s">
        <v>466</v>
      </c>
      <c r="B14" s="54">
        <v>8.34</v>
      </c>
      <c r="C14" s="54">
        <v>3.27</v>
      </c>
      <c r="D14" s="54">
        <v>12.17</v>
      </c>
      <c r="E14" s="54">
        <v>4.59</v>
      </c>
      <c r="F14" s="54">
        <v>3.66</v>
      </c>
      <c r="G14" s="54">
        <v>15.44</v>
      </c>
      <c r="H14" s="54">
        <v>4.29</v>
      </c>
      <c r="I14" s="54">
        <v>6.64</v>
      </c>
      <c r="J14" s="54">
        <v>0.39</v>
      </c>
      <c r="K14" s="54">
        <v>341.92</v>
      </c>
      <c r="L14" s="54">
        <v>23.9</v>
      </c>
      <c r="M14" s="54">
        <v>99.05</v>
      </c>
      <c r="N14" s="54">
        <v>145.80000000000001</v>
      </c>
      <c r="O14" s="54">
        <v>0</v>
      </c>
      <c r="P14" s="54">
        <v>0.4</v>
      </c>
      <c r="Q14" s="54">
        <v>9.69</v>
      </c>
      <c r="R14" s="43"/>
      <c r="S14" s="43"/>
      <c r="T14" s="43"/>
      <c r="U14" s="43"/>
    </row>
    <row r="15" spans="1:21" s="11" customFormat="1" x14ac:dyDescent="0.25">
      <c r="A15" s="53" t="s">
        <v>467</v>
      </c>
      <c r="B15" s="54">
        <v>8.36</v>
      </c>
      <c r="C15" s="54">
        <v>3.29</v>
      </c>
      <c r="D15" s="54">
        <v>12.2</v>
      </c>
      <c r="E15" s="54">
        <v>4.8600000000000003</v>
      </c>
      <c r="F15" s="54">
        <v>3.99</v>
      </c>
      <c r="G15" s="54">
        <v>15.44</v>
      </c>
      <c r="H15" s="54">
        <v>4.16</v>
      </c>
      <c r="I15" s="54">
        <v>6.17</v>
      </c>
      <c r="J15" s="54">
        <v>0.39</v>
      </c>
      <c r="K15" s="54">
        <v>330.17</v>
      </c>
      <c r="L15" s="54">
        <v>24.42</v>
      </c>
      <c r="M15" s="54">
        <v>99.03</v>
      </c>
      <c r="N15" s="54">
        <v>239.8</v>
      </c>
      <c r="O15" s="54">
        <v>0</v>
      </c>
      <c r="P15" s="54">
        <v>0.38</v>
      </c>
      <c r="Q15" s="54">
        <v>9.59</v>
      </c>
      <c r="R15" s="43"/>
      <c r="S15" s="43"/>
      <c r="T15" s="43"/>
      <c r="U15" s="43"/>
    </row>
    <row r="16" spans="1:21" s="11" customFormat="1" x14ac:dyDescent="0.25">
      <c r="A16" s="53" t="s">
        <v>468</v>
      </c>
      <c r="B16" s="54">
        <v>8.36</v>
      </c>
      <c r="C16" s="54">
        <v>3.28</v>
      </c>
      <c r="D16" s="54">
        <v>12.19</v>
      </c>
      <c r="E16" s="54">
        <v>4.84</v>
      </c>
      <c r="F16" s="54">
        <v>3.53</v>
      </c>
      <c r="G16" s="54">
        <v>13.96</v>
      </c>
      <c r="H16" s="54">
        <v>5.54</v>
      </c>
      <c r="I16" s="54">
        <v>5.69</v>
      </c>
      <c r="J16" s="54">
        <v>0.56000000000000005</v>
      </c>
      <c r="K16" s="54">
        <v>353.35</v>
      </c>
      <c r="L16" s="54">
        <v>25.99</v>
      </c>
      <c r="M16" s="54">
        <v>99</v>
      </c>
      <c r="N16" s="54">
        <v>541.5</v>
      </c>
      <c r="O16" s="54">
        <v>0</v>
      </c>
      <c r="P16" s="54">
        <v>0.39</v>
      </c>
      <c r="Q16" s="54">
        <v>9.5</v>
      </c>
      <c r="R16" s="43"/>
      <c r="S16" s="43"/>
      <c r="T16" s="43"/>
      <c r="U16" s="43"/>
    </row>
    <row r="17" spans="1:21" s="11" customFormat="1" x14ac:dyDescent="0.25">
      <c r="A17" s="53" t="s">
        <v>469</v>
      </c>
      <c r="B17" s="54">
        <v>8.3699999999999992</v>
      </c>
      <c r="C17" s="54">
        <v>3.23</v>
      </c>
      <c r="D17" s="54">
        <v>12.17</v>
      </c>
      <c r="E17" s="54">
        <v>5.07</v>
      </c>
      <c r="F17" s="54">
        <v>3.66</v>
      </c>
      <c r="G17" s="54">
        <v>21.95</v>
      </c>
      <c r="H17" s="54">
        <v>5.8</v>
      </c>
      <c r="I17" s="54">
        <v>4.8099999999999996</v>
      </c>
      <c r="J17" s="54">
        <v>0.46</v>
      </c>
      <c r="K17" s="54">
        <v>344.79</v>
      </c>
      <c r="L17" s="54">
        <v>26.39</v>
      </c>
      <c r="M17" s="54">
        <v>98.99</v>
      </c>
      <c r="N17" s="54">
        <v>383.3</v>
      </c>
      <c r="O17" s="54">
        <v>1.2</v>
      </c>
      <c r="P17" s="54">
        <v>0.39</v>
      </c>
      <c r="Q17" s="54">
        <v>9.4700000000000006</v>
      </c>
      <c r="R17" s="43"/>
      <c r="S17" s="43"/>
      <c r="T17" s="43"/>
      <c r="U17" s="43"/>
    </row>
    <row r="18" spans="1:21" s="11" customFormat="1" x14ac:dyDescent="0.25">
      <c r="A18" s="53" t="s">
        <v>470</v>
      </c>
      <c r="B18" s="54">
        <v>8.3800000000000008</v>
      </c>
      <c r="C18" s="54">
        <v>3.3</v>
      </c>
      <c r="D18" s="54">
        <v>12.2</v>
      </c>
      <c r="E18" s="54">
        <v>5.25</v>
      </c>
      <c r="F18" s="54">
        <v>4.22</v>
      </c>
      <c r="G18" s="54">
        <v>25.05</v>
      </c>
      <c r="H18" s="54">
        <v>8.9499999999999993</v>
      </c>
      <c r="I18" s="54">
        <v>4.18</v>
      </c>
      <c r="J18" s="54">
        <v>0.74</v>
      </c>
      <c r="K18" s="54">
        <v>328.94</v>
      </c>
      <c r="L18" s="54">
        <v>26.85</v>
      </c>
      <c r="M18" s="54">
        <v>99</v>
      </c>
      <c r="N18" s="54">
        <v>631.70000000000005</v>
      </c>
      <c r="O18" s="54">
        <v>0.2</v>
      </c>
      <c r="P18" s="54">
        <v>0.42</v>
      </c>
      <c r="Q18" s="54">
        <v>9.48</v>
      </c>
      <c r="R18" s="43"/>
      <c r="S18" s="43"/>
      <c r="T18" s="43"/>
      <c r="U18" s="43"/>
    </row>
    <row r="19" spans="1:21" s="11" customFormat="1" x14ac:dyDescent="0.25">
      <c r="A19" s="53" t="s">
        <v>471</v>
      </c>
      <c r="B19" s="54">
        <v>8.36</v>
      </c>
      <c r="C19" s="54">
        <v>3.26</v>
      </c>
      <c r="D19" s="54">
        <v>12.18</v>
      </c>
      <c r="E19" s="54">
        <v>4.9800000000000004</v>
      </c>
      <c r="F19" s="54">
        <v>9.48</v>
      </c>
      <c r="G19" s="54">
        <v>28.88</v>
      </c>
      <c r="H19" s="54">
        <v>9.17</v>
      </c>
      <c r="I19" s="54">
        <v>4.3499999999999996</v>
      </c>
      <c r="J19" s="54">
        <v>0.9</v>
      </c>
      <c r="K19" s="54">
        <v>347.32</v>
      </c>
      <c r="L19" s="54">
        <v>31.51</v>
      </c>
      <c r="M19" s="54">
        <v>93.05</v>
      </c>
      <c r="N19" s="54">
        <v>1149</v>
      </c>
      <c r="O19" s="54">
        <v>0</v>
      </c>
      <c r="P19" s="54">
        <v>0.49</v>
      </c>
      <c r="Q19" s="54">
        <v>9.4700000000000006</v>
      </c>
      <c r="R19" s="43"/>
      <c r="S19" s="43"/>
      <c r="T19" s="43"/>
      <c r="U19" s="43"/>
    </row>
    <row r="20" spans="1:21" s="11" customFormat="1" x14ac:dyDescent="0.25">
      <c r="A20" s="53" t="s">
        <v>472</v>
      </c>
      <c r="B20" s="54">
        <v>8.31</v>
      </c>
      <c r="C20" s="54">
        <v>3.22</v>
      </c>
      <c r="D20" s="54">
        <v>12.12</v>
      </c>
      <c r="E20" s="54">
        <v>5.0999999999999996</v>
      </c>
      <c r="F20" s="54">
        <v>6.55</v>
      </c>
      <c r="G20" s="54">
        <v>33.83</v>
      </c>
      <c r="H20" s="54">
        <v>9.17</v>
      </c>
      <c r="I20" s="54">
        <v>4.1500000000000004</v>
      </c>
      <c r="J20" s="54">
        <v>0.81</v>
      </c>
      <c r="K20" s="54">
        <v>346.49</v>
      </c>
      <c r="L20" s="54">
        <v>32.93</v>
      </c>
      <c r="M20" s="54">
        <v>70.55</v>
      </c>
      <c r="N20" s="54">
        <v>1197</v>
      </c>
      <c r="O20" s="54">
        <v>0</v>
      </c>
      <c r="P20" s="54">
        <v>0.5</v>
      </c>
      <c r="Q20" s="54">
        <v>9.34</v>
      </c>
      <c r="R20" s="43"/>
      <c r="S20" s="43"/>
      <c r="T20" s="43"/>
      <c r="U20" s="43"/>
    </row>
    <row r="21" spans="1:21" s="11" customFormat="1" x14ac:dyDescent="0.25">
      <c r="A21" s="53" t="s">
        <v>473</v>
      </c>
      <c r="B21" s="54">
        <v>8.33</v>
      </c>
      <c r="C21" s="54">
        <v>3.46</v>
      </c>
      <c r="D21" s="54">
        <v>12.26</v>
      </c>
      <c r="E21" s="54">
        <v>4.46</v>
      </c>
      <c r="F21" s="54">
        <v>7.98</v>
      </c>
      <c r="G21" s="54">
        <v>39.14</v>
      </c>
      <c r="H21" s="54">
        <v>8.8800000000000008</v>
      </c>
      <c r="I21" s="54">
        <v>4.5599999999999996</v>
      </c>
      <c r="J21" s="54">
        <v>2</v>
      </c>
      <c r="K21" s="54">
        <v>339.38</v>
      </c>
      <c r="L21" s="54">
        <v>34</v>
      </c>
      <c r="M21" s="54">
        <v>71.349999999999994</v>
      </c>
      <c r="N21" s="54">
        <v>943.7</v>
      </c>
      <c r="O21" s="54">
        <v>0</v>
      </c>
      <c r="P21" s="54">
        <v>0.51</v>
      </c>
      <c r="Q21" s="54">
        <v>9.3699999999999992</v>
      </c>
      <c r="R21" s="43"/>
      <c r="S21" s="43"/>
      <c r="T21" s="43"/>
      <c r="U21" s="43"/>
    </row>
    <row r="22" spans="1:21" s="11" customFormat="1" x14ac:dyDescent="0.25">
      <c r="A22" s="53" t="s">
        <v>474</v>
      </c>
      <c r="B22" s="54">
        <v>8.34</v>
      </c>
      <c r="C22" s="54">
        <v>3.31</v>
      </c>
      <c r="D22" s="54">
        <v>12.19</v>
      </c>
      <c r="E22" s="54">
        <v>4.7300000000000004</v>
      </c>
      <c r="F22" s="54">
        <v>7.73</v>
      </c>
      <c r="G22" s="54">
        <v>59.33</v>
      </c>
      <c r="H22" s="54">
        <v>21.1</v>
      </c>
      <c r="I22" s="54">
        <v>4.1900000000000004</v>
      </c>
      <c r="J22" s="54">
        <v>1.93</v>
      </c>
      <c r="K22" s="54">
        <v>337.32</v>
      </c>
      <c r="L22" s="54">
        <v>29.13</v>
      </c>
      <c r="M22" s="54">
        <v>99.05</v>
      </c>
      <c r="N22" s="54">
        <v>159.19999999999999</v>
      </c>
      <c r="O22" s="54">
        <v>5</v>
      </c>
      <c r="P22" s="54">
        <v>0.56000000000000005</v>
      </c>
      <c r="Q22" s="54">
        <v>9.5299999999999994</v>
      </c>
      <c r="R22" s="43"/>
      <c r="S22" s="43"/>
      <c r="T22" s="43"/>
      <c r="U22" s="43"/>
    </row>
    <row r="23" spans="1:21" s="11" customFormat="1" x14ac:dyDescent="0.25">
      <c r="A23" s="53" t="s">
        <v>475</v>
      </c>
      <c r="B23" s="54">
        <v>8.33</v>
      </c>
      <c r="C23" s="54">
        <v>3.33</v>
      </c>
      <c r="D23" s="54">
        <v>12.2</v>
      </c>
      <c r="E23" s="54">
        <v>4.58</v>
      </c>
      <c r="F23" s="54">
        <v>3.87</v>
      </c>
      <c r="G23" s="54">
        <v>59.33</v>
      </c>
      <c r="H23" s="54">
        <v>21.1</v>
      </c>
      <c r="I23" s="54">
        <v>5.04</v>
      </c>
      <c r="J23" s="54">
        <v>1.26</v>
      </c>
      <c r="K23" s="54">
        <v>336.51</v>
      </c>
      <c r="L23" s="54">
        <v>23.75</v>
      </c>
      <c r="M23" s="54">
        <v>99.06</v>
      </c>
      <c r="N23" s="54">
        <v>266.10000000000002</v>
      </c>
      <c r="O23" s="54">
        <v>0.2</v>
      </c>
      <c r="P23" s="54">
        <v>0.53</v>
      </c>
      <c r="Q23" s="54">
        <v>9.59</v>
      </c>
      <c r="R23" s="43"/>
      <c r="S23" s="43"/>
      <c r="T23" s="43"/>
      <c r="U23" s="43"/>
    </row>
    <row r="24" spans="1:21" s="11" customFormat="1" x14ac:dyDescent="0.25">
      <c r="A24" s="53" t="s">
        <v>476</v>
      </c>
      <c r="B24" s="54">
        <v>8.35</v>
      </c>
      <c r="C24" s="54">
        <v>3.27</v>
      </c>
      <c r="D24" s="54">
        <v>12.18</v>
      </c>
      <c r="E24" s="54">
        <v>4.6399999999999997</v>
      </c>
      <c r="F24" s="54">
        <v>4.1500000000000004</v>
      </c>
      <c r="G24" s="54">
        <v>36.020000000000003</v>
      </c>
      <c r="H24" s="54">
        <v>17.36</v>
      </c>
      <c r="I24" s="54">
        <v>5.14</v>
      </c>
      <c r="J24" s="54">
        <v>1.19</v>
      </c>
      <c r="K24" s="54">
        <v>352.5</v>
      </c>
      <c r="L24" s="54">
        <v>24.19</v>
      </c>
      <c r="M24" s="54">
        <v>99.08</v>
      </c>
      <c r="N24" s="54">
        <v>228.2</v>
      </c>
      <c r="O24" s="54">
        <v>0.2</v>
      </c>
      <c r="P24" s="54">
        <v>0.52</v>
      </c>
      <c r="Q24" s="54">
        <v>9.64</v>
      </c>
      <c r="R24" s="43"/>
      <c r="S24" s="43"/>
      <c r="T24" s="43"/>
      <c r="U24" s="43"/>
    </row>
    <row r="25" spans="1:21" s="11" customFormat="1" x14ac:dyDescent="0.25">
      <c r="A25" s="53" t="s">
        <v>477</v>
      </c>
      <c r="B25" s="54">
        <v>8.0500000000000007</v>
      </c>
      <c r="C25" s="54">
        <v>3.21</v>
      </c>
      <c r="D25" s="54">
        <v>11.91</v>
      </c>
      <c r="E25" s="54">
        <v>4.97</v>
      </c>
      <c r="F25" s="54">
        <v>4.24</v>
      </c>
      <c r="G25" s="54">
        <v>19.809999999999999</v>
      </c>
      <c r="H25" s="54">
        <v>12.16</v>
      </c>
      <c r="I25" s="54">
        <v>4.99</v>
      </c>
      <c r="J25" s="54">
        <v>0.43</v>
      </c>
      <c r="K25" s="54">
        <v>340.52</v>
      </c>
      <c r="L25" s="54">
        <v>25.03</v>
      </c>
      <c r="M25" s="54">
        <v>99.05</v>
      </c>
      <c r="N25" s="54">
        <v>215.2</v>
      </c>
      <c r="O25" s="54">
        <v>0</v>
      </c>
      <c r="P25" s="54">
        <v>0.5</v>
      </c>
      <c r="Q25" s="54">
        <v>9.36</v>
      </c>
      <c r="R25" s="43"/>
      <c r="S25" s="43"/>
      <c r="T25" s="43"/>
      <c r="U25" s="43"/>
    </row>
    <row r="26" spans="1:21" s="11" customFormat="1" x14ac:dyDescent="0.25">
      <c r="A26" s="53" t="s">
        <v>478</v>
      </c>
      <c r="B26" s="54">
        <v>8.1</v>
      </c>
      <c r="C26" s="54">
        <v>3.21</v>
      </c>
      <c r="D26" s="54">
        <v>11.95</v>
      </c>
      <c r="E26" s="54">
        <v>4.0999999999999996</v>
      </c>
      <c r="F26" s="54">
        <v>3.88</v>
      </c>
      <c r="G26" s="54">
        <v>19.21</v>
      </c>
      <c r="H26" s="54">
        <v>11.2</v>
      </c>
      <c r="I26" s="54">
        <v>4.08</v>
      </c>
      <c r="J26" s="54">
        <v>0.25</v>
      </c>
      <c r="K26" s="54">
        <v>336.97</v>
      </c>
      <c r="L26" s="54">
        <v>25.01</v>
      </c>
      <c r="M26" s="54">
        <v>99.01</v>
      </c>
      <c r="N26" s="54">
        <v>155.9</v>
      </c>
      <c r="O26" s="54">
        <v>0</v>
      </c>
      <c r="P26" s="54">
        <v>0.44</v>
      </c>
      <c r="Q26" s="54">
        <v>9.67</v>
      </c>
      <c r="R26" s="43"/>
      <c r="S26" s="43"/>
      <c r="T26" s="43"/>
      <c r="U26" s="43"/>
    </row>
    <row r="27" spans="1:21" s="11" customFormat="1" x14ac:dyDescent="0.25">
      <c r="A27" s="53" t="s">
        <v>479</v>
      </c>
      <c r="B27" s="54">
        <v>8.07</v>
      </c>
      <c r="C27" s="54">
        <v>3.13</v>
      </c>
      <c r="D27" s="54">
        <v>11.87</v>
      </c>
      <c r="E27" s="54">
        <v>4.0199999999999996</v>
      </c>
      <c r="F27" s="54">
        <v>3.69</v>
      </c>
      <c r="G27" s="54">
        <v>21.34</v>
      </c>
      <c r="H27" s="54">
        <v>11.65</v>
      </c>
      <c r="I27" s="54">
        <v>4.17</v>
      </c>
      <c r="J27" s="54">
        <v>0.37</v>
      </c>
      <c r="K27" s="54">
        <v>354.19</v>
      </c>
      <c r="L27" s="54">
        <v>24.58</v>
      </c>
      <c r="M27" s="54">
        <v>99.03</v>
      </c>
      <c r="N27" s="54">
        <v>96.8</v>
      </c>
      <c r="O27" s="54">
        <v>0</v>
      </c>
      <c r="P27" s="54">
        <v>0.43</v>
      </c>
      <c r="Q27" s="54">
        <v>9.7200000000000006</v>
      </c>
      <c r="R27" s="43"/>
      <c r="S27" s="43"/>
      <c r="T27" s="43"/>
      <c r="U27" s="43"/>
    </row>
    <row r="28" spans="1:21" s="11" customFormat="1" x14ac:dyDescent="0.25">
      <c r="A28" s="53" t="s">
        <v>480</v>
      </c>
      <c r="B28" s="54">
        <v>8.06</v>
      </c>
      <c r="C28" s="54">
        <v>3.08</v>
      </c>
      <c r="D28" s="54">
        <v>11.84</v>
      </c>
      <c r="E28" s="54">
        <v>4.7300000000000004</v>
      </c>
      <c r="F28" s="54">
        <v>4.07</v>
      </c>
      <c r="G28" s="54">
        <v>22.4</v>
      </c>
      <c r="H28" s="54">
        <v>11.65</v>
      </c>
      <c r="I28" s="54">
        <v>4.1100000000000003</v>
      </c>
      <c r="J28" s="54">
        <v>0.56000000000000005</v>
      </c>
      <c r="K28" s="54">
        <v>352.09</v>
      </c>
      <c r="L28" s="54">
        <v>24.23</v>
      </c>
      <c r="M28" s="54">
        <v>99.03</v>
      </c>
      <c r="N28" s="54">
        <v>77.8</v>
      </c>
      <c r="O28" s="54">
        <v>0</v>
      </c>
      <c r="P28" s="54">
        <v>0.46</v>
      </c>
      <c r="Q28" s="54">
        <v>9.69</v>
      </c>
      <c r="R28" s="43"/>
      <c r="S28" s="43"/>
      <c r="T28" s="43"/>
      <c r="U28" s="43"/>
    </row>
    <row r="29" spans="1:21" s="11" customFormat="1" x14ac:dyDescent="0.25">
      <c r="A29" s="53" t="s">
        <v>481</v>
      </c>
      <c r="B29" s="54">
        <v>8.08</v>
      </c>
      <c r="C29" s="54">
        <v>3.18</v>
      </c>
      <c r="D29" s="54">
        <v>11.92</v>
      </c>
      <c r="E29" s="54">
        <v>5.48</v>
      </c>
      <c r="F29" s="54">
        <v>4.1399999999999997</v>
      </c>
      <c r="G29" s="54">
        <v>22.43</v>
      </c>
      <c r="H29" s="54">
        <v>8.61</v>
      </c>
      <c r="I29" s="54">
        <v>3.58</v>
      </c>
      <c r="J29" s="54">
        <v>0.46</v>
      </c>
      <c r="K29" s="54">
        <v>356.75</v>
      </c>
      <c r="L29" s="54">
        <v>23.94</v>
      </c>
      <c r="M29" s="54">
        <v>99.03</v>
      </c>
      <c r="N29" s="54">
        <v>77.599999999999994</v>
      </c>
      <c r="O29" s="54">
        <v>0</v>
      </c>
      <c r="P29" s="54">
        <v>0.47</v>
      </c>
      <c r="Q29" s="54">
        <v>9.6</v>
      </c>
      <c r="R29" s="43"/>
      <c r="S29" s="43"/>
      <c r="T29" s="43"/>
      <c r="U29" s="43"/>
    </row>
    <row r="30" spans="1:21" s="11" customFormat="1" x14ac:dyDescent="0.25">
      <c r="A30" s="53" t="s">
        <v>482</v>
      </c>
      <c r="B30" s="54">
        <v>8.09</v>
      </c>
      <c r="C30" s="54">
        <v>3.18</v>
      </c>
      <c r="D30" s="54">
        <v>11.92</v>
      </c>
      <c r="E30" s="54">
        <v>5.24</v>
      </c>
      <c r="F30" s="54">
        <v>3.32</v>
      </c>
      <c r="G30" s="54">
        <v>22.43</v>
      </c>
      <c r="H30" s="54">
        <v>6.04</v>
      </c>
      <c r="I30" s="54">
        <v>3.55</v>
      </c>
      <c r="J30" s="54">
        <v>0.46</v>
      </c>
      <c r="K30" s="54">
        <v>349</v>
      </c>
      <c r="L30" s="54">
        <v>23.92</v>
      </c>
      <c r="M30" s="54">
        <v>99.03</v>
      </c>
      <c r="N30" s="54">
        <v>77.8</v>
      </c>
      <c r="O30" s="54">
        <v>0</v>
      </c>
      <c r="P30" s="54">
        <v>0.47</v>
      </c>
      <c r="Q30" s="54">
        <v>9.5299999999999994</v>
      </c>
      <c r="R30" s="43"/>
      <c r="S30" s="43"/>
      <c r="T30" s="43"/>
      <c r="U30" s="43"/>
    </row>
    <row r="31" spans="1:21" s="11" customFormat="1" x14ac:dyDescent="0.25">
      <c r="A31" s="53" t="s">
        <v>483</v>
      </c>
      <c r="B31" s="54">
        <v>8.11</v>
      </c>
      <c r="C31" s="54">
        <v>3.15</v>
      </c>
      <c r="D31" s="54">
        <v>11.92</v>
      </c>
      <c r="E31" s="54">
        <v>5.55</v>
      </c>
      <c r="F31" s="54">
        <v>3.62</v>
      </c>
      <c r="G31" s="54">
        <v>19.13</v>
      </c>
      <c r="H31" s="54">
        <v>5.08</v>
      </c>
      <c r="I31" s="54">
        <v>4.29</v>
      </c>
      <c r="J31" s="54">
        <v>0.39</v>
      </c>
      <c r="K31" s="54">
        <v>345.05</v>
      </c>
      <c r="L31" s="54">
        <v>23.78</v>
      </c>
      <c r="M31" s="54">
        <v>99.03</v>
      </c>
      <c r="N31" s="54">
        <v>77.8</v>
      </c>
      <c r="O31" s="54">
        <v>0</v>
      </c>
      <c r="P31" s="54">
        <v>0.46</v>
      </c>
      <c r="Q31" s="54">
        <v>9.5399999999999991</v>
      </c>
      <c r="R31" s="43"/>
      <c r="S31" s="43"/>
      <c r="T31" s="43"/>
      <c r="U31" s="43"/>
    </row>
    <row r="32" spans="1:21" s="11" customFormat="1" x14ac:dyDescent="0.25">
      <c r="A32" s="53" t="s">
        <v>484</v>
      </c>
      <c r="B32" s="54">
        <v>8.08</v>
      </c>
      <c r="C32" s="54">
        <v>3.15</v>
      </c>
      <c r="D32" s="54">
        <v>11.9</v>
      </c>
      <c r="E32" s="54">
        <v>5.28</v>
      </c>
      <c r="F32" s="54">
        <v>4.05</v>
      </c>
      <c r="G32" s="54">
        <v>16.39</v>
      </c>
      <c r="H32" s="54">
        <v>3.97</v>
      </c>
      <c r="I32" s="54">
        <v>4.4000000000000004</v>
      </c>
      <c r="J32" s="54">
        <v>0.52</v>
      </c>
      <c r="K32" s="54">
        <v>325.3</v>
      </c>
      <c r="L32" s="54">
        <v>23.71</v>
      </c>
      <c r="M32" s="54">
        <v>99.03</v>
      </c>
      <c r="N32" s="54">
        <v>78.3</v>
      </c>
      <c r="O32" s="54">
        <v>0</v>
      </c>
      <c r="P32" s="54">
        <v>0.43</v>
      </c>
      <c r="Q32" s="54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8.0500000000000007</v>
      </c>
      <c r="C34" s="28">
        <f t="shared" si="0"/>
        <v>3.08</v>
      </c>
      <c r="D34" s="28">
        <f t="shared" si="0"/>
        <v>11.84</v>
      </c>
      <c r="E34" s="28">
        <f t="shared" si="0"/>
        <v>3.8</v>
      </c>
      <c r="F34" s="28">
        <f t="shared" si="0"/>
        <v>3.32</v>
      </c>
      <c r="G34" s="28">
        <f t="shared" si="0"/>
        <v>13.96</v>
      </c>
      <c r="H34" s="28">
        <f t="shared" si="0"/>
        <v>3.97</v>
      </c>
      <c r="I34" s="28">
        <f t="shared" si="0"/>
        <v>3.55</v>
      </c>
      <c r="J34" s="28">
        <f t="shared" si="0"/>
        <v>0.21</v>
      </c>
      <c r="K34" s="28">
        <f t="shared" si="0"/>
        <v>217.94</v>
      </c>
      <c r="L34" s="28">
        <f t="shared" si="0"/>
        <v>23.65</v>
      </c>
      <c r="M34" s="28">
        <f t="shared" si="0"/>
        <v>70.55</v>
      </c>
      <c r="N34" s="28">
        <f t="shared" si="0"/>
        <v>77.599999999999994</v>
      </c>
      <c r="O34" s="28">
        <f t="shared" si="0"/>
        <v>0</v>
      </c>
      <c r="P34" s="28">
        <f t="shared" si="0"/>
        <v>0.38</v>
      </c>
      <c r="Q34" s="28">
        <f t="shared" si="0"/>
        <v>9.34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8.5399999999999991</v>
      </c>
      <c r="C35" s="29">
        <f t="shared" si="1"/>
        <v>3.57</v>
      </c>
      <c r="D35" s="29">
        <f t="shared" si="1"/>
        <v>12.48</v>
      </c>
      <c r="E35" s="29">
        <f t="shared" si="1"/>
        <v>5.55</v>
      </c>
      <c r="F35" s="29">
        <f t="shared" si="1"/>
        <v>9.48</v>
      </c>
      <c r="G35" s="29">
        <f t="shared" si="1"/>
        <v>59.33</v>
      </c>
      <c r="H35" s="29">
        <f t="shared" si="1"/>
        <v>21.1</v>
      </c>
      <c r="I35" s="29">
        <f t="shared" si="1"/>
        <v>7.18</v>
      </c>
      <c r="J35" s="29">
        <f t="shared" si="1"/>
        <v>2</v>
      </c>
      <c r="K35" s="29">
        <f t="shared" si="1"/>
        <v>356.75</v>
      </c>
      <c r="L35" s="29">
        <f t="shared" si="1"/>
        <v>34</v>
      </c>
      <c r="M35" s="29">
        <f t="shared" si="1"/>
        <v>99.08</v>
      </c>
      <c r="N35" s="29">
        <f t="shared" si="1"/>
        <v>1197</v>
      </c>
      <c r="O35" s="29">
        <f t="shared" si="1"/>
        <v>5</v>
      </c>
      <c r="P35" s="29">
        <f t="shared" si="1"/>
        <v>0.71</v>
      </c>
      <c r="Q35" s="29">
        <f t="shared" si="1"/>
        <v>9.83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8.2683333333333344</v>
      </c>
      <c r="C36" s="28">
        <f t="shared" si="2"/>
        <v>3.2545833333333345</v>
      </c>
      <c r="D36" s="28">
        <f t="shared" si="2"/>
        <v>12.103749999999998</v>
      </c>
      <c r="E36" s="28">
        <f t="shared" si="2"/>
        <v>4.7512499999999998</v>
      </c>
      <c r="F36" s="28">
        <f t="shared" si="2"/>
        <v>4.6716666666666669</v>
      </c>
      <c r="G36" s="28">
        <f t="shared" si="2"/>
        <v>25.506666666666657</v>
      </c>
      <c r="H36" s="28">
        <f t="shared" si="2"/>
        <v>9.0333333333333332</v>
      </c>
      <c r="I36" s="28">
        <f t="shared" si="2"/>
        <v>5.0250000000000004</v>
      </c>
      <c r="J36" s="28">
        <f t="shared" si="2"/>
        <v>0.69125000000000003</v>
      </c>
      <c r="K36" s="28">
        <f t="shared" si="2"/>
        <v>332.47083333333336</v>
      </c>
      <c r="L36" s="28">
        <f t="shared" si="2"/>
        <v>25.724583333333332</v>
      </c>
      <c r="M36" s="28">
        <f t="shared" si="2"/>
        <v>96.444166666666661</v>
      </c>
      <c r="N36" s="28">
        <f t="shared" si="2"/>
        <v>305.47500000000002</v>
      </c>
      <c r="O36" s="28">
        <f t="shared" si="2"/>
        <v>0.28333333333333338</v>
      </c>
      <c r="P36" s="28">
        <f t="shared" si="2"/>
        <v>0.47708333333333347</v>
      </c>
      <c r="Q36" s="28">
        <f t="shared" si="2"/>
        <v>9.5874999999999986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0.14339567232165576</v>
      </c>
      <c r="C37" s="28">
        <f t="shared" ref="C37:Q37" si="3">STDEV(C9:C32)</f>
        <v>0.10640280997706068</v>
      </c>
      <c r="D37" s="28">
        <f t="shared" si="3"/>
        <v>0.16132097359531133</v>
      </c>
      <c r="E37" s="28">
        <f t="shared" si="3"/>
        <v>0.47274694490080377</v>
      </c>
      <c r="F37" s="28">
        <f t="shared" si="3"/>
        <v>1.6367376530548623</v>
      </c>
      <c r="G37" s="28">
        <f t="shared" si="3"/>
        <v>12.191568243334588</v>
      </c>
      <c r="H37" s="28">
        <f t="shared" si="3"/>
        <v>4.9497972436881907</v>
      </c>
      <c r="I37" s="28">
        <f t="shared" si="3"/>
        <v>1.0777835549424337</v>
      </c>
      <c r="J37" s="28">
        <f t="shared" si="3"/>
        <v>0.47243414539926148</v>
      </c>
      <c r="K37" s="28">
        <f t="shared" si="3"/>
        <v>35.597898315669021</v>
      </c>
      <c r="L37" s="28">
        <f t="shared" si="3"/>
        <v>3.0366986925402175</v>
      </c>
      <c r="M37" s="28">
        <f t="shared" si="3"/>
        <v>7.9470694170140836</v>
      </c>
      <c r="N37" s="28">
        <f t="shared" si="3"/>
        <v>339.42770024800876</v>
      </c>
      <c r="O37" s="28">
        <f t="shared" si="3"/>
        <v>1.0348983006815806</v>
      </c>
      <c r="P37" s="28">
        <f t="shared" si="3"/>
        <v>7.1837931525044349E-2</v>
      </c>
      <c r="Q37" s="28">
        <f t="shared" si="3"/>
        <v>0.14025597716473556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485</v>
      </c>
      <c r="B9" s="54">
        <v>8.09</v>
      </c>
      <c r="C9" s="54">
        <v>3.18</v>
      </c>
      <c r="D9" s="54">
        <v>11.93</v>
      </c>
      <c r="E9" s="54">
        <v>4.21</v>
      </c>
      <c r="F9" s="54">
        <v>4.12</v>
      </c>
      <c r="G9" s="54">
        <v>12.96</v>
      </c>
      <c r="H9" s="54">
        <v>2.83</v>
      </c>
      <c r="I9" s="54">
        <v>3.95</v>
      </c>
      <c r="J9" s="54">
        <v>0.39</v>
      </c>
      <c r="K9" s="54">
        <v>348.14</v>
      </c>
      <c r="L9" s="54">
        <v>23.35</v>
      </c>
      <c r="M9" s="54">
        <v>99.03</v>
      </c>
      <c r="N9" s="54">
        <v>78.2</v>
      </c>
      <c r="O9" s="54">
        <v>0</v>
      </c>
      <c r="P9" s="54">
        <v>0.39</v>
      </c>
      <c r="Q9" s="54">
        <v>9.4600000000000009</v>
      </c>
      <c r="R9" s="43"/>
      <c r="S9" s="43"/>
      <c r="T9" s="43"/>
      <c r="U9" s="43"/>
    </row>
    <row r="10" spans="1:21" s="11" customFormat="1" x14ac:dyDescent="0.25">
      <c r="A10" s="53" t="s">
        <v>486</v>
      </c>
      <c r="B10" s="54">
        <v>8.07</v>
      </c>
      <c r="C10" s="54">
        <v>3.08</v>
      </c>
      <c r="D10" s="54">
        <v>11.84</v>
      </c>
      <c r="E10" s="54">
        <v>4.3899999999999997</v>
      </c>
      <c r="F10" s="54">
        <v>3.71</v>
      </c>
      <c r="G10" s="54">
        <v>12.96</v>
      </c>
      <c r="H10" s="54">
        <v>2.33</v>
      </c>
      <c r="I10" s="54">
        <v>3.41</v>
      </c>
      <c r="J10" s="54">
        <v>0.52</v>
      </c>
      <c r="K10" s="54">
        <v>349.62</v>
      </c>
      <c r="L10" s="54">
        <v>23.26</v>
      </c>
      <c r="M10" s="54">
        <v>99.03</v>
      </c>
      <c r="N10" s="54">
        <v>78</v>
      </c>
      <c r="O10" s="54">
        <v>0</v>
      </c>
      <c r="P10" s="54">
        <v>0.36</v>
      </c>
      <c r="Q10" s="54">
        <v>9.44</v>
      </c>
      <c r="R10" s="43"/>
      <c r="S10" s="43"/>
      <c r="T10" s="43"/>
      <c r="U10" s="43"/>
    </row>
    <row r="11" spans="1:21" s="11" customFormat="1" x14ac:dyDescent="0.25">
      <c r="A11" s="53" t="s">
        <v>487</v>
      </c>
      <c r="B11" s="54">
        <v>8.1199999999999992</v>
      </c>
      <c r="C11" s="54">
        <v>3.09</v>
      </c>
      <c r="D11" s="54">
        <v>11.9</v>
      </c>
      <c r="E11" s="54">
        <v>4.18</v>
      </c>
      <c r="F11" s="54">
        <v>3.41</v>
      </c>
      <c r="G11" s="54">
        <v>11.71</v>
      </c>
      <c r="H11" s="54">
        <v>1.91</v>
      </c>
      <c r="I11" s="54">
        <v>3.3</v>
      </c>
      <c r="J11" s="54">
        <v>0.47</v>
      </c>
      <c r="K11" s="54">
        <v>349.5</v>
      </c>
      <c r="L11" s="54">
        <v>23.23</v>
      </c>
      <c r="M11" s="54">
        <v>99.03</v>
      </c>
      <c r="N11" s="54">
        <v>78.5</v>
      </c>
      <c r="O11" s="54">
        <v>0</v>
      </c>
      <c r="P11" s="54">
        <v>0.33</v>
      </c>
      <c r="Q11" s="54">
        <v>9.39</v>
      </c>
      <c r="R11" s="43"/>
      <c r="S11" s="43"/>
      <c r="T11" s="43"/>
      <c r="U11" s="43"/>
    </row>
    <row r="12" spans="1:21" s="11" customFormat="1" x14ac:dyDescent="0.25">
      <c r="A12" s="53" t="s">
        <v>488</v>
      </c>
      <c r="B12" s="54">
        <v>8.1199999999999992</v>
      </c>
      <c r="C12" s="54">
        <v>3.1</v>
      </c>
      <c r="D12" s="54">
        <v>11.91</v>
      </c>
      <c r="E12" s="54">
        <v>4.42</v>
      </c>
      <c r="F12" s="54">
        <v>3.75</v>
      </c>
      <c r="G12" s="54">
        <v>8.4499999999999993</v>
      </c>
      <c r="H12" s="54">
        <v>1.88</v>
      </c>
      <c r="I12" s="54">
        <v>3.79</v>
      </c>
      <c r="J12" s="54">
        <v>0.41</v>
      </c>
      <c r="K12" s="54">
        <v>334.3</v>
      </c>
      <c r="L12" s="54">
        <v>23.16</v>
      </c>
      <c r="M12" s="54">
        <v>99.03</v>
      </c>
      <c r="N12" s="54">
        <v>82.2</v>
      </c>
      <c r="O12" s="54">
        <v>0</v>
      </c>
      <c r="P12" s="54">
        <v>0.32</v>
      </c>
      <c r="Q12" s="54">
        <v>9.43</v>
      </c>
      <c r="R12" s="43"/>
      <c r="S12" s="43"/>
      <c r="T12" s="43"/>
      <c r="U12" s="43"/>
    </row>
    <row r="13" spans="1:21" s="11" customFormat="1" x14ac:dyDescent="0.25">
      <c r="A13" s="53" t="s">
        <v>489</v>
      </c>
      <c r="B13" s="54">
        <v>8.07</v>
      </c>
      <c r="C13" s="54">
        <v>3.17</v>
      </c>
      <c r="D13" s="54">
        <v>11.9</v>
      </c>
      <c r="E13" s="54">
        <v>3.04</v>
      </c>
      <c r="F13" s="54">
        <v>4.0999999999999996</v>
      </c>
      <c r="G13" s="54">
        <v>6.65</v>
      </c>
      <c r="H13" s="54">
        <v>1.6</v>
      </c>
      <c r="I13" s="54">
        <v>3.76</v>
      </c>
      <c r="J13" s="54">
        <v>0.49</v>
      </c>
      <c r="K13" s="54">
        <v>353.56</v>
      </c>
      <c r="L13" s="54">
        <v>23.06</v>
      </c>
      <c r="M13" s="54">
        <v>99.03</v>
      </c>
      <c r="N13" s="54">
        <v>83.3</v>
      </c>
      <c r="O13" s="54">
        <v>0</v>
      </c>
      <c r="P13" s="54">
        <v>0.31</v>
      </c>
      <c r="Q13" s="54">
        <v>9.4</v>
      </c>
      <c r="R13" s="43"/>
      <c r="S13" s="43"/>
      <c r="T13" s="43"/>
      <c r="U13" s="43"/>
    </row>
    <row r="14" spans="1:21" s="11" customFormat="1" x14ac:dyDescent="0.25">
      <c r="A14" s="53" t="s">
        <v>490</v>
      </c>
      <c r="B14" s="54">
        <v>8.08</v>
      </c>
      <c r="C14" s="54">
        <v>3.16</v>
      </c>
      <c r="D14" s="54">
        <v>11.9</v>
      </c>
      <c r="E14" s="54">
        <v>3.59</v>
      </c>
      <c r="F14" s="54">
        <v>3.64</v>
      </c>
      <c r="G14" s="54">
        <v>10.84</v>
      </c>
      <c r="H14" s="54">
        <v>2.4</v>
      </c>
      <c r="I14" s="54">
        <v>3.7</v>
      </c>
      <c r="J14" s="54">
        <v>0.56999999999999995</v>
      </c>
      <c r="K14" s="54">
        <v>353.58</v>
      </c>
      <c r="L14" s="54">
        <v>23.07</v>
      </c>
      <c r="M14" s="54">
        <v>99.04</v>
      </c>
      <c r="N14" s="54">
        <v>93.1</v>
      </c>
      <c r="O14" s="54">
        <v>0</v>
      </c>
      <c r="P14" s="54">
        <v>0.3</v>
      </c>
      <c r="Q14" s="54">
        <v>9.3800000000000008</v>
      </c>
      <c r="R14" s="43"/>
      <c r="S14" s="43"/>
      <c r="T14" s="43"/>
      <c r="U14" s="43"/>
    </row>
    <row r="15" spans="1:21" s="11" customFormat="1" x14ac:dyDescent="0.25">
      <c r="A15" s="53" t="s">
        <v>491</v>
      </c>
      <c r="B15" s="54">
        <v>8.23</v>
      </c>
      <c r="C15" s="54">
        <v>3.36</v>
      </c>
      <c r="D15" s="54">
        <v>12.13</v>
      </c>
      <c r="E15" s="54">
        <v>3.3</v>
      </c>
      <c r="F15" s="54">
        <v>3.75</v>
      </c>
      <c r="G15" s="54">
        <v>10.84</v>
      </c>
      <c r="H15" s="54">
        <v>2.4</v>
      </c>
      <c r="I15" s="54">
        <v>4.0199999999999996</v>
      </c>
      <c r="J15" s="54">
        <v>0.43</v>
      </c>
      <c r="K15" s="54">
        <v>343.6</v>
      </c>
      <c r="L15" s="54">
        <v>23.84</v>
      </c>
      <c r="M15" s="54">
        <v>99.03</v>
      </c>
      <c r="N15" s="54">
        <v>206.2</v>
      </c>
      <c r="O15" s="54">
        <v>0</v>
      </c>
      <c r="P15" s="54">
        <v>0.3</v>
      </c>
      <c r="Q15" s="54">
        <v>9.42</v>
      </c>
      <c r="R15" s="43"/>
      <c r="S15" s="43"/>
      <c r="T15" s="43"/>
      <c r="U15" s="43"/>
    </row>
    <row r="16" spans="1:21" s="11" customFormat="1" x14ac:dyDescent="0.25">
      <c r="A16" s="53" t="s">
        <v>492</v>
      </c>
      <c r="B16" s="54">
        <v>8.1999999999999993</v>
      </c>
      <c r="C16" s="54">
        <v>3.32</v>
      </c>
      <c r="D16" s="54">
        <v>12.08</v>
      </c>
      <c r="E16" s="54">
        <v>3.3</v>
      </c>
      <c r="F16" s="54">
        <v>3.75</v>
      </c>
      <c r="G16" s="54">
        <v>16.48</v>
      </c>
      <c r="H16" s="54">
        <v>2.46</v>
      </c>
      <c r="I16" s="54">
        <v>4.16</v>
      </c>
      <c r="J16" s="54">
        <v>0.81</v>
      </c>
      <c r="K16" s="54">
        <v>329.81</v>
      </c>
      <c r="L16" s="54">
        <v>26.61</v>
      </c>
      <c r="M16" s="54">
        <v>99.02</v>
      </c>
      <c r="N16" s="54">
        <v>318.39999999999998</v>
      </c>
      <c r="O16" s="54">
        <v>0</v>
      </c>
      <c r="P16" s="54">
        <v>0.33</v>
      </c>
      <c r="Q16" s="54">
        <v>9.4600000000000009</v>
      </c>
      <c r="R16" s="43"/>
      <c r="S16" s="43"/>
      <c r="T16" s="43"/>
      <c r="U16" s="43"/>
    </row>
    <row r="17" spans="1:21" s="11" customFormat="1" x14ac:dyDescent="0.25">
      <c r="A17" s="53" t="s">
        <v>493</v>
      </c>
      <c r="B17" s="54">
        <v>8.08</v>
      </c>
      <c r="C17" s="54">
        <v>3.09</v>
      </c>
      <c r="D17" s="54">
        <v>11.86</v>
      </c>
      <c r="E17" s="54">
        <v>4.6399999999999997</v>
      </c>
      <c r="F17" s="54">
        <v>4.1100000000000003</v>
      </c>
      <c r="G17" s="54">
        <v>42.09</v>
      </c>
      <c r="H17" s="54">
        <v>4.32</v>
      </c>
      <c r="I17" s="54">
        <v>4.07</v>
      </c>
      <c r="J17" s="54">
        <v>0.93</v>
      </c>
      <c r="K17" s="54">
        <v>339.62</v>
      </c>
      <c r="L17" s="54">
        <v>27.52</v>
      </c>
      <c r="M17" s="54">
        <v>89.74</v>
      </c>
      <c r="N17" s="54">
        <v>408.5</v>
      </c>
      <c r="O17" s="54">
        <v>0</v>
      </c>
      <c r="P17" s="54">
        <v>0.39</v>
      </c>
      <c r="Q17" s="54">
        <v>9.5</v>
      </c>
      <c r="R17" s="43"/>
      <c r="S17" s="43"/>
      <c r="T17" s="43"/>
      <c r="U17" s="43"/>
    </row>
    <row r="18" spans="1:21" s="11" customFormat="1" x14ac:dyDescent="0.25">
      <c r="A18" s="53" t="s">
        <v>494</v>
      </c>
      <c r="B18" s="54">
        <v>8.1300000000000008</v>
      </c>
      <c r="C18" s="54">
        <v>3.23</v>
      </c>
      <c r="D18" s="54">
        <v>11.98</v>
      </c>
      <c r="E18" s="54">
        <v>4.4800000000000004</v>
      </c>
      <c r="F18" s="54">
        <v>3.48</v>
      </c>
      <c r="G18" s="54">
        <v>46.02</v>
      </c>
      <c r="H18" s="54">
        <v>9.68</v>
      </c>
      <c r="I18" s="54">
        <v>4.66</v>
      </c>
      <c r="J18" s="54">
        <v>0.71</v>
      </c>
      <c r="K18" s="54">
        <v>345.28</v>
      </c>
      <c r="L18" s="54">
        <v>29.38</v>
      </c>
      <c r="M18" s="54">
        <v>81.05</v>
      </c>
      <c r="N18" s="54">
        <v>829.5</v>
      </c>
      <c r="O18" s="54">
        <v>0</v>
      </c>
      <c r="P18" s="54">
        <v>0.43</v>
      </c>
      <c r="Q18" s="54">
        <v>9.6</v>
      </c>
      <c r="R18" s="43"/>
      <c r="S18" s="43"/>
      <c r="T18" s="43"/>
      <c r="U18" s="43"/>
    </row>
    <row r="19" spans="1:21" s="11" customFormat="1" x14ac:dyDescent="0.25">
      <c r="A19" s="53" t="s">
        <v>495</v>
      </c>
      <c r="B19" s="54">
        <v>8.15</v>
      </c>
      <c r="C19" s="54">
        <v>3.47</v>
      </c>
      <c r="D19" s="54">
        <v>12.13</v>
      </c>
      <c r="E19" s="54">
        <v>4.67</v>
      </c>
      <c r="F19" s="54">
        <v>3.74</v>
      </c>
      <c r="G19" s="54">
        <v>64.180000000000007</v>
      </c>
      <c r="H19" s="54">
        <v>16.940000000000001</v>
      </c>
      <c r="I19" s="54">
        <v>5.16</v>
      </c>
      <c r="J19" s="54">
        <v>1.34</v>
      </c>
      <c r="K19" s="54">
        <v>339.55</v>
      </c>
      <c r="L19" s="54">
        <v>30.68</v>
      </c>
      <c r="M19" s="54">
        <v>74.06</v>
      </c>
      <c r="N19" s="54">
        <v>687.9</v>
      </c>
      <c r="O19" s="54">
        <v>0</v>
      </c>
      <c r="P19" s="54">
        <v>0.59</v>
      </c>
      <c r="Q19" s="54">
        <v>9.5299999999999994</v>
      </c>
      <c r="R19" s="43"/>
      <c r="S19" s="43"/>
      <c r="T19" s="43"/>
      <c r="U19" s="43"/>
    </row>
    <row r="20" spans="1:21" s="11" customFormat="1" x14ac:dyDescent="0.25">
      <c r="A20" s="53" t="s">
        <v>496</v>
      </c>
      <c r="B20" s="54">
        <v>8.11</v>
      </c>
      <c r="C20" s="54">
        <v>3.25</v>
      </c>
      <c r="D20" s="54">
        <v>11.97</v>
      </c>
      <c r="E20" s="54">
        <v>6.73</v>
      </c>
      <c r="F20" s="54">
        <v>3.75</v>
      </c>
      <c r="G20" s="54">
        <v>64.36</v>
      </c>
      <c r="H20" s="54">
        <v>19.71</v>
      </c>
      <c r="I20" s="54">
        <v>6.13</v>
      </c>
      <c r="J20" s="54">
        <v>1.1399999999999999</v>
      </c>
      <c r="K20" s="54">
        <v>358.92</v>
      </c>
      <c r="L20" s="54">
        <v>31.77</v>
      </c>
      <c r="M20" s="54">
        <v>79.88</v>
      </c>
      <c r="N20" s="54">
        <v>834.4</v>
      </c>
      <c r="O20" s="54">
        <v>0</v>
      </c>
      <c r="P20" s="54">
        <v>0.6</v>
      </c>
      <c r="Q20" s="54">
        <v>9.57</v>
      </c>
      <c r="R20" s="43"/>
      <c r="S20" s="43"/>
      <c r="T20" s="43"/>
      <c r="U20" s="43"/>
    </row>
    <row r="21" spans="1:21" s="11" customFormat="1" x14ac:dyDescent="0.25">
      <c r="A21" s="53" t="s">
        <v>497</v>
      </c>
      <c r="B21" s="54">
        <v>8.1300000000000008</v>
      </c>
      <c r="C21" s="54">
        <v>3.23</v>
      </c>
      <c r="D21" s="54">
        <v>11.98</v>
      </c>
      <c r="E21" s="54">
        <v>6.25</v>
      </c>
      <c r="F21" s="54">
        <v>4.1100000000000003</v>
      </c>
      <c r="G21" s="54">
        <v>64.36</v>
      </c>
      <c r="H21" s="54">
        <v>19.71</v>
      </c>
      <c r="I21" s="54">
        <v>6.41</v>
      </c>
      <c r="J21" s="54">
        <v>1.43</v>
      </c>
      <c r="K21" s="54">
        <v>343.24</v>
      </c>
      <c r="L21" s="54">
        <v>30.08</v>
      </c>
      <c r="M21" s="54">
        <v>78.13</v>
      </c>
      <c r="N21" s="54">
        <v>813.4</v>
      </c>
      <c r="O21" s="54">
        <v>0</v>
      </c>
      <c r="P21" s="54">
        <v>0.6</v>
      </c>
      <c r="Q21" s="54">
        <v>9.6300000000000008</v>
      </c>
      <c r="R21" s="43"/>
      <c r="S21" s="43"/>
      <c r="T21" s="43"/>
      <c r="U21" s="43"/>
    </row>
    <row r="22" spans="1:21" s="11" customFormat="1" x14ac:dyDescent="0.25">
      <c r="A22" s="53" t="s">
        <v>498</v>
      </c>
      <c r="B22" s="54">
        <v>8.1</v>
      </c>
      <c r="C22" s="54">
        <v>3.21</v>
      </c>
      <c r="D22" s="54">
        <v>11.94</v>
      </c>
      <c r="E22" s="54">
        <v>6.69</v>
      </c>
      <c r="F22" s="54">
        <v>4.97</v>
      </c>
      <c r="G22" s="54">
        <v>61.48</v>
      </c>
      <c r="H22" s="54">
        <v>19.09</v>
      </c>
      <c r="I22" s="54">
        <v>6.49</v>
      </c>
      <c r="J22" s="54">
        <v>1.19</v>
      </c>
      <c r="K22" s="54">
        <v>113.94</v>
      </c>
      <c r="L22" s="54">
        <v>30.46</v>
      </c>
      <c r="M22" s="54">
        <v>75.06</v>
      </c>
      <c r="N22" s="54">
        <v>834.2</v>
      </c>
      <c r="O22" s="54">
        <v>0</v>
      </c>
      <c r="P22" s="54">
        <v>0.48</v>
      </c>
      <c r="Q22" s="54">
        <v>9.58</v>
      </c>
      <c r="R22" s="43"/>
      <c r="S22" s="43"/>
      <c r="T22" s="43"/>
      <c r="U22" s="43"/>
    </row>
    <row r="23" spans="1:21" s="11" customFormat="1" x14ac:dyDescent="0.25">
      <c r="A23" s="53" t="s">
        <v>499</v>
      </c>
      <c r="B23" s="54">
        <v>8.06</v>
      </c>
      <c r="C23" s="54">
        <v>3.17</v>
      </c>
      <c r="D23" s="54">
        <v>11.89</v>
      </c>
      <c r="E23" s="54">
        <v>5.71</v>
      </c>
      <c r="F23" s="54">
        <v>3.97</v>
      </c>
      <c r="G23" s="54">
        <v>55.7</v>
      </c>
      <c r="H23" s="54">
        <v>19.09</v>
      </c>
      <c r="I23" s="54">
        <v>6.44</v>
      </c>
      <c r="J23" s="54">
        <v>1.28</v>
      </c>
      <c r="K23" s="54">
        <v>116.28</v>
      </c>
      <c r="L23" s="54">
        <v>29.69</v>
      </c>
      <c r="M23" s="54">
        <v>73.55</v>
      </c>
      <c r="N23" s="54">
        <v>554.20000000000005</v>
      </c>
      <c r="O23" s="54">
        <v>0</v>
      </c>
      <c r="P23" s="54">
        <v>0.46</v>
      </c>
      <c r="Q23" s="54">
        <v>9.43</v>
      </c>
      <c r="R23" s="43"/>
      <c r="S23" s="43"/>
      <c r="T23" s="43"/>
      <c r="U23" s="43"/>
    </row>
    <row r="24" spans="1:21" s="11" customFormat="1" x14ac:dyDescent="0.25">
      <c r="A24" s="53" t="s">
        <v>500</v>
      </c>
      <c r="B24" s="54">
        <v>8.1</v>
      </c>
      <c r="C24" s="54">
        <v>3.13</v>
      </c>
      <c r="D24" s="54">
        <v>11.9</v>
      </c>
      <c r="E24" s="54">
        <v>5.68</v>
      </c>
      <c r="F24" s="54">
        <v>4.0599999999999996</v>
      </c>
      <c r="G24" s="54">
        <v>52.68</v>
      </c>
      <c r="H24" s="54">
        <v>13.73</v>
      </c>
      <c r="I24" s="54">
        <v>6.88</v>
      </c>
      <c r="J24" s="54">
        <v>1.59</v>
      </c>
      <c r="K24" s="54">
        <v>113.26</v>
      </c>
      <c r="L24" s="54">
        <v>29.57</v>
      </c>
      <c r="M24" s="54">
        <v>75.47</v>
      </c>
      <c r="N24" s="54">
        <v>379.2</v>
      </c>
      <c r="O24" s="54">
        <v>0</v>
      </c>
      <c r="P24" s="54">
        <v>0.41</v>
      </c>
      <c r="Q24" s="54">
        <v>9.4600000000000009</v>
      </c>
      <c r="R24" s="43"/>
      <c r="S24" s="43"/>
      <c r="T24" s="43"/>
      <c r="U24" s="43"/>
    </row>
    <row r="25" spans="1:21" s="11" customFormat="1" x14ac:dyDescent="0.25">
      <c r="A25" s="53" t="s">
        <v>501</v>
      </c>
      <c r="B25" s="54">
        <v>8.11</v>
      </c>
      <c r="C25" s="54">
        <v>3.25</v>
      </c>
      <c r="D25" s="54">
        <v>11.97</v>
      </c>
      <c r="E25" s="54">
        <v>3.88</v>
      </c>
      <c r="F25" s="54">
        <v>4.97</v>
      </c>
      <c r="G25" s="54">
        <v>40.590000000000003</v>
      </c>
      <c r="H25" s="54">
        <v>12.62</v>
      </c>
      <c r="I25" s="54">
        <v>7.34</v>
      </c>
      <c r="J25" s="54">
        <v>1.8</v>
      </c>
      <c r="K25" s="54">
        <v>123.55</v>
      </c>
      <c r="L25" s="54">
        <v>29.38</v>
      </c>
      <c r="M25" s="54">
        <v>74.66</v>
      </c>
      <c r="N25" s="54">
        <v>263.2</v>
      </c>
      <c r="O25" s="54">
        <v>0</v>
      </c>
      <c r="P25" s="54">
        <v>0.38</v>
      </c>
      <c r="Q25" s="54">
        <v>9.5</v>
      </c>
      <c r="R25" s="43"/>
      <c r="S25" s="43"/>
      <c r="T25" s="43"/>
      <c r="U25" s="43"/>
    </row>
    <row r="26" spans="1:21" s="11" customFormat="1" x14ac:dyDescent="0.25">
      <c r="A26" s="53" t="s">
        <v>502</v>
      </c>
      <c r="B26" s="54">
        <v>8.06</v>
      </c>
      <c r="C26" s="54">
        <v>3.08</v>
      </c>
      <c r="D26" s="54">
        <v>11.85</v>
      </c>
      <c r="E26" s="54">
        <v>4.0199999999999996</v>
      </c>
      <c r="F26" s="54">
        <v>4.5999999999999996</v>
      </c>
      <c r="G26" s="54">
        <v>24.35</v>
      </c>
      <c r="H26" s="54">
        <v>14.29</v>
      </c>
      <c r="I26" s="54">
        <v>7.26</v>
      </c>
      <c r="J26" s="54">
        <v>1.43</v>
      </c>
      <c r="K26" s="54">
        <v>117.15</v>
      </c>
      <c r="L26" s="54">
        <v>28.6</v>
      </c>
      <c r="M26" s="54">
        <v>78.180000000000007</v>
      </c>
      <c r="N26" s="54">
        <v>156.69999999999999</v>
      </c>
      <c r="O26" s="54">
        <v>0</v>
      </c>
      <c r="P26" s="54">
        <v>0.33</v>
      </c>
      <c r="Q26" s="54">
        <v>9.51</v>
      </c>
      <c r="R26" s="43"/>
      <c r="S26" s="43"/>
      <c r="T26" s="43"/>
      <c r="U26" s="43"/>
    </row>
    <row r="27" spans="1:21" s="11" customFormat="1" x14ac:dyDescent="0.25">
      <c r="A27" s="53" t="s">
        <v>503</v>
      </c>
      <c r="B27" s="54">
        <v>8.0500000000000007</v>
      </c>
      <c r="C27" s="54">
        <v>3.12</v>
      </c>
      <c r="D27" s="54">
        <v>11.86</v>
      </c>
      <c r="E27" s="54">
        <v>3.94</v>
      </c>
      <c r="F27" s="54">
        <v>4.2300000000000004</v>
      </c>
      <c r="G27" s="54">
        <v>44.98</v>
      </c>
      <c r="H27" s="54">
        <v>14.29</v>
      </c>
      <c r="I27" s="54">
        <v>7.15</v>
      </c>
      <c r="J27" s="54">
        <v>1.22</v>
      </c>
      <c r="K27" s="54">
        <v>117.99</v>
      </c>
      <c r="L27" s="54">
        <v>28.24</v>
      </c>
      <c r="M27" s="54">
        <v>80.16</v>
      </c>
      <c r="N27" s="54">
        <v>91.8</v>
      </c>
      <c r="O27" s="54">
        <v>0</v>
      </c>
      <c r="P27" s="54">
        <v>0.38</v>
      </c>
      <c r="Q27" s="54">
        <v>9.4700000000000006</v>
      </c>
      <c r="R27" s="43"/>
      <c r="S27" s="43"/>
      <c r="T27" s="43"/>
      <c r="U27" s="43"/>
    </row>
    <row r="28" spans="1:21" s="11" customFormat="1" x14ac:dyDescent="0.25">
      <c r="A28" s="53" t="s">
        <v>504</v>
      </c>
      <c r="B28" s="54">
        <v>8.09</v>
      </c>
      <c r="C28" s="54">
        <v>3.25</v>
      </c>
      <c r="D28" s="54">
        <v>11.96</v>
      </c>
      <c r="E28" s="54">
        <v>5.25</v>
      </c>
      <c r="F28" s="54">
        <v>3.84</v>
      </c>
      <c r="G28" s="54">
        <v>47.22</v>
      </c>
      <c r="H28" s="54">
        <v>13.75</v>
      </c>
      <c r="I28" s="54">
        <v>6.54</v>
      </c>
      <c r="J28" s="54">
        <v>0.82</v>
      </c>
      <c r="K28" s="54">
        <v>217.01</v>
      </c>
      <c r="L28" s="54">
        <v>27.87</v>
      </c>
      <c r="M28" s="54">
        <v>89.07</v>
      </c>
      <c r="N28" s="54">
        <v>72</v>
      </c>
      <c r="O28" s="54">
        <v>0</v>
      </c>
      <c r="P28" s="54">
        <v>0.51</v>
      </c>
      <c r="Q28" s="54">
        <v>9.5</v>
      </c>
      <c r="R28" s="43"/>
      <c r="S28" s="43"/>
      <c r="T28" s="43"/>
      <c r="U28" s="43"/>
    </row>
    <row r="29" spans="1:21" s="11" customFormat="1" x14ac:dyDescent="0.25">
      <c r="A29" s="53" t="s">
        <v>505</v>
      </c>
      <c r="B29" s="54">
        <v>8.08</v>
      </c>
      <c r="C29" s="54">
        <v>3.22</v>
      </c>
      <c r="D29" s="54">
        <v>11.93</v>
      </c>
      <c r="E29" s="54">
        <v>4.87</v>
      </c>
      <c r="F29" s="54">
        <v>3.59</v>
      </c>
      <c r="G29" s="54">
        <v>47.68</v>
      </c>
      <c r="H29" s="54">
        <v>14.34</v>
      </c>
      <c r="I29" s="54">
        <v>6.25</v>
      </c>
      <c r="J29" s="54">
        <v>0.48</v>
      </c>
      <c r="K29" s="54">
        <v>235.45</v>
      </c>
      <c r="L29" s="54">
        <v>27.41</v>
      </c>
      <c r="M29" s="54">
        <v>90.18</v>
      </c>
      <c r="N29" s="54">
        <v>71.8</v>
      </c>
      <c r="O29" s="54">
        <v>0</v>
      </c>
      <c r="P29" s="54">
        <v>0.54</v>
      </c>
      <c r="Q29" s="54">
        <v>9.48</v>
      </c>
      <c r="R29" s="43"/>
      <c r="S29" s="43"/>
      <c r="T29" s="43"/>
      <c r="U29" s="43"/>
    </row>
    <row r="30" spans="1:21" s="11" customFormat="1" x14ac:dyDescent="0.25">
      <c r="A30" s="53" t="s">
        <v>506</v>
      </c>
      <c r="B30" s="54">
        <v>8.1199999999999992</v>
      </c>
      <c r="C30" s="54">
        <v>3.29</v>
      </c>
      <c r="D30" s="54">
        <v>12</v>
      </c>
      <c r="E30" s="54">
        <v>5.38</v>
      </c>
      <c r="F30" s="54">
        <v>8.73</v>
      </c>
      <c r="G30" s="54">
        <v>69.510000000000005</v>
      </c>
      <c r="H30" s="54">
        <v>14.34</v>
      </c>
      <c r="I30" s="54">
        <v>6.59</v>
      </c>
      <c r="J30" s="54">
        <v>0.54</v>
      </c>
      <c r="K30" s="54">
        <v>342.99</v>
      </c>
      <c r="L30" s="54">
        <v>26.34</v>
      </c>
      <c r="M30" s="54">
        <v>94.95</v>
      </c>
      <c r="N30" s="54">
        <v>71.7</v>
      </c>
      <c r="O30" s="54">
        <v>0</v>
      </c>
      <c r="P30" s="54">
        <v>0.8</v>
      </c>
      <c r="Q30" s="54">
        <v>9.68</v>
      </c>
      <c r="R30" s="43"/>
      <c r="S30" s="43"/>
      <c r="T30" s="43"/>
      <c r="U30" s="43"/>
    </row>
    <row r="31" spans="1:21" s="11" customFormat="1" x14ac:dyDescent="0.25">
      <c r="A31" s="53" t="s">
        <v>507</v>
      </c>
      <c r="B31" s="54">
        <v>8.0500000000000007</v>
      </c>
      <c r="C31" s="54">
        <v>3.2</v>
      </c>
      <c r="D31" s="54">
        <v>11.9</v>
      </c>
      <c r="E31" s="54">
        <v>5.19</v>
      </c>
      <c r="F31" s="54">
        <v>9.7100000000000009</v>
      </c>
      <c r="G31" s="54">
        <v>73.48</v>
      </c>
      <c r="H31" s="54">
        <v>14.32</v>
      </c>
      <c r="I31" s="54">
        <v>5.25</v>
      </c>
      <c r="J31" s="54">
        <v>0.75</v>
      </c>
      <c r="K31" s="54">
        <v>331.44</v>
      </c>
      <c r="L31" s="54">
        <v>26.27</v>
      </c>
      <c r="M31" s="54">
        <v>91.96</v>
      </c>
      <c r="N31" s="54">
        <v>72</v>
      </c>
      <c r="O31" s="54">
        <v>0</v>
      </c>
      <c r="P31" s="54">
        <v>0.86</v>
      </c>
      <c r="Q31" s="54">
        <v>9.65</v>
      </c>
      <c r="R31" s="43"/>
      <c r="S31" s="43"/>
      <c r="T31" s="43"/>
      <c r="U31" s="43"/>
    </row>
    <row r="32" spans="1:21" s="11" customFormat="1" x14ac:dyDescent="0.25">
      <c r="A32" s="53" t="s">
        <v>508</v>
      </c>
      <c r="B32" s="54">
        <v>8.0299999999999994</v>
      </c>
      <c r="C32" s="54">
        <v>3.29</v>
      </c>
      <c r="D32" s="54">
        <v>11.92</v>
      </c>
      <c r="E32" s="54">
        <v>4.9400000000000004</v>
      </c>
      <c r="F32" s="54">
        <v>9.0399999999999991</v>
      </c>
      <c r="G32" s="54">
        <v>73.48</v>
      </c>
      <c r="H32" s="54">
        <v>15.4</v>
      </c>
      <c r="I32" s="54">
        <v>3.03</v>
      </c>
      <c r="J32" s="54">
        <v>0.49</v>
      </c>
      <c r="K32" s="54">
        <v>123.79</v>
      </c>
      <c r="L32" s="54">
        <v>26.13</v>
      </c>
      <c r="M32" s="54">
        <v>97.42</v>
      </c>
      <c r="N32" s="54">
        <v>72</v>
      </c>
      <c r="O32" s="54">
        <v>0</v>
      </c>
      <c r="P32" s="54">
        <v>0.65</v>
      </c>
      <c r="Q32" s="54">
        <v>9.48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8.0299999999999994</v>
      </c>
      <c r="C34" s="28">
        <f t="shared" si="0"/>
        <v>3.08</v>
      </c>
      <c r="D34" s="28">
        <f t="shared" si="0"/>
        <v>11.84</v>
      </c>
      <c r="E34" s="28">
        <f t="shared" si="0"/>
        <v>3.04</v>
      </c>
      <c r="F34" s="28">
        <f t="shared" si="0"/>
        <v>3.41</v>
      </c>
      <c r="G34" s="28">
        <f t="shared" si="0"/>
        <v>6.65</v>
      </c>
      <c r="H34" s="28">
        <f t="shared" si="0"/>
        <v>1.6</v>
      </c>
      <c r="I34" s="28">
        <f t="shared" si="0"/>
        <v>3.03</v>
      </c>
      <c r="J34" s="28">
        <f t="shared" si="0"/>
        <v>0.39</v>
      </c>
      <c r="K34" s="28">
        <f t="shared" si="0"/>
        <v>113.26</v>
      </c>
      <c r="L34" s="28">
        <f t="shared" si="0"/>
        <v>23.06</v>
      </c>
      <c r="M34" s="28">
        <f t="shared" si="0"/>
        <v>73.55</v>
      </c>
      <c r="N34" s="28">
        <f t="shared" si="0"/>
        <v>71.7</v>
      </c>
      <c r="O34" s="28">
        <f t="shared" si="0"/>
        <v>0</v>
      </c>
      <c r="P34" s="28">
        <f t="shared" si="0"/>
        <v>0.3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8.23</v>
      </c>
      <c r="C35" s="29">
        <f t="shared" si="1"/>
        <v>3.47</v>
      </c>
      <c r="D35" s="29">
        <f t="shared" si="1"/>
        <v>12.13</v>
      </c>
      <c r="E35" s="29">
        <f t="shared" si="1"/>
        <v>6.73</v>
      </c>
      <c r="F35" s="29">
        <f t="shared" si="1"/>
        <v>9.7100000000000009</v>
      </c>
      <c r="G35" s="29">
        <f t="shared" si="1"/>
        <v>73.48</v>
      </c>
      <c r="H35" s="29">
        <f t="shared" si="1"/>
        <v>19.71</v>
      </c>
      <c r="I35" s="29">
        <f t="shared" si="1"/>
        <v>7.34</v>
      </c>
      <c r="J35" s="29">
        <f t="shared" si="1"/>
        <v>1.8</v>
      </c>
      <c r="K35" s="29">
        <f t="shared" si="1"/>
        <v>358.92</v>
      </c>
      <c r="L35" s="29">
        <f t="shared" si="1"/>
        <v>31.77</v>
      </c>
      <c r="M35" s="29">
        <f t="shared" si="1"/>
        <v>99.04</v>
      </c>
      <c r="N35" s="29">
        <f t="shared" si="1"/>
        <v>834.4</v>
      </c>
      <c r="O35" s="29">
        <f t="shared" si="1"/>
        <v>0</v>
      </c>
      <c r="P35" s="29">
        <f t="shared" si="1"/>
        <v>0.86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8.1012500000000021</v>
      </c>
      <c r="C36" s="28">
        <f t="shared" si="2"/>
        <v>3.205833333333334</v>
      </c>
      <c r="D36" s="28">
        <f t="shared" si="2"/>
        <v>11.942916666666664</v>
      </c>
      <c r="E36" s="28">
        <f t="shared" si="2"/>
        <v>4.6979166666666661</v>
      </c>
      <c r="F36" s="28">
        <f t="shared" si="2"/>
        <v>4.6304166666666662</v>
      </c>
      <c r="G36" s="28">
        <f t="shared" si="2"/>
        <v>40.127083333333339</v>
      </c>
      <c r="H36" s="28">
        <f t="shared" si="2"/>
        <v>10.559583333333334</v>
      </c>
      <c r="I36" s="28">
        <f t="shared" si="2"/>
        <v>5.2391666666666676</v>
      </c>
      <c r="J36" s="28">
        <f t="shared" si="2"/>
        <v>0.88458333333333317</v>
      </c>
      <c r="K36" s="28">
        <f t="shared" si="2"/>
        <v>268.39874999999989</v>
      </c>
      <c r="L36" s="28">
        <f t="shared" si="2"/>
        <v>27.040416666666662</v>
      </c>
      <c r="M36" s="28">
        <f t="shared" si="2"/>
        <v>88.15666666666668</v>
      </c>
      <c r="N36" s="28">
        <f t="shared" si="2"/>
        <v>301.26666666666665</v>
      </c>
      <c r="O36" s="28">
        <f t="shared" si="2"/>
        <v>0</v>
      </c>
      <c r="P36" s="28">
        <f t="shared" si="2"/>
        <v>0.46041666666666675</v>
      </c>
      <c r="Q36" s="28">
        <f t="shared" si="2"/>
        <v>9.4979166666666668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4.6091827060110363E-2</v>
      </c>
      <c r="C37" s="28">
        <f t="shared" ref="C37:Q37" si="3">STDEV(C9:C32)</f>
        <v>9.6949860042801733E-2</v>
      </c>
      <c r="D37" s="28">
        <f t="shared" si="3"/>
        <v>7.8987019663754598E-2</v>
      </c>
      <c r="E37" s="28">
        <f t="shared" si="3"/>
        <v>1.0196631121693305</v>
      </c>
      <c r="F37" s="28">
        <f t="shared" si="3"/>
        <v>1.800141248483784</v>
      </c>
      <c r="G37" s="28">
        <f t="shared" si="3"/>
        <v>23.589138893395077</v>
      </c>
      <c r="H37" s="28">
        <f t="shared" si="3"/>
        <v>6.8160013007542801</v>
      </c>
      <c r="I37" s="28">
        <f t="shared" si="3"/>
        <v>1.462814192684371</v>
      </c>
      <c r="J37" s="28">
        <f t="shared" si="3"/>
        <v>0.43237442677329596</v>
      </c>
      <c r="K37" s="28">
        <f t="shared" si="3"/>
        <v>104.12654476384279</v>
      </c>
      <c r="L37" s="28">
        <f t="shared" si="3"/>
        <v>2.8535035355745779</v>
      </c>
      <c r="M37" s="28">
        <f t="shared" si="3"/>
        <v>10.23510950926582</v>
      </c>
      <c r="N37" s="28">
        <f t="shared" si="3"/>
        <v>292.46029632676004</v>
      </c>
      <c r="O37" s="28">
        <f t="shared" si="3"/>
        <v>0</v>
      </c>
      <c r="P37" s="28">
        <f t="shared" si="3"/>
        <v>0.15563276637975185</v>
      </c>
      <c r="Q37" s="28">
        <f t="shared" si="3"/>
        <v>8.2566398401090021E-2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509</v>
      </c>
      <c r="B9" s="54">
        <v>8.11</v>
      </c>
      <c r="C9" s="54">
        <v>3.31</v>
      </c>
      <c r="D9" s="54">
        <v>11.99</v>
      </c>
      <c r="E9" s="54">
        <v>4.5999999999999996</v>
      </c>
      <c r="F9" s="54">
        <v>3.65</v>
      </c>
      <c r="G9" s="54">
        <v>68.45</v>
      </c>
      <c r="H9" s="54">
        <v>16.079999999999998</v>
      </c>
      <c r="I9" s="54">
        <v>4.1500000000000004</v>
      </c>
      <c r="J9" s="54">
        <v>0.49</v>
      </c>
      <c r="K9" s="54">
        <v>300.20999999999998</v>
      </c>
      <c r="L9" s="54">
        <v>26.15</v>
      </c>
      <c r="M9" s="54">
        <v>98.8</v>
      </c>
      <c r="N9" s="54">
        <v>72.2</v>
      </c>
      <c r="O9" s="54">
        <v>0</v>
      </c>
      <c r="P9" s="54">
        <v>0.65</v>
      </c>
      <c r="Q9" s="54">
        <v>9.6</v>
      </c>
      <c r="R9" s="43"/>
      <c r="S9" s="43"/>
      <c r="T9" s="43"/>
      <c r="U9" s="43"/>
    </row>
    <row r="10" spans="1:21" s="11" customFormat="1" x14ac:dyDescent="0.25">
      <c r="A10" s="53" t="s">
        <v>510</v>
      </c>
      <c r="B10" s="54">
        <v>8.17</v>
      </c>
      <c r="C10" s="54">
        <v>3.26</v>
      </c>
      <c r="D10" s="54">
        <v>12.03</v>
      </c>
      <c r="E10" s="54">
        <v>4.9400000000000004</v>
      </c>
      <c r="F10" s="54">
        <v>3.43</v>
      </c>
      <c r="G10" s="54">
        <v>72.319999999999993</v>
      </c>
      <c r="H10" s="54">
        <v>20.58</v>
      </c>
      <c r="I10" s="54">
        <v>5.15</v>
      </c>
      <c r="J10" s="54">
        <v>0.8</v>
      </c>
      <c r="K10" s="54">
        <v>320.27</v>
      </c>
      <c r="L10" s="54">
        <v>25.95</v>
      </c>
      <c r="M10" s="54">
        <v>98.44</v>
      </c>
      <c r="N10" s="54">
        <v>72.2</v>
      </c>
      <c r="O10" s="54">
        <v>0</v>
      </c>
      <c r="P10" s="54">
        <v>0.64</v>
      </c>
      <c r="Q10" s="54">
        <v>9.7100000000000009</v>
      </c>
      <c r="R10" s="43"/>
      <c r="S10" s="43"/>
      <c r="T10" s="43"/>
      <c r="U10" s="43"/>
    </row>
    <row r="11" spans="1:21" s="11" customFormat="1" x14ac:dyDescent="0.25">
      <c r="A11" s="53" t="s">
        <v>511</v>
      </c>
      <c r="B11" s="54">
        <v>8.1199999999999992</v>
      </c>
      <c r="C11" s="54">
        <v>3.1</v>
      </c>
      <c r="D11" s="54">
        <v>11.91</v>
      </c>
      <c r="E11" s="54">
        <v>4.84</v>
      </c>
      <c r="F11" s="54">
        <v>4.04</v>
      </c>
      <c r="G11" s="54">
        <v>73.14</v>
      </c>
      <c r="H11" s="54">
        <v>20.58</v>
      </c>
      <c r="I11" s="54">
        <v>5.9</v>
      </c>
      <c r="J11" s="54">
        <v>0.61</v>
      </c>
      <c r="K11" s="54">
        <v>322.75</v>
      </c>
      <c r="L11" s="54">
        <v>25.64</v>
      </c>
      <c r="M11" s="54">
        <v>98.93</v>
      </c>
      <c r="N11" s="54">
        <v>72.3</v>
      </c>
      <c r="O11" s="54">
        <v>0</v>
      </c>
      <c r="P11" s="54">
        <v>0.64</v>
      </c>
      <c r="Q11" s="54">
        <v>9.74</v>
      </c>
      <c r="R11" s="43"/>
      <c r="S11" s="43"/>
      <c r="T11" s="43"/>
      <c r="U11" s="43"/>
    </row>
    <row r="12" spans="1:21" s="11" customFormat="1" x14ac:dyDescent="0.25">
      <c r="A12" s="53" t="s">
        <v>512</v>
      </c>
      <c r="B12" s="54">
        <v>8.15</v>
      </c>
      <c r="C12" s="54">
        <v>3.18</v>
      </c>
      <c r="D12" s="54">
        <v>11.97</v>
      </c>
      <c r="E12" s="54">
        <v>5.01</v>
      </c>
      <c r="F12" s="54">
        <v>3.77</v>
      </c>
      <c r="G12" s="54">
        <v>73.14</v>
      </c>
      <c r="H12" s="54">
        <v>20.62</v>
      </c>
      <c r="I12" s="54">
        <v>6.02</v>
      </c>
      <c r="J12" s="54">
        <v>0.61</v>
      </c>
      <c r="K12" s="54">
        <v>343.73</v>
      </c>
      <c r="L12" s="54">
        <v>25.13</v>
      </c>
      <c r="M12" s="54">
        <v>99</v>
      </c>
      <c r="N12" s="54">
        <v>72.099999999999994</v>
      </c>
      <c r="O12" s="54">
        <v>0</v>
      </c>
      <c r="P12" s="54">
        <v>0.61</v>
      </c>
      <c r="Q12" s="54">
        <v>9.67</v>
      </c>
      <c r="R12" s="43"/>
      <c r="S12" s="43"/>
      <c r="T12" s="43"/>
      <c r="U12" s="43"/>
    </row>
    <row r="13" spans="1:21" s="11" customFormat="1" x14ac:dyDescent="0.25">
      <c r="A13" s="53" t="s">
        <v>513</v>
      </c>
      <c r="B13" s="54">
        <v>8.1</v>
      </c>
      <c r="C13" s="54">
        <v>3.1</v>
      </c>
      <c r="D13" s="54">
        <v>11.89</v>
      </c>
      <c r="E13" s="54">
        <v>4.79</v>
      </c>
      <c r="F13" s="54">
        <v>4.01</v>
      </c>
      <c r="G13" s="54">
        <v>70.7</v>
      </c>
      <c r="H13" s="54">
        <v>20.62</v>
      </c>
      <c r="I13" s="54">
        <v>6.09</v>
      </c>
      <c r="J13" s="54">
        <v>0.83</v>
      </c>
      <c r="K13" s="54">
        <v>309.87</v>
      </c>
      <c r="L13" s="54">
        <v>24.85</v>
      </c>
      <c r="M13" s="54">
        <v>99.05</v>
      </c>
      <c r="N13" s="54">
        <v>72.099999999999994</v>
      </c>
      <c r="O13" s="54">
        <v>0</v>
      </c>
      <c r="P13" s="54">
        <v>0.59</v>
      </c>
      <c r="Q13" s="54">
        <v>9.68</v>
      </c>
      <c r="R13" s="43"/>
      <c r="S13" s="43"/>
      <c r="T13" s="43"/>
      <c r="U13" s="43"/>
    </row>
    <row r="14" spans="1:21" s="11" customFormat="1" x14ac:dyDescent="0.25">
      <c r="A14" s="53" t="s">
        <v>514</v>
      </c>
      <c r="B14" s="54">
        <v>8.18</v>
      </c>
      <c r="C14" s="54">
        <v>3.23</v>
      </c>
      <c r="D14" s="54">
        <v>12.02</v>
      </c>
      <c r="E14" s="54">
        <v>5.1100000000000003</v>
      </c>
      <c r="F14" s="54">
        <v>3.47</v>
      </c>
      <c r="G14" s="54">
        <v>66.22</v>
      </c>
      <c r="H14" s="54">
        <v>20.170000000000002</v>
      </c>
      <c r="I14" s="54">
        <v>6.43</v>
      </c>
      <c r="J14" s="54">
        <v>1.35</v>
      </c>
      <c r="K14" s="54">
        <v>338.6</v>
      </c>
      <c r="L14" s="54">
        <v>24.91</v>
      </c>
      <c r="M14" s="54">
        <v>99.05</v>
      </c>
      <c r="N14" s="54">
        <v>84.9</v>
      </c>
      <c r="O14" s="54">
        <v>0</v>
      </c>
      <c r="P14" s="54">
        <v>0.57999999999999996</v>
      </c>
      <c r="Q14" s="54">
        <v>9.68</v>
      </c>
      <c r="R14" s="43"/>
      <c r="S14" s="43"/>
      <c r="T14" s="43"/>
      <c r="U14" s="43"/>
    </row>
    <row r="15" spans="1:21" s="11" customFormat="1" x14ac:dyDescent="0.25">
      <c r="A15" s="53" t="s">
        <v>515</v>
      </c>
      <c r="B15" s="54">
        <v>8.1300000000000008</v>
      </c>
      <c r="C15" s="54">
        <v>3.12</v>
      </c>
      <c r="D15" s="54">
        <v>11.93</v>
      </c>
      <c r="E15" s="54">
        <v>5.27</v>
      </c>
      <c r="F15" s="54">
        <v>3.48</v>
      </c>
      <c r="G15" s="54">
        <v>66.22</v>
      </c>
      <c r="H15" s="54">
        <v>17.760000000000002</v>
      </c>
      <c r="I15" s="54">
        <v>6.41</v>
      </c>
      <c r="J15" s="54">
        <v>1.37</v>
      </c>
      <c r="K15" s="54">
        <v>342.56</v>
      </c>
      <c r="L15" s="54">
        <v>24.77</v>
      </c>
      <c r="M15" s="54">
        <v>98.9</v>
      </c>
      <c r="N15" s="54">
        <v>139.69999999999999</v>
      </c>
      <c r="O15" s="54">
        <v>1.2</v>
      </c>
      <c r="P15" s="54">
        <v>0.56000000000000005</v>
      </c>
      <c r="Q15" s="54">
        <v>9.68</v>
      </c>
      <c r="R15" s="43"/>
      <c r="S15" s="43"/>
      <c r="T15" s="43"/>
      <c r="U15" s="43"/>
    </row>
    <row r="16" spans="1:21" s="11" customFormat="1" x14ac:dyDescent="0.25">
      <c r="A16" s="53" t="s">
        <v>516</v>
      </c>
      <c r="B16" s="54">
        <v>8.1199999999999992</v>
      </c>
      <c r="C16" s="54">
        <v>3.14</v>
      </c>
      <c r="D16" s="54">
        <v>11.93</v>
      </c>
      <c r="E16" s="54">
        <v>5.16</v>
      </c>
      <c r="F16" s="54">
        <v>3.48</v>
      </c>
      <c r="G16" s="54">
        <v>53.05</v>
      </c>
      <c r="H16" s="54">
        <v>16.170000000000002</v>
      </c>
      <c r="I16" s="54">
        <v>6.23</v>
      </c>
      <c r="J16" s="54">
        <v>1.26</v>
      </c>
      <c r="K16" s="54">
        <v>339.85</v>
      </c>
      <c r="L16" s="54">
        <v>25.15</v>
      </c>
      <c r="M16" s="54">
        <v>98.97</v>
      </c>
      <c r="N16" s="54">
        <v>195.5</v>
      </c>
      <c r="O16" s="54">
        <v>0</v>
      </c>
      <c r="P16" s="54">
        <v>0.55000000000000004</v>
      </c>
      <c r="Q16" s="54">
        <v>9.68</v>
      </c>
      <c r="R16" s="43"/>
      <c r="S16" s="43"/>
      <c r="T16" s="43"/>
      <c r="U16" s="43"/>
    </row>
    <row r="17" spans="1:21" s="11" customFormat="1" x14ac:dyDescent="0.25">
      <c r="A17" s="53" t="s">
        <v>517</v>
      </c>
      <c r="B17" s="54">
        <v>8.1300000000000008</v>
      </c>
      <c r="C17" s="54">
        <v>3.23</v>
      </c>
      <c r="D17" s="54">
        <v>11.98</v>
      </c>
      <c r="E17" s="54">
        <v>5.32</v>
      </c>
      <c r="F17" s="54">
        <v>4.42</v>
      </c>
      <c r="G17" s="54">
        <v>64.069999999999993</v>
      </c>
      <c r="H17" s="54">
        <v>27.22</v>
      </c>
      <c r="I17" s="54">
        <v>6.61</v>
      </c>
      <c r="J17" s="54">
        <v>1.23</v>
      </c>
      <c r="K17" s="54">
        <v>345.52</v>
      </c>
      <c r="L17" s="54">
        <v>30.02</v>
      </c>
      <c r="M17" s="54">
        <v>93.25</v>
      </c>
      <c r="N17" s="54">
        <v>646.5</v>
      </c>
      <c r="O17" s="54">
        <v>0</v>
      </c>
      <c r="P17" s="54">
        <v>0.62</v>
      </c>
      <c r="Q17" s="54">
        <v>9.57</v>
      </c>
      <c r="R17" s="43"/>
      <c r="S17" s="43"/>
      <c r="T17" s="43"/>
      <c r="U17" s="43"/>
    </row>
    <row r="18" spans="1:21" s="11" customFormat="1" x14ac:dyDescent="0.25">
      <c r="A18" s="53" t="s">
        <v>518</v>
      </c>
      <c r="B18" s="54">
        <v>8.15</v>
      </c>
      <c r="C18" s="54">
        <v>3.22</v>
      </c>
      <c r="D18" s="54">
        <v>11.99</v>
      </c>
      <c r="E18" s="54">
        <v>5.2</v>
      </c>
      <c r="F18" s="54">
        <v>3.71</v>
      </c>
      <c r="G18" s="54">
        <v>64</v>
      </c>
      <c r="H18" s="54">
        <v>27.22</v>
      </c>
      <c r="I18" s="54">
        <v>7.21</v>
      </c>
      <c r="J18" s="54">
        <v>0.95</v>
      </c>
      <c r="K18" s="54">
        <v>102.58</v>
      </c>
      <c r="L18" s="54">
        <v>30.39</v>
      </c>
      <c r="M18" s="54">
        <v>72.69</v>
      </c>
      <c r="N18" s="54">
        <v>861.8</v>
      </c>
      <c r="O18" s="54">
        <v>0</v>
      </c>
      <c r="P18" s="54">
        <v>0.6</v>
      </c>
      <c r="Q18" s="54">
        <v>9.7899999999999991</v>
      </c>
      <c r="R18" s="43"/>
      <c r="S18" s="43"/>
      <c r="T18" s="43"/>
      <c r="U18" s="43"/>
    </row>
    <row r="19" spans="1:21" s="11" customFormat="1" x14ac:dyDescent="0.25">
      <c r="A19" s="53" t="s">
        <v>519</v>
      </c>
      <c r="B19" s="54">
        <v>8.19</v>
      </c>
      <c r="C19" s="54">
        <v>3.26</v>
      </c>
      <c r="D19" s="54">
        <v>12.04</v>
      </c>
      <c r="E19" s="54">
        <v>5.04</v>
      </c>
      <c r="F19" s="54">
        <v>3.82</v>
      </c>
      <c r="G19" s="54">
        <v>55.43</v>
      </c>
      <c r="H19" s="54">
        <v>22.73</v>
      </c>
      <c r="I19" s="54">
        <v>8.1300000000000008</v>
      </c>
      <c r="J19" s="54">
        <v>1.29</v>
      </c>
      <c r="K19" s="54">
        <v>109.67</v>
      </c>
      <c r="L19" s="54">
        <v>29.84</v>
      </c>
      <c r="M19" s="54">
        <v>69.37</v>
      </c>
      <c r="N19" s="54">
        <v>800.7</v>
      </c>
      <c r="O19" s="54">
        <v>0</v>
      </c>
      <c r="P19" s="54">
        <v>0.56999999999999995</v>
      </c>
      <c r="Q19" s="54">
        <v>9.8699999999999992</v>
      </c>
      <c r="R19" s="43"/>
      <c r="S19" s="43"/>
      <c r="T19" s="43"/>
      <c r="U19" s="43"/>
    </row>
    <row r="20" spans="1:21" s="11" customFormat="1" x14ac:dyDescent="0.25">
      <c r="A20" s="53" t="s">
        <v>520</v>
      </c>
      <c r="B20" s="54">
        <v>8.11</v>
      </c>
      <c r="C20" s="54">
        <v>3.18</v>
      </c>
      <c r="D20" s="54">
        <v>11.93</v>
      </c>
      <c r="E20" s="54">
        <v>4.9800000000000004</v>
      </c>
      <c r="F20" s="54">
        <v>5.07</v>
      </c>
      <c r="G20" s="54">
        <v>52</v>
      </c>
      <c r="H20" s="54">
        <v>20.14</v>
      </c>
      <c r="I20" s="54">
        <v>8.27</v>
      </c>
      <c r="J20" s="54">
        <v>1.21</v>
      </c>
      <c r="K20" s="54">
        <v>112.6</v>
      </c>
      <c r="L20" s="54">
        <v>30.6</v>
      </c>
      <c r="M20" s="54">
        <v>71.349999999999994</v>
      </c>
      <c r="N20" s="54">
        <v>970.7</v>
      </c>
      <c r="O20" s="54">
        <v>0</v>
      </c>
      <c r="P20" s="54">
        <v>0.54</v>
      </c>
      <c r="Q20" s="54">
        <v>9.82</v>
      </c>
      <c r="R20" s="43"/>
      <c r="S20" s="43"/>
      <c r="T20" s="43"/>
      <c r="U20" s="43"/>
    </row>
    <row r="21" spans="1:21" s="11" customFormat="1" x14ac:dyDescent="0.25">
      <c r="A21" s="53" t="s">
        <v>521</v>
      </c>
      <c r="B21" s="54">
        <v>8.08</v>
      </c>
      <c r="C21" s="54">
        <v>3.26</v>
      </c>
      <c r="D21" s="54">
        <v>11.96</v>
      </c>
      <c r="E21" s="54">
        <v>4.2</v>
      </c>
      <c r="F21" s="54">
        <v>4.88</v>
      </c>
      <c r="G21" s="54">
        <v>52</v>
      </c>
      <c r="H21" s="54">
        <v>18.02</v>
      </c>
      <c r="I21" s="54">
        <v>7.64</v>
      </c>
      <c r="J21" s="54">
        <v>0.8</v>
      </c>
      <c r="K21" s="54">
        <v>342.53</v>
      </c>
      <c r="L21" s="54">
        <v>31.65</v>
      </c>
      <c r="M21" s="54">
        <v>67.66</v>
      </c>
      <c r="N21" s="54">
        <v>963.7</v>
      </c>
      <c r="O21" s="54">
        <v>0</v>
      </c>
      <c r="P21" s="54">
        <v>0.48</v>
      </c>
      <c r="Q21" s="54">
        <v>9.6199999999999992</v>
      </c>
      <c r="R21" s="43"/>
      <c r="S21" s="43"/>
      <c r="T21" s="43"/>
      <c r="U21" s="43"/>
    </row>
    <row r="22" spans="1:21" s="11" customFormat="1" x14ac:dyDescent="0.25">
      <c r="A22" s="53" t="s">
        <v>522</v>
      </c>
      <c r="B22" s="54">
        <v>8.07</v>
      </c>
      <c r="C22" s="54">
        <v>3.23</v>
      </c>
      <c r="D22" s="54">
        <v>11.93</v>
      </c>
      <c r="E22" s="54">
        <v>4.42</v>
      </c>
      <c r="F22" s="54">
        <v>5.41</v>
      </c>
      <c r="G22" s="54">
        <v>64.97</v>
      </c>
      <c r="H22" s="54">
        <v>20.68</v>
      </c>
      <c r="I22" s="54">
        <v>6.5</v>
      </c>
      <c r="J22" s="54">
        <v>1.69</v>
      </c>
      <c r="K22" s="54">
        <v>339.99</v>
      </c>
      <c r="L22" s="54">
        <v>33.71</v>
      </c>
      <c r="M22" s="54">
        <v>63.22</v>
      </c>
      <c r="N22" s="54">
        <v>1032.8</v>
      </c>
      <c r="O22" s="54">
        <v>0</v>
      </c>
      <c r="P22" s="54">
        <v>0.5</v>
      </c>
      <c r="Q22" s="54">
        <v>9.4600000000000009</v>
      </c>
      <c r="R22" s="43"/>
      <c r="S22" s="43"/>
      <c r="T22" s="43"/>
      <c r="U22" s="43"/>
    </row>
    <row r="23" spans="1:21" s="11" customFormat="1" x14ac:dyDescent="0.25">
      <c r="A23" s="53" t="s">
        <v>523</v>
      </c>
      <c r="B23" s="54">
        <v>8.07</v>
      </c>
      <c r="C23" s="54">
        <v>3.19</v>
      </c>
      <c r="D23" s="54">
        <v>11.91</v>
      </c>
      <c r="E23" s="54">
        <v>4.09</v>
      </c>
      <c r="F23" s="54">
        <v>12.12</v>
      </c>
      <c r="G23" s="54">
        <v>66.83</v>
      </c>
      <c r="H23" s="54">
        <v>20.68</v>
      </c>
      <c r="I23" s="54">
        <v>5.75</v>
      </c>
      <c r="J23" s="54">
        <v>1.99</v>
      </c>
      <c r="K23" s="54">
        <v>347.64</v>
      </c>
      <c r="L23" s="54">
        <v>32.979999999999997</v>
      </c>
      <c r="M23" s="54">
        <v>59.4</v>
      </c>
      <c r="N23" s="54">
        <v>587.4</v>
      </c>
      <c r="O23" s="54">
        <v>0</v>
      </c>
      <c r="P23" s="54">
        <v>0.53</v>
      </c>
      <c r="Q23" s="54">
        <v>9.44</v>
      </c>
      <c r="R23" s="43"/>
      <c r="S23" s="43"/>
      <c r="T23" s="43"/>
      <c r="U23" s="43"/>
    </row>
    <row r="24" spans="1:21" s="11" customFormat="1" x14ac:dyDescent="0.25">
      <c r="A24" s="53" t="s">
        <v>524</v>
      </c>
      <c r="B24" s="54">
        <v>8.1199999999999992</v>
      </c>
      <c r="C24" s="54">
        <v>3.25</v>
      </c>
      <c r="D24" s="54">
        <v>11.98</v>
      </c>
      <c r="E24" s="54">
        <v>3.98</v>
      </c>
      <c r="F24" s="54">
        <v>7.79</v>
      </c>
      <c r="G24" s="54">
        <v>66.83</v>
      </c>
      <c r="H24" s="54">
        <v>17.04</v>
      </c>
      <c r="I24" s="54">
        <v>4.0599999999999996</v>
      </c>
      <c r="J24" s="54">
        <v>1.69</v>
      </c>
      <c r="K24" s="54">
        <v>337.99</v>
      </c>
      <c r="L24" s="54">
        <v>32.799999999999997</v>
      </c>
      <c r="M24" s="54">
        <v>59.96</v>
      </c>
      <c r="N24" s="54">
        <v>527.29999999999995</v>
      </c>
      <c r="O24" s="54">
        <v>0</v>
      </c>
      <c r="P24" s="54">
        <v>0.51</v>
      </c>
      <c r="Q24" s="54">
        <v>9.4499999999999993</v>
      </c>
      <c r="R24" s="43"/>
      <c r="S24" s="43"/>
      <c r="T24" s="43"/>
      <c r="U24" s="43"/>
    </row>
    <row r="25" spans="1:21" s="11" customFormat="1" x14ac:dyDescent="0.25">
      <c r="A25" s="53" t="s">
        <v>525</v>
      </c>
      <c r="B25" s="54">
        <v>8.1</v>
      </c>
      <c r="C25" s="54">
        <v>3.26</v>
      </c>
      <c r="D25" s="54">
        <v>11.97</v>
      </c>
      <c r="E25" s="54">
        <v>4.45</v>
      </c>
      <c r="F25" s="54">
        <v>5.41</v>
      </c>
      <c r="G25" s="54">
        <v>63.9</v>
      </c>
      <c r="H25" s="54">
        <v>16.63</v>
      </c>
      <c r="I25" s="54">
        <v>4.76</v>
      </c>
      <c r="J25" s="54">
        <v>1.38</v>
      </c>
      <c r="K25" s="54">
        <v>352.78</v>
      </c>
      <c r="L25" s="54">
        <v>31.36</v>
      </c>
      <c r="M25" s="54">
        <v>63.52</v>
      </c>
      <c r="N25" s="54">
        <v>190.4</v>
      </c>
      <c r="O25" s="54">
        <v>0</v>
      </c>
      <c r="P25" s="54">
        <v>0.57999999999999996</v>
      </c>
      <c r="Q25" s="54">
        <v>9.59</v>
      </c>
      <c r="R25" s="43"/>
      <c r="S25" s="43"/>
      <c r="T25" s="43"/>
      <c r="U25" s="43"/>
    </row>
    <row r="26" spans="1:21" s="11" customFormat="1" x14ac:dyDescent="0.25">
      <c r="A26" s="53" t="s">
        <v>526</v>
      </c>
      <c r="B26" s="54">
        <v>8.08</v>
      </c>
      <c r="C26" s="54">
        <v>3.35</v>
      </c>
      <c r="D26" s="54">
        <v>12</v>
      </c>
      <c r="E26" s="54">
        <v>4.5599999999999996</v>
      </c>
      <c r="F26" s="54">
        <v>6.44</v>
      </c>
      <c r="G26" s="54">
        <v>72.66</v>
      </c>
      <c r="H26" s="54">
        <v>21.56</v>
      </c>
      <c r="I26" s="54">
        <v>4.83</v>
      </c>
      <c r="J26" s="54">
        <v>2.2000000000000002</v>
      </c>
      <c r="K26" s="54">
        <v>340.56</v>
      </c>
      <c r="L26" s="54">
        <v>31.36</v>
      </c>
      <c r="M26" s="54">
        <v>62.43</v>
      </c>
      <c r="N26" s="54">
        <v>179.3</v>
      </c>
      <c r="O26" s="54">
        <v>0</v>
      </c>
      <c r="P26" s="54">
        <v>0.64</v>
      </c>
      <c r="Q26" s="54">
        <v>9.64</v>
      </c>
      <c r="R26" s="43"/>
      <c r="S26" s="43"/>
      <c r="T26" s="43"/>
      <c r="U26" s="43"/>
    </row>
    <row r="27" spans="1:21" s="11" customFormat="1" x14ac:dyDescent="0.25">
      <c r="A27" s="53" t="s">
        <v>527</v>
      </c>
      <c r="B27" s="54">
        <v>8.07</v>
      </c>
      <c r="C27" s="54">
        <v>3.31</v>
      </c>
      <c r="D27" s="54">
        <v>11.98</v>
      </c>
      <c r="E27" s="54">
        <v>4.24</v>
      </c>
      <c r="F27" s="54">
        <v>4.5199999999999996</v>
      </c>
      <c r="G27" s="54">
        <v>91.55</v>
      </c>
      <c r="H27" s="54">
        <v>21.56</v>
      </c>
      <c r="I27" s="54">
        <v>4.58</v>
      </c>
      <c r="J27" s="54">
        <v>1.52</v>
      </c>
      <c r="K27" s="54">
        <v>340.08</v>
      </c>
      <c r="L27" s="54">
        <v>30.52</v>
      </c>
      <c r="M27" s="54">
        <v>83.23</v>
      </c>
      <c r="N27" s="54">
        <v>83.3</v>
      </c>
      <c r="O27" s="54">
        <v>0.2</v>
      </c>
      <c r="P27" s="54">
        <v>0.72</v>
      </c>
      <c r="Q27" s="54">
        <v>9.4700000000000006</v>
      </c>
      <c r="R27" s="43"/>
      <c r="S27" s="43"/>
      <c r="T27" s="43"/>
      <c r="U27" s="43"/>
    </row>
    <row r="28" spans="1:21" s="11" customFormat="1" x14ac:dyDescent="0.25">
      <c r="A28" s="53" t="s">
        <v>528</v>
      </c>
      <c r="B28" s="54">
        <v>8.1300000000000008</v>
      </c>
      <c r="C28" s="54">
        <v>3.17</v>
      </c>
      <c r="D28" s="54">
        <v>11.95</v>
      </c>
      <c r="E28" s="54">
        <v>5.38</v>
      </c>
      <c r="F28" s="54">
        <v>3.63</v>
      </c>
      <c r="G28" s="54">
        <v>91.55</v>
      </c>
      <c r="H28" s="54">
        <v>29.21</v>
      </c>
      <c r="I28" s="54">
        <v>4.5199999999999996</v>
      </c>
      <c r="J28" s="54">
        <v>0.96</v>
      </c>
      <c r="K28" s="54">
        <v>333.03</v>
      </c>
      <c r="L28" s="54">
        <v>27.26</v>
      </c>
      <c r="M28" s="54">
        <v>93</v>
      </c>
      <c r="N28" s="54">
        <v>70.7</v>
      </c>
      <c r="O28" s="54">
        <v>0.2</v>
      </c>
      <c r="P28" s="54">
        <v>0.65</v>
      </c>
      <c r="Q28" s="54">
        <v>9.65</v>
      </c>
      <c r="R28" s="43"/>
      <c r="S28" s="43"/>
      <c r="T28" s="43"/>
      <c r="U28" s="43"/>
    </row>
    <row r="29" spans="1:21" s="11" customFormat="1" x14ac:dyDescent="0.25">
      <c r="A29" s="53" t="s">
        <v>529</v>
      </c>
      <c r="B29" s="54">
        <v>8.14</v>
      </c>
      <c r="C29" s="54">
        <v>3.27</v>
      </c>
      <c r="D29" s="54">
        <v>12.01</v>
      </c>
      <c r="E29" s="54">
        <v>5.22</v>
      </c>
      <c r="F29" s="54">
        <v>3.81</v>
      </c>
      <c r="G29" s="54">
        <v>67.680000000000007</v>
      </c>
      <c r="H29" s="54">
        <v>29.21</v>
      </c>
      <c r="I29" s="54">
        <v>4.6399999999999997</v>
      </c>
      <c r="J29" s="54">
        <v>0.54</v>
      </c>
      <c r="K29" s="54">
        <v>359.43</v>
      </c>
      <c r="L29" s="54">
        <v>25.13</v>
      </c>
      <c r="M29" s="54">
        <v>99.04</v>
      </c>
      <c r="N29" s="54">
        <v>69.2</v>
      </c>
      <c r="O29" s="54">
        <v>0.2</v>
      </c>
      <c r="P29" s="54">
        <v>0.62</v>
      </c>
      <c r="Q29" s="54">
        <v>9.67</v>
      </c>
      <c r="R29" s="43"/>
      <c r="S29" s="43"/>
      <c r="T29" s="43"/>
      <c r="U29" s="43"/>
    </row>
    <row r="30" spans="1:21" s="11" customFormat="1" x14ac:dyDescent="0.25">
      <c r="A30" s="53" t="s">
        <v>530</v>
      </c>
      <c r="B30" s="54">
        <v>8.1300000000000008</v>
      </c>
      <c r="C30" s="54">
        <v>3.24</v>
      </c>
      <c r="D30" s="54">
        <v>11.98</v>
      </c>
      <c r="E30" s="54">
        <v>5.57</v>
      </c>
      <c r="F30" s="54">
        <v>4.2</v>
      </c>
      <c r="G30" s="54">
        <v>55.56</v>
      </c>
      <c r="H30" s="54">
        <v>17.53</v>
      </c>
      <c r="I30" s="54">
        <v>4.34</v>
      </c>
      <c r="J30" s="54">
        <v>0.6</v>
      </c>
      <c r="K30" s="54">
        <v>352.16</v>
      </c>
      <c r="L30" s="54">
        <v>24.29</v>
      </c>
      <c r="M30" s="54">
        <v>99.04</v>
      </c>
      <c r="N30" s="54">
        <v>68.8</v>
      </c>
      <c r="O30" s="54">
        <v>0</v>
      </c>
      <c r="P30" s="54">
        <v>0.61</v>
      </c>
      <c r="Q30" s="54">
        <v>9.65</v>
      </c>
      <c r="R30" s="43"/>
      <c r="S30" s="43"/>
      <c r="T30" s="43"/>
      <c r="U30" s="43"/>
    </row>
    <row r="31" spans="1:21" s="11" customFormat="1" x14ac:dyDescent="0.25">
      <c r="A31" s="53" t="s">
        <v>531</v>
      </c>
      <c r="B31" s="54">
        <v>8.11</v>
      </c>
      <c r="C31" s="54">
        <v>3.22</v>
      </c>
      <c r="D31" s="54">
        <v>11.96</v>
      </c>
      <c r="E31" s="54">
        <v>5.52</v>
      </c>
      <c r="F31" s="54">
        <v>4.53</v>
      </c>
      <c r="G31" s="54">
        <v>41.06</v>
      </c>
      <c r="H31" s="54">
        <v>16.75</v>
      </c>
      <c r="I31" s="54">
        <v>3.89</v>
      </c>
      <c r="J31" s="54">
        <v>0.61</v>
      </c>
      <c r="K31" s="54">
        <v>355.62</v>
      </c>
      <c r="L31" s="54">
        <v>24.09</v>
      </c>
      <c r="M31" s="54">
        <v>99.05</v>
      </c>
      <c r="N31" s="54">
        <v>69.599999999999994</v>
      </c>
      <c r="O31" s="54">
        <v>0</v>
      </c>
      <c r="P31" s="54">
        <v>0.56000000000000005</v>
      </c>
      <c r="Q31" s="54">
        <v>9.6300000000000008</v>
      </c>
      <c r="R31" s="43"/>
      <c r="S31" s="43"/>
      <c r="T31" s="43"/>
      <c r="U31" s="43"/>
    </row>
    <row r="32" spans="1:21" s="11" customFormat="1" x14ac:dyDescent="0.25">
      <c r="A32" s="53" t="s">
        <v>532</v>
      </c>
      <c r="B32" s="54">
        <v>8.2200000000000006</v>
      </c>
      <c r="C32" s="54">
        <v>3.55</v>
      </c>
      <c r="D32" s="54">
        <v>12.22</v>
      </c>
      <c r="E32" s="54">
        <v>5.91</v>
      </c>
      <c r="F32" s="54">
        <v>5.14</v>
      </c>
      <c r="G32" s="54">
        <v>33.130000000000003</v>
      </c>
      <c r="H32" s="54">
        <v>12.1</v>
      </c>
      <c r="I32" s="54">
        <v>3.98</v>
      </c>
      <c r="J32" s="54">
        <v>1</v>
      </c>
      <c r="K32" s="54">
        <v>358.26</v>
      </c>
      <c r="L32" s="54">
        <v>23.84</v>
      </c>
      <c r="M32" s="54">
        <v>99.02</v>
      </c>
      <c r="N32" s="54">
        <v>69.599999999999994</v>
      </c>
      <c r="O32" s="54">
        <v>0</v>
      </c>
      <c r="P32" s="54">
        <v>0.57999999999999996</v>
      </c>
      <c r="Q32" s="54">
        <v>9.4499999999999993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8.07</v>
      </c>
      <c r="C34" s="28">
        <f t="shared" si="0"/>
        <v>3.1</v>
      </c>
      <c r="D34" s="28">
        <f t="shared" si="0"/>
        <v>11.89</v>
      </c>
      <c r="E34" s="28">
        <f t="shared" si="0"/>
        <v>3.98</v>
      </c>
      <c r="F34" s="28">
        <f t="shared" si="0"/>
        <v>3.43</v>
      </c>
      <c r="G34" s="28">
        <f t="shared" si="0"/>
        <v>33.130000000000003</v>
      </c>
      <c r="H34" s="28">
        <f t="shared" si="0"/>
        <v>12.1</v>
      </c>
      <c r="I34" s="28">
        <f t="shared" si="0"/>
        <v>3.89</v>
      </c>
      <c r="J34" s="28">
        <f t="shared" si="0"/>
        <v>0.49</v>
      </c>
      <c r="K34" s="28">
        <f t="shared" si="0"/>
        <v>102.58</v>
      </c>
      <c r="L34" s="28">
        <f t="shared" si="0"/>
        <v>23.84</v>
      </c>
      <c r="M34" s="28">
        <f t="shared" si="0"/>
        <v>59.4</v>
      </c>
      <c r="N34" s="28">
        <f t="shared" si="0"/>
        <v>68.8</v>
      </c>
      <c r="O34" s="28">
        <f t="shared" si="0"/>
        <v>0</v>
      </c>
      <c r="P34" s="28">
        <f t="shared" si="0"/>
        <v>0.48</v>
      </c>
      <c r="Q34" s="28">
        <f t="shared" si="0"/>
        <v>9.44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8.2200000000000006</v>
      </c>
      <c r="C35" s="29">
        <f t="shared" si="1"/>
        <v>3.55</v>
      </c>
      <c r="D35" s="29">
        <f t="shared" si="1"/>
        <v>12.22</v>
      </c>
      <c r="E35" s="29">
        <f t="shared" si="1"/>
        <v>5.91</v>
      </c>
      <c r="F35" s="29">
        <f t="shared" si="1"/>
        <v>12.12</v>
      </c>
      <c r="G35" s="29">
        <f t="shared" si="1"/>
        <v>91.55</v>
      </c>
      <c r="H35" s="29">
        <f t="shared" si="1"/>
        <v>29.21</v>
      </c>
      <c r="I35" s="29">
        <f t="shared" si="1"/>
        <v>8.27</v>
      </c>
      <c r="J35" s="29">
        <f t="shared" si="1"/>
        <v>2.2000000000000002</v>
      </c>
      <c r="K35" s="29">
        <f t="shared" si="1"/>
        <v>359.43</v>
      </c>
      <c r="L35" s="29">
        <f t="shared" si="1"/>
        <v>33.71</v>
      </c>
      <c r="M35" s="29">
        <f t="shared" si="1"/>
        <v>99.05</v>
      </c>
      <c r="N35" s="29">
        <f t="shared" si="1"/>
        <v>1032.8</v>
      </c>
      <c r="O35" s="29">
        <f t="shared" si="1"/>
        <v>1.2</v>
      </c>
      <c r="P35" s="29">
        <f t="shared" si="1"/>
        <v>0.72</v>
      </c>
      <c r="Q35" s="29">
        <f t="shared" si="1"/>
        <v>9.8699999999999992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8.1241666666666656</v>
      </c>
      <c r="C36" s="28">
        <f t="shared" si="2"/>
        <v>3.2345833333333327</v>
      </c>
      <c r="D36" s="28">
        <f t="shared" si="2"/>
        <v>11.977499999999999</v>
      </c>
      <c r="E36" s="28">
        <f t="shared" si="2"/>
        <v>4.9083333333333332</v>
      </c>
      <c r="F36" s="28">
        <f t="shared" si="2"/>
        <v>4.7595833333333335</v>
      </c>
      <c r="G36" s="28">
        <f t="shared" si="2"/>
        <v>64.435833333333335</v>
      </c>
      <c r="H36" s="28">
        <f t="shared" si="2"/>
        <v>20.452500000000001</v>
      </c>
      <c r="I36" s="28">
        <f t="shared" si="2"/>
        <v>5.6704166666666653</v>
      </c>
      <c r="J36" s="28">
        <f t="shared" si="2"/>
        <v>1.1241666666666668</v>
      </c>
      <c r="K36" s="28">
        <f t="shared" si="2"/>
        <v>310.34499999999997</v>
      </c>
      <c r="L36" s="28">
        <f t="shared" si="2"/>
        <v>28.016249999999999</v>
      </c>
      <c r="M36" s="28">
        <f t="shared" si="2"/>
        <v>85.265416666666667</v>
      </c>
      <c r="N36" s="28">
        <f t="shared" si="2"/>
        <v>332.2</v>
      </c>
      <c r="O36" s="28">
        <f t="shared" si="2"/>
        <v>7.4999999999999997E-2</v>
      </c>
      <c r="P36" s="28">
        <f t="shared" si="2"/>
        <v>0.58875</v>
      </c>
      <c r="Q36" s="28">
        <f t="shared" si="2"/>
        <v>9.6337499999999991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3.9000185804091085E-2</v>
      </c>
      <c r="C37" s="28">
        <f t="shared" ref="C37:Q37" si="3">STDEV(C9:C32)</f>
        <v>9.3062819674653588E-2</v>
      </c>
      <c r="D37" s="28">
        <f t="shared" si="3"/>
        <v>6.4757071126399529E-2</v>
      </c>
      <c r="E37" s="28">
        <f t="shared" si="3"/>
        <v>0.50310053163114055</v>
      </c>
      <c r="F37" s="28">
        <f t="shared" si="3"/>
        <v>1.8879583616601077</v>
      </c>
      <c r="G37" s="28">
        <f t="shared" si="3"/>
        <v>13.124140027037001</v>
      </c>
      <c r="H37" s="28">
        <f t="shared" si="3"/>
        <v>4.2828832730340425</v>
      </c>
      <c r="I37" s="28">
        <f t="shared" si="3"/>
        <v>1.3270610849499063</v>
      </c>
      <c r="J37" s="28">
        <f t="shared" si="3"/>
        <v>0.472099074593336</v>
      </c>
      <c r="K37" s="28">
        <f t="shared" si="3"/>
        <v>79.301166996183184</v>
      </c>
      <c r="L37" s="28">
        <f t="shared" si="3"/>
        <v>3.3442238489930269</v>
      </c>
      <c r="M37" s="28">
        <f t="shared" si="3"/>
        <v>16.253911363159641</v>
      </c>
      <c r="N37" s="28">
        <f t="shared" si="3"/>
        <v>355.36242736480841</v>
      </c>
      <c r="O37" s="28">
        <f t="shared" si="3"/>
        <v>0.24891067019943205</v>
      </c>
      <c r="P37" s="28">
        <f t="shared" si="3"/>
        <v>5.5584835279448998E-2</v>
      </c>
      <c r="Q37" s="28">
        <f t="shared" si="3"/>
        <v>0.11668659250130328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533</v>
      </c>
      <c r="B9" s="50">
        <v>8.09</v>
      </c>
      <c r="C9" s="50">
        <v>3.11</v>
      </c>
      <c r="D9" s="50">
        <v>11.87</v>
      </c>
      <c r="E9" s="50">
        <v>2.91</v>
      </c>
      <c r="F9" s="50">
        <v>3.63</v>
      </c>
      <c r="G9" s="50">
        <v>32.380000000000003</v>
      </c>
      <c r="H9" s="50">
        <v>12.1</v>
      </c>
      <c r="I9" s="50">
        <v>4.8499999999999996</v>
      </c>
      <c r="J9" s="50">
        <v>0.4</v>
      </c>
      <c r="K9" s="50">
        <v>359.29</v>
      </c>
      <c r="L9" s="50">
        <v>23.5</v>
      </c>
      <c r="M9" s="50">
        <v>99.03</v>
      </c>
      <c r="N9" s="50">
        <v>68.2</v>
      </c>
      <c r="O9" s="50">
        <v>0</v>
      </c>
      <c r="P9" s="50">
        <v>0.51</v>
      </c>
      <c r="Q9" s="50">
        <v>9.68</v>
      </c>
      <c r="R9" s="43"/>
      <c r="S9" s="43"/>
      <c r="T9" s="43"/>
      <c r="U9" s="43"/>
    </row>
    <row r="10" spans="1:21" s="11" customFormat="1" x14ac:dyDescent="0.25">
      <c r="A10" s="49" t="s">
        <v>534</v>
      </c>
      <c r="B10" s="50">
        <v>8.09</v>
      </c>
      <c r="C10" s="50">
        <v>3.1</v>
      </c>
      <c r="D10" s="50">
        <v>11.88</v>
      </c>
      <c r="E10" s="50">
        <v>3.33</v>
      </c>
      <c r="F10" s="50">
        <v>5.98</v>
      </c>
      <c r="G10" s="50">
        <v>25.87</v>
      </c>
      <c r="H10" s="50">
        <v>8.6999999999999993</v>
      </c>
      <c r="I10" s="50">
        <v>4.8499999999999996</v>
      </c>
      <c r="J10" s="50">
        <v>0.6</v>
      </c>
      <c r="K10" s="50">
        <v>345.92</v>
      </c>
      <c r="L10" s="50">
        <v>23.51</v>
      </c>
      <c r="M10" s="50">
        <v>99.08</v>
      </c>
      <c r="N10" s="50">
        <v>70.2</v>
      </c>
      <c r="O10" s="50">
        <v>11</v>
      </c>
      <c r="P10" s="50">
        <v>0.49</v>
      </c>
      <c r="Q10" s="50">
        <v>9.69</v>
      </c>
      <c r="R10" s="43"/>
      <c r="S10" s="43"/>
      <c r="T10" s="43"/>
      <c r="U10" s="43"/>
    </row>
    <row r="11" spans="1:21" s="11" customFormat="1" x14ac:dyDescent="0.25">
      <c r="A11" s="49" t="s">
        <v>535</v>
      </c>
      <c r="B11" s="50">
        <v>8.1300000000000008</v>
      </c>
      <c r="C11" s="50">
        <v>3.17</v>
      </c>
      <c r="D11" s="50">
        <v>11.95</v>
      </c>
      <c r="E11" s="50">
        <v>3.36</v>
      </c>
      <c r="F11" s="50">
        <v>3.84</v>
      </c>
      <c r="G11" s="50">
        <v>18.670000000000002</v>
      </c>
      <c r="H11" s="50">
        <v>6.75</v>
      </c>
      <c r="I11" s="50">
        <v>4.42</v>
      </c>
      <c r="J11" s="50">
        <v>1.21</v>
      </c>
      <c r="K11" s="50">
        <v>339.26</v>
      </c>
      <c r="L11" s="50">
        <v>22.42</v>
      </c>
      <c r="M11" s="50">
        <v>99.08</v>
      </c>
      <c r="N11" s="50">
        <v>69.2</v>
      </c>
      <c r="O11" s="50">
        <v>0</v>
      </c>
      <c r="P11" s="50">
        <v>0.47</v>
      </c>
      <c r="Q11" s="50">
        <v>9.58</v>
      </c>
      <c r="R11" s="43"/>
      <c r="S11" s="43"/>
      <c r="T11" s="43"/>
      <c r="U11" s="43"/>
    </row>
    <row r="12" spans="1:21" s="11" customFormat="1" x14ac:dyDescent="0.25">
      <c r="A12" s="49" t="s">
        <v>536</v>
      </c>
      <c r="B12" s="50">
        <v>8.11</v>
      </c>
      <c r="C12" s="50">
        <v>3.15</v>
      </c>
      <c r="D12" s="50">
        <v>11.92</v>
      </c>
      <c r="E12" s="50">
        <v>4.5</v>
      </c>
      <c r="F12" s="50">
        <v>3.76</v>
      </c>
      <c r="G12" s="50">
        <v>37.799999999999997</v>
      </c>
      <c r="H12" s="50">
        <v>22.53</v>
      </c>
      <c r="I12" s="50">
        <v>4.0199999999999996</v>
      </c>
      <c r="J12" s="50">
        <v>1.1200000000000001</v>
      </c>
      <c r="K12" s="50">
        <v>337.33</v>
      </c>
      <c r="L12" s="50">
        <v>22.27</v>
      </c>
      <c r="M12" s="50">
        <v>99.08</v>
      </c>
      <c r="N12" s="50">
        <v>68.3</v>
      </c>
      <c r="O12" s="50">
        <v>0</v>
      </c>
      <c r="P12" s="50">
        <v>0.47</v>
      </c>
      <c r="Q12" s="50">
        <v>9.5500000000000007</v>
      </c>
      <c r="R12" s="43"/>
      <c r="S12" s="43"/>
      <c r="T12" s="43"/>
      <c r="U12" s="43"/>
    </row>
    <row r="13" spans="1:21" s="11" customFormat="1" x14ac:dyDescent="0.25">
      <c r="A13" s="49" t="s">
        <v>537</v>
      </c>
      <c r="B13" s="50">
        <v>8.23</v>
      </c>
      <c r="C13" s="50">
        <v>3.41</v>
      </c>
      <c r="D13" s="50">
        <v>12.15</v>
      </c>
      <c r="E13" s="50">
        <v>4.3499999999999996</v>
      </c>
      <c r="F13" s="50">
        <v>3.7</v>
      </c>
      <c r="G13" s="50">
        <v>60.95</v>
      </c>
      <c r="H13" s="50">
        <v>27.97</v>
      </c>
      <c r="I13" s="50">
        <v>4.51</v>
      </c>
      <c r="J13" s="50">
        <v>0.48</v>
      </c>
      <c r="K13" s="50">
        <v>324.5</v>
      </c>
      <c r="L13" s="50">
        <v>22.63</v>
      </c>
      <c r="M13" s="50">
        <v>99.08</v>
      </c>
      <c r="N13" s="50">
        <v>68</v>
      </c>
      <c r="O13" s="50">
        <v>0</v>
      </c>
      <c r="P13" s="50">
        <v>0.48</v>
      </c>
      <c r="Q13" s="50">
        <v>9.59</v>
      </c>
      <c r="R13" s="43"/>
      <c r="S13" s="43"/>
      <c r="T13" s="43"/>
      <c r="U13" s="43"/>
    </row>
    <row r="14" spans="1:21" s="11" customFormat="1" x14ac:dyDescent="0.25">
      <c r="A14" s="49" t="s">
        <v>538</v>
      </c>
      <c r="B14" s="50">
        <v>8.14</v>
      </c>
      <c r="C14" s="50">
        <v>3.15</v>
      </c>
      <c r="D14" s="50">
        <v>11.95</v>
      </c>
      <c r="E14" s="50">
        <v>4.58</v>
      </c>
      <c r="F14" s="50">
        <v>3.31</v>
      </c>
      <c r="G14" s="50">
        <v>60.95</v>
      </c>
      <c r="H14" s="50">
        <v>27.97</v>
      </c>
      <c r="I14" s="50">
        <v>5.7</v>
      </c>
      <c r="J14" s="50">
        <v>0.59</v>
      </c>
      <c r="K14" s="50">
        <v>325.41000000000003</v>
      </c>
      <c r="L14" s="50">
        <v>23.06</v>
      </c>
      <c r="M14" s="50">
        <v>99.08</v>
      </c>
      <c r="N14" s="50">
        <v>89.7</v>
      </c>
      <c r="O14" s="50">
        <v>0</v>
      </c>
      <c r="P14" s="50">
        <v>0.5</v>
      </c>
      <c r="Q14" s="50">
        <v>9.64</v>
      </c>
      <c r="R14" s="43"/>
      <c r="S14" s="43"/>
      <c r="T14" s="43"/>
      <c r="U14" s="43"/>
    </row>
    <row r="15" spans="1:21" s="11" customFormat="1" x14ac:dyDescent="0.25">
      <c r="A15" s="49" t="s">
        <v>539</v>
      </c>
      <c r="B15" s="50">
        <v>8.16</v>
      </c>
      <c r="C15" s="50">
        <v>3.18</v>
      </c>
      <c r="D15" s="50">
        <v>11.98</v>
      </c>
      <c r="E15" s="50">
        <v>4.58</v>
      </c>
      <c r="F15" s="50">
        <v>3.76</v>
      </c>
      <c r="G15" s="50">
        <v>59.91</v>
      </c>
      <c r="H15" s="50">
        <v>24.02</v>
      </c>
      <c r="I15" s="50">
        <v>6.36</v>
      </c>
      <c r="J15" s="50">
        <v>0.78</v>
      </c>
      <c r="K15" s="50">
        <v>348.91</v>
      </c>
      <c r="L15" s="50">
        <v>23.64</v>
      </c>
      <c r="M15" s="50">
        <v>99.08</v>
      </c>
      <c r="N15" s="50">
        <v>195.8</v>
      </c>
      <c r="O15" s="50">
        <v>0</v>
      </c>
      <c r="P15" s="50">
        <v>0.53</v>
      </c>
      <c r="Q15" s="50">
        <v>9.69</v>
      </c>
      <c r="R15" s="43"/>
      <c r="S15" s="43"/>
      <c r="T15" s="43"/>
      <c r="U15" s="43"/>
    </row>
    <row r="16" spans="1:21" s="11" customFormat="1" x14ac:dyDescent="0.25">
      <c r="A16" s="49" t="s">
        <v>540</v>
      </c>
      <c r="B16" s="50">
        <v>8.27</v>
      </c>
      <c r="C16" s="50">
        <v>3.36</v>
      </c>
      <c r="D16" s="50">
        <v>12.16</v>
      </c>
      <c r="E16" s="50">
        <v>4.62</v>
      </c>
      <c r="F16" s="50">
        <v>3.73</v>
      </c>
      <c r="G16" s="50">
        <v>59.91</v>
      </c>
      <c r="H16" s="50">
        <v>23.04</v>
      </c>
      <c r="I16" s="50">
        <v>6.45</v>
      </c>
      <c r="J16" s="50">
        <v>0.48</v>
      </c>
      <c r="K16" s="50">
        <v>108.88</v>
      </c>
      <c r="L16" s="50">
        <v>24.59</v>
      </c>
      <c r="M16" s="50">
        <v>99.1</v>
      </c>
      <c r="N16" s="50">
        <v>340.5</v>
      </c>
      <c r="O16" s="50">
        <v>0</v>
      </c>
      <c r="P16" s="50">
        <v>0.56000000000000005</v>
      </c>
      <c r="Q16" s="50">
        <v>9.74</v>
      </c>
      <c r="R16" s="43"/>
      <c r="S16" s="43"/>
      <c r="T16" s="43"/>
      <c r="U16" s="43"/>
    </row>
    <row r="17" spans="1:21" s="11" customFormat="1" x14ac:dyDescent="0.25">
      <c r="A17" s="49" t="s">
        <v>541</v>
      </c>
      <c r="B17" s="50">
        <v>8.2100000000000009</v>
      </c>
      <c r="C17" s="50">
        <v>3.28</v>
      </c>
      <c r="D17" s="50">
        <v>12.07</v>
      </c>
      <c r="E17" s="50">
        <v>4</v>
      </c>
      <c r="F17" s="50">
        <v>3.76</v>
      </c>
      <c r="G17" s="50">
        <v>54.48</v>
      </c>
      <c r="H17" s="50">
        <v>18.07</v>
      </c>
      <c r="I17" s="50">
        <v>7.09</v>
      </c>
      <c r="J17" s="50">
        <v>1.39</v>
      </c>
      <c r="K17" s="50">
        <v>115.94</v>
      </c>
      <c r="L17" s="50">
        <v>27.08</v>
      </c>
      <c r="M17" s="50">
        <v>99.01</v>
      </c>
      <c r="N17" s="50">
        <v>752.6</v>
      </c>
      <c r="O17" s="50">
        <v>0</v>
      </c>
      <c r="P17" s="50">
        <v>0.56000000000000005</v>
      </c>
      <c r="Q17" s="50">
        <v>9.85</v>
      </c>
      <c r="R17" s="43"/>
      <c r="S17" s="43"/>
      <c r="T17" s="43"/>
      <c r="U17" s="43"/>
    </row>
    <row r="18" spans="1:21" s="11" customFormat="1" x14ac:dyDescent="0.25">
      <c r="A18" s="49" t="s">
        <v>542</v>
      </c>
      <c r="B18" s="50">
        <v>8.19</v>
      </c>
      <c r="C18" s="50">
        <v>3.25</v>
      </c>
      <c r="D18" s="50">
        <v>12.04</v>
      </c>
      <c r="E18" s="50">
        <v>4.07</v>
      </c>
      <c r="F18" s="50">
        <v>3.72</v>
      </c>
      <c r="G18" s="50">
        <v>39.49</v>
      </c>
      <c r="H18" s="50">
        <v>17.62</v>
      </c>
      <c r="I18" s="50">
        <v>8.99</v>
      </c>
      <c r="J18" s="50">
        <v>1.45</v>
      </c>
      <c r="K18" s="50">
        <v>117.42</v>
      </c>
      <c r="L18" s="50">
        <v>27.89</v>
      </c>
      <c r="M18" s="50">
        <v>87.72</v>
      </c>
      <c r="N18" s="50">
        <v>652.5</v>
      </c>
      <c r="O18" s="50">
        <v>0</v>
      </c>
      <c r="P18" s="50">
        <v>0.52</v>
      </c>
      <c r="Q18" s="50">
        <v>9.84</v>
      </c>
      <c r="R18" s="43"/>
      <c r="S18" s="43"/>
      <c r="T18" s="43"/>
      <c r="U18" s="43"/>
    </row>
    <row r="19" spans="1:21" s="11" customFormat="1" x14ac:dyDescent="0.25">
      <c r="A19" s="49" t="s">
        <v>543</v>
      </c>
      <c r="B19" s="50">
        <v>8.2200000000000006</v>
      </c>
      <c r="C19" s="50">
        <v>3.25</v>
      </c>
      <c r="D19" s="50">
        <v>12.06</v>
      </c>
      <c r="E19" s="50">
        <v>4.1900000000000004</v>
      </c>
      <c r="F19" s="50">
        <v>3.97</v>
      </c>
      <c r="G19" s="50">
        <v>33.18</v>
      </c>
      <c r="H19" s="50">
        <v>12.34</v>
      </c>
      <c r="I19" s="50">
        <v>9.5399999999999991</v>
      </c>
      <c r="J19" s="50">
        <v>1.88</v>
      </c>
      <c r="K19" s="50">
        <v>348.26</v>
      </c>
      <c r="L19" s="50">
        <v>29.66</v>
      </c>
      <c r="M19" s="50">
        <v>76.569999999999993</v>
      </c>
      <c r="N19" s="50">
        <v>1084.5</v>
      </c>
      <c r="O19" s="50">
        <v>0</v>
      </c>
      <c r="P19" s="50">
        <v>0.5</v>
      </c>
      <c r="Q19" s="50">
        <v>9.75</v>
      </c>
      <c r="R19" s="43"/>
      <c r="S19" s="43"/>
      <c r="T19" s="43"/>
      <c r="U19" s="43"/>
    </row>
    <row r="20" spans="1:21" s="11" customFormat="1" x14ac:dyDescent="0.25">
      <c r="A20" s="49" t="s">
        <v>544</v>
      </c>
      <c r="B20" s="50">
        <v>8.1300000000000008</v>
      </c>
      <c r="C20" s="50">
        <v>3.15</v>
      </c>
      <c r="D20" s="50">
        <v>11.94</v>
      </c>
      <c r="E20" s="50">
        <v>4.5999999999999996</v>
      </c>
      <c r="F20" s="50">
        <v>3.87</v>
      </c>
      <c r="G20" s="50">
        <v>31.44</v>
      </c>
      <c r="H20" s="50">
        <v>14.24</v>
      </c>
      <c r="I20" s="50">
        <v>9.73</v>
      </c>
      <c r="J20" s="50">
        <v>1.47</v>
      </c>
      <c r="K20" s="50">
        <v>114.39</v>
      </c>
      <c r="L20" s="50">
        <v>29.97</v>
      </c>
      <c r="M20" s="50">
        <v>74.67</v>
      </c>
      <c r="N20" s="50">
        <v>970.7</v>
      </c>
      <c r="O20" s="50">
        <v>0</v>
      </c>
      <c r="P20" s="50">
        <v>0.46</v>
      </c>
      <c r="Q20" s="50">
        <v>9.61</v>
      </c>
      <c r="R20" s="43"/>
      <c r="S20" s="43"/>
      <c r="T20" s="43"/>
      <c r="U20" s="43"/>
    </row>
    <row r="21" spans="1:21" s="11" customFormat="1" x14ac:dyDescent="0.25">
      <c r="A21" s="49" t="s">
        <v>545</v>
      </c>
      <c r="B21" s="50">
        <v>8.15</v>
      </c>
      <c r="C21" s="50">
        <v>3.28</v>
      </c>
      <c r="D21" s="50">
        <v>12.02</v>
      </c>
      <c r="E21" s="50">
        <v>4.37</v>
      </c>
      <c r="F21" s="50">
        <v>3.77</v>
      </c>
      <c r="G21" s="50">
        <v>31.44</v>
      </c>
      <c r="H21" s="50">
        <v>14.24</v>
      </c>
      <c r="I21" s="50">
        <v>9.0399999999999991</v>
      </c>
      <c r="J21" s="50">
        <v>1.55</v>
      </c>
      <c r="K21" s="50">
        <v>115.7</v>
      </c>
      <c r="L21" s="50">
        <v>30.01</v>
      </c>
      <c r="M21" s="50">
        <v>72.17</v>
      </c>
      <c r="N21" s="50">
        <v>917.7</v>
      </c>
      <c r="O21" s="50">
        <v>0</v>
      </c>
      <c r="P21" s="50">
        <v>0.42</v>
      </c>
      <c r="Q21" s="50">
        <v>9.5299999999999994</v>
      </c>
      <c r="R21" s="43"/>
      <c r="S21" s="43"/>
      <c r="T21" s="43"/>
      <c r="U21" s="43"/>
    </row>
    <row r="22" spans="1:21" s="11" customFormat="1" x14ac:dyDescent="0.25">
      <c r="A22" s="49" t="s">
        <v>546</v>
      </c>
      <c r="B22" s="50">
        <v>8.1</v>
      </c>
      <c r="C22" s="50">
        <v>3.2</v>
      </c>
      <c r="D22" s="50">
        <v>11.94</v>
      </c>
      <c r="E22" s="50">
        <v>4.38</v>
      </c>
      <c r="F22" s="50">
        <v>3.73</v>
      </c>
      <c r="G22" s="50">
        <v>25.82</v>
      </c>
      <c r="H22" s="50">
        <v>10.37</v>
      </c>
      <c r="I22" s="50">
        <v>8.65</v>
      </c>
      <c r="J22" s="50">
        <v>1.49</v>
      </c>
      <c r="K22" s="50">
        <v>355.96</v>
      </c>
      <c r="L22" s="50">
        <v>32.46</v>
      </c>
      <c r="M22" s="50">
        <v>69.92</v>
      </c>
      <c r="N22" s="50">
        <v>955.8</v>
      </c>
      <c r="O22" s="50">
        <v>0</v>
      </c>
      <c r="P22" s="50">
        <v>0.39</v>
      </c>
      <c r="Q22" s="50">
        <v>9.49</v>
      </c>
      <c r="R22" s="43"/>
      <c r="S22" s="43"/>
      <c r="T22" s="43"/>
      <c r="U22" s="43"/>
    </row>
    <row r="23" spans="1:21" s="11" customFormat="1" x14ac:dyDescent="0.25">
      <c r="A23" s="49" t="s">
        <v>547</v>
      </c>
      <c r="B23" s="50">
        <v>8.1199999999999992</v>
      </c>
      <c r="C23" s="50">
        <v>3.13</v>
      </c>
      <c r="D23" s="50">
        <v>11.92</v>
      </c>
      <c r="E23" s="50">
        <v>4.68</v>
      </c>
      <c r="F23" s="50">
        <v>4.3099999999999996</v>
      </c>
      <c r="G23" s="50">
        <v>25.65</v>
      </c>
      <c r="H23" s="50">
        <v>7.92</v>
      </c>
      <c r="I23" s="50">
        <v>8.36</v>
      </c>
      <c r="J23" s="50">
        <v>0.74</v>
      </c>
      <c r="K23" s="50">
        <v>349.07</v>
      </c>
      <c r="L23" s="50">
        <v>31.31</v>
      </c>
      <c r="M23" s="50">
        <v>66.150000000000006</v>
      </c>
      <c r="N23" s="50">
        <v>444.7</v>
      </c>
      <c r="O23" s="50">
        <v>0</v>
      </c>
      <c r="P23" s="50">
        <v>0.4</v>
      </c>
      <c r="Q23" s="50">
        <v>9.4600000000000009</v>
      </c>
      <c r="R23" s="43"/>
      <c r="S23" s="43"/>
      <c r="T23" s="43"/>
      <c r="U23" s="43"/>
    </row>
    <row r="24" spans="1:21" s="11" customFormat="1" x14ac:dyDescent="0.25">
      <c r="A24" s="49" t="s">
        <v>548</v>
      </c>
      <c r="B24" s="50">
        <v>8.11</v>
      </c>
      <c r="C24" s="50">
        <v>3.19</v>
      </c>
      <c r="D24" s="50">
        <v>11.94</v>
      </c>
      <c r="E24" s="50">
        <v>4.5</v>
      </c>
      <c r="F24" s="50">
        <v>4.4400000000000004</v>
      </c>
      <c r="G24" s="50">
        <v>27.89</v>
      </c>
      <c r="H24" s="50">
        <v>8.1999999999999993</v>
      </c>
      <c r="I24" s="50">
        <v>7.62</v>
      </c>
      <c r="J24" s="50">
        <v>2.2000000000000002</v>
      </c>
      <c r="K24" s="50">
        <v>345.28</v>
      </c>
      <c r="L24" s="50">
        <v>32.020000000000003</v>
      </c>
      <c r="M24" s="50">
        <v>66.5</v>
      </c>
      <c r="N24" s="50">
        <v>351.1</v>
      </c>
      <c r="O24" s="50">
        <v>0</v>
      </c>
      <c r="P24" s="50">
        <v>0.42</v>
      </c>
      <c r="Q24" s="50">
        <v>9.49</v>
      </c>
      <c r="R24" s="43"/>
      <c r="S24" s="43"/>
      <c r="T24" s="43"/>
      <c r="U24" s="43"/>
    </row>
    <row r="25" spans="1:21" s="11" customFormat="1" x14ac:dyDescent="0.25">
      <c r="A25" s="49" t="s">
        <v>549</v>
      </c>
      <c r="B25" s="50">
        <v>8.15</v>
      </c>
      <c r="C25" s="50">
        <v>3.36</v>
      </c>
      <c r="D25" s="50">
        <v>12.07</v>
      </c>
      <c r="E25" s="50">
        <v>2.42</v>
      </c>
      <c r="F25" s="50">
        <v>3.9</v>
      </c>
      <c r="G25" s="50">
        <v>27.89</v>
      </c>
      <c r="H25" s="50">
        <v>8.1999999999999993</v>
      </c>
      <c r="I25" s="50">
        <v>6.53</v>
      </c>
      <c r="J25" s="50">
        <v>0.81</v>
      </c>
      <c r="K25" s="50">
        <v>115.08</v>
      </c>
      <c r="L25" s="50">
        <v>29.73</v>
      </c>
      <c r="M25" s="50">
        <v>67.319999999999993</v>
      </c>
      <c r="N25" s="50">
        <v>199.5</v>
      </c>
      <c r="O25" s="50">
        <v>0</v>
      </c>
      <c r="P25" s="50">
        <v>0.43</v>
      </c>
      <c r="Q25" s="50">
        <v>9.56</v>
      </c>
      <c r="R25" s="43"/>
      <c r="S25" s="43"/>
      <c r="T25" s="43"/>
      <c r="U25" s="43"/>
    </row>
    <row r="26" spans="1:21" s="11" customFormat="1" x14ac:dyDescent="0.25">
      <c r="A26" s="49" t="s">
        <v>550</v>
      </c>
      <c r="B26" s="50">
        <v>8.15</v>
      </c>
      <c r="C26" s="50">
        <v>3.27</v>
      </c>
      <c r="D26" s="50">
        <v>12.02</v>
      </c>
      <c r="E26" s="50">
        <v>2.4300000000000002</v>
      </c>
      <c r="F26" s="50">
        <v>4</v>
      </c>
      <c r="G26" s="50">
        <v>31.5</v>
      </c>
      <c r="H26" s="50">
        <v>7</v>
      </c>
      <c r="I26" s="50">
        <v>6.45</v>
      </c>
      <c r="J26" s="50">
        <v>1.6</v>
      </c>
      <c r="K26" s="50">
        <v>118.82</v>
      </c>
      <c r="L26" s="50">
        <v>28.89</v>
      </c>
      <c r="M26" s="50">
        <v>88.22</v>
      </c>
      <c r="N26" s="50">
        <v>89.2</v>
      </c>
      <c r="O26" s="50">
        <v>0.2</v>
      </c>
      <c r="P26" s="50">
        <v>0.43</v>
      </c>
      <c r="Q26" s="50">
        <v>9.6300000000000008</v>
      </c>
      <c r="R26" s="43"/>
      <c r="S26" s="43"/>
      <c r="T26" s="43"/>
      <c r="U26" s="43"/>
    </row>
    <row r="27" spans="1:21" s="11" customFormat="1" x14ac:dyDescent="0.25">
      <c r="A27" s="49" t="s">
        <v>551</v>
      </c>
      <c r="B27" s="50">
        <v>8.16</v>
      </c>
      <c r="C27" s="50">
        <v>3.33</v>
      </c>
      <c r="D27" s="50">
        <v>12.06</v>
      </c>
      <c r="E27" s="50">
        <v>2.6</v>
      </c>
      <c r="F27" s="50">
        <v>4.46</v>
      </c>
      <c r="G27" s="50">
        <v>31.5</v>
      </c>
      <c r="H27" s="50">
        <v>7</v>
      </c>
      <c r="I27" s="50">
        <v>6.97</v>
      </c>
      <c r="J27" s="50">
        <v>1.51</v>
      </c>
      <c r="K27" s="50">
        <v>176.56</v>
      </c>
      <c r="L27" s="50">
        <v>25.36</v>
      </c>
      <c r="M27" s="50">
        <v>99.08</v>
      </c>
      <c r="N27" s="50">
        <v>72.7</v>
      </c>
      <c r="O27" s="50">
        <v>4.4000000000000004</v>
      </c>
      <c r="P27" s="50">
        <v>0.42</v>
      </c>
      <c r="Q27" s="50">
        <v>9.6300000000000008</v>
      </c>
      <c r="R27" s="43"/>
      <c r="S27" s="43"/>
      <c r="T27" s="43"/>
      <c r="U27" s="43"/>
    </row>
    <row r="28" spans="1:21" s="11" customFormat="1" x14ac:dyDescent="0.25">
      <c r="A28" s="49" t="s">
        <v>552</v>
      </c>
      <c r="B28" s="50">
        <v>8.16</v>
      </c>
      <c r="C28" s="50">
        <v>3.24</v>
      </c>
      <c r="D28" s="50">
        <v>12.01</v>
      </c>
      <c r="E28" s="50">
        <v>4.4000000000000004</v>
      </c>
      <c r="F28" s="50">
        <v>3.64</v>
      </c>
      <c r="G28" s="50">
        <v>25.16</v>
      </c>
      <c r="H28" s="50">
        <v>5.38</v>
      </c>
      <c r="I28" s="50">
        <v>7</v>
      </c>
      <c r="J28" s="50">
        <v>1.38</v>
      </c>
      <c r="K28" s="50">
        <v>172.95</v>
      </c>
      <c r="L28" s="50">
        <v>23.57</v>
      </c>
      <c r="M28" s="50">
        <v>99.08</v>
      </c>
      <c r="N28" s="50">
        <v>66.8</v>
      </c>
      <c r="O28" s="50">
        <v>0.8</v>
      </c>
      <c r="P28" s="50">
        <v>0.4</v>
      </c>
      <c r="Q28" s="50">
        <v>9.6</v>
      </c>
      <c r="R28" s="43"/>
      <c r="S28" s="43"/>
      <c r="T28" s="43"/>
      <c r="U28" s="43"/>
    </row>
    <row r="29" spans="1:21" s="11" customFormat="1" x14ac:dyDescent="0.25">
      <c r="A29" s="49" t="s">
        <v>553</v>
      </c>
      <c r="B29" s="50">
        <v>8.08</v>
      </c>
      <c r="C29" s="50">
        <v>3.12</v>
      </c>
      <c r="D29" s="50">
        <v>11.88</v>
      </c>
      <c r="E29" s="50">
        <v>4.5</v>
      </c>
      <c r="F29" s="50">
        <v>4.4400000000000004</v>
      </c>
      <c r="G29" s="50">
        <v>22.37</v>
      </c>
      <c r="H29" s="50">
        <v>4.7300000000000004</v>
      </c>
      <c r="I29" s="50">
        <v>7.05</v>
      </c>
      <c r="J29" s="50">
        <v>0.45</v>
      </c>
      <c r="K29" s="50">
        <v>208.22</v>
      </c>
      <c r="L29" s="50">
        <v>23.58</v>
      </c>
      <c r="M29" s="50">
        <v>99.08</v>
      </c>
      <c r="N29" s="50">
        <v>66.099999999999994</v>
      </c>
      <c r="O29" s="50">
        <v>1</v>
      </c>
      <c r="P29" s="50">
        <v>0.41</v>
      </c>
      <c r="Q29" s="50">
        <v>9.5399999999999991</v>
      </c>
      <c r="R29" s="43"/>
      <c r="S29" s="43"/>
      <c r="T29" s="43"/>
      <c r="U29" s="43"/>
    </row>
    <row r="30" spans="1:21" s="11" customFormat="1" x14ac:dyDescent="0.25">
      <c r="A30" s="49" t="s">
        <v>554</v>
      </c>
      <c r="B30" s="50">
        <v>8.08</v>
      </c>
      <c r="C30" s="50">
        <v>3.12</v>
      </c>
      <c r="D30" s="50">
        <v>11.88</v>
      </c>
      <c r="E30" s="50">
        <v>4.25</v>
      </c>
      <c r="F30" s="50">
        <v>4.45</v>
      </c>
      <c r="G30" s="50">
        <v>15.69</v>
      </c>
      <c r="H30" s="50">
        <v>5.67</v>
      </c>
      <c r="I30" s="50">
        <v>5.8</v>
      </c>
      <c r="J30" s="50">
        <v>0.55000000000000004</v>
      </c>
      <c r="K30" s="50">
        <v>343.6</v>
      </c>
      <c r="L30" s="50">
        <v>23.52</v>
      </c>
      <c r="M30" s="50">
        <v>99.08</v>
      </c>
      <c r="N30" s="50">
        <v>65.5</v>
      </c>
      <c r="O30" s="50">
        <v>0</v>
      </c>
      <c r="P30" s="50">
        <v>0.4</v>
      </c>
      <c r="Q30" s="50">
        <v>9.4499999999999993</v>
      </c>
      <c r="R30" s="43"/>
      <c r="S30" s="43"/>
      <c r="T30" s="43"/>
      <c r="U30" s="43"/>
    </row>
    <row r="31" spans="1:21" s="11" customFormat="1" x14ac:dyDescent="0.25">
      <c r="A31" s="49" t="s">
        <v>555</v>
      </c>
      <c r="B31" s="50">
        <v>8.09</v>
      </c>
      <c r="C31" s="50">
        <v>3.14</v>
      </c>
      <c r="D31" s="50">
        <v>11.9</v>
      </c>
      <c r="E31" s="50">
        <v>4.53</v>
      </c>
      <c r="F31" s="50">
        <v>4.01</v>
      </c>
      <c r="G31" s="50">
        <v>13.41</v>
      </c>
      <c r="H31" s="50">
        <v>5.67</v>
      </c>
      <c r="I31" s="50">
        <v>4.38</v>
      </c>
      <c r="J31" s="50">
        <v>1.41</v>
      </c>
      <c r="K31" s="50">
        <v>331.65</v>
      </c>
      <c r="L31" s="50">
        <v>23.56</v>
      </c>
      <c r="M31" s="50">
        <v>99.08</v>
      </c>
      <c r="N31" s="50">
        <v>66.099999999999994</v>
      </c>
      <c r="O31" s="50">
        <v>2</v>
      </c>
      <c r="P31" s="50">
        <v>0.42</v>
      </c>
      <c r="Q31" s="50">
        <v>9.4</v>
      </c>
      <c r="R31" s="43"/>
      <c r="S31" s="43"/>
      <c r="T31" s="43"/>
      <c r="U31" s="43"/>
    </row>
    <row r="32" spans="1:21" s="11" customFormat="1" x14ac:dyDescent="0.25">
      <c r="A32" s="49" t="s">
        <v>556</v>
      </c>
      <c r="B32" s="50">
        <v>8.16</v>
      </c>
      <c r="C32" s="50">
        <v>3.23</v>
      </c>
      <c r="D32" s="50">
        <v>12</v>
      </c>
      <c r="E32" s="50">
        <v>4.41</v>
      </c>
      <c r="F32" s="50">
        <v>8.4600000000000009</v>
      </c>
      <c r="G32" s="50">
        <v>13.26</v>
      </c>
      <c r="H32" s="50">
        <v>5.55</v>
      </c>
      <c r="I32" s="50">
        <v>3.63</v>
      </c>
      <c r="J32" s="50">
        <v>0.75</v>
      </c>
      <c r="K32" s="50">
        <v>359.9</v>
      </c>
      <c r="L32" s="50">
        <v>23.04</v>
      </c>
      <c r="M32" s="50">
        <v>99.08</v>
      </c>
      <c r="N32" s="50">
        <v>65.2</v>
      </c>
      <c r="O32" s="50">
        <v>4.5999999999999996</v>
      </c>
      <c r="P32" s="50">
        <v>0.42</v>
      </c>
      <c r="Q32" s="50">
        <v>9.4600000000000009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8.08</v>
      </c>
      <c r="C34" s="28">
        <f t="shared" si="0"/>
        <v>3.1</v>
      </c>
      <c r="D34" s="28">
        <f t="shared" si="0"/>
        <v>11.87</v>
      </c>
      <c r="E34" s="28">
        <f t="shared" si="0"/>
        <v>2.42</v>
      </c>
      <c r="F34" s="28">
        <f t="shared" si="0"/>
        <v>3.31</v>
      </c>
      <c r="G34" s="28">
        <f t="shared" si="0"/>
        <v>13.26</v>
      </c>
      <c r="H34" s="28">
        <f t="shared" si="0"/>
        <v>4.7300000000000004</v>
      </c>
      <c r="I34" s="28">
        <f t="shared" si="0"/>
        <v>3.63</v>
      </c>
      <c r="J34" s="28">
        <f t="shared" si="0"/>
        <v>0.4</v>
      </c>
      <c r="K34" s="28">
        <f t="shared" si="0"/>
        <v>108.88</v>
      </c>
      <c r="L34" s="28">
        <f t="shared" si="0"/>
        <v>22.27</v>
      </c>
      <c r="M34" s="28">
        <f t="shared" si="0"/>
        <v>66.150000000000006</v>
      </c>
      <c r="N34" s="28">
        <f t="shared" si="0"/>
        <v>65.2</v>
      </c>
      <c r="O34" s="28">
        <f t="shared" si="0"/>
        <v>0</v>
      </c>
      <c r="P34" s="28">
        <f t="shared" si="0"/>
        <v>0.39</v>
      </c>
      <c r="Q34" s="28">
        <f t="shared" si="0"/>
        <v>9.4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8.27</v>
      </c>
      <c r="C35" s="29">
        <f t="shared" si="1"/>
        <v>3.41</v>
      </c>
      <c r="D35" s="29">
        <f t="shared" si="1"/>
        <v>12.16</v>
      </c>
      <c r="E35" s="29">
        <f t="shared" si="1"/>
        <v>4.68</v>
      </c>
      <c r="F35" s="29">
        <f t="shared" si="1"/>
        <v>8.4600000000000009</v>
      </c>
      <c r="G35" s="29">
        <f t="shared" si="1"/>
        <v>60.95</v>
      </c>
      <c r="H35" s="29">
        <f t="shared" si="1"/>
        <v>27.97</v>
      </c>
      <c r="I35" s="29">
        <f t="shared" si="1"/>
        <v>9.73</v>
      </c>
      <c r="J35" s="29">
        <f t="shared" si="1"/>
        <v>2.2000000000000002</v>
      </c>
      <c r="K35" s="29">
        <f t="shared" si="1"/>
        <v>359.9</v>
      </c>
      <c r="L35" s="29">
        <f t="shared" si="1"/>
        <v>32.46</v>
      </c>
      <c r="M35" s="29">
        <f t="shared" si="1"/>
        <v>99.1</v>
      </c>
      <c r="N35" s="29">
        <f t="shared" si="1"/>
        <v>1084.5</v>
      </c>
      <c r="O35" s="29">
        <f t="shared" si="1"/>
        <v>11</v>
      </c>
      <c r="P35" s="29">
        <f t="shared" si="1"/>
        <v>0.56000000000000005</v>
      </c>
      <c r="Q35" s="29">
        <f t="shared" si="1"/>
        <v>9.85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8.1450000000000014</v>
      </c>
      <c r="C36" s="28">
        <f t="shared" si="2"/>
        <v>3.2154166666666675</v>
      </c>
      <c r="D36" s="28">
        <f t="shared" si="2"/>
        <v>11.983749999999999</v>
      </c>
      <c r="E36" s="28">
        <f t="shared" si="2"/>
        <v>4.0233333333333334</v>
      </c>
      <c r="F36" s="28">
        <f t="shared" si="2"/>
        <v>4.1933333333333325</v>
      </c>
      <c r="G36" s="28">
        <f t="shared" si="2"/>
        <v>33.608750000000001</v>
      </c>
      <c r="H36" s="28">
        <f t="shared" si="2"/>
        <v>12.72</v>
      </c>
      <c r="I36" s="28">
        <f t="shared" si="2"/>
        <v>6.5829166666666685</v>
      </c>
      <c r="J36" s="28">
        <f t="shared" si="2"/>
        <v>1.0954166666666667</v>
      </c>
      <c r="K36" s="28">
        <f t="shared" si="2"/>
        <v>257.42916666666662</v>
      </c>
      <c r="L36" s="28">
        <f t="shared" si="2"/>
        <v>26.13625</v>
      </c>
      <c r="M36" s="28">
        <f t="shared" si="2"/>
        <v>89.805833333333339</v>
      </c>
      <c r="N36" s="28">
        <f t="shared" si="2"/>
        <v>324.60833333333335</v>
      </c>
      <c r="O36" s="28">
        <f t="shared" si="2"/>
        <v>1</v>
      </c>
      <c r="P36" s="28">
        <f t="shared" si="2"/>
        <v>0.45874999999999999</v>
      </c>
      <c r="Q36" s="28">
        <f t="shared" si="2"/>
        <v>9.6020833333333329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5.0562058296023185E-2</v>
      </c>
      <c r="C37" s="28">
        <f t="shared" ref="C37:Q37" si="3">STDEV(C9:C32)</f>
        <v>8.8464149784539522E-2</v>
      </c>
      <c r="D37" s="28">
        <f t="shared" si="3"/>
        <v>8.3500195261422355E-2</v>
      </c>
      <c r="E37" s="28">
        <f t="shared" si="3"/>
        <v>0.74310550872769732</v>
      </c>
      <c r="F37" s="28">
        <f t="shared" si="3"/>
        <v>1.0456604597580677</v>
      </c>
      <c r="G37" s="28">
        <f t="shared" si="3"/>
        <v>15.035698191593763</v>
      </c>
      <c r="H37" s="28">
        <f t="shared" si="3"/>
        <v>7.5427091200420291</v>
      </c>
      <c r="I37" s="28">
        <f t="shared" si="3"/>
        <v>1.8224195077749843</v>
      </c>
      <c r="J37" s="28">
        <f t="shared" si="3"/>
        <v>0.51303003697695848</v>
      </c>
      <c r="K37" s="28">
        <f t="shared" si="3"/>
        <v>107.15570904942051</v>
      </c>
      <c r="L37" s="28">
        <f t="shared" si="3"/>
        <v>3.4749836565145893</v>
      </c>
      <c r="M37" s="28">
        <f t="shared" si="3"/>
        <v>13.211151059572423</v>
      </c>
      <c r="N37" s="28">
        <f t="shared" si="3"/>
        <v>356.26011615436101</v>
      </c>
      <c r="O37" s="28">
        <f t="shared" si="3"/>
        <v>2.4952128078626359</v>
      </c>
      <c r="P37" s="28">
        <f t="shared" si="3"/>
        <v>5.2611165949907564E-2</v>
      </c>
      <c r="Q37" s="28">
        <f t="shared" si="3"/>
        <v>0.11927240165730468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557</v>
      </c>
      <c r="B9" s="54">
        <v>8.1300000000000008</v>
      </c>
      <c r="C9" s="54">
        <v>3.14</v>
      </c>
      <c r="D9" s="54">
        <v>11.93</v>
      </c>
      <c r="E9" s="54">
        <v>5.29</v>
      </c>
      <c r="F9" s="54">
        <v>4.67</v>
      </c>
      <c r="G9" s="54">
        <v>13.26</v>
      </c>
      <c r="H9" s="54">
        <v>4.58</v>
      </c>
      <c r="I9" s="54">
        <v>3.54</v>
      </c>
      <c r="J9" s="54">
        <v>0.7</v>
      </c>
      <c r="K9" s="54">
        <v>356.16</v>
      </c>
      <c r="L9" s="54">
        <v>23.03</v>
      </c>
      <c r="M9" s="54">
        <v>99.08</v>
      </c>
      <c r="N9" s="54">
        <v>65.099999999999994</v>
      </c>
      <c r="O9" s="54">
        <v>0.2</v>
      </c>
      <c r="P9" s="54">
        <v>0.39</v>
      </c>
      <c r="Q9" s="54">
        <v>9.4700000000000006</v>
      </c>
      <c r="R9" s="43"/>
      <c r="S9" s="43"/>
      <c r="T9" s="43"/>
      <c r="U9" s="43"/>
    </row>
    <row r="10" spans="1:21" s="11" customFormat="1" x14ac:dyDescent="0.25">
      <c r="A10" s="53" t="s">
        <v>558</v>
      </c>
      <c r="B10" s="54">
        <v>8.34</v>
      </c>
      <c r="C10" s="54">
        <v>3.84</v>
      </c>
      <c r="D10" s="54">
        <v>12.47</v>
      </c>
      <c r="E10" s="54">
        <v>5.24</v>
      </c>
      <c r="F10" s="54">
        <v>4.2300000000000004</v>
      </c>
      <c r="G10" s="54">
        <v>11.98</v>
      </c>
      <c r="H10" s="54">
        <v>5.24</v>
      </c>
      <c r="I10" s="54">
        <v>2.99</v>
      </c>
      <c r="J10" s="54">
        <v>0.89</v>
      </c>
      <c r="K10" s="54">
        <v>323.97000000000003</v>
      </c>
      <c r="L10" s="54">
        <v>23.01</v>
      </c>
      <c r="M10" s="54">
        <v>99.08</v>
      </c>
      <c r="N10" s="54">
        <v>65.099999999999994</v>
      </c>
      <c r="O10" s="54">
        <v>0.2</v>
      </c>
      <c r="P10" s="54">
        <v>0.37</v>
      </c>
      <c r="Q10" s="54">
        <v>9.3800000000000008</v>
      </c>
      <c r="R10" s="43"/>
      <c r="S10" s="43"/>
      <c r="T10" s="43"/>
      <c r="U10" s="43"/>
    </row>
    <row r="11" spans="1:21" s="11" customFormat="1" x14ac:dyDescent="0.25">
      <c r="A11" s="53" t="s">
        <v>559</v>
      </c>
      <c r="B11" s="54">
        <v>8.35</v>
      </c>
      <c r="C11" s="54">
        <v>3.85</v>
      </c>
      <c r="D11" s="54">
        <v>12.49</v>
      </c>
      <c r="E11" s="54">
        <v>4.8099999999999996</v>
      </c>
      <c r="F11" s="54">
        <v>4.09</v>
      </c>
      <c r="G11" s="54">
        <v>11.98</v>
      </c>
      <c r="H11" s="54">
        <v>5.24</v>
      </c>
      <c r="I11" s="54">
        <v>2.59</v>
      </c>
      <c r="J11" s="54">
        <v>0.97</v>
      </c>
      <c r="K11" s="54">
        <v>336.9</v>
      </c>
      <c r="L11" s="54">
        <v>23.08</v>
      </c>
      <c r="M11" s="54">
        <v>99.08</v>
      </c>
      <c r="N11" s="54">
        <v>65.099999999999994</v>
      </c>
      <c r="O11" s="54">
        <v>0.2</v>
      </c>
      <c r="P11" s="54">
        <v>0.34</v>
      </c>
      <c r="Q11" s="54">
        <v>9.4499999999999993</v>
      </c>
      <c r="R11" s="43"/>
      <c r="S11" s="43"/>
      <c r="T11" s="43"/>
      <c r="U11" s="43"/>
    </row>
    <row r="12" spans="1:21" s="11" customFormat="1" x14ac:dyDescent="0.25">
      <c r="A12" s="53" t="s">
        <v>560</v>
      </c>
      <c r="B12" s="54">
        <v>8.15</v>
      </c>
      <c r="C12" s="54">
        <v>3.11</v>
      </c>
      <c r="D12" s="54">
        <v>11.93</v>
      </c>
      <c r="E12" s="54">
        <v>5.07</v>
      </c>
      <c r="F12" s="54">
        <v>3.45</v>
      </c>
      <c r="G12" s="54">
        <v>8.42</v>
      </c>
      <c r="H12" s="54">
        <v>10.77</v>
      </c>
      <c r="I12" s="54">
        <v>3.06</v>
      </c>
      <c r="J12" s="54">
        <v>0.92</v>
      </c>
      <c r="K12" s="54">
        <v>356.39</v>
      </c>
      <c r="L12" s="54">
        <v>23.15</v>
      </c>
      <c r="M12" s="54">
        <v>99.08</v>
      </c>
      <c r="N12" s="54">
        <v>65.2</v>
      </c>
      <c r="O12" s="54">
        <v>0</v>
      </c>
      <c r="P12" s="54">
        <v>0.32</v>
      </c>
      <c r="Q12" s="54">
        <v>9.43</v>
      </c>
      <c r="R12" s="43"/>
      <c r="S12" s="43"/>
      <c r="T12" s="43"/>
      <c r="U12" s="43"/>
    </row>
    <row r="13" spans="1:21" s="11" customFormat="1" x14ac:dyDescent="0.25">
      <c r="A13" s="53" t="s">
        <v>561</v>
      </c>
      <c r="B13" s="54">
        <v>8.14</v>
      </c>
      <c r="C13" s="54">
        <v>3.12</v>
      </c>
      <c r="D13" s="54">
        <v>11.93</v>
      </c>
      <c r="E13" s="54">
        <v>4.55</v>
      </c>
      <c r="F13" s="54">
        <v>3.46</v>
      </c>
      <c r="G13" s="54">
        <v>6.25</v>
      </c>
      <c r="H13" s="54">
        <v>10.77</v>
      </c>
      <c r="I13" s="54">
        <v>3.26</v>
      </c>
      <c r="J13" s="54">
        <v>0.62</v>
      </c>
      <c r="K13" s="54">
        <v>336.26</v>
      </c>
      <c r="L13" s="54">
        <v>23.1</v>
      </c>
      <c r="M13" s="54">
        <v>99.08</v>
      </c>
      <c r="N13" s="54">
        <v>65.2</v>
      </c>
      <c r="O13" s="54">
        <v>0</v>
      </c>
      <c r="P13" s="54">
        <v>0.31</v>
      </c>
      <c r="Q13" s="54">
        <v>9.4600000000000009</v>
      </c>
      <c r="R13" s="43"/>
      <c r="S13" s="43"/>
      <c r="T13" s="43"/>
      <c r="U13" s="43"/>
    </row>
    <row r="14" spans="1:21" s="11" customFormat="1" x14ac:dyDescent="0.25">
      <c r="A14" s="53" t="s">
        <v>562</v>
      </c>
      <c r="B14" s="54">
        <v>8.43</v>
      </c>
      <c r="C14" s="54">
        <v>3.93</v>
      </c>
      <c r="D14" s="54">
        <v>12.59</v>
      </c>
      <c r="E14" s="54">
        <v>4.55</v>
      </c>
      <c r="F14" s="54">
        <v>4.2</v>
      </c>
      <c r="G14" s="54">
        <v>7.78</v>
      </c>
      <c r="H14" s="54">
        <v>3.13</v>
      </c>
      <c r="I14" s="54">
        <v>3.71</v>
      </c>
      <c r="J14" s="54">
        <v>0.73</v>
      </c>
      <c r="K14" s="54">
        <v>354.85</v>
      </c>
      <c r="L14" s="54">
        <v>23.03</v>
      </c>
      <c r="M14" s="54">
        <v>99.08</v>
      </c>
      <c r="N14" s="54">
        <v>97.8</v>
      </c>
      <c r="O14" s="54">
        <v>0</v>
      </c>
      <c r="P14" s="54">
        <v>0.32</v>
      </c>
      <c r="Q14" s="54">
        <v>9.4499999999999993</v>
      </c>
      <c r="R14" s="43"/>
      <c r="S14" s="43"/>
      <c r="T14" s="43"/>
      <c r="U14" s="43"/>
    </row>
    <row r="15" spans="1:21" s="11" customFormat="1" x14ac:dyDescent="0.25">
      <c r="A15" s="53" t="s">
        <v>563</v>
      </c>
      <c r="B15" s="54">
        <v>8.09</v>
      </c>
      <c r="C15" s="54">
        <v>3.17</v>
      </c>
      <c r="D15" s="54">
        <v>11.92</v>
      </c>
      <c r="E15" s="54">
        <v>4.7</v>
      </c>
      <c r="F15" s="54">
        <v>3.65</v>
      </c>
      <c r="G15" s="54">
        <v>9.68</v>
      </c>
      <c r="H15" s="54">
        <v>3.13</v>
      </c>
      <c r="I15" s="54">
        <v>3.89</v>
      </c>
      <c r="J15" s="54">
        <v>0.54</v>
      </c>
      <c r="K15" s="54">
        <v>341.09</v>
      </c>
      <c r="L15" s="54">
        <v>23.86</v>
      </c>
      <c r="M15" s="54">
        <v>99.13</v>
      </c>
      <c r="N15" s="54">
        <v>170.8</v>
      </c>
      <c r="O15" s="54">
        <v>0</v>
      </c>
      <c r="P15" s="54">
        <v>0.34</v>
      </c>
      <c r="Q15" s="54">
        <v>9.3699999999999992</v>
      </c>
      <c r="R15" s="43"/>
      <c r="S15" s="43"/>
      <c r="T15" s="43"/>
      <c r="U15" s="43"/>
    </row>
    <row r="16" spans="1:21" s="11" customFormat="1" x14ac:dyDescent="0.25">
      <c r="A16" s="53" t="s">
        <v>564</v>
      </c>
      <c r="B16" s="54">
        <v>8.3800000000000008</v>
      </c>
      <c r="C16" s="54">
        <v>3.77</v>
      </c>
      <c r="D16" s="54">
        <v>12.46</v>
      </c>
      <c r="E16" s="54">
        <v>5.84</v>
      </c>
      <c r="F16" s="54">
        <v>3.48</v>
      </c>
      <c r="G16" s="54">
        <v>19.350000000000001</v>
      </c>
      <c r="H16" s="54">
        <v>7.78</v>
      </c>
      <c r="I16" s="54">
        <v>4.0599999999999996</v>
      </c>
      <c r="J16" s="54">
        <v>0.67</v>
      </c>
      <c r="K16" s="54">
        <v>338.62</v>
      </c>
      <c r="L16" s="54">
        <v>25.44</v>
      </c>
      <c r="M16" s="54">
        <v>99.1</v>
      </c>
      <c r="N16" s="54">
        <v>300.60000000000002</v>
      </c>
      <c r="O16" s="54">
        <v>0</v>
      </c>
      <c r="P16" s="54">
        <v>0.37</v>
      </c>
      <c r="Q16" s="54">
        <v>9.51</v>
      </c>
      <c r="R16" s="43"/>
      <c r="S16" s="43"/>
      <c r="T16" s="43"/>
      <c r="U16" s="43"/>
    </row>
    <row r="17" spans="1:21" s="11" customFormat="1" x14ac:dyDescent="0.25">
      <c r="A17" s="53" t="s">
        <v>565</v>
      </c>
      <c r="B17" s="54">
        <v>8.32</v>
      </c>
      <c r="C17" s="54">
        <v>3.4</v>
      </c>
      <c r="D17" s="54">
        <v>12.22</v>
      </c>
      <c r="E17" s="54">
        <v>5.54</v>
      </c>
      <c r="F17" s="54">
        <v>3.41</v>
      </c>
      <c r="G17" s="54">
        <v>29.1</v>
      </c>
      <c r="H17" s="54">
        <v>21.7</v>
      </c>
      <c r="I17" s="54">
        <v>4.8600000000000003</v>
      </c>
      <c r="J17" s="54">
        <v>0.83</v>
      </c>
      <c r="K17" s="54">
        <v>330.2</v>
      </c>
      <c r="L17" s="54">
        <v>27.33</v>
      </c>
      <c r="M17" s="54">
        <v>99.05</v>
      </c>
      <c r="N17" s="54">
        <v>344.2</v>
      </c>
      <c r="O17" s="54">
        <v>0</v>
      </c>
      <c r="P17" s="54">
        <v>0.43</v>
      </c>
      <c r="Q17" s="54">
        <v>9.59</v>
      </c>
      <c r="R17" s="43"/>
      <c r="S17" s="43"/>
      <c r="T17" s="43"/>
      <c r="U17" s="43"/>
    </row>
    <row r="18" spans="1:21" s="11" customFormat="1" x14ac:dyDescent="0.25">
      <c r="A18" s="53" t="s">
        <v>566</v>
      </c>
      <c r="B18" s="54">
        <v>8.9499999999999993</v>
      </c>
      <c r="C18" s="54">
        <v>4.5599999999999996</v>
      </c>
      <c r="D18" s="54">
        <v>13.33</v>
      </c>
      <c r="E18" s="54">
        <v>6.15</v>
      </c>
      <c r="F18" s="54">
        <v>3.78</v>
      </c>
      <c r="G18" s="54">
        <v>45.01</v>
      </c>
      <c r="H18" s="54">
        <v>21.7</v>
      </c>
      <c r="I18" s="54">
        <v>5.55</v>
      </c>
      <c r="J18" s="54">
        <v>0.72</v>
      </c>
      <c r="K18" s="54">
        <v>334.71</v>
      </c>
      <c r="L18" s="54">
        <v>27.44</v>
      </c>
      <c r="M18" s="54">
        <v>98.31</v>
      </c>
      <c r="N18" s="54">
        <v>387.7</v>
      </c>
      <c r="O18" s="54">
        <v>0</v>
      </c>
      <c r="P18" s="54">
        <v>0.49</v>
      </c>
      <c r="Q18" s="54">
        <v>9.69</v>
      </c>
      <c r="R18" s="43"/>
      <c r="S18" s="43"/>
      <c r="T18" s="43"/>
      <c r="U18" s="43"/>
    </row>
    <row r="19" spans="1:21" s="11" customFormat="1" x14ac:dyDescent="0.25">
      <c r="A19" s="53" t="s">
        <v>567</v>
      </c>
      <c r="B19" s="54">
        <v>9.2200000000000006</v>
      </c>
      <c r="C19" s="54">
        <v>5.23</v>
      </c>
      <c r="D19" s="54">
        <v>13.9</v>
      </c>
      <c r="E19" s="54">
        <v>6.08</v>
      </c>
      <c r="F19" s="54">
        <v>4.17</v>
      </c>
      <c r="G19" s="54">
        <v>54.93</v>
      </c>
      <c r="H19" s="54">
        <v>27.2</v>
      </c>
      <c r="I19" s="54">
        <v>5.86</v>
      </c>
      <c r="J19" s="54">
        <v>0.44</v>
      </c>
      <c r="K19" s="54">
        <v>305.67</v>
      </c>
      <c r="L19" s="54">
        <v>28.43</v>
      </c>
      <c r="M19" s="54">
        <v>92.83</v>
      </c>
      <c r="N19" s="54">
        <v>453</v>
      </c>
      <c r="O19" s="54">
        <v>0</v>
      </c>
      <c r="P19" s="54">
        <v>0.53</v>
      </c>
      <c r="Q19" s="54">
        <v>9.69</v>
      </c>
      <c r="R19" s="43"/>
      <c r="S19" s="43"/>
      <c r="T19" s="43"/>
      <c r="U19" s="43"/>
    </row>
    <row r="20" spans="1:21" s="11" customFormat="1" x14ac:dyDescent="0.25">
      <c r="A20" s="53" t="s">
        <v>568</v>
      </c>
      <c r="B20" s="54">
        <v>8.7899999999999991</v>
      </c>
      <c r="C20" s="54">
        <v>4.46</v>
      </c>
      <c r="D20" s="54">
        <v>13.15</v>
      </c>
      <c r="E20" s="54">
        <v>5.76</v>
      </c>
      <c r="F20" s="54">
        <v>5.0599999999999996</v>
      </c>
      <c r="G20" s="54">
        <v>54.93</v>
      </c>
      <c r="H20" s="54">
        <v>27.2</v>
      </c>
      <c r="I20" s="54">
        <v>6.36</v>
      </c>
      <c r="J20" s="54">
        <v>0.92</v>
      </c>
      <c r="K20" s="54">
        <v>315.29000000000002</v>
      </c>
      <c r="L20" s="54">
        <v>28.47</v>
      </c>
      <c r="M20" s="54">
        <v>99.07</v>
      </c>
      <c r="N20" s="54">
        <v>324.39999999999998</v>
      </c>
      <c r="O20" s="54">
        <v>1.2</v>
      </c>
      <c r="P20" s="54">
        <v>0.6</v>
      </c>
      <c r="Q20" s="54">
        <v>9.73</v>
      </c>
      <c r="R20" s="43"/>
      <c r="S20" s="43"/>
      <c r="T20" s="43"/>
      <c r="U20" s="43"/>
    </row>
    <row r="21" spans="1:21" s="11" customFormat="1" x14ac:dyDescent="0.25">
      <c r="A21" s="53" t="s">
        <v>569</v>
      </c>
      <c r="B21" s="54">
        <v>9</v>
      </c>
      <c r="C21" s="54">
        <v>5.01</v>
      </c>
      <c r="D21" s="54">
        <v>13.61</v>
      </c>
      <c r="E21" s="54">
        <v>5.65</v>
      </c>
      <c r="F21" s="54">
        <v>5.1100000000000003</v>
      </c>
      <c r="G21" s="54">
        <v>53.42</v>
      </c>
      <c r="H21" s="54">
        <v>24.99</v>
      </c>
      <c r="I21" s="54">
        <v>7.19</v>
      </c>
      <c r="J21" s="54">
        <v>1.8</v>
      </c>
      <c r="K21" s="54">
        <v>289.91000000000003</v>
      </c>
      <c r="L21" s="54">
        <v>27.27</v>
      </c>
      <c r="M21" s="54">
        <v>99.05</v>
      </c>
      <c r="N21" s="54">
        <v>613.9</v>
      </c>
      <c r="O21" s="54">
        <v>0</v>
      </c>
      <c r="P21" s="54">
        <v>0.61</v>
      </c>
      <c r="Q21" s="54">
        <v>9.3800000000000008</v>
      </c>
      <c r="R21" s="43"/>
      <c r="S21" s="43"/>
      <c r="T21" s="43"/>
      <c r="U21" s="43"/>
    </row>
    <row r="22" spans="1:21" s="11" customFormat="1" x14ac:dyDescent="0.25">
      <c r="A22" s="53" t="s">
        <v>570</v>
      </c>
      <c r="B22" s="54">
        <v>8.2899999999999991</v>
      </c>
      <c r="C22" s="54">
        <v>3.43</v>
      </c>
      <c r="D22" s="54">
        <v>12.22</v>
      </c>
      <c r="E22" s="54">
        <v>5.39</v>
      </c>
      <c r="F22" s="54">
        <v>3.74</v>
      </c>
      <c r="G22" s="54">
        <v>53.42</v>
      </c>
      <c r="H22" s="54">
        <v>24.99</v>
      </c>
      <c r="I22" s="54">
        <v>8.7899999999999991</v>
      </c>
      <c r="J22" s="54">
        <v>1.78</v>
      </c>
      <c r="K22" s="54">
        <v>116.23</v>
      </c>
      <c r="L22" s="54">
        <v>27.31</v>
      </c>
      <c r="M22" s="54">
        <v>97.87</v>
      </c>
      <c r="N22" s="54">
        <v>493.7</v>
      </c>
      <c r="O22" s="54">
        <v>0</v>
      </c>
      <c r="P22" s="54">
        <v>0.5</v>
      </c>
      <c r="Q22" s="54">
        <v>9.7899999999999991</v>
      </c>
      <c r="R22" s="43"/>
      <c r="S22" s="43"/>
      <c r="T22" s="43"/>
      <c r="U22" s="43"/>
    </row>
    <row r="23" spans="1:21" s="11" customFormat="1" x14ac:dyDescent="0.25">
      <c r="A23" s="53" t="s">
        <v>571</v>
      </c>
      <c r="B23" s="54">
        <v>8.17</v>
      </c>
      <c r="C23" s="54">
        <v>3.27</v>
      </c>
      <c r="D23" s="54">
        <v>12.03</v>
      </c>
      <c r="E23" s="54">
        <v>5.13</v>
      </c>
      <c r="F23" s="54">
        <v>3.7</v>
      </c>
      <c r="G23" s="54">
        <v>40.92</v>
      </c>
      <c r="H23" s="54">
        <v>8.42</v>
      </c>
      <c r="I23" s="54">
        <v>9.44</v>
      </c>
      <c r="J23" s="54">
        <v>1.37</v>
      </c>
      <c r="K23" s="54">
        <v>120.98</v>
      </c>
      <c r="L23" s="54">
        <v>28.83</v>
      </c>
      <c r="M23" s="54">
        <v>85.7</v>
      </c>
      <c r="N23" s="54">
        <v>399.4</v>
      </c>
      <c r="O23" s="54">
        <v>0</v>
      </c>
      <c r="P23" s="54">
        <v>0.48</v>
      </c>
      <c r="Q23" s="54">
        <v>9.7799999999999994</v>
      </c>
      <c r="R23" s="43"/>
      <c r="S23" s="43"/>
      <c r="T23" s="43"/>
      <c r="U23" s="43"/>
    </row>
    <row r="24" spans="1:21" s="11" customFormat="1" x14ac:dyDescent="0.25">
      <c r="A24" s="53" t="s">
        <v>572</v>
      </c>
      <c r="B24" s="54">
        <v>8.1999999999999993</v>
      </c>
      <c r="C24" s="54">
        <v>3.35</v>
      </c>
      <c r="D24" s="54">
        <v>12.1</v>
      </c>
      <c r="E24" s="54">
        <v>5.16</v>
      </c>
      <c r="F24" s="54">
        <v>3.79</v>
      </c>
      <c r="G24" s="54">
        <v>37.090000000000003</v>
      </c>
      <c r="H24" s="54">
        <v>8.42</v>
      </c>
      <c r="I24" s="54">
        <v>9.06</v>
      </c>
      <c r="J24" s="54">
        <v>0.71</v>
      </c>
      <c r="K24" s="54">
        <v>184.91</v>
      </c>
      <c r="L24" s="54">
        <v>29.45</v>
      </c>
      <c r="M24" s="54">
        <v>90.91</v>
      </c>
      <c r="N24" s="54">
        <v>326.3</v>
      </c>
      <c r="O24" s="54">
        <v>0</v>
      </c>
      <c r="P24" s="54">
        <v>0.45</v>
      </c>
      <c r="Q24" s="54">
        <v>9.67</v>
      </c>
      <c r="R24" s="43"/>
      <c r="S24" s="43"/>
      <c r="T24" s="43"/>
      <c r="U24" s="43"/>
    </row>
    <row r="25" spans="1:21" s="11" customFormat="1" x14ac:dyDescent="0.25">
      <c r="A25" s="53" t="s">
        <v>573</v>
      </c>
      <c r="B25" s="54">
        <v>8.1999999999999993</v>
      </c>
      <c r="C25" s="54">
        <v>3.45</v>
      </c>
      <c r="D25" s="54">
        <v>12.15</v>
      </c>
      <c r="E25" s="54">
        <v>5.37</v>
      </c>
      <c r="F25" s="54">
        <v>3.86</v>
      </c>
      <c r="G25" s="54">
        <v>32.31</v>
      </c>
      <c r="H25" s="54">
        <v>4.54</v>
      </c>
      <c r="I25" s="54">
        <v>8.08</v>
      </c>
      <c r="J25" s="54">
        <v>2.29</v>
      </c>
      <c r="K25" s="54">
        <v>338.6</v>
      </c>
      <c r="L25" s="54">
        <v>26.49</v>
      </c>
      <c r="M25" s="54">
        <v>99.1</v>
      </c>
      <c r="N25" s="54">
        <v>61.6</v>
      </c>
      <c r="O25" s="54">
        <v>1.8</v>
      </c>
      <c r="P25" s="54">
        <v>0.41</v>
      </c>
      <c r="Q25" s="54">
        <v>9.56</v>
      </c>
      <c r="R25" s="43"/>
      <c r="S25" s="43"/>
      <c r="T25" s="43"/>
      <c r="U25" s="43"/>
    </row>
    <row r="26" spans="1:21" s="11" customFormat="1" x14ac:dyDescent="0.25">
      <c r="A26" s="53" t="s">
        <v>574</v>
      </c>
      <c r="B26" s="54">
        <v>8.1300000000000008</v>
      </c>
      <c r="C26" s="54">
        <v>3.16</v>
      </c>
      <c r="D26" s="54">
        <v>11.94</v>
      </c>
      <c r="E26" s="54">
        <v>5.33</v>
      </c>
      <c r="F26" s="54">
        <v>3.71</v>
      </c>
      <c r="G26" s="54">
        <v>31.04</v>
      </c>
      <c r="H26" s="54">
        <v>11.88</v>
      </c>
      <c r="I26" s="54">
        <v>8.1</v>
      </c>
      <c r="J26" s="54">
        <v>0.53</v>
      </c>
      <c r="K26" s="54">
        <v>338</v>
      </c>
      <c r="L26" s="54">
        <v>23.68</v>
      </c>
      <c r="M26" s="54">
        <v>99.1</v>
      </c>
      <c r="N26" s="54">
        <v>58.5</v>
      </c>
      <c r="O26" s="54">
        <v>0</v>
      </c>
      <c r="P26" s="54">
        <v>0.4</v>
      </c>
      <c r="Q26" s="54">
        <v>9.48</v>
      </c>
      <c r="R26" s="43"/>
      <c r="S26" s="43"/>
      <c r="T26" s="43"/>
      <c r="U26" s="43"/>
    </row>
    <row r="27" spans="1:21" s="11" customFormat="1" x14ac:dyDescent="0.25">
      <c r="A27" s="53" t="s">
        <v>575</v>
      </c>
      <c r="B27" s="54">
        <v>8.18</v>
      </c>
      <c r="C27" s="54">
        <v>3.25</v>
      </c>
      <c r="D27" s="54">
        <v>12.04</v>
      </c>
      <c r="E27" s="54">
        <v>5.51</v>
      </c>
      <c r="F27" s="54">
        <v>3.45</v>
      </c>
      <c r="G27" s="54">
        <v>22.04</v>
      </c>
      <c r="H27" s="54">
        <v>12.32</v>
      </c>
      <c r="I27" s="54">
        <v>6.97</v>
      </c>
      <c r="J27" s="54">
        <v>0.47</v>
      </c>
      <c r="K27" s="54">
        <v>340.84</v>
      </c>
      <c r="L27" s="54">
        <v>23.97</v>
      </c>
      <c r="M27" s="54">
        <v>99.1</v>
      </c>
      <c r="N27" s="54">
        <v>48.7</v>
      </c>
      <c r="O27" s="54">
        <v>0</v>
      </c>
      <c r="P27" s="54">
        <v>0.45</v>
      </c>
      <c r="Q27" s="54">
        <v>9.51</v>
      </c>
      <c r="R27" s="43"/>
      <c r="S27" s="43"/>
      <c r="T27" s="43"/>
      <c r="U27" s="43"/>
    </row>
    <row r="28" spans="1:21" s="11" customFormat="1" x14ac:dyDescent="0.25">
      <c r="A28" s="53" t="s">
        <v>576</v>
      </c>
      <c r="B28" s="54">
        <v>8.14</v>
      </c>
      <c r="C28" s="54">
        <v>3.25</v>
      </c>
      <c r="D28" s="54">
        <v>12</v>
      </c>
      <c r="E28" s="54">
        <v>5.69</v>
      </c>
      <c r="F28" s="54">
        <v>4.1900000000000004</v>
      </c>
      <c r="G28" s="54">
        <v>15.99</v>
      </c>
      <c r="H28" s="54">
        <v>12.32</v>
      </c>
      <c r="I28" s="54">
        <v>6.64</v>
      </c>
      <c r="J28" s="54">
        <v>0.38</v>
      </c>
      <c r="K28" s="54">
        <v>353.54</v>
      </c>
      <c r="L28" s="54">
        <v>23.97</v>
      </c>
      <c r="M28" s="54">
        <v>99.1</v>
      </c>
      <c r="N28" s="54">
        <v>45.6</v>
      </c>
      <c r="O28" s="54">
        <v>1.6</v>
      </c>
      <c r="P28" s="54">
        <v>0.48</v>
      </c>
      <c r="Q28" s="54">
        <v>9.48</v>
      </c>
      <c r="R28" s="43"/>
      <c r="S28" s="43"/>
      <c r="T28" s="43"/>
      <c r="U28" s="43"/>
    </row>
    <row r="29" spans="1:21" s="11" customFormat="1" x14ac:dyDescent="0.25">
      <c r="A29" s="53" t="s">
        <v>577</v>
      </c>
      <c r="B29" s="54">
        <v>8.26</v>
      </c>
      <c r="C29" s="54">
        <v>3.66</v>
      </c>
      <c r="D29" s="54">
        <v>12.32</v>
      </c>
      <c r="E29" s="54">
        <v>4.16</v>
      </c>
      <c r="F29" s="54">
        <v>4.4400000000000004</v>
      </c>
      <c r="G29" s="54">
        <v>15.6</v>
      </c>
      <c r="H29" s="54">
        <v>5.59</v>
      </c>
      <c r="I29" s="54">
        <v>5.8</v>
      </c>
      <c r="J29" s="54">
        <v>0.51</v>
      </c>
      <c r="K29" s="54">
        <v>346.49</v>
      </c>
      <c r="L29" s="54">
        <v>23.95</v>
      </c>
      <c r="M29" s="54">
        <v>99.1</v>
      </c>
      <c r="N29" s="54">
        <v>46.8</v>
      </c>
      <c r="O29" s="54">
        <v>0</v>
      </c>
      <c r="P29" s="54">
        <v>0.49</v>
      </c>
      <c r="Q29" s="54">
        <v>9.44</v>
      </c>
      <c r="R29" s="43"/>
      <c r="S29" s="43"/>
      <c r="T29" s="43"/>
      <c r="U29" s="43"/>
    </row>
    <row r="30" spans="1:21" s="11" customFormat="1" x14ac:dyDescent="0.25">
      <c r="A30" s="53" t="s">
        <v>578</v>
      </c>
      <c r="B30" s="54">
        <v>8.07</v>
      </c>
      <c r="C30" s="54">
        <v>3.12</v>
      </c>
      <c r="D30" s="54">
        <v>11.87</v>
      </c>
      <c r="E30" s="54">
        <v>4</v>
      </c>
      <c r="F30" s="54">
        <v>4.45</v>
      </c>
      <c r="G30" s="54">
        <v>14.33</v>
      </c>
      <c r="H30" s="54">
        <v>5.28</v>
      </c>
      <c r="I30" s="54">
        <v>4.8</v>
      </c>
      <c r="J30" s="54">
        <v>0.66</v>
      </c>
      <c r="K30" s="54">
        <v>8.8000000000000007</v>
      </c>
      <c r="L30" s="54">
        <v>23.78</v>
      </c>
      <c r="M30" s="54">
        <v>99.1</v>
      </c>
      <c r="N30" s="54">
        <v>46.4</v>
      </c>
      <c r="O30" s="54">
        <v>0</v>
      </c>
      <c r="P30" s="54">
        <v>0.45</v>
      </c>
      <c r="Q30" s="54">
        <v>9.4</v>
      </c>
      <c r="R30" s="43"/>
      <c r="S30" s="43"/>
      <c r="T30" s="43"/>
      <c r="U30" s="43"/>
    </row>
    <row r="31" spans="1:21" s="11" customFormat="1" x14ac:dyDescent="0.25">
      <c r="A31" s="53" t="s">
        <v>579</v>
      </c>
      <c r="B31" s="54">
        <v>8.11</v>
      </c>
      <c r="C31" s="54">
        <v>3.15</v>
      </c>
      <c r="D31" s="54">
        <v>11.92</v>
      </c>
      <c r="E31" s="54">
        <v>3.73</v>
      </c>
      <c r="F31" s="54">
        <v>4.38</v>
      </c>
      <c r="G31" s="54">
        <v>11.38</v>
      </c>
      <c r="H31" s="54">
        <v>5.28</v>
      </c>
      <c r="I31" s="54">
        <v>3.33</v>
      </c>
      <c r="J31" s="54">
        <v>0.66</v>
      </c>
      <c r="K31" s="54">
        <v>8.4</v>
      </c>
      <c r="L31" s="54">
        <v>23.73</v>
      </c>
      <c r="M31" s="54">
        <v>99.1</v>
      </c>
      <c r="N31" s="54">
        <v>46.3</v>
      </c>
      <c r="O31" s="54">
        <v>0</v>
      </c>
      <c r="P31" s="54">
        <v>0.38</v>
      </c>
      <c r="Q31" s="54">
        <v>9.4</v>
      </c>
      <c r="R31" s="43"/>
      <c r="S31" s="43"/>
      <c r="T31" s="43"/>
      <c r="U31" s="43"/>
    </row>
    <row r="32" spans="1:21" s="11" customFormat="1" x14ac:dyDescent="0.25">
      <c r="A32" s="53" t="s">
        <v>580</v>
      </c>
      <c r="B32" s="54">
        <v>8.24</v>
      </c>
      <c r="C32" s="54">
        <v>3.69</v>
      </c>
      <c r="D32" s="54">
        <v>12.31</v>
      </c>
      <c r="E32" s="54">
        <v>4.3899999999999997</v>
      </c>
      <c r="F32" s="54">
        <v>4.8</v>
      </c>
      <c r="G32" s="54">
        <v>9.9600000000000009</v>
      </c>
      <c r="H32" s="54">
        <v>2.69</v>
      </c>
      <c r="I32" s="54">
        <v>2.27</v>
      </c>
      <c r="J32" s="54">
        <v>0.7</v>
      </c>
      <c r="K32" s="54">
        <v>359.7</v>
      </c>
      <c r="L32" s="54">
        <v>23.63</v>
      </c>
      <c r="M32" s="54">
        <v>99.08</v>
      </c>
      <c r="N32" s="54">
        <v>46.6</v>
      </c>
      <c r="O32" s="54">
        <v>0</v>
      </c>
      <c r="P32" s="54">
        <v>0.32</v>
      </c>
      <c r="Q32" s="54">
        <v>9.39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8.07</v>
      </c>
      <c r="C34" s="28">
        <f t="shared" si="0"/>
        <v>3.11</v>
      </c>
      <c r="D34" s="28">
        <f t="shared" si="0"/>
        <v>11.87</v>
      </c>
      <c r="E34" s="28">
        <f t="shared" si="0"/>
        <v>3.73</v>
      </c>
      <c r="F34" s="28">
        <f t="shared" si="0"/>
        <v>3.41</v>
      </c>
      <c r="G34" s="28">
        <f t="shared" si="0"/>
        <v>6.25</v>
      </c>
      <c r="H34" s="28">
        <f t="shared" si="0"/>
        <v>2.69</v>
      </c>
      <c r="I34" s="28">
        <f t="shared" si="0"/>
        <v>2.27</v>
      </c>
      <c r="J34" s="28">
        <f t="shared" si="0"/>
        <v>0.38</v>
      </c>
      <c r="K34" s="28">
        <f t="shared" si="0"/>
        <v>8.4</v>
      </c>
      <c r="L34" s="28">
        <f t="shared" si="0"/>
        <v>23.01</v>
      </c>
      <c r="M34" s="28">
        <f t="shared" si="0"/>
        <v>85.7</v>
      </c>
      <c r="N34" s="28">
        <f t="shared" si="0"/>
        <v>45.6</v>
      </c>
      <c r="O34" s="28">
        <f t="shared" si="0"/>
        <v>0</v>
      </c>
      <c r="P34" s="28">
        <f t="shared" si="0"/>
        <v>0.31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9.2200000000000006</v>
      </c>
      <c r="C35" s="29">
        <f t="shared" si="1"/>
        <v>5.23</v>
      </c>
      <c r="D35" s="29">
        <f t="shared" si="1"/>
        <v>13.9</v>
      </c>
      <c r="E35" s="29">
        <f t="shared" si="1"/>
        <v>6.15</v>
      </c>
      <c r="F35" s="29">
        <f t="shared" si="1"/>
        <v>5.1100000000000003</v>
      </c>
      <c r="G35" s="29">
        <f t="shared" si="1"/>
        <v>54.93</v>
      </c>
      <c r="H35" s="29">
        <f t="shared" si="1"/>
        <v>27.2</v>
      </c>
      <c r="I35" s="29">
        <f t="shared" si="1"/>
        <v>9.44</v>
      </c>
      <c r="J35" s="29">
        <f t="shared" si="1"/>
        <v>2.29</v>
      </c>
      <c r="K35" s="29">
        <f t="shared" si="1"/>
        <v>359.7</v>
      </c>
      <c r="L35" s="29">
        <f t="shared" si="1"/>
        <v>29.45</v>
      </c>
      <c r="M35" s="29">
        <f t="shared" si="1"/>
        <v>99.13</v>
      </c>
      <c r="N35" s="29">
        <f t="shared" si="1"/>
        <v>613.9</v>
      </c>
      <c r="O35" s="29">
        <f t="shared" si="1"/>
        <v>1.8</v>
      </c>
      <c r="P35" s="29">
        <f t="shared" si="1"/>
        <v>0.61</v>
      </c>
      <c r="Q35" s="29">
        <f t="shared" si="1"/>
        <v>9.7899999999999991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8.3449999999999989</v>
      </c>
      <c r="C36" s="28">
        <f t="shared" si="2"/>
        <v>3.6404166666666664</v>
      </c>
      <c r="D36" s="28">
        <f t="shared" si="2"/>
        <v>12.367916666666668</v>
      </c>
      <c r="E36" s="28">
        <f t="shared" si="2"/>
        <v>5.1287499999999993</v>
      </c>
      <c r="F36" s="28">
        <f t="shared" si="2"/>
        <v>4.0529166666666665</v>
      </c>
      <c r="G36" s="28">
        <f t="shared" si="2"/>
        <v>25.423750000000002</v>
      </c>
      <c r="H36" s="28">
        <f t="shared" si="2"/>
        <v>11.464999999999996</v>
      </c>
      <c r="I36" s="28">
        <f t="shared" si="2"/>
        <v>5.4249999999999998</v>
      </c>
      <c r="J36" s="28">
        <f t="shared" si="2"/>
        <v>0.86708333333333332</v>
      </c>
      <c r="K36" s="28">
        <f t="shared" si="2"/>
        <v>284.85458333333332</v>
      </c>
      <c r="L36" s="28">
        <f t="shared" si="2"/>
        <v>25.226250000000004</v>
      </c>
      <c r="M36" s="28">
        <f t="shared" si="2"/>
        <v>97.84499999999997</v>
      </c>
      <c r="N36" s="28">
        <f t="shared" si="2"/>
        <v>193.25000000000003</v>
      </c>
      <c r="O36" s="28">
        <f t="shared" si="2"/>
        <v>0.21666666666666667</v>
      </c>
      <c r="P36" s="28">
        <f t="shared" si="2"/>
        <v>0.42625000000000007</v>
      </c>
      <c r="Q36" s="28">
        <f t="shared" si="2"/>
        <v>9.5208333333333339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0.31618651622654348</v>
      </c>
      <c r="C37" s="28">
        <f t="shared" ref="C37:Q37" si="3">STDEV(C9:C32)</f>
        <v>0.60927240403521077</v>
      </c>
      <c r="D37" s="28">
        <f t="shared" si="3"/>
        <v>0.56889656098578179</v>
      </c>
      <c r="E37" s="28">
        <f t="shared" si="3"/>
        <v>0.64717656014414637</v>
      </c>
      <c r="F37" s="28">
        <f t="shared" si="3"/>
        <v>0.51394873003194919</v>
      </c>
      <c r="G37" s="28">
        <f t="shared" si="3"/>
        <v>17.04185711774803</v>
      </c>
      <c r="H37" s="28">
        <f t="shared" si="3"/>
        <v>8.353845768892004</v>
      </c>
      <c r="I37" s="28">
        <f t="shared" si="3"/>
        <v>2.2172564323858728</v>
      </c>
      <c r="J37" s="28">
        <f t="shared" si="3"/>
        <v>0.47692383100418717</v>
      </c>
      <c r="K37" s="28">
        <f t="shared" si="3"/>
        <v>109.31398685236023</v>
      </c>
      <c r="L37" s="28">
        <f t="shared" si="3"/>
        <v>2.2362542682293332</v>
      </c>
      <c r="M37" s="28">
        <f t="shared" si="3"/>
        <v>3.2988469658879023</v>
      </c>
      <c r="N37" s="28">
        <f t="shared" si="3"/>
        <v>179.39281649134014</v>
      </c>
      <c r="O37" s="28">
        <f t="shared" si="3"/>
        <v>0.52059052311161336</v>
      </c>
      <c r="P37" s="28">
        <f t="shared" si="3"/>
        <v>8.565920849505855E-2</v>
      </c>
      <c r="Q37" s="28">
        <f t="shared" si="3"/>
        <v>0.13393433389949488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49" t="s">
        <v>581</v>
      </c>
      <c r="B9" s="50">
        <v>8.17</v>
      </c>
      <c r="C9" s="50">
        <v>3.44</v>
      </c>
      <c r="D9" s="50">
        <v>12.13</v>
      </c>
      <c r="E9" s="50">
        <v>4.3600000000000003</v>
      </c>
      <c r="F9" s="50">
        <v>4.9800000000000004</v>
      </c>
      <c r="G9" s="50">
        <v>7.88</v>
      </c>
      <c r="H9" s="50">
        <v>1.97</v>
      </c>
      <c r="I9" s="50">
        <v>1.81</v>
      </c>
      <c r="J9" s="50">
        <v>0.72</v>
      </c>
      <c r="K9" s="50">
        <v>15.78</v>
      </c>
      <c r="L9" s="50">
        <v>23.6</v>
      </c>
      <c r="M9" s="50">
        <v>99.08</v>
      </c>
      <c r="N9" s="50">
        <v>46.8</v>
      </c>
      <c r="O9" s="50">
        <v>0</v>
      </c>
      <c r="P9" s="50">
        <v>0.28000000000000003</v>
      </c>
      <c r="Q9" s="50">
        <v>9.3000000000000007</v>
      </c>
      <c r="R9" s="43"/>
      <c r="S9" s="43"/>
      <c r="T9" s="43"/>
      <c r="U9" s="43"/>
    </row>
    <row r="10" spans="1:21" s="11" customFormat="1" x14ac:dyDescent="0.25">
      <c r="A10" s="49" t="s">
        <v>582</v>
      </c>
      <c r="B10" s="50">
        <v>8.06</v>
      </c>
      <c r="C10" s="50">
        <v>3.04</v>
      </c>
      <c r="D10" s="50">
        <v>11.82</v>
      </c>
      <c r="E10" s="50">
        <v>4.3499999999999996</v>
      </c>
      <c r="F10" s="50">
        <v>4.91</v>
      </c>
      <c r="G10" s="50">
        <v>9.06</v>
      </c>
      <c r="H10" s="50">
        <v>1.18</v>
      </c>
      <c r="I10" s="50">
        <v>1.17</v>
      </c>
      <c r="J10" s="50">
        <v>0.64</v>
      </c>
      <c r="K10" s="50">
        <v>358.8</v>
      </c>
      <c r="L10" s="50">
        <v>23.48</v>
      </c>
      <c r="M10" s="50">
        <v>99.08</v>
      </c>
      <c r="N10" s="50">
        <v>46.6</v>
      </c>
      <c r="O10" s="50">
        <v>0</v>
      </c>
      <c r="P10" s="50">
        <v>0.26</v>
      </c>
      <c r="Q10" s="50">
        <v>9.34</v>
      </c>
      <c r="R10" s="43"/>
      <c r="S10" s="43"/>
      <c r="T10" s="43"/>
      <c r="U10" s="43"/>
    </row>
    <row r="11" spans="1:21" s="11" customFormat="1" x14ac:dyDescent="0.25">
      <c r="A11" s="49" t="s">
        <v>583</v>
      </c>
      <c r="B11" s="50">
        <v>8.09</v>
      </c>
      <c r="C11" s="50">
        <v>3.1</v>
      </c>
      <c r="D11" s="50">
        <v>11.88</v>
      </c>
      <c r="E11" s="50">
        <v>4.1100000000000003</v>
      </c>
      <c r="F11" s="50">
        <v>5.03</v>
      </c>
      <c r="G11" s="50">
        <v>9.06</v>
      </c>
      <c r="H11" s="50">
        <v>0.99</v>
      </c>
      <c r="I11" s="50">
        <v>1</v>
      </c>
      <c r="J11" s="50">
        <v>0.63</v>
      </c>
      <c r="K11" s="50">
        <v>357.11</v>
      </c>
      <c r="L11" s="50">
        <v>23.16</v>
      </c>
      <c r="M11" s="50">
        <v>99.08</v>
      </c>
      <c r="N11" s="50">
        <v>46.4</v>
      </c>
      <c r="O11" s="50">
        <v>0</v>
      </c>
      <c r="P11" s="50">
        <v>0.24</v>
      </c>
      <c r="Q11" s="50">
        <v>9.34</v>
      </c>
      <c r="R11" s="43"/>
      <c r="S11" s="43"/>
      <c r="T11" s="43"/>
      <c r="U11" s="43"/>
    </row>
    <row r="12" spans="1:21" s="11" customFormat="1" x14ac:dyDescent="0.25">
      <c r="A12" s="49" t="s">
        <v>584</v>
      </c>
      <c r="B12" s="50">
        <v>8.1300000000000008</v>
      </c>
      <c r="C12" s="50">
        <v>3.14</v>
      </c>
      <c r="D12" s="50">
        <v>11.93</v>
      </c>
      <c r="E12" s="50">
        <v>4.55</v>
      </c>
      <c r="F12" s="50">
        <v>5.05</v>
      </c>
      <c r="G12" s="50">
        <v>7.13</v>
      </c>
      <c r="H12" s="50">
        <v>1.02</v>
      </c>
      <c r="I12" s="50">
        <v>0.73</v>
      </c>
      <c r="J12" s="50">
        <v>0.61</v>
      </c>
      <c r="K12" s="50">
        <v>353.78</v>
      </c>
      <c r="L12" s="50">
        <v>23.18</v>
      </c>
      <c r="M12" s="50">
        <v>99.08</v>
      </c>
      <c r="N12" s="50">
        <v>46</v>
      </c>
      <c r="O12" s="50">
        <v>0</v>
      </c>
      <c r="P12" s="50">
        <v>0.22</v>
      </c>
      <c r="Q12" s="50">
        <v>9.35</v>
      </c>
      <c r="R12" s="43"/>
      <c r="S12" s="43"/>
      <c r="T12" s="43"/>
      <c r="U12" s="43"/>
    </row>
    <row r="13" spans="1:21" s="11" customFormat="1" x14ac:dyDescent="0.25">
      <c r="A13" s="49" t="s">
        <v>585</v>
      </c>
      <c r="B13" s="50">
        <v>8.1199999999999992</v>
      </c>
      <c r="C13" s="50">
        <v>3.16</v>
      </c>
      <c r="D13" s="50">
        <v>11.93</v>
      </c>
      <c r="E13" s="50">
        <v>4.47</v>
      </c>
      <c r="F13" s="50">
        <v>5.46</v>
      </c>
      <c r="G13" s="50">
        <v>5.46</v>
      </c>
      <c r="H13" s="50">
        <v>1.02</v>
      </c>
      <c r="I13" s="50">
        <v>0.69</v>
      </c>
      <c r="J13" s="50">
        <v>0.64</v>
      </c>
      <c r="K13" s="50">
        <v>357.53</v>
      </c>
      <c r="L13" s="50">
        <v>23.02</v>
      </c>
      <c r="M13" s="50">
        <v>99.1</v>
      </c>
      <c r="N13" s="50">
        <v>46.1</v>
      </c>
      <c r="O13" s="50">
        <v>0.2</v>
      </c>
      <c r="P13" s="50">
        <v>0.22</v>
      </c>
      <c r="Q13" s="50">
        <v>9.32</v>
      </c>
      <c r="R13" s="43"/>
      <c r="S13" s="43"/>
      <c r="T13" s="43"/>
      <c r="U13" s="43"/>
    </row>
    <row r="14" spans="1:21" s="11" customFormat="1" x14ac:dyDescent="0.25">
      <c r="A14" s="49" t="s">
        <v>586</v>
      </c>
      <c r="B14" s="50">
        <v>8.1199999999999992</v>
      </c>
      <c r="C14" s="50">
        <v>3.26</v>
      </c>
      <c r="D14" s="50">
        <v>11.99</v>
      </c>
      <c r="E14" s="50">
        <v>4.4800000000000004</v>
      </c>
      <c r="F14" s="50">
        <v>4.0199999999999996</v>
      </c>
      <c r="G14" s="50">
        <v>4.24</v>
      </c>
      <c r="H14" s="50">
        <v>0.94</v>
      </c>
      <c r="I14" s="50">
        <v>0.77</v>
      </c>
      <c r="J14" s="50">
        <v>0.54</v>
      </c>
      <c r="K14" s="50">
        <v>358.41</v>
      </c>
      <c r="L14" s="50">
        <v>22.66</v>
      </c>
      <c r="M14" s="50">
        <v>99.1</v>
      </c>
      <c r="N14" s="50">
        <v>51.8</v>
      </c>
      <c r="O14" s="50">
        <v>0.2</v>
      </c>
      <c r="P14" s="50">
        <v>0.23</v>
      </c>
      <c r="Q14" s="50">
        <v>9.2899999999999991</v>
      </c>
      <c r="R14" s="43"/>
      <c r="S14" s="43"/>
      <c r="T14" s="43"/>
      <c r="U14" s="43"/>
    </row>
    <row r="15" spans="1:21" s="11" customFormat="1" x14ac:dyDescent="0.25">
      <c r="A15" s="49" t="s">
        <v>587</v>
      </c>
      <c r="B15" s="50">
        <v>8.11</v>
      </c>
      <c r="C15" s="50">
        <v>3.25</v>
      </c>
      <c r="D15" s="50">
        <v>11.97</v>
      </c>
      <c r="E15" s="50">
        <v>4.3899999999999997</v>
      </c>
      <c r="F15" s="50">
        <v>4.12</v>
      </c>
      <c r="G15" s="50">
        <v>3.31</v>
      </c>
      <c r="H15" s="50">
        <v>0.98</v>
      </c>
      <c r="I15" s="50">
        <v>1.02</v>
      </c>
      <c r="J15" s="50">
        <v>0.56000000000000005</v>
      </c>
      <c r="K15" s="50">
        <v>356.55</v>
      </c>
      <c r="L15" s="50">
        <v>23.01</v>
      </c>
      <c r="M15" s="50">
        <v>99.1</v>
      </c>
      <c r="N15" s="50">
        <v>82.4</v>
      </c>
      <c r="O15" s="50">
        <v>0</v>
      </c>
      <c r="P15" s="50">
        <v>0.24</v>
      </c>
      <c r="Q15" s="50">
        <v>9.33</v>
      </c>
      <c r="R15" s="43"/>
      <c r="S15" s="43"/>
      <c r="T15" s="43"/>
      <c r="U15" s="43"/>
    </row>
    <row r="16" spans="1:21" s="11" customFormat="1" x14ac:dyDescent="0.25">
      <c r="A16" s="49" t="s">
        <v>588</v>
      </c>
      <c r="B16" s="50">
        <v>8.1300000000000008</v>
      </c>
      <c r="C16" s="50">
        <v>3.13</v>
      </c>
      <c r="D16" s="50">
        <v>11.93</v>
      </c>
      <c r="E16" s="50">
        <v>4.82</v>
      </c>
      <c r="F16" s="50">
        <v>3.76</v>
      </c>
      <c r="G16" s="50">
        <v>5.51</v>
      </c>
      <c r="H16" s="50">
        <v>2.09</v>
      </c>
      <c r="I16" s="50">
        <v>1.18</v>
      </c>
      <c r="J16" s="50">
        <v>0.6</v>
      </c>
      <c r="K16" s="50">
        <v>354.47</v>
      </c>
      <c r="L16" s="50">
        <v>23.83</v>
      </c>
      <c r="M16" s="50">
        <v>99.1</v>
      </c>
      <c r="N16" s="50">
        <v>133.6</v>
      </c>
      <c r="O16" s="50">
        <v>0</v>
      </c>
      <c r="P16" s="50">
        <v>0.32</v>
      </c>
      <c r="Q16" s="50">
        <v>9.35</v>
      </c>
      <c r="R16" s="43"/>
      <c r="S16" s="43"/>
      <c r="T16" s="43"/>
      <c r="U16" s="43"/>
    </row>
    <row r="17" spans="1:21" s="11" customFormat="1" x14ac:dyDescent="0.25">
      <c r="A17" s="49" t="s">
        <v>589</v>
      </c>
      <c r="B17" s="50">
        <v>8.14</v>
      </c>
      <c r="C17" s="50">
        <v>3.14</v>
      </c>
      <c r="D17" s="50">
        <v>11.93</v>
      </c>
      <c r="E17" s="50">
        <v>5.24</v>
      </c>
      <c r="F17" s="50">
        <v>4.1500000000000004</v>
      </c>
      <c r="G17" s="50">
        <v>14.91</v>
      </c>
      <c r="H17" s="50">
        <v>2.68</v>
      </c>
      <c r="I17" s="50">
        <v>1.41</v>
      </c>
      <c r="J17" s="50">
        <v>0.54</v>
      </c>
      <c r="K17" s="50">
        <v>335.67</v>
      </c>
      <c r="L17" s="50">
        <v>24.51</v>
      </c>
      <c r="M17" s="50">
        <v>99.08</v>
      </c>
      <c r="N17" s="50">
        <v>131.69999999999999</v>
      </c>
      <c r="O17" s="50">
        <v>0</v>
      </c>
      <c r="P17" s="50">
        <v>0.44</v>
      </c>
      <c r="Q17" s="50">
        <v>9.41</v>
      </c>
      <c r="R17" s="43"/>
      <c r="S17" s="43"/>
      <c r="T17" s="43"/>
      <c r="U17" s="43"/>
    </row>
    <row r="18" spans="1:21" s="11" customFormat="1" x14ac:dyDescent="0.25">
      <c r="A18" s="49" t="s">
        <v>590</v>
      </c>
      <c r="B18" s="50">
        <v>8.57</v>
      </c>
      <c r="C18" s="50">
        <v>4.28</v>
      </c>
      <c r="D18" s="50">
        <v>12.89</v>
      </c>
      <c r="E18" s="50">
        <v>4.97</v>
      </c>
      <c r="F18" s="50">
        <v>4.0999999999999996</v>
      </c>
      <c r="G18" s="50">
        <v>20.72</v>
      </c>
      <c r="H18" s="50">
        <v>3.57</v>
      </c>
      <c r="I18" s="50">
        <v>2.59</v>
      </c>
      <c r="J18" s="50">
        <v>0.79</v>
      </c>
      <c r="K18" s="50">
        <v>352.89</v>
      </c>
      <c r="L18" s="50">
        <v>24.46</v>
      </c>
      <c r="M18" s="50">
        <v>99.1</v>
      </c>
      <c r="N18" s="50">
        <v>152.19999999999999</v>
      </c>
      <c r="O18" s="50">
        <v>0.2</v>
      </c>
      <c r="P18" s="50">
        <v>0.61</v>
      </c>
      <c r="Q18" s="50">
        <v>9.3800000000000008</v>
      </c>
      <c r="R18" s="43"/>
      <c r="S18" s="43"/>
      <c r="T18" s="43"/>
      <c r="U18" s="43"/>
    </row>
    <row r="19" spans="1:21" s="11" customFormat="1" x14ac:dyDescent="0.25">
      <c r="A19" s="49" t="s">
        <v>591</v>
      </c>
      <c r="B19" s="50">
        <v>8.59</v>
      </c>
      <c r="C19" s="50">
        <v>4.13</v>
      </c>
      <c r="D19" s="50">
        <v>12.82</v>
      </c>
      <c r="E19" s="50">
        <v>5.01</v>
      </c>
      <c r="F19" s="50">
        <v>3.46</v>
      </c>
      <c r="G19" s="50">
        <v>22.98</v>
      </c>
      <c r="H19" s="50">
        <v>7.55</v>
      </c>
      <c r="I19" s="50">
        <v>2.88</v>
      </c>
      <c r="J19" s="50">
        <v>0.79</v>
      </c>
      <c r="K19" s="50">
        <v>335</v>
      </c>
      <c r="L19" s="50">
        <v>24.2</v>
      </c>
      <c r="M19" s="50">
        <v>99.1</v>
      </c>
      <c r="N19" s="50">
        <v>152.19999999999999</v>
      </c>
      <c r="O19" s="50">
        <v>0.2</v>
      </c>
      <c r="P19" s="50">
        <v>0.67</v>
      </c>
      <c r="Q19" s="50">
        <v>9.59</v>
      </c>
      <c r="R19" s="43"/>
      <c r="S19" s="43"/>
      <c r="T19" s="43"/>
      <c r="U19" s="43"/>
    </row>
    <row r="20" spans="1:21" s="11" customFormat="1" x14ac:dyDescent="0.25">
      <c r="A20" s="49" t="s">
        <v>592</v>
      </c>
      <c r="B20" s="50">
        <v>8.19</v>
      </c>
      <c r="C20" s="50">
        <v>3.27</v>
      </c>
      <c r="D20" s="50">
        <v>12.05</v>
      </c>
      <c r="E20" s="50">
        <v>5.25</v>
      </c>
      <c r="F20" s="50">
        <v>3.95</v>
      </c>
      <c r="G20" s="50">
        <v>22.98</v>
      </c>
      <c r="H20" s="50">
        <v>7.55</v>
      </c>
      <c r="I20" s="50">
        <v>3</v>
      </c>
      <c r="J20" s="50">
        <v>0.51</v>
      </c>
      <c r="K20" s="50">
        <v>352.14</v>
      </c>
      <c r="L20" s="50">
        <v>23.42</v>
      </c>
      <c r="M20" s="50">
        <v>99.1</v>
      </c>
      <c r="N20" s="50">
        <v>87.5</v>
      </c>
      <c r="O20" s="50">
        <v>2.4</v>
      </c>
      <c r="P20" s="50">
        <v>0.68</v>
      </c>
      <c r="Q20" s="50">
        <v>9.65</v>
      </c>
      <c r="R20" s="43"/>
      <c r="S20" s="43"/>
      <c r="T20" s="43"/>
      <c r="U20" s="43"/>
    </row>
    <row r="21" spans="1:21" s="11" customFormat="1" x14ac:dyDescent="0.25">
      <c r="A21" s="49" t="s">
        <v>593</v>
      </c>
      <c r="B21" s="50">
        <v>8.1199999999999992</v>
      </c>
      <c r="C21" s="50">
        <v>3.14</v>
      </c>
      <c r="D21" s="50">
        <v>11.92</v>
      </c>
      <c r="E21" s="50">
        <v>4.2300000000000004</v>
      </c>
      <c r="F21" s="50">
        <v>3.36</v>
      </c>
      <c r="G21" s="50">
        <v>19.82</v>
      </c>
      <c r="H21" s="50">
        <v>6.99</v>
      </c>
      <c r="I21" s="50">
        <v>2.96</v>
      </c>
      <c r="J21" s="50">
        <v>0.61</v>
      </c>
      <c r="K21" s="50">
        <v>349.33</v>
      </c>
      <c r="L21" s="50">
        <v>22.52</v>
      </c>
      <c r="M21" s="50">
        <v>99.1</v>
      </c>
      <c r="N21" s="50">
        <v>140.69999999999999</v>
      </c>
      <c r="O21" s="50">
        <v>1</v>
      </c>
      <c r="P21" s="50">
        <v>0.63</v>
      </c>
      <c r="Q21" s="50">
        <v>9.61</v>
      </c>
      <c r="R21" s="43"/>
      <c r="S21" s="43"/>
      <c r="T21" s="43"/>
      <c r="U21" s="43"/>
    </row>
    <row r="22" spans="1:21" s="11" customFormat="1" x14ac:dyDescent="0.25">
      <c r="A22" s="49" t="s">
        <v>594</v>
      </c>
      <c r="B22" s="50">
        <v>8.1199999999999992</v>
      </c>
      <c r="C22" s="50">
        <v>3.11</v>
      </c>
      <c r="D22" s="50">
        <v>11.91</v>
      </c>
      <c r="E22" s="50">
        <v>4.53</v>
      </c>
      <c r="F22" s="50">
        <v>4.3</v>
      </c>
      <c r="G22" s="50">
        <v>13.87</v>
      </c>
      <c r="H22" s="50">
        <v>6.99</v>
      </c>
      <c r="I22" s="50">
        <v>2.34</v>
      </c>
      <c r="J22" s="50">
        <v>0.65</v>
      </c>
      <c r="K22" s="50">
        <v>354.23</v>
      </c>
      <c r="L22" s="50">
        <v>22.78</v>
      </c>
      <c r="M22" s="50">
        <v>99.08</v>
      </c>
      <c r="N22" s="50">
        <v>139.4</v>
      </c>
      <c r="O22" s="50">
        <v>0</v>
      </c>
      <c r="P22" s="50">
        <v>0.46</v>
      </c>
      <c r="Q22" s="50">
        <v>9.52</v>
      </c>
      <c r="R22" s="43"/>
      <c r="S22" s="43"/>
      <c r="T22" s="43"/>
      <c r="U22" s="43"/>
    </row>
    <row r="23" spans="1:21" s="11" customFormat="1" x14ac:dyDescent="0.25">
      <c r="A23" s="49" t="s">
        <v>595</v>
      </c>
      <c r="B23" s="50">
        <v>8.06</v>
      </c>
      <c r="C23" s="50">
        <v>3.1</v>
      </c>
      <c r="D23" s="50">
        <v>11.86</v>
      </c>
      <c r="E23" s="50">
        <v>4.2</v>
      </c>
      <c r="F23" s="50">
        <v>5.0999999999999996</v>
      </c>
      <c r="G23" s="50">
        <v>9.9499999999999993</v>
      </c>
      <c r="H23" s="50">
        <v>5.42</v>
      </c>
      <c r="I23" s="50">
        <v>1.75</v>
      </c>
      <c r="J23" s="50">
        <v>0.76</v>
      </c>
      <c r="K23" s="50">
        <v>359.19</v>
      </c>
      <c r="L23" s="50">
        <v>22.76</v>
      </c>
      <c r="M23" s="50">
        <v>99.08</v>
      </c>
      <c r="N23" s="50">
        <v>157.9</v>
      </c>
      <c r="O23" s="50">
        <v>0.2</v>
      </c>
      <c r="P23" s="50">
        <v>0.41</v>
      </c>
      <c r="Q23" s="50">
        <v>9.3800000000000008</v>
      </c>
      <c r="R23" s="43"/>
      <c r="S23" s="43"/>
      <c r="T23" s="43"/>
      <c r="U23" s="43"/>
    </row>
    <row r="24" spans="1:21" s="11" customFormat="1" x14ac:dyDescent="0.25">
      <c r="A24" s="49" t="s">
        <v>596</v>
      </c>
      <c r="B24" s="50">
        <v>8.16</v>
      </c>
      <c r="C24" s="50">
        <v>3.48</v>
      </c>
      <c r="D24" s="50">
        <v>12.14</v>
      </c>
      <c r="E24" s="50">
        <v>3.99</v>
      </c>
      <c r="F24" s="50">
        <v>4.83</v>
      </c>
      <c r="G24" s="50">
        <v>7.03</v>
      </c>
      <c r="H24" s="50">
        <v>4.2</v>
      </c>
      <c r="I24" s="50">
        <v>1.3</v>
      </c>
      <c r="J24" s="50">
        <v>0.61</v>
      </c>
      <c r="K24" s="50">
        <v>356.01</v>
      </c>
      <c r="L24" s="50">
        <v>22.31</v>
      </c>
      <c r="M24" s="50">
        <v>99.06</v>
      </c>
      <c r="N24" s="50">
        <v>113.7</v>
      </c>
      <c r="O24" s="50">
        <v>0.4</v>
      </c>
      <c r="P24" s="50">
        <v>0.33</v>
      </c>
      <c r="Q24" s="50">
        <v>9.3800000000000008</v>
      </c>
      <c r="R24" s="43"/>
      <c r="S24" s="43"/>
      <c r="T24" s="43"/>
      <c r="U24" s="43"/>
    </row>
    <row r="25" spans="1:21" s="11" customFormat="1" x14ac:dyDescent="0.25">
      <c r="A25" s="49" t="s">
        <v>597</v>
      </c>
      <c r="B25" s="50">
        <v>8.09</v>
      </c>
      <c r="C25" s="50">
        <v>3.06</v>
      </c>
      <c r="D25" s="50">
        <v>11.86</v>
      </c>
      <c r="E25" s="50">
        <v>3.65</v>
      </c>
      <c r="F25" s="50">
        <v>4.0999999999999996</v>
      </c>
      <c r="G25" s="50">
        <v>5.27</v>
      </c>
      <c r="H25" s="50">
        <v>3.56</v>
      </c>
      <c r="I25" s="50">
        <v>1.1299999999999999</v>
      </c>
      <c r="J25" s="50">
        <v>0.57999999999999996</v>
      </c>
      <c r="K25" s="50">
        <v>355.43</v>
      </c>
      <c r="L25" s="50">
        <v>22.29</v>
      </c>
      <c r="M25" s="50">
        <v>99.12</v>
      </c>
      <c r="N25" s="50">
        <v>91.9</v>
      </c>
      <c r="O25" s="50">
        <v>0.2</v>
      </c>
      <c r="P25" s="50">
        <v>0.3</v>
      </c>
      <c r="Q25" s="50">
        <v>9.33</v>
      </c>
      <c r="R25" s="43"/>
      <c r="S25" s="43"/>
      <c r="T25" s="43"/>
      <c r="U25" s="43"/>
    </row>
    <row r="26" spans="1:21" s="11" customFormat="1" x14ac:dyDescent="0.25">
      <c r="A26" s="49" t="s">
        <v>598</v>
      </c>
      <c r="B26" s="50">
        <v>8.2200000000000006</v>
      </c>
      <c r="C26" s="50">
        <v>3.43</v>
      </c>
      <c r="D26" s="50">
        <v>12.16</v>
      </c>
      <c r="E26" s="50">
        <v>3.56</v>
      </c>
      <c r="F26" s="50">
        <v>4.51</v>
      </c>
      <c r="G26" s="50">
        <v>4.4000000000000004</v>
      </c>
      <c r="H26" s="50">
        <v>2.96</v>
      </c>
      <c r="I26" s="50">
        <v>1.08</v>
      </c>
      <c r="J26" s="50">
        <v>0.76</v>
      </c>
      <c r="K26" s="50">
        <v>15.53</v>
      </c>
      <c r="L26" s="50">
        <v>22.36</v>
      </c>
      <c r="M26" s="50">
        <v>99.12</v>
      </c>
      <c r="N26" s="50">
        <v>55.2</v>
      </c>
      <c r="O26" s="50">
        <v>1.8</v>
      </c>
      <c r="P26" s="50">
        <v>0.31</v>
      </c>
      <c r="Q26" s="50">
        <v>9.34</v>
      </c>
      <c r="R26" s="43"/>
      <c r="S26" s="43"/>
      <c r="T26" s="43"/>
      <c r="U26" s="43"/>
    </row>
    <row r="27" spans="1:21" s="11" customFormat="1" x14ac:dyDescent="0.25">
      <c r="A27" s="49" t="s">
        <v>599</v>
      </c>
      <c r="B27" s="50">
        <v>8.14</v>
      </c>
      <c r="C27" s="50">
        <v>3.34</v>
      </c>
      <c r="D27" s="50">
        <v>12.05</v>
      </c>
      <c r="E27" s="50">
        <v>3.62</v>
      </c>
      <c r="F27" s="50">
        <v>4.6900000000000004</v>
      </c>
      <c r="G27" s="50">
        <v>3.13</v>
      </c>
      <c r="H27" s="50">
        <v>2.12</v>
      </c>
      <c r="I27" s="50">
        <v>1.06</v>
      </c>
      <c r="J27" s="50">
        <v>0.69</v>
      </c>
      <c r="K27" s="50">
        <v>12.66</v>
      </c>
      <c r="L27" s="50">
        <v>22.25</v>
      </c>
      <c r="M27" s="50">
        <v>99.13</v>
      </c>
      <c r="N27" s="50">
        <v>50.3</v>
      </c>
      <c r="O27" s="50">
        <v>0.2</v>
      </c>
      <c r="P27" s="50">
        <v>0.35</v>
      </c>
      <c r="Q27" s="50">
        <v>9.31</v>
      </c>
      <c r="R27" s="43"/>
      <c r="S27" s="43"/>
      <c r="T27" s="43"/>
      <c r="U27" s="43"/>
    </row>
    <row r="28" spans="1:21" s="11" customFormat="1" x14ac:dyDescent="0.25">
      <c r="A28" s="49" t="s">
        <v>600</v>
      </c>
      <c r="B28" s="50">
        <v>8.1</v>
      </c>
      <c r="C28" s="50">
        <v>3.19</v>
      </c>
      <c r="D28" s="50">
        <v>11.93</v>
      </c>
      <c r="E28" s="50">
        <v>3.92</v>
      </c>
      <c r="F28" s="50">
        <v>4.5999999999999996</v>
      </c>
      <c r="G28" s="50">
        <v>2.7</v>
      </c>
      <c r="H28" s="50">
        <v>1.72</v>
      </c>
      <c r="I28" s="50">
        <v>1.19</v>
      </c>
      <c r="J28" s="50">
        <v>0.74</v>
      </c>
      <c r="K28" s="50">
        <v>20.059999999999999</v>
      </c>
      <c r="L28" s="50">
        <v>22.5</v>
      </c>
      <c r="M28" s="50">
        <v>99.13</v>
      </c>
      <c r="N28" s="50">
        <v>48.1</v>
      </c>
      <c r="O28" s="50">
        <v>0</v>
      </c>
      <c r="P28" s="50">
        <v>0.39</v>
      </c>
      <c r="Q28" s="50">
        <v>9.3800000000000008</v>
      </c>
      <c r="R28" s="43"/>
      <c r="S28" s="43"/>
      <c r="T28" s="43"/>
      <c r="U28" s="43"/>
    </row>
    <row r="29" spans="1:21" s="11" customFormat="1" x14ac:dyDescent="0.25">
      <c r="A29" s="49" t="s">
        <v>601</v>
      </c>
      <c r="B29" s="50">
        <v>8.1</v>
      </c>
      <c r="C29" s="50">
        <v>3.17</v>
      </c>
      <c r="D29" s="50">
        <v>11.92</v>
      </c>
      <c r="E29" s="50">
        <v>4.6399999999999997</v>
      </c>
      <c r="F29" s="50">
        <v>4.38</v>
      </c>
      <c r="G29" s="50">
        <v>2.2400000000000002</v>
      </c>
      <c r="H29" s="50">
        <v>2.16</v>
      </c>
      <c r="I29" s="50">
        <v>1.28</v>
      </c>
      <c r="J29" s="50">
        <v>0.74</v>
      </c>
      <c r="K29" s="50">
        <v>10.17</v>
      </c>
      <c r="L29" s="50">
        <v>22.87</v>
      </c>
      <c r="M29" s="50">
        <v>99.1</v>
      </c>
      <c r="N29" s="50">
        <v>48.2</v>
      </c>
      <c r="O29" s="50">
        <v>0</v>
      </c>
      <c r="P29" s="50">
        <v>0.4</v>
      </c>
      <c r="Q29" s="50">
        <v>9.33</v>
      </c>
      <c r="R29" s="43"/>
      <c r="S29" s="43"/>
      <c r="T29" s="43"/>
      <c r="U29" s="43"/>
    </row>
    <row r="30" spans="1:21" s="11" customFormat="1" x14ac:dyDescent="0.25">
      <c r="A30" s="49" t="s">
        <v>602</v>
      </c>
      <c r="B30" s="50">
        <v>8.15</v>
      </c>
      <c r="C30" s="50">
        <v>3.2</v>
      </c>
      <c r="D30" s="50">
        <v>11.97</v>
      </c>
      <c r="E30" s="50">
        <v>4.67</v>
      </c>
      <c r="F30" s="50">
        <v>4.4400000000000004</v>
      </c>
      <c r="G30" s="50">
        <v>2</v>
      </c>
      <c r="H30" s="50">
        <v>2.16</v>
      </c>
      <c r="I30" s="50">
        <v>1.21</v>
      </c>
      <c r="J30" s="50">
        <v>0.73</v>
      </c>
      <c r="K30" s="50">
        <v>358.84</v>
      </c>
      <c r="L30" s="50">
        <v>22.93</v>
      </c>
      <c r="M30" s="50">
        <v>99.08</v>
      </c>
      <c r="N30" s="50">
        <v>48.5</v>
      </c>
      <c r="O30" s="50">
        <v>0</v>
      </c>
      <c r="P30" s="50">
        <v>0.37</v>
      </c>
      <c r="Q30" s="50">
        <v>9.36</v>
      </c>
      <c r="R30" s="43"/>
      <c r="S30" s="43"/>
      <c r="T30" s="43"/>
      <c r="U30" s="43"/>
    </row>
    <row r="31" spans="1:21" s="11" customFormat="1" x14ac:dyDescent="0.25">
      <c r="A31" s="49" t="s">
        <v>603</v>
      </c>
      <c r="B31" s="50">
        <v>8.17</v>
      </c>
      <c r="C31" s="50">
        <v>3.34</v>
      </c>
      <c r="D31" s="50">
        <v>12.07</v>
      </c>
      <c r="E31" s="50">
        <v>4.8</v>
      </c>
      <c r="F31" s="50">
        <v>5.21</v>
      </c>
      <c r="G31" s="50">
        <v>5.79</v>
      </c>
      <c r="H31" s="50">
        <v>1.68</v>
      </c>
      <c r="I31" s="50">
        <v>1.1100000000000001</v>
      </c>
      <c r="J31" s="50">
        <v>0.75</v>
      </c>
      <c r="K31" s="50">
        <v>11.34</v>
      </c>
      <c r="L31" s="50">
        <v>23.02</v>
      </c>
      <c r="M31" s="50">
        <v>99.08</v>
      </c>
      <c r="N31" s="50">
        <v>48.8</v>
      </c>
      <c r="O31" s="50">
        <v>0</v>
      </c>
      <c r="P31" s="50">
        <v>0.39</v>
      </c>
      <c r="Q31" s="50">
        <v>9.3800000000000008</v>
      </c>
      <c r="R31" s="43"/>
      <c r="S31" s="43"/>
      <c r="T31" s="43"/>
      <c r="U31" s="43"/>
    </row>
    <row r="32" spans="1:21" s="11" customFormat="1" x14ac:dyDescent="0.25">
      <c r="A32" s="49" t="s">
        <v>604</v>
      </c>
      <c r="B32" s="50">
        <v>8.08</v>
      </c>
      <c r="C32" s="50">
        <v>3.11</v>
      </c>
      <c r="D32" s="50">
        <v>11.88</v>
      </c>
      <c r="E32" s="50">
        <v>4.8499999999999996</v>
      </c>
      <c r="F32" s="50">
        <v>4.6900000000000004</v>
      </c>
      <c r="G32" s="50">
        <v>5.79</v>
      </c>
      <c r="H32" s="50">
        <v>1.35</v>
      </c>
      <c r="I32" s="50">
        <v>0.99</v>
      </c>
      <c r="J32" s="50">
        <v>0.69</v>
      </c>
      <c r="K32" s="50">
        <v>20.53</v>
      </c>
      <c r="L32" s="50">
        <v>23.06</v>
      </c>
      <c r="M32" s="50">
        <v>99.08</v>
      </c>
      <c r="N32" s="50">
        <v>48.8</v>
      </c>
      <c r="O32" s="50">
        <v>0</v>
      </c>
      <c r="P32" s="50">
        <v>0.31</v>
      </c>
      <c r="Q32" s="50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8.06</v>
      </c>
      <c r="C34" s="28">
        <f t="shared" si="0"/>
        <v>3.04</v>
      </c>
      <c r="D34" s="28">
        <f t="shared" si="0"/>
        <v>11.82</v>
      </c>
      <c r="E34" s="28">
        <f t="shared" si="0"/>
        <v>3.56</v>
      </c>
      <c r="F34" s="28">
        <f t="shared" si="0"/>
        <v>3.36</v>
      </c>
      <c r="G34" s="28">
        <f t="shared" si="0"/>
        <v>2</v>
      </c>
      <c r="H34" s="28">
        <f t="shared" si="0"/>
        <v>0.94</v>
      </c>
      <c r="I34" s="28">
        <f t="shared" si="0"/>
        <v>0.69</v>
      </c>
      <c r="J34" s="28">
        <f t="shared" si="0"/>
        <v>0.51</v>
      </c>
      <c r="K34" s="28">
        <f t="shared" si="0"/>
        <v>10.17</v>
      </c>
      <c r="L34" s="28">
        <f t="shared" si="0"/>
        <v>22.25</v>
      </c>
      <c r="M34" s="28">
        <f t="shared" si="0"/>
        <v>99.06</v>
      </c>
      <c r="N34" s="28">
        <f t="shared" si="0"/>
        <v>46</v>
      </c>
      <c r="O34" s="28">
        <f t="shared" si="0"/>
        <v>0</v>
      </c>
      <c r="P34" s="28">
        <f t="shared" si="0"/>
        <v>0.22</v>
      </c>
      <c r="Q34" s="28">
        <f t="shared" si="0"/>
        <v>9.2799999999999994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8.59</v>
      </c>
      <c r="C35" s="29">
        <f t="shared" si="1"/>
        <v>4.28</v>
      </c>
      <c r="D35" s="29">
        <f t="shared" si="1"/>
        <v>12.89</v>
      </c>
      <c r="E35" s="29">
        <f t="shared" si="1"/>
        <v>5.25</v>
      </c>
      <c r="F35" s="29">
        <f t="shared" si="1"/>
        <v>5.46</v>
      </c>
      <c r="G35" s="29">
        <f t="shared" si="1"/>
        <v>22.98</v>
      </c>
      <c r="H35" s="29">
        <f t="shared" si="1"/>
        <v>7.55</v>
      </c>
      <c r="I35" s="29">
        <f t="shared" si="1"/>
        <v>3</v>
      </c>
      <c r="J35" s="29">
        <f t="shared" si="1"/>
        <v>0.79</v>
      </c>
      <c r="K35" s="29">
        <f t="shared" si="1"/>
        <v>359.19</v>
      </c>
      <c r="L35" s="29">
        <f t="shared" si="1"/>
        <v>24.51</v>
      </c>
      <c r="M35" s="29">
        <f t="shared" si="1"/>
        <v>99.13</v>
      </c>
      <c r="N35" s="29">
        <f t="shared" si="1"/>
        <v>157.9</v>
      </c>
      <c r="O35" s="29">
        <f t="shared" si="1"/>
        <v>2.4</v>
      </c>
      <c r="P35" s="29">
        <f t="shared" si="1"/>
        <v>0.68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8.1637499999999985</v>
      </c>
      <c r="C36" s="28">
        <f t="shared" si="2"/>
        <v>3.2920833333333337</v>
      </c>
      <c r="D36" s="28">
        <f t="shared" si="2"/>
        <v>12.039166666666668</v>
      </c>
      <c r="E36" s="28">
        <f t="shared" si="2"/>
        <v>4.4441666666666668</v>
      </c>
      <c r="F36" s="28">
        <f t="shared" si="2"/>
        <v>4.4666666666666659</v>
      </c>
      <c r="G36" s="28">
        <f t="shared" si="2"/>
        <v>8.9679166666666656</v>
      </c>
      <c r="H36" s="28">
        <f t="shared" si="2"/>
        <v>3.0354166666666669</v>
      </c>
      <c r="I36" s="28">
        <f t="shared" si="2"/>
        <v>1.4854166666666668</v>
      </c>
      <c r="J36" s="28">
        <f t="shared" si="2"/>
        <v>0.66166666666666663</v>
      </c>
      <c r="K36" s="28">
        <f t="shared" si="2"/>
        <v>254.64375000000004</v>
      </c>
      <c r="L36" s="28">
        <f t="shared" si="2"/>
        <v>23.090833333333336</v>
      </c>
      <c r="M36" s="28">
        <f t="shared" si="2"/>
        <v>99.094166666666638</v>
      </c>
      <c r="N36" s="28">
        <f t="shared" si="2"/>
        <v>83.950000000000017</v>
      </c>
      <c r="O36" s="28">
        <f t="shared" si="2"/>
        <v>0.29166666666666669</v>
      </c>
      <c r="P36" s="28">
        <f t="shared" si="2"/>
        <v>0.37749999999999995</v>
      </c>
      <c r="Q36" s="28">
        <f t="shared" si="2"/>
        <v>9.3854166666666679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0.13389848523350104</v>
      </c>
      <c r="C37" s="28">
        <f t="shared" ref="C37:Q37" si="3">STDEV(C9:C32)</f>
        <v>0.30691988993967095</v>
      </c>
      <c r="D37" s="28">
        <f t="shared" si="3"/>
        <v>0.26762915072697269</v>
      </c>
      <c r="E37" s="28">
        <f t="shared" si="3"/>
        <v>0.47688223563754217</v>
      </c>
      <c r="F37" s="28">
        <f t="shared" si="3"/>
        <v>0.55320148595062313</v>
      </c>
      <c r="G37" s="28">
        <f t="shared" si="3"/>
        <v>6.6520503404502342</v>
      </c>
      <c r="H37" s="28">
        <f t="shared" si="3"/>
        <v>2.2355740030668638</v>
      </c>
      <c r="I37" s="28">
        <f t="shared" si="3"/>
        <v>0.72239323969263636</v>
      </c>
      <c r="J37" s="28">
        <f t="shared" si="3"/>
        <v>8.4835732149109652E-2</v>
      </c>
      <c r="K37" s="28">
        <f t="shared" si="3"/>
        <v>157.11422734161337</v>
      </c>
      <c r="L37" s="28">
        <f t="shared" si="3"/>
        <v>0.65434943906585374</v>
      </c>
      <c r="M37" s="28">
        <f t="shared" si="3"/>
        <v>1.7916877315916509E-2</v>
      </c>
      <c r="N37" s="28">
        <f t="shared" si="3"/>
        <v>43.303760254438764</v>
      </c>
      <c r="O37" s="28">
        <f t="shared" si="3"/>
        <v>0.60427222965831529</v>
      </c>
      <c r="P37" s="28">
        <f t="shared" si="3"/>
        <v>0.14164407321967579</v>
      </c>
      <c r="Q37" s="28">
        <f t="shared" si="3"/>
        <v>0.10155226397693247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605</v>
      </c>
      <c r="B9" s="54">
        <v>8.07</v>
      </c>
      <c r="C9" s="54">
        <v>3.06</v>
      </c>
      <c r="D9" s="54">
        <v>11.84</v>
      </c>
      <c r="E9" s="54">
        <v>3.76</v>
      </c>
      <c r="F9" s="54">
        <v>5.01</v>
      </c>
      <c r="G9" s="54">
        <v>5.27</v>
      </c>
      <c r="H9" s="54">
        <v>1.1100000000000001</v>
      </c>
      <c r="I9" s="54">
        <v>0.85</v>
      </c>
      <c r="J9" s="54">
        <v>0.77</v>
      </c>
      <c r="K9" s="54">
        <v>10.6</v>
      </c>
      <c r="L9" s="54">
        <v>23.15</v>
      </c>
      <c r="M9" s="54">
        <v>99.08</v>
      </c>
      <c r="N9" s="54">
        <v>48.3</v>
      </c>
      <c r="O9" s="54">
        <v>0</v>
      </c>
      <c r="P9" s="54">
        <v>0.27</v>
      </c>
      <c r="Q9" s="54">
        <v>9.3699999999999992</v>
      </c>
      <c r="R9" s="43"/>
      <c r="S9" s="43"/>
      <c r="T9" s="43"/>
      <c r="U9" s="43"/>
    </row>
    <row r="10" spans="1:21" s="11" customFormat="1" x14ac:dyDescent="0.25">
      <c r="A10" s="53" t="s">
        <v>606</v>
      </c>
      <c r="B10" s="54">
        <v>8.11</v>
      </c>
      <c r="C10" s="54">
        <v>3.11</v>
      </c>
      <c r="D10" s="54">
        <v>11.9</v>
      </c>
      <c r="E10" s="54">
        <v>3.59</v>
      </c>
      <c r="F10" s="54">
        <v>5.47</v>
      </c>
      <c r="G10" s="54">
        <v>4.37</v>
      </c>
      <c r="H10" s="54">
        <v>0.93</v>
      </c>
      <c r="I10" s="54">
        <v>0.7</v>
      </c>
      <c r="J10" s="54">
        <v>0.72</v>
      </c>
      <c r="K10" s="54">
        <v>6.6</v>
      </c>
      <c r="L10" s="54">
        <v>23.22</v>
      </c>
      <c r="M10" s="54">
        <v>99.06</v>
      </c>
      <c r="N10" s="54">
        <v>48.1</v>
      </c>
      <c r="O10" s="54">
        <v>0</v>
      </c>
      <c r="P10" s="54">
        <v>0.25</v>
      </c>
      <c r="Q10" s="54">
        <v>9.34</v>
      </c>
      <c r="R10" s="43"/>
      <c r="S10" s="43"/>
      <c r="T10" s="43"/>
      <c r="U10" s="43"/>
    </row>
    <row r="11" spans="1:21" s="11" customFormat="1" x14ac:dyDescent="0.25">
      <c r="A11" s="53" t="s">
        <v>607</v>
      </c>
      <c r="B11" s="54">
        <v>8.1199999999999992</v>
      </c>
      <c r="C11" s="54">
        <v>3.12</v>
      </c>
      <c r="D11" s="54">
        <v>11.92</v>
      </c>
      <c r="E11" s="54">
        <v>3.62</v>
      </c>
      <c r="F11" s="54">
        <v>5.53</v>
      </c>
      <c r="G11" s="54">
        <v>3.23</v>
      </c>
      <c r="H11" s="54">
        <v>0.85</v>
      </c>
      <c r="I11" s="54">
        <v>0.55000000000000004</v>
      </c>
      <c r="J11" s="54">
        <v>0.65</v>
      </c>
      <c r="K11" s="54">
        <v>356.93</v>
      </c>
      <c r="L11" s="54">
        <v>23.09</v>
      </c>
      <c r="M11" s="54">
        <v>99.13</v>
      </c>
      <c r="N11" s="54">
        <v>48.3</v>
      </c>
      <c r="O11" s="54">
        <v>0</v>
      </c>
      <c r="P11" s="54">
        <v>0.23</v>
      </c>
      <c r="Q11" s="54">
        <v>9.32</v>
      </c>
      <c r="R11" s="43"/>
      <c r="S11" s="43"/>
      <c r="T11" s="43"/>
      <c r="U11" s="43"/>
    </row>
    <row r="12" spans="1:21" s="11" customFormat="1" x14ac:dyDescent="0.25">
      <c r="A12" s="53" t="s">
        <v>608</v>
      </c>
      <c r="B12" s="54">
        <v>8.2100000000000009</v>
      </c>
      <c r="C12" s="54">
        <v>3.54</v>
      </c>
      <c r="D12" s="54">
        <v>12.21</v>
      </c>
      <c r="E12" s="54">
        <v>5.37</v>
      </c>
      <c r="F12" s="54">
        <v>6.1</v>
      </c>
      <c r="G12" s="54">
        <v>2.9</v>
      </c>
      <c r="H12" s="54">
        <v>0.91</v>
      </c>
      <c r="I12" s="54">
        <v>0.49</v>
      </c>
      <c r="J12" s="54">
        <v>0.65</v>
      </c>
      <c r="K12" s="54">
        <v>352.42</v>
      </c>
      <c r="L12" s="54">
        <v>22.4</v>
      </c>
      <c r="M12" s="54">
        <v>99.13</v>
      </c>
      <c r="N12" s="54">
        <v>48.1</v>
      </c>
      <c r="O12" s="54">
        <v>0</v>
      </c>
      <c r="P12" s="54">
        <v>0.23</v>
      </c>
      <c r="Q12" s="54">
        <v>9.27</v>
      </c>
      <c r="R12" s="43"/>
      <c r="S12" s="43"/>
      <c r="T12" s="43"/>
      <c r="U12" s="43"/>
    </row>
    <row r="13" spans="1:21" s="11" customFormat="1" x14ac:dyDescent="0.25">
      <c r="A13" s="53" t="s">
        <v>609</v>
      </c>
      <c r="B13" s="54">
        <v>8.07</v>
      </c>
      <c r="C13" s="54">
        <v>3.05</v>
      </c>
      <c r="D13" s="54">
        <v>11.84</v>
      </c>
      <c r="E13" s="54">
        <v>4.3099999999999996</v>
      </c>
      <c r="F13" s="54">
        <v>5.53</v>
      </c>
      <c r="G13" s="54">
        <v>2.36</v>
      </c>
      <c r="H13" s="54">
        <v>0.96</v>
      </c>
      <c r="I13" s="54">
        <v>0.47</v>
      </c>
      <c r="J13" s="54">
        <v>0.74</v>
      </c>
      <c r="K13" s="54">
        <v>11.68</v>
      </c>
      <c r="L13" s="54">
        <v>22.47</v>
      </c>
      <c r="M13" s="54">
        <v>99.13</v>
      </c>
      <c r="N13" s="54">
        <v>48.2</v>
      </c>
      <c r="O13" s="54">
        <v>0</v>
      </c>
      <c r="P13" s="54">
        <v>0.22</v>
      </c>
      <c r="Q13" s="54">
        <v>9.27</v>
      </c>
      <c r="R13" s="43"/>
      <c r="S13" s="43"/>
      <c r="T13" s="43"/>
      <c r="U13" s="43"/>
    </row>
    <row r="14" spans="1:21" s="11" customFormat="1" x14ac:dyDescent="0.25">
      <c r="A14" s="53" t="s">
        <v>610</v>
      </c>
      <c r="B14" s="54">
        <v>8.07</v>
      </c>
      <c r="C14" s="54">
        <v>3.04</v>
      </c>
      <c r="D14" s="54">
        <v>11.82</v>
      </c>
      <c r="E14" s="54">
        <v>4.0999999999999996</v>
      </c>
      <c r="F14" s="54">
        <v>5.77</v>
      </c>
      <c r="G14" s="54">
        <v>2.1</v>
      </c>
      <c r="H14" s="54">
        <v>0.98</v>
      </c>
      <c r="I14" s="54">
        <v>0.5</v>
      </c>
      <c r="J14" s="54">
        <v>0.64</v>
      </c>
      <c r="K14" s="54">
        <v>358.06</v>
      </c>
      <c r="L14" s="54">
        <v>22.63</v>
      </c>
      <c r="M14" s="54">
        <v>99.08</v>
      </c>
      <c r="N14" s="54">
        <v>56.1</v>
      </c>
      <c r="O14" s="54">
        <v>0</v>
      </c>
      <c r="P14" s="54">
        <v>0.22</v>
      </c>
      <c r="Q14" s="54">
        <v>9.27</v>
      </c>
      <c r="R14" s="43"/>
      <c r="S14" s="43"/>
      <c r="T14" s="43"/>
      <c r="U14" s="43"/>
    </row>
    <row r="15" spans="1:21" s="11" customFormat="1" x14ac:dyDescent="0.25">
      <c r="A15" s="53" t="s">
        <v>611</v>
      </c>
      <c r="B15" s="54">
        <v>8.1199999999999992</v>
      </c>
      <c r="C15" s="54">
        <v>3.08</v>
      </c>
      <c r="D15" s="54">
        <v>11.89</v>
      </c>
      <c r="E15" s="54">
        <v>4.2</v>
      </c>
      <c r="F15" s="54">
        <v>4.49</v>
      </c>
      <c r="G15" s="54">
        <v>2.1</v>
      </c>
      <c r="H15" s="54">
        <v>1.28</v>
      </c>
      <c r="I15" s="54">
        <v>0.55000000000000004</v>
      </c>
      <c r="J15" s="54">
        <v>0.7</v>
      </c>
      <c r="K15" s="54">
        <v>351.1</v>
      </c>
      <c r="L15" s="54">
        <v>22.95</v>
      </c>
      <c r="M15" s="54">
        <v>99.08</v>
      </c>
      <c r="N15" s="54">
        <v>78.099999999999994</v>
      </c>
      <c r="O15" s="54">
        <v>0</v>
      </c>
      <c r="P15" s="54">
        <v>0.26</v>
      </c>
      <c r="Q15" s="54">
        <v>9.3000000000000007</v>
      </c>
      <c r="R15" s="43"/>
      <c r="S15" s="43"/>
      <c r="T15" s="43"/>
      <c r="U15" s="43"/>
    </row>
    <row r="16" spans="1:21" s="11" customFormat="1" x14ac:dyDescent="0.25">
      <c r="A16" s="53" t="s">
        <v>612</v>
      </c>
      <c r="B16" s="54">
        <v>8.2200000000000006</v>
      </c>
      <c r="C16" s="54">
        <v>3.52</v>
      </c>
      <c r="D16" s="54">
        <v>12.2</v>
      </c>
      <c r="E16" s="54">
        <v>4.9400000000000004</v>
      </c>
      <c r="F16" s="54">
        <v>5.25</v>
      </c>
      <c r="G16" s="54">
        <v>3.75</v>
      </c>
      <c r="H16" s="54">
        <v>1.31</v>
      </c>
      <c r="I16" s="54">
        <v>0.67</v>
      </c>
      <c r="J16" s="54">
        <v>0.68</v>
      </c>
      <c r="K16" s="54">
        <v>350.56</v>
      </c>
      <c r="L16" s="54">
        <v>23.07</v>
      </c>
      <c r="M16" s="54">
        <v>99.08</v>
      </c>
      <c r="N16" s="54">
        <v>104</v>
      </c>
      <c r="O16" s="54">
        <v>0</v>
      </c>
      <c r="P16" s="54">
        <v>0.31</v>
      </c>
      <c r="Q16" s="54">
        <v>9.3000000000000007</v>
      </c>
      <c r="R16" s="43"/>
      <c r="S16" s="43"/>
      <c r="T16" s="43"/>
      <c r="U16" s="43"/>
    </row>
    <row r="17" spans="1:21" s="11" customFormat="1" x14ac:dyDescent="0.25">
      <c r="A17" s="53" t="s">
        <v>613</v>
      </c>
      <c r="B17" s="54">
        <v>8.1300000000000008</v>
      </c>
      <c r="C17" s="54">
        <v>3.31</v>
      </c>
      <c r="D17" s="54">
        <v>12.02</v>
      </c>
      <c r="E17" s="54">
        <v>5.49</v>
      </c>
      <c r="F17" s="54">
        <v>6.42</v>
      </c>
      <c r="G17" s="54">
        <v>6.23</v>
      </c>
      <c r="H17" s="54">
        <v>1.31</v>
      </c>
      <c r="I17" s="54">
        <v>0.8</v>
      </c>
      <c r="J17" s="54">
        <v>0.67</v>
      </c>
      <c r="K17" s="54">
        <v>359.11</v>
      </c>
      <c r="L17" s="54">
        <v>23.15</v>
      </c>
      <c r="M17" s="54">
        <v>99.09</v>
      </c>
      <c r="N17" s="54">
        <v>127.8</v>
      </c>
      <c r="O17" s="54">
        <v>0.2</v>
      </c>
      <c r="P17" s="54">
        <v>0.35</v>
      </c>
      <c r="Q17" s="54">
        <v>9.23</v>
      </c>
      <c r="R17" s="43"/>
      <c r="S17" s="43"/>
      <c r="T17" s="43"/>
      <c r="U17" s="43"/>
    </row>
    <row r="18" spans="1:21" s="11" customFormat="1" x14ac:dyDescent="0.25">
      <c r="A18" s="53" t="s">
        <v>614</v>
      </c>
      <c r="B18" s="54">
        <v>8.18</v>
      </c>
      <c r="C18" s="54">
        <v>3.54</v>
      </c>
      <c r="D18" s="54">
        <v>12.18</v>
      </c>
      <c r="E18" s="54">
        <v>5.63</v>
      </c>
      <c r="F18" s="54">
        <v>28.19</v>
      </c>
      <c r="G18" s="54">
        <v>6.23</v>
      </c>
      <c r="H18" s="54">
        <v>1.29</v>
      </c>
      <c r="I18" s="54">
        <v>0.91</v>
      </c>
      <c r="J18" s="54">
        <v>0.64</v>
      </c>
      <c r="K18" s="54">
        <v>11.26</v>
      </c>
      <c r="L18" s="54">
        <v>22.49</v>
      </c>
      <c r="M18" s="54">
        <v>99.15</v>
      </c>
      <c r="N18" s="54">
        <v>107.7</v>
      </c>
      <c r="O18" s="54">
        <v>1.4</v>
      </c>
      <c r="P18" s="54">
        <v>0.39</v>
      </c>
      <c r="Q18" s="54">
        <v>8.8800000000000008</v>
      </c>
      <c r="R18" s="43"/>
      <c r="S18" s="43"/>
      <c r="T18" s="43"/>
      <c r="U18" s="43"/>
    </row>
    <row r="19" spans="1:21" s="11" customFormat="1" x14ac:dyDescent="0.25">
      <c r="A19" s="53" t="s">
        <v>615</v>
      </c>
      <c r="B19" s="54">
        <v>8.32</v>
      </c>
      <c r="C19" s="54">
        <v>4.17</v>
      </c>
      <c r="D19" s="54">
        <v>12.63</v>
      </c>
      <c r="E19" s="54">
        <v>5.94</v>
      </c>
      <c r="F19" s="54">
        <v>17.64</v>
      </c>
      <c r="G19" s="54">
        <v>5.56</v>
      </c>
      <c r="H19" s="54">
        <v>1.28</v>
      </c>
      <c r="I19" s="54">
        <v>1.1200000000000001</v>
      </c>
      <c r="J19" s="54">
        <v>0.73</v>
      </c>
      <c r="K19" s="54">
        <v>357.84</v>
      </c>
      <c r="L19" s="54">
        <v>22.04</v>
      </c>
      <c r="M19" s="54">
        <v>99.16</v>
      </c>
      <c r="N19" s="54">
        <v>101.6</v>
      </c>
      <c r="O19" s="54">
        <v>0.6</v>
      </c>
      <c r="P19" s="54">
        <v>0.39</v>
      </c>
      <c r="Q19" s="54">
        <v>9.1199999999999992</v>
      </c>
      <c r="R19" s="43"/>
      <c r="S19" s="43"/>
      <c r="T19" s="43"/>
      <c r="U19" s="43"/>
    </row>
    <row r="20" spans="1:21" s="11" customFormat="1" x14ac:dyDescent="0.25">
      <c r="A20" s="53" t="s">
        <v>616</v>
      </c>
      <c r="B20" s="54">
        <v>8.35</v>
      </c>
      <c r="C20" s="54">
        <v>3.29</v>
      </c>
      <c r="D20" s="54">
        <v>12.19</v>
      </c>
      <c r="E20" s="54">
        <v>4.2300000000000004</v>
      </c>
      <c r="F20" s="54">
        <v>5.13</v>
      </c>
      <c r="G20" s="54">
        <v>3.89</v>
      </c>
      <c r="H20" s="54">
        <v>1.25</v>
      </c>
      <c r="I20" s="54">
        <v>1.1000000000000001</v>
      </c>
      <c r="J20" s="54">
        <v>0.66</v>
      </c>
      <c r="K20" s="54">
        <v>15.71</v>
      </c>
      <c r="L20" s="54">
        <v>22.25</v>
      </c>
      <c r="M20" s="54">
        <v>98.95</v>
      </c>
      <c r="N20" s="54">
        <v>139.6</v>
      </c>
      <c r="O20" s="54">
        <v>2.4</v>
      </c>
      <c r="P20" s="54">
        <v>0.37</v>
      </c>
      <c r="Q20" s="54">
        <v>9.56</v>
      </c>
      <c r="R20" s="43"/>
      <c r="S20" s="43"/>
      <c r="T20" s="43"/>
      <c r="U20" s="43"/>
    </row>
    <row r="21" spans="1:21" s="11" customFormat="1" x14ac:dyDescent="0.25">
      <c r="A21" s="53" t="s">
        <v>617</v>
      </c>
      <c r="B21" s="54">
        <v>8.35</v>
      </c>
      <c r="C21" s="54">
        <v>3.33</v>
      </c>
      <c r="D21" s="54">
        <v>12.21</v>
      </c>
      <c r="E21" s="54">
        <v>4.05</v>
      </c>
      <c r="F21" s="54">
        <v>11.49</v>
      </c>
      <c r="G21" s="54">
        <v>2.72</v>
      </c>
      <c r="H21" s="54">
        <v>1.26</v>
      </c>
      <c r="I21" s="54">
        <v>1.01</v>
      </c>
      <c r="J21" s="54">
        <v>0.78</v>
      </c>
      <c r="K21" s="54">
        <v>14.23</v>
      </c>
      <c r="L21" s="54">
        <v>21.78</v>
      </c>
      <c r="M21" s="54">
        <v>99</v>
      </c>
      <c r="N21" s="54">
        <v>123.1</v>
      </c>
      <c r="O21" s="54">
        <v>2</v>
      </c>
      <c r="P21" s="54">
        <v>0.35</v>
      </c>
      <c r="Q21" s="54">
        <v>9.6199999999999992</v>
      </c>
      <c r="R21" s="43"/>
      <c r="S21" s="43"/>
      <c r="T21" s="43"/>
      <c r="U21" s="43"/>
    </row>
    <row r="22" spans="1:21" s="11" customFormat="1" x14ac:dyDescent="0.25">
      <c r="A22" s="53" t="s">
        <v>618</v>
      </c>
      <c r="B22" s="54">
        <v>8.31</v>
      </c>
      <c r="C22" s="54">
        <v>3.23</v>
      </c>
      <c r="D22" s="54">
        <v>12.12</v>
      </c>
      <c r="E22" s="54">
        <v>4.12</v>
      </c>
      <c r="F22" s="54">
        <v>11.72</v>
      </c>
      <c r="G22" s="54">
        <v>7.75</v>
      </c>
      <c r="H22" s="54">
        <v>1.53</v>
      </c>
      <c r="I22" s="54">
        <v>0.82</v>
      </c>
      <c r="J22" s="54">
        <v>0.81</v>
      </c>
      <c r="K22" s="54">
        <v>13.35</v>
      </c>
      <c r="L22" s="54">
        <v>21.94</v>
      </c>
      <c r="M22" s="54">
        <v>99</v>
      </c>
      <c r="N22" s="54">
        <v>144.19999999999999</v>
      </c>
      <c r="O22" s="54">
        <v>1.8</v>
      </c>
      <c r="P22" s="54">
        <v>0.32</v>
      </c>
      <c r="Q22" s="54">
        <v>9.4499999999999993</v>
      </c>
      <c r="R22" s="43"/>
      <c r="S22" s="43"/>
      <c r="T22" s="43"/>
      <c r="U22" s="43"/>
    </row>
    <row r="23" spans="1:21" s="11" customFormat="1" x14ac:dyDescent="0.25">
      <c r="A23" s="53" t="s">
        <v>619</v>
      </c>
      <c r="B23" s="54">
        <v>8.31</v>
      </c>
      <c r="C23" s="54">
        <v>3.26</v>
      </c>
      <c r="D23" s="54">
        <v>12.14</v>
      </c>
      <c r="E23" s="54">
        <v>3.97</v>
      </c>
      <c r="F23" s="54">
        <v>7.19</v>
      </c>
      <c r="G23" s="54">
        <v>7.75</v>
      </c>
      <c r="H23" s="54">
        <v>1.62</v>
      </c>
      <c r="I23" s="54">
        <v>0.8</v>
      </c>
      <c r="J23" s="54">
        <v>0.78</v>
      </c>
      <c r="K23" s="54">
        <v>18.36</v>
      </c>
      <c r="L23" s="54">
        <v>21.91</v>
      </c>
      <c r="M23" s="54">
        <v>99.02</v>
      </c>
      <c r="N23" s="54">
        <v>109</v>
      </c>
      <c r="O23" s="54">
        <v>2.6</v>
      </c>
      <c r="P23" s="54">
        <v>0.31</v>
      </c>
      <c r="Q23" s="54">
        <v>9.35</v>
      </c>
      <c r="R23" s="43"/>
      <c r="S23" s="43"/>
      <c r="T23" s="43"/>
      <c r="U23" s="43"/>
    </row>
    <row r="24" spans="1:21" s="11" customFormat="1" x14ac:dyDescent="0.25">
      <c r="A24" s="53" t="s">
        <v>620</v>
      </c>
      <c r="B24" s="54">
        <v>8.35</v>
      </c>
      <c r="C24" s="54">
        <v>3.3</v>
      </c>
      <c r="D24" s="54">
        <v>12.19</v>
      </c>
      <c r="E24" s="54">
        <v>4.1100000000000003</v>
      </c>
      <c r="F24" s="54">
        <v>13.99</v>
      </c>
      <c r="G24" s="54">
        <v>5.42</v>
      </c>
      <c r="H24" s="54">
        <v>1.62</v>
      </c>
      <c r="I24" s="54">
        <v>0.7</v>
      </c>
      <c r="J24" s="54">
        <v>0.77</v>
      </c>
      <c r="K24" s="54">
        <v>16.03</v>
      </c>
      <c r="L24" s="54">
        <v>21.7</v>
      </c>
      <c r="M24" s="54">
        <v>99.03</v>
      </c>
      <c r="N24" s="54">
        <v>98.8</v>
      </c>
      <c r="O24" s="54">
        <v>4.4000000000000004</v>
      </c>
      <c r="P24" s="54">
        <v>0.31</v>
      </c>
      <c r="Q24" s="54">
        <v>9.3699999999999992</v>
      </c>
      <c r="R24" s="43"/>
      <c r="S24" s="43"/>
      <c r="T24" s="43"/>
      <c r="U24" s="43"/>
    </row>
    <row r="25" spans="1:21" s="11" customFormat="1" x14ac:dyDescent="0.25">
      <c r="A25" s="53" t="s">
        <v>621</v>
      </c>
      <c r="B25" s="54">
        <v>8.36</v>
      </c>
      <c r="C25" s="54">
        <v>3.3</v>
      </c>
      <c r="D25" s="54">
        <v>12.2</v>
      </c>
      <c r="E25" s="54">
        <v>4.0199999999999996</v>
      </c>
      <c r="F25" s="54">
        <v>11.4</v>
      </c>
      <c r="G25" s="54">
        <v>4.03</v>
      </c>
      <c r="H25" s="54">
        <v>3.93</v>
      </c>
      <c r="I25" s="54">
        <v>0.73</v>
      </c>
      <c r="J25" s="54">
        <v>0.75</v>
      </c>
      <c r="K25" s="54">
        <v>356.08</v>
      </c>
      <c r="L25" s="54">
        <v>21.82</v>
      </c>
      <c r="M25" s="54">
        <v>99</v>
      </c>
      <c r="N25" s="54">
        <v>86.6</v>
      </c>
      <c r="O25" s="54">
        <v>1.4</v>
      </c>
      <c r="P25" s="54">
        <v>0.3</v>
      </c>
      <c r="Q25" s="54">
        <v>9.42</v>
      </c>
      <c r="R25" s="43"/>
      <c r="S25" s="43"/>
      <c r="T25" s="43"/>
      <c r="U25" s="43"/>
    </row>
    <row r="26" spans="1:21" s="11" customFormat="1" x14ac:dyDescent="0.25">
      <c r="A26" s="53" t="s">
        <v>622</v>
      </c>
      <c r="B26" s="54">
        <v>8.34</v>
      </c>
      <c r="C26" s="54">
        <v>3.32</v>
      </c>
      <c r="D26" s="54">
        <v>12.19</v>
      </c>
      <c r="E26" s="54">
        <v>4.3099999999999996</v>
      </c>
      <c r="F26" s="54">
        <v>8.92</v>
      </c>
      <c r="G26" s="54">
        <v>4.03</v>
      </c>
      <c r="H26" s="54">
        <v>3.93</v>
      </c>
      <c r="I26" s="54">
        <v>0.94</v>
      </c>
      <c r="J26" s="54">
        <v>0.67</v>
      </c>
      <c r="K26" s="54">
        <v>356.44</v>
      </c>
      <c r="L26" s="54">
        <v>21.84</v>
      </c>
      <c r="M26" s="54">
        <v>99.03</v>
      </c>
      <c r="N26" s="54">
        <v>76.099999999999994</v>
      </c>
      <c r="O26" s="54">
        <v>0.6</v>
      </c>
      <c r="P26" s="54">
        <v>0.31</v>
      </c>
      <c r="Q26" s="54">
        <v>9.32</v>
      </c>
      <c r="R26" s="43"/>
      <c r="S26" s="43"/>
      <c r="T26" s="43"/>
      <c r="U26" s="43"/>
    </row>
    <row r="27" spans="1:21" s="11" customFormat="1" x14ac:dyDescent="0.25">
      <c r="A27" s="53" t="s">
        <v>623</v>
      </c>
      <c r="B27" s="54">
        <v>8.4499999999999993</v>
      </c>
      <c r="C27" s="54">
        <v>3.62</v>
      </c>
      <c r="D27" s="54">
        <v>12.44</v>
      </c>
      <c r="E27" s="54">
        <v>3.94</v>
      </c>
      <c r="F27" s="54">
        <v>5.24</v>
      </c>
      <c r="G27" s="54">
        <v>24.17</v>
      </c>
      <c r="H27" s="54">
        <v>4.76</v>
      </c>
      <c r="I27" s="54">
        <v>1.1200000000000001</v>
      </c>
      <c r="J27" s="54">
        <v>0.67</v>
      </c>
      <c r="K27" s="54">
        <v>11.59</v>
      </c>
      <c r="L27" s="54">
        <v>21.93</v>
      </c>
      <c r="M27" s="54">
        <v>99.03</v>
      </c>
      <c r="N27" s="54">
        <v>52.1</v>
      </c>
      <c r="O27" s="54">
        <v>0.2</v>
      </c>
      <c r="P27" s="54">
        <v>0.35</v>
      </c>
      <c r="Q27" s="54">
        <v>9.39</v>
      </c>
      <c r="R27" s="43"/>
      <c r="S27" s="43"/>
      <c r="T27" s="43"/>
      <c r="U27" s="43"/>
    </row>
    <row r="28" spans="1:21" s="11" customFormat="1" x14ac:dyDescent="0.25">
      <c r="A28" s="53" t="s">
        <v>624</v>
      </c>
      <c r="B28" s="54">
        <v>8.33</v>
      </c>
      <c r="C28" s="54">
        <v>3.27</v>
      </c>
      <c r="D28" s="54">
        <v>12.15</v>
      </c>
      <c r="E28" s="54">
        <v>4.21</v>
      </c>
      <c r="F28" s="54">
        <v>4.1900000000000004</v>
      </c>
      <c r="G28" s="54">
        <v>24.17</v>
      </c>
      <c r="H28" s="54">
        <v>5.15</v>
      </c>
      <c r="I28" s="54">
        <v>1.2</v>
      </c>
      <c r="J28" s="54">
        <v>0.68</v>
      </c>
      <c r="K28" s="54">
        <v>10.4</v>
      </c>
      <c r="L28" s="54">
        <v>22.1</v>
      </c>
      <c r="M28" s="54">
        <v>99.05</v>
      </c>
      <c r="N28" s="54">
        <v>49.6</v>
      </c>
      <c r="O28" s="54">
        <v>0</v>
      </c>
      <c r="P28" s="54">
        <v>0.34</v>
      </c>
      <c r="Q28" s="54">
        <v>9.4</v>
      </c>
      <c r="R28" s="43"/>
      <c r="S28" s="43"/>
      <c r="T28" s="43"/>
      <c r="U28" s="43"/>
    </row>
    <row r="29" spans="1:21" s="11" customFormat="1" x14ac:dyDescent="0.25">
      <c r="A29" s="53" t="s">
        <v>625</v>
      </c>
      <c r="B29" s="54">
        <v>8.35</v>
      </c>
      <c r="C29" s="54">
        <v>3.3</v>
      </c>
      <c r="D29" s="54">
        <v>12.19</v>
      </c>
      <c r="E29" s="54">
        <v>4.2699999999999996</v>
      </c>
      <c r="F29" s="54">
        <v>4.08</v>
      </c>
      <c r="G29" s="54">
        <v>17.170000000000002</v>
      </c>
      <c r="H29" s="54">
        <v>5.15</v>
      </c>
      <c r="I29" s="54">
        <v>1.24</v>
      </c>
      <c r="J29" s="54">
        <v>0.61</v>
      </c>
      <c r="K29" s="54">
        <v>14.71</v>
      </c>
      <c r="L29" s="54">
        <v>22.16</v>
      </c>
      <c r="M29" s="54">
        <v>99.08</v>
      </c>
      <c r="N29" s="54">
        <v>49.6</v>
      </c>
      <c r="O29" s="54">
        <v>0.4</v>
      </c>
      <c r="P29" s="54">
        <v>0.37</v>
      </c>
      <c r="Q29" s="54">
        <v>9.41</v>
      </c>
      <c r="R29" s="43"/>
      <c r="S29" s="43"/>
      <c r="T29" s="43"/>
      <c r="U29" s="43"/>
    </row>
    <row r="30" spans="1:21" s="11" customFormat="1" x14ac:dyDescent="0.25">
      <c r="A30" s="53" t="s">
        <v>626</v>
      </c>
      <c r="B30" s="54">
        <v>8.42</v>
      </c>
      <c r="C30" s="54">
        <v>3.5</v>
      </c>
      <c r="D30" s="54">
        <v>12.33</v>
      </c>
      <c r="E30" s="54">
        <v>4.24</v>
      </c>
      <c r="F30" s="54">
        <v>6.07</v>
      </c>
      <c r="G30" s="54">
        <v>16.14</v>
      </c>
      <c r="H30" s="54">
        <v>4.4800000000000004</v>
      </c>
      <c r="I30" s="54">
        <v>1.21</v>
      </c>
      <c r="J30" s="54">
        <v>0.79</v>
      </c>
      <c r="K30" s="54">
        <v>14.64</v>
      </c>
      <c r="L30" s="54">
        <v>22.14</v>
      </c>
      <c r="M30" s="54">
        <v>99.08</v>
      </c>
      <c r="N30" s="54">
        <v>49.6</v>
      </c>
      <c r="O30" s="54">
        <v>0.2</v>
      </c>
      <c r="P30" s="54">
        <v>0.35</v>
      </c>
      <c r="Q30" s="54">
        <v>9.4</v>
      </c>
      <c r="R30" s="43"/>
      <c r="S30" s="43"/>
      <c r="T30" s="43"/>
      <c r="U30" s="43"/>
    </row>
    <row r="31" spans="1:21" s="11" customFormat="1" x14ac:dyDescent="0.25">
      <c r="A31" s="53" t="s">
        <v>627</v>
      </c>
      <c r="B31" s="54">
        <v>8.2899999999999991</v>
      </c>
      <c r="C31" s="54">
        <v>3.19</v>
      </c>
      <c r="D31" s="54">
        <v>12.09</v>
      </c>
      <c r="E31" s="54">
        <v>4.2300000000000004</v>
      </c>
      <c r="F31" s="54">
        <v>8.91</v>
      </c>
      <c r="G31" s="54">
        <v>13.64</v>
      </c>
      <c r="H31" s="54">
        <v>3.25</v>
      </c>
      <c r="I31" s="54">
        <v>1.1499999999999999</v>
      </c>
      <c r="J31" s="54">
        <v>0.76</v>
      </c>
      <c r="K31" s="54">
        <v>15.26</v>
      </c>
      <c r="L31" s="54">
        <v>22.12</v>
      </c>
      <c r="M31" s="54">
        <v>99.1</v>
      </c>
      <c r="N31" s="54">
        <v>49.7</v>
      </c>
      <c r="O31" s="54">
        <v>2</v>
      </c>
      <c r="P31" s="54">
        <v>0.31</v>
      </c>
      <c r="Q31" s="54">
        <v>9.2799999999999994</v>
      </c>
      <c r="R31" s="43"/>
      <c r="S31" s="43"/>
      <c r="T31" s="43"/>
      <c r="U31" s="43"/>
    </row>
    <row r="32" spans="1:21" s="11" customFormat="1" x14ac:dyDescent="0.25">
      <c r="A32" s="53" t="s">
        <v>628</v>
      </c>
      <c r="B32" s="54">
        <v>8.31</v>
      </c>
      <c r="C32" s="54">
        <v>3.2</v>
      </c>
      <c r="D32" s="54">
        <v>12.1</v>
      </c>
      <c r="E32" s="54">
        <v>4.83</v>
      </c>
      <c r="F32" s="54">
        <v>8</v>
      </c>
      <c r="G32" s="54">
        <v>9.93</v>
      </c>
      <c r="H32" s="54">
        <v>2.78</v>
      </c>
      <c r="I32" s="54">
        <v>0.97</v>
      </c>
      <c r="J32" s="54">
        <v>0.81</v>
      </c>
      <c r="K32" s="54">
        <v>22.15</v>
      </c>
      <c r="L32" s="54">
        <v>21.75</v>
      </c>
      <c r="M32" s="54">
        <v>99.1</v>
      </c>
      <c r="N32" s="54">
        <v>49.8</v>
      </c>
      <c r="O32" s="54">
        <v>1.8</v>
      </c>
      <c r="P32" s="54">
        <v>0.28000000000000003</v>
      </c>
      <c r="Q32" s="54">
        <v>9.31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8.07</v>
      </c>
      <c r="C34" s="28">
        <f t="shared" si="0"/>
        <v>3.04</v>
      </c>
      <c r="D34" s="28">
        <f t="shared" si="0"/>
        <v>11.82</v>
      </c>
      <c r="E34" s="28">
        <f t="shared" si="0"/>
        <v>3.59</v>
      </c>
      <c r="F34" s="28">
        <f t="shared" si="0"/>
        <v>4.08</v>
      </c>
      <c r="G34" s="28">
        <f t="shared" si="0"/>
        <v>2.1</v>
      </c>
      <c r="H34" s="28">
        <f t="shared" si="0"/>
        <v>0.85</v>
      </c>
      <c r="I34" s="28">
        <f t="shared" si="0"/>
        <v>0.47</v>
      </c>
      <c r="J34" s="28">
        <f t="shared" si="0"/>
        <v>0.61</v>
      </c>
      <c r="K34" s="28">
        <f t="shared" si="0"/>
        <v>6.6</v>
      </c>
      <c r="L34" s="28">
        <f t="shared" si="0"/>
        <v>21.7</v>
      </c>
      <c r="M34" s="28">
        <f t="shared" si="0"/>
        <v>98.95</v>
      </c>
      <c r="N34" s="28">
        <f t="shared" si="0"/>
        <v>48.1</v>
      </c>
      <c r="O34" s="28">
        <f t="shared" si="0"/>
        <v>0</v>
      </c>
      <c r="P34" s="28">
        <f t="shared" si="0"/>
        <v>0.22</v>
      </c>
      <c r="Q34" s="28">
        <f t="shared" si="0"/>
        <v>8.8800000000000008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8.4499999999999993</v>
      </c>
      <c r="C35" s="29">
        <f t="shared" si="1"/>
        <v>4.17</v>
      </c>
      <c r="D35" s="29">
        <f t="shared" si="1"/>
        <v>12.63</v>
      </c>
      <c r="E35" s="29">
        <f t="shared" si="1"/>
        <v>5.94</v>
      </c>
      <c r="F35" s="29">
        <f t="shared" si="1"/>
        <v>28.19</v>
      </c>
      <c r="G35" s="29">
        <f t="shared" si="1"/>
        <v>24.17</v>
      </c>
      <c r="H35" s="29">
        <f t="shared" si="1"/>
        <v>5.15</v>
      </c>
      <c r="I35" s="29">
        <f t="shared" si="1"/>
        <v>1.24</v>
      </c>
      <c r="J35" s="29">
        <f t="shared" si="1"/>
        <v>0.81</v>
      </c>
      <c r="K35" s="29">
        <f t="shared" si="1"/>
        <v>359.11</v>
      </c>
      <c r="L35" s="29">
        <f t="shared" si="1"/>
        <v>23.22</v>
      </c>
      <c r="M35" s="29">
        <f t="shared" si="1"/>
        <v>99.16</v>
      </c>
      <c r="N35" s="29">
        <f t="shared" si="1"/>
        <v>144.19999999999999</v>
      </c>
      <c r="O35" s="29">
        <f t="shared" si="1"/>
        <v>4.4000000000000004</v>
      </c>
      <c r="P35" s="29">
        <f t="shared" si="1"/>
        <v>0.39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8.2558333333333316</v>
      </c>
      <c r="C36" s="28">
        <f t="shared" si="2"/>
        <v>3.3187499999999992</v>
      </c>
      <c r="D36" s="28">
        <f t="shared" si="2"/>
        <v>12.124583333333334</v>
      </c>
      <c r="E36" s="28">
        <f t="shared" si="2"/>
        <v>4.3949999999999996</v>
      </c>
      <c r="F36" s="28">
        <f t="shared" si="2"/>
        <v>8.4054166666666674</v>
      </c>
      <c r="G36" s="28">
        <f t="shared" si="2"/>
        <v>7.7045833333333347</v>
      </c>
      <c r="H36" s="28">
        <f t="shared" si="2"/>
        <v>2.2050000000000001</v>
      </c>
      <c r="I36" s="28">
        <f t="shared" si="2"/>
        <v>0.85833333333333306</v>
      </c>
      <c r="J36" s="28">
        <f t="shared" si="2"/>
        <v>0.71375</v>
      </c>
      <c r="K36" s="28">
        <f t="shared" si="2"/>
        <v>141.87958333333339</v>
      </c>
      <c r="L36" s="28">
        <f t="shared" si="2"/>
        <v>22.337499999999995</v>
      </c>
      <c r="M36" s="28">
        <f t="shared" si="2"/>
        <v>99.068333333333328</v>
      </c>
      <c r="N36" s="28">
        <f t="shared" si="2"/>
        <v>78.920833333333306</v>
      </c>
      <c r="O36" s="28">
        <f t="shared" si="2"/>
        <v>0.91666666666666663</v>
      </c>
      <c r="P36" s="28">
        <f t="shared" si="2"/>
        <v>0.30791666666666656</v>
      </c>
      <c r="Q36" s="28">
        <f t="shared" si="2"/>
        <v>9.3312499999999989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0.11875867626580287</v>
      </c>
      <c r="C37" s="28">
        <f t="shared" ref="C37:Q37" si="3">STDEV(C9:C32)</f>
        <v>0.24584039537879043</v>
      </c>
      <c r="D37" s="28">
        <f t="shared" si="3"/>
        <v>0.19325538783572432</v>
      </c>
      <c r="E37" s="28">
        <f t="shared" si="3"/>
        <v>0.6349255348327163</v>
      </c>
      <c r="F37" s="28">
        <f t="shared" si="3"/>
        <v>5.4388969303380428</v>
      </c>
      <c r="G37" s="28">
        <f t="shared" si="3"/>
        <v>6.5637482525755351</v>
      </c>
      <c r="H37" s="28">
        <f t="shared" si="3"/>
        <v>1.5166840260194636</v>
      </c>
      <c r="I37" s="28">
        <f t="shared" si="3"/>
        <v>0.24906200845968304</v>
      </c>
      <c r="J37" s="28">
        <f t="shared" si="3"/>
        <v>6.0706886651816713E-2</v>
      </c>
      <c r="K37" s="28">
        <f t="shared" si="3"/>
        <v>168.97942633914278</v>
      </c>
      <c r="L37" s="28">
        <f t="shared" si="3"/>
        <v>0.5133966175935728</v>
      </c>
      <c r="M37" s="28">
        <f t="shared" si="3"/>
        <v>5.3133684285930946E-2</v>
      </c>
      <c r="N37" s="28">
        <f t="shared" si="3"/>
        <v>33.53352610729165</v>
      </c>
      <c r="O37" s="28">
        <f t="shared" si="3"/>
        <v>1.1630793709753457</v>
      </c>
      <c r="P37" s="28">
        <f t="shared" si="3"/>
        <v>5.3159249403104812E-2</v>
      </c>
      <c r="Q37" s="28">
        <f t="shared" si="3"/>
        <v>0.14069122836598735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3"/>
      <c r="B8" s="64" t="s">
        <v>22</v>
      </c>
      <c r="C8" s="64" t="s">
        <v>22</v>
      </c>
      <c r="D8" s="29" t="s">
        <v>42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64" t="s">
        <v>22</v>
      </c>
      <c r="R8" s="27"/>
      <c r="S8" s="29"/>
      <c r="T8" s="27"/>
      <c r="U8" s="27"/>
    </row>
    <row r="9" spans="1:21" s="11" customFormat="1" x14ac:dyDescent="0.25">
      <c r="A9" s="53" t="s">
        <v>629</v>
      </c>
      <c r="B9" s="54">
        <v>8.49</v>
      </c>
      <c r="C9" s="54">
        <v>3.8</v>
      </c>
      <c r="D9" s="54">
        <v>12.57</v>
      </c>
      <c r="E9" s="54">
        <v>4.7</v>
      </c>
      <c r="F9" s="54">
        <v>5.71</v>
      </c>
      <c r="G9" s="54">
        <v>7.67</v>
      </c>
      <c r="H9" s="54">
        <v>2.1</v>
      </c>
      <c r="I9" s="54">
        <v>0.74</v>
      </c>
      <c r="J9" s="54">
        <v>0.82</v>
      </c>
      <c r="K9" s="54">
        <v>18.73</v>
      </c>
      <c r="L9" s="54">
        <v>21.47</v>
      </c>
      <c r="M9" s="54">
        <v>99.1</v>
      </c>
      <c r="N9" s="54">
        <v>49.8</v>
      </c>
      <c r="O9" s="54">
        <v>1.8</v>
      </c>
      <c r="P9" s="54">
        <v>0.24</v>
      </c>
      <c r="Q9" s="54">
        <v>9.3000000000000007</v>
      </c>
      <c r="R9" s="43"/>
      <c r="S9" s="43"/>
      <c r="T9" s="43"/>
      <c r="U9" s="43"/>
    </row>
    <row r="10" spans="1:21" s="11" customFormat="1" x14ac:dyDescent="0.25">
      <c r="A10" s="53" t="s">
        <v>630</v>
      </c>
      <c r="B10" s="54">
        <v>8.33</v>
      </c>
      <c r="C10" s="54">
        <v>3.21</v>
      </c>
      <c r="D10" s="54">
        <v>12.13</v>
      </c>
      <c r="E10" s="54">
        <v>4.72</v>
      </c>
      <c r="F10" s="54">
        <v>5.83</v>
      </c>
      <c r="G10" s="54">
        <v>5.51</v>
      </c>
      <c r="H10" s="54">
        <v>2.1</v>
      </c>
      <c r="I10" s="54">
        <v>0.55000000000000004</v>
      </c>
      <c r="J10" s="54">
        <v>0.69</v>
      </c>
      <c r="K10" s="54">
        <v>23.04</v>
      </c>
      <c r="L10" s="54">
        <v>21.35</v>
      </c>
      <c r="M10" s="54">
        <v>99.11</v>
      </c>
      <c r="N10" s="54">
        <v>49.6</v>
      </c>
      <c r="O10" s="54">
        <v>1.2</v>
      </c>
      <c r="P10" s="54">
        <v>0.19</v>
      </c>
      <c r="Q10" s="54">
        <v>9.3000000000000007</v>
      </c>
      <c r="R10" s="43"/>
      <c r="S10" s="43"/>
      <c r="T10" s="43"/>
      <c r="U10" s="43"/>
    </row>
    <row r="11" spans="1:21" s="11" customFormat="1" x14ac:dyDescent="0.25">
      <c r="A11" s="53" t="s">
        <v>631</v>
      </c>
      <c r="B11" s="54">
        <v>8.31</v>
      </c>
      <c r="C11" s="54">
        <v>3.17</v>
      </c>
      <c r="D11" s="54">
        <v>12.08</v>
      </c>
      <c r="E11" s="54">
        <v>5.03</v>
      </c>
      <c r="F11" s="54">
        <v>7.17</v>
      </c>
      <c r="G11" s="54">
        <v>4.17</v>
      </c>
      <c r="H11" s="54">
        <v>2</v>
      </c>
      <c r="I11" s="54">
        <v>0.51</v>
      </c>
      <c r="J11" s="54">
        <v>0.75</v>
      </c>
      <c r="K11" s="54">
        <v>12.61</v>
      </c>
      <c r="L11" s="54">
        <v>21.19</v>
      </c>
      <c r="M11" s="54">
        <v>99.13</v>
      </c>
      <c r="N11" s="54">
        <v>49.7</v>
      </c>
      <c r="O11" s="54">
        <v>1</v>
      </c>
      <c r="P11" s="54">
        <v>0.19</v>
      </c>
      <c r="Q11" s="54">
        <v>9.26</v>
      </c>
      <c r="R11" s="43"/>
      <c r="S11" s="43"/>
      <c r="T11" s="43"/>
      <c r="U11" s="43"/>
    </row>
    <row r="12" spans="1:21" s="11" customFormat="1" x14ac:dyDescent="0.25">
      <c r="A12" s="53" t="s">
        <v>632</v>
      </c>
      <c r="B12" s="54">
        <v>8.32</v>
      </c>
      <c r="C12" s="54">
        <v>3.27</v>
      </c>
      <c r="D12" s="54">
        <v>12.16</v>
      </c>
      <c r="E12" s="54">
        <v>4.68</v>
      </c>
      <c r="F12" s="54">
        <v>7.63</v>
      </c>
      <c r="G12" s="54">
        <v>3.09</v>
      </c>
      <c r="H12" s="54">
        <v>2</v>
      </c>
      <c r="I12" s="54">
        <v>0.5</v>
      </c>
      <c r="J12" s="54">
        <v>0.77</v>
      </c>
      <c r="K12" s="54">
        <v>13.68</v>
      </c>
      <c r="L12" s="54">
        <v>21.03</v>
      </c>
      <c r="M12" s="54">
        <v>99.15</v>
      </c>
      <c r="N12" s="54">
        <v>49.9</v>
      </c>
      <c r="O12" s="54">
        <v>1</v>
      </c>
      <c r="P12" s="54">
        <v>0.17</v>
      </c>
      <c r="Q12" s="54">
        <v>9.23</v>
      </c>
      <c r="R12" s="43"/>
      <c r="S12" s="43"/>
      <c r="T12" s="43"/>
      <c r="U12" s="43"/>
    </row>
    <row r="13" spans="1:21" s="11" customFormat="1" x14ac:dyDescent="0.25">
      <c r="A13" s="53" t="s">
        <v>633</v>
      </c>
      <c r="B13" s="54">
        <v>8.3000000000000007</v>
      </c>
      <c r="C13" s="54">
        <v>3.21</v>
      </c>
      <c r="D13" s="54">
        <v>12.11</v>
      </c>
      <c r="E13" s="54">
        <v>3.76</v>
      </c>
      <c r="F13" s="54">
        <v>5.88</v>
      </c>
      <c r="G13" s="54">
        <v>2.62</v>
      </c>
      <c r="H13" s="54">
        <v>1.6</v>
      </c>
      <c r="I13" s="54">
        <v>0.49</v>
      </c>
      <c r="J13" s="54">
        <v>0.7</v>
      </c>
      <c r="K13" s="54">
        <v>359.98</v>
      </c>
      <c r="L13" s="54">
        <v>21.1</v>
      </c>
      <c r="M13" s="54">
        <v>99.15</v>
      </c>
      <c r="N13" s="54">
        <v>49.8</v>
      </c>
      <c r="O13" s="54">
        <v>0.2</v>
      </c>
      <c r="P13" s="54">
        <v>0.17</v>
      </c>
      <c r="Q13" s="54">
        <v>9.23</v>
      </c>
      <c r="R13" s="43"/>
      <c r="S13" s="43"/>
      <c r="T13" s="43"/>
      <c r="U13" s="43"/>
    </row>
    <row r="14" spans="1:21" s="11" customFormat="1" x14ac:dyDescent="0.25">
      <c r="A14" s="53" t="s">
        <v>634</v>
      </c>
      <c r="B14" s="54">
        <v>8.39</v>
      </c>
      <c r="C14" s="54">
        <v>3.39</v>
      </c>
      <c r="D14" s="54">
        <v>12.27</v>
      </c>
      <c r="E14" s="54">
        <v>3.68</v>
      </c>
      <c r="F14" s="54">
        <v>4.76</v>
      </c>
      <c r="G14" s="54">
        <v>2.56</v>
      </c>
      <c r="H14" s="54">
        <v>1.6</v>
      </c>
      <c r="I14" s="54">
        <v>0.45</v>
      </c>
      <c r="J14" s="54">
        <v>0.76</v>
      </c>
      <c r="K14" s="54">
        <v>18.46</v>
      </c>
      <c r="L14" s="54">
        <v>21.21</v>
      </c>
      <c r="M14" s="54">
        <v>99.14</v>
      </c>
      <c r="N14" s="54">
        <v>65.599999999999994</v>
      </c>
      <c r="O14" s="54">
        <v>0.2</v>
      </c>
      <c r="P14" s="54">
        <v>0.17</v>
      </c>
      <c r="Q14" s="54">
        <v>9.25</v>
      </c>
      <c r="R14" s="43"/>
      <c r="S14" s="43"/>
      <c r="T14" s="43"/>
      <c r="U14" s="43"/>
    </row>
    <row r="15" spans="1:21" s="11" customFormat="1" x14ac:dyDescent="0.25">
      <c r="A15" s="53" t="s">
        <v>635</v>
      </c>
      <c r="B15" s="54">
        <v>8.39</v>
      </c>
      <c r="C15" s="54">
        <v>3.43</v>
      </c>
      <c r="D15" s="54">
        <v>12.29</v>
      </c>
      <c r="E15" s="54">
        <v>3.61</v>
      </c>
      <c r="F15" s="54">
        <v>5.46</v>
      </c>
      <c r="G15" s="54">
        <v>2.0299999999999998</v>
      </c>
      <c r="H15" s="54">
        <v>1.38</v>
      </c>
      <c r="I15" s="54">
        <v>0.48</v>
      </c>
      <c r="J15" s="54">
        <v>0.67</v>
      </c>
      <c r="K15" s="54">
        <v>15.64</v>
      </c>
      <c r="L15" s="54">
        <v>21.46</v>
      </c>
      <c r="M15" s="54">
        <v>99.13</v>
      </c>
      <c r="N15" s="54">
        <v>71.5</v>
      </c>
      <c r="O15" s="54">
        <v>0.2</v>
      </c>
      <c r="P15" s="54">
        <v>0.21</v>
      </c>
      <c r="Q15" s="54">
        <v>9.23</v>
      </c>
      <c r="R15" s="43"/>
      <c r="S15" s="43"/>
      <c r="T15" s="43"/>
      <c r="U15" s="43"/>
    </row>
    <row r="16" spans="1:21" s="11" customFormat="1" x14ac:dyDescent="0.25">
      <c r="A16" s="53" t="s">
        <v>636</v>
      </c>
      <c r="B16" s="54">
        <v>8.32</v>
      </c>
      <c r="C16" s="54">
        <v>3.3</v>
      </c>
      <c r="D16" s="54">
        <v>12.17</v>
      </c>
      <c r="E16" s="54">
        <v>4.4400000000000004</v>
      </c>
      <c r="F16" s="54">
        <v>5.53</v>
      </c>
      <c r="G16" s="54">
        <v>2.0299999999999998</v>
      </c>
      <c r="H16" s="54">
        <v>1.42</v>
      </c>
      <c r="I16" s="54">
        <v>0.55000000000000004</v>
      </c>
      <c r="J16" s="54">
        <v>0.77</v>
      </c>
      <c r="K16" s="54">
        <v>358.04</v>
      </c>
      <c r="L16" s="54">
        <v>21.86</v>
      </c>
      <c r="M16" s="54">
        <v>99.13</v>
      </c>
      <c r="N16" s="54">
        <v>155.19999999999999</v>
      </c>
      <c r="O16" s="54">
        <v>0</v>
      </c>
      <c r="P16" s="54">
        <v>0.23</v>
      </c>
      <c r="Q16" s="54">
        <v>9.2100000000000009</v>
      </c>
      <c r="R16" s="43"/>
      <c r="S16" s="43"/>
      <c r="T16" s="43"/>
      <c r="U16" s="43"/>
    </row>
    <row r="17" spans="1:21" s="11" customFormat="1" x14ac:dyDescent="0.25">
      <c r="A17" s="53" t="s">
        <v>637</v>
      </c>
      <c r="B17" s="54">
        <v>8.3800000000000008</v>
      </c>
      <c r="C17" s="54">
        <v>3.54</v>
      </c>
      <c r="D17" s="54">
        <v>12.35</v>
      </c>
      <c r="E17" s="54">
        <v>4.91</v>
      </c>
      <c r="F17" s="54">
        <v>5.6</v>
      </c>
      <c r="G17" s="54">
        <v>2.0299999999999998</v>
      </c>
      <c r="H17" s="54">
        <v>2.0499999999999998</v>
      </c>
      <c r="I17" s="54">
        <v>0.62</v>
      </c>
      <c r="J17" s="54">
        <v>0.74</v>
      </c>
      <c r="K17" s="54">
        <v>7.31</v>
      </c>
      <c r="L17" s="54">
        <v>22.39</v>
      </c>
      <c r="M17" s="54">
        <v>99.08</v>
      </c>
      <c r="N17" s="54">
        <v>185.3</v>
      </c>
      <c r="O17" s="54">
        <v>0.2</v>
      </c>
      <c r="P17" s="54">
        <v>0.25</v>
      </c>
      <c r="Q17" s="54">
        <v>9.26</v>
      </c>
      <c r="R17" s="43"/>
      <c r="S17" s="43"/>
      <c r="T17" s="43"/>
      <c r="U17" s="43"/>
    </row>
    <row r="18" spans="1:21" s="11" customFormat="1" x14ac:dyDescent="0.25">
      <c r="A18" s="53" t="s">
        <v>638</v>
      </c>
      <c r="B18" s="54">
        <v>8.32</v>
      </c>
      <c r="C18" s="54">
        <v>3.24</v>
      </c>
      <c r="D18" s="54">
        <v>12.14</v>
      </c>
      <c r="E18" s="54">
        <v>4.91</v>
      </c>
      <c r="F18" s="54">
        <v>4.22</v>
      </c>
      <c r="G18" s="54">
        <v>3.86</v>
      </c>
      <c r="H18" s="54">
        <v>2.0499999999999998</v>
      </c>
      <c r="I18" s="54">
        <v>0.76</v>
      </c>
      <c r="J18" s="54">
        <v>0.71</v>
      </c>
      <c r="K18" s="54">
        <v>354.09</v>
      </c>
      <c r="L18" s="54">
        <v>22.76</v>
      </c>
      <c r="M18" s="54">
        <v>99.08</v>
      </c>
      <c r="N18" s="54">
        <v>126.3</v>
      </c>
      <c r="O18" s="54">
        <v>0</v>
      </c>
      <c r="P18" s="54">
        <v>0.31</v>
      </c>
      <c r="Q18" s="54">
        <v>9.2899999999999991</v>
      </c>
      <c r="R18" s="43"/>
      <c r="S18" s="43"/>
      <c r="T18" s="43"/>
      <c r="U18" s="43"/>
    </row>
    <row r="19" spans="1:21" s="11" customFormat="1" x14ac:dyDescent="0.25">
      <c r="A19" s="53" t="s">
        <v>639</v>
      </c>
      <c r="B19" s="54">
        <v>8.39</v>
      </c>
      <c r="C19" s="54">
        <v>3.42</v>
      </c>
      <c r="D19" s="54">
        <v>12.28</v>
      </c>
      <c r="E19" s="54">
        <v>4.95</v>
      </c>
      <c r="F19" s="54">
        <v>4.5199999999999996</v>
      </c>
      <c r="G19" s="54">
        <v>3.86</v>
      </c>
      <c r="H19" s="54">
        <v>1.81</v>
      </c>
      <c r="I19" s="54">
        <v>0.87</v>
      </c>
      <c r="J19" s="54">
        <v>0.7</v>
      </c>
      <c r="K19" s="54">
        <v>354.86</v>
      </c>
      <c r="L19" s="54">
        <v>22.78</v>
      </c>
      <c r="M19" s="54">
        <v>99.08</v>
      </c>
      <c r="N19" s="54">
        <v>149.30000000000001</v>
      </c>
      <c r="O19" s="54">
        <v>0</v>
      </c>
      <c r="P19" s="54">
        <v>0.37</v>
      </c>
      <c r="Q19" s="54">
        <v>9.3000000000000007</v>
      </c>
      <c r="R19" s="43"/>
      <c r="S19" s="43"/>
      <c r="T19" s="43"/>
      <c r="U19" s="43"/>
    </row>
    <row r="20" spans="1:21" s="11" customFormat="1" x14ac:dyDescent="0.25">
      <c r="A20" s="53" t="s">
        <v>640</v>
      </c>
      <c r="B20" s="54">
        <v>8.3000000000000007</v>
      </c>
      <c r="C20" s="54">
        <v>3.21</v>
      </c>
      <c r="D20" s="54">
        <v>12.1</v>
      </c>
      <c r="E20" s="54">
        <v>5</v>
      </c>
      <c r="F20" s="54">
        <v>5.21</v>
      </c>
      <c r="G20" s="54">
        <v>4.29</v>
      </c>
      <c r="H20" s="54">
        <v>2.4</v>
      </c>
      <c r="I20" s="54">
        <v>1.04</v>
      </c>
      <c r="J20" s="54">
        <v>0.61</v>
      </c>
      <c r="K20" s="54">
        <v>357.76</v>
      </c>
      <c r="L20" s="54">
        <v>22.64</v>
      </c>
      <c r="M20" s="54">
        <v>99.13</v>
      </c>
      <c r="N20" s="54">
        <v>98.4</v>
      </c>
      <c r="O20" s="54">
        <v>1.4</v>
      </c>
      <c r="P20" s="54">
        <v>0.38</v>
      </c>
      <c r="Q20" s="54">
        <v>9.32</v>
      </c>
      <c r="R20" s="43"/>
      <c r="S20" s="43"/>
      <c r="T20" s="43"/>
      <c r="U20" s="43"/>
    </row>
    <row r="21" spans="1:21" s="11" customFormat="1" x14ac:dyDescent="0.25">
      <c r="A21" s="53" t="s">
        <v>641</v>
      </c>
      <c r="B21" s="54">
        <v>8.35</v>
      </c>
      <c r="C21" s="54">
        <v>3.5</v>
      </c>
      <c r="D21" s="54">
        <v>12.29</v>
      </c>
      <c r="E21" s="54">
        <v>3.97</v>
      </c>
      <c r="F21" s="54">
        <v>5.75</v>
      </c>
      <c r="G21" s="54">
        <v>4.29</v>
      </c>
      <c r="H21" s="54">
        <v>2.4</v>
      </c>
      <c r="I21" s="54">
        <v>1.05</v>
      </c>
      <c r="J21" s="54">
        <v>0.64</v>
      </c>
      <c r="K21" s="54">
        <v>14.68</v>
      </c>
      <c r="L21" s="54">
        <v>21.85</v>
      </c>
      <c r="M21" s="54">
        <v>99.17</v>
      </c>
      <c r="N21" s="54">
        <v>150.1</v>
      </c>
      <c r="O21" s="54">
        <v>0.8</v>
      </c>
      <c r="P21" s="54">
        <v>0.34</v>
      </c>
      <c r="Q21" s="54">
        <v>9.4</v>
      </c>
      <c r="R21" s="43"/>
      <c r="S21" s="43"/>
      <c r="T21" s="43"/>
      <c r="U21" s="43"/>
    </row>
    <row r="22" spans="1:21" s="11" customFormat="1" x14ac:dyDescent="0.25">
      <c r="A22" s="53" t="s">
        <v>642</v>
      </c>
      <c r="B22" s="54">
        <v>8.34</v>
      </c>
      <c r="C22" s="54">
        <v>3.47</v>
      </c>
      <c r="D22" s="54">
        <v>12.28</v>
      </c>
      <c r="E22" s="54">
        <v>4.49</v>
      </c>
      <c r="F22" s="54">
        <v>5.19</v>
      </c>
      <c r="G22" s="54">
        <v>4.12</v>
      </c>
      <c r="H22" s="54">
        <v>2.2999999999999998</v>
      </c>
      <c r="I22" s="54">
        <v>0.91</v>
      </c>
      <c r="J22" s="54">
        <v>0.68</v>
      </c>
      <c r="K22" s="54">
        <v>355.57</v>
      </c>
      <c r="L22" s="54">
        <v>21.81</v>
      </c>
      <c r="M22" s="54">
        <v>99.18</v>
      </c>
      <c r="N22" s="54">
        <v>142.80000000000001</v>
      </c>
      <c r="O22" s="54">
        <v>0.4</v>
      </c>
      <c r="P22" s="54">
        <v>0.31</v>
      </c>
      <c r="Q22" s="54">
        <v>9.3800000000000008</v>
      </c>
      <c r="R22" s="43"/>
      <c r="S22" s="43"/>
      <c r="T22" s="43"/>
      <c r="U22" s="43"/>
    </row>
    <row r="23" spans="1:21" s="11" customFormat="1" x14ac:dyDescent="0.25">
      <c r="A23" s="53" t="s">
        <v>643</v>
      </c>
      <c r="B23" s="54">
        <v>8.33</v>
      </c>
      <c r="C23" s="54">
        <v>3.29</v>
      </c>
      <c r="D23" s="54">
        <v>12.17</v>
      </c>
      <c r="E23" s="54">
        <v>4.22</v>
      </c>
      <c r="F23" s="54">
        <v>5.0199999999999996</v>
      </c>
      <c r="G23" s="54">
        <v>3.74</v>
      </c>
      <c r="H23" s="54">
        <v>2.2200000000000002</v>
      </c>
      <c r="I23" s="54">
        <v>0.94</v>
      </c>
      <c r="J23" s="54">
        <v>0.68</v>
      </c>
      <c r="K23" s="54">
        <v>354.25</v>
      </c>
      <c r="L23" s="54">
        <v>22.32</v>
      </c>
      <c r="M23" s="54">
        <v>99.13</v>
      </c>
      <c r="N23" s="54">
        <v>172.3</v>
      </c>
      <c r="O23" s="54">
        <v>0</v>
      </c>
      <c r="P23" s="54">
        <v>0.3</v>
      </c>
      <c r="Q23" s="54">
        <v>9.31</v>
      </c>
      <c r="R23" s="43"/>
      <c r="S23" s="43"/>
      <c r="T23" s="43"/>
      <c r="U23" s="43"/>
    </row>
    <row r="24" spans="1:21" s="11" customFormat="1" x14ac:dyDescent="0.25">
      <c r="A24" s="53" t="s">
        <v>644</v>
      </c>
      <c r="B24" s="65" t="s">
        <v>14</v>
      </c>
      <c r="C24" s="65" t="s">
        <v>14</v>
      </c>
      <c r="D24" s="65" t="s">
        <v>14</v>
      </c>
      <c r="E24" s="65" t="s">
        <v>14</v>
      </c>
      <c r="F24" s="65" t="s">
        <v>14</v>
      </c>
      <c r="G24" s="65" t="s">
        <v>14</v>
      </c>
      <c r="H24" s="65" t="s">
        <v>14</v>
      </c>
      <c r="I24" s="65" t="s">
        <v>14</v>
      </c>
      <c r="J24" s="65" t="s">
        <v>14</v>
      </c>
      <c r="K24" s="65" t="s">
        <v>14</v>
      </c>
      <c r="L24" s="65" t="s">
        <v>14</v>
      </c>
      <c r="M24" s="65" t="s">
        <v>14</v>
      </c>
      <c r="N24" s="65" t="s">
        <v>14</v>
      </c>
      <c r="O24" s="65" t="s">
        <v>14</v>
      </c>
      <c r="P24" s="65" t="s">
        <v>14</v>
      </c>
      <c r="Q24" s="65" t="s">
        <v>14</v>
      </c>
      <c r="R24" s="43"/>
      <c r="S24" s="43"/>
      <c r="T24" s="43"/>
      <c r="U24" s="43"/>
    </row>
    <row r="25" spans="1:21" s="11" customFormat="1" x14ac:dyDescent="0.25">
      <c r="A25" s="53" t="s">
        <v>645</v>
      </c>
      <c r="B25" s="65" t="s">
        <v>14</v>
      </c>
      <c r="C25" s="65" t="s">
        <v>14</v>
      </c>
      <c r="D25" s="65" t="s">
        <v>14</v>
      </c>
      <c r="E25" s="65" t="s">
        <v>14</v>
      </c>
      <c r="F25" s="65" t="s">
        <v>14</v>
      </c>
      <c r="G25" s="65" t="s">
        <v>14</v>
      </c>
      <c r="H25" s="65" t="s">
        <v>14</v>
      </c>
      <c r="I25" s="65" t="s">
        <v>14</v>
      </c>
      <c r="J25" s="65" t="s">
        <v>14</v>
      </c>
      <c r="K25" s="65" t="s">
        <v>14</v>
      </c>
      <c r="L25" s="65" t="s">
        <v>14</v>
      </c>
      <c r="M25" s="65" t="s">
        <v>14</v>
      </c>
      <c r="N25" s="65" t="s">
        <v>14</v>
      </c>
      <c r="O25" s="65" t="s">
        <v>14</v>
      </c>
      <c r="P25" s="65" t="s">
        <v>14</v>
      </c>
      <c r="Q25" s="65" t="s">
        <v>14</v>
      </c>
      <c r="R25" s="43"/>
      <c r="S25" s="43"/>
      <c r="T25" s="43"/>
      <c r="U25" s="43"/>
    </row>
    <row r="26" spans="1:21" s="11" customFormat="1" x14ac:dyDescent="0.25">
      <c r="A26" s="53" t="s">
        <v>646</v>
      </c>
      <c r="B26" s="65" t="s">
        <v>14</v>
      </c>
      <c r="C26" s="65" t="s">
        <v>14</v>
      </c>
      <c r="D26" s="65" t="s">
        <v>14</v>
      </c>
      <c r="E26" s="65" t="s">
        <v>14</v>
      </c>
      <c r="F26" s="65" t="s">
        <v>14</v>
      </c>
      <c r="G26" s="65" t="s">
        <v>14</v>
      </c>
      <c r="H26" s="65" t="s">
        <v>14</v>
      </c>
      <c r="I26" s="65" t="s">
        <v>14</v>
      </c>
      <c r="J26" s="65" t="s">
        <v>14</v>
      </c>
      <c r="K26" s="65" t="s">
        <v>14</v>
      </c>
      <c r="L26" s="65" t="s">
        <v>14</v>
      </c>
      <c r="M26" s="65" t="s">
        <v>14</v>
      </c>
      <c r="N26" s="65" t="s">
        <v>14</v>
      </c>
      <c r="O26" s="65" t="s">
        <v>14</v>
      </c>
      <c r="P26" s="65" t="s">
        <v>14</v>
      </c>
      <c r="Q26" s="65" t="s">
        <v>14</v>
      </c>
      <c r="R26" s="43"/>
      <c r="S26" s="43"/>
      <c r="T26" s="43"/>
      <c r="U26" s="43"/>
    </row>
    <row r="27" spans="1:21" s="11" customFormat="1" x14ac:dyDescent="0.25">
      <c r="A27" s="53" t="s">
        <v>647</v>
      </c>
      <c r="B27" s="65" t="s">
        <v>14</v>
      </c>
      <c r="C27" s="65" t="s">
        <v>14</v>
      </c>
      <c r="D27" s="65" t="s">
        <v>14</v>
      </c>
      <c r="E27" s="65" t="s">
        <v>14</v>
      </c>
      <c r="F27" s="65" t="s">
        <v>14</v>
      </c>
      <c r="G27" s="65" t="s">
        <v>14</v>
      </c>
      <c r="H27" s="65" t="s">
        <v>14</v>
      </c>
      <c r="I27" s="65" t="s">
        <v>14</v>
      </c>
      <c r="J27" s="65" t="s">
        <v>14</v>
      </c>
      <c r="K27" s="65" t="s">
        <v>14</v>
      </c>
      <c r="L27" s="65" t="s">
        <v>14</v>
      </c>
      <c r="M27" s="65" t="s">
        <v>14</v>
      </c>
      <c r="N27" s="65" t="s">
        <v>14</v>
      </c>
      <c r="O27" s="65" t="s">
        <v>14</v>
      </c>
      <c r="P27" s="65" t="s">
        <v>14</v>
      </c>
      <c r="Q27" s="65" t="s">
        <v>14</v>
      </c>
      <c r="R27" s="43"/>
      <c r="S27" s="43"/>
      <c r="T27" s="43"/>
      <c r="U27" s="43"/>
    </row>
    <row r="28" spans="1:21" s="11" customFormat="1" x14ac:dyDescent="0.25">
      <c r="A28" s="53" t="s">
        <v>648</v>
      </c>
      <c r="B28" s="65" t="s">
        <v>14</v>
      </c>
      <c r="C28" s="65" t="s">
        <v>14</v>
      </c>
      <c r="D28" s="65" t="s">
        <v>14</v>
      </c>
      <c r="E28" s="65" t="s">
        <v>14</v>
      </c>
      <c r="F28" s="65" t="s">
        <v>14</v>
      </c>
      <c r="G28" s="65" t="s">
        <v>14</v>
      </c>
      <c r="H28" s="65" t="s">
        <v>14</v>
      </c>
      <c r="I28" s="65" t="s">
        <v>14</v>
      </c>
      <c r="J28" s="65" t="s">
        <v>14</v>
      </c>
      <c r="K28" s="65" t="s">
        <v>14</v>
      </c>
      <c r="L28" s="65" t="s">
        <v>14</v>
      </c>
      <c r="M28" s="65" t="s">
        <v>14</v>
      </c>
      <c r="N28" s="65" t="s">
        <v>14</v>
      </c>
      <c r="O28" s="65" t="s">
        <v>14</v>
      </c>
      <c r="P28" s="65" t="s">
        <v>14</v>
      </c>
      <c r="Q28" s="65" t="s">
        <v>14</v>
      </c>
      <c r="R28" s="43"/>
      <c r="S28" s="43"/>
      <c r="T28" s="43"/>
      <c r="U28" s="43"/>
    </row>
    <row r="29" spans="1:21" s="11" customFormat="1" x14ac:dyDescent="0.25">
      <c r="A29" s="53" t="s">
        <v>649</v>
      </c>
      <c r="B29" s="65" t="s">
        <v>14</v>
      </c>
      <c r="C29" s="65" t="s">
        <v>14</v>
      </c>
      <c r="D29" s="65" t="s">
        <v>14</v>
      </c>
      <c r="E29" s="65" t="s">
        <v>14</v>
      </c>
      <c r="F29" s="65" t="s">
        <v>14</v>
      </c>
      <c r="G29" s="65" t="s">
        <v>14</v>
      </c>
      <c r="H29" s="65" t="s">
        <v>14</v>
      </c>
      <c r="I29" s="65" t="s">
        <v>14</v>
      </c>
      <c r="J29" s="65" t="s">
        <v>14</v>
      </c>
      <c r="K29" s="65" t="s">
        <v>14</v>
      </c>
      <c r="L29" s="65" t="s">
        <v>14</v>
      </c>
      <c r="M29" s="65" t="s">
        <v>14</v>
      </c>
      <c r="N29" s="65" t="s">
        <v>14</v>
      </c>
      <c r="O29" s="65" t="s">
        <v>14</v>
      </c>
      <c r="P29" s="65" t="s">
        <v>14</v>
      </c>
      <c r="Q29" s="65" t="s">
        <v>14</v>
      </c>
      <c r="R29" s="43"/>
      <c r="S29" s="43"/>
      <c r="T29" s="43"/>
      <c r="U29" s="43"/>
    </row>
    <row r="30" spans="1:21" s="11" customFormat="1" x14ac:dyDescent="0.25">
      <c r="A30" s="53" t="s">
        <v>650</v>
      </c>
      <c r="B30" s="65" t="s">
        <v>14</v>
      </c>
      <c r="C30" s="65" t="s">
        <v>14</v>
      </c>
      <c r="D30" s="65" t="s">
        <v>14</v>
      </c>
      <c r="E30" s="65" t="s">
        <v>14</v>
      </c>
      <c r="F30" s="65" t="s">
        <v>14</v>
      </c>
      <c r="G30" s="65" t="s">
        <v>14</v>
      </c>
      <c r="H30" s="65" t="s">
        <v>14</v>
      </c>
      <c r="I30" s="65" t="s">
        <v>14</v>
      </c>
      <c r="J30" s="65" t="s">
        <v>14</v>
      </c>
      <c r="K30" s="65" t="s">
        <v>14</v>
      </c>
      <c r="L30" s="65" t="s">
        <v>14</v>
      </c>
      <c r="M30" s="65" t="s">
        <v>14</v>
      </c>
      <c r="N30" s="65" t="s">
        <v>14</v>
      </c>
      <c r="O30" s="65" t="s">
        <v>14</v>
      </c>
      <c r="P30" s="65" t="s">
        <v>14</v>
      </c>
      <c r="Q30" s="65" t="s">
        <v>14</v>
      </c>
      <c r="R30" s="43"/>
      <c r="S30" s="43"/>
      <c r="T30" s="43"/>
      <c r="U30" s="43"/>
    </row>
    <row r="31" spans="1:21" s="11" customFormat="1" x14ac:dyDescent="0.25">
      <c r="A31" s="53" t="s">
        <v>651</v>
      </c>
      <c r="B31" s="65" t="s">
        <v>14</v>
      </c>
      <c r="C31" s="65" t="s">
        <v>14</v>
      </c>
      <c r="D31" s="65" t="s">
        <v>14</v>
      </c>
      <c r="E31" s="65" t="s">
        <v>14</v>
      </c>
      <c r="F31" s="65" t="s">
        <v>14</v>
      </c>
      <c r="G31" s="65" t="s">
        <v>14</v>
      </c>
      <c r="H31" s="65" t="s">
        <v>14</v>
      </c>
      <c r="I31" s="65" t="s">
        <v>14</v>
      </c>
      <c r="J31" s="65" t="s">
        <v>14</v>
      </c>
      <c r="K31" s="65" t="s">
        <v>14</v>
      </c>
      <c r="L31" s="65" t="s">
        <v>14</v>
      </c>
      <c r="M31" s="65" t="s">
        <v>14</v>
      </c>
      <c r="N31" s="65" t="s">
        <v>14</v>
      </c>
      <c r="O31" s="65" t="s">
        <v>14</v>
      </c>
      <c r="P31" s="65" t="s">
        <v>14</v>
      </c>
      <c r="Q31" s="65" t="s">
        <v>14</v>
      </c>
      <c r="R31" s="43"/>
      <c r="S31" s="43"/>
      <c r="T31" s="43"/>
      <c r="U31" s="43"/>
    </row>
    <row r="32" spans="1:21" s="11" customFormat="1" x14ac:dyDescent="0.25">
      <c r="A32" s="53" t="s">
        <v>652</v>
      </c>
      <c r="B32" s="65" t="s">
        <v>14</v>
      </c>
      <c r="C32" s="65" t="s">
        <v>14</v>
      </c>
      <c r="D32" s="65" t="s">
        <v>14</v>
      </c>
      <c r="E32" s="65" t="s">
        <v>14</v>
      </c>
      <c r="F32" s="65" t="s">
        <v>14</v>
      </c>
      <c r="G32" s="65" t="s">
        <v>14</v>
      </c>
      <c r="H32" s="65" t="s">
        <v>14</v>
      </c>
      <c r="I32" s="65" t="s">
        <v>14</v>
      </c>
      <c r="J32" s="65" t="s">
        <v>14</v>
      </c>
      <c r="K32" s="65" t="s">
        <v>14</v>
      </c>
      <c r="L32" s="65" t="s">
        <v>14</v>
      </c>
      <c r="M32" s="65" t="s">
        <v>14</v>
      </c>
      <c r="N32" s="65" t="s">
        <v>14</v>
      </c>
      <c r="O32" s="65" t="s">
        <v>14</v>
      </c>
      <c r="P32" s="65" t="s">
        <v>14</v>
      </c>
      <c r="Q32" s="65" t="s">
        <v>14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8.3000000000000007</v>
      </c>
      <c r="C34" s="28">
        <f t="shared" si="0"/>
        <v>3.17</v>
      </c>
      <c r="D34" s="28">
        <f t="shared" si="0"/>
        <v>12.08</v>
      </c>
      <c r="E34" s="28">
        <f t="shared" si="0"/>
        <v>3.61</v>
      </c>
      <c r="F34" s="28">
        <f t="shared" si="0"/>
        <v>4.22</v>
      </c>
      <c r="G34" s="28">
        <f t="shared" si="0"/>
        <v>2.0299999999999998</v>
      </c>
      <c r="H34" s="28">
        <f t="shared" si="0"/>
        <v>1.38</v>
      </c>
      <c r="I34" s="28">
        <f t="shared" si="0"/>
        <v>0.45</v>
      </c>
      <c r="J34" s="28">
        <f t="shared" si="0"/>
        <v>0.61</v>
      </c>
      <c r="K34" s="28">
        <f t="shared" si="0"/>
        <v>7.31</v>
      </c>
      <c r="L34" s="28">
        <f t="shared" si="0"/>
        <v>21.03</v>
      </c>
      <c r="M34" s="28">
        <f t="shared" si="0"/>
        <v>99.08</v>
      </c>
      <c r="N34" s="28">
        <f t="shared" si="0"/>
        <v>49.6</v>
      </c>
      <c r="O34" s="28">
        <f t="shared" si="0"/>
        <v>0</v>
      </c>
      <c r="P34" s="28">
        <f t="shared" si="0"/>
        <v>0.17</v>
      </c>
      <c r="Q34" s="28">
        <f t="shared" si="0"/>
        <v>9.2100000000000009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8.49</v>
      </c>
      <c r="C35" s="29">
        <f t="shared" si="1"/>
        <v>3.8</v>
      </c>
      <c r="D35" s="29">
        <f t="shared" si="1"/>
        <v>12.57</v>
      </c>
      <c r="E35" s="29">
        <f t="shared" si="1"/>
        <v>5.03</v>
      </c>
      <c r="F35" s="29">
        <f t="shared" si="1"/>
        <v>7.63</v>
      </c>
      <c r="G35" s="29">
        <f t="shared" si="1"/>
        <v>7.67</v>
      </c>
      <c r="H35" s="29">
        <f t="shared" si="1"/>
        <v>2.4</v>
      </c>
      <c r="I35" s="29">
        <f t="shared" si="1"/>
        <v>1.05</v>
      </c>
      <c r="J35" s="29">
        <f t="shared" si="1"/>
        <v>0.82</v>
      </c>
      <c r="K35" s="29">
        <f t="shared" si="1"/>
        <v>359.98</v>
      </c>
      <c r="L35" s="29">
        <f t="shared" si="1"/>
        <v>22.78</v>
      </c>
      <c r="M35" s="29">
        <f t="shared" si="1"/>
        <v>99.18</v>
      </c>
      <c r="N35" s="29">
        <f t="shared" si="1"/>
        <v>185.3</v>
      </c>
      <c r="O35" s="29">
        <f t="shared" si="1"/>
        <v>1.8</v>
      </c>
      <c r="P35" s="29">
        <f t="shared" si="1"/>
        <v>0.38</v>
      </c>
      <c r="Q35" s="29">
        <f t="shared" si="1"/>
        <v>9.4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8.3506666666666653</v>
      </c>
      <c r="C36" s="28">
        <f t="shared" si="2"/>
        <v>3.3633333333333337</v>
      </c>
      <c r="D36" s="28">
        <f t="shared" si="2"/>
        <v>12.225999999999997</v>
      </c>
      <c r="E36" s="28">
        <f t="shared" si="2"/>
        <v>4.4713333333333338</v>
      </c>
      <c r="F36" s="28">
        <f t="shared" si="2"/>
        <v>5.5653333333333324</v>
      </c>
      <c r="G36" s="28">
        <f t="shared" si="2"/>
        <v>3.7246666666666668</v>
      </c>
      <c r="H36" s="28">
        <f t="shared" si="2"/>
        <v>1.9619999999999995</v>
      </c>
      <c r="I36" s="28">
        <f t="shared" si="2"/>
        <v>0.69733333333333336</v>
      </c>
      <c r="J36" s="28">
        <f t="shared" si="2"/>
        <v>0.71266666666666667</v>
      </c>
      <c r="K36" s="28">
        <f t="shared" si="2"/>
        <v>174.58</v>
      </c>
      <c r="L36" s="28">
        <f t="shared" si="2"/>
        <v>21.814666666666668</v>
      </c>
      <c r="M36" s="28">
        <f t="shared" si="2"/>
        <v>99.125999999999991</v>
      </c>
      <c r="N36" s="28">
        <f t="shared" si="2"/>
        <v>104.37333333333331</v>
      </c>
      <c r="O36" s="28">
        <f t="shared" si="2"/>
        <v>0.56000000000000016</v>
      </c>
      <c r="P36" s="28">
        <f t="shared" si="2"/>
        <v>0.2553333333333333</v>
      </c>
      <c r="Q36" s="28">
        <f t="shared" si="2"/>
        <v>9.28466666666667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5.0351147903876972E-2</v>
      </c>
      <c r="C37" s="28">
        <f t="shared" ref="C37:Q37" si="3">STDEV(C9:C32)</f>
        <v>0.16935451686020181</v>
      </c>
      <c r="D37" s="28">
        <f t="shared" si="3"/>
        <v>0.12749229668605741</v>
      </c>
      <c r="E37" s="28">
        <f t="shared" si="3"/>
        <v>0.50378377826017007</v>
      </c>
      <c r="F37" s="28">
        <f t="shared" si="3"/>
        <v>0.8940746746270869</v>
      </c>
      <c r="G37" s="28">
        <f t="shared" si="3"/>
        <v>1.4971156395199532</v>
      </c>
      <c r="H37" s="28">
        <f t="shared" si="3"/>
        <v>0.33151599832113565</v>
      </c>
      <c r="I37" s="28">
        <f t="shared" si="3"/>
        <v>0.21651349897430222</v>
      </c>
      <c r="J37" s="28">
        <f t="shared" si="3"/>
        <v>5.5480584334479006E-2</v>
      </c>
      <c r="K37" s="28">
        <f t="shared" si="3"/>
        <v>176.0495825856211</v>
      </c>
      <c r="L37" s="28">
        <f t="shared" si="3"/>
        <v>0.62330761342404672</v>
      </c>
      <c r="M37" s="28">
        <f t="shared" si="3"/>
        <v>3.112188022230622E-2</v>
      </c>
      <c r="N37" s="28">
        <f t="shared" si="3"/>
        <v>51.648585469036668</v>
      </c>
      <c r="O37" s="28">
        <f t="shared" si="3"/>
        <v>0.59136645636549723</v>
      </c>
      <c r="P37" s="28">
        <f t="shared" si="3"/>
        <v>7.4245410311890386E-2</v>
      </c>
      <c r="Q37" s="28">
        <f t="shared" si="3"/>
        <v>5.4754864971938745E-2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COUNT(B9:B32)+9</f>
        <v>24</v>
      </c>
      <c r="C38" s="32">
        <f t="shared" ref="C38:Q38" si="4">COUNT(C9:C32)+9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9.14062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51" t="s">
        <v>22</v>
      </c>
      <c r="C8" s="51" t="s">
        <v>22</v>
      </c>
      <c r="D8" s="29" t="s">
        <v>42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21" s="11" customFormat="1" x14ac:dyDescent="0.25">
      <c r="A9" s="56" t="s">
        <v>653</v>
      </c>
      <c r="B9" s="106">
        <v>131.88</v>
      </c>
      <c r="C9" s="106">
        <v>102.69</v>
      </c>
      <c r="D9" s="106">
        <v>163.08000000000001</v>
      </c>
      <c r="E9" s="106">
        <v>0.43</v>
      </c>
      <c r="F9" s="106">
        <v>3.51</v>
      </c>
      <c r="G9" s="106">
        <v>223.29</v>
      </c>
      <c r="H9" s="106">
        <v>106.62</v>
      </c>
      <c r="I9" s="106">
        <v>1.55</v>
      </c>
      <c r="J9" s="106">
        <v>0.1</v>
      </c>
      <c r="K9" s="106">
        <v>302.52999999999997</v>
      </c>
      <c r="L9" s="106">
        <v>15.28</v>
      </c>
      <c r="M9" s="106">
        <v>93.98</v>
      </c>
      <c r="N9" s="106">
        <v>36.799999999999997</v>
      </c>
      <c r="O9" s="106">
        <v>0</v>
      </c>
      <c r="P9" s="106">
        <v>2.16</v>
      </c>
      <c r="Q9" s="106">
        <v>24.05</v>
      </c>
      <c r="R9" s="43"/>
      <c r="S9" s="43"/>
      <c r="T9" s="43"/>
      <c r="U9" s="43"/>
    </row>
    <row r="10" spans="1:21" s="11" customFormat="1" x14ac:dyDescent="0.25">
      <c r="A10" s="56" t="s">
        <v>654</v>
      </c>
      <c r="B10" s="106">
        <v>102.85</v>
      </c>
      <c r="C10" s="106">
        <v>96.81</v>
      </c>
      <c r="D10" s="106">
        <v>136.55000000000001</v>
      </c>
      <c r="E10" s="106">
        <v>0.31</v>
      </c>
      <c r="F10" s="106">
        <v>3.52</v>
      </c>
      <c r="G10" s="106">
        <v>187.73</v>
      </c>
      <c r="H10" s="106">
        <v>97.42</v>
      </c>
      <c r="I10" s="106">
        <v>1.51</v>
      </c>
      <c r="J10" s="106">
        <v>0.15</v>
      </c>
      <c r="K10" s="106">
        <v>330.01</v>
      </c>
      <c r="L10" s="106">
        <v>14.3</v>
      </c>
      <c r="M10" s="106">
        <v>97.5</v>
      </c>
      <c r="N10" s="106">
        <v>36.6</v>
      </c>
      <c r="O10" s="106">
        <v>0</v>
      </c>
      <c r="P10" s="106">
        <v>1.55</v>
      </c>
      <c r="Q10" s="106">
        <v>20.309999999999999</v>
      </c>
      <c r="R10" s="43"/>
      <c r="S10" s="43"/>
      <c r="T10" s="43"/>
      <c r="U10" s="43"/>
    </row>
    <row r="11" spans="1:21" s="11" customFormat="1" x14ac:dyDescent="0.25">
      <c r="A11" s="56" t="s">
        <v>655</v>
      </c>
      <c r="B11" s="106">
        <v>80.09</v>
      </c>
      <c r="C11" s="106">
        <v>90.6</v>
      </c>
      <c r="D11" s="106">
        <v>114.87</v>
      </c>
      <c r="E11" s="106">
        <v>0.19</v>
      </c>
      <c r="F11" s="106">
        <v>3.55</v>
      </c>
      <c r="G11" s="106">
        <v>173.4</v>
      </c>
      <c r="H11" s="106">
        <v>91</v>
      </c>
      <c r="I11" s="106">
        <v>1.53</v>
      </c>
      <c r="J11" s="106">
        <v>0.11</v>
      </c>
      <c r="K11" s="106">
        <v>351.77</v>
      </c>
      <c r="L11" s="106">
        <v>13.86</v>
      </c>
      <c r="M11" s="106">
        <v>97.87</v>
      </c>
      <c r="N11" s="106">
        <v>36.9</v>
      </c>
      <c r="O11" s="106">
        <v>0</v>
      </c>
      <c r="P11" s="106">
        <v>1.1200000000000001</v>
      </c>
      <c r="Q11" s="106">
        <v>19.739999999999998</v>
      </c>
      <c r="R11" s="43"/>
      <c r="S11" s="43"/>
      <c r="T11" s="43"/>
      <c r="U11" s="43"/>
    </row>
    <row r="12" spans="1:21" s="11" customFormat="1" x14ac:dyDescent="0.25">
      <c r="A12" s="56" t="s">
        <v>656</v>
      </c>
      <c r="B12" s="106">
        <v>63.74</v>
      </c>
      <c r="C12" s="106">
        <v>83.82</v>
      </c>
      <c r="D12" s="106">
        <v>98.02</v>
      </c>
      <c r="E12" s="106">
        <v>0.33</v>
      </c>
      <c r="F12" s="106">
        <v>4.8099999999999996</v>
      </c>
      <c r="G12" s="106">
        <v>144.21</v>
      </c>
      <c r="H12" s="106">
        <v>87.04</v>
      </c>
      <c r="I12" s="106">
        <v>1.55</v>
      </c>
      <c r="J12" s="106">
        <v>7.0000000000000007E-2</v>
      </c>
      <c r="K12" s="106">
        <v>339.35</v>
      </c>
      <c r="L12" s="106">
        <v>13.64</v>
      </c>
      <c r="M12" s="106">
        <v>97.85</v>
      </c>
      <c r="N12" s="106">
        <v>36.9</v>
      </c>
      <c r="O12" s="106">
        <v>0</v>
      </c>
      <c r="P12" s="106">
        <v>0.99</v>
      </c>
      <c r="Q12" s="106">
        <v>16.11</v>
      </c>
      <c r="R12" s="43"/>
      <c r="S12" s="43"/>
      <c r="T12" s="43"/>
      <c r="U12" s="43"/>
    </row>
    <row r="13" spans="1:21" s="11" customFormat="1" x14ac:dyDescent="0.25">
      <c r="A13" s="56" t="s">
        <v>657</v>
      </c>
      <c r="B13" s="106">
        <v>49.62</v>
      </c>
      <c r="C13" s="106">
        <v>79.849999999999994</v>
      </c>
      <c r="D13" s="106">
        <v>84.51</v>
      </c>
      <c r="E13" s="106">
        <v>0.61</v>
      </c>
      <c r="F13" s="106">
        <v>7.12</v>
      </c>
      <c r="G13" s="106">
        <v>132.19999999999999</v>
      </c>
      <c r="H13" s="106">
        <v>82.1</v>
      </c>
      <c r="I13" s="106">
        <v>1.54</v>
      </c>
      <c r="J13" s="106">
        <v>0.17</v>
      </c>
      <c r="K13" s="106">
        <v>120.38</v>
      </c>
      <c r="L13" s="106">
        <v>14.17</v>
      </c>
      <c r="M13" s="106">
        <v>93.82</v>
      </c>
      <c r="N13" s="106">
        <v>36.5</v>
      </c>
      <c r="O13" s="106">
        <v>0</v>
      </c>
      <c r="P13" s="106">
        <v>0.79</v>
      </c>
      <c r="Q13" s="106">
        <v>14.77</v>
      </c>
      <c r="R13" s="43"/>
      <c r="S13" s="43"/>
      <c r="T13" s="43"/>
      <c r="U13" s="43"/>
    </row>
    <row r="14" spans="1:21" s="11" customFormat="1" x14ac:dyDescent="0.25">
      <c r="A14" s="56" t="s">
        <v>658</v>
      </c>
      <c r="B14" s="106">
        <v>35.89</v>
      </c>
      <c r="C14" s="106">
        <v>78.33</v>
      </c>
      <c r="D14" s="106">
        <v>72.510000000000005</v>
      </c>
      <c r="E14" s="106">
        <v>0.63</v>
      </c>
      <c r="F14" s="106">
        <v>6.75</v>
      </c>
      <c r="G14" s="106">
        <v>125.16</v>
      </c>
      <c r="H14" s="106">
        <v>79.930000000000007</v>
      </c>
      <c r="I14" s="106">
        <v>1.56</v>
      </c>
      <c r="J14" s="106">
        <v>0.12</v>
      </c>
      <c r="K14" s="106">
        <v>357.06</v>
      </c>
      <c r="L14" s="106">
        <v>14.13</v>
      </c>
      <c r="M14" s="106">
        <v>94.63</v>
      </c>
      <c r="N14" s="106">
        <v>36.9</v>
      </c>
      <c r="O14" s="106">
        <v>0</v>
      </c>
      <c r="P14" s="106">
        <v>0.9</v>
      </c>
      <c r="Q14" s="106">
        <v>12.54</v>
      </c>
      <c r="R14" s="43"/>
      <c r="S14" s="43"/>
      <c r="T14" s="43"/>
      <c r="U14" s="43"/>
    </row>
    <row r="15" spans="1:21" s="11" customFormat="1" x14ac:dyDescent="0.25">
      <c r="A15" s="56" t="s">
        <v>659</v>
      </c>
      <c r="B15" s="106">
        <v>28.82</v>
      </c>
      <c r="C15" s="106">
        <v>78.41</v>
      </c>
      <c r="D15" s="106">
        <v>66.989999999999995</v>
      </c>
      <c r="E15" s="106">
        <v>0.63</v>
      </c>
      <c r="F15" s="106">
        <v>5.16</v>
      </c>
      <c r="G15" s="106">
        <v>123.26</v>
      </c>
      <c r="H15" s="106">
        <v>76.09</v>
      </c>
      <c r="I15" s="106">
        <v>1.52</v>
      </c>
      <c r="J15" s="106">
        <v>0.14000000000000001</v>
      </c>
      <c r="K15" s="106">
        <v>347.19</v>
      </c>
      <c r="L15" s="106">
        <v>13.97</v>
      </c>
      <c r="M15" s="106">
        <v>87.22</v>
      </c>
      <c r="N15" s="106">
        <v>55.6</v>
      </c>
      <c r="O15" s="106">
        <v>0</v>
      </c>
      <c r="P15" s="106">
        <v>0.84</v>
      </c>
      <c r="Q15" s="106">
        <v>8.81</v>
      </c>
      <c r="R15" s="43"/>
      <c r="S15" s="43"/>
      <c r="T15" s="43"/>
      <c r="U15" s="43"/>
    </row>
    <row r="16" spans="1:21" s="11" customFormat="1" x14ac:dyDescent="0.25">
      <c r="A16" s="56" t="s">
        <v>660</v>
      </c>
      <c r="B16" s="106">
        <v>25.88</v>
      </c>
      <c r="C16" s="106">
        <v>77.290000000000006</v>
      </c>
      <c r="D16" s="106">
        <v>64.06</v>
      </c>
      <c r="E16" s="106">
        <v>0.59</v>
      </c>
      <c r="F16" s="106">
        <v>4.83</v>
      </c>
      <c r="G16" s="106">
        <v>108.37</v>
      </c>
      <c r="H16" s="106">
        <v>76.09</v>
      </c>
      <c r="I16" s="106">
        <v>1.58</v>
      </c>
      <c r="J16" s="106">
        <v>0.31</v>
      </c>
      <c r="K16" s="106">
        <v>338.07</v>
      </c>
      <c r="L16" s="106">
        <v>16.53</v>
      </c>
      <c r="M16" s="106">
        <v>85.11</v>
      </c>
      <c r="N16" s="106">
        <v>183.2</v>
      </c>
      <c r="O16" s="106">
        <v>0</v>
      </c>
      <c r="P16" s="106">
        <v>1.24</v>
      </c>
      <c r="Q16" s="106">
        <v>9.08</v>
      </c>
      <c r="R16" s="43"/>
      <c r="S16" s="43"/>
      <c r="T16" s="43"/>
      <c r="U16" s="43"/>
    </row>
    <row r="17" spans="1:21" s="11" customFormat="1" x14ac:dyDescent="0.25">
      <c r="A17" s="56" t="s">
        <v>661</v>
      </c>
      <c r="B17" s="106">
        <v>26.8</v>
      </c>
      <c r="C17" s="106">
        <v>76.010000000000005</v>
      </c>
      <c r="D17" s="106">
        <v>63.98</v>
      </c>
      <c r="E17" s="106">
        <v>1.44</v>
      </c>
      <c r="F17" s="106">
        <v>5.74</v>
      </c>
      <c r="G17" s="106">
        <v>113.77</v>
      </c>
      <c r="H17" s="106">
        <v>69.650000000000006</v>
      </c>
      <c r="I17" s="106">
        <v>1.49</v>
      </c>
      <c r="J17" s="106">
        <v>0.43</v>
      </c>
      <c r="K17" s="106">
        <v>354.04</v>
      </c>
      <c r="L17" s="106">
        <v>20.059999999999999</v>
      </c>
      <c r="M17" s="106">
        <v>68.900000000000006</v>
      </c>
      <c r="N17" s="106">
        <v>349.6</v>
      </c>
      <c r="O17" s="106">
        <v>0</v>
      </c>
      <c r="P17" s="106">
        <v>1.17</v>
      </c>
      <c r="Q17" s="106">
        <v>7.14</v>
      </c>
      <c r="R17" s="43"/>
      <c r="S17" s="43"/>
      <c r="T17" s="43"/>
      <c r="U17" s="43"/>
    </row>
    <row r="18" spans="1:21" s="11" customFormat="1" x14ac:dyDescent="0.25">
      <c r="A18" s="56" t="s">
        <v>662</v>
      </c>
      <c r="B18" s="106">
        <v>26.85</v>
      </c>
      <c r="C18" s="106">
        <v>78.34</v>
      </c>
      <c r="D18" s="106">
        <v>64.67</v>
      </c>
      <c r="E18" s="106">
        <v>2.1800000000000002</v>
      </c>
      <c r="F18" s="106">
        <v>9.89</v>
      </c>
      <c r="G18" s="106">
        <v>119.02</v>
      </c>
      <c r="H18" s="106">
        <v>65.64</v>
      </c>
      <c r="I18" s="106">
        <v>1.53</v>
      </c>
      <c r="J18" s="106">
        <v>0.77</v>
      </c>
      <c r="K18" s="106">
        <v>345.71</v>
      </c>
      <c r="L18" s="106">
        <v>25.18</v>
      </c>
      <c r="M18" s="106">
        <v>55.43</v>
      </c>
      <c r="N18" s="106">
        <v>474.2</v>
      </c>
      <c r="O18" s="106">
        <v>0</v>
      </c>
      <c r="P18" s="106">
        <v>1.35</v>
      </c>
      <c r="Q18" s="106">
        <v>7.3</v>
      </c>
      <c r="R18" s="43"/>
      <c r="S18" s="43"/>
      <c r="T18" s="43"/>
      <c r="U18" s="43"/>
    </row>
    <row r="19" spans="1:21" s="11" customFormat="1" x14ac:dyDescent="0.25">
      <c r="A19" s="56" t="s">
        <v>663</v>
      </c>
      <c r="B19" s="106">
        <v>25.1</v>
      </c>
      <c r="C19" s="106">
        <v>81.709999999999994</v>
      </c>
      <c r="D19" s="106">
        <v>64.680000000000007</v>
      </c>
      <c r="E19" s="106">
        <v>2.04</v>
      </c>
      <c r="F19" s="106">
        <v>15.53</v>
      </c>
      <c r="G19" s="106">
        <v>122.14</v>
      </c>
      <c r="H19" s="106">
        <v>65.62</v>
      </c>
      <c r="I19" s="106">
        <v>1.55</v>
      </c>
      <c r="J19" s="106">
        <v>0.31</v>
      </c>
      <c r="K19" s="106">
        <v>356.9</v>
      </c>
      <c r="L19" s="106">
        <v>25.83</v>
      </c>
      <c r="M19" s="106">
        <v>51.36</v>
      </c>
      <c r="N19" s="106">
        <v>532.4</v>
      </c>
      <c r="O19" s="106">
        <v>0</v>
      </c>
      <c r="P19" s="106">
        <v>1.26</v>
      </c>
      <c r="Q19" s="106">
        <v>8.1999999999999993</v>
      </c>
      <c r="R19" s="43"/>
      <c r="S19" s="43"/>
      <c r="T19" s="43"/>
      <c r="U19" s="43"/>
    </row>
    <row r="20" spans="1:21" s="11" customFormat="1" x14ac:dyDescent="0.25">
      <c r="A20" s="56" t="s">
        <v>664</v>
      </c>
      <c r="B20" s="106">
        <v>20.010000000000002</v>
      </c>
      <c r="C20" s="106">
        <v>86.48</v>
      </c>
      <c r="D20" s="106">
        <v>62.37</v>
      </c>
      <c r="E20" s="106">
        <v>2.4300000000000002</v>
      </c>
      <c r="F20" s="106">
        <v>31.27</v>
      </c>
      <c r="G20" s="106">
        <v>122.93</v>
      </c>
      <c r="H20" s="106">
        <v>65.62</v>
      </c>
      <c r="I20" s="106">
        <v>1.54</v>
      </c>
      <c r="J20" s="106">
        <v>0.63</v>
      </c>
      <c r="K20" s="106">
        <v>346.16</v>
      </c>
      <c r="L20" s="106">
        <v>28.21</v>
      </c>
      <c r="M20" s="106">
        <v>40.520000000000003</v>
      </c>
      <c r="N20" s="106">
        <v>553</v>
      </c>
      <c r="O20" s="106">
        <v>0</v>
      </c>
      <c r="P20" s="106">
        <v>1.22</v>
      </c>
      <c r="Q20" s="106">
        <v>7.63</v>
      </c>
      <c r="R20" s="43"/>
      <c r="S20" s="43"/>
      <c r="T20" s="43"/>
      <c r="U20" s="43"/>
    </row>
    <row r="21" spans="1:21" s="11" customFormat="1" x14ac:dyDescent="0.25">
      <c r="A21" s="56" t="s">
        <v>665</v>
      </c>
      <c r="B21" s="106">
        <v>12.82</v>
      </c>
      <c r="C21" s="106">
        <v>89.64</v>
      </c>
      <c r="D21" s="106">
        <v>59.09</v>
      </c>
      <c r="E21" s="106">
        <v>1.97</v>
      </c>
      <c r="F21" s="106">
        <v>28.11</v>
      </c>
      <c r="G21" s="106">
        <v>119.53</v>
      </c>
      <c r="H21" s="106">
        <v>64.709999999999994</v>
      </c>
      <c r="I21" s="106">
        <v>1.56</v>
      </c>
      <c r="J21" s="106">
        <v>0.56999999999999995</v>
      </c>
      <c r="K21" s="106">
        <v>348.09</v>
      </c>
      <c r="L21" s="106">
        <v>29</v>
      </c>
      <c r="M21" s="106">
        <v>39.42</v>
      </c>
      <c r="N21" s="106">
        <v>540.70000000000005</v>
      </c>
      <c r="O21" s="106">
        <v>0</v>
      </c>
      <c r="P21" s="106">
        <v>1.1499999999999999</v>
      </c>
      <c r="Q21" s="106">
        <v>7.55</v>
      </c>
      <c r="R21" s="43"/>
      <c r="S21" s="43"/>
      <c r="T21" s="43"/>
      <c r="U21" s="43"/>
    </row>
    <row r="22" spans="1:21" s="11" customFormat="1" x14ac:dyDescent="0.25">
      <c r="A22" s="56" t="s">
        <v>666</v>
      </c>
      <c r="B22" s="106">
        <v>4.66</v>
      </c>
      <c r="C22" s="106">
        <v>88.76</v>
      </c>
      <c r="D22" s="106">
        <v>53.36</v>
      </c>
      <c r="E22" s="106">
        <v>1.26</v>
      </c>
      <c r="F22" s="106">
        <v>17.809999999999999</v>
      </c>
      <c r="G22" s="106">
        <v>120.09</v>
      </c>
      <c r="H22" s="106">
        <v>63.35</v>
      </c>
      <c r="I22" s="106">
        <v>1.45</v>
      </c>
      <c r="J22" s="106">
        <v>0.56999999999999995</v>
      </c>
      <c r="K22" s="106">
        <v>107.3</v>
      </c>
      <c r="L22" s="106">
        <v>26.14</v>
      </c>
      <c r="M22" s="106">
        <v>42.89</v>
      </c>
      <c r="N22" s="106">
        <v>456.6</v>
      </c>
      <c r="O22" s="106">
        <v>0</v>
      </c>
      <c r="P22" s="106">
        <v>1.05</v>
      </c>
      <c r="Q22" s="106">
        <v>7</v>
      </c>
      <c r="R22" s="43"/>
      <c r="S22" s="43"/>
      <c r="T22" s="43"/>
      <c r="U22" s="43"/>
    </row>
    <row r="23" spans="1:21" s="11" customFormat="1" x14ac:dyDescent="0.25">
      <c r="A23" s="56" t="s">
        <v>667</v>
      </c>
      <c r="B23" s="106">
        <v>3.7</v>
      </c>
      <c r="C23" s="106">
        <v>84.64</v>
      </c>
      <c r="D23" s="106">
        <v>50.32</v>
      </c>
      <c r="E23" s="106">
        <v>1.88</v>
      </c>
      <c r="F23" s="106">
        <v>23.43</v>
      </c>
      <c r="G23" s="106">
        <v>108.61</v>
      </c>
      <c r="H23" s="106">
        <v>63.31</v>
      </c>
      <c r="I23" s="106">
        <v>1.53</v>
      </c>
      <c r="J23" s="106">
        <v>0.64</v>
      </c>
      <c r="K23" s="106">
        <v>337.25</v>
      </c>
      <c r="L23" s="106">
        <v>27.6</v>
      </c>
      <c r="M23" s="106">
        <v>35.409999999999997</v>
      </c>
      <c r="N23" s="106">
        <v>202.5</v>
      </c>
      <c r="O23" s="106">
        <v>0</v>
      </c>
      <c r="P23" s="106">
        <v>1.03</v>
      </c>
      <c r="Q23" s="106">
        <v>6.29</v>
      </c>
      <c r="R23" s="43"/>
      <c r="S23" s="43"/>
      <c r="T23" s="43"/>
      <c r="U23" s="43"/>
    </row>
    <row r="24" spans="1:21" s="11" customFormat="1" x14ac:dyDescent="0.25">
      <c r="A24" s="56" t="s">
        <v>668</v>
      </c>
      <c r="B24" s="106">
        <v>3.37</v>
      </c>
      <c r="C24" s="106">
        <v>83.1</v>
      </c>
      <c r="D24" s="106">
        <v>49.08</v>
      </c>
      <c r="E24" s="106">
        <v>2.1</v>
      </c>
      <c r="F24" s="106">
        <v>31.8</v>
      </c>
      <c r="G24" s="106">
        <v>104.97</v>
      </c>
      <c r="H24" s="106">
        <v>62.41</v>
      </c>
      <c r="I24" s="106">
        <v>1.52</v>
      </c>
      <c r="J24" s="106">
        <v>0.67</v>
      </c>
      <c r="K24" s="106">
        <v>339.31</v>
      </c>
      <c r="L24" s="106">
        <v>25.65</v>
      </c>
      <c r="M24" s="106">
        <v>37.79</v>
      </c>
      <c r="N24" s="106">
        <v>146.4</v>
      </c>
      <c r="O24" s="106">
        <v>0</v>
      </c>
      <c r="P24" s="106">
        <v>1</v>
      </c>
      <c r="Q24" s="106">
        <v>6.22</v>
      </c>
      <c r="R24" s="43"/>
      <c r="S24" s="43"/>
      <c r="T24" s="43"/>
      <c r="U24" s="43"/>
    </row>
    <row r="25" spans="1:21" s="11" customFormat="1" x14ac:dyDescent="0.25">
      <c r="A25" s="56" t="s">
        <v>669</v>
      </c>
      <c r="B25" s="106">
        <v>4.95</v>
      </c>
      <c r="C25" s="106">
        <v>82.34</v>
      </c>
      <c r="D25" s="106">
        <v>49.66</v>
      </c>
      <c r="E25" s="106">
        <v>4.3600000000000003</v>
      </c>
      <c r="F25" s="106">
        <v>34.590000000000003</v>
      </c>
      <c r="G25" s="106">
        <v>102.31</v>
      </c>
      <c r="H25" s="106">
        <v>59.74</v>
      </c>
      <c r="I25" s="106">
        <v>1.54</v>
      </c>
      <c r="J25" s="106">
        <v>0.86</v>
      </c>
      <c r="K25" s="106">
        <v>343.97</v>
      </c>
      <c r="L25" s="106">
        <v>24.62</v>
      </c>
      <c r="M25" s="106">
        <v>40.950000000000003</v>
      </c>
      <c r="N25" s="106">
        <v>91</v>
      </c>
      <c r="O25" s="106">
        <v>0</v>
      </c>
      <c r="P25" s="106">
        <v>1.33</v>
      </c>
      <c r="Q25" s="106">
        <v>4.37</v>
      </c>
      <c r="R25" s="43"/>
      <c r="S25" s="43"/>
      <c r="T25" s="43"/>
      <c r="U25" s="43"/>
    </row>
    <row r="26" spans="1:21" s="11" customFormat="1" x14ac:dyDescent="0.25">
      <c r="A26" s="56" t="s">
        <v>670</v>
      </c>
      <c r="B26" s="106">
        <v>11.34</v>
      </c>
      <c r="C26" s="106">
        <v>86.15</v>
      </c>
      <c r="D26" s="106">
        <v>57.28</v>
      </c>
      <c r="E26" s="106">
        <v>2.2200000000000002</v>
      </c>
      <c r="F26" s="106">
        <v>5.74</v>
      </c>
      <c r="G26" s="106">
        <v>124.04</v>
      </c>
      <c r="H26" s="106">
        <v>72.19</v>
      </c>
      <c r="I26" s="106">
        <v>1.57</v>
      </c>
      <c r="J26" s="106">
        <v>0.15</v>
      </c>
      <c r="K26" s="106">
        <v>349.35</v>
      </c>
      <c r="L26" s="106">
        <v>21.96</v>
      </c>
      <c r="M26" s="106">
        <v>60.06</v>
      </c>
      <c r="N26" s="106">
        <v>43.7</v>
      </c>
      <c r="O26" s="106">
        <v>0</v>
      </c>
      <c r="P26" s="106">
        <v>2.02</v>
      </c>
      <c r="Q26" s="106">
        <v>2.04</v>
      </c>
      <c r="R26" s="43"/>
      <c r="S26" s="43"/>
      <c r="T26" s="43"/>
      <c r="U26" s="43"/>
    </row>
    <row r="27" spans="1:21" s="11" customFormat="1" x14ac:dyDescent="0.25">
      <c r="A27" s="56" t="s">
        <v>671</v>
      </c>
      <c r="B27" s="106">
        <v>43.33</v>
      </c>
      <c r="C27" s="106">
        <v>94.96</v>
      </c>
      <c r="D27" s="106">
        <v>87.8</v>
      </c>
      <c r="E27" s="106">
        <v>2.06</v>
      </c>
      <c r="F27" s="106">
        <v>3.89</v>
      </c>
      <c r="G27" s="106">
        <v>130.63999999999999</v>
      </c>
      <c r="H27" s="106">
        <v>93</v>
      </c>
      <c r="I27" s="106">
        <v>1.54</v>
      </c>
      <c r="J27" s="106">
        <v>7.0000000000000007E-2</v>
      </c>
      <c r="K27" s="106">
        <v>337.24</v>
      </c>
      <c r="L27" s="106">
        <v>18.88</v>
      </c>
      <c r="M27" s="106">
        <v>78.08</v>
      </c>
      <c r="N27" s="106">
        <v>36.6</v>
      </c>
      <c r="O27" s="106">
        <v>0</v>
      </c>
      <c r="P27" s="106">
        <v>2.69</v>
      </c>
      <c r="Q27" s="106">
        <v>0.45</v>
      </c>
      <c r="R27" s="43"/>
      <c r="S27" s="43"/>
      <c r="T27" s="43"/>
      <c r="U27" s="43"/>
    </row>
    <row r="28" spans="1:21" s="11" customFormat="1" x14ac:dyDescent="0.25">
      <c r="A28" s="56" t="s">
        <v>672</v>
      </c>
      <c r="B28" s="106">
        <v>93.44</v>
      </c>
      <c r="C28" s="106">
        <v>101.79</v>
      </c>
      <c r="D28" s="106">
        <v>131.76</v>
      </c>
      <c r="E28" s="106">
        <v>1.38</v>
      </c>
      <c r="F28" s="106">
        <v>4.1100000000000003</v>
      </c>
      <c r="G28" s="106">
        <v>131.63999999999999</v>
      </c>
      <c r="H28" s="106">
        <v>117.65</v>
      </c>
      <c r="I28" s="106">
        <v>1.54</v>
      </c>
      <c r="J28" s="106">
        <v>0.13</v>
      </c>
      <c r="K28" s="106">
        <v>329.85</v>
      </c>
      <c r="L28" s="106">
        <v>17.41</v>
      </c>
      <c r="M28" s="106">
        <v>89.8</v>
      </c>
      <c r="N28" s="106">
        <v>36.299999999999997</v>
      </c>
      <c r="O28" s="106">
        <v>0</v>
      </c>
      <c r="P28" s="106">
        <v>4.57</v>
      </c>
      <c r="Q28" s="106">
        <v>3.09</v>
      </c>
      <c r="R28" s="43"/>
      <c r="S28" s="43"/>
      <c r="T28" s="43"/>
      <c r="U28" s="43"/>
    </row>
    <row r="29" spans="1:21" s="11" customFormat="1" x14ac:dyDescent="0.25">
      <c r="A29" s="56" t="s">
        <v>673</v>
      </c>
      <c r="B29" s="106">
        <v>173.41</v>
      </c>
      <c r="C29" s="106">
        <v>111.12</v>
      </c>
      <c r="D29" s="106">
        <v>201.03</v>
      </c>
      <c r="E29" s="106">
        <v>1.54</v>
      </c>
      <c r="F29" s="106">
        <v>4.0199999999999996</v>
      </c>
      <c r="G29" s="106">
        <v>141.63999999999999</v>
      </c>
      <c r="H29" s="106">
        <v>133.19999999999999</v>
      </c>
      <c r="I29" s="106">
        <v>1.5</v>
      </c>
      <c r="J29" s="106">
        <v>0.14000000000000001</v>
      </c>
      <c r="K29" s="106">
        <v>328.73</v>
      </c>
      <c r="L29" s="106">
        <v>16.71</v>
      </c>
      <c r="M29" s="106">
        <v>91.29</v>
      </c>
      <c r="N29" s="106">
        <v>36.4</v>
      </c>
      <c r="O29" s="106">
        <v>0</v>
      </c>
      <c r="P29" s="106">
        <v>5.24</v>
      </c>
      <c r="Q29" s="106">
        <v>3.88</v>
      </c>
      <c r="R29" s="43"/>
      <c r="S29" s="43"/>
      <c r="T29" s="43"/>
      <c r="U29" s="43"/>
    </row>
    <row r="30" spans="1:21" s="11" customFormat="1" x14ac:dyDescent="0.25">
      <c r="A30" s="56" t="s">
        <v>674</v>
      </c>
      <c r="B30" s="106">
        <v>229.53</v>
      </c>
      <c r="C30" s="106">
        <v>112.65</v>
      </c>
      <c r="D30" s="106">
        <v>246.69</v>
      </c>
      <c r="E30" s="106">
        <v>1.52</v>
      </c>
      <c r="F30" s="106">
        <v>4.32</v>
      </c>
      <c r="G30" s="106">
        <v>144.63999999999999</v>
      </c>
      <c r="H30" s="106">
        <v>139.18</v>
      </c>
      <c r="I30" s="106">
        <v>1.59</v>
      </c>
      <c r="J30" s="106">
        <v>0.13</v>
      </c>
      <c r="K30" s="106">
        <v>311.74</v>
      </c>
      <c r="L30" s="106">
        <v>16.27</v>
      </c>
      <c r="M30" s="106">
        <v>94.23</v>
      </c>
      <c r="N30" s="106">
        <v>36.6</v>
      </c>
      <c r="O30" s="106">
        <v>0</v>
      </c>
      <c r="P30" s="106">
        <v>6.82</v>
      </c>
      <c r="Q30" s="106">
        <v>13.89</v>
      </c>
      <c r="R30" s="43"/>
      <c r="S30" s="43"/>
      <c r="T30" s="43"/>
      <c r="U30" s="43"/>
    </row>
    <row r="31" spans="1:21" s="11" customFormat="1" x14ac:dyDescent="0.25">
      <c r="A31" s="56" t="s">
        <v>675</v>
      </c>
      <c r="B31" s="106">
        <v>268.38</v>
      </c>
      <c r="C31" s="106">
        <v>111.02</v>
      </c>
      <c r="D31" s="106">
        <v>276.61</v>
      </c>
      <c r="E31" s="106">
        <v>1.71</v>
      </c>
      <c r="F31" s="106">
        <v>3.69</v>
      </c>
      <c r="G31" s="106">
        <v>151.63999999999999</v>
      </c>
      <c r="H31" s="106">
        <v>141.66999999999999</v>
      </c>
      <c r="I31" s="106">
        <v>1.51</v>
      </c>
      <c r="J31" s="106">
        <v>0.13</v>
      </c>
      <c r="K31" s="106">
        <v>318.69</v>
      </c>
      <c r="L31" s="106">
        <v>15.67</v>
      </c>
      <c r="M31" s="106">
        <v>97.83</v>
      </c>
      <c r="N31" s="106">
        <v>36.9</v>
      </c>
      <c r="O31" s="106">
        <v>0</v>
      </c>
      <c r="P31" s="106">
        <v>6.91</v>
      </c>
      <c r="Q31" s="106">
        <v>18.98</v>
      </c>
      <c r="R31" s="43"/>
      <c r="S31" s="43"/>
      <c r="T31" s="43"/>
      <c r="U31" s="43"/>
    </row>
    <row r="32" spans="1:21" s="11" customFormat="1" x14ac:dyDescent="0.25">
      <c r="A32" s="56" t="s">
        <v>676</v>
      </c>
      <c r="B32" s="106">
        <v>273.61</v>
      </c>
      <c r="C32" s="106">
        <v>109.35</v>
      </c>
      <c r="D32" s="106">
        <v>280.14</v>
      </c>
      <c r="E32" s="106">
        <v>1.59</v>
      </c>
      <c r="F32" s="106">
        <v>3.61</v>
      </c>
      <c r="G32" s="106">
        <v>249.85</v>
      </c>
      <c r="H32" s="106">
        <v>141.66999999999999</v>
      </c>
      <c r="I32" s="106">
        <v>1.57</v>
      </c>
      <c r="J32" s="106">
        <v>0.12</v>
      </c>
      <c r="K32" s="106">
        <v>301.60000000000002</v>
      </c>
      <c r="L32" s="106">
        <v>15.3</v>
      </c>
      <c r="M32" s="106">
        <v>97.88</v>
      </c>
      <c r="N32" s="106">
        <v>37.4</v>
      </c>
      <c r="O32" s="106">
        <v>0</v>
      </c>
      <c r="P32" s="106">
        <v>6.43</v>
      </c>
      <c r="Q32" s="106">
        <v>27.57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3.37</v>
      </c>
      <c r="C34" s="28">
        <f t="shared" si="0"/>
        <v>76.010000000000005</v>
      </c>
      <c r="D34" s="28">
        <f t="shared" si="0"/>
        <v>49.08</v>
      </c>
      <c r="E34" s="28">
        <f t="shared" si="0"/>
        <v>0.19</v>
      </c>
      <c r="F34" s="28">
        <f t="shared" si="0"/>
        <v>3.51</v>
      </c>
      <c r="G34" s="28">
        <f t="shared" si="0"/>
        <v>102.31</v>
      </c>
      <c r="H34" s="28">
        <f t="shared" si="0"/>
        <v>59.74</v>
      </c>
      <c r="I34" s="28">
        <f t="shared" si="0"/>
        <v>1.45</v>
      </c>
      <c r="J34" s="28">
        <f t="shared" si="0"/>
        <v>7.0000000000000007E-2</v>
      </c>
      <c r="K34" s="28">
        <f t="shared" si="0"/>
        <v>107.3</v>
      </c>
      <c r="L34" s="28">
        <f t="shared" si="0"/>
        <v>13.64</v>
      </c>
      <c r="M34" s="28">
        <f t="shared" si="0"/>
        <v>35.409999999999997</v>
      </c>
      <c r="N34" s="28">
        <f t="shared" si="0"/>
        <v>36.299999999999997</v>
      </c>
      <c r="O34" s="28">
        <f t="shared" si="0"/>
        <v>0</v>
      </c>
      <c r="P34" s="28">
        <f t="shared" si="0"/>
        <v>0.79</v>
      </c>
      <c r="Q34" s="28">
        <f t="shared" si="0"/>
        <v>0.45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273.61</v>
      </c>
      <c r="C35" s="29">
        <f t="shared" si="1"/>
        <v>112.65</v>
      </c>
      <c r="D35" s="29">
        <f t="shared" si="1"/>
        <v>280.14</v>
      </c>
      <c r="E35" s="29">
        <f t="shared" si="1"/>
        <v>4.3600000000000003</v>
      </c>
      <c r="F35" s="29">
        <f t="shared" si="1"/>
        <v>34.590000000000003</v>
      </c>
      <c r="G35" s="29">
        <f t="shared" si="1"/>
        <v>249.85</v>
      </c>
      <c r="H35" s="29">
        <f t="shared" si="1"/>
        <v>141.66999999999999</v>
      </c>
      <c r="I35" s="29">
        <f t="shared" si="1"/>
        <v>1.59</v>
      </c>
      <c r="J35" s="29">
        <f t="shared" si="1"/>
        <v>0.86</v>
      </c>
      <c r="K35" s="29">
        <f t="shared" si="1"/>
        <v>357.06</v>
      </c>
      <c r="L35" s="29">
        <f t="shared" si="1"/>
        <v>29</v>
      </c>
      <c r="M35" s="29">
        <f t="shared" si="1"/>
        <v>97.88</v>
      </c>
      <c r="N35" s="29">
        <f t="shared" si="1"/>
        <v>553</v>
      </c>
      <c r="O35" s="29">
        <f t="shared" si="1"/>
        <v>0</v>
      </c>
      <c r="P35" s="29">
        <f t="shared" si="1"/>
        <v>6.91</v>
      </c>
      <c r="Q35" s="29">
        <f t="shared" si="1"/>
        <v>27.57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72.502916666666678</v>
      </c>
      <c r="C36" s="28">
        <f t="shared" si="2"/>
        <v>90.244166666666672</v>
      </c>
      <c r="D36" s="28">
        <f t="shared" si="2"/>
        <v>108.29624999999997</v>
      </c>
      <c r="E36" s="28">
        <f t="shared" si="2"/>
        <v>1.4749999999999999</v>
      </c>
      <c r="F36" s="28">
        <f t="shared" si="2"/>
        <v>11.116666666666669</v>
      </c>
      <c r="G36" s="28">
        <f t="shared" si="2"/>
        <v>138.54499999999996</v>
      </c>
      <c r="H36" s="28">
        <f t="shared" si="2"/>
        <v>88.120833333333351</v>
      </c>
      <c r="I36" s="28">
        <f t="shared" si="2"/>
        <v>1.5362499999999999</v>
      </c>
      <c r="J36" s="28">
        <f t="shared" si="2"/>
        <v>0.31208333333333332</v>
      </c>
      <c r="K36" s="28">
        <f t="shared" si="2"/>
        <v>318.42875000000009</v>
      </c>
      <c r="L36" s="28">
        <f t="shared" si="2"/>
        <v>19.598749999999999</v>
      </c>
      <c r="M36" s="28">
        <f t="shared" si="2"/>
        <v>73.742499999999993</v>
      </c>
      <c r="N36" s="28">
        <f t="shared" si="2"/>
        <v>169.57083333333335</v>
      </c>
      <c r="O36" s="28">
        <f t="shared" si="2"/>
        <v>0</v>
      </c>
      <c r="P36" s="28">
        <f t="shared" si="2"/>
        <v>2.2845833333333334</v>
      </c>
      <c r="Q36" s="28">
        <f t="shared" si="2"/>
        <v>10.70875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83.56869584901871</v>
      </c>
      <c r="C37" s="28">
        <f t="shared" ref="C37:Q37" si="3">STDEV(C9:C32)</f>
        <v>11.947089846364191</v>
      </c>
      <c r="D37" s="28">
        <f t="shared" si="3"/>
        <v>72.910713461740386</v>
      </c>
      <c r="E37" s="28">
        <f t="shared" si="3"/>
        <v>0.93832876411480537</v>
      </c>
      <c r="F37" s="28">
        <f t="shared" si="3"/>
        <v>10.593212210068115</v>
      </c>
      <c r="G37" s="28">
        <f t="shared" si="3"/>
        <v>36.526042287899259</v>
      </c>
      <c r="H37" s="28">
        <f t="shared" si="3"/>
        <v>27.550452677834873</v>
      </c>
      <c r="I37" s="28">
        <f t="shared" si="3"/>
        <v>3.0760293434457263E-2</v>
      </c>
      <c r="J37" s="28">
        <f t="shared" si="3"/>
        <v>0.25552978498502438</v>
      </c>
      <c r="K37" s="28">
        <f t="shared" si="3"/>
        <v>64.907530099264164</v>
      </c>
      <c r="L37" s="28">
        <f t="shared" si="3"/>
        <v>5.4423327099771228</v>
      </c>
      <c r="M37" s="28">
        <f t="shared" si="3"/>
        <v>24.292257354789133</v>
      </c>
      <c r="N37" s="28">
        <f t="shared" si="3"/>
        <v>194.77508875437681</v>
      </c>
      <c r="O37" s="28">
        <f t="shared" si="3"/>
        <v>0</v>
      </c>
      <c r="P37" s="28">
        <f t="shared" si="3"/>
        <v>2.0377182020619271</v>
      </c>
      <c r="Q37" s="28">
        <f t="shared" si="3"/>
        <v>7.2190324008379285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2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09"/>
      <c r="B8" s="110" t="s">
        <v>22</v>
      </c>
      <c r="C8" s="110" t="s">
        <v>22</v>
      </c>
      <c r="D8" s="29" t="s">
        <v>42</v>
      </c>
      <c r="E8" s="110" t="s">
        <v>22</v>
      </c>
      <c r="F8" s="110" t="s">
        <v>22</v>
      </c>
      <c r="G8" s="110" t="s">
        <v>23</v>
      </c>
      <c r="H8" s="110" t="s">
        <v>22</v>
      </c>
      <c r="I8" s="110" t="s">
        <v>22</v>
      </c>
      <c r="J8" s="110" t="s">
        <v>24</v>
      </c>
      <c r="K8" s="110" t="s">
        <v>25</v>
      </c>
      <c r="L8" s="109" t="s">
        <v>27</v>
      </c>
      <c r="M8" s="110" t="s">
        <v>26</v>
      </c>
      <c r="N8" s="110" t="s">
        <v>28</v>
      </c>
      <c r="O8" s="109" t="s">
        <v>29</v>
      </c>
      <c r="P8" s="110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105" t="s">
        <v>677</v>
      </c>
      <c r="B9" s="106">
        <v>22.17</v>
      </c>
      <c r="C9" s="106">
        <v>59.64</v>
      </c>
      <c r="D9" s="106">
        <v>50.86</v>
      </c>
      <c r="E9" s="106">
        <v>0.23</v>
      </c>
      <c r="F9" s="106">
        <v>3.43</v>
      </c>
      <c r="G9" s="106">
        <v>81.510000000000005</v>
      </c>
      <c r="H9" s="106">
        <v>40.06</v>
      </c>
      <c r="I9" s="106">
        <v>1.52</v>
      </c>
      <c r="J9" s="106">
        <v>0.11</v>
      </c>
      <c r="K9" s="106">
        <v>351.01</v>
      </c>
      <c r="L9" s="106">
        <v>17.309999999999999</v>
      </c>
      <c r="M9" s="106">
        <v>96.97</v>
      </c>
      <c r="N9" s="106">
        <v>13.3</v>
      </c>
      <c r="O9" s="106">
        <v>0</v>
      </c>
      <c r="P9" s="106">
        <v>1.01</v>
      </c>
      <c r="Q9" s="106">
        <v>9.41</v>
      </c>
      <c r="R9" s="43"/>
      <c r="S9" s="43"/>
      <c r="T9" s="43"/>
      <c r="U9" s="43"/>
    </row>
    <row r="10" spans="1:21" s="11" customFormat="1" x14ac:dyDescent="0.25">
      <c r="A10" s="105" t="s">
        <v>678</v>
      </c>
      <c r="B10" s="106">
        <v>20.64</v>
      </c>
      <c r="C10" s="106">
        <v>58.18</v>
      </c>
      <c r="D10" s="106">
        <v>48.91</v>
      </c>
      <c r="E10" s="106">
        <v>0.25</v>
      </c>
      <c r="F10" s="106">
        <v>3.32</v>
      </c>
      <c r="G10" s="106">
        <v>80.7</v>
      </c>
      <c r="H10" s="106">
        <v>40.81</v>
      </c>
      <c r="I10" s="106">
        <v>1.5</v>
      </c>
      <c r="J10" s="106">
        <v>0.13</v>
      </c>
      <c r="K10" s="106">
        <v>138</v>
      </c>
      <c r="L10" s="106">
        <v>16.96</v>
      </c>
      <c r="M10" s="106">
        <v>95.5</v>
      </c>
      <c r="N10" s="106">
        <v>13.1</v>
      </c>
      <c r="O10" s="106">
        <v>0</v>
      </c>
      <c r="P10" s="106">
        <v>0.95</v>
      </c>
      <c r="Q10" s="106">
        <v>9.24</v>
      </c>
      <c r="R10" s="43"/>
      <c r="S10" s="43"/>
      <c r="T10" s="43"/>
      <c r="U10" s="43"/>
    </row>
    <row r="11" spans="1:21" s="11" customFormat="1" x14ac:dyDescent="0.25">
      <c r="A11" s="105" t="s">
        <v>679</v>
      </c>
      <c r="B11" s="106">
        <v>15.54</v>
      </c>
      <c r="C11" s="106">
        <v>56.41</v>
      </c>
      <c r="D11" s="106">
        <v>44.24</v>
      </c>
      <c r="E11" s="106">
        <v>0.25</v>
      </c>
      <c r="F11" s="106">
        <v>3.32</v>
      </c>
      <c r="G11" s="106">
        <v>80.650000000000006</v>
      </c>
      <c r="H11" s="106">
        <v>40.81</v>
      </c>
      <c r="I11" s="106">
        <v>1.58</v>
      </c>
      <c r="J11" s="106">
        <v>0.37</v>
      </c>
      <c r="K11" s="106">
        <v>96.71</v>
      </c>
      <c r="L11" s="106">
        <v>16.64</v>
      </c>
      <c r="M11" s="106">
        <v>96.12</v>
      </c>
      <c r="N11" s="106">
        <v>13.1</v>
      </c>
      <c r="O11" s="106">
        <v>0</v>
      </c>
      <c r="P11" s="106">
        <v>0.87</v>
      </c>
      <c r="Q11" s="106">
        <v>8.77</v>
      </c>
      <c r="R11" s="43"/>
      <c r="S11" s="43"/>
      <c r="T11" s="43"/>
      <c r="U11" s="43"/>
    </row>
    <row r="12" spans="1:21" s="11" customFormat="1" x14ac:dyDescent="0.25">
      <c r="A12" s="105" t="s">
        <v>680</v>
      </c>
      <c r="B12" s="106">
        <v>12.39</v>
      </c>
      <c r="C12" s="106">
        <v>55.66</v>
      </c>
      <c r="D12" s="106">
        <v>40.64</v>
      </c>
      <c r="E12" s="106">
        <v>0.19</v>
      </c>
      <c r="F12" s="106">
        <v>3.47</v>
      </c>
      <c r="G12" s="106">
        <v>75.5</v>
      </c>
      <c r="H12" s="106">
        <v>38.840000000000003</v>
      </c>
      <c r="I12" s="106">
        <v>1.59</v>
      </c>
      <c r="J12" s="106">
        <v>0.62</v>
      </c>
      <c r="K12" s="106">
        <v>107.79</v>
      </c>
      <c r="L12" s="106">
        <v>16.03</v>
      </c>
      <c r="M12" s="106">
        <v>100.45</v>
      </c>
      <c r="N12" s="106">
        <v>13.1</v>
      </c>
      <c r="O12" s="106">
        <v>0</v>
      </c>
      <c r="P12" s="106">
        <v>0.8</v>
      </c>
      <c r="Q12" s="106">
        <v>8.48</v>
      </c>
      <c r="R12" s="43"/>
      <c r="S12" s="43"/>
      <c r="T12" s="43"/>
      <c r="U12" s="43"/>
    </row>
    <row r="13" spans="1:21" s="11" customFormat="1" x14ac:dyDescent="0.25">
      <c r="A13" s="105" t="s">
        <v>681</v>
      </c>
      <c r="B13" s="106">
        <v>11.25</v>
      </c>
      <c r="C13" s="106">
        <v>55.67</v>
      </c>
      <c r="D13" s="106">
        <v>40.200000000000003</v>
      </c>
      <c r="E13" s="106">
        <v>0.33</v>
      </c>
      <c r="F13" s="106">
        <v>3.4</v>
      </c>
      <c r="G13" s="106">
        <v>75.5</v>
      </c>
      <c r="H13" s="106">
        <v>37.9</v>
      </c>
      <c r="I13" s="106">
        <v>1.54</v>
      </c>
      <c r="J13" s="106">
        <v>0.11</v>
      </c>
      <c r="K13" s="106">
        <v>105.56</v>
      </c>
      <c r="L13" s="106">
        <v>15.59</v>
      </c>
      <c r="M13" s="106">
        <v>100.43</v>
      </c>
      <c r="N13" s="106">
        <v>13</v>
      </c>
      <c r="O13" s="106">
        <v>0</v>
      </c>
      <c r="P13" s="106">
        <v>0.75</v>
      </c>
      <c r="Q13" s="106">
        <v>8.5399999999999991</v>
      </c>
      <c r="R13" s="43"/>
      <c r="S13" s="43"/>
      <c r="T13" s="43"/>
      <c r="U13" s="43"/>
    </row>
    <row r="14" spans="1:21" s="11" customFormat="1" x14ac:dyDescent="0.25">
      <c r="A14" s="105" t="s">
        <v>682</v>
      </c>
      <c r="B14" s="106">
        <v>13.32</v>
      </c>
      <c r="C14" s="106">
        <v>55.58</v>
      </c>
      <c r="D14" s="106">
        <v>41.91</v>
      </c>
      <c r="E14" s="106">
        <v>0.35</v>
      </c>
      <c r="F14" s="106">
        <v>3.53</v>
      </c>
      <c r="G14" s="106">
        <v>75.290000000000006</v>
      </c>
      <c r="H14" s="106">
        <v>38.770000000000003</v>
      </c>
      <c r="I14" s="106">
        <v>1.56</v>
      </c>
      <c r="J14" s="106">
        <v>0.45</v>
      </c>
      <c r="K14" s="106">
        <v>347.82</v>
      </c>
      <c r="L14" s="106">
        <v>15.57</v>
      </c>
      <c r="M14" s="106">
        <v>98.03</v>
      </c>
      <c r="N14" s="106">
        <v>13.2</v>
      </c>
      <c r="O14" s="106">
        <v>0</v>
      </c>
      <c r="P14" s="106">
        <v>0.73</v>
      </c>
      <c r="Q14" s="106">
        <v>8.6300000000000008</v>
      </c>
      <c r="R14" s="43"/>
      <c r="S14" s="43"/>
      <c r="T14" s="43"/>
      <c r="U14" s="43"/>
    </row>
    <row r="15" spans="1:21" s="11" customFormat="1" x14ac:dyDescent="0.25">
      <c r="A15" s="105" t="s">
        <v>683</v>
      </c>
      <c r="B15" s="106">
        <v>14.86</v>
      </c>
      <c r="C15" s="106">
        <v>54.35</v>
      </c>
      <c r="D15" s="106">
        <v>42.5</v>
      </c>
      <c r="E15" s="106">
        <v>0.33</v>
      </c>
      <c r="F15" s="106">
        <v>3.47</v>
      </c>
      <c r="G15" s="106">
        <v>85.64</v>
      </c>
      <c r="H15" s="106">
        <v>39.979999999999997</v>
      </c>
      <c r="I15" s="106">
        <v>1.5</v>
      </c>
      <c r="J15" s="106">
        <v>0.5</v>
      </c>
      <c r="K15" s="106">
        <v>356.11</v>
      </c>
      <c r="L15" s="106">
        <v>15.89</v>
      </c>
      <c r="M15" s="106">
        <v>93.51</v>
      </c>
      <c r="N15" s="106">
        <v>18.2</v>
      </c>
      <c r="O15" s="106">
        <v>0</v>
      </c>
      <c r="P15" s="106">
        <v>0.73</v>
      </c>
      <c r="Q15" s="106">
        <v>8.6300000000000008</v>
      </c>
      <c r="R15" s="43"/>
      <c r="S15" s="43"/>
      <c r="T15" s="43"/>
      <c r="U15" s="43"/>
    </row>
    <row r="16" spans="1:21" s="11" customFormat="1" x14ac:dyDescent="0.25">
      <c r="A16" s="105" t="s">
        <v>684</v>
      </c>
      <c r="B16" s="106">
        <v>15.39</v>
      </c>
      <c r="C16" s="106">
        <v>54.69</v>
      </c>
      <c r="D16" s="106">
        <v>43.17</v>
      </c>
      <c r="E16" s="106">
        <v>0.34</v>
      </c>
      <c r="F16" s="106">
        <v>3.16</v>
      </c>
      <c r="G16" s="106">
        <v>85.64</v>
      </c>
      <c r="H16" s="106">
        <v>39.979999999999997</v>
      </c>
      <c r="I16" s="106">
        <v>1.6</v>
      </c>
      <c r="J16" s="106">
        <v>0.66</v>
      </c>
      <c r="K16" s="106">
        <v>342.57</v>
      </c>
      <c r="L16" s="106">
        <v>16.11</v>
      </c>
      <c r="M16" s="106">
        <v>85.93</v>
      </c>
      <c r="N16" s="106">
        <v>72.2</v>
      </c>
      <c r="O16" s="106">
        <v>0</v>
      </c>
      <c r="P16" s="106">
        <v>0.75</v>
      </c>
      <c r="Q16" s="106">
        <v>8.42</v>
      </c>
      <c r="R16" s="43"/>
      <c r="S16" s="43"/>
      <c r="T16" s="43"/>
      <c r="U16" s="43"/>
    </row>
    <row r="17" spans="1:21" s="11" customFormat="1" x14ac:dyDescent="0.25">
      <c r="A17" s="105" t="s">
        <v>685</v>
      </c>
      <c r="B17" s="106">
        <v>19.21</v>
      </c>
      <c r="C17" s="106">
        <v>55.99</v>
      </c>
      <c r="D17" s="106">
        <v>46.84</v>
      </c>
      <c r="E17" s="106">
        <v>0.18</v>
      </c>
      <c r="F17" s="106">
        <v>3.37</v>
      </c>
      <c r="G17" s="106">
        <v>83.61</v>
      </c>
      <c r="H17" s="106">
        <v>40.35</v>
      </c>
      <c r="I17" s="106">
        <v>1.48</v>
      </c>
      <c r="J17" s="106">
        <v>0.5</v>
      </c>
      <c r="K17" s="106">
        <v>101.8</v>
      </c>
      <c r="L17" s="106">
        <v>16.87</v>
      </c>
      <c r="M17" s="106">
        <v>78.25</v>
      </c>
      <c r="N17" s="106">
        <v>117.4</v>
      </c>
      <c r="O17" s="106">
        <v>0</v>
      </c>
      <c r="P17" s="106">
        <v>0.79</v>
      </c>
      <c r="Q17" s="106">
        <v>8.48</v>
      </c>
      <c r="R17" s="43"/>
      <c r="S17" s="43"/>
      <c r="T17" s="43"/>
      <c r="U17" s="43"/>
    </row>
    <row r="18" spans="1:21" s="11" customFormat="1" x14ac:dyDescent="0.25">
      <c r="A18" s="105" t="s">
        <v>686</v>
      </c>
      <c r="B18" s="106">
        <v>28.36</v>
      </c>
      <c r="C18" s="106">
        <v>59.41</v>
      </c>
      <c r="D18" s="106">
        <v>56.18</v>
      </c>
      <c r="E18" s="106">
        <v>0.19</v>
      </c>
      <c r="F18" s="106">
        <v>3.4</v>
      </c>
      <c r="G18" s="106">
        <v>88.09</v>
      </c>
      <c r="H18" s="106">
        <v>41.62</v>
      </c>
      <c r="I18" s="106">
        <v>1.57</v>
      </c>
      <c r="J18" s="106">
        <v>1.5</v>
      </c>
      <c r="K18" s="106">
        <v>347.19</v>
      </c>
      <c r="L18" s="106">
        <v>18.96</v>
      </c>
      <c r="M18" s="106">
        <v>76.14</v>
      </c>
      <c r="N18" s="106">
        <v>149.69999999999999</v>
      </c>
      <c r="O18" s="106">
        <v>0</v>
      </c>
      <c r="P18" s="106">
        <v>0.88</v>
      </c>
      <c r="Q18" s="106">
        <v>9.02</v>
      </c>
      <c r="R18" s="43"/>
      <c r="S18" s="43"/>
      <c r="T18" s="43"/>
      <c r="U18" s="43"/>
    </row>
    <row r="19" spans="1:21" s="11" customFormat="1" x14ac:dyDescent="0.25">
      <c r="A19" s="105" t="s">
        <v>687</v>
      </c>
      <c r="B19" s="106">
        <v>35.17</v>
      </c>
      <c r="C19" s="106">
        <v>67.83</v>
      </c>
      <c r="D19" s="106">
        <v>66.28</v>
      </c>
      <c r="E19" s="106">
        <v>0.61</v>
      </c>
      <c r="F19" s="106">
        <v>3.6</v>
      </c>
      <c r="G19" s="106">
        <v>100.14</v>
      </c>
      <c r="H19" s="106">
        <v>41.62</v>
      </c>
      <c r="I19" s="106">
        <v>1.6</v>
      </c>
      <c r="J19" s="106">
        <v>1.66</v>
      </c>
      <c r="K19" s="106">
        <v>346.83</v>
      </c>
      <c r="L19" s="106">
        <v>18.62</v>
      </c>
      <c r="M19" s="106">
        <v>71.11</v>
      </c>
      <c r="N19" s="106">
        <v>144.6</v>
      </c>
      <c r="O19" s="106">
        <v>0</v>
      </c>
      <c r="P19" s="106">
        <v>1.01</v>
      </c>
      <c r="Q19" s="106">
        <v>10.09</v>
      </c>
      <c r="R19" s="43"/>
      <c r="S19" s="43"/>
      <c r="T19" s="43"/>
      <c r="U19" s="43"/>
    </row>
    <row r="20" spans="1:21" s="11" customFormat="1" x14ac:dyDescent="0.25">
      <c r="A20" s="105" t="s">
        <v>688</v>
      </c>
      <c r="B20" s="106">
        <v>39.24</v>
      </c>
      <c r="C20" s="106">
        <v>78.260000000000005</v>
      </c>
      <c r="D20" s="106">
        <v>75.3</v>
      </c>
      <c r="E20" s="106">
        <v>0.52</v>
      </c>
      <c r="F20" s="106">
        <v>3.39</v>
      </c>
      <c r="G20" s="106">
        <v>101.89</v>
      </c>
      <c r="H20" s="106">
        <v>48.8</v>
      </c>
      <c r="I20" s="106">
        <v>1.58</v>
      </c>
      <c r="J20" s="106">
        <v>1.67</v>
      </c>
      <c r="K20" s="106">
        <v>344.8</v>
      </c>
      <c r="L20" s="106">
        <v>20.2</v>
      </c>
      <c r="M20" s="106">
        <v>67.569999999999993</v>
      </c>
      <c r="N20" s="106">
        <v>245.9</v>
      </c>
      <c r="O20" s="106">
        <v>0</v>
      </c>
      <c r="P20" s="106">
        <v>1.07</v>
      </c>
      <c r="Q20" s="106">
        <v>11.12</v>
      </c>
      <c r="R20" s="43"/>
      <c r="S20" s="43"/>
      <c r="T20" s="43"/>
      <c r="U20" s="43"/>
    </row>
    <row r="21" spans="1:21" s="11" customFormat="1" x14ac:dyDescent="0.25">
      <c r="A21" s="105" t="s">
        <v>689</v>
      </c>
      <c r="B21" s="106">
        <v>38.44</v>
      </c>
      <c r="C21" s="106">
        <v>84.42</v>
      </c>
      <c r="D21" s="106">
        <v>78.06</v>
      </c>
      <c r="E21" s="106">
        <v>0.5</v>
      </c>
      <c r="F21" s="106">
        <v>3.43</v>
      </c>
      <c r="G21" s="106">
        <v>124</v>
      </c>
      <c r="H21" s="106">
        <v>48.8</v>
      </c>
      <c r="I21" s="106">
        <v>1.53</v>
      </c>
      <c r="J21" s="106">
        <v>1.03</v>
      </c>
      <c r="K21" s="106">
        <v>352.18</v>
      </c>
      <c r="L21" s="106">
        <v>21.07</v>
      </c>
      <c r="M21" s="106">
        <v>69.98</v>
      </c>
      <c r="N21" s="106">
        <v>329.6</v>
      </c>
      <c r="O21" s="106">
        <v>0</v>
      </c>
      <c r="P21" s="106">
        <v>1.1599999999999999</v>
      </c>
      <c r="Q21" s="106">
        <v>11.63</v>
      </c>
      <c r="R21" s="43"/>
      <c r="S21" s="43"/>
      <c r="T21" s="43"/>
      <c r="U21" s="43"/>
    </row>
    <row r="22" spans="1:21" s="11" customFormat="1" x14ac:dyDescent="0.25">
      <c r="A22" s="105" t="s">
        <v>690</v>
      </c>
      <c r="B22" s="106">
        <v>35.119999999999997</v>
      </c>
      <c r="C22" s="106">
        <v>79.53</v>
      </c>
      <c r="D22" s="106">
        <v>72.7</v>
      </c>
      <c r="E22" s="106">
        <v>0.74</v>
      </c>
      <c r="F22" s="106">
        <v>3.82</v>
      </c>
      <c r="G22" s="106">
        <v>124</v>
      </c>
      <c r="H22" s="106">
        <v>47.58</v>
      </c>
      <c r="I22" s="106">
        <v>1.55</v>
      </c>
      <c r="J22" s="106">
        <v>0.97</v>
      </c>
      <c r="K22" s="106">
        <v>345.52</v>
      </c>
      <c r="L22" s="106">
        <v>21.94</v>
      </c>
      <c r="M22" s="106">
        <v>72.86</v>
      </c>
      <c r="N22" s="106">
        <v>310.7</v>
      </c>
      <c r="O22" s="106">
        <v>0</v>
      </c>
      <c r="P22" s="106">
        <v>1.02</v>
      </c>
      <c r="Q22" s="106">
        <v>11.46</v>
      </c>
      <c r="R22" s="43"/>
      <c r="S22" s="43"/>
      <c r="T22" s="43"/>
      <c r="U22" s="43"/>
    </row>
    <row r="23" spans="1:21" s="11" customFormat="1" x14ac:dyDescent="0.25">
      <c r="A23" s="105" t="s">
        <v>691</v>
      </c>
      <c r="B23" s="106">
        <v>10.79</v>
      </c>
      <c r="C23" s="106">
        <v>74.72</v>
      </c>
      <c r="D23" s="106">
        <v>50.54</v>
      </c>
      <c r="E23" s="106">
        <v>0.16</v>
      </c>
      <c r="F23" s="106">
        <v>3.63</v>
      </c>
      <c r="G23" s="106">
        <v>115.29</v>
      </c>
      <c r="H23" s="106">
        <v>45.94</v>
      </c>
      <c r="I23" s="106">
        <v>1.54</v>
      </c>
      <c r="J23" s="106">
        <v>0.52</v>
      </c>
      <c r="K23" s="106">
        <v>349.85</v>
      </c>
      <c r="L23" s="106">
        <v>20.98</v>
      </c>
      <c r="M23" s="106">
        <v>75.12</v>
      </c>
      <c r="N23" s="106">
        <v>266.60000000000002</v>
      </c>
      <c r="O23" s="106">
        <v>0</v>
      </c>
      <c r="P23" s="106">
        <v>0.89</v>
      </c>
      <c r="Q23" s="106">
        <v>9.7899999999999991</v>
      </c>
      <c r="R23" s="43"/>
      <c r="S23" s="43"/>
      <c r="T23" s="43"/>
      <c r="U23" s="43"/>
    </row>
    <row r="24" spans="1:21" s="11" customFormat="1" x14ac:dyDescent="0.25">
      <c r="A24" s="105" t="s">
        <v>692</v>
      </c>
      <c r="B24" s="106">
        <v>15.98</v>
      </c>
      <c r="C24" s="106">
        <v>66.099999999999994</v>
      </c>
      <c r="D24" s="106">
        <v>49.54</v>
      </c>
      <c r="E24" s="106">
        <v>0.23</v>
      </c>
      <c r="F24" s="106">
        <v>3.4</v>
      </c>
      <c r="G24" s="106">
        <v>102.44</v>
      </c>
      <c r="H24" s="106">
        <v>36.43</v>
      </c>
      <c r="I24" s="106">
        <v>1.58</v>
      </c>
      <c r="J24" s="106">
        <v>0.78</v>
      </c>
      <c r="K24" s="106">
        <v>354.7</v>
      </c>
      <c r="L24" s="106">
        <v>20.54</v>
      </c>
      <c r="M24" s="106">
        <v>77.819999999999993</v>
      </c>
      <c r="N24" s="106">
        <v>131.80000000000001</v>
      </c>
      <c r="O24" s="106">
        <v>0</v>
      </c>
      <c r="P24" s="106">
        <v>0.89</v>
      </c>
      <c r="Q24" s="106">
        <v>9.49</v>
      </c>
      <c r="R24" s="43"/>
      <c r="S24" s="43"/>
      <c r="T24" s="43"/>
      <c r="U24" s="43"/>
    </row>
    <row r="25" spans="1:21" s="11" customFormat="1" x14ac:dyDescent="0.25">
      <c r="A25" s="105" t="s">
        <v>693</v>
      </c>
      <c r="B25" s="106">
        <v>18.47</v>
      </c>
      <c r="C25" s="106">
        <v>75.459999999999994</v>
      </c>
      <c r="D25" s="106">
        <v>57.11</v>
      </c>
      <c r="E25" s="106">
        <v>0.39</v>
      </c>
      <c r="F25" s="106">
        <v>3.41</v>
      </c>
      <c r="G25" s="106">
        <v>89.89</v>
      </c>
      <c r="H25" s="106">
        <v>39.71</v>
      </c>
      <c r="I25" s="106">
        <v>1.56</v>
      </c>
      <c r="J25" s="106">
        <v>1.05</v>
      </c>
      <c r="K25" s="106">
        <v>357.5</v>
      </c>
      <c r="L25" s="106">
        <v>19.38</v>
      </c>
      <c r="M25" s="106">
        <v>82.83</v>
      </c>
      <c r="N25" s="106">
        <v>74.400000000000006</v>
      </c>
      <c r="O25" s="106">
        <v>0</v>
      </c>
      <c r="P25" s="106">
        <v>0.87</v>
      </c>
      <c r="Q25" s="106">
        <v>9.9600000000000009</v>
      </c>
      <c r="R25" s="43"/>
      <c r="S25" s="43"/>
      <c r="T25" s="43"/>
      <c r="U25" s="43"/>
    </row>
    <row r="26" spans="1:21" s="11" customFormat="1" x14ac:dyDescent="0.25">
      <c r="A26" s="105" t="s">
        <v>694</v>
      </c>
      <c r="B26" s="106">
        <v>31.91</v>
      </c>
      <c r="C26" s="106">
        <v>78.61</v>
      </c>
      <c r="D26" s="106">
        <v>68.91</v>
      </c>
      <c r="E26" s="106">
        <v>0.42</v>
      </c>
      <c r="F26" s="106">
        <v>3.55</v>
      </c>
      <c r="G26" s="106">
        <v>75.5</v>
      </c>
      <c r="H26" s="106">
        <v>39.71</v>
      </c>
      <c r="I26" s="106">
        <v>1.52</v>
      </c>
      <c r="J26" s="106">
        <v>0.63</v>
      </c>
      <c r="K26" s="106">
        <v>340.01</v>
      </c>
      <c r="L26" s="106">
        <v>18.16</v>
      </c>
      <c r="M26" s="106">
        <v>92.51</v>
      </c>
      <c r="N26" s="106">
        <v>27.2</v>
      </c>
      <c r="O26" s="106">
        <v>0</v>
      </c>
      <c r="P26" s="106">
        <v>0.94</v>
      </c>
      <c r="Q26" s="106">
        <v>10.8</v>
      </c>
      <c r="R26" s="43"/>
      <c r="S26" s="43"/>
      <c r="T26" s="43"/>
      <c r="U26" s="43"/>
    </row>
    <row r="27" spans="1:21" s="11" customFormat="1" x14ac:dyDescent="0.25">
      <c r="A27" s="105" t="s">
        <v>695</v>
      </c>
      <c r="B27" s="106">
        <v>45.68</v>
      </c>
      <c r="C27" s="106">
        <v>74.989999999999995</v>
      </c>
      <c r="D27" s="106">
        <v>76.36</v>
      </c>
      <c r="E27" s="106">
        <v>0.43</v>
      </c>
      <c r="F27" s="106">
        <v>3.22</v>
      </c>
      <c r="G27" s="106">
        <v>75.5</v>
      </c>
      <c r="H27" s="106">
        <v>41.39</v>
      </c>
      <c r="I27" s="106">
        <v>1.52</v>
      </c>
      <c r="J27" s="106">
        <v>1.1100000000000001</v>
      </c>
      <c r="K27" s="106">
        <v>347.69</v>
      </c>
      <c r="L27" s="106">
        <v>17.07</v>
      </c>
      <c r="M27" s="106">
        <v>93.15</v>
      </c>
      <c r="N27" s="106">
        <v>13.6</v>
      </c>
      <c r="O27" s="106">
        <v>0</v>
      </c>
      <c r="P27" s="106">
        <v>1</v>
      </c>
      <c r="Q27" s="106">
        <v>11.5</v>
      </c>
      <c r="R27" s="43"/>
      <c r="S27" s="43"/>
      <c r="T27" s="43"/>
      <c r="U27" s="43"/>
    </row>
    <row r="28" spans="1:21" s="11" customFormat="1" x14ac:dyDescent="0.25">
      <c r="A28" s="105" t="s">
        <v>696</v>
      </c>
      <c r="B28" s="106">
        <v>49.56</v>
      </c>
      <c r="C28" s="106">
        <v>69.92</v>
      </c>
      <c r="D28" s="106">
        <v>77.739999999999995</v>
      </c>
      <c r="E28" s="106">
        <v>0.4</v>
      </c>
      <c r="F28" s="106">
        <v>3.23</v>
      </c>
      <c r="G28" s="106">
        <v>79.77</v>
      </c>
      <c r="H28" s="106">
        <v>43.34</v>
      </c>
      <c r="I28" s="106">
        <v>1.5</v>
      </c>
      <c r="J28" s="106">
        <v>0.72</v>
      </c>
      <c r="K28" s="106">
        <v>357.14</v>
      </c>
      <c r="L28" s="106">
        <v>16.38</v>
      </c>
      <c r="M28" s="106">
        <v>92.32</v>
      </c>
      <c r="N28" s="106">
        <v>13.9</v>
      </c>
      <c r="O28" s="106">
        <v>0</v>
      </c>
      <c r="P28" s="106">
        <v>1.06</v>
      </c>
      <c r="Q28" s="106">
        <v>11.7</v>
      </c>
      <c r="R28" s="43"/>
      <c r="S28" s="43"/>
      <c r="T28" s="43"/>
      <c r="U28" s="43"/>
    </row>
    <row r="29" spans="1:21" s="11" customFormat="1" x14ac:dyDescent="0.25">
      <c r="A29" s="105" t="s">
        <v>697</v>
      </c>
      <c r="B29" s="106">
        <v>54.53</v>
      </c>
      <c r="C29" s="106">
        <v>63.62</v>
      </c>
      <c r="D29" s="106">
        <v>78.97</v>
      </c>
      <c r="E29" s="106">
        <v>0.17</v>
      </c>
      <c r="F29" s="106">
        <v>3.3</v>
      </c>
      <c r="G29" s="106">
        <v>86.52</v>
      </c>
      <c r="H29" s="106">
        <v>43.34</v>
      </c>
      <c r="I29" s="106">
        <v>1.52</v>
      </c>
      <c r="J29" s="106">
        <v>0.37</v>
      </c>
      <c r="K29" s="106">
        <v>355.17</v>
      </c>
      <c r="L29" s="106">
        <v>15.81</v>
      </c>
      <c r="M29" s="106">
        <v>92.28</v>
      </c>
      <c r="N29" s="106">
        <v>13.5</v>
      </c>
      <c r="O29" s="106">
        <v>0</v>
      </c>
      <c r="P29" s="106">
        <v>1.1299999999999999</v>
      </c>
      <c r="Q29" s="106">
        <v>11.6</v>
      </c>
      <c r="R29" s="43"/>
      <c r="S29" s="43"/>
      <c r="T29" s="43"/>
      <c r="U29" s="43"/>
    </row>
    <row r="30" spans="1:21" s="11" customFormat="1" x14ac:dyDescent="0.25">
      <c r="A30" s="105" t="s">
        <v>698</v>
      </c>
      <c r="B30" s="106">
        <v>56.41</v>
      </c>
      <c r="C30" s="106">
        <v>61.49</v>
      </c>
      <c r="D30" s="106">
        <v>79.27</v>
      </c>
      <c r="E30" s="106">
        <v>0.21</v>
      </c>
      <c r="F30" s="106">
        <v>3.41</v>
      </c>
      <c r="G30" s="106">
        <v>92.22</v>
      </c>
      <c r="H30" s="106">
        <v>40.85</v>
      </c>
      <c r="I30" s="106">
        <v>1.56</v>
      </c>
      <c r="J30" s="106">
        <v>0.19</v>
      </c>
      <c r="K30" s="106">
        <v>355.9</v>
      </c>
      <c r="L30" s="106">
        <v>15.44</v>
      </c>
      <c r="M30" s="106">
        <v>91.41</v>
      </c>
      <c r="N30" s="106">
        <v>13.6</v>
      </c>
      <c r="O30" s="106">
        <v>0</v>
      </c>
      <c r="P30" s="106">
        <v>1.1399999999999999</v>
      </c>
      <c r="Q30" s="106">
        <v>11.58</v>
      </c>
      <c r="R30" s="43"/>
      <c r="S30" s="43"/>
      <c r="T30" s="43"/>
      <c r="U30" s="43"/>
    </row>
    <row r="31" spans="1:21" s="11" customFormat="1" x14ac:dyDescent="0.25">
      <c r="A31" s="105" t="s">
        <v>699</v>
      </c>
      <c r="B31" s="106">
        <v>56.85</v>
      </c>
      <c r="C31" s="106">
        <v>60.27</v>
      </c>
      <c r="D31" s="106">
        <v>79.5</v>
      </c>
      <c r="E31" s="106">
        <v>0.19</v>
      </c>
      <c r="F31" s="106">
        <v>3.15</v>
      </c>
      <c r="G31" s="106">
        <v>94.61</v>
      </c>
      <c r="H31" s="106">
        <v>45.22</v>
      </c>
      <c r="I31" s="106">
        <v>1.54</v>
      </c>
      <c r="J31" s="106">
        <v>0.44</v>
      </c>
      <c r="K31" s="106">
        <v>347.53</v>
      </c>
      <c r="L31" s="106">
        <v>15.1</v>
      </c>
      <c r="M31" s="106">
        <v>89.73</v>
      </c>
      <c r="N31" s="106">
        <v>13.5</v>
      </c>
      <c r="O31" s="106">
        <v>0</v>
      </c>
      <c r="P31" s="106">
        <v>1.1599999999999999</v>
      </c>
      <c r="Q31" s="106">
        <v>11.57</v>
      </c>
      <c r="R31" s="43"/>
      <c r="S31" s="43"/>
      <c r="T31" s="43"/>
      <c r="U31" s="43"/>
    </row>
    <row r="32" spans="1:21" s="11" customFormat="1" x14ac:dyDescent="0.25">
      <c r="A32" s="105" t="s">
        <v>700</v>
      </c>
      <c r="B32" s="106">
        <v>53.04</v>
      </c>
      <c r="C32" s="106">
        <v>58</v>
      </c>
      <c r="D32" s="106">
        <v>75.19</v>
      </c>
      <c r="E32" s="106">
        <v>0.19</v>
      </c>
      <c r="F32" s="106">
        <v>3.29</v>
      </c>
      <c r="G32" s="106">
        <v>95.7</v>
      </c>
      <c r="H32" s="106">
        <v>45.22</v>
      </c>
      <c r="I32" s="106">
        <v>1.53</v>
      </c>
      <c r="J32" s="106">
        <v>0.13</v>
      </c>
      <c r="K32" s="106">
        <v>80.260000000000005</v>
      </c>
      <c r="L32" s="106">
        <v>14.86</v>
      </c>
      <c r="M32" s="106">
        <v>92.4</v>
      </c>
      <c r="N32" s="106">
        <v>13.6</v>
      </c>
      <c r="O32" s="106">
        <v>0</v>
      </c>
      <c r="P32" s="106">
        <v>1.1299999999999999</v>
      </c>
      <c r="Q32" s="106">
        <v>11.14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10.79</v>
      </c>
      <c r="C34" s="28">
        <f t="shared" si="0"/>
        <v>54.35</v>
      </c>
      <c r="D34" s="28">
        <f t="shared" si="0"/>
        <v>40.200000000000003</v>
      </c>
      <c r="E34" s="28">
        <f t="shared" si="0"/>
        <v>0.16</v>
      </c>
      <c r="F34" s="28">
        <f t="shared" si="0"/>
        <v>3.15</v>
      </c>
      <c r="G34" s="28">
        <f t="shared" si="0"/>
        <v>75.290000000000006</v>
      </c>
      <c r="H34" s="28">
        <f t="shared" si="0"/>
        <v>36.43</v>
      </c>
      <c r="I34" s="28">
        <f t="shared" si="0"/>
        <v>1.48</v>
      </c>
      <c r="J34" s="28">
        <f t="shared" si="0"/>
        <v>0.11</v>
      </c>
      <c r="K34" s="28">
        <f t="shared" si="0"/>
        <v>80.260000000000005</v>
      </c>
      <c r="L34" s="28">
        <f t="shared" si="0"/>
        <v>14.86</v>
      </c>
      <c r="M34" s="28">
        <f t="shared" si="0"/>
        <v>67.569999999999993</v>
      </c>
      <c r="N34" s="28">
        <f t="shared" si="0"/>
        <v>13</v>
      </c>
      <c r="O34" s="28">
        <f t="shared" si="0"/>
        <v>0</v>
      </c>
      <c r="P34" s="28">
        <f t="shared" si="0"/>
        <v>0.73</v>
      </c>
      <c r="Q34" s="28">
        <f t="shared" si="0"/>
        <v>8.42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56.85</v>
      </c>
      <c r="C35" s="29">
        <f t="shared" si="1"/>
        <v>84.42</v>
      </c>
      <c r="D35" s="29">
        <f t="shared" si="1"/>
        <v>79.5</v>
      </c>
      <c r="E35" s="29">
        <f t="shared" si="1"/>
        <v>0.74</v>
      </c>
      <c r="F35" s="29">
        <f t="shared" si="1"/>
        <v>3.82</v>
      </c>
      <c r="G35" s="29">
        <f t="shared" si="1"/>
        <v>124</v>
      </c>
      <c r="H35" s="29">
        <f t="shared" si="1"/>
        <v>48.8</v>
      </c>
      <c r="I35" s="29">
        <f t="shared" si="1"/>
        <v>1.6</v>
      </c>
      <c r="J35" s="29">
        <f t="shared" si="1"/>
        <v>1.67</v>
      </c>
      <c r="K35" s="29">
        <f t="shared" si="1"/>
        <v>357.5</v>
      </c>
      <c r="L35" s="29">
        <f t="shared" si="1"/>
        <v>21.94</v>
      </c>
      <c r="M35" s="29">
        <f t="shared" si="1"/>
        <v>100.45</v>
      </c>
      <c r="N35" s="29">
        <f t="shared" si="1"/>
        <v>329.6</v>
      </c>
      <c r="O35" s="29">
        <f t="shared" si="1"/>
        <v>0</v>
      </c>
      <c r="P35" s="29">
        <f t="shared" si="1"/>
        <v>1.1599999999999999</v>
      </c>
      <c r="Q35" s="29">
        <f t="shared" si="1"/>
        <v>11.7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29.763333333333335</v>
      </c>
      <c r="C36" s="28">
        <f t="shared" si="2"/>
        <v>64.95</v>
      </c>
      <c r="D36" s="28">
        <f t="shared" si="2"/>
        <v>60.038333333333327</v>
      </c>
      <c r="E36" s="28">
        <f t="shared" si="2"/>
        <v>0.32500000000000001</v>
      </c>
      <c r="F36" s="28">
        <f t="shared" si="2"/>
        <v>3.4041666666666672</v>
      </c>
      <c r="G36" s="28">
        <f t="shared" si="2"/>
        <v>90.399999999999991</v>
      </c>
      <c r="H36" s="28">
        <f t="shared" si="2"/>
        <v>41.961250000000014</v>
      </c>
      <c r="I36" s="28">
        <f t="shared" si="2"/>
        <v>1.5445833333333334</v>
      </c>
      <c r="J36" s="28">
        <f t="shared" si="2"/>
        <v>0.67583333333333329</v>
      </c>
      <c r="K36" s="28">
        <f t="shared" si="2"/>
        <v>288.73499999999996</v>
      </c>
      <c r="L36" s="28">
        <f t="shared" si="2"/>
        <v>17.561666666666671</v>
      </c>
      <c r="M36" s="28">
        <f t="shared" si="2"/>
        <v>86.767499999999984</v>
      </c>
      <c r="N36" s="28">
        <f t="shared" si="2"/>
        <v>85.366666666666674</v>
      </c>
      <c r="O36" s="28">
        <f t="shared" si="2"/>
        <v>0</v>
      </c>
      <c r="P36" s="28">
        <f t="shared" si="2"/>
        <v>0.94708333333333317</v>
      </c>
      <c r="Q36" s="28">
        <f t="shared" si="2"/>
        <v>10.043750000000001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16.083349928654055</v>
      </c>
      <c r="C37" s="28">
        <f t="shared" ref="C37:Q37" si="3">STDEV(C9:C32)</f>
        <v>9.5920428979713055</v>
      </c>
      <c r="D37" s="28">
        <f t="shared" si="3"/>
        <v>15.177797189850471</v>
      </c>
      <c r="E37" s="28">
        <f t="shared" si="3"/>
        <v>0.1533112775567633</v>
      </c>
      <c r="F37" s="28">
        <f t="shared" si="3"/>
        <v>0.15285448228175444</v>
      </c>
      <c r="G37" s="28">
        <f t="shared" si="3"/>
        <v>14.60793619920357</v>
      </c>
      <c r="H37" s="28">
        <f t="shared" si="3"/>
        <v>3.3727556950157038</v>
      </c>
      <c r="I37" s="28">
        <f t="shared" si="3"/>
        <v>3.3876908470759748E-2</v>
      </c>
      <c r="J37" s="28">
        <f t="shared" si="3"/>
        <v>0.46843789126309432</v>
      </c>
      <c r="K37" s="28">
        <f t="shared" si="3"/>
        <v>108.80136655951236</v>
      </c>
      <c r="L37" s="28">
        <f t="shared" si="3"/>
        <v>2.1382249173324479</v>
      </c>
      <c r="M37" s="28">
        <f t="shared" si="3"/>
        <v>10.461815558621302</v>
      </c>
      <c r="N37" s="28">
        <f t="shared" si="3"/>
        <v>104.31012984559938</v>
      </c>
      <c r="O37" s="28">
        <f t="shared" si="3"/>
        <v>0</v>
      </c>
      <c r="P37" s="28">
        <f t="shared" si="3"/>
        <v>0.14444734761110842</v>
      </c>
      <c r="Q37" s="28">
        <f t="shared" si="3"/>
        <v>1.2737033048146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07"/>
      <c r="B8" s="108" t="s">
        <v>22</v>
      </c>
      <c r="C8" s="108" t="s">
        <v>22</v>
      </c>
      <c r="D8" s="29" t="s">
        <v>42</v>
      </c>
      <c r="E8" s="108" t="s">
        <v>22</v>
      </c>
      <c r="F8" s="108" t="s">
        <v>22</v>
      </c>
      <c r="G8" s="108" t="s">
        <v>23</v>
      </c>
      <c r="H8" s="108" t="s">
        <v>22</v>
      </c>
      <c r="I8" s="108" t="s">
        <v>22</v>
      </c>
      <c r="J8" s="108" t="s">
        <v>24</v>
      </c>
      <c r="K8" s="108" t="s">
        <v>25</v>
      </c>
      <c r="L8" s="107" t="s">
        <v>27</v>
      </c>
      <c r="M8" s="108" t="s">
        <v>26</v>
      </c>
      <c r="N8" s="108" t="s">
        <v>28</v>
      </c>
      <c r="O8" s="107" t="s">
        <v>29</v>
      </c>
      <c r="P8" s="108" t="s">
        <v>22</v>
      </c>
      <c r="Q8" s="108" t="s">
        <v>22</v>
      </c>
      <c r="R8" s="27"/>
      <c r="S8" s="29"/>
      <c r="T8" s="27"/>
      <c r="U8" s="27"/>
    </row>
    <row r="9" spans="1:21" s="11" customFormat="1" x14ac:dyDescent="0.25">
      <c r="A9" s="105" t="s">
        <v>701</v>
      </c>
      <c r="B9" s="106">
        <v>33.200000000000003</v>
      </c>
      <c r="C9" s="106">
        <v>52.89</v>
      </c>
      <c r="D9" s="106">
        <v>55.72</v>
      </c>
      <c r="E9" s="106">
        <v>0.2</v>
      </c>
      <c r="F9" s="106">
        <v>3.16</v>
      </c>
      <c r="G9" s="106">
        <v>100.68</v>
      </c>
      <c r="H9" s="106">
        <v>43.41</v>
      </c>
      <c r="I9" s="106">
        <v>1.5</v>
      </c>
      <c r="J9" s="106">
        <v>0.51</v>
      </c>
      <c r="K9" s="106">
        <v>350.5</v>
      </c>
      <c r="L9" s="106">
        <v>16.829999999999998</v>
      </c>
      <c r="M9" s="106">
        <v>100.12</v>
      </c>
      <c r="N9" s="106">
        <v>16.5</v>
      </c>
      <c r="O9" s="106">
        <v>0</v>
      </c>
      <c r="P9" s="106">
        <v>1.1200000000000001</v>
      </c>
      <c r="Q9" s="106">
        <v>9.89</v>
      </c>
      <c r="R9" s="43"/>
      <c r="S9" s="43"/>
      <c r="T9" s="43"/>
      <c r="U9" s="43"/>
    </row>
    <row r="10" spans="1:21" s="11" customFormat="1" x14ac:dyDescent="0.25">
      <c r="A10" s="105" t="s">
        <v>702</v>
      </c>
      <c r="B10" s="106">
        <v>26.89</v>
      </c>
      <c r="C10" s="106">
        <v>52</v>
      </c>
      <c r="D10" s="106">
        <v>50.91</v>
      </c>
      <c r="E10" s="106">
        <v>0.18</v>
      </c>
      <c r="F10" s="106">
        <v>3.24</v>
      </c>
      <c r="G10" s="106">
        <v>90.42</v>
      </c>
      <c r="H10" s="106">
        <v>41.52</v>
      </c>
      <c r="I10" s="106">
        <v>1.56</v>
      </c>
      <c r="J10" s="106">
        <v>0.52</v>
      </c>
      <c r="K10" s="106">
        <v>358.85</v>
      </c>
      <c r="L10" s="106">
        <v>16.45</v>
      </c>
      <c r="M10" s="106">
        <v>100.13</v>
      </c>
      <c r="N10" s="106">
        <v>16.600000000000001</v>
      </c>
      <c r="O10" s="106">
        <v>0</v>
      </c>
      <c r="P10" s="106">
        <v>0.94</v>
      </c>
      <c r="Q10" s="106">
        <v>9.52</v>
      </c>
      <c r="R10" s="43"/>
      <c r="S10" s="43"/>
      <c r="T10" s="43"/>
      <c r="U10" s="43"/>
    </row>
    <row r="11" spans="1:21" s="11" customFormat="1" x14ac:dyDescent="0.25">
      <c r="A11" s="105" t="s">
        <v>703</v>
      </c>
      <c r="B11" s="106">
        <v>23.09</v>
      </c>
      <c r="C11" s="106">
        <v>48.55</v>
      </c>
      <c r="D11" s="106">
        <v>45.95</v>
      </c>
      <c r="E11" s="106">
        <v>0.17</v>
      </c>
      <c r="F11" s="106">
        <v>3.39</v>
      </c>
      <c r="G11" s="106">
        <v>79.59</v>
      </c>
      <c r="H11" s="106">
        <v>39.49</v>
      </c>
      <c r="I11" s="106">
        <v>1.54</v>
      </c>
      <c r="J11" s="106">
        <v>0.28999999999999998</v>
      </c>
      <c r="K11" s="106">
        <v>337.02</v>
      </c>
      <c r="L11" s="106">
        <v>15.44</v>
      </c>
      <c r="M11" s="106">
        <v>98.72</v>
      </c>
      <c r="N11" s="106">
        <v>16.5</v>
      </c>
      <c r="O11" s="106">
        <v>0</v>
      </c>
      <c r="P11" s="106">
        <v>0.85</v>
      </c>
      <c r="Q11" s="106">
        <v>9.16</v>
      </c>
      <c r="R11" s="43"/>
      <c r="S11" s="43"/>
      <c r="T11" s="43"/>
      <c r="U11" s="43"/>
    </row>
    <row r="12" spans="1:21" s="11" customFormat="1" x14ac:dyDescent="0.25">
      <c r="A12" s="105" t="s">
        <v>704</v>
      </c>
      <c r="B12" s="106">
        <v>20.43</v>
      </c>
      <c r="C12" s="106">
        <v>47.46</v>
      </c>
      <c r="D12" s="106">
        <v>43.22</v>
      </c>
      <c r="E12" s="106">
        <v>0.21</v>
      </c>
      <c r="F12" s="106">
        <v>3.33</v>
      </c>
      <c r="G12" s="106">
        <v>77.069999999999993</v>
      </c>
      <c r="H12" s="106">
        <v>37.6</v>
      </c>
      <c r="I12" s="106">
        <v>1.56</v>
      </c>
      <c r="J12" s="106">
        <v>0.59</v>
      </c>
      <c r="K12" s="106">
        <v>355.43</v>
      </c>
      <c r="L12" s="106">
        <v>14.85</v>
      </c>
      <c r="M12" s="106">
        <v>71.099999999999994</v>
      </c>
      <c r="N12" s="106">
        <v>16.600000000000001</v>
      </c>
      <c r="O12" s="106">
        <v>0</v>
      </c>
      <c r="P12" s="106">
        <v>0.75</v>
      </c>
      <c r="Q12" s="106">
        <v>8.85</v>
      </c>
      <c r="R12" s="43"/>
      <c r="S12" s="43"/>
      <c r="T12" s="43"/>
      <c r="U12" s="43"/>
    </row>
    <row r="13" spans="1:21" s="11" customFormat="1" x14ac:dyDescent="0.25">
      <c r="A13" s="105" t="s">
        <v>705</v>
      </c>
      <c r="B13" s="106">
        <v>17.579999999999998</v>
      </c>
      <c r="C13" s="106">
        <v>46.38</v>
      </c>
      <c r="D13" s="106">
        <v>39.83</v>
      </c>
      <c r="E13" s="106">
        <v>0.14000000000000001</v>
      </c>
      <c r="F13" s="106">
        <v>3.13</v>
      </c>
      <c r="G13" s="106">
        <v>64.69</v>
      </c>
      <c r="H13" s="106">
        <v>36.92</v>
      </c>
      <c r="I13" s="106">
        <v>1.57</v>
      </c>
      <c r="J13" s="106">
        <v>0.9</v>
      </c>
      <c r="K13" s="106">
        <v>348.42</v>
      </c>
      <c r="L13" s="106">
        <v>14.1</v>
      </c>
      <c r="M13" s="106">
        <v>63.06</v>
      </c>
      <c r="N13" s="106">
        <v>16.399999999999999</v>
      </c>
      <c r="O13" s="106">
        <v>0</v>
      </c>
      <c r="P13" s="106">
        <v>0.63</v>
      </c>
      <c r="Q13" s="106">
        <v>8.07</v>
      </c>
      <c r="R13" s="43"/>
      <c r="S13" s="43"/>
      <c r="T13" s="43"/>
      <c r="U13" s="43"/>
    </row>
    <row r="14" spans="1:21" s="11" customFormat="1" x14ac:dyDescent="0.25">
      <c r="A14" s="105" t="s">
        <v>706</v>
      </c>
      <c r="B14" s="106">
        <v>15.88</v>
      </c>
      <c r="C14" s="106">
        <v>46.74</v>
      </c>
      <c r="D14" s="106">
        <v>39.06</v>
      </c>
      <c r="E14" s="106">
        <v>0.18</v>
      </c>
      <c r="F14" s="106">
        <v>3.36</v>
      </c>
      <c r="G14" s="106">
        <v>53.83</v>
      </c>
      <c r="H14" s="106">
        <v>35.22</v>
      </c>
      <c r="I14" s="106">
        <v>1.49</v>
      </c>
      <c r="J14" s="106">
        <v>0.8</v>
      </c>
      <c r="K14" s="106">
        <v>348.37</v>
      </c>
      <c r="L14" s="106">
        <v>13.52</v>
      </c>
      <c r="M14" s="106">
        <v>62.46</v>
      </c>
      <c r="N14" s="106">
        <v>16.399999999999999</v>
      </c>
      <c r="O14" s="106">
        <v>0</v>
      </c>
      <c r="P14" s="106">
        <v>0.54</v>
      </c>
      <c r="Q14" s="106">
        <v>7.61</v>
      </c>
      <c r="R14" s="43"/>
      <c r="S14" s="43"/>
      <c r="T14" s="43"/>
      <c r="U14" s="43"/>
    </row>
    <row r="15" spans="1:21" s="11" customFormat="1" x14ac:dyDescent="0.25">
      <c r="A15" s="105" t="s">
        <v>707</v>
      </c>
      <c r="B15" s="106">
        <v>20.78</v>
      </c>
      <c r="C15" s="106">
        <v>45.8</v>
      </c>
      <c r="D15" s="106">
        <v>42.19</v>
      </c>
      <c r="E15" s="106">
        <v>0.08</v>
      </c>
      <c r="F15" s="106">
        <v>3.3</v>
      </c>
      <c r="G15" s="106">
        <v>52.04</v>
      </c>
      <c r="H15" s="106">
        <v>26.19</v>
      </c>
      <c r="I15" s="106">
        <v>1.58</v>
      </c>
      <c r="J15" s="106">
        <v>0.57999999999999996</v>
      </c>
      <c r="K15" s="106">
        <v>354.09</v>
      </c>
      <c r="L15" s="106">
        <v>12.93</v>
      </c>
      <c r="M15" s="106">
        <v>65.209999999999994</v>
      </c>
      <c r="N15" s="106">
        <v>34.799999999999997</v>
      </c>
      <c r="O15" s="106">
        <v>0</v>
      </c>
      <c r="P15" s="106">
        <v>0.48</v>
      </c>
      <c r="Q15" s="106">
        <v>7.41</v>
      </c>
      <c r="R15" s="43"/>
      <c r="S15" s="43"/>
      <c r="T15" s="43"/>
      <c r="U15" s="43"/>
    </row>
    <row r="16" spans="1:21" s="11" customFormat="1" x14ac:dyDescent="0.25">
      <c r="A16" s="105" t="s">
        <v>708</v>
      </c>
      <c r="B16" s="106">
        <v>25.87</v>
      </c>
      <c r="C16" s="106">
        <v>45.36</v>
      </c>
      <c r="D16" s="106">
        <v>46.42</v>
      </c>
      <c r="E16" s="106">
        <v>0.1</v>
      </c>
      <c r="F16" s="106">
        <v>3.26</v>
      </c>
      <c r="G16" s="106">
        <v>59.98</v>
      </c>
      <c r="H16" s="106">
        <v>26.06</v>
      </c>
      <c r="I16" s="106">
        <v>1.55</v>
      </c>
      <c r="J16" s="106">
        <v>0.46</v>
      </c>
      <c r="K16" s="106">
        <v>349.04</v>
      </c>
      <c r="L16" s="106">
        <v>13.93</v>
      </c>
      <c r="M16" s="106">
        <v>66.87</v>
      </c>
      <c r="N16" s="106">
        <v>137.69999999999999</v>
      </c>
      <c r="O16" s="106">
        <v>0</v>
      </c>
      <c r="P16" s="106">
        <v>0.52</v>
      </c>
      <c r="Q16" s="106">
        <v>7.78</v>
      </c>
      <c r="R16" s="43"/>
      <c r="S16" s="43"/>
      <c r="T16" s="43"/>
      <c r="U16" s="43"/>
    </row>
    <row r="17" spans="1:21" s="11" customFormat="1" x14ac:dyDescent="0.25">
      <c r="A17" s="105" t="s">
        <v>709</v>
      </c>
      <c r="B17" s="106">
        <v>27.05</v>
      </c>
      <c r="C17" s="106">
        <v>46.15</v>
      </c>
      <c r="D17" s="106">
        <v>47.68</v>
      </c>
      <c r="E17" s="106">
        <v>0.18</v>
      </c>
      <c r="F17" s="106">
        <v>3.34</v>
      </c>
      <c r="G17" s="106">
        <v>67.17</v>
      </c>
      <c r="H17" s="106">
        <v>25.95</v>
      </c>
      <c r="I17" s="106">
        <v>1.53</v>
      </c>
      <c r="J17" s="106">
        <v>1.19</v>
      </c>
      <c r="K17" s="106">
        <v>109.92</v>
      </c>
      <c r="L17" s="106">
        <v>14.79</v>
      </c>
      <c r="M17" s="106">
        <v>76.11</v>
      </c>
      <c r="N17" s="106">
        <v>221.3</v>
      </c>
      <c r="O17" s="106">
        <v>0</v>
      </c>
      <c r="P17" s="106">
        <v>0.54</v>
      </c>
      <c r="Q17" s="106">
        <v>8.0500000000000007</v>
      </c>
      <c r="R17" s="43"/>
      <c r="S17" s="43"/>
      <c r="T17" s="43"/>
      <c r="U17" s="43"/>
    </row>
    <row r="18" spans="1:21" s="11" customFormat="1" x14ac:dyDescent="0.25">
      <c r="A18" s="105" t="s">
        <v>710</v>
      </c>
      <c r="B18" s="106">
        <v>26.88</v>
      </c>
      <c r="C18" s="106">
        <v>46.82</v>
      </c>
      <c r="D18" s="106">
        <v>47.61</v>
      </c>
      <c r="E18" s="106">
        <v>0.18</v>
      </c>
      <c r="F18" s="106">
        <v>3.32</v>
      </c>
      <c r="G18" s="106">
        <v>67.17</v>
      </c>
      <c r="H18" s="106">
        <v>25.88</v>
      </c>
      <c r="I18" s="106">
        <v>1.49</v>
      </c>
      <c r="J18" s="106">
        <v>1.07</v>
      </c>
      <c r="K18" s="106">
        <v>112</v>
      </c>
      <c r="L18" s="106">
        <v>16.850000000000001</v>
      </c>
      <c r="M18" s="106">
        <v>82.62</v>
      </c>
      <c r="N18" s="106">
        <v>370.2</v>
      </c>
      <c r="O18" s="106">
        <v>0</v>
      </c>
      <c r="P18" s="106">
        <v>0.56999999999999995</v>
      </c>
      <c r="Q18" s="106">
        <v>8.2799999999999994</v>
      </c>
      <c r="R18" s="43"/>
      <c r="S18" s="43"/>
      <c r="T18" s="43"/>
      <c r="U18" s="43"/>
    </row>
    <row r="19" spans="1:21" s="11" customFormat="1" x14ac:dyDescent="0.25">
      <c r="A19" s="105" t="s">
        <v>711</v>
      </c>
      <c r="B19" s="106">
        <v>24.01</v>
      </c>
      <c r="C19" s="106">
        <v>55.82</v>
      </c>
      <c r="D19" s="106">
        <v>45.96</v>
      </c>
      <c r="E19" s="106">
        <v>0.32</v>
      </c>
      <c r="F19" s="106">
        <v>3.68</v>
      </c>
      <c r="G19" s="106">
        <v>68.92</v>
      </c>
      <c r="H19" s="106">
        <v>25.16</v>
      </c>
      <c r="I19" s="106">
        <v>1.54</v>
      </c>
      <c r="J19" s="106">
        <v>1.33</v>
      </c>
      <c r="K19" s="106">
        <v>111.02</v>
      </c>
      <c r="L19" s="106">
        <v>19.05</v>
      </c>
      <c r="M19" s="106">
        <v>82.05</v>
      </c>
      <c r="N19" s="106">
        <v>550.79999999999995</v>
      </c>
      <c r="O19" s="106">
        <v>0</v>
      </c>
      <c r="P19" s="106">
        <v>0.61</v>
      </c>
      <c r="Q19" s="106">
        <v>8.3699999999999992</v>
      </c>
      <c r="R19" s="43"/>
      <c r="S19" s="43"/>
      <c r="T19" s="43"/>
      <c r="U19" s="43"/>
    </row>
    <row r="20" spans="1:21" s="11" customFormat="1" x14ac:dyDescent="0.25">
      <c r="A20" s="105" t="s">
        <v>712</v>
      </c>
      <c r="B20" s="106">
        <v>10.6</v>
      </c>
      <c r="C20" s="106">
        <v>56.88</v>
      </c>
      <c r="D20" s="106">
        <v>40.4</v>
      </c>
      <c r="E20" s="106">
        <v>0.19</v>
      </c>
      <c r="F20" s="106">
        <v>3.87</v>
      </c>
      <c r="G20" s="106">
        <v>68.92</v>
      </c>
      <c r="H20" s="106">
        <v>28.31</v>
      </c>
      <c r="I20" s="106">
        <v>1.56</v>
      </c>
      <c r="J20" s="106">
        <v>1.1200000000000001</v>
      </c>
      <c r="K20" s="106">
        <v>110.87</v>
      </c>
      <c r="L20" s="106">
        <v>19.98</v>
      </c>
      <c r="M20" s="106">
        <v>79.510000000000005</v>
      </c>
      <c r="N20" s="106">
        <v>496.4</v>
      </c>
      <c r="O20" s="106">
        <v>0</v>
      </c>
      <c r="P20" s="106">
        <v>0.6</v>
      </c>
      <c r="Q20" s="106">
        <v>8.24</v>
      </c>
      <c r="R20" s="43"/>
      <c r="S20" s="43"/>
      <c r="T20" s="43"/>
      <c r="U20" s="43"/>
    </row>
    <row r="21" spans="1:21" s="11" customFormat="1" x14ac:dyDescent="0.25">
      <c r="A21" s="105" t="s">
        <v>713</v>
      </c>
      <c r="B21" s="106">
        <v>5.8</v>
      </c>
      <c r="C21" s="106">
        <v>53.29</v>
      </c>
      <c r="D21" s="106">
        <v>34.71</v>
      </c>
      <c r="E21" s="106">
        <v>0.13</v>
      </c>
      <c r="F21" s="106">
        <v>5.53</v>
      </c>
      <c r="G21" s="106">
        <v>63.45</v>
      </c>
      <c r="H21" s="106">
        <v>28.31</v>
      </c>
      <c r="I21" s="106">
        <v>1.59</v>
      </c>
      <c r="J21" s="106">
        <v>1.1100000000000001</v>
      </c>
      <c r="K21" s="106">
        <v>120.77</v>
      </c>
      <c r="L21" s="106">
        <v>21.07</v>
      </c>
      <c r="M21" s="106">
        <v>74.540000000000006</v>
      </c>
      <c r="N21" s="106">
        <v>564.5</v>
      </c>
      <c r="O21" s="106">
        <v>0</v>
      </c>
      <c r="P21" s="106">
        <v>0.59</v>
      </c>
      <c r="Q21" s="106">
        <v>7.94</v>
      </c>
      <c r="R21" s="43"/>
      <c r="S21" s="43"/>
      <c r="T21" s="43"/>
      <c r="U21" s="43"/>
    </row>
    <row r="22" spans="1:21" s="11" customFormat="1" x14ac:dyDescent="0.25">
      <c r="A22" s="105" t="s">
        <v>714</v>
      </c>
      <c r="B22" s="106">
        <v>3.46</v>
      </c>
      <c r="C22" s="106">
        <v>48.8</v>
      </c>
      <c r="D22" s="106">
        <v>30.12</v>
      </c>
      <c r="E22" s="106">
        <v>0.27</v>
      </c>
      <c r="F22" s="106">
        <v>5.33</v>
      </c>
      <c r="G22" s="106">
        <v>60.35</v>
      </c>
      <c r="H22" s="106">
        <v>27.16</v>
      </c>
      <c r="I22" s="106">
        <v>1.53</v>
      </c>
      <c r="J22" s="106">
        <v>0.95</v>
      </c>
      <c r="K22" s="106">
        <v>139.11000000000001</v>
      </c>
      <c r="L22" s="106">
        <v>22.01</v>
      </c>
      <c r="M22" s="106">
        <v>70.84</v>
      </c>
      <c r="N22" s="106">
        <v>525.1</v>
      </c>
      <c r="O22" s="106">
        <v>0</v>
      </c>
      <c r="P22" s="106">
        <v>0.56999999999999995</v>
      </c>
      <c r="Q22" s="106">
        <v>7.2</v>
      </c>
      <c r="R22" s="43"/>
      <c r="S22" s="43"/>
      <c r="T22" s="43"/>
      <c r="U22" s="43"/>
    </row>
    <row r="23" spans="1:21" s="11" customFormat="1" x14ac:dyDescent="0.25">
      <c r="A23" s="105" t="s">
        <v>715</v>
      </c>
      <c r="B23" s="106">
        <v>3.74</v>
      </c>
      <c r="C23" s="106">
        <v>54.52</v>
      </c>
      <c r="D23" s="106">
        <v>33.71</v>
      </c>
      <c r="E23" s="106">
        <v>0.24</v>
      </c>
      <c r="F23" s="106">
        <v>12.91</v>
      </c>
      <c r="G23" s="106">
        <v>59.8</v>
      </c>
      <c r="H23" s="106">
        <v>28.4</v>
      </c>
      <c r="I23" s="106">
        <v>1.55</v>
      </c>
      <c r="J23" s="106">
        <v>0.79</v>
      </c>
      <c r="K23" s="106">
        <v>108.82</v>
      </c>
      <c r="L23" s="106">
        <v>22.48</v>
      </c>
      <c r="M23" s="106">
        <v>68.17</v>
      </c>
      <c r="N23" s="106">
        <v>341.8</v>
      </c>
      <c r="O23" s="106">
        <v>0</v>
      </c>
      <c r="P23" s="106">
        <v>0.59</v>
      </c>
      <c r="Q23" s="106">
        <v>8.1300000000000008</v>
      </c>
      <c r="R23" s="43"/>
      <c r="S23" s="43"/>
      <c r="T23" s="43"/>
      <c r="U23" s="43"/>
    </row>
    <row r="24" spans="1:21" s="11" customFormat="1" x14ac:dyDescent="0.25">
      <c r="A24" s="105" t="s">
        <v>716</v>
      </c>
      <c r="B24" s="106">
        <v>3.99</v>
      </c>
      <c r="C24" s="106">
        <v>52.15</v>
      </c>
      <c r="D24" s="106">
        <v>32.39</v>
      </c>
      <c r="E24" s="106">
        <v>0.22</v>
      </c>
      <c r="F24" s="106">
        <v>9.24</v>
      </c>
      <c r="G24" s="106">
        <v>59.8</v>
      </c>
      <c r="H24" s="106">
        <v>28.4</v>
      </c>
      <c r="I24" s="106">
        <v>1.54</v>
      </c>
      <c r="J24" s="106">
        <v>0.63</v>
      </c>
      <c r="K24" s="106">
        <v>126.33</v>
      </c>
      <c r="L24" s="106">
        <v>22.42</v>
      </c>
      <c r="M24" s="106">
        <v>65.28</v>
      </c>
      <c r="N24" s="106">
        <v>218.6</v>
      </c>
      <c r="O24" s="106">
        <v>0</v>
      </c>
      <c r="P24" s="106">
        <v>0.56000000000000005</v>
      </c>
      <c r="Q24" s="106">
        <v>7.8</v>
      </c>
      <c r="R24" s="43"/>
      <c r="S24" s="43"/>
      <c r="T24" s="43"/>
      <c r="U24" s="43"/>
    </row>
    <row r="25" spans="1:21" s="11" customFormat="1" x14ac:dyDescent="0.25">
      <c r="A25" s="105" t="s">
        <v>717</v>
      </c>
      <c r="B25" s="106">
        <v>5.52</v>
      </c>
      <c r="C25" s="106">
        <v>56.93</v>
      </c>
      <c r="D25" s="106">
        <v>36.130000000000003</v>
      </c>
      <c r="E25" s="106">
        <v>7.0000000000000007E-2</v>
      </c>
      <c r="F25" s="106">
        <v>4.29</v>
      </c>
      <c r="G25" s="106">
        <v>66.72</v>
      </c>
      <c r="H25" s="106">
        <v>31.73</v>
      </c>
      <c r="I25" s="106">
        <v>1.51</v>
      </c>
      <c r="J25" s="106">
        <v>0.34</v>
      </c>
      <c r="K25" s="106">
        <v>356.17</v>
      </c>
      <c r="L25" s="106">
        <v>22.26</v>
      </c>
      <c r="M25" s="106">
        <v>66.62</v>
      </c>
      <c r="N25" s="106">
        <v>117.3</v>
      </c>
      <c r="O25" s="106">
        <v>0</v>
      </c>
      <c r="P25" s="106">
        <v>0.65</v>
      </c>
      <c r="Q25" s="106">
        <v>8.24</v>
      </c>
      <c r="R25" s="43"/>
      <c r="S25" s="43"/>
      <c r="T25" s="43"/>
      <c r="U25" s="43"/>
    </row>
    <row r="26" spans="1:21" s="11" customFormat="1" x14ac:dyDescent="0.25">
      <c r="A26" s="105" t="s">
        <v>718</v>
      </c>
      <c r="B26" s="106">
        <v>10.39</v>
      </c>
      <c r="C26" s="106">
        <v>60.76</v>
      </c>
      <c r="D26" s="106">
        <v>41.97</v>
      </c>
      <c r="E26" s="106">
        <v>0.08</v>
      </c>
      <c r="F26" s="106">
        <v>3.67</v>
      </c>
      <c r="G26" s="106">
        <v>69.25</v>
      </c>
      <c r="H26" s="106">
        <v>31.88</v>
      </c>
      <c r="I26" s="106">
        <v>1.63</v>
      </c>
      <c r="J26" s="106">
        <v>0.1</v>
      </c>
      <c r="K26" s="106">
        <v>352.48</v>
      </c>
      <c r="L26" s="106">
        <v>21.14</v>
      </c>
      <c r="M26" s="106">
        <v>74.48</v>
      </c>
      <c r="N26" s="106">
        <v>43.7</v>
      </c>
      <c r="O26" s="106">
        <v>0</v>
      </c>
      <c r="P26" s="106">
        <v>0.89</v>
      </c>
      <c r="Q26" s="106">
        <v>8.49</v>
      </c>
      <c r="R26" s="43"/>
      <c r="S26" s="43"/>
      <c r="T26" s="43"/>
      <c r="U26" s="43"/>
    </row>
    <row r="27" spans="1:21" s="11" customFormat="1" x14ac:dyDescent="0.25">
      <c r="A27" s="105" t="s">
        <v>719</v>
      </c>
      <c r="B27" s="106">
        <v>13.77</v>
      </c>
      <c r="C27" s="106">
        <v>63.1</v>
      </c>
      <c r="D27" s="106">
        <v>46.51</v>
      </c>
      <c r="E27" s="106">
        <v>0.12</v>
      </c>
      <c r="F27" s="106">
        <v>3.27</v>
      </c>
      <c r="G27" s="106">
        <v>80.33</v>
      </c>
      <c r="H27" s="106">
        <v>38.1</v>
      </c>
      <c r="I27" s="106">
        <v>1.51</v>
      </c>
      <c r="J27" s="106">
        <v>0.14000000000000001</v>
      </c>
      <c r="K27" s="106">
        <v>94.28</v>
      </c>
      <c r="L27" s="106">
        <v>19.84</v>
      </c>
      <c r="M27" s="106">
        <v>75.03</v>
      </c>
      <c r="N27" s="106">
        <v>22.8</v>
      </c>
      <c r="O27" s="106">
        <v>0</v>
      </c>
      <c r="P27" s="106">
        <v>1.0900000000000001</v>
      </c>
      <c r="Q27" s="106">
        <v>8.74</v>
      </c>
      <c r="R27" s="43"/>
      <c r="S27" s="43"/>
      <c r="T27" s="43"/>
      <c r="U27" s="43"/>
    </row>
    <row r="28" spans="1:21" s="11" customFormat="1" x14ac:dyDescent="0.25">
      <c r="A28" s="105" t="s">
        <v>720</v>
      </c>
      <c r="B28" s="106">
        <v>19.989999999999998</v>
      </c>
      <c r="C28" s="106">
        <v>65.010000000000005</v>
      </c>
      <c r="D28" s="106">
        <v>52.55</v>
      </c>
      <c r="E28" s="106">
        <v>0.1</v>
      </c>
      <c r="F28" s="106">
        <v>3.27</v>
      </c>
      <c r="G28" s="106">
        <v>97.79</v>
      </c>
      <c r="H28" s="106">
        <v>48.83</v>
      </c>
      <c r="I28" s="106">
        <v>1.51</v>
      </c>
      <c r="J28" s="106">
        <v>0.22</v>
      </c>
      <c r="K28" s="106">
        <v>342.78</v>
      </c>
      <c r="L28" s="106">
        <v>19.649999999999999</v>
      </c>
      <c r="M28" s="106">
        <v>74.33</v>
      </c>
      <c r="N28" s="106">
        <v>22.9</v>
      </c>
      <c r="O28" s="106">
        <v>0</v>
      </c>
      <c r="P28" s="106">
        <v>1.17</v>
      </c>
      <c r="Q28" s="106">
        <v>9.2100000000000009</v>
      </c>
      <c r="R28" s="43"/>
      <c r="S28" s="43"/>
      <c r="T28" s="43"/>
      <c r="U28" s="43"/>
    </row>
    <row r="29" spans="1:21" s="11" customFormat="1" x14ac:dyDescent="0.25">
      <c r="A29" s="105" t="s">
        <v>721</v>
      </c>
      <c r="B29" s="106">
        <v>26.34</v>
      </c>
      <c r="C29" s="106">
        <v>64.89</v>
      </c>
      <c r="D29" s="106">
        <v>57.36</v>
      </c>
      <c r="E29" s="106">
        <v>0.17</v>
      </c>
      <c r="F29" s="106">
        <v>3.3</v>
      </c>
      <c r="G29" s="106">
        <v>132.61000000000001</v>
      </c>
      <c r="H29" s="106">
        <v>67.69</v>
      </c>
      <c r="I29" s="106">
        <v>1.56</v>
      </c>
      <c r="J29" s="106">
        <v>0.16</v>
      </c>
      <c r="K29" s="106">
        <v>330.95</v>
      </c>
      <c r="L29" s="106">
        <v>19.09</v>
      </c>
      <c r="M29" s="106">
        <v>74.3</v>
      </c>
      <c r="N29" s="106">
        <v>22.8</v>
      </c>
      <c r="O29" s="106">
        <v>0</v>
      </c>
      <c r="P29" s="106">
        <v>1.27</v>
      </c>
      <c r="Q29" s="106">
        <v>9.58</v>
      </c>
      <c r="R29" s="43"/>
      <c r="S29" s="43"/>
      <c r="T29" s="43"/>
      <c r="U29" s="43"/>
    </row>
    <row r="30" spans="1:21" s="11" customFormat="1" x14ac:dyDescent="0.25">
      <c r="A30" s="105" t="s">
        <v>722</v>
      </c>
      <c r="B30" s="106">
        <v>30.17</v>
      </c>
      <c r="C30" s="106">
        <v>66.790000000000006</v>
      </c>
      <c r="D30" s="106">
        <v>61.7</v>
      </c>
      <c r="E30" s="106">
        <v>0.15</v>
      </c>
      <c r="F30" s="106">
        <v>3.35</v>
      </c>
      <c r="G30" s="106">
        <v>236.98</v>
      </c>
      <c r="H30" s="106">
        <v>139.97999999999999</v>
      </c>
      <c r="I30" s="106">
        <v>1.54</v>
      </c>
      <c r="J30" s="106">
        <v>0.61</v>
      </c>
      <c r="K30" s="106">
        <v>98.41</v>
      </c>
      <c r="L30" s="106">
        <v>18.84</v>
      </c>
      <c r="M30" s="106">
        <v>74.37</v>
      </c>
      <c r="N30" s="106">
        <v>23</v>
      </c>
      <c r="O30" s="106">
        <v>0</v>
      </c>
      <c r="P30" s="106">
        <v>1.27</v>
      </c>
      <c r="Q30" s="106">
        <v>10.15</v>
      </c>
      <c r="R30" s="43"/>
      <c r="S30" s="43"/>
      <c r="T30" s="43"/>
      <c r="U30" s="43"/>
    </row>
    <row r="31" spans="1:21" s="11" customFormat="1" x14ac:dyDescent="0.25">
      <c r="A31" s="105" t="s">
        <v>723</v>
      </c>
      <c r="B31" s="106">
        <v>28.84</v>
      </c>
      <c r="C31" s="106">
        <v>65.540000000000006</v>
      </c>
      <c r="D31" s="106">
        <v>59.94</v>
      </c>
      <c r="E31" s="106">
        <v>0.2</v>
      </c>
      <c r="F31" s="106">
        <v>3.74</v>
      </c>
      <c r="G31" s="106">
        <v>236.98</v>
      </c>
      <c r="H31" s="106">
        <v>139.97999999999999</v>
      </c>
      <c r="I31" s="106">
        <v>1.57</v>
      </c>
      <c r="J31" s="106">
        <v>0.42</v>
      </c>
      <c r="K31" s="106">
        <v>350.98</v>
      </c>
      <c r="L31" s="106">
        <v>18.77</v>
      </c>
      <c r="M31" s="106">
        <v>76.14</v>
      </c>
      <c r="N31" s="106">
        <v>23.2</v>
      </c>
      <c r="O31" s="106">
        <v>0</v>
      </c>
      <c r="P31" s="106">
        <v>1.21</v>
      </c>
      <c r="Q31" s="106">
        <v>10.17</v>
      </c>
      <c r="R31" s="43"/>
      <c r="S31" s="43"/>
      <c r="T31" s="43"/>
      <c r="U31" s="43"/>
    </row>
    <row r="32" spans="1:21" s="11" customFormat="1" x14ac:dyDescent="0.25">
      <c r="A32" s="105" t="s">
        <v>724</v>
      </c>
      <c r="B32" s="106">
        <v>25.87</v>
      </c>
      <c r="C32" s="106">
        <v>63.41</v>
      </c>
      <c r="D32" s="106">
        <v>56.39</v>
      </c>
      <c r="E32" s="106">
        <v>0.15</v>
      </c>
      <c r="F32" s="106">
        <v>3.74</v>
      </c>
      <c r="G32" s="106">
        <v>125.4</v>
      </c>
      <c r="H32" s="106">
        <v>67.459999999999994</v>
      </c>
      <c r="I32" s="106">
        <v>1.56</v>
      </c>
      <c r="J32" s="106">
        <v>1.25</v>
      </c>
      <c r="K32" s="106">
        <v>117.77</v>
      </c>
      <c r="L32" s="106">
        <v>18.37</v>
      </c>
      <c r="M32" s="106">
        <v>78.66</v>
      </c>
      <c r="N32" s="106">
        <v>23.2</v>
      </c>
      <c r="O32" s="106">
        <v>0</v>
      </c>
      <c r="P32" s="106">
        <v>1.1299999999999999</v>
      </c>
      <c r="Q32" s="106">
        <v>9.91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3.46</v>
      </c>
      <c r="C34" s="28">
        <f t="shared" si="0"/>
        <v>45.36</v>
      </c>
      <c r="D34" s="28">
        <f t="shared" si="0"/>
        <v>30.12</v>
      </c>
      <c r="E34" s="28">
        <f t="shared" si="0"/>
        <v>7.0000000000000007E-2</v>
      </c>
      <c r="F34" s="28">
        <f t="shared" si="0"/>
        <v>3.13</v>
      </c>
      <c r="G34" s="28">
        <f t="shared" si="0"/>
        <v>52.04</v>
      </c>
      <c r="H34" s="28">
        <f t="shared" si="0"/>
        <v>25.16</v>
      </c>
      <c r="I34" s="28">
        <f t="shared" si="0"/>
        <v>1.49</v>
      </c>
      <c r="J34" s="28">
        <f t="shared" si="0"/>
        <v>0.1</v>
      </c>
      <c r="K34" s="28">
        <f t="shared" si="0"/>
        <v>94.28</v>
      </c>
      <c r="L34" s="28">
        <f t="shared" si="0"/>
        <v>12.93</v>
      </c>
      <c r="M34" s="28">
        <f t="shared" si="0"/>
        <v>62.46</v>
      </c>
      <c r="N34" s="28">
        <f t="shared" si="0"/>
        <v>16.399999999999999</v>
      </c>
      <c r="O34" s="28">
        <f t="shared" si="0"/>
        <v>0</v>
      </c>
      <c r="P34" s="28">
        <f t="shared" si="0"/>
        <v>0.48</v>
      </c>
      <c r="Q34" s="28">
        <f t="shared" si="0"/>
        <v>7.2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33.200000000000003</v>
      </c>
      <c r="C35" s="29">
        <f t="shared" si="1"/>
        <v>66.790000000000006</v>
      </c>
      <c r="D35" s="29">
        <f t="shared" si="1"/>
        <v>61.7</v>
      </c>
      <c r="E35" s="29">
        <f t="shared" si="1"/>
        <v>0.32</v>
      </c>
      <c r="F35" s="29">
        <f t="shared" si="1"/>
        <v>12.91</v>
      </c>
      <c r="G35" s="29">
        <f t="shared" si="1"/>
        <v>236.98</v>
      </c>
      <c r="H35" s="29">
        <f t="shared" si="1"/>
        <v>139.97999999999999</v>
      </c>
      <c r="I35" s="29">
        <f t="shared" si="1"/>
        <v>1.63</v>
      </c>
      <c r="J35" s="29">
        <f t="shared" si="1"/>
        <v>1.33</v>
      </c>
      <c r="K35" s="29">
        <f t="shared" si="1"/>
        <v>358.85</v>
      </c>
      <c r="L35" s="29">
        <f t="shared" si="1"/>
        <v>22.48</v>
      </c>
      <c r="M35" s="29">
        <f t="shared" si="1"/>
        <v>100.13</v>
      </c>
      <c r="N35" s="29">
        <f t="shared" si="1"/>
        <v>564.5</v>
      </c>
      <c r="O35" s="29">
        <f t="shared" si="1"/>
        <v>0</v>
      </c>
      <c r="P35" s="29">
        <f t="shared" si="1"/>
        <v>1.27</v>
      </c>
      <c r="Q35" s="29">
        <f t="shared" si="1"/>
        <v>10.17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18.755833333333332</v>
      </c>
      <c r="C36" s="28">
        <f t="shared" si="2"/>
        <v>54.418333333333329</v>
      </c>
      <c r="D36" s="28">
        <f t="shared" si="2"/>
        <v>45.351250000000014</v>
      </c>
      <c r="E36" s="28">
        <f t="shared" si="2"/>
        <v>0.16791666666666671</v>
      </c>
      <c r="F36" s="28">
        <f t="shared" si="2"/>
        <v>4.2508333333333317</v>
      </c>
      <c r="G36" s="28">
        <f t="shared" si="2"/>
        <v>89.164166666666674</v>
      </c>
      <c r="H36" s="28">
        <f t="shared" si="2"/>
        <v>44.567916666666669</v>
      </c>
      <c r="I36" s="28">
        <f t="shared" si="2"/>
        <v>1.5445833333333336</v>
      </c>
      <c r="J36" s="28">
        <f t="shared" si="2"/>
        <v>0.66999999999999993</v>
      </c>
      <c r="K36" s="28">
        <f t="shared" si="2"/>
        <v>241.01583333333338</v>
      </c>
      <c r="L36" s="28">
        <f t="shared" si="2"/>
        <v>18.110833333333328</v>
      </c>
      <c r="M36" s="28">
        <f t="shared" si="2"/>
        <v>75.86333333333333</v>
      </c>
      <c r="N36" s="28">
        <f t="shared" si="2"/>
        <v>160.79583333333332</v>
      </c>
      <c r="O36" s="28">
        <f t="shared" si="2"/>
        <v>0</v>
      </c>
      <c r="P36" s="28">
        <f t="shared" si="2"/>
        <v>0.79749999999999999</v>
      </c>
      <c r="Q36" s="28">
        <f t="shared" si="2"/>
        <v>8.6162500000000026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9.4331726954110913</v>
      </c>
      <c r="C37" s="28">
        <f t="shared" ref="C37:Q37" si="3">STDEV(C9:C32)</f>
        <v>7.3555507976107215</v>
      </c>
      <c r="D37" s="28">
        <f t="shared" si="3"/>
        <v>8.8574897378727186</v>
      </c>
      <c r="E37" s="28">
        <f t="shared" si="3"/>
        <v>6.1075802272163277E-2</v>
      </c>
      <c r="F37" s="28">
        <f t="shared" si="3"/>
        <v>2.2561759040786127</v>
      </c>
      <c r="G37" s="28">
        <f t="shared" si="3"/>
        <v>49.958693539212227</v>
      </c>
      <c r="H37" s="28">
        <f t="shared" si="3"/>
        <v>31.615590124956938</v>
      </c>
      <c r="I37" s="28">
        <f t="shared" si="3"/>
        <v>3.3097900454451101E-2</v>
      </c>
      <c r="J37" s="28">
        <f t="shared" si="3"/>
        <v>0.37632086216996796</v>
      </c>
      <c r="K37" s="28">
        <f t="shared" si="3"/>
        <v>120.16536699632842</v>
      </c>
      <c r="L37" s="28">
        <f t="shared" si="3"/>
        <v>3.0645446738416506</v>
      </c>
      <c r="M37" s="28">
        <f t="shared" si="3"/>
        <v>10.751658988941863</v>
      </c>
      <c r="N37" s="28">
        <f t="shared" si="3"/>
        <v>199.44880672398918</v>
      </c>
      <c r="O37" s="28">
        <f t="shared" si="3"/>
        <v>0</v>
      </c>
      <c r="P37" s="28">
        <f t="shared" si="3"/>
        <v>0.27739863013360405</v>
      </c>
      <c r="Q37" s="28">
        <f t="shared" si="3"/>
        <v>0.88835369229191063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105" t="s">
        <v>725</v>
      </c>
      <c r="B9" s="106">
        <v>116.75</v>
      </c>
      <c r="C9" s="106">
        <v>64.680000000000007</v>
      </c>
      <c r="D9" s="106">
        <v>129.91</v>
      </c>
      <c r="E9" s="106">
        <v>0.35</v>
      </c>
      <c r="F9" s="106">
        <v>3.22</v>
      </c>
      <c r="G9" s="106">
        <v>121.25</v>
      </c>
      <c r="H9" s="106">
        <v>56.02</v>
      </c>
      <c r="I9" s="106">
        <v>1.61</v>
      </c>
      <c r="J9" s="106">
        <v>0.12</v>
      </c>
      <c r="K9" s="106">
        <v>308.02999999999997</v>
      </c>
      <c r="L9" s="106">
        <v>15.03</v>
      </c>
      <c r="M9" s="106">
        <v>82.97</v>
      </c>
      <c r="N9" s="106">
        <v>50.9</v>
      </c>
      <c r="O9" s="106">
        <v>0</v>
      </c>
      <c r="P9" s="106">
        <v>2</v>
      </c>
      <c r="Q9" s="106">
        <v>15.96</v>
      </c>
      <c r="R9" s="43"/>
      <c r="S9" s="43"/>
      <c r="T9" s="43"/>
      <c r="U9" s="43"/>
    </row>
    <row r="10" spans="1:21" s="11" customFormat="1" x14ac:dyDescent="0.25">
      <c r="A10" s="105" t="s">
        <v>726</v>
      </c>
      <c r="B10" s="106">
        <v>106.73</v>
      </c>
      <c r="C10" s="106">
        <v>63.14</v>
      </c>
      <c r="D10" s="106">
        <v>121.08</v>
      </c>
      <c r="E10" s="106">
        <v>0.33</v>
      </c>
      <c r="F10" s="106">
        <v>3.43</v>
      </c>
      <c r="G10" s="106">
        <v>121.25</v>
      </c>
      <c r="H10" s="106">
        <v>48.65</v>
      </c>
      <c r="I10" s="106">
        <v>1.52</v>
      </c>
      <c r="J10" s="106">
        <v>0.1</v>
      </c>
      <c r="K10" s="106">
        <v>311.22000000000003</v>
      </c>
      <c r="L10" s="106">
        <v>14.36</v>
      </c>
      <c r="M10" s="106">
        <v>91.36</v>
      </c>
      <c r="N10" s="106">
        <v>50.8</v>
      </c>
      <c r="O10" s="106">
        <v>0</v>
      </c>
      <c r="P10" s="106">
        <v>1.67</v>
      </c>
      <c r="Q10" s="106">
        <v>15.09</v>
      </c>
      <c r="R10" s="43"/>
      <c r="S10" s="43"/>
      <c r="T10" s="43"/>
      <c r="U10" s="43"/>
    </row>
    <row r="11" spans="1:21" s="11" customFormat="1" x14ac:dyDescent="0.25">
      <c r="A11" s="105" t="s">
        <v>727</v>
      </c>
      <c r="B11" s="106">
        <v>85.66</v>
      </c>
      <c r="C11" s="106">
        <v>58.99</v>
      </c>
      <c r="D11" s="106">
        <v>101.9</v>
      </c>
      <c r="E11" s="106">
        <v>0.32</v>
      </c>
      <c r="F11" s="106">
        <v>3.14</v>
      </c>
      <c r="G11" s="106">
        <v>101.7</v>
      </c>
      <c r="H11" s="106">
        <v>50.63</v>
      </c>
      <c r="I11" s="106">
        <v>1.54</v>
      </c>
      <c r="J11" s="106">
        <v>0.1</v>
      </c>
      <c r="K11" s="106">
        <v>293.44</v>
      </c>
      <c r="L11" s="106">
        <v>14.02</v>
      </c>
      <c r="M11" s="106">
        <v>93.66</v>
      </c>
      <c r="N11" s="106">
        <v>50.7</v>
      </c>
      <c r="O11" s="106">
        <v>0</v>
      </c>
      <c r="P11" s="106">
        <v>1.47</v>
      </c>
      <c r="Q11" s="106">
        <v>13.49</v>
      </c>
      <c r="R11" s="43"/>
      <c r="S11" s="43"/>
      <c r="T11" s="43"/>
      <c r="U11" s="43"/>
    </row>
    <row r="12" spans="1:21" s="11" customFormat="1" x14ac:dyDescent="0.25">
      <c r="A12" s="105" t="s">
        <v>728</v>
      </c>
      <c r="B12" s="106">
        <v>69.84</v>
      </c>
      <c r="C12" s="106">
        <v>55.5</v>
      </c>
      <c r="D12" s="106">
        <v>87.28</v>
      </c>
      <c r="E12" s="106">
        <v>0.25</v>
      </c>
      <c r="F12" s="106">
        <v>3.26</v>
      </c>
      <c r="G12" s="106">
        <v>101.7</v>
      </c>
      <c r="H12" s="106">
        <v>50.63</v>
      </c>
      <c r="I12" s="106">
        <v>1.52</v>
      </c>
      <c r="J12" s="106">
        <v>0.56999999999999995</v>
      </c>
      <c r="K12" s="106">
        <v>332.23</v>
      </c>
      <c r="L12" s="106">
        <v>13.84</v>
      </c>
      <c r="M12" s="106">
        <v>96.38</v>
      </c>
      <c r="N12" s="106">
        <v>50.7</v>
      </c>
      <c r="O12" s="106">
        <v>0</v>
      </c>
      <c r="P12" s="106">
        <v>1.25</v>
      </c>
      <c r="Q12" s="106">
        <v>12.19</v>
      </c>
      <c r="R12" s="43"/>
      <c r="S12" s="43"/>
      <c r="T12" s="43"/>
      <c r="U12" s="43"/>
    </row>
    <row r="13" spans="1:21" s="11" customFormat="1" x14ac:dyDescent="0.25">
      <c r="A13" s="105" t="s">
        <v>729</v>
      </c>
      <c r="B13" s="106">
        <v>55.92</v>
      </c>
      <c r="C13" s="106">
        <v>54.94</v>
      </c>
      <c r="D13" s="106">
        <v>75.569999999999993</v>
      </c>
      <c r="E13" s="106">
        <v>0.27</v>
      </c>
      <c r="F13" s="106">
        <v>3.19</v>
      </c>
      <c r="G13" s="106">
        <v>87.31</v>
      </c>
      <c r="H13" s="106">
        <v>49.68</v>
      </c>
      <c r="I13" s="106">
        <v>1.51</v>
      </c>
      <c r="J13" s="106">
        <v>0.45</v>
      </c>
      <c r="K13" s="106">
        <v>354.8</v>
      </c>
      <c r="L13" s="106">
        <v>14.23</v>
      </c>
      <c r="M13" s="106">
        <v>87.88</v>
      </c>
      <c r="N13" s="106">
        <v>50.8</v>
      </c>
      <c r="O13" s="106">
        <v>0</v>
      </c>
      <c r="P13" s="106">
        <v>1.04</v>
      </c>
      <c r="Q13" s="106">
        <v>11.21</v>
      </c>
      <c r="R13" s="43"/>
      <c r="S13" s="43"/>
      <c r="T13" s="43"/>
      <c r="U13" s="43"/>
    </row>
    <row r="14" spans="1:21" s="11" customFormat="1" x14ac:dyDescent="0.25">
      <c r="A14" s="105" t="s">
        <v>730</v>
      </c>
      <c r="B14" s="106">
        <v>47.08</v>
      </c>
      <c r="C14" s="106">
        <v>54.82</v>
      </c>
      <c r="D14" s="106">
        <v>68.650000000000006</v>
      </c>
      <c r="E14" s="106">
        <v>0.31</v>
      </c>
      <c r="F14" s="106">
        <v>3.35</v>
      </c>
      <c r="G14" s="106">
        <v>63.87</v>
      </c>
      <c r="H14" s="106">
        <v>41.39</v>
      </c>
      <c r="I14" s="106">
        <v>1.56</v>
      </c>
      <c r="J14" s="106">
        <v>0.18</v>
      </c>
      <c r="K14" s="106">
        <v>302.42</v>
      </c>
      <c r="L14" s="106">
        <v>14.27</v>
      </c>
      <c r="M14" s="106">
        <v>84.97</v>
      </c>
      <c r="N14" s="106">
        <v>50.8</v>
      </c>
      <c r="O14" s="106">
        <v>0</v>
      </c>
      <c r="P14" s="106">
        <v>0.89</v>
      </c>
      <c r="Q14" s="106">
        <v>10.4</v>
      </c>
      <c r="R14" s="43"/>
      <c r="S14" s="43"/>
      <c r="T14" s="43"/>
      <c r="U14" s="43"/>
    </row>
    <row r="15" spans="1:21" s="11" customFormat="1" x14ac:dyDescent="0.25">
      <c r="A15" s="105" t="s">
        <v>731</v>
      </c>
      <c r="B15" s="106">
        <v>51.9</v>
      </c>
      <c r="C15" s="106">
        <v>54.13</v>
      </c>
      <c r="D15" s="106">
        <v>71.09</v>
      </c>
      <c r="E15" s="106">
        <v>0.3</v>
      </c>
      <c r="F15" s="106">
        <v>3.12</v>
      </c>
      <c r="G15" s="106">
        <v>125.19</v>
      </c>
      <c r="H15" s="106">
        <v>42.28</v>
      </c>
      <c r="I15" s="106">
        <v>1.55</v>
      </c>
      <c r="J15" s="106">
        <v>0.15</v>
      </c>
      <c r="K15" s="106">
        <v>302.41000000000003</v>
      </c>
      <c r="L15" s="106">
        <v>14.24</v>
      </c>
      <c r="M15" s="106">
        <v>91.48</v>
      </c>
      <c r="N15" s="106">
        <v>73.099999999999994</v>
      </c>
      <c r="O15" s="106">
        <v>0</v>
      </c>
      <c r="P15" s="106">
        <v>0.81</v>
      </c>
      <c r="Q15" s="106">
        <v>10.3</v>
      </c>
      <c r="R15" s="43"/>
      <c r="S15" s="43"/>
      <c r="T15" s="43"/>
      <c r="U15" s="43"/>
    </row>
    <row r="16" spans="1:21" s="11" customFormat="1" x14ac:dyDescent="0.25">
      <c r="A16" s="105" t="s">
        <v>732</v>
      </c>
      <c r="B16" s="106">
        <v>76.16</v>
      </c>
      <c r="C16" s="106">
        <v>55.75</v>
      </c>
      <c r="D16" s="106">
        <v>92.49</v>
      </c>
      <c r="E16" s="106">
        <v>0.28000000000000003</v>
      </c>
      <c r="F16" s="106">
        <v>3.51</v>
      </c>
      <c r="G16" s="106">
        <v>125.19</v>
      </c>
      <c r="H16" s="106">
        <v>42.28</v>
      </c>
      <c r="I16" s="106">
        <v>1.58</v>
      </c>
      <c r="J16" s="106">
        <v>0.19</v>
      </c>
      <c r="K16" s="106">
        <v>350.81</v>
      </c>
      <c r="L16" s="106">
        <v>18.16</v>
      </c>
      <c r="M16" s="106">
        <v>89.88</v>
      </c>
      <c r="N16" s="106">
        <v>227.3</v>
      </c>
      <c r="O16" s="106">
        <v>0</v>
      </c>
      <c r="P16" s="106">
        <v>0.97</v>
      </c>
      <c r="Q16" s="106">
        <v>11.91</v>
      </c>
      <c r="R16" s="43"/>
      <c r="S16" s="43"/>
      <c r="T16" s="43"/>
      <c r="U16" s="43"/>
    </row>
    <row r="17" spans="1:21" s="11" customFormat="1" x14ac:dyDescent="0.25">
      <c r="A17" s="105" t="s">
        <v>733</v>
      </c>
      <c r="B17" s="106">
        <v>79.73</v>
      </c>
      <c r="C17" s="106">
        <v>64.84</v>
      </c>
      <c r="D17" s="106">
        <v>98.16</v>
      </c>
      <c r="E17" s="106">
        <v>0.28999999999999998</v>
      </c>
      <c r="F17" s="106">
        <v>3.14</v>
      </c>
      <c r="G17" s="106">
        <v>128.61000000000001</v>
      </c>
      <c r="H17" s="106">
        <v>44.64</v>
      </c>
      <c r="I17" s="106">
        <v>1.6</v>
      </c>
      <c r="J17" s="106">
        <v>0.3</v>
      </c>
      <c r="K17" s="106">
        <v>351.5</v>
      </c>
      <c r="L17" s="106">
        <v>22.87</v>
      </c>
      <c r="M17" s="106">
        <v>61.45</v>
      </c>
      <c r="N17" s="106">
        <v>389</v>
      </c>
      <c r="O17" s="106">
        <v>0</v>
      </c>
      <c r="P17" s="106">
        <v>1.1200000000000001</v>
      </c>
      <c r="Q17" s="106">
        <v>12.52</v>
      </c>
      <c r="R17" s="43"/>
      <c r="S17" s="43"/>
      <c r="T17" s="43"/>
      <c r="U17" s="43"/>
    </row>
    <row r="18" spans="1:21" s="11" customFormat="1" x14ac:dyDescent="0.25">
      <c r="A18" s="105" t="s">
        <v>734</v>
      </c>
      <c r="B18" s="106">
        <v>72.47</v>
      </c>
      <c r="C18" s="106">
        <v>77.17</v>
      </c>
      <c r="D18" s="106">
        <v>96.17</v>
      </c>
      <c r="E18" s="106">
        <v>0.31</v>
      </c>
      <c r="F18" s="106">
        <v>3.44</v>
      </c>
      <c r="G18" s="106">
        <v>156.32</v>
      </c>
      <c r="H18" s="106">
        <v>49.04</v>
      </c>
      <c r="I18" s="106">
        <v>1.6</v>
      </c>
      <c r="J18" s="106">
        <v>0.33</v>
      </c>
      <c r="K18" s="106">
        <v>354.27</v>
      </c>
      <c r="L18" s="106">
        <v>25.23</v>
      </c>
      <c r="M18" s="106">
        <v>48.09</v>
      </c>
      <c r="N18" s="106">
        <v>563.20000000000005</v>
      </c>
      <c r="O18" s="106">
        <v>0</v>
      </c>
      <c r="P18" s="106">
        <v>1.23</v>
      </c>
      <c r="Q18" s="106">
        <v>12.51</v>
      </c>
      <c r="R18" s="43"/>
      <c r="S18" s="43"/>
      <c r="T18" s="43"/>
      <c r="U18" s="43"/>
    </row>
    <row r="19" spans="1:21" s="11" customFormat="1" x14ac:dyDescent="0.25">
      <c r="A19" s="105" t="s">
        <v>735</v>
      </c>
      <c r="B19" s="106">
        <v>53.94</v>
      </c>
      <c r="C19" s="106">
        <v>84.85</v>
      </c>
      <c r="D19" s="106">
        <v>88.02</v>
      </c>
      <c r="E19" s="106">
        <v>0.35</v>
      </c>
      <c r="F19" s="106">
        <v>3.44</v>
      </c>
      <c r="G19" s="106">
        <v>156.32</v>
      </c>
      <c r="H19" s="106">
        <v>53.58</v>
      </c>
      <c r="I19" s="106">
        <v>1.55</v>
      </c>
      <c r="J19" s="106">
        <v>0.61</v>
      </c>
      <c r="K19" s="106">
        <v>164</v>
      </c>
      <c r="L19" s="106">
        <v>25.18</v>
      </c>
      <c r="M19" s="106">
        <v>42.87</v>
      </c>
      <c r="N19" s="106">
        <v>687.3</v>
      </c>
      <c r="O19" s="106">
        <v>0</v>
      </c>
      <c r="P19" s="106">
        <v>1.27</v>
      </c>
      <c r="Q19" s="106">
        <v>11.79</v>
      </c>
      <c r="R19" s="43"/>
      <c r="S19" s="43"/>
      <c r="T19" s="43"/>
      <c r="U19" s="43"/>
    </row>
    <row r="20" spans="1:21" s="11" customFormat="1" x14ac:dyDescent="0.25">
      <c r="A20" s="105" t="s">
        <v>736</v>
      </c>
      <c r="B20" s="106">
        <v>34.520000000000003</v>
      </c>
      <c r="C20" s="106">
        <v>84.69</v>
      </c>
      <c r="D20" s="106">
        <v>75.069999999999993</v>
      </c>
      <c r="E20" s="106">
        <v>0.28999999999999998</v>
      </c>
      <c r="F20" s="106">
        <v>3.39</v>
      </c>
      <c r="G20" s="106">
        <v>144.21</v>
      </c>
      <c r="H20" s="106">
        <v>53.58</v>
      </c>
      <c r="I20" s="106">
        <v>1.52</v>
      </c>
      <c r="J20" s="106">
        <v>0.86</v>
      </c>
      <c r="K20" s="106">
        <v>326.76</v>
      </c>
      <c r="L20" s="106">
        <v>30.49</v>
      </c>
      <c r="M20" s="106">
        <v>39.630000000000003</v>
      </c>
      <c r="N20" s="106">
        <v>741.6</v>
      </c>
      <c r="O20" s="106">
        <v>0</v>
      </c>
      <c r="P20" s="106">
        <v>1.2</v>
      </c>
      <c r="Q20" s="106">
        <v>10.84</v>
      </c>
      <c r="R20" s="43"/>
      <c r="S20" s="43"/>
      <c r="T20" s="43"/>
      <c r="U20" s="43"/>
    </row>
    <row r="21" spans="1:21" s="11" customFormat="1" x14ac:dyDescent="0.25">
      <c r="A21" s="105" t="s">
        <v>737</v>
      </c>
      <c r="B21" s="106">
        <v>18.57</v>
      </c>
      <c r="C21" s="106">
        <v>83</v>
      </c>
      <c r="D21" s="106">
        <v>61.24</v>
      </c>
      <c r="E21" s="106">
        <v>0.41</v>
      </c>
      <c r="F21" s="106">
        <v>3.76</v>
      </c>
      <c r="G21" s="106">
        <v>104.84</v>
      </c>
      <c r="H21" s="106">
        <v>47.59</v>
      </c>
      <c r="I21" s="106">
        <v>1.56</v>
      </c>
      <c r="J21" s="106">
        <v>0.39</v>
      </c>
      <c r="K21" s="106">
        <v>336.22</v>
      </c>
      <c r="L21" s="106">
        <v>30.24</v>
      </c>
      <c r="M21" s="106">
        <v>32.31</v>
      </c>
      <c r="N21" s="106">
        <v>728.9</v>
      </c>
      <c r="O21" s="106">
        <v>0</v>
      </c>
      <c r="P21" s="106">
        <v>1.07</v>
      </c>
      <c r="Q21" s="106">
        <v>9.7100000000000009</v>
      </c>
      <c r="R21" s="43"/>
      <c r="S21" s="43"/>
      <c r="T21" s="43"/>
      <c r="U21" s="43"/>
    </row>
    <row r="22" spans="1:21" s="11" customFormat="1" x14ac:dyDescent="0.25">
      <c r="A22" s="105" t="s">
        <v>738</v>
      </c>
      <c r="B22" s="106">
        <v>6.68</v>
      </c>
      <c r="C22" s="106">
        <v>80.680000000000007</v>
      </c>
      <c r="D22" s="106">
        <v>50.53</v>
      </c>
      <c r="E22" s="106">
        <v>0.41</v>
      </c>
      <c r="F22" s="106">
        <v>5.97</v>
      </c>
      <c r="G22" s="106">
        <v>82.33</v>
      </c>
      <c r="H22" s="106">
        <v>38.47</v>
      </c>
      <c r="I22" s="106">
        <v>1.49</v>
      </c>
      <c r="J22" s="106">
        <v>0.23</v>
      </c>
      <c r="K22" s="106">
        <v>358.55</v>
      </c>
      <c r="L22" s="106">
        <v>27.47</v>
      </c>
      <c r="M22" s="106">
        <v>33.770000000000003</v>
      </c>
      <c r="N22" s="106">
        <v>718.3</v>
      </c>
      <c r="O22" s="106">
        <v>0</v>
      </c>
      <c r="P22" s="106">
        <v>1</v>
      </c>
      <c r="Q22" s="106">
        <v>8.67</v>
      </c>
      <c r="R22" s="43"/>
      <c r="S22" s="43"/>
      <c r="T22" s="43"/>
      <c r="U22" s="43"/>
    </row>
    <row r="23" spans="1:21" s="11" customFormat="1" x14ac:dyDescent="0.25">
      <c r="A23" s="105" t="s">
        <v>739</v>
      </c>
      <c r="B23" s="106">
        <v>2.52</v>
      </c>
      <c r="C23" s="106">
        <v>66.13</v>
      </c>
      <c r="D23" s="106">
        <v>39.090000000000003</v>
      </c>
      <c r="E23" s="106">
        <v>0.3</v>
      </c>
      <c r="F23" s="106">
        <v>6.2</v>
      </c>
      <c r="G23" s="106">
        <v>75.7</v>
      </c>
      <c r="H23" s="106">
        <v>37.270000000000003</v>
      </c>
      <c r="I23" s="106">
        <v>1.54</v>
      </c>
      <c r="J23" s="106">
        <v>0.22</v>
      </c>
      <c r="K23" s="106">
        <v>340.01</v>
      </c>
      <c r="L23" s="106">
        <v>27.14</v>
      </c>
      <c r="M23" s="106">
        <v>35.49</v>
      </c>
      <c r="N23" s="106">
        <v>559.1</v>
      </c>
      <c r="O23" s="106">
        <v>0</v>
      </c>
      <c r="P23" s="106">
        <v>0.82</v>
      </c>
      <c r="Q23" s="106">
        <v>7.68</v>
      </c>
      <c r="R23" s="43"/>
      <c r="S23" s="43"/>
      <c r="T23" s="43"/>
      <c r="U23" s="43"/>
    </row>
    <row r="24" spans="1:21" s="11" customFormat="1" x14ac:dyDescent="0.25">
      <c r="A24" s="105" t="s">
        <v>740</v>
      </c>
      <c r="B24" s="106">
        <v>2.14</v>
      </c>
      <c r="C24" s="106">
        <v>59.86</v>
      </c>
      <c r="D24" s="106">
        <v>35.4</v>
      </c>
      <c r="E24" s="106">
        <v>0.28999999999999998</v>
      </c>
      <c r="F24" s="106">
        <v>6.32</v>
      </c>
      <c r="G24" s="106">
        <v>61.71</v>
      </c>
      <c r="H24" s="106">
        <v>32.270000000000003</v>
      </c>
      <c r="I24" s="106">
        <v>1.62</v>
      </c>
      <c r="J24" s="106">
        <v>0.33</v>
      </c>
      <c r="K24" s="106">
        <v>355.84</v>
      </c>
      <c r="L24" s="106">
        <v>26.11</v>
      </c>
      <c r="M24" s="106">
        <v>38.979999999999997</v>
      </c>
      <c r="N24" s="106">
        <v>233.5</v>
      </c>
      <c r="O24" s="106">
        <v>0</v>
      </c>
      <c r="P24" s="106">
        <v>0.72</v>
      </c>
      <c r="Q24" s="106">
        <v>7.18</v>
      </c>
      <c r="R24" s="43"/>
      <c r="S24" s="43"/>
      <c r="T24" s="43"/>
      <c r="U24" s="43"/>
    </row>
    <row r="25" spans="1:21" s="11" customFormat="1" x14ac:dyDescent="0.25">
      <c r="A25" s="105" t="s">
        <v>741</v>
      </c>
      <c r="B25" s="106">
        <v>2.54</v>
      </c>
      <c r="C25" s="106">
        <v>56.33</v>
      </c>
      <c r="D25" s="106">
        <v>33.770000000000003</v>
      </c>
      <c r="E25" s="106">
        <v>0.25</v>
      </c>
      <c r="F25" s="106">
        <v>5.46</v>
      </c>
      <c r="G25" s="106">
        <v>61.71</v>
      </c>
      <c r="H25" s="106">
        <v>29.72</v>
      </c>
      <c r="I25" s="106">
        <v>1.58</v>
      </c>
      <c r="J25" s="106">
        <v>0.15</v>
      </c>
      <c r="K25" s="106">
        <v>354.2</v>
      </c>
      <c r="L25" s="106">
        <v>25.15</v>
      </c>
      <c r="M25" s="106">
        <v>42.8</v>
      </c>
      <c r="N25" s="106">
        <v>155.4</v>
      </c>
      <c r="O25" s="106">
        <v>0</v>
      </c>
      <c r="P25" s="106">
        <v>0.68</v>
      </c>
      <c r="Q25" s="106">
        <v>6.92</v>
      </c>
      <c r="R25" s="43"/>
      <c r="S25" s="43"/>
      <c r="T25" s="43"/>
      <c r="U25" s="43"/>
    </row>
    <row r="26" spans="1:21" s="11" customFormat="1" x14ac:dyDescent="0.25">
      <c r="A26" s="105" t="s">
        <v>742</v>
      </c>
      <c r="B26" s="106">
        <v>5.04</v>
      </c>
      <c r="C26" s="106">
        <v>59.78</v>
      </c>
      <c r="D26" s="106">
        <v>37.68</v>
      </c>
      <c r="E26" s="106">
        <v>0.28000000000000003</v>
      </c>
      <c r="F26" s="106">
        <v>4.46</v>
      </c>
      <c r="G26" s="106">
        <v>56.84</v>
      </c>
      <c r="H26" s="106">
        <v>26.76</v>
      </c>
      <c r="I26" s="106">
        <v>1.58</v>
      </c>
      <c r="J26" s="106">
        <v>0.12</v>
      </c>
      <c r="K26" s="106">
        <v>335.53</v>
      </c>
      <c r="L26" s="106">
        <v>24</v>
      </c>
      <c r="M26" s="106">
        <v>63.97</v>
      </c>
      <c r="N26" s="106">
        <v>83.3</v>
      </c>
      <c r="O26" s="106">
        <v>0</v>
      </c>
      <c r="P26" s="106">
        <v>0.68</v>
      </c>
      <c r="Q26" s="106">
        <v>7.21</v>
      </c>
      <c r="R26" s="43"/>
      <c r="S26" s="43"/>
      <c r="T26" s="43"/>
      <c r="U26" s="43"/>
    </row>
    <row r="27" spans="1:21" s="11" customFormat="1" x14ac:dyDescent="0.25">
      <c r="A27" s="105" t="s">
        <v>743</v>
      </c>
      <c r="B27" s="106">
        <v>15.16</v>
      </c>
      <c r="C27" s="106">
        <v>62.27</v>
      </c>
      <c r="D27" s="106">
        <v>47.17</v>
      </c>
      <c r="E27" s="106">
        <v>0.24</v>
      </c>
      <c r="F27" s="106">
        <v>3.27</v>
      </c>
      <c r="G27" s="106">
        <v>68.14</v>
      </c>
      <c r="H27" s="106">
        <v>27.75</v>
      </c>
      <c r="I27" s="106">
        <v>1.55</v>
      </c>
      <c r="J27" s="106">
        <v>0.06</v>
      </c>
      <c r="K27" s="106">
        <v>304.83999999999997</v>
      </c>
      <c r="L27" s="106">
        <v>21.46</v>
      </c>
      <c r="M27" s="106">
        <v>65.92</v>
      </c>
      <c r="N27" s="106">
        <v>57.7</v>
      </c>
      <c r="O27" s="106">
        <v>0</v>
      </c>
      <c r="P27" s="106">
        <v>0.88</v>
      </c>
      <c r="Q27" s="106">
        <v>7.99</v>
      </c>
      <c r="R27" s="43"/>
      <c r="S27" s="43"/>
      <c r="T27" s="43"/>
      <c r="U27" s="43"/>
    </row>
    <row r="28" spans="1:21" s="11" customFormat="1" x14ac:dyDescent="0.25">
      <c r="A28" s="105" t="s">
        <v>744</v>
      </c>
      <c r="B28" s="106">
        <v>23.86</v>
      </c>
      <c r="C28" s="106">
        <v>65.59</v>
      </c>
      <c r="D28" s="106">
        <v>55.96</v>
      </c>
      <c r="E28" s="106">
        <v>0.34</v>
      </c>
      <c r="F28" s="106">
        <v>3.28</v>
      </c>
      <c r="G28" s="106">
        <v>89.27</v>
      </c>
      <c r="H28" s="106">
        <v>36.19</v>
      </c>
      <c r="I28" s="106">
        <v>1.56</v>
      </c>
      <c r="J28" s="106">
        <v>0.11</v>
      </c>
      <c r="K28" s="106">
        <v>289.12</v>
      </c>
      <c r="L28" s="106">
        <v>20.7</v>
      </c>
      <c r="M28" s="106">
        <v>65.260000000000005</v>
      </c>
      <c r="N28" s="106">
        <v>57.2</v>
      </c>
      <c r="O28" s="106">
        <v>0</v>
      </c>
      <c r="P28" s="106">
        <v>0.95</v>
      </c>
      <c r="Q28" s="106">
        <v>8.8800000000000008</v>
      </c>
      <c r="R28" s="43"/>
      <c r="S28" s="43"/>
      <c r="T28" s="43"/>
      <c r="U28" s="43"/>
    </row>
    <row r="29" spans="1:21" s="11" customFormat="1" x14ac:dyDescent="0.25">
      <c r="A29" s="105" t="s">
        <v>745</v>
      </c>
      <c r="B29" s="106">
        <v>27.04</v>
      </c>
      <c r="C29" s="106">
        <v>67.2</v>
      </c>
      <c r="D29" s="106">
        <v>59.01</v>
      </c>
      <c r="E29" s="106">
        <v>0.22</v>
      </c>
      <c r="F29" s="106">
        <v>3.39</v>
      </c>
      <c r="G29" s="106">
        <v>92.47</v>
      </c>
      <c r="H29" s="106">
        <v>36.19</v>
      </c>
      <c r="I29" s="106">
        <v>1.55</v>
      </c>
      <c r="J29" s="106">
        <v>0.13</v>
      </c>
      <c r="K29" s="106">
        <v>278.16000000000003</v>
      </c>
      <c r="L29" s="106">
        <v>20.170000000000002</v>
      </c>
      <c r="M29" s="106">
        <v>70.16</v>
      </c>
      <c r="N29" s="106">
        <v>57.4</v>
      </c>
      <c r="O29" s="106">
        <v>0</v>
      </c>
      <c r="P29" s="106">
        <v>0.98</v>
      </c>
      <c r="Q29" s="106">
        <v>9.0399999999999991</v>
      </c>
      <c r="R29" s="43"/>
      <c r="S29" s="43"/>
      <c r="T29" s="43"/>
      <c r="U29" s="43"/>
    </row>
    <row r="30" spans="1:21" s="11" customFormat="1" x14ac:dyDescent="0.25">
      <c r="A30" s="105" t="s">
        <v>746</v>
      </c>
      <c r="B30" s="106">
        <v>37.369999999999997</v>
      </c>
      <c r="C30" s="106">
        <v>68.17</v>
      </c>
      <c r="D30" s="106">
        <v>68.239999999999995</v>
      </c>
      <c r="E30" s="106">
        <v>0.31</v>
      </c>
      <c r="F30" s="106">
        <v>3.39</v>
      </c>
      <c r="G30" s="106">
        <v>95.74</v>
      </c>
      <c r="H30" s="106">
        <v>35.229999999999997</v>
      </c>
      <c r="I30" s="106">
        <v>1.52</v>
      </c>
      <c r="J30" s="106">
        <v>0.15</v>
      </c>
      <c r="K30" s="106">
        <v>322.17</v>
      </c>
      <c r="L30" s="106">
        <v>18.829999999999998</v>
      </c>
      <c r="M30" s="106">
        <v>75.66</v>
      </c>
      <c r="N30" s="106">
        <v>57.2</v>
      </c>
      <c r="O30" s="106">
        <v>0</v>
      </c>
      <c r="P30" s="106">
        <v>1.1499999999999999</v>
      </c>
      <c r="Q30" s="106">
        <v>10.15</v>
      </c>
      <c r="R30" s="43"/>
      <c r="S30" s="43"/>
      <c r="T30" s="43"/>
      <c r="U30" s="43"/>
    </row>
    <row r="31" spans="1:21" s="11" customFormat="1" x14ac:dyDescent="0.25">
      <c r="A31" s="105" t="s">
        <v>747</v>
      </c>
      <c r="B31" s="106">
        <v>36.450000000000003</v>
      </c>
      <c r="C31" s="106">
        <v>70.349999999999994</v>
      </c>
      <c r="D31" s="106">
        <v>68.12</v>
      </c>
      <c r="E31" s="106">
        <v>0.25</v>
      </c>
      <c r="F31" s="106">
        <v>3.26</v>
      </c>
      <c r="G31" s="106">
        <v>95.74</v>
      </c>
      <c r="H31" s="106">
        <v>36.64</v>
      </c>
      <c r="I31" s="106">
        <v>1.54</v>
      </c>
      <c r="J31" s="106">
        <v>0.14000000000000001</v>
      </c>
      <c r="K31" s="106">
        <v>311.98</v>
      </c>
      <c r="L31" s="106">
        <v>18.8</v>
      </c>
      <c r="M31" s="106">
        <v>72.55</v>
      </c>
      <c r="N31" s="106">
        <v>57.2</v>
      </c>
      <c r="O31" s="106">
        <v>0</v>
      </c>
      <c r="P31" s="106">
        <v>1.1499999999999999</v>
      </c>
      <c r="Q31" s="106">
        <v>10.28</v>
      </c>
      <c r="R31" s="43"/>
      <c r="S31" s="43"/>
      <c r="T31" s="43"/>
      <c r="U31" s="43"/>
    </row>
    <row r="32" spans="1:21" s="11" customFormat="1" x14ac:dyDescent="0.25">
      <c r="A32" s="105" t="s">
        <v>748</v>
      </c>
      <c r="B32" s="106">
        <v>28.6</v>
      </c>
      <c r="C32" s="106">
        <v>69.41</v>
      </c>
      <c r="D32" s="106">
        <v>61.89</v>
      </c>
      <c r="E32" s="106">
        <v>0.27</v>
      </c>
      <c r="F32" s="106">
        <v>3.17</v>
      </c>
      <c r="G32" s="106">
        <v>86.87</v>
      </c>
      <c r="H32" s="106">
        <v>36.64</v>
      </c>
      <c r="I32" s="106">
        <v>1.58</v>
      </c>
      <c r="J32" s="106">
        <v>0.11</v>
      </c>
      <c r="K32" s="106">
        <v>275.91000000000003</v>
      </c>
      <c r="L32" s="106">
        <v>18.05</v>
      </c>
      <c r="M32" s="106">
        <v>85.47</v>
      </c>
      <c r="N32" s="106">
        <v>57.2</v>
      </c>
      <c r="O32" s="106">
        <v>0</v>
      </c>
      <c r="P32" s="106">
        <v>1.06</v>
      </c>
      <c r="Q32" s="106">
        <v>9.84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2.14</v>
      </c>
      <c r="C34" s="28">
        <f t="shared" si="0"/>
        <v>54.13</v>
      </c>
      <c r="D34" s="28">
        <f t="shared" si="0"/>
        <v>33.770000000000003</v>
      </c>
      <c r="E34" s="28">
        <f t="shared" si="0"/>
        <v>0.22</v>
      </c>
      <c r="F34" s="28">
        <f t="shared" si="0"/>
        <v>3.12</v>
      </c>
      <c r="G34" s="28">
        <f t="shared" si="0"/>
        <v>56.84</v>
      </c>
      <c r="H34" s="28">
        <f t="shared" si="0"/>
        <v>26.76</v>
      </c>
      <c r="I34" s="28">
        <f t="shared" si="0"/>
        <v>1.49</v>
      </c>
      <c r="J34" s="28">
        <f t="shared" si="0"/>
        <v>0.06</v>
      </c>
      <c r="K34" s="28">
        <f t="shared" si="0"/>
        <v>164</v>
      </c>
      <c r="L34" s="28">
        <f t="shared" si="0"/>
        <v>13.84</v>
      </c>
      <c r="M34" s="28">
        <f t="shared" si="0"/>
        <v>32.31</v>
      </c>
      <c r="N34" s="28">
        <f t="shared" si="0"/>
        <v>50.7</v>
      </c>
      <c r="O34" s="28">
        <f t="shared" si="0"/>
        <v>0</v>
      </c>
      <c r="P34" s="28">
        <f t="shared" si="0"/>
        <v>0.68</v>
      </c>
      <c r="Q34" s="28">
        <f t="shared" si="0"/>
        <v>6.92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116.75</v>
      </c>
      <c r="C35" s="29">
        <f t="shared" si="1"/>
        <v>84.85</v>
      </c>
      <c r="D35" s="29">
        <f t="shared" si="1"/>
        <v>129.91</v>
      </c>
      <c r="E35" s="29">
        <f t="shared" si="1"/>
        <v>0.41</v>
      </c>
      <c r="F35" s="29">
        <f t="shared" si="1"/>
        <v>6.32</v>
      </c>
      <c r="G35" s="29">
        <f t="shared" si="1"/>
        <v>156.32</v>
      </c>
      <c r="H35" s="29">
        <f t="shared" si="1"/>
        <v>56.02</v>
      </c>
      <c r="I35" s="29">
        <f t="shared" si="1"/>
        <v>1.62</v>
      </c>
      <c r="J35" s="29">
        <f t="shared" si="1"/>
        <v>0.86</v>
      </c>
      <c r="K35" s="29">
        <f t="shared" si="1"/>
        <v>358.55</v>
      </c>
      <c r="L35" s="29">
        <f t="shared" si="1"/>
        <v>30.49</v>
      </c>
      <c r="M35" s="29">
        <f t="shared" si="1"/>
        <v>96.38</v>
      </c>
      <c r="N35" s="29">
        <f t="shared" si="1"/>
        <v>741.6</v>
      </c>
      <c r="O35" s="29">
        <f t="shared" si="1"/>
        <v>0</v>
      </c>
      <c r="P35" s="29">
        <f t="shared" si="1"/>
        <v>2</v>
      </c>
      <c r="Q35" s="29">
        <f t="shared" si="1"/>
        <v>15.96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44.027916666666663</v>
      </c>
      <c r="C36" s="28">
        <f t="shared" si="2"/>
        <v>65.927916666666661</v>
      </c>
      <c r="D36" s="28">
        <f t="shared" si="2"/>
        <v>71.812083333333334</v>
      </c>
      <c r="E36" s="28">
        <f t="shared" si="2"/>
        <v>0.30083333333333334</v>
      </c>
      <c r="F36" s="28">
        <f t="shared" si="2"/>
        <v>3.8149999999999999</v>
      </c>
      <c r="G36" s="28">
        <f t="shared" si="2"/>
        <v>100.1783333333333</v>
      </c>
      <c r="H36" s="28">
        <f t="shared" si="2"/>
        <v>41.796666666666674</v>
      </c>
      <c r="I36" s="28">
        <f t="shared" si="2"/>
        <v>1.5554166666666662</v>
      </c>
      <c r="J36" s="28">
        <f t="shared" si="2"/>
        <v>0.25416666666666671</v>
      </c>
      <c r="K36" s="28">
        <f t="shared" si="2"/>
        <v>317.26749999999998</v>
      </c>
      <c r="L36" s="28">
        <f t="shared" si="2"/>
        <v>20.834999999999997</v>
      </c>
      <c r="M36" s="28">
        <f t="shared" si="2"/>
        <v>66.373333333333349</v>
      </c>
      <c r="N36" s="28">
        <f t="shared" si="2"/>
        <v>242.02499999999995</v>
      </c>
      <c r="O36" s="28">
        <f t="shared" si="2"/>
        <v>0</v>
      </c>
      <c r="P36" s="28">
        <f t="shared" si="2"/>
        <v>1.0858333333333332</v>
      </c>
      <c r="Q36" s="28">
        <f t="shared" si="2"/>
        <v>10.49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33.471084727900859</v>
      </c>
      <c r="C37" s="28">
        <f t="shared" ref="C37:Q37" si="3">STDEV(C9:C32)</f>
        <v>9.8210346480383777</v>
      </c>
      <c r="D37" s="28">
        <f t="shared" si="3"/>
        <v>26.110973368559474</v>
      </c>
      <c r="E37" s="28">
        <f t="shared" si="3"/>
        <v>4.7905401952513429E-2</v>
      </c>
      <c r="F37" s="28">
        <f t="shared" si="3"/>
        <v>1.0377065011884108</v>
      </c>
      <c r="G37" s="28">
        <f t="shared" si="3"/>
        <v>29.397819893535594</v>
      </c>
      <c r="H37" s="28">
        <f t="shared" si="3"/>
        <v>8.5736130411693967</v>
      </c>
      <c r="I37" s="28">
        <f t="shared" si="3"/>
        <v>3.3489669616383125E-2</v>
      </c>
      <c r="J37" s="28">
        <f t="shared" si="3"/>
        <v>0.19770238208999402</v>
      </c>
      <c r="K37" s="28">
        <f t="shared" si="3"/>
        <v>41.710795208872064</v>
      </c>
      <c r="L37" s="28">
        <f t="shared" si="3"/>
        <v>5.474799976493097</v>
      </c>
      <c r="M37" s="28">
        <f t="shared" si="3"/>
        <v>22.023662110412559</v>
      </c>
      <c r="N37" s="28">
        <f t="shared" si="3"/>
        <v>265.6156020332358</v>
      </c>
      <c r="O37" s="28">
        <f t="shared" si="3"/>
        <v>0</v>
      </c>
      <c r="P37" s="28">
        <f t="shared" si="3"/>
        <v>0.30735783799947314</v>
      </c>
      <c r="Q37" s="28">
        <f t="shared" si="3"/>
        <v>2.4080192112479297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50" sqref="F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105" t="s">
        <v>749</v>
      </c>
      <c r="B9" s="106">
        <v>13.04</v>
      </c>
      <c r="C9" s="106">
        <v>59.18</v>
      </c>
      <c r="D9" s="106">
        <v>43.77</v>
      </c>
      <c r="E9" s="106">
        <v>0.18</v>
      </c>
      <c r="F9" s="106">
        <v>3.32</v>
      </c>
      <c r="G9" s="106">
        <v>51.4</v>
      </c>
      <c r="H9" s="106">
        <v>13.03</v>
      </c>
      <c r="I9" s="106">
        <v>1.56</v>
      </c>
      <c r="J9" s="106">
        <v>0.42</v>
      </c>
      <c r="K9" s="106">
        <v>188.27</v>
      </c>
      <c r="L9" s="106">
        <v>18.2</v>
      </c>
      <c r="M9" s="106">
        <v>72.67</v>
      </c>
      <c r="N9" s="106">
        <v>9.3000000000000007</v>
      </c>
      <c r="O9" s="106">
        <v>0</v>
      </c>
      <c r="P9" s="106">
        <v>1.04</v>
      </c>
      <c r="Q9" s="106">
        <v>6.52</v>
      </c>
      <c r="R9" s="43"/>
      <c r="S9" s="43"/>
      <c r="T9" s="43"/>
      <c r="U9" s="43"/>
    </row>
    <row r="10" spans="1:21" s="11" customFormat="1" x14ac:dyDescent="0.25">
      <c r="A10" s="105" t="s">
        <v>750</v>
      </c>
      <c r="B10" s="106">
        <v>10.91</v>
      </c>
      <c r="C10" s="106">
        <v>56.39</v>
      </c>
      <c r="D10" s="106">
        <v>40.51</v>
      </c>
      <c r="E10" s="106">
        <v>0.15</v>
      </c>
      <c r="F10" s="106">
        <v>3.52</v>
      </c>
      <c r="G10" s="106">
        <v>50.22</v>
      </c>
      <c r="H10" s="106">
        <v>43.87</v>
      </c>
      <c r="I10" s="106">
        <v>1.65</v>
      </c>
      <c r="J10" s="106">
        <v>0.15</v>
      </c>
      <c r="K10" s="106">
        <v>306.92</v>
      </c>
      <c r="L10" s="106">
        <v>17.27</v>
      </c>
      <c r="M10" s="106">
        <v>86.17</v>
      </c>
      <c r="N10" s="106">
        <v>9.6999999999999993</v>
      </c>
      <c r="O10" s="106">
        <v>0</v>
      </c>
      <c r="P10" s="106">
        <v>0.84</v>
      </c>
      <c r="Q10" s="106">
        <v>5.34</v>
      </c>
      <c r="R10" s="43"/>
      <c r="S10" s="43"/>
      <c r="T10" s="43"/>
      <c r="U10" s="43"/>
    </row>
    <row r="11" spans="1:21" s="11" customFormat="1" x14ac:dyDescent="0.25">
      <c r="A11" s="105" t="s">
        <v>751</v>
      </c>
      <c r="B11" s="106">
        <v>11.57</v>
      </c>
      <c r="C11" s="106">
        <v>51.46</v>
      </c>
      <c r="D11" s="106">
        <v>38.33</v>
      </c>
      <c r="E11" s="106">
        <v>0.12</v>
      </c>
      <c r="F11" s="106">
        <v>3.3</v>
      </c>
      <c r="G11" s="106">
        <v>59.21</v>
      </c>
      <c r="H11" s="106">
        <v>41.57</v>
      </c>
      <c r="I11" s="106">
        <v>1.56</v>
      </c>
      <c r="J11" s="106">
        <v>0.13</v>
      </c>
      <c r="K11" s="106">
        <v>308.33</v>
      </c>
      <c r="L11" s="106">
        <v>15.44</v>
      </c>
      <c r="M11" s="106">
        <v>91.84</v>
      </c>
      <c r="N11" s="106">
        <v>9.5</v>
      </c>
      <c r="O11" s="106">
        <v>0</v>
      </c>
      <c r="P11" s="106">
        <v>0.74</v>
      </c>
      <c r="Q11" s="106">
        <v>5.21</v>
      </c>
      <c r="R11" s="43"/>
      <c r="S11" s="43"/>
      <c r="T11" s="43"/>
      <c r="U11" s="43"/>
    </row>
    <row r="12" spans="1:21" s="11" customFormat="1" x14ac:dyDescent="0.25">
      <c r="A12" s="105" t="s">
        <v>752</v>
      </c>
      <c r="B12" s="106">
        <v>14.91</v>
      </c>
      <c r="C12" s="106">
        <v>51.93</v>
      </c>
      <c r="D12" s="106">
        <v>41.11</v>
      </c>
      <c r="E12" s="106">
        <v>0.12</v>
      </c>
      <c r="F12" s="106">
        <v>3.26</v>
      </c>
      <c r="G12" s="106">
        <v>82.02</v>
      </c>
      <c r="H12" s="106">
        <v>28.2</v>
      </c>
      <c r="I12" s="106">
        <v>1.54</v>
      </c>
      <c r="J12" s="106">
        <v>0.23</v>
      </c>
      <c r="K12" s="106">
        <v>314.77</v>
      </c>
      <c r="L12" s="106">
        <v>15.12</v>
      </c>
      <c r="M12" s="106">
        <v>96</v>
      </c>
      <c r="N12" s="106">
        <v>9.3000000000000007</v>
      </c>
      <c r="O12" s="106">
        <v>0</v>
      </c>
      <c r="P12" s="106">
        <v>0.65</v>
      </c>
      <c r="Q12" s="106">
        <v>5.21</v>
      </c>
      <c r="R12" s="43"/>
      <c r="S12" s="43"/>
      <c r="T12" s="43"/>
      <c r="U12" s="43"/>
    </row>
    <row r="13" spans="1:21" s="11" customFormat="1" x14ac:dyDescent="0.25">
      <c r="A13" s="105" t="s">
        <v>753</v>
      </c>
      <c r="B13" s="106">
        <v>20.9</v>
      </c>
      <c r="C13" s="106">
        <v>52.53</v>
      </c>
      <c r="D13" s="106">
        <v>46.04</v>
      </c>
      <c r="E13" s="106">
        <v>0.08</v>
      </c>
      <c r="F13" s="106">
        <v>3.19</v>
      </c>
      <c r="G13" s="106">
        <v>81.28</v>
      </c>
      <c r="H13" s="106">
        <v>28.44</v>
      </c>
      <c r="I13" s="106">
        <v>1.56</v>
      </c>
      <c r="J13" s="106">
        <v>0.37</v>
      </c>
      <c r="K13" s="106">
        <v>349.9</v>
      </c>
      <c r="L13" s="106">
        <v>14.72</v>
      </c>
      <c r="M13" s="106">
        <v>94.65</v>
      </c>
      <c r="N13" s="106">
        <v>9.1999999999999993</v>
      </c>
      <c r="O13" s="106">
        <v>0</v>
      </c>
      <c r="P13" s="106">
        <v>0.61</v>
      </c>
      <c r="Q13" s="106">
        <v>6.68</v>
      </c>
      <c r="R13" s="43"/>
      <c r="S13" s="43"/>
      <c r="T13" s="43"/>
      <c r="U13" s="43"/>
    </row>
    <row r="14" spans="1:21" s="11" customFormat="1" x14ac:dyDescent="0.25">
      <c r="A14" s="105" t="s">
        <v>754</v>
      </c>
      <c r="B14" s="106">
        <v>19.54</v>
      </c>
      <c r="C14" s="106">
        <v>53.54</v>
      </c>
      <c r="D14" s="106">
        <v>45.52</v>
      </c>
      <c r="E14" s="106">
        <v>0.09</v>
      </c>
      <c r="F14" s="106">
        <v>3.25</v>
      </c>
      <c r="G14" s="106">
        <v>77.459999999999994</v>
      </c>
      <c r="H14" s="106">
        <v>34.090000000000003</v>
      </c>
      <c r="I14" s="106">
        <v>1.57</v>
      </c>
      <c r="J14" s="106">
        <v>0.27</v>
      </c>
      <c r="K14" s="106">
        <v>337.98</v>
      </c>
      <c r="L14" s="106">
        <v>14.86</v>
      </c>
      <c r="M14" s="106">
        <v>88.6</v>
      </c>
      <c r="N14" s="106">
        <v>9.1999999999999993</v>
      </c>
      <c r="O14" s="106">
        <v>0</v>
      </c>
      <c r="P14" s="106">
        <v>0.57999999999999996</v>
      </c>
      <c r="Q14" s="106">
        <v>6.6</v>
      </c>
      <c r="R14" s="43"/>
      <c r="S14" s="43"/>
      <c r="T14" s="43"/>
      <c r="U14" s="43"/>
    </row>
    <row r="15" spans="1:21" s="11" customFormat="1" x14ac:dyDescent="0.25">
      <c r="A15" s="105" t="s">
        <v>755</v>
      </c>
      <c r="B15" s="106">
        <v>20.63</v>
      </c>
      <c r="C15" s="106">
        <v>53.71</v>
      </c>
      <c r="D15" s="106">
        <v>46.59</v>
      </c>
      <c r="E15" s="106">
        <v>0.14000000000000001</v>
      </c>
      <c r="F15" s="106">
        <v>3.34</v>
      </c>
      <c r="G15" s="106">
        <v>78.36</v>
      </c>
      <c r="H15" s="106">
        <v>40.200000000000003</v>
      </c>
      <c r="I15" s="106">
        <v>1.52</v>
      </c>
      <c r="J15" s="106">
        <v>0.3</v>
      </c>
      <c r="K15" s="106">
        <v>346.74</v>
      </c>
      <c r="L15" s="106">
        <v>14.63</v>
      </c>
      <c r="M15" s="106">
        <v>91.23</v>
      </c>
      <c r="N15" s="106">
        <v>26.2</v>
      </c>
      <c r="O15" s="106">
        <v>0</v>
      </c>
      <c r="P15" s="106">
        <v>0.62</v>
      </c>
      <c r="Q15" s="106">
        <v>6.86</v>
      </c>
      <c r="R15" s="43"/>
      <c r="S15" s="43"/>
      <c r="T15" s="43"/>
      <c r="U15" s="43"/>
    </row>
    <row r="16" spans="1:21" s="11" customFormat="1" x14ac:dyDescent="0.25">
      <c r="A16" s="105" t="s">
        <v>756</v>
      </c>
      <c r="B16" s="106">
        <v>22.98</v>
      </c>
      <c r="C16" s="106">
        <v>53.19</v>
      </c>
      <c r="D16" s="106">
        <v>48.28</v>
      </c>
      <c r="E16" s="106">
        <v>0.15</v>
      </c>
      <c r="F16" s="106">
        <v>3.31</v>
      </c>
      <c r="G16" s="106">
        <v>104.98</v>
      </c>
      <c r="H16" s="106">
        <v>40.700000000000003</v>
      </c>
      <c r="I16" s="106">
        <v>1.51</v>
      </c>
      <c r="J16" s="106">
        <v>0.35</v>
      </c>
      <c r="K16" s="106">
        <v>357.02</v>
      </c>
      <c r="L16" s="106">
        <v>16.25</v>
      </c>
      <c r="M16" s="106">
        <v>89.95</v>
      </c>
      <c r="N16" s="106">
        <v>120.2</v>
      </c>
      <c r="O16" s="106">
        <v>0</v>
      </c>
      <c r="P16" s="106">
        <v>0.71</v>
      </c>
      <c r="Q16" s="106">
        <v>7.62</v>
      </c>
      <c r="R16" s="43"/>
      <c r="S16" s="43"/>
      <c r="T16" s="43"/>
      <c r="U16" s="43"/>
    </row>
    <row r="17" spans="1:21" s="11" customFormat="1" x14ac:dyDescent="0.25">
      <c r="A17" s="105" t="s">
        <v>757</v>
      </c>
      <c r="B17" s="106">
        <v>25.47</v>
      </c>
      <c r="C17" s="106">
        <v>56.05</v>
      </c>
      <c r="D17" s="106">
        <v>51.75</v>
      </c>
      <c r="E17" s="106">
        <v>0.24</v>
      </c>
      <c r="F17" s="106">
        <v>3.41</v>
      </c>
      <c r="G17" s="106">
        <v>126.22</v>
      </c>
      <c r="H17" s="106">
        <v>54.39</v>
      </c>
      <c r="I17" s="106">
        <v>1.5</v>
      </c>
      <c r="J17" s="106">
        <v>0.63</v>
      </c>
      <c r="K17" s="106">
        <v>342.66</v>
      </c>
      <c r="L17" s="106">
        <v>18.22</v>
      </c>
      <c r="M17" s="106">
        <v>75.44</v>
      </c>
      <c r="N17" s="106">
        <v>231.4</v>
      </c>
      <c r="O17" s="106">
        <v>0</v>
      </c>
      <c r="P17" s="106">
        <v>0.77</v>
      </c>
      <c r="Q17" s="106">
        <v>8.5399999999999991</v>
      </c>
      <c r="R17" s="43"/>
      <c r="S17" s="43"/>
      <c r="T17" s="43"/>
      <c r="U17" s="43"/>
    </row>
    <row r="18" spans="1:21" s="11" customFormat="1" x14ac:dyDescent="0.25">
      <c r="A18" s="105" t="s">
        <v>758</v>
      </c>
      <c r="B18" s="106">
        <v>23.34</v>
      </c>
      <c r="C18" s="106">
        <v>58.53</v>
      </c>
      <c r="D18" s="106">
        <v>50.08</v>
      </c>
      <c r="E18" s="106">
        <v>0.23</v>
      </c>
      <c r="F18" s="106">
        <v>3.25</v>
      </c>
      <c r="G18" s="106">
        <v>123.39</v>
      </c>
      <c r="H18" s="106">
        <v>52.53</v>
      </c>
      <c r="I18" s="106">
        <v>1.55</v>
      </c>
      <c r="J18" s="106">
        <v>1.38</v>
      </c>
      <c r="K18" s="106">
        <v>111.44</v>
      </c>
      <c r="L18" s="106">
        <v>19.79</v>
      </c>
      <c r="M18" s="106">
        <v>76.34</v>
      </c>
      <c r="N18" s="106">
        <v>345.6</v>
      </c>
      <c r="O18" s="106">
        <v>0</v>
      </c>
      <c r="P18" s="106">
        <v>0.77</v>
      </c>
      <c r="Q18" s="106">
        <v>8.44</v>
      </c>
      <c r="R18" s="43"/>
      <c r="S18" s="43"/>
      <c r="T18" s="43"/>
      <c r="U18" s="43"/>
    </row>
    <row r="19" spans="1:21" s="11" customFormat="1" x14ac:dyDescent="0.25">
      <c r="A19" s="105" t="s">
        <v>759</v>
      </c>
      <c r="B19" s="106">
        <v>15.49</v>
      </c>
      <c r="C19" s="106">
        <v>60.33</v>
      </c>
      <c r="D19" s="106">
        <v>45.52</v>
      </c>
      <c r="E19" s="106">
        <v>0.18</v>
      </c>
      <c r="F19" s="106">
        <v>3.47</v>
      </c>
      <c r="G19" s="106">
        <v>106.74</v>
      </c>
      <c r="H19" s="106">
        <v>43.27</v>
      </c>
      <c r="I19" s="106">
        <v>1.53</v>
      </c>
      <c r="J19" s="106">
        <v>0.9</v>
      </c>
      <c r="K19" s="106">
        <v>332.9</v>
      </c>
      <c r="L19" s="106">
        <v>24.89</v>
      </c>
      <c r="M19" s="106">
        <v>64.47</v>
      </c>
      <c r="N19" s="106">
        <v>404</v>
      </c>
      <c r="O19" s="106">
        <v>0</v>
      </c>
      <c r="P19" s="106">
        <v>0.75</v>
      </c>
      <c r="Q19" s="106">
        <v>6.79</v>
      </c>
      <c r="R19" s="43"/>
      <c r="S19" s="43"/>
      <c r="T19" s="43"/>
      <c r="U19" s="43"/>
    </row>
    <row r="20" spans="1:21" s="11" customFormat="1" x14ac:dyDescent="0.25">
      <c r="A20" s="105" t="s">
        <v>760</v>
      </c>
      <c r="B20" s="106">
        <v>9.85</v>
      </c>
      <c r="C20" s="106">
        <v>65.540000000000006</v>
      </c>
      <c r="D20" s="106">
        <v>43.01</v>
      </c>
      <c r="E20" s="106">
        <v>0.18</v>
      </c>
      <c r="F20" s="106">
        <v>3.93</v>
      </c>
      <c r="G20" s="106">
        <v>96.85</v>
      </c>
      <c r="H20" s="106">
        <v>44.2</v>
      </c>
      <c r="I20" s="106">
        <v>1.52</v>
      </c>
      <c r="J20" s="106">
        <v>0.81</v>
      </c>
      <c r="K20" s="106">
        <v>344.83</v>
      </c>
      <c r="L20" s="106">
        <v>27.02</v>
      </c>
      <c r="M20" s="106">
        <v>43.69</v>
      </c>
      <c r="N20" s="106">
        <v>426.9</v>
      </c>
      <c r="O20" s="106">
        <v>0</v>
      </c>
      <c r="P20" s="106">
        <v>0.78</v>
      </c>
      <c r="Q20" s="106">
        <v>5.35</v>
      </c>
      <c r="R20" s="43"/>
      <c r="S20" s="43"/>
      <c r="T20" s="43"/>
      <c r="U20" s="43"/>
    </row>
    <row r="21" spans="1:21" s="11" customFormat="1" x14ac:dyDescent="0.25">
      <c r="A21" s="105" t="s">
        <v>761</v>
      </c>
      <c r="B21" s="106">
        <v>8.59</v>
      </c>
      <c r="C21" s="106">
        <v>69.400000000000006</v>
      </c>
      <c r="D21" s="106">
        <v>45.84</v>
      </c>
      <c r="E21" s="106">
        <v>0.11</v>
      </c>
      <c r="F21" s="106">
        <v>3.66</v>
      </c>
      <c r="G21" s="106">
        <v>96.28</v>
      </c>
      <c r="H21" s="106">
        <v>43</v>
      </c>
      <c r="I21" s="106">
        <v>1.53</v>
      </c>
      <c r="J21" s="106">
        <v>1.87</v>
      </c>
      <c r="K21" s="106">
        <v>351.48</v>
      </c>
      <c r="L21" s="106">
        <v>25.85</v>
      </c>
      <c r="M21" s="106">
        <v>45.52</v>
      </c>
      <c r="N21" s="106">
        <v>400.9</v>
      </c>
      <c r="O21" s="106">
        <v>0</v>
      </c>
      <c r="P21" s="106">
        <v>0.8</v>
      </c>
      <c r="Q21" s="106">
        <v>5.95</v>
      </c>
      <c r="R21" s="43"/>
      <c r="S21" s="43"/>
      <c r="T21" s="43"/>
      <c r="U21" s="43"/>
    </row>
    <row r="22" spans="1:21" s="11" customFormat="1" x14ac:dyDescent="0.25">
      <c r="A22" s="105" t="s">
        <v>762</v>
      </c>
      <c r="B22" s="106">
        <v>8.39</v>
      </c>
      <c r="C22" s="106">
        <v>72.36</v>
      </c>
      <c r="D22" s="106">
        <v>47.31</v>
      </c>
      <c r="E22" s="106">
        <v>0.41</v>
      </c>
      <c r="F22" s="106">
        <v>3.81</v>
      </c>
      <c r="G22" s="106">
        <v>100.21</v>
      </c>
      <c r="H22" s="106">
        <v>38.24</v>
      </c>
      <c r="I22" s="106">
        <v>1.53</v>
      </c>
      <c r="J22" s="106">
        <v>1.74</v>
      </c>
      <c r="K22" s="106">
        <v>343.4</v>
      </c>
      <c r="L22" s="106">
        <v>26.11</v>
      </c>
      <c r="M22" s="106">
        <v>47.46</v>
      </c>
      <c r="N22" s="106">
        <v>377.7</v>
      </c>
      <c r="O22" s="106">
        <v>0</v>
      </c>
      <c r="P22" s="106">
        <v>0.8</v>
      </c>
      <c r="Q22" s="106">
        <v>6.71</v>
      </c>
      <c r="R22" s="43"/>
      <c r="S22" s="43"/>
      <c r="T22" s="43"/>
      <c r="U22" s="43"/>
    </row>
    <row r="23" spans="1:21" s="11" customFormat="1" x14ac:dyDescent="0.25">
      <c r="A23" s="105" t="s">
        <v>763</v>
      </c>
      <c r="B23" s="106">
        <v>8.15</v>
      </c>
      <c r="C23" s="106">
        <v>75.14</v>
      </c>
      <c r="D23" s="106">
        <v>47.96</v>
      </c>
      <c r="E23" s="106">
        <v>0.11</v>
      </c>
      <c r="F23" s="106">
        <v>4.05</v>
      </c>
      <c r="G23" s="106">
        <v>117.2</v>
      </c>
      <c r="H23" s="106">
        <v>38.82</v>
      </c>
      <c r="I23" s="106">
        <v>1.53</v>
      </c>
      <c r="J23" s="106">
        <v>2.0299999999999998</v>
      </c>
      <c r="K23" s="106">
        <v>344.57</v>
      </c>
      <c r="L23" s="106">
        <v>24.21</v>
      </c>
      <c r="M23" s="106">
        <v>52.22</v>
      </c>
      <c r="N23" s="106">
        <v>207.1</v>
      </c>
      <c r="O23" s="106">
        <v>0</v>
      </c>
      <c r="P23" s="106">
        <v>0.82</v>
      </c>
      <c r="Q23" s="106">
        <v>7.23</v>
      </c>
      <c r="R23" s="43"/>
      <c r="S23" s="43"/>
      <c r="T23" s="43"/>
      <c r="U23" s="43"/>
    </row>
    <row r="24" spans="1:21" s="11" customFormat="1" x14ac:dyDescent="0.25">
      <c r="A24" s="105" t="s">
        <v>764</v>
      </c>
      <c r="B24" s="106">
        <v>7.92</v>
      </c>
      <c r="C24" s="106">
        <v>75.150000000000006</v>
      </c>
      <c r="D24" s="106">
        <v>48.13</v>
      </c>
      <c r="E24" s="106">
        <v>0.15</v>
      </c>
      <c r="F24" s="106">
        <v>3.73</v>
      </c>
      <c r="G24" s="106">
        <v>115.71</v>
      </c>
      <c r="H24" s="106">
        <v>40.64</v>
      </c>
      <c r="I24" s="106">
        <v>1.55</v>
      </c>
      <c r="J24" s="106">
        <v>1.55</v>
      </c>
      <c r="K24" s="106">
        <v>343.77</v>
      </c>
      <c r="L24" s="106">
        <v>23.23</v>
      </c>
      <c r="M24" s="106">
        <v>54.43</v>
      </c>
      <c r="N24" s="106">
        <v>128.30000000000001</v>
      </c>
      <c r="O24" s="106">
        <v>0</v>
      </c>
      <c r="P24" s="106">
        <v>0.85</v>
      </c>
      <c r="Q24" s="106">
        <v>7.49</v>
      </c>
      <c r="R24" s="43"/>
      <c r="S24" s="43"/>
      <c r="T24" s="43"/>
      <c r="U24" s="43"/>
    </row>
    <row r="25" spans="1:21" s="11" customFormat="1" x14ac:dyDescent="0.25">
      <c r="A25" s="105" t="s">
        <v>765</v>
      </c>
      <c r="B25" s="106">
        <v>9.6199999999999992</v>
      </c>
      <c r="C25" s="106">
        <v>74.59</v>
      </c>
      <c r="D25" s="106">
        <v>49.52</v>
      </c>
      <c r="E25" s="106">
        <v>0.21</v>
      </c>
      <c r="F25" s="106">
        <v>3.56</v>
      </c>
      <c r="G25" s="106">
        <v>107.08</v>
      </c>
      <c r="H25" s="106">
        <v>40.42</v>
      </c>
      <c r="I25" s="106">
        <v>1.56</v>
      </c>
      <c r="J25" s="106">
        <v>0.97</v>
      </c>
      <c r="K25" s="106">
        <v>344.7</v>
      </c>
      <c r="L25" s="106">
        <v>21.91</v>
      </c>
      <c r="M25" s="106">
        <v>59.13</v>
      </c>
      <c r="N25" s="106">
        <v>51</v>
      </c>
      <c r="O25" s="106">
        <v>0</v>
      </c>
      <c r="P25" s="106">
        <v>0.92</v>
      </c>
      <c r="Q25" s="106">
        <v>7.69</v>
      </c>
      <c r="R25" s="43"/>
      <c r="S25" s="43"/>
      <c r="T25" s="43"/>
      <c r="U25" s="43"/>
    </row>
    <row r="26" spans="1:21" s="11" customFormat="1" x14ac:dyDescent="0.25">
      <c r="A26" s="105" t="s">
        <v>766</v>
      </c>
      <c r="B26" s="106">
        <v>15.44</v>
      </c>
      <c r="C26" s="106">
        <v>75.5</v>
      </c>
      <c r="D26" s="106">
        <v>54.68</v>
      </c>
      <c r="E26" s="106">
        <v>0.26</v>
      </c>
      <c r="F26" s="106">
        <v>3.36</v>
      </c>
      <c r="G26" s="106">
        <v>121.62</v>
      </c>
      <c r="H26" s="106">
        <v>40.43</v>
      </c>
      <c r="I26" s="106">
        <v>1.55</v>
      </c>
      <c r="J26" s="106">
        <v>0.71</v>
      </c>
      <c r="K26" s="106">
        <v>347.9</v>
      </c>
      <c r="L26" s="106">
        <v>20.84</v>
      </c>
      <c r="M26" s="106">
        <v>64.61</v>
      </c>
      <c r="N26" s="106">
        <v>15.4</v>
      </c>
      <c r="O26" s="106">
        <v>0</v>
      </c>
      <c r="P26" s="106">
        <v>1.1000000000000001</v>
      </c>
      <c r="Q26" s="106">
        <v>8.5299999999999994</v>
      </c>
      <c r="R26" s="43"/>
      <c r="S26" s="43"/>
      <c r="T26" s="43"/>
      <c r="U26" s="43"/>
    </row>
    <row r="27" spans="1:21" s="11" customFormat="1" x14ac:dyDescent="0.25">
      <c r="A27" s="105" t="s">
        <v>767</v>
      </c>
      <c r="B27" s="106">
        <v>15.71</v>
      </c>
      <c r="C27" s="106">
        <v>74.86</v>
      </c>
      <c r="D27" s="106">
        <v>54.56</v>
      </c>
      <c r="E27" s="106">
        <v>0.23</v>
      </c>
      <c r="F27" s="106">
        <v>3.57</v>
      </c>
      <c r="G27" s="106">
        <v>128.16999999999999</v>
      </c>
      <c r="H27" s="106">
        <v>42.69</v>
      </c>
      <c r="I27" s="106">
        <v>1.53</v>
      </c>
      <c r="J27" s="106">
        <v>0.67</v>
      </c>
      <c r="K27" s="106">
        <v>109.8</v>
      </c>
      <c r="L27" s="106">
        <v>19.53</v>
      </c>
      <c r="M27" s="106">
        <v>66.94</v>
      </c>
      <c r="N27" s="106">
        <v>9.6999999999999993</v>
      </c>
      <c r="O27" s="106">
        <v>0</v>
      </c>
      <c r="P27" s="106">
        <v>1.1399999999999999</v>
      </c>
      <c r="Q27" s="106">
        <v>8.51</v>
      </c>
      <c r="R27" s="43"/>
      <c r="S27" s="43"/>
      <c r="T27" s="43"/>
      <c r="U27" s="43"/>
    </row>
    <row r="28" spans="1:21" s="11" customFormat="1" x14ac:dyDescent="0.25">
      <c r="A28" s="105" t="s">
        <v>768</v>
      </c>
      <c r="B28" s="106">
        <v>16.649999999999999</v>
      </c>
      <c r="C28" s="106">
        <v>72.3</v>
      </c>
      <c r="D28" s="106">
        <v>51.35</v>
      </c>
      <c r="E28" s="106">
        <v>0.28000000000000003</v>
      </c>
      <c r="F28" s="106">
        <v>3.38</v>
      </c>
      <c r="G28" s="106">
        <v>125.49</v>
      </c>
      <c r="H28" s="106">
        <v>47.2</v>
      </c>
      <c r="I28" s="106">
        <v>1.56</v>
      </c>
      <c r="J28" s="106">
        <v>0.4</v>
      </c>
      <c r="K28" s="106">
        <v>349.28</v>
      </c>
      <c r="L28" s="106">
        <v>19.59</v>
      </c>
      <c r="M28" s="106">
        <v>70.680000000000007</v>
      </c>
      <c r="N28" s="106">
        <v>9.9</v>
      </c>
      <c r="O28" s="106">
        <v>0</v>
      </c>
      <c r="P28" s="106">
        <v>1.26</v>
      </c>
      <c r="Q28" s="106">
        <v>8.24</v>
      </c>
      <c r="R28" s="43"/>
      <c r="S28" s="43"/>
      <c r="T28" s="43"/>
      <c r="U28" s="43"/>
    </row>
    <row r="29" spans="1:21" s="11" customFormat="1" x14ac:dyDescent="0.25">
      <c r="A29" s="105" t="s">
        <v>769</v>
      </c>
      <c r="B29" s="106">
        <v>18.04</v>
      </c>
      <c r="C29" s="106">
        <v>70.56</v>
      </c>
      <c r="D29" s="106">
        <v>53.25</v>
      </c>
      <c r="E29" s="106">
        <v>0.28000000000000003</v>
      </c>
      <c r="F29" s="106">
        <v>3.33</v>
      </c>
      <c r="G29" s="106">
        <v>120.88</v>
      </c>
      <c r="H29" s="106">
        <v>44.48</v>
      </c>
      <c r="I29" s="106">
        <v>1.53</v>
      </c>
      <c r="J29" s="106">
        <v>1.53</v>
      </c>
      <c r="K29" s="106">
        <v>349.62</v>
      </c>
      <c r="L29" s="106">
        <v>19.03</v>
      </c>
      <c r="M29" s="106">
        <v>79.680000000000007</v>
      </c>
      <c r="N29" s="106">
        <v>10.4</v>
      </c>
      <c r="O29" s="106">
        <v>0</v>
      </c>
      <c r="P29" s="106">
        <v>1.34</v>
      </c>
      <c r="Q29" s="106">
        <v>8.7100000000000009</v>
      </c>
      <c r="R29" s="43"/>
      <c r="S29" s="43"/>
      <c r="T29" s="43"/>
      <c r="U29" s="43"/>
    </row>
    <row r="30" spans="1:21" s="11" customFormat="1" x14ac:dyDescent="0.25">
      <c r="A30" s="105" t="s">
        <v>770</v>
      </c>
      <c r="B30" s="106">
        <v>22.65</v>
      </c>
      <c r="C30" s="106">
        <v>69.89</v>
      </c>
      <c r="D30" s="106">
        <v>54.05</v>
      </c>
      <c r="E30" s="106">
        <v>0.25</v>
      </c>
      <c r="F30" s="106">
        <v>3.36</v>
      </c>
      <c r="G30" s="106">
        <v>140.19999999999999</v>
      </c>
      <c r="H30" s="106">
        <v>51.5</v>
      </c>
      <c r="I30" s="106">
        <v>1.57</v>
      </c>
      <c r="J30" s="106">
        <v>1.25</v>
      </c>
      <c r="K30" s="106">
        <v>347.04</v>
      </c>
      <c r="L30" s="106">
        <v>17.79</v>
      </c>
      <c r="M30" s="106">
        <v>85.87</v>
      </c>
      <c r="N30" s="106">
        <v>9.8000000000000007</v>
      </c>
      <c r="O30" s="106">
        <v>0</v>
      </c>
      <c r="P30" s="106">
        <v>1.34</v>
      </c>
      <c r="Q30" s="106">
        <v>8.9700000000000006</v>
      </c>
      <c r="R30" s="43"/>
      <c r="S30" s="43"/>
      <c r="T30" s="43"/>
      <c r="U30" s="43"/>
    </row>
    <row r="31" spans="1:21" s="11" customFormat="1" x14ac:dyDescent="0.25">
      <c r="A31" s="105" t="s">
        <v>771</v>
      </c>
      <c r="B31" s="106">
        <v>27.34</v>
      </c>
      <c r="C31" s="106">
        <v>62.69</v>
      </c>
      <c r="D31" s="106">
        <v>53.85</v>
      </c>
      <c r="E31" s="106">
        <v>0.26</v>
      </c>
      <c r="F31" s="106">
        <v>3.18</v>
      </c>
      <c r="G31" s="106">
        <v>148.43</v>
      </c>
      <c r="H31" s="106">
        <v>66.06</v>
      </c>
      <c r="I31" s="106">
        <v>1.56</v>
      </c>
      <c r="J31" s="106">
        <v>1.39</v>
      </c>
      <c r="K31" s="106">
        <v>346.7</v>
      </c>
      <c r="L31" s="106">
        <v>17.190000000000001</v>
      </c>
      <c r="M31" s="106">
        <v>90.22</v>
      </c>
      <c r="N31" s="106">
        <v>9.8000000000000007</v>
      </c>
      <c r="O31" s="106">
        <v>0</v>
      </c>
      <c r="P31" s="106">
        <v>1.32</v>
      </c>
      <c r="Q31" s="106">
        <v>9.06</v>
      </c>
      <c r="R31" s="43"/>
      <c r="S31" s="43"/>
      <c r="T31" s="43"/>
      <c r="U31" s="43"/>
    </row>
    <row r="32" spans="1:21" s="11" customFormat="1" x14ac:dyDescent="0.25">
      <c r="A32" s="105" t="s">
        <v>772</v>
      </c>
      <c r="B32" s="106">
        <v>29.16</v>
      </c>
      <c r="C32" s="106">
        <v>55.64</v>
      </c>
      <c r="D32" s="106">
        <v>54.27</v>
      </c>
      <c r="E32" s="106">
        <v>0.3</v>
      </c>
      <c r="F32" s="106">
        <v>3.11</v>
      </c>
      <c r="G32" s="106">
        <v>147.80000000000001</v>
      </c>
      <c r="H32" s="106">
        <v>64.52</v>
      </c>
      <c r="I32" s="106">
        <v>1.55</v>
      </c>
      <c r="J32" s="106">
        <v>0.88</v>
      </c>
      <c r="K32" s="106">
        <v>345.3</v>
      </c>
      <c r="L32" s="106">
        <v>16.61</v>
      </c>
      <c r="M32" s="106">
        <v>91.54</v>
      </c>
      <c r="N32" s="106">
        <v>9.4</v>
      </c>
      <c r="O32" s="106">
        <v>0</v>
      </c>
      <c r="P32" s="106">
        <v>1.28</v>
      </c>
      <c r="Q32" s="106">
        <v>9.09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7.92</v>
      </c>
      <c r="C34" s="28">
        <f t="shared" si="0"/>
        <v>51.46</v>
      </c>
      <c r="D34" s="28">
        <f t="shared" si="0"/>
        <v>38.33</v>
      </c>
      <c r="E34" s="28">
        <f t="shared" si="0"/>
        <v>0.08</v>
      </c>
      <c r="F34" s="28">
        <f t="shared" si="0"/>
        <v>3.11</v>
      </c>
      <c r="G34" s="28">
        <f t="shared" si="0"/>
        <v>50.22</v>
      </c>
      <c r="H34" s="28">
        <f t="shared" si="0"/>
        <v>13.03</v>
      </c>
      <c r="I34" s="28">
        <f t="shared" si="0"/>
        <v>1.5</v>
      </c>
      <c r="J34" s="28">
        <f t="shared" si="0"/>
        <v>0.13</v>
      </c>
      <c r="K34" s="28">
        <f t="shared" si="0"/>
        <v>109.8</v>
      </c>
      <c r="L34" s="28">
        <f t="shared" si="0"/>
        <v>14.63</v>
      </c>
      <c r="M34" s="28">
        <f t="shared" si="0"/>
        <v>43.69</v>
      </c>
      <c r="N34" s="28">
        <f t="shared" si="0"/>
        <v>9.1999999999999993</v>
      </c>
      <c r="O34" s="28">
        <f t="shared" si="0"/>
        <v>0</v>
      </c>
      <c r="P34" s="28">
        <f t="shared" si="0"/>
        <v>0.57999999999999996</v>
      </c>
      <c r="Q34" s="28">
        <f t="shared" si="0"/>
        <v>5.21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29.16</v>
      </c>
      <c r="C35" s="29">
        <f t="shared" si="1"/>
        <v>75.5</v>
      </c>
      <c r="D35" s="29">
        <f t="shared" si="1"/>
        <v>54.68</v>
      </c>
      <c r="E35" s="29">
        <f t="shared" si="1"/>
        <v>0.41</v>
      </c>
      <c r="F35" s="29">
        <f t="shared" si="1"/>
        <v>4.05</v>
      </c>
      <c r="G35" s="29">
        <f t="shared" si="1"/>
        <v>148.43</v>
      </c>
      <c r="H35" s="29">
        <f t="shared" si="1"/>
        <v>66.06</v>
      </c>
      <c r="I35" s="29">
        <f t="shared" si="1"/>
        <v>1.65</v>
      </c>
      <c r="J35" s="29">
        <f t="shared" si="1"/>
        <v>2.0299999999999998</v>
      </c>
      <c r="K35" s="29">
        <f t="shared" si="1"/>
        <v>357.02</v>
      </c>
      <c r="L35" s="29">
        <f t="shared" si="1"/>
        <v>27.02</v>
      </c>
      <c r="M35" s="29">
        <f t="shared" si="1"/>
        <v>96</v>
      </c>
      <c r="N35" s="29">
        <f t="shared" si="1"/>
        <v>426.9</v>
      </c>
      <c r="O35" s="29">
        <f t="shared" si="1"/>
        <v>0</v>
      </c>
      <c r="P35" s="29">
        <f t="shared" si="1"/>
        <v>1.34</v>
      </c>
      <c r="Q35" s="29">
        <f t="shared" si="1"/>
        <v>9.09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16.512083333333329</v>
      </c>
      <c r="C36" s="28">
        <f t="shared" si="2"/>
        <v>63.352499999999999</v>
      </c>
      <c r="D36" s="28">
        <f t="shared" si="2"/>
        <v>48.136666666666663</v>
      </c>
      <c r="E36" s="28">
        <f t="shared" si="2"/>
        <v>0.19624999999999995</v>
      </c>
      <c r="F36" s="28">
        <f t="shared" si="2"/>
        <v>3.4437499999999996</v>
      </c>
      <c r="G36" s="28">
        <f t="shared" si="2"/>
        <v>104.46666666666665</v>
      </c>
      <c r="H36" s="28">
        <f t="shared" si="2"/>
        <v>42.603749999999991</v>
      </c>
      <c r="I36" s="28">
        <f t="shared" si="2"/>
        <v>1.5466666666666669</v>
      </c>
      <c r="J36" s="28">
        <f t="shared" si="2"/>
        <v>0.87208333333333332</v>
      </c>
      <c r="K36" s="28">
        <f t="shared" si="2"/>
        <v>315.22166666666664</v>
      </c>
      <c r="L36" s="28">
        <f t="shared" si="2"/>
        <v>19.512500000000003</v>
      </c>
      <c r="M36" s="28">
        <f t="shared" si="2"/>
        <v>74.139583333333363</v>
      </c>
      <c r="N36" s="28">
        <f t="shared" si="2"/>
        <v>118.74583333333335</v>
      </c>
      <c r="O36" s="28">
        <f t="shared" si="2"/>
        <v>0</v>
      </c>
      <c r="P36" s="28">
        <f t="shared" si="2"/>
        <v>0.90958333333333341</v>
      </c>
      <c r="Q36" s="28">
        <f t="shared" si="2"/>
        <v>7.3058333333333332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6.4906159546698339</v>
      </c>
      <c r="C37" s="28">
        <f t="shared" ref="C37:Q37" si="3">STDEV(C9:C32)</f>
        <v>9.0282798448276633</v>
      </c>
      <c r="D37" s="28">
        <f t="shared" si="3"/>
        <v>4.7551945661895738</v>
      </c>
      <c r="E37" s="28">
        <f t="shared" si="3"/>
        <v>8.0098444863587956E-2</v>
      </c>
      <c r="F37" s="28">
        <f t="shared" si="3"/>
        <v>0.24260923133804038</v>
      </c>
      <c r="G37" s="28">
        <f t="shared" si="3"/>
        <v>28.122003247753689</v>
      </c>
      <c r="H37" s="28">
        <f t="shared" si="3"/>
        <v>11.011581575974851</v>
      </c>
      <c r="I37" s="28">
        <f t="shared" si="3"/>
        <v>2.9142329390747748E-2</v>
      </c>
      <c r="J37" s="28">
        <f t="shared" si="3"/>
        <v>0.58671509393339738</v>
      </c>
      <c r="K37" s="28">
        <f t="shared" si="3"/>
        <v>71.424791985311003</v>
      </c>
      <c r="L37" s="28">
        <f t="shared" si="3"/>
        <v>3.9168923462579088</v>
      </c>
      <c r="M37" s="28">
        <f t="shared" si="3"/>
        <v>16.999347168837495</v>
      </c>
      <c r="N37" s="28">
        <f t="shared" si="3"/>
        <v>156.2941095420305</v>
      </c>
      <c r="O37" s="28">
        <f t="shared" si="3"/>
        <v>0</v>
      </c>
      <c r="P37" s="28">
        <f t="shared" si="3"/>
        <v>0.2506769819416263</v>
      </c>
      <c r="Q37" s="28">
        <f t="shared" si="3"/>
        <v>1.2947818908710189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sqref="A1:XFD104857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30/07/2024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773</v>
      </c>
      <c r="B9" s="106">
        <v>44.21</v>
      </c>
      <c r="C9" s="106">
        <v>94.61</v>
      </c>
      <c r="D9" s="106">
        <v>87.98</v>
      </c>
      <c r="E9" s="106">
        <v>0.17</v>
      </c>
      <c r="F9" s="106">
        <v>3.36</v>
      </c>
      <c r="G9" s="106">
        <v>169.03</v>
      </c>
      <c r="H9" s="106">
        <v>88.51</v>
      </c>
      <c r="I9" s="106">
        <v>1.55</v>
      </c>
      <c r="J9" s="106">
        <v>0.19</v>
      </c>
      <c r="K9" s="106">
        <v>326.07</v>
      </c>
      <c r="L9" s="106">
        <v>15.62</v>
      </c>
      <c r="M9" s="106">
        <v>93.48</v>
      </c>
      <c r="N9" s="106">
        <v>62.7</v>
      </c>
      <c r="O9" s="106">
        <v>0</v>
      </c>
      <c r="P9" s="106">
        <v>1.76</v>
      </c>
      <c r="Q9" s="106">
        <v>9.9700000000000006</v>
      </c>
      <c r="R9" s="43"/>
      <c r="S9" s="43"/>
      <c r="T9" s="43"/>
      <c r="U9" s="43"/>
    </row>
    <row r="10" spans="1:21" s="11" customFormat="1" x14ac:dyDescent="0.25">
      <c r="A10" s="49" t="s">
        <v>774</v>
      </c>
      <c r="B10" s="106">
        <v>39.979999999999997</v>
      </c>
      <c r="C10" s="106">
        <v>93.13</v>
      </c>
      <c r="D10" s="106">
        <v>83.89</v>
      </c>
      <c r="E10" s="106">
        <v>0.14000000000000001</v>
      </c>
      <c r="F10" s="106">
        <v>3.35</v>
      </c>
      <c r="G10" s="106">
        <v>166.98</v>
      </c>
      <c r="H10" s="106">
        <v>88.51</v>
      </c>
      <c r="I10" s="106">
        <v>1.51</v>
      </c>
      <c r="J10" s="106">
        <v>0.15</v>
      </c>
      <c r="K10" s="106">
        <v>355.93</v>
      </c>
      <c r="L10" s="106">
        <v>15.15</v>
      </c>
      <c r="M10" s="106">
        <v>95.17</v>
      </c>
      <c r="N10" s="106">
        <v>63.4</v>
      </c>
      <c r="O10" s="106">
        <v>0</v>
      </c>
      <c r="P10" s="106">
        <v>1.55</v>
      </c>
      <c r="Q10" s="106">
        <v>9.85</v>
      </c>
      <c r="R10" s="43"/>
      <c r="S10" s="43"/>
      <c r="T10" s="43"/>
      <c r="U10" s="43"/>
    </row>
    <row r="11" spans="1:21" s="11" customFormat="1" x14ac:dyDescent="0.25">
      <c r="A11" s="49" t="s">
        <v>775</v>
      </c>
      <c r="B11" s="106">
        <v>34.869999999999997</v>
      </c>
      <c r="C11" s="106">
        <v>89.82</v>
      </c>
      <c r="D11" s="106">
        <v>78.180000000000007</v>
      </c>
      <c r="E11" s="106">
        <v>0.11</v>
      </c>
      <c r="F11" s="106">
        <v>3.47</v>
      </c>
      <c r="G11" s="106">
        <v>147.16</v>
      </c>
      <c r="H11" s="106">
        <v>87.64</v>
      </c>
      <c r="I11" s="106">
        <v>1.55</v>
      </c>
      <c r="J11" s="106">
        <v>0.11</v>
      </c>
      <c r="K11" s="106">
        <v>334.23</v>
      </c>
      <c r="L11" s="106">
        <v>14.5</v>
      </c>
      <c r="M11" s="106">
        <v>97.83</v>
      </c>
      <c r="N11" s="106">
        <v>61.4</v>
      </c>
      <c r="O11" s="106">
        <v>0</v>
      </c>
      <c r="P11" s="106">
        <v>1.43</v>
      </c>
      <c r="Q11" s="106">
        <v>9.5500000000000007</v>
      </c>
      <c r="R11" s="43"/>
      <c r="S11" s="43"/>
      <c r="T11" s="43"/>
      <c r="U11" s="43"/>
    </row>
    <row r="12" spans="1:21" s="11" customFormat="1" x14ac:dyDescent="0.25">
      <c r="A12" s="49" t="s">
        <v>776</v>
      </c>
      <c r="B12" s="106">
        <v>29.11</v>
      </c>
      <c r="C12" s="106">
        <v>87.64</v>
      </c>
      <c r="D12" s="106">
        <v>72.36</v>
      </c>
      <c r="E12" s="106">
        <v>0.13</v>
      </c>
      <c r="F12" s="106">
        <v>3.39</v>
      </c>
      <c r="G12" s="106">
        <v>142.91</v>
      </c>
      <c r="H12" s="106">
        <v>84.39</v>
      </c>
      <c r="I12" s="106">
        <v>1.52</v>
      </c>
      <c r="J12" s="106">
        <v>0.17</v>
      </c>
      <c r="K12" s="106">
        <v>105.31</v>
      </c>
      <c r="L12" s="106">
        <v>14.31</v>
      </c>
      <c r="M12" s="106">
        <v>97.84</v>
      </c>
      <c r="N12" s="106">
        <v>61.1</v>
      </c>
      <c r="O12" s="106">
        <v>0</v>
      </c>
      <c r="P12" s="106">
        <v>1.25</v>
      </c>
      <c r="Q12" s="106">
        <v>9.2100000000000009</v>
      </c>
      <c r="R12" s="43"/>
      <c r="S12" s="43"/>
      <c r="T12" s="43"/>
      <c r="U12" s="43"/>
    </row>
    <row r="13" spans="1:21" s="11" customFormat="1" x14ac:dyDescent="0.25">
      <c r="A13" s="49" t="s">
        <v>777</v>
      </c>
      <c r="B13" s="106">
        <v>24.35</v>
      </c>
      <c r="C13" s="106">
        <v>82.87</v>
      </c>
      <c r="D13" s="106">
        <v>65.3</v>
      </c>
      <c r="E13" s="106">
        <v>0.24</v>
      </c>
      <c r="F13" s="106">
        <v>3.15</v>
      </c>
      <c r="G13" s="106">
        <v>140.61000000000001</v>
      </c>
      <c r="H13" s="106">
        <v>81.5</v>
      </c>
      <c r="I13" s="106">
        <v>1.53</v>
      </c>
      <c r="J13" s="106">
        <v>0.13</v>
      </c>
      <c r="K13" s="106">
        <v>93.89</v>
      </c>
      <c r="L13" s="106">
        <v>13.97</v>
      </c>
      <c r="M13" s="106">
        <v>97.85</v>
      </c>
      <c r="N13" s="106">
        <v>62.9</v>
      </c>
      <c r="O13" s="106">
        <v>0</v>
      </c>
      <c r="P13" s="106">
        <v>1.1499999999999999</v>
      </c>
      <c r="Q13" s="106">
        <v>8.59</v>
      </c>
      <c r="R13" s="43"/>
      <c r="S13" s="43"/>
      <c r="T13" s="43"/>
      <c r="U13" s="43"/>
    </row>
    <row r="14" spans="1:21" s="11" customFormat="1" x14ac:dyDescent="0.25">
      <c r="A14" s="49" t="s">
        <v>778</v>
      </c>
      <c r="B14" s="106">
        <v>19.93</v>
      </c>
      <c r="C14" s="106">
        <v>83.34</v>
      </c>
      <c r="D14" s="106">
        <v>62.36</v>
      </c>
      <c r="E14" s="106">
        <v>0.24</v>
      </c>
      <c r="F14" s="106">
        <v>3.35</v>
      </c>
      <c r="G14" s="106">
        <v>130.36000000000001</v>
      </c>
      <c r="H14" s="106">
        <v>61.16</v>
      </c>
      <c r="I14" s="106">
        <v>1.48</v>
      </c>
      <c r="J14" s="106">
        <v>0.3</v>
      </c>
      <c r="K14" s="106">
        <v>109.91</v>
      </c>
      <c r="L14" s="106">
        <v>14.35</v>
      </c>
      <c r="M14" s="106">
        <v>97.81</v>
      </c>
      <c r="N14" s="106">
        <v>60.7</v>
      </c>
      <c r="O14" s="106">
        <v>0</v>
      </c>
      <c r="P14" s="106">
        <v>1.06</v>
      </c>
      <c r="Q14" s="106">
        <v>8.09</v>
      </c>
      <c r="R14" s="43"/>
      <c r="S14" s="43"/>
      <c r="T14" s="43"/>
      <c r="U14" s="43"/>
    </row>
    <row r="15" spans="1:21" s="11" customFormat="1" x14ac:dyDescent="0.25">
      <c r="A15" s="49" t="s">
        <v>779</v>
      </c>
      <c r="B15" s="106">
        <v>14.26</v>
      </c>
      <c r="C15" s="106">
        <v>83.32</v>
      </c>
      <c r="D15" s="106">
        <v>58.06</v>
      </c>
      <c r="E15" s="106">
        <v>0.21</v>
      </c>
      <c r="F15" s="106">
        <v>3.36</v>
      </c>
      <c r="G15" s="106">
        <v>118.06</v>
      </c>
      <c r="H15" s="106">
        <v>72.17</v>
      </c>
      <c r="I15" s="106">
        <v>1.53</v>
      </c>
      <c r="J15" s="106">
        <v>0.28000000000000003</v>
      </c>
      <c r="K15" s="106">
        <v>108.63</v>
      </c>
      <c r="L15" s="106">
        <v>14.27</v>
      </c>
      <c r="M15" s="106">
        <v>91.56</v>
      </c>
      <c r="N15" s="106">
        <v>77.3</v>
      </c>
      <c r="O15" s="106">
        <v>0</v>
      </c>
      <c r="P15" s="106">
        <v>0.93</v>
      </c>
      <c r="Q15" s="106">
        <v>7.65</v>
      </c>
      <c r="R15" s="43"/>
      <c r="S15" s="43"/>
      <c r="T15" s="43"/>
      <c r="U15" s="43"/>
    </row>
    <row r="16" spans="1:21" s="11" customFormat="1" x14ac:dyDescent="0.25">
      <c r="A16" s="49" t="s">
        <v>780</v>
      </c>
      <c r="B16" s="106">
        <v>13.34</v>
      </c>
      <c r="C16" s="106">
        <v>82.31</v>
      </c>
      <c r="D16" s="106">
        <v>56.62</v>
      </c>
      <c r="E16" s="106">
        <v>0.19</v>
      </c>
      <c r="F16" s="106">
        <v>3.49</v>
      </c>
      <c r="G16" s="106">
        <v>101.41</v>
      </c>
      <c r="H16" s="106">
        <v>72.17</v>
      </c>
      <c r="I16" s="106">
        <v>1.56</v>
      </c>
      <c r="J16" s="106">
        <v>0.77</v>
      </c>
      <c r="K16" s="106">
        <v>115.19</v>
      </c>
      <c r="L16" s="106">
        <v>15.78</v>
      </c>
      <c r="M16" s="106">
        <v>84.45</v>
      </c>
      <c r="N16" s="106">
        <v>175.5</v>
      </c>
      <c r="O16" s="106">
        <v>0</v>
      </c>
      <c r="P16" s="106">
        <v>0.89</v>
      </c>
      <c r="Q16" s="106">
        <v>7.3</v>
      </c>
      <c r="R16" s="43"/>
      <c r="S16" s="43"/>
      <c r="T16" s="43"/>
      <c r="U16" s="43"/>
    </row>
    <row r="17" spans="1:21" s="11" customFormat="1" x14ac:dyDescent="0.25">
      <c r="A17" s="49" t="s">
        <v>781</v>
      </c>
      <c r="B17" s="106">
        <v>13.61</v>
      </c>
      <c r="C17" s="106">
        <v>81.739999999999995</v>
      </c>
      <c r="D17" s="106">
        <v>56.67</v>
      </c>
      <c r="E17" s="106">
        <v>0.21</v>
      </c>
      <c r="F17" s="106">
        <v>3.63</v>
      </c>
      <c r="G17" s="106">
        <v>89.03</v>
      </c>
      <c r="H17" s="106">
        <v>46.72</v>
      </c>
      <c r="I17" s="106">
        <v>1.54</v>
      </c>
      <c r="J17" s="106">
        <v>1.3</v>
      </c>
      <c r="K17" s="106">
        <v>119.94</v>
      </c>
      <c r="L17" s="106">
        <v>17.5</v>
      </c>
      <c r="M17" s="106">
        <v>75.010000000000005</v>
      </c>
      <c r="N17" s="106">
        <v>313.10000000000002</v>
      </c>
      <c r="O17" s="106">
        <v>0</v>
      </c>
      <c r="P17" s="106">
        <v>0.85</v>
      </c>
      <c r="Q17" s="106">
        <v>7.44</v>
      </c>
      <c r="R17" s="43"/>
      <c r="S17" s="43"/>
      <c r="T17" s="43"/>
      <c r="U17" s="43"/>
    </row>
    <row r="18" spans="1:21" s="11" customFormat="1" x14ac:dyDescent="0.25">
      <c r="A18" s="49" t="s">
        <v>782</v>
      </c>
      <c r="B18" s="106">
        <v>13.06</v>
      </c>
      <c r="C18" s="106">
        <v>80.42</v>
      </c>
      <c r="D18" s="106">
        <v>55.44</v>
      </c>
      <c r="E18" s="106">
        <v>0.26</v>
      </c>
      <c r="F18" s="106">
        <v>3.51</v>
      </c>
      <c r="G18" s="106">
        <v>78.180000000000007</v>
      </c>
      <c r="H18" s="106">
        <v>48.14</v>
      </c>
      <c r="I18" s="106">
        <v>1.54</v>
      </c>
      <c r="J18" s="106">
        <v>1.1100000000000001</v>
      </c>
      <c r="K18" s="106">
        <v>113.62</v>
      </c>
      <c r="L18" s="106">
        <v>19.66</v>
      </c>
      <c r="M18" s="106">
        <v>65.540000000000006</v>
      </c>
      <c r="N18" s="106">
        <v>435.1</v>
      </c>
      <c r="O18" s="106">
        <v>0</v>
      </c>
      <c r="P18" s="106">
        <v>0.79</v>
      </c>
      <c r="Q18" s="106">
        <v>7.56</v>
      </c>
      <c r="R18" s="43"/>
      <c r="S18" s="43"/>
      <c r="T18" s="43"/>
      <c r="U18" s="43"/>
    </row>
    <row r="19" spans="1:21" s="11" customFormat="1" x14ac:dyDescent="0.25">
      <c r="A19" s="49" t="s">
        <v>783</v>
      </c>
      <c r="B19" s="106">
        <v>12.21</v>
      </c>
      <c r="C19" s="106">
        <v>81.2</v>
      </c>
      <c r="D19" s="106">
        <v>54.93</v>
      </c>
      <c r="E19" s="106">
        <v>0.22</v>
      </c>
      <c r="F19" s="106">
        <v>3.73</v>
      </c>
      <c r="G19" s="106">
        <v>79.38</v>
      </c>
      <c r="H19" s="106">
        <v>53.82</v>
      </c>
      <c r="I19" s="106">
        <v>1.54</v>
      </c>
      <c r="J19" s="106">
        <v>0.4</v>
      </c>
      <c r="K19" s="106">
        <v>116.84</v>
      </c>
      <c r="L19" s="106">
        <v>23.4</v>
      </c>
      <c r="M19" s="106">
        <v>57.11</v>
      </c>
      <c r="N19" s="106">
        <v>553</v>
      </c>
      <c r="O19" s="106">
        <v>0</v>
      </c>
      <c r="P19" s="106">
        <v>0.76</v>
      </c>
      <c r="Q19" s="106">
        <v>7.57</v>
      </c>
      <c r="R19" s="43"/>
      <c r="S19" s="43"/>
      <c r="T19" s="43"/>
      <c r="U19" s="43"/>
    </row>
    <row r="20" spans="1:21" s="11" customFormat="1" x14ac:dyDescent="0.25">
      <c r="A20" s="49" t="s">
        <v>784</v>
      </c>
      <c r="B20" s="106">
        <v>8.6300000000000008</v>
      </c>
      <c r="C20" s="106">
        <v>84.26</v>
      </c>
      <c r="D20" s="106">
        <v>53.26</v>
      </c>
      <c r="E20" s="106">
        <v>0.25</v>
      </c>
      <c r="F20" s="106">
        <v>4.25</v>
      </c>
      <c r="G20" s="106">
        <v>79.44</v>
      </c>
      <c r="H20" s="106">
        <v>53.82</v>
      </c>
      <c r="I20" s="106">
        <v>1.52</v>
      </c>
      <c r="J20" s="106">
        <v>0.63</v>
      </c>
      <c r="K20" s="106">
        <v>341.6</v>
      </c>
      <c r="L20" s="106">
        <v>24.41</v>
      </c>
      <c r="M20" s="106">
        <v>49.44</v>
      </c>
      <c r="N20" s="106">
        <v>534.5</v>
      </c>
      <c r="O20" s="106">
        <v>0</v>
      </c>
      <c r="P20" s="106">
        <v>0.75</v>
      </c>
      <c r="Q20" s="106">
        <v>7.41</v>
      </c>
      <c r="R20" s="43"/>
      <c r="S20" s="43"/>
      <c r="T20" s="43"/>
      <c r="U20" s="43"/>
    </row>
    <row r="21" spans="1:21" s="11" customFormat="1" x14ac:dyDescent="0.25">
      <c r="A21" s="49" t="s">
        <v>785</v>
      </c>
      <c r="B21" s="106">
        <v>4.75</v>
      </c>
      <c r="C21" s="106">
        <v>83.67</v>
      </c>
      <c r="D21" s="106">
        <v>50.61</v>
      </c>
      <c r="E21" s="106">
        <v>0.21</v>
      </c>
      <c r="F21" s="106">
        <v>4.75</v>
      </c>
      <c r="G21" s="106">
        <v>82.24</v>
      </c>
      <c r="H21" s="106">
        <v>57.8</v>
      </c>
      <c r="I21" s="106">
        <v>1.53</v>
      </c>
      <c r="J21" s="106">
        <v>0.67</v>
      </c>
      <c r="K21" s="106">
        <v>349.77</v>
      </c>
      <c r="L21" s="106">
        <v>27.6</v>
      </c>
      <c r="M21" s="106">
        <v>45.11</v>
      </c>
      <c r="N21" s="106">
        <v>534.1</v>
      </c>
      <c r="O21" s="106">
        <v>0</v>
      </c>
      <c r="P21" s="106">
        <v>0.76</v>
      </c>
      <c r="Q21" s="106">
        <v>7.02</v>
      </c>
      <c r="R21" s="43"/>
      <c r="S21" s="43"/>
      <c r="T21" s="43"/>
      <c r="U21" s="43"/>
    </row>
    <row r="22" spans="1:21" s="11" customFormat="1" x14ac:dyDescent="0.25">
      <c r="A22" s="49" t="s">
        <v>786</v>
      </c>
      <c r="B22" s="106">
        <v>4.01</v>
      </c>
      <c r="C22" s="106">
        <v>83.3</v>
      </c>
      <c r="D22" s="106">
        <v>49.79</v>
      </c>
      <c r="E22" s="106">
        <v>0.24</v>
      </c>
      <c r="F22" s="106">
        <v>4.93</v>
      </c>
      <c r="G22" s="106">
        <v>83.48</v>
      </c>
      <c r="H22" s="106">
        <v>58.47</v>
      </c>
      <c r="I22" s="106">
        <v>1.52</v>
      </c>
      <c r="J22" s="106">
        <v>0.61</v>
      </c>
      <c r="K22" s="106">
        <v>350.71</v>
      </c>
      <c r="L22" s="106">
        <v>27.1</v>
      </c>
      <c r="M22" s="106">
        <v>43.7</v>
      </c>
      <c r="N22" s="106">
        <v>454.6</v>
      </c>
      <c r="O22" s="106">
        <v>0</v>
      </c>
      <c r="P22" s="106">
        <v>0.77</v>
      </c>
      <c r="Q22" s="106">
        <v>6.87</v>
      </c>
      <c r="R22" s="43"/>
      <c r="S22" s="43"/>
      <c r="T22" s="43"/>
      <c r="U22" s="43"/>
    </row>
    <row r="23" spans="1:21" s="11" customFormat="1" x14ac:dyDescent="0.25">
      <c r="A23" s="49" t="s">
        <v>787</v>
      </c>
      <c r="B23" s="106">
        <v>4.55</v>
      </c>
      <c r="C23" s="106">
        <v>85.04</v>
      </c>
      <c r="D23" s="106">
        <v>51.12</v>
      </c>
      <c r="E23" s="106">
        <v>0.16</v>
      </c>
      <c r="F23" s="106">
        <v>4.93</v>
      </c>
      <c r="G23" s="106">
        <v>87.15</v>
      </c>
      <c r="H23" s="106">
        <v>58.47</v>
      </c>
      <c r="I23" s="106">
        <v>1.53</v>
      </c>
      <c r="J23" s="106">
        <v>0.83</v>
      </c>
      <c r="K23" s="106">
        <v>349.06</v>
      </c>
      <c r="L23" s="106">
        <v>26.03</v>
      </c>
      <c r="M23" s="106">
        <v>45.45</v>
      </c>
      <c r="N23" s="106">
        <v>238</v>
      </c>
      <c r="O23" s="106">
        <v>0</v>
      </c>
      <c r="P23" s="106">
        <v>0.8</v>
      </c>
      <c r="Q23" s="106">
        <v>6.9</v>
      </c>
      <c r="R23" s="43"/>
      <c r="S23" s="43"/>
      <c r="T23" s="43"/>
      <c r="U23" s="43"/>
    </row>
    <row r="24" spans="1:21" s="11" customFormat="1" x14ac:dyDescent="0.25">
      <c r="A24" s="49" t="s">
        <v>788</v>
      </c>
      <c r="B24" s="106">
        <v>5.12</v>
      </c>
      <c r="C24" s="106">
        <v>84.46</v>
      </c>
      <c r="D24" s="106">
        <v>51.11</v>
      </c>
      <c r="E24" s="106">
        <v>0.16</v>
      </c>
      <c r="F24" s="106">
        <v>4.3</v>
      </c>
      <c r="G24" s="106">
        <v>88.29</v>
      </c>
      <c r="H24" s="106">
        <v>56.93</v>
      </c>
      <c r="I24" s="106">
        <v>1.52</v>
      </c>
      <c r="J24" s="106">
        <v>0.66</v>
      </c>
      <c r="K24" s="106">
        <v>137.85</v>
      </c>
      <c r="L24" s="106">
        <v>23.44</v>
      </c>
      <c r="M24" s="106">
        <v>46.55</v>
      </c>
      <c r="N24" s="106">
        <v>162</v>
      </c>
      <c r="O24" s="106">
        <v>0</v>
      </c>
      <c r="P24" s="106">
        <v>0.79</v>
      </c>
      <c r="Q24" s="106">
        <v>7.05</v>
      </c>
      <c r="R24" s="43"/>
      <c r="S24" s="43"/>
      <c r="T24" s="43"/>
      <c r="U24" s="43"/>
    </row>
    <row r="25" spans="1:21" s="11" customFormat="1" x14ac:dyDescent="0.25">
      <c r="A25" s="49" t="s">
        <v>789</v>
      </c>
      <c r="B25" s="106">
        <v>5.7</v>
      </c>
      <c r="C25" s="106">
        <v>84.59</v>
      </c>
      <c r="D25" s="106">
        <v>51.9</v>
      </c>
      <c r="E25" s="106">
        <v>0.04</v>
      </c>
      <c r="F25" s="106">
        <v>3.97</v>
      </c>
      <c r="G25" s="106">
        <v>84.4</v>
      </c>
      <c r="H25" s="106">
        <v>54.8</v>
      </c>
      <c r="I25" s="106">
        <v>1.54</v>
      </c>
      <c r="J25" s="106">
        <v>0.27</v>
      </c>
      <c r="K25" s="106">
        <v>113.67</v>
      </c>
      <c r="L25" s="106">
        <v>22.89</v>
      </c>
      <c r="M25" s="106">
        <v>48.07</v>
      </c>
      <c r="N25" s="106">
        <v>98.4</v>
      </c>
      <c r="O25" s="106">
        <v>0</v>
      </c>
      <c r="P25" s="106">
        <v>0.76</v>
      </c>
      <c r="Q25" s="106">
        <v>7.21</v>
      </c>
      <c r="R25" s="43"/>
      <c r="S25" s="43"/>
      <c r="T25" s="43"/>
      <c r="U25" s="43"/>
    </row>
    <row r="26" spans="1:21" s="11" customFormat="1" x14ac:dyDescent="0.25">
      <c r="A26" s="49" t="s">
        <v>790</v>
      </c>
      <c r="B26" s="106">
        <v>9.4600000000000009</v>
      </c>
      <c r="C26" s="106">
        <v>88.56</v>
      </c>
      <c r="D26" s="106">
        <v>57.1</v>
      </c>
      <c r="E26" s="106">
        <v>0.04</v>
      </c>
      <c r="F26" s="106">
        <v>3.82</v>
      </c>
      <c r="G26" s="106">
        <v>94.49</v>
      </c>
      <c r="H26" s="106">
        <v>55.96</v>
      </c>
      <c r="I26" s="106">
        <v>1.54</v>
      </c>
      <c r="J26" s="106">
        <v>7.0000000000000007E-2</v>
      </c>
      <c r="K26" s="106">
        <v>322.36</v>
      </c>
      <c r="L26" s="106">
        <v>21.3</v>
      </c>
      <c r="M26" s="106">
        <v>70.7</v>
      </c>
      <c r="N26" s="106">
        <v>52.3</v>
      </c>
      <c r="O26" s="106">
        <v>0</v>
      </c>
      <c r="P26" s="106">
        <v>1.02</v>
      </c>
      <c r="Q26" s="106">
        <v>7.52</v>
      </c>
      <c r="R26" s="43"/>
      <c r="S26" s="43"/>
      <c r="T26" s="43"/>
      <c r="U26" s="43"/>
    </row>
    <row r="27" spans="1:21" s="11" customFormat="1" x14ac:dyDescent="0.25">
      <c r="A27" s="49" t="s">
        <v>791</v>
      </c>
      <c r="B27" s="106">
        <v>25.9</v>
      </c>
      <c r="C27" s="106">
        <v>95.07</v>
      </c>
      <c r="D27" s="106">
        <v>73.88</v>
      </c>
      <c r="E27" s="106">
        <v>0.13</v>
      </c>
      <c r="F27" s="106">
        <v>3.46</v>
      </c>
      <c r="G27" s="106">
        <v>116.22</v>
      </c>
      <c r="H27" s="106">
        <v>72.150000000000006</v>
      </c>
      <c r="I27" s="106">
        <v>1.54</v>
      </c>
      <c r="J27" s="106">
        <v>0.08</v>
      </c>
      <c r="K27" s="106">
        <v>314.83</v>
      </c>
      <c r="L27" s="106">
        <v>18.670000000000002</v>
      </c>
      <c r="M27" s="106">
        <v>75.599999999999994</v>
      </c>
      <c r="N27" s="106">
        <v>44.1</v>
      </c>
      <c r="O27" s="106">
        <v>0</v>
      </c>
      <c r="P27" s="106">
        <v>1.41</v>
      </c>
      <c r="Q27" s="106">
        <v>8.6199999999999992</v>
      </c>
      <c r="R27" s="43"/>
      <c r="S27" s="43"/>
      <c r="T27" s="43"/>
      <c r="U27" s="43"/>
    </row>
    <row r="28" spans="1:21" s="11" customFormat="1" x14ac:dyDescent="0.25">
      <c r="A28" s="49" t="s">
        <v>792</v>
      </c>
      <c r="B28" s="106">
        <v>41.79</v>
      </c>
      <c r="C28" s="106">
        <v>97.56</v>
      </c>
      <c r="D28" s="106">
        <v>87.06</v>
      </c>
      <c r="E28" s="106">
        <v>0.17</v>
      </c>
      <c r="F28" s="106">
        <v>3.44</v>
      </c>
      <c r="G28" s="106">
        <v>137.80000000000001</v>
      </c>
      <c r="H28" s="106">
        <v>75.180000000000007</v>
      </c>
      <c r="I28" s="106">
        <v>1.59</v>
      </c>
      <c r="J28" s="106">
        <v>0.15</v>
      </c>
      <c r="K28" s="106">
        <v>313.64999999999998</v>
      </c>
      <c r="L28" s="106">
        <v>18.32</v>
      </c>
      <c r="M28" s="106">
        <v>82.7</v>
      </c>
      <c r="N28" s="106">
        <v>44.4</v>
      </c>
      <c r="O28" s="106">
        <v>0</v>
      </c>
      <c r="P28" s="106">
        <v>1.82</v>
      </c>
      <c r="Q28" s="106">
        <v>9.65</v>
      </c>
      <c r="R28" s="43"/>
      <c r="S28" s="43"/>
      <c r="T28" s="43"/>
      <c r="U28" s="43"/>
    </row>
    <row r="29" spans="1:21" s="11" customFormat="1" x14ac:dyDescent="0.25">
      <c r="A29" s="49" t="s">
        <v>793</v>
      </c>
      <c r="B29" s="106">
        <v>59.49</v>
      </c>
      <c r="C29" s="106">
        <v>96.79</v>
      </c>
      <c r="D29" s="106">
        <v>101.76</v>
      </c>
      <c r="E29" s="106">
        <v>0.28000000000000003</v>
      </c>
      <c r="F29" s="106">
        <v>3.47</v>
      </c>
      <c r="G29" s="106">
        <v>162.59</v>
      </c>
      <c r="H29" s="106">
        <v>84.74</v>
      </c>
      <c r="I29" s="106">
        <v>1.59</v>
      </c>
      <c r="J29" s="106">
        <v>0.11</v>
      </c>
      <c r="K29" s="106">
        <v>312.95999999999998</v>
      </c>
      <c r="L29" s="106">
        <v>16.75</v>
      </c>
      <c r="M29" s="106">
        <v>88.1</v>
      </c>
      <c r="N29" s="106">
        <v>44.7</v>
      </c>
      <c r="O29" s="106">
        <v>0</v>
      </c>
      <c r="P29" s="106">
        <v>2.27</v>
      </c>
      <c r="Q29" s="106">
        <v>10.9</v>
      </c>
      <c r="R29" s="43"/>
      <c r="S29" s="43"/>
      <c r="T29" s="43"/>
      <c r="U29" s="43"/>
    </row>
    <row r="30" spans="1:21" s="11" customFormat="1" x14ac:dyDescent="0.25">
      <c r="A30" s="49" t="s">
        <v>794</v>
      </c>
      <c r="B30" s="106">
        <v>73.25</v>
      </c>
      <c r="C30" s="106">
        <v>97.12</v>
      </c>
      <c r="D30" s="106">
        <v>111.55</v>
      </c>
      <c r="E30" s="106">
        <v>0.26</v>
      </c>
      <c r="F30" s="106">
        <v>3.17</v>
      </c>
      <c r="G30" s="106">
        <v>173.52</v>
      </c>
      <c r="H30" s="106">
        <v>84.74</v>
      </c>
      <c r="I30" s="106">
        <v>1.54</v>
      </c>
      <c r="J30" s="106">
        <v>0.12</v>
      </c>
      <c r="K30" s="106">
        <v>313.76</v>
      </c>
      <c r="L30" s="106">
        <v>16.309999999999999</v>
      </c>
      <c r="M30" s="106">
        <v>86.98</v>
      </c>
      <c r="N30" s="106">
        <v>44.6</v>
      </c>
      <c r="O30" s="106">
        <v>0</v>
      </c>
      <c r="P30" s="106">
        <v>2.48</v>
      </c>
      <c r="Q30" s="106">
        <v>12.14</v>
      </c>
      <c r="R30" s="43"/>
      <c r="S30" s="43"/>
      <c r="T30" s="43"/>
      <c r="U30" s="43"/>
    </row>
    <row r="31" spans="1:21" s="11" customFormat="1" x14ac:dyDescent="0.25">
      <c r="A31" s="49" t="s">
        <v>795</v>
      </c>
      <c r="B31" s="106">
        <v>82.05</v>
      </c>
      <c r="C31" s="106">
        <v>90.22</v>
      </c>
      <c r="D31" s="106">
        <v>113.32</v>
      </c>
      <c r="E31" s="106">
        <v>0.34</v>
      </c>
      <c r="F31" s="106">
        <v>3.44</v>
      </c>
      <c r="G31" s="106">
        <v>174.99</v>
      </c>
      <c r="H31" s="106">
        <v>83.95</v>
      </c>
      <c r="I31" s="106">
        <v>1.52</v>
      </c>
      <c r="J31" s="106">
        <v>0.12</v>
      </c>
      <c r="K31" s="106">
        <v>319.48</v>
      </c>
      <c r="L31" s="106">
        <v>15.92</v>
      </c>
      <c r="M31" s="106">
        <v>89.94</v>
      </c>
      <c r="N31" s="106">
        <v>44.6</v>
      </c>
      <c r="O31" s="106">
        <v>0</v>
      </c>
      <c r="P31" s="106">
        <v>2.5</v>
      </c>
      <c r="Q31" s="106">
        <v>12.48</v>
      </c>
      <c r="R31" s="43"/>
      <c r="S31" s="43"/>
      <c r="T31" s="43"/>
      <c r="U31" s="43"/>
    </row>
    <row r="32" spans="1:21" s="11" customFormat="1" x14ac:dyDescent="0.25">
      <c r="A32" s="49" t="s">
        <v>796</v>
      </c>
      <c r="B32" s="106">
        <v>86.25</v>
      </c>
      <c r="C32" s="106">
        <v>85.02</v>
      </c>
      <c r="D32" s="106">
        <v>113.99</v>
      </c>
      <c r="E32" s="106">
        <v>0.33</v>
      </c>
      <c r="F32" s="106">
        <v>3.42</v>
      </c>
      <c r="G32" s="106">
        <v>167.87</v>
      </c>
      <c r="H32" s="106">
        <v>78.650000000000006</v>
      </c>
      <c r="I32" s="106">
        <v>1.53</v>
      </c>
      <c r="J32" s="106">
        <v>0.14000000000000001</v>
      </c>
      <c r="K32" s="106">
        <v>302.41000000000003</v>
      </c>
      <c r="L32" s="106">
        <v>15.2</v>
      </c>
      <c r="M32" s="106">
        <v>91.06</v>
      </c>
      <c r="N32" s="106">
        <v>44.7</v>
      </c>
      <c r="O32" s="106">
        <v>0</v>
      </c>
      <c r="P32" s="106">
        <v>2.48</v>
      </c>
      <c r="Q32" s="106">
        <v>12.69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4.01</v>
      </c>
      <c r="C34" s="28">
        <f t="shared" si="0"/>
        <v>80.42</v>
      </c>
      <c r="D34" s="28">
        <f t="shared" si="0"/>
        <v>49.79</v>
      </c>
      <c r="E34" s="28">
        <f t="shared" si="0"/>
        <v>0.04</v>
      </c>
      <c r="F34" s="28">
        <f t="shared" si="0"/>
        <v>3.15</v>
      </c>
      <c r="G34" s="28">
        <f t="shared" si="0"/>
        <v>78.180000000000007</v>
      </c>
      <c r="H34" s="28">
        <f t="shared" si="0"/>
        <v>46.72</v>
      </c>
      <c r="I34" s="28">
        <f t="shared" si="0"/>
        <v>1.48</v>
      </c>
      <c r="J34" s="28">
        <f t="shared" si="0"/>
        <v>7.0000000000000007E-2</v>
      </c>
      <c r="K34" s="28">
        <f t="shared" si="0"/>
        <v>93.89</v>
      </c>
      <c r="L34" s="28">
        <f t="shared" si="0"/>
        <v>13.97</v>
      </c>
      <c r="M34" s="28">
        <f t="shared" si="0"/>
        <v>43.7</v>
      </c>
      <c r="N34" s="28">
        <f t="shared" si="0"/>
        <v>44.1</v>
      </c>
      <c r="O34" s="28">
        <f t="shared" si="0"/>
        <v>0</v>
      </c>
      <c r="P34" s="28">
        <f t="shared" si="0"/>
        <v>0.75</v>
      </c>
      <c r="Q34" s="28">
        <f t="shared" si="0"/>
        <v>6.87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86.25</v>
      </c>
      <c r="C35" s="29">
        <f t="shared" si="1"/>
        <v>97.56</v>
      </c>
      <c r="D35" s="29">
        <f t="shared" si="1"/>
        <v>113.99</v>
      </c>
      <c r="E35" s="29">
        <f t="shared" si="1"/>
        <v>0.34</v>
      </c>
      <c r="F35" s="29">
        <f t="shared" si="1"/>
        <v>4.93</v>
      </c>
      <c r="G35" s="29">
        <f t="shared" si="1"/>
        <v>174.99</v>
      </c>
      <c r="H35" s="29">
        <f t="shared" si="1"/>
        <v>88.51</v>
      </c>
      <c r="I35" s="29">
        <f t="shared" si="1"/>
        <v>1.59</v>
      </c>
      <c r="J35" s="29">
        <f t="shared" si="1"/>
        <v>1.3</v>
      </c>
      <c r="K35" s="29">
        <f t="shared" si="1"/>
        <v>355.93</v>
      </c>
      <c r="L35" s="29">
        <f t="shared" si="1"/>
        <v>27.6</v>
      </c>
      <c r="M35" s="29">
        <f t="shared" si="1"/>
        <v>97.85</v>
      </c>
      <c r="N35" s="29">
        <f t="shared" si="1"/>
        <v>553</v>
      </c>
      <c r="O35" s="29">
        <f t="shared" si="1"/>
        <v>0</v>
      </c>
      <c r="P35" s="29">
        <f t="shared" si="1"/>
        <v>2.5</v>
      </c>
      <c r="Q35" s="29">
        <f t="shared" si="1"/>
        <v>12.69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27.911666666666665</v>
      </c>
      <c r="C36" s="28">
        <f t="shared" si="2"/>
        <v>87.335833333333326</v>
      </c>
      <c r="D36" s="28">
        <f t="shared" si="2"/>
        <v>70.759999999999991</v>
      </c>
      <c r="E36" s="28">
        <f t="shared" si="2"/>
        <v>0.19708333333333336</v>
      </c>
      <c r="F36" s="28">
        <f t="shared" si="2"/>
        <v>3.714166666666666</v>
      </c>
      <c r="G36" s="28">
        <f t="shared" si="2"/>
        <v>120.64958333333334</v>
      </c>
      <c r="H36" s="28">
        <f t="shared" si="2"/>
        <v>69.182916666666685</v>
      </c>
      <c r="I36" s="28">
        <f t="shared" si="2"/>
        <v>1.5358333333333334</v>
      </c>
      <c r="J36" s="28">
        <f t="shared" si="2"/>
        <v>0.39041666666666663</v>
      </c>
      <c r="K36" s="28">
        <f t="shared" si="2"/>
        <v>239.23625000000001</v>
      </c>
      <c r="L36" s="28">
        <f t="shared" si="2"/>
        <v>18.852083333333333</v>
      </c>
      <c r="M36" s="28">
        <f t="shared" si="2"/>
        <v>75.71041666666666</v>
      </c>
      <c r="N36" s="28">
        <f t="shared" si="2"/>
        <v>177.80000000000004</v>
      </c>
      <c r="O36" s="28">
        <f t="shared" si="2"/>
        <v>0</v>
      </c>
      <c r="P36" s="28">
        <f t="shared" si="2"/>
        <v>1.2929166666666667</v>
      </c>
      <c r="Q36" s="28">
        <f t="shared" si="2"/>
        <v>8.7183333333333355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25.169163615453122</v>
      </c>
      <c r="C37" s="28">
        <f t="shared" ref="C37:Q37" si="3">STDEV(C9:C32)</f>
        <v>5.5628675094357796</v>
      </c>
      <c r="D37" s="28">
        <f t="shared" si="3"/>
        <v>21.587595069149458</v>
      </c>
      <c r="E37" s="28">
        <f t="shared" si="3"/>
        <v>7.6810278222251643E-2</v>
      </c>
      <c r="F37" s="28">
        <f t="shared" si="3"/>
        <v>0.53128160605044605</v>
      </c>
      <c r="G37" s="28">
        <f t="shared" si="3"/>
        <v>36.016440265301853</v>
      </c>
      <c r="H37" s="28">
        <f t="shared" si="3"/>
        <v>14.294721579528193</v>
      </c>
      <c r="I37" s="28">
        <f t="shared" si="3"/>
        <v>2.3015432755599825E-2</v>
      </c>
      <c r="J37" s="28">
        <f t="shared" si="3"/>
        <v>0.34961443566189948</v>
      </c>
      <c r="K37" s="28">
        <f t="shared" si="3"/>
        <v>109.5873359794152</v>
      </c>
      <c r="L37" s="28">
        <f t="shared" si="3"/>
        <v>4.4957428937459056</v>
      </c>
      <c r="M37" s="28">
        <f t="shared" si="3"/>
        <v>20.219709385768383</v>
      </c>
      <c r="N37" s="28">
        <f t="shared" si="3"/>
        <v>184.05170114848758</v>
      </c>
      <c r="O37" s="28">
        <f t="shared" si="3"/>
        <v>0</v>
      </c>
      <c r="P37" s="28">
        <f t="shared" si="3"/>
        <v>0.61272363560025001</v>
      </c>
      <c r="Q37" s="28">
        <f t="shared" si="3"/>
        <v>1.8264021812120699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abSelected="1" zoomScale="90" zoomScaleNormal="90" workbookViewId="0">
      <selection activeCell="G58" sqref="G58"/>
    </sheetView>
  </sheetViews>
  <sheetFormatPr defaultColWidth="8.85546875" defaultRowHeight="15" x14ac:dyDescent="0.25"/>
  <cols>
    <col min="1" max="1" width="18.28515625" style="88" customWidth="1"/>
    <col min="2" max="2" width="12.7109375" style="85" customWidth="1"/>
    <col min="3" max="12" width="9.140625" style="85" customWidth="1"/>
    <col min="13" max="13" width="10" style="85" customWidth="1"/>
    <col min="14" max="16" width="9.140625" style="85" customWidth="1"/>
    <col min="17" max="17" width="16.42578125" style="85" customWidth="1"/>
    <col min="18" max="19" width="9.140625" style="85" customWidth="1"/>
    <col min="20" max="20" width="11.42578125" style="85" customWidth="1"/>
    <col min="21" max="16384" width="8.85546875" style="85"/>
  </cols>
  <sheetData>
    <row r="1" spans="1:21" s="86" customFormat="1" ht="26.25" x14ac:dyDescent="0.25">
      <c r="A1" s="79" t="s">
        <v>2</v>
      </c>
      <c r="B1" s="87" t="s">
        <v>59</v>
      </c>
      <c r="C1" s="9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s="86" customFormat="1" x14ac:dyDescent="0.25">
      <c r="A2" s="79" t="s">
        <v>0</v>
      </c>
      <c r="B2" s="98" t="str">
        <f>$A$9</f>
        <v>31/07/2024 01:00</v>
      </c>
      <c r="C2" s="66"/>
      <c r="D2" s="76" t="s">
        <v>3</v>
      </c>
      <c r="E2" s="76"/>
      <c r="F2" s="76"/>
      <c r="G2" s="69" t="s">
        <v>4</v>
      </c>
      <c r="H2" s="84"/>
      <c r="I2" s="84"/>
      <c r="J2" s="84"/>
      <c r="K2" s="77"/>
      <c r="L2" s="76" t="s">
        <v>5</v>
      </c>
      <c r="M2" s="77"/>
      <c r="N2" s="73" t="s">
        <v>6</v>
      </c>
      <c r="P2" s="99" t="s">
        <v>7</v>
      </c>
      <c r="Q2" s="77"/>
      <c r="R2" s="74" t="s">
        <v>8</v>
      </c>
      <c r="S2" s="66"/>
      <c r="T2" s="66"/>
      <c r="U2" s="66"/>
    </row>
    <row r="3" spans="1:21" s="86" customFormat="1" x14ac:dyDescent="0.25">
      <c r="A3" s="79" t="s">
        <v>9</v>
      </c>
      <c r="B3" s="77" t="s">
        <v>10</v>
      </c>
      <c r="C3" s="66"/>
      <c r="D3" s="76" t="s">
        <v>11</v>
      </c>
      <c r="E3" s="76"/>
      <c r="F3" s="76"/>
      <c r="G3" s="83" t="s">
        <v>12</v>
      </c>
      <c r="H3" s="84"/>
      <c r="I3" s="84"/>
      <c r="J3" s="84"/>
      <c r="K3" s="66"/>
      <c r="L3" s="76" t="s">
        <v>13</v>
      </c>
      <c r="M3" s="77"/>
      <c r="N3" s="71" t="s">
        <v>14</v>
      </c>
      <c r="O3" s="77"/>
      <c r="P3" s="99" t="s">
        <v>15</v>
      </c>
      <c r="Q3" s="77"/>
      <c r="R3" s="75" t="s">
        <v>15</v>
      </c>
      <c r="S3" s="66"/>
      <c r="T3" s="66"/>
      <c r="U3" s="66"/>
    </row>
    <row r="4" spans="1:21" s="86" customFormat="1" x14ac:dyDescent="0.25">
      <c r="A4" s="79" t="s">
        <v>16</v>
      </c>
      <c r="B4" s="77" t="s">
        <v>39</v>
      </c>
      <c r="C4" s="66"/>
      <c r="D4" s="76" t="s">
        <v>17</v>
      </c>
      <c r="E4" s="76"/>
      <c r="F4" s="76"/>
      <c r="G4" s="70" t="s">
        <v>18</v>
      </c>
      <c r="H4" s="84"/>
      <c r="I4" s="84"/>
      <c r="J4" s="84"/>
      <c r="K4" s="68"/>
      <c r="L4" s="76" t="s">
        <v>19</v>
      </c>
      <c r="M4" s="77"/>
      <c r="N4" s="72" t="s">
        <v>20</v>
      </c>
      <c r="O4" s="77"/>
      <c r="P4" s="77"/>
      <c r="Q4" s="77"/>
      <c r="R4" s="77"/>
      <c r="S4" s="66"/>
      <c r="T4" s="66"/>
      <c r="U4" s="66"/>
    </row>
    <row r="5" spans="1:21" s="86" customFormat="1" x14ac:dyDescent="0.25">
      <c r="A5" s="79"/>
      <c r="B5" s="77"/>
      <c r="C5" s="77"/>
      <c r="D5" s="77"/>
      <c r="E5" s="77"/>
      <c r="F5" s="77"/>
      <c r="G5" s="77"/>
      <c r="H5" s="79"/>
      <c r="I5" s="79"/>
      <c r="J5" s="79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</row>
    <row r="6" spans="1:21" s="86" customFormat="1" x14ac:dyDescent="0.25">
      <c r="A6" s="79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66"/>
    </row>
    <row r="7" spans="1:21" s="86" customFormat="1" x14ac:dyDescent="0.25">
      <c r="A7" s="79" t="s">
        <v>21</v>
      </c>
      <c r="B7" s="103" t="s">
        <v>43</v>
      </c>
      <c r="C7" s="103" t="s">
        <v>44</v>
      </c>
      <c r="D7" s="103" t="s">
        <v>45</v>
      </c>
      <c r="E7" s="103" t="s">
        <v>46</v>
      </c>
      <c r="F7" s="103" t="s">
        <v>47</v>
      </c>
      <c r="G7" s="103" t="s">
        <v>48</v>
      </c>
      <c r="H7" s="103" t="s">
        <v>49</v>
      </c>
      <c r="I7" s="103" t="s">
        <v>50</v>
      </c>
      <c r="J7" s="103" t="s">
        <v>51</v>
      </c>
      <c r="K7" s="103" t="s">
        <v>52</v>
      </c>
      <c r="L7" s="103" t="s">
        <v>53</v>
      </c>
      <c r="M7" s="103" t="s">
        <v>54</v>
      </c>
      <c r="N7" s="103" t="s">
        <v>55</v>
      </c>
      <c r="O7" s="103" t="s">
        <v>56</v>
      </c>
      <c r="P7" s="103" t="s">
        <v>57</v>
      </c>
      <c r="Q7" s="103" t="s">
        <v>58</v>
      </c>
      <c r="R7" s="89"/>
      <c r="S7" s="91"/>
      <c r="T7" s="89"/>
      <c r="U7" s="89"/>
    </row>
    <row r="8" spans="1:21" s="86" customFormat="1" x14ac:dyDescent="0.25">
      <c r="A8" s="79"/>
      <c r="B8" s="91" t="s">
        <v>22</v>
      </c>
      <c r="C8" s="91" t="s">
        <v>22</v>
      </c>
      <c r="D8" s="91" t="s">
        <v>42</v>
      </c>
      <c r="E8" s="91" t="s">
        <v>22</v>
      </c>
      <c r="F8" s="91" t="s">
        <v>22</v>
      </c>
      <c r="G8" s="91" t="s">
        <v>23</v>
      </c>
      <c r="H8" s="91" t="s">
        <v>22</v>
      </c>
      <c r="I8" s="91" t="s">
        <v>22</v>
      </c>
      <c r="J8" s="91" t="s">
        <v>24</v>
      </c>
      <c r="K8" s="91" t="s">
        <v>25</v>
      </c>
      <c r="L8" s="89" t="s">
        <v>27</v>
      </c>
      <c r="M8" s="91" t="s">
        <v>26</v>
      </c>
      <c r="N8" s="91" t="s">
        <v>28</v>
      </c>
      <c r="O8" s="89" t="s">
        <v>29</v>
      </c>
      <c r="P8" s="91" t="s">
        <v>22</v>
      </c>
      <c r="Q8" s="91" t="s">
        <v>22</v>
      </c>
      <c r="R8" s="89"/>
      <c r="S8" s="91"/>
      <c r="T8" s="89"/>
      <c r="U8" s="89"/>
    </row>
    <row r="9" spans="1:21" s="66" customFormat="1" x14ac:dyDescent="0.25">
      <c r="A9" s="56" t="s">
        <v>797</v>
      </c>
      <c r="B9" s="106">
        <v>45.29</v>
      </c>
      <c r="C9" s="106">
        <v>56.02</v>
      </c>
      <c r="D9" s="106">
        <v>67.89</v>
      </c>
      <c r="E9" s="106">
        <v>0.27</v>
      </c>
      <c r="F9" s="106">
        <v>3.1</v>
      </c>
      <c r="G9" s="106">
        <v>95.7</v>
      </c>
      <c r="H9" s="106">
        <v>44.8</v>
      </c>
      <c r="I9" s="106">
        <v>1.54</v>
      </c>
      <c r="J9" s="106">
        <v>0.19</v>
      </c>
      <c r="K9" s="106">
        <v>91.78</v>
      </c>
      <c r="L9" s="106">
        <v>14.49</v>
      </c>
      <c r="M9" s="106">
        <v>91.91</v>
      </c>
      <c r="N9" s="106">
        <v>13.6</v>
      </c>
      <c r="O9" s="106">
        <v>0</v>
      </c>
      <c r="P9" s="106">
        <v>1.04</v>
      </c>
      <c r="Q9" s="106">
        <v>10.63</v>
      </c>
      <c r="R9" s="103"/>
      <c r="S9" s="103"/>
      <c r="T9" s="103"/>
      <c r="U9" s="103"/>
    </row>
    <row r="10" spans="1:21" s="66" customFormat="1" x14ac:dyDescent="0.25">
      <c r="A10" s="56" t="s">
        <v>798</v>
      </c>
      <c r="B10" s="106">
        <v>38.01</v>
      </c>
      <c r="C10" s="106">
        <v>54.5</v>
      </c>
      <c r="D10" s="106">
        <v>61.12</v>
      </c>
      <c r="E10" s="106">
        <v>0.2</v>
      </c>
      <c r="F10" s="106">
        <v>3.03</v>
      </c>
      <c r="G10" s="106">
        <v>91.63</v>
      </c>
      <c r="H10" s="106">
        <v>40.729999999999997</v>
      </c>
      <c r="I10" s="106">
        <v>1.52</v>
      </c>
      <c r="J10" s="106">
        <v>0.22</v>
      </c>
      <c r="K10" s="106">
        <v>321.86</v>
      </c>
      <c r="L10" s="106">
        <v>14.36</v>
      </c>
      <c r="M10" s="106">
        <v>88.51</v>
      </c>
      <c r="N10" s="106">
        <v>13.6</v>
      </c>
      <c r="O10" s="106">
        <v>0</v>
      </c>
      <c r="P10" s="106">
        <v>0.94</v>
      </c>
      <c r="Q10" s="106">
        <v>10.11</v>
      </c>
      <c r="R10" s="103"/>
      <c r="S10" s="103"/>
      <c r="T10" s="103"/>
      <c r="U10" s="103"/>
    </row>
    <row r="11" spans="1:21" s="66" customFormat="1" x14ac:dyDescent="0.25">
      <c r="A11" s="56" t="s">
        <v>799</v>
      </c>
      <c r="B11" s="106">
        <v>33.21</v>
      </c>
      <c r="C11" s="106">
        <v>53.95</v>
      </c>
      <c r="D11" s="106">
        <v>57.05</v>
      </c>
      <c r="E11" s="106">
        <v>0.19</v>
      </c>
      <c r="F11" s="106">
        <v>3.28</v>
      </c>
      <c r="G11" s="106">
        <v>90.91</v>
      </c>
      <c r="H11" s="106">
        <v>40.36</v>
      </c>
      <c r="I11" s="106">
        <v>1.58</v>
      </c>
      <c r="J11" s="106">
        <v>0.14000000000000001</v>
      </c>
      <c r="K11" s="106">
        <v>102.65</v>
      </c>
      <c r="L11" s="106">
        <v>14.18</v>
      </c>
      <c r="M11" s="106">
        <v>85.93</v>
      </c>
      <c r="N11" s="106">
        <v>13.8</v>
      </c>
      <c r="O11" s="106">
        <v>0</v>
      </c>
      <c r="P11" s="106">
        <v>0.9</v>
      </c>
      <c r="Q11" s="106">
        <v>9.6999999999999993</v>
      </c>
      <c r="R11" s="103"/>
      <c r="S11" s="103"/>
      <c r="T11" s="103"/>
      <c r="U11" s="103"/>
    </row>
    <row r="12" spans="1:21" s="66" customFormat="1" x14ac:dyDescent="0.25">
      <c r="A12" s="56" t="s">
        <v>800</v>
      </c>
      <c r="B12" s="106">
        <v>30.34</v>
      </c>
      <c r="C12" s="106">
        <v>52.05</v>
      </c>
      <c r="D12" s="106">
        <v>53.7</v>
      </c>
      <c r="E12" s="106">
        <v>0.21</v>
      </c>
      <c r="F12" s="106">
        <v>3.42</v>
      </c>
      <c r="G12" s="106">
        <v>89.58</v>
      </c>
      <c r="H12" s="106">
        <v>40.630000000000003</v>
      </c>
      <c r="I12" s="106">
        <v>1.55</v>
      </c>
      <c r="J12" s="106">
        <v>0.82</v>
      </c>
      <c r="K12" s="106">
        <v>116.25</v>
      </c>
      <c r="L12" s="106">
        <v>14.79</v>
      </c>
      <c r="M12" s="106">
        <v>79.02</v>
      </c>
      <c r="N12" s="106">
        <v>14.4</v>
      </c>
      <c r="O12" s="106">
        <v>0</v>
      </c>
      <c r="P12" s="106">
        <v>0.86</v>
      </c>
      <c r="Q12" s="106">
        <v>9.2799999999999994</v>
      </c>
      <c r="R12" s="103"/>
      <c r="S12" s="103"/>
      <c r="T12" s="103"/>
      <c r="U12" s="103"/>
    </row>
    <row r="13" spans="1:21" s="66" customFormat="1" x14ac:dyDescent="0.25">
      <c r="A13" s="56" t="s">
        <v>801</v>
      </c>
      <c r="B13" s="106">
        <v>24.55</v>
      </c>
      <c r="C13" s="106">
        <v>51.34</v>
      </c>
      <c r="D13" s="106">
        <v>48.67</v>
      </c>
      <c r="E13" s="106">
        <v>0.19</v>
      </c>
      <c r="F13" s="106">
        <v>3.21</v>
      </c>
      <c r="G13" s="106">
        <v>87.59</v>
      </c>
      <c r="H13" s="106">
        <v>40.630000000000003</v>
      </c>
      <c r="I13" s="106">
        <v>1.53</v>
      </c>
      <c r="J13" s="106">
        <v>0.89</v>
      </c>
      <c r="K13" s="106">
        <v>108.55</v>
      </c>
      <c r="L13" s="106">
        <v>14.63</v>
      </c>
      <c r="M13" s="106">
        <v>76.92</v>
      </c>
      <c r="N13" s="106">
        <v>14.4</v>
      </c>
      <c r="O13" s="106">
        <v>0</v>
      </c>
      <c r="P13" s="106">
        <v>0.82</v>
      </c>
      <c r="Q13" s="106">
        <v>8.58</v>
      </c>
      <c r="R13" s="103"/>
      <c r="S13" s="103"/>
      <c r="T13" s="103"/>
      <c r="U13" s="103"/>
    </row>
    <row r="14" spans="1:21" s="66" customFormat="1" x14ac:dyDescent="0.25">
      <c r="A14" s="56" t="s">
        <v>802</v>
      </c>
      <c r="B14" s="106">
        <v>21.52</v>
      </c>
      <c r="C14" s="106">
        <v>50.01</v>
      </c>
      <c r="D14" s="106">
        <v>45.5</v>
      </c>
      <c r="E14" s="106">
        <v>0.18</v>
      </c>
      <c r="F14" s="106">
        <v>3.15</v>
      </c>
      <c r="G14" s="106">
        <v>81.93</v>
      </c>
      <c r="H14" s="106">
        <v>39.409999999999997</v>
      </c>
      <c r="I14" s="106">
        <v>1.55</v>
      </c>
      <c r="J14" s="106">
        <v>2.41</v>
      </c>
      <c r="K14" s="106">
        <v>112.75</v>
      </c>
      <c r="L14" s="106">
        <v>14.89</v>
      </c>
      <c r="M14" s="106">
        <v>83.89</v>
      </c>
      <c r="N14" s="106">
        <v>14.5</v>
      </c>
      <c r="O14" s="106">
        <v>0</v>
      </c>
      <c r="P14" s="106">
        <v>0.79</v>
      </c>
      <c r="Q14" s="106">
        <v>8.23</v>
      </c>
      <c r="R14" s="103"/>
      <c r="S14" s="103"/>
      <c r="T14" s="103"/>
      <c r="U14" s="103"/>
    </row>
    <row r="15" spans="1:21" s="66" customFormat="1" x14ac:dyDescent="0.25">
      <c r="A15" s="56" t="s">
        <v>803</v>
      </c>
      <c r="B15" s="106">
        <v>23.07</v>
      </c>
      <c r="C15" s="106">
        <v>49.58</v>
      </c>
      <c r="D15" s="106">
        <v>46.51</v>
      </c>
      <c r="E15" s="106">
        <v>0.19</v>
      </c>
      <c r="F15" s="106">
        <v>3.42</v>
      </c>
      <c r="G15" s="106">
        <v>79.62</v>
      </c>
      <c r="H15" s="106">
        <v>37.96</v>
      </c>
      <c r="I15" s="106">
        <v>1.49</v>
      </c>
      <c r="J15" s="106">
        <v>0.84</v>
      </c>
      <c r="K15" s="106">
        <v>341.17</v>
      </c>
      <c r="L15" s="106">
        <v>14.84</v>
      </c>
      <c r="M15" s="106">
        <v>89.99</v>
      </c>
      <c r="N15" s="106">
        <v>17</v>
      </c>
      <c r="O15" s="106">
        <v>0</v>
      </c>
      <c r="P15" s="106">
        <v>0.8</v>
      </c>
      <c r="Q15" s="106">
        <v>8.08</v>
      </c>
      <c r="R15" s="103"/>
      <c r="S15" s="103"/>
      <c r="T15" s="103"/>
      <c r="U15" s="103"/>
    </row>
    <row r="16" spans="1:21" s="66" customFormat="1" x14ac:dyDescent="0.25">
      <c r="A16" s="56" t="s">
        <v>804</v>
      </c>
      <c r="B16" s="106">
        <v>28.55</v>
      </c>
      <c r="C16" s="106">
        <v>50.32</v>
      </c>
      <c r="D16" s="106">
        <v>51.31</v>
      </c>
      <c r="E16" s="106">
        <v>0.23</v>
      </c>
      <c r="F16" s="106">
        <v>3.28</v>
      </c>
      <c r="G16" s="106">
        <v>87.63</v>
      </c>
      <c r="H16" s="106">
        <v>38.6</v>
      </c>
      <c r="I16" s="106">
        <v>1.6</v>
      </c>
      <c r="J16" s="106">
        <v>0.99</v>
      </c>
      <c r="K16" s="106">
        <v>345.74</v>
      </c>
      <c r="L16" s="106">
        <v>15.2</v>
      </c>
      <c r="M16" s="106">
        <v>82.02</v>
      </c>
      <c r="N16" s="106">
        <v>27.4</v>
      </c>
      <c r="O16" s="106">
        <v>0</v>
      </c>
      <c r="P16" s="106">
        <v>0.86</v>
      </c>
      <c r="Q16" s="106">
        <v>8.61</v>
      </c>
      <c r="R16" s="103"/>
      <c r="S16" s="103"/>
      <c r="T16" s="103"/>
      <c r="U16" s="103"/>
    </row>
    <row r="17" spans="1:21" s="66" customFormat="1" x14ac:dyDescent="0.25">
      <c r="A17" s="56" t="s">
        <v>805</v>
      </c>
      <c r="B17" s="106">
        <v>46.54</v>
      </c>
      <c r="C17" s="106">
        <v>49.88</v>
      </c>
      <c r="D17" s="106">
        <v>64.52</v>
      </c>
      <c r="E17" s="106">
        <v>0.28000000000000003</v>
      </c>
      <c r="F17" s="106">
        <v>3.16</v>
      </c>
      <c r="G17" s="106">
        <v>100.62</v>
      </c>
      <c r="H17" s="106">
        <v>45.37</v>
      </c>
      <c r="I17" s="106">
        <v>1.54</v>
      </c>
      <c r="J17" s="106">
        <v>0.89</v>
      </c>
      <c r="K17" s="106">
        <v>346.19</v>
      </c>
      <c r="L17" s="106">
        <v>15.61</v>
      </c>
      <c r="M17" s="106">
        <v>79.97</v>
      </c>
      <c r="N17" s="106">
        <v>39.200000000000003</v>
      </c>
      <c r="O17" s="106">
        <v>0</v>
      </c>
      <c r="P17" s="106">
        <v>1.06</v>
      </c>
      <c r="Q17" s="106">
        <v>9.7200000000000006</v>
      </c>
      <c r="R17" s="103"/>
      <c r="S17" s="103"/>
      <c r="T17" s="103"/>
      <c r="U17" s="103"/>
    </row>
    <row r="18" spans="1:21" s="66" customFormat="1" x14ac:dyDescent="0.25">
      <c r="A18" s="56" t="s">
        <v>806</v>
      </c>
      <c r="B18" s="106">
        <v>59.09</v>
      </c>
      <c r="C18" s="106">
        <v>49.22</v>
      </c>
      <c r="D18" s="106">
        <v>75.099999999999994</v>
      </c>
      <c r="E18" s="106">
        <v>0.4</v>
      </c>
      <c r="F18" s="106">
        <v>3.43</v>
      </c>
      <c r="G18" s="106">
        <v>193.82</v>
      </c>
      <c r="H18" s="106">
        <v>54.91</v>
      </c>
      <c r="I18" s="106">
        <v>1.57</v>
      </c>
      <c r="J18" s="106">
        <v>0.87</v>
      </c>
      <c r="K18" s="106">
        <v>357.64</v>
      </c>
      <c r="L18" s="106">
        <v>15.88</v>
      </c>
      <c r="M18" s="106">
        <v>79.39</v>
      </c>
      <c r="N18" s="106">
        <v>92.1</v>
      </c>
      <c r="O18" s="106">
        <v>0</v>
      </c>
      <c r="P18" s="106">
        <v>1.21</v>
      </c>
      <c r="Q18" s="106">
        <v>10.79</v>
      </c>
      <c r="R18" s="103"/>
      <c r="S18" s="103"/>
      <c r="T18" s="103"/>
      <c r="U18" s="103"/>
    </row>
    <row r="19" spans="1:21" s="66" customFormat="1" x14ac:dyDescent="0.25">
      <c r="A19" s="56" t="s">
        <v>807</v>
      </c>
      <c r="B19" s="106">
        <v>62.35</v>
      </c>
      <c r="C19" s="106">
        <v>53.42</v>
      </c>
      <c r="D19" s="106">
        <v>79</v>
      </c>
      <c r="E19" s="106">
        <v>0.39</v>
      </c>
      <c r="F19" s="106">
        <v>3.21</v>
      </c>
      <c r="G19" s="106">
        <v>193.82</v>
      </c>
      <c r="H19" s="106">
        <v>56.09</v>
      </c>
      <c r="I19" s="106">
        <v>1.52</v>
      </c>
      <c r="J19" s="106">
        <v>1.04</v>
      </c>
      <c r="K19" s="106">
        <v>346.57</v>
      </c>
      <c r="L19" s="106">
        <v>17.93</v>
      </c>
      <c r="M19" s="106">
        <v>74.569999999999993</v>
      </c>
      <c r="N19" s="106">
        <v>104.3</v>
      </c>
      <c r="O19" s="106">
        <v>0</v>
      </c>
      <c r="P19" s="106">
        <v>1.27</v>
      </c>
      <c r="Q19" s="106">
        <v>11.07</v>
      </c>
      <c r="R19" s="103"/>
      <c r="S19" s="103"/>
      <c r="T19" s="103"/>
      <c r="U19" s="103"/>
    </row>
    <row r="20" spans="1:21" s="66" customFormat="1" x14ac:dyDescent="0.25">
      <c r="A20" s="56" t="s">
        <v>808</v>
      </c>
      <c r="B20" s="106">
        <v>60.1</v>
      </c>
      <c r="C20" s="106">
        <v>56.52</v>
      </c>
      <c r="D20" s="106">
        <v>79.14</v>
      </c>
      <c r="E20" s="106">
        <v>0.33</v>
      </c>
      <c r="F20" s="106">
        <v>3.27</v>
      </c>
      <c r="G20" s="106">
        <v>174.88</v>
      </c>
      <c r="H20" s="106">
        <v>56.09</v>
      </c>
      <c r="I20" s="106">
        <v>1.58</v>
      </c>
      <c r="J20" s="106">
        <v>0.73</v>
      </c>
      <c r="K20" s="106">
        <v>339.51</v>
      </c>
      <c r="L20" s="106">
        <v>18.510000000000002</v>
      </c>
      <c r="M20" s="106">
        <v>78.28</v>
      </c>
      <c r="N20" s="106">
        <v>160.5</v>
      </c>
      <c r="O20" s="106">
        <v>0</v>
      </c>
      <c r="P20" s="106">
        <v>1.28</v>
      </c>
      <c r="Q20" s="106">
        <v>11.04</v>
      </c>
      <c r="R20" s="103"/>
      <c r="S20" s="103"/>
      <c r="T20" s="103"/>
      <c r="U20" s="103"/>
    </row>
    <row r="21" spans="1:21" s="66" customFormat="1" x14ac:dyDescent="0.25">
      <c r="A21" s="56" t="s">
        <v>809</v>
      </c>
      <c r="B21" s="106">
        <v>53.29</v>
      </c>
      <c r="C21" s="106">
        <v>60.04</v>
      </c>
      <c r="D21" s="106">
        <v>74.62</v>
      </c>
      <c r="E21" s="106">
        <v>0.43</v>
      </c>
      <c r="F21" s="106">
        <v>3.27</v>
      </c>
      <c r="G21" s="106">
        <v>119.95</v>
      </c>
      <c r="H21" s="106">
        <v>53.41</v>
      </c>
      <c r="I21" s="106">
        <v>1.51</v>
      </c>
      <c r="J21" s="106">
        <v>0.74</v>
      </c>
      <c r="K21" s="106">
        <v>358.21</v>
      </c>
      <c r="L21" s="106">
        <v>20.43</v>
      </c>
      <c r="M21" s="106">
        <v>80.16</v>
      </c>
      <c r="N21" s="106">
        <v>160.30000000000001</v>
      </c>
      <c r="O21" s="106">
        <v>0</v>
      </c>
      <c r="P21" s="106">
        <v>1.23</v>
      </c>
      <c r="Q21" s="106">
        <v>10.8</v>
      </c>
      <c r="R21" s="103"/>
      <c r="S21" s="103"/>
      <c r="T21" s="103"/>
      <c r="U21" s="103"/>
    </row>
    <row r="22" spans="1:21" s="66" customFormat="1" x14ac:dyDescent="0.25">
      <c r="A22" s="56" t="s">
        <v>810</v>
      </c>
      <c r="B22" s="106">
        <v>45.33</v>
      </c>
      <c r="C22" s="106">
        <v>65.16</v>
      </c>
      <c r="D22" s="106">
        <v>71.05</v>
      </c>
      <c r="E22" s="106">
        <v>0.6</v>
      </c>
      <c r="F22" s="106">
        <v>3.32</v>
      </c>
      <c r="G22" s="106">
        <v>96.03</v>
      </c>
      <c r="H22" s="106">
        <v>53.41</v>
      </c>
      <c r="I22" s="106">
        <v>1.58</v>
      </c>
      <c r="J22" s="106">
        <v>1.1100000000000001</v>
      </c>
      <c r="K22" s="106">
        <v>345.32</v>
      </c>
      <c r="L22" s="106">
        <v>21.71</v>
      </c>
      <c r="M22" s="106">
        <v>69.75</v>
      </c>
      <c r="N22" s="106">
        <v>180.8</v>
      </c>
      <c r="O22" s="106">
        <v>0</v>
      </c>
      <c r="P22" s="106">
        <v>1.21</v>
      </c>
      <c r="Q22" s="106">
        <v>10.51</v>
      </c>
      <c r="R22" s="103"/>
      <c r="S22" s="103"/>
      <c r="T22" s="103"/>
      <c r="U22" s="103"/>
    </row>
    <row r="23" spans="1:21" s="66" customFormat="1" x14ac:dyDescent="0.25">
      <c r="A23" s="56" t="s">
        <v>811</v>
      </c>
      <c r="B23" s="106">
        <v>36.15</v>
      </c>
      <c r="C23" s="106">
        <v>66.84</v>
      </c>
      <c r="D23" s="106">
        <v>65.81</v>
      </c>
      <c r="E23" s="106">
        <v>0.31</v>
      </c>
      <c r="F23" s="106">
        <v>3.32</v>
      </c>
      <c r="G23" s="106">
        <v>96.03</v>
      </c>
      <c r="H23" s="106">
        <v>50.85</v>
      </c>
      <c r="I23" s="106">
        <v>1.51</v>
      </c>
      <c r="J23" s="106">
        <v>0.91</v>
      </c>
      <c r="K23" s="106">
        <v>345.41</v>
      </c>
      <c r="L23" s="106">
        <v>22.79</v>
      </c>
      <c r="M23" s="106">
        <v>68.94</v>
      </c>
      <c r="N23" s="106">
        <v>245.4</v>
      </c>
      <c r="O23" s="106">
        <v>0</v>
      </c>
      <c r="P23" s="106">
        <v>1.19</v>
      </c>
      <c r="Q23" s="106">
        <v>10.27</v>
      </c>
      <c r="R23" s="103"/>
      <c r="S23" s="103"/>
      <c r="T23" s="103"/>
      <c r="U23" s="103"/>
    </row>
    <row r="24" spans="1:21" s="66" customFormat="1" x14ac:dyDescent="0.25">
      <c r="A24" s="56" t="s">
        <v>812</v>
      </c>
      <c r="B24" s="106">
        <v>28.7</v>
      </c>
      <c r="C24" s="106">
        <v>68.430000000000007</v>
      </c>
      <c r="D24" s="106">
        <v>60.77</v>
      </c>
      <c r="E24" s="106">
        <v>0.34</v>
      </c>
      <c r="F24" s="106">
        <v>3.24</v>
      </c>
      <c r="G24" s="106">
        <v>91.08</v>
      </c>
      <c r="H24" s="106">
        <v>44.56</v>
      </c>
      <c r="I24" s="106">
        <v>1.55</v>
      </c>
      <c r="J24" s="106">
        <v>1.23</v>
      </c>
      <c r="K24" s="106">
        <v>341.76</v>
      </c>
      <c r="L24" s="106">
        <v>22.08</v>
      </c>
      <c r="M24" s="106">
        <v>70.53</v>
      </c>
      <c r="N24" s="106">
        <v>125.7</v>
      </c>
      <c r="O24" s="106">
        <v>0</v>
      </c>
      <c r="P24" s="106">
        <v>1.1299999999999999</v>
      </c>
      <c r="Q24" s="106">
        <v>10.119999999999999</v>
      </c>
      <c r="R24" s="103"/>
      <c r="S24" s="103"/>
      <c r="T24" s="103"/>
      <c r="U24" s="103"/>
    </row>
    <row r="25" spans="1:21" s="66" customFormat="1" x14ac:dyDescent="0.25">
      <c r="A25" s="56" t="s">
        <v>813</v>
      </c>
      <c r="B25" s="106">
        <v>25.56</v>
      </c>
      <c r="C25" s="106">
        <v>70.83</v>
      </c>
      <c r="D25" s="106">
        <v>60.23</v>
      </c>
      <c r="E25" s="106">
        <v>0.24</v>
      </c>
      <c r="F25" s="106">
        <v>3.33</v>
      </c>
      <c r="G25" s="106">
        <v>115.88</v>
      </c>
      <c r="H25" s="106">
        <v>44.56</v>
      </c>
      <c r="I25" s="106">
        <v>1.59</v>
      </c>
      <c r="J25" s="106">
        <v>1.5</v>
      </c>
      <c r="K25" s="106">
        <v>346.98</v>
      </c>
      <c r="L25" s="106">
        <v>21.45</v>
      </c>
      <c r="M25" s="106">
        <v>78.319999999999993</v>
      </c>
      <c r="N25" s="106">
        <v>70.7</v>
      </c>
      <c r="O25" s="106">
        <v>0</v>
      </c>
      <c r="P25" s="106">
        <v>1.1499999999999999</v>
      </c>
      <c r="Q25" s="106">
        <v>10.11</v>
      </c>
      <c r="R25" s="103"/>
      <c r="S25" s="103"/>
      <c r="T25" s="103"/>
      <c r="U25" s="103"/>
    </row>
    <row r="26" spans="1:21" s="66" customFormat="1" x14ac:dyDescent="0.25">
      <c r="A26" s="56" t="s">
        <v>814</v>
      </c>
      <c r="B26" s="106">
        <v>27.79</v>
      </c>
      <c r="C26" s="106">
        <v>68.92</v>
      </c>
      <c r="D26" s="106">
        <v>60.51</v>
      </c>
      <c r="E26" s="106">
        <v>0.24</v>
      </c>
      <c r="F26" s="106">
        <v>3.39</v>
      </c>
      <c r="G26" s="106">
        <v>118.79</v>
      </c>
      <c r="H26" s="106">
        <v>41.15</v>
      </c>
      <c r="I26" s="106">
        <v>1.51</v>
      </c>
      <c r="J26" s="106">
        <v>1.29</v>
      </c>
      <c r="K26" s="106">
        <v>345.52</v>
      </c>
      <c r="L26" s="106">
        <v>19.559999999999999</v>
      </c>
      <c r="M26" s="106">
        <v>88.17</v>
      </c>
      <c r="N26" s="106">
        <v>26.5</v>
      </c>
      <c r="O26" s="106">
        <v>0</v>
      </c>
      <c r="P26" s="106">
        <v>1.24</v>
      </c>
      <c r="Q26" s="106">
        <v>10.039999999999999</v>
      </c>
      <c r="R26" s="103"/>
      <c r="S26" s="103"/>
      <c r="T26" s="103"/>
      <c r="U26" s="103"/>
    </row>
    <row r="27" spans="1:21" s="66" customFormat="1" x14ac:dyDescent="0.25">
      <c r="A27" s="56" t="s">
        <v>815</v>
      </c>
      <c r="B27" s="106">
        <v>34.979999999999997</v>
      </c>
      <c r="C27" s="106">
        <v>66.959999999999994</v>
      </c>
      <c r="D27" s="106">
        <v>64.45</v>
      </c>
      <c r="E27" s="106">
        <v>0.23</v>
      </c>
      <c r="F27" s="106">
        <v>3.1</v>
      </c>
      <c r="G27" s="106">
        <v>118.79</v>
      </c>
      <c r="H27" s="106">
        <v>41.14</v>
      </c>
      <c r="I27" s="106">
        <v>1.53</v>
      </c>
      <c r="J27" s="106">
        <v>0.45</v>
      </c>
      <c r="K27" s="106">
        <v>325.52</v>
      </c>
      <c r="L27" s="106">
        <v>18.59</v>
      </c>
      <c r="M27" s="106">
        <v>92.44</v>
      </c>
      <c r="N27" s="106">
        <v>14.4</v>
      </c>
      <c r="O27" s="106">
        <v>0</v>
      </c>
      <c r="P27" s="106">
        <v>1.31</v>
      </c>
      <c r="Q27" s="106">
        <v>10.4</v>
      </c>
      <c r="R27" s="103"/>
      <c r="S27" s="103"/>
      <c r="T27" s="103"/>
      <c r="U27" s="103"/>
    </row>
    <row r="28" spans="1:21" s="66" customFormat="1" x14ac:dyDescent="0.25">
      <c r="A28" s="56" t="s">
        <v>816</v>
      </c>
      <c r="B28" s="106">
        <v>34.74</v>
      </c>
      <c r="C28" s="106">
        <v>63.08</v>
      </c>
      <c r="D28" s="106">
        <v>63.32</v>
      </c>
      <c r="E28" s="106">
        <v>0.18</v>
      </c>
      <c r="F28" s="106">
        <v>3.22</v>
      </c>
      <c r="G28" s="106">
        <v>114.11</v>
      </c>
      <c r="H28" s="106">
        <v>41</v>
      </c>
      <c r="I28" s="106">
        <v>1.49</v>
      </c>
      <c r="J28" s="106">
        <v>0.46</v>
      </c>
      <c r="K28" s="106">
        <v>101.54</v>
      </c>
      <c r="L28" s="106">
        <v>17.32</v>
      </c>
      <c r="M28" s="106">
        <v>98.31</v>
      </c>
      <c r="N28" s="106">
        <v>14.4</v>
      </c>
      <c r="O28" s="106">
        <v>0</v>
      </c>
      <c r="P28" s="106">
        <v>1.29</v>
      </c>
      <c r="Q28" s="106">
        <v>10.37</v>
      </c>
      <c r="R28" s="103"/>
      <c r="S28" s="103"/>
      <c r="T28" s="103"/>
      <c r="U28" s="103"/>
    </row>
    <row r="29" spans="1:21" s="66" customFormat="1" x14ac:dyDescent="0.25">
      <c r="A29" s="56" t="s">
        <v>817</v>
      </c>
      <c r="B29" s="106">
        <v>38.200000000000003</v>
      </c>
      <c r="C29" s="106">
        <v>59.27</v>
      </c>
      <c r="D29" s="106">
        <v>63.76</v>
      </c>
      <c r="E29" s="106">
        <v>0.32</v>
      </c>
      <c r="F29" s="106">
        <v>3.06</v>
      </c>
      <c r="G29" s="106">
        <v>99.62</v>
      </c>
      <c r="H29" s="106">
        <v>41</v>
      </c>
      <c r="I29" s="106">
        <v>1.52</v>
      </c>
      <c r="J29" s="106">
        <v>0.28999999999999998</v>
      </c>
      <c r="K29" s="106">
        <v>331.16</v>
      </c>
      <c r="L29" s="106">
        <v>16.73</v>
      </c>
      <c r="M29" s="106">
        <v>100.26</v>
      </c>
      <c r="N29" s="106">
        <v>14.3</v>
      </c>
      <c r="O29" s="106">
        <v>0</v>
      </c>
      <c r="P29" s="106">
        <v>1.32</v>
      </c>
      <c r="Q29" s="106">
        <v>10.47</v>
      </c>
      <c r="R29" s="103"/>
      <c r="S29" s="103"/>
      <c r="T29" s="103"/>
      <c r="U29" s="103"/>
    </row>
    <row r="30" spans="1:21" s="66" customFormat="1" x14ac:dyDescent="0.25">
      <c r="A30" s="56" t="s">
        <v>818</v>
      </c>
      <c r="B30" s="106">
        <v>38.5</v>
      </c>
      <c r="C30" s="106">
        <v>58.28</v>
      </c>
      <c r="D30" s="106">
        <v>63.24</v>
      </c>
      <c r="E30" s="106">
        <v>0.38</v>
      </c>
      <c r="F30" s="106">
        <v>3.29</v>
      </c>
      <c r="G30" s="106">
        <v>92.53</v>
      </c>
      <c r="H30" s="106">
        <v>40.71</v>
      </c>
      <c r="I30" s="106">
        <v>1.57</v>
      </c>
      <c r="J30" s="106">
        <v>0.62</v>
      </c>
      <c r="K30" s="106">
        <v>345.4</v>
      </c>
      <c r="L30" s="106">
        <v>16.22</v>
      </c>
      <c r="M30" s="106">
        <v>100.27</v>
      </c>
      <c r="N30" s="106">
        <v>14.3</v>
      </c>
      <c r="O30" s="106">
        <v>0</v>
      </c>
      <c r="P30" s="106">
        <v>1.31</v>
      </c>
      <c r="Q30" s="106">
        <v>10.6</v>
      </c>
      <c r="R30" s="103"/>
      <c r="S30" s="103"/>
      <c r="T30" s="103"/>
      <c r="U30" s="103"/>
    </row>
    <row r="31" spans="1:21" s="66" customFormat="1" x14ac:dyDescent="0.25">
      <c r="A31" s="56" t="s">
        <v>819</v>
      </c>
      <c r="B31" s="106">
        <v>37.83</v>
      </c>
      <c r="C31" s="106">
        <v>57.06</v>
      </c>
      <c r="D31" s="106">
        <v>62.47</v>
      </c>
      <c r="E31" s="106">
        <v>0.37</v>
      </c>
      <c r="F31" s="106">
        <v>3.26</v>
      </c>
      <c r="G31" s="106">
        <v>94.64</v>
      </c>
      <c r="H31" s="106">
        <v>40.71</v>
      </c>
      <c r="I31" s="106">
        <v>1.58</v>
      </c>
      <c r="J31" s="106">
        <v>0.8</v>
      </c>
      <c r="K31" s="106">
        <v>346.1</v>
      </c>
      <c r="L31" s="106">
        <v>16.18</v>
      </c>
      <c r="M31" s="106">
        <v>100.25</v>
      </c>
      <c r="N31" s="106">
        <v>14.7</v>
      </c>
      <c r="O31" s="106">
        <v>0</v>
      </c>
      <c r="P31" s="106">
        <v>1.29</v>
      </c>
      <c r="Q31" s="106">
        <v>10.58</v>
      </c>
      <c r="R31" s="103"/>
      <c r="S31" s="103"/>
      <c r="T31" s="103"/>
      <c r="U31" s="103"/>
    </row>
    <row r="32" spans="1:21" s="66" customFormat="1" x14ac:dyDescent="0.25">
      <c r="A32" s="56" t="s">
        <v>820</v>
      </c>
      <c r="B32" s="106">
        <v>35.43</v>
      </c>
      <c r="C32" s="106">
        <v>56.18</v>
      </c>
      <c r="D32" s="106">
        <v>60.06</v>
      </c>
      <c r="E32" s="106">
        <v>0.33</v>
      </c>
      <c r="F32" s="106">
        <v>3.16</v>
      </c>
      <c r="G32" s="106">
        <v>94.64</v>
      </c>
      <c r="H32" s="106">
        <v>40.39</v>
      </c>
      <c r="I32" s="106">
        <v>1.55</v>
      </c>
      <c r="J32" s="106">
        <v>0.24</v>
      </c>
      <c r="K32" s="106">
        <v>357.97</v>
      </c>
      <c r="L32" s="106">
        <v>15.69</v>
      </c>
      <c r="M32" s="106">
        <v>100.26</v>
      </c>
      <c r="N32" s="106">
        <v>14.4</v>
      </c>
      <c r="O32" s="106">
        <v>0</v>
      </c>
      <c r="P32" s="106">
        <v>1.25</v>
      </c>
      <c r="Q32" s="106">
        <v>10.42</v>
      </c>
      <c r="R32" s="103"/>
      <c r="S32" s="103"/>
      <c r="T32" s="103"/>
      <c r="U32" s="103"/>
    </row>
    <row r="33" spans="1:21" s="86" customFormat="1" x14ac:dyDescent="0.25">
      <c r="A33" s="88"/>
      <c r="B33" s="85"/>
      <c r="C33" s="85"/>
      <c r="D33" s="85"/>
      <c r="E33" s="85"/>
      <c r="F33" s="85"/>
      <c r="G33" s="88"/>
      <c r="H33" s="88"/>
      <c r="I33" s="88"/>
      <c r="J33" s="85"/>
      <c r="K33" s="85"/>
      <c r="L33" s="88"/>
      <c r="M33" s="88"/>
      <c r="N33" s="88"/>
      <c r="O33" s="88"/>
      <c r="P33" s="88"/>
      <c r="Q33" s="85"/>
      <c r="R33" s="85"/>
      <c r="S33" s="85"/>
      <c r="T33" s="85"/>
      <c r="U33" s="85"/>
    </row>
    <row r="34" spans="1:21" s="86" customFormat="1" x14ac:dyDescent="0.25">
      <c r="A34" s="89" t="s">
        <v>30</v>
      </c>
      <c r="B34" s="90">
        <f t="shared" ref="B34:Q34" si="0">MIN(B9:B32)</f>
        <v>21.52</v>
      </c>
      <c r="C34" s="90">
        <f t="shared" si="0"/>
        <v>49.22</v>
      </c>
      <c r="D34" s="90">
        <f t="shared" si="0"/>
        <v>45.5</v>
      </c>
      <c r="E34" s="90">
        <f t="shared" si="0"/>
        <v>0.18</v>
      </c>
      <c r="F34" s="90">
        <f t="shared" si="0"/>
        <v>3.03</v>
      </c>
      <c r="G34" s="90">
        <f t="shared" si="0"/>
        <v>79.62</v>
      </c>
      <c r="H34" s="90">
        <f t="shared" si="0"/>
        <v>37.96</v>
      </c>
      <c r="I34" s="90">
        <f t="shared" si="0"/>
        <v>1.49</v>
      </c>
      <c r="J34" s="90">
        <f t="shared" si="0"/>
        <v>0.14000000000000001</v>
      </c>
      <c r="K34" s="90">
        <f t="shared" si="0"/>
        <v>91.78</v>
      </c>
      <c r="L34" s="90">
        <f t="shared" si="0"/>
        <v>14.18</v>
      </c>
      <c r="M34" s="90">
        <f t="shared" si="0"/>
        <v>68.94</v>
      </c>
      <c r="N34" s="90">
        <f t="shared" si="0"/>
        <v>13.6</v>
      </c>
      <c r="O34" s="90">
        <f t="shared" si="0"/>
        <v>0</v>
      </c>
      <c r="P34" s="90">
        <f t="shared" si="0"/>
        <v>0.79</v>
      </c>
      <c r="Q34" s="90">
        <f t="shared" si="0"/>
        <v>8.08</v>
      </c>
      <c r="R34" s="90"/>
      <c r="S34" s="90"/>
      <c r="T34" s="90"/>
      <c r="U34" s="90"/>
    </row>
    <row r="35" spans="1:21" s="86" customFormat="1" x14ac:dyDescent="0.25">
      <c r="A35" s="89" t="s">
        <v>31</v>
      </c>
      <c r="B35" s="91">
        <f t="shared" ref="B35:Q35" si="1">MAX(B9:B32)</f>
        <v>62.35</v>
      </c>
      <c r="C35" s="91">
        <f t="shared" si="1"/>
        <v>70.83</v>
      </c>
      <c r="D35" s="91">
        <f t="shared" si="1"/>
        <v>79.14</v>
      </c>
      <c r="E35" s="91">
        <f t="shared" si="1"/>
        <v>0.6</v>
      </c>
      <c r="F35" s="91">
        <f t="shared" si="1"/>
        <v>3.43</v>
      </c>
      <c r="G35" s="91">
        <f t="shared" si="1"/>
        <v>193.82</v>
      </c>
      <c r="H35" s="91">
        <f t="shared" si="1"/>
        <v>56.09</v>
      </c>
      <c r="I35" s="91">
        <f t="shared" si="1"/>
        <v>1.6</v>
      </c>
      <c r="J35" s="91">
        <f t="shared" si="1"/>
        <v>2.41</v>
      </c>
      <c r="K35" s="91">
        <f t="shared" si="1"/>
        <v>358.21</v>
      </c>
      <c r="L35" s="91">
        <f t="shared" si="1"/>
        <v>22.79</v>
      </c>
      <c r="M35" s="91">
        <f t="shared" si="1"/>
        <v>100.27</v>
      </c>
      <c r="N35" s="91">
        <f t="shared" si="1"/>
        <v>245.4</v>
      </c>
      <c r="O35" s="91">
        <f t="shared" si="1"/>
        <v>0</v>
      </c>
      <c r="P35" s="91">
        <f t="shared" si="1"/>
        <v>1.32</v>
      </c>
      <c r="Q35" s="91">
        <f t="shared" si="1"/>
        <v>11.07</v>
      </c>
      <c r="R35" s="91"/>
      <c r="S35" s="91"/>
      <c r="T35" s="91"/>
      <c r="U35" s="91"/>
    </row>
    <row r="36" spans="1:21" s="86" customFormat="1" x14ac:dyDescent="0.25">
      <c r="A36" s="89" t="s">
        <v>32</v>
      </c>
      <c r="B36" s="90">
        <f t="shared" ref="B36:Q36" si="2">AVERAGE(B9:B32)</f>
        <v>37.880000000000003</v>
      </c>
      <c r="C36" s="90">
        <f t="shared" si="2"/>
        <v>57.827499999999993</v>
      </c>
      <c r="D36" s="90">
        <f t="shared" si="2"/>
        <v>62.491666666666667</v>
      </c>
      <c r="E36" s="90">
        <f t="shared" si="2"/>
        <v>0.29291666666666666</v>
      </c>
      <c r="F36" s="90">
        <f t="shared" si="2"/>
        <v>3.2466666666666679</v>
      </c>
      <c r="G36" s="90">
        <f t="shared" si="2"/>
        <v>109.15916666666665</v>
      </c>
      <c r="H36" s="90">
        <f t="shared" si="2"/>
        <v>44.519583333333337</v>
      </c>
      <c r="I36" s="90">
        <f t="shared" si="2"/>
        <v>1.5441666666666667</v>
      </c>
      <c r="J36" s="90">
        <f t="shared" si="2"/>
        <v>0.81958333333333344</v>
      </c>
      <c r="K36" s="90">
        <f t="shared" si="2"/>
        <v>284.23125000000005</v>
      </c>
      <c r="L36" s="90">
        <f t="shared" si="2"/>
        <v>17.252499999999998</v>
      </c>
      <c r="M36" s="90">
        <f t="shared" si="2"/>
        <v>84.919166666666669</v>
      </c>
      <c r="N36" s="90">
        <f t="shared" si="2"/>
        <v>59.195833333333347</v>
      </c>
      <c r="O36" s="90">
        <f t="shared" si="2"/>
        <v>0</v>
      </c>
      <c r="P36" s="90">
        <f t="shared" si="2"/>
        <v>1.114583333333333</v>
      </c>
      <c r="Q36" s="90">
        <f t="shared" si="2"/>
        <v>10.022083333333333</v>
      </c>
      <c r="R36" s="90"/>
      <c r="S36" s="90"/>
      <c r="T36" s="90"/>
      <c r="U36" s="90"/>
    </row>
    <row r="37" spans="1:21" s="86" customFormat="1" x14ac:dyDescent="0.25">
      <c r="A37" s="89" t="s">
        <v>38</v>
      </c>
      <c r="B37" s="90">
        <f>STDEV(B9:B32)</f>
        <v>11.723751069108991</v>
      </c>
      <c r="C37" s="90">
        <f t="shared" ref="C37:Q37" si="3">STDEV(C9:C32)</f>
        <v>6.946108231608374</v>
      </c>
      <c r="D37" s="90">
        <f t="shared" si="3"/>
        <v>9.2474812865410865</v>
      </c>
      <c r="E37" s="90">
        <f t="shared" si="3"/>
        <v>0.1022562495875443</v>
      </c>
      <c r="F37" s="90">
        <f t="shared" si="3"/>
        <v>0.11227554097598136</v>
      </c>
      <c r="G37" s="90">
        <f t="shared" si="3"/>
        <v>32.508829023709147</v>
      </c>
      <c r="H37" s="90">
        <f t="shared" si="3"/>
        <v>6.0231304002853037</v>
      </c>
      <c r="I37" s="90">
        <f t="shared" si="3"/>
        <v>3.1885210782848346E-2</v>
      </c>
      <c r="J37" s="90">
        <f t="shared" si="3"/>
        <v>0.49868068694930612</v>
      </c>
      <c r="K37" s="90">
        <f t="shared" si="3"/>
        <v>105.77832507130776</v>
      </c>
      <c r="L37" s="90">
        <f t="shared" si="3"/>
        <v>2.7522168929949862</v>
      </c>
      <c r="M37" s="90">
        <f t="shared" si="3"/>
        <v>10.107027652629426</v>
      </c>
      <c r="N37" s="90">
        <f t="shared" si="3"/>
        <v>67.931432688420799</v>
      </c>
      <c r="O37" s="90">
        <f t="shared" si="3"/>
        <v>0</v>
      </c>
      <c r="P37" s="90">
        <f t="shared" si="3"/>
        <v>0.18768565687633793</v>
      </c>
      <c r="Q37" s="90">
        <f t="shared" si="3"/>
        <v>0.86210550734646241</v>
      </c>
      <c r="R37" s="90"/>
      <c r="S37" s="90"/>
      <c r="T37" s="90"/>
      <c r="U37" s="90"/>
    </row>
    <row r="38" spans="1:21" s="86" customFormat="1" x14ac:dyDescent="0.25">
      <c r="A38" s="92" t="s">
        <v>33</v>
      </c>
      <c r="B38" s="93">
        <f t="shared" ref="B38:Q38" si="4">COUNT(B9:B32)</f>
        <v>24</v>
      </c>
      <c r="C38" s="93">
        <f t="shared" si="4"/>
        <v>24</v>
      </c>
      <c r="D38" s="93">
        <f t="shared" si="4"/>
        <v>24</v>
      </c>
      <c r="E38" s="93">
        <f t="shared" si="4"/>
        <v>24</v>
      </c>
      <c r="F38" s="93">
        <f t="shared" si="4"/>
        <v>24</v>
      </c>
      <c r="G38" s="93">
        <f t="shared" si="4"/>
        <v>24</v>
      </c>
      <c r="H38" s="93">
        <f t="shared" si="4"/>
        <v>24</v>
      </c>
      <c r="I38" s="93">
        <f t="shared" si="4"/>
        <v>24</v>
      </c>
      <c r="J38" s="93">
        <f t="shared" si="4"/>
        <v>24</v>
      </c>
      <c r="K38" s="93">
        <f t="shared" si="4"/>
        <v>24</v>
      </c>
      <c r="L38" s="93">
        <f t="shared" si="4"/>
        <v>24</v>
      </c>
      <c r="M38" s="93">
        <f t="shared" si="4"/>
        <v>24</v>
      </c>
      <c r="N38" s="93">
        <f t="shared" si="4"/>
        <v>24</v>
      </c>
      <c r="O38" s="93">
        <f t="shared" si="4"/>
        <v>24</v>
      </c>
      <c r="P38" s="93">
        <f t="shared" si="4"/>
        <v>24</v>
      </c>
      <c r="Q38" s="93">
        <f t="shared" si="4"/>
        <v>24</v>
      </c>
      <c r="R38" s="93"/>
      <c r="S38" s="93"/>
      <c r="T38" s="93"/>
      <c r="U38" s="93"/>
    </row>
    <row r="39" spans="1:21" s="86" customFormat="1" x14ac:dyDescent="0.25">
      <c r="A39" s="89" t="s">
        <v>34</v>
      </c>
      <c r="B39" s="91" t="str">
        <f>IF(B38&gt;=22,"&gt;90%",IF(B38&lt;=22,"&lt;90%"))</f>
        <v>&gt;90%</v>
      </c>
      <c r="C39" s="91" t="str">
        <f t="shared" ref="C39:P39" si="5">IF(C38&gt;=22,"&gt;90%",IF(C38&lt;=22,"&lt;90%"))</f>
        <v>&gt;90%</v>
      </c>
      <c r="D39" s="91" t="str">
        <f t="shared" si="5"/>
        <v>&gt;90%</v>
      </c>
      <c r="E39" s="91" t="str">
        <f t="shared" si="5"/>
        <v>&gt;90%</v>
      </c>
      <c r="F39" s="91" t="str">
        <f t="shared" si="5"/>
        <v>&gt;90%</v>
      </c>
      <c r="G39" s="91" t="str">
        <f t="shared" si="5"/>
        <v>&gt;90%</v>
      </c>
      <c r="H39" s="91" t="str">
        <f t="shared" si="5"/>
        <v>&gt;90%</v>
      </c>
      <c r="I39" s="91" t="str">
        <f t="shared" si="5"/>
        <v>&gt;90%</v>
      </c>
      <c r="J39" s="91" t="str">
        <f t="shared" si="5"/>
        <v>&gt;90%</v>
      </c>
      <c r="K39" s="91" t="str">
        <f t="shared" si="5"/>
        <v>&gt;90%</v>
      </c>
      <c r="L39" s="91" t="str">
        <f t="shared" si="5"/>
        <v>&gt;90%</v>
      </c>
      <c r="M39" s="91" t="str">
        <f t="shared" si="5"/>
        <v>&gt;90%</v>
      </c>
      <c r="N39" s="91" t="str">
        <f t="shared" si="5"/>
        <v>&gt;90%</v>
      </c>
      <c r="O39" s="91" t="str">
        <f t="shared" si="5"/>
        <v>&gt;90%</v>
      </c>
      <c r="P39" s="91" t="str">
        <f t="shared" si="5"/>
        <v>&gt;90%</v>
      </c>
      <c r="Q39" s="91" t="str">
        <f>IF(Q38&gt;=22,"&gt;90%",IF(Q38&lt;=22,"&lt;90%"))</f>
        <v>&gt;90%</v>
      </c>
      <c r="R39" s="91"/>
      <c r="S39" s="91"/>
      <c r="T39" s="91"/>
      <c r="U39" s="91"/>
    </row>
    <row r="40" spans="1:21" s="86" customFormat="1" x14ac:dyDescent="0.25">
      <c r="A40" s="89" t="s">
        <v>1</v>
      </c>
      <c r="B40" s="91" t="str">
        <f>IF(B38&gt;=22,"OK",IF(B38&lt;=22,"LESS"))</f>
        <v>OK</v>
      </c>
      <c r="C40" s="91" t="str">
        <f t="shared" ref="C40:Q40" si="6">IF(C38&gt;=22,"OK",IF(C38&lt;=22,"LESS"))</f>
        <v>OK</v>
      </c>
      <c r="D40" s="91" t="str">
        <f t="shared" si="6"/>
        <v>OK</v>
      </c>
      <c r="E40" s="91" t="str">
        <f t="shared" si="6"/>
        <v>OK</v>
      </c>
      <c r="F40" s="91" t="str">
        <f t="shared" si="6"/>
        <v>OK</v>
      </c>
      <c r="G40" s="91" t="str">
        <f t="shared" si="6"/>
        <v>OK</v>
      </c>
      <c r="H40" s="91" t="str">
        <f t="shared" si="6"/>
        <v>OK</v>
      </c>
      <c r="I40" s="91" t="str">
        <f t="shared" si="6"/>
        <v>OK</v>
      </c>
      <c r="J40" s="91" t="str">
        <f t="shared" si="6"/>
        <v>OK</v>
      </c>
      <c r="K40" s="91" t="str">
        <f t="shared" si="6"/>
        <v>OK</v>
      </c>
      <c r="L40" s="91" t="str">
        <f t="shared" si="6"/>
        <v>OK</v>
      </c>
      <c r="M40" s="91" t="str">
        <f t="shared" si="6"/>
        <v>OK</v>
      </c>
      <c r="N40" s="91" t="str">
        <f t="shared" si="6"/>
        <v>OK</v>
      </c>
      <c r="O40" s="91" t="str">
        <f t="shared" si="6"/>
        <v>OK</v>
      </c>
      <c r="P40" s="91" t="str">
        <f t="shared" si="6"/>
        <v>OK</v>
      </c>
      <c r="Q40" s="91" t="str">
        <f t="shared" si="6"/>
        <v>OK</v>
      </c>
      <c r="R40" s="91"/>
      <c r="S40" s="91"/>
      <c r="T40" s="91"/>
      <c r="U40" s="91"/>
    </row>
    <row r="41" spans="1:21" s="86" customFormat="1" x14ac:dyDescent="0.25">
      <c r="A41" s="78"/>
      <c r="L41" s="78"/>
      <c r="N41" s="81"/>
      <c r="O41" s="81"/>
      <c r="P41" s="81"/>
      <c r="Q41" s="81"/>
      <c r="R41" s="81"/>
      <c r="S41" s="81"/>
      <c r="T41" s="81"/>
      <c r="U41" s="81"/>
    </row>
    <row r="42" spans="1:21" s="86" customFormat="1" x14ac:dyDescent="0.25">
      <c r="A42" s="78"/>
    </row>
    <row r="43" spans="1:21" s="86" customFormat="1" x14ac:dyDescent="0.25">
      <c r="A43" s="79" t="s">
        <v>35</v>
      </c>
      <c r="B43" s="100" t="s">
        <v>40</v>
      </c>
      <c r="C43" s="102"/>
    </row>
    <row r="44" spans="1:21" s="86" customFormat="1" x14ac:dyDescent="0.25">
      <c r="A44" s="78"/>
      <c r="D44" s="67"/>
      <c r="E44" s="67"/>
      <c r="F44" s="67"/>
      <c r="G44" s="67"/>
      <c r="H44" s="67"/>
      <c r="I44" s="67"/>
    </row>
    <row r="45" spans="1:21" s="86" customFormat="1" ht="15.75" x14ac:dyDescent="0.25">
      <c r="A45" s="82" t="s">
        <v>36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</row>
    <row r="46" spans="1:21" s="86" customFormat="1" x14ac:dyDescent="0.25"/>
    <row r="47" spans="1:21" s="86" customFormat="1" x14ac:dyDescent="0.25"/>
    <row r="48" spans="1:21" s="86" customFormat="1" x14ac:dyDescent="0.25"/>
    <row r="49" s="86" customFormat="1" x14ac:dyDescent="0.25"/>
    <row r="50" s="86" customFormat="1" x14ac:dyDescent="0.25"/>
    <row r="51" s="86" customFormat="1" x14ac:dyDescent="0.25"/>
    <row r="52" s="86" customFormat="1" x14ac:dyDescent="0.25"/>
    <row r="53" s="86" customFormat="1" x14ac:dyDescent="0.25"/>
    <row r="54" s="86" customFormat="1" x14ac:dyDescent="0.25"/>
    <row r="55" s="86" customFormat="1" x14ac:dyDescent="0.25"/>
    <row r="56" s="86" customFormat="1" x14ac:dyDescent="0.25"/>
    <row r="57" s="86" customFormat="1" x14ac:dyDescent="0.25"/>
    <row r="58" s="86" customFormat="1" x14ac:dyDescent="0.25"/>
    <row r="59" s="86" customFormat="1" x14ac:dyDescent="0.25"/>
    <row r="60" s="86" customFormat="1" x14ac:dyDescent="0.25"/>
    <row r="61" s="86" customFormat="1" x14ac:dyDescent="0.25"/>
    <row r="62" s="86" customFormat="1" x14ac:dyDescent="0.25"/>
    <row r="63" s="86" customFormat="1" x14ac:dyDescent="0.25"/>
    <row r="64" s="86" customFormat="1" x14ac:dyDescent="0.25"/>
    <row r="65" s="86" customFormat="1" x14ac:dyDescent="0.25"/>
    <row r="66" s="86" customFormat="1" x14ac:dyDescent="0.25"/>
    <row r="67" s="86" customFormat="1" x14ac:dyDescent="0.25"/>
    <row r="68" s="86" customFormat="1" x14ac:dyDescent="0.25"/>
    <row r="69" s="86" customFormat="1" x14ac:dyDescent="0.25"/>
    <row r="70" s="86" customFormat="1" x14ac:dyDescent="0.25"/>
    <row r="71" s="86" customFormat="1" x14ac:dyDescent="0.25"/>
    <row r="72" s="86" customFormat="1" x14ac:dyDescent="0.25"/>
    <row r="73" s="86" customFormat="1" x14ac:dyDescent="0.25"/>
    <row r="74" s="86" customFormat="1" x14ac:dyDescent="0.25"/>
    <row r="75" s="86" customFormat="1" x14ac:dyDescent="0.25"/>
    <row r="76" s="86" customFormat="1" x14ac:dyDescent="0.25"/>
    <row r="77" s="86" customFormat="1" x14ac:dyDescent="0.25"/>
    <row r="78" s="86" customFormat="1" x14ac:dyDescent="0.25"/>
    <row r="79" s="86" customFormat="1" x14ac:dyDescent="0.25"/>
    <row r="80" s="86" customFormat="1" x14ac:dyDescent="0.25"/>
    <row r="81" s="86" customFormat="1" x14ac:dyDescent="0.25"/>
    <row r="82" s="86" customFormat="1" x14ac:dyDescent="0.25"/>
    <row r="83" s="86" customFormat="1" x14ac:dyDescent="0.25"/>
    <row r="84" s="86" customFormat="1" x14ac:dyDescent="0.25"/>
    <row r="85" s="86" customFormat="1" x14ac:dyDescent="0.25"/>
    <row r="86" s="86" customFormat="1" x14ac:dyDescent="0.25"/>
    <row r="87" s="86" customFormat="1" x14ac:dyDescent="0.25"/>
    <row r="88" s="86" customFormat="1" x14ac:dyDescent="0.25"/>
    <row r="89" s="86" customFormat="1" x14ac:dyDescent="0.25"/>
    <row r="90" s="86" customFormat="1" x14ac:dyDescent="0.25"/>
    <row r="91" s="86" customFormat="1" x14ac:dyDescent="0.25"/>
    <row r="92" s="86" customFormat="1" x14ac:dyDescent="0.25"/>
    <row r="93" s="86" customFormat="1" x14ac:dyDescent="0.25"/>
    <row r="94" s="86" customFormat="1" x14ac:dyDescent="0.25"/>
    <row r="95" s="86" customFormat="1" x14ac:dyDescent="0.25"/>
    <row r="96" s="86" customFormat="1" x14ac:dyDescent="0.25"/>
    <row r="97" spans="1:1" s="86" customFormat="1" x14ac:dyDescent="0.25"/>
    <row r="98" spans="1:1" s="86" customFormat="1" x14ac:dyDescent="0.25"/>
    <row r="99" spans="1:1" s="86" customFormat="1" x14ac:dyDescent="0.25"/>
    <row r="100" spans="1:1" s="86" customFormat="1" x14ac:dyDescent="0.25"/>
    <row r="101" spans="1:1" s="86" customFormat="1" x14ac:dyDescent="0.25"/>
    <row r="102" spans="1:1" s="86" customFormat="1" x14ac:dyDescent="0.25"/>
    <row r="103" spans="1:1" s="86" customFormat="1" x14ac:dyDescent="0.25"/>
    <row r="104" spans="1:1" s="86" customFormat="1" x14ac:dyDescent="0.25"/>
    <row r="105" spans="1:1" s="86" customFormat="1" x14ac:dyDescent="0.25"/>
    <row r="106" spans="1:1" x14ac:dyDescent="0.25">
      <c r="A106" s="85"/>
    </row>
    <row r="107" spans="1:1" s="86" customFormat="1" x14ac:dyDescent="0.25"/>
    <row r="108" spans="1:1" s="86" customFormat="1" x14ac:dyDescent="0.25"/>
    <row r="109" spans="1:1" s="86" customFormat="1" x14ac:dyDescent="0.25"/>
    <row r="110" spans="1:1" s="86" customFormat="1" x14ac:dyDescent="0.25"/>
    <row r="111" spans="1:1" s="86" customFormat="1" x14ac:dyDescent="0.25"/>
    <row r="112" spans="1:1" s="86" customFormat="1" x14ac:dyDescent="0.25"/>
    <row r="113" spans="1:1" s="86" customFormat="1" x14ac:dyDescent="0.25"/>
    <row r="114" spans="1:1" s="86" customFormat="1" x14ac:dyDescent="0.25"/>
    <row r="115" spans="1:1" s="86" customFormat="1" x14ac:dyDescent="0.25"/>
    <row r="116" spans="1:1" s="86" customFormat="1" x14ac:dyDescent="0.25"/>
    <row r="117" spans="1:1" s="86" customFormat="1" x14ac:dyDescent="0.25"/>
    <row r="118" spans="1:1" x14ac:dyDescent="0.25">
      <c r="A118" s="85"/>
    </row>
    <row r="119" spans="1:1" x14ac:dyDescent="0.25">
      <c r="A119" s="8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workbookViewId="0">
      <pane xSplit="1" ySplit="8" topLeftCell="C9" activePane="bottomRight" state="frozen"/>
      <selection activeCell="B2" sqref="B2"/>
      <selection pane="topRight" activeCell="B2" sqref="B2"/>
      <selection pane="bottomLeft" activeCell="B2" sqref="B2"/>
      <selection pane="bottomRight" activeCell="G61" sqref="G61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01/07/2024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01/07/2024</v>
      </c>
      <c r="B9" s="24">
        <f>'01'!B36</f>
        <v>8.2960869565217408</v>
      </c>
      <c r="C9" s="24">
        <f>'01'!C36</f>
        <v>3.3195652173913039</v>
      </c>
      <c r="D9" s="24">
        <f>'01'!D36</f>
        <v>12.157391304347826</v>
      </c>
      <c r="E9" s="24">
        <f>'01'!E36</f>
        <v>4.1795652173913052</v>
      </c>
      <c r="F9" s="24">
        <f>'01'!F36</f>
        <v>5.0134782608695643</v>
      </c>
      <c r="G9" s="24">
        <f>'01'!G36</f>
        <v>29.996521739130429</v>
      </c>
      <c r="H9" s="24">
        <f>'01'!H36</f>
        <v>9.2052173913043465</v>
      </c>
      <c r="I9" s="24">
        <f>'01'!I36</f>
        <v>2.5443478260869568</v>
      </c>
      <c r="J9" s="24">
        <f>'01'!J36</f>
        <v>0.62304347826086959</v>
      </c>
      <c r="K9" s="24">
        <f>'01'!K36</f>
        <v>310.1013043478261</v>
      </c>
      <c r="L9" s="24">
        <f>'01'!L36</f>
        <v>24.496956521739133</v>
      </c>
      <c r="M9" s="24">
        <f>'01'!M36</f>
        <v>93.699565217391296</v>
      </c>
      <c r="N9" s="24">
        <f>'01'!N36</f>
        <v>116.73043478260867</v>
      </c>
      <c r="O9" s="24">
        <f>'01'!O36</f>
        <v>6.08695652173913E-2</v>
      </c>
      <c r="P9" s="30">
        <f>'01'!$P$36</f>
        <v>0.38347826086956516</v>
      </c>
      <c r="Q9" s="24">
        <f>'01'!Q36</f>
        <v>9.3052173913043497</v>
      </c>
      <c r="R9" s="44"/>
      <c r="S9" s="44"/>
      <c r="T9" s="44"/>
      <c r="U9" s="45"/>
    </row>
    <row r="10" spans="1:21" s="34" customFormat="1" x14ac:dyDescent="0.25">
      <c r="A10" s="36" t="str">
        <f>'02'!$B$2</f>
        <v>02/07/2024 01:00</v>
      </c>
      <c r="B10" s="33">
        <f>'02'!B36</f>
        <v>8.2562500000000014</v>
      </c>
      <c r="C10" s="33">
        <f>'02'!C36</f>
        <v>3.2908333333333331</v>
      </c>
      <c r="D10" s="33">
        <f>'02'!D36</f>
        <v>12.11166666666667</v>
      </c>
      <c r="E10" s="33">
        <f>'02'!E36</f>
        <v>4.3029166666666665</v>
      </c>
      <c r="F10" s="33">
        <f>'02'!F36</f>
        <v>4.5550000000000006</v>
      </c>
      <c r="G10" s="33">
        <f>'02'!G36</f>
        <v>31.381666666666671</v>
      </c>
      <c r="H10" s="33">
        <f>'02'!H36</f>
        <v>8.4500000000000011</v>
      </c>
      <c r="I10" s="33">
        <f>'02'!I36</f>
        <v>2.5295833333333335</v>
      </c>
      <c r="J10" s="33">
        <f>'02'!J36</f>
        <v>0.51500000000000001</v>
      </c>
      <c r="K10" s="33">
        <f>'02'!K36</f>
        <v>286.81958333333336</v>
      </c>
      <c r="L10" s="33">
        <f>'02'!L36</f>
        <v>24.860416666666666</v>
      </c>
      <c r="M10" s="33">
        <f>'02'!M36</f>
        <v>91.029583333333335</v>
      </c>
      <c r="N10" s="33">
        <f>'02'!N36</f>
        <v>176.03750000000002</v>
      </c>
      <c r="O10" s="33">
        <f>'02'!O36</f>
        <v>0.10833333333333334</v>
      </c>
      <c r="P10" s="30">
        <f>'02'!$P$36</f>
        <v>0.36333333333333334</v>
      </c>
      <c r="Q10" s="33">
        <f>'02'!Q36</f>
        <v>9.2999999999999989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03/07/2024 01:00</v>
      </c>
      <c r="B11" s="33">
        <f>'03'!B36</f>
        <v>8.2695833333333351</v>
      </c>
      <c r="C11" s="33">
        <f>'03'!C36</f>
        <v>3.3091666666666661</v>
      </c>
      <c r="D11" s="33">
        <f>'03'!D36</f>
        <v>12.129166666666668</v>
      </c>
      <c r="E11" s="33">
        <f>'03'!E36</f>
        <v>4.3387500000000001</v>
      </c>
      <c r="F11" s="33">
        <f>'03'!F36</f>
        <v>5.0733333333333333</v>
      </c>
      <c r="G11" s="33">
        <f>'03'!G36</f>
        <v>38.55833333333333</v>
      </c>
      <c r="H11" s="33">
        <f>'03'!H36</f>
        <v>11.435</v>
      </c>
      <c r="I11" s="33">
        <f>'03'!I36</f>
        <v>1.9891666666666665</v>
      </c>
      <c r="J11" s="33">
        <f>'03'!J36</f>
        <v>0.62749999999999984</v>
      </c>
      <c r="K11" s="33">
        <f>'03'!K36</f>
        <v>243.37041666666667</v>
      </c>
      <c r="L11" s="33">
        <f>'03'!L36</f>
        <v>25.557499999999994</v>
      </c>
      <c r="M11" s="33">
        <f>'03'!M36</f>
        <v>86.548333333333332</v>
      </c>
      <c r="N11" s="33">
        <f>'03'!N36</f>
        <v>184.36666666666667</v>
      </c>
      <c r="O11" s="33">
        <f>'03'!O36</f>
        <v>0</v>
      </c>
      <c r="P11" s="30">
        <f>'03'!$P$36</f>
        <v>0.41583333333333333</v>
      </c>
      <c r="Q11" s="33">
        <f>'03'!Q36</f>
        <v>9.2700000000000031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04/07/2024 01:00</v>
      </c>
      <c r="B12" s="33">
        <f>'04'!B36</f>
        <v>8.3145833333333332</v>
      </c>
      <c r="C12" s="33">
        <f>'04'!C36</f>
        <v>3.3175000000000008</v>
      </c>
      <c r="D12" s="33">
        <f>'04'!D36</f>
        <v>12.173749999999998</v>
      </c>
      <c r="E12" s="33">
        <f>'04'!E36</f>
        <v>4.4587500000000002</v>
      </c>
      <c r="F12" s="33">
        <f>'04'!F36</f>
        <v>4.8816666666666668</v>
      </c>
      <c r="G12" s="33">
        <f>'04'!G36</f>
        <v>39.891818181818181</v>
      </c>
      <c r="H12" s="33">
        <f>'04'!H36</f>
        <v>13.384090909090911</v>
      </c>
      <c r="I12" s="33">
        <f>'04'!I36</f>
        <v>2.645</v>
      </c>
      <c r="J12" s="33">
        <f>'04'!J36</f>
        <v>0.63875000000000004</v>
      </c>
      <c r="K12" s="33">
        <f>'04'!K36</f>
        <v>301.69083333333327</v>
      </c>
      <c r="L12" s="33">
        <f>'04'!L36</f>
        <v>24.758749999999996</v>
      </c>
      <c r="M12" s="33">
        <f>'04'!M36</f>
        <v>91.416250000000005</v>
      </c>
      <c r="N12" s="33">
        <f>'04'!N36</f>
        <v>159.77500000000001</v>
      </c>
      <c r="O12" s="33">
        <f>'04'!O36</f>
        <v>0.16666666666666666</v>
      </c>
      <c r="P12" s="30">
        <f>'04'!$P$36</f>
        <v>0.36333333333333329</v>
      </c>
      <c r="Q12" s="33">
        <f>'04'!Q36</f>
        <v>9.2512499999999971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05/07/2024 01:00</v>
      </c>
      <c r="B13" s="33">
        <f>'05'!B36</f>
        <v>8.3091666666666661</v>
      </c>
      <c r="C13" s="33">
        <f>'05'!C36</f>
        <v>3.3341666666666669</v>
      </c>
      <c r="D13" s="33">
        <f>'05'!D36</f>
        <v>12.176250000000001</v>
      </c>
      <c r="E13" s="33">
        <f>'05'!E36</f>
        <v>4.4070833333333335</v>
      </c>
      <c r="F13" s="33">
        <f>'05'!F36</f>
        <v>4.3474999999999993</v>
      </c>
      <c r="G13" s="33">
        <f>'05'!G36</f>
        <v>35.973333333333336</v>
      </c>
      <c r="H13" s="33">
        <f>'05'!H36</f>
        <v>9.6241666666666674</v>
      </c>
      <c r="I13" s="33">
        <f>'05'!I36</f>
        <v>2.7412500000000004</v>
      </c>
      <c r="J13" s="33">
        <f>'05'!J36</f>
        <v>0.59666666666666679</v>
      </c>
      <c r="K13" s="33">
        <f>'05'!K36</f>
        <v>311.40500000000003</v>
      </c>
      <c r="L13" s="33">
        <f>'05'!L36</f>
        <v>26.075416666666669</v>
      </c>
      <c r="M13" s="33">
        <f>'05'!M36</f>
        <v>85.085833333333341</v>
      </c>
      <c r="N13" s="33">
        <f>'05'!N36</f>
        <v>197.77083333333334</v>
      </c>
      <c r="O13" s="33">
        <f>'05'!O36</f>
        <v>8.3333333333333332E-3</v>
      </c>
      <c r="P13" s="30">
        <f>'05'!$P$36</f>
        <v>0.3691666666666667</v>
      </c>
      <c r="Q13" s="74" t="s">
        <v>8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06/07/2024 01:00</v>
      </c>
      <c r="B14" s="33">
        <f>'06'!B36</f>
        <v>8.2662499999999977</v>
      </c>
      <c r="C14" s="33">
        <f>'06'!C36</f>
        <v>3.2912499999999993</v>
      </c>
      <c r="D14" s="33">
        <f>'06'!D36</f>
        <v>12.117500000000001</v>
      </c>
      <c r="E14" s="33">
        <f>'06'!E36</f>
        <v>4.4779166666666663</v>
      </c>
      <c r="F14" s="33">
        <f>'06'!F36</f>
        <v>4.5650000000000004</v>
      </c>
      <c r="G14" s="33">
        <f>'06'!G36</f>
        <v>35.112083333333338</v>
      </c>
      <c r="H14" s="33">
        <f>'06'!H36</f>
        <v>10.382083333333332</v>
      </c>
      <c r="I14" s="33">
        <f>'06'!I36</f>
        <v>2.7504166666666663</v>
      </c>
      <c r="J14" s="33">
        <f>'06'!J36</f>
        <v>0.58625000000000005</v>
      </c>
      <c r="K14" s="33">
        <f>'06'!K36</f>
        <v>287.22291666666672</v>
      </c>
      <c r="L14" s="33">
        <f>'06'!L36</f>
        <v>26.429999999999993</v>
      </c>
      <c r="M14" s="33">
        <f>'06'!M36</f>
        <v>82.615833333333356</v>
      </c>
      <c r="N14" s="33">
        <f>'06'!N36</f>
        <v>226.36666666666667</v>
      </c>
      <c r="O14" s="33">
        <f>'06'!O36</f>
        <v>0</v>
      </c>
      <c r="P14" s="30">
        <f>'06'!$P$36</f>
        <v>0.31874999999999992</v>
      </c>
      <c r="Q14" s="33">
        <f>'06'!Q36</f>
        <v>9.2459999999999987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07/07/2024 01:00</v>
      </c>
      <c r="B15" s="33">
        <f>'07'!B36</f>
        <v>8.2529166666666658</v>
      </c>
      <c r="C15" s="33">
        <f>'07'!C36</f>
        <v>3.2895833333333329</v>
      </c>
      <c r="D15" s="33">
        <f>'07'!D36</f>
        <v>12.108333333333329</v>
      </c>
      <c r="E15" s="33">
        <f>'07'!E36</f>
        <v>4.6762500000000005</v>
      </c>
      <c r="F15" s="33">
        <f>'07'!F36</f>
        <v>4.3183333333333325</v>
      </c>
      <c r="G15" s="33">
        <f>'07'!G36</f>
        <v>36.343333333333334</v>
      </c>
      <c r="H15" s="33">
        <f>'07'!H36</f>
        <v>10.324583333333331</v>
      </c>
      <c r="I15" s="33">
        <f>'07'!I36</f>
        <v>3.117083333333333</v>
      </c>
      <c r="J15" s="33">
        <f>'07'!J36</f>
        <v>0.63</v>
      </c>
      <c r="K15" s="33">
        <f>'07'!K36</f>
        <v>314.47624999999999</v>
      </c>
      <c r="L15" s="33">
        <f>'07'!L36</f>
        <v>25.51541666666667</v>
      </c>
      <c r="M15" s="33">
        <f>'07'!M36</f>
        <v>90.408333333333317</v>
      </c>
      <c r="N15" s="94">
        <f>'07'!N36</f>
        <v>131.16666666666666</v>
      </c>
      <c r="O15" s="94">
        <f>'07'!O36</f>
        <v>8.3333333333333332E-3</v>
      </c>
      <c r="P15" s="94">
        <f>'07'!P36</f>
        <v>0.42</v>
      </c>
      <c r="Q15" s="60" t="s">
        <v>8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08/07/2024 01:00</v>
      </c>
      <c r="B16" s="33">
        <f>'08'!B36</f>
        <v>8.2854166666666682</v>
      </c>
      <c r="C16" s="33">
        <f>'08'!C36</f>
        <v>3.2995833333333331</v>
      </c>
      <c r="D16" s="33">
        <f>'08'!D36</f>
        <v>12.136250000000002</v>
      </c>
      <c r="E16" s="33">
        <f>'08'!E36</f>
        <v>4.8041666666666663</v>
      </c>
      <c r="F16" s="33">
        <f>'08'!F36</f>
        <v>4.5808333333333335</v>
      </c>
      <c r="G16" s="33">
        <f>'08'!G36</f>
        <v>43.33124999999999</v>
      </c>
      <c r="H16" s="33">
        <f>'08'!H36</f>
        <v>13.595000000000001</v>
      </c>
      <c r="I16" s="33">
        <f>'08'!I36</f>
        <v>5.6770833333333321</v>
      </c>
      <c r="J16" s="33">
        <f>'08'!J36</f>
        <v>0.83625000000000005</v>
      </c>
      <c r="K16" s="33">
        <f>'08'!K36</f>
        <v>255.36958333333345</v>
      </c>
      <c r="L16" s="33">
        <f>'08'!L36</f>
        <v>26.19125</v>
      </c>
      <c r="M16" s="33">
        <f>'08'!M36</f>
        <v>91.959166666666661</v>
      </c>
      <c r="N16" s="33">
        <f>'08'!N36</f>
        <v>184.83333333333334</v>
      </c>
      <c r="O16" s="33">
        <f>'08'!O36</f>
        <v>0.10833333333333334</v>
      </c>
      <c r="P16" s="30">
        <f>'08'!$P$36</f>
        <v>0.54749999999999999</v>
      </c>
      <c r="Q16" s="60" t="s">
        <v>8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09/07/2024 01:00</v>
      </c>
      <c r="B17" s="33">
        <f>'09'!B36</f>
        <v>8.2737499999999997</v>
      </c>
      <c r="C17" s="33">
        <f>'09'!C36</f>
        <v>3.2708333333333339</v>
      </c>
      <c r="D17" s="33">
        <f>'09'!D36</f>
        <v>12.112500000000002</v>
      </c>
      <c r="E17" s="33">
        <f>'09'!E36</f>
        <v>4.3454166666666669</v>
      </c>
      <c r="F17" s="33">
        <f>'09'!F36</f>
        <v>4.2645833333333334</v>
      </c>
      <c r="G17" s="33">
        <f>'09'!G36</f>
        <v>25.684166666666666</v>
      </c>
      <c r="H17" s="33">
        <f>'09'!H36</f>
        <v>7.4112499999999999</v>
      </c>
      <c r="I17" s="33">
        <f>'09'!I36</f>
        <v>4.9554166666666672</v>
      </c>
      <c r="J17" s="33">
        <f>'09'!J36</f>
        <v>0.7929166666666666</v>
      </c>
      <c r="K17" s="33">
        <f>'09'!K36</f>
        <v>271.95791666666668</v>
      </c>
      <c r="L17" s="33">
        <f>'09'!L36</f>
        <v>26.528333333333336</v>
      </c>
      <c r="M17" s="33">
        <f>'09'!M36</f>
        <v>87.806249999999991</v>
      </c>
      <c r="N17" s="94">
        <f>'09'!N36</f>
        <v>217.17499999999998</v>
      </c>
      <c r="O17" s="94">
        <f>'09'!O36</f>
        <v>0.25</v>
      </c>
      <c r="P17" s="94">
        <f>'09'!P36</f>
        <v>0.435</v>
      </c>
      <c r="Q17" s="60" t="s">
        <v>8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10/07/2024 01:00</v>
      </c>
      <c r="B18" s="33">
        <f>'10'!B36</f>
        <v>8.3074999999999992</v>
      </c>
      <c r="C18" s="33">
        <f>'10'!C36</f>
        <v>3.3099999999999992</v>
      </c>
      <c r="D18" s="33">
        <f>'10'!D36</f>
        <v>12.163333333333334</v>
      </c>
      <c r="E18" s="33">
        <f>'10'!E36</f>
        <v>5.003333333333333</v>
      </c>
      <c r="F18" s="33">
        <f>'10'!F36</f>
        <v>4.6379166666666682</v>
      </c>
      <c r="G18" s="33">
        <f>'10'!G36</f>
        <v>43.581666666666671</v>
      </c>
      <c r="H18" s="33">
        <f>'10'!H36</f>
        <v>9.8241666666666667</v>
      </c>
      <c r="I18" s="33">
        <f>'10'!I36</f>
        <v>3.9437499999999996</v>
      </c>
      <c r="J18" s="33">
        <f>'10'!J36</f>
        <v>0.6462500000000001</v>
      </c>
      <c r="K18" s="33">
        <f>'10'!K36</f>
        <v>270.98708333333332</v>
      </c>
      <c r="L18" s="33">
        <f>'10'!L36</f>
        <v>26.253749999999997</v>
      </c>
      <c r="M18" s="33">
        <f>'10'!M36</f>
        <v>88.197083333333339</v>
      </c>
      <c r="N18" s="33">
        <f>'10'!N36</f>
        <v>180.9083333333333</v>
      </c>
      <c r="O18" s="33">
        <f>'10'!O36</f>
        <v>8.3333333333333332E-3</v>
      </c>
      <c r="P18" s="30">
        <f>'10'!$P$36</f>
        <v>0.45958333333333329</v>
      </c>
      <c r="Q18" s="62" t="s">
        <v>15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11/07/2024 01:00</v>
      </c>
      <c r="B19" s="33">
        <f>'11'!B36</f>
        <v>8.3495833333333334</v>
      </c>
      <c r="C19" s="33">
        <f>'11'!C36</f>
        <v>3.317083333333334</v>
      </c>
      <c r="D19" s="33">
        <f>'11'!D36</f>
        <v>12.202083333333334</v>
      </c>
      <c r="E19" s="33">
        <f>'11'!E36</f>
        <v>4.1924999999999999</v>
      </c>
      <c r="F19" s="33">
        <f>'11'!F36</f>
        <v>4.9954166666666664</v>
      </c>
      <c r="G19" s="33">
        <f>'11'!G36</f>
        <v>30.472727272727273</v>
      </c>
      <c r="H19" s="33">
        <f>'11'!H36</f>
        <v>10.347272727272726</v>
      </c>
      <c r="I19" s="33">
        <f>'11'!I36</f>
        <v>2.9204166666666658</v>
      </c>
      <c r="J19" s="33">
        <f>'11'!J36</f>
        <v>0.58041666666666669</v>
      </c>
      <c r="K19" s="33">
        <f>'11'!K36</f>
        <v>267.03625</v>
      </c>
      <c r="L19" s="33">
        <f>'11'!L36</f>
        <v>26.527083333333326</v>
      </c>
      <c r="M19" s="33">
        <f>'11'!M36</f>
        <v>87.679583333333326</v>
      </c>
      <c r="N19" s="33">
        <f>'11'!N36</f>
        <v>207.42916666666667</v>
      </c>
      <c r="O19" s="33">
        <f>'11'!O36</f>
        <v>8.3333333333333332E-3</v>
      </c>
      <c r="P19" s="33">
        <f>'11'!P36</f>
        <v>0.37624999999999997</v>
      </c>
      <c r="Q19" s="62" t="s">
        <v>15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12/07/2024 01:00</v>
      </c>
      <c r="B20" s="33">
        <f>'12'!B36</f>
        <v>8.3795833333333345</v>
      </c>
      <c r="C20" s="33">
        <f>'12'!C36</f>
        <v>3.3558333333333326</v>
      </c>
      <c r="D20" s="33">
        <f>'12'!D36</f>
        <v>12.24375</v>
      </c>
      <c r="E20" s="33">
        <f>'12'!E36</f>
        <v>4.5879166666666658</v>
      </c>
      <c r="F20" s="33">
        <f>'12'!F36</f>
        <v>5.171666666666666</v>
      </c>
      <c r="G20" s="33">
        <f>'12'!G36</f>
        <v>56.75066666666666</v>
      </c>
      <c r="H20" s="33">
        <f>'12'!H36</f>
        <v>19.18</v>
      </c>
      <c r="I20" s="33">
        <f>'12'!I36</f>
        <v>3.2237500000000003</v>
      </c>
      <c r="J20" s="33">
        <f>'12'!J36</f>
        <v>0.7583333333333333</v>
      </c>
      <c r="K20" s="33">
        <f>'12'!K36</f>
        <v>318.72750000000002</v>
      </c>
      <c r="L20" s="33">
        <f>'12'!L36</f>
        <v>25.825833333333332</v>
      </c>
      <c r="M20" s="33">
        <f>'12'!M36</f>
        <v>89.649583333333325</v>
      </c>
      <c r="N20" s="33">
        <f>'12'!N36</f>
        <v>179.30833333333337</v>
      </c>
      <c r="O20" s="33">
        <f>'12'!O36</f>
        <v>8.3333333333333332E-3</v>
      </c>
      <c r="P20" s="33">
        <f>'12'!P36</f>
        <v>0.45624999999999999</v>
      </c>
      <c r="Q20" s="62" t="s">
        <v>15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13/07/2024 01:00</v>
      </c>
      <c r="B21" s="33">
        <f>'13'!B36</f>
        <v>8.3762500000000006</v>
      </c>
      <c r="C21" s="33">
        <f>'13'!C36</f>
        <v>3.3370833333333336</v>
      </c>
      <c r="D21" s="33">
        <f>'13'!D36</f>
        <v>12.230833333333331</v>
      </c>
      <c r="E21" s="33">
        <f>'13'!E36</f>
        <v>4.5308333333333328</v>
      </c>
      <c r="F21" s="33">
        <f>'13'!F36</f>
        <v>4.2754166666666666</v>
      </c>
      <c r="G21" s="33">
        <f>'13'!G36</f>
        <v>31.420416666666672</v>
      </c>
      <c r="H21" s="33">
        <f>'13'!H36</f>
        <v>8.2350000000000012</v>
      </c>
      <c r="I21" s="33">
        <f>'13'!I36</f>
        <v>3.8858333333333328</v>
      </c>
      <c r="J21" s="33">
        <f>'13'!J36</f>
        <v>0.74499999999999977</v>
      </c>
      <c r="K21" s="33">
        <f>'13'!K36</f>
        <v>288.53166666666675</v>
      </c>
      <c r="L21" s="33">
        <f>'13'!L36</f>
        <v>24.556666666666661</v>
      </c>
      <c r="M21" s="33">
        <f>'13'!M36</f>
        <v>95.91791666666667</v>
      </c>
      <c r="N21" s="33">
        <f>'13'!N36</f>
        <v>186.11249999999998</v>
      </c>
      <c r="O21" s="33">
        <f>'13'!O36</f>
        <v>0.73333333333333339</v>
      </c>
      <c r="P21" s="33">
        <f>'13'!P36</f>
        <v>0.45500000000000007</v>
      </c>
      <c r="Q21" s="33">
        <f>'13'!Q36</f>
        <v>9.5028571428571418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14/07/2024 01:00</v>
      </c>
      <c r="B22" s="30">
        <f>'14'!B36</f>
        <v>8.3666666666666654</v>
      </c>
      <c r="C22" s="30">
        <f>'14'!C36</f>
        <v>3.3112500000000007</v>
      </c>
      <c r="D22" s="30">
        <f>'14'!D36</f>
        <v>12.212083333333332</v>
      </c>
      <c r="E22" s="30">
        <f>'14'!E36</f>
        <v>4.2887499999999994</v>
      </c>
      <c r="F22" s="30">
        <f>'14'!F36</f>
        <v>4.2025000000000006</v>
      </c>
      <c r="G22" s="30">
        <f>'14'!G36</f>
        <v>29.740000000000006</v>
      </c>
      <c r="H22" s="30">
        <f>'14'!H36</f>
        <v>9.3112500000000011</v>
      </c>
      <c r="I22" s="30">
        <f>'14'!I36</f>
        <v>3.6929166666666666</v>
      </c>
      <c r="J22" s="30">
        <f>'14'!J36</f>
        <v>0.59083333333333343</v>
      </c>
      <c r="K22" s="30">
        <f>'14'!K36</f>
        <v>331.20541666666668</v>
      </c>
      <c r="L22" s="30">
        <f>'14'!L36</f>
        <v>25.39916666666667</v>
      </c>
      <c r="M22" s="30">
        <f>'14'!M36</f>
        <v>95.469583333333333</v>
      </c>
      <c r="N22" s="30">
        <f>'14'!N36</f>
        <v>281.35833333333335</v>
      </c>
      <c r="O22" s="30">
        <f>'14'!O36</f>
        <v>5.8333333333333327E-2</v>
      </c>
      <c r="P22" s="30">
        <f>'14'!P36</f>
        <v>0.53375000000000006</v>
      </c>
      <c r="Q22" s="30">
        <f>'14'!Q36</f>
        <v>9.4687500000000018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15/07/2024 01:00</v>
      </c>
      <c r="B23" s="33">
        <f>'15'!B36</f>
        <v>8.4270833333333321</v>
      </c>
      <c r="C23" s="33">
        <f>'15'!C36</f>
        <v>3.4050000000000007</v>
      </c>
      <c r="D23" s="33">
        <f>'15'!D36</f>
        <v>12.307083333333329</v>
      </c>
      <c r="E23" s="33">
        <f>'15'!E36</f>
        <v>4.7437500000000004</v>
      </c>
      <c r="F23" s="33">
        <f>'15'!F36</f>
        <v>3.8987500000000002</v>
      </c>
      <c r="G23" s="33">
        <f>'15'!G36</f>
        <v>46.947916666666664</v>
      </c>
      <c r="H23" s="33">
        <f>'15'!H36</f>
        <v>17.629583333333333</v>
      </c>
      <c r="I23" s="33">
        <f>'15'!I36</f>
        <v>6.5704166666666657</v>
      </c>
      <c r="J23" s="33">
        <f>'15'!J36</f>
        <v>0.9558333333333332</v>
      </c>
      <c r="K23" s="33">
        <f>'15'!K36</f>
        <v>295.69749999999999</v>
      </c>
      <c r="L23" s="33">
        <f>'15'!L36</f>
        <v>25.248749999999998</v>
      </c>
      <c r="M23" s="33">
        <f>'15'!M36</f>
        <v>97.252499999999998</v>
      </c>
      <c r="N23" s="33">
        <f>'15'!N36</f>
        <v>209.17916666666667</v>
      </c>
      <c r="O23" s="33">
        <f>'15'!O36</f>
        <v>0.10833333333333334</v>
      </c>
      <c r="P23" s="30">
        <f>'15'!P36</f>
        <v>0.63916666666666666</v>
      </c>
      <c r="Q23" s="30">
        <f>'15'!Q36</f>
        <v>9.7654166666666669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16/07/2024 01:00</v>
      </c>
      <c r="B24" s="33">
        <f>'16'!B36</f>
        <v>8.420416666666668</v>
      </c>
      <c r="C24" s="33">
        <f>'16'!C36</f>
        <v>3.3829166666666666</v>
      </c>
      <c r="D24" s="33">
        <f>'16'!D36</f>
        <v>12.293750000000001</v>
      </c>
      <c r="E24" s="33">
        <f>'16'!E36</f>
        <v>4.1029166666666663</v>
      </c>
      <c r="F24" s="33">
        <f>'16'!F36</f>
        <v>3.899999999999999</v>
      </c>
      <c r="G24" s="33">
        <f>'16'!G36</f>
        <v>33.423333333333332</v>
      </c>
      <c r="H24" s="33">
        <f>'16'!H36</f>
        <v>12.863750000000001</v>
      </c>
      <c r="I24" s="33">
        <f>'16'!I36</f>
        <v>7.91</v>
      </c>
      <c r="J24" s="33">
        <f>'16'!J36</f>
        <v>1.1916666666666667</v>
      </c>
      <c r="K24" s="33">
        <f>'16'!K36</f>
        <v>235.84749999999997</v>
      </c>
      <c r="L24" s="33">
        <f>'16'!L36</f>
        <v>25.949583333333333</v>
      </c>
      <c r="M24" s="33">
        <f>'16'!M36</f>
        <v>94.400833333333352</v>
      </c>
      <c r="N24" s="33">
        <f>'16'!N36</f>
        <v>351.32083333333338</v>
      </c>
      <c r="O24" s="33">
        <f>'16'!O36</f>
        <v>0.24166666666666667</v>
      </c>
      <c r="P24" s="30">
        <f>'16'!P36</f>
        <v>0.61041666666666661</v>
      </c>
      <c r="Q24" s="30">
        <f>'16'!Q36</f>
        <v>9.6812500000000004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17/07/2024 01:00</v>
      </c>
      <c r="B25" s="33">
        <f>'17'!B36</f>
        <v>8.2683333333333344</v>
      </c>
      <c r="C25" s="33">
        <f>'17'!C36</f>
        <v>3.2545833333333345</v>
      </c>
      <c r="D25" s="33">
        <f>'17'!D36</f>
        <v>12.103749999999998</v>
      </c>
      <c r="E25" s="33">
        <f>'17'!E36</f>
        <v>4.7512499999999998</v>
      </c>
      <c r="F25" s="33">
        <f>'17'!F36</f>
        <v>4.6716666666666669</v>
      </c>
      <c r="G25" s="33">
        <f>'17'!G36</f>
        <v>25.506666666666657</v>
      </c>
      <c r="H25" s="33">
        <f>'17'!H36</f>
        <v>9.0333333333333332</v>
      </c>
      <c r="I25" s="33">
        <f>'17'!I36</f>
        <v>5.0250000000000004</v>
      </c>
      <c r="J25" s="33">
        <f>'17'!J36</f>
        <v>0.69125000000000003</v>
      </c>
      <c r="K25" s="33">
        <f>'17'!K36</f>
        <v>332.47083333333336</v>
      </c>
      <c r="L25" s="33">
        <f>'17'!L36</f>
        <v>25.724583333333332</v>
      </c>
      <c r="M25" s="33">
        <f>'17'!M36</f>
        <v>96.444166666666661</v>
      </c>
      <c r="N25" s="33">
        <f>'17'!N36</f>
        <v>305.47500000000002</v>
      </c>
      <c r="O25" s="33">
        <f>'17'!O36</f>
        <v>0.28333333333333338</v>
      </c>
      <c r="P25" s="30">
        <f>'17'!P36</f>
        <v>0.47708333333333347</v>
      </c>
      <c r="Q25" s="30">
        <f>'17'!Q36</f>
        <v>9.5874999999999986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18/07/2024 01:00</v>
      </c>
      <c r="B26" s="33">
        <f>'18'!B36</f>
        <v>8.1012500000000021</v>
      </c>
      <c r="C26" s="33">
        <f>'18'!C36</f>
        <v>3.205833333333334</v>
      </c>
      <c r="D26" s="33">
        <f>'18'!D36</f>
        <v>11.942916666666664</v>
      </c>
      <c r="E26" s="33">
        <f>'18'!E36</f>
        <v>4.6979166666666661</v>
      </c>
      <c r="F26" s="33">
        <f>'18'!F36</f>
        <v>4.6304166666666662</v>
      </c>
      <c r="G26" s="33">
        <f>'18'!G36</f>
        <v>40.127083333333339</v>
      </c>
      <c r="H26" s="33">
        <f>'18'!H36</f>
        <v>10.559583333333334</v>
      </c>
      <c r="I26" s="33">
        <f>'18'!I36</f>
        <v>5.2391666666666676</v>
      </c>
      <c r="J26" s="33">
        <f>'18'!J36</f>
        <v>0.88458333333333317</v>
      </c>
      <c r="K26" s="33">
        <f>'18'!K36</f>
        <v>268.39874999999989</v>
      </c>
      <c r="L26" s="33">
        <f>'18'!L36</f>
        <v>27.040416666666662</v>
      </c>
      <c r="M26" s="33">
        <f>'18'!M36</f>
        <v>88.15666666666668</v>
      </c>
      <c r="N26" s="33">
        <f>'18'!N36</f>
        <v>301.26666666666665</v>
      </c>
      <c r="O26" s="33">
        <f>'18'!O36</f>
        <v>0</v>
      </c>
      <c r="P26" s="30">
        <f>'18'!P36</f>
        <v>0.46041666666666675</v>
      </c>
      <c r="Q26" s="30">
        <f>'18'!Q36</f>
        <v>9.4979166666666668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19/07/2024 01:00</v>
      </c>
      <c r="B27" s="33">
        <f>'19'!B36</f>
        <v>8.1241666666666656</v>
      </c>
      <c r="C27" s="33">
        <f>'19'!C36</f>
        <v>3.2345833333333327</v>
      </c>
      <c r="D27" s="33">
        <f>'19'!D36</f>
        <v>11.977499999999999</v>
      </c>
      <c r="E27" s="33">
        <f>'19'!E36</f>
        <v>4.9083333333333332</v>
      </c>
      <c r="F27" s="33">
        <f>'19'!F36</f>
        <v>4.7595833333333335</v>
      </c>
      <c r="G27" s="33">
        <f>'19'!G36</f>
        <v>64.435833333333335</v>
      </c>
      <c r="H27" s="33">
        <f>'19'!H36</f>
        <v>20.452500000000001</v>
      </c>
      <c r="I27" s="33">
        <f>'19'!I36</f>
        <v>5.6704166666666653</v>
      </c>
      <c r="J27" s="33">
        <f>'19'!J36</f>
        <v>1.1241666666666668</v>
      </c>
      <c r="K27" s="33">
        <f>'19'!K36</f>
        <v>310.34499999999997</v>
      </c>
      <c r="L27" s="33">
        <f>'19'!L36</f>
        <v>28.016249999999999</v>
      </c>
      <c r="M27" s="33">
        <f>'19'!M36</f>
        <v>85.265416666666667</v>
      </c>
      <c r="N27" s="33">
        <f>'19'!N36</f>
        <v>332.2</v>
      </c>
      <c r="O27" s="33">
        <f>'19'!O36</f>
        <v>7.4999999999999997E-2</v>
      </c>
      <c r="P27" s="30">
        <f>'19'!P36</f>
        <v>0.58875</v>
      </c>
      <c r="Q27" s="30">
        <f>'19'!Q36</f>
        <v>9.6337499999999991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20/07/2024 01:00</v>
      </c>
      <c r="B28" s="33">
        <f>'20'!B36</f>
        <v>8.1450000000000014</v>
      </c>
      <c r="C28" s="33">
        <f>'20'!C36</f>
        <v>3.2154166666666675</v>
      </c>
      <c r="D28" s="33">
        <f>'20'!D36</f>
        <v>11.983749999999999</v>
      </c>
      <c r="E28" s="33">
        <f>'20'!E36</f>
        <v>4.0233333333333334</v>
      </c>
      <c r="F28" s="33">
        <f>'20'!F36</f>
        <v>4.1933333333333325</v>
      </c>
      <c r="G28" s="33">
        <f>'20'!G36</f>
        <v>33.608750000000001</v>
      </c>
      <c r="H28" s="33">
        <f>'20'!H36</f>
        <v>12.72</v>
      </c>
      <c r="I28" s="33">
        <f>'20'!I36</f>
        <v>6.5829166666666685</v>
      </c>
      <c r="J28" s="33">
        <f>'20'!J36</f>
        <v>1.0954166666666667</v>
      </c>
      <c r="K28" s="33">
        <f>'20'!K36</f>
        <v>257.42916666666662</v>
      </c>
      <c r="L28" s="33">
        <f>'20'!L36</f>
        <v>26.13625</v>
      </c>
      <c r="M28" s="33">
        <f>'20'!M36</f>
        <v>89.805833333333339</v>
      </c>
      <c r="N28" s="33">
        <f>'20'!N36</f>
        <v>324.60833333333335</v>
      </c>
      <c r="O28" s="33">
        <f>'20'!O36</f>
        <v>1</v>
      </c>
      <c r="P28" s="30">
        <f>'20'!P36</f>
        <v>0.45874999999999999</v>
      </c>
      <c r="Q28" s="30">
        <f>'20'!Q36</f>
        <v>9.6020833333333329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21/07/2024 01:00</v>
      </c>
      <c r="B29" s="33">
        <f>'21'!B36</f>
        <v>8.3449999999999989</v>
      </c>
      <c r="C29" s="33">
        <f>'21'!C36</f>
        <v>3.6404166666666664</v>
      </c>
      <c r="D29" s="33">
        <f>'21'!D36</f>
        <v>12.367916666666668</v>
      </c>
      <c r="E29" s="33">
        <f>'21'!E36</f>
        <v>5.1287499999999993</v>
      </c>
      <c r="F29" s="33">
        <f>'21'!F36</f>
        <v>4.0529166666666665</v>
      </c>
      <c r="G29" s="33">
        <f>'21'!G36</f>
        <v>25.423750000000002</v>
      </c>
      <c r="H29" s="33">
        <f>'21'!H36</f>
        <v>11.464999999999996</v>
      </c>
      <c r="I29" s="33">
        <f>'21'!I36</f>
        <v>5.4249999999999998</v>
      </c>
      <c r="J29" s="33">
        <f>'21'!J36</f>
        <v>0.86708333333333332</v>
      </c>
      <c r="K29" s="33">
        <f>'21'!K36</f>
        <v>284.85458333333332</v>
      </c>
      <c r="L29" s="33">
        <f>'21'!L36</f>
        <v>25.226250000000004</v>
      </c>
      <c r="M29" s="33">
        <f>'21'!M36</f>
        <v>97.84499999999997</v>
      </c>
      <c r="N29" s="33">
        <f>'21'!N36</f>
        <v>193.25000000000003</v>
      </c>
      <c r="O29" s="33">
        <f>'21'!O36</f>
        <v>0.21666666666666667</v>
      </c>
      <c r="P29" s="30">
        <f>'21'!P36</f>
        <v>0.42625000000000007</v>
      </c>
      <c r="Q29" s="30">
        <f>'21'!Q36</f>
        <v>9.5208333333333339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22/07/2024 01:00</v>
      </c>
      <c r="B30" s="33">
        <f>'22'!B36</f>
        <v>8.1637499999999985</v>
      </c>
      <c r="C30" s="33">
        <f>'22'!C36</f>
        <v>3.2920833333333337</v>
      </c>
      <c r="D30" s="33">
        <f>'22'!D36</f>
        <v>12.039166666666668</v>
      </c>
      <c r="E30" s="33">
        <f>'22'!E36</f>
        <v>4.4441666666666668</v>
      </c>
      <c r="F30" s="33">
        <f>'22'!F36</f>
        <v>4.4666666666666659</v>
      </c>
      <c r="G30" s="33">
        <f>'22'!G36</f>
        <v>8.9679166666666656</v>
      </c>
      <c r="H30" s="33">
        <f>'22'!H36</f>
        <v>3.0354166666666669</v>
      </c>
      <c r="I30" s="33">
        <f>'22'!I36</f>
        <v>1.4854166666666668</v>
      </c>
      <c r="J30" s="33">
        <f>'22'!J36</f>
        <v>0.66166666666666663</v>
      </c>
      <c r="K30" s="33">
        <f>'22'!K36</f>
        <v>254.64375000000004</v>
      </c>
      <c r="L30" s="33">
        <f>'22'!L36</f>
        <v>23.090833333333336</v>
      </c>
      <c r="M30" s="33">
        <f>'22'!M36</f>
        <v>99.094166666666638</v>
      </c>
      <c r="N30" s="33">
        <f>'22'!N36</f>
        <v>83.950000000000017</v>
      </c>
      <c r="O30" s="33">
        <f>'22'!O36</f>
        <v>0.29166666666666669</v>
      </c>
      <c r="P30" s="30">
        <f>'22'!P36</f>
        <v>0.37749999999999995</v>
      </c>
      <c r="Q30" s="30">
        <f>'22'!Q36</f>
        <v>9.3854166666666679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23/07/2024 01:00</v>
      </c>
      <c r="B31" s="33">
        <f>'23'!B36</f>
        <v>8.2558333333333316</v>
      </c>
      <c r="C31" s="33">
        <f>'23'!C36</f>
        <v>3.3187499999999992</v>
      </c>
      <c r="D31" s="33">
        <f>'23'!D36</f>
        <v>12.124583333333334</v>
      </c>
      <c r="E31" s="33">
        <f>'23'!E36</f>
        <v>4.3949999999999996</v>
      </c>
      <c r="F31" s="33">
        <f>'23'!F36</f>
        <v>8.4054166666666674</v>
      </c>
      <c r="G31" s="33">
        <f>'23'!G36</f>
        <v>7.7045833333333347</v>
      </c>
      <c r="H31" s="33">
        <f>'23'!H36</f>
        <v>2.2050000000000001</v>
      </c>
      <c r="I31" s="33">
        <f>'23'!I36</f>
        <v>0.85833333333333306</v>
      </c>
      <c r="J31" s="33">
        <f>'23'!J36</f>
        <v>0.71375</v>
      </c>
      <c r="K31" s="33">
        <f>'23'!K36</f>
        <v>141.87958333333339</v>
      </c>
      <c r="L31" s="33">
        <f>'23'!L36</f>
        <v>22.337499999999995</v>
      </c>
      <c r="M31" s="33">
        <f>'23'!M36</f>
        <v>99.068333333333328</v>
      </c>
      <c r="N31" s="33">
        <f>'23'!N36</f>
        <v>78.920833333333306</v>
      </c>
      <c r="O31" s="33">
        <f>'23'!O36</f>
        <v>0.91666666666666663</v>
      </c>
      <c r="P31" s="33">
        <f>'23'!P36</f>
        <v>0.30791666666666656</v>
      </c>
      <c r="Q31" s="33">
        <f>'23'!Q36</f>
        <v>9.3312499999999989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24/07/2024 01:00</v>
      </c>
      <c r="B32" s="33">
        <f>'24'!B36</f>
        <v>8.3506666666666653</v>
      </c>
      <c r="C32" s="33">
        <f>'24'!C36</f>
        <v>3.3633333333333337</v>
      </c>
      <c r="D32" s="33">
        <f>'24'!D36</f>
        <v>12.225999999999997</v>
      </c>
      <c r="E32" s="33">
        <f>'24'!E36</f>
        <v>4.4713333333333338</v>
      </c>
      <c r="F32" s="33">
        <f>'24'!F36</f>
        <v>5.5653333333333324</v>
      </c>
      <c r="G32" s="33">
        <f>'24'!G36</f>
        <v>3.7246666666666668</v>
      </c>
      <c r="H32" s="33">
        <f>'24'!H36</f>
        <v>1.9619999999999995</v>
      </c>
      <c r="I32" s="33">
        <f>'24'!I36</f>
        <v>0.69733333333333336</v>
      </c>
      <c r="J32" s="33">
        <f>'24'!J36</f>
        <v>0.71266666666666667</v>
      </c>
      <c r="K32" s="33">
        <f>'24'!K36</f>
        <v>174.58</v>
      </c>
      <c r="L32" s="33">
        <f>'24'!L36</f>
        <v>21.814666666666668</v>
      </c>
      <c r="M32" s="33">
        <f>'24'!M36</f>
        <v>99.125999999999991</v>
      </c>
      <c r="N32" s="33">
        <f>'24'!N36</f>
        <v>104.37333333333331</v>
      </c>
      <c r="O32" s="33">
        <f>'24'!O36</f>
        <v>0.56000000000000016</v>
      </c>
      <c r="P32" s="33">
        <f>'24'!P36</f>
        <v>0.2553333333333333</v>
      </c>
      <c r="Q32" s="33">
        <f>'24'!Q36</f>
        <v>9.28466666666667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25/07/2024 01:00</v>
      </c>
      <c r="B33" s="33">
        <f>'25'!B36</f>
        <v>72.502916666666678</v>
      </c>
      <c r="C33" s="33">
        <f>'25'!C36</f>
        <v>90.244166666666672</v>
      </c>
      <c r="D33" s="33">
        <f>'25'!D36</f>
        <v>108.29624999999997</v>
      </c>
      <c r="E33" s="33">
        <f>'25'!E36</f>
        <v>1.4749999999999999</v>
      </c>
      <c r="F33" s="33">
        <f>'25'!F36</f>
        <v>11.116666666666669</v>
      </c>
      <c r="G33" s="33">
        <f>'25'!G36</f>
        <v>138.54499999999996</v>
      </c>
      <c r="H33" s="33">
        <f>'25'!H36</f>
        <v>88.120833333333351</v>
      </c>
      <c r="I33" s="33">
        <f>'25'!I36</f>
        <v>1.5362499999999999</v>
      </c>
      <c r="J33" s="33">
        <f>'25'!J36</f>
        <v>0.31208333333333332</v>
      </c>
      <c r="K33" s="33">
        <f>'25'!K36</f>
        <v>318.42875000000009</v>
      </c>
      <c r="L33" s="33">
        <f>'25'!L36</f>
        <v>19.598749999999999</v>
      </c>
      <c r="M33" s="33">
        <f>'25'!M36</f>
        <v>73.742499999999993</v>
      </c>
      <c r="N33" s="33">
        <f>'25'!N36</f>
        <v>169.57083333333335</v>
      </c>
      <c r="O33" s="33">
        <f>'25'!O36</f>
        <v>0</v>
      </c>
      <c r="P33" s="33">
        <f>'25'!P36</f>
        <v>2.2845833333333334</v>
      </c>
      <c r="Q33" s="33">
        <f>'25'!Q36</f>
        <v>10.70875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26/07/2024 01:00</v>
      </c>
      <c r="B34" s="33">
        <f>'26'!B36</f>
        <v>29.763333333333335</v>
      </c>
      <c r="C34" s="33">
        <f>'26'!C36</f>
        <v>64.95</v>
      </c>
      <c r="D34" s="33">
        <f>'26'!D36</f>
        <v>60.038333333333327</v>
      </c>
      <c r="E34" s="33">
        <f>'26'!E36</f>
        <v>0.32500000000000001</v>
      </c>
      <c r="F34" s="33">
        <f>'26'!F36</f>
        <v>3.4041666666666672</v>
      </c>
      <c r="G34" s="33">
        <f>'26'!G36</f>
        <v>90.399999999999991</v>
      </c>
      <c r="H34" s="33">
        <f>'26'!H36</f>
        <v>41.961250000000014</v>
      </c>
      <c r="I34" s="33">
        <f>'26'!I36</f>
        <v>1.5445833333333334</v>
      </c>
      <c r="J34" s="33">
        <f>'26'!J36</f>
        <v>0.67583333333333329</v>
      </c>
      <c r="K34" s="33">
        <f>'26'!K36</f>
        <v>288.73499999999996</v>
      </c>
      <c r="L34" s="33">
        <f>'26'!L36</f>
        <v>17.561666666666671</v>
      </c>
      <c r="M34" s="33">
        <f>'26'!M36</f>
        <v>86.767499999999984</v>
      </c>
      <c r="N34" s="33">
        <f>'26'!N36</f>
        <v>85.366666666666674</v>
      </c>
      <c r="O34" s="33">
        <f>'26'!O36</f>
        <v>0</v>
      </c>
      <c r="P34" s="33">
        <f>'26'!P36</f>
        <v>0.94708333333333317</v>
      </c>
      <c r="Q34" s="33">
        <f>'26'!Q36</f>
        <v>10.043750000000001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27/07/2024 01:00</v>
      </c>
      <c r="B35" s="33">
        <f>'27'!B36</f>
        <v>18.755833333333332</v>
      </c>
      <c r="C35" s="33">
        <f>'27'!C36</f>
        <v>54.418333333333329</v>
      </c>
      <c r="D35" s="33">
        <f>'27'!D36</f>
        <v>45.351250000000014</v>
      </c>
      <c r="E35" s="33">
        <f>'27'!E36</f>
        <v>0.16791666666666671</v>
      </c>
      <c r="F35" s="33">
        <f>'27'!F36</f>
        <v>4.2508333333333317</v>
      </c>
      <c r="G35" s="33">
        <f>'27'!G36</f>
        <v>89.164166666666674</v>
      </c>
      <c r="H35" s="33">
        <f>'27'!H36</f>
        <v>44.567916666666669</v>
      </c>
      <c r="I35" s="33">
        <f>'27'!I36</f>
        <v>1.5445833333333336</v>
      </c>
      <c r="J35" s="33">
        <f>'27'!J36</f>
        <v>0.66999999999999993</v>
      </c>
      <c r="K35" s="33">
        <f>'27'!K36</f>
        <v>241.01583333333338</v>
      </c>
      <c r="L35" s="33">
        <f>'27'!L36</f>
        <v>18.110833333333328</v>
      </c>
      <c r="M35" s="33">
        <f>'27'!M36</f>
        <v>75.86333333333333</v>
      </c>
      <c r="N35" s="33">
        <f>'27'!N36</f>
        <v>160.79583333333332</v>
      </c>
      <c r="O35" s="33">
        <f>'27'!O36</f>
        <v>0</v>
      </c>
      <c r="P35" s="30">
        <f>'27'!P36</f>
        <v>0.79749999999999999</v>
      </c>
      <c r="Q35" s="33">
        <f>'27'!Q36</f>
        <v>8.6162500000000026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28/07/2024 01:00</v>
      </c>
      <c r="B36" s="33">
        <f>'28'!B36</f>
        <v>44.027916666666663</v>
      </c>
      <c r="C36" s="33">
        <f>'28'!C36</f>
        <v>65.927916666666661</v>
      </c>
      <c r="D36" s="33">
        <f>'28'!D36</f>
        <v>71.812083333333334</v>
      </c>
      <c r="E36" s="33">
        <f>'28'!E36</f>
        <v>0.30083333333333334</v>
      </c>
      <c r="F36" s="33">
        <f>'28'!F36</f>
        <v>3.8149999999999999</v>
      </c>
      <c r="G36" s="33">
        <f>'28'!G36</f>
        <v>100.1783333333333</v>
      </c>
      <c r="H36" s="33">
        <f>'28'!H36</f>
        <v>41.796666666666674</v>
      </c>
      <c r="I36" s="33">
        <f>'28'!I36</f>
        <v>1.5554166666666662</v>
      </c>
      <c r="J36" s="33">
        <f>'28'!J36</f>
        <v>0.25416666666666671</v>
      </c>
      <c r="K36" s="33">
        <f>'28'!K36</f>
        <v>317.26749999999998</v>
      </c>
      <c r="L36" s="33">
        <f>'28'!L36</f>
        <v>20.834999999999997</v>
      </c>
      <c r="M36" s="33">
        <f>'28'!M36</f>
        <v>66.373333333333349</v>
      </c>
      <c r="N36" s="33">
        <f>'28'!N36</f>
        <v>242.02499999999995</v>
      </c>
      <c r="O36" s="33">
        <f>'28'!O36</f>
        <v>0</v>
      </c>
      <c r="P36" s="30">
        <f>'28'!P36</f>
        <v>1.0858333333333332</v>
      </c>
      <c r="Q36" s="33">
        <f>'28'!Q36</f>
        <v>10.49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29/07/2024 01:00</v>
      </c>
      <c r="B37" s="33">
        <f>'29'!B36</f>
        <v>16.512083333333329</v>
      </c>
      <c r="C37" s="33">
        <f>'29'!C36</f>
        <v>63.352499999999999</v>
      </c>
      <c r="D37" s="33">
        <f>'29'!D36</f>
        <v>48.136666666666663</v>
      </c>
      <c r="E37" s="33">
        <f>'29'!E36</f>
        <v>0.19624999999999995</v>
      </c>
      <c r="F37" s="33">
        <f>'29'!F36</f>
        <v>3.4437499999999996</v>
      </c>
      <c r="G37" s="33">
        <f>'29'!G36</f>
        <v>104.46666666666665</v>
      </c>
      <c r="H37" s="33">
        <f>'29'!H36</f>
        <v>42.603749999999991</v>
      </c>
      <c r="I37" s="33">
        <f>'29'!I36</f>
        <v>1.5466666666666669</v>
      </c>
      <c r="J37" s="33">
        <f>'29'!J36</f>
        <v>0.87208333333333332</v>
      </c>
      <c r="K37" s="33">
        <f>'29'!K36</f>
        <v>315.22166666666664</v>
      </c>
      <c r="L37" s="33">
        <f>'29'!L36</f>
        <v>19.512500000000003</v>
      </c>
      <c r="M37" s="33">
        <f>'29'!M36</f>
        <v>74.139583333333363</v>
      </c>
      <c r="N37" s="33">
        <f>'29'!N36</f>
        <v>118.74583333333335</v>
      </c>
      <c r="O37" s="33">
        <f>'29'!O36</f>
        <v>0</v>
      </c>
      <c r="P37" s="33">
        <f>'29'!P36</f>
        <v>0.90958333333333341</v>
      </c>
      <c r="Q37" s="33">
        <f>'29'!Q36</f>
        <v>7.3058333333333332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30/07/2024 01:00</v>
      </c>
      <c r="B38" s="33">
        <f>'30'!B36</f>
        <v>27.911666666666665</v>
      </c>
      <c r="C38" s="33">
        <f>'30'!C36</f>
        <v>87.335833333333326</v>
      </c>
      <c r="D38" s="33">
        <f>'30'!D36</f>
        <v>70.759999999999991</v>
      </c>
      <c r="E38" s="33">
        <f>'30'!E36</f>
        <v>0.19708333333333336</v>
      </c>
      <c r="F38" s="33">
        <f>'30'!F36</f>
        <v>3.714166666666666</v>
      </c>
      <c r="G38" s="33">
        <f>'30'!G36</f>
        <v>120.64958333333334</v>
      </c>
      <c r="H38" s="33">
        <f>'30'!H36</f>
        <v>69.182916666666685</v>
      </c>
      <c r="I38" s="33">
        <f>'30'!I36</f>
        <v>1.5358333333333334</v>
      </c>
      <c r="J38" s="33">
        <f>'30'!J36</f>
        <v>0.39041666666666663</v>
      </c>
      <c r="K38" s="33">
        <f>'30'!K36</f>
        <v>239.23625000000001</v>
      </c>
      <c r="L38" s="33">
        <f>'30'!L36</f>
        <v>18.852083333333333</v>
      </c>
      <c r="M38" s="33">
        <f>'30'!M36</f>
        <v>75.71041666666666</v>
      </c>
      <c r="N38" s="33">
        <f>'30'!N36</f>
        <v>177.80000000000004</v>
      </c>
      <c r="O38" s="33">
        <f>'30'!O36</f>
        <v>0</v>
      </c>
      <c r="P38" s="33">
        <f>'30'!P36</f>
        <v>1.2929166666666667</v>
      </c>
      <c r="Q38" s="33">
        <f>'30'!Q36</f>
        <v>8.7183333333333355</v>
      </c>
      <c r="R38" s="46"/>
      <c r="S38" s="46"/>
      <c r="T38" s="46"/>
      <c r="U38" s="46"/>
    </row>
    <row r="39" spans="1:21" s="95" customFormat="1" x14ac:dyDescent="0.25">
      <c r="A39" s="96" t="str">
        <f>'30'!$B$2</f>
        <v>30/07/2024 01:00</v>
      </c>
      <c r="B39" s="94">
        <f>'30'!B37</f>
        <v>25.169163615453122</v>
      </c>
      <c r="C39" s="94">
        <f>'30'!C37</f>
        <v>5.5628675094357796</v>
      </c>
      <c r="D39" s="94">
        <f>'30'!D37</f>
        <v>21.587595069149458</v>
      </c>
      <c r="E39" s="94">
        <f>'30'!E37</f>
        <v>7.6810278222251643E-2</v>
      </c>
      <c r="F39" s="94">
        <f>'30'!F37</f>
        <v>0.53128160605044605</v>
      </c>
      <c r="G39" s="94">
        <f>'30'!G37</f>
        <v>36.016440265301853</v>
      </c>
      <c r="H39" s="94">
        <f>'30'!H37</f>
        <v>14.294721579528193</v>
      </c>
      <c r="I39" s="94">
        <f>'30'!I37</f>
        <v>2.3015432755599825E-2</v>
      </c>
      <c r="J39" s="94">
        <f>'30'!J37</f>
        <v>0.34961443566189948</v>
      </c>
      <c r="K39" s="94">
        <f>'30'!K37</f>
        <v>109.5873359794152</v>
      </c>
      <c r="L39" s="94">
        <f>'30'!L37</f>
        <v>4.4957428937459056</v>
      </c>
      <c r="M39" s="94">
        <f>'30'!M37</f>
        <v>20.219709385768383</v>
      </c>
      <c r="N39" s="94">
        <f>'30'!N37</f>
        <v>184.05170114848758</v>
      </c>
      <c r="O39" s="94">
        <f>'30'!O37</f>
        <v>0</v>
      </c>
      <c r="P39" s="94">
        <f>'30'!P37</f>
        <v>0.61272363560025001</v>
      </c>
      <c r="Q39" s="94">
        <f>'30'!Q37</f>
        <v>1.8264021812120699</v>
      </c>
      <c r="R39" s="104"/>
      <c r="S39" s="104"/>
      <c r="T39" s="104"/>
      <c r="U39" s="104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8.1012500000000021</v>
      </c>
      <c r="C41" s="15">
        <f t="shared" si="0"/>
        <v>3.205833333333334</v>
      </c>
      <c r="D41" s="15">
        <f t="shared" si="0"/>
        <v>11.942916666666664</v>
      </c>
      <c r="E41" s="15">
        <f t="shared" si="0"/>
        <v>0.16791666666666671</v>
      </c>
      <c r="F41" s="15">
        <f t="shared" si="0"/>
        <v>3.4041666666666672</v>
      </c>
      <c r="G41" s="15">
        <f t="shared" si="0"/>
        <v>3.7246666666666668</v>
      </c>
      <c r="H41" s="15">
        <f t="shared" si="0"/>
        <v>1.9619999999999995</v>
      </c>
      <c r="I41" s="15">
        <f t="shared" si="0"/>
        <v>0.69733333333333336</v>
      </c>
      <c r="J41" s="15">
        <f t="shared" si="0"/>
        <v>0.25416666666666671</v>
      </c>
      <c r="K41" s="15">
        <f t="shared" si="0"/>
        <v>141.87958333333339</v>
      </c>
      <c r="L41" s="15">
        <f t="shared" si="0"/>
        <v>17.561666666666671</v>
      </c>
      <c r="M41" s="15">
        <f t="shared" si="0"/>
        <v>66.373333333333349</v>
      </c>
      <c r="N41" s="15">
        <f t="shared" si="0"/>
        <v>78.920833333333306</v>
      </c>
      <c r="O41" s="15">
        <f t="shared" si="0"/>
        <v>0</v>
      </c>
      <c r="P41" s="15">
        <f t="shared" si="0"/>
        <v>0.2553333333333333</v>
      </c>
      <c r="Q41" s="15">
        <f t="shared" si="0"/>
        <v>7.3058333333333332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72.502916666666678</v>
      </c>
      <c r="C42" s="15">
        <f t="shared" si="1"/>
        <v>90.244166666666672</v>
      </c>
      <c r="D42" s="15">
        <f t="shared" si="1"/>
        <v>108.29624999999997</v>
      </c>
      <c r="E42" s="15">
        <f t="shared" si="1"/>
        <v>5.1287499999999993</v>
      </c>
      <c r="F42" s="15">
        <f t="shared" si="1"/>
        <v>11.116666666666669</v>
      </c>
      <c r="G42" s="15">
        <f t="shared" si="1"/>
        <v>138.54499999999996</v>
      </c>
      <c r="H42" s="15">
        <f t="shared" si="1"/>
        <v>88.120833333333351</v>
      </c>
      <c r="I42" s="15">
        <f t="shared" si="1"/>
        <v>7.91</v>
      </c>
      <c r="J42" s="15">
        <f t="shared" si="1"/>
        <v>1.1916666666666667</v>
      </c>
      <c r="K42" s="15">
        <f t="shared" si="1"/>
        <v>332.47083333333336</v>
      </c>
      <c r="L42" s="15">
        <f t="shared" si="1"/>
        <v>28.016249999999999</v>
      </c>
      <c r="M42" s="15">
        <f t="shared" si="1"/>
        <v>99.125999999999991</v>
      </c>
      <c r="N42" s="15">
        <f t="shared" si="1"/>
        <v>351.32083333333338</v>
      </c>
      <c r="O42" s="15">
        <f t="shared" si="1"/>
        <v>1</v>
      </c>
      <c r="P42" s="15">
        <f t="shared" si="1"/>
        <v>2.2845833333333334</v>
      </c>
      <c r="Q42" s="15">
        <f t="shared" si="1"/>
        <v>10.70875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13.612627898550725</v>
      </c>
      <c r="C43" s="15">
        <f t="shared" si="2"/>
        <v>16.863179951690821</v>
      </c>
      <c r="D43" s="15">
        <f t="shared" si="2"/>
        <v>23.201196376811591</v>
      </c>
      <c r="E43" s="15">
        <f t="shared" si="2"/>
        <v>3.6974327294685989</v>
      </c>
      <c r="F43" s="15">
        <f t="shared" si="2"/>
        <v>4.7723770531400964</v>
      </c>
      <c r="G43" s="15">
        <f t="shared" si="2"/>
        <v>48.050407795344746</v>
      </c>
      <c r="H43" s="15">
        <f t="shared" si="2"/>
        <v>19.3622860342556</v>
      </c>
      <c r="I43" s="15">
        <f t="shared" si="2"/>
        <v>3.3781115942028985</v>
      </c>
      <c r="J43" s="15">
        <f t="shared" si="2"/>
        <v>0.70799589371980665</v>
      </c>
      <c r="K43" s="15">
        <f t="shared" si="2"/>
        <v>277.83177958937199</v>
      </c>
      <c r="L43" s="15">
        <f t="shared" si="2"/>
        <v>24.134415217391304</v>
      </c>
      <c r="M43" s="15">
        <f t="shared" si="2"/>
        <v>88.55128272946861</v>
      </c>
      <c r="N43" s="15">
        <f t="shared" si="2"/>
        <v>195.60623671497584</v>
      </c>
      <c r="O43" s="15">
        <f t="shared" si="2"/>
        <v>0.17402898550724641</v>
      </c>
      <c r="P43" s="15">
        <f t="shared" si="2"/>
        <v>0.59387705314009653</v>
      </c>
      <c r="Q43" s="15">
        <f t="shared" si="2"/>
        <v>9.4137858493113704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13.863883508722637</v>
      </c>
      <c r="C44" s="15">
        <f t="shared" si="3"/>
        <v>28.189658007275636</v>
      </c>
      <c r="D44" s="15">
        <f t="shared" si="3"/>
        <v>24.400274660951137</v>
      </c>
      <c r="E44" s="15">
        <f t="shared" si="3"/>
        <v>1.6871295755834947</v>
      </c>
      <c r="F44" s="15">
        <f t="shared" si="3"/>
        <v>1.4885264364742639</v>
      </c>
      <c r="G44" s="15">
        <f t="shared" si="3"/>
        <v>33.470923111328375</v>
      </c>
      <c r="H44" s="15">
        <f t="shared" si="3"/>
        <v>20.130023737065674</v>
      </c>
      <c r="I44" s="15">
        <f t="shared" si="3"/>
        <v>1.9240514907423263</v>
      </c>
      <c r="J44" s="15">
        <f t="shared" si="3"/>
        <v>0.21342954785904458</v>
      </c>
      <c r="K44" s="15">
        <f t="shared" si="3"/>
        <v>43.430895590795458</v>
      </c>
      <c r="L44" s="15">
        <f t="shared" si="3"/>
        <v>2.9037426372153252</v>
      </c>
      <c r="M44" s="15">
        <f t="shared" si="3"/>
        <v>8.4375355465201221</v>
      </c>
      <c r="N44" s="15">
        <f t="shared" si="3"/>
        <v>74.640127148355958</v>
      </c>
      <c r="O44" s="15">
        <f t="shared" si="3"/>
        <v>0.27495037678802459</v>
      </c>
      <c r="P44" s="15">
        <f t="shared" si="3"/>
        <v>0.4005057855543645</v>
      </c>
      <c r="Q44" s="15">
        <f t="shared" si="3"/>
        <v>0.64871070553812615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>COUNT(B9:B38)</f>
        <v>30</v>
      </c>
      <c r="C45" s="12">
        <f>COUNT(C9:C39)</f>
        <v>31</v>
      </c>
      <c r="D45" s="77">
        <f t="shared" ref="D45:Q45" si="4">COUNT(D9:D39)</f>
        <v>31</v>
      </c>
      <c r="E45" s="77">
        <f t="shared" si="4"/>
        <v>31</v>
      </c>
      <c r="F45" s="77">
        <f t="shared" si="4"/>
        <v>31</v>
      </c>
      <c r="G45" s="77">
        <f t="shared" si="4"/>
        <v>31</v>
      </c>
      <c r="H45" s="77">
        <f t="shared" si="4"/>
        <v>31</v>
      </c>
      <c r="I45" s="77">
        <f t="shared" si="4"/>
        <v>31</v>
      </c>
      <c r="J45" s="77">
        <f t="shared" si="4"/>
        <v>31</v>
      </c>
      <c r="K45" s="77">
        <f t="shared" si="4"/>
        <v>31</v>
      </c>
      <c r="L45" s="77">
        <f t="shared" si="4"/>
        <v>31</v>
      </c>
      <c r="M45" s="77">
        <f t="shared" si="4"/>
        <v>31</v>
      </c>
      <c r="N45" s="77">
        <f t="shared" si="4"/>
        <v>31</v>
      </c>
      <c r="O45" s="77">
        <f t="shared" si="4"/>
        <v>31</v>
      </c>
      <c r="P45" s="77">
        <f t="shared" si="4"/>
        <v>31</v>
      </c>
      <c r="Q45" s="80">
        <f>COUNT(Q9:Q39)+4</f>
        <v>28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5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6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2024-09-09T12:52:33Z</dcterms:modified>
  <cp:category/>
</cp:coreProperties>
</file>