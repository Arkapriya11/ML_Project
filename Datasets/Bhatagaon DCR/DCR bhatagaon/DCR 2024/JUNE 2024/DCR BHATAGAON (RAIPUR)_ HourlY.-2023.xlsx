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1" sheetId="39" r:id="rId33"/>
  </sheets>
  <definedNames/>
  <calcPr calcId="124519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<sst xmlns="http://schemas.openxmlformats.org/spreadsheetml/2006/main" count="2844" uniqueCount="785">
  <si>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</si>
  <si>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</si>
  <si>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</si>
  <si>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</si>
  <si>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</si>
  <si>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</si>
  <si>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</si>
  <si>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</si>
  <si>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</si>
  <si>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</si>
  <si>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</si>
  <si>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</si>
  <si>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</si>
  <si>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</si>
  <si>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</si>
  <si>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</si>
  <si>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</si>
  <si>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</si>
  <si>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</si>
  <si>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</si>
  <si>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</si>
  <si>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</si>
  <si>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</si>
  <si>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</si>
  <si>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</si>
  <si>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</si>
  <si>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</si>
  <si>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</si>
  <si>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</si>
  <si>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</si>
  <si>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</si>
  <si>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</si>
  <si>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</si>
  <si>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</si>
  <si>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</si>
  <si>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</si>
  <si>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</si>
  <si>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</si>
  <si>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</si>
  <si>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</si>
  <si>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</si>
  <si>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</si>
  <si>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</si>
  <si>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</si>
  <si>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</si>
  <si>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</si>
  <si>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</si>
  <si>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</si>
  <si>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</si>
  <si>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</si>
  <si>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</si>
  <si>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</si>
  <si>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</si>
  <si>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</si>
  <si>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</si>
  <si>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</si>
  <si>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</si>
  <si>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</si>
  <si>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</si>
  <si>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</si>
  <si>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</si>
  <si>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</si>
  <si>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</si>
  <si>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</si>
  <si>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</si>
  <si>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</si>
  <si>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</si>
  <si>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</si>
  <si>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</si>
  <si>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</si>
  <si>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</si>
  <si>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</si>
  <si>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</si>
  <si>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</si>
  <si>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</si>
  <si>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</si>
  <si>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</si>
  <si>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</si>
  <si>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</si>
  <si>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</si>
  <si>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</si>
  <si>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</si>
  <si>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</si>
  <si>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</si>
  <si>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</si>
  <si>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01-06-2024 24:00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</si>
  <si>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</si>
  <si>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</si>
  <si>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</si>
  <si>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</si>
  <si>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</si>
  <si>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</si>
  <si>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</si>
  <si>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</si>
  <si>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</si>
  <si>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</si>
  <si>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</si>
  <si>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</si>
  <si>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</si>
  <si>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</si>
  <si>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</si>
  <si>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</si>
  <si>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</si>
  <si>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</si>
  <si>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</si>
  <si>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</si>
  <si>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</si>
  <si>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</si>
  <si>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</si>
  <si>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02-06-2024 24:00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</si>
  <si>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</si>
  <si>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</si>
  <si>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</si>
  <si>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</si>
  <si>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</si>
  <si>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</si>
  <si>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</si>
  <si>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</si>
  <si>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</si>
  <si>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</si>
  <si>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</si>
  <si>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</si>
  <si>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</si>
  <si>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</si>
  <si>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</si>
  <si>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</si>
  <si>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</si>
  <si>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</si>
  <si>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</si>
  <si>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</si>
  <si>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</si>
  <si>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</si>
  <si>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</si>
  <si>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03-06-2024 24:00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</si>
  <si>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</si>
  <si>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</si>
  <si>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</si>
  <si>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</si>
  <si>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</si>
  <si>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</si>
  <si>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</si>
  <si>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</si>
  <si>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</si>
  <si>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</si>
  <si>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</si>
  <si>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</si>
  <si>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</si>
  <si>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</si>
  <si>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</si>
  <si>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</si>
  <si>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</si>
  <si>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</si>
  <si>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</si>
  <si>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</si>
  <si>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</si>
  <si>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</si>
  <si>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</si>
  <si>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04-06-2024 24:00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</si>
  <si>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</si>
  <si>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</si>
  <si>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</si>
  <si>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</si>
  <si>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</si>
  <si>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</si>
  <si>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</si>
  <si>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</si>
  <si>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</si>
  <si>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</si>
  <si>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</si>
  <si>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</si>
  <si>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</si>
  <si>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</si>
  <si>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</si>
  <si>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</si>
  <si>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</si>
  <si>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</si>
  <si>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</si>
  <si>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</si>
  <si>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</si>
  <si>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</si>
  <si>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</si>
  <si>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27-06-2024 24:00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</si>
  <si>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</si>
  <si>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</si>
  <si>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</si>
  <si>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</si>
  <si>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</si>
  <si>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</si>
  <si>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</si>
  <si>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</si>
  <si>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</si>
  <si>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</si>
  <si>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</si>
  <si>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</si>
  <si>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</si>
  <si>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</si>
  <si>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</si>
  <si>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</si>
  <si>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</si>
  <si>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</si>
  <si>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</si>
  <si>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</si>
  <si>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</si>
  <si>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</si>
  <si>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</si>
  <si>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05-06-2024 24:00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</si>
  <si>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</si>
  <si>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</si>
  <si>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</si>
  <si>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</si>
  <si>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</si>
  <si>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</si>
  <si>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</si>
  <si>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</si>
  <si>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</si>
  <si>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</si>
  <si>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</si>
  <si>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</si>
  <si>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</si>
  <si>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</si>
  <si>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</si>
  <si>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</si>
  <si>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</si>
  <si>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</si>
  <si>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</si>
  <si>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</si>
  <si>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</si>
  <si>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</si>
  <si>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</si>
  <si>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06-06-2024 24:00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</si>
  <si>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</si>
  <si>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</si>
  <si>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</si>
  <si>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</si>
  <si>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</si>
  <si>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</si>
  <si>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</si>
  <si>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</si>
  <si>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</si>
  <si>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</si>
  <si>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</si>
  <si>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</si>
  <si>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</si>
  <si>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</si>
  <si>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</si>
  <si>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</si>
  <si>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</si>
  <si>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</si>
  <si>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</si>
  <si>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</si>
  <si>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</si>
  <si>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</si>
  <si>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</si>
  <si>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07-06-2024 24:00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</si>
  <si>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</si>
  <si>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</si>
  <si>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</si>
  <si>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</si>
  <si>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</si>
  <si>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</si>
  <si>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</si>
  <si>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</si>
  <si>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</si>
  <si>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</si>
  <si>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</si>
  <si>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</si>
  <si>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</si>
  <si>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</si>
  <si>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</si>
  <si>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</si>
  <si>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</si>
  <si>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</si>
  <si>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</si>
  <si>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</si>
  <si>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</si>
  <si>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</si>
  <si>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</si>
  <si>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08-06-2024 24:00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</si>
  <si>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</si>
  <si>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</si>
  <si>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</si>
  <si>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</si>
  <si>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</si>
  <si>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</si>
  <si>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</si>
  <si>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</si>
  <si>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</si>
  <si>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</si>
  <si>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</si>
  <si>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</si>
  <si>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</si>
  <si>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</si>
  <si>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</si>
  <si>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</si>
  <si>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</si>
  <si>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</si>
  <si>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</si>
  <si>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</si>
  <si>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</si>
  <si>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</si>
  <si>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</si>
  <si>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09-06-2024 24:00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</si>
  <si>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</si>
  <si>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</si>
  <si>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</si>
  <si>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</si>
  <si>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</si>
  <si>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</si>
  <si>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</si>
  <si>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</si>
  <si>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</si>
  <si>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</si>
  <si>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</si>
  <si>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</si>
  <si>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</si>
  <si>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</si>
  <si>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</si>
  <si>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</si>
  <si>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</si>
  <si>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</si>
  <si>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</si>
  <si>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</si>
  <si>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</si>
  <si>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</si>
  <si>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</si>
  <si>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10-06-2024 24:00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</si>
  <si>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</si>
  <si>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</si>
  <si>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</si>
  <si>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</si>
  <si>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</si>
  <si>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</si>
  <si>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</si>
  <si>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</si>
  <si>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</si>
  <si>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</si>
  <si>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</si>
  <si>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</si>
  <si>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</si>
  <si>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</si>
  <si>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</si>
  <si>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</si>
  <si>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</si>
  <si>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</si>
  <si>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</si>
  <si>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</si>
  <si>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</si>
  <si>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</si>
  <si>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</si>
  <si>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11-06-2024 24:00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</si>
  <si>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</si>
  <si>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</si>
  <si>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</si>
  <si>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</si>
  <si>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</si>
  <si>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</si>
  <si>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</si>
  <si>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</si>
  <si>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</si>
  <si>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</si>
  <si>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</si>
  <si>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</si>
  <si>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</si>
  <si>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</si>
  <si>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</si>
  <si>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</si>
  <si>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</si>
  <si>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</si>
  <si>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</si>
  <si>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</si>
  <si>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</si>
  <si>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</si>
  <si>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</si>
  <si>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12-06-2024 24:00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</si>
  <si>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</si>
  <si>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</si>
  <si>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</si>
  <si>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</si>
  <si>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</si>
  <si>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</si>
  <si>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</si>
  <si>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</si>
  <si>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</si>
  <si>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</si>
  <si>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</si>
  <si>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</si>
  <si>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</si>
  <si>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</si>
  <si>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</si>
  <si>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</si>
  <si>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</si>
  <si>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</si>
  <si>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</si>
  <si>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</si>
  <si>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</si>
  <si>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</si>
  <si>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</si>
  <si>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13-06-2024 24:00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</si>
  <si>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</si>
  <si>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</si>
  <si>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</si>
  <si>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</si>
  <si>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</si>
  <si>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</si>
  <si>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</si>
  <si>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</si>
  <si>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</si>
  <si>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</si>
  <si>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</si>
  <si>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</si>
  <si>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</si>
  <si>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</si>
  <si>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</si>
  <si>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</si>
  <si>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</si>
  <si>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</si>
  <si>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</si>
  <si>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</si>
  <si>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</si>
  <si>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</si>
  <si>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</si>
  <si>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14-06-2024 24:00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</si>
  <si>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</si>
  <si>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</si>
  <si>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</si>
  <si>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</si>
  <si>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</si>
  <si>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</si>
  <si>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</si>
  <si>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</si>
  <si>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</si>
  <si>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</si>
  <si>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</si>
  <si>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</si>
  <si>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</si>
  <si>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</si>
  <si>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</si>
  <si>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</si>
  <si>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</si>
  <si>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</si>
  <si>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</si>
  <si>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</si>
  <si>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</si>
  <si>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</si>
  <si>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</si>
  <si>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15-06-2024 24:00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</si>
  <si>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</si>
  <si>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</si>
  <si>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</si>
  <si>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</si>
  <si>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</si>
  <si>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</si>
  <si>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</si>
  <si>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</si>
  <si>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</si>
  <si>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</si>
  <si>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</si>
  <si>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</si>
  <si>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</si>
  <si>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</si>
  <si>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</si>
  <si>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</si>
  <si>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</si>
  <si>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</si>
  <si>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</si>
  <si>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</si>
  <si>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</si>
  <si>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</si>
  <si>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</si>
  <si>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16-06-2024 24:00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</si>
  <si>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</si>
  <si>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</si>
  <si>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</si>
  <si>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</si>
  <si>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</si>
  <si>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</si>
  <si>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</si>
  <si>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</si>
  <si>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</si>
  <si>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</si>
  <si>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</si>
  <si>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</si>
  <si>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</si>
  <si>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</si>
  <si>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</si>
  <si>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</si>
  <si>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</si>
  <si>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</si>
  <si>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</si>
  <si>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</si>
  <si>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</si>
  <si>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</si>
  <si>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</si>
  <si>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17-06-2024 24:00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</si>
  <si>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</si>
  <si>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</si>
  <si>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</si>
  <si>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</si>
  <si>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</si>
  <si>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</si>
  <si>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</si>
  <si>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</si>
  <si>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</si>
  <si>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</si>
  <si>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</si>
  <si>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</si>
  <si>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</si>
  <si>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</si>
  <si>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</si>
  <si>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</si>
  <si>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</si>
  <si>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</si>
  <si>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</si>
  <si>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</si>
  <si>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</si>
  <si>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</si>
  <si>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</si>
  <si>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18-06-2024 24:00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</si>
  <si>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</si>
  <si>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</si>
  <si>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</si>
  <si>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</si>
  <si>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</si>
  <si>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</si>
  <si>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</si>
  <si>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</si>
  <si>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</si>
  <si>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</si>
  <si>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</si>
  <si>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</si>
  <si>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</si>
  <si>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</si>
  <si>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</si>
  <si>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</si>
  <si>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</si>
  <si>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</si>
  <si>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</si>
  <si>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</si>
  <si>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</si>
  <si>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</si>
  <si>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</si>
  <si>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19-06-2024 24:00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</si>
  <si>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</si>
  <si>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</si>
  <si>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</si>
  <si>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</si>
  <si>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</si>
  <si>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</si>
  <si>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</si>
  <si>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</si>
  <si>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</si>
  <si>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</si>
  <si>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</si>
  <si>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</si>
  <si>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</si>
  <si>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</si>
  <si>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</si>
  <si>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</si>
  <si>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</si>
  <si>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</si>
  <si>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</si>
  <si>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</si>
  <si>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</si>
  <si>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</si>
  <si>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</si>
  <si>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20-06-2024 24:00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</si>
  <si>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</si>
  <si>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</si>
  <si>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</si>
  <si>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</si>
  <si>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</si>
  <si>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</si>
  <si>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</si>
  <si>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</si>
  <si>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</si>
  <si>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</si>
  <si>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</si>
  <si>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</si>
  <si>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</si>
  <si>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</si>
  <si>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</si>
  <si>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</si>
  <si>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</si>
  <si>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</si>
  <si>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</si>
  <si>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</si>
  <si>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</si>
  <si>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</si>
  <si>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</si>
  <si>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21-06-2024 24:00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</si>
  <si>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</si>
  <si>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</si>
  <si>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</si>
  <si>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</si>
  <si>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</si>
  <si>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</si>
  <si>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</si>
  <si>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</si>
  <si>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</si>
  <si>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</si>
  <si>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</si>
  <si>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</si>
  <si>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</si>
  <si>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</si>
  <si>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</si>
  <si>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</si>
  <si>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</si>
  <si>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</si>
  <si>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</si>
  <si>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</si>
  <si>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</si>
  <si>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</si>
  <si>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22-06-2024 24:00</t>
  </si>
  <si>
    <t xml:space="preserve">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</si>
  <si>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</t>
  </si>
  <si>
    <t xml:space="preserve">                                                                            </t>
  </si>
  <si>
    <t>z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</si>
  <si>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</si>
  <si>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</si>
  <si>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</si>
  <si>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</si>
  <si>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</si>
  <si>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</si>
  <si>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</si>
  <si>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</si>
  <si>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</si>
  <si>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</si>
  <si>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</si>
  <si>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</si>
  <si>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</si>
  <si>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</si>
  <si>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</si>
  <si>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</si>
  <si>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</si>
  <si>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</si>
  <si>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</si>
  <si>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</si>
  <si>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</si>
  <si>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</si>
  <si>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</si>
  <si>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23-06-2024 24:00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</si>
  <si>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</si>
  <si>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</si>
  <si>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</si>
  <si>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</si>
  <si>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</si>
  <si>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</si>
  <si>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</si>
  <si>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</si>
  <si>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</si>
  <si>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</si>
  <si>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</si>
  <si>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</si>
  <si>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</si>
  <si>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</si>
  <si>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</si>
  <si>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</si>
  <si>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</si>
  <si>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</si>
  <si>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</si>
  <si>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</si>
  <si>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</si>
  <si>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</si>
  <si>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</si>
  <si>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24-06-2024 24:00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</si>
  <si>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</si>
  <si>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</si>
  <si>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</si>
  <si>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</si>
  <si>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</si>
  <si>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</si>
  <si>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</si>
  <si>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</si>
  <si>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</si>
  <si>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</si>
  <si>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</si>
  <si>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</si>
  <si>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</si>
  <si>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</si>
  <si>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</si>
  <si>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</si>
  <si>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</si>
  <si>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</si>
  <si>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</si>
  <si>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</si>
  <si>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</si>
  <si>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</si>
  <si>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</si>
  <si>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25-06-2024 24:00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</si>
  <si>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</si>
  <si>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</si>
  <si>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</si>
  <si>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</si>
  <si>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</si>
  <si>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</si>
  <si>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</si>
  <si>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</si>
  <si>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</si>
  <si>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</si>
  <si>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</si>
  <si>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</si>
  <si>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</si>
  <si>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</si>
  <si>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</si>
  <si>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</si>
  <si>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</si>
  <si>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</si>
  <si>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</si>
  <si>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</si>
  <si>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</si>
  <si>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</si>
  <si>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</si>
  <si>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26-06-2024 24:00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</si>
  <si>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</si>
  <si>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</si>
  <si>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</si>
  <si>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</si>
  <si>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</si>
  <si>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</si>
  <si>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</si>
  <si>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</si>
  <si>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</si>
  <si>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</si>
  <si>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</si>
  <si>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</si>
  <si>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</si>
  <si>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</si>
  <si>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</si>
  <si>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</si>
  <si>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</si>
  <si>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</si>
  <si>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</si>
  <si>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</si>
  <si>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</si>
  <si>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</si>
  <si>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</si>
  <si>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28-06-2024 24:00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</si>
  <si>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</si>
  <si>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</si>
  <si>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</si>
  <si>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</si>
  <si>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</si>
  <si>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</si>
  <si>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</si>
  <si>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</si>
  <si>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</si>
  <si>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</si>
  <si>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</si>
  <si>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</si>
  <si>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</si>
  <si>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</si>
  <si>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</si>
  <si>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</si>
  <si>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</si>
  <si>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</si>
  <si>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</si>
  <si>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</si>
  <si>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</si>
  <si>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</si>
  <si>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</si>
  <si>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29-06-2024 24:00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</si>
  <si>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</si>
  <si>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</si>
  <si>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</si>
  <si>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</si>
  <si>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</si>
  <si>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</si>
  <si>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</si>
  <si>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</si>
  <si>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</si>
  <si>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</si>
  <si>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</si>
  <si>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</si>
  <si>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</si>
  <si>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</si>
  <si>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</si>
  <si>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</si>
  <si>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</si>
  <si>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</si>
  <si>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</si>
  <si>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</si>
  <si>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</si>
  <si>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</si>
  <si>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</si>
  <si>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30-06-2024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</si>
</sst>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8" fillId="4" borderId="1" xfId="0" applyFont="1" applyFill="1" applyBorder="1" applyAlignment="1">
      <alignment horizont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26" Type="http://schemas.openxmlformats.org/officeDocument/2006/relationships/worksheet" Target="worksheets/sheet24.xml" /><Relationship Id="rId35" Type="http://schemas.openxmlformats.org/officeDocument/2006/relationships/calcChain" Target="calcChain.xml" /><Relationship Id="rId17" Type="http://schemas.openxmlformats.org/officeDocument/2006/relationships/worksheet" Target="worksheets/sheet15.xml" /><Relationship Id="rId8" Type="http://schemas.openxmlformats.org/officeDocument/2006/relationships/worksheet" Target="worksheets/sheet6.xml" /><Relationship Id="rId29" Type="http://schemas.openxmlformats.org/officeDocument/2006/relationships/worksheet" Target="worksheets/sheet27.xml" /><Relationship Id="rId11" Type="http://schemas.openxmlformats.org/officeDocument/2006/relationships/worksheet" Target="worksheets/sheet9.xml" /><Relationship Id="rId32" Type="http://schemas.openxmlformats.org/officeDocument/2006/relationships/worksheet" Target="worksheets/sheet30.xml" /><Relationship Id="rId10" Type="http://schemas.openxmlformats.org/officeDocument/2006/relationships/worksheet" Target="worksheets/sheet8.xml" /><Relationship Id="rId16" Type="http://schemas.openxmlformats.org/officeDocument/2006/relationships/worksheet" Target="worksheets/sheet14.xml" /><Relationship Id="rId31" Type="http://schemas.openxmlformats.org/officeDocument/2006/relationships/worksheet" Target="worksheets/sheet29.xml" /><Relationship Id="rId23" Type="http://schemas.openxmlformats.org/officeDocument/2006/relationships/worksheet" Target="worksheets/sheet21.xml" /><Relationship Id="rId13" Type="http://schemas.openxmlformats.org/officeDocument/2006/relationships/worksheet" Target="worksheets/sheet11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0" Type="http://schemas.openxmlformats.org/officeDocument/2006/relationships/worksheet" Target="worksheets/sheet28.xml" /><Relationship Id="rId15" Type="http://schemas.openxmlformats.org/officeDocument/2006/relationships/worksheet" Target="worksheets/sheet13.xml" /><Relationship Id="rId20" Type="http://schemas.openxmlformats.org/officeDocument/2006/relationships/worksheet" Target="worksheets/sheet18.xml" /><Relationship Id="rId24" Type="http://schemas.openxmlformats.org/officeDocument/2006/relationships/worksheet" Target="worksheets/sheet22.xml" /><Relationship Id="rId28" Type="http://schemas.openxmlformats.org/officeDocument/2006/relationships/worksheet" Target="worksheets/sheet26.xml" /><Relationship Id="rId21" Type="http://schemas.openxmlformats.org/officeDocument/2006/relationships/worksheet" Target="worksheets/sheet19.xml" /><Relationship Id="rId34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3" Type="http://schemas.openxmlformats.org/officeDocument/2006/relationships/worksheet" Target="worksheets/sheet1.xml" /><Relationship Id="rId27" Type="http://schemas.openxmlformats.org/officeDocument/2006/relationships/worksheet" Target="worksheets/sheet25.xml" /><Relationship Id="rId19" Type="http://schemas.openxmlformats.org/officeDocument/2006/relationships/worksheet" Target="worksheets/sheet17.xml" /><Relationship Id="rId25" Type="http://schemas.openxmlformats.org/officeDocument/2006/relationships/worksheet" Target="worksheets/sheet23.xml" /><Relationship Id="rId33" Type="http://schemas.openxmlformats.org/officeDocument/2006/relationships/worksheet" Target="worksheets/sheet31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18" Type="http://schemas.openxmlformats.org/officeDocument/2006/relationships/worksheet" Target="worksheets/sheet16.xml" /><Relationship Id="rId4" Type="http://schemas.openxmlformats.org/officeDocument/2006/relationships/worksheet" Target="worksheets/sheet2.xml" /><Relationship Id="rId22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ab7d8e-35e8-43da-a289-aee31de3a7da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G46" sqref="G46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62</v>
      </c>
      <c r="B9" s="55">
        <v>4.3600000000000003</v>
      </c>
      <c r="C9" s="55">
        <v>6.72</v>
      </c>
      <c r="D9" s="55">
        <v>8.16</v>
      </c>
      <c r="E9" s="55">
        <v>1.25</v>
      </c>
      <c r="F9" s="55">
        <v>3.5</v>
      </c>
      <c r="G9" s="55">
        <v>88.56</v>
      </c>
      <c r="H9" s="55">
        <v>33.82</v>
      </c>
      <c r="I9" s="55">
        <v>12.80</v>
      </c>
      <c r="J9" s="55">
        <v>0.57999999999999996</v>
      </c>
      <c r="K9" s="55">
        <v>337.09</v>
      </c>
      <c r="L9" s="55">
        <v>32.19</v>
      </c>
      <c r="M9" s="55">
        <v>32.369999999999997</v>
      </c>
      <c r="N9" s="55">
        <v>11.60</v>
      </c>
      <c r="O9" s="55">
        <v>0</v>
      </c>
      <c r="P9" s="55">
        <v>0.98</v>
      </c>
      <c r="Q9" s="55">
        <v>10.47</v>
      </c>
      <c r="R9" s="43"/>
      <c r="S9" s="43"/>
      <c r="T9" s="43"/>
      <c r="U9" s="43"/>
    </row>
    <row r="10" spans="1:21" s="11" customFormat="1" ht="15">
      <c r="A10" s="54" t="s">
        <v>63</v>
      </c>
      <c r="B10" s="55">
        <v>3.98</v>
      </c>
      <c r="C10" s="55">
        <v>5.80</v>
      </c>
      <c r="D10" s="55">
        <v>7.37</v>
      </c>
      <c r="E10" s="55">
        <v>1.28</v>
      </c>
      <c r="F10" s="55">
        <v>3.66</v>
      </c>
      <c r="G10" s="55">
        <v>87.79</v>
      </c>
      <c r="H10" s="55">
        <v>30.27</v>
      </c>
      <c r="I10" s="55">
        <v>11.55</v>
      </c>
      <c r="J10" s="55">
        <v>1.07</v>
      </c>
      <c r="K10" s="55">
        <v>327.29000000000002</v>
      </c>
      <c r="L10" s="55">
        <v>31.88</v>
      </c>
      <c r="M10" s="55">
        <v>31.78</v>
      </c>
      <c r="N10" s="55">
        <v>11.40</v>
      </c>
      <c r="O10" s="55">
        <v>0</v>
      </c>
      <c r="P10" s="55">
        <v>0.91</v>
      </c>
      <c r="Q10" s="55">
        <v>10.19</v>
      </c>
      <c r="R10" s="43"/>
      <c r="S10" s="43"/>
      <c r="T10" s="43"/>
      <c r="U10" s="43"/>
    </row>
    <row r="11" spans="1:21" s="11" customFormat="1" ht="15">
      <c r="A11" s="54" t="s">
        <v>64</v>
      </c>
      <c r="B11" s="55">
        <v>3.17</v>
      </c>
      <c r="C11" s="55">
        <v>3.13</v>
      </c>
      <c r="D11" s="55">
        <v>5.32</v>
      </c>
      <c r="E11" s="55">
        <v>1.29</v>
      </c>
      <c r="F11" s="55">
        <v>3.81</v>
      </c>
      <c r="G11" s="55">
        <v>87.79</v>
      </c>
      <c r="H11" s="55">
        <v>32.01</v>
      </c>
      <c r="I11" s="55">
        <v>12.92</v>
      </c>
      <c r="J11" s="55">
        <v>1.32</v>
      </c>
      <c r="K11" s="55">
        <v>357.40</v>
      </c>
      <c r="L11" s="55">
        <v>32.43</v>
      </c>
      <c r="M11" s="55">
        <v>29.07</v>
      </c>
      <c r="N11" s="55">
        <v>11.90</v>
      </c>
      <c r="O11" s="55">
        <v>0</v>
      </c>
      <c r="P11" s="55">
        <v>0.86</v>
      </c>
      <c r="Q11" s="55">
        <v>10.09</v>
      </c>
      <c r="R11" s="43"/>
      <c r="S11" s="43"/>
      <c r="T11" s="43"/>
      <c r="U11" s="43"/>
    </row>
    <row r="12" spans="1:21" s="11" customFormat="1" ht="15">
      <c r="A12" s="54" t="s">
        <v>65</v>
      </c>
      <c r="B12" s="55">
        <v>3.67</v>
      </c>
      <c r="C12" s="55">
        <v>5.03</v>
      </c>
      <c r="D12" s="55">
        <v>6.72</v>
      </c>
      <c r="E12" s="55">
        <v>1.61</v>
      </c>
      <c r="F12" s="55">
        <v>3.99</v>
      </c>
      <c r="G12" s="55">
        <v>91.36</v>
      </c>
      <c r="H12" s="55">
        <v>34.18</v>
      </c>
      <c r="I12" s="55">
        <v>12.05</v>
      </c>
      <c r="J12" s="55">
        <v>0.64</v>
      </c>
      <c r="K12" s="55">
        <v>316.23</v>
      </c>
      <c r="L12" s="55">
        <v>31.26</v>
      </c>
      <c r="M12" s="55">
        <v>36.29</v>
      </c>
      <c r="N12" s="55">
        <v>12.10</v>
      </c>
      <c r="O12" s="55">
        <v>0</v>
      </c>
      <c r="P12" s="55">
        <v>0.77</v>
      </c>
      <c r="Q12" s="55">
        <v>10.210000000000001</v>
      </c>
      <c r="R12" s="43"/>
      <c r="S12" s="43"/>
      <c r="T12" s="43"/>
      <c r="U12" s="43"/>
    </row>
    <row r="13" spans="1:21" s="11" customFormat="1" ht="15">
      <c r="A13" s="54" t="s">
        <v>66</v>
      </c>
      <c r="B13" s="55">
        <v>4.0599999999999996</v>
      </c>
      <c r="C13" s="55">
        <v>5.0599999999999996</v>
      </c>
      <c r="D13" s="55">
        <v>7.05</v>
      </c>
      <c r="E13" s="55">
        <v>1.32</v>
      </c>
      <c r="F13" s="55">
        <v>3.58</v>
      </c>
      <c r="G13" s="55">
        <v>95.47</v>
      </c>
      <c r="H13" s="55">
        <v>35.200000000000003</v>
      </c>
      <c r="I13" s="55">
        <v>11.92</v>
      </c>
      <c r="J13" s="55">
        <v>0.56999999999999995</v>
      </c>
      <c r="K13" s="55">
        <v>317.17</v>
      </c>
      <c r="L13" s="55">
        <v>30.27</v>
      </c>
      <c r="M13" s="55">
        <v>43.65</v>
      </c>
      <c r="N13" s="55">
        <v>11.90</v>
      </c>
      <c r="O13" s="55">
        <v>0</v>
      </c>
      <c r="P13" s="55">
        <v>0.66</v>
      </c>
      <c r="Q13" s="55">
        <v>10.26</v>
      </c>
      <c r="R13" s="43"/>
      <c r="S13" s="43"/>
      <c r="T13" s="43"/>
      <c r="U13" s="43"/>
    </row>
    <row r="14" spans="1:21" s="11" customFormat="1" ht="15">
      <c r="A14" s="54" t="s">
        <v>67</v>
      </c>
      <c r="B14" s="55">
        <v>4.68</v>
      </c>
      <c r="C14" s="55">
        <v>5.46</v>
      </c>
      <c r="D14" s="55">
        <v>7.59</v>
      </c>
      <c r="E14" s="55">
        <v>1.58</v>
      </c>
      <c r="F14" s="55">
        <v>3.69</v>
      </c>
      <c r="G14" s="55">
        <v>95.47</v>
      </c>
      <c r="H14" s="55">
        <v>35.200000000000003</v>
      </c>
      <c r="I14" s="55">
        <v>10.18</v>
      </c>
      <c r="J14" s="55">
        <v>0.71</v>
      </c>
      <c r="K14" s="55">
        <v>354.94</v>
      </c>
      <c r="L14" s="55">
        <v>28.59</v>
      </c>
      <c r="M14" s="55">
        <v>46.73</v>
      </c>
      <c r="N14" s="55">
        <v>54.80</v>
      </c>
      <c r="O14" s="55">
        <v>0</v>
      </c>
      <c r="P14" s="55">
        <v>0.70</v>
      </c>
      <c r="Q14" s="55">
        <v>10.36</v>
      </c>
      <c r="R14" s="43"/>
      <c r="S14" s="43"/>
      <c r="T14" s="43"/>
      <c r="U14" s="43"/>
    </row>
    <row r="15" spans="1:21" s="11" customFormat="1" ht="15">
      <c r="A15" s="54" t="s">
        <v>68</v>
      </c>
      <c r="B15" s="55">
        <v>6.45</v>
      </c>
      <c r="C15" s="55">
        <v>8.1999999999999993</v>
      </c>
      <c r="D15" s="55">
        <v>10.61</v>
      </c>
      <c r="E15" s="55">
        <v>1.64</v>
      </c>
      <c r="F15" s="55">
        <v>3.51</v>
      </c>
      <c r="G15" s="55">
        <v>100.39</v>
      </c>
      <c r="H15" s="55">
        <v>38.53</v>
      </c>
      <c r="I15" s="55">
        <v>9.41</v>
      </c>
      <c r="J15" s="55">
        <v>1.1399999999999999</v>
      </c>
      <c r="K15" s="55">
        <v>345.69</v>
      </c>
      <c r="L15" s="55">
        <v>33.590000000000003</v>
      </c>
      <c r="M15" s="55">
        <v>44.33</v>
      </c>
      <c r="N15" s="55">
        <v>215.10</v>
      </c>
      <c r="O15" s="55">
        <v>0</v>
      </c>
      <c r="P15" s="55">
        <v>0.72</v>
      </c>
      <c r="Q15" s="55">
        <v>10.47</v>
      </c>
      <c r="R15" s="43"/>
      <c r="S15" s="43"/>
      <c r="T15" s="43"/>
      <c r="U15" s="43"/>
    </row>
    <row r="16" spans="1:21" s="11" customFormat="1" ht="15">
      <c r="A16" s="54" t="s">
        <v>69</v>
      </c>
      <c r="B16" s="55">
        <v>6.08</v>
      </c>
      <c r="C16" s="55">
        <v>7.48</v>
      </c>
      <c r="D16" s="55">
        <v>9.93</v>
      </c>
      <c r="E16" s="55">
        <v>1.90</v>
      </c>
      <c r="F16" s="55">
        <v>4.01</v>
      </c>
      <c r="G16" s="55">
        <v>100.39</v>
      </c>
      <c r="H16" s="55">
        <v>38.53</v>
      </c>
      <c r="I16" s="55">
        <v>10.17</v>
      </c>
      <c r="J16" s="55">
        <v>1.24</v>
      </c>
      <c r="K16" s="55">
        <v>329.61</v>
      </c>
      <c r="L16" s="55">
        <v>36.96</v>
      </c>
      <c r="M16" s="55">
        <v>29.06</v>
      </c>
      <c r="N16" s="55">
        <v>411.70</v>
      </c>
      <c r="O16" s="55">
        <v>0</v>
      </c>
      <c r="P16" s="55">
        <v>0.70</v>
      </c>
      <c r="Q16" s="55">
        <v>10.5</v>
      </c>
      <c r="R16" s="43"/>
      <c r="S16" s="43"/>
      <c r="T16" s="43"/>
      <c r="U16" s="43"/>
    </row>
    <row r="17" spans="1:21" s="11" customFormat="1" ht="15">
      <c r="A17" s="54" t="s">
        <v>70</v>
      </c>
      <c r="B17" s="55">
        <v>3.87</v>
      </c>
      <c r="C17" s="55">
        <v>4.16</v>
      </c>
      <c r="D17" s="55">
        <v>6.42</v>
      </c>
      <c r="E17" s="55">
        <v>1.75</v>
      </c>
      <c r="F17" s="55">
        <v>4.26</v>
      </c>
      <c r="G17" s="55">
        <v>99.63</v>
      </c>
      <c r="H17" s="55">
        <v>38.36</v>
      </c>
      <c r="I17" s="55">
        <v>9.7799999999999994</v>
      </c>
      <c r="J17" s="55">
        <v>1.35</v>
      </c>
      <c r="K17" s="55">
        <v>348.69</v>
      </c>
      <c r="L17" s="55">
        <v>40.25</v>
      </c>
      <c r="M17" s="55">
        <v>27.70</v>
      </c>
      <c r="N17" s="55">
        <v>579.79999999999995</v>
      </c>
      <c r="O17" s="55">
        <v>0</v>
      </c>
      <c r="P17" s="55">
        <v>0.71</v>
      </c>
      <c r="Q17" s="55">
        <v>10.44</v>
      </c>
      <c r="R17" s="43"/>
      <c r="S17" s="43"/>
      <c r="T17" s="43"/>
      <c r="U17" s="43"/>
    </row>
    <row r="18" spans="1:21" s="11" customFormat="1" ht="15">
      <c r="A18" s="54" t="s">
        <v>71</v>
      </c>
      <c r="B18" s="55">
        <v>2.75</v>
      </c>
      <c r="C18" s="55">
        <v>2.81</v>
      </c>
      <c r="D18" s="55">
        <v>4.8099999999999996</v>
      </c>
      <c r="E18" s="55">
        <v>1.79</v>
      </c>
      <c r="F18" s="55">
        <v>5.55</v>
      </c>
      <c r="G18" s="55">
        <v>105.72</v>
      </c>
      <c r="H18" s="55">
        <v>43.04</v>
      </c>
      <c r="I18" s="55">
        <v>8.56</v>
      </c>
      <c r="J18" s="55">
        <v>2.54</v>
      </c>
      <c r="K18" s="55">
        <v>350.15</v>
      </c>
      <c r="L18" s="55">
        <v>41.80</v>
      </c>
      <c r="M18" s="55">
        <v>25.39</v>
      </c>
      <c r="N18" s="55">
        <v>698.30</v>
      </c>
      <c r="O18" s="55">
        <v>0</v>
      </c>
      <c r="P18" s="55">
        <v>0.80</v>
      </c>
      <c r="Q18" s="55">
        <v>10.26</v>
      </c>
      <c r="R18" s="43"/>
      <c r="S18" s="43"/>
      <c r="T18" s="43"/>
      <c r="U18" s="43"/>
    </row>
    <row r="19" spans="1:21" s="11" customFormat="1" ht="15">
      <c r="A19" s="54" t="s">
        <v>72</v>
      </c>
      <c r="B19" s="55">
        <v>2.63</v>
      </c>
      <c r="C19" s="55">
        <v>2.64</v>
      </c>
      <c r="D19" s="55">
        <v>4.63</v>
      </c>
      <c r="E19" s="55">
        <v>1.81</v>
      </c>
      <c r="F19" s="55">
        <v>6.13</v>
      </c>
      <c r="G19" s="55">
        <v>107.43</v>
      </c>
      <c r="H19" s="55">
        <v>43.38</v>
      </c>
      <c r="I19" s="55">
        <v>8.2899999999999991</v>
      </c>
      <c r="J19" s="55">
        <v>2.09</v>
      </c>
      <c r="K19" s="55">
        <v>341.83</v>
      </c>
      <c r="L19" s="55">
        <v>43.04</v>
      </c>
      <c r="M19" s="55">
        <v>24.80</v>
      </c>
      <c r="N19" s="55">
        <v>771.40</v>
      </c>
      <c r="O19" s="55">
        <v>0</v>
      </c>
      <c r="P19" s="55">
        <v>0.78</v>
      </c>
      <c r="Q19" s="55">
        <v>10.029999999999999</v>
      </c>
      <c r="R19" s="43"/>
      <c r="S19" s="43"/>
      <c r="T19" s="43"/>
      <c r="U19" s="43"/>
    </row>
    <row r="20" spans="1:21" s="11" customFormat="1" ht="15">
      <c r="A20" s="54" t="s">
        <v>73</v>
      </c>
      <c r="B20" s="55">
        <v>2.61</v>
      </c>
      <c r="C20" s="55">
        <v>2.92</v>
      </c>
      <c r="D20" s="55">
        <v>4.76</v>
      </c>
      <c r="E20" s="55">
        <v>2</v>
      </c>
      <c r="F20" s="55">
        <v>6.46</v>
      </c>
      <c r="G20" s="55">
        <v>107.43</v>
      </c>
      <c r="H20" s="55">
        <v>43.38</v>
      </c>
      <c r="I20" s="55">
        <v>7.65</v>
      </c>
      <c r="J20" s="55">
        <v>1.61</v>
      </c>
      <c r="K20" s="55">
        <v>339.79</v>
      </c>
      <c r="L20" s="55">
        <v>43.36</v>
      </c>
      <c r="M20" s="55">
        <v>23.86</v>
      </c>
      <c r="N20" s="55">
        <v>790.70</v>
      </c>
      <c r="O20" s="55">
        <v>0</v>
      </c>
      <c r="P20" s="55">
        <v>0.76</v>
      </c>
      <c r="Q20" s="55">
        <v>9.6999999999999993</v>
      </c>
      <c r="R20" s="43"/>
      <c r="S20" s="43"/>
      <c r="T20" s="43"/>
      <c r="U20" s="43"/>
    </row>
    <row r="21" spans="1:21" s="11" customFormat="1" ht="15">
      <c r="A21" s="54" t="s">
        <v>74</v>
      </c>
      <c r="B21" s="55">
        <v>2.60</v>
      </c>
      <c r="C21" s="55">
        <v>2.56</v>
      </c>
      <c r="D21" s="55">
        <v>4.57</v>
      </c>
      <c r="E21" s="55">
        <v>1.27</v>
      </c>
      <c r="F21" s="55">
        <v>6.58</v>
      </c>
      <c r="G21" s="55">
        <v>95.81</v>
      </c>
      <c r="H21" s="55">
        <v>40.29</v>
      </c>
      <c r="I21" s="55">
        <v>7.5</v>
      </c>
      <c r="J21" s="55">
        <v>2.25</v>
      </c>
      <c r="K21" s="55">
        <v>352.47</v>
      </c>
      <c r="L21" s="55">
        <v>43.97</v>
      </c>
      <c r="M21" s="55">
        <v>23.27</v>
      </c>
      <c r="N21" s="55">
        <v>802.70</v>
      </c>
      <c r="O21" s="55">
        <v>0</v>
      </c>
      <c r="P21" s="55">
        <v>0.69</v>
      </c>
      <c r="Q21" s="55">
        <v>9.81</v>
      </c>
      <c r="R21" s="43"/>
      <c r="S21" s="43"/>
      <c r="T21" s="43"/>
      <c r="U21" s="43"/>
    </row>
    <row r="22" spans="1:21" s="11" customFormat="1" ht="15">
      <c r="A22" s="54" t="s">
        <v>75</v>
      </c>
      <c r="B22" s="55">
        <v>2.62</v>
      </c>
      <c r="C22" s="55">
        <v>2.81</v>
      </c>
      <c r="D22" s="55">
        <v>4.71</v>
      </c>
      <c r="E22" s="55">
        <v>1.68</v>
      </c>
      <c r="F22" s="55">
        <v>6.60</v>
      </c>
      <c r="G22" s="55">
        <v>76.94</v>
      </c>
      <c r="H22" s="55">
        <v>34.119999999999997</v>
      </c>
      <c r="I22" s="55">
        <v>7.59</v>
      </c>
      <c r="J22" s="55">
        <v>1.38</v>
      </c>
      <c r="K22" s="55">
        <v>328.80</v>
      </c>
      <c r="L22" s="55">
        <v>44.10</v>
      </c>
      <c r="M22" s="55">
        <v>19.63</v>
      </c>
      <c r="N22" s="55">
        <v>748.5</v>
      </c>
      <c r="O22" s="55">
        <v>0</v>
      </c>
      <c r="P22" s="55">
        <v>0.56999999999999995</v>
      </c>
      <c r="Q22" s="55">
        <v>9.76</v>
      </c>
      <c r="R22" s="43"/>
      <c r="S22" s="43"/>
      <c r="T22" s="43"/>
      <c r="U22" s="43"/>
    </row>
    <row r="23" spans="1:21" s="11" customFormat="1" ht="15">
      <c r="A23" s="54" t="s">
        <v>76</v>
      </c>
      <c r="B23" s="55">
        <v>2.62</v>
      </c>
      <c r="C23" s="55">
        <v>2.83</v>
      </c>
      <c r="D23" s="55">
        <v>4.7300000000000004</v>
      </c>
      <c r="E23" s="55">
        <v>1.54</v>
      </c>
      <c r="F23" s="55">
        <v>6.01</v>
      </c>
      <c r="G23" s="55">
        <v>66.33</v>
      </c>
      <c r="H23" s="55">
        <v>27.83</v>
      </c>
      <c r="I23" s="55">
        <v>6.63</v>
      </c>
      <c r="J23" s="55">
        <v>1.18</v>
      </c>
      <c r="K23" s="55">
        <v>327.08999999999997</v>
      </c>
      <c r="L23" s="55">
        <v>42.5</v>
      </c>
      <c r="M23" s="55">
        <v>18.96</v>
      </c>
      <c r="N23" s="55">
        <v>618.5</v>
      </c>
      <c r="O23" s="55">
        <v>0</v>
      </c>
      <c r="P23" s="55">
        <v>0.49</v>
      </c>
      <c r="Q23" s="55">
        <v>9.69</v>
      </c>
      <c r="R23" s="43"/>
      <c r="S23" s="43"/>
      <c r="T23" s="43"/>
      <c r="U23" s="43"/>
    </row>
    <row r="24" spans="1:21" s="11" customFormat="1" ht="15">
      <c r="A24" s="54" t="s">
        <v>77</v>
      </c>
      <c r="B24" s="55">
        <v>2.66</v>
      </c>
      <c r="C24" s="55">
        <v>2.41</v>
      </c>
      <c r="D24" s="55">
        <v>4.5199999999999996</v>
      </c>
      <c r="E24" s="55">
        <v>0.92</v>
      </c>
      <c r="F24" s="55">
        <v>5.86</v>
      </c>
      <c r="G24" s="55">
        <v>54.30</v>
      </c>
      <c r="H24" s="55">
        <v>26.09</v>
      </c>
      <c r="I24" s="55">
        <v>6.20</v>
      </c>
      <c r="J24" s="55">
        <v>1.58</v>
      </c>
      <c r="K24" s="55">
        <v>321.17</v>
      </c>
      <c r="L24" s="55">
        <v>41.62</v>
      </c>
      <c r="M24" s="55">
        <v>16.850000000000001</v>
      </c>
      <c r="N24" s="55">
        <v>198.10</v>
      </c>
      <c r="O24" s="55">
        <v>0</v>
      </c>
      <c r="P24" s="55">
        <v>0.41</v>
      </c>
      <c r="Q24" s="55">
        <v>9.56</v>
      </c>
      <c r="R24" s="43"/>
      <c r="S24" s="43"/>
      <c r="T24" s="43"/>
      <c r="U24" s="43"/>
    </row>
    <row r="25" spans="1:21" s="11" customFormat="1" ht="15">
      <c r="A25" s="54" t="s">
        <v>78</v>
      </c>
      <c r="B25" s="55">
        <v>2.61</v>
      </c>
      <c r="C25" s="55">
        <v>2.17</v>
      </c>
      <c r="D25" s="55">
        <v>4.3499999999999996</v>
      </c>
      <c r="E25" s="55">
        <v>0.91</v>
      </c>
      <c r="F25" s="55">
        <v>5.48</v>
      </c>
      <c r="G25" s="55">
        <v>48.69</v>
      </c>
      <c r="H25" s="55">
        <v>23.43</v>
      </c>
      <c r="I25" s="55">
        <v>5.58</v>
      </c>
      <c r="J25" s="55">
        <v>1.54</v>
      </c>
      <c r="K25" s="55">
        <v>318.79000000000002</v>
      </c>
      <c r="L25" s="55">
        <v>40.47</v>
      </c>
      <c r="M25" s="55">
        <v>16.20</v>
      </c>
      <c r="N25" s="55">
        <v>110.5</v>
      </c>
      <c r="O25" s="55">
        <v>0</v>
      </c>
      <c r="P25" s="55">
        <v>0.35</v>
      </c>
      <c r="Q25" s="55">
        <v>9.6999999999999993</v>
      </c>
      <c r="R25" s="43"/>
      <c r="S25" s="43"/>
      <c r="T25" s="43"/>
      <c r="U25" s="43"/>
    </row>
    <row r="26" spans="1:21" s="11" customFormat="1" ht="15">
      <c r="A26" s="54" t="s">
        <v>79</v>
      </c>
      <c r="B26" s="55">
        <v>2.57</v>
      </c>
      <c r="C26" s="55">
        <v>2.2599999999999998</v>
      </c>
      <c r="D26" s="55">
        <v>4.3899999999999997</v>
      </c>
      <c r="E26" s="55">
        <v>0.79</v>
      </c>
      <c r="F26" s="55">
        <v>5.21</v>
      </c>
      <c r="G26" s="55">
        <v>48.69</v>
      </c>
      <c r="H26" s="55">
        <v>20.64</v>
      </c>
      <c r="I26" s="55">
        <v>5.18</v>
      </c>
      <c r="J26" s="55">
        <v>0.98</v>
      </c>
      <c r="K26" s="55">
        <v>325.63</v>
      </c>
      <c r="L26" s="55">
        <v>39.39</v>
      </c>
      <c r="M26" s="55">
        <v>17.09</v>
      </c>
      <c r="N26" s="55">
        <v>75.5</v>
      </c>
      <c r="O26" s="55">
        <v>0</v>
      </c>
      <c r="P26" s="55">
        <v>0.35</v>
      </c>
      <c r="Q26" s="55">
        <v>9.73</v>
      </c>
      <c r="R26" s="43"/>
      <c r="S26" s="43"/>
      <c r="T26" s="43"/>
      <c r="U26" s="43"/>
    </row>
    <row r="27" spans="1:21" s="11" customFormat="1" ht="15">
      <c r="A27" s="54" t="s">
        <v>80</v>
      </c>
      <c r="B27" s="55">
        <v>2.66</v>
      </c>
      <c r="C27" s="55">
        <v>3.08</v>
      </c>
      <c r="D27" s="55">
        <v>4.88</v>
      </c>
      <c r="E27" s="55">
        <v>0.76</v>
      </c>
      <c r="F27" s="55">
        <v>4.6100000000000003</v>
      </c>
      <c r="G27" s="55">
        <v>46.71</v>
      </c>
      <c r="H27" s="55">
        <v>19.61</v>
      </c>
      <c r="I27" s="55">
        <v>4.62</v>
      </c>
      <c r="J27" s="55">
        <v>0.73</v>
      </c>
      <c r="K27" s="55">
        <v>320.68</v>
      </c>
      <c r="L27" s="55">
        <v>38.15</v>
      </c>
      <c r="M27" s="55">
        <v>19.93</v>
      </c>
      <c r="N27" s="55">
        <v>41.5</v>
      </c>
      <c r="O27" s="55">
        <v>0</v>
      </c>
      <c r="P27" s="55">
        <v>0.49</v>
      </c>
      <c r="Q27" s="55">
        <v>9.81</v>
      </c>
      <c r="R27" s="43"/>
      <c r="S27" s="43"/>
      <c r="T27" s="43"/>
      <c r="U27" s="43"/>
    </row>
    <row r="28" spans="1:21" s="11" customFormat="1" ht="15">
      <c r="A28" s="54" t="s">
        <v>81</v>
      </c>
      <c r="B28" s="55">
        <v>2.71</v>
      </c>
      <c r="C28" s="55">
        <v>2.19</v>
      </c>
      <c r="D28" s="55">
        <v>4.45</v>
      </c>
      <c r="E28" s="55">
        <v>0.84</v>
      </c>
      <c r="F28" s="55">
        <v>3.63</v>
      </c>
      <c r="G28" s="55">
        <v>56.11</v>
      </c>
      <c r="H28" s="55">
        <v>21.41</v>
      </c>
      <c r="I28" s="55">
        <v>5.96</v>
      </c>
      <c r="J28" s="55">
        <v>0.55000000000000004</v>
      </c>
      <c r="K28" s="55">
        <v>341.59</v>
      </c>
      <c r="L28" s="55">
        <v>36.67</v>
      </c>
      <c r="M28" s="55">
        <v>22.57</v>
      </c>
      <c r="N28" s="55">
        <v>11.70</v>
      </c>
      <c r="O28" s="55">
        <v>0</v>
      </c>
      <c r="P28" s="55">
        <v>0.80</v>
      </c>
      <c r="Q28" s="55">
        <v>9.85</v>
      </c>
      <c r="R28" s="43"/>
      <c r="S28" s="43"/>
      <c r="T28" s="43"/>
      <c r="U28" s="43"/>
    </row>
    <row r="29" spans="1:21" s="11" customFormat="1" ht="15">
      <c r="A29" s="54" t="s">
        <v>82</v>
      </c>
      <c r="B29" s="55">
        <v>4.21</v>
      </c>
      <c r="C29" s="55">
        <v>5.95</v>
      </c>
      <c r="D29" s="55">
        <v>7.64</v>
      </c>
      <c r="E29" s="55">
        <v>1.95</v>
      </c>
      <c r="F29" s="55">
        <v>3.59</v>
      </c>
      <c r="G29" s="55">
        <v>73.19</v>
      </c>
      <c r="H29" s="55">
        <v>24.96</v>
      </c>
      <c r="I29" s="55">
        <v>10.38</v>
      </c>
      <c r="J29" s="55">
        <v>0.61</v>
      </c>
      <c r="K29" s="55">
        <v>287.66000000000003</v>
      </c>
      <c r="L29" s="55">
        <v>35.020000000000003</v>
      </c>
      <c r="M29" s="55">
        <v>26.25</v>
      </c>
      <c r="N29" s="55">
        <v>11.90</v>
      </c>
      <c r="O29" s="55">
        <v>0</v>
      </c>
      <c r="P29" s="55">
        <v>1.17</v>
      </c>
      <c r="Q29" s="55">
        <v>9.89</v>
      </c>
      <c r="R29" s="43"/>
      <c r="S29" s="43"/>
      <c r="T29" s="43"/>
      <c r="U29" s="43"/>
    </row>
    <row r="30" spans="1:21" s="11" customFormat="1" ht="15">
      <c r="A30" s="54" t="s">
        <v>83</v>
      </c>
      <c r="B30" s="55">
        <v>5.77</v>
      </c>
      <c r="C30" s="55">
        <v>9.69</v>
      </c>
      <c r="D30" s="55">
        <v>10.69</v>
      </c>
      <c r="E30" s="55">
        <v>2.04</v>
      </c>
      <c r="F30" s="55">
        <v>3.98</v>
      </c>
      <c r="G30" s="55">
        <v>104.53</v>
      </c>
      <c r="H30" s="55">
        <v>32.68</v>
      </c>
      <c r="I30" s="55">
        <v>12.96</v>
      </c>
      <c r="J30" s="55">
        <v>1.49</v>
      </c>
      <c r="K30" s="55">
        <v>286.55</v>
      </c>
      <c r="L30" s="55">
        <v>34.450000000000003</v>
      </c>
      <c r="M30" s="55">
        <v>31.18</v>
      </c>
      <c r="N30" s="55">
        <v>12.5</v>
      </c>
      <c r="O30" s="55">
        <v>0</v>
      </c>
      <c r="P30" s="55">
        <v>1.21</v>
      </c>
      <c r="Q30" s="55">
        <v>10.52</v>
      </c>
      <c r="R30" s="43"/>
      <c r="S30" s="43"/>
      <c r="T30" s="43"/>
      <c r="U30" s="43"/>
    </row>
    <row r="31" spans="1:21" s="11" customFormat="1" ht="15">
      <c r="A31" s="54" t="s">
        <v>84</v>
      </c>
      <c r="B31" s="55">
        <v>5.1100000000000003</v>
      </c>
      <c r="C31" s="55">
        <v>9.48</v>
      </c>
      <c r="D31" s="55">
        <v>10.199999999999999</v>
      </c>
      <c r="E31" s="55">
        <v>2.06</v>
      </c>
      <c r="F31" s="55">
        <v>4.1100000000000003</v>
      </c>
      <c r="G31" s="55">
        <v>104.53</v>
      </c>
      <c r="H31" s="55">
        <v>32.68</v>
      </c>
      <c r="I31" s="55">
        <v>14.40</v>
      </c>
      <c r="J31" s="55">
        <v>1.65</v>
      </c>
      <c r="K31" s="55">
        <v>159.18</v>
      </c>
      <c r="L31" s="55">
        <v>32.729999999999997</v>
      </c>
      <c r="M31" s="55">
        <v>34.15</v>
      </c>
      <c r="N31" s="55">
        <v>12</v>
      </c>
      <c r="O31" s="55">
        <v>0</v>
      </c>
      <c r="P31" s="55">
        <v>1.01</v>
      </c>
      <c r="Q31" s="55">
        <v>10.46</v>
      </c>
      <c r="R31" s="43"/>
      <c r="S31" s="43"/>
      <c r="T31" s="43"/>
      <c r="U31" s="43"/>
    </row>
    <row r="32" spans="1:21" s="11" customFormat="1" ht="15">
      <c r="A32" s="54" t="s">
        <v>85</v>
      </c>
      <c r="B32" s="55">
        <v>3.94</v>
      </c>
      <c r="C32" s="55">
        <v>8.2100000000000009</v>
      </c>
      <c r="D32" s="55">
        <v>8.59</v>
      </c>
      <c r="E32" s="55">
        <v>1.94</v>
      </c>
      <c r="F32" s="55">
        <v>4.17</v>
      </c>
      <c r="G32" s="55">
        <v>82.30</v>
      </c>
      <c r="H32" s="55">
        <v>30.13</v>
      </c>
      <c r="I32" s="55">
        <v>13.62</v>
      </c>
      <c r="J32" s="55">
        <v>1.86</v>
      </c>
      <c r="K32" s="55">
        <v>168.68</v>
      </c>
      <c r="L32" s="55">
        <v>32.380000000000003</v>
      </c>
      <c r="M32" s="55">
        <v>38.51</v>
      </c>
      <c r="N32" s="55">
        <v>11.70</v>
      </c>
      <c r="O32" s="55">
        <v>0</v>
      </c>
      <c r="P32" s="55">
        <v>0.83</v>
      </c>
      <c r="Q32" s="55">
        <v>10.210000000000001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2.5699999999999998</v>
      </c>
      <c r="C34" s="28">
        <f t="shared" si="0"/>
        <v>2.1699999999999999</v>
      </c>
      <c r="D34" s="28">
        <f t="shared" si="0"/>
        <v>4.3499999999999996</v>
      </c>
      <c r="E34" s="28">
        <f t="shared" si="0"/>
        <v>0.76000000000000001</v>
      </c>
      <c r="F34" s="28">
        <f t="shared" si="0"/>
        <v>3.5</v>
      </c>
      <c r="G34" s="28">
        <f t="shared" si="0"/>
        <v>46.710000000000001</v>
      </c>
      <c r="H34" s="28">
        <f t="shared" si="0"/>
        <v>19.609999999999999</v>
      </c>
      <c r="I34" s="28">
        <f t="shared" si="0"/>
        <v>4.6200000000000001</v>
      </c>
      <c r="J34" s="28">
        <f t="shared" si="0"/>
        <v>0.55000000000000004</v>
      </c>
      <c r="K34" s="28">
        <f t="shared" si="0"/>
        <v>159.18000000000001</v>
      </c>
      <c r="L34" s="28">
        <f t="shared" si="0"/>
        <v>28.59</v>
      </c>
      <c r="M34" s="28">
        <f t="shared" si="0"/>
        <v>16.199999999999999</v>
      </c>
      <c r="N34" s="28">
        <f t="shared" si="0"/>
        <v>11.4</v>
      </c>
      <c r="O34" s="28">
        <f t="shared" si="0"/>
        <v>0</v>
      </c>
      <c r="P34" s="28">
        <f t="shared" si="0"/>
        <v>0.34999999999999998</v>
      </c>
      <c r="Q34" s="28">
        <f t="shared" si="0"/>
        <v>9.5600000000000005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6.4500000000000002</v>
      </c>
      <c r="C35" s="29">
        <f t="shared" si="1"/>
        <v>9.6899999999999995</v>
      </c>
      <c r="D35" s="29">
        <f t="shared" si="1"/>
        <v>10.69</v>
      </c>
      <c r="E35" s="29">
        <f t="shared" si="1"/>
        <v>2.0600000000000001</v>
      </c>
      <c r="F35" s="29">
        <f t="shared" si="1"/>
        <v>6.5999999999999996</v>
      </c>
      <c r="G35" s="29">
        <f t="shared" si="1"/>
        <v>107.43000000000001</v>
      </c>
      <c r="H35" s="29">
        <f t="shared" si="1"/>
        <v>43.380000000000003</v>
      </c>
      <c r="I35" s="29">
        <f t="shared" si="1"/>
        <v>14.4</v>
      </c>
      <c r="J35" s="29">
        <f t="shared" si="1"/>
        <v>2.54</v>
      </c>
      <c r="K35" s="29">
        <f t="shared" si="1"/>
        <v>357.39999999999998</v>
      </c>
      <c r="L35" s="29">
        <f t="shared" si="1"/>
        <v>44.100000000000001</v>
      </c>
      <c r="M35" s="29">
        <f t="shared" si="1"/>
        <v>46.729999999999997</v>
      </c>
      <c r="N35" s="29">
        <f t="shared" si="1"/>
        <v>802.70000000000005</v>
      </c>
      <c r="O35" s="29">
        <f t="shared" si="1"/>
        <v>0</v>
      </c>
      <c r="P35" s="29">
        <f t="shared" si="1"/>
        <v>1.21</v>
      </c>
      <c r="Q35" s="29">
        <f t="shared" si="1"/>
        <v>10.52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3.6829166666666655</v>
      </c>
      <c r="C36" s="28">
        <f t="shared" si="2"/>
        <v>4.7104166666666671</v>
      </c>
      <c r="D36" s="28">
        <f t="shared" si="2"/>
        <v>6.5454166666666653</v>
      </c>
      <c r="E36" s="28">
        <f t="shared" si="2"/>
        <v>1.4966666666666668</v>
      </c>
      <c r="F36" s="28">
        <f t="shared" si="2"/>
        <v>4.6658333333333335</v>
      </c>
      <c r="G36" s="28">
        <f t="shared" si="2"/>
        <v>84.398333333333326</v>
      </c>
      <c r="H36" s="28">
        <f t="shared" si="2"/>
        <v>32.490416666666668</v>
      </c>
      <c r="I36" s="28">
        <f t="shared" si="2"/>
        <v>9.4125000000000032</v>
      </c>
      <c r="J36" s="28">
        <f t="shared" si="2"/>
        <v>1.2774999999999999</v>
      </c>
      <c r="K36" s="28">
        <f t="shared" si="2"/>
        <v>316.84041666666673</v>
      </c>
      <c r="L36" s="28">
        <f t="shared" si="2"/>
        <v>36.96125</v>
      </c>
      <c r="M36" s="28">
        <f t="shared" si="2"/>
        <v>28.317499999999995</v>
      </c>
      <c r="N36" s="28">
        <f t="shared" si="2"/>
        <v>259.82499999999999</v>
      </c>
      <c r="O36" s="28">
        <f t="shared" si="2"/>
        <v>0</v>
      </c>
      <c r="P36" s="28">
        <f t="shared" si="2"/>
        <v>0.73833333333333329</v>
      </c>
      <c r="Q36" s="28">
        <f t="shared" si="2"/>
        <v>10.082083333333333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1.2178365677697096</v>
      </c>
      <c r="C37" s="28">
        <f t="shared" si="3" ref="C37:Q37">STDEV(C9:C32)</f>
        <v>2.4638754894548196</v>
      </c>
      <c r="D37" s="28">
        <f t="shared" si="3"/>
        <v>2.199169762643971</v>
      </c>
      <c r="E37" s="28">
        <f t="shared" si="3"/>
        <v>0.4241581602746029</v>
      </c>
      <c r="F37" s="28">
        <f t="shared" si="3"/>
        <v>1.1155459442009488</v>
      </c>
      <c r="G37" s="28">
        <f t="shared" si="3"/>
        <v>20.56018665679662</v>
      </c>
      <c r="H37" s="28">
        <f t="shared" si="3"/>
        <v>7.1628901618700507</v>
      </c>
      <c r="I37" s="28">
        <f t="shared" si="3"/>
        <v>2.9237576328505961</v>
      </c>
      <c r="J37" s="28">
        <f t="shared" si="3"/>
        <v>0.55806536939837048</v>
      </c>
      <c r="K37" s="28">
        <f t="shared" si="3"/>
        <v>50.522826737603651</v>
      </c>
      <c r="L37" s="28">
        <f t="shared" si="3"/>
        <v>4.9392010553547427</v>
      </c>
      <c r="M37" s="28">
        <f t="shared" si="3"/>
        <v>8.8746190365265072</v>
      </c>
      <c r="N37" s="28">
        <f t="shared" si="3"/>
        <v>315.54056619243664</v>
      </c>
      <c r="O37" s="28">
        <f t="shared" si="3"/>
        <v>0</v>
      </c>
      <c r="P37" s="28">
        <f t="shared" si="3"/>
        <v>0.22632540380124644</v>
      </c>
      <c r="Q37" s="28">
        <f t="shared" si="3"/>
        <v>0.31696905851823792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8e0d4a-3c67-47f5-a85d-f229139e7d38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86</v>
      </c>
      <c r="B9" s="55">
        <v>3.23</v>
      </c>
      <c r="C9" s="55">
        <v>6.51</v>
      </c>
      <c r="D9" s="55">
        <v>7.14</v>
      </c>
      <c r="E9" s="55">
        <v>1.77</v>
      </c>
      <c r="F9" s="55">
        <v>4.20</v>
      </c>
      <c r="G9" s="55">
        <v>55.15</v>
      </c>
      <c r="H9" s="55">
        <v>24.84</v>
      </c>
      <c r="I9" s="55">
        <v>12.72</v>
      </c>
      <c r="J9" s="55">
        <v>1.19</v>
      </c>
      <c r="K9" s="55">
        <v>158.41999999999999</v>
      </c>
      <c r="L9" s="55">
        <v>31.46</v>
      </c>
      <c r="M9" s="55">
        <v>43.43</v>
      </c>
      <c r="N9" s="55">
        <v>11.90</v>
      </c>
      <c r="O9" s="55">
        <v>0</v>
      </c>
      <c r="P9" s="55">
        <v>0.65</v>
      </c>
      <c r="Q9" s="55">
        <v>9.90</v>
      </c>
      <c r="R9" s="43"/>
      <c r="S9" s="43"/>
      <c r="T9" s="43"/>
      <c r="U9" s="43"/>
    </row>
    <row r="10" spans="1:21" s="11" customFormat="1" ht="15">
      <c r="A10" s="54" t="s">
        <v>87</v>
      </c>
      <c r="B10" s="55">
        <v>3.14</v>
      </c>
      <c r="C10" s="55">
        <v>4.9800000000000004</v>
      </c>
      <c r="D10" s="55">
        <v>6.23</v>
      </c>
      <c r="E10" s="55">
        <v>2.33</v>
      </c>
      <c r="F10" s="55">
        <v>4.05</v>
      </c>
      <c r="G10" s="55">
        <v>48.96</v>
      </c>
      <c r="H10" s="55">
        <v>22.19</v>
      </c>
      <c r="I10" s="55">
        <v>9.3000000000000007</v>
      </c>
      <c r="J10" s="55">
        <v>0.94</v>
      </c>
      <c r="K10" s="55">
        <v>166.43</v>
      </c>
      <c r="L10" s="55">
        <v>30.84</v>
      </c>
      <c r="M10" s="55">
        <v>48.67</v>
      </c>
      <c r="N10" s="55">
        <v>11.70</v>
      </c>
      <c r="O10" s="55">
        <v>0</v>
      </c>
      <c r="P10" s="55">
        <v>0.56000000000000005</v>
      </c>
      <c r="Q10" s="55">
        <v>9.82</v>
      </c>
      <c r="R10" s="43"/>
      <c r="S10" s="43"/>
      <c r="T10" s="43"/>
      <c r="U10" s="43"/>
    </row>
    <row r="11" spans="1:21" s="11" customFormat="1" ht="15">
      <c r="A11" s="54" t="s">
        <v>88</v>
      </c>
      <c r="B11" s="55">
        <v>3.23</v>
      </c>
      <c r="C11" s="55">
        <v>5.05</v>
      </c>
      <c r="D11" s="55">
        <v>6.36</v>
      </c>
      <c r="E11" s="55">
        <v>2.40</v>
      </c>
      <c r="F11" s="55">
        <v>4.49</v>
      </c>
      <c r="G11" s="55">
        <v>43.21</v>
      </c>
      <c r="H11" s="55">
        <v>21.24</v>
      </c>
      <c r="I11" s="55">
        <v>9.3699999999999992</v>
      </c>
      <c r="J11" s="55">
        <v>0.97</v>
      </c>
      <c r="K11" s="55">
        <v>170.03</v>
      </c>
      <c r="L11" s="55">
        <v>30.25</v>
      </c>
      <c r="M11" s="55">
        <v>53.83</v>
      </c>
      <c r="N11" s="55">
        <v>11.90</v>
      </c>
      <c r="O11" s="55">
        <v>0</v>
      </c>
      <c r="P11" s="55">
        <v>0.52</v>
      </c>
      <c r="Q11" s="55">
        <v>9.8699999999999992</v>
      </c>
      <c r="R11" s="43"/>
      <c r="S11" s="43"/>
      <c r="T11" s="43"/>
      <c r="U11" s="43"/>
    </row>
    <row r="12" spans="1:21" s="11" customFormat="1" ht="15">
      <c r="A12" s="54" t="s">
        <v>89</v>
      </c>
      <c r="B12" s="55">
        <v>3.20</v>
      </c>
      <c r="C12" s="55">
        <v>4.8899999999999997</v>
      </c>
      <c r="D12" s="55">
        <v>6.27</v>
      </c>
      <c r="E12" s="55">
        <v>2.0099999999999998</v>
      </c>
      <c r="F12" s="55">
        <v>4.1500000000000004</v>
      </c>
      <c r="G12" s="55">
        <v>41.58</v>
      </c>
      <c r="H12" s="55">
        <v>20.239999999999998</v>
      </c>
      <c r="I12" s="55">
        <v>9.2899999999999991</v>
      </c>
      <c r="J12" s="55">
        <v>1.18</v>
      </c>
      <c r="K12" s="55">
        <v>165.26</v>
      </c>
      <c r="L12" s="55">
        <v>29.56</v>
      </c>
      <c r="M12" s="55">
        <v>58.57</v>
      </c>
      <c r="N12" s="55">
        <v>11.90</v>
      </c>
      <c r="O12" s="55">
        <v>0</v>
      </c>
      <c r="P12" s="55">
        <v>0.46</v>
      </c>
      <c r="Q12" s="55">
        <v>9.7799999999999994</v>
      </c>
      <c r="R12" s="43"/>
      <c r="S12" s="43"/>
      <c r="T12" s="43"/>
      <c r="U12" s="43"/>
    </row>
    <row r="13" spans="1:21" s="11" customFormat="1" ht="15">
      <c r="A13" s="54" t="s">
        <v>90</v>
      </c>
      <c r="B13" s="55">
        <v>3.20</v>
      </c>
      <c r="C13" s="55">
        <v>4.92</v>
      </c>
      <c r="D13" s="55">
        <v>6.25</v>
      </c>
      <c r="E13" s="55">
        <v>1.46</v>
      </c>
      <c r="F13" s="55">
        <v>4.16</v>
      </c>
      <c r="G13" s="55">
        <v>41.58</v>
      </c>
      <c r="H13" s="55">
        <v>17.66</v>
      </c>
      <c r="I13" s="55">
        <v>8.4600000000000009</v>
      </c>
      <c r="J13" s="55">
        <v>1.25</v>
      </c>
      <c r="K13" s="55">
        <v>179.64</v>
      </c>
      <c r="L13" s="55">
        <v>29.20</v>
      </c>
      <c r="M13" s="55">
        <v>60.56</v>
      </c>
      <c r="N13" s="55">
        <v>11.60</v>
      </c>
      <c r="O13" s="55">
        <v>0</v>
      </c>
      <c r="P13" s="55">
        <v>0.40</v>
      </c>
      <c r="Q13" s="55">
        <v>9.7200000000000006</v>
      </c>
      <c r="R13" s="43"/>
      <c r="S13" s="43"/>
      <c r="T13" s="43"/>
      <c r="U13" s="43"/>
    </row>
    <row r="14" spans="1:21" s="11" customFormat="1" ht="15">
      <c r="A14" s="54" t="s">
        <v>91</v>
      </c>
      <c r="B14" s="55">
        <v>3.34</v>
      </c>
      <c r="C14" s="55">
        <v>4.54</v>
      </c>
      <c r="D14" s="55">
        <v>6.19</v>
      </c>
      <c r="E14" s="55">
        <v>1.55</v>
      </c>
      <c r="F14" s="55">
        <v>4.24</v>
      </c>
      <c r="G14" s="55">
        <v>39.29</v>
      </c>
      <c r="H14" s="55">
        <v>15.73</v>
      </c>
      <c r="I14" s="55">
        <v>7.22</v>
      </c>
      <c r="J14" s="55">
        <v>1.66</v>
      </c>
      <c r="K14" s="55">
        <v>159.83000000000001</v>
      </c>
      <c r="L14" s="55">
        <v>29.03</v>
      </c>
      <c r="M14" s="55">
        <v>62.68</v>
      </c>
      <c r="N14" s="55">
        <v>53.60</v>
      </c>
      <c r="O14" s="55">
        <v>0</v>
      </c>
      <c r="P14" s="55">
        <v>0.38</v>
      </c>
      <c r="Q14" s="55">
        <v>9.59</v>
      </c>
      <c r="R14" s="43"/>
      <c r="S14" s="43"/>
      <c r="T14" s="43"/>
      <c r="U14" s="43"/>
    </row>
    <row r="15" spans="1:21" s="11" customFormat="1" ht="15">
      <c r="A15" s="54" t="s">
        <v>92</v>
      </c>
      <c r="B15" s="55">
        <v>3.45</v>
      </c>
      <c r="C15" s="55">
        <v>5.35</v>
      </c>
      <c r="D15" s="55">
        <v>6.70</v>
      </c>
      <c r="E15" s="55">
        <v>1.58</v>
      </c>
      <c r="F15" s="55">
        <v>4.26</v>
      </c>
      <c r="G15" s="55">
        <v>39.29</v>
      </c>
      <c r="H15" s="55">
        <v>16.53</v>
      </c>
      <c r="I15" s="55">
        <v>6.90</v>
      </c>
      <c r="J15" s="55">
        <v>0.45</v>
      </c>
      <c r="K15" s="55">
        <v>354.57</v>
      </c>
      <c r="L15" s="55">
        <v>30.92</v>
      </c>
      <c r="M15" s="55">
        <v>60.75</v>
      </c>
      <c r="N15" s="55">
        <v>196.30</v>
      </c>
      <c r="O15" s="55">
        <v>0</v>
      </c>
      <c r="P15" s="55">
        <v>0.40</v>
      </c>
      <c r="Q15" s="55">
        <v>9.7100000000000009</v>
      </c>
      <c r="R15" s="43"/>
      <c r="S15" s="43"/>
      <c r="T15" s="43"/>
      <c r="U15" s="43"/>
    </row>
    <row r="16" spans="1:21" s="11" customFormat="1" ht="15">
      <c r="A16" s="54" t="s">
        <v>93</v>
      </c>
      <c r="B16" s="55">
        <v>3.45</v>
      </c>
      <c r="C16" s="55">
        <v>5.34</v>
      </c>
      <c r="D16" s="55">
        <v>6.70</v>
      </c>
      <c r="E16" s="55">
        <v>3.32</v>
      </c>
      <c r="F16" s="55">
        <v>4.38</v>
      </c>
      <c r="G16" s="55">
        <v>53.57</v>
      </c>
      <c r="H16" s="55">
        <v>17.399999999999999</v>
      </c>
      <c r="I16" s="55">
        <v>7.56</v>
      </c>
      <c r="J16" s="55">
        <v>0.81</v>
      </c>
      <c r="K16" s="55">
        <v>177.66</v>
      </c>
      <c r="L16" s="55">
        <v>32.10</v>
      </c>
      <c r="M16" s="55">
        <v>51.59</v>
      </c>
      <c r="N16" s="55">
        <v>373.30</v>
      </c>
      <c r="O16" s="55">
        <v>0</v>
      </c>
      <c r="P16" s="55">
        <v>0.44</v>
      </c>
      <c r="Q16" s="55">
        <v>9.73</v>
      </c>
      <c r="R16" s="43"/>
      <c r="S16" s="43"/>
      <c r="T16" s="43"/>
      <c r="U16" s="43"/>
    </row>
    <row r="17" spans="1:21" s="11" customFormat="1" ht="15">
      <c r="A17" s="54" t="s">
        <v>94</v>
      </c>
      <c r="B17" s="55">
        <v>3.14</v>
      </c>
      <c r="C17" s="55">
        <v>5.24</v>
      </c>
      <c r="D17" s="55">
        <v>6.37</v>
      </c>
      <c r="E17" s="55">
        <v>2.61</v>
      </c>
      <c r="F17" s="55">
        <v>6.11</v>
      </c>
      <c r="G17" s="55">
        <v>53.91</v>
      </c>
      <c r="H17" s="55">
        <v>18</v>
      </c>
      <c r="I17" s="55">
        <v>6.75</v>
      </c>
      <c r="J17" s="55">
        <v>0.54</v>
      </c>
      <c r="K17" s="55">
        <v>350.44</v>
      </c>
      <c r="L17" s="55">
        <v>34.61</v>
      </c>
      <c r="M17" s="55">
        <v>44.31</v>
      </c>
      <c r="N17" s="55">
        <v>527</v>
      </c>
      <c r="O17" s="55">
        <v>0</v>
      </c>
      <c r="P17" s="55">
        <v>0.48</v>
      </c>
      <c r="Q17" s="55">
        <v>9.66</v>
      </c>
      <c r="R17" s="43"/>
      <c r="S17" s="43"/>
      <c r="T17" s="43"/>
      <c r="U17" s="43"/>
    </row>
    <row r="18" spans="1:21" s="11" customFormat="1" ht="15">
      <c r="A18" s="54" t="s">
        <v>95</v>
      </c>
      <c r="B18" s="55">
        <v>2.96</v>
      </c>
      <c r="C18" s="55">
        <v>4.8099999999999996</v>
      </c>
      <c r="D18" s="55">
        <v>6.03</v>
      </c>
      <c r="E18" s="55">
        <v>2.4500000000000002</v>
      </c>
      <c r="F18" s="55">
        <v>8.19</v>
      </c>
      <c r="G18" s="55">
        <v>59.72</v>
      </c>
      <c r="H18" s="55">
        <v>21.61</v>
      </c>
      <c r="I18" s="55">
        <v>6.48</v>
      </c>
      <c r="J18" s="55">
        <v>0.54</v>
      </c>
      <c r="K18" s="55">
        <v>357.99</v>
      </c>
      <c r="L18" s="55">
        <v>36.409999999999997</v>
      </c>
      <c r="M18" s="55">
        <v>42.45</v>
      </c>
      <c r="N18" s="55">
        <v>702.10</v>
      </c>
      <c r="O18" s="55">
        <v>0</v>
      </c>
      <c r="P18" s="55">
        <v>0.49</v>
      </c>
      <c r="Q18" s="55">
        <v>9.57</v>
      </c>
      <c r="R18" s="43"/>
      <c r="S18" s="43"/>
      <c r="T18" s="43"/>
      <c r="U18" s="43"/>
    </row>
    <row r="19" spans="1:21" s="11" customFormat="1" ht="15">
      <c r="A19" s="54" t="s">
        <v>96</v>
      </c>
      <c r="B19" s="55">
        <v>2.89</v>
      </c>
      <c r="C19" s="55">
        <v>4.1399999999999997</v>
      </c>
      <c r="D19" s="55">
        <v>5.63</v>
      </c>
      <c r="E19" s="55">
        <v>2.56</v>
      </c>
      <c r="F19" s="55">
        <v>9.49</v>
      </c>
      <c r="G19" s="55">
        <v>60.94</v>
      </c>
      <c r="H19" s="55">
        <v>23.29</v>
      </c>
      <c r="I19" s="55">
        <v>6.10</v>
      </c>
      <c r="J19" s="55">
        <v>0.91</v>
      </c>
      <c r="K19" s="55">
        <v>345.37</v>
      </c>
      <c r="L19" s="55">
        <v>38.22</v>
      </c>
      <c r="M19" s="55">
        <v>38.520000000000003</v>
      </c>
      <c r="N19" s="55">
        <v>743.70</v>
      </c>
      <c r="O19" s="55">
        <v>0</v>
      </c>
      <c r="P19" s="55">
        <v>0.48</v>
      </c>
      <c r="Q19" s="55">
        <v>9.4600000000000009</v>
      </c>
      <c r="R19" s="43"/>
      <c r="S19" s="43"/>
      <c r="T19" s="43"/>
      <c r="U19" s="43"/>
    </row>
    <row r="20" spans="1:21" s="11" customFormat="1" ht="15">
      <c r="A20" s="54" t="s">
        <v>97</v>
      </c>
      <c r="B20" s="55">
        <v>2.92</v>
      </c>
      <c r="C20" s="55">
        <v>5.14</v>
      </c>
      <c r="D20" s="55">
        <v>6.17</v>
      </c>
      <c r="E20" s="55">
        <v>2.62</v>
      </c>
      <c r="F20" s="55">
        <v>9.09</v>
      </c>
      <c r="G20" s="55">
        <v>61.04</v>
      </c>
      <c r="H20" s="55">
        <v>26.41</v>
      </c>
      <c r="I20" s="55">
        <v>4.63</v>
      </c>
      <c r="J20" s="55">
        <v>1.32</v>
      </c>
      <c r="K20" s="55">
        <v>339.49</v>
      </c>
      <c r="L20" s="55">
        <v>40.909999999999997</v>
      </c>
      <c r="M20" s="55">
        <v>32.58</v>
      </c>
      <c r="N20" s="55">
        <v>769.70</v>
      </c>
      <c r="O20" s="55">
        <v>0</v>
      </c>
      <c r="P20" s="55">
        <v>0.54</v>
      </c>
      <c r="Q20" s="55">
        <v>9.60</v>
      </c>
      <c r="R20" s="43"/>
      <c r="S20" s="43"/>
      <c r="T20" s="43"/>
      <c r="U20" s="43"/>
    </row>
    <row r="21" spans="1:21" s="11" customFormat="1" ht="15">
      <c r="A21" s="54" t="s">
        <v>98</v>
      </c>
      <c r="B21" s="55">
        <v>2.93</v>
      </c>
      <c r="C21" s="55">
        <v>5.30</v>
      </c>
      <c r="D21" s="55">
        <v>6.26</v>
      </c>
      <c r="E21" s="55">
        <v>0.71</v>
      </c>
      <c r="F21" s="55">
        <v>7.39</v>
      </c>
      <c r="G21" s="55">
        <v>61.04</v>
      </c>
      <c r="H21" s="55">
        <v>26.41</v>
      </c>
      <c r="I21" s="55">
        <v>4.59</v>
      </c>
      <c r="J21" s="55">
        <v>1.53</v>
      </c>
      <c r="K21" s="55">
        <v>342.60</v>
      </c>
      <c r="L21" s="55">
        <v>41.76</v>
      </c>
      <c r="M21" s="55">
        <v>25.52</v>
      </c>
      <c r="N21" s="55">
        <v>769.80</v>
      </c>
      <c r="O21" s="55">
        <v>0</v>
      </c>
      <c r="P21" s="55">
        <v>0.54</v>
      </c>
      <c r="Q21" s="55">
        <v>9.5500000000000007</v>
      </c>
      <c r="R21" s="43"/>
      <c r="S21" s="43"/>
      <c r="T21" s="43"/>
      <c r="U21" s="43"/>
    </row>
    <row r="22" spans="1:21" s="11" customFormat="1" ht="15">
      <c r="A22" s="54" t="s">
        <v>99</v>
      </c>
      <c r="B22" s="55">
        <v>2.88</v>
      </c>
      <c r="C22" s="55">
        <v>4.58</v>
      </c>
      <c r="D22" s="55">
        <v>5.83</v>
      </c>
      <c r="E22" s="55">
        <v>1.48</v>
      </c>
      <c r="F22" s="55">
        <v>8.49</v>
      </c>
      <c r="G22" s="55">
        <v>56.87</v>
      </c>
      <c r="H22" s="55">
        <v>25.76</v>
      </c>
      <c r="I22" s="55">
        <v>4.9400000000000004</v>
      </c>
      <c r="J22" s="55">
        <v>0.83</v>
      </c>
      <c r="K22" s="55">
        <v>326.44</v>
      </c>
      <c r="L22" s="55">
        <v>41.48</v>
      </c>
      <c r="M22" s="55">
        <v>36.26</v>
      </c>
      <c r="N22" s="55">
        <v>749.40</v>
      </c>
      <c r="O22" s="55">
        <v>0</v>
      </c>
      <c r="P22" s="55">
        <v>0.5</v>
      </c>
      <c r="Q22" s="55">
        <v>9.51</v>
      </c>
      <c r="R22" s="43"/>
      <c r="S22" s="43"/>
      <c r="T22" s="43"/>
      <c r="U22" s="43"/>
    </row>
    <row r="23" spans="1:21" s="11" customFormat="1" ht="15">
      <c r="A23" s="54" t="s">
        <v>100</v>
      </c>
      <c r="B23" s="55">
        <v>2.77</v>
      </c>
      <c r="C23" s="55">
        <v>3.80</v>
      </c>
      <c r="D23" s="55">
        <v>5.34</v>
      </c>
      <c r="E23" s="55">
        <v>1.20</v>
      </c>
      <c r="F23" s="55">
        <v>12.05</v>
      </c>
      <c r="G23" s="55">
        <v>61.13</v>
      </c>
      <c r="H23" s="55">
        <v>24.33</v>
      </c>
      <c r="I23" s="55">
        <v>4.82</v>
      </c>
      <c r="J23" s="55">
        <v>0.44</v>
      </c>
      <c r="K23" s="55">
        <v>217.33</v>
      </c>
      <c r="L23" s="55">
        <v>36.39</v>
      </c>
      <c r="M23" s="55">
        <v>36.159999999999997</v>
      </c>
      <c r="N23" s="55">
        <v>326.60000000000002</v>
      </c>
      <c r="O23" s="55">
        <v>0</v>
      </c>
      <c r="P23" s="55">
        <v>0.45</v>
      </c>
      <c r="Q23" s="55">
        <v>9.36</v>
      </c>
      <c r="R23" s="43"/>
      <c r="S23" s="43"/>
      <c r="T23" s="43"/>
      <c r="U23" s="43"/>
    </row>
    <row r="24" spans="1:21" s="11" customFormat="1" ht="15">
      <c r="A24" s="54" t="s">
        <v>101</v>
      </c>
      <c r="B24" s="55">
        <v>2.87</v>
      </c>
      <c r="C24" s="55">
        <v>4.05</v>
      </c>
      <c r="D24" s="55">
        <v>5.57</v>
      </c>
      <c r="E24" s="55">
        <v>1.69</v>
      </c>
      <c r="F24" s="55">
        <v>8.39</v>
      </c>
      <c r="G24" s="55">
        <v>85.84</v>
      </c>
      <c r="H24" s="55">
        <v>28.77</v>
      </c>
      <c r="I24" s="55">
        <v>4.1900000000000004</v>
      </c>
      <c r="J24" s="55">
        <v>1.98</v>
      </c>
      <c r="K24" s="55">
        <v>344.62</v>
      </c>
      <c r="L24" s="55">
        <v>36.83</v>
      </c>
      <c r="M24" s="55">
        <v>32.79</v>
      </c>
      <c r="N24" s="55">
        <v>215.40</v>
      </c>
      <c r="O24" s="55">
        <v>0</v>
      </c>
      <c r="P24" s="55">
        <v>0.46</v>
      </c>
      <c r="Q24" s="55">
        <v>9.4700000000000006</v>
      </c>
      <c r="R24" s="43"/>
      <c r="S24" s="43"/>
      <c r="T24" s="43"/>
      <c r="U24" s="43"/>
    </row>
    <row r="25" spans="1:21" s="11" customFormat="1" ht="15">
      <c r="A25" s="54" t="s">
        <v>102</v>
      </c>
      <c r="B25" s="55">
        <v>2.94</v>
      </c>
      <c r="C25" s="55">
        <v>4.51</v>
      </c>
      <c r="D25" s="55">
        <v>5.86</v>
      </c>
      <c r="E25" s="55">
        <v>1.43</v>
      </c>
      <c r="F25" s="55">
        <v>5.26</v>
      </c>
      <c r="G25" s="55">
        <v>89.79</v>
      </c>
      <c r="H25" s="55">
        <v>29.34</v>
      </c>
      <c r="I25" s="55">
        <v>5.96</v>
      </c>
      <c r="J25" s="55">
        <v>0.95</v>
      </c>
      <c r="K25" s="55">
        <v>92.85</v>
      </c>
      <c r="L25" s="55">
        <v>36.119999999999997</v>
      </c>
      <c r="M25" s="55">
        <v>30.46</v>
      </c>
      <c r="N25" s="55">
        <v>201</v>
      </c>
      <c r="O25" s="55">
        <v>0</v>
      </c>
      <c r="P25" s="55">
        <v>0.46</v>
      </c>
      <c r="Q25" s="55">
        <v>9.57</v>
      </c>
      <c r="R25" s="43"/>
      <c r="S25" s="43"/>
      <c r="T25" s="43"/>
      <c r="U25" s="43"/>
    </row>
    <row r="26" spans="1:21" s="11" customFormat="1" ht="15">
      <c r="A26" s="54" t="s">
        <v>103</v>
      </c>
      <c r="B26" s="55">
        <v>2.90</v>
      </c>
      <c r="C26" s="55">
        <v>4.4000000000000004</v>
      </c>
      <c r="D26" s="55">
        <v>5.77</v>
      </c>
      <c r="E26" s="55">
        <v>1.23</v>
      </c>
      <c r="F26" s="55">
        <v>5.84</v>
      </c>
      <c r="G26" s="55">
        <v>89.79</v>
      </c>
      <c r="H26" s="55">
        <v>29.34</v>
      </c>
      <c r="I26" s="55">
        <v>7.41</v>
      </c>
      <c r="J26" s="55">
        <v>1.89</v>
      </c>
      <c r="K26" s="55">
        <v>359.68</v>
      </c>
      <c r="L26" s="55">
        <v>35.880000000000003</v>
      </c>
      <c r="M26" s="55">
        <v>33.880000000000003</v>
      </c>
      <c r="N26" s="55">
        <v>112.10</v>
      </c>
      <c r="O26" s="55">
        <v>0</v>
      </c>
      <c r="P26" s="55">
        <v>0.47</v>
      </c>
      <c r="Q26" s="55">
        <v>9.60</v>
      </c>
      <c r="R26" s="43"/>
      <c r="S26" s="43"/>
      <c r="T26" s="43"/>
      <c r="U26" s="43"/>
    </row>
    <row r="27" spans="1:21" s="11" customFormat="1" ht="15">
      <c r="A27" s="54" t="s">
        <v>104</v>
      </c>
      <c r="B27" s="55">
        <v>3.05</v>
      </c>
      <c r="C27" s="55">
        <v>4.95</v>
      </c>
      <c r="D27" s="55">
        <v>6.18</v>
      </c>
      <c r="E27" s="55">
        <v>1.1200000000000001</v>
      </c>
      <c r="F27" s="55">
        <v>4.3600000000000003</v>
      </c>
      <c r="G27" s="55">
        <v>77.67</v>
      </c>
      <c r="H27" s="55">
        <v>27.54</v>
      </c>
      <c r="I27" s="55">
        <v>7.49</v>
      </c>
      <c r="J27" s="55">
        <v>1.63</v>
      </c>
      <c r="K27" s="55">
        <v>97.25</v>
      </c>
      <c r="L27" s="55">
        <v>33.380000000000003</v>
      </c>
      <c r="M27" s="55">
        <v>36.85</v>
      </c>
      <c r="N27" s="55">
        <v>39.5</v>
      </c>
      <c r="O27" s="55">
        <v>0</v>
      </c>
      <c r="P27" s="55">
        <v>0.52</v>
      </c>
      <c r="Q27" s="55">
        <v>9.65</v>
      </c>
      <c r="R27" s="43"/>
      <c r="S27" s="43"/>
      <c r="T27" s="43"/>
      <c r="U27" s="43"/>
    </row>
    <row r="28" spans="1:21" s="11" customFormat="1" ht="15">
      <c r="A28" s="54" t="s">
        <v>105</v>
      </c>
      <c r="B28" s="55">
        <v>2.97</v>
      </c>
      <c r="C28" s="55">
        <v>4.20</v>
      </c>
      <c r="D28" s="55">
        <v>5.71</v>
      </c>
      <c r="E28" s="55">
        <v>1.41</v>
      </c>
      <c r="F28" s="55">
        <v>4.7300000000000004</v>
      </c>
      <c r="G28" s="55">
        <v>68.41</v>
      </c>
      <c r="H28" s="55">
        <v>26.53</v>
      </c>
      <c r="I28" s="55">
        <v>9.5</v>
      </c>
      <c r="J28" s="55">
        <v>1.61</v>
      </c>
      <c r="K28" s="55">
        <v>166.52</v>
      </c>
      <c r="L28" s="55">
        <v>31.18</v>
      </c>
      <c r="M28" s="55">
        <v>47.77</v>
      </c>
      <c r="N28" s="55">
        <v>14.60</v>
      </c>
      <c r="O28" s="55">
        <v>0</v>
      </c>
      <c r="P28" s="55">
        <v>0.49</v>
      </c>
      <c r="Q28" s="55">
        <v>9.44</v>
      </c>
      <c r="R28" s="43"/>
      <c r="S28" s="43"/>
      <c r="T28" s="43"/>
      <c r="U28" s="43"/>
    </row>
    <row r="29" spans="1:21" s="11" customFormat="1" ht="15">
      <c r="A29" s="54" t="s">
        <v>106</v>
      </c>
      <c r="B29" s="55">
        <v>2.92</v>
      </c>
      <c r="C29" s="55">
        <v>4.1900000000000004</v>
      </c>
      <c r="D29" s="55">
        <v>5.68</v>
      </c>
      <c r="E29" s="55">
        <v>1.1100000000000001</v>
      </c>
      <c r="F29" s="55">
        <v>4.6100000000000003</v>
      </c>
      <c r="G29" s="55">
        <v>64.53</v>
      </c>
      <c r="H29" s="55">
        <v>23.84</v>
      </c>
      <c r="I29" s="55">
        <v>9.41</v>
      </c>
      <c r="J29" s="55">
        <v>1.57</v>
      </c>
      <c r="K29" s="55">
        <v>165.42</v>
      </c>
      <c r="L29" s="55">
        <v>30.09</v>
      </c>
      <c r="M29" s="55">
        <v>46.87</v>
      </c>
      <c r="N29" s="55">
        <v>11.80</v>
      </c>
      <c r="O29" s="55">
        <v>0</v>
      </c>
      <c r="P29" s="55">
        <v>0.46</v>
      </c>
      <c r="Q29" s="55">
        <v>9.61</v>
      </c>
      <c r="R29" s="43"/>
      <c r="S29" s="43"/>
      <c r="T29" s="43"/>
      <c r="U29" s="43"/>
    </row>
    <row r="30" spans="1:21" s="11" customFormat="1" ht="15">
      <c r="A30" s="54" t="s">
        <v>107</v>
      </c>
      <c r="B30" s="55">
        <v>2.95</v>
      </c>
      <c r="C30" s="55">
        <v>4.16</v>
      </c>
      <c r="D30" s="55">
        <v>5.68</v>
      </c>
      <c r="E30" s="55">
        <v>0.98</v>
      </c>
      <c r="F30" s="55">
        <v>4.62</v>
      </c>
      <c r="G30" s="55">
        <v>56.44</v>
      </c>
      <c r="H30" s="55">
        <v>22.29</v>
      </c>
      <c r="I30" s="55">
        <v>8.6199999999999992</v>
      </c>
      <c r="J30" s="55">
        <v>0.86</v>
      </c>
      <c r="K30" s="55">
        <v>149.11000000000001</v>
      </c>
      <c r="L30" s="55">
        <v>30.08</v>
      </c>
      <c r="M30" s="55">
        <v>48.11</v>
      </c>
      <c r="N30" s="55">
        <v>11.90</v>
      </c>
      <c r="O30" s="55">
        <v>0</v>
      </c>
      <c r="P30" s="55">
        <v>0.45</v>
      </c>
      <c r="Q30" s="55">
        <v>9.6300000000000008</v>
      </c>
      <c r="R30" s="43"/>
      <c r="S30" s="43"/>
      <c r="T30" s="43"/>
      <c r="U30" s="43"/>
    </row>
    <row r="31" spans="1:21" s="11" customFormat="1" ht="15">
      <c r="A31" s="54" t="s">
        <v>108</v>
      </c>
      <c r="B31" s="55">
        <v>2.85</v>
      </c>
      <c r="C31" s="55">
        <v>3.26</v>
      </c>
      <c r="D31" s="55">
        <v>5.13</v>
      </c>
      <c r="E31" s="55">
        <v>0.97</v>
      </c>
      <c r="F31" s="55">
        <v>4.7300000000000004</v>
      </c>
      <c r="G31" s="55">
        <v>47.34</v>
      </c>
      <c r="H31" s="55">
        <v>22.29</v>
      </c>
      <c r="I31" s="55">
        <v>7.65</v>
      </c>
      <c r="J31" s="55">
        <v>3.04</v>
      </c>
      <c r="K31" s="55">
        <v>110.38</v>
      </c>
      <c r="L31" s="55">
        <v>29.73</v>
      </c>
      <c r="M31" s="55">
        <v>54.35</v>
      </c>
      <c r="N31" s="55">
        <v>12.90</v>
      </c>
      <c r="O31" s="55">
        <v>0</v>
      </c>
      <c r="P31" s="55">
        <v>0.43</v>
      </c>
      <c r="Q31" s="55">
        <v>9.57</v>
      </c>
      <c r="R31" s="43"/>
      <c r="S31" s="43"/>
      <c r="T31" s="43"/>
      <c r="U31" s="43"/>
    </row>
    <row r="32" spans="1:21" s="11" customFormat="1" ht="15">
      <c r="A32" s="54" t="s">
        <v>109</v>
      </c>
      <c r="B32" s="55">
        <v>2.83</v>
      </c>
      <c r="C32" s="55">
        <v>3.09</v>
      </c>
      <c r="D32" s="55">
        <v>5.03</v>
      </c>
      <c r="E32" s="55">
        <v>0.98</v>
      </c>
      <c r="F32" s="55">
        <v>4.37</v>
      </c>
      <c r="G32" s="55">
        <v>45.44</v>
      </c>
      <c r="H32" s="55">
        <v>19.690000000000001</v>
      </c>
      <c r="I32" s="55">
        <v>8.67</v>
      </c>
      <c r="J32" s="55">
        <v>3.35</v>
      </c>
      <c r="K32" s="55">
        <v>108.14</v>
      </c>
      <c r="L32" s="55">
        <v>28.56</v>
      </c>
      <c r="M32" s="55">
        <v>65.91</v>
      </c>
      <c r="N32" s="55">
        <v>13.40</v>
      </c>
      <c r="O32" s="55">
        <v>0</v>
      </c>
      <c r="P32" s="55">
        <v>0.40</v>
      </c>
      <c r="Q32" s="55">
        <v>9.4499999999999993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2.77</v>
      </c>
      <c r="C34" s="28">
        <f t="shared" si="0"/>
        <v>3.0899999999999999</v>
      </c>
      <c r="D34" s="28">
        <f t="shared" si="0"/>
        <v>5.0300000000000002</v>
      </c>
      <c r="E34" s="28">
        <f t="shared" si="0"/>
        <v>0.70999999999999996</v>
      </c>
      <c r="F34" s="28">
        <f t="shared" si="0"/>
        <v>4.0499999999999998</v>
      </c>
      <c r="G34" s="28">
        <f t="shared" si="0"/>
        <v>39.289999999999999</v>
      </c>
      <c r="H34" s="28">
        <f t="shared" si="0"/>
        <v>15.73</v>
      </c>
      <c r="I34" s="28">
        <f t="shared" si="0"/>
        <v>4.1900000000000004</v>
      </c>
      <c r="J34" s="28">
        <f t="shared" si="0"/>
        <v>0.44</v>
      </c>
      <c r="K34" s="28">
        <f t="shared" si="0"/>
        <v>92.849999999999994</v>
      </c>
      <c r="L34" s="28">
        <f t="shared" si="0"/>
        <v>28.559999999999999</v>
      </c>
      <c r="M34" s="28">
        <f t="shared" si="0"/>
        <v>25.52</v>
      </c>
      <c r="N34" s="28">
        <f t="shared" si="0"/>
        <v>11.6</v>
      </c>
      <c r="O34" s="28">
        <f t="shared" si="0"/>
        <v>0</v>
      </c>
      <c r="P34" s="28">
        <f t="shared" si="0"/>
        <v>0.38</v>
      </c>
      <c r="Q34" s="28">
        <f t="shared" si="0"/>
        <v>9.3599999999999994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3.4500000000000002</v>
      </c>
      <c r="C35" s="29">
        <f t="shared" si="1"/>
        <v>6.5099999999999998</v>
      </c>
      <c r="D35" s="29">
        <f t="shared" si="1"/>
        <v>7.1399999999999997</v>
      </c>
      <c r="E35" s="29">
        <f t="shared" si="1"/>
        <v>3.3199999999999998</v>
      </c>
      <c r="F35" s="29">
        <f t="shared" si="1"/>
        <v>12.050000000000001</v>
      </c>
      <c r="G35" s="29">
        <f t="shared" si="1"/>
        <v>89.790000000000006</v>
      </c>
      <c r="H35" s="29">
        <f t="shared" si="1"/>
        <v>29.34</v>
      </c>
      <c r="I35" s="29">
        <f t="shared" si="1"/>
        <v>12.720000000000001</v>
      </c>
      <c r="J35" s="29">
        <f t="shared" si="1"/>
        <v>3.3500000000000001</v>
      </c>
      <c r="K35" s="29">
        <f t="shared" si="1"/>
        <v>359.68000000000001</v>
      </c>
      <c r="L35" s="29">
        <f t="shared" si="1"/>
        <v>41.759999999999998</v>
      </c>
      <c r="M35" s="29">
        <f t="shared" si="1"/>
        <v>65.909999999999997</v>
      </c>
      <c r="N35" s="29">
        <f t="shared" si="1"/>
        <v>769.79999999999995</v>
      </c>
      <c r="O35" s="29">
        <f t="shared" si="1"/>
        <v>0</v>
      </c>
      <c r="P35" s="29">
        <f t="shared" si="1"/>
        <v>0.65000000000000002</v>
      </c>
      <c r="Q35" s="29">
        <f t="shared" si="1"/>
        <v>9.9000000000000004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3.0420833333333328</v>
      </c>
      <c r="C36" s="28">
        <f t="shared" si="2"/>
        <v>4.6416666666666675</v>
      </c>
      <c r="D36" s="28">
        <f t="shared" si="2"/>
        <v>6.003333333333333</v>
      </c>
      <c r="E36" s="28">
        <f t="shared" si="2"/>
        <v>1.7070833333333326</v>
      </c>
      <c r="F36" s="28">
        <f t="shared" si="2"/>
        <v>5.9020833333333336</v>
      </c>
      <c r="G36" s="28">
        <f t="shared" si="2"/>
        <v>58.438750000000006</v>
      </c>
      <c r="H36" s="28">
        <f t="shared" si="2"/>
        <v>22.969583333333333</v>
      </c>
      <c r="I36" s="28">
        <f t="shared" si="2"/>
        <v>7.4179166666666658</v>
      </c>
      <c r="J36" s="28">
        <f t="shared" si="2"/>
        <v>1.3099999999999998</v>
      </c>
      <c r="K36" s="28">
        <f t="shared" si="2"/>
        <v>225.22791666666672</v>
      </c>
      <c r="L36" s="28">
        <f t="shared" si="2"/>
        <v>33.541249999999998</v>
      </c>
      <c r="M36" s="28">
        <f t="shared" si="2"/>
        <v>45.536250000000003</v>
      </c>
      <c r="N36" s="28">
        <f t="shared" si="2"/>
        <v>245.96249999999998</v>
      </c>
      <c r="O36" s="28">
        <f t="shared" si="2"/>
        <v>0</v>
      </c>
      <c r="P36" s="28">
        <f t="shared" si="2"/>
        <v>0.47625000000000006</v>
      </c>
      <c r="Q36" s="28">
        <f t="shared" si="2"/>
        <v>9.6174999999999979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0.1966674342898416</v>
      </c>
      <c r="C37" s="28">
        <f t="shared" si="3" ref="C37:Q37">STDEV(C9:C32)</f>
        <v>0.73459049027726164</v>
      </c>
      <c r="D37" s="28">
        <f t="shared" si="3"/>
        <v>0.4998057593720287</v>
      </c>
      <c r="E37" s="28">
        <f t="shared" si="3"/>
        <v>0.67864621741066244</v>
      </c>
      <c r="F37" s="28">
        <f t="shared" si="3"/>
        <v>2.2323257109369457</v>
      </c>
      <c r="G37" s="28">
        <f t="shared" si="3"/>
        <v>15.07784966576726</v>
      </c>
      <c r="H37" s="28">
        <f t="shared" si="3"/>
        <v>4.1094244589793814</v>
      </c>
      <c r="I37" s="28">
        <f t="shared" si="3"/>
        <v>2.043281629839754</v>
      </c>
      <c r="J37" s="28">
        <f t="shared" si="3"/>
        <v>0.73167467230112382</v>
      </c>
      <c r="K37" s="28">
        <f t="shared" si="3"/>
        <v>100.16034752939967</v>
      </c>
      <c r="L37" s="28">
        <f t="shared" si="3"/>
        <v>4.1831549488498316</v>
      </c>
      <c r="M37" s="28">
        <f t="shared" si="3"/>
        <v>11.326434571774804</v>
      </c>
      <c r="N37" s="28">
        <f t="shared" si="3"/>
        <v>295.49814508724086</v>
      </c>
      <c r="O37" s="28">
        <f t="shared" si="3"/>
        <v>0</v>
      </c>
      <c r="P37" s="28">
        <f t="shared" si="3"/>
        <v>0.059986411504751036</v>
      </c>
      <c r="Q37" s="28">
        <f t="shared" si="3"/>
        <v>0.13869735585727219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920ce0-1261-40a1-9531-99e1639a1fb7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110</v>
      </c>
      <c r="B9" s="55">
        <v>2.80</v>
      </c>
      <c r="C9" s="55">
        <v>2.4700000000000002</v>
      </c>
      <c r="D9" s="55">
        <v>4.68</v>
      </c>
      <c r="E9" s="55">
        <v>0.85</v>
      </c>
      <c r="F9" s="55">
        <v>4.22</v>
      </c>
      <c r="G9" s="55">
        <v>39.24</v>
      </c>
      <c r="H9" s="55">
        <v>18.41</v>
      </c>
      <c r="I9" s="55">
        <v>9.06</v>
      </c>
      <c r="J9" s="55">
        <v>2.99</v>
      </c>
      <c r="K9" s="55">
        <v>109.15</v>
      </c>
      <c r="L9" s="55">
        <v>26.5</v>
      </c>
      <c r="M9" s="55">
        <v>73.569999999999993</v>
      </c>
      <c r="N9" s="55">
        <v>13.10</v>
      </c>
      <c r="O9" s="55">
        <v>0</v>
      </c>
      <c r="P9" s="55">
        <v>0.36</v>
      </c>
      <c r="Q9" s="55">
        <v>9.49</v>
      </c>
      <c r="R9" s="43"/>
      <c r="S9" s="43"/>
      <c r="T9" s="43"/>
      <c r="U9" s="43"/>
    </row>
    <row r="10" spans="1:21" s="11" customFormat="1" ht="15">
      <c r="A10" s="54" t="s">
        <v>111</v>
      </c>
      <c r="B10" s="55">
        <v>2.81</v>
      </c>
      <c r="C10" s="55">
        <v>2.5299999999999998</v>
      </c>
      <c r="D10" s="55">
        <v>4.72</v>
      </c>
      <c r="E10" s="55">
        <v>0.94</v>
      </c>
      <c r="F10" s="55">
        <v>4.42</v>
      </c>
      <c r="G10" s="55">
        <v>34.979999999999997</v>
      </c>
      <c r="H10" s="55">
        <v>17.03</v>
      </c>
      <c r="I10" s="55">
        <v>8.98</v>
      </c>
      <c r="J10" s="55">
        <v>2.46</v>
      </c>
      <c r="K10" s="55">
        <v>102.44</v>
      </c>
      <c r="L10" s="55">
        <v>26.10</v>
      </c>
      <c r="M10" s="55">
        <v>70.86</v>
      </c>
      <c r="N10" s="55">
        <v>12.5</v>
      </c>
      <c r="O10" s="55">
        <v>0</v>
      </c>
      <c r="P10" s="55">
        <v>0.36</v>
      </c>
      <c r="Q10" s="55">
        <v>9.5500000000000007</v>
      </c>
      <c r="R10" s="43"/>
      <c r="S10" s="43"/>
      <c r="T10" s="43"/>
      <c r="U10" s="43"/>
    </row>
    <row r="11" spans="1:21" s="11" customFormat="1" ht="15">
      <c r="A11" s="54" t="s">
        <v>112</v>
      </c>
      <c r="B11" s="55">
        <v>2.85</v>
      </c>
      <c r="C11" s="55">
        <v>2.5299999999999998</v>
      </c>
      <c r="D11" s="55">
        <v>4.76</v>
      </c>
      <c r="E11" s="55">
        <v>0.64</v>
      </c>
      <c r="F11" s="55">
        <v>4.95</v>
      </c>
      <c r="G11" s="55">
        <v>27.01</v>
      </c>
      <c r="H11" s="55">
        <v>15.16</v>
      </c>
      <c r="I11" s="55">
        <v>8.17</v>
      </c>
      <c r="J11" s="55">
        <v>2.44</v>
      </c>
      <c r="K11" s="55">
        <v>156.90</v>
      </c>
      <c r="L11" s="55">
        <v>26.59</v>
      </c>
      <c r="M11" s="55">
        <v>68.52</v>
      </c>
      <c r="N11" s="55">
        <v>12</v>
      </c>
      <c r="O11" s="55">
        <v>0</v>
      </c>
      <c r="P11" s="55">
        <v>0.34</v>
      </c>
      <c r="Q11" s="55">
        <v>9.52</v>
      </c>
      <c r="R11" s="43"/>
      <c r="S11" s="43"/>
      <c r="T11" s="43"/>
      <c r="U11" s="43"/>
    </row>
    <row r="12" spans="1:21" s="11" customFormat="1" ht="15">
      <c r="A12" s="54" t="s">
        <v>113</v>
      </c>
      <c r="B12" s="55">
        <v>2.85</v>
      </c>
      <c r="C12" s="55">
        <v>2.82</v>
      </c>
      <c r="D12" s="55">
        <v>4.91</v>
      </c>
      <c r="E12" s="55">
        <v>1.1200000000000001</v>
      </c>
      <c r="F12" s="55">
        <v>5.34</v>
      </c>
      <c r="G12" s="55">
        <v>23.63</v>
      </c>
      <c r="H12" s="55">
        <v>13.75</v>
      </c>
      <c r="I12" s="55">
        <v>7.20</v>
      </c>
      <c r="J12" s="55">
        <v>2.4700000000000002</v>
      </c>
      <c r="K12" s="55">
        <v>166.05</v>
      </c>
      <c r="L12" s="55">
        <v>26.79</v>
      </c>
      <c r="M12" s="55">
        <v>59.43</v>
      </c>
      <c r="N12" s="55">
        <v>12.10</v>
      </c>
      <c r="O12" s="55">
        <v>0</v>
      </c>
      <c r="P12" s="55">
        <v>0.31</v>
      </c>
      <c r="Q12" s="55">
        <v>9.49</v>
      </c>
      <c r="R12" s="43"/>
      <c r="S12" s="43"/>
      <c r="T12" s="43"/>
      <c r="U12" s="43"/>
    </row>
    <row r="13" spans="1:21" s="11" customFormat="1" ht="15">
      <c r="A13" s="54" t="s">
        <v>114</v>
      </c>
      <c r="B13" s="55">
        <v>2.77</v>
      </c>
      <c r="C13" s="55">
        <v>2.0699999999999998</v>
      </c>
      <c r="D13" s="55">
        <v>4.45</v>
      </c>
      <c r="E13" s="55">
        <v>1.08</v>
      </c>
      <c r="F13" s="55">
        <v>4.45</v>
      </c>
      <c r="G13" s="55">
        <v>20.55</v>
      </c>
      <c r="H13" s="55">
        <v>11.94</v>
      </c>
      <c r="I13" s="55">
        <v>6.47</v>
      </c>
      <c r="J13" s="55">
        <v>2.4700000000000002</v>
      </c>
      <c r="K13" s="55">
        <v>212.77</v>
      </c>
      <c r="L13" s="55">
        <v>26.97</v>
      </c>
      <c r="M13" s="55">
        <v>59.87</v>
      </c>
      <c r="N13" s="55">
        <v>12.10</v>
      </c>
      <c r="O13" s="55">
        <v>0</v>
      </c>
      <c r="P13" s="55">
        <v>0.28000000000000003</v>
      </c>
      <c r="Q13" s="55">
        <v>9.41</v>
      </c>
      <c r="R13" s="43"/>
      <c r="S13" s="43"/>
      <c r="T13" s="43"/>
      <c r="U13" s="43"/>
    </row>
    <row r="14" spans="1:21" s="11" customFormat="1" ht="15">
      <c r="A14" s="54" t="s">
        <v>115</v>
      </c>
      <c r="B14" s="55">
        <v>2.82</v>
      </c>
      <c r="C14" s="55">
        <v>2.69</v>
      </c>
      <c r="D14" s="55">
        <v>4.8099999999999996</v>
      </c>
      <c r="E14" s="55">
        <v>1.1100000000000001</v>
      </c>
      <c r="F14" s="55">
        <v>5.27</v>
      </c>
      <c r="G14" s="55">
        <v>19.05</v>
      </c>
      <c r="H14" s="55">
        <v>9.26</v>
      </c>
      <c r="I14" s="55">
        <v>6.30</v>
      </c>
      <c r="J14" s="55">
        <v>0.76</v>
      </c>
      <c r="K14" s="55">
        <v>218.02</v>
      </c>
      <c r="L14" s="55">
        <v>26.97</v>
      </c>
      <c r="M14" s="55">
        <v>61.30</v>
      </c>
      <c r="N14" s="55">
        <v>55</v>
      </c>
      <c r="O14" s="55">
        <v>0</v>
      </c>
      <c r="P14" s="55">
        <v>0.26</v>
      </c>
      <c r="Q14" s="55">
        <v>9.4600000000000009</v>
      </c>
      <c r="R14" s="43"/>
      <c r="S14" s="43"/>
      <c r="T14" s="43"/>
      <c r="U14" s="43"/>
    </row>
    <row r="15" spans="1:21" s="11" customFormat="1" ht="15">
      <c r="A15" s="54" t="s">
        <v>116</v>
      </c>
      <c r="B15" s="55">
        <v>2.71</v>
      </c>
      <c r="C15" s="55">
        <v>2.13</v>
      </c>
      <c r="D15" s="55">
        <v>4.43</v>
      </c>
      <c r="E15" s="55">
        <v>1.1100000000000001</v>
      </c>
      <c r="F15" s="55">
        <v>5.52</v>
      </c>
      <c r="G15" s="55">
        <v>20.87</v>
      </c>
      <c r="H15" s="55">
        <v>9.26</v>
      </c>
      <c r="I15" s="55">
        <v>5.27</v>
      </c>
      <c r="J15" s="55">
        <v>0.82</v>
      </c>
      <c r="K15" s="55">
        <v>229.88</v>
      </c>
      <c r="L15" s="55">
        <v>27.56</v>
      </c>
      <c r="M15" s="55">
        <v>61.31</v>
      </c>
      <c r="N15" s="55">
        <v>187.40</v>
      </c>
      <c r="O15" s="55">
        <v>0</v>
      </c>
      <c r="P15" s="55">
        <v>0.26</v>
      </c>
      <c r="Q15" s="55">
        <v>9.48</v>
      </c>
      <c r="R15" s="43"/>
      <c r="S15" s="43"/>
      <c r="T15" s="43"/>
      <c r="U15" s="43"/>
    </row>
    <row r="16" spans="1:21" s="11" customFormat="1" ht="15">
      <c r="A16" s="54" t="s">
        <v>117</v>
      </c>
      <c r="B16" s="55">
        <v>2.67</v>
      </c>
      <c r="C16" s="55">
        <v>1.65</v>
      </c>
      <c r="D16" s="55">
        <v>4.1500000000000004</v>
      </c>
      <c r="E16" s="55">
        <v>1.76</v>
      </c>
      <c r="F16" s="55">
        <v>5.91</v>
      </c>
      <c r="G16" s="55">
        <v>22.75</v>
      </c>
      <c r="H16" s="55">
        <v>11.06</v>
      </c>
      <c r="I16" s="55">
        <v>4.20</v>
      </c>
      <c r="J16" s="55">
        <v>0.69</v>
      </c>
      <c r="K16" s="55">
        <v>206.54</v>
      </c>
      <c r="L16" s="55">
        <v>28.84</v>
      </c>
      <c r="M16" s="55">
        <v>58.36</v>
      </c>
      <c r="N16" s="55">
        <v>402.60</v>
      </c>
      <c r="O16" s="55">
        <v>0</v>
      </c>
      <c r="P16" s="55">
        <v>0.27</v>
      </c>
      <c r="Q16" s="55">
        <v>9.48</v>
      </c>
      <c r="R16" s="43"/>
      <c r="S16" s="43"/>
      <c r="T16" s="43"/>
      <c r="U16" s="43"/>
    </row>
    <row r="17" spans="1:21" s="11" customFormat="1" ht="15">
      <c r="A17" s="54" t="s">
        <v>118</v>
      </c>
      <c r="B17" s="55">
        <v>2.58</v>
      </c>
      <c r="C17" s="55">
        <v>1.24</v>
      </c>
      <c r="D17" s="55">
        <v>3.86</v>
      </c>
      <c r="E17" s="55">
        <v>1.79</v>
      </c>
      <c r="F17" s="55">
        <v>9.6199999999999992</v>
      </c>
      <c r="G17" s="55">
        <v>23.66</v>
      </c>
      <c r="H17" s="55">
        <v>11.29</v>
      </c>
      <c r="I17" s="55">
        <v>3.58</v>
      </c>
      <c r="J17" s="55">
        <v>0.56000000000000005</v>
      </c>
      <c r="K17" s="55">
        <v>330.52</v>
      </c>
      <c r="L17" s="55">
        <v>30.20</v>
      </c>
      <c r="M17" s="55">
        <v>52.21</v>
      </c>
      <c r="N17" s="55">
        <v>550.70000000000005</v>
      </c>
      <c r="O17" s="55">
        <v>0</v>
      </c>
      <c r="P17" s="55">
        <v>0.28000000000000003</v>
      </c>
      <c r="Q17" s="55">
        <v>9.39</v>
      </c>
      <c r="R17" s="43"/>
      <c r="S17" s="43"/>
      <c r="T17" s="43"/>
      <c r="U17" s="43"/>
    </row>
    <row r="18" spans="1:21" s="11" customFormat="1" ht="15">
      <c r="A18" s="54" t="s">
        <v>119</v>
      </c>
      <c r="B18" s="55">
        <v>2.58</v>
      </c>
      <c r="C18" s="55">
        <v>1.24</v>
      </c>
      <c r="D18" s="55">
        <v>3.86</v>
      </c>
      <c r="E18" s="55">
        <v>2.23</v>
      </c>
      <c r="F18" s="55">
        <v>11.92</v>
      </c>
      <c r="G18" s="55">
        <v>28.74</v>
      </c>
      <c r="H18" s="55">
        <v>11.29</v>
      </c>
      <c r="I18" s="55">
        <v>2.4300000000000002</v>
      </c>
      <c r="J18" s="55">
        <v>0.76</v>
      </c>
      <c r="K18" s="55">
        <v>21.86</v>
      </c>
      <c r="L18" s="55">
        <v>31.98</v>
      </c>
      <c r="M18" s="55">
        <v>48.69</v>
      </c>
      <c r="N18" s="55">
        <v>730.60</v>
      </c>
      <c r="O18" s="55">
        <v>0</v>
      </c>
      <c r="P18" s="55">
        <v>0.31</v>
      </c>
      <c r="Q18" s="55">
        <v>9.3699999999999992</v>
      </c>
      <c r="R18" s="43"/>
      <c r="S18" s="43"/>
      <c r="T18" s="43"/>
      <c r="U18" s="43"/>
    </row>
    <row r="19" spans="1:21" s="11" customFormat="1" ht="15">
      <c r="A19" s="54" t="s">
        <v>120</v>
      </c>
      <c r="B19" s="55">
        <v>2.54</v>
      </c>
      <c r="C19" s="55">
        <v>1.34</v>
      </c>
      <c r="D19" s="55">
        <v>3.89</v>
      </c>
      <c r="E19" s="55">
        <v>2.33</v>
      </c>
      <c r="F19" s="55">
        <v>14.31</v>
      </c>
      <c r="G19" s="55">
        <v>28.74</v>
      </c>
      <c r="H19" s="55">
        <v>11.28</v>
      </c>
      <c r="I19" s="55">
        <v>1.84</v>
      </c>
      <c r="J19" s="55">
        <v>0.83</v>
      </c>
      <c r="K19" s="55">
        <v>340.06</v>
      </c>
      <c r="L19" s="55">
        <v>34.08</v>
      </c>
      <c r="M19" s="55">
        <v>42.93</v>
      </c>
      <c r="N19" s="55">
        <v>852.30</v>
      </c>
      <c r="O19" s="55">
        <v>0</v>
      </c>
      <c r="P19" s="55">
        <v>0.34</v>
      </c>
      <c r="Q19" s="55">
        <v>9.4700000000000006</v>
      </c>
      <c r="R19" s="43"/>
      <c r="S19" s="43"/>
      <c r="T19" s="43"/>
      <c r="U19" s="43"/>
    </row>
    <row r="20" spans="1:21" s="11" customFormat="1" ht="15">
      <c r="A20" s="54" t="s">
        <v>121</v>
      </c>
      <c r="B20" s="55">
        <v>2.63</v>
      </c>
      <c r="C20" s="55">
        <v>1.56</v>
      </c>
      <c r="D20" s="55">
        <v>4.07</v>
      </c>
      <c r="E20" s="56" t="s">
        <v>12</v>
      </c>
      <c r="F20" s="55">
        <v>16.59</v>
      </c>
      <c r="G20" s="56" t="s">
        <v>12</v>
      </c>
      <c r="H20" s="56" t="s">
        <v>12</v>
      </c>
      <c r="I20" s="55">
        <v>3.28</v>
      </c>
      <c r="J20" s="55">
        <v>0.96</v>
      </c>
      <c r="K20" s="55">
        <v>328.25</v>
      </c>
      <c r="L20" s="55">
        <v>35.60</v>
      </c>
      <c r="M20" s="55">
        <v>38.770000000000003</v>
      </c>
      <c r="N20" s="55">
        <v>844.60</v>
      </c>
      <c r="O20" s="55">
        <v>0</v>
      </c>
      <c r="P20" s="55">
        <v>0.35</v>
      </c>
      <c r="Q20" s="55">
        <v>9.42</v>
      </c>
      <c r="R20" s="43"/>
      <c r="S20" s="43"/>
      <c r="T20" s="43"/>
      <c r="U20" s="43"/>
    </row>
    <row r="21" spans="1:21" s="11" customFormat="1" ht="15">
      <c r="A21" s="54" t="s">
        <v>122</v>
      </c>
      <c r="B21" s="55">
        <v>2.81</v>
      </c>
      <c r="C21" s="55">
        <v>0.96</v>
      </c>
      <c r="D21" s="55">
        <v>3.68</v>
      </c>
      <c r="E21" s="55">
        <v>2.96</v>
      </c>
      <c r="F21" s="55">
        <v>12.94</v>
      </c>
      <c r="G21" s="55">
        <v>74.14</v>
      </c>
      <c r="H21" s="55">
        <v>7.71</v>
      </c>
      <c r="I21" s="55">
        <v>7.70</v>
      </c>
      <c r="J21" s="55">
        <v>0.82</v>
      </c>
      <c r="K21" s="55">
        <v>357.12</v>
      </c>
      <c r="L21" s="55">
        <v>35.869999999999997</v>
      </c>
      <c r="M21" s="55">
        <v>35.020000000000003</v>
      </c>
      <c r="N21" s="55">
        <v>703.40</v>
      </c>
      <c r="O21" s="55">
        <v>0</v>
      </c>
      <c r="P21" s="55">
        <v>0.37</v>
      </c>
      <c r="Q21" s="55">
        <v>9.3000000000000007</v>
      </c>
      <c r="R21" s="43"/>
      <c r="S21" s="43"/>
      <c r="T21" s="43"/>
      <c r="U21" s="43"/>
    </row>
    <row r="22" spans="1:21" s="11" customFormat="1" ht="15">
      <c r="A22" s="54" t="s">
        <v>123</v>
      </c>
      <c r="B22" s="55">
        <v>2.4700000000000002</v>
      </c>
      <c r="C22" s="55">
        <v>1.1000000000000001</v>
      </c>
      <c r="D22" s="55">
        <v>3.48</v>
      </c>
      <c r="E22" s="55">
        <v>3.99</v>
      </c>
      <c r="F22" s="55">
        <v>18.54</v>
      </c>
      <c r="G22" s="55">
        <v>74.14</v>
      </c>
      <c r="H22" s="55">
        <v>9.98</v>
      </c>
      <c r="I22" s="55">
        <v>9.85</v>
      </c>
      <c r="J22" s="55">
        <v>0.75</v>
      </c>
      <c r="K22" s="55">
        <v>352.58</v>
      </c>
      <c r="L22" s="55">
        <v>36.25</v>
      </c>
      <c r="M22" s="55">
        <v>33.64</v>
      </c>
      <c r="N22" s="55">
        <v>737.10</v>
      </c>
      <c r="O22" s="55">
        <v>0</v>
      </c>
      <c r="P22" s="55">
        <v>0.43</v>
      </c>
      <c r="Q22" s="55">
        <v>9.33</v>
      </c>
      <c r="R22" s="43"/>
      <c r="S22" s="43"/>
      <c r="T22" s="43"/>
      <c r="U22" s="43"/>
    </row>
    <row r="23" spans="1:21" s="11" customFormat="1" ht="15">
      <c r="A23" s="54" t="s">
        <v>124</v>
      </c>
      <c r="B23" s="55">
        <v>2.59</v>
      </c>
      <c r="C23" s="55">
        <v>1.66</v>
      </c>
      <c r="D23" s="55">
        <v>4.16</v>
      </c>
      <c r="E23" s="55">
        <v>3.13</v>
      </c>
      <c r="F23" s="55">
        <v>12.62</v>
      </c>
      <c r="G23" s="55">
        <v>57.14</v>
      </c>
      <c r="H23" s="55">
        <v>16.899999999999999</v>
      </c>
      <c r="I23" s="55">
        <v>7.64</v>
      </c>
      <c r="J23" s="55">
        <v>1.22</v>
      </c>
      <c r="K23" s="55">
        <v>348.95</v>
      </c>
      <c r="L23" s="55">
        <v>37.60</v>
      </c>
      <c r="M23" s="55">
        <v>31.04</v>
      </c>
      <c r="N23" s="55">
        <v>587.20000000000005</v>
      </c>
      <c r="O23" s="55">
        <v>0</v>
      </c>
      <c r="P23" s="55">
        <v>0.49</v>
      </c>
      <c r="Q23" s="55">
        <v>9.42</v>
      </c>
      <c r="R23" s="43"/>
      <c r="S23" s="43"/>
      <c r="T23" s="43"/>
      <c r="U23" s="43"/>
    </row>
    <row r="24" spans="1:21" s="11" customFormat="1" ht="15">
      <c r="A24" s="54" t="s">
        <v>125</v>
      </c>
      <c r="B24" s="55">
        <v>2.54</v>
      </c>
      <c r="C24" s="55">
        <v>1.31</v>
      </c>
      <c r="D24" s="55">
        <v>3.76</v>
      </c>
      <c r="E24" s="55">
        <v>3.07</v>
      </c>
      <c r="F24" s="55">
        <v>11.69</v>
      </c>
      <c r="G24" s="55">
        <v>57.14</v>
      </c>
      <c r="H24" s="55">
        <v>16.899999999999999</v>
      </c>
      <c r="I24" s="55">
        <v>5.94</v>
      </c>
      <c r="J24" s="55">
        <v>0.99</v>
      </c>
      <c r="K24" s="55">
        <v>359.48</v>
      </c>
      <c r="L24" s="55">
        <v>36.729999999999997</v>
      </c>
      <c r="M24" s="55">
        <v>31.32</v>
      </c>
      <c r="N24" s="55">
        <v>342.10</v>
      </c>
      <c r="O24" s="55">
        <v>0</v>
      </c>
      <c r="P24" s="55">
        <v>0.46</v>
      </c>
      <c r="Q24" s="55">
        <v>9.39</v>
      </c>
      <c r="R24" s="43"/>
      <c r="S24" s="43"/>
      <c r="T24" s="43"/>
      <c r="U24" s="43"/>
    </row>
    <row r="25" spans="1:21" s="11" customFormat="1" ht="15">
      <c r="A25" s="54" t="s">
        <v>126</v>
      </c>
      <c r="B25" s="55">
        <v>2.4700000000000002</v>
      </c>
      <c r="C25" s="55">
        <v>0.96</v>
      </c>
      <c r="D25" s="55">
        <v>3.34</v>
      </c>
      <c r="E25" s="55">
        <v>0.66</v>
      </c>
      <c r="F25" s="55">
        <v>9.4600000000000009</v>
      </c>
      <c r="G25" s="55">
        <v>46.61</v>
      </c>
      <c r="H25" s="55">
        <v>16.05</v>
      </c>
      <c r="I25" s="55">
        <v>4.42</v>
      </c>
      <c r="J25" s="55">
        <v>0.95</v>
      </c>
      <c r="K25" s="55">
        <v>351.16</v>
      </c>
      <c r="L25" s="55">
        <v>36.28</v>
      </c>
      <c r="M25" s="55">
        <v>31.39</v>
      </c>
      <c r="N25" s="55">
        <v>113.5</v>
      </c>
      <c r="O25" s="55">
        <v>0</v>
      </c>
      <c r="P25" s="55">
        <v>0.39</v>
      </c>
      <c r="Q25" s="55">
        <v>9.3800000000000008</v>
      </c>
      <c r="R25" s="43"/>
      <c r="S25" s="43"/>
      <c r="T25" s="43"/>
      <c r="U25" s="43"/>
    </row>
    <row r="26" spans="1:21" s="11" customFormat="1" ht="15">
      <c r="A26" s="54" t="s">
        <v>127</v>
      </c>
      <c r="B26" s="55">
        <v>2.56</v>
      </c>
      <c r="C26" s="55">
        <v>1.55</v>
      </c>
      <c r="D26" s="55">
        <v>4.0199999999999996</v>
      </c>
      <c r="E26" s="55">
        <v>0.62</v>
      </c>
      <c r="F26" s="55">
        <v>9.7799999999999994</v>
      </c>
      <c r="G26" s="55">
        <v>43.83</v>
      </c>
      <c r="H26" s="55">
        <v>15.89</v>
      </c>
      <c r="I26" s="55">
        <v>3.24</v>
      </c>
      <c r="J26" s="55">
        <v>0.69</v>
      </c>
      <c r="K26" s="55">
        <v>353.75</v>
      </c>
      <c r="L26" s="55">
        <v>35.659999999999997</v>
      </c>
      <c r="M26" s="55">
        <v>32.020000000000003</v>
      </c>
      <c r="N26" s="55">
        <v>71</v>
      </c>
      <c r="O26" s="55">
        <v>0</v>
      </c>
      <c r="P26" s="55">
        <v>0.44</v>
      </c>
      <c r="Q26" s="55">
        <v>9.43</v>
      </c>
      <c r="R26" s="43"/>
      <c r="S26" s="43"/>
      <c r="T26" s="43"/>
      <c r="U26" s="43"/>
    </row>
    <row r="27" spans="1:21" s="11" customFormat="1" ht="15">
      <c r="A27" s="54" t="s">
        <v>128</v>
      </c>
      <c r="B27" s="55">
        <v>2.57</v>
      </c>
      <c r="C27" s="55">
        <v>1.35</v>
      </c>
      <c r="D27" s="55">
        <v>3.84</v>
      </c>
      <c r="E27" s="55">
        <v>0.88</v>
      </c>
      <c r="F27" s="55">
        <v>6.28</v>
      </c>
      <c r="G27" s="55">
        <v>45.02</v>
      </c>
      <c r="H27" s="55">
        <v>15.89</v>
      </c>
      <c r="I27" s="55">
        <v>3.08</v>
      </c>
      <c r="J27" s="55">
        <v>0.63</v>
      </c>
      <c r="K27" s="55">
        <v>352.21</v>
      </c>
      <c r="L27" s="55">
        <v>34.69</v>
      </c>
      <c r="M27" s="55">
        <v>36.60</v>
      </c>
      <c r="N27" s="55">
        <v>28.80</v>
      </c>
      <c r="O27" s="55">
        <v>0</v>
      </c>
      <c r="P27" s="55">
        <v>0.5</v>
      </c>
      <c r="Q27" s="55">
        <v>9.40</v>
      </c>
      <c r="R27" s="43"/>
      <c r="S27" s="43"/>
      <c r="T27" s="43"/>
      <c r="U27" s="43"/>
    </row>
    <row r="28" spans="1:21" s="11" customFormat="1" ht="15">
      <c r="A28" s="54" t="s">
        <v>129</v>
      </c>
      <c r="B28" s="55">
        <v>2.4700000000000002</v>
      </c>
      <c r="C28" s="55">
        <v>1.01</v>
      </c>
      <c r="D28" s="55">
        <v>3.39</v>
      </c>
      <c r="E28" s="55">
        <v>1.02</v>
      </c>
      <c r="F28" s="55">
        <v>4.91</v>
      </c>
      <c r="G28" s="55">
        <v>49.38</v>
      </c>
      <c r="H28" s="55">
        <v>17.54</v>
      </c>
      <c r="I28" s="55">
        <v>3.92</v>
      </c>
      <c r="J28" s="55">
        <v>1.55</v>
      </c>
      <c r="K28" s="55">
        <v>336.34</v>
      </c>
      <c r="L28" s="55">
        <v>33.479999999999997</v>
      </c>
      <c r="M28" s="55">
        <v>38.54</v>
      </c>
      <c r="N28" s="55">
        <v>12.90</v>
      </c>
      <c r="O28" s="55">
        <v>0</v>
      </c>
      <c r="P28" s="55">
        <v>0.64</v>
      </c>
      <c r="Q28" s="55">
        <v>9.49</v>
      </c>
      <c r="R28" s="43"/>
      <c r="S28" s="43"/>
      <c r="T28" s="43"/>
      <c r="U28" s="43"/>
    </row>
    <row r="29" spans="1:21" s="11" customFormat="1" ht="15">
      <c r="A29" s="54" t="s">
        <v>130</v>
      </c>
      <c r="B29" s="55">
        <v>2.61</v>
      </c>
      <c r="C29" s="55">
        <v>1.67</v>
      </c>
      <c r="D29" s="55">
        <v>4.1900000000000004</v>
      </c>
      <c r="E29" s="55">
        <v>0.53</v>
      </c>
      <c r="F29" s="55">
        <v>5.14</v>
      </c>
      <c r="G29" s="55">
        <v>50.82</v>
      </c>
      <c r="H29" s="55">
        <v>17.54</v>
      </c>
      <c r="I29" s="55">
        <v>4.3099999999999996</v>
      </c>
      <c r="J29" s="55">
        <v>0.87</v>
      </c>
      <c r="K29" s="55">
        <v>326.25</v>
      </c>
      <c r="L29" s="55">
        <v>31.99</v>
      </c>
      <c r="M29" s="55">
        <v>40.549999999999997</v>
      </c>
      <c r="N29" s="55">
        <v>13</v>
      </c>
      <c r="O29" s="55">
        <v>0</v>
      </c>
      <c r="P29" s="55">
        <v>0.71</v>
      </c>
      <c r="Q29" s="55">
        <v>9.49</v>
      </c>
      <c r="R29" s="43"/>
      <c r="S29" s="43"/>
      <c r="T29" s="43"/>
      <c r="U29" s="43"/>
    </row>
    <row r="30" spans="1:21" s="11" customFormat="1" ht="15">
      <c r="A30" s="54" t="s">
        <v>131</v>
      </c>
      <c r="B30" s="55">
        <v>2.60</v>
      </c>
      <c r="C30" s="55">
        <v>1.60</v>
      </c>
      <c r="D30" s="55">
        <v>4.1100000000000003</v>
      </c>
      <c r="E30" s="55">
        <v>0.56000000000000005</v>
      </c>
      <c r="F30" s="55">
        <v>4.72</v>
      </c>
      <c r="G30" s="55">
        <v>55.48</v>
      </c>
      <c r="H30" s="55">
        <v>19.41</v>
      </c>
      <c r="I30" s="55">
        <v>5.0599999999999996</v>
      </c>
      <c r="J30" s="55">
        <v>1.80</v>
      </c>
      <c r="K30" s="55">
        <v>194.52</v>
      </c>
      <c r="L30" s="55">
        <v>31.56</v>
      </c>
      <c r="M30" s="55">
        <v>45.77</v>
      </c>
      <c r="N30" s="55">
        <v>13</v>
      </c>
      <c r="O30" s="55">
        <v>0</v>
      </c>
      <c r="P30" s="55">
        <v>0.69</v>
      </c>
      <c r="Q30" s="55">
        <v>9.4600000000000009</v>
      </c>
      <c r="R30" s="43"/>
      <c r="S30" s="43"/>
      <c r="T30" s="43"/>
      <c r="U30" s="43"/>
    </row>
    <row r="31" spans="1:21" s="11" customFormat="1" ht="15">
      <c r="A31" s="54" t="s">
        <v>132</v>
      </c>
      <c r="B31" s="55">
        <v>2.62</v>
      </c>
      <c r="C31" s="55">
        <v>1.26</v>
      </c>
      <c r="D31" s="55">
        <v>3.78</v>
      </c>
      <c r="E31" s="55">
        <v>0.43</v>
      </c>
      <c r="F31" s="55">
        <v>4.32</v>
      </c>
      <c r="G31" s="55">
        <v>55.48</v>
      </c>
      <c r="H31" s="55">
        <v>19.47</v>
      </c>
      <c r="I31" s="55">
        <v>5.76</v>
      </c>
      <c r="J31" s="55">
        <v>1.38</v>
      </c>
      <c r="K31" s="55">
        <v>164.41</v>
      </c>
      <c r="L31" s="55">
        <v>30.52</v>
      </c>
      <c r="M31" s="55">
        <v>49.27</v>
      </c>
      <c r="N31" s="55">
        <v>13</v>
      </c>
      <c r="O31" s="55">
        <v>0</v>
      </c>
      <c r="P31" s="55">
        <v>0.64</v>
      </c>
      <c r="Q31" s="55">
        <v>9.40</v>
      </c>
      <c r="R31" s="43"/>
      <c r="S31" s="43"/>
      <c r="T31" s="43"/>
      <c r="U31" s="43"/>
    </row>
    <row r="32" spans="1:21" s="11" customFormat="1" ht="15">
      <c r="A32" s="54" t="s">
        <v>133</v>
      </c>
      <c r="B32" s="55">
        <v>2.66</v>
      </c>
      <c r="C32" s="55">
        <v>1.48</v>
      </c>
      <c r="D32" s="55">
        <v>4.0599999999999996</v>
      </c>
      <c r="E32" s="55">
        <v>0.69</v>
      </c>
      <c r="F32" s="55">
        <v>4.76</v>
      </c>
      <c r="G32" s="55">
        <v>50.13</v>
      </c>
      <c r="H32" s="55">
        <v>19.47</v>
      </c>
      <c r="I32" s="55">
        <v>5.66</v>
      </c>
      <c r="J32" s="55">
        <v>1.24</v>
      </c>
      <c r="K32" s="55">
        <v>162.85</v>
      </c>
      <c r="L32" s="55">
        <v>29.97</v>
      </c>
      <c r="M32" s="55">
        <v>50.68</v>
      </c>
      <c r="N32" s="55">
        <v>12.80</v>
      </c>
      <c r="O32" s="55">
        <v>0</v>
      </c>
      <c r="P32" s="55">
        <v>0.57999999999999996</v>
      </c>
      <c r="Q32" s="55">
        <v>9.4600000000000009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2.4700000000000002</v>
      </c>
      <c r="C34" s="28">
        <f t="shared" si="0"/>
        <v>0.95999999999999996</v>
      </c>
      <c r="D34" s="28">
        <f t="shared" si="0"/>
        <v>3.3399999999999999</v>
      </c>
      <c r="E34" s="28">
        <f t="shared" si="0"/>
        <v>0.42999999999999999</v>
      </c>
      <c r="F34" s="28">
        <f t="shared" si="0"/>
        <v>4.2199999999999998</v>
      </c>
      <c r="G34" s="28">
        <f t="shared" si="0"/>
        <v>19.050000000000001</v>
      </c>
      <c r="H34" s="28">
        <f t="shared" si="0"/>
        <v>7.71</v>
      </c>
      <c r="I34" s="28">
        <f t="shared" si="0"/>
        <v>1.8400000000000001</v>
      </c>
      <c r="J34" s="28">
        <f t="shared" si="0"/>
        <v>0.56000000000000005</v>
      </c>
      <c r="K34" s="28">
        <f t="shared" si="0"/>
        <v>21.859999999999999</v>
      </c>
      <c r="L34" s="28">
        <f t="shared" si="0"/>
        <v>26.100000000000001</v>
      </c>
      <c r="M34" s="28">
        <f t="shared" si="0"/>
        <v>31.039999999999999</v>
      </c>
      <c r="N34" s="28">
        <f t="shared" si="0"/>
        <v>12</v>
      </c>
      <c r="O34" s="28">
        <f t="shared" si="0"/>
        <v>0</v>
      </c>
      <c r="P34" s="28">
        <f t="shared" si="0"/>
        <v>0.26000000000000001</v>
      </c>
      <c r="Q34" s="28">
        <f t="shared" si="0"/>
        <v>9.3000000000000007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2.8500000000000001</v>
      </c>
      <c r="C35" s="29">
        <f t="shared" si="1"/>
        <v>2.8199999999999998</v>
      </c>
      <c r="D35" s="29">
        <f t="shared" si="1"/>
        <v>4.9100000000000001</v>
      </c>
      <c r="E35" s="29">
        <f t="shared" si="1"/>
        <v>3.9900000000000002</v>
      </c>
      <c r="F35" s="29">
        <f t="shared" si="1"/>
        <v>18.539999999999999</v>
      </c>
      <c r="G35" s="29">
        <f t="shared" si="1"/>
        <v>74.140000000000001</v>
      </c>
      <c r="H35" s="29">
        <f t="shared" si="1"/>
        <v>19.469999999999999</v>
      </c>
      <c r="I35" s="29">
        <f t="shared" si="1"/>
        <v>9.8499999999999996</v>
      </c>
      <c r="J35" s="29">
        <f t="shared" si="1"/>
        <v>2.9900000000000002</v>
      </c>
      <c r="K35" s="29">
        <f t="shared" si="1"/>
        <v>359.48000000000002</v>
      </c>
      <c r="L35" s="29">
        <f t="shared" si="1"/>
        <v>37.600000000000001</v>
      </c>
      <c r="M35" s="29">
        <f t="shared" si="1"/>
        <v>73.569999999999993</v>
      </c>
      <c r="N35" s="29">
        <f t="shared" si="1"/>
        <v>852.29999999999995</v>
      </c>
      <c r="O35" s="29">
        <f t="shared" si="1"/>
        <v>0</v>
      </c>
      <c r="P35" s="29">
        <f t="shared" si="1"/>
        <v>0.70999999999999996</v>
      </c>
      <c r="Q35" s="29">
        <f t="shared" si="1"/>
        <v>9.5500000000000007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2.6491666666666664</v>
      </c>
      <c r="C36" s="28">
        <f t="shared" si="2"/>
        <v>1.6741666666666664</v>
      </c>
      <c r="D36" s="28">
        <f t="shared" si="2"/>
        <v>4.1000000000000005</v>
      </c>
      <c r="E36" s="28">
        <f t="shared" si="2"/>
        <v>1.4565217391304348</v>
      </c>
      <c r="F36" s="28">
        <f t="shared" si="2"/>
        <v>8.2366666666666664</v>
      </c>
      <c r="G36" s="28">
        <f t="shared" si="2"/>
        <v>41.240434782608702</v>
      </c>
      <c r="H36" s="28">
        <f t="shared" si="2"/>
        <v>14.45565217391305</v>
      </c>
      <c r="I36" s="28">
        <f t="shared" si="2"/>
        <v>5.5566666666666675</v>
      </c>
      <c r="J36" s="28">
        <f t="shared" si="2"/>
        <v>1.2958333333333332</v>
      </c>
      <c r="K36" s="28">
        <f t="shared" si="2"/>
        <v>253.41916666666668</v>
      </c>
      <c r="L36" s="28">
        <f t="shared" si="2"/>
        <v>31.615833333333331</v>
      </c>
      <c r="M36" s="28">
        <f t="shared" si="2"/>
        <v>47.985833333333339</v>
      </c>
      <c r="N36" s="28">
        <f t="shared" si="2"/>
        <v>263.86666666666667</v>
      </c>
      <c r="O36" s="28">
        <f t="shared" si="2"/>
        <v>0</v>
      </c>
      <c r="P36" s="28">
        <f t="shared" si="2"/>
        <v>0.41916666666666663</v>
      </c>
      <c r="Q36" s="28">
        <f t="shared" si="2"/>
        <v>9.4366666666666674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0.12437379378192569</v>
      </c>
      <c r="C37" s="28">
        <f t="shared" si="3" ref="C37:Q37">STDEV(C9:C32)</f>
        <v>0.5736528011191826</v>
      </c>
      <c r="D37" s="28">
        <f t="shared" si="3"/>
        <v>0.45005313695936011</v>
      </c>
      <c r="E37" s="28">
        <f t="shared" si="3"/>
        <v>1.0136460234566922</v>
      </c>
      <c r="F37" s="28">
        <f t="shared" si="3"/>
        <v>4.3516500285540518</v>
      </c>
      <c r="G37" s="28">
        <f t="shared" si="3"/>
        <v>16.811163628067039</v>
      </c>
      <c r="H37" s="28">
        <f t="shared" si="3"/>
        <v>3.7126024027345479</v>
      </c>
      <c r="I37" s="28">
        <f t="shared" si="3"/>
        <v>2.2297429500254968</v>
      </c>
      <c r="J37" s="28">
        <f t="shared" si="3"/>
        <v>0.73410055386738871</v>
      </c>
      <c r="K37" s="28">
        <f t="shared" si="3"/>
        <v>102.36358094372819</v>
      </c>
      <c r="L37" s="28">
        <f t="shared" si="3"/>
        <v>3.9186054714119285</v>
      </c>
      <c r="M37" s="28">
        <f t="shared" si="3"/>
        <v>13.545437838323396</v>
      </c>
      <c r="N37" s="28">
        <f t="shared" si="3"/>
        <v>318.03102346163962</v>
      </c>
      <c r="O37" s="28">
        <f t="shared" si="3"/>
        <v>0</v>
      </c>
      <c r="P37" s="28">
        <f t="shared" si="3"/>
        <v>0.14114182403792896</v>
      </c>
      <c r="Q37" s="28">
        <f t="shared" si="3"/>
        <v>0.060337216625768623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3172fe-1cb0-4893-ac1f-d2f27925d543}">
  <sheetPr codeName=""/>
  <dimension ref="A1:U119"/>
  <sheetViews>
    <sheetView zoomScale="85" zoomScaleNormal="85" workbookViewId="0" topLeftCell="A1">
      <pane xSplit="2" ySplit="8" topLeftCell="C13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9" sqref="A9:A32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134</v>
      </c>
      <c r="B9" s="55">
        <v>2.98</v>
      </c>
      <c r="C9" s="55">
        <v>3.20</v>
      </c>
      <c r="D9" s="55">
        <v>6.08</v>
      </c>
      <c r="E9" s="55">
        <v>1.05</v>
      </c>
      <c r="F9" s="55">
        <v>4.83</v>
      </c>
      <c r="G9" s="55">
        <v>44.13</v>
      </c>
      <c r="H9" s="55">
        <v>17.80</v>
      </c>
      <c r="I9" s="55">
        <v>6.28</v>
      </c>
      <c r="J9" s="55">
        <v>1.1200000000000001</v>
      </c>
      <c r="K9" s="55">
        <v>183.84</v>
      </c>
      <c r="L9" s="55">
        <v>29.18</v>
      </c>
      <c r="M9" s="55">
        <v>52.30</v>
      </c>
      <c r="N9" s="55">
        <v>13</v>
      </c>
      <c r="O9" s="55">
        <v>0</v>
      </c>
      <c r="P9" s="55">
        <v>0.55000000000000004</v>
      </c>
      <c r="Q9" s="55">
        <v>9.44</v>
      </c>
      <c r="R9" s="43"/>
      <c r="S9" s="43"/>
      <c r="T9" s="43"/>
      <c r="U9" s="43"/>
    </row>
    <row r="10" spans="1:21" s="11" customFormat="1" ht="15">
      <c r="A10" s="54" t="s">
        <v>135</v>
      </c>
      <c r="B10" s="55">
        <v>2.99</v>
      </c>
      <c r="C10" s="55">
        <v>3.75</v>
      </c>
      <c r="D10" s="55">
        <v>6.65</v>
      </c>
      <c r="E10" s="55">
        <v>0.94</v>
      </c>
      <c r="F10" s="55">
        <v>5.54</v>
      </c>
      <c r="G10" s="55">
        <v>38.92</v>
      </c>
      <c r="H10" s="55">
        <v>13.85</v>
      </c>
      <c r="I10" s="55">
        <v>5.81</v>
      </c>
      <c r="J10" s="55">
        <v>0.81</v>
      </c>
      <c r="K10" s="55">
        <v>163.32</v>
      </c>
      <c r="L10" s="55">
        <v>28.76</v>
      </c>
      <c r="M10" s="55">
        <v>57.67</v>
      </c>
      <c r="N10" s="55">
        <v>13.30</v>
      </c>
      <c r="O10" s="55">
        <v>0</v>
      </c>
      <c r="P10" s="55">
        <v>0.47</v>
      </c>
      <c r="Q10" s="55">
        <v>9.42</v>
      </c>
      <c r="R10" s="43"/>
      <c r="S10" s="43"/>
      <c r="T10" s="43"/>
      <c r="U10" s="43"/>
    </row>
    <row r="11" spans="1:21" s="11" customFormat="1" ht="15">
      <c r="A11" s="54" t="s">
        <v>136</v>
      </c>
      <c r="B11" s="55">
        <v>3.04</v>
      </c>
      <c r="C11" s="55">
        <v>3.58</v>
      </c>
      <c r="D11" s="55">
        <v>6.53</v>
      </c>
      <c r="E11" s="55">
        <v>1.17</v>
      </c>
      <c r="F11" s="55">
        <v>4.43</v>
      </c>
      <c r="G11" s="55">
        <v>34.020000000000003</v>
      </c>
      <c r="H11" s="55">
        <v>13.67</v>
      </c>
      <c r="I11" s="55">
        <v>5.30</v>
      </c>
      <c r="J11" s="55">
        <v>0.89</v>
      </c>
      <c r="K11" s="55">
        <v>241.02</v>
      </c>
      <c r="L11" s="55">
        <v>27.66</v>
      </c>
      <c r="M11" s="55">
        <v>58.97</v>
      </c>
      <c r="N11" s="55">
        <v>13</v>
      </c>
      <c r="O11" s="55">
        <v>0</v>
      </c>
      <c r="P11" s="55">
        <v>0.43</v>
      </c>
      <c r="Q11" s="55">
        <v>9.39</v>
      </c>
      <c r="R11" s="43"/>
      <c r="S11" s="43"/>
      <c r="T11" s="43"/>
      <c r="U11" s="43"/>
    </row>
    <row r="12" spans="1:21" s="11" customFormat="1" ht="15">
      <c r="A12" s="54" t="s">
        <v>137</v>
      </c>
      <c r="B12" s="55">
        <v>3.12</v>
      </c>
      <c r="C12" s="55">
        <v>3.28</v>
      </c>
      <c r="D12" s="55">
        <v>6.30</v>
      </c>
      <c r="E12" s="55">
        <v>1.55</v>
      </c>
      <c r="F12" s="55">
        <v>4.18</v>
      </c>
      <c r="G12" s="55">
        <v>31.97</v>
      </c>
      <c r="H12" s="55">
        <v>13.26</v>
      </c>
      <c r="I12" s="55">
        <v>4.5999999999999996</v>
      </c>
      <c r="J12" s="55">
        <v>0.73</v>
      </c>
      <c r="K12" s="55">
        <v>235.52</v>
      </c>
      <c r="L12" s="55">
        <v>27.44</v>
      </c>
      <c r="M12" s="55">
        <v>60.77</v>
      </c>
      <c r="N12" s="55">
        <v>13</v>
      </c>
      <c r="O12" s="55">
        <v>0</v>
      </c>
      <c r="P12" s="55">
        <v>0.40</v>
      </c>
      <c r="Q12" s="55">
        <v>9.41</v>
      </c>
      <c r="R12" s="43"/>
      <c r="S12" s="43"/>
      <c r="T12" s="43"/>
      <c r="U12" s="43"/>
    </row>
    <row r="13" spans="1:21" s="11" customFormat="1" ht="15">
      <c r="A13" s="54" t="s">
        <v>138</v>
      </c>
      <c r="B13" s="55">
        <v>3.28</v>
      </c>
      <c r="C13" s="55">
        <v>4.25</v>
      </c>
      <c r="D13" s="55">
        <v>7.44</v>
      </c>
      <c r="E13" s="55">
        <v>2.0099999999999998</v>
      </c>
      <c r="F13" s="55">
        <v>4.70</v>
      </c>
      <c r="G13" s="55">
        <v>31.04</v>
      </c>
      <c r="H13" s="55">
        <v>12.58</v>
      </c>
      <c r="I13" s="55">
        <v>5.1100000000000003</v>
      </c>
      <c r="J13" s="55">
        <v>0.46</v>
      </c>
      <c r="K13" s="55">
        <v>263.29000000000002</v>
      </c>
      <c r="L13" s="55">
        <v>27.04</v>
      </c>
      <c r="M13" s="55">
        <v>63.23</v>
      </c>
      <c r="N13" s="55">
        <v>13.20</v>
      </c>
      <c r="O13" s="55">
        <v>0</v>
      </c>
      <c r="P13" s="55">
        <v>0.38</v>
      </c>
      <c r="Q13" s="55">
        <v>9.40</v>
      </c>
      <c r="R13" s="43"/>
      <c r="S13" s="43"/>
      <c r="T13" s="43"/>
      <c r="U13" s="43"/>
    </row>
    <row r="14" spans="1:21" s="11" customFormat="1" ht="15">
      <c r="A14" s="54" t="s">
        <v>139</v>
      </c>
      <c r="B14" s="55">
        <v>3.25</v>
      </c>
      <c r="C14" s="55">
        <v>4.45</v>
      </c>
      <c r="D14" s="55">
        <v>7.60</v>
      </c>
      <c r="E14" s="55">
        <v>1.99</v>
      </c>
      <c r="F14" s="55">
        <v>4.8600000000000003</v>
      </c>
      <c r="G14" s="55">
        <v>21.31</v>
      </c>
      <c r="H14" s="55">
        <v>10.59</v>
      </c>
      <c r="I14" s="55">
        <v>5.21</v>
      </c>
      <c r="J14" s="55">
        <v>0.36</v>
      </c>
      <c r="K14" s="55">
        <v>348.10</v>
      </c>
      <c r="L14" s="55">
        <v>27.34</v>
      </c>
      <c r="M14" s="55">
        <v>63.08</v>
      </c>
      <c r="N14" s="55">
        <v>44.40</v>
      </c>
      <c r="O14" s="55">
        <v>0</v>
      </c>
      <c r="P14" s="55">
        <v>0.36</v>
      </c>
      <c r="Q14" s="55">
        <v>9.43</v>
      </c>
      <c r="R14" s="43"/>
      <c r="S14" s="43"/>
      <c r="T14" s="43"/>
      <c r="U14" s="43"/>
    </row>
    <row r="15" spans="1:21" s="11" customFormat="1" ht="15">
      <c r="A15" s="54" t="s">
        <v>140</v>
      </c>
      <c r="B15" s="55">
        <v>3.18</v>
      </c>
      <c r="C15" s="55">
        <v>4.70</v>
      </c>
      <c r="D15" s="55">
        <v>7.75</v>
      </c>
      <c r="E15" s="55">
        <v>2.0499999999999998</v>
      </c>
      <c r="F15" s="55">
        <v>5.58</v>
      </c>
      <c r="G15" s="55">
        <v>26.15</v>
      </c>
      <c r="H15" s="55">
        <v>11.37</v>
      </c>
      <c r="I15" s="55">
        <v>4.58</v>
      </c>
      <c r="J15" s="55">
        <v>0.5</v>
      </c>
      <c r="K15" s="55">
        <v>353.41</v>
      </c>
      <c r="L15" s="55">
        <v>28.60</v>
      </c>
      <c r="M15" s="55">
        <v>61.40</v>
      </c>
      <c r="N15" s="55">
        <v>199.60</v>
      </c>
      <c r="O15" s="55">
        <v>0</v>
      </c>
      <c r="P15" s="55">
        <v>0.35</v>
      </c>
      <c r="Q15" s="55">
        <v>9.41</v>
      </c>
      <c r="R15" s="43"/>
      <c r="S15" s="43"/>
      <c r="T15" s="43"/>
      <c r="U15" s="43"/>
    </row>
    <row r="16" spans="1:21" s="11" customFormat="1" ht="15">
      <c r="A16" s="54" t="s">
        <v>141</v>
      </c>
      <c r="B16" s="55">
        <v>3.07</v>
      </c>
      <c r="C16" s="55">
        <v>4.5199999999999996</v>
      </c>
      <c r="D16" s="55">
        <v>7.51</v>
      </c>
      <c r="E16" s="55">
        <v>1.74</v>
      </c>
      <c r="F16" s="55">
        <v>8.7799999999999994</v>
      </c>
      <c r="G16" s="55">
        <v>26.15</v>
      </c>
      <c r="H16" s="55">
        <v>11.94</v>
      </c>
      <c r="I16" s="55">
        <v>3.74</v>
      </c>
      <c r="J16" s="55">
        <v>0.63</v>
      </c>
      <c r="K16" s="55">
        <v>355.60</v>
      </c>
      <c r="L16" s="55">
        <v>29.46</v>
      </c>
      <c r="M16" s="55">
        <v>57.24</v>
      </c>
      <c r="N16" s="55">
        <v>312.20</v>
      </c>
      <c r="O16" s="55">
        <v>0</v>
      </c>
      <c r="P16" s="55">
        <v>0.33</v>
      </c>
      <c r="Q16" s="55">
        <v>9.36</v>
      </c>
      <c r="R16" s="43"/>
      <c r="S16" s="43"/>
      <c r="T16" s="43"/>
      <c r="U16" s="43"/>
    </row>
    <row r="17" spans="1:21" s="11" customFormat="1" ht="15">
      <c r="A17" s="54" t="s">
        <v>142</v>
      </c>
      <c r="B17" s="55">
        <v>2.91</v>
      </c>
      <c r="C17" s="55">
        <v>3.73</v>
      </c>
      <c r="D17" s="55">
        <v>6.55</v>
      </c>
      <c r="E17" s="55">
        <v>1.1299999999999999</v>
      </c>
      <c r="F17" s="55">
        <v>7.92</v>
      </c>
      <c r="G17" s="55">
        <v>26.65</v>
      </c>
      <c r="H17" s="55">
        <v>11.94</v>
      </c>
      <c r="I17" s="55">
        <v>2.96</v>
      </c>
      <c r="J17" s="55">
        <v>0.69</v>
      </c>
      <c r="K17" s="55">
        <v>343.30</v>
      </c>
      <c r="L17" s="55">
        <v>33.5</v>
      </c>
      <c r="M17" s="55">
        <v>50.95</v>
      </c>
      <c r="N17" s="55">
        <v>589.40</v>
      </c>
      <c r="O17" s="55">
        <v>0</v>
      </c>
      <c r="P17" s="55">
        <v>0.40</v>
      </c>
      <c r="Q17" s="55">
        <v>9.3800000000000008</v>
      </c>
      <c r="R17" s="43"/>
      <c r="S17" s="43"/>
      <c r="T17" s="43"/>
      <c r="U17" s="43"/>
    </row>
    <row r="18" spans="1:21" s="11" customFormat="1" ht="15">
      <c r="A18" s="54" t="s">
        <v>143</v>
      </c>
      <c r="B18" s="55">
        <v>2.97</v>
      </c>
      <c r="C18" s="55">
        <v>4.6900000000000004</v>
      </c>
      <c r="D18" s="55">
        <v>7.57</v>
      </c>
      <c r="E18" s="55">
        <v>1.19</v>
      </c>
      <c r="F18" s="55">
        <v>7.39</v>
      </c>
      <c r="G18" s="55">
        <v>30.74</v>
      </c>
      <c r="H18" s="55">
        <v>14.42</v>
      </c>
      <c r="I18" s="55">
        <v>3.73</v>
      </c>
      <c r="J18" s="55">
        <v>1.26</v>
      </c>
      <c r="K18" s="55">
        <v>331.83</v>
      </c>
      <c r="L18" s="55">
        <v>36.54</v>
      </c>
      <c r="M18" s="55">
        <v>39.49</v>
      </c>
      <c r="N18" s="55">
        <v>730</v>
      </c>
      <c r="O18" s="55">
        <v>0</v>
      </c>
      <c r="P18" s="55">
        <v>0.53</v>
      </c>
      <c r="Q18" s="55">
        <v>9.39</v>
      </c>
      <c r="R18" s="43"/>
      <c r="S18" s="43"/>
      <c r="T18" s="43"/>
      <c r="U18" s="43"/>
    </row>
    <row r="19" spans="1:21" s="11" customFormat="1" ht="15">
      <c r="A19" s="54" t="s">
        <v>144</v>
      </c>
      <c r="B19" s="55">
        <v>2.91</v>
      </c>
      <c r="C19" s="55">
        <v>4.13</v>
      </c>
      <c r="D19" s="55">
        <v>6.95</v>
      </c>
      <c r="E19" s="55">
        <v>1.0900000000000001</v>
      </c>
      <c r="F19" s="55">
        <v>7.34</v>
      </c>
      <c r="G19" s="55">
        <v>35.729999999999997</v>
      </c>
      <c r="H19" s="55">
        <v>17.14</v>
      </c>
      <c r="I19" s="55">
        <v>3.78</v>
      </c>
      <c r="J19" s="55">
        <v>1.57</v>
      </c>
      <c r="K19" s="55">
        <v>331.27</v>
      </c>
      <c r="L19" s="55">
        <v>39.96</v>
      </c>
      <c r="M19" s="55">
        <v>32.31</v>
      </c>
      <c r="N19" s="55">
        <v>816.40</v>
      </c>
      <c r="O19" s="55">
        <v>0</v>
      </c>
      <c r="P19" s="55">
        <v>0.53</v>
      </c>
      <c r="Q19" s="55">
        <v>9.40</v>
      </c>
      <c r="R19" s="43"/>
      <c r="S19" s="43"/>
      <c r="T19" s="43"/>
      <c r="U19" s="43"/>
    </row>
    <row r="20" spans="1:21" s="11" customFormat="1" ht="15">
      <c r="A20" s="54" t="s">
        <v>145</v>
      </c>
      <c r="B20" s="55">
        <v>2.87</v>
      </c>
      <c r="C20" s="55">
        <v>3.72</v>
      </c>
      <c r="D20" s="55">
        <v>6.5</v>
      </c>
      <c r="E20" s="55">
        <v>2.5499999999999998</v>
      </c>
      <c r="F20" s="55">
        <v>7.29</v>
      </c>
      <c r="G20" s="55">
        <v>35.729999999999997</v>
      </c>
      <c r="H20" s="55">
        <v>17.14</v>
      </c>
      <c r="I20" s="55">
        <v>3.17</v>
      </c>
      <c r="J20" s="55">
        <v>2.2400000000000002</v>
      </c>
      <c r="K20" s="55">
        <v>333.74</v>
      </c>
      <c r="L20" s="55">
        <v>40.229999999999997</v>
      </c>
      <c r="M20" s="55">
        <v>26.88</v>
      </c>
      <c r="N20" s="55">
        <v>841.70</v>
      </c>
      <c r="O20" s="55">
        <v>0</v>
      </c>
      <c r="P20" s="55">
        <v>0.51</v>
      </c>
      <c r="Q20" s="55">
        <v>9.39</v>
      </c>
      <c r="R20" s="43"/>
      <c r="S20" s="43"/>
      <c r="T20" s="43"/>
      <c r="U20" s="43"/>
    </row>
    <row r="21" spans="1:21" s="11" customFormat="1" ht="15">
      <c r="A21" s="54" t="s">
        <v>146</v>
      </c>
      <c r="B21" s="55">
        <v>2.67</v>
      </c>
      <c r="C21" s="55">
        <v>1.99</v>
      </c>
      <c r="D21" s="55">
        <v>4.5599999999999996</v>
      </c>
      <c r="E21" s="55">
        <v>1.79</v>
      </c>
      <c r="F21" s="55">
        <v>6.56</v>
      </c>
      <c r="G21" s="55">
        <v>35.56</v>
      </c>
      <c r="H21" s="55">
        <v>16.61</v>
      </c>
      <c r="I21" s="55">
        <v>3.04</v>
      </c>
      <c r="J21" s="55">
        <v>1.52</v>
      </c>
      <c r="K21" s="55">
        <v>354.56</v>
      </c>
      <c r="L21" s="55">
        <v>40.28</v>
      </c>
      <c r="M21" s="55">
        <v>25.56</v>
      </c>
      <c r="N21" s="55">
        <v>848.80</v>
      </c>
      <c r="O21" s="55">
        <v>0</v>
      </c>
      <c r="P21" s="55">
        <v>0.48</v>
      </c>
      <c r="Q21" s="55">
        <v>9.32</v>
      </c>
      <c r="R21" s="43"/>
      <c r="S21" s="43"/>
      <c r="T21" s="43"/>
      <c r="U21" s="43"/>
    </row>
    <row r="22" spans="1:21" s="11" customFormat="1" ht="15">
      <c r="A22" s="54" t="s">
        <v>147</v>
      </c>
      <c r="B22" s="55">
        <v>2.87</v>
      </c>
      <c r="C22" s="55">
        <v>3.30</v>
      </c>
      <c r="D22" s="55">
        <v>6.08</v>
      </c>
      <c r="E22" s="55">
        <v>2.2999999999999998</v>
      </c>
      <c r="F22" s="55">
        <v>7.60</v>
      </c>
      <c r="G22" s="55">
        <v>35.130000000000003</v>
      </c>
      <c r="H22" s="55">
        <v>16.53</v>
      </c>
      <c r="I22" s="55">
        <v>4.82</v>
      </c>
      <c r="J22" s="55">
        <v>1.28</v>
      </c>
      <c r="K22" s="55">
        <v>331.98</v>
      </c>
      <c r="L22" s="55">
        <v>39.130000000000003</v>
      </c>
      <c r="M22" s="55">
        <v>27.67</v>
      </c>
      <c r="N22" s="55">
        <v>820.20</v>
      </c>
      <c r="O22" s="55">
        <v>0</v>
      </c>
      <c r="P22" s="55">
        <v>0.45</v>
      </c>
      <c r="Q22" s="55">
        <v>9.39</v>
      </c>
      <c r="R22" s="43"/>
      <c r="S22" s="43"/>
      <c r="T22" s="43"/>
      <c r="U22" s="43"/>
    </row>
    <row r="23" spans="1:21" s="11" customFormat="1" ht="15">
      <c r="A23" s="54" t="s">
        <v>148</v>
      </c>
      <c r="B23" s="55">
        <v>2.85</v>
      </c>
      <c r="C23" s="55">
        <v>3.16</v>
      </c>
      <c r="D23" s="55">
        <v>5.92</v>
      </c>
      <c r="E23" s="55">
        <v>2.2400000000000002</v>
      </c>
      <c r="F23" s="55">
        <v>9.85</v>
      </c>
      <c r="G23" s="55">
        <v>38.450000000000003</v>
      </c>
      <c r="H23" s="55">
        <v>16.940000000000001</v>
      </c>
      <c r="I23" s="55">
        <v>5.51</v>
      </c>
      <c r="J23" s="55">
        <v>0.65</v>
      </c>
      <c r="K23" s="55">
        <v>301.58999999999997</v>
      </c>
      <c r="L23" s="55">
        <v>37.71</v>
      </c>
      <c r="M23" s="55">
        <v>31.60</v>
      </c>
      <c r="N23" s="55">
        <v>557.90</v>
      </c>
      <c r="O23" s="55">
        <v>0</v>
      </c>
      <c r="P23" s="55">
        <v>0.44</v>
      </c>
      <c r="Q23" s="55">
        <v>9.36</v>
      </c>
      <c r="R23" s="43"/>
      <c r="S23" s="43"/>
      <c r="T23" s="43"/>
      <c r="U23" s="43"/>
    </row>
    <row r="24" spans="1:21" s="11" customFormat="1" ht="15">
      <c r="A24" s="54" t="s">
        <v>149</v>
      </c>
      <c r="B24" s="55">
        <v>2.69</v>
      </c>
      <c r="C24" s="55">
        <v>2.08</v>
      </c>
      <c r="D24" s="55">
        <v>4.6500000000000004</v>
      </c>
      <c r="E24" s="55">
        <v>2.25</v>
      </c>
      <c r="F24" s="55">
        <v>10.31</v>
      </c>
      <c r="G24" s="55">
        <v>39.40</v>
      </c>
      <c r="H24" s="55">
        <v>18.22</v>
      </c>
      <c r="I24" s="55">
        <v>4.7699999999999996</v>
      </c>
      <c r="J24" s="55">
        <v>0.52</v>
      </c>
      <c r="K24" s="55">
        <v>351.03</v>
      </c>
      <c r="L24" s="55">
        <v>35.840000000000003</v>
      </c>
      <c r="M24" s="55">
        <v>32.22</v>
      </c>
      <c r="N24" s="55">
        <v>257.70</v>
      </c>
      <c r="O24" s="55">
        <v>0</v>
      </c>
      <c r="P24" s="55">
        <v>0.39</v>
      </c>
      <c r="Q24" s="55">
        <v>9.36</v>
      </c>
      <c r="R24" s="43"/>
      <c r="S24" s="43"/>
      <c r="T24" s="43"/>
      <c r="U24" s="43"/>
    </row>
    <row r="25" spans="1:21" s="11" customFormat="1" ht="15">
      <c r="A25" s="54" t="s">
        <v>150</v>
      </c>
      <c r="B25" s="55">
        <v>2.57</v>
      </c>
      <c r="C25" s="55">
        <v>1.42</v>
      </c>
      <c r="D25" s="55">
        <v>3.90</v>
      </c>
      <c r="E25" s="55">
        <v>1.1499999999999999</v>
      </c>
      <c r="F25" s="55">
        <v>11.25</v>
      </c>
      <c r="G25" s="55">
        <v>41.60</v>
      </c>
      <c r="H25" s="55">
        <v>19.45</v>
      </c>
      <c r="I25" s="55">
        <v>3.72</v>
      </c>
      <c r="J25" s="55">
        <v>1.51</v>
      </c>
      <c r="K25" s="55">
        <v>352.82</v>
      </c>
      <c r="L25" s="55">
        <v>35.380000000000003</v>
      </c>
      <c r="M25" s="55">
        <v>31.68</v>
      </c>
      <c r="N25" s="55">
        <v>111.20</v>
      </c>
      <c r="O25" s="55">
        <v>0</v>
      </c>
      <c r="P25" s="55">
        <v>0.37</v>
      </c>
      <c r="Q25" s="55">
        <v>9.34</v>
      </c>
      <c r="R25" s="43"/>
      <c r="S25" s="43"/>
      <c r="T25" s="43"/>
      <c r="U25" s="43"/>
    </row>
    <row r="26" spans="1:21" s="11" customFormat="1" ht="15">
      <c r="A26" s="54" t="s">
        <v>151</v>
      </c>
      <c r="B26" s="55">
        <v>2.78</v>
      </c>
      <c r="C26" s="55">
        <v>1.85</v>
      </c>
      <c r="D26" s="55">
        <v>4.55</v>
      </c>
      <c r="E26" s="55">
        <v>0.90</v>
      </c>
      <c r="F26" s="55">
        <v>5.58</v>
      </c>
      <c r="G26" s="55">
        <v>41.60</v>
      </c>
      <c r="H26" s="55">
        <v>19.45</v>
      </c>
      <c r="I26" s="55">
        <v>3</v>
      </c>
      <c r="J26" s="55">
        <v>1.28</v>
      </c>
      <c r="K26" s="55">
        <v>334.14</v>
      </c>
      <c r="L26" s="55">
        <v>34.22</v>
      </c>
      <c r="M26" s="55">
        <v>29.94</v>
      </c>
      <c r="N26" s="55">
        <v>54.70</v>
      </c>
      <c r="O26" s="55">
        <v>0</v>
      </c>
      <c r="P26" s="55">
        <v>0.40</v>
      </c>
      <c r="Q26" s="55">
        <v>9.33</v>
      </c>
      <c r="R26" s="43"/>
      <c r="S26" s="43"/>
      <c r="T26" s="43"/>
      <c r="U26" s="43"/>
    </row>
    <row r="27" spans="1:21" s="11" customFormat="1" ht="15">
      <c r="A27" s="54" t="s">
        <v>152</v>
      </c>
      <c r="B27" s="55">
        <v>2.77</v>
      </c>
      <c r="C27" s="55">
        <v>2.59</v>
      </c>
      <c r="D27" s="55">
        <v>5.26</v>
      </c>
      <c r="E27" s="55">
        <v>1.19</v>
      </c>
      <c r="F27" s="55">
        <v>5.15</v>
      </c>
      <c r="G27" s="55">
        <v>44.06</v>
      </c>
      <c r="H27" s="55">
        <v>19.059999999999999</v>
      </c>
      <c r="I27" s="55">
        <v>3.95</v>
      </c>
      <c r="J27" s="55">
        <v>0.79</v>
      </c>
      <c r="K27" s="55">
        <v>358.08</v>
      </c>
      <c r="L27" s="55">
        <v>33.5</v>
      </c>
      <c r="M27" s="55">
        <v>33.75</v>
      </c>
      <c r="N27" s="55">
        <v>28.60</v>
      </c>
      <c r="O27" s="55">
        <v>0</v>
      </c>
      <c r="P27" s="55">
        <v>0.43</v>
      </c>
      <c r="Q27" s="55">
        <v>9.44</v>
      </c>
      <c r="R27" s="43"/>
      <c r="S27" s="43"/>
      <c r="T27" s="43"/>
      <c r="U27" s="43"/>
    </row>
    <row r="28" spans="1:21" s="11" customFormat="1" ht="15">
      <c r="A28" s="54" t="s">
        <v>153</v>
      </c>
      <c r="B28" s="55">
        <v>2.67</v>
      </c>
      <c r="C28" s="55">
        <v>1.92</v>
      </c>
      <c r="D28" s="55">
        <v>4.5</v>
      </c>
      <c r="E28" s="55">
        <v>1.34</v>
      </c>
      <c r="F28" s="55">
        <v>4.88</v>
      </c>
      <c r="G28" s="55">
        <v>62.37</v>
      </c>
      <c r="H28" s="55">
        <v>21.18</v>
      </c>
      <c r="I28" s="55">
        <v>5.31</v>
      </c>
      <c r="J28" s="55">
        <v>2.69</v>
      </c>
      <c r="K28" s="55">
        <v>347.11</v>
      </c>
      <c r="L28" s="55">
        <v>32.479999999999997</v>
      </c>
      <c r="M28" s="55">
        <v>41.45</v>
      </c>
      <c r="N28" s="55">
        <v>16.20</v>
      </c>
      <c r="O28" s="55">
        <v>0</v>
      </c>
      <c r="P28" s="55">
        <v>0.54</v>
      </c>
      <c r="Q28" s="55">
        <v>9.4499999999999993</v>
      </c>
      <c r="R28" s="43"/>
      <c r="S28" s="43"/>
      <c r="T28" s="43"/>
      <c r="U28" s="43"/>
    </row>
    <row r="29" spans="1:21" s="11" customFormat="1" ht="15">
      <c r="A29" s="54" t="s">
        <v>154</v>
      </c>
      <c r="B29" s="55">
        <v>2.76</v>
      </c>
      <c r="C29" s="55">
        <v>2.5</v>
      </c>
      <c r="D29" s="55">
        <v>5.16</v>
      </c>
      <c r="E29" s="55">
        <v>1.43</v>
      </c>
      <c r="F29" s="55">
        <v>5.21</v>
      </c>
      <c r="G29" s="55">
        <v>62.37</v>
      </c>
      <c r="H29" s="55">
        <v>21.18</v>
      </c>
      <c r="I29" s="55">
        <v>5.38</v>
      </c>
      <c r="J29" s="55">
        <v>3.97</v>
      </c>
      <c r="K29" s="55">
        <v>109.14</v>
      </c>
      <c r="L29" s="55">
        <v>30.06</v>
      </c>
      <c r="M29" s="55">
        <v>48.70</v>
      </c>
      <c r="N29" s="55">
        <v>16</v>
      </c>
      <c r="O29" s="55">
        <v>0</v>
      </c>
      <c r="P29" s="55">
        <v>0.56999999999999995</v>
      </c>
      <c r="Q29" s="55">
        <v>9.48</v>
      </c>
      <c r="R29" s="43"/>
      <c r="S29" s="43"/>
      <c r="T29" s="43"/>
      <c r="U29" s="43"/>
    </row>
    <row r="30" spans="1:21" s="11" customFormat="1" ht="15">
      <c r="A30" s="54" t="s">
        <v>155</v>
      </c>
      <c r="B30" s="55">
        <v>2.68</v>
      </c>
      <c r="C30" s="55">
        <v>1.64</v>
      </c>
      <c r="D30" s="55">
        <v>4.2300000000000004</v>
      </c>
      <c r="E30" s="55">
        <v>1.63</v>
      </c>
      <c r="F30" s="55">
        <v>5.87</v>
      </c>
      <c r="G30" s="55">
        <v>59.22</v>
      </c>
      <c r="H30" s="55">
        <v>20.83</v>
      </c>
      <c r="I30" s="55">
        <v>7.67</v>
      </c>
      <c r="J30" s="55">
        <v>4.4400000000000004</v>
      </c>
      <c r="K30" s="55">
        <v>108.84</v>
      </c>
      <c r="L30" s="55">
        <v>29.01</v>
      </c>
      <c r="M30" s="55">
        <v>48.63</v>
      </c>
      <c r="N30" s="55">
        <v>15.20</v>
      </c>
      <c r="O30" s="55">
        <v>0</v>
      </c>
      <c r="P30" s="55">
        <v>0.49</v>
      </c>
      <c r="Q30" s="55">
        <v>9.3800000000000008</v>
      </c>
      <c r="R30" s="43"/>
      <c r="S30" s="43"/>
      <c r="T30" s="43"/>
      <c r="U30" s="43"/>
    </row>
    <row r="31" spans="1:21" s="11" customFormat="1" ht="15">
      <c r="A31" s="54" t="s">
        <v>156</v>
      </c>
      <c r="B31" s="55">
        <v>2.66</v>
      </c>
      <c r="C31" s="55">
        <v>1.27</v>
      </c>
      <c r="D31" s="55">
        <v>3.84</v>
      </c>
      <c r="E31" s="55">
        <v>1.55</v>
      </c>
      <c r="F31" s="55">
        <v>5.49</v>
      </c>
      <c r="G31" s="55">
        <v>50.07</v>
      </c>
      <c r="H31" s="55">
        <v>19.95</v>
      </c>
      <c r="I31" s="55">
        <v>7.74</v>
      </c>
      <c r="J31" s="55">
        <v>2.85</v>
      </c>
      <c r="K31" s="55">
        <v>155.38999999999999</v>
      </c>
      <c r="L31" s="55">
        <v>29.04</v>
      </c>
      <c r="M31" s="55">
        <v>61.82</v>
      </c>
      <c r="N31" s="55">
        <v>16.20</v>
      </c>
      <c r="O31" s="55">
        <v>0</v>
      </c>
      <c r="P31" s="55">
        <v>0.42</v>
      </c>
      <c r="Q31" s="55">
        <v>9.44</v>
      </c>
      <c r="R31" s="43"/>
      <c r="S31" s="43"/>
      <c r="T31" s="43"/>
      <c r="U31" s="43"/>
    </row>
    <row r="32" spans="1:21" s="11" customFormat="1" ht="15">
      <c r="A32" s="54" t="s">
        <v>157</v>
      </c>
      <c r="B32" s="55">
        <v>2.70</v>
      </c>
      <c r="C32" s="55">
        <v>1.81</v>
      </c>
      <c r="D32" s="55">
        <v>4.42</v>
      </c>
      <c r="E32" s="55">
        <v>1.61</v>
      </c>
      <c r="F32" s="55">
        <v>5.75</v>
      </c>
      <c r="G32" s="55">
        <v>38.46</v>
      </c>
      <c r="H32" s="55">
        <v>15.82</v>
      </c>
      <c r="I32" s="55">
        <v>7.53</v>
      </c>
      <c r="J32" s="55">
        <v>2.5</v>
      </c>
      <c r="K32" s="55">
        <v>196.14</v>
      </c>
      <c r="L32" s="55">
        <v>27.13</v>
      </c>
      <c r="M32" s="55">
        <v>63.05</v>
      </c>
      <c r="N32" s="55">
        <v>15.10</v>
      </c>
      <c r="O32" s="55">
        <v>0</v>
      </c>
      <c r="P32" s="55">
        <v>0.38</v>
      </c>
      <c r="Q32" s="55">
        <v>9.48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2.5699999999999998</v>
      </c>
      <c r="C34" s="28">
        <f t="shared" si="0"/>
        <v>1.27</v>
      </c>
      <c r="D34" s="28">
        <f t="shared" si="0"/>
        <v>3.8399999999999999</v>
      </c>
      <c r="E34" s="28">
        <f t="shared" si="0"/>
        <v>0.90000000000000002</v>
      </c>
      <c r="F34" s="28">
        <f t="shared" si="0"/>
        <v>4.1799999999999997</v>
      </c>
      <c r="G34" s="28">
        <f t="shared" si="0"/>
        <v>21.309999999999999</v>
      </c>
      <c r="H34" s="28">
        <f t="shared" si="0"/>
        <v>10.59</v>
      </c>
      <c r="I34" s="28">
        <f t="shared" si="0"/>
        <v>2.96</v>
      </c>
      <c r="J34" s="28">
        <f t="shared" si="0"/>
        <v>0.35999999999999999</v>
      </c>
      <c r="K34" s="28">
        <f t="shared" si="0"/>
        <v>108.84</v>
      </c>
      <c r="L34" s="28">
        <f t="shared" si="0"/>
        <v>27.039999999999999</v>
      </c>
      <c r="M34" s="28">
        <f t="shared" si="0"/>
        <v>25.559999999999999</v>
      </c>
      <c r="N34" s="28">
        <f t="shared" si="0"/>
        <v>13</v>
      </c>
      <c r="O34" s="28">
        <f t="shared" si="0"/>
        <v>0</v>
      </c>
      <c r="P34" s="28">
        <f t="shared" si="0"/>
        <v>0.33000000000000002</v>
      </c>
      <c r="Q34" s="28">
        <f t="shared" si="0"/>
        <v>9.3200000000000003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3.2799999999999998</v>
      </c>
      <c r="C35" s="29">
        <f t="shared" si="1"/>
        <v>4.7000000000000002</v>
      </c>
      <c r="D35" s="29">
        <f t="shared" si="1"/>
        <v>7.75</v>
      </c>
      <c r="E35" s="29">
        <f t="shared" si="1"/>
        <v>2.5499999999999998</v>
      </c>
      <c r="F35" s="29">
        <f t="shared" si="1"/>
        <v>11.25</v>
      </c>
      <c r="G35" s="29">
        <f t="shared" si="1"/>
        <v>62.369999999999997</v>
      </c>
      <c r="H35" s="29">
        <f t="shared" si="1"/>
        <v>21.18</v>
      </c>
      <c r="I35" s="29">
        <f t="shared" si="1"/>
        <v>7.7400000000000002</v>
      </c>
      <c r="J35" s="29">
        <f t="shared" si="1"/>
        <v>4.4400000000000004</v>
      </c>
      <c r="K35" s="29">
        <f t="shared" si="1"/>
        <v>358.07999999999998</v>
      </c>
      <c r="L35" s="29">
        <f t="shared" si="1"/>
        <v>40.280000000000001</v>
      </c>
      <c r="M35" s="29">
        <f t="shared" si="1"/>
        <v>63.229999999999997</v>
      </c>
      <c r="N35" s="29">
        <f t="shared" si="1"/>
        <v>848.79999999999995</v>
      </c>
      <c r="O35" s="29">
        <f t="shared" si="1"/>
        <v>0</v>
      </c>
      <c r="P35" s="29">
        <f t="shared" si="1"/>
        <v>0.56999999999999995</v>
      </c>
      <c r="Q35" s="29">
        <f t="shared" si="1"/>
        <v>9.4800000000000004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2.8850000000000002</v>
      </c>
      <c r="C36" s="28">
        <f t="shared" si="2"/>
        <v>3.0637500000000002</v>
      </c>
      <c r="D36" s="28">
        <f t="shared" si="2"/>
        <v>5.854166666666667</v>
      </c>
      <c r="E36" s="28">
        <f t="shared" si="2"/>
        <v>1.5766666666666664</v>
      </c>
      <c r="F36" s="28">
        <f t="shared" si="2"/>
        <v>6.5141666666666671</v>
      </c>
      <c r="G36" s="28">
        <f t="shared" si="2"/>
        <v>38.784583333333345</v>
      </c>
      <c r="H36" s="28">
        <f t="shared" si="2"/>
        <v>16.28833333333333</v>
      </c>
      <c r="I36" s="28">
        <f t="shared" si="2"/>
        <v>4.8629166666666661</v>
      </c>
      <c r="J36" s="28">
        <f t="shared" si="2"/>
        <v>1.469166666666667</v>
      </c>
      <c r="K36" s="28">
        <f t="shared" si="2"/>
        <v>282.71083333333337</v>
      </c>
      <c r="L36" s="28">
        <f t="shared" si="2"/>
        <v>32.478749999999998</v>
      </c>
      <c r="M36" s="28">
        <f t="shared" si="2"/>
        <v>45.848333333333336</v>
      </c>
      <c r="N36" s="28">
        <f t="shared" si="2"/>
        <v>264.87499999999994</v>
      </c>
      <c r="O36" s="28">
        <f t="shared" si="2"/>
        <v>0</v>
      </c>
      <c r="P36" s="28">
        <f t="shared" si="2"/>
        <v>0.44166666666666682</v>
      </c>
      <c r="Q36" s="28">
        <f t="shared" si="2"/>
        <v>9.3995833333333323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0.19960831210364846</v>
      </c>
      <c r="C37" s="28">
        <f t="shared" si="3" ref="C37:Q37">STDEV(C9:C32)</f>
        <v>1.115377933609327</v>
      </c>
      <c r="D37" s="28">
        <f t="shared" si="3"/>
        <v>1.2922004039846013</v>
      </c>
      <c r="E37" s="28">
        <f t="shared" si="3"/>
        <v>0.48117308344491244</v>
      </c>
      <c r="F37" s="28">
        <f t="shared" si="3"/>
        <v>1.9553403276927139</v>
      </c>
      <c r="G37" s="28">
        <f t="shared" si="3"/>
        <v>10.911710494042461</v>
      </c>
      <c r="H37" s="28">
        <f t="shared" si="3"/>
        <v>3.3069763763327975</v>
      </c>
      <c r="I37" s="28">
        <f t="shared" si="3"/>
        <v>1.42541063241948</v>
      </c>
      <c r="J37" s="28">
        <f t="shared" si="3"/>
        <v>1.1079629434498119</v>
      </c>
      <c r="K37" s="28">
        <f t="shared" si="3"/>
        <v>85.483088585157745</v>
      </c>
      <c r="L37" s="28">
        <f t="shared" si="3"/>
        <v>4.6700882707419975</v>
      </c>
      <c r="M37" s="28">
        <f t="shared" si="3"/>
        <v>13.946535074336909</v>
      </c>
      <c r="N37" s="28">
        <f t="shared" si="3"/>
        <v>329.68067059689355</v>
      </c>
      <c r="O37" s="28">
        <f t="shared" si="3"/>
        <v>0</v>
      </c>
      <c r="P37" s="28">
        <f t="shared" si="3"/>
        <v>0.06969914644020142</v>
      </c>
      <c r="Q37" s="28">
        <f t="shared" si="3"/>
        <v>0.042984240455499832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c7b3207-e923-4981-b461-6f1dbe3cf0e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182</v>
      </c>
      <c r="B9" s="55">
        <v>2.75</v>
      </c>
      <c r="C9" s="55">
        <v>2.10</v>
      </c>
      <c r="D9" s="55">
        <v>4.76</v>
      </c>
      <c r="E9" s="55">
        <v>1.07</v>
      </c>
      <c r="F9" s="55">
        <v>5.31</v>
      </c>
      <c r="G9" s="55">
        <v>33.99</v>
      </c>
      <c r="H9" s="55">
        <v>15.51</v>
      </c>
      <c r="I9" s="55">
        <v>6.69</v>
      </c>
      <c r="J9" s="55">
        <v>3.15</v>
      </c>
      <c r="K9" s="55">
        <v>348.31</v>
      </c>
      <c r="L9" s="55">
        <v>27.38</v>
      </c>
      <c r="M9" s="55">
        <v>60.64</v>
      </c>
      <c r="N9" s="55">
        <v>14.90</v>
      </c>
      <c r="O9" s="55">
        <v>0</v>
      </c>
      <c r="P9" s="55">
        <v>0.35</v>
      </c>
      <c r="Q9" s="55">
        <v>9.4600000000000009</v>
      </c>
      <c r="R9" s="43"/>
      <c r="S9" s="43"/>
      <c r="T9" s="43"/>
      <c r="U9" s="43"/>
    </row>
    <row r="10" spans="1:21" s="11" customFormat="1" ht="15">
      <c r="A10" s="54" t="s">
        <v>183</v>
      </c>
      <c r="B10" s="55">
        <v>2.58</v>
      </c>
      <c r="C10" s="55">
        <v>1.28</v>
      </c>
      <c r="D10" s="55">
        <v>3.77</v>
      </c>
      <c r="E10" s="55">
        <v>1.25</v>
      </c>
      <c r="F10" s="55">
        <v>7.40</v>
      </c>
      <c r="G10" s="55">
        <v>42.73</v>
      </c>
      <c r="H10" s="55">
        <v>16</v>
      </c>
      <c r="I10" s="55">
        <v>5.42</v>
      </c>
      <c r="J10" s="55">
        <v>2.63</v>
      </c>
      <c r="K10" s="55">
        <v>343.38</v>
      </c>
      <c r="L10" s="55">
        <v>27.35</v>
      </c>
      <c r="M10" s="55">
        <v>64.11</v>
      </c>
      <c r="N10" s="55">
        <v>17.100000000000001</v>
      </c>
      <c r="O10" s="55">
        <v>0</v>
      </c>
      <c r="P10" s="55">
        <v>0.34</v>
      </c>
      <c r="Q10" s="55">
        <v>9.4600000000000009</v>
      </c>
      <c r="R10" s="43"/>
      <c r="S10" s="43"/>
      <c r="T10" s="43"/>
      <c r="U10" s="43"/>
    </row>
    <row r="11" spans="1:21" s="11" customFormat="1" ht="15">
      <c r="A11" s="54" t="s">
        <v>184</v>
      </c>
      <c r="B11" s="55">
        <v>2.5499999999999998</v>
      </c>
      <c r="C11" s="55">
        <v>0.87</v>
      </c>
      <c r="D11" s="55">
        <v>3.33</v>
      </c>
      <c r="E11" s="55">
        <v>1.39</v>
      </c>
      <c r="F11" s="55">
        <v>7.09</v>
      </c>
      <c r="G11" s="55">
        <v>42.73</v>
      </c>
      <c r="H11" s="55">
        <v>16</v>
      </c>
      <c r="I11" s="55">
        <v>4.1399999999999997</v>
      </c>
      <c r="J11" s="55">
        <v>0.86</v>
      </c>
      <c r="K11" s="55">
        <v>149.47999999999999</v>
      </c>
      <c r="L11" s="55">
        <v>25.30</v>
      </c>
      <c r="M11" s="55">
        <v>77.16</v>
      </c>
      <c r="N11" s="55">
        <v>15.70</v>
      </c>
      <c r="O11" s="55">
        <v>0.20</v>
      </c>
      <c r="P11" s="55">
        <v>0.28999999999999998</v>
      </c>
      <c r="Q11" s="55">
        <v>9.41</v>
      </c>
      <c r="R11" s="43"/>
      <c r="S11" s="43"/>
      <c r="T11" s="43"/>
      <c r="U11" s="43"/>
    </row>
    <row r="12" spans="1:21" s="11" customFormat="1" ht="15">
      <c r="A12" s="54" t="s">
        <v>185</v>
      </c>
      <c r="B12" s="55">
        <v>2.65</v>
      </c>
      <c r="C12" s="55">
        <v>1.23</v>
      </c>
      <c r="D12" s="55">
        <v>3.79</v>
      </c>
      <c r="E12" s="55">
        <v>1.30</v>
      </c>
      <c r="F12" s="55">
        <v>4.37</v>
      </c>
      <c r="G12" s="55">
        <v>36.97</v>
      </c>
      <c r="H12" s="55">
        <v>13.66</v>
      </c>
      <c r="I12" s="55">
        <v>4.76</v>
      </c>
      <c r="J12" s="55">
        <v>1.34</v>
      </c>
      <c r="K12" s="55">
        <v>161.86000000000001</v>
      </c>
      <c r="L12" s="55">
        <v>25.77</v>
      </c>
      <c r="M12" s="55">
        <v>70.150000000000006</v>
      </c>
      <c r="N12" s="55">
        <v>16</v>
      </c>
      <c r="O12" s="55">
        <v>0</v>
      </c>
      <c r="P12" s="55">
        <v>0.28000000000000003</v>
      </c>
      <c r="Q12" s="55">
        <v>9.4499999999999993</v>
      </c>
      <c r="R12" s="43"/>
      <c r="S12" s="43"/>
      <c r="T12" s="43"/>
      <c r="U12" s="43"/>
    </row>
    <row r="13" spans="1:21" s="11" customFormat="1" ht="15">
      <c r="A13" s="54" t="s">
        <v>186</v>
      </c>
      <c r="B13" s="55">
        <v>2.61</v>
      </c>
      <c r="C13" s="55">
        <v>1.28</v>
      </c>
      <c r="D13" s="55">
        <v>3.79</v>
      </c>
      <c r="E13" s="55">
        <v>1.18</v>
      </c>
      <c r="F13" s="55">
        <v>4.41</v>
      </c>
      <c r="G13" s="55">
        <v>48.17</v>
      </c>
      <c r="H13" s="55">
        <v>13.66</v>
      </c>
      <c r="I13" s="55">
        <v>4.99</v>
      </c>
      <c r="J13" s="55">
        <v>1.71</v>
      </c>
      <c r="K13" s="55">
        <v>348.26</v>
      </c>
      <c r="L13" s="55">
        <v>25.97</v>
      </c>
      <c r="M13" s="55">
        <v>72.569999999999993</v>
      </c>
      <c r="N13" s="55">
        <v>16</v>
      </c>
      <c r="O13" s="55">
        <v>0</v>
      </c>
      <c r="P13" s="55">
        <v>0.28999999999999998</v>
      </c>
      <c r="Q13" s="55">
        <v>9.44</v>
      </c>
      <c r="R13" s="43"/>
      <c r="S13" s="43"/>
      <c r="T13" s="43"/>
      <c r="U13" s="43"/>
    </row>
    <row r="14" spans="1:21" s="11" customFormat="1" ht="15">
      <c r="A14" s="54" t="s">
        <v>187</v>
      </c>
      <c r="B14" s="55">
        <v>2.73</v>
      </c>
      <c r="C14" s="55">
        <v>1.71</v>
      </c>
      <c r="D14" s="55">
        <v>4.3499999999999996</v>
      </c>
      <c r="E14" s="55">
        <v>1.51</v>
      </c>
      <c r="F14" s="55">
        <v>5.04</v>
      </c>
      <c r="G14" s="55">
        <v>52.12</v>
      </c>
      <c r="H14" s="55">
        <v>13.5</v>
      </c>
      <c r="I14" s="55">
        <v>4.74</v>
      </c>
      <c r="J14" s="55">
        <v>3.40</v>
      </c>
      <c r="K14" s="55">
        <v>347.41</v>
      </c>
      <c r="L14" s="55">
        <v>25.29</v>
      </c>
      <c r="M14" s="55">
        <v>76.05</v>
      </c>
      <c r="N14" s="55">
        <v>40.60</v>
      </c>
      <c r="O14" s="55">
        <v>0</v>
      </c>
      <c r="P14" s="55">
        <v>0.34</v>
      </c>
      <c r="Q14" s="55">
        <v>9.51</v>
      </c>
      <c r="R14" s="43"/>
      <c r="S14" s="43"/>
      <c r="T14" s="43"/>
      <c r="U14" s="43"/>
    </row>
    <row r="15" spans="1:21" s="11" customFormat="1" ht="15">
      <c r="A15" s="54" t="s">
        <v>188</v>
      </c>
      <c r="B15" s="55">
        <v>2.64</v>
      </c>
      <c r="C15" s="55">
        <v>1.40</v>
      </c>
      <c r="D15" s="55">
        <v>3.95</v>
      </c>
      <c r="E15" s="55">
        <v>1.05</v>
      </c>
      <c r="F15" s="55">
        <v>5.99</v>
      </c>
      <c r="G15" s="55">
        <v>52.12</v>
      </c>
      <c r="H15" s="55">
        <v>16.260000000000002</v>
      </c>
      <c r="I15" s="55">
        <v>4.26</v>
      </c>
      <c r="J15" s="55">
        <v>3.30</v>
      </c>
      <c r="K15" s="55">
        <v>344.06</v>
      </c>
      <c r="L15" s="55">
        <v>24.58</v>
      </c>
      <c r="M15" s="55">
        <v>76.69</v>
      </c>
      <c r="N15" s="55">
        <v>83.5</v>
      </c>
      <c r="O15" s="55">
        <v>0</v>
      </c>
      <c r="P15" s="55">
        <v>0.34</v>
      </c>
      <c r="Q15" s="55">
        <v>9.42</v>
      </c>
      <c r="R15" s="43"/>
      <c r="S15" s="43"/>
      <c r="T15" s="43"/>
      <c r="U15" s="43"/>
    </row>
    <row r="16" spans="1:21" s="11" customFormat="1" ht="15">
      <c r="A16" s="54" t="s">
        <v>189</v>
      </c>
      <c r="B16" s="55">
        <v>2.57</v>
      </c>
      <c r="C16" s="55">
        <v>1.1599999999999999</v>
      </c>
      <c r="D16" s="55">
        <v>3.65</v>
      </c>
      <c r="E16" s="55">
        <v>1.81</v>
      </c>
      <c r="F16" s="55">
        <v>6.66</v>
      </c>
      <c r="G16" s="55">
        <v>49.07</v>
      </c>
      <c r="H16" s="55">
        <v>16.260000000000002</v>
      </c>
      <c r="I16" s="55">
        <v>3.32</v>
      </c>
      <c r="J16" s="55">
        <v>3.13</v>
      </c>
      <c r="K16" s="55">
        <v>336</v>
      </c>
      <c r="L16" s="55">
        <v>29.74</v>
      </c>
      <c r="M16" s="55">
        <v>66.98</v>
      </c>
      <c r="N16" s="55">
        <v>419.10</v>
      </c>
      <c r="O16" s="55">
        <v>0</v>
      </c>
      <c r="P16" s="55">
        <v>0.33</v>
      </c>
      <c r="Q16" s="55">
        <v>9.44</v>
      </c>
      <c r="R16" s="43"/>
      <c r="S16" s="43"/>
      <c r="T16" s="43"/>
      <c r="U16" s="43"/>
    </row>
    <row r="17" spans="1:21" s="11" customFormat="1" ht="15">
      <c r="A17" s="54" t="s">
        <v>190</v>
      </c>
      <c r="B17" s="55">
        <v>2.73</v>
      </c>
      <c r="C17" s="55">
        <v>1.96</v>
      </c>
      <c r="D17" s="55">
        <v>4.5999999999999996</v>
      </c>
      <c r="E17" s="55">
        <v>1.51</v>
      </c>
      <c r="F17" s="55">
        <v>6.82</v>
      </c>
      <c r="G17" s="55">
        <v>40.33</v>
      </c>
      <c r="H17" s="55">
        <v>11.93</v>
      </c>
      <c r="I17" s="55">
        <v>2.60</v>
      </c>
      <c r="J17" s="55">
        <v>1.84</v>
      </c>
      <c r="K17" s="55">
        <v>314.95999999999998</v>
      </c>
      <c r="L17" s="55">
        <v>32.83</v>
      </c>
      <c r="M17" s="55">
        <v>50.87</v>
      </c>
      <c r="N17" s="55">
        <v>598.20000000000005</v>
      </c>
      <c r="O17" s="55">
        <v>0</v>
      </c>
      <c r="P17" s="55">
        <v>0.32</v>
      </c>
      <c r="Q17" s="55">
        <v>9.4700000000000006</v>
      </c>
      <c r="R17" s="43"/>
      <c r="S17" s="43"/>
      <c r="T17" s="43"/>
      <c r="U17" s="43"/>
    </row>
    <row r="18" spans="1:21" s="11" customFormat="1" ht="15">
      <c r="A18" s="54" t="s">
        <v>191</v>
      </c>
      <c r="B18" s="55">
        <v>2.5</v>
      </c>
      <c r="C18" s="55">
        <v>1.05</v>
      </c>
      <c r="D18" s="55">
        <v>3.46</v>
      </c>
      <c r="E18" s="55">
        <v>1.45</v>
      </c>
      <c r="F18" s="55">
        <v>7.58</v>
      </c>
      <c r="G18" s="55">
        <v>29.59</v>
      </c>
      <c r="H18" s="55">
        <v>9.0500000000000007</v>
      </c>
      <c r="I18" s="55">
        <v>2.2400000000000002</v>
      </c>
      <c r="J18" s="55">
        <v>0.95</v>
      </c>
      <c r="K18" s="55">
        <v>351.02</v>
      </c>
      <c r="L18" s="55">
        <v>33.78</v>
      </c>
      <c r="M18" s="55">
        <v>44.96</v>
      </c>
      <c r="N18" s="55">
        <v>849.70</v>
      </c>
      <c r="O18" s="55">
        <v>0</v>
      </c>
      <c r="P18" s="55">
        <v>0.32</v>
      </c>
      <c r="Q18" s="55">
        <v>9.4499999999999993</v>
      </c>
      <c r="R18" s="43"/>
      <c r="S18" s="43"/>
      <c r="T18" s="43"/>
      <c r="U18" s="43"/>
    </row>
    <row r="19" spans="1:21" s="11" customFormat="1" ht="15">
      <c r="A19" s="54" t="s">
        <v>192</v>
      </c>
      <c r="B19" s="55">
        <v>2.64</v>
      </c>
      <c r="C19" s="55">
        <v>1.55</v>
      </c>
      <c r="D19" s="55">
        <v>4.1100000000000003</v>
      </c>
      <c r="E19" s="55">
        <v>1.73</v>
      </c>
      <c r="F19" s="55">
        <v>13.15</v>
      </c>
      <c r="G19" s="55">
        <v>26.94</v>
      </c>
      <c r="H19" s="55">
        <v>9.85</v>
      </c>
      <c r="I19" s="55">
        <v>2.74</v>
      </c>
      <c r="J19" s="55">
        <v>0.66</v>
      </c>
      <c r="K19" s="55">
        <v>357.21</v>
      </c>
      <c r="L19" s="55">
        <v>33.40</v>
      </c>
      <c r="M19" s="55">
        <v>46.20</v>
      </c>
      <c r="N19" s="55">
        <v>923</v>
      </c>
      <c r="O19" s="55">
        <v>0</v>
      </c>
      <c r="P19" s="55">
        <v>0.71</v>
      </c>
      <c r="Q19" s="55">
        <v>9.5</v>
      </c>
      <c r="R19" s="43"/>
      <c r="S19" s="43"/>
      <c r="T19" s="43"/>
      <c r="U19" s="43"/>
    </row>
    <row r="20" spans="1:21" s="11" customFormat="1" ht="15">
      <c r="A20" s="54" t="s">
        <v>193</v>
      </c>
      <c r="B20" s="55">
        <v>2.62</v>
      </c>
      <c r="C20" s="55">
        <v>1.76</v>
      </c>
      <c r="D20" s="55">
        <v>4.29</v>
      </c>
      <c r="E20" s="55">
        <v>1.62</v>
      </c>
      <c r="F20" s="55">
        <v>11.14</v>
      </c>
      <c r="G20" s="55">
        <v>25.93</v>
      </c>
      <c r="H20" s="55">
        <v>13.46</v>
      </c>
      <c r="I20" s="55">
        <v>4.6100000000000003</v>
      </c>
      <c r="J20" s="55">
        <v>1.41</v>
      </c>
      <c r="K20" s="55">
        <v>342.54</v>
      </c>
      <c r="L20" s="55">
        <v>35.15</v>
      </c>
      <c r="M20" s="55">
        <v>44.59</v>
      </c>
      <c r="N20" s="55">
        <v>630.20000000000005</v>
      </c>
      <c r="O20" s="55">
        <v>0</v>
      </c>
      <c r="P20" s="55">
        <v>0.71</v>
      </c>
      <c r="Q20" s="55">
        <v>9.3800000000000008</v>
      </c>
      <c r="R20" s="43"/>
      <c r="S20" s="43"/>
      <c r="T20" s="43"/>
      <c r="U20" s="43"/>
    </row>
    <row r="21" spans="1:21" s="11" customFormat="1" ht="15">
      <c r="A21" s="54" t="s">
        <v>194</v>
      </c>
      <c r="B21" s="55">
        <v>2.54</v>
      </c>
      <c r="C21" s="55">
        <v>2.89</v>
      </c>
      <c r="D21" s="55">
        <v>4.6900000000000004</v>
      </c>
      <c r="E21" s="55">
        <v>2.41</v>
      </c>
      <c r="F21" s="55">
        <v>21.49</v>
      </c>
      <c r="G21" s="55">
        <v>25.93</v>
      </c>
      <c r="H21" s="55">
        <v>15.73</v>
      </c>
      <c r="I21" s="55">
        <v>4.6399999999999997</v>
      </c>
      <c r="J21" s="55">
        <v>1.18</v>
      </c>
      <c r="K21" s="55">
        <v>337.27</v>
      </c>
      <c r="L21" s="55">
        <v>37.159999999999997</v>
      </c>
      <c r="M21" s="55">
        <v>35.090000000000003</v>
      </c>
      <c r="N21" s="55">
        <v>585.60</v>
      </c>
      <c r="O21" s="55">
        <v>0</v>
      </c>
      <c r="P21" s="55">
        <v>0.66</v>
      </c>
      <c r="Q21" s="55">
        <v>9.5500000000000007</v>
      </c>
      <c r="R21" s="43"/>
      <c r="S21" s="43"/>
      <c r="T21" s="43"/>
      <c r="U21" s="43"/>
    </row>
    <row r="22" spans="1:21" s="11" customFormat="1" ht="15">
      <c r="A22" s="54" t="s">
        <v>195</v>
      </c>
      <c r="B22" s="55">
        <v>2.4500000000000002</v>
      </c>
      <c r="C22" s="55">
        <v>2.06</v>
      </c>
      <c r="D22" s="55">
        <v>4.18</v>
      </c>
      <c r="E22" s="55">
        <v>1.98</v>
      </c>
      <c r="F22" s="55">
        <v>12.34</v>
      </c>
      <c r="G22" s="55">
        <v>38.46</v>
      </c>
      <c r="H22" s="55">
        <v>15.76</v>
      </c>
      <c r="I22" s="55">
        <v>4.07</v>
      </c>
      <c r="J22" s="55">
        <v>1.44</v>
      </c>
      <c r="K22" s="55">
        <v>338.24</v>
      </c>
      <c r="L22" s="55">
        <v>37.74</v>
      </c>
      <c r="M22" s="55">
        <v>31.66</v>
      </c>
      <c r="N22" s="55">
        <v>879.30</v>
      </c>
      <c r="O22" s="55">
        <v>0</v>
      </c>
      <c r="P22" s="55">
        <v>0.46</v>
      </c>
      <c r="Q22" s="55">
        <v>9.6999999999999993</v>
      </c>
      <c r="R22" s="43"/>
      <c r="S22" s="43"/>
      <c r="T22" s="43"/>
      <c r="U22" s="43"/>
    </row>
    <row r="23" spans="1:21" s="11" customFormat="1" ht="15">
      <c r="A23" s="54" t="s">
        <v>196</v>
      </c>
      <c r="B23" s="55">
        <v>2.4700000000000002</v>
      </c>
      <c r="C23" s="55">
        <v>1.61</v>
      </c>
      <c r="D23" s="55">
        <v>3.97</v>
      </c>
      <c r="E23" s="55">
        <v>1.37</v>
      </c>
      <c r="F23" s="55">
        <v>7.38</v>
      </c>
      <c r="G23" s="55">
        <v>38.46</v>
      </c>
      <c r="H23" s="55">
        <v>16.13</v>
      </c>
      <c r="I23" s="55">
        <v>4.72</v>
      </c>
      <c r="J23" s="55">
        <v>1.37</v>
      </c>
      <c r="K23" s="55">
        <v>344.92</v>
      </c>
      <c r="L23" s="55">
        <v>38</v>
      </c>
      <c r="M23" s="55">
        <v>26.24</v>
      </c>
      <c r="N23" s="55">
        <v>704.10</v>
      </c>
      <c r="O23" s="55">
        <v>0</v>
      </c>
      <c r="P23" s="55">
        <v>0.46</v>
      </c>
      <c r="Q23" s="55">
        <v>9.49</v>
      </c>
      <c r="R23" s="43"/>
      <c r="S23" s="43"/>
      <c r="T23" s="43"/>
      <c r="U23" s="43"/>
    </row>
    <row r="24" spans="1:21" s="11" customFormat="1" ht="15">
      <c r="A24" s="54" t="s">
        <v>197</v>
      </c>
      <c r="B24" s="55">
        <v>2.52</v>
      </c>
      <c r="C24" s="55">
        <v>1.56</v>
      </c>
      <c r="D24" s="55">
        <v>3.99</v>
      </c>
      <c r="E24" s="55">
        <v>2.08</v>
      </c>
      <c r="F24" s="55">
        <v>7.96</v>
      </c>
      <c r="G24" s="55">
        <v>33.049999999999997</v>
      </c>
      <c r="H24" s="55">
        <v>18.02</v>
      </c>
      <c r="I24" s="55">
        <v>4.99</v>
      </c>
      <c r="J24" s="55">
        <v>1.86</v>
      </c>
      <c r="K24" s="55">
        <v>345.94</v>
      </c>
      <c r="L24" s="55">
        <v>38.020000000000003</v>
      </c>
      <c r="M24" s="55">
        <v>28.24</v>
      </c>
      <c r="N24" s="55">
        <v>383.80</v>
      </c>
      <c r="O24" s="55">
        <v>0</v>
      </c>
      <c r="P24" s="55">
        <v>0.45</v>
      </c>
      <c r="Q24" s="55">
        <v>9.4600000000000009</v>
      </c>
      <c r="R24" s="43"/>
      <c r="S24" s="43"/>
      <c r="T24" s="43"/>
      <c r="U24" s="43"/>
    </row>
    <row r="25" spans="1:21" s="11" customFormat="1" ht="15">
      <c r="A25" s="54" t="s">
        <v>198</v>
      </c>
      <c r="B25" s="55">
        <v>2.5299999999999998</v>
      </c>
      <c r="C25" s="55">
        <v>1.47</v>
      </c>
      <c r="D25" s="55">
        <v>3.94</v>
      </c>
      <c r="E25" s="55">
        <v>2.11</v>
      </c>
      <c r="F25" s="55">
        <v>5.49</v>
      </c>
      <c r="G25" s="55">
        <v>36.299999999999997</v>
      </c>
      <c r="H25" s="55">
        <v>18.02</v>
      </c>
      <c r="I25" s="55">
        <v>6.21</v>
      </c>
      <c r="J25" s="55">
        <v>1.67</v>
      </c>
      <c r="K25" s="55">
        <v>344.54</v>
      </c>
      <c r="L25" s="55">
        <v>36.090000000000003</v>
      </c>
      <c r="M25" s="55">
        <v>30.25</v>
      </c>
      <c r="N25" s="55">
        <v>125.20</v>
      </c>
      <c r="O25" s="55">
        <v>0</v>
      </c>
      <c r="P25" s="55">
        <v>0.46</v>
      </c>
      <c r="Q25" s="55">
        <v>9.42</v>
      </c>
      <c r="R25" s="43"/>
      <c r="S25" s="43"/>
      <c r="T25" s="43"/>
      <c r="U25" s="43"/>
    </row>
    <row r="26" spans="1:21" s="11" customFormat="1" ht="15">
      <c r="A26" s="54" t="s">
        <v>199</v>
      </c>
      <c r="B26" s="55">
        <v>2.42</v>
      </c>
      <c r="C26" s="55">
        <v>1.21</v>
      </c>
      <c r="D26" s="55">
        <v>3.72</v>
      </c>
      <c r="E26" s="55">
        <v>2.15</v>
      </c>
      <c r="F26" s="55">
        <v>4.95</v>
      </c>
      <c r="G26" s="55">
        <v>37.81</v>
      </c>
      <c r="H26" s="55">
        <v>18.48</v>
      </c>
      <c r="I26" s="55">
        <v>6.57</v>
      </c>
      <c r="J26" s="55">
        <v>1.1499999999999999</v>
      </c>
      <c r="K26" s="55">
        <v>345.45</v>
      </c>
      <c r="L26" s="55">
        <v>35.270000000000003</v>
      </c>
      <c r="M26" s="55">
        <v>31.97</v>
      </c>
      <c r="N26" s="55">
        <v>82.5</v>
      </c>
      <c r="O26" s="55">
        <v>0</v>
      </c>
      <c r="P26" s="55">
        <v>0.52</v>
      </c>
      <c r="Q26" s="55">
        <v>9.51</v>
      </c>
      <c r="R26" s="43"/>
      <c r="S26" s="43"/>
      <c r="T26" s="43"/>
      <c r="U26" s="43"/>
    </row>
    <row r="27" spans="1:21" s="11" customFormat="1" ht="15">
      <c r="A27" s="54" t="s">
        <v>200</v>
      </c>
      <c r="B27" s="55">
        <v>2.79</v>
      </c>
      <c r="C27" s="55">
        <v>2.68</v>
      </c>
      <c r="D27" s="55">
        <v>4.78</v>
      </c>
      <c r="E27" s="55">
        <v>2.09</v>
      </c>
      <c r="F27" s="55">
        <v>5.22</v>
      </c>
      <c r="G27" s="55">
        <v>40.46</v>
      </c>
      <c r="H27" s="55">
        <v>18.62</v>
      </c>
      <c r="I27" s="55">
        <v>6.27</v>
      </c>
      <c r="J27" s="55">
        <v>0.63</v>
      </c>
      <c r="K27" s="55">
        <v>335.12</v>
      </c>
      <c r="L27" s="55">
        <v>33.39</v>
      </c>
      <c r="M27" s="55">
        <v>39.03</v>
      </c>
      <c r="N27" s="55">
        <v>36.5</v>
      </c>
      <c r="O27" s="55">
        <v>0</v>
      </c>
      <c r="P27" s="55">
        <v>0.67</v>
      </c>
      <c r="Q27" s="55">
        <v>9.5399999999999991</v>
      </c>
      <c r="R27" s="43"/>
      <c r="S27" s="43"/>
      <c r="T27" s="43"/>
      <c r="U27" s="43"/>
    </row>
    <row r="28" spans="1:21" s="11" customFormat="1" ht="15">
      <c r="A28" s="54" t="s">
        <v>201</v>
      </c>
      <c r="B28" s="55">
        <v>2.4700000000000002</v>
      </c>
      <c r="C28" s="55">
        <v>1.32</v>
      </c>
      <c r="D28" s="55">
        <v>3.82</v>
      </c>
      <c r="E28" s="55">
        <v>2.12</v>
      </c>
      <c r="F28" s="55">
        <v>4.5999999999999996</v>
      </c>
      <c r="G28" s="55">
        <v>42.73</v>
      </c>
      <c r="H28" s="55">
        <v>18.62</v>
      </c>
      <c r="I28" s="55">
        <v>6.94</v>
      </c>
      <c r="J28" s="55">
        <v>0.54</v>
      </c>
      <c r="K28" s="55">
        <v>38.60</v>
      </c>
      <c r="L28" s="55">
        <v>31.69</v>
      </c>
      <c r="M28" s="55">
        <v>40.40</v>
      </c>
      <c r="N28" s="55">
        <v>19.600000000000001</v>
      </c>
      <c r="O28" s="55">
        <v>0</v>
      </c>
      <c r="P28" s="55">
        <v>0.61</v>
      </c>
      <c r="Q28" s="55">
        <v>9.5399999999999991</v>
      </c>
      <c r="R28" s="43"/>
      <c r="S28" s="43"/>
      <c r="T28" s="43"/>
      <c r="U28" s="43"/>
    </row>
    <row r="29" spans="1:21" s="11" customFormat="1" ht="15">
      <c r="A29" s="54" t="s">
        <v>202</v>
      </c>
      <c r="B29" s="55">
        <v>2.5299999999999998</v>
      </c>
      <c r="C29" s="55">
        <v>1.62</v>
      </c>
      <c r="D29" s="55">
        <v>4.01</v>
      </c>
      <c r="E29" s="55">
        <v>2.13</v>
      </c>
      <c r="F29" s="55">
        <v>4.05</v>
      </c>
      <c r="G29" s="55">
        <v>42.73</v>
      </c>
      <c r="H29" s="55">
        <v>17.989999999999998</v>
      </c>
      <c r="I29" s="55">
        <v>5.86</v>
      </c>
      <c r="J29" s="55">
        <v>1.17</v>
      </c>
      <c r="K29" s="55">
        <v>213.87</v>
      </c>
      <c r="L29" s="55">
        <v>30.23</v>
      </c>
      <c r="M29" s="55">
        <v>42.74</v>
      </c>
      <c r="N29" s="55">
        <v>19.20</v>
      </c>
      <c r="O29" s="55">
        <v>0</v>
      </c>
      <c r="P29" s="55">
        <v>0.61</v>
      </c>
      <c r="Q29" s="55">
        <v>9.4499999999999993</v>
      </c>
      <c r="R29" s="43"/>
      <c r="S29" s="43"/>
      <c r="T29" s="43"/>
      <c r="U29" s="43"/>
    </row>
    <row r="30" spans="1:21" s="11" customFormat="1" ht="15">
      <c r="A30" s="54" t="s">
        <v>203</v>
      </c>
      <c r="B30" s="55">
        <v>2.58</v>
      </c>
      <c r="C30" s="55">
        <v>1.49</v>
      </c>
      <c r="D30" s="55">
        <v>4</v>
      </c>
      <c r="E30" s="55">
        <v>2.13</v>
      </c>
      <c r="F30" s="55">
        <v>4.38</v>
      </c>
      <c r="G30" s="55">
        <v>41.80</v>
      </c>
      <c r="H30" s="55">
        <v>18.05</v>
      </c>
      <c r="I30" s="55">
        <v>5.76</v>
      </c>
      <c r="J30" s="55">
        <v>0.69</v>
      </c>
      <c r="K30" s="55">
        <v>317.76</v>
      </c>
      <c r="L30" s="55">
        <v>29.08</v>
      </c>
      <c r="M30" s="55">
        <v>45.45</v>
      </c>
      <c r="N30" s="55">
        <v>19.600000000000001</v>
      </c>
      <c r="O30" s="55">
        <v>0</v>
      </c>
      <c r="P30" s="55">
        <v>0.57999999999999996</v>
      </c>
      <c r="Q30" s="55">
        <v>9.51</v>
      </c>
      <c r="R30" s="43"/>
      <c r="S30" s="43"/>
      <c r="T30" s="43"/>
      <c r="U30" s="43"/>
    </row>
    <row r="31" spans="1:21" s="11" customFormat="1" ht="15">
      <c r="A31" s="54" t="s">
        <v>204</v>
      </c>
      <c r="B31" s="55">
        <v>2.61</v>
      </c>
      <c r="C31" s="55">
        <v>1.81</v>
      </c>
      <c r="D31" s="55">
        <v>4.1900000000000004</v>
      </c>
      <c r="E31" s="55">
        <v>2.2999999999999998</v>
      </c>
      <c r="F31" s="55">
        <v>4.51</v>
      </c>
      <c r="G31" s="55">
        <v>41.47</v>
      </c>
      <c r="H31" s="55">
        <v>18.05</v>
      </c>
      <c r="I31" s="55">
        <v>6.31</v>
      </c>
      <c r="J31" s="55">
        <v>1.24</v>
      </c>
      <c r="K31" s="55">
        <v>309.17</v>
      </c>
      <c r="L31" s="55">
        <v>28.48</v>
      </c>
      <c r="M31" s="55">
        <v>48.29</v>
      </c>
      <c r="N31" s="55">
        <v>19.70</v>
      </c>
      <c r="O31" s="55">
        <v>0</v>
      </c>
      <c r="P31" s="55">
        <v>0.56000000000000005</v>
      </c>
      <c r="Q31" s="55">
        <v>9.5299999999999994</v>
      </c>
      <c r="R31" s="43"/>
      <c r="S31" s="43"/>
      <c r="T31" s="43"/>
      <c r="U31" s="43"/>
    </row>
    <row r="32" spans="1:21" s="11" customFormat="1" ht="15">
      <c r="A32" s="54" t="s">
        <v>205</v>
      </c>
      <c r="B32" s="55">
        <v>2.60</v>
      </c>
      <c r="C32" s="55">
        <v>1.63</v>
      </c>
      <c r="D32" s="55">
        <v>4.08</v>
      </c>
      <c r="E32" s="55">
        <v>2.3199999999999998</v>
      </c>
      <c r="F32" s="55">
        <v>4.70</v>
      </c>
      <c r="G32" s="55">
        <v>40.56</v>
      </c>
      <c r="H32" s="55">
        <v>20.73</v>
      </c>
      <c r="I32" s="55">
        <v>5.99</v>
      </c>
      <c r="J32" s="55">
        <v>0.63</v>
      </c>
      <c r="K32" s="55">
        <v>169.81</v>
      </c>
      <c r="L32" s="55">
        <v>28.09</v>
      </c>
      <c r="M32" s="55">
        <v>51.81</v>
      </c>
      <c r="N32" s="55">
        <v>19.899999999999999</v>
      </c>
      <c r="O32" s="55">
        <v>0</v>
      </c>
      <c r="P32" s="55">
        <v>0.48</v>
      </c>
      <c r="Q32" s="55">
        <v>9.5299999999999994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2.4199999999999999</v>
      </c>
      <c r="C34" s="28">
        <f t="shared" si="0"/>
        <v>0.87</v>
      </c>
      <c r="D34" s="28">
        <f t="shared" si="0"/>
        <v>3.3300000000000001</v>
      </c>
      <c r="E34" s="28">
        <f t="shared" si="0"/>
        <v>1.05</v>
      </c>
      <c r="F34" s="28">
        <f t="shared" si="0"/>
        <v>4.0499999999999998</v>
      </c>
      <c r="G34" s="28">
        <f t="shared" si="0"/>
        <v>25.93</v>
      </c>
      <c r="H34" s="28">
        <f t="shared" si="0"/>
        <v>9.0500000000000007</v>
      </c>
      <c r="I34" s="28">
        <f t="shared" si="0"/>
        <v>2.2400000000000002</v>
      </c>
      <c r="J34" s="28">
        <f t="shared" si="0"/>
        <v>0.54000000000000004</v>
      </c>
      <c r="K34" s="28">
        <f t="shared" si="0"/>
        <v>38.600000000000001</v>
      </c>
      <c r="L34" s="28">
        <f t="shared" si="0"/>
        <v>24.579999999999998</v>
      </c>
      <c r="M34" s="28">
        <f t="shared" si="0"/>
        <v>26.239999999999998</v>
      </c>
      <c r="N34" s="28">
        <f t="shared" si="0"/>
        <v>14.9</v>
      </c>
      <c r="O34" s="28">
        <f t="shared" si="0"/>
        <v>0</v>
      </c>
      <c r="P34" s="28">
        <f t="shared" si="0"/>
        <v>0.28000000000000003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2.79</v>
      </c>
      <c r="C35" s="29">
        <f t="shared" si="1"/>
        <v>2.8900000000000001</v>
      </c>
      <c r="D35" s="29">
        <f t="shared" si="1"/>
        <v>4.7800000000000002</v>
      </c>
      <c r="E35" s="29">
        <f t="shared" si="1"/>
        <v>2.4100000000000001</v>
      </c>
      <c r="F35" s="29">
        <f t="shared" si="1"/>
        <v>21.489999999999998</v>
      </c>
      <c r="G35" s="29">
        <f t="shared" si="1"/>
        <v>52.119999999999997</v>
      </c>
      <c r="H35" s="29">
        <f t="shared" si="1"/>
        <v>20.73</v>
      </c>
      <c r="I35" s="29">
        <f t="shared" si="1"/>
        <v>6.9400000000000004</v>
      </c>
      <c r="J35" s="29">
        <f t="shared" si="1"/>
        <v>3.3999999999999999</v>
      </c>
      <c r="K35" s="29">
        <f t="shared" si="1"/>
        <v>357.20999999999998</v>
      </c>
      <c r="L35" s="29">
        <f t="shared" si="1"/>
        <v>38.020000000000003</v>
      </c>
      <c r="M35" s="29">
        <f t="shared" si="1"/>
        <v>77.159999999999997</v>
      </c>
      <c r="N35" s="29">
        <f t="shared" si="1"/>
        <v>923</v>
      </c>
      <c r="O35" s="29">
        <f t="shared" si="1"/>
        <v>0.20000000000000001</v>
      </c>
      <c r="P35" s="29">
        <f t="shared" si="1"/>
        <v>0.70999999999999996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2.5866666666666669</v>
      </c>
      <c r="C36" s="28">
        <f t="shared" si="2"/>
        <v>1.6125</v>
      </c>
      <c r="D36" s="28">
        <f t="shared" si="2"/>
        <v>4.0508333333333324</v>
      </c>
      <c r="E36" s="28">
        <f t="shared" si="2"/>
        <v>1.7525000000000002</v>
      </c>
      <c r="F36" s="28">
        <f t="shared" si="2"/>
        <v>7.1679166666666658</v>
      </c>
      <c r="G36" s="28">
        <f t="shared" si="2"/>
        <v>39.185416666666661</v>
      </c>
      <c r="H36" s="28">
        <f t="shared" si="2"/>
        <v>15.805833333333338</v>
      </c>
      <c r="I36" s="28">
        <f t="shared" si="2"/>
        <v>4.9516666666666671</v>
      </c>
      <c r="J36" s="28">
        <f t="shared" si="2"/>
        <v>1.58125</v>
      </c>
      <c r="K36" s="28">
        <f t="shared" si="2"/>
        <v>299.38249999999999</v>
      </c>
      <c r="L36" s="28">
        <f t="shared" si="2"/>
        <v>31.240833333333338</v>
      </c>
      <c r="M36" s="28">
        <f t="shared" si="2"/>
        <v>50.089166666666671</v>
      </c>
      <c r="N36" s="28">
        <f t="shared" si="2"/>
        <v>271.62500000000006</v>
      </c>
      <c r="O36" s="28">
        <f t="shared" si="2"/>
        <v>0.0083333333333333332</v>
      </c>
      <c r="P36" s="28">
        <f t="shared" si="2"/>
        <v>0.46416666666666662</v>
      </c>
      <c r="Q36" s="28">
        <f t="shared" si="2"/>
        <v>9.4841666666666651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0.097162645652236007</v>
      </c>
      <c r="C37" s="28">
        <f t="shared" si="3" ref="C37:Q37">STDEV(C9:C32)</f>
        <v>0.47436227212689558</v>
      </c>
      <c r="D37" s="28">
        <f t="shared" si="3"/>
        <v>0.38310989077000485</v>
      </c>
      <c r="E37" s="28">
        <f t="shared" si="3"/>
        <v>0.43165253739955955</v>
      </c>
      <c r="F37" s="28">
        <f t="shared" si="3"/>
        <v>3.946877664319159</v>
      </c>
      <c r="G37" s="28">
        <f t="shared" si="3"/>
        <v>7.3851154529650858</v>
      </c>
      <c r="H37" s="28">
        <f t="shared" si="3"/>
        <v>2.8646160933567799</v>
      </c>
      <c r="I37" s="28">
        <f t="shared" si="3"/>
        <v>1.3227200783979571</v>
      </c>
      <c r="J37" s="28">
        <f t="shared" si="3"/>
        <v>0.90002083309221259</v>
      </c>
      <c r="K37" s="28">
        <f t="shared" si="3"/>
        <v>85.21808459068005</v>
      </c>
      <c r="L37" s="28">
        <f t="shared" si="3"/>
        <v>4.5239804680571156</v>
      </c>
      <c r="M37" s="28">
        <f t="shared" si="3"/>
        <v>16.574342380991137</v>
      </c>
      <c r="N37" s="28">
        <f t="shared" si="3"/>
        <v>331.57194936950805</v>
      </c>
      <c r="O37" s="28">
        <f t="shared" si="3"/>
        <v>0.040824829046386311</v>
      </c>
      <c r="P37" s="28">
        <f t="shared" si="3"/>
        <v>0.14503123101944121</v>
      </c>
      <c r="Q37" s="28">
        <f t="shared" si="3"/>
        <v>0.065136423168519003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03a7c7d-fa6f-40be-b963-ea65b2a74e8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206</v>
      </c>
      <c r="B9" s="55">
        <v>2.5499999999999998</v>
      </c>
      <c r="C9" s="55">
        <v>1.34</v>
      </c>
      <c r="D9" s="55">
        <v>3.89</v>
      </c>
      <c r="E9" s="55">
        <v>0.32</v>
      </c>
      <c r="F9" s="55">
        <v>4.16</v>
      </c>
      <c r="G9" s="55">
        <v>34.57</v>
      </c>
      <c r="H9" s="55">
        <v>20.73</v>
      </c>
      <c r="I9" s="55">
        <v>5.45</v>
      </c>
      <c r="J9" s="55">
        <v>0.69</v>
      </c>
      <c r="K9" s="55">
        <v>221.08</v>
      </c>
      <c r="L9" s="55">
        <v>28.19</v>
      </c>
      <c r="M9" s="55">
        <v>53.90</v>
      </c>
      <c r="N9" s="55">
        <v>20</v>
      </c>
      <c r="O9" s="55">
        <v>0</v>
      </c>
      <c r="P9" s="55">
        <v>0.45</v>
      </c>
      <c r="Q9" s="55">
        <v>9.4700000000000006</v>
      </c>
      <c r="R9" s="43"/>
      <c r="S9" s="43"/>
      <c r="T9" s="43"/>
      <c r="U9" s="43"/>
    </row>
    <row r="10" spans="1:21" s="11" customFormat="1" ht="15">
      <c r="A10" s="54" t="s">
        <v>207</v>
      </c>
      <c r="B10" s="55">
        <v>2.60</v>
      </c>
      <c r="C10" s="55">
        <v>1.32</v>
      </c>
      <c r="D10" s="55">
        <v>3.92</v>
      </c>
      <c r="E10" s="55">
        <v>0.49</v>
      </c>
      <c r="F10" s="55">
        <v>3.94</v>
      </c>
      <c r="G10" s="55">
        <v>32.15</v>
      </c>
      <c r="H10" s="55">
        <v>17.72</v>
      </c>
      <c r="I10" s="55">
        <v>4.41</v>
      </c>
      <c r="J10" s="55">
        <v>0.66</v>
      </c>
      <c r="K10" s="55">
        <v>344.87</v>
      </c>
      <c r="L10" s="55">
        <v>27.83</v>
      </c>
      <c r="M10" s="55">
        <v>57.34</v>
      </c>
      <c r="N10" s="55">
        <v>20.30</v>
      </c>
      <c r="O10" s="55">
        <v>0</v>
      </c>
      <c r="P10" s="55">
        <v>0.44</v>
      </c>
      <c r="Q10" s="55">
        <v>9.4600000000000009</v>
      </c>
      <c r="R10" s="43"/>
      <c r="S10" s="43"/>
      <c r="T10" s="43"/>
      <c r="U10" s="43"/>
    </row>
    <row r="11" spans="1:21" s="11" customFormat="1" ht="15">
      <c r="A11" s="54" t="s">
        <v>208</v>
      </c>
      <c r="B11" s="55">
        <v>2.66</v>
      </c>
      <c r="C11" s="55">
        <v>1.45</v>
      </c>
      <c r="D11" s="55">
        <v>4.04</v>
      </c>
      <c r="E11" s="55">
        <v>0.71</v>
      </c>
      <c r="F11" s="55">
        <v>4.71</v>
      </c>
      <c r="G11" s="55">
        <v>30.54</v>
      </c>
      <c r="H11" s="55">
        <v>16.36</v>
      </c>
      <c r="I11" s="55">
        <v>5.29</v>
      </c>
      <c r="J11" s="55">
        <v>1.02</v>
      </c>
      <c r="K11" s="55">
        <v>341.30</v>
      </c>
      <c r="L11" s="55">
        <v>27.49</v>
      </c>
      <c r="M11" s="55">
        <v>60.51</v>
      </c>
      <c r="N11" s="55">
        <v>20.30</v>
      </c>
      <c r="O11" s="55">
        <v>0</v>
      </c>
      <c r="P11" s="55">
        <v>0.43</v>
      </c>
      <c r="Q11" s="55">
        <v>9.52</v>
      </c>
      <c r="R11" s="43"/>
      <c r="S11" s="43"/>
      <c r="T11" s="43"/>
      <c r="U11" s="43"/>
    </row>
    <row r="12" spans="1:21" s="11" customFormat="1" ht="15">
      <c r="A12" s="54" t="s">
        <v>209</v>
      </c>
      <c r="B12" s="55">
        <v>2.68</v>
      </c>
      <c r="C12" s="55">
        <v>1.74</v>
      </c>
      <c r="D12" s="55">
        <v>4.20</v>
      </c>
      <c r="E12" s="55">
        <v>1.56</v>
      </c>
      <c r="F12" s="55">
        <v>4.79</v>
      </c>
      <c r="G12" s="55">
        <v>28.55</v>
      </c>
      <c r="H12" s="55">
        <v>15.55</v>
      </c>
      <c r="I12" s="55">
        <v>5.87</v>
      </c>
      <c r="J12" s="55">
        <v>0.51</v>
      </c>
      <c r="K12" s="55">
        <v>239.72</v>
      </c>
      <c r="L12" s="55">
        <v>26.97</v>
      </c>
      <c r="M12" s="55">
        <v>63</v>
      </c>
      <c r="N12" s="55">
        <v>20.20</v>
      </c>
      <c r="O12" s="55">
        <v>0</v>
      </c>
      <c r="P12" s="55">
        <v>0.41</v>
      </c>
      <c r="Q12" s="55">
        <v>9.5</v>
      </c>
      <c r="R12" s="43"/>
      <c r="S12" s="43"/>
      <c r="T12" s="43"/>
      <c r="U12" s="43"/>
    </row>
    <row r="13" spans="1:21" s="11" customFormat="1" ht="15">
      <c r="A13" s="54" t="s">
        <v>210</v>
      </c>
      <c r="B13" s="55">
        <v>2.68</v>
      </c>
      <c r="C13" s="55">
        <v>1.61</v>
      </c>
      <c r="D13" s="55">
        <v>4.1399999999999997</v>
      </c>
      <c r="E13" s="55">
        <v>2.14</v>
      </c>
      <c r="F13" s="55">
        <v>4.16</v>
      </c>
      <c r="G13" s="55">
        <v>26.93</v>
      </c>
      <c r="H13" s="55">
        <v>13.49</v>
      </c>
      <c r="I13" s="55">
        <v>5.62</v>
      </c>
      <c r="J13" s="55">
        <v>0.46</v>
      </c>
      <c r="K13" s="55">
        <v>34.549999999999997</v>
      </c>
      <c r="L13" s="55">
        <v>26.90</v>
      </c>
      <c r="M13" s="55">
        <v>61.82</v>
      </c>
      <c r="N13" s="55">
        <v>20.5</v>
      </c>
      <c r="O13" s="55">
        <v>0</v>
      </c>
      <c r="P13" s="55">
        <v>0.41</v>
      </c>
      <c r="Q13" s="55">
        <v>9.4700000000000006</v>
      </c>
      <c r="R13" s="43"/>
      <c r="S13" s="43"/>
      <c r="T13" s="43"/>
      <c r="U13" s="43"/>
    </row>
    <row r="14" spans="1:21" s="11" customFormat="1" ht="15">
      <c r="A14" s="54" t="s">
        <v>211</v>
      </c>
      <c r="B14" s="55">
        <v>2.59</v>
      </c>
      <c r="C14" s="55">
        <v>1.30</v>
      </c>
      <c r="D14" s="55">
        <v>3.90</v>
      </c>
      <c r="E14" s="55">
        <v>1.87</v>
      </c>
      <c r="F14" s="55">
        <v>4.03</v>
      </c>
      <c r="G14" s="55">
        <v>31.95</v>
      </c>
      <c r="H14" s="55">
        <v>11.98</v>
      </c>
      <c r="I14" s="55">
        <v>5.31</v>
      </c>
      <c r="J14" s="55">
        <v>0.20</v>
      </c>
      <c r="K14" s="55">
        <v>244.92</v>
      </c>
      <c r="L14" s="55">
        <v>26.59</v>
      </c>
      <c r="M14" s="55">
        <v>65.44</v>
      </c>
      <c r="N14" s="55">
        <v>63.60</v>
      </c>
      <c r="O14" s="55">
        <v>0</v>
      </c>
      <c r="P14" s="55">
        <v>0.40</v>
      </c>
      <c r="Q14" s="55">
        <v>9.51</v>
      </c>
      <c r="R14" s="43"/>
      <c r="S14" s="43"/>
      <c r="T14" s="43"/>
      <c r="U14" s="43"/>
    </row>
    <row r="15" spans="1:21" s="11" customFormat="1" ht="15">
      <c r="A15" s="54" t="s">
        <v>212</v>
      </c>
      <c r="B15" s="55">
        <v>2.61</v>
      </c>
      <c r="C15" s="55">
        <v>1.1000000000000001</v>
      </c>
      <c r="D15" s="55">
        <v>3.81</v>
      </c>
      <c r="E15" s="55">
        <v>2.36</v>
      </c>
      <c r="F15" s="55">
        <v>3.68</v>
      </c>
      <c r="G15" s="55">
        <v>32.090000000000003</v>
      </c>
      <c r="H15" s="55">
        <v>12.36</v>
      </c>
      <c r="I15" s="55">
        <v>5.37</v>
      </c>
      <c r="J15" s="55">
        <v>0.42</v>
      </c>
      <c r="K15" s="55">
        <v>244.20</v>
      </c>
      <c r="L15" s="55">
        <v>28.38</v>
      </c>
      <c r="M15" s="55">
        <v>64.64</v>
      </c>
      <c r="N15" s="55">
        <v>219.80</v>
      </c>
      <c r="O15" s="55">
        <v>0</v>
      </c>
      <c r="P15" s="55">
        <v>0.40</v>
      </c>
      <c r="Q15" s="55">
        <v>9.48</v>
      </c>
      <c r="R15" s="43"/>
      <c r="S15" s="43"/>
      <c r="T15" s="43"/>
      <c r="U15" s="43"/>
    </row>
    <row r="16" spans="1:21" s="11" customFormat="1" ht="15">
      <c r="A16" s="54" t="s">
        <v>213</v>
      </c>
      <c r="B16" s="55">
        <v>2.68</v>
      </c>
      <c r="C16" s="55">
        <v>1.76</v>
      </c>
      <c r="D16" s="55">
        <v>4.21</v>
      </c>
      <c r="E16" s="55">
        <v>2.23</v>
      </c>
      <c r="F16" s="55">
        <v>6.95</v>
      </c>
      <c r="G16" s="55">
        <v>34.159999999999997</v>
      </c>
      <c r="H16" s="55">
        <v>12.36</v>
      </c>
      <c r="I16" s="55">
        <v>5.92</v>
      </c>
      <c r="J16" s="55">
        <v>0.44</v>
      </c>
      <c r="K16" s="55">
        <v>26.95</v>
      </c>
      <c r="L16" s="55">
        <v>30.13</v>
      </c>
      <c r="M16" s="55">
        <v>60.07</v>
      </c>
      <c r="N16" s="55">
        <v>427</v>
      </c>
      <c r="O16" s="55">
        <v>0</v>
      </c>
      <c r="P16" s="55">
        <v>0.41</v>
      </c>
      <c r="Q16" s="55">
        <v>9.52</v>
      </c>
      <c r="R16" s="43"/>
      <c r="S16" s="43"/>
      <c r="T16" s="43"/>
      <c r="U16" s="43"/>
    </row>
    <row r="17" spans="1:21" s="11" customFormat="1" ht="15">
      <c r="A17" s="54" t="s">
        <v>214</v>
      </c>
      <c r="B17" s="55">
        <v>2.54</v>
      </c>
      <c r="C17" s="55">
        <v>1.32</v>
      </c>
      <c r="D17" s="55">
        <v>3.88</v>
      </c>
      <c r="E17" s="55">
        <v>2.08</v>
      </c>
      <c r="F17" s="55">
        <v>6.85</v>
      </c>
      <c r="G17" s="55">
        <v>34.590000000000003</v>
      </c>
      <c r="H17" s="55">
        <v>12.55</v>
      </c>
      <c r="I17" s="55">
        <v>5.16</v>
      </c>
      <c r="J17" s="55">
        <v>0.54</v>
      </c>
      <c r="K17" s="55">
        <v>352.04</v>
      </c>
      <c r="L17" s="55">
        <v>32.590000000000003</v>
      </c>
      <c r="M17" s="55">
        <v>52.40</v>
      </c>
      <c r="N17" s="55">
        <v>506.80</v>
      </c>
      <c r="O17" s="55">
        <v>0</v>
      </c>
      <c r="P17" s="55">
        <v>0.38</v>
      </c>
      <c r="Q17" s="55">
        <v>9.48</v>
      </c>
      <c r="R17" s="43"/>
      <c r="S17" s="43"/>
      <c r="T17" s="43"/>
      <c r="U17" s="43"/>
    </row>
    <row r="18" spans="1:21" s="11" customFormat="1" ht="15">
      <c r="A18" s="54" t="s">
        <v>215</v>
      </c>
      <c r="B18" s="55">
        <v>2.4500000000000002</v>
      </c>
      <c r="C18" s="55">
        <v>0.95</v>
      </c>
      <c r="D18" s="55">
        <v>3.60</v>
      </c>
      <c r="E18" s="55">
        <v>2</v>
      </c>
      <c r="F18" s="55">
        <v>8.44</v>
      </c>
      <c r="G18" s="55">
        <v>34.590000000000003</v>
      </c>
      <c r="H18" s="55">
        <v>12.55</v>
      </c>
      <c r="I18" s="55">
        <v>3.72</v>
      </c>
      <c r="J18" s="55">
        <v>0.64</v>
      </c>
      <c r="K18" s="55">
        <v>354.83</v>
      </c>
      <c r="L18" s="55">
        <v>34.79</v>
      </c>
      <c r="M18" s="55">
        <v>44.90</v>
      </c>
      <c r="N18" s="55">
        <v>761.60</v>
      </c>
      <c r="O18" s="55">
        <v>0</v>
      </c>
      <c r="P18" s="55">
        <v>0.44</v>
      </c>
      <c r="Q18" s="55">
        <v>9.43</v>
      </c>
      <c r="R18" s="43"/>
      <c r="S18" s="43"/>
      <c r="T18" s="43"/>
      <c r="U18" s="43"/>
    </row>
    <row r="19" spans="1:21" s="11" customFormat="1" ht="15">
      <c r="A19" s="54" t="s">
        <v>216</v>
      </c>
      <c r="B19" s="55">
        <v>2.46</v>
      </c>
      <c r="C19" s="55">
        <v>1.01</v>
      </c>
      <c r="D19" s="55">
        <v>3.65</v>
      </c>
      <c r="E19" s="55">
        <v>1.88</v>
      </c>
      <c r="F19" s="55">
        <v>10.08</v>
      </c>
      <c r="G19" s="55">
        <v>36.35</v>
      </c>
      <c r="H19" s="55">
        <v>15.45</v>
      </c>
      <c r="I19" s="55">
        <v>4.6100000000000003</v>
      </c>
      <c r="J19" s="55">
        <v>1</v>
      </c>
      <c r="K19" s="55">
        <v>357.11</v>
      </c>
      <c r="L19" s="55">
        <v>36.06</v>
      </c>
      <c r="M19" s="55">
        <v>40.61</v>
      </c>
      <c r="N19" s="55">
        <v>844.90</v>
      </c>
      <c r="O19" s="55">
        <v>0</v>
      </c>
      <c r="P19" s="55">
        <v>0.59</v>
      </c>
      <c r="Q19" s="55">
        <v>9.43</v>
      </c>
      <c r="R19" s="43"/>
      <c r="S19" s="43"/>
      <c r="T19" s="43"/>
      <c r="U19" s="43"/>
    </row>
    <row r="20" spans="1:21" s="11" customFormat="1" ht="15">
      <c r="A20" s="54" t="s">
        <v>217</v>
      </c>
      <c r="B20" s="55">
        <v>2.46</v>
      </c>
      <c r="C20" s="55">
        <v>1.06</v>
      </c>
      <c r="D20" s="55">
        <v>3.67</v>
      </c>
      <c r="E20" s="55">
        <v>2.17</v>
      </c>
      <c r="F20" s="55">
        <v>8.8699999999999992</v>
      </c>
      <c r="G20" s="55">
        <v>41.05</v>
      </c>
      <c r="H20" s="55">
        <v>17.25</v>
      </c>
      <c r="I20" s="55">
        <v>5.01</v>
      </c>
      <c r="J20" s="55">
        <v>1.49</v>
      </c>
      <c r="K20" s="55">
        <v>329.03</v>
      </c>
      <c r="L20" s="55">
        <v>38.979999999999997</v>
      </c>
      <c r="M20" s="55">
        <v>33.119999999999997</v>
      </c>
      <c r="N20" s="55">
        <v>852.20</v>
      </c>
      <c r="O20" s="55">
        <v>0</v>
      </c>
      <c r="P20" s="55">
        <v>0.61</v>
      </c>
      <c r="Q20" s="55">
        <v>9.43</v>
      </c>
      <c r="R20" s="43"/>
      <c r="S20" s="43"/>
      <c r="T20" s="43"/>
      <c r="U20" s="43"/>
    </row>
    <row r="21" spans="1:21" s="11" customFormat="1" ht="15">
      <c r="A21" s="54" t="s">
        <v>218</v>
      </c>
      <c r="B21" s="55">
        <v>2.5</v>
      </c>
      <c r="C21" s="55">
        <v>1.42</v>
      </c>
      <c r="D21" s="55">
        <v>3.89</v>
      </c>
      <c r="E21" s="55">
        <v>1.99</v>
      </c>
      <c r="F21" s="55">
        <v>8.74</v>
      </c>
      <c r="G21" s="55">
        <v>41.05</v>
      </c>
      <c r="H21" s="55">
        <v>17.25</v>
      </c>
      <c r="I21" s="55">
        <v>4.8499999999999996</v>
      </c>
      <c r="J21" s="55">
        <v>2.34</v>
      </c>
      <c r="K21" s="55">
        <v>339.88</v>
      </c>
      <c r="L21" s="55">
        <v>39.799999999999997</v>
      </c>
      <c r="M21" s="55">
        <v>32.31</v>
      </c>
      <c r="N21" s="55">
        <v>878</v>
      </c>
      <c r="O21" s="55">
        <v>0</v>
      </c>
      <c r="P21" s="55">
        <v>0.59</v>
      </c>
      <c r="Q21" s="55">
        <v>9.39</v>
      </c>
      <c r="R21" s="43"/>
      <c r="S21" s="43"/>
      <c r="T21" s="43"/>
      <c r="U21" s="43"/>
    </row>
    <row r="22" spans="1:21" s="11" customFormat="1" ht="15">
      <c r="A22" s="54" t="s">
        <v>219</v>
      </c>
      <c r="B22" s="55">
        <v>2.38</v>
      </c>
      <c r="C22" s="55">
        <v>0.87</v>
      </c>
      <c r="D22" s="55">
        <v>3.51</v>
      </c>
      <c r="E22" s="55">
        <v>1.92</v>
      </c>
      <c r="F22" s="55">
        <v>8.1300000000000008</v>
      </c>
      <c r="G22" s="55">
        <v>38.03</v>
      </c>
      <c r="H22" s="55">
        <v>15.04</v>
      </c>
      <c r="I22" s="55">
        <v>3.79</v>
      </c>
      <c r="J22" s="55">
        <v>1.38</v>
      </c>
      <c r="K22" s="55">
        <v>347.15</v>
      </c>
      <c r="L22" s="55">
        <v>40.049999999999997</v>
      </c>
      <c r="M22" s="55">
        <v>28.67</v>
      </c>
      <c r="N22" s="55">
        <v>833.10</v>
      </c>
      <c r="O22" s="55">
        <v>0</v>
      </c>
      <c r="P22" s="55">
        <v>0.52</v>
      </c>
      <c r="Q22" s="55">
        <v>9.40</v>
      </c>
      <c r="R22" s="43"/>
      <c r="S22" s="43"/>
      <c r="T22" s="43"/>
      <c r="U22" s="43"/>
    </row>
    <row r="23" spans="1:21" s="11" customFormat="1" ht="15">
      <c r="A23" s="54" t="s">
        <v>220</v>
      </c>
      <c r="B23" s="55">
        <v>2.4900000000000002</v>
      </c>
      <c r="C23" s="55">
        <v>1.21</v>
      </c>
      <c r="D23" s="55">
        <v>3.78</v>
      </c>
      <c r="E23" s="55">
        <v>1.65</v>
      </c>
      <c r="F23" s="55">
        <v>7.65</v>
      </c>
      <c r="G23" s="55">
        <v>36.43</v>
      </c>
      <c r="H23" s="55">
        <v>17.22</v>
      </c>
      <c r="I23" s="55">
        <v>4.30</v>
      </c>
      <c r="J23" s="55">
        <v>1.56</v>
      </c>
      <c r="K23" s="55">
        <v>340.14</v>
      </c>
      <c r="L23" s="55">
        <v>39.11</v>
      </c>
      <c r="M23" s="55">
        <v>30.09</v>
      </c>
      <c r="N23" s="55">
        <v>683.80</v>
      </c>
      <c r="O23" s="55">
        <v>0</v>
      </c>
      <c r="P23" s="55">
        <v>0.49</v>
      </c>
      <c r="Q23" s="55">
        <v>9.36</v>
      </c>
      <c r="R23" s="43"/>
      <c r="S23" s="43"/>
      <c r="T23" s="43"/>
      <c r="U23" s="43"/>
    </row>
    <row r="24" spans="1:21" s="11" customFormat="1" ht="15">
      <c r="A24" s="54" t="s">
        <v>221</v>
      </c>
      <c r="B24" s="55">
        <v>2.46</v>
      </c>
      <c r="C24" s="55">
        <v>1</v>
      </c>
      <c r="D24" s="55">
        <v>3.64</v>
      </c>
      <c r="E24" s="55">
        <v>1.54</v>
      </c>
      <c r="F24" s="55">
        <v>6</v>
      </c>
      <c r="G24" s="55">
        <v>34.81</v>
      </c>
      <c r="H24" s="55">
        <v>17.22</v>
      </c>
      <c r="I24" s="55">
        <v>5.23</v>
      </c>
      <c r="J24" s="55">
        <v>1.77</v>
      </c>
      <c r="K24" s="55">
        <v>355.13</v>
      </c>
      <c r="L24" s="55">
        <v>39.130000000000003</v>
      </c>
      <c r="M24" s="55">
        <v>29.02</v>
      </c>
      <c r="N24" s="55">
        <v>439.10</v>
      </c>
      <c r="O24" s="55">
        <v>0</v>
      </c>
      <c r="P24" s="55">
        <v>0.46</v>
      </c>
      <c r="Q24" s="55">
        <v>9.36</v>
      </c>
      <c r="R24" s="43"/>
      <c r="S24" s="43"/>
      <c r="T24" s="43"/>
      <c r="U24" s="43"/>
    </row>
    <row r="25" spans="1:21" s="11" customFormat="1" ht="15">
      <c r="A25" s="54" t="s">
        <v>222</v>
      </c>
      <c r="B25" s="55">
        <v>2.42</v>
      </c>
      <c r="C25" s="55">
        <v>1.1200000000000001</v>
      </c>
      <c r="D25" s="55">
        <v>3.66</v>
      </c>
      <c r="E25" s="55">
        <v>1.27</v>
      </c>
      <c r="F25" s="55">
        <v>8.65</v>
      </c>
      <c r="G25" s="55">
        <v>38.94</v>
      </c>
      <c r="H25" s="55">
        <v>16.78</v>
      </c>
      <c r="I25" s="55">
        <v>6.75</v>
      </c>
      <c r="J25" s="55">
        <v>3.23</v>
      </c>
      <c r="K25" s="55">
        <v>356.17</v>
      </c>
      <c r="L25" s="55">
        <v>37.950000000000003</v>
      </c>
      <c r="M25" s="55">
        <v>41.95</v>
      </c>
      <c r="N25" s="55">
        <v>196.80</v>
      </c>
      <c r="O25" s="55">
        <v>0</v>
      </c>
      <c r="P25" s="55">
        <v>0.45</v>
      </c>
      <c r="Q25" s="55">
        <v>9.42</v>
      </c>
      <c r="R25" s="43"/>
      <c r="S25" s="43"/>
      <c r="T25" s="43"/>
      <c r="U25" s="43"/>
    </row>
    <row r="26" spans="1:21" s="11" customFormat="1" ht="15">
      <c r="A26" s="54" t="s">
        <v>223</v>
      </c>
      <c r="B26" s="55">
        <v>2.48</v>
      </c>
      <c r="C26" s="55">
        <v>1.20</v>
      </c>
      <c r="D26" s="55">
        <v>3.76</v>
      </c>
      <c r="E26" s="55">
        <v>1.1299999999999999</v>
      </c>
      <c r="F26" s="55">
        <v>8.82</v>
      </c>
      <c r="G26" s="55">
        <v>43.5</v>
      </c>
      <c r="H26" s="55">
        <v>16.80</v>
      </c>
      <c r="I26" s="55">
        <v>6.55</v>
      </c>
      <c r="J26" s="55">
        <v>1.26</v>
      </c>
      <c r="K26" s="55">
        <v>178.85</v>
      </c>
      <c r="L26" s="55">
        <v>30.78</v>
      </c>
      <c r="M26" s="55">
        <v>46</v>
      </c>
      <c r="N26" s="55">
        <v>84.80</v>
      </c>
      <c r="O26" s="55">
        <v>0</v>
      </c>
      <c r="P26" s="55">
        <v>0.39</v>
      </c>
      <c r="Q26" s="55">
        <v>9.39</v>
      </c>
      <c r="R26" s="43"/>
      <c r="S26" s="43"/>
      <c r="T26" s="43"/>
      <c r="U26" s="43"/>
    </row>
    <row r="27" spans="1:21" s="11" customFormat="1" ht="15">
      <c r="A27" s="54" t="s">
        <v>224</v>
      </c>
      <c r="B27" s="55">
        <v>2.58</v>
      </c>
      <c r="C27" s="55">
        <v>1.38</v>
      </c>
      <c r="D27" s="55">
        <v>3.94</v>
      </c>
      <c r="E27" s="55">
        <v>1.34</v>
      </c>
      <c r="F27" s="55">
        <v>6.84</v>
      </c>
      <c r="G27" s="55">
        <v>45.28</v>
      </c>
      <c r="H27" s="55">
        <v>16.80</v>
      </c>
      <c r="I27" s="55">
        <v>4.97</v>
      </c>
      <c r="J27" s="55">
        <v>1.58</v>
      </c>
      <c r="K27" s="55">
        <v>174.51</v>
      </c>
      <c r="L27" s="55">
        <v>31.15</v>
      </c>
      <c r="M27" s="55">
        <v>46.92</v>
      </c>
      <c r="N27" s="55">
        <v>38.299999999999997</v>
      </c>
      <c r="O27" s="55">
        <v>0</v>
      </c>
      <c r="P27" s="55">
        <v>0.41</v>
      </c>
      <c r="Q27" s="55">
        <v>9.3800000000000008</v>
      </c>
      <c r="R27" s="43"/>
      <c r="S27" s="43"/>
      <c r="T27" s="43"/>
      <c r="U27" s="43"/>
    </row>
    <row r="28" spans="1:21" s="11" customFormat="1" ht="15">
      <c r="A28" s="54" t="s">
        <v>225</v>
      </c>
      <c r="B28" s="55">
        <v>2.54</v>
      </c>
      <c r="C28" s="55">
        <v>1.03</v>
      </c>
      <c r="D28" s="55">
        <v>3.72</v>
      </c>
      <c r="E28" s="55">
        <v>1.30</v>
      </c>
      <c r="F28" s="55">
        <v>4.95</v>
      </c>
      <c r="G28" s="55">
        <v>45.44</v>
      </c>
      <c r="H28" s="55">
        <v>20.100000000000001</v>
      </c>
      <c r="I28" s="55">
        <v>4.8600000000000003</v>
      </c>
      <c r="J28" s="55">
        <v>2.16</v>
      </c>
      <c r="K28" s="55">
        <v>163.59</v>
      </c>
      <c r="L28" s="55">
        <v>30.42</v>
      </c>
      <c r="M28" s="55">
        <v>48.08</v>
      </c>
      <c r="N28" s="55">
        <v>18.80</v>
      </c>
      <c r="O28" s="55">
        <v>0</v>
      </c>
      <c r="P28" s="55">
        <v>0.43</v>
      </c>
      <c r="Q28" s="55">
        <v>9.36</v>
      </c>
      <c r="R28" s="43"/>
      <c r="S28" s="43"/>
      <c r="T28" s="43"/>
      <c r="U28" s="43"/>
    </row>
    <row r="29" spans="1:21" s="11" customFormat="1" ht="15">
      <c r="A29" s="54" t="s">
        <v>226</v>
      </c>
      <c r="B29" s="55">
        <v>2.62</v>
      </c>
      <c r="C29" s="55">
        <v>1.37</v>
      </c>
      <c r="D29" s="55">
        <v>3.96</v>
      </c>
      <c r="E29" s="55">
        <v>1.21</v>
      </c>
      <c r="F29" s="55">
        <v>5.38</v>
      </c>
      <c r="G29" s="55">
        <v>45.44</v>
      </c>
      <c r="H29" s="55">
        <v>20.100000000000001</v>
      </c>
      <c r="I29" s="55">
        <v>5.98</v>
      </c>
      <c r="J29" s="55">
        <v>0.76</v>
      </c>
      <c r="K29" s="55">
        <v>234.64</v>
      </c>
      <c r="L29" s="55">
        <v>30.18</v>
      </c>
      <c r="M29" s="55">
        <v>51.25</v>
      </c>
      <c r="N29" s="55">
        <v>19</v>
      </c>
      <c r="O29" s="55">
        <v>0</v>
      </c>
      <c r="P29" s="55">
        <v>0.44</v>
      </c>
      <c r="Q29" s="55">
        <v>9.4499999999999993</v>
      </c>
      <c r="R29" s="43"/>
      <c r="S29" s="43"/>
      <c r="T29" s="43"/>
      <c r="U29" s="43"/>
    </row>
    <row r="30" spans="1:21" s="11" customFormat="1" ht="15">
      <c r="A30" s="54" t="s">
        <v>227</v>
      </c>
      <c r="B30" s="55">
        <v>2.70</v>
      </c>
      <c r="C30" s="55">
        <v>1.76</v>
      </c>
      <c r="D30" s="55">
        <v>4.2300000000000004</v>
      </c>
      <c r="E30" s="55">
        <v>1.1499999999999999</v>
      </c>
      <c r="F30" s="55">
        <v>4.88</v>
      </c>
      <c r="G30" s="55">
        <v>45</v>
      </c>
      <c r="H30" s="55">
        <v>19.09</v>
      </c>
      <c r="I30" s="55">
        <v>5.45</v>
      </c>
      <c r="J30" s="55">
        <v>1.01</v>
      </c>
      <c r="K30" s="55">
        <v>223.93</v>
      </c>
      <c r="L30" s="55">
        <v>29.11</v>
      </c>
      <c r="M30" s="55">
        <v>53.58</v>
      </c>
      <c r="N30" s="55">
        <v>19</v>
      </c>
      <c r="O30" s="55">
        <v>0</v>
      </c>
      <c r="P30" s="55">
        <v>0.45</v>
      </c>
      <c r="Q30" s="55">
        <v>9.42</v>
      </c>
      <c r="R30" s="43"/>
      <c r="S30" s="43"/>
      <c r="T30" s="43"/>
      <c r="U30" s="43"/>
    </row>
    <row r="31" spans="1:21" s="11" customFormat="1" ht="15">
      <c r="A31" s="54" t="s">
        <v>228</v>
      </c>
      <c r="B31" s="55">
        <v>2.66</v>
      </c>
      <c r="C31" s="55">
        <v>1.79</v>
      </c>
      <c r="D31" s="55">
        <v>4.21</v>
      </c>
      <c r="E31" s="55">
        <v>0.91</v>
      </c>
      <c r="F31" s="55">
        <v>4.99</v>
      </c>
      <c r="G31" s="55">
        <v>45</v>
      </c>
      <c r="H31" s="55">
        <v>19.09</v>
      </c>
      <c r="I31" s="55">
        <v>5.04</v>
      </c>
      <c r="J31" s="55">
        <v>1.18</v>
      </c>
      <c r="K31" s="55">
        <v>194.30</v>
      </c>
      <c r="L31" s="55">
        <v>28.19</v>
      </c>
      <c r="M31" s="55">
        <v>60.83</v>
      </c>
      <c r="N31" s="55">
        <v>18.899999999999999</v>
      </c>
      <c r="O31" s="55">
        <v>0</v>
      </c>
      <c r="P31" s="55">
        <v>0.44</v>
      </c>
      <c r="Q31" s="55">
        <v>9.44</v>
      </c>
      <c r="R31" s="43"/>
      <c r="S31" s="43"/>
      <c r="T31" s="43"/>
      <c r="U31" s="43"/>
    </row>
    <row r="32" spans="1:21" s="11" customFormat="1" ht="15">
      <c r="A32" s="54" t="s">
        <v>229</v>
      </c>
      <c r="B32" s="55">
        <v>2.68</v>
      </c>
      <c r="C32" s="55">
        <v>1.76</v>
      </c>
      <c r="D32" s="55">
        <v>4.21</v>
      </c>
      <c r="E32" s="55">
        <v>1.21</v>
      </c>
      <c r="F32" s="55">
        <v>4.42</v>
      </c>
      <c r="G32" s="55">
        <v>40.880000000000003</v>
      </c>
      <c r="H32" s="55">
        <v>17.170000000000002</v>
      </c>
      <c r="I32" s="55">
        <v>4.5199999999999996</v>
      </c>
      <c r="J32" s="55">
        <v>1.1200000000000001</v>
      </c>
      <c r="K32" s="55">
        <v>194.06</v>
      </c>
      <c r="L32" s="55">
        <v>27.44</v>
      </c>
      <c r="M32" s="55">
        <v>62.52</v>
      </c>
      <c r="N32" s="55">
        <v>19</v>
      </c>
      <c r="O32" s="55">
        <v>0</v>
      </c>
      <c r="P32" s="55">
        <v>0.43</v>
      </c>
      <c r="Q32" s="55">
        <v>9.42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2.3799999999999999</v>
      </c>
      <c r="C34" s="28">
        <f t="shared" si="0"/>
        <v>0.87</v>
      </c>
      <c r="D34" s="28">
        <f t="shared" si="0"/>
        <v>3.5099999999999998</v>
      </c>
      <c r="E34" s="28">
        <f t="shared" si="0"/>
        <v>0.32000000000000001</v>
      </c>
      <c r="F34" s="28">
        <f t="shared" si="0"/>
        <v>3.6800000000000002</v>
      </c>
      <c r="G34" s="28">
        <f t="shared" si="0"/>
        <v>26.93</v>
      </c>
      <c r="H34" s="28">
        <f t="shared" si="0"/>
        <v>11.98</v>
      </c>
      <c r="I34" s="28">
        <f t="shared" si="0"/>
        <v>3.7200000000000002</v>
      </c>
      <c r="J34" s="28">
        <f t="shared" si="0"/>
        <v>0.20000000000000001</v>
      </c>
      <c r="K34" s="28">
        <f t="shared" si="0"/>
        <v>26.949999999999999</v>
      </c>
      <c r="L34" s="28">
        <f t="shared" si="0"/>
        <v>26.59</v>
      </c>
      <c r="M34" s="28">
        <f t="shared" si="0"/>
        <v>28.670000000000002</v>
      </c>
      <c r="N34" s="28">
        <f t="shared" si="0"/>
        <v>18.800000000000001</v>
      </c>
      <c r="O34" s="28">
        <f t="shared" si="0"/>
        <v>0</v>
      </c>
      <c r="P34" s="28">
        <f t="shared" si="0"/>
        <v>0.38</v>
      </c>
      <c r="Q34" s="28">
        <f t="shared" si="0"/>
        <v>9.3599999999999994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2.7000000000000002</v>
      </c>
      <c r="C35" s="29">
        <f t="shared" si="1"/>
        <v>1.79</v>
      </c>
      <c r="D35" s="29">
        <f t="shared" si="1"/>
        <v>4.2300000000000004</v>
      </c>
      <c r="E35" s="29">
        <f t="shared" si="1"/>
        <v>2.3599999999999999</v>
      </c>
      <c r="F35" s="29">
        <f t="shared" si="1"/>
        <v>10.08</v>
      </c>
      <c r="G35" s="29">
        <f t="shared" si="1"/>
        <v>45.439999999999998</v>
      </c>
      <c r="H35" s="29">
        <f t="shared" si="1"/>
        <v>20.73</v>
      </c>
      <c r="I35" s="29">
        <f t="shared" si="1"/>
        <v>6.75</v>
      </c>
      <c r="J35" s="29">
        <f t="shared" si="1"/>
        <v>3.23</v>
      </c>
      <c r="K35" s="29">
        <f t="shared" si="1"/>
        <v>357.11000000000001</v>
      </c>
      <c r="L35" s="29">
        <f t="shared" si="1"/>
        <v>40.049999999999997</v>
      </c>
      <c r="M35" s="29">
        <f t="shared" si="1"/>
        <v>65.439999999999998</v>
      </c>
      <c r="N35" s="29">
        <f t="shared" si="1"/>
        <v>878</v>
      </c>
      <c r="O35" s="29">
        <f t="shared" si="1"/>
        <v>0</v>
      </c>
      <c r="P35" s="29">
        <f t="shared" si="1"/>
        <v>0.60999999999999999</v>
      </c>
      <c r="Q35" s="29">
        <f t="shared" si="1"/>
        <v>9.5199999999999996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2.5612500000000002</v>
      </c>
      <c r="C36" s="28">
        <f t="shared" si="2"/>
        <v>1.3279166666666671</v>
      </c>
      <c r="D36" s="28">
        <f t="shared" si="2"/>
        <v>3.8924999999999996</v>
      </c>
      <c r="E36" s="28">
        <f t="shared" si="2"/>
        <v>1.5179166666666664</v>
      </c>
      <c r="F36" s="28">
        <f t="shared" si="2"/>
        <v>6.2545833333333327</v>
      </c>
      <c r="G36" s="28">
        <f t="shared" si="2"/>
        <v>37.388333333333335</v>
      </c>
      <c r="H36" s="28">
        <f t="shared" si="2"/>
        <v>16.292083333333334</v>
      </c>
      <c r="I36" s="28">
        <f t="shared" si="2"/>
        <v>5.1679166666666676</v>
      </c>
      <c r="J36" s="28">
        <f t="shared" si="2"/>
        <v>1.1425000000000001</v>
      </c>
      <c r="K36" s="28">
        <f t="shared" si="2"/>
        <v>258.03958333333344</v>
      </c>
      <c r="L36" s="28">
        <f t="shared" si="2"/>
        <v>32.008750000000006</v>
      </c>
      <c r="M36" s="28">
        <f t="shared" si="2"/>
        <v>49.540416666666658</v>
      </c>
      <c r="N36" s="28">
        <f t="shared" si="2"/>
        <v>292.74166666666673</v>
      </c>
      <c r="O36" s="28">
        <f t="shared" si="2"/>
        <v>0</v>
      </c>
      <c r="P36" s="28">
        <f t="shared" si="2"/>
        <v>0.45291666666666663</v>
      </c>
      <c r="Q36" s="28">
        <f t="shared" si="2"/>
        <v>9.4370833333333337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0.096922761718430395</v>
      </c>
      <c r="C37" s="28">
        <f t="shared" si="3" ref="C37:Q37">STDEV(C9:C32)</f>
        <v>0.28734132357160708</v>
      </c>
      <c r="D37" s="28">
        <f t="shared" si="3"/>
        <v>0.22130541556077132</v>
      </c>
      <c r="E37" s="28">
        <f t="shared" si="3"/>
        <v>0.56591579621512378</v>
      </c>
      <c r="F37" s="28">
        <f t="shared" si="3"/>
        <v>1.9892974052832524</v>
      </c>
      <c r="G37" s="28">
        <f t="shared" si="3"/>
        <v>5.7071371538411055</v>
      </c>
      <c r="H37" s="28">
        <f t="shared" si="3"/>
        <v>2.6348830172310698</v>
      </c>
      <c r="I37" s="28">
        <f t="shared" si="3"/>
        <v>0.74905145331288092</v>
      </c>
      <c r="J37" s="28">
        <f t="shared" si="3"/>
        <v>0.7163084713215081</v>
      </c>
      <c r="K37" s="28">
        <f t="shared" si="3"/>
        <v>98.998746170328005</v>
      </c>
      <c r="L37" s="28">
        <f t="shared" si="3"/>
        <v>4.831397594629415</v>
      </c>
      <c r="M37" s="28">
        <f t="shared" si="3"/>
        <v>12.210224681608567</v>
      </c>
      <c r="N37" s="28">
        <f t="shared" si="3"/>
        <v>338.24922624888734</v>
      </c>
      <c r="O37" s="28">
        <f t="shared" si="3"/>
        <v>0</v>
      </c>
      <c r="P37" s="28">
        <f t="shared" si="3"/>
        <v>0.063484278551374188</v>
      </c>
      <c r="Q37" s="28">
        <f t="shared" si="3"/>
        <v>0.049998188372977204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19f2d7-8390-4123-a290-322c5e1a2651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230</v>
      </c>
      <c r="B9" s="55">
        <v>2.57</v>
      </c>
      <c r="C9" s="55">
        <v>1.1000000000000001</v>
      </c>
      <c r="D9" s="55">
        <v>3.78</v>
      </c>
      <c r="E9" s="55">
        <v>1.57</v>
      </c>
      <c r="F9" s="55">
        <v>3.91</v>
      </c>
      <c r="G9" s="55">
        <v>37.36</v>
      </c>
      <c r="H9" s="55">
        <v>17.170000000000002</v>
      </c>
      <c r="I9" s="55">
        <v>4.5599999999999996</v>
      </c>
      <c r="J9" s="55">
        <v>0.64</v>
      </c>
      <c r="K9" s="55">
        <v>262.56</v>
      </c>
      <c r="L9" s="55">
        <v>27.14</v>
      </c>
      <c r="M9" s="55">
        <v>61.44</v>
      </c>
      <c r="N9" s="55">
        <v>18.80</v>
      </c>
      <c r="O9" s="55">
        <v>0</v>
      </c>
      <c r="P9" s="55">
        <v>0.39</v>
      </c>
      <c r="Q9" s="55">
        <v>9.42</v>
      </c>
      <c r="R9" s="43"/>
      <c r="S9" s="43"/>
      <c r="T9" s="43"/>
      <c r="U9" s="43"/>
    </row>
    <row r="10" spans="1:21" s="11" customFormat="1" ht="15">
      <c r="A10" s="54" t="s">
        <v>231</v>
      </c>
      <c r="B10" s="55">
        <v>2.62</v>
      </c>
      <c r="C10" s="55">
        <v>1.40</v>
      </c>
      <c r="D10" s="55">
        <v>3.98</v>
      </c>
      <c r="E10" s="55">
        <v>1.88</v>
      </c>
      <c r="F10" s="55">
        <v>5.78</v>
      </c>
      <c r="G10" s="55">
        <v>35.99</v>
      </c>
      <c r="H10" s="55">
        <v>14.22</v>
      </c>
      <c r="I10" s="55">
        <v>4.6900000000000004</v>
      </c>
      <c r="J10" s="55">
        <v>0.40</v>
      </c>
      <c r="K10" s="55">
        <v>348.93</v>
      </c>
      <c r="L10" s="55">
        <v>26.93</v>
      </c>
      <c r="M10" s="55">
        <v>61.89</v>
      </c>
      <c r="N10" s="55">
        <v>18.899999999999999</v>
      </c>
      <c r="O10" s="55">
        <v>0</v>
      </c>
      <c r="P10" s="55">
        <v>0.38</v>
      </c>
      <c r="Q10" s="55">
        <v>9.44</v>
      </c>
      <c r="R10" s="43"/>
      <c r="S10" s="43"/>
      <c r="T10" s="43"/>
      <c r="U10" s="43"/>
    </row>
    <row r="11" spans="1:21" s="11" customFormat="1" ht="15">
      <c r="A11" s="54" t="s">
        <v>232</v>
      </c>
      <c r="B11" s="55">
        <v>2.64</v>
      </c>
      <c r="C11" s="55">
        <v>1.5</v>
      </c>
      <c r="D11" s="55">
        <v>4.04</v>
      </c>
      <c r="E11" s="55">
        <v>1.60</v>
      </c>
      <c r="F11" s="55">
        <v>5.0199999999999996</v>
      </c>
      <c r="G11" s="55">
        <v>30.59</v>
      </c>
      <c r="H11" s="55">
        <v>14.36</v>
      </c>
      <c r="I11" s="55">
        <v>4.63</v>
      </c>
      <c r="J11" s="55">
        <v>0.26</v>
      </c>
      <c r="K11" s="55">
        <v>321.87</v>
      </c>
      <c r="L11" s="55">
        <v>26.87</v>
      </c>
      <c r="M11" s="55">
        <v>63.10</v>
      </c>
      <c r="N11" s="55">
        <v>18.80</v>
      </c>
      <c r="O11" s="55">
        <v>0</v>
      </c>
      <c r="P11" s="55">
        <v>0.36</v>
      </c>
      <c r="Q11" s="55">
        <v>9.42</v>
      </c>
      <c r="R11" s="43"/>
      <c r="S11" s="43"/>
      <c r="T11" s="43"/>
      <c r="U11" s="43"/>
    </row>
    <row r="12" spans="1:21" s="11" customFormat="1" ht="15">
      <c r="A12" s="54" t="s">
        <v>233</v>
      </c>
      <c r="B12" s="55">
        <v>2.60</v>
      </c>
      <c r="C12" s="55">
        <v>1.08</v>
      </c>
      <c r="D12" s="55">
        <v>3.79</v>
      </c>
      <c r="E12" s="55">
        <v>1.75</v>
      </c>
      <c r="F12" s="55">
        <v>4.53</v>
      </c>
      <c r="G12" s="55">
        <v>31.35</v>
      </c>
      <c r="H12" s="55">
        <v>14.36</v>
      </c>
      <c r="I12" s="55">
        <v>4.05</v>
      </c>
      <c r="J12" s="55">
        <v>0.84</v>
      </c>
      <c r="K12" s="55">
        <v>255.92</v>
      </c>
      <c r="L12" s="55">
        <v>26.64</v>
      </c>
      <c r="M12" s="55">
        <v>65.63</v>
      </c>
      <c r="N12" s="55">
        <v>18.80</v>
      </c>
      <c r="O12" s="55">
        <v>0</v>
      </c>
      <c r="P12" s="55">
        <v>0.34</v>
      </c>
      <c r="Q12" s="55">
        <v>9.44</v>
      </c>
      <c r="R12" s="43"/>
      <c r="S12" s="43"/>
      <c r="T12" s="43"/>
      <c r="U12" s="43"/>
    </row>
    <row r="13" spans="1:21" s="11" customFormat="1" ht="15">
      <c r="A13" s="54" t="s">
        <v>234</v>
      </c>
      <c r="B13" s="55">
        <v>2.48</v>
      </c>
      <c r="C13" s="55">
        <v>0.82</v>
      </c>
      <c r="D13" s="55">
        <v>3.56</v>
      </c>
      <c r="E13" s="55">
        <v>1.36</v>
      </c>
      <c r="F13" s="55">
        <v>5.08</v>
      </c>
      <c r="G13" s="55">
        <v>31.35</v>
      </c>
      <c r="H13" s="55">
        <v>11.02</v>
      </c>
      <c r="I13" s="55">
        <v>3.84</v>
      </c>
      <c r="J13" s="55">
        <v>0.86</v>
      </c>
      <c r="K13" s="55">
        <v>193.51</v>
      </c>
      <c r="L13" s="55">
        <v>26.14</v>
      </c>
      <c r="M13" s="55">
        <v>67.95</v>
      </c>
      <c r="N13" s="55">
        <v>19.100000000000001</v>
      </c>
      <c r="O13" s="55">
        <v>0</v>
      </c>
      <c r="P13" s="55">
        <v>0.31</v>
      </c>
      <c r="Q13" s="55">
        <v>9.39</v>
      </c>
      <c r="R13" s="43"/>
      <c r="S13" s="43"/>
      <c r="T13" s="43"/>
      <c r="U13" s="43"/>
    </row>
    <row r="14" spans="1:21" s="11" customFormat="1" ht="15">
      <c r="A14" s="54" t="s">
        <v>235</v>
      </c>
      <c r="B14" s="55">
        <v>2.65</v>
      </c>
      <c r="C14" s="55">
        <v>1.21</v>
      </c>
      <c r="D14" s="55">
        <v>3.90</v>
      </c>
      <c r="E14" s="55">
        <v>1.62</v>
      </c>
      <c r="F14" s="55">
        <v>3.83</v>
      </c>
      <c r="G14" s="55">
        <v>31.13</v>
      </c>
      <c r="H14" s="55">
        <v>11.39</v>
      </c>
      <c r="I14" s="55">
        <v>4.45</v>
      </c>
      <c r="J14" s="55">
        <v>0.78</v>
      </c>
      <c r="K14" s="55">
        <v>231.62</v>
      </c>
      <c r="L14" s="55">
        <v>25.74</v>
      </c>
      <c r="M14" s="55">
        <v>70.709999999999994</v>
      </c>
      <c r="N14" s="55">
        <v>65.900000000000006</v>
      </c>
      <c r="O14" s="55">
        <v>0</v>
      </c>
      <c r="P14" s="55">
        <v>0.30</v>
      </c>
      <c r="Q14" s="55">
        <v>9.42</v>
      </c>
      <c r="R14" s="43"/>
      <c r="S14" s="43"/>
      <c r="T14" s="43"/>
      <c r="U14" s="43"/>
    </row>
    <row r="15" spans="1:21" s="11" customFormat="1" ht="15">
      <c r="A15" s="54" t="s">
        <v>236</v>
      </c>
      <c r="B15" s="55">
        <v>2.65</v>
      </c>
      <c r="C15" s="55">
        <v>1.59</v>
      </c>
      <c r="D15" s="55">
        <v>4.0999999999999996</v>
      </c>
      <c r="E15" s="55">
        <v>1.81</v>
      </c>
      <c r="F15" s="55">
        <v>5.62</v>
      </c>
      <c r="G15" s="55">
        <v>28</v>
      </c>
      <c r="H15" s="55">
        <v>11.39</v>
      </c>
      <c r="I15" s="55">
        <v>4.9000000000000004</v>
      </c>
      <c r="J15" s="55">
        <v>0.79</v>
      </c>
      <c r="K15" s="55">
        <v>200.21</v>
      </c>
      <c r="L15" s="55">
        <v>27.81</v>
      </c>
      <c r="M15" s="55">
        <v>67.989999999999995</v>
      </c>
      <c r="N15" s="55">
        <v>219.40</v>
      </c>
      <c r="O15" s="55">
        <v>0</v>
      </c>
      <c r="P15" s="55">
        <v>0.36</v>
      </c>
      <c r="Q15" s="55">
        <v>9.42</v>
      </c>
      <c r="R15" s="43"/>
      <c r="S15" s="43"/>
      <c r="T15" s="43"/>
      <c r="U15" s="43"/>
    </row>
    <row r="16" spans="1:21" s="11" customFormat="1" ht="15">
      <c r="A16" s="54" t="s">
        <v>237</v>
      </c>
      <c r="B16" s="55">
        <v>2.4900000000000002</v>
      </c>
      <c r="C16" s="55">
        <v>1.1399999999999999</v>
      </c>
      <c r="D16" s="55">
        <v>3.73</v>
      </c>
      <c r="E16" s="55">
        <v>2.0499999999999998</v>
      </c>
      <c r="F16" s="55">
        <v>7.15</v>
      </c>
      <c r="G16" s="55">
        <v>31.60</v>
      </c>
      <c r="H16" s="55">
        <v>12.30</v>
      </c>
      <c r="I16" s="55">
        <v>4.75</v>
      </c>
      <c r="J16" s="55">
        <v>0.63</v>
      </c>
      <c r="K16" s="55">
        <v>23.69</v>
      </c>
      <c r="L16" s="55">
        <v>29.92</v>
      </c>
      <c r="M16" s="55">
        <v>58.32</v>
      </c>
      <c r="N16" s="55">
        <v>425.30</v>
      </c>
      <c r="O16" s="55">
        <v>0</v>
      </c>
      <c r="P16" s="55">
        <v>0.39</v>
      </c>
      <c r="Q16" s="55">
        <v>9.48</v>
      </c>
      <c r="R16" s="43"/>
      <c r="S16" s="43"/>
      <c r="T16" s="43"/>
      <c r="U16" s="43"/>
    </row>
    <row r="17" spans="1:21" s="11" customFormat="1" ht="15">
      <c r="A17" s="54" t="s">
        <v>238</v>
      </c>
      <c r="B17" s="55">
        <v>2.5</v>
      </c>
      <c r="C17" s="55">
        <v>1.1299999999999999</v>
      </c>
      <c r="D17" s="55">
        <v>3.74</v>
      </c>
      <c r="E17" s="55">
        <v>1.83</v>
      </c>
      <c r="F17" s="55">
        <v>8.5299999999999994</v>
      </c>
      <c r="G17" s="55">
        <v>31.60</v>
      </c>
      <c r="H17" s="55">
        <v>12.30</v>
      </c>
      <c r="I17" s="55">
        <v>3.98</v>
      </c>
      <c r="J17" s="55">
        <v>0.75</v>
      </c>
      <c r="K17" s="55">
        <v>30.84</v>
      </c>
      <c r="L17" s="55">
        <v>32.46</v>
      </c>
      <c r="M17" s="55">
        <v>51.64</v>
      </c>
      <c r="N17" s="55">
        <v>625</v>
      </c>
      <c r="O17" s="55">
        <v>0</v>
      </c>
      <c r="P17" s="55">
        <v>0.37</v>
      </c>
      <c r="Q17" s="55">
        <v>9.39</v>
      </c>
      <c r="R17" s="43"/>
      <c r="S17" s="43"/>
      <c r="T17" s="43"/>
      <c r="U17" s="43"/>
    </row>
    <row r="18" spans="1:21" s="11" customFormat="1" ht="15">
      <c r="A18" s="54" t="s">
        <v>239</v>
      </c>
      <c r="B18" s="55">
        <v>2.5299999999999998</v>
      </c>
      <c r="C18" s="55">
        <v>1.08</v>
      </c>
      <c r="D18" s="55">
        <v>3.74</v>
      </c>
      <c r="E18" s="55">
        <v>2.2200000000000002</v>
      </c>
      <c r="F18" s="55">
        <v>8.98</v>
      </c>
      <c r="G18" s="55">
        <v>30.05</v>
      </c>
      <c r="H18" s="55">
        <v>12.08</v>
      </c>
      <c r="I18" s="55">
        <v>3.12</v>
      </c>
      <c r="J18" s="55">
        <v>0.65</v>
      </c>
      <c r="K18" s="55">
        <v>357.05</v>
      </c>
      <c r="L18" s="55">
        <v>34.06</v>
      </c>
      <c r="M18" s="55">
        <v>44.47</v>
      </c>
      <c r="N18" s="55">
        <v>771.5</v>
      </c>
      <c r="O18" s="55">
        <v>0</v>
      </c>
      <c r="P18" s="55">
        <v>0.38</v>
      </c>
      <c r="Q18" s="55">
        <v>9.3800000000000008</v>
      </c>
      <c r="R18" s="43"/>
      <c r="S18" s="43"/>
      <c r="T18" s="43"/>
      <c r="U18" s="43"/>
    </row>
    <row r="19" spans="1:21" s="11" customFormat="1" ht="15">
      <c r="A19" s="54" t="s">
        <v>240</v>
      </c>
      <c r="B19" s="55">
        <v>2.5099999999999998</v>
      </c>
      <c r="C19" s="55">
        <v>1.35</v>
      </c>
      <c r="D19" s="55">
        <v>3.86</v>
      </c>
      <c r="E19" s="55">
        <v>2.16</v>
      </c>
      <c r="F19" s="55">
        <v>8.66</v>
      </c>
      <c r="G19" s="55">
        <v>32.700000000000003</v>
      </c>
      <c r="H19" s="55">
        <v>16.16</v>
      </c>
      <c r="I19" s="55">
        <v>3.01</v>
      </c>
      <c r="J19" s="55">
        <v>0.63</v>
      </c>
      <c r="K19" s="55">
        <v>356.54</v>
      </c>
      <c r="L19" s="55">
        <v>35.049999999999997</v>
      </c>
      <c r="M19" s="55">
        <v>40.08</v>
      </c>
      <c r="N19" s="55">
        <v>835</v>
      </c>
      <c r="O19" s="55">
        <v>0</v>
      </c>
      <c r="P19" s="55">
        <v>0.49</v>
      </c>
      <c r="Q19" s="55">
        <v>9.41</v>
      </c>
      <c r="R19" s="43"/>
      <c r="S19" s="43"/>
      <c r="T19" s="43"/>
      <c r="U19" s="43"/>
    </row>
    <row r="20" spans="1:21" s="11" customFormat="1" ht="15">
      <c r="A20" s="54" t="s">
        <v>241</v>
      </c>
      <c r="B20" s="55">
        <v>2.54</v>
      </c>
      <c r="C20" s="55">
        <v>1.46</v>
      </c>
      <c r="D20" s="55">
        <v>3.94</v>
      </c>
      <c r="E20" s="55">
        <v>2.23</v>
      </c>
      <c r="F20" s="55">
        <v>9.3699999999999992</v>
      </c>
      <c r="G20" s="55">
        <v>38.97</v>
      </c>
      <c r="H20" s="55">
        <v>16.27</v>
      </c>
      <c r="I20" s="55">
        <v>3.81</v>
      </c>
      <c r="J20" s="55">
        <v>0.49</v>
      </c>
      <c r="K20" s="55">
        <v>328.67</v>
      </c>
      <c r="L20" s="55">
        <v>35.90</v>
      </c>
      <c r="M20" s="55">
        <v>37.97</v>
      </c>
      <c r="N20" s="55">
        <v>858</v>
      </c>
      <c r="O20" s="55">
        <v>0</v>
      </c>
      <c r="P20" s="55">
        <v>0.56999999999999995</v>
      </c>
      <c r="Q20" s="55">
        <v>9.42</v>
      </c>
      <c r="R20" s="43"/>
      <c r="S20" s="43"/>
      <c r="T20" s="43"/>
      <c r="U20" s="43"/>
    </row>
    <row r="21" spans="1:21" s="11" customFormat="1" ht="15">
      <c r="A21" s="54" t="s">
        <v>242</v>
      </c>
      <c r="B21" s="55">
        <v>2.58</v>
      </c>
      <c r="C21" s="55">
        <v>1.41</v>
      </c>
      <c r="D21" s="55">
        <v>3.95</v>
      </c>
      <c r="E21" s="55">
        <v>2.36</v>
      </c>
      <c r="F21" s="55">
        <v>8.74</v>
      </c>
      <c r="G21" s="55">
        <v>40.049999999999997</v>
      </c>
      <c r="H21" s="55">
        <v>20.05</v>
      </c>
      <c r="I21" s="55">
        <v>4.20</v>
      </c>
      <c r="J21" s="55">
        <v>1.51</v>
      </c>
      <c r="K21" s="55">
        <v>327.60000000000002</v>
      </c>
      <c r="L21" s="55">
        <v>40.130000000000003</v>
      </c>
      <c r="M21" s="55">
        <v>34.69</v>
      </c>
      <c r="N21" s="55">
        <v>850.80</v>
      </c>
      <c r="O21" s="55">
        <v>0</v>
      </c>
      <c r="P21" s="55">
        <v>0.56999999999999995</v>
      </c>
      <c r="Q21" s="55">
        <v>9.3800000000000008</v>
      </c>
      <c r="R21" s="43"/>
      <c r="S21" s="43"/>
      <c r="T21" s="43"/>
      <c r="U21" s="43"/>
    </row>
    <row r="22" spans="1:21" s="11" customFormat="1" ht="15">
      <c r="A22" s="54" t="s">
        <v>243</v>
      </c>
      <c r="B22" s="55">
        <v>2.5099999999999998</v>
      </c>
      <c r="C22" s="55">
        <v>1.1599999999999999</v>
      </c>
      <c r="D22" s="55">
        <v>3.76</v>
      </c>
      <c r="E22" s="55">
        <v>2.5499999999999998</v>
      </c>
      <c r="F22" s="55">
        <v>8.44</v>
      </c>
      <c r="G22" s="55">
        <v>40.049999999999997</v>
      </c>
      <c r="H22" s="55">
        <v>20.05</v>
      </c>
      <c r="I22" s="55">
        <v>3.97</v>
      </c>
      <c r="J22" s="55">
        <v>0.64</v>
      </c>
      <c r="K22" s="55">
        <v>355.43</v>
      </c>
      <c r="L22" s="55">
        <v>39.090000000000003</v>
      </c>
      <c r="M22" s="55">
        <v>31.52</v>
      </c>
      <c r="N22" s="55">
        <v>799.80</v>
      </c>
      <c r="O22" s="55">
        <v>0</v>
      </c>
      <c r="P22" s="55">
        <v>0.54</v>
      </c>
      <c r="Q22" s="55">
        <v>9.36</v>
      </c>
      <c r="R22" s="43"/>
      <c r="S22" s="43"/>
      <c r="T22" s="43"/>
      <c r="U22" s="43"/>
    </row>
    <row r="23" spans="1:21" s="11" customFormat="1" ht="15">
      <c r="A23" s="54" t="s">
        <v>244</v>
      </c>
      <c r="B23" s="55">
        <v>2.4300000000000002</v>
      </c>
      <c r="C23" s="55">
        <v>0.86</v>
      </c>
      <c r="D23" s="55">
        <v>3.54</v>
      </c>
      <c r="E23" s="55">
        <v>2.40</v>
      </c>
      <c r="F23" s="55">
        <v>7.19</v>
      </c>
      <c r="G23" s="55">
        <v>39.450000000000003</v>
      </c>
      <c r="H23" s="55">
        <v>20.04</v>
      </c>
      <c r="I23" s="55">
        <v>4.30</v>
      </c>
      <c r="J23" s="55">
        <v>0.60</v>
      </c>
      <c r="K23" s="55">
        <v>345.59</v>
      </c>
      <c r="L23" s="55">
        <v>38.119999999999997</v>
      </c>
      <c r="M23" s="55">
        <v>30.78</v>
      </c>
      <c r="N23" s="55">
        <v>672.10</v>
      </c>
      <c r="O23" s="55">
        <v>0</v>
      </c>
      <c r="P23" s="55">
        <v>0.49</v>
      </c>
      <c r="Q23" s="55">
        <v>9.34</v>
      </c>
      <c r="R23" s="43"/>
      <c r="S23" s="43"/>
      <c r="T23" s="43"/>
      <c r="U23" s="43"/>
    </row>
    <row r="24" spans="1:21" s="11" customFormat="1" ht="15">
      <c r="A24" s="54" t="s">
        <v>245</v>
      </c>
      <c r="B24" s="55">
        <v>2.57</v>
      </c>
      <c r="C24" s="55">
        <v>1.38</v>
      </c>
      <c r="D24" s="55">
        <v>3.93</v>
      </c>
      <c r="E24" s="55">
        <v>2.5</v>
      </c>
      <c r="F24" s="55">
        <v>6.89</v>
      </c>
      <c r="G24" s="55">
        <v>39.450000000000003</v>
      </c>
      <c r="H24" s="55">
        <v>20.04</v>
      </c>
      <c r="I24" s="55">
        <v>5.57</v>
      </c>
      <c r="J24" s="55">
        <v>1.82</v>
      </c>
      <c r="K24" s="55">
        <v>345.17</v>
      </c>
      <c r="L24" s="55">
        <v>37.29</v>
      </c>
      <c r="M24" s="55">
        <v>31.19</v>
      </c>
      <c r="N24" s="55">
        <v>338.20</v>
      </c>
      <c r="O24" s="55">
        <v>0</v>
      </c>
      <c r="P24" s="55">
        <v>0.47</v>
      </c>
      <c r="Q24" s="55">
        <v>9.3699999999999992</v>
      </c>
      <c r="R24" s="43"/>
      <c r="S24" s="43"/>
      <c r="T24" s="43"/>
      <c r="U24" s="43"/>
    </row>
    <row r="25" spans="1:21" s="11" customFormat="1" ht="15">
      <c r="A25" s="54" t="s">
        <v>246</v>
      </c>
      <c r="B25" s="55">
        <v>2.58</v>
      </c>
      <c r="C25" s="55">
        <v>1.39</v>
      </c>
      <c r="D25" s="55">
        <v>3.94</v>
      </c>
      <c r="E25" s="55">
        <v>1.66</v>
      </c>
      <c r="F25" s="55">
        <v>6.81</v>
      </c>
      <c r="G25" s="55">
        <v>38.61</v>
      </c>
      <c r="H25" s="55">
        <v>18.73</v>
      </c>
      <c r="I25" s="55">
        <v>6</v>
      </c>
      <c r="J25" s="55">
        <v>2.1800000000000002</v>
      </c>
      <c r="K25" s="55">
        <v>349.54</v>
      </c>
      <c r="L25" s="55">
        <v>37.229999999999997</v>
      </c>
      <c r="M25" s="55">
        <v>33.380000000000003</v>
      </c>
      <c r="N25" s="55">
        <v>149.5</v>
      </c>
      <c r="O25" s="55">
        <v>0</v>
      </c>
      <c r="P25" s="55">
        <v>0.42</v>
      </c>
      <c r="Q25" s="55">
        <v>9.36</v>
      </c>
      <c r="R25" s="43"/>
      <c r="S25" s="43"/>
      <c r="T25" s="43"/>
      <c r="U25" s="43"/>
    </row>
    <row r="26" spans="1:21" s="11" customFormat="1" ht="15">
      <c r="A26" s="54" t="s">
        <v>247</v>
      </c>
      <c r="B26" s="55">
        <v>2.64</v>
      </c>
      <c r="C26" s="55">
        <v>1.54</v>
      </c>
      <c r="D26" s="55">
        <v>4.0599999999999996</v>
      </c>
      <c r="E26" s="55">
        <v>1.77</v>
      </c>
      <c r="F26" s="55">
        <v>6.66</v>
      </c>
      <c r="G26" s="55">
        <v>45.60</v>
      </c>
      <c r="H26" s="55">
        <v>17.34</v>
      </c>
      <c r="I26" s="55">
        <v>5.39</v>
      </c>
      <c r="J26" s="55">
        <v>2.73</v>
      </c>
      <c r="K26" s="55">
        <v>337.80</v>
      </c>
      <c r="L26" s="55">
        <v>34.840000000000003</v>
      </c>
      <c r="M26" s="55">
        <v>34.81</v>
      </c>
      <c r="N26" s="55">
        <v>68.20</v>
      </c>
      <c r="O26" s="55">
        <v>0</v>
      </c>
      <c r="P26" s="55">
        <v>0.47</v>
      </c>
      <c r="Q26" s="55">
        <v>9.39</v>
      </c>
      <c r="R26" s="43"/>
      <c r="S26" s="43"/>
      <c r="T26" s="43"/>
      <c r="U26" s="43"/>
    </row>
    <row r="27" spans="1:21" s="11" customFormat="1" ht="15">
      <c r="A27" s="54" t="s">
        <v>248</v>
      </c>
      <c r="B27" s="55">
        <v>2.72</v>
      </c>
      <c r="C27" s="55">
        <v>1.97</v>
      </c>
      <c r="D27" s="55">
        <v>4.3600000000000003</v>
      </c>
      <c r="E27" s="55">
        <v>1.54</v>
      </c>
      <c r="F27" s="55">
        <v>5.25</v>
      </c>
      <c r="G27" s="55">
        <v>47.73</v>
      </c>
      <c r="H27" s="55">
        <v>18.52</v>
      </c>
      <c r="I27" s="55">
        <v>4.59</v>
      </c>
      <c r="J27" s="55">
        <v>3.07</v>
      </c>
      <c r="K27" s="55">
        <v>347.07</v>
      </c>
      <c r="L27" s="55">
        <v>32.909999999999997</v>
      </c>
      <c r="M27" s="55">
        <v>40.56</v>
      </c>
      <c r="N27" s="55">
        <v>37.60</v>
      </c>
      <c r="O27" s="55">
        <v>0</v>
      </c>
      <c r="P27" s="55">
        <v>0.48</v>
      </c>
      <c r="Q27" s="55">
        <v>9.3800000000000008</v>
      </c>
      <c r="R27" s="43"/>
      <c r="S27" s="43"/>
      <c r="T27" s="43"/>
      <c r="U27" s="43"/>
    </row>
    <row r="28" spans="1:21" s="11" customFormat="1" ht="15">
      <c r="A28" s="54" t="s">
        <v>249</v>
      </c>
      <c r="B28" s="55">
        <v>2.35</v>
      </c>
      <c r="C28" s="55">
        <v>0.63</v>
      </c>
      <c r="D28" s="55">
        <v>3.36</v>
      </c>
      <c r="E28" s="55">
        <v>2.80</v>
      </c>
      <c r="F28" s="55">
        <v>7.37</v>
      </c>
      <c r="G28" s="55">
        <v>52.51</v>
      </c>
      <c r="H28" s="55">
        <v>18.52</v>
      </c>
      <c r="I28" s="55">
        <v>6.43</v>
      </c>
      <c r="J28" s="55">
        <v>2.78</v>
      </c>
      <c r="K28" s="55">
        <v>166.09</v>
      </c>
      <c r="L28" s="55">
        <v>28.66</v>
      </c>
      <c r="M28" s="55">
        <v>65.17</v>
      </c>
      <c r="N28" s="55">
        <v>21.70</v>
      </c>
      <c r="O28" s="55">
        <v>0.20</v>
      </c>
      <c r="P28" s="55">
        <v>0.46</v>
      </c>
      <c r="Q28" s="55">
        <v>9.44</v>
      </c>
      <c r="R28" s="43"/>
      <c r="S28" s="43"/>
      <c r="T28" s="43"/>
      <c r="U28" s="43"/>
    </row>
    <row r="29" spans="1:21" s="11" customFormat="1" ht="15">
      <c r="A29" s="54" t="s">
        <v>250</v>
      </c>
      <c r="B29" s="55">
        <v>2.62</v>
      </c>
      <c r="C29" s="55">
        <v>1.56</v>
      </c>
      <c r="D29" s="55">
        <v>4.0599999999999996</v>
      </c>
      <c r="E29" s="55">
        <v>2.88</v>
      </c>
      <c r="F29" s="55">
        <v>6.29</v>
      </c>
      <c r="G29" s="55">
        <v>52.51</v>
      </c>
      <c r="H29" s="55">
        <v>17.96</v>
      </c>
      <c r="I29" s="55">
        <v>6.20</v>
      </c>
      <c r="J29" s="55">
        <v>3.13</v>
      </c>
      <c r="K29" s="55">
        <v>159.16</v>
      </c>
      <c r="L29" s="55">
        <v>26.08</v>
      </c>
      <c r="M29" s="55">
        <v>62.06</v>
      </c>
      <c r="N29" s="55">
        <v>17.100000000000001</v>
      </c>
      <c r="O29" s="55">
        <v>0</v>
      </c>
      <c r="P29" s="55">
        <v>0.41</v>
      </c>
      <c r="Q29" s="55">
        <v>9.48</v>
      </c>
      <c r="R29" s="43"/>
      <c r="S29" s="43"/>
      <c r="T29" s="43"/>
      <c r="U29" s="43"/>
    </row>
    <row r="30" spans="1:21" s="11" customFormat="1" ht="15">
      <c r="A30" s="54" t="s">
        <v>251</v>
      </c>
      <c r="B30" s="55">
        <v>2.61</v>
      </c>
      <c r="C30" s="55">
        <v>1.37</v>
      </c>
      <c r="D30" s="55">
        <v>3.95</v>
      </c>
      <c r="E30" s="55">
        <v>2.71</v>
      </c>
      <c r="F30" s="55">
        <v>6.42</v>
      </c>
      <c r="G30" s="55">
        <v>41.77</v>
      </c>
      <c r="H30" s="55">
        <v>12.98</v>
      </c>
      <c r="I30" s="55">
        <v>5.26</v>
      </c>
      <c r="J30" s="55">
        <v>2.56</v>
      </c>
      <c r="K30" s="55">
        <v>160.79</v>
      </c>
      <c r="L30" s="55">
        <v>26.13</v>
      </c>
      <c r="M30" s="55">
        <v>64.44</v>
      </c>
      <c r="N30" s="55">
        <v>17.20</v>
      </c>
      <c r="O30" s="55">
        <v>0</v>
      </c>
      <c r="P30" s="55">
        <v>0.36</v>
      </c>
      <c r="Q30" s="55">
        <v>9.4700000000000006</v>
      </c>
      <c r="R30" s="43"/>
      <c r="S30" s="43"/>
      <c r="T30" s="43"/>
      <c r="U30" s="43"/>
    </row>
    <row r="31" spans="1:21" s="11" customFormat="1" ht="15">
      <c r="A31" s="54" t="s">
        <v>252</v>
      </c>
      <c r="B31" s="55">
        <v>2.4500000000000002</v>
      </c>
      <c r="C31" s="55">
        <v>0.78</v>
      </c>
      <c r="D31" s="55">
        <v>3.52</v>
      </c>
      <c r="E31" s="55">
        <v>2.76</v>
      </c>
      <c r="F31" s="55">
        <v>5.85</v>
      </c>
      <c r="G31" s="55">
        <v>32.57</v>
      </c>
      <c r="H31" s="55">
        <v>12.98</v>
      </c>
      <c r="I31" s="55">
        <v>4.72</v>
      </c>
      <c r="J31" s="55">
        <v>0.69</v>
      </c>
      <c r="K31" s="55">
        <v>214.94</v>
      </c>
      <c r="L31" s="55">
        <v>26.35</v>
      </c>
      <c r="M31" s="55">
        <v>58.70</v>
      </c>
      <c r="N31" s="55">
        <v>16.600000000000001</v>
      </c>
      <c r="O31" s="55">
        <v>0</v>
      </c>
      <c r="P31" s="55">
        <v>0.31</v>
      </c>
      <c r="Q31" s="55">
        <v>9.4700000000000006</v>
      </c>
      <c r="R31" s="43"/>
      <c r="S31" s="43"/>
      <c r="T31" s="43"/>
      <c r="U31" s="43"/>
    </row>
    <row r="32" spans="1:21" s="11" customFormat="1" ht="15">
      <c r="A32" s="54" t="s">
        <v>253</v>
      </c>
      <c r="B32" s="55">
        <v>2.3199999999999998</v>
      </c>
      <c r="C32" s="55">
        <v>0.37</v>
      </c>
      <c r="D32" s="55">
        <v>3.19</v>
      </c>
      <c r="E32" s="55">
        <v>2.64</v>
      </c>
      <c r="F32" s="55">
        <v>6.06</v>
      </c>
      <c r="G32" s="55">
        <v>25.49</v>
      </c>
      <c r="H32" s="55">
        <v>10.74</v>
      </c>
      <c r="I32" s="55">
        <v>3.83</v>
      </c>
      <c r="J32" s="55">
        <v>0.30</v>
      </c>
      <c r="K32" s="55">
        <v>351.16</v>
      </c>
      <c r="L32" s="55">
        <v>26.54</v>
      </c>
      <c r="M32" s="55">
        <v>59.85</v>
      </c>
      <c r="N32" s="55">
        <v>16.600000000000001</v>
      </c>
      <c r="O32" s="55">
        <v>0</v>
      </c>
      <c r="P32" s="55">
        <v>0.27</v>
      </c>
      <c r="Q32" s="55">
        <v>9.41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2.3199999999999998</v>
      </c>
      <c r="C34" s="28">
        <f t="shared" si="0"/>
        <v>0.37</v>
      </c>
      <c r="D34" s="28">
        <f t="shared" si="0"/>
        <v>3.1899999999999999</v>
      </c>
      <c r="E34" s="28">
        <f t="shared" si="0"/>
        <v>1.3600000000000001</v>
      </c>
      <c r="F34" s="28">
        <f t="shared" si="0"/>
        <v>3.8300000000000001</v>
      </c>
      <c r="G34" s="28">
        <f t="shared" si="0"/>
        <v>25.489999999999998</v>
      </c>
      <c r="H34" s="28">
        <f t="shared" si="0"/>
        <v>10.74</v>
      </c>
      <c r="I34" s="28">
        <f t="shared" si="0"/>
        <v>3.0099999999999998</v>
      </c>
      <c r="J34" s="28">
        <f t="shared" si="0"/>
        <v>0.26000000000000001</v>
      </c>
      <c r="K34" s="28">
        <f t="shared" si="0"/>
        <v>23.690000000000001</v>
      </c>
      <c r="L34" s="28">
        <f t="shared" si="0"/>
        <v>25.739999999999998</v>
      </c>
      <c r="M34" s="28">
        <f t="shared" si="0"/>
        <v>30.780000000000001</v>
      </c>
      <c r="N34" s="28">
        <f t="shared" si="0"/>
        <v>16.600000000000001</v>
      </c>
      <c r="O34" s="28">
        <f t="shared" si="0"/>
        <v>0</v>
      </c>
      <c r="P34" s="28">
        <f t="shared" si="0"/>
        <v>0.27000000000000002</v>
      </c>
      <c r="Q34" s="28">
        <f t="shared" si="0"/>
        <v>9.3399999999999999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2.7200000000000002</v>
      </c>
      <c r="C35" s="29">
        <f t="shared" si="1"/>
        <v>1.97</v>
      </c>
      <c r="D35" s="29">
        <f t="shared" si="1"/>
        <v>4.3600000000000003</v>
      </c>
      <c r="E35" s="29">
        <f t="shared" si="1"/>
        <v>2.8799999999999999</v>
      </c>
      <c r="F35" s="29">
        <f t="shared" si="1"/>
        <v>9.3699999999999992</v>
      </c>
      <c r="G35" s="29">
        <f t="shared" si="1"/>
        <v>52.509999999999998</v>
      </c>
      <c r="H35" s="29">
        <f t="shared" si="1"/>
        <v>20.050000000000001</v>
      </c>
      <c r="I35" s="29">
        <f t="shared" si="1"/>
        <v>6.4299999999999997</v>
      </c>
      <c r="J35" s="29">
        <f t="shared" si="1"/>
        <v>3.1299999999999999</v>
      </c>
      <c r="K35" s="29">
        <f t="shared" si="1"/>
        <v>357.05000000000001</v>
      </c>
      <c r="L35" s="29">
        <f t="shared" si="1"/>
        <v>40.130000000000003</v>
      </c>
      <c r="M35" s="29">
        <f t="shared" si="1"/>
        <v>70.709999999999994</v>
      </c>
      <c r="N35" s="29">
        <f t="shared" si="1"/>
        <v>858</v>
      </c>
      <c r="O35" s="29">
        <f t="shared" si="1"/>
        <v>0.20000000000000001</v>
      </c>
      <c r="P35" s="29">
        <f t="shared" si="1"/>
        <v>0.56999999999999995</v>
      </c>
      <c r="Q35" s="29">
        <f t="shared" si="1"/>
        <v>9.4800000000000004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2.5483333333333333</v>
      </c>
      <c r="C36" s="28">
        <f t="shared" si="2"/>
        <v>1.22</v>
      </c>
      <c r="D36" s="28">
        <f t="shared" si="2"/>
        <v>3.8241666666666667</v>
      </c>
      <c r="E36" s="28">
        <f t="shared" si="2"/>
        <v>2.1104166666666666</v>
      </c>
      <c r="F36" s="28">
        <f t="shared" si="2"/>
        <v>6.6012499999999976</v>
      </c>
      <c r="G36" s="28">
        <f t="shared" si="2"/>
        <v>36.936666666666675</v>
      </c>
      <c r="H36" s="28">
        <f t="shared" si="2"/>
        <v>15.457083333333332</v>
      </c>
      <c r="I36" s="28">
        <f t="shared" si="2"/>
        <v>4.5937499999999991</v>
      </c>
      <c r="J36" s="28">
        <f t="shared" si="2"/>
        <v>1.23875</v>
      </c>
      <c r="K36" s="28">
        <f t="shared" si="2"/>
        <v>265.48958333333331</v>
      </c>
      <c r="L36" s="28">
        <f t="shared" si="2"/>
        <v>31.167916666666667</v>
      </c>
      <c r="M36" s="28">
        <f t="shared" si="2"/>
        <v>51.597500000000004</v>
      </c>
      <c r="N36" s="28">
        <f t="shared" si="2"/>
        <v>287.49583333333339</v>
      </c>
      <c r="O36" s="28">
        <f t="shared" si="2"/>
        <v>0.0083333333333333332</v>
      </c>
      <c r="P36" s="28">
        <f t="shared" si="2"/>
        <v>0.41208333333333336</v>
      </c>
      <c r="Q36" s="28">
        <f t="shared" si="2"/>
        <v>9.4116666666666635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0.096804000396436649</v>
      </c>
      <c r="C37" s="28">
        <f t="shared" si="3" ref="C37:Q37">STDEV(C9:C32)</f>
        <v>0.35148133724962172</v>
      </c>
      <c r="D37" s="28">
        <f t="shared" si="3"/>
        <v>0.25647979268934495</v>
      </c>
      <c r="E37" s="28">
        <f t="shared" si="3"/>
        <v>0.46650857829539294</v>
      </c>
      <c r="F37" s="28">
        <f t="shared" si="3"/>
        <v>1.6027810409464622</v>
      </c>
      <c r="G37" s="28">
        <f t="shared" si="3"/>
        <v>7.3090472029186326</v>
      </c>
      <c r="H37" s="28">
        <f t="shared" si="3"/>
        <v>3.2978207285980639</v>
      </c>
      <c r="I37" s="28">
        <f t="shared" si="3"/>
        <v>0.88158854890772309</v>
      </c>
      <c r="J37" s="28">
        <f t="shared" si="3"/>
        <v>0.95878234597666745</v>
      </c>
      <c r="K37" s="28">
        <f t="shared" si="3"/>
        <v>102.30541825419949</v>
      </c>
      <c r="L37" s="28">
        <f t="shared" si="3"/>
        <v>4.9894444921834316</v>
      </c>
      <c r="M37" s="28">
        <f t="shared" si="3"/>
        <v>14.293925511270116</v>
      </c>
      <c r="N37" s="28">
        <f t="shared" si="3"/>
        <v>338.17535903750422</v>
      </c>
      <c r="O37" s="28">
        <f t="shared" si="3"/>
        <v>0.040824829046386311</v>
      </c>
      <c r="P37" s="28">
        <f t="shared" si="3"/>
        <v>0.084389323797589566</v>
      </c>
      <c r="Q37" s="28">
        <f t="shared" si="3"/>
        <v>0.039305566224542433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1082fa-3041-48c7-81e1-2e6ff3b27cdb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254</v>
      </c>
      <c r="B9" s="55">
        <v>2.66</v>
      </c>
      <c r="C9" s="55">
        <v>1.22</v>
      </c>
      <c r="D9" s="55">
        <v>3.91</v>
      </c>
      <c r="E9" s="55">
        <v>2.80</v>
      </c>
      <c r="F9" s="55">
        <v>5.07</v>
      </c>
      <c r="G9" s="55">
        <v>21.51</v>
      </c>
      <c r="H9" s="55">
        <v>8.84</v>
      </c>
      <c r="I9" s="55">
        <v>3.46</v>
      </c>
      <c r="J9" s="55">
        <v>0.54</v>
      </c>
      <c r="K9" s="55">
        <v>352</v>
      </c>
      <c r="L9" s="55">
        <v>27.14</v>
      </c>
      <c r="M9" s="55">
        <v>52.83</v>
      </c>
      <c r="N9" s="55">
        <v>16.30</v>
      </c>
      <c r="O9" s="55">
        <v>0</v>
      </c>
      <c r="P9" s="55">
        <v>0.26</v>
      </c>
      <c r="Q9" s="55">
        <v>9.44</v>
      </c>
      <c r="R9" s="43"/>
      <c r="S9" s="43"/>
      <c r="T9" s="43"/>
      <c r="U9" s="43"/>
    </row>
    <row r="10" spans="1:21" s="11" customFormat="1" ht="15">
      <c r="A10" s="54" t="s">
        <v>255</v>
      </c>
      <c r="B10" s="55">
        <v>2.48</v>
      </c>
      <c r="C10" s="55">
        <v>1.03</v>
      </c>
      <c r="D10" s="55">
        <v>3.68</v>
      </c>
      <c r="E10" s="55">
        <v>2.4900000000000002</v>
      </c>
      <c r="F10" s="55">
        <v>5.74</v>
      </c>
      <c r="G10" s="55">
        <v>21.51</v>
      </c>
      <c r="H10" s="55">
        <v>8.84</v>
      </c>
      <c r="I10" s="55">
        <v>3.63</v>
      </c>
      <c r="J10" s="55">
        <v>0.66</v>
      </c>
      <c r="K10" s="55">
        <v>207.58</v>
      </c>
      <c r="L10" s="55">
        <v>27.02</v>
      </c>
      <c r="M10" s="55">
        <v>60.14</v>
      </c>
      <c r="N10" s="55">
        <v>16.30</v>
      </c>
      <c r="O10" s="55">
        <v>0</v>
      </c>
      <c r="P10" s="55">
        <v>0.25</v>
      </c>
      <c r="Q10" s="55">
        <v>9.43</v>
      </c>
      <c r="R10" s="43"/>
      <c r="S10" s="43"/>
      <c r="T10" s="43"/>
      <c r="U10" s="43"/>
    </row>
    <row r="11" spans="1:21" s="11" customFormat="1" ht="15">
      <c r="A11" s="54" t="s">
        <v>256</v>
      </c>
      <c r="B11" s="55">
        <v>2.46</v>
      </c>
      <c r="C11" s="55">
        <v>0.84</v>
      </c>
      <c r="D11" s="55">
        <v>3.55</v>
      </c>
      <c r="E11" s="55">
        <v>2.44</v>
      </c>
      <c r="F11" s="55">
        <v>5.27</v>
      </c>
      <c r="G11" s="55">
        <v>22.10</v>
      </c>
      <c r="H11" s="55">
        <v>7.94</v>
      </c>
      <c r="I11" s="55">
        <v>3.34</v>
      </c>
      <c r="J11" s="55">
        <v>0.75</v>
      </c>
      <c r="K11" s="55">
        <v>349.76</v>
      </c>
      <c r="L11" s="55">
        <v>26.37</v>
      </c>
      <c r="M11" s="55">
        <v>65.52</v>
      </c>
      <c r="N11" s="55">
        <v>16.600000000000001</v>
      </c>
      <c r="O11" s="55">
        <v>0</v>
      </c>
      <c r="P11" s="55">
        <v>0.24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257</v>
      </c>
      <c r="B12" s="55">
        <v>2.58</v>
      </c>
      <c r="C12" s="55">
        <v>1.22</v>
      </c>
      <c r="D12" s="55">
        <v>3.85</v>
      </c>
      <c r="E12" s="55">
        <v>2.17</v>
      </c>
      <c r="F12" s="55">
        <v>4.04</v>
      </c>
      <c r="G12" s="55">
        <v>22.10</v>
      </c>
      <c r="H12" s="55">
        <v>8.1300000000000008</v>
      </c>
      <c r="I12" s="55">
        <v>3.13</v>
      </c>
      <c r="J12" s="55">
        <v>1.26</v>
      </c>
      <c r="K12" s="55">
        <v>210.93</v>
      </c>
      <c r="L12" s="55">
        <v>26.30</v>
      </c>
      <c r="M12" s="55">
        <v>69.849999999999994</v>
      </c>
      <c r="N12" s="55">
        <v>16.600000000000001</v>
      </c>
      <c r="O12" s="55">
        <v>0</v>
      </c>
      <c r="P12" s="55">
        <v>0.23</v>
      </c>
      <c r="Q12" s="55">
        <v>9.34</v>
      </c>
      <c r="R12" s="43"/>
      <c r="S12" s="43"/>
      <c r="T12" s="43"/>
      <c r="U12" s="43"/>
    </row>
    <row r="13" spans="1:21" s="11" customFormat="1" ht="15">
      <c r="A13" s="54" t="s">
        <v>258</v>
      </c>
      <c r="B13" s="55">
        <v>2.57</v>
      </c>
      <c r="C13" s="55">
        <v>0.93</v>
      </c>
      <c r="D13" s="55">
        <v>3.70</v>
      </c>
      <c r="E13" s="55">
        <v>1.31</v>
      </c>
      <c r="F13" s="55">
        <v>4.0999999999999996</v>
      </c>
      <c r="G13" s="55">
        <v>20.43</v>
      </c>
      <c r="H13" s="55">
        <v>8.1300000000000008</v>
      </c>
      <c r="I13" s="55">
        <v>3.97</v>
      </c>
      <c r="J13" s="55">
        <v>0.88</v>
      </c>
      <c r="K13" s="55">
        <v>218.39</v>
      </c>
      <c r="L13" s="55">
        <v>26.13</v>
      </c>
      <c r="M13" s="55">
        <v>72.349999999999994</v>
      </c>
      <c r="N13" s="55">
        <v>16.600000000000001</v>
      </c>
      <c r="O13" s="55">
        <v>0</v>
      </c>
      <c r="P13" s="55">
        <v>0.24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259</v>
      </c>
      <c r="B14" s="55">
        <v>2.44</v>
      </c>
      <c r="C14" s="55">
        <v>0.78</v>
      </c>
      <c r="D14" s="55">
        <v>3.51</v>
      </c>
      <c r="E14" s="55">
        <v>1.62</v>
      </c>
      <c r="F14" s="55">
        <v>4.51</v>
      </c>
      <c r="G14" s="55">
        <v>22.41</v>
      </c>
      <c r="H14" s="55">
        <v>6.34</v>
      </c>
      <c r="I14" s="55">
        <v>4.53</v>
      </c>
      <c r="J14" s="55">
        <v>1.41</v>
      </c>
      <c r="K14" s="55">
        <v>284.02</v>
      </c>
      <c r="L14" s="55">
        <v>26.14</v>
      </c>
      <c r="M14" s="55">
        <v>73.739999999999995</v>
      </c>
      <c r="N14" s="55">
        <v>58.10</v>
      </c>
      <c r="O14" s="55">
        <v>0</v>
      </c>
      <c r="P14" s="55">
        <v>0.25</v>
      </c>
      <c r="Q14" s="55">
        <v>9.4600000000000009</v>
      </c>
      <c r="R14" s="43"/>
      <c r="S14" s="43"/>
      <c r="T14" s="43"/>
      <c r="U14" s="43"/>
    </row>
    <row r="15" spans="1:21" s="11" customFormat="1" ht="15">
      <c r="A15" s="54" t="s">
        <v>260</v>
      </c>
      <c r="B15" s="55">
        <v>2.5499999999999998</v>
      </c>
      <c r="C15" s="55">
        <v>1.06</v>
      </c>
      <c r="D15" s="55">
        <v>3.74</v>
      </c>
      <c r="E15" s="55">
        <v>1.29</v>
      </c>
      <c r="F15" s="55">
        <v>4.88</v>
      </c>
      <c r="G15" s="55">
        <v>23.05</v>
      </c>
      <c r="H15" s="55">
        <v>9.3800000000000008</v>
      </c>
      <c r="I15" s="55">
        <v>4.4000000000000004</v>
      </c>
      <c r="J15" s="55">
        <v>0.57999999999999996</v>
      </c>
      <c r="K15" s="55">
        <v>351.09</v>
      </c>
      <c r="L15" s="55">
        <v>28.12</v>
      </c>
      <c r="M15" s="55">
        <v>72.819999999999993</v>
      </c>
      <c r="N15" s="55">
        <v>171.80</v>
      </c>
      <c r="O15" s="55">
        <v>0</v>
      </c>
      <c r="P15" s="55">
        <v>0.28000000000000003</v>
      </c>
      <c r="Q15" s="55">
        <v>9.44</v>
      </c>
      <c r="R15" s="43"/>
      <c r="S15" s="43"/>
      <c r="T15" s="43"/>
      <c r="U15" s="43"/>
    </row>
    <row r="16" spans="1:21" s="11" customFormat="1" ht="15">
      <c r="A16" s="54" t="s">
        <v>261</v>
      </c>
      <c r="B16" s="55">
        <v>2.59</v>
      </c>
      <c r="C16" s="55">
        <v>1.35</v>
      </c>
      <c r="D16" s="55">
        <v>3.93</v>
      </c>
      <c r="E16" s="55">
        <v>3.03</v>
      </c>
      <c r="F16" s="55">
        <v>7.29</v>
      </c>
      <c r="G16" s="55">
        <v>26.97</v>
      </c>
      <c r="H16" s="55">
        <v>10.52</v>
      </c>
      <c r="I16" s="55">
        <v>4.0199999999999996</v>
      </c>
      <c r="J16" s="55">
        <v>0.80</v>
      </c>
      <c r="K16" s="55">
        <v>30.49</v>
      </c>
      <c r="L16" s="55">
        <v>29.76</v>
      </c>
      <c r="M16" s="55">
        <v>63.18</v>
      </c>
      <c r="N16" s="55">
        <v>418.20</v>
      </c>
      <c r="O16" s="55">
        <v>0</v>
      </c>
      <c r="P16" s="55">
        <v>0.32</v>
      </c>
      <c r="Q16" s="55">
        <v>9.40</v>
      </c>
      <c r="R16" s="43"/>
      <c r="S16" s="43"/>
      <c r="T16" s="43"/>
      <c r="U16" s="43"/>
    </row>
    <row r="17" spans="1:21" s="11" customFormat="1" ht="15">
      <c r="A17" s="54" t="s">
        <v>262</v>
      </c>
      <c r="B17" s="55">
        <v>2.4900000000000002</v>
      </c>
      <c r="C17" s="55">
        <v>0.89</v>
      </c>
      <c r="D17" s="55">
        <v>3.60</v>
      </c>
      <c r="E17" s="55">
        <v>2.4700000000000002</v>
      </c>
      <c r="F17" s="55">
        <v>9.56</v>
      </c>
      <c r="G17" s="55">
        <v>26.97</v>
      </c>
      <c r="H17" s="55">
        <v>10.52</v>
      </c>
      <c r="I17" s="55">
        <v>3.01</v>
      </c>
      <c r="J17" s="55">
        <v>0.59</v>
      </c>
      <c r="K17" s="55">
        <v>22.85</v>
      </c>
      <c r="L17" s="55">
        <v>30.76</v>
      </c>
      <c r="M17" s="55">
        <v>57.40</v>
      </c>
      <c r="N17" s="55">
        <v>489.40</v>
      </c>
      <c r="O17" s="55">
        <v>0</v>
      </c>
      <c r="P17" s="55">
        <v>0.31</v>
      </c>
      <c r="Q17" s="55">
        <v>9.34</v>
      </c>
      <c r="R17" s="43"/>
      <c r="S17" s="43"/>
      <c r="T17" s="43"/>
      <c r="U17" s="43"/>
    </row>
    <row r="18" spans="1:21" s="11" customFormat="1" ht="15">
      <c r="A18" s="54" t="s">
        <v>263</v>
      </c>
      <c r="B18" s="55">
        <v>2.31</v>
      </c>
      <c r="C18" s="55">
        <v>0.43</v>
      </c>
      <c r="D18" s="55">
        <v>3.21</v>
      </c>
      <c r="E18" s="55">
        <v>2.84</v>
      </c>
      <c r="F18" s="55">
        <v>8.6999999999999993</v>
      </c>
      <c r="G18" s="55">
        <v>26.20</v>
      </c>
      <c r="H18" s="55">
        <v>9.66</v>
      </c>
      <c r="I18" s="55">
        <v>2.2000000000000002</v>
      </c>
      <c r="J18" s="55">
        <v>0.39</v>
      </c>
      <c r="K18" s="55">
        <v>349.91</v>
      </c>
      <c r="L18" s="55">
        <v>32.08</v>
      </c>
      <c r="M18" s="55">
        <v>57.27</v>
      </c>
      <c r="N18" s="55">
        <v>663.10</v>
      </c>
      <c r="O18" s="55">
        <v>0</v>
      </c>
      <c r="P18" s="55">
        <v>0.38</v>
      </c>
      <c r="Q18" s="55">
        <v>9.3800000000000008</v>
      </c>
      <c r="R18" s="43"/>
      <c r="S18" s="43"/>
      <c r="T18" s="43"/>
      <c r="U18" s="43"/>
    </row>
    <row r="19" spans="1:21" s="11" customFormat="1" ht="15">
      <c r="A19" s="54" t="s">
        <v>264</v>
      </c>
      <c r="B19" s="55">
        <v>2.48</v>
      </c>
      <c r="C19" s="55">
        <v>1.06</v>
      </c>
      <c r="D19" s="55">
        <v>3.69</v>
      </c>
      <c r="E19" s="55">
        <v>2.4700000000000002</v>
      </c>
      <c r="F19" s="55">
        <v>8.82</v>
      </c>
      <c r="G19" s="55">
        <v>29.59</v>
      </c>
      <c r="H19" s="55">
        <v>11.46</v>
      </c>
      <c r="I19" s="55">
        <v>2.68</v>
      </c>
      <c r="J19" s="55">
        <v>0.68</v>
      </c>
      <c r="K19" s="55">
        <v>327.56</v>
      </c>
      <c r="L19" s="55">
        <v>34.200000000000003</v>
      </c>
      <c r="M19" s="55">
        <v>48.49</v>
      </c>
      <c r="N19" s="55">
        <v>796.20</v>
      </c>
      <c r="O19" s="55">
        <v>0</v>
      </c>
      <c r="P19" s="55">
        <v>0.47</v>
      </c>
      <c r="Q19" s="55">
        <v>9.41</v>
      </c>
      <c r="R19" s="43"/>
      <c r="S19" s="43"/>
      <c r="T19" s="43"/>
      <c r="U19" s="43"/>
    </row>
    <row r="20" spans="1:21" s="11" customFormat="1" ht="15">
      <c r="A20" s="54" t="s">
        <v>265</v>
      </c>
      <c r="B20" s="55">
        <v>2.38</v>
      </c>
      <c r="C20" s="55">
        <v>0.65</v>
      </c>
      <c r="D20" s="55">
        <v>3.39</v>
      </c>
      <c r="E20" s="55">
        <v>2.63</v>
      </c>
      <c r="F20" s="55">
        <v>8.7100000000000009</v>
      </c>
      <c r="G20" s="55">
        <v>29.73</v>
      </c>
      <c r="H20" s="55">
        <v>15.06</v>
      </c>
      <c r="I20" s="55">
        <v>2.72</v>
      </c>
      <c r="J20" s="55">
        <v>0.69</v>
      </c>
      <c r="K20" s="55">
        <v>340.31</v>
      </c>
      <c r="L20" s="55">
        <v>35.79</v>
      </c>
      <c r="M20" s="55">
        <v>41.70</v>
      </c>
      <c r="N20" s="55">
        <v>843</v>
      </c>
      <c r="O20" s="55">
        <v>0</v>
      </c>
      <c r="P20" s="55">
        <v>0.47</v>
      </c>
      <c r="Q20" s="55">
        <v>9.39</v>
      </c>
      <c r="R20" s="43"/>
      <c r="S20" s="43"/>
      <c r="T20" s="43"/>
      <c r="U20" s="43"/>
    </row>
    <row r="21" spans="1:21" s="11" customFormat="1" ht="15">
      <c r="A21" s="54" t="s">
        <v>266</v>
      </c>
      <c r="B21" s="55">
        <v>2.61</v>
      </c>
      <c r="C21" s="55">
        <v>1.54</v>
      </c>
      <c r="D21" s="55">
        <v>4.04</v>
      </c>
      <c r="E21" s="55">
        <v>2.16</v>
      </c>
      <c r="F21" s="55">
        <v>8.74</v>
      </c>
      <c r="G21" s="55">
        <v>32.840000000000003</v>
      </c>
      <c r="H21" s="55">
        <v>15.06</v>
      </c>
      <c r="I21" s="55">
        <v>2.64</v>
      </c>
      <c r="J21" s="55">
        <v>0.81</v>
      </c>
      <c r="K21" s="55">
        <v>320.10000000000002</v>
      </c>
      <c r="L21" s="55">
        <v>37.159999999999997</v>
      </c>
      <c r="M21" s="55">
        <v>36.76</v>
      </c>
      <c r="N21" s="55">
        <v>821.30</v>
      </c>
      <c r="O21" s="55">
        <v>0</v>
      </c>
      <c r="P21" s="55">
        <v>0.5</v>
      </c>
      <c r="Q21" s="55">
        <v>9.3699999999999992</v>
      </c>
      <c r="R21" s="43"/>
      <c r="S21" s="43"/>
      <c r="T21" s="43"/>
      <c r="U21" s="43"/>
    </row>
    <row r="22" spans="1:21" s="11" customFormat="1" ht="15">
      <c r="A22" s="54" t="s">
        <v>267</v>
      </c>
      <c r="B22" s="55">
        <v>2.5499999999999998</v>
      </c>
      <c r="C22" s="55">
        <v>1.23</v>
      </c>
      <c r="D22" s="55">
        <v>3.83</v>
      </c>
      <c r="E22" s="55">
        <v>2.65</v>
      </c>
      <c r="F22" s="55">
        <v>8.3800000000000008</v>
      </c>
      <c r="G22" s="55">
        <v>34.94</v>
      </c>
      <c r="H22" s="55">
        <v>16</v>
      </c>
      <c r="I22" s="55">
        <v>2.97</v>
      </c>
      <c r="J22" s="55">
        <v>0.56999999999999995</v>
      </c>
      <c r="K22" s="55">
        <v>335.79</v>
      </c>
      <c r="L22" s="55">
        <v>37.090000000000003</v>
      </c>
      <c r="M22" s="55">
        <v>34.36</v>
      </c>
      <c r="N22" s="55">
        <v>622</v>
      </c>
      <c r="O22" s="55">
        <v>0</v>
      </c>
      <c r="P22" s="55">
        <v>0.51</v>
      </c>
      <c r="Q22" s="55">
        <v>9.31</v>
      </c>
      <c r="R22" s="43"/>
      <c r="S22" s="43"/>
      <c r="T22" s="43"/>
      <c r="U22" s="43"/>
    </row>
    <row r="23" spans="1:21" s="11" customFormat="1" ht="15">
      <c r="A23" s="54" t="s">
        <v>268</v>
      </c>
      <c r="B23" s="55">
        <v>2.5</v>
      </c>
      <c r="C23" s="55">
        <v>1.23</v>
      </c>
      <c r="D23" s="55">
        <v>3.80</v>
      </c>
      <c r="E23" s="55">
        <v>2.54</v>
      </c>
      <c r="F23" s="55">
        <v>8.09</v>
      </c>
      <c r="G23" s="55">
        <v>37.549999999999997</v>
      </c>
      <c r="H23" s="55">
        <v>19.350000000000001</v>
      </c>
      <c r="I23" s="55">
        <v>3.84</v>
      </c>
      <c r="J23" s="55">
        <v>0.87</v>
      </c>
      <c r="K23" s="55">
        <v>347.21</v>
      </c>
      <c r="L23" s="55">
        <v>35.68</v>
      </c>
      <c r="M23" s="55">
        <v>37.549999999999997</v>
      </c>
      <c r="N23" s="55">
        <v>522.20000000000005</v>
      </c>
      <c r="O23" s="55">
        <v>0</v>
      </c>
      <c r="P23" s="55">
        <v>0.53</v>
      </c>
      <c r="Q23" s="55">
        <v>9.3800000000000008</v>
      </c>
      <c r="R23" s="43"/>
      <c r="S23" s="43"/>
      <c r="T23" s="43"/>
      <c r="U23" s="43"/>
    </row>
    <row r="24" spans="1:21" s="11" customFormat="1" ht="15">
      <c r="A24" s="54" t="s">
        <v>269</v>
      </c>
      <c r="B24" s="55">
        <v>2.3199999999999998</v>
      </c>
      <c r="C24" s="55">
        <v>0.5</v>
      </c>
      <c r="D24" s="55">
        <v>3.26</v>
      </c>
      <c r="E24" s="55">
        <v>2.39</v>
      </c>
      <c r="F24" s="55">
        <v>7.19</v>
      </c>
      <c r="G24" s="55">
        <v>37.549999999999997</v>
      </c>
      <c r="H24" s="55">
        <v>19.350000000000001</v>
      </c>
      <c r="I24" s="55">
        <v>5.09</v>
      </c>
      <c r="J24" s="55">
        <v>1.97</v>
      </c>
      <c r="K24" s="55">
        <v>160.56</v>
      </c>
      <c r="L24" s="55">
        <v>34.840000000000003</v>
      </c>
      <c r="M24" s="55">
        <v>39.299999999999997</v>
      </c>
      <c r="N24" s="55">
        <v>216.5</v>
      </c>
      <c r="O24" s="55">
        <v>0</v>
      </c>
      <c r="P24" s="55">
        <v>0.52</v>
      </c>
      <c r="Q24" s="55">
        <v>9.35</v>
      </c>
      <c r="R24" s="43"/>
      <c r="S24" s="43"/>
      <c r="T24" s="43"/>
      <c r="U24" s="43"/>
    </row>
    <row r="25" spans="1:21" s="11" customFormat="1" ht="15">
      <c r="A25" s="54" t="s">
        <v>270</v>
      </c>
      <c r="B25" s="55">
        <v>2.56</v>
      </c>
      <c r="C25" s="55">
        <v>1.18</v>
      </c>
      <c r="D25" s="55">
        <v>3.81</v>
      </c>
      <c r="E25" s="55">
        <v>1.45</v>
      </c>
      <c r="F25" s="55">
        <v>6.82</v>
      </c>
      <c r="G25" s="55">
        <v>35.75</v>
      </c>
      <c r="H25" s="55">
        <v>15.57</v>
      </c>
      <c r="I25" s="55">
        <v>5.44</v>
      </c>
      <c r="J25" s="55">
        <v>0.55000000000000004</v>
      </c>
      <c r="K25" s="55">
        <v>357.91</v>
      </c>
      <c r="L25" s="55">
        <v>34.700000000000003</v>
      </c>
      <c r="M25" s="55">
        <v>38.64</v>
      </c>
      <c r="N25" s="55">
        <v>130.30000000000001</v>
      </c>
      <c r="O25" s="55">
        <v>0</v>
      </c>
      <c r="P25" s="55">
        <v>0.45</v>
      </c>
      <c r="Q25" s="55">
        <v>9.34</v>
      </c>
      <c r="R25" s="43"/>
      <c r="S25" s="43"/>
      <c r="T25" s="43"/>
      <c r="U25" s="43"/>
    </row>
    <row r="26" spans="1:21" s="11" customFormat="1" ht="15">
      <c r="A26" s="54" t="s">
        <v>271</v>
      </c>
      <c r="B26" s="55">
        <v>2.5099999999999998</v>
      </c>
      <c r="C26" s="55">
        <v>1.1499999999999999</v>
      </c>
      <c r="D26" s="55">
        <v>3.75</v>
      </c>
      <c r="E26" s="55">
        <v>1.67</v>
      </c>
      <c r="F26" s="55">
        <v>6.90</v>
      </c>
      <c r="G26" s="55">
        <v>37.28</v>
      </c>
      <c r="H26" s="55">
        <v>14.57</v>
      </c>
      <c r="I26" s="55">
        <v>4.99</v>
      </c>
      <c r="J26" s="55">
        <v>3.21</v>
      </c>
      <c r="K26" s="55">
        <v>333.57</v>
      </c>
      <c r="L26" s="55">
        <v>33.26</v>
      </c>
      <c r="M26" s="55">
        <v>44.88</v>
      </c>
      <c r="N26" s="55">
        <v>50.80</v>
      </c>
      <c r="O26" s="55">
        <v>0</v>
      </c>
      <c r="P26" s="55">
        <v>0.47</v>
      </c>
      <c r="Q26" s="55">
        <v>9.31</v>
      </c>
      <c r="R26" s="43"/>
      <c r="S26" s="43"/>
      <c r="T26" s="43"/>
      <c r="U26" s="43"/>
    </row>
    <row r="27" spans="1:21" s="11" customFormat="1" ht="15">
      <c r="A27" s="54" t="s">
        <v>272</v>
      </c>
      <c r="B27" s="55">
        <v>2.2999999999999998</v>
      </c>
      <c r="C27" s="55">
        <v>0.37</v>
      </c>
      <c r="D27" s="55">
        <v>3.16</v>
      </c>
      <c r="E27" s="55">
        <v>1.68</v>
      </c>
      <c r="F27" s="55">
        <v>8.43</v>
      </c>
      <c r="G27" s="55">
        <v>44.94</v>
      </c>
      <c r="H27" s="55">
        <v>16.07</v>
      </c>
      <c r="I27" s="55">
        <v>4.66</v>
      </c>
      <c r="J27" s="55">
        <v>3.64</v>
      </c>
      <c r="K27" s="55">
        <v>347.02</v>
      </c>
      <c r="L27" s="55">
        <v>30</v>
      </c>
      <c r="M27" s="55">
        <v>54.01</v>
      </c>
      <c r="N27" s="55">
        <v>22.10</v>
      </c>
      <c r="O27" s="55">
        <v>0</v>
      </c>
      <c r="P27" s="55">
        <v>0.5</v>
      </c>
      <c r="Q27" s="55">
        <v>9.42</v>
      </c>
      <c r="R27" s="43"/>
      <c r="S27" s="43"/>
      <c r="T27" s="43"/>
      <c r="U27" s="43"/>
    </row>
    <row r="28" spans="1:21" s="11" customFormat="1" ht="15">
      <c r="A28" s="54" t="s">
        <v>273</v>
      </c>
      <c r="B28" s="55">
        <v>2.62</v>
      </c>
      <c r="C28" s="55">
        <v>1.80</v>
      </c>
      <c r="D28" s="55">
        <v>4.1900000000000004</v>
      </c>
      <c r="E28" s="55">
        <v>1.74</v>
      </c>
      <c r="F28" s="55">
        <v>6.53</v>
      </c>
      <c r="G28" s="55">
        <v>55.22</v>
      </c>
      <c r="H28" s="55">
        <v>17.149999999999999</v>
      </c>
      <c r="I28" s="55">
        <v>3.74</v>
      </c>
      <c r="J28" s="55">
        <v>2.73</v>
      </c>
      <c r="K28" s="55">
        <v>347.15</v>
      </c>
      <c r="L28" s="55">
        <v>28.28</v>
      </c>
      <c r="M28" s="55">
        <v>53.32</v>
      </c>
      <c r="N28" s="55">
        <v>16.600000000000001</v>
      </c>
      <c r="O28" s="55">
        <v>0</v>
      </c>
      <c r="P28" s="55">
        <v>0.56000000000000005</v>
      </c>
      <c r="Q28" s="55">
        <v>9.4700000000000006</v>
      </c>
      <c r="R28" s="43"/>
      <c r="S28" s="43"/>
      <c r="T28" s="43"/>
      <c r="U28" s="43"/>
    </row>
    <row r="29" spans="1:21" s="11" customFormat="1" ht="15">
      <c r="A29" s="54" t="s">
        <v>274</v>
      </c>
      <c r="B29" s="55">
        <v>2.59</v>
      </c>
      <c r="C29" s="55">
        <v>1.62</v>
      </c>
      <c r="D29" s="55">
        <v>4.07</v>
      </c>
      <c r="E29" s="55">
        <v>0.79</v>
      </c>
      <c r="F29" s="55">
        <v>4.62</v>
      </c>
      <c r="G29" s="55">
        <v>60.72</v>
      </c>
      <c r="H29" s="55">
        <v>18.05</v>
      </c>
      <c r="I29" s="55">
        <v>3.84</v>
      </c>
      <c r="J29" s="55">
        <v>0.48</v>
      </c>
      <c r="K29" s="55">
        <v>314.14</v>
      </c>
      <c r="L29" s="55">
        <v>28.35</v>
      </c>
      <c r="M29" s="55">
        <v>57.21</v>
      </c>
      <c r="N29" s="55">
        <v>17</v>
      </c>
      <c r="O29" s="55">
        <v>0</v>
      </c>
      <c r="P29" s="55">
        <v>0.62</v>
      </c>
      <c r="Q29" s="55">
        <v>9.49</v>
      </c>
      <c r="R29" s="43"/>
      <c r="S29" s="43"/>
      <c r="T29" s="43"/>
      <c r="U29" s="43"/>
    </row>
    <row r="30" spans="1:21" s="11" customFormat="1" ht="15">
      <c r="A30" s="54" t="s">
        <v>275</v>
      </c>
      <c r="B30" s="55">
        <v>2.34</v>
      </c>
      <c r="C30" s="55">
        <v>0.55000000000000004</v>
      </c>
      <c r="D30" s="55">
        <v>3.29</v>
      </c>
      <c r="E30" s="55">
        <v>0.85</v>
      </c>
      <c r="F30" s="55">
        <v>5.26</v>
      </c>
      <c r="G30" s="55">
        <v>63.11</v>
      </c>
      <c r="H30" s="55">
        <v>20.95</v>
      </c>
      <c r="I30" s="55">
        <v>3.70</v>
      </c>
      <c r="J30" s="55">
        <v>0.64</v>
      </c>
      <c r="K30" s="55">
        <v>347.85</v>
      </c>
      <c r="L30" s="55">
        <v>27.55</v>
      </c>
      <c r="M30" s="55">
        <v>61.43</v>
      </c>
      <c r="N30" s="55">
        <v>16.899999999999999</v>
      </c>
      <c r="O30" s="55">
        <v>0</v>
      </c>
      <c r="P30" s="55">
        <v>0.62</v>
      </c>
      <c r="Q30" s="55">
        <v>9.4600000000000009</v>
      </c>
      <c r="R30" s="43"/>
      <c r="S30" s="43"/>
      <c r="T30" s="43"/>
      <c r="U30" s="43"/>
    </row>
    <row r="31" spans="1:21" s="11" customFormat="1" ht="15">
      <c r="A31" s="54" t="s">
        <v>276</v>
      </c>
      <c r="B31" s="55">
        <v>2.64</v>
      </c>
      <c r="C31" s="55">
        <v>1.51</v>
      </c>
      <c r="D31" s="55">
        <v>4.05</v>
      </c>
      <c r="E31" s="55">
        <v>0.74</v>
      </c>
      <c r="F31" s="55">
        <v>7.33</v>
      </c>
      <c r="G31" s="55">
        <v>63.11</v>
      </c>
      <c r="H31" s="55">
        <v>20.95</v>
      </c>
      <c r="I31" s="55">
        <v>3.47</v>
      </c>
      <c r="J31" s="55">
        <v>1.71</v>
      </c>
      <c r="K31" s="55">
        <v>199.27</v>
      </c>
      <c r="L31" s="55">
        <v>27.02</v>
      </c>
      <c r="M31" s="55">
        <v>71.73</v>
      </c>
      <c r="N31" s="55">
        <v>18.100000000000001</v>
      </c>
      <c r="O31" s="55">
        <v>0</v>
      </c>
      <c r="P31" s="55">
        <v>0.57999999999999996</v>
      </c>
      <c r="Q31" s="55">
        <v>9.43</v>
      </c>
      <c r="R31" s="43"/>
      <c r="S31" s="43"/>
      <c r="T31" s="43"/>
      <c r="U31" s="43"/>
    </row>
    <row r="32" spans="1:21" s="11" customFormat="1" ht="15">
      <c r="A32" s="54" t="s">
        <v>277</v>
      </c>
      <c r="B32" s="55">
        <v>2.71</v>
      </c>
      <c r="C32" s="55">
        <v>1.94</v>
      </c>
      <c r="D32" s="55">
        <v>4.34</v>
      </c>
      <c r="E32" s="55">
        <v>1.26</v>
      </c>
      <c r="F32" s="55">
        <v>6.81</v>
      </c>
      <c r="G32" s="55">
        <v>55.99</v>
      </c>
      <c r="H32" s="55">
        <v>18.38</v>
      </c>
      <c r="I32" s="55">
        <v>3.48</v>
      </c>
      <c r="J32" s="55">
        <v>1.74</v>
      </c>
      <c r="K32" s="55">
        <v>230.96</v>
      </c>
      <c r="L32" s="55">
        <v>24.79</v>
      </c>
      <c r="M32" s="55">
        <v>76.61</v>
      </c>
      <c r="N32" s="55">
        <v>17.100000000000001</v>
      </c>
      <c r="O32" s="55">
        <v>0</v>
      </c>
      <c r="P32" s="55">
        <v>0.46</v>
      </c>
      <c r="Q32" s="55">
        <v>9.43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2.2999999999999998</v>
      </c>
      <c r="C34" s="28">
        <f t="shared" si="0"/>
        <v>0.37</v>
      </c>
      <c r="D34" s="28">
        <f t="shared" si="0"/>
        <v>3.1600000000000001</v>
      </c>
      <c r="E34" s="28">
        <f t="shared" si="0"/>
        <v>0.73999999999999999</v>
      </c>
      <c r="F34" s="28">
        <f t="shared" si="0"/>
        <v>4.04</v>
      </c>
      <c r="G34" s="28">
        <f t="shared" si="0"/>
        <v>20.43</v>
      </c>
      <c r="H34" s="28">
        <f t="shared" si="0"/>
        <v>6.3399999999999999</v>
      </c>
      <c r="I34" s="28">
        <f t="shared" si="0"/>
        <v>2.2000000000000002</v>
      </c>
      <c r="J34" s="28">
        <f t="shared" si="0"/>
        <v>0.39000000000000001</v>
      </c>
      <c r="K34" s="28">
        <f t="shared" si="0"/>
        <v>22.850000000000001</v>
      </c>
      <c r="L34" s="28">
        <f t="shared" si="0"/>
        <v>24.789999999999999</v>
      </c>
      <c r="M34" s="28">
        <f t="shared" si="0"/>
        <v>34.359999999999999</v>
      </c>
      <c r="N34" s="28">
        <f t="shared" si="0"/>
        <v>16.300000000000001</v>
      </c>
      <c r="O34" s="28">
        <f t="shared" si="0"/>
        <v>0</v>
      </c>
      <c r="P34" s="28">
        <f t="shared" si="0"/>
        <v>0.23000000000000001</v>
      </c>
      <c r="Q34" s="28">
        <f t="shared" si="0"/>
        <v>9.3100000000000005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2.71</v>
      </c>
      <c r="C35" s="29">
        <f t="shared" si="1"/>
        <v>1.9399999999999999</v>
      </c>
      <c r="D35" s="29">
        <f t="shared" si="1"/>
        <v>4.3399999999999999</v>
      </c>
      <c r="E35" s="29">
        <f t="shared" si="1"/>
        <v>3.0299999999999998</v>
      </c>
      <c r="F35" s="29">
        <f t="shared" si="1"/>
        <v>9.5600000000000005</v>
      </c>
      <c r="G35" s="29">
        <f t="shared" si="1"/>
        <v>63.109999999999999</v>
      </c>
      <c r="H35" s="29">
        <f t="shared" si="1"/>
        <v>20.949999999999999</v>
      </c>
      <c r="I35" s="29">
        <f t="shared" si="1"/>
        <v>5.4400000000000004</v>
      </c>
      <c r="J35" s="29">
        <f t="shared" si="1"/>
        <v>3.6400000000000001</v>
      </c>
      <c r="K35" s="29">
        <f t="shared" si="1"/>
        <v>357.91000000000003</v>
      </c>
      <c r="L35" s="29">
        <f t="shared" si="1"/>
        <v>37.159999999999997</v>
      </c>
      <c r="M35" s="29">
        <f t="shared" si="1"/>
        <v>76.609999999999999</v>
      </c>
      <c r="N35" s="29">
        <f t="shared" si="1"/>
        <v>843</v>
      </c>
      <c r="O35" s="29">
        <f t="shared" si="1"/>
        <v>0</v>
      </c>
      <c r="P35" s="29">
        <f t="shared" si="1"/>
        <v>0.62</v>
      </c>
      <c r="Q35" s="29">
        <f t="shared" si="1"/>
        <v>9.4900000000000002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2.5100000000000002</v>
      </c>
      <c r="C36" s="28">
        <f t="shared" si="2"/>
        <v>1.0866666666666669</v>
      </c>
      <c r="D36" s="28">
        <f t="shared" si="2"/>
        <v>3.7229166666666664</v>
      </c>
      <c r="E36" s="28">
        <f t="shared" si="2"/>
        <v>1.9783333333333335</v>
      </c>
      <c r="F36" s="28">
        <f t="shared" si="2"/>
        <v>6.7412500000000009</v>
      </c>
      <c r="G36" s="28">
        <f t="shared" si="2"/>
        <v>35.482083333333343</v>
      </c>
      <c r="H36" s="28">
        <f t="shared" si="2"/>
        <v>13.594583333333331</v>
      </c>
      <c r="I36" s="28">
        <f t="shared" si="2"/>
        <v>3.7062500000000003</v>
      </c>
      <c r="J36" s="28">
        <f t="shared" si="2"/>
        <v>1.1729166666666668</v>
      </c>
      <c r="K36" s="28">
        <f t="shared" si="2"/>
        <v>278.60083333333336</v>
      </c>
      <c r="L36" s="28">
        <f t="shared" si="2"/>
        <v>30.355416666666667</v>
      </c>
      <c r="M36" s="28">
        <f t="shared" si="2"/>
        <v>55.878749999999997</v>
      </c>
      <c r="N36" s="28">
        <f t="shared" si="2"/>
        <v>249.71250000000006</v>
      </c>
      <c r="O36" s="28">
        <f t="shared" si="2"/>
        <v>0</v>
      </c>
      <c r="P36" s="28">
        <f t="shared" si="2"/>
        <v>0.41749999999999998</v>
      </c>
      <c r="Q36" s="28">
        <f t="shared" si="2"/>
        <v>9.4016666666666673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0.11500472580081604</v>
      </c>
      <c r="C37" s="28">
        <f t="shared" si="3" ref="C37:Q37">STDEV(C9:C32)</f>
        <v>0.41990337052673127</v>
      </c>
      <c r="D37" s="28">
        <f t="shared" si="3"/>
        <v>0.31160843833339869</v>
      </c>
      <c r="E37" s="28">
        <f t="shared" si="3"/>
        <v>0.69832511841870137</v>
      </c>
      <c r="F37" s="28">
        <f t="shared" si="3"/>
        <v>1.7147729283063011</v>
      </c>
      <c r="G37" s="28">
        <f t="shared" si="3"/>
        <v>14.267278762858069</v>
      </c>
      <c r="H37" s="28">
        <f t="shared" si="3"/>
        <v>4.6492318011236868</v>
      </c>
      <c r="I37" s="28">
        <f t="shared" si="3"/>
        <v>0.83252268542012187</v>
      </c>
      <c r="J37" s="28">
        <f t="shared" si="3"/>
        <v>0.89823246321373529</v>
      </c>
      <c r="K37" s="28">
        <f t="shared" si="3"/>
        <v>98.728463844974385</v>
      </c>
      <c r="L37" s="28">
        <f t="shared" si="3"/>
        <v>4.0004293021435986</v>
      </c>
      <c r="M37" s="28">
        <f t="shared" si="3"/>
        <v>13.330785981753071</v>
      </c>
      <c r="N37" s="28">
        <f t="shared" si="3"/>
        <v>304.95086462733059</v>
      </c>
      <c r="O37" s="28">
        <f t="shared" si="3"/>
        <v>0</v>
      </c>
      <c r="P37" s="28">
        <f t="shared" si="3"/>
        <v>0.1328042037050752</v>
      </c>
      <c r="Q37" s="28">
        <f t="shared" si="3"/>
        <v>0.050705172248535213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33a13b-471b-4004-89c6-9bb3ca830a8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278</v>
      </c>
      <c r="B9" s="55">
        <v>2.69</v>
      </c>
      <c r="C9" s="55">
        <v>1.68</v>
      </c>
      <c r="D9" s="55">
        <v>4.18</v>
      </c>
      <c r="E9" s="55">
        <v>1.89</v>
      </c>
      <c r="F9" s="55">
        <v>5.5</v>
      </c>
      <c r="G9" s="55">
        <v>42.22</v>
      </c>
      <c r="H9" s="55">
        <v>16.14</v>
      </c>
      <c r="I9" s="55">
        <v>3.19</v>
      </c>
      <c r="J9" s="55">
        <v>0.38</v>
      </c>
      <c r="K9" s="55">
        <v>314.80</v>
      </c>
      <c r="L9" s="55">
        <v>24.61</v>
      </c>
      <c r="M9" s="55">
        <v>76.28</v>
      </c>
      <c r="N9" s="55">
        <v>16.5</v>
      </c>
      <c r="O9" s="55">
        <v>0</v>
      </c>
      <c r="P9" s="55">
        <v>0.41</v>
      </c>
      <c r="Q9" s="55">
        <v>9.4499999999999993</v>
      </c>
      <c r="R9" s="43"/>
      <c r="S9" s="43"/>
      <c r="T9" s="43"/>
      <c r="U9" s="43"/>
    </row>
    <row r="10" spans="1:21" s="11" customFormat="1" ht="15">
      <c r="A10" s="54" t="s">
        <v>279</v>
      </c>
      <c r="B10" s="55">
        <v>2.88</v>
      </c>
      <c r="C10" s="55">
        <v>2.85</v>
      </c>
      <c r="D10" s="55">
        <v>4.9400000000000004</v>
      </c>
      <c r="E10" s="55">
        <v>1.87</v>
      </c>
      <c r="F10" s="55">
        <v>5.71</v>
      </c>
      <c r="G10" s="55">
        <v>30.13</v>
      </c>
      <c r="H10" s="55">
        <v>13.36</v>
      </c>
      <c r="I10" s="55">
        <v>3.02</v>
      </c>
      <c r="J10" s="55">
        <v>0.43</v>
      </c>
      <c r="K10" s="55">
        <v>198.99</v>
      </c>
      <c r="L10" s="55">
        <v>24.82</v>
      </c>
      <c r="M10" s="55">
        <v>74.87</v>
      </c>
      <c r="N10" s="55">
        <v>16.600000000000001</v>
      </c>
      <c r="O10" s="55">
        <v>0</v>
      </c>
      <c r="P10" s="55">
        <v>0.36</v>
      </c>
      <c r="Q10" s="55">
        <v>9.42</v>
      </c>
      <c r="R10" s="43"/>
      <c r="S10" s="43"/>
      <c r="T10" s="43"/>
      <c r="U10" s="43"/>
    </row>
    <row r="11" spans="1:21" s="11" customFormat="1" ht="15">
      <c r="A11" s="54" t="s">
        <v>280</v>
      </c>
      <c r="B11" s="55">
        <v>2.77</v>
      </c>
      <c r="C11" s="55">
        <v>2</v>
      </c>
      <c r="D11" s="55">
        <v>4.41</v>
      </c>
      <c r="E11" s="55">
        <v>1.54</v>
      </c>
      <c r="F11" s="55">
        <v>5</v>
      </c>
      <c r="G11" s="55">
        <v>24.62</v>
      </c>
      <c r="H11" s="55">
        <v>9.7799999999999994</v>
      </c>
      <c r="I11" s="55">
        <v>3.04</v>
      </c>
      <c r="J11" s="55">
        <v>1.1399999999999999</v>
      </c>
      <c r="K11" s="55">
        <v>202.57</v>
      </c>
      <c r="L11" s="55">
        <v>24.59</v>
      </c>
      <c r="M11" s="55">
        <v>80.290000000000006</v>
      </c>
      <c r="N11" s="55">
        <v>16.899999999999999</v>
      </c>
      <c r="O11" s="55">
        <v>0</v>
      </c>
      <c r="P11" s="55">
        <v>0.33</v>
      </c>
      <c r="Q11" s="55">
        <v>9.36</v>
      </c>
      <c r="R11" s="43"/>
      <c r="S11" s="43"/>
      <c r="T11" s="43"/>
      <c r="U11" s="43"/>
    </row>
    <row r="12" spans="1:21" s="11" customFormat="1" ht="15">
      <c r="A12" s="54" t="s">
        <v>281</v>
      </c>
      <c r="B12" s="55">
        <v>2.65</v>
      </c>
      <c r="C12" s="55">
        <v>1.19</v>
      </c>
      <c r="D12" s="55">
        <v>3.89</v>
      </c>
      <c r="E12" s="55">
        <v>1.66</v>
      </c>
      <c r="F12" s="55">
        <v>4.5599999999999996</v>
      </c>
      <c r="G12" s="55">
        <v>20.96</v>
      </c>
      <c r="H12" s="55">
        <v>10.56</v>
      </c>
      <c r="I12" s="55">
        <v>3.38</v>
      </c>
      <c r="J12" s="55">
        <v>1.20</v>
      </c>
      <c r="K12" s="55">
        <v>200.55</v>
      </c>
      <c r="L12" s="55">
        <v>23.97</v>
      </c>
      <c r="M12" s="55">
        <v>85.88</v>
      </c>
      <c r="N12" s="55">
        <v>16.70</v>
      </c>
      <c r="O12" s="55">
        <v>0</v>
      </c>
      <c r="P12" s="55">
        <v>0.30</v>
      </c>
      <c r="Q12" s="55">
        <v>9.41</v>
      </c>
      <c r="R12" s="43"/>
      <c r="S12" s="43"/>
      <c r="T12" s="43"/>
      <c r="U12" s="43"/>
    </row>
    <row r="13" spans="1:21" s="11" customFormat="1" ht="15">
      <c r="A13" s="54" t="s">
        <v>282</v>
      </c>
      <c r="B13" s="55">
        <v>2.73</v>
      </c>
      <c r="C13" s="55">
        <v>1.83</v>
      </c>
      <c r="D13" s="55">
        <v>4.28</v>
      </c>
      <c r="E13" s="55">
        <v>0.95</v>
      </c>
      <c r="F13" s="55">
        <v>4.92</v>
      </c>
      <c r="G13" s="55">
        <v>20.96</v>
      </c>
      <c r="H13" s="55">
        <v>10.56</v>
      </c>
      <c r="I13" s="55">
        <v>3.64</v>
      </c>
      <c r="J13" s="55">
        <v>0.63</v>
      </c>
      <c r="K13" s="55">
        <v>257.39999999999998</v>
      </c>
      <c r="L13" s="55">
        <v>23.79</v>
      </c>
      <c r="M13" s="55">
        <v>86.78</v>
      </c>
      <c r="N13" s="55">
        <v>16.70</v>
      </c>
      <c r="O13" s="55">
        <v>0</v>
      </c>
      <c r="P13" s="55">
        <v>0.30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283</v>
      </c>
      <c r="B14" s="55">
        <v>2.73</v>
      </c>
      <c r="C14" s="55">
        <v>1.91</v>
      </c>
      <c r="D14" s="55">
        <v>4.33</v>
      </c>
      <c r="E14" s="55">
        <v>0.83</v>
      </c>
      <c r="F14" s="55">
        <v>4.96</v>
      </c>
      <c r="G14" s="55">
        <v>17.96</v>
      </c>
      <c r="H14" s="55">
        <v>9.51</v>
      </c>
      <c r="I14" s="55">
        <v>3.38</v>
      </c>
      <c r="J14" s="55">
        <v>1.26</v>
      </c>
      <c r="K14" s="55">
        <v>192.93</v>
      </c>
      <c r="L14" s="55">
        <v>24.04</v>
      </c>
      <c r="M14" s="55">
        <v>86.79</v>
      </c>
      <c r="N14" s="55">
        <v>43.60</v>
      </c>
      <c r="O14" s="55">
        <v>0</v>
      </c>
      <c r="P14" s="55">
        <v>0.30</v>
      </c>
      <c r="Q14" s="55">
        <v>9.3800000000000008</v>
      </c>
      <c r="R14" s="43"/>
      <c r="S14" s="43"/>
      <c r="T14" s="43"/>
      <c r="U14" s="43"/>
    </row>
    <row r="15" spans="1:21" s="11" customFormat="1" ht="15">
      <c r="A15" s="54" t="s">
        <v>284</v>
      </c>
      <c r="B15" s="55">
        <v>2.75</v>
      </c>
      <c r="C15" s="55">
        <v>1.79</v>
      </c>
      <c r="D15" s="55">
        <v>4.28</v>
      </c>
      <c r="E15" s="55">
        <v>0.59</v>
      </c>
      <c r="F15" s="55">
        <v>4.80</v>
      </c>
      <c r="G15" s="55">
        <v>17.96</v>
      </c>
      <c r="H15" s="55">
        <v>7.45</v>
      </c>
      <c r="I15" s="55">
        <v>3.22</v>
      </c>
      <c r="J15" s="55">
        <v>1.27</v>
      </c>
      <c r="K15" s="55">
        <v>199.85</v>
      </c>
      <c r="L15" s="55">
        <v>25.72</v>
      </c>
      <c r="M15" s="55">
        <v>84.77</v>
      </c>
      <c r="N15" s="55">
        <v>169.80</v>
      </c>
      <c r="O15" s="55">
        <v>0</v>
      </c>
      <c r="P15" s="55">
        <v>0.28999999999999998</v>
      </c>
      <c r="Q15" s="55">
        <v>9.43</v>
      </c>
      <c r="R15" s="43"/>
      <c r="S15" s="43"/>
      <c r="T15" s="43"/>
      <c r="U15" s="43"/>
    </row>
    <row r="16" spans="1:21" s="11" customFormat="1" ht="15">
      <c r="A16" s="54" t="s">
        <v>285</v>
      </c>
      <c r="B16" s="55">
        <v>2.33</v>
      </c>
      <c r="C16" s="55">
        <v>0.46</v>
      </c>
      <c r="D16" s="55">
        <v>3.25</v>
      </c>
      <c r="E16" s="55">
        <v>1.33</v>
      </c>
      <c r="F16" s="55">
        <v>4.6900000000000004</v>
      </c>
      <c r="G16" s="55">
        <v>18.79</v>
      </c>
      <c r="H16" s="55">
        <v>9.35</v>
      </c>
      <c r="I16" s="55">
        <v>3.45</v>
      </c>
      <c r="J16" s="55">
        <v>0.90</v>
      </c>
      <c r="K16" s="55">
        <v>188.65</v>
      </c>
      <c r="L16" s="55">
        <v>28.79</v>
      </c>
      <c r="M16" s="55">
        <v>75.900000000000006</v>
      </c>
      <c r="N16" s="55">
        <v>446.30</v>
      </c>
      <c r="O16" s="55">
        <v>0</v>
      </c>
      <c r="P16" s="55">
        <v>0.28999999999999998</v>
      </c>
      <c r="Q16" s="55">
        <v>9.40</v>
      </c>
      <c r="R16" s="43"/>
      <c r="S16" s="43"/>
      <c r="T16" s="43"/>
      <c r="U16" s="43"/>
    </row>
    <row r="17" spans="1:21" s="11" customFormat="1" ht="15">
      <c r="A17" s="54" t="s">
        <v>286</v>
      </c>
      <c r="B17" s="55">
        <v>2.69</v>
      </c>
      <c r="C17" s="55">
        <v>1.53</v>
      </c>
      <c r="D17" s="55">
        <v>4.0999999999999996</v>
      </c>
      <c r="E17" s="55">
        <v>2.0699999999999998</v>
      </c>
      <c r="F17" s="55">
        <v>5.80</v>
      </c>
      <c r="G17" s="55">
        <v>23.87</v>
      </c>
      <c r="H17" s="55">
        <v>9.35</v>
      </c>
      <c r="I17" s="55">
        <v>3.57</v>
      </c>
      <c r="J17" s="55">
        <v>0.53</v>
      </c>
      <c r="K17" s="55">
        <v>357.01</v>
      </c>
      <c r="L17" s="55">
        <v>31.21</v>
      </c>
      <c r="M17" s="55">
        <v>61.20</v>
      </c>
      <c r="N17" s="55">
        <v>619.70000000000005</v>
      </c>
      <c r="O17" s="55">
        <v>0</v>
      </c>
      <c r="P17" s="55">
        <v>0.32</v>
      </c>
      <c r="Q17" s="55">
        <v>9.44</v>
      </c>
      <c r="R17" s="43"/>
      <c r="S17" s="43"/>
      <c r="T17" s="43"/>
      <c r="U17" s="43"/>
    </row>
    <row r="18" spans="1:21" s="11" customFormat="1" ht="15">
      <c r="A18" s="54" t="s">
        <v>287</v>
      </c>
      <c r="B18" s="55">
        <v>2.40</v>
      </c>
      <c r="C18" s="55">
        <v>0.87</v>
      </c>
      <c r="D18" s="55">
        <v>3.53</v>
      </c>
      <c r="E18" s="55">
        <v>1.82</v>
      </c>
      <c r="F18" s="55">
        <v>7.33</v>
      </c>
      <c r="G18" s="55">
        <v>24.18</v>
      </c>
      <c r="H18" s="55">
        <v>9.32</v>
      </c>
      <c r="I18" s="55">
        <v>3.37</v>
      </c>
      <c r="J18" s="55">
        <v>0.71</v>
      </c>
      <c r="K18" s="55">
        <v>340.43</v>
      </c>
      <c r="L18" s="55">
        <v>36.090000000000003</v>
      </c>
      <c r="M18" s="55">
        <v>52.30</v>
      </c>
      <c r="N18" s="55">
        <v>754.60</v>
      </c>
      <c r="O18" s="55">
        <v>0</v>
      </c>
      <c r="P18" s="55">
        <v>0.38</v>
      </c>
      <c r="Q18" s="55">
        <v>9.41</v>
      </c>
      <c r="R18" s="43"/>
      <c r="S18" s="43"/>
      <c r="T18" s="43"/>
      <c r="U18" s="43"/>
    </row>
    <row r="19" spans="1:21" s="11" customFormat="1" ht="15">
      <c r="A19" s="54" t="s">
        <v>288</v>
      </c>
      <c r="B19" s="55">
        <v>2.5099999999999998</v>
      </c>
      <c r="C19" s="55">
        <v>1.21</v>
      </c>
      <c r="D19" s="55">
        <v>3.79</v>
      </c>
      <c r="E19" s="55">
        <v>1.64</v>
      </c>
      <c r="F19" s="55">
        <v>7</v>
      </c>
      <c r="G19" s="55">
        <v>26.58</v>
      </c>
      <c r="H19" s="55">
        <v>9.2799999999999994</v>
      </c>
      <c r="I19" s="55">
        <v>3.15</v>
      </c>
      <c r="J19" s="55">
        <v>1.41</v>
      </c>
      <c r="K19" s="55">
        <v>340.75</v>
      </c>
      <c r="L19" s="55">
        <v>38.18</v>
      </c>
      <c r="M19" s="55">
        <v>42.60</v>
      </c>
      <c r="N19" s="55">
        <v>847.90</v>
      </c>
      <c r="O19" s="55">
        <v>0</v>
      </c>
      <c r="P19" s="55">
        <v>0.49</v>
      </c>
      <c r="Q19" s="55">
        <v>9.3699999999999992</v>
      </c>
      <c r="R19" s="43"/>
      <c r="S19" s="43"/>
      <c r="T19" s="43"/>
      <c r="U19" s="43"/>
    </row>
    <row r="20" spans="1:21" s="11" customFormat="1" ht="15">
      <c r="A20" s="54" t="s">
        <v>289</v>
      </c>
      <c r="B20" s="55">
        <v>2.44</v>
      </c>
      <c r="C20" s="55">
        <v>0.99</v>
      </c>
      <c r="D20" s="55">
        <v>3.62</v>
      </c>
      <c r="E20" s="55">
        <v>1.66</v>
      </c>
      <c r="F20" s="55">
        <v>7.03</v>
      </c>
      <c r="G20" s="55">
        <v>30.44</v>
      </c>
      <c r="H20" s="55">
        <v>14.78</v>
      </c>
      <c r="I20" s="55">
        <v>3.19</v>
      </c>
      <c r="J20" s="55">
        <v>0.92</v>
      </c>
      <c r="K20" s="55">
        <v>343.91</v>
      </c>
      <c r="L20" s="55">
        <v>38.43</v>
      </c>
      <c r="M20" s="55">
        <v>37.94</v>
      </c>
      <c r="N20" s="55">
        <v>881.40</v>
      </c>
      <c r="O20" s="55">
        <v>0</v>
      </c>
      <c r="P20" s="55">
        <v>0.49</v>
      </c>
      <c r="Q20" s="55">
        <v>9.3699999999999992</v>
      </c>
      <c r="R20" s="43"/>
      <c r="S20" s="43"/>
      <c r="T20" s="43"/>
      <c r="U20" s="43"/>
    </row>
    <row r="21" spans="1:21" s="11" customFormat="1" ht="15">
      <c r="A21" s="54" t="s">
        <v>290</v>
      </c>
      <c r="B21" s="55">
        <v>2.54</v>
      </c>
      <c r="C21" s="55">
        <v>1.17</v>
      </c>
      <c r="D21" s="55">
        <v>3.79</v>
      </c>
      <c r="E21" s="55">
        <v>1.33</v>
      </c>
      <c r="F21" s="55">
        <v>5.89</v>
      </c>
      <c r="G21" s="55">
        <v>30.44</v>
      </c>
      <c r="H21" s="55">
        <v>14.78</v>
      </c>
      <c r="I21" s="55">
        <v>3.25</v>
      </c>
      <c r="J21" s="55">
        <v>1.28</v>
      </c>
      <c r="K21" s="55">
        <v>349.46</v>
      </c>
      <c r="L21" s="55">
        <v>38.909999999999997</v>
      </c>
      <c r="M21" s="55">
        <v>36.880000000000003</v>
      </c>
      <c r="N21" s="55">
        <v>850.60</v>
      </c>
      <c r="O21" s="55">
        <v>0</v>
      </c>
      <c r="P21" s="55">
        <v>0.49</v>
      </c>
      <c r="Q21" s="55">
        <v>9.34</v>
      </c>
      <c r="R21" s="43"/>
      <c r="S21" s="43"/>
      <c r="T21" s="43"/>
      <c r="U21" s="43"/>
    </row>
    <row r="22" spans="1:21" s="11" customFormat="1" ht="15">
      <c r="A22" s="54" t="s">
        <v>291</v>
      </c>
      <c r="B22" s="55">
        <v>2.54</v>
      </c>
      <c r="C22" s="55">
        <v>1.17</v>
      </c>
      <c r="D22" s="55">
        <v>3.79</v>
      </c>
      <c r="E22" s="55">
        <v>1.28</v>
      </c>
      <c r="F22" s="55">
        <v>5.41</v>
      </c>
      <c r="G22" s="55">
        <v>24.73</v>
      </c>
      <c r="H22" s="55">
        <v>12.85</v>
      </c>
      <c r="I22" s="55">
        <v>3.25</v>
      </c>
      <c r="J22" s="55">
        <v>0.62</v>
      </c>
      <c r="K22" s="55">
        <v>349.46</v>
      </c>
      <c r="L22" s="55">
        <v>38.35</v>
      </c>
      <c r="M22" s="55">
        <v>35.5</v>
      </c>
      <c r="N22" s="55">
        <v>788.70</v>
      </c>
      <c r="O22" s="55">
        <v>0</v>
      </c>
      <c r="P22" s="55">
        <v>0.48</v>
      </c>
      <c r="Q22" s="55">
        <v>9.33</v>
      </c>
      <c r="R22" s="43"/>
      <c r="S22" s="43"/>
      <c r="T22" s="43"/>
      <c r="U22" s="43"/>
    </row>
    <row r="23" spans="1:21" s="11" customFormat="1" ht="15">
      <c r="A23" s="54" t="s">
        <v>292</v>
      </c>
      <c r="B23" s="55">
        <v>2.56</v>
      </c>
      <c r="C23" s="55">
        <v>1.56</v>
      </c>
      <c r="D23" s="55">
        <v>4.01</v>
      </c>
      <c r="E23" s="55">
        <v>1.49</v>
      </c>
      <c r="F23" s="55">
        <v>7.30</v>
      </c>
      <c r="G23" s="55">
        <v>35.35</v>
      </c>
      <c r="H23" s="55">
        <v>17.28</v>
      </c>
      <c r="I23" s="55">
        <v>3.92</v>
      </c>
      <c r="J23" s="55">
        <v>1.31</v>
      </c>
      <c r="K23" s="55">
        <v>339.89</v>
      </c>
      <c r="L23" s="55">
        <v>36.700000000000003</v>
      </c>
      <c r="M23" s="55">
        <v>38.729999999999997</v>
      </c>
      <c r="N23" s="55">
        <v>575.90</v>
      </c>
      <c r="O23" s="55">
        <v>0</v>
      </c>
      <c r="P23" s="55">
        <v>0.43</v>
      </c>
      <c r="Q23" s="55">
        <v>9.3699999999999992</v>
      </c>
      <c r="R23" s="43"/>
      <c r="S23" s="43"/>
      <c r="T23" s="43"/>
      <c r="U23" s="43"/>
    </row>
    <row r="24" spans="1:21" s="11" customFormat="1" ht="15">
      <c r="A24" s="54" t="s">
        <v>293</v>
      </c>
      <c r="B24" s="55">
        <v>2.48</v>
      </c>
      <c r="C24" s="55">
        <v>1.1599999999999999</v>
      </c>
      <c r="D24" s="55">
        <v>3.74</v>
      </c>
      <c r="E24" s="55">
        <v>2.06</v>
      </c>
      <c r="F24" s="55">
        <v>7.02</v>
      </c>
      <c r="G24" s="55">
        <v>37.35</v>
      </c>
      <c r="H24" s="55">
        <v>18.899999999999999</v>
      </c>
      <c r="I24" s="55">
        <v>4.13</v>
      </c>
      <c r="J24" s="55">
        <v>1.91</v>
      </c>
      <c r="K24" s="55">
        <v>350.57</v>
      </c>
      <c r="L24" s="55">
        <v>37.03</v>
      </c>
      <c r="M24" s="55">
        <v>36.85</v>
      </c>
      <c r="N24" s="55">
        <v>307.70</v>
      </c>
      <c r="O24" s="55">
        <v>0</v>
      </c>
      <c r="P24" s="55">
        <v>0.43</v>
      </c>
      <c r="Q24" s="55">
        <v>9.34</v>
      </c>
      <c r="R24" s="43"/>
      <c r="S24" s="43"/>
      <c r="T24" s="43"/>
      <c r="U24" s="43"/>
    </row>
    <row r="25" spans="1:21" s="11" customFormat="1" ht="15">
      <c r="A25" s="54" t="s">
        <v>294</v>
      </c>
      <c r="B25" s="55">
        <v>2.61</v>
      </c>
      <c r="C25" s="55">
        <v>1.37</v>
      </c>
      <c r="D25" s="55">
        <v>3.95</v>
      </c>
      <c r="E25" s="55">
        <v>2.04</v>
      </c>
      <c r="F25" s="55">
        <v>10.77</v>
      </c>
      <c r="G25" s="55">
        <v>63.30</v>
      </c>
      <c r="H25" s="55">
        <v>18.899999999999999</v>
      </c>
      <c r="I25" s="55">
        <v>9.10</v>
      </c>
      <c r="J25" s="55">
        <v>6.41</v>
      </c>
      <c r="K25" s="55">
        <v>314.33</v>
      </c>
      <c r="L25" s="55">
        <v>29.75</v>
      </c>
      <c r="M25" s="55">
        <v>98.32</v>
      </c>
      <c r="N25" s="55">
        <v>116</v>
      </c>
      <c r="O25" s="55">
        <v>5.20</v>
      </c>
      <c r="P25" s="55">
        <v>0.39</v>
      </c>
      <c r="Q25" s="55">
        <v>9.2899999999999991</v>
      </c>
      <c r="R25" s="43"/>
      <c r="S25" s="43"/>
      <c r="T25" s="43"/>
      <c r="U25" s="43"/>
    </row>
    <row r="26" spans="1:21" s="11" customFormat="1" ht="15">
      <c r="A26" s="54" t="s">
        <v>295</v>
      </c>
      <c r="B26" s="55">
        <v>2.39</v>
      </c>
      <c r="C26" s="55">
        <v>0.62</v>
      </c>
      <c r="D26" s="55">
        <v>3.38</v>
      </c>
      <c r="E26" s="55">
        <v>1.85</v>
      </c>
      <c r="F26" s="55">
        <v>9.23</v>
      </c>
      <c r="G26" s="55">
        <v>64.42</v>
      </c>
      <c r="H26" s="55">
        <v>16.73</v>
      </c>
      <c r="I26" s="55">
        <v>8.81</v>
      </c>
      <c r="J26" s="55">
        <v>1.44</v>
      </c>
      <c r="K26" s="55">
        <v>339.91</v>
      </c>
      <c r="L26" s="55">
        <v>23.93</v>
      </c>
      <c r="M26" s="55">
        <v>94.59</v>
      </c>
      <c r="N26" s="55">
        <v>27.90</v>
      </c>
      <c r="O26" s="55">
        <v>0</v>
      </c>
      <c r="P26" s="55">
        <v>0.34</v>
      </c>
      <c r="Q26" s="55">
        <v>9.42</v>
      </c>
      <c r="R26" s="43"/>
      <c r="S26" s="43"/>
      <c r="T26" s="43"/>
      <c r="U26" s="43"/>
    </row>
    <row r="27" spans="1:21" s="11" customFormat="1" ht="15">
      <c r="A27" s="54" t="s">
        <v>296</v>
      </c>
      <c r="B27" s="55">
        <v>2.54</v>
      </c>
      <c r="C27" s="55">
        <v>1.39</v>
      </c>
      <c r="D27" s="55">
        <v>3.91</v>
      </c>
      <c r="E27" s="55">
        <v>1.99</v>
      </c>
      <c r="F27" s="55">
        <v>4.96</v>
      </c>
      <c r="G27" s="55">
        <v>64.42</v>
      </c>
      <c r="H27" s="55">
        <v>16.07</v>
      </c>
      <c r="I27" s="55">
        <v>6.71</v>
      </c>
      <c r="J27" s="55">
        <v>0.96</v>
      </c>
      <c r="K27" s="55">
        <v>346.44</v>
      </c>
      <c r="L27" s="55">
        <v>25.24</v>
      </c>
      <c r="M27" s="55">
        <v>86.96</v>
      </c>
      <c r="N27" s="55">
        <v>21.10</v>
      </c>
      <c r="O27" s="55">
        <v>0</v>
      </c>
      <c r="P27" s="55">
        <v>0.47</v>
      </c>
      <c r="Q27" s="55">
        <v>9.49</v>
      </c>
      <c r="R27" s="43"/>
      <c r="S27" s="43"/>
      <c r="T27" s="43"/>
      <c r="U27" s="43"/>
    </row>
    <row r="28" spans="1:21" s="11" customFormat="1" ht="15">
      <c r="A28" s="54" t="s">
        <v>297</v>
      </c>
      <c r="B28" s="55">
        <v>2.74</v>
      </c>
      <c r="C28" s="55">
        <v>1.54</v>
      </c>
      <c r="D28" s="55">
        <v>4.1500000000000004</v>
      </c>
      <c r="E28" s="55">
        <v>1.76</v>
      </c>
      <c r="F28" s="55">
        <v>4.1900000000000004</v>
      </c>
      <c r="G28" s="55">
        <v>56.40</v>
      </c>
      <c r="H28" s="55">
        <v>16.649999999999999</v>
      </c>
      <c r="I28" s="55">
        <v>6.83</v>
      </c>
      <c r="J28" s="55">
        <v>0.63</v>
      </c>
      <c r="K28" s="55">
        <v>201.16</v>
      </c>
      <c r="L28" s="55">
        <v>26.79</v>
      </c>
      <c r="M28" s="55">
        <v>82.76</v>
      </c>
      <c r="N28" s="55">
        <v>15.90</v>
      </c>
      <c r="O28" s="55">
        <v>0</v>
      </c>
      <c r="P28" s="55">
        <v>0.71</v>
      </c>
      <c r="Q28" s="55">
        <v>9.5500000000000007</v>
      </c>
      <c r="R28" s="43"/>
      <c r="S28" s="43"/>
      <c r="T28" s="43"/>
      <c r="U28" s="43"/>
    </row>
    <row r="29" spans="1:21" s="11" customFormat="1" ht="15">
      <c r="A29" s="54" t="s">
        <v>298</v>
      </c>
      <c r="B29" s="55">
        <v>2.80</v>
      </c>
      <c r="C29" s="55">
        <v>1.70</v>
      </c>
      <c r="D29" s="55">
        <v>4.28</v>
      </c>
      <c r="E29" s="55">
        <v>2.15</v>
      </c>
      <c r="F29" s="55">
        <v>3.87</v>
      </c>
      <c r="G29" s="55">
        <v>60.72</v>
      </c>
      <c r="H29" s="55">
        <v>18.72</v>
      </c>
      <c r="I29" s="55">
        <v>7.47</v>
      </c>
      <c r="J29" s="55">
        <v>0.60</v>
      </c>
      <c r="K29" s="55">
        <v>308.62</v>
      </c>
      <c r="L29" s="55">
        <v>26.80</v>
      </c>
      <c r="M29" s="55">
        <v>83.31</v>
      </c>
      <c r="N29" s="55">
        <v>16.70</v>
      </c>
      <c r="O29" s="55">
        <v>0</v>
      </c>
      <c r="P29" s="55">
        <v>0.80</v>
      </c>
      <c r="Q29" s="55">
        <v>9.66</v>
      </c>
      <c r="R29" s="43"/>
      <c r="S29" s="43"/>
      <c r="T29" s="43"/>
      <c r="U29" s="43"/>
    </row>
    <row r="30" spans="1:21" s="11" customFormat="1" ht="15">
      <c r="A30" s="54" t="s">
        <v>299</v>
      </c>
      <c r="B30" s="55">
        <v>2.96</v>
      </c>
      <c r="C30" s="55">
        <v>1.84</v>
      </c>
      <c r="D30" s="55">
        <v>4.4800000000000004</v>
      </c>
      <c r="E30" s="55">
        <v>2.0499999999999998</v>
      </c>
      <c r="F30" s="55">
        <v>3.68</v>
      </c>
      <c r="G30" s="55">
        <v>60.72</v>
      </c>
      <c r="H30" s="55">
        <v>20.20</v>
      </c>
      <c r="I30" s="55">
        <v>7.91</v>
      </c>
      <c r="J30" s="55">
        <v>0.67</v>
      </c>
      <c r="K30" s="55">
        <v>339.86</v>
      </c>
      <c r="L30" s="55">
        <v>26.42</v>
      </c>
      <c r="M30" s="55">
        <v>83.58</v>
      </c>
      <c r="N30" s="55">
        <v>16</v>
      </c>
      <c r="O30" s="55">
        <v>0</v>
      </c>
      <c r="P30" s="55">
        <v>0.80</v>
      </c>
      <c r="Q30" s="55">
        <v>9.64</v>
      </c>
      <c r="R30" s="43"/>
      <c r="S30" s="43"/>
      <c r="T30" s="43"/>
      <c r="U30" s="43"/>
    </row>
    <row r="31" spans="1:21" s="11" customFormat="1" ht="15">
      <c r="A31" s="54" t="s">
        <v>300</v>
      </c>
      <c r="B31" s="55">
        <v>3.89</v>
      </c>
      <c r="C31" s="55">
        <v>4.57</v>
      </c>
      <c r="D31" s="55">
        <v>6.65</v>
      </c>
      <c r="E31" s="55">
        <v>2.08</v>
      </c>
      <c r="F31" s="55">
        <v>4.05</v>
      </c>
      <c r="G31" s="55">
        <v>60.01</v>
      </c>
      <c r="H31" s="55">
        <v>20.20</v>
      </c>
      <c r="I31" s="55">
        <v>7.72</v>
      </c>
      <c r="J31" s="55">
        <v>0.78</v>
      </c>
      <c r="K31" s="55">
        <v>320.24</v>
      </c>
      <c r="L31" s="55">
        <v>26.76</v>
      </c>
      <c r="M31" s="55">
        <v>83.36</v>
      </c>
      <c r="N31" s="55">
        <v>16.100000000000001</v>
      </c>
      <c r="O31" s="55">
        <v>0</v>
      </c>
      <c r="P31" s="55">
        <v>0.74</v>
      </c>
      <c r="Q31" s="55">
        <v>9.69</v>
      </c>
      <c r="R31" s="43"/>
      <c r="S31" s="43"/>
      <c r="T31" s="43"/>
      <c r="U31" s="43"/>
    </row>
    <row r="32" spans="1:21" s="11" customFormat="1" ht="15">
      <c r="A32" s="54" t="s">
        <v>301</v>
      </c>
      <c r="B32" s="55">
        <v>4.47</v>
      </c>
      <c r="C32" s="55">
        <v>6.31</v>
      </c>
      <c r="D32" s="55">
        <v>8.02</v>
      </c>
      <c r="E32" s="55">
        <v>2.4500000000000002</v>
      </c>
      <c r="F32" s="55">
        <v>4.03</v>
      </c>
      <c r="G32" s="55">
        <v>48.09</v>
      </c>
      <c r="H32" s="55">
        <v>16.37</v>
      </c>
      <c r="I32" s="55">
        <v>7.76</v>
      </c>
      <c r="J32" s="55">
        <v>0.63</v>
      </c>
      <c r="K32" s="55">
        <v>302.38</v>
      </c>
      <c r="L32" s="55">
        <v>26.40</v>
      </c>
      <c r="M32" s="55">
        <v>78.67</v>
      </c>
      <c r="N32" s="55">
        <v>15.90</v>
      </c>
      <c r="O32" s="55">
        <v>0</v>
      </c>
      <c r="P32" s="55">
        <v>0.74</v>
      </c>
      <c r="Q32" s="55">
        <v>9.68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2.3300000000000001</v>
      </c>
      <c r="C34" s="28">
        <f t="shared" si="0"/>
        <v>0.46000000000000002</v>
      </c>
      <c r="D34" s="28">
        <f t="shared" si="0"/>
        <v>3.25</v>
      </c>
      <c r="E34" s="28">
        <f t="shared" si="0"/>
        <v>0.58999999999999997</v>
      </c>
      <c r="F34" s="28">
        <f t="shared" si="0"/>
        <v>3.6800000000000002</v>
      </c>
      <c r="G34" s="28">
        <f t="shared" si="0"/>
        <v>17.960000000000001</v>
      </c>
      <c r="H34" s="28">
        <f t="shared" si="0"/>
        <v>7.4500000000000002</v>
      </c>
      <c r="I34" s="28">
        <f t="shared" si="0"/>
        <v>3.02</v>
      </c>
      <c r="J34" s="28">
        <f t="shared" si="0"/>
        <v>0.38</v>
      </c>
      <c r="K34" s="28">
        <f t="shared" si="0"/>
        <v>188.65000000000001</v>
      </c>
      <c r="L34" s="28">
        <f t="shared" si="0"/>
        <v>23.789999999999999</v>
      </c>
      <c r="M34" s="28">
        <f t="shared" si="0"/>
        <v>35.5</v>
      </c>
      <c r="N34" s="28">
        <f t="shared" si="0"/>
        <v>15.9</v>
      </c>
      <c r="O34" s="28">
        <f t="shared" si="0"/>
        <v>0</v>
      </c>
      <c r="P34" s="28">
        <f t="shared" si="0"/>
        <v>0.28999999999999998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4.4699999999999998</v>
      </c>
      <c r="C35" s="29">
        <f t="shared" si="1"/>
        <v>6.3099999999999996</v>
      </c>
      <c r="D35" s="29">
        <f t="shared" si="1"/>
        <v>8.0199999999999996</v>
      </c>
      <c r="E35" s="29">
        <f t="shared" si="1"/>
        <v>2.4500000000000002</v>
      </c>
      <c r="F35" s="29">
        <f t="shared" si="1"/>
        <v>10.77</v>
      </c>
      <c r="G35" s="29">
        <f t="shared" si="1"/>
        <v>64.420000000000002</v>
      </c>
      <c r="H35" s="29">
        <f t="shared" si="1"/>
        <v>20.199999999999999</v>
      </c>
      <c r="I35" s="29">
        <f t="shared" si="1"/>
        <v>9.0999999999999996</v>
      </c>
      <c r="J35" s="29">
        <f t="shared" si="1"/>
        <v>6.4100000000000001</v>
      </c>
      <c r="K35" s="29">
        <f t="shared" si="1"/>
        <v>357.00999999999999</v>
      </c>
      <c r="L35" s="29">
        <f t="shared" si="1"/>
        <v>38.909999999999997</v>
      </c>
      <c r="M35" s="29">
        <f t="shared" si="1"/>
        <v>98.319999999999993</v>
      </c>
      <c r="N35" s="29">
        <f t="shared" si="1"/>
        <v>881.39999999999998</v>
      </c>
      <c r="O35" s="29">
        <f t="shared" si="1"/>
        <v>5.2000000000000002</v>
      </c>
      <c r="P35" s="29">
        <f t="shared" si="1"/>
        <v>0.80000000000000004</v>
      </c>
      <c r="Q35" s="29">
        <f t="shared" si="1"/>
        <v>9.6899999999999995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2.7537500000000001</v>
      </c>
      <c r="C36" s="28">
        <f t="shared" si="2"/>
        <v>1.7795833333333333</v>
      </c>
      <c r="D36" s="28">
        <f t="shared" si="2"/>
        <v>4.28125</v>
      </c>
      <c r="E36" s="28">
        <f t="shared" si="2"/>
        <v>1.6824999999999999</v>
      </c>
      <c r="F36" s="28">
        <f t="shared" si="2"/>
        <v>5.7374999999999998</v>
      </c>
      <c r="G36" s="28">
        <f t="shared" si="2"/>
        <v>37.692500000000003</v>
      </c>
      <c r="H36" s="28">
        <f t="shared" si="2"/>
        <v>14.045416666666663</v>
      </c>
      <c r="I36" s="28">
        <f t="shared" si="2"/>
        <v>4.8525</v>
      </c>
      <c r="J36" s="28">
        <f t="shared" si="2"/>
        <v>1.1675000000000002</v>
      </c>
      <c r="K36" s="28">
        <f t="shared" si="2"/>
        <v>291.67333333333323</v>
      </c>
      <c r="L36" s="28">
        <f t="shared" si="2"/>
        <v>29.47166666666666</v>
      </c>
      <c r="M36" s="28">
        <f t="shared" si="2"/>
        <v>70.212916666666658</v>
      </c>
      <c r="N36" s="28">
        <f t="shared" si="2"/>
        <v>275.63333333333327</v>
      </c>
      <c r="O36" s="28">
        <f t="shared" si="2"/>
        <v>0.21666666666666667</v>
      </c>
      <c r="P36" s="28">
        <f t="shared" si="2"/>
        <v>0.46166666666666667</v>
      </c>
      <c r="Q36" s="28">
        <f t="shared" si="2"/>
        <v>9.4441666666666677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0.47469727195339956</v>
      </c>
      <c r="C37" s="28">
        <f t="shared" si="3" ref="C37:Q37">STDEV(C9:C32)</f>
        <v>1.2574697823896952</v>
      </c>
      <c r="D37" s="28">
        <f t="shared" si="3"/>
        <v>1.0323140426288402</v>
      </c>
      <c r="E37" s="28">
        <f t="shared" si="3"/>
        <v>0.45081809693238811</v>
      </c>
      <c r="F37" s="28">
        <f t="shared" si="3"/>
        <v>1.7353692753241712</v>
      </c>
      <c r="G37" s="28">
        <f t="shared" si="3"/>
        <v>17.22193930654328</v>
      </c>
      <c r="H37" s="28">
        <f t="shared" si="3"/>
        <v>4.0740802954315063</v>
      </c>
      <c r="I37" s="28">
        <f t="shared" si="3"/>
        <v>2.1851081955104545</v>
      </c>
      <c r="J37" s="28">
        <f t="shared" si="3"/>
        <v>1.1807118339301121</v>
      </c>
      <c r="K37" s="28">
        <f t="shared" si="3"/>
        <v>64.996880973104709</v>
      </c>
      <c r="L37" s="28">
        <f t="shared" si="3"/>
        <v>5.6913990536955286</v>
      </c>
      <c r="M37" s="28">
        <f t="shared" si="3"/>
        <v>21.102436801215077</v>
      </c>
      <c r="N37" s="28">
        <f t="shared" si="3"/>
        <v>339.12133094432323</v>
      </c>
      <c r="O37" s="28">
        <f t="shared" si="3"/>
        <v>1.061445555206044</v>
      </c>
      <c r="P37" s="28">
        <f t="shared" si="3"/>
        <v>0.17000426252115669</v>
      </c>
      <c r="Q37" s="28">
        <f t="shared" si="3"/>
        <v>0.11549201616157989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1dc087-ead0-46f7-875b-bad1ea3b2e4c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302</v>
      </c>
      <c r="B9" s="55">
        <v>4.5199999999999996</v>
      </c>
      <c r="C9" s="55">
        <v>6.61</v>
      </c>
      <c r="D9" s="55">
        <v>8.18</v>
      </c>
      <c r="E9" s="55">
        <v>2.87</v>
      </c>
      <c r="F9" s="55">
        <v>4.58</v>
      </c>
      <c r="G9" s="55">
        <v>50.69</v>
      </c>
      <c r="H9" s="55">
        <v>17.600000000000001</v>
      </c>
      <c r="I9" s="55">
        <v>7.58</v>
      </c>
      <c r="J9" s="55">
        <v>0.43</v>
      </c>
      <c r="K9" s="55">
        <v>262.07</v>
      </c>
      <c r="L9" s="55">
        <v>26.62</v>
      </c>
      <c r="M9" s="55">
        <v>75.510000000000005</v>
      </c>
      <c r="N9" s="55">
        <v>15.80</v>
      </c>
      <c r="O9" s="55">
        <v>0</v>
      </c>
      <c r="P9" s="55">
        <v>0.68</v>
      </c>
      <c r="Q9" s="55">
        <v>9.64</v>
      </c>
      <c r="R9" s="43"/>
      <c r="S9" s="43"/>
      <c r="T9" s="43"/>
      <c r="U9" s="43"/>
    </row>
    <row r="10" spans="1:21" s="11" customFormat="1" ht="15">
      <c r="A10" s="54" t="s">
        <v>303</v>
      </c>
      <c r="B10" s="55">
        <v>4.54</v>
      </c>
      <c r="C10" s="55">
        <v>6.65</v>
      </c>
      <c r="D10" s="55">
        <v>8.26</v>
      </c>
      <c r="E10" s="55">
        <v>2.46</v>
      </c>
      <c r="F10" s="55">
        <v>3.57</v>
      </c>
      <c r="G10" s="55">
        <v>50.69</v>
      </c>
      <c r="H10" s="55">
        <v>18.66</v>
      </c>
      <c r="I10" s="55">
        <v>6.79</v>
      </c>
      <c r="J10" s="55">
        <v>0.44</v>
      </c>
      <c r="K10" s="55">
        <v>359.13</v>
      </c>
      <c r="L10" s="55">
        <v>26.35</v>
      </c>
      <c r="M10" s="55">
        <v>80.48</v>
      </c>
      <c r="N10" s="55">
        <v>16</v>
      </c>
      <c r="O10" s="55">
        <v>0</v>
      </c>
      <c r="P10" s="55">
        <v>0.61</v>
      </c>
      <c r="Q10" s="55">
        <v>9.5299999999999994</v>
      </c>
      <c r="R10" s="43"/>
      <c r="S10" s="43"/>
      <c r="T10" s="43"/>
      <c r="U10" s="43"/>
    </row>
    <row r="11" spans="1:21" s="11" customFormat="1" ht="15">
      <c r="A11" s="54" t="s">
        <v>304</v>
      </c>
      <c r="B11" s="55">
        <v>4.3099999999999996</v>
      </c>
      <c r="C11" s="55">
        <v>4.82</v>
      </c>
      <c r="D11" s="55">
        <v>7.12</v>
      </c>
      <c r="E11" s="55">
        <v>2.4700000000000002</v>
      </c>
      <c r="F11" s="55">
        <v>3.69</v>
      </c>
      <c r="G11" s="55">
        <v>49.16</v>
      </c>
      <c r="H11" s="55">
        <v>18.66</v>
      </c>
      <c r="I11" s="55">
        <v>7.37</v>
      </c>
      <c r="J11" s="55">
        <v>0.69</v>
      </c>
      <c r="K11" s="55">
        <v>191.70</v>
      </c>
      <c r="L11" s="55">
        <v>25.80</v>
      </c>
      <c r="M11" s="55">
        <v>80.03</v>
      </c>
      <c r="N11" s="55">
        <v>15.80</v>
      </c>
      <c r="O11" s="55">
        <v>0</v>
      </c>
      <c r="P11" s="55">
        <v>0.59</v>
      </c>
      <c r="Q11" s="55">
        <v>9.57</v>
      </c>
      <c r="R11" s="43"/>
      <c r="S11" s="43"/>
      <c r="T11" s="43"/>
      <c r="U11" s="43"/>
    </row>
    <row r="12" spans="1:21" s="11" customFormat="1" ht="15">
      <c r="A12" s="54" t="s">
        <v>305</v>
      </c>
      <c r="B12" s="55">
        <v>4.20</v>
      </c>
      <c r="C12" s="55">
        <v>5.35</v>
      </c>
      <c r="D12" s="55">
        <v>7.29</v>
      </c>
      <c r="E12" s="55">
        <v>2.72</v>
      </c>
      <c r="F12" s="55">
        <v>3.99</v>
      </c>
      <c r="G12" s="55">
        <v>43.36</v>
      </c>
      <c r="H12" s="55">
        <v>16.899999999999999</v>
      </c>
      <c r="I12" s="55">
        <v>7.52</v>
      </c>
      <c r="J12" s="55">
        <v>0.53</v>
      </c>
      <c r="K12" s="55">
        <v>205.86</v>
      </c>
      <c r="L12" s="55">
        <v>25.38</v>
      </c>
      <c r="M12" s="55">
        <v>78.64</v>
      </c>
      <c r="N12" s="55">
        <v>15.90</v>
      </c>
      <c r="O12" s="55">
        <v>0</v>
      </c>
      <c r="P12" s="55">
        <v>0.54</v>
      </c>
      <c r="Q12" s="55">
        <v>9.56</v>
      </c>
      <c r="R12" s="43"/>
      <c r="S12" s="43"/>
      <c r="T12" s="43"/>
      <c r="U12" s="43"/>
    </row>
    <row r="13" spans="1:21" s="11" customFormat="1" ht="15">
      <c r="A13" s="54" t="s">
        <v>306</v>
      </c>
      <c r="B13" s="55">
        <v>3.97</v>
      </c>
      <c r="C13" s="55">
        <v>5.37</v>
      </c>
      <c r="D13" s="55">
        <v>7.13</v>
      </c>
      <c r="E13" s="55">
        <v>1.53</v>
      </c>
      <c r="F13" s="55">
        <v>3.89</v>
      </c>
      <c r="G13" s="55">
        <v>35.619999999999997</v>
      </c>
      <c r="H13" s="55">
        <v>15.54</v>
      </c>
      <c r="I13" s="55">
        <v>7</v>
      </c>
      <c r="J13" s="55">
        <v>0.44</v>
      </c>
      <c r="K13" s="55">
        <v>202.46</v>
      </c>
      <c r="L13" s="55">
        <v>24.94</v>
      </c>
      <c r="M13" s="55">
        <v>80.37</v>
      </c>
      <c r="N13" s="55">
        <v>15.80</v>
      </c>
      <c r="O13" s="55">
        <v>0</v>
      </c>
      <c r="P13" s="55">
        <v>0.46</v>
      </c>
      <c r="Q13" s="55">
        <v>9.5399999999999991</v>
      </c>
      <c r="R13" s="43"/>
      <c r="S13" s="43"/>
      <c r="T13" s="43"/>
      <c r="U13" s="43"/>
    </row>
    <row r="14" spans="1:21" s="11" customFormat="1" ht="15">
      <c r="A14" s="54" t="s">
        <v>307</v>
      </c>
      <c r="B14" s="55">
        <v>3.98</v>
      </c>
      <c r="C14" s="55">
        <v>5.29</v>
      </c>
      <c r="D14" s="55">
        <v>7.07</v>
      </c>
      <c r="E14" s="55">
        <v>1.86</v>
      </c>
      <c r="F14" s="55">
        <v>3.27</v>
      </c>
      <c r="G14" s="55">
        <v>25.94</v>
      </c>
      <c r="H14" s="55">
        <v>11.55</v>
      </c>
      <c r="I14" s="55">
        <v>6.16</v>
      </c>
      <c r="J14" s="55">
        <v>0.60</v>
      </c>
      <c r="K14" s="55">
        <v>281.98</v>
      </c>
      <c r="L14" s="55">
        <v>25.08</v>
      </c>
      <c r="M14" s="55">
        <v>79.92</v>
      </c>
      <c r="N14" s="55">
        <v>62</v>
      </c>
      <c r="O14" s="55">
        <v>0</v>
      </c>
      <c r="P14" s="55">
        <v>0.40</v>
      </c>
      <c r="Q14" s="55">
        <v>9.57</v>
      </c>
      <c r="R14" s="43"/>
      <c r="S14" s="43"/>
      <c r="T14" s="43"/>
      <c r="U14" s="43"/>
    </row>
    <row r="15" spans="1:21" s="11" customFormat="1" ht="15">
      <c r="A15" s="54" t="s">
        <v>308</v>
      </c>
      <c r="B15" s="55">
        <v>3.97</v>
      </c>
      <c r="C15" s="55">
        <v>4.21</v>
      </c>
      <c r="D15" s="55">
        <v>6.52</v>
      </c>
      <c r="E15" s="55">
        <v>1.5</v>
      </c>
      <c r="F15" s="55">
        <v>3.63</v>
      </c>
      <c r="G15" s="55">
        <v>25.72</v>
      </c>
      <c r="H15" s="55">
        <v>9.11</v>
      </c>
      <c r="I15" s="55">
        <v>5.82</v>
      </c>
      <c r="J15" s="55">
        <v>0.48</v>
      </c>
      <c r="K15" s="55">
        <v>23.73</v>
      </c>
      <c r="L15" s="55">
        <v>27.08</v>
      </c>
      <c r="M15" s="55">
        <v>78.260000000000005</v>
      </c>
      <c r="N15" s="55">
        <v>200.60</v>
      </c>
      <c r="O15" s="55">
        <v>0</v>
      </c>
      <c r="P15" s="55">
        <v>0.35</v>
      </c>
      <c r="Q15" s="55">
        <v>9.5500000000000007</v>
      </c>
      <c r="R15" s="43"/>
      <c r="S15" s="43"/>
      <c r="T15" s="43"/>
      <c r="U15" s="43"/>
    </row>
    <row r="16" spans="1:21" s="11" customFormat="1" ht="15">
      <c r="A16" s="54" t="s">
        <v>309</v>
      </c>
      <c r="B16" s="55">
        <v>3.67</v>
      </c>
      <c r="C16" s="55">
        <v>4.58</v>
      </c>
      <c r="D16" s="55">
        <v>6.24</v>
      </c>
      <c r="E16" s="55">
        <v>1.68</v>
      </c>
      <c r="F16" s="55">
        <v>5.01</v>
      </c>
      <c r="G16" s="55">
        <v>25.72</v>
      </c>
      <c r="H16" s="55">
        <v>10.26</v>
      </c>
      <c r="I16" s="55">
        <v>5.82</v>
      </c>
      <c r="J16" s="55">
        <v>0.65</v>
      </c>
      <c r="K16" s="55">
        <v>26.42</v>
      </c>
      <c r="L16" s="55">
        <v>29.71</v>
      </c>
      <c r="M16" s="55">
        <v>69.36</v>
      </c>
      <c r="N16" s="55">
        <v>414.60</v>
      </c>
      <c r="O16" s="55">
        <v>0</v>
      </c>
      <c r="P16" s="55">
        <v>0.33</v>
      </c>
      <c r="Q16" s="55">
        <v>9.57</v>
      </c>
      <c r="R16" s="43"/>
      <c r="S16" s="43"/>
      <c r="T16" s="43"/>
      <c r="U16" s="43"/>
    </row>
    <row r="17" spans="1:21" s="11" customFormat="1" ht="15">
      <c r="A17" s="54" t="s">
        <v>310</v>
      </c>
      <c r="B17" s="55">
        <v>3.19</v>
      </c>
      <c r="C17" s="55">
        <v>4.33</v>
      </c>
      <c r="D17" s="55">
        <v>5.97</v>
      </c>
      <c r="E17" s="55">
        <v>1.39</v>
      </c>
      <c r="F17" s="55">
        <v>6.35</v>
      </c>
      <c r="G17" s="55">
        <v>24.06</v>
      </c>
      <c r="H17" s="55">
        <v>10.26</v>
      </c>
      <c r="I17" s="55">
        <v>4.6399999999999997</v>
      </c>
      <c r="J17" s="55">
        <v>0.71</v>
      </c>
      <c r="K17" s="55">
        <v>347.16</v>
      </c>
      <c r="L17" s="55">
        <v>30.82</v>
      </c>
      <c r="M17" s="55">
        <v>57.34</v>
      </c>
      <c r="N17" s="55">
        <v>622</v>
      </c>
      <c r="O17" s="55">
        <v>0</v>
      </c>
      <c r="P17" s="55">
        <v>0.30</v>
      </c>
      <c r="Q17" s="55">
        <v>9.49</v>
      </c>
      <c r="R17" s="43"/>
      <c r="S17" s="43"/>
      <c r="T17" s="43"/>
      <c r="U17" s="43"/>
    </row>
    <row r="18" spans="1:21" s="11" customFormat="1" ht="15">
      <c r="A18" s="54" t="s">
        <v>311</v>
      </c>
      <c r="B18" s="55">
        <v>2.77</v>
      </c>
      <c r="C18" s="55">
        <v>2.70</v>
      </c>
      <c r="D18" s="55">
        <v>4.78</v>
      </c>
      <c r="E18" s="55">
        <v>1.1299999999999999</v>
      </c>
      <c r="F18" s="55">
        <v>6.18</v>
      </c>
      <c r="G18" s="55">
        <v>19.940000000000001</v>
      </c>
      <c r="H18" s="55">
        <v>8.64</v>
      </c>
      <c r="I18" s="55">
        <v>3.30</v>
      </c>
      <c r="J18" s="55">
        <v>0.56999999999999995</v>
      </c>
      <c r="K18" s="55">
        <v>32.17</v>
      </c>
      <c r="L18" s="55">
        <v>32.18</v>
      </c>
      <c r="M18" s="55">
        <v>53.36</v>
      </c>
      <c r="N18" s="55">
        <v>762.30</v>
      </c>
      <c r="O18" s="55">
        <v>0</v>
      </c>
      <c r="P18" s="55">
        <v>0.28999999999999998</v>
      </c>
      <c r="Q18" s="55">
        <v>9.42</v>
      </c>
      <c r="R18" s="43"/>
      <c r="S18" s="43"/>
      <c r="T18" s="43"/>
      <c r="U18" s="43"/>
    </row>
    <row r="19" spans="1:21" s="11" customFormat="1" ht="15">
      <c r="A19" s="54" t="s">
        <v>312</v>
      </c>
      <c r="B19" s="55">
        <v>2.58</v>
      </c>
      <c r="C19" s="55">
        <v>1.53</v>
      </c>
      <c r="D19" s="55">
        <v>4.01</v>
      </c>
      <c r="E19" s="55">
        <v>1.25</v>
      </c>
      <c r="F19" s="55">
        <v>6.56</v>
      </c>
      <c r="G19" s="55">
        <v>21.66</v>
      </c>
      <c r="H19" s="55">
        <v>8.66</v>
      </c>
      <c r="I19" s="55">
        <v>2.64</v>
      </c>
      <c r="J19" s="55">
        <v>0.57999999999999996</v>
      </c>
      <c r="K19" s="55">
        <v>357.85</v>
      </c>
      <c r="L19" s="55">
        <v>34.409999999999997</v>
      </c>
      <c r="M19" s="55">
        <v>47.69</v>
      </c>
      <c r="N19" s="55">
        <v>855.5</v>
      </c>
      <c r="O19" s="55">
        <v>0</v>
      </c>
      <c r="P19" s="55">
        <v>0.36</v>
      </c>
      <c r="Q19" s="55">
        <v>9.41</v>
      </c>
      <c r="R19" s="43"/>
      <c r="S19" s="43"/>
      <c r="T19" s="43"/>
      <c r="U19" s="43"/>
    </row>
    <row r="20" spans="1:21" s="11" customFormat="1" ht="15">
      <c r="A20" s="54" t="s">
        <v>313</v>
      </c>
      <c r="B20" s="55">
        <v>2.65</v>
      </c>
      <c r="C20" s="55">
        <v>1.81</v>
      </c>
      <c r="D20" s="55">
        <v>4.21</v>
      </c>
      <c r="E20" s="55">
        <v>0.94</v>
      </c>
      <c r="F20" s="55">
        <v>5.74</v>
      </c>
      <c r="G20" s="55">
        <v>22.09</v>
      </c>
      <c r="H20" s="55">
        <v>10.050000000000001</v>
      </c>
      <c r="I20" s="55">
        <v>3.5</v>
      </c>
      <c r="J20" s="55">
        <v>0.90</v>
      </c>
      <c r="K20" s="55">
        <v>346.26</v>
      </c>
      <c r="L20" s="55">
        <v>36.19</v>
      </c>
      <c r="M20" s="55">
        <v>41.88</v>
      </c>
      <c r="N20" s="55">
        <v>892.20</v>
      </c>
      <c r="O20" s="55">
        <v>0</v>
      </c>
      <c r="P20" s="55">
        <v>0.38</v>
      </c>
      <c r="Q20" s="55">
        <v>9.39</v>
      </c>
      <c r="R20" s="43"/>
      <c r="S20" s="43"/>
      <c r="T20" s="43"/>
      <c r="U20" s="43"/>
    </row>
    <row r="21" spans="1:21" s="11" customFormat="1" ht="15">
      <c r="A21" s="54" t="s">
        <v>314</v>
      </c>
      <c r="B21" s="55">
        <v>2.70</v>
      </c>
      <c r="C21" s="55">
        <v>2.4700000000000002</v>
      </c>
      <c r="D21" s="55">
        <v>4.5999999999999996</v>
      </c>
      <c r="E21" s="55">
        <v>0.98</v>
      </c>
      <c r="F21" s="55">
        <v>6.87</v>
      </c>
      <c r="G21" s="55">
        <v>24.24</v>
      </c>
      <c r="H21" s="55">
        <v>10.050000000000001</v>
      </c>
      <c r="I21" s="55">
        <v>4.45</v>
      </c>
      <c r="J21" s="55">
        <v>0.84</v>
      </c>
      <c r="K21" s="55">
        <v>179.08</v>
      </c>
      <c r="L21" s="55">
        <v>34.94</v>
      </c>
      <c r="M21" s="55">
        <v>41.21</v>
      </c>
      <c r="N21" s="55">
        <v>886.5</v>
      </c>
      <c r="O21" s="55">
        <v>0</v>
      </c>
      <c r="P21" s="55">
        <v>0.38</v>
      </c>
      <c r="Q21" s="55">
        <v>9.42</v>
      </c>
      <c r="R21" s="43"/>
      <c r="S21" s="43"/>
      <c r="T21" s="43"/>
      <c r="U21" s="43"/>
    </row>
    <row r="22" spans="1:21" s="11" customFormat="1" ht="15">
      <c r="A22" s="54" t="s">
        <v>315</v>
      </c>
      <c r="B22" s="55">
        <v>2.62</v>
      </c>
      <c r="C22" s="55">
        <v>1.92</v>
      </c>
      <c r="D22" s="55">
        <v>4.25</v>
      </c>
      <c r="E22" s="55">
        <v>0.63</v>
      </c>
      <c r="F22" s="55">
        <v>7.46</v>
      </c>
      <c r="G22" s="55">
        <v>24.24</v>
      </c>
      <c r="H22" s="55">
        <v>11.02</v>
      </c>
      <c r="I22" s="55">
        <v>4.78</v>
      </c>
      <c r="J22" s="55">
        <v>1.58</v>
      </c>
      <c r="K22" s="55">
        <v>330.42</v>
      </c>
      <c r="L22" s="55">
        <v>35.65</v>
      </c>
      <c r="M22" s="55">
        <v>39.54</v>
      </c>
      <c r="N22" s="55">
        <v>836.5</v>
      </c>
      <c r="O22" s="55">
        <v>0</v>
      </c>
      <c r="P22" s="55">
        <v>0.34</v>
      </c>
      <c r="Q22" s="55">
        <v>9.40</v>
      </c>
      <c r="R22" s="43"/>
      <c r="S22" s="43"/>
      <c r="T22" s="43"/>
      <c r="U22" s="43"/>
    </row>
    <row r="23" spans="1:21" s="11" customFormat="1" ht="15">
      <c r="A23" s="54" t="s">
        <v>316</v>
      </c>
      <c r="B23" s="55">
        <v>2.5099999999999998</v>
      </c>
      <c r="C23" s="55">
        <v>1.43</v>
      </c>
      <c r="D23" s="55">
        <v>3.90</v>
      </c>
      <c r="E23" s="55">
        <v>0.75</v>
      </c>
      <c r="F23" s="55">
        <v>6.40</v>
      </c>
      <c r="G23" s="55">
        <v>23.69</v>
      </c>
      <c r="H23" s="55">
        <v>11.02</v>
      </c>
      <c r="I23" s="55">
        <v>6</v>
      </c>
      <c r="J23" s="55">
        <v>0.87</v>
      </c>
      <c r="K23" s="55">
        <v>341.42</v>
      </c>
      <c r="L23" s="55">
        <v>37.06</v>
      </c>
      <c r="M23" s="55">
        <v>36.479999999999997</v>
      </c>
      <c r="N23" s="55">
        <v>704.40</v>
      </c>
      <c r="O23" s="55">
        <v>0</v>
      </c>
      <c r="P23" s="55">
        <v>0.30</v>
      </c>
      <c r="Q23" s="55">
        <v>9.3800000000000008</v>
      </c>
      <c r="R23" s="43"/>
      <c r="S23" s="43"/>
      <c r="T23" s="43"/>
      <c r="U23" s="43"/>
    </row>
    <row r="24" spans="1:21" s="11" customFormat="1" ht="15">
      <c r="A24" s="54" t="s">
        <v>317</v>
      </c>
      <c r="B24" s="55">
        <v>8.56</v>
      </c>
      <c r="C24" s="55">
        <v>4.5</v>
      </c>
      <c r="D24" s="55">
        <v>12.98</v>
      </c>
      <c r="E24" s="55">
        <v>0.94</v>
      </c>
      <c r="F24" s="55">
        <v>6.32</v>
      </c>
      <c r="G24" s="55">
        <v>28.16</v>
      </c>
      <c r="H24" s="55">
        <v>11.64</v>
      </c>
      <c r="I24" s="55">
        <v>6</v>
      </c>
      <c r="J24" s="55">
        <v>0.49</v>
      </c>
      <c r="K24" s="55">
        <v>333.10</v>
      </c>
      <c r="L24" s="55">
        <v>35.99</v>
      </c>
      <c r="M24" s="55">
        <v>34.96</v>
      </c>
      <c r="N24" s="55">
        <v>299.80</v>
      </c>
      <c r="O24" s="55">
        <v>0</v>
      </c>
      <c r="P24" s="55">
        <v>0.32</v>
      </c>
      <c r="Q24" s="55">
        <v>9.34</v>
      </c>
      <c r="R24" s="43"/>
      <c r="S24" s="43"/>
      <c r="T24" s="43"/>
      <c r="U24" s="43"/>
    </row>
    <row r="25" spans="1:21" s="11" customFormat="1" ht="15">
      <c r="A25" s="54" t="s">
        <v>318</v>
      </c>
      <c r="B25" s="55">
        <v>8.51</v>
      </c>
      <c r="C25" s="55">
        <v>4.46</v>
      </c>
      <c r="D25" s="55">
        <v>12.93</v>
      </c>
      <c r="E25" s="55">
        <v>1.70</v>
      </c>
      <c r="F25" s="55">
        <v>7.30</v>
      </c>
      <c r="G25" s="55">
        <v>28.16</v>
      </c>
      <c r="H25" s="55">
        <v>11.64</v>
      </c>
      <c r="I25" s="55">
        <v>6.18</v>
      </c>
      <c r="J25" s="55">
        <v>1.1499999999999999</v>
      </c>
      <c r="K25" s="55">
        <v>357.05</v>
      </c>
      <c r="L25" s="55">
        <v>35.78</v>
      </c>
      <c r="M25" s="55">
        <v>32.89</v>
      </c>
      <c r="N25" s="55">
        <v>133.80000000000001</v>
      </c>
      <c r="O25" s="55">
        <v>0</v>
      </c>
      <c r="P25" s="55">
        <v>0.38</v>
      </c>
      <c r="Q25" s="55">
        <v>9.3699999999999992</v>
      </c>
      <c r="R25" s="43"/>
      <c r="S25" s="43"/>
      <c r="T25" s="43"/>
      <c r="U25" s="43"/>
    </row>
    <row r="26" spans="1:21" s="11" customFormat="1" ht="15">
      <c r="A26" s="54" t="s">
        <v>319</v>
      </c>
      <c r="B26" s="55">
        <v>8.39</v>
      </c>
      <c r="C26" s="55">
        <v>4.57</v>
      </c>
      <c r="D26" s="55">
        <v>12.89</v>
      </c>
      <c r="E26" s="55">
        <v>8.35</v>
      </c>
      <c r="F26" s="55">
        <v>12.99</v>
      </c>
      <c r="G26" s="55">
        <v>42.47</v>
      </c>
      <c r="H26" s="55">
        <v>19.899999999999999</v>
      </c>
      <c r="I26" s="55">
        <v>6.13</v>
      </c>
      <c r="J26" s="55">
        <v>0.99</v>
      </c>
      <c r="K26" s="55">
        <v>198.29</v>
      </c>
      <c r="L26" s="55">
        <v>35.33</v>
      </c>
      <c r="M26" s="55">
        <v>31.43</v>
      </c>
      <c r="N26" s="55">
        <v>94.20</v>
      </c>
      <c r="O26" s="55">
        <v>0</v>
      </c>
      <c r="P26" s="55">
        <v>0.39</v>
      </c>
      <c r="Q26" s="55">
        <v>9.3800000000000008</v>
      </c>
      <c r="R26" s="43"/>
      <c r="S26" s="43"/>
      <c r="T26" s="43"/>
      <c r="U26" s="43"/>
    </row>
    <row r="27" spans="1:21" s="11" customFormat="1" ht="15">
      <c r="A27" s="54" t="s">
        <v>320</v>
      </c>
      <c r="B27" s="55">
        <v>8.4700000000000006</v>
      </c>
      <c r="C27" s="55">
        <v>4.57</v>
      </c>
      <c r="D27" s="55">
        <v>12.95</v>
      </c>
      <c r="E27" s="55">
        <v>7.54</v>
      </c>
      <c r="F27" s="55">
        <v>5.73</v>
      </c>
      <c r="G27" s="55">
        <v>66.33</v>
      </c>
      <c r="H27" s="55">
        <v>21</v>
      </c>
      <c r="I27" s="55">
        <v>5.37</v>
      </c>
      <c r="J27" s="55">
        <v>0.63</v>
      </c>
      <c r="K27" s="55">
        <v>250.11</v>
      </c>
      <c r="L27" s="55">
        <v>34.270000000000003</v>
      </c>
      <c r="M27" s="55">
        <v>38.58</v>
      </c>
      <c r="N27" s="55">
        <v>39.10</v>
      </c>
      <c r="O27" s="55">
        <v>0</v>
      </c>
      <c r="P27" s="55">
        <v>0.34</v>
      </c>
      <c r="Q27" s="55">
        <v>9.3800000000000008</v>
      </c>
      <c r="R27" s="43"/>
      <c r="S27" s="43"/>
      <c r="T27" s="43"/>
      <c r="U27" s="43"/>
    </row>
    <row r="28" spans="1:21" s="11" customFormat="1" ht="15">
      <c r="A28" s="54" t="s">
        <v>321</v>
      </c>
      <c r="B28" s="55">
        <v>9.09</v>
      </c>
      <c r="C28" s="55">
        <v>6.79</v>
      </c>
      <c r="D28" s="55">
        <v>14.61</v>
      </c>
      <c r="E28" s="55">
        <v>7.61</v>
      </c>
      <c r="F28" s="55">
        <v>3.88</v>
      </c>
      <c r="G28" s="55">
        <v>70.849999999999994</v>
      </c>
      <c r="H28" s="55">
        <v>23.79</v>
      </c>
      <c r="I28" s="55">
        <v>5.58</v>
      </c>
      <c r="J28" s="55">
        <v>0.82</v>
      </c>
      <c r="K28" s="55">
        <v>261.49</v>
      </c>
      <c r="L28" s="55">
        <v>32.78</v>
      </c>
      <c r="M28" s="55">
        <v>43.87</v>
      </c>
      <c r="N28" s="55">
        <v>18.30</v>
      </c>
      <c r="O28" s="55">
        <v>0</v>
      </c>
      <c r="P28" s="55">
        <v>0.46</v>
      </c>
      <c r="Q28" s="55">
        <v>9.4499999999999993</v>
      </c>
      <c r="R28" s="43"/>
      <c r="S28" s="43"/>
      <c r="T28" s="43"/>
      <c r="U28" s="43"/>
    </row>
    <row r="29" spans="1:21" s="11" customFormat="1" ht="15">
      <c r="A29" s="54" t="s">
        <v>322</v>
      </c>
      <c r="B29" s="55">
        <v>8.3800000000000008</v>
      </c>
      <c r="C29" s="55">
        <v>3.94</v>
      </c>
      <c r="D29" s="55">
        <v>12.55</v>
      </c>
      <c r="E29" s="55">
        <v>4</v>
      </c>
      <c r="F29" s="55">
        <v>3.95</v>
      </c>
      <c r="G29" s="55">
        <v>78.62</v>
      </c>
      <c r="H29" s="55">
        <v>24.77</v>
      </c>
      <c r="I29" s="55">
        <v>7.20</v>
      </c>
      <c r="J29" s="55">
        <v>1.39</v>
      </c>
      <c r="K29" s="55">
        <v>359.03</v>
      </c>
      <c r="L29" s="55">
        <v>32.29</v>
      </c>
      <c r="M29" s="55">
        <v>46.21</v>
      </c>
      <c r="N29" s="55">
        <v>18.600000000000001</v>
      </c>
      <c r="O29" s="55">
        <v>0</v>
      </c>
      <c r="P29" s="55">
        <v>0.53</v>
      </c>
      <c r="Q29" s="55">
        <v>9.51</v>
      </c>
      <c r="R29" s="43"/>
      <c r="S29" s="43"/>
      <c r="T29" s="43"/>
      <c r="U29" s="43"/>
    </row>
    <row r="30" spans="1:21" s="11" customFormat="1" ht="15">
      <c r="A30" s="54" t="s">
        <v>323</v>
      </c>
      <c r="B30" s="55">
        <v>8.60</v>
      </c>
      <c r="C30" s="55">
        <v>4.76</v>
      </c>
      <c r="D30" s="55">
        <v>13.15</v>
      </c>
      <c r="E30" s="55">
        <v>4.12</v>
      </c>
      <c r="F30" s="55">
        <v>4.1900000000000004</v>
      </c>
      <c r="G30" s="55">
        <v>85.33</v>
      </c>
      <c r="H30" s="55">
        <v>30.34</v>
      </c>
      <c r="I30" s="55">
        <v>7.77</v>
      </c>
      <c r="J30" s="55">
        <v>1.60</v>
      </c>
      <c r="K30" s="55">
        <v>355.63</v>
      </c>
      <c r="L30" s="55">
        <v>31.58</v>
      </c>
      <c r="M30" s="55">
        <v>49.36</v>
      </c>
      <c r="N30" s="55">
        <v>18.5</v>
      </c>
      <c r="O30" s="55">
        <v>0</v>
      </c>
      <c r="P30" s="55">
        <v>0.69</v>
      </c>
      <c r="Q30" s="55">
        <v>9.69</v>
      </c>
      <c r="R30" s="43"/>
      <c r="S30" s="43"/>
      <c r="T30" s="43"/>
      <c r="U30" s="43"/>
    </row>
    <row r="31" spans="1:21" s="11" customFormat="1" ht="15">
      <c r="A31" s="54" t="s">
        <v>324</v>
      </c>
      <c r="B31" s="55">
        <v>8.75</v>
      </c>
      <c r="C31" s="55">
        <v>4.97</v>
      </c>
      <c r="D31" s="55">
        <v>13.39</v>
      </c>
      <c r="E31" s="55">
        <v>3.72</v>
      </c>
      <c r="F31" s="55">
        <v>3.78</v>
      </c>
      <c r="G31" s="55">
        <v>121.35</v>
      </c>
      <c r="H31" s="55">
        <v>34.229999999999997</v>
      </c>
      <c r="I31" s="55">
        <v>7.75</v>
      </c>
      <c r="J31" s="55">
        <v>1.24</v>
      </c>
      <c r="K31" s="55">
        <v>186.28</v>
      </c>
      <c r="L31" s="55">
        <v>31.21</v>
      </c>
      <c r="M31" s="55">
        <v>48.52</v>
      </c>
      <c r="N31" s="55">
        <v>18.30</v>
      </c>
      <c r="O31" s="55">
        <v>0</v>
      </c>
      <c r="P31" s="55">
        <v>0.76</v>
      </c>
      <c r="Q31" s="55">
        <v>9.73</v>
      </c>
      <c r="R31" s="43"/>
      <c r="S31" s="43"/>
      <c r="T31" s="43"/>
      <c r="U31" s="43"/>
    </row>
    <row r="32" spans="1:21" s="11" customFormat="1" ht="15">
      <c r="A32" s="54" t="s">
        <v>325</v>
      </c>
      <c r="B32" s="55">
        <v>8.74</v>
      </c>
      <c r="C32" s="55">
        <v>4.8899999999999997</v>
      </c>
      <c r="D32" s="55">
        <v>13.34</v>
      </c>
      <c r="E32" s="55">
        <v>3.94</v>
      </c>
      <c r="F32" s="55">
        <v>4.04</v>
      </c>
      <c r="G32" s="55">
        <v>123.78</v>
      </c>
      <c r="H32" s="55">
        <v>38.26</v>
      </c>
      <c r="I32" s="55">
        <v>7.60</v>
      </c>
      <c r="J32" s="55">
        <v>0.62</v>
      </c>
      <c r="K32" s="55">
        <v>338.15</v>
      </c>
      <c r="L32" s="55">
        <v>30.43</v>
      </c>
      <c r="M32" s="55">
        <v>58.31</v>
      </c>
      <c r="N32" s="55">
        <v>18.600000000000001</v>
      </c>
      <c r="O32" s="55">
        <v>0</v>
      </c>
      <c r="P32" s="55">
        <v>0.73</v>
      </c>
      <c r="Q32" s="55">
        <v>9.7200000000000006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2.5099999999999998</v>
      </c>
      <c r="C34" s="28">
        <f t="shared" si="0"/>
        <v>1.4299999999999999</v>
      </c>
      <c r="D34" s="28">
        <f t="shared" si="0"/>
        <v>3.8999999999999999</v>
      </c>
      <c r="E34" s="28">
        <f t="shared" si="0"/>
        <v>0.63</v>
      </c>
      <c r="F34" s="28">
        <f t="shared" si="0"/>
        <v>3.27</v>
      </c>
      <c r="G34" s="28">
        <f t="shared" si="0"/>
        <v>19.940000000000001</v>
      </c>
      <c r="H34" s="28">
        <f t="shared" si="0"/>
        <v>8.6400000000000006</v>
      </c>
      <c r="I34" s="28">
        <f t="shared" si="0"/>
        <v>2.6400000000000001</v>
      </c>
      <c r="J34" s="28">
        <f t="shared" si="0"/>
        <v>0.42999999999999999</v>
      </c>
      <c r="K34" s="28">
        <f t="shared" si="0"/>
        <v>23.73</v>
      </c>
      <c r="L34" s="28">
        <f t="shared" si="0"/>
        <v>24.940000000000001</v>
      </c>
      <c r="M34" s="28">
        <f t="shared" si="0"/>
        <v>31.43</v>
      </c>
      <c r="N34" s="28">
        <f t="shared" si="0"/>
        <v>15.800000000000001</v>
      </c>
      <c r="O34" s="28">
        <f t="shared" si="0"/>
        <v>0</v>
      </c>
      <c r="P34" s="28">
        <f t="shared" si="0"/>
        <v>0.28999999999999998</v>
      </c>
      <c r="Q34" s="28">
        <f t="shared" si="0"/>
        <v>9.3399999999999999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9.0899999999999999</v>
      </c>
      <c r="C35" s="29">
        <f t="shared" si="1"/>
        <v>6.79</v>
      </c>
      <c r="D35" s="29">
        <f t="shared" si="1"/>
        <v>14.609999999999999</v>
      </c>
      <c r="E35" s="29">
        <f t="shared" si="1"/>
        <v>8.3499999999999996</v>
      </c>
      <c r="F35" s="29">
        <f t="shared" si="1"/>
        <v>12.99</v>
      </c>
      <c r="G35" s="29">
        <f t="shared" si="1"/>
        <v>123.78</v>
      </c>
      <c r="H35" s="29">
        <f t="shared" si="1"/>
        <v>38.259999999999998</v>
      </c>
      <c r="I35" s="29">
        <f t="shared" si="1"/>
        <v>7.7699999999999996</v>
      </c>
      <c r="J35" s="29">
        <f t="shared" si="1"/>
        <v>1.6000000000000001</v>
      </c>
      <c r="K35" s="29">
        <f t="shared" si="1"/>
        <v>359.13</v>
      </c>
      <c r="L35" s="29">
        <f t="shared" si="1"/>
        <v>37.060000000000002</v>
      </c>
      <c r="M35" s="29">
        <f t="shared" si="1"/>
        <v>80.480000000000004</v>
      </c>
      <c r="N35" s="29">
        <f t="shared" si="1"/>
        <v>892.20000000000005</v>
      </c>
      <c r="O35" s="29">
        <f t="shared" si="1"/>
        <v>0</v>
      </c>
      <c r="P35" s="29">
        <f t="shared" si="1"/>
        <v>0.76000000000000001</v>
      </c>
      <c r="Q35" s="29">
        <f t="shared" si="1"/>
        <v>9.7300000000000004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5.4029166666666661</v>
      </c>
      <c r="C36" s="28">
        <f t="shared" si="2"/>
        <v>4.2716666666666665</v>
      </c>
      <c r="D36" s="28">
        <f t="shared" si="2"/>
        <v>8.6800000000000015</v>
      </c>
      <c r="E36" s="28">
        <f t="shared" si="2"/>
        <v>2.7533333333333334</v>
      </c>
      <c r="F36" s="28">
        <f t="shared" si="2"/>
        <v>5.390416666666666</v>
      </c>
      <c r="G36" s="28">
        <f t="shared" si="2"/>
        <v>46.327916666666674</v>
      </c>
      <c r="H36" s="28">
        <f t="shared" si="2"/>
        <v>16.814583333333335</v>
      </c>
      <c r="I36" s="28">
        <f t="shared" si="2"/>
        <v>5.9562500000000007</v>
      </c>
      <c r="J36" s="28">
        <f t="shared" si="2"/>
        <v>0.80166666666666675</v>
      </c>
      <c r="K36" s="28">
        <f t="shared" si="2"/>
        <v>255.28499999999994</v>
      </c>
      <c r="L36" s="28">
        <f t="shared" si="2"/>
        <v>31.327916666666667</v>
      </c>
      <c r="M36" s="28">
        <f t="shared" si="2"/>
        <v>55.17499999999999</v>
      </c>
      <c r="N36" s="28">
        <f t="shared" si="2"/>
        <v>290.62916666666672</v>
      </c>
      <c r="O36" s="28">
        <f t="shared" si="2"/>
        <v>0</v>
      </c>
      <c r="P36" s="28">
        <f t="shared" si="2"/>
        <v>0.45458333333333328</v>
      </c>
      <c r="Q36" s="28">
        <f t="shared" si="2"/>
        <v>9.5004166666666645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2.6132163742867882</v>
      </c>
      <c r="C37" s="28">
        <f t="shared" si="3" ref="C37:Q37">STDEV(C9:C32)</f>
        <v>1.5556004479374479</v>
      </c>
      <c r="D37" s="28">
        <f t="shared" si="3"/>
        <v>3.790155440198935</v>
      </c>
      <c r="E37" s="28">
        <f t="shared" si="3"/>
        <v>2.2350132120350015</v>
      </c>
      <c r="F37" s="28">
        <f t="shared" si="3"/>
        <v>2.1052139809998209</v>
      </c>
      <c r="G37" s="28">
        <f t="shared" si="3"/>
        <v>30.344759160594634</v>
      </c>
      <c r="H37" s="28">
        <f t="shared" si="3"/>
        <v>8.3736927489383746</v>
      </c>
      <c r="I37" s="28">
        <f t="shared" si="3"/>
        <v>1.4705864328633449</v>
      </c>
      <c r="J37" s="28">
        <f t="shared" si="3"/>
        <v>0.35375828970673157</v>
      </c>
      <c r="K37" s="28">
        <f t="shared" si="3"/>
        <v>109.32405252674097</v>
      </c>
      <c r="L37" s="28">
        <f t="shared" si="3"/>
        <v>4.0766460843567769</v>
      </c>
      <c r="M37" s="28">
        <f t="shared" si="3"/>
        <v>17.783480854555727</v>
      </c>
      <c r="N37" s="28">
        <f t="shared" si="3"/>
        <v>348.14020598799311</v>
      </c>
      <c r="O37" s="28">
        <f t="shared" si="3"/>
        <v>0</v>
      </c>
      <c r="P37" s="28">
        <f t="shared" si="3"/>
        <v>0.14882084843037374</v>
      </c>
      <c r="Q37" s="28">
        <f t="shared" si="3"/>
        <v>0.11641302656347978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cd64bad-d6ce-485f-9a66-59f2301f5b59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326</v>
      </c>
      <c r="B9" s="55">
        <v>8.40</v>
      </c>
      <c r="C9" s="55">
        <v>3.77</v>
      </c>
      <c r="D9" s="55">
        <v>12.48</v>
      </c>
      <c r="E9" s="55">
        <v>4.3099999999999996</v>
      </c>
      <c r="F9" s="55">
        <v>3.64</v>
      </c>
      <c r="G9" s="55">
        <v>135.55000000000001</v>
      </c>
      <c r="H9" s="55">
        <v>41.96</v>
      </c>
      <c r="I9" s="55">
        <v>7.26</v>
      </c>
      <c r="J9" s="55">
        <v>1.36</v>
      </c>
      <c r="K9" s="55">
        <v>344.10</v>
      </c>
      <c r="L9" s="55">
        <v>29</v>
      </c>
      <c r="M9" s="55">
        <v>59.97</v>
      </c>
      <c r="N9" s="55">
        <v>18.30</v>
      </c>
      <c r="O9" s="55">
        <v>0</v>
      </c>
      <c r="P9" s="55">
        <v>0.73</v>
      </c>
      <c r="Q9" s="55">
        <v>9.64</v>
      </c>
      <c r="R9" s="43"/>
      <c r="S9" s="43"/>
      <c r="T9" s="43"/>
      <c r="U9" s="43"/>
    </row>
    <row r="10" spans="1:21" s="11" customFormat="1" ht="15">
      <c r="A10" s="54" t="s">
        <v>327</v>
      </c>
      <c r="B10" s="55">
        <v>8.85</v>
      </c>
      <c r="C10" s="55">
        <v>4.7699999999999996</v>
      </c>
      <c r="D10" s="55">
        <v>13.36</v>
      </c>
      <c r="E10" s="55">
        <v>4.08</v>
      </c>
      <c r="F10" s="55">
        <v>3.74</v>
      </c>
      <c r="G10" s="55">
        <v>139.68</v>
      </c>
      <c r="H10" s="55">
        <v>45.52</v>
      </c>
      <c r="I10" s="55">
        <v>7.20</v>
      </c>
      <c r="J10" s="55">
        <v>1.19</v>
      </c>
      <c r="K10" s="55">
        <v>327.35000000000002</v>
      </c>
      <c r="L10" s="55">
        <v>28.29</v>
      </c>
      <c r="M10" s="55">
        <v>63.96</v>
      </c>
      <c r="N10" s="55">
        <v>18.30</v>
      </c>
      <c r="O10" s="55">
        <v>0</v>
      </c>
      <c r="P10" s="55">
        <v>0.66</v>
      </c>
      <c r="Q10" s="55">
        <v>9.6300000000000008</v>
      </c>
      <c r="R10" s="43"/>
      <c r="S10" s="43"/>
      <c r="T10" s="43"/>
      <c r="U10" s="43"/>
    </row>
    <row r="11" spans="1:21" s="11" customFormat="1" ht="15">
      <c r="A11" s="54" t="s">
        <v>328</v>
      </c>
      <c r="B11" s="55">
        <v>8.56</v>
      </c>
      <c r="C11" s="55">
        <v>4.5999999999999996</v>
      </c>
      <c r="D11" s="55">
        <v>13.04</v>
      </c>
      <c r="E11" s="55">
        <v>4.08</v>
      </c>
      <c r="F11" s="55">
        <v>4.3899999999999997</v>
      </c>
      <c r="G11" s="55">
        <v>140.72</v>
      </c>
      <c r="H11" s="55">
        <v>56.29</v>
      </c>
      <c r="I11" s="55">
        <v>6.73</v>
      </c>
      <c r="J11" s="55">
        <v>0.55000000000000004</v>
      </c>
      <c r="K11" s="55">
        <v>344.55</v>
      </c>
      <c r="L11" s="55">
        <v>27.80</v>
      </c>
      <c r="M11" s="55">
        <v>65.02</v>
      </c>
      <c r="N11" s="55">
        <v>18.20</v>
      </c>
      <c r="O11" s="55">
        <v>0</v>
      </c>
      <c r="P11" s="55">
        <v>0.65</v>
      </c>
      <c r="Q11" s="55">
        <v>9.66</v>
      </c>
      <c r="R11" s="43"/>
      <c r="S11" s="43"/>
      <c r="T11" s="43"/>
      <c r="U11" s="43"/>
    </row>
    <row r="12" spans="1:21" s="11" customFormat="1" ht="15">
      <c r="A12" s="54" t="s">
        <v>329</v>
      </c>
      <c r="B12" s="55">
        <v>8.57</v>
      </c>
      <c r="C12" s="55">
        <v>4.6100000000000003</v>
      </c>
      <c r="D12" s="55">
        <v>13.05</v>
      </c>
      <c r="E12" s="55">
        <v>4.47</v>
      </c>
      <c r="F12" s="55">
        <v>4.3499999999999996</v>
      </c>
      <c r="G12" s="55">
        <v>141.94999999999999</v>
      </c>
      <c r="H12" s="55">
        <v>56.29</v>
      </c>
      <c r="I12" s="55">
        <v>6.89</v>
      </c>
      <c r="J12" s="55">
        <v>0.95</v>
      </c>
      <c r="K12" s="55">
        <v>326.39999999999998</v>
      </c>
      <c r="L12" s="55">
        <v>27.43</v>
      </c>
      <c r="M12" s="55">
        <v>65.959999999999994</v>
      </c>
      <c r="N12" s="55">
        <v>18.20</v>
      </c>
      <c r="O12" s="55">
        <v>0</v>
      </c>
      <c r="P12" s="55">
        <v>0.60</v>
      </c>
      <c r="Q12" s="55">
        <v>9.6199999999999992</v>
      </c>
      <c r="R12" s="43"/>
      <c r="S12" s="43"/>
      <c r="T12" s="43"/>
      <c r="U12" s="43"/>
    </row>
    <row r="13" spans="1:21" s="11" customFormat="1" ht="15">
      <c r="A13" s="54" t="s">
        <v>330</v>
      </c>
      <c r="B13" s="55">
        <v>8.5299999999999994</v>
      </c>
      <c r="C13" s="55">
        <v>4.3099999999999996</v>
      </c>
      <c r="D13" s="55">
        <v>12.87</v>
      </c>
      <c r="E13" s="55">
        <v>5.44</v>
      </c>
      <c r="F13" s="55">
        <v>4.62</v>
      </c>
      <c r="G13" s="55">
        <v>141.94999999999999</v>
      </c>
      <c r="H13" s="55">
        <v>50.78</v>
      </c>
      <c r="I13" s="55">
        <v>5.97</v>
      </c>
      <c r="J13" s="55">
        <v>0.97</v>
      </c>
      <c r="K13" s="55">
        <v>332.85</v>
      </c>
      <c r="L13" s="55">
        <v>27.04</v>
      </c>
      <c r="M13" s="55">
        <v>62.11</v>
      </c>
      <c r="N13" s="55">
        <v>18.20</v>
      </c>
      <c r="O13" s="55">
        <v>0</v>
      </c>
      <c r="P13" s="55">
        <v>0.51</v>
      </c>
      <c r="Q13" s="55">
        <v>9.5399999999999991</v>
      </c>
      <c r="R13" s="43"/>
      <c r="S13" s="43"/>
      <c r="T13" s="43"/>
      <c r="U13" s="43"/>
    </row>
    <row r="14" spans="1:21" s="11" customFormat="1" ht="15">
      <c r="A14" s="54" t="s">
        <v>331</v>
      </c>
      <c r="B14" s="55">
        <v>8.27</v>
      </c>
      <c r="C14" s="55">
        <v>3.31</v>
      </c>
      <c r="D14" s="55">
        <v>12.14</v>
      </c>
      <c r="E14" s="55">
        <v>5.24</v>
      </c>
      <c r="F14" s="55">
        <v>3.86</v>
      </c>
      <c r="G14" s="55">
        <v>116.33</v>
      </c>
      <c r="H14" s="55">
        <v>40.39</v>
      </c>
      <c r="I14" s="55">
        <v>5.78</v>
      </c>
      <c r="J14" s="55">
        <v>0.42</v>
      </c>
      <c r="K14" s="55">
        <v>357.21</v>
      </c>
      <c r="L14" s="55">
        <v>27.04</v>
      </c>
      <c r="M14" s="55">
        <v>65.17</v>
      </c>
      <c r="N14" s="55">
        <v>58.90</v>
      </c>
      <c r="O14" s="55">
        <v>0</v>
      </c>
      <c r="P14" s="55">
        <v>0.47</v>
      </c>
      <c r="Q14" s="55">
        <v>9.51</v>
      </c>
      <c r="R14" s="43"/>
      <c r="S14" s="43"/>
      <c r="T14" s="43"/>
      <c r="U14" s="43"/>
    </row>
    <row r="15" spans="1:21" s="11" customFormat="1" ht="15">
      <c r="A15" s="54" t="s">
        <v>332</v>
      </c>
      <c r="B15" s="55">
        <v>8.65</v>
      </c>
      <c r="C15" s="55">
        <v>4.4400000000000004</v>
      </c>
      <c r="D15" s="55">
        <v>13.03</v>
      </c>
      <c r="E15" s="55">
        <v>5.0999999999999996</v>
      </c>
      <c r="F15" s="55">
        <v>4.1900000000000004</v>
      </c>
      <c r="G15" s="55">
        <v>107.5</v>
      </c>
      <c r="H15" s="55">
        <v>36.68</v>
      </c>
      <c r="I15" s="55">
        <v>5.79</v>
      </c>
      <c r="J15" s="55">
        <v>0.56000000000000005</v>
      </c>
      <c r="K15" s="55">
        <v>354.51</v>
      </c>
      <c r="L15" s="55">
        <v>28.54</v>
      </c>
      <c r="M15" s="55">
        <v>61</v>
      </c>
      <c r="N15" s="55">
        <v>181.20</v>
      </c>
      <c r="O15" s="55">
        <v>0</v>
      </c>
      <c r="P15" s="55">
        <v>0.45</v>
      </c>
      <c r="Q15" s="55">
        <v>9.57</v>
      </c>
      <c r="R15" s="43"/>
      <c r="S15" s="43"/>
      <c r="T15" s="43"/>
      <c r="U15" s="43"/>
    </row>
    <row r="16" spans="1:21" s="11" customFormat="1" ht="15">
      <c r="A16" s="54" t="s">
        <v>333</v>
      </c>
      <c r="B16" s="55">
        <v>8.51</v>
      </c>
      <c r="C16" s="55">
        <v>4.17</v>
      </c>
      <c r="D16" s="55">
        <v>12.78</v>
      </c>
      <c r="E16" s="55">
        <v>5.25</v>
      </c>
      <c r="F16" s="55">
        <v>5.73</v>
      </c>
      <c r="G16" s="55">
        <v>93.83</v>
      </c>
      <c r="H16" s="55">
        <v>36.68</v>
      </c>
      <c r="I16" s="55">
        <v>5.62</v>
      </c>
      <c r="J16" s="55">
        <v>0.55000000000000004</v>
      </c>
      <c r="K16" s="55">
        <v>29.06</v>
      </c>
      <c r="L16" s="55">
        <v>31.09</v>
      </c>
      <c r="M16" s="55">
        <v>58.32</v>
      </c>
      <c r="N16" s="55">
        <v>369.90</v>
      </c>
      <c r="O16" s="55">
        <v>0</v>
      </c>
      <c r="P16" s="55">
        <v>0.44</v>
      </c>
      <c r="Q16" s="55">
        <v>9.60</v>
      </c>
      <c r="R16" s="43"/>
      <c r="S16" s="43"/>
      <c r="T16" s="43"/>
      <c r="U16" s="43"/>
    </row>
    <row r="17" spans="1:21" s="11" customFormat="1" ht="15">
      <c r="A17" s="54" t="s">
        <v>334</v>
      </c>
      <c r="B17" s="55">
        <v>8.5</v>
      </c>
      <c r="C17" s="55">
        <v>4.38</v>
      </c>
      <c r="D17" s="55">
        <v>12.88</v>
      </c>
      <c r="E17" s="55">
        <v>3.64</v>
      </c>
      <c r="F17" s="55">
        <v>5.69</v>
      </c>
      <c r="G17" s="55">
        <v>91.72</v>
      </c>
      <c r="H17" s="55">
        <v>30.34</v>
      </c>
      <c r="I17" s="55">
        <v>4.4000000000000004</v>
      </c>
      <c r="J17" s="55">
        <v>1</v>
      </c>
      <c r="K17" s="55">
        <v>314.08</v>
      </c>
      <c r="L17" s="55">
        <v>35.39</v>
      </c>
      <c r="M17" s="55">
        <v>53.04</v>
      </c>
      <c r="N17" s="55">
        <v>621.10</v>
      </c>
      <c r="O17" s="55">
        <v>0</v>
      </c>
      <c r="P17" s="55">
        <v>0.51</v>
      </c>
      <c r="Q17" s="55">
        <v>9.5399999999999991</v>
      </c>
      <c r="R17" s="43"/>
      <c r="S17" s="43"/>
      <c r="T17" s="43"/>
      <c r="U17" s="43"/>
    </row>
    <row r="18" spans="1:21" s="11" customFormat="1" ht="15">
      <c r="A18" s="54" t="s">
        <v>335</v>
      </c>
      <c r="B18" s="55">
        <v>8.48</v>
      </c>
      <c r="C18" s="55">
        <v>4.24</v>
      </c>
      <c r="D18" s="55">
        <v>12.79</v>
      </c>
      <c r="E18" s="55">
        <v>3.93</v>
      </c>
      <c r="F18" s="55">
        <v>5.22</v>
      </c>
      <c r="G18" s="55">
        <v>84.93</v>
      </c>
      <c r="H18" s="55">
        <v>23.94</v>
      </c>
      <c r="I18" s="55">
        <v>4.26</v>
      </c>
      <c r="J18" s="55">
        <v>1.34</v>
      </c>
      <c r="K18" s="55">
        <v>327.57</v>
      </c>
      <c r="L18" s="55">
        <v>38.47</v>
      </c>
      <c r="M18" s="55">
        <v>38.40</v>
      </c>
      <c r="N18" s="55">
        <v>767.10</v>
      </c>
      <c r="O18" s="55">
        <v>0</v>
      </c>
      <c r="P18" s="55">
        <v>0.51</v>
      </c>
      <c r="Q18" s="55">
        <v>9.4600000000000009</v>
      </c>
      <c r="R18" s="43"/>
      <c r="S18" s="43"/>
      <c r="T18" s="43"/>
      <c r="U18" s="43"/>
    </row>
    <row r="19" spans="1:21" s="11" customFormat="1" ht="15">
      <c r="A19" s="54" t="s">
        <v>336</v>
      </c>
      <c r="B19" s="55">
        <v>8.39</v>
      </c>
      <c r="C19" s="55">
        <v>3.91</v>
      </c>
      <c r="D19" s="55">
        <v>12.54</v>
      </c>
      <c r="E19" s="55">
        <v>3.69</v>
      </c>
      <c r="F19" s="55">
        <v>5.91</v>
      </c>
      <c r="G19" s="55">
        <v>84.93</v>
      </c>
      <c r="H19" s="55">
        <v>26.52</v>
      </c>
      <c r="I19" s="55">
        <v>4.0199999999999996</v>
      </c>
      <c r="J19" s="55">
        <v>1.59</v>
      </c>
      <c r="K19" s="55">
        <v>332.99</v>
      </c>
      <c r="L19" s="55">
        <v>40.21</v>
      </c>
      <c r="M19" s="55">
        <v>34.229999999999997</v>
      </c>
      <c r="N19" s="55">
        <v>842.80</v>
      </c>
      <c r="O19" s="55">
        <v>0</v>
      </c>
      <c r="P19" s="55">
        <v>0.51</v>
      </c>
      <c r="Q19" s="55">
        <v>9.42</v>
      </c>
      <c r="R19" s="43"/>
      <c r="S19" s="43"/>
      <c r="T19" s="43"/>
      <c r="U19" s="43"/>
    </row>
    <row r="20" spans="1:21" s="11" customFormat="1" ht="15">
      <c r="A20" s="54" t="s">
        <v>337</v>
      </c>
      <c r="B20" s="55">
        <v>8.41</v>
      </c>
      <c r="C20" s="55">
        <v>4.16</v>
      </c>
      <c r="D20" s="55">
        <v>12.69</v>
      </c>
      <c r="E20" s="55">
        <v>3.80</v>
      </c>
      <c r="F20" s="55">
        <v>7.04</v>
      </c>
      <c r="G20" s="55">
        <v>77.42</v>
      </c>
      <c r="H20" s="55">
        <v>29.04</v>
      </c>
      <c r="I20" s="55">
        <v>3.88</v>
      </c>
      <c r="J20" s="55">
        <v>2.17</v>
      </c>
      <c r="K20" s="55">
        <v>340.02</v>
      </c>
      <c r="L20" s="55">
        <v>40.26</v>
      </c>
      <c r="M20" s="55">
        <v>29.51</v>
      </c>
      <c r="N20" s="55">
        <v>868.10</v>
      </c>
      <c r="O20" s="55">
        <v>0</v>
      </c>
      <c r="P20" s="55">
        <v>0.52</v>
      </c>
      <c r="Q20" s="55">
        <v>9.5</v>
      </c>
      <c r="R20" s="43"/>
      <c r="S20" s="43"/>
      <c r="T20" s="43"/>
      <c r="U20" s="43"/>
    </row>
    <row r="21" spans="1:21" s="11" customFormat="1" ht="15">
      <c r="A21" s="54" t="s">
        <v>338</v>
      </c>
      <c r="B21" s="55">
        <v>8.4600000000000009</v>
      </c>
      <c r="C21" s="55">
        <v>4.6100000000000003</v>
      </c>
      <c r="D21" s="55">
        <v>12.96</v>
      </c>
      <c r="E21" s="55">
        <v>3.56</v>
      </c>
      <c r="F21" s="55">
        <v>7.43</v>
      </c>
      <c r="G21" s="55">
        <v>72.319999999999993</v>
      </c>
      <c r="H21" s="55">
        <v>29.04</v>
      </c>
      <c r="I21" s="55">
        <v>3.64</v>
      </c>
      <c r="J21" s="55">
        <v>1.26</v>
      </c>
      <c r="K21" s="55">
        <v>342.78</v>
      </c>
      <c r="L21" s="55">
        <v>40.840000000000003</v>
      </c>
      <c r="M21" s="55">
        <v>27.71</v>
      </c>
      <c r="N21" s="55">
        <v>832.40</v>
      </c>
      <c r="O21" s="55">
        <v>0</v>
      </c>
      <c r="P21" s="55">
        <v>0.52</v>
      </c>
      <c r="Q21" s="55">
        <v>9.51</v>
      </c>
      <c r="R21" s="43"/>
      <c r="S21" s="43"/>
      <c r="T21" s="43"/>
      <c r="U21" s="43"/>
    </row>
    <row r="22" spans="1:21" s="11" customFormat="1" ht="15">
      <c r="A22" s="54" t="s">
        <v>339</v>
      </c>
      <c r="B22" s="55">
        <v>8.44</v>
      </c>
      <c r="C22" s="55">
        <v>4.41</v>
      </c>
      <c r="D22" s="55">
        <v>12.84</v>
      </c>
      <c r="E22" s="55">
        <v>4.05</v>
      </c>
      <c r="F22" s="55">
        <v>6.95</v>
      </c>
      <c r="G22" s="55">
        <v>69.069999999999993</v>
      </c>
      <c r="H22" s="55">
        <v>30.69</v>
      </c>
      <c r="I22" s="55">
        <v>3.55</v>
      </c>
      <c r="J22" s="55">
        <v>1.75</v>
      </c>
      <c r="K22" s="55">
        <v>350.37</v>
      </c>
      <c r="L22" s="55">
        <v>41.30</v>
      </c>
      <c r="M22" s="55">
        <v>25.43</v>
      </c>
      <c r="N22" s="55">
        <v>769.60</v>
      </c>
      <c r="O22" s="55">
        <v>0</v>
      </c>
      <c r="P22" s="55">
        <v>0.48</v>
      </c>
      <c r="Q22" s="55">
        <v>9.44</v>
      </c>
      <c r="R22" s="43"/>
      <c r="S22" s="43"/>
      <c r="T22" s="43"/>
      <c r="U22" s="43"/>
    </row>
    <row r="23" spans="1:21" s="11" customFormat="1" ht="15">
      <c r="A23" s="54" t="s">
        <v>340</v>
      </c>
      <c r="B23" s="55">
        <v>8.1999999999999993</v>
      </c>
      <c r="C23" s="55">
        <v>3.37</v>
      </c>
      <c r="D23" s="55">
        <v>12.11</v>
      </c>
      <c r="E23" s="55">
        <v>3.51</v>
      </c>
      <c r="F23" s="55">
        <v>6.27</v>
      </c>
      <c r="G23" s="55">
        <v>75.73</v>
      </c>
      <c r="H23" s="55">
        <v>35.39</v>
      </c>
      <c r="I23" s="55">
        <v>4.43</v>
      </c>
      <c r="J23" s="55">
        <v>1.08</v>
      </c>
      <c r="K23" s="55">
        <v>357.18</v>
      </c>
      <c r="L23" s="55">
        <v>40.42</v>
      </c>
      <c r="M23" s="55">
        <v>28.5</v>
      </c>
      <c r="N23" s="55">
        <v>636.5</v>
      </c>
      <c r="O23" s="55">
        <v>0</v>
      </c>
      <c r="P23" s="55">
        <v>0.47</v>
      </c>
      <c r="Q23" s="55">
        <v>9.3800000000000008</v>
      </c>
      <c r="R23" s="43"/>
      <c r="S23" s="43"/>
      <c r="T23" s="43"/>
      <c r="U23" s="43"/>
    </row>
    <row r="24" spans="1:21" s="11" customFormat="1" ht="15">
      <c r="A24" s="54" t="s">
        <v>341</v>
      </c>
      <c r="B24" s="55">
        <v>8.5399999999999991</v>
      </c>
      <c r="C24" s="55">
        <v>4.6399999999999997</v>
      </c>
      <c r="D24" s="55">
        <v>13.05</v>
      </c>
      <c r="E24" s="55">
        <v>4.42</v>
      </c>
      <c r="F24" s="55">
        <v>7.12</v>
      </c>
      <c r="G24" s="55">
        <v>83.97</v>
      </c>
      <c r="H24" s="55">
        <v>35.39</v>
      </c>
      <c r="I24" s="55">
        <v>6.63</v>
      </c>
      <c r="J24" s="55">
        <v>3.33</v>
      </c>
      <c r="K24" s="55">
        <v>345.55</v>
      </c>
      <c r="L24" s="55">
        <v>38.06</v>
      </c>
      <c r="M24" s="55">
        <v>35.770000000000003</v>
      </c>
      <c r="N24" s="55">
        <v>264.5</v>
      </c>
      <c r="O24" s="55">
        <v>0</v>
      </c>
      <c r="P24" s="55">
        <v>0.47</v>
      </c>
      <c r="Q24" s="55">
        <v>9.48</v>
      </c>
      <c r="R24" s="43"/>
      <c r="S24" s="43"/>
      <c r="T24" s="43"/>
      <c r="U24" s="43"/>
    </row>
    <row r="25" spans="1:21" s="11" customFormat="1" ht="15">
      <c r="A25" s="54" t="s">
        <v>342</v>
      </c>
      <c r="B25" s="55">
        <v>8.48</v>
      </c>
      <c r="C25" s="55">
        <v>4.9800000000000004</v>
      </c>
      <c r="D25" s="55">
        <v>13.18</v>
      </c>
      <c r="E25" s="55">
        <v>4.45</v>
      </c>
      <c r="F25" s="55">
        <v>7.70</v>
      </c>
      <c r="G25" s="55">
        <v>96.72</v>
      </c>
      <c r="H25" s="55">
        <v>33.21</v>
      </c>
      <c r="I25" s="55">
        <v>6.57</v>
      </c>
      <c r="J25" s="55">
        <v>2.14</v>
      </c>
      <c r="K25" s="55">
        <v>346.84</v>
      </c>
      <c r="L25" s="55">
        <v>34.78</v>
      </c>
      <c r="M25" s="55">
        <v>34.5</v>
      </c>
      <c r="N25" s="55">
        <v>137.19999999999999</v>
      </c>
      <c r="O25" s="55">
        <v>0</v>
      </c>
      <c r="P25" s="55">
        <v>0.46</v>
      </c>
      <c r="Q25" s="55">
        <v>9.49</v>
      </c>
      <c r="R25" s="43"/>
      <c r="S25" s="43"/>
      <c r="T25" s="43"/>
      <c r="U25" s="43"/>
    </row>
    <row r="26" spans="1:21" s="11" customFormat="1" ht="15">
      <c r="A26" s="54" t="s">
        <v>343</v>
      </c>
      <c r="B26" s="55">
        <v>8.41</v>
      </c>
      <c r="C26" s="55">
        <v>4.43</v>
      </c>
      <c r="D26" s="55">
        <v>12.83</v>
      </c>
      <c r="E26" s="55">
        <v>4.4800000000000004</v>
      </c>
      <c r="F26" s="55">
        <v>7.22</v>
      </c>
      <c r="G26" s="55">
        <v>115.69</v>
      </c>
      <c r="H26" s="55">
        <v>38.78</v>
      </c>
      <c r="I26" s="55">
        <v>5.68</v>
      </c>
      <c r="J26" s="55">
        <v>2.11</v>
      </c>
      <c r="K26" s="55">
        <v>169.67</v>
      </c>
      <c r="L26" s="55">
        <v>35.10</v>
      </c>
      <c r="M26" s="55">
        <v>43.18</v>
      </c>
      <c r="N26" s="55">
        <v>102.30</v>
      </c>
      <c r="O26" s="55">
        <v>0</v>
      </c>
      <c r="P26" s="55">
        <v>0.5</v>
      </c>
      <c r="Q26" s="55">
        <v>9.51</v>
      </c>
      <c r="R26" s="43"/>
      <c r="S26" s="43"/>
      <c r="T26" s="43"/>
      <c r="U26" s="43"/>
    </row>
    <row r="27" spans="1:21" s="11" customFormat="1" ht="15">
      <c r="A27" s="54" t="s">
        <v>344</v>
      </c>
      <c r="B27" s="55">
        <v>8.3800000000000008</v>
      </c>
      <c r="C27" s="55">
        <v>4</v>
      </c>
      <c r="D27" s="55">
        <v>12.58</v>
      </c>
      <c r="E27" s="55">
        <v>4.4800000000000004</v>
      </c>
      <c r="F27" s="55">
        <v>7.32</v>
      </c>
      <c r="G27" s="55">
        <v>115.69</v>
      </c>
      <c r="H27" s="55">
        <v>38.78</v>
      </c>
      <c r="I27" s="55">
        <v>6.08</v>
      </c>
      <c r="J27" s="55">
        <v>0.60</v>
      </c>
      <c r="K27" s="55">
        <v>350.31</v>
      </c>
      <c r="L27" s="55">
        <v>30.89</v>
      </c>
      <c r="M27" s="55">
        <v>47.49</v>
      </c>
      <c r="N27" s="55">
        <v>53.40</v>
      </c>
      <c r="O27" s="55">
        <v>0</v>
      </c>
      <c r="P27" s="55">
        <v>0.47</v>
      </c>
      <c r="Q27" s="55">
        <v>9.49</v>
      </c>
      <c r="R27" s="43"/>
      <c r="S27" s="43"/>
      <c r="T27" s="43"/>
      <c r="U27" s="43"/>
    </row>
    <row r="28" spans="1:21" s="11" customFormat="1" ht="15">
      <c r="A28" s="54" t="s">
        <v>345</v>
      </c>
      <c r="B28" s="55">
        <v>8.25</v>
      </c>
      <c r="C28" s="55">
        <v>3.29</v>
      </c>
      <c r="D28" s="55">
        <v>12.11</v>
      </c>
      <c r="E28" s="55">
        <v>4.75</v>
      </c>
      <c r="F28" s="55">
        <v>4.9400000000000004</v>
      </c>
      <c r="G28" s="55">
        <v>100.5</v>
      </c>
      <c r="H28" s="55">
        <v>37.67</v>
      </c>
      <c r="I28" s="55">
        <v>6.57</v>
      </c>
      <c r="J28" s="55">
        <v>1.64</v>
      </c>
      <c r="K28" s="55">
        <v>163.18</v>
      </c>
      <c r="L28" s="55">
        <v>30.81</v>
      </c>
      <c r="M28" s="55">
        <v>50.48</v>
      </c>
      <c r="N28" s="55">
        <v>20.20</v>
      </c>
      <c r="O28" s="55">
        <v>0</v>
      </c>
      <c r="P28" s="55">
        <v>0.49</v>
      </c>
      <c r="Q28" s="55">
        <v>9.49</v>
      </c>
      <c r="R28" s="43"/>
      <c r="S28" s="43"/>
      <c r="T28" s="43"/>
      <c r="U28" s="43"/>
    </row>
    <row r="29" spans="1:21" s="11" customFormat="1" ht="15">
      <c r="A29" s="54" t="s">
        <v>346</v>
      </c>
      <c r="B29" s="55">
        <v>8.48</v>
      </c>
      <c r="C29" s="55">
        <v>4.5599999999999996</v>
      </c>
      <c r="D29" s="55">
        <v>12.96</v>
      </c>
      <c r="E29" s="55">
        <v>5.07</v>
      </c>
      <c r="F29" s="55">
        <v>5.84</v>
      </c>
      <c r="G29" s="55">
        <v>95.40</v>
      </c>
      <c r="H29" s="55">
        <v>37.67</v>
      </c>
      <c r="I29" s="55">
        <v>7.09</v>
      </c>
      <c r="J29" s="55">
        <v>1.70</v>
      </c>
      <c r="K29" s="55">
        <v>196.85</v>
      </c>
      <c r="L29" s="55">
        <v>29.5</v>
      </c>
      <c r="M29" s="55">
        <v>55.07</v>
      </c>
      <c r="N29" s="55">
        <v>20.399999999999999</v>
      </c>
      <c r="O29" s="55">
        <v>0</v>
      </c>
      <c r="P29" s="55">
        <v>0.48</v>
      </c>
      <c r="Q29" s="55">
        <v>9.57</v>
      </c>
      <c r="R29" s="43"/>
      <c r="S29" s="43"/>
      <c r="T29" s="43"/>
      <c r="U29" s="43"/>
    </row>
    <row r="30" spans="1:21" s="11" customFormat="1" ht="15">
      <c r="A30" s="54" t="s">
        <v>347</v>
      </c>
      <c r="B30" s="55">
        <v>8.5</v>
      </c>
      <c r="C30" s="55">
        <v>4.38</v>
      </c>
      <c r="D30" s="55">
        <v>12.87</v>
      </c>
      <c r="E30" s="55">
        <v>5.0599999999999996</v>
      </c>
      <c r="F30" s="55">
        <v>5.74</v>
      </c>
      <c r="G30" s="55">
        <v>84.43</v>
      </c>
      <c r="H30" s="55">
        <v>33.57</v>
      </c>
      <c r="I30" s="55">
        <v>6.80</v>
      </c>
      <c r="J30" s="55">
        <v>3.03</v>
      </c>
      <c r="K30" s="55">
        <v>155.88999999999999</v>
      </c>
      <c r="L30" s="55">
        <v>28.62</v>
      </c>
      <c r="M30" s="55">
        <v>61.40</v>
      </c>
      <c r="N30" s="55">
        <v>20.70</v>
      </c>
      <c r="O30" s="55">
        <v>0</v>
      </c>
      <c r="P30" s="55">
        <v>0.45</v>
      </c>
      <c r="Q30" s="55">
        <v>9.5500000000000007</v>
      </c>
      <c r="R30" s="43"/>
      <c r="S30" s="43"/>
      <c r="T30" s="43"/>
      <c r="U30" s="43"/>
    </row>
    <row r="31" spans="1:21" s="11" customFormat="1" ht="15">
      <c r="A31" s="54" t="s">
        <v>348</v>
      </c>
      <c r="B31" s="55">
        <v>8.23</v>
      </c>
      <c r="C31" s="55">
        <v>3.37</v>
      </c>
      <c r="D31" s="55">
        <v>12.13</v>
      </c>
      <c r="E31" s="55">
        <v>4.88</v>
      </c>
      <c r="F31" s="55">
        <v>6</v>
      </c>
      <c r="G31" s="55">
        <v>73.22</v>
      </c>
      <c r="H31" s="55">
        <v>33.29</v>
      </c>
      <c r="I31" s="55">
        <v>6.09</v>
      </c>
      <c r="J31" s="55">
        <v>2.29</v>
      </c>
      <c r="K31" s="55">
        <v>173.01</v>
      </c>
      <c r="L31" s="55">
        <v>27.40</v>
      </c>
      <c r="M31" s="55">
        <v>62.86</v>
      </c>
      <c r="N31" s="55">
        <v>20.100000000000001</v>
      </c>
      <c r="O31" s="55">
        <v>0</v>
      </c>
      <c r="P31" s="55">
        <v>0.39</v>
      </c>
      <c r="Q31" s="55">
        <v>9.51</v>
      </c>
      <c r="R31" s="43"/>
      <c r="S31" s="43"/>
      <c r="T31" s="43"/>
      <c r="U31" s="43"/>
    </row>
    <row r="32" spans="1:21" s="11" customFormat="1" ht="15">
      <c r="A32" s="54" t="s">
        <v>349</v>
      </c>
      <c r="B32" s="55">
        <v>8.5</v>
      </c>
      <c r="C32" s="55">
        <v>4.2300000000000004</v>
      </c>
      <c r="D32" s="55">
        <v>12.81</v>
      </c>
      <c r="E32" s="55">
        <v>4.91</v>
      </c>
      <c r="F32" s="55">
        <v>4.92</v>
      </c>
      <c r="G32" s="55">
        <v>61.01</v>
      </c>
      <c r="H32" s="55">
        <v>33.29</v>
      </c>
      <c r="I32" s="55">
        <v>5.41</v>
      </c>
      <c r="J32" s="55">
        <v>2.09</v>
      </c>
      <c r="K32" s="55">
        <v>196.62</v>
      </c>
      <c r="L32" s="55">
        <v>27.11</v>
      </c>
      <c r="M32" s="55">
        <v>63.63</v>
      </c>
      <c r="N32" s="55">
        <v>19.80</v>
      </c>
      <c r="O32" s="55">
        <v>0</v>
      </c>
      <c r="P32" s="55">
        <v>0.32</v>
      </c>
      <c r="Q32" s="55">
        <v>9.4700000000000006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8.1999999999999993</v>
      </c>
      <c r="C34" s="28">
        <f t="shared" si="0"/>
        <v>3.29</v>
      </c>
      <c r="D34" s="28">
        <f t="shared" si="0"/>
        <v>12.109999999999999</v>
      </c>
      <c r="E34" s="28">
        <f t="shared" si="0"/>
        <v>3.5099999999999998</v>
      </c>
      <c r="F34" s="28">
        <f t="shared" si="0"/>
        <v>3.6400000000000001</v>
      </c>
      <c r="G34" s="28">
        <f t="shared" si="0"/>
        <v>61.009999999999998</v>
      </c>
      <c r="H34" s="28">
        <f t="shared" si="0"/>
        <v>23.940000000000001</v>
      </c>
      <c r="I34" s="28">
        <f t="shared" si="0"/>
        <v>3.5499999999999998</v>
      </c>
      <c r="J34" s="28">
        <f t="shared" si="0"/>
        <v>0.41999999999999998</v>
      </c>
      <c r="K34" s="28">
        <f t="shared" si="0"/>
        <v>29.059999999999999</v>
      </c>
      <c r="L34" s="28">
        <f t="shared" si="0"/>
        <v>27.039999999999999</v>
      </c>
      <c r="M34" s="28">
        <f t="shared" si="0"/>
        <v>25.43</v>
      </c>
      <c r="N34" s="28">
        <f t="shared" si="0"/>
        <v>18.199999999999999</v>
      </c>
      <c r="O34" s="28">
        <f t="shared" si="0"/>
        <v>0</v>
      </c>
      <c r="P34" s="28">
        <f t="shared" si="0"/>
        <v>0.32000000000000001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8.8499999999999996</v>
      </c>
      <c r="C35" s="29">
        <f t="shared" si="1"/>
        <v>4.9800000000000004</v>
      </c>
      <c r="D35" s="29">
        <f t="shared" si="1"/>
        <v>13.359999999999999</v>
      </c>
      <c r="E35" s="29">
        <f t="shared" si="1"/>
        <v>5.4400000000000004</v>
      </c>
      <c r="F35" s="29">
        <f t="shared" si="1"/>
        <v>7.7000000000000002</v>
      </c>
      <c r="G35" s="29">
        <f t="shared" si="1"/>
        <v>141.94999999999999</v>
      </c>
      <c r="H35" s="29">
        <f t="shared" si="1"/>
        <v>56.289999999999999</v>
      </c>
      <c r="I35" s="29">
        <f t="shared" si="1"/>
        <v>7.2599999999999998</v>
      </c>
      <c r="J35" s="29">
        <f t="shared" si="1"/>
        <v>3.3300000000000001</v>
      </c>
      <c r="K35" s="29">
        <f t="shared" si="1"/>
        <v>357.20999999999998</v>
      </c>
      <c r="L35" s="29">
        <f t="shared" si="1"/>
        <v>41.299999999999997</v>
      </c>
      <c r="M35" s="29">
        <f t="shared" si="1"/>
        <v>65.959999999999994</v>
      </c>
      <c r="N35" s="29">
        <f t="shared" si="1"/>
        <v>868.10000000000002</v>
      </c>
      <c r="O35" s="29">
        <f t="shared" si="1"/>
        <v>0</v>
      </c>
      <c r="P35" s="29">
        <f t="shared" si="1"/>
        <v>0.72999999999999998</v>
      </c>
      <c r="Q35" s="29">
        <f t="shared" si="1"/>
        <v>9.6600000000000001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8.4579166666666659</v>
      </c>
      <c r="C36" s="28">
        <f t="shared" si="2"/>
        <v>4.2058333333333335</v>
      </c>
      <c r="D36" s="28">
        <f t="shared" si="2"/>
        <v>12.753333333333336</v>
      </c>
      <c r="E36" s="28">
        <f t="shared" si="2"/>
        <v>4.4437500000000005</v>
      </c>
      <c r="F36" s="28">
        <f t="shared" si="2"/>
        <v>5.6595833333333312</v>
      </c>
      <c r="G36" s="28">
        <f t="shared" si="2"/>
        <v>100.01083333333337</v>
      </c>
      <c r="H36" s="28">
        <f t="shared" si="2"/>
        <v>37.133333333333333</v>
      </c>
      <c r="I36" s="28">
        <f t="shared" si="2"/>
        <v>5.6808333333333323</v>
      </c>
      <c r="J36" s="28">
        <f t="shared" si="2"/>
        <v>1.4862500000000001</v>
      </c>
      <c r="K36" s="28">
        <f t="shared" si="2"/>
        <v>286.62250000000012</v>
      </c>
      <c r="L36" s="28">
        <f t="shared" si="2"/>
        <v>32.724583333333335</v>
      </c>
      <c r="M36" s="28">
        <f t="shared" si="2"/>
        <v>49.696249999999999</v>
      </c>
      <c r="N36" s="28">
        <f t="shared" si="2"/>
        <v>279.05833333333334</v>
      </c>
      <c r="O36" s="28">
        <f t="shared" si="2"/>
        <v>0</v>
      </c>
      <c r="P36" s="28">
        <f t="shared" si="2"/>
        <v>0.50250000000000017</v>
      </c>
      <c r="Q36" s="28">
        <f t="shared" si="2"/>
        <v>9.5241666666666678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0.14003040560093527</v>
      </c>
      <c r="C37" s="28">
        <f t="shared" si="3" ref="C37:Q37">STDEV(C9:C32)</f>
        <v>0.47982711258433497</v>
      </c>
      <c r="D37" s="28">
        <f t="shared" si="3"/>
        <v>0.34759630090920807</v>
      </c>
      <c r="E37" s="28">
        <f t="shared" si="3"/>
        <v>0.58857094803393051</v>
      </c>
      <c r="F37" s="28">
        <f t="shared" si="3"/>
        <v>1.2788666149527093</v>
      </c>
      <c r="G37" s="28">
        <f t="shared" si="3"/>
        <v>25.523061169249868</v>
      </c>
      <c r="H37" s="28">
        <f t="shared" si="3"/>
        <v>8.3403777761726836</v>
      </c>
      <c r="I37" s="28">
        <f t="shared" si="3"/>
        <v>1.2073107617189254</v>
      </c>
      <c r="J37" s="28">
        <f t="shared" si="3"/>
        <v>0.77717332015787655</v>
      </c>
      <c r="K37" s="28">
        <f t="shared" si="3"/>
        <v>91.799298863003727</v>
      </c>
      <c r="L37" s="28">
        <f t="shared" si="3"/>
        <v>5.3351369968691715</v>
      </c>
      <c r="M37" s="28">
        <f t="shared" si="3"/>
        <v>14.321030996557024</v>
      </c>
      <c r="N37" s="28">
        <f t="shared" si="3"/>
        <v>332.21259552158529</v>
      </c>
      <c r="O37" s="28">
        <f t="shared" si="3"/>
        <v>0</v>
      </c>
      <c r="P37" s="28">
        <f t="shared" si="3"/>
        <v>0.086288192552126816</v>
      </c>
      <c r="Q37" s="28">
        <f t="shared" si="3"/>
        <v>0.071012348385251958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c87fd08-fc78-426e-9129-b683a3bb9f80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350</v>
      </c>
      <c r="B9" s="55">
        <v>8.2899999999999991</v>
      </c>
      <c r="C9" s="55">
        <v>3.27</v>
      </c>
      <c r="D9" s="55">
        <v>12.13</v>
      </c>
      <c r="E9" s="55">
        <v>4.5999999999999996</v>
      </c>
      <c r="F9" s="55">
        <v>6.68</v>
      </c>
      <c r="G9" s="55">
        <v>56.24</v>
      </c>
      <c r="H9" s="55">
        <v>26.27</v>
      </c>
      <c r="I9" s="55">
        <v>5.36</v>
      </c>
      <c r="J9" s="55">
        <v>0.54</v>
      </c>
      <c r="K9" s="55">
        <v>294.92</v>
      </c>
      <c r="L9" s="55">
        <v>27.37</v>
      </c>
      <c r="M9" s="55">
        <v>59.39</v>
      </c>
      <c r="N9" s="55">
        <v>19.600000000000001</v>
      </c>
      <c r="O9" s="55">
        <v>0</v>
      </c>
      <c r="P9" s="55">
        <v>0.28999999999999998</v>
      </c>
      <c r="Q9" s="55">
        <v>9.4700000000000006</v>
      </c>
      <c r="R9" s="43"/>
      <c r="S9" s="43"/>
      <c r="T9" s="43"/>
      <c r="U9" s="43"/>
    </row>
    <row r="10" spans="1:21" s="11" customFormat="1" ht="15">
      <c r="A10" s="54" t="s">
        <v>351</v>
      </c>
      <c r="B10" s="55">
        <v>8.5</v>
      </c>
      <c r="C10" s="55">
        <v>4.1500000000000004</v>
      </c>
      <c r="D10" s="55">
        <v>12.76</v>
      </c>
      <c r="E10" s="55">
        <v>4.55</v>
      </c>
      <c r="F10" s="55">
        <v>9.36</v>
      </c>
      <c r="G10" s="55">
        <v>44.08</v>
      </c>
      <c r="H10" s="55">
        <v>20.49</v>
      </c>
      <c r="I10" s="55">
        <v>4.75</v>
      </c>
      <c r="J10" s="55">
        <v>0.70</v>
      </c>
      <c r="K10" s="55">
        <v>31.70</v>
      </c>
      <c r="L10" s="55">
        <v>27.22</v>
      </c>
      <c r="M10" s="55">
        <v>62.27</v>
      </c>
      <c r="N10" s="55">
        <v>19.80</v>
      </c>
      <c r="O10" s="55">
        <v>0</v>
      </c>
      <c r="P10" s="55">
        <v>0.23</v>
      </c>
      <c r="Q10" s="55">
        <v>9.48</v>
      </c>
      <c r="R10" s="43"/>
      <c r="S10" s="43"/>
      <c r="T10" s="43"/>
      <c r="U10" s="43"/>
    </row>
    <row r="11" spans="1:21" s="11" customFormat="1" ht="15">
      <c r="A11" s="54" t="s">
        <v>352</v>
      </c>
      <c r="B11" s="55">
        <v>8.40</v>
      </c>
      <c r="C11" s="55">
        <v>3.90</v>
      </c>
      <c r="D11" s="55">
        <v>12.55</v>
      </c>
      <c r="E11" s="55">
        <v>4.74</v>
      </c>
      <c r="F11" s="55">
        <v>10.59</v>
      </c>
      <c r="G11" s="55">
        <v>38.69</v>
      </c>
      <c r="H11" s="55">
        <v>18.149999999999999</v>
      </c>
      <c r="I11" s="55">
        <v>2.88</v>
      </c>
      <c r="J11" s="55">
        <v>0.80</v>
      </c>
      <c r="K11" s="55">
        <v>31.73</v>
      </c>
      <c r="L11" s="55">
        <v>27.11</v>
      </c>
      <c r="M11" s="55">
        <v>61.38</v>
      </c>
      <c r="N11" s="55">
        <v>20</v>
      </c>
      <c r="O11" s="55">
        <v>0</v>
      </c>
      <c r="P11" s="55">
        <v>0.20</v>
      </c>
      <c r="Q11" s="55">
        <v>9.4600000000000009</v>
      </c>
      <c r="R11" s="43"/>
      <c r="S11" s="43"/>
      <c r="T11" s="43"/>
      <c r="U11" s="43"/>
    </row>
    <row r="12" spans="1:21" s="11" customFormat="1" ht="15">
      <c r="A12" s="54" t="s">
        <v>353</v>
      </c>
      <c r="B12" s="55">
        <v>8.27</v>
      </c>
      <c r="C12" s="55">
        <v>3.46</v>
      </c>
      <c r="D12" s="55">
        <v>12.22</v>
      </c>
      <c r="E12" s="55">
        <v>4.70</v>
      </c>
      <c r="F12" s="55">
        <v>9.66</v>
      </c>
      <c r="G12" s="55">
        <v>35.46</v>
      </c>
      <c r="H12" s="55">
        <v>18.149999999999999</v>
      </c>
      <c r="I12" s="55">
        <v>1.82</v>
      </c>
      <c r="J12" s="55">
        <v>0.75</v>
      </c>
      <c r="K12" s="55">
        <v>26.98</v>
      </c>
      <c r="L12" s="55">
        <v>26.84</v>
      </c>
      <c r="M12" s="55">
        <v>61.52</v>
      </c>
      <c r="N12" s="55">
        <v>20</v>
      </c>
      <c r="O12" s="55">
        <v>0</v>
      </c>
      <c r="P12" s="55">
        <v>0.17</v>
      </c>
      <c r="Q12" s="55">
        <v>9.41</v>
      </c>
      <c r="R12" s="43"/>
      <c r="S12" s="43"/>
      <c r="T12" s="43"/>
      <c r="U12" s="43"/>
    </row>
    <row r="13" spans="1:21" s="11" customFormat="1" ht="15">
      <c r="A13" s="54" t="s">
        <v>354</v>
      </c>
      <c r="B13" s="55">
        <v>8.4700000000000006</v>
      </c>
      <c r="C13" s="55">
        <v>4</v>
      </c>
      <c r="D13" s="55">
        <v>12.65</v>
      </c>
      <c r="E13" s="55">
        <v>4.49</v>
      </c>
      <c r="F13" s="55">
        <v>13.57</v>
      </c>
      <c r="G13" s="55">
        <v>31.45</v>
      </c>
      <c r="H13" s="55">
        <v>16.53</v>
      </c>
      <c r="I13" s="55">
        <v>1.36</v>
      </c>
      <c r="J13" s="55">
        <v>0.84</v>
      </c>
      <c r="K13" s="55">
        <v>355.59</v>
      </c>
      <c r="L13" s="55">
        <v>26.37</v>
      </c>
      <c r="M13" s="55">
        <v>72.25</v>
      </c>
      <c r="N13" s="55">
        <v>20.5</v>
      </c>
      <c r="O13" s="55">
        <v>0</v>
      </c>
      <c r="P13" s="55">
        <v>0.18</v>
      </c>
      <c r="Q13" s="55">
        <v>9.35</v>
      </c>
      <c r="R13" s="43"/>
      <c r="S13" s="43"/>
      <c r="T13" s="43"/>
      <c r="U13" s="43"/>
    </row>
    <row r="14" spans="1:21" s="11" customFormat="1" ht="15">
      <c r="A14" s="54" t="s">
        <v>355</v>
      </c>
      <c r="B14" s="55">
        <v>8.25</v>
      </c>
      <c r="C14" s="55">
        <v>3.37</v>
      </c>
      <c r="D14" s="55">
        <v>12.15</v>
      </c>
      <c r="E14" s="55">
        <v>4.71</v>
      </c>
      <c r="F14" s="55">
        <v>8.14</v>
      </c>
      <c r="G14" s="55">
        <v>37.299999999999997</v>
      </c>
      <c r="H14" s="55">
        <v>17.09</v>
      </c>
      <c r="I14" s="55">
        <v>2.2999999999999998</v>
      </c>
      <c r="J14" s="55">
        <v>0.68</v>
      </c>
      <c r="K14" s="55">
        <v>348.68</v>
      </c>
      <c r="L14" s="55">
        <v>25.69</v>
      </c>
      <c r="M14" s="55">
        <v>73.13</v>
      </c>
      <c r="N14" s="55">
        <v>74.70</v>
      </c>
      <c r="O14" s="55">
        <v>0</v>
      </c>
      <c r="P14" s="55">
        <v>0.39</v>
      </c>
      <c r="Q14" s="55">
        <v>9.4499999999999993</v>
      </c>
      <c r="R14" s="43"/>
      <c r="S14" s="43"/>
      <c r="T14" s="43"/>
      <c r="U14" s="43"/>
    </row>
    <row r="15" spans="1:21" s="11" customFormat="1" ht="15">
      <c r="A15" s="54" t="s">
        <v>356</v>
      </c>
      <c r="B15" s="55">
        <v>8.35</v>
      </c>
      <c r="C15" s="55">
        <v>3.80</v>
      </c>
      <c r="D15" s="55">
        <v>12.45</v>
      </c>
      <c r="E15" s="55">
        <v>4.45</v>
      </c>
      <c r="F15" s="55">
        <v>7.05</v>
      </c>
      <c r="G15" s="55">
        <v>37.89</v>
      </c>
      <c r="H15" s="55">
        <v>17.09</v>
      </c>
      <c r="I15" s="55">
        <v>2.40</v>
      </c>
      <c r="J15" s="55">
        <v>0.64</v>
      </c>
      <c r="K15" s="55">
        <v>359.75</v>
      </c>
      <c r="L15" s="55">
        <v>26.43</v>
      </c>
      <c r="M15" s="55">
        <v>70.13</v>
      </c>
      <c r="N15" s="55">
        <v>132.60</v>
      </c>
      <c r="O15" s="55">
        <v>0</v>
      </c>
      <c r="P15" s="55">
        <v>0.5</v>
      </c>
      <c r="Q15" s="55">
        <v>9.4499999999999993</v>
      </c>
      <c r="R15" s="43"/>
      <c r="S15" s="43"/>
      <c r="T15" s="43"/>
      <c r="U15" s="43"/>
    </row>
    <row r="16" spans="1:21" s="11" customFormat="1" ht="15">
      <c r="A16" s="54" t="s">
        <v>357</v>
      </c>
      <c r="B16" s="55">
        <v>8.42</v>
      </c>
      <c r="C16" s="55">
        <v>4.1500000000000004</v>
      </c>
      <c r="D16" s="55">
        <v>12.69</v>
      </c>
      <c r="E16" s="55">
        <v>4.25</v>
      </c>
      <c r="F16" s="55">
        <v>7.05</v>
      </c>
      <c r="G16" s="55">
        <v>51.94</v>
      </c>
      <c r="H16" s="55">
        <v>19.89</v>
      </c>
      <c r="I16" s="55">
        <v>3.51</v>
      </c>
      <c r="J16" s="55">
        <v>1.29</v>
      </c>
      <c r="K16" s="55">
        <v>350.57</v>
      </c>
      <c r="L16" s="55">
        <v>30.17</v>
      </c>
      <c r="M16" s="55">
        <v>63.34</v>
      </c>
      <c r="N16" s="55">
        <v>356.70</v>
      </c>
      <c r="O16" s="55">
        <v>0</v>
      </c>
      <c r="P16" s="55">
        <v>0.60</v>
      </c>
      <c r="Q16" s="55">
        <v>9.4600000000000009</v>
      </c>
      <c r="R16" s="43"/>
      <c r="S16" s="43"/>
      <c r="T16" s="43"/>
      <c r="U16" s="43"/>
    </row>
    <row r="17" spans="1:21" s="11" customFormat="1" ht="15">
      <c r="A17" s="54" t="s">
        <v>358</v>
      </c>
      <c r="B17" s="55">
        <v>8.2100000000000009</v>
      </c>
      <c r="C17" s="55">
        <v>3.24</v>
      </c>
      <c r="D17" s="55">
        <v>12.05</v>
      </c>
      <c r="E17" s="55">
        <v>4.72</v>
      </c>
      <c r="F17" s="55">
        <v>6.98</v>
      </c>
      <c r="G17" s="55">
        <v>51.94</v>
      </c>
      <c r="H17" s="55">
        <v>19.89</v>
      </c>
      <c r="I17" s="55">
        <v>3.38</v>
      </c>
      <c r="J17" s="55">
        <v>1.1100000000000001</v>
      </c>
      <c r="K17" s="55">
        <v>343.90</v>
      </c>
      <c r="L17" s="55">
        <v>33.270000000000003</v>
      </c>
      <c r="M17" s="55">
        <v>50.90</v>
      </c>
      <c r="N17" s="55">
        <v>575.79999999999995</v>
      </c>
      <c r="O17" s="55">
        <v>0</v>
      </c>
      <c r="P17" s="55">
        <v>0.5</v>
      </c>
      <c r="Q17" s="55">
        <v>9.40</v>
      </c>
      <c r="R17" s="43"/>
      <c r="S17" s="43"/>
      <c r="T17" s="43"/>
      <c r="U17" s="43"/>
    </row>
    <row r="18" spans="1:21" s="11" customFormat="1" ht="15">
      <c r="A18" s="54" t="s">
        <v>359</v>
      </c>
      <c r="B18" s="55">
        <v>8.4600000000000009</v>
      </c>
      <c r="C18" s="55">
        <v>4</v>
      </c>
      <c r="D18" s="55">
        <v>12.65</v>
      </c>
      <c r="E18" s="55">
        <v>4.9400000000000004</v>
      </c>
      <c r="F18" s="55">
        <v>6.60</v>
      </c>
      <c r="G18" s="55">
        <v>46.11</v>
      </c>
      <c r="H18" s="55">
        <v>23.59</v>
      </c>
      <c r="I18" s="55">
        <v>2.80</v>
      </c>
      <c r="J18" s="55">
        <v>1.04</v>
      </c>
      <c r="K18" s="55">
        <v>335.08</v>
      </c>
      <c r="L18" s="55">
        <v>36.17</v>
      </c>
      <c r="M18" s="55">
        <v>41.97</v>
      </c>
      <c r="N18" s="55">
        <v>737</v>
      </c>
      <c r="O18" s="55">
        <v>0</v>
      </c>
      <c r="P18" s="55">
        <v>0.43</v>
      </c>
      <c r="Q18" s="55">
        <v>9.3800000000000008</v>
      </c>
      <c r="R18" s="43"/>
      <c r="S18" s="43"/>
      <c r="T18" s="43"/>
      <c r="U18" s="43"/>
    </row>
    <row r="19" spans="1:21" s="11" customFormat="1" ht="15">
      <c r="A19" s="54" t="s">
        <v>360</v>
      </c>
      <c r="B19" s="55">
        <v>8.1999999999999993</v>
      </c>
      <c r="C19" s="55">
        <v>3.22</v>
      </c>
      <c r="D19" s="55">
        <v>12.03</v>
      </c>
      <c r="E19" s="55">
        <v>4.88</v>
      </c>
      <c r="F19" s="55">
        <v>7.73</v>
      </c>
      <c r="G19" s="55">
        <v>45.37</v>
      </c>
      <c r="H19" s="55">
        <v>23.88</v>
      </c>
      <c r="I19" s="55">
        <v>2.67</v>
      </c>
      <c r="J19" s="55">
        <v>1.66</v>
      </c>
      <c r="K19" s="55">
        <v>317.45</v>
      </c>
      <c r="L19" s="55">
        <v>37.950000000000003</v>
      </c>
      <c r="M19" s="55">
        <v>37.049999999999997</v>
      </c>
      <c r="N19" s="55">
        <v>832.60</v>
      </c>
      <c r="O19" s="55">
        <v>0</v>
      </c>
      <c r="P19" s="55">
        <v>0.44</v>
      </c>
      <c r="Q19" s="55">
        <v>9.4499999999999993</v>
      </c>
      <c r="R19" s="43"/>
      <c r="S19" s="43"/>
      <c r="T19" s="43"/>
      <c r="U19" s="43"/>
    </row>
    <row r="20" spans="1:21" s="11" customFormat="1" ht="15">
      <c r="A20" s="54" t="s">
        <v>361</v>
      </c>
      <c r="B20" s="55">
        <v>8.49</v>
      </c>
      <c r="C20" s="55">
        <v>4.18</v>
      </c>
      <c r="D20" s="55">
        <v>12.77</v>
      </c>
      <c r="E20" s="55">
        <v>4.93</v>
      </c>
      <c r="F20" s="55">
        <v>7.88</v>
      </c>
      <c r="G20" s="55">
        <v>50.65</v>
      </c>
      <c r="H20" s="55">
        <v>26.35</v>
      </c>
      <c r="I20" s="55">
        <v>2.48</v>
      </c>
      <c r="J20" s="55">
        <v>1.61</v>
      </c>
      <c r="K20" s="55">
        <v>334.11</v>
      </c>
      <c r="L20" s="55">
        <v>38.54</v>
      </c>
      <c r="M20" s="55">
        <v>34.60</v>
      </c>
      <c r="N20" s="55">
        <v>847.70</v>
      </c>
      <c r="O20" s="55">
        <v>0</v>
      </c>
      <c r="P20" s="55">
        <v>0.45</v>
      </c>
      <c r="Q20" s="55">
        <v>9.4499999999999993</v>
      </c>
      <c r="R20" s="43"/>
      <c r="S20" s="43"/>
      <c r="T20" s="43"/>
      <c r="U20" s="43"/>
    </row>
    <row r="21" spans="1:21" s="11" customFormat="1" ht="15">
      <c r="A21" s="54" t="s">
        <v>362</v>
      </c>
      <c r="B21" s="55">
        <v>8.4600000000000009</v>
      </c>
      <c r="C21" s="55">
        <v>4.1100000000000003</v>
      </c>
      <c r="D21" s="55">
        <v>12.71</v>
      </c>
      <c r="E21" s="55">
        <v>4.4000000000000004</v>
      </c>
      <c r="F21" s="55">
        <v>7.83</v>
      </c>
      <c r="G21" s="55">
        <v>59.47</v>
      </c>
      <c r="H21" s="55">
        <v>26.35</v>
      </c>
      <c r="I21" s="55">
        <v>2.16</v>
      </c>
      <c r="J21" s="55">
        <v>1.52</v>
      </c>
      <c r="K21" s="55">
        <v>353.82</v>
      </c>
      <c r="L21" s="55">
        <v>39.729999999999997</v>
      </c>
      <c r="M21" s="55">
        <v>34.22</v>
      </c>
      <c r="N21" s="55">
        <v>833.90</v>
      </c>
      <c r="O21" s="55">
        <v>0</v>
      </c>
      <c r="P21" s="55">
        <v>0.45</v>
      </c>
      <c r="Q21" s="55">
        <v>9.43</v>
      </c>
      <c r="R21" s="43"/>
      <c r="S21" s="43"/>
      <c r="T21" s="43"/>
      <c r="U21" s="43"/>
    </row>
    <row r="22" spans="1:21" s="11" customFormat="1" ht="15">
      <c r="A22" s="54" t="s">
        <v>363</v>
      </c>
      <c r="B22" s="55">
        <v>8.4600000000000009</v>
      </c>
      <c r="C22" s="55">
        <v>4.1100000000000003</v>
      </c>
      <c r="D22" s="55">
        <v>12.71</v>
      </c>
      <c r="E22" s="55">
        <v>4.09</v>
      </c>
      <c r="F22" s="55">
        <v>7.05</v>
      </c>
      <c r="G22" s="55">
        <v>59.47</v>
      </c>
      <c r="H22" s="55">
        <v>23.99</v>
      </c>
      <c r="I22" s="55">
        <v>2.10</v>
      </c>
      <c r="J22" s="55">
        <v>1.52</v>
      </c>
      <c r="K22" s="55">
        <v>331.54</v>
      </c>
      <c r="L22" s="55">
        <v>39.729999999999997</v>
      </c>
      <c r="M22" s="55">
        <v>28.13</v>
      </c>
      <c r="N22" s="55">
        <v>804.40</v>
      </c>
      <c r="O22" s="55">
        <v>0</v>
      </c>
      <c r="P22" s="55">
        <v>0.43</v>
      </c>
      <c r="Q22" s="55">
        <v>9.43</v>
      </c>
      <c r="R22" s="43"/>
      <c r="S22" s="43"/>
      <c r="T22" s="43"/>
      <c r="U22" s="43"/>
    </row>
    <row r="23" spans="1:21" s="11" customFormat="1" ht="15">
      <c r="A23" s="54" t="s">
        <v>364</v>
      </c>
      <c r="B23" s="55">
        <v>8.6999999999999993</v>
      </c>
      <c r="C23" s="55">
        <v>4.82</v>
      </c>
      <c r="D23" s="55">
        <v>13.26</v>
      </c>
      <c r="E23" s="55">
        <v>4.37</v>
      </c>
      <c r="F23" s="55">
        <v>5.20</v>
      </c>
      <c r="G23" s="55">
        <v>61.59</v>
      </c>
      <c r="H23" s="55">
        <v>31.36</v>
      </c>
      <c r="I23" s="55">
        <v>3.36</v>
      </c>
      <c r="J23" s="55">
        <v>1.57</v>
      </c>
      <c r="K23" s="55">
        <v>343.48</v>
      </c>
      <c r="L23" s="55">
        <v>40.15</v>
      </c>
      <c r="M23" s="55">
        <v>27.57</v>
      </c>
      <c r="N23" s="55">
        <v>682.40</v>
      </c>
      <c r="O23" s="55">
        <v>0</v>
      </c>
      <c r="P23" s="55">
        <v>0.49</v>
      </c>
      <c r="Q23" s="55">
        <v>9.56</v>
      </c>
      <c r="R23" s="43"/>
      <c r="S23" s="43"/>
      <c r="T23" s="43"/>
      <c r="U23" s="43"/>
    </row>
    <row r="24" spans="1:21" s="11" customFormat="1" ht="15">
      <c r="A24" s="54" t="s">
        <v>365</v>
      </c>
      <c r="B24" s="55">
        <v>8.36</v>
      </c>
      <c r="C24" s="55">
        <v>4.24</v>
      </c>
      <c r="D24" s="55">
        <v>12.69</v>
      </c>
      <c r="E24" s="55">
        <v>4.70</v>
      </c>
      <c r="F24" s="55">
        <v>5.44</v>
      </c>
      <c r="G24" s="55">
        <v>69.52</v>
      </c>
      <c r="H24" s="55">
        <v>31.36</v>
      </c>
      <c r="I24" s="55">
        <v>3.74</v>
      </c>
      <c r="J24" s="55">
        <v>1.25</v>
      </c>
      <c r="K24" s="55">
        <v>345.80</v>
      </c>
      <c r="L24" s="55">
        <v>38.340000000000003</v>
      </c>
      <c r="M24" s="55">
        <v>27.79</v>
      </c>
      <c r="N24" s="55">
        <v>243.90</v>
      </c>
      <c r="O24" s="55">
        <v>0</v>
      </c>
      <c r="P24" s="55">
        <v>0.49</v>
      </c>
      <c r="Q24" s="55">
        <v>9.5299999999999994</v>
      </c>
      <c r="R24" s="43"/>
      <c r="S24" s="43"/>
      <c r="T24" s="43"/>
      <c r="U24" s="43"/>
    </row>
    <row r="25" spans="1:21" s="11" customFormat="1" ht="15">
      <c r="A25" s="54" t="s">
        <v>366</v>
      </c>
      <c r="B25" s="55">
        <v>8.26</v>
      </c>
      <c r="C25" s="55">
        <v>3.59</v>
      </c>
      <c r="D25" s="55">
        <v>12.27</v>
      </c>
      <c r="E25" s="55">
        <v>4.33</v>
      </c>
      <c r="F25" s="55">
        <v>6.16</v>
      </c>
      <c r="G25" s="55">
        <v>73.03</v>
      </c>
      <c r="H25" s="55">
        <v>27.17</v>
      </c>
      <c r="I25" s="55">
        <v>4.07</v>
      </c>
      <c r="J25" s="55">
        <v>1.76</v>
      </c>
      <c r="K25" s="55">
        <v>334.95</v>
      </c>
      <c r="L25" s="55">
        <v>37.46</v>
      </c>
      <c r="M25" s="55">
        <v>32.43</v>
      </c>
      <c r="N25" s="55">
        <v>151</v>
      </c>
      <c r="O25" s="55">
        <v>0</v>
      </c>
      <c r="P25" s="55">
        <v>0.48</v>
      </c>
      <c r="Q25" s="55">
        <v>9.44</v>
      </c>
      <c r="R25" s="43"/>
      <c r="S25" s="43"/>
      <c r="T25" s="43"/>
      <c r="U25" s="43"/>
    </row>
    <row r="26" spans="1:21" s="11" customFormat="1" ht="15">
      <c r="A26" s="54" t="s">
        <v>367</v>
      </c>
      <c r="B26" s="55">
        <v>8.57</v>
      </c>
      <c r="C26" s="55">
        <v>4.7699999999999996</v>
      </c>
      <c r="D26" s="55">
        <v>13.14</v>
      </c>
      <c r="E26" s="55">
        <v>4.45</v>
      </c>
      <c r="F26" s="55">
        <v>6.55</v>
      </c>
      <c r="G26" s="55">
        <v>82.59</v>
      </c>
      <c r="H26" s="55">
        <v>30.17</v>
      </c>
      <c r="I26" s="55">
        <v>4.1500000000000004</v>
      </c>
      <c r="J26" s="55">
        <v>1.29</v>
      </c>
      <c r="K26" s="55">
        <v>347.15</v>
      </c>
      <c r="L26" s="55">
        <v>34</v>
      </c>
      <c r="M26" s="55">
        <v>40.049999999999997</v>
      </c>
      <c r="N26" s="55">
        <v>91.5</v>
      </c>
      <c r="O26" s="55">
        <v>0</v>
      </c>
      <c r="P26" s="55">
        <v>0.5</v>
      </c>
      <c r="Q26" s="55">
        <v>9.3699999999999992</v>
      </c>
      <c r="R26" s="43"/>
      <c r="S26" s="43"/>
      <c r="T26" s="43"/>
      <c r="U26" s="43"/>
    </row>
    <row r="27" spans="1:21" s="11" customFormat="1" ht="15">
      <c r="A27" s="54" t="s">
        <v>368</v>
      </c>
      <c r="B27" s="55">
        <v>8.39</v>
      </c>
      <c r="C27" s="55">
        <v>4.03</v>
      </c>
      <c r="D27" s="55">
        <v>12.61</v>
      </c>
      <c r="E27" s="55">
        <v>4.53</v>
      </c>
      <c r="F27" s="55">
        <v>6.46</v>
      </c>
      <c r="G27" s="55">
        <v>82.59</v>
      </c>
      <c r="H27" s="55">
        <v>30.17</v>
      </c>
      <c r="I27" s="55">
        <v>4.42</v>
      </c>
      <c r="J27" s="55">
        <v>2.92</v>
      </c>
      <c r="K27" s="55">
        <v>337.17</v>
      </c>
      <c r="L27" s="55">
        <v>32.700000000000003</v>
      </c>
      <c r="M27" s="55">
        <v>46.74</v>
      </c>
      <c r="N27" s="55">
        <v>35.60</v>
      </c>
      <c r="O27" s="55">
        <v>0</v>
      </c>
      <c r="P27" s="55">
        <v>0.54</v>
      </c>
      <c r="Q27" s="55">
        <v>9.42</v>
      </c>
      <c r="R27" s="43"/>
      <c r="S27" s="43"/>
      <c r="T27" s="43"/>
      <c r="U27" s="43"/>
    </row>
    <row r="28" spans="1:21" s="11" customFormat="1" ht="15">
      <c r="A28" s="54" t="s">
        <v>369</v>
      </c>
      <c r="B28" s="55">
        <v>8.31</v>
      </c>
      <c r="C28" s="55">
        <v>3.72</v>
      </c>
      <c r="D28" s="55">
        <v>12.39</v>
      </c>
      <c r="E28" s="55">
        <v>4.3499999999999996</v>
      </c>
      <c r="F28" s="55">
        <v>6.91</v>
      </c>
      <c r="G28" s="55">
        <v>83.40</v>
      </c>
      <c r="H28" s="55">
        <v>31.11</v>
      </c>
      <c r="I28" s="55">
        <v>4.1100000000000003</v>
      </c>
      <c r="J28" s="55">
        <v>2.57</v>
      </c>
      <c r="K28" s="55">
        <v>329.43</v>
      </c>
      <c r="L28" s="55">
        <v>29.60</v>
      </c>
      <c r="M28" s="55">
        <v>50.11</v>
      </c>
      <c r="N28" s="55">
        <v>17.899999999999999</v>
      </c>
      <c r="O28" s="55">
        <v>0</v>
      </c>
      <c r="P28" s="55">
        <v>0.59</v>
      </c>
      <c r="Q28" s="55">
        <v>9.5500000000000007</v>
      </c>
      <c r="R28" s="43"/>
      <c r="S28" s="43"/>
      <c r="T28" s="43"/>
      <c r="U28" s="43"/>
    </row>
    <row r="29" spans="1:21" s="11" customFormat="1" ht="15">
      <c r="A29" s="54" t="s">
        <v>370</v>
      </c>
      <c r="B29" s="55">
        <v>8.3800000000000008</v>
      </c>
      <c r="C29" s="55">
        <v>4.05</v>
      </c>
      <c r="D29" s="55">
        <v>12.61</v>
      </c>
      <c r="E29" s="55">
        <v>3.41</v>
      </c>
      <c r="F29" s="55">
        <v>4.6100000000000003</v>
      </c>
      <c r="G29" s="55">
        <v>83.40</v>
      </c>
      <c r="H29" s="55">
        <v>31.11</v>
      </c>
      <c r="I29" s="55">
        <v>3.72</v>
      </c>
      <c r="J29" s="55">
        <v>1.61</v>
      </c>
      <c r="K29" s="55">
        <v>334.63</v>
      </c>
      <c r="L29" s="55">
        <v>29.90</v>
      </c>
      <c r="M29" s="55">
        <v>50.88</v>
      </c>
      <c r="N29" s="55">
        <v>16.899999999999999</v>
      </c>
      <c r="O29" s="55">
        <v>0</v>
      </c>
      <c r="P29" s="55">
        <v>0.68</v>
      </c>
      <c r="Q29" s="55">
        <v>9.6199999999999992</v>
      </c>
      <c r="R29" s="43"/>
      <c r="S29" s="43"/>
      <c r="T29" s="43"/>
      <c r="U29" s="43"/>
    </row>
    <row r="30" spans="1:21" s="11" customFormat="1" ht="15">
      <c r="A30" s="54" t="s">
        <v>371</v>
      </c>
      <c r="B30" s="55">
        <v>8.18</v>
      </c>
      <c r="C30" s="55">
        <v>3.34</v>
      </c>
      <c r="D30" s="55">
        <v>12.08</v>
      </c>
      <c r="E30" s="55">
        <v>3.57</v>
      </c>
      <c r="F30" s="55">
        <v>5.64</v>
      </c>
      <c r="G30" s="55">
        <v>83.39</v>
      </c>
      <c r="H30" s="55">
        <v>28.05</v>
      </c>
      <c r="I30" s="55">
        <v>3.54</v>
      </c>
      <c r="J30" s="55">
        <v>0.71</v>
      </c>
      <c r="K30" s="55">
        <v>355.48</v>
      </c>
      <c r="L30" s="55">
        <v>29.75</v>
      </c>
      <c r="M30" s="55">
        <v>51.98</v>
      </c>
      <c r="N30" s="55">
        <v>17.20</v>
      </c>
      <c r="O30" s="55">
        <v>0</v>
      </c>
      <c r="P30" s="55">
        <v>0.70</v>
      </c>
      <c r="Q30" s="55">
        <v>9.58</v>
      </c>
      <c r="R30" s="43"/>
      <c r="S30" s="43"/>
      <c r="T30" s="43"/>
      <c r="U30" s="43"/>
    </row>
    <row r="31" spans="1:21" s="11" customFormat="1" ht="15">
      <c r="A31" s="54" t="s">
        <v>372</v>
      </c>
      <c r="B31" s="55">
        <v>8.44</v>
      </c>
      <c r="C31" s="55">
        <v>4.33</v>
      </c>
      <c r="D31" s="55">
        <v>12.81</v>
      </c>
      <c r="E31" s="55">
        <v>3.33</v>
      </c>
      <c r="F31" s="55">
        <v>5.28</v>
      </c>
      <c r="G31" s="55">
        <v>78.72</v>
      </c>
      <c r="H31" s="55">
        <v>27.02</v>
      </c>
      <c r="I31" s="55">
        <v>3.40</v>
      </c>
      <c r="J31" s="55">
        <v>0.62</v>
      </c>
      <c r="K31" s="55">
        <v>349.16</v>
      </c>
      <c r="L31" s="55">
        <v>28.83</v>
      </c>
      <c r="M31" s="55">
        <v>55.84</v>
      </c>
      <c r="N31" s="55">
        <v>17.100000000000001</v>
      </c>
      <c r="O31" s="55">
        <v>0</v>
      </c>
      <c r="P31" s="55">
        <v>0.65</v>
      </c>
      <c r="Q31" s="55">
        <v>9.4700000000000006</v>
      </c>
      <c r="R31" s="43"/>
      <c r="S31" s="43"/>
      <c r="T31" s="43"/>
      <c r="U31" s="43"/>
    </row>
    <row r="32" spans="1:21" s="11" customFormat="1" ht="15">
      <c r="A32" s="54" t="s">
        <v>373</v>
      </c>
      <c r="B32" s="55">
        <v>8.1999999999999993</v>
      </c>
      <c r="C32" s="55">
        <v>3.19</v>
      </c>
      <c r="D32" s="55">
        <v>12.01</v>
      </c>
      <c r="E32" s="55">
        <v>4.21</v>
      </c>
      <c r="F32" s="55">
        <v>5.57</v>
      </c>
      <c r="G32" s="55">
        <v>74.540000000000006</v>
      </c>
      <c r="H32" s="55">
        <v>23.36</v>
      </c>
      <c r="I32" s="55">
        <v>3.56</v>
      </c>
      <c r="J32" s="55">
        <v>0.49</v>
      </c>
      <c r="K32" s="55">
        <v>344.56</v>
      </c>
      <c r="L32" s="55">
        <v>28.43</v>
      </c>
      <c r="M32" s="55">
        <v>70.48</v>
      </c>
      <c r="N32" s="55">
        <v>17</v>
      </c>
      <c r="O32" s="55">
        <v>0</v>
      </c>
      <c r="P32" s="55">
        <v>0.64</v>
      </c>
      <c r="Q32" s="55">
        <v>9.52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3.1899999999999999</v>
      </c>
      <c r="D34" s="28">
        <f t="shared" si="0"/>
        <v>12.01</v>
      </c>
      <c r="E34" s="28">
        <f t="shared" si="0"/>
        <v>3.3300000000000001</v>
      </c>
      <c r="F34" s="28">
        <f t="shared" si="0"/>
        <v>4.6100000000000003</v>
      </c>
      <c r="G34" s="28">
        <f t="shared" si="0"/>
        <v>31.449999999999999</v>
      </c>
      <c r="H34" s="28">
        <f t="shared" si="0"/>
        <v>16.530000000000001</v>
      </c>
      <c r="I34" s="28">
        <f t="shared" si="0"/>
        <v>1.3600000000000001</v>
      </c>
      <c r="J34" s="28">
        <f t="shared" si="0"/>
        <v>0.48999999999999999</v>
      </c>
      <c r="K34" s="28">
        <f t="shared" si="0"/>
        <v>26.98</v>
      </c>
      <c r="L34" s="28">
        <f t="shared" si="0"/>
        <v>25.690000000000001</v>
      </c>
      <c r="M34" s="28">
        <f t="shared" si="0"/>
        <v>27.57</v>
      </c>
      <c r="N34" s="28">
        <f t="shared" si="0"/>
        <v>16.899999999999999</v>
      </c>
      <c r="O34" s="28">
        <f t="shared" si="0"/>
        <v>0</v>
      </c>
      <c r="P34" s="28">
        <f t="shared" si="0"/>
        <v>0.17000000000000001</v>
      </c>
      <c r="Q34" s="28">
        <f t="shared" si="0"/>
        <v>9.3499999999999996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8.6999999999999993</v>
      </c>
      <c r="C35" s="29">
        <f t="shared" si="1"/>
        <v>4.8200000000000003</v>
      </c>
      <c r="D35" s="29">
        <f t="shared" si="1"/>
        <v>13.26</v>
      </c>
      <c r="E35" s="29">
        <f t="shared" si="1"/>
        <v>4.9400000000000004</v>
      </c>
      <c r="F35" s="29">
        <f t="shared" si="1"/>
        <v>13.57</v>
      </c>
      <c r="G35" s="29">
        <f t="shared" si="1"/>
        <v>83.400000000000006</v>
      </c>
      <c r="H35" s="29">
        <f t="shared" si="1"/>
        <v>31.359999999999999</v>
      </c>
      <c r="I35" s="29">
        <f t="shared" si="1"/>
        <v>5.3600000000000003</v>
      </c>
      <c r="J35" s="29">
        <f t="shared" si="1"/>
        <v>2.9199999999999999</v>
      </c>
      <c r="K35" s="29">
        <f t="shared" si="1"/>
        <v>359.75</v>
      </c>
      <c r="L35" s="29">
        <f t="shared" si="1"/>
        <v>40.149999999999999</v>
      </c>
      <c r="M35" s="29">
        <f t="shared" si="1"/>
        <v>73.129999999999995</v>
      </c>
      <c r="N35" s="29">
        <f t="shared" si="1"/>
        <v>847.70000000000005</v>
      </c>
      <c r="O35" s="29">
        <f t="shared" si="1"/>
        <v>0</v>
      </c>
      <c r="P35" s="29">
        <f t="shared" si="1"/>
        <v>0.69999999999999996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8.3758333333333326</v>
      </c>
      <c r="C36" s="28">
        <f t="shared" si="2"/>
        <v>3.8766666666666665</v>
      </c>
      <c r="D36" s="28">
        <f t="shared" si="2"/>
        <v>12.516249999999999</v>
      </c>
      <c r="E36" s="28">
        <f t="shared" si="2"/>
        <v>4.4041666666666659</v>
      </c>
      <c r="F36" s="28">
        <f t="shared" si="2"/>
        <v>7.2495833333333337</v>
      </c>
      <c r="G36" s="28">
        <f t="shared" si="2"/>
        <v>59.11791666666668</v>
      </c>
      <c r="H36" s="28">
        <f t="shared" si="2"/>
        <v>24.524583333333339</v>
      </c>
      <c r="I36" s="28">
        <f t="shared" si="2"/>
        <v>3.2516666666666669</v>
      </c>
      <c r="J36" s="28">
        <f t="shared" si="2"/>
        <v>1.22875</v>
      </c>
      <c r="K36" s="28">
        <f t="shared" si="2"/>
        <v>301.56791666666669</v>
      </c>
      <c r="L36" s="28">
        <f t="shared" si="2"/>
        <v>32.156250000000007</v>
      </c>
      <c r="M36" s="28">
        <f t="shared" si="2"/>
        <v>50.172916666666659</v>
      </c>
      <c r="N36" s="28">
        <f t="shared" si="2"/>
        <v>274.40833333333325</v>
      </c>
      <c r="O36" s="28">
        <f t="shared" si="2"/>
        <v>0</v>
      </c>
      <c r="P36" s="28">
        <f t="shared" si="2"/>
        <v>0.45916666666666672</v>
      </c>
      <c r="Q36" s="28">
        <f t="shared" si="2"/>
        <v>9.4637500000000028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0.13004737152513618</v>
      </c>
      <c r="C37" s="28">
        <f t="shared" si="3" ref="C37:Q37">STDEV(C9:C32)</f>
        <v>0.46472681705788821</v>
      </c>
      <c r="D37" s="28">
        <f t="shared" si="3"/>
        <v>0.34229166942324563</v>
      </c>
      <c r="E37" s="28">
        <f t="shared" si="3"/>
        <v>0.43568952514244214</v>
      </c>
      <c r="F37" s="28">
        <f t="shared" si="3"/>
        <v>1.9805104286448485</v>
      </c>
      <c r="G37" s="28">
        <f t="shared" si="3"/>
        <v>17.738414217434219</v>
      </c>
      <c r="H37" s="28">
        <f t="shared" si="3"/>
        <v>5.0955436448166704</v>
      </c>
      <c r="I37" s="28">
        <f t="shared" si="3"/>
        <v>0.97967459844612614</v>
      </c>
      <c r="J37" s="28">
        <f t="shared" si="3"/>
        <v>0.62252160779679966</v>
      </c>
      <c r="K37" s="28">
        <f t="shared" si="3"/>
        <v>105.69131377986777</v>
      </c>
      <c r="L37" s="28">
        <f t="shared" si="3"/>
        <v>5.0894245104751796</v>
      </c>
      <c r="M37" s="28">
        <f t="shared" si="3"/>
        <v>15.012863608648585</v>
      </c>
      <c r="N37" s="28">
        <f t="shared" si="3"/>
        <v>331.87595235814132</v>
      </c>
      <c r="O37" s="28">
        <f t="shared" si="3"/>
        <v>0</v>
      </c>
      <c r="P37" s="28">
        <f t="shared" si="3"/>
        <v>0.15373372424752629</v>
      </c>
      <c r="Q37" s="28">
        <f t="shared" si="3"/>
        <v>0.067167053258857967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bac2f5-3d79-4443-9789-1a9493664bc3}">
  <sheetPr codeName=""/>
  <dimension ref="A1:U119"/>
  <sheetViews>
    <sheetView zoomScale="85" zoomScaleNormal="85"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374</v>
      </c>
      <c r="B9" s="55">
        <v>8.40</v>
      </c>
      <c r="C9" s="55">
        <v>3.87</v>
      </c>
      <c r="D9" s="55">
        <v>12.53</v>
      </c>
      <c r="E9" s="55">
        <v>3.96</v>
      </c>
      <c r="F9" s="55">
        <v>5.86</v>
      </c>
      <c r="G9" s="55">
        <v>74.14</v>
      </c>
      <c r="H9" s="55">
        <v>57.86</v>
      </c>
      <c r="I9" s="55">
        <v>3.5</v>
      </c>
      <c r="J9" s="55">
        <v>0.5</v>
      </c>
      <c r="K9" s="55">
        <v>213.90</v>
      </c>
      <c r="L9" s="55">
        <v>27.75</v>
      </c>
      <c r="M9" s="55">
        <v>70.05</v>
      </c>
      <c r="N9" s="55">
        <v>17</v>
      </c>
      <c r="O9" s="55">
        <v>0</v>
      </c>
      <c r="P9" s="55">
        <v>0.56999999999999995</v>
      </c>
      <c r="Q9" s="55">
        <v>9.51</v>
      </c>
      <c r="R9" s="43"/>
      <c r="S9" s="43"/>
      <c r="T9" s="43"/>
      <c r="U9" s="43"/>
    </row>
    <row r="10" spans="1:21" s="11" customFormat="1" ht="15">
      <c r="A10" s="54" t="s">
        <v>375</v>
      </c>
      <c r="B10" s="55">
        <v>8.3699999999999992</v>
      </c>
      <c r="C10" s="55">
        <v>3.70</v>
      </c>
      <c r="D10" s="55">
        <v>12.42</v>
      </c>
      <c r="E10" s="55">
        <v>3.82</v>
      </c>
      <c r="F10" s="55">
        <v>6.06</v>
      </c>
      <c r="G10" s="55">
        <v>61.58</v>
      </c>
      <c r="H10" s="55">
        <v>57.86</v>
      </c>
      <c r="I10" s="55">
        <v>3.06</v>
      </c>
      <c r="J10" s="55">
        <v>0.67</v>
      </c>
      <c r="K10" s="55">
        <v>13.67</v>
      </c>
      <c r="L10" s="55">
        <v>27.82</v>
      </c>
      <c r="M10" s="55">
        <v>68.55</v>
      </c>
      <c r="N10" s="55">
        <v>17</v>
      </c>
      <c r="O10" s="55">
        <v>0</v>
      </c>
      <c r="P10" s="55">
        <v>0.41</v>
      </c>
      <c r="Q10" s="55">
        <v>9.4700000000000006</v>
      </c>
      <c r="R10" s="43"/>
      <c r="S10" s="43"/>
      <c r="T10" s="43"/>
      <c r="U10" s="43"/>
    </row>
    <row r="11" spans="1:21" s="11" customFormat="1" ht="15">
      <c r="A11" s="54" t="s">
        <v>376</v>
      </c>
      <c r="B11" s="55">
        <v>8.19</v>
      </c>
      <c r="C11" s="55">
        <v>3.15</v>
      </c>
      <c r="D11" s="55">
        <v>11.99</v>
      </c>
      <c r="E11" s="55">
        <v>4.20</v>
      </c>
      <c r="F11" s="55">
        <v>9.02</v>
      </c>
      <c r="G11" s="55">
        <v>61.36</v>
      </c>
      <c r="H11" s="55">
        <v>54.14</v>
      </c>
      <c r="I11" s="55">
        <v>2.61</v>
      </c>
      <c r="J11" s="55">
        <v>0.70</v>
      </c>
      <c r="K11" s="55">
        <v>26.17</v>
      </c>
      <c r="L11" s="55">
        <v>27.92</v>
      </c>
      <c r="M11" s="55">
        <v>63.21</v>
      </c>
      <c r="N11" s="55">
        <v>17</v>
      </c>
      <c r="O11" s="55">
        <v>0</v>
      </c>
      <c r="P11" s="55">
        <v>0.35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377</v>
      </c>
      <c r="B12" s="55">
        <v>8.25</v>
      </c>
      <c r="C12" s="55">
        <v>3.29</v>
      </c>
      <c r="D12" s="55">
        <v>12.11</v>
      </c>
      <c r="E12" s="55">
        <v>4.09</v>
      </c>
      <c r="F12" s="55">
        <v>10.32</v>
      </c>
      <c r="G12" s="55">
        <v>56.56</v>
      </c>
      <c r="H12" s="55">
        <v>35.96</v>
      </c>
      <c r="I12" s="55">
        <v>2.16</v>
      </c>
      <c r="J12" s="55">
        <v>0.69</v>
      </c>
      <c r="K12" s="55">
        <v>24</v>
      </c>
      <c r="L12" s="55">
        <v>27.78</v>
      </c>
      <c r="M12" s="55">
        <v>68.099999999999994</v>
      </c>
      <c r="N12" s="55">
        <v>17.100000000000001</v>
      </c>
      <c r="O12" s="55">
        <v>0</v>
      </c>
      <c r="P12" s="55">
        <v>0.27</v>
      </c>
      <c r="Q12" s="55">
        <v>9.3699999999999992</v>
      </c>
      <c r="R12" s="43"/>
      <c r="S12" s="43"/>
      <c r="T12" s="43"/>
      <c r="U12" s="43"/>
    </row>
    <row r="13" spans="1:21" s="11" customFormat="1" ht="15">
      <c r="A13" s="54" t="s">
        <v>378</v>
      </c>
      <c r="B13" s="55">
        <v>8.4600000000000009</v>
      </c>
      <c r="C13" s="55">
        <v>3.87</v>
      </c>
      <c r="D13" s="55">
        <v>12.58</v>
      </c>
      <c r="E13" s="55">
        <v>4.6900000000000004</v>
      </c>
      <c r="F13" s="55">
        <v>8.43</v>
      </c>
      <c r="G13" s="55">
        <v>60.17</v>
      </c>
      <c r="H13" s="55">
        <v>35.96</v>
      </c>
      <c r="I13" s="55">
        <v>1.63</v>
      </c>
      <c r="J13" s="55">
        <v>0.65</v>
      </c>
      <c r="K13" s="55">
        <v>21.06</v>
      </c>
      <c r="L13" s="55">
        <v>27.38</v>
      </c>
      <c r="M13" s="55">
        <v>71.19</v>
      </c>
      <c r="N13" s="55">
        <v>17.100000000000001</v>
      </c>
      <c r="O13" s="55">
        <v>0</v>
      </c>
      <c r="P13" s="55">
        <v>0.25</v>
      </c>
      <c r="Q13" s="55">
        <v>9.43</v>
      </c>
      <c r="R13" s="43"/>
      <c r="S13" s="43"/>
      <c r="T13" s="43"/>
      <c r="U13" s="43"/>
    </row>
    <row r="14" spans="1:21" s="11" customFormat="1" ht="15">
      <c r="A14" s="54" t="s">
        <v>379</v>
      </c>
      <c r="B14" s="55">
        <v>8.42</v>
      </c>
      <c r="C14" s="55">
        <v>4.0599999999999996</v>
      </c>
      <c r="D14" s="55">
        <v>12.64</v>
      </c>
      <c r="E14" s="55">
        <v>4.55</v>
      </c>
      <c r="F14" s="55">
        <v>5.48</v>
      </c>
      <c r="G14" s="55">
        <v>60.17</v>
      </c>
      <c r="H14" s="55">
        <v>25.21</v>
      </c>
      <c r="I14" s="55">
        <v>1.58</v>
      </c>
      <c r="J14" s="55">
        <v>0.65</v>
      </c>
      <c r="K14" s="55">
        <v>20.14</v>
      </c>
      <c r="L14" s="55">
        <v>27.17</v>
      </c>
      <c r="M14" s="55">
        <v>72.64</v>
      </c>
      <c r="N14" s="55">
        <v>33</v>
      </c>
      <c r="O14" s="55">
        <v>0</v>
      </c>
      <c r="P14" s="55">
        <v>0.26</v>
      </c>
      <c r="Q14" s="55">
        <v>9.42</v>
      </c>
      <c r="R14" s="43"/>
      <c r="S14" s="43"/>
      <c r="T14" s="43"/>
      <c r="U14" s="43"/>
    </row>
    <row r="15" spans="1:21" s="11" customFormat="1" ht="15">
      <c r="A15" s="54" t="s">
        <v>380</v>
      </c>
      <c r="B15" s="55">
        <v>8.16</v>
      </c>
      <c r="C15" s="55">
        <v>3.21</v>
      </c>
      <c r="D15" s="55">
        <v>11.99</v>
      </c>
      <c r="E15" s="55">
        <v>4.45</v>
      </c>
      <c r="F15" s="55">
        <v>5.0999999999999996</v>
      </c>
      <c r="G15" s="55">
        <v>55.12</v>
      </c>
      <c r="H15" s="55">
        <v>28.77</v>
      </c>
      <c r="I15" s="55">
        <v>1.71</v>
      </c>
      <c r="J15" s="55">
        <v>0.56999999999999995</v>
      </c>
      <c r="K15" s="55">
        <v>22.65</v>
      </c>
      <c r="L15" s="55">
        <v>28</v>
      </c>
      <c r="M15" s="55">
        <v>72.97</v>
      </c>
      <c r="N15" s="55">
        <v>158.5</v>
      </c>
      <c r="O15" s="55">
        <v>0</v>
      </c>
      <c r="P15" s="55">
        <v>0.28000000000000003</v>
      </c>
      <c r="Q15" s="55">
        <v>9.41</v>
      </c>
      <c r="R15" s="43"/>
      <c r="S15" s="43"/>
      <c r="T15" s="43"/>
      <c r="U15" s="43"/>
    </row>
    <row r="16" spans="1:21" s="11" customFormat="1" ht="15">
      <c r="A16" s="54" t="s">
        <v>381</v>
      </c>
      <c r="B16" s="55">
        <v>8.3000000000000007</v>
      </c>
      <c r="C16" s="55">
        <v>3.5</v>
      </c>
      <c r="D16" s="55">
        <v>12.26</v>
      </c>
      <c r="E16" s="55">
        <v>4.47</v>
      </c>
      <c r="F16" s="55">
        <v>4.32</v>
      </c>
      <c r="G16" s="55">
        <v>59.79</v>
      </c>
      <c r="H16" s="55">
        <v>28.77</v>
      </c>
      <c r="I16" s="55">
        <v>2.12</v>
      </c>
      <c r="J16" s="55">
        <v>0.64</v>
      </c>
      <c r="K16" s="55">
        <v>338.86</v>
      </c>
      <c r="L16" s="55">
        <v>29.39</v>
      </c>
      <c r="M16" s="55">
        <v>69.66</v>
      </c>
      <c r="N16" s="55">
        <v>184.80</v>
      </c>
      <c r="O16" s="55">
        <v>0</v>
      </c>
      <c r="P16" s="55">
        <v>0.46</v>
      </c>
      <c r="Q16" s="55">
        <v>9.3800000000000008</v>
      </c>
      <c r="R16" s="43"/>
      <c r="S16" s="43"/>
      <c r="T16" s="43"/>
      <c r="U16" s="43"/>
    </row>
    <row r="17" spans="1:21" s="11" customFormat="1" ht="15">
      <c r="A17" s="54" t="s">
        <v>382</v>
      </c>
      <c r="B17" s="55">
        <v>8.2200000000000006</v>
      </c>
      <c r="C17" s="55">
        <v>3.24</v>
      </c>
      <c r="D17" s="55">
        <v>12.06</v>
      </c>
      <c r="E17" s="55">
        <v>4.0999999999999996</v>
      </c>
      <c r="F17" s="55">
        <v>4.49</v>
      </c>
      <c r="G17" s="55">
        <v>76.30</v>
      </c>
      <c r="H17" s="55">
        <v>41.44</v>
      </c>
      <c r="I17" s="55">
        <v>3.74</v>
      </c>
      <c r="J17" s="55">
        <v>0.60</v>
      </c>
      <c r="K17" s="55">
        <v>352.17</v>
      </c>
      <c r="L17" s="55">
        <v>30.45</v>
      </c>
      <c r="M17" s="55">
        <v>65.09</v>
      </c>
      <c r="N17" s="55">
        <v>347.70</v>
      </c>
      <c r="O17" s="55">
        <v>0</v>
      </c>
      <c r="P17" s="55">
        <v>0.66</v>
      </c>
      <c r="Q17" s="55">
        <v>9.42</v>
      </c>
      <c r="R17" s="43"/>
      <c r="S17" s="43"/>
      <c r="T17" s="43"/>
      <c r="U17" s="43"/>
    </row>
    <row r="18" spans="1:21" s="11" customFormat="1" ht="15">
      <c r="A18" s="54" t="s">
        <v>383</v>
      </c>
      <c r="B18" s="55">
        <v>8.4700000000000006</v>
      </c>
      <c r="C18" s="55">
        <v>4.4000000000000004</v>
      </c>
      <c r="D18" s="55">
        <v>12.86</v>
      </c>
      <c r="E18" s="55">
        <v>4.09</v>
      </c>
      <c r="F18" s="55">
        <v>6.46</v>
      </c>
      <c r="G18" s="55">
        <v>85.63</v>
      </c>
      <c r="H18" s="55">
        <v>41.87</v>
      </c>
      <c r="I18" s="55">
        <v>4.5999999999999996</v>
      </c>
      <c r="J18" s="55">
        <v>0.79</v>
      </c>
      <c r="K18" s="55">
        <v>346.56</v>
      </c>
      <c r="L18" s="55">
        <v>34.130000000000003</v>
      </c>
      <c r="M18" s="55">
        <v>57.98</v>
      </c>
      <c r="N18" s="55">
        <v>747.20</v>
      </c>
      <c r="O18" s="55">
        <v>0</v>
      </c>
      <c r="P18" s="55">
        <v>0.73</v>
      </c>
      <c r="Q18" s="55">
        <v>9.5</v>
      </c>
      <c r="R18" s="43"/>
      <c r="S18" s="43"/>
      <c r="T18" s="43"/>
      <c r="U18" s="43"/>
    </row>
    <row r="19" spans="1:21" s="11" customFormat="1" ht="15">
      <c r="A19" s="54" t="s">
        <v>384</v>
      </c>
      <c r="B19" s="55">
        <v>8.24</v>
      </c>
      <c r="C19" s="55">
        <v>3.45</v>
      </c>
      <c r="D19" s="55">
        <v>12.18</v>
      </c>
      <c r="E19" s="55">
        <v>4.18</v>
      </c>
      <c r="F19" s="55">
        <v>8.92</v>
      </c>
      <c r="G19" s="55">
        <v>85.63</v>
      </c>
      <c r="H19" s="55">
        <v>41.87</v>
      </c>
      <c r="I19" s="55">
        <v>4.5199999999999996</v>
      </c>
      <c r="J19" s="55">
        <v>0.61</v>
      </c>
      <c r="K19" s="55">
        <v>22.28</v>
      </c>
      <c r="L19" s="55">
        <v>34.33</v>
      </c>
      <c r="M19" s="55">
        <v>46.56</v>
      </c>
      <c r="N19" s="55">
        <v>833.40</v>
      </c>
      <c r="O19" s="55">
        <v>0</v>
      </c>
      <c r="P19" s="55">
        <v>0.68</v>
      </c>
      <c r="Q19" s="55">
        <v>9.4600000000000009</v>
      </c>
      <c r="R19" s="43"/>
      <c r="S19" s="43"/>
      <c r="T19" s="43"/>
      <c r="U19" s="43"/>
    </row>
    <row r="20" spans="1:21" s="11" customFormat="1" ht="15">
      <c r="A20" s="54" t="s">
        <v>385</v>
      </c>
      <c r="B20" s="55">
        <v>8.39</v>
      </c>
      <c r="C20" s="55">
        <v>4.16</v>
      </c>
      <c r="D20" s="55">
        <v>12.68</v>
      </c>
      <c r="E20" s="55">
        <v>4.54</v>
      </c>
      <c r="F20" s="55">
        <v>9.77</v>
      </c>
      <c r="G20" s="55">
        <v>77.099999999999994</v>
      </c>
      <c r="H20" s="55">
        <v>37.130000000000003</v>
      </c>
      <c r="I20" s="55">
        <v>3.73</v>
      </c>
      <c r="J20" s="55">
        <v>0.72</v>
      </c>
      <c r="K20" s="55">
        <v>355.02</v>
      </c>
      <c r="L20" s="55">
        <v>35.86</v>
      </c>
      <c r="M20" s="55">
        <v>42.87</v>
      </c>
      <c r="N20" s="55">
        <v>637.60</v>
      </c>
      <c r="O20" s="55">
        <v>0</v>
      </c>
      <c r="P20" s="55">
        <v>0.60</v>
      </c>
      <c r="Q20" s="55">
        <v>9.39</v>
      </c>
      <c r="R20" s="43"/>
      <c r="S20" s="43"/>
      <c r="T20" s="43"/>
      <c r="U20" s="43"/>
    </row>
    <row r="21" spans="1:21" s="11" customFormat="1" ht="15">
      <c r="A21" s="54" t="s">
        <v>386</v>
      </c>
      <c r="B21" s="55">
        <v>8.1999999999999993</v>
      </c>
      <c r="C21" s="55">
        <v>3.24</v>
      </c>
      <c r="D21" s="55">
        <v>12.05</v>
      </c>
      <c r="E21" s="55">
        <v>4.54</v>
      </c>
      <c r="F21" s="55">
        <v>8.4499999999999993</v>
      </c>
      <c r="G21" s="55">
        <v>77.05</v>
      </c>
      <c r="H21" s="55">
        <v>37.10</v>
      </c>
      <c r="I21" s="55">
        <v>3.30</v>
      </c>
      <c r="J21" s="55">
        <v>0.96</v>
      </c>
      <c r="K21" s="55">
        <v>335.96</v>
      </c>
      <c r="L21" s="55">
        <v>35.75</v>
      </c>
      <c r="M21" s="55">
        <v>38.64</v>
      </c>
      <c r="N21" s="55">
        <v>317.80</v>
      </c>
      <c r="O21" s="55">
        <v>0</v>
      </c>
      <c r="P21" s="55">
        <v>0.59</v>
      </c>
      <c r="Q21" s="55">
        <v>9.36</v>
      </c>
      <c r="R21" s="43"/>
      <c r="S21" s="43"/>
      <c r="T21" s="43"/>
      <c r="U21" s="43"/>
    </row>
    <row r="22" spans="1:21" s="11" customFormat="1" ht="15">
      <c r="A22" s="54" t="s">
        <v>387</v>
      </c>
      <c r="B22" s="55">
        <v>8.3699999999999992</v>
      </c>
      <c r="C22" s="55">
        <v>3.74</v>
      </c>
      <c r="D22" s="55">
        <v>12.44</v>
      </c>
      <c r="E22" s="55">
        <v>4.37</v>
      </c>
      <c r="F22" s="55">
        <v>7.91</v>
      </c>
      <c r="G22" s="55">
        <v>77.05</v>
      </c>
      <c r="H22" s="55">
        <v>36.880000000000003</v>
      </c>
      <c r="I22" s="55">
        <v>3.08</v>
      </c>
      <c r="J22" s="55">
        <v>0.81</v>
      </c>
      <c r="K22" s="55">
        <v>354.74</v>
      </c>
      <c r="L22" s="55">
        <v>37.39</v>
      </c>
      <c r="M22" s="55">
        <v>38.01</v>
      </c>
      <c r="N22" s="55">
        <v>395</v>
      </c>
      <c r="O22" s="55">
        <v>0</v>
      </c>
      <c r="P22" s="55">
        <v>0.53</v>
      </c>
      <c r="Q22" s="55">
        <v>9.4499999999999993</v>
      </c>
      <c r="R22" s="43"/>
      <c r="S22" s="43"/>
      <c r="T22" s="43"/>
      <c r="U22" s="43"/>
    </row>
    <row r="23" spans="1:21" s="11" customFormat="1" ht="15">
      <c r="A23" s="54" t="s">
        <v>388</v>
      </c>
      <c r="B23" s="55">
        <v>8.3800000000000008</v>
      </c>
      <c r="C23" s="55">
        <v>4.13</v>
      </c>
      <c r="D23" s="55">
        <v>12.65</v>
      </c>
      <c r="E23" s="55">
        <v>4.6100000000000003</v>
      </c>
      <c r="F23" s="55">
        <v>7.54</v>
      </c>
      <c r="G23" s="55">
        <v>73.760000000000005</v>
      </c>
      <c r="H23" s="55">
        <v>38.909999999999997</v>
      </c>
      <c r="I23" s="55">
        <v>3.14</v>
      </c>
      <c r="J23" s="55">
        <v>0.62</v>
      </c>
      <c r="K23" s="55">
        <v>330.44</v>
      </c>
      <c r="L23" s="55">
        <v>37.29</v>
      </c>
      <c r="M23" s="55">
        <v>32.94</v>
      </c>
      <c r="N23" s="55">
        <v>382.90</v>
      </c>
      <c r="O23" s="55">
        <v>0</v>
      </c>
      <c r="P23" s="55">
        <v>0.51</v>
      </c>
      <c r="Q23" s="55">
        <v>9.44</v>
      </c>
      <c r="R23" s="43"/>
      <c r="S23" s="43"/>
      <c r="T23" s="43"/>
      <c r="U23" s="43"/>
    </row>
    <row r="24" spans="1:21" s="11" customFormat="1" ht="15">
      <c r="A24" s="54" t="s">
        <v>389</v>
      </c>
      <c r="B24" s="55">
        <v>8.17</v>
      </c>
      <c r="C24" s="55">
        <v>3.26</v>
      </c>
      <c r="D24" s="55">
        <v>12.03</v>
      </c>
      <c r="E24" s="55">
        <v>4.42</v>
      </c>
      <c r="F24" s="55">
        <v>8.9499999999999993</v>
      </c>
      <c r="G24" s="55">
        <v>73.760000000000005</v>
      </c>
      <c r="H24" s="55">
        <v>38.909999999999997</v>
      </c>
      <c r="I24" s="55">
        <v>2.94</v>
      </c>
      <c r="J24" s="55">
        <v>0.64</v>
      </c>
      <c r="K24" s="55">
        <v>349.60</v>
      </c>
      <c r="L24" s="55">
        <v>37.03</v>
      </c>
      <c r="M24" s="55">
        <v>31.77</v>
      </c>
      <c r="N24" s="55">
        <v>304</v>
      </c>
      <c r="O24" s="55">
        <v>0</v>
      </c>
      <c r="P24" s="55">
        <v>0.47</v>
      </c>
      <c r="Q24" s="55">
        <v>9.40</v>
      </c>
      <c r="R24" s="43"/>
      <c r="S24" s="43"/>
      <c r="T24" s="43"/>
      <c r="U24" s="43"/>
    </row>
    <row r="25" spans="1:21" s="11" customFormat="1" ht="15">
      <c r="A25" s="54" t="s">
        <v>390</v>
      </c>
      <c r="B25" s="55">
        <v>8.41</v>
      </c>
      <c r="C25" s="55">
        <v>4.25</v>
      </c>
      <c r="D25" s="55">
        <v>12.74</v>
      </c>
      <c r="E25" s="55">
        <v>4.22</v>
      </c>
      <c r="F25" s="55">
        <v>9.73</v>
      </c>
      <c r="G25" s="55">
        <v>70.09</v>
      </c>
      <c r="H25" s="55">
        <v>40.369999999999997</v>
      </c>
      <c r="I25" s="55">
        <v>2.61</v>
      </c>
      <c r="J25" s="55">
        <v>0.74</v>
      </c>
      <c r="K25" s="55">
        <v>332</v>
      </c>
      <c r="L25" s="55">
        <v>36.770000000000003</v>
      </c>
      <c r="M25" s="55">
        <v>33.020000000000003</v>
      </c>
      <c r="N25" s="55">
        <v>144.40</v>
      </c>
      <c r="O25" s="55">
        <v>0</v>
      </c>
      <c r="P25" s="55">
        <v>0.43</v>
      </c>
      <c r="Q25" s="55">
        <v>9.39</v>
      </c>
      <c r="R25" s="43"/>
      <c r="S25" s="43"/>
      <c r="T25" s="43"/>
      <c r="U25" s="43"/>
    </row>
    <row r="26" spans="1:21" s="11" customFormat="1" ht="15">
      <c r="A26" s="54" t="s">
        <v>391</v>
      </c>
      <c r="B26" s="55">
        <v>8.15</v>
      </c>
      <c r="C26" s="55">
        <v>3.18</v>
      </c>
      <c r="D26" s="55">
        <v>11.97</v>
      </c>
      <c r="E26" s="55">
        <v>4.04</v>
      </c>
      <c r="F26" s="55">
        <v>8.74</v>
      </c>
      <c r="G26" s="55">
        <v>66.59</v>
      </c>
      <c r="H26" s="55">
        <v>40.369999999999997</v>
      </c>
      <c r="I26" s="55">
        <v>2.42</v>
      </c>
      <c r="J26" s="55">
        <v>0.72</v>
      </c>
      <c r="K26" s="55">
        <v>17.27</v>
      </c>
      <c r="L26" s="55">
        <v>35.659999999999997</v>
      </c>
      <c r="M26" s="55">
        <v>33.630000000000003</v>
      </c>
      <c r="N26" s="55">
        <v>92.5</v>
      </c>
      <c r="O26" s="55">
        <v>0</v>
      </c>
      <c r="P26" s="55">
        <v>0.42</v>
      </c>
      <c r="Q26" s="55">
        <v>9.35</v>
      </c>
      <c r="R26" s="43"/>
      <c r="S26" s="43"/>
      <c r="T26" s="43"/>
      <c r="U26" s="43"/>
    </row>
    <row r="27" spans="1:21" s="11" customFormat="1" ht="15">
      <c r="A27" s="54" t="s">
        <v>392</v>
      </c>
      <c r="B27" s="55">
        <v>8.3699999999999992</v>
      </c>
      <c r="C27" s="55">
        <v>4.18</v>
      </c>
      <c r="D27" s="55">
        <v>12.67</v>
      </c>
      <c r="E27" s="55">
        <v>4.1500000000000004</v>
      </c>
      <c r="F27" s="55">
        <v>7.55</v>
      </c>
      <c r="G27" s="55">
        <v>68.67</v>
      </c>
      <c r="H27" s="55">
        <v>36.979999999999997</v>
      </c>
      <c r="I27" s="55">
        <v>2.48</v>
      </c>
      <c r="J27" s="55">
        <v>0.68</v>
      </c>
      <c r="K27" s="55">
        <v>339.36</v>
      </c>
      <c r="L27" s="55">
        <v>34.71</v>
      </c>
      <c r="M27" s="55">
        <v>36.409999999999997</v>
      </c>
      <c r="N27" s="55">
        <v>38.5</v>
      </c>
      <c r="O27" s="55">
        <v>0</v>
      </c>
      <c r="P27" s="55">
        <v>0.49</v>
      </c>
      <c r="Q27" s="55">
        <v>9.4700000000000006</v>
      </c>
      <c r="R27" s="43"/>
      <c r="S27" s="43"/>
      <c r="T27" s="43"/>
      <c r="U27" s="43"/>
    </row>
    <row r="28" spans="1:21" s="11" customFormat="1" ht="15">
      <c r="A28" s="54" t="s">
        <v>393</v>
      </c>
      <c r="B28" s="55">
        <v>8.40</v>
      </c>
      <c r="C28" s="55">
        <v>4.2300000000000004</v>
      </c>
      <c r="D28" s="55">
        <v>12.72</v>
      </c>
      <c r="E28" s="55">
        <v>3.72</v>
      </c>
      <c r="F28" s="55">
        <v>5.64</v>
      </c>
      <c r="G28" s="55">
        <v>70.44</v>
      </c>
      <c r="H28" s="55">
        <v>36.979999999999997</v>
      </c>
      <c r="I28" s="55">
        <v>2.77</v>
      </c>
      <c r="J28" s="55">
        <v>0.64</v>
      </c>
      <c r="K28" s="55">
        <v>343.39</v>
      </c>
      <c r="L28" s="55">
        <v>33.58</v>
      </c>
      <c r="M28" s="55">
        <v>42.53</v>
      </c>
      <c r="N28" s="55">
        <v>17.70</v>
      </c>
      <c r="O28" s="55">
        <v>0</v>
      </c>
      <c r="P28" s="55">
        <v>0.69</v>
      </c>
      <c r="Q28" s="55">
        <v>9.5399999999999991</v>
      </c>
      <c r="R28" s="43"/>
      <c r="S28" s="43"/>
      <c r="T28" s="43"/>
      <c r="U28" s="43"/>
    </row>
    <row r="29" spans="1:21" s="11" customFormat="1" ht="15">
      <c r="A29" s="54" t="s">
        <v>394</v>
      </c>
      <c r="B29" s="55">
        <v>8.2899999999999991</v>
      </c>
      <c r="C29" s="55">
        <v>3.75</v>
      </c>
      <c r="D29" s="55">
        <v>12.38</v>
      </c>
      <c r="E29" s="55">
        <v>3.84</v>
      </c>
      <c r="F29" s="55">
        <v>4.5</v>
      </c>
      <c r="G29" s="55">
        <v>90.57</v>
      </c>
      <c r="H29" s="55">
        <v>35.200000000000003</v>
      </c>
      <c r="I29" s="55">
        <v>3.84</v>
      </c>
      <c r="J29" s="55">
        <v>0.77</v>
      </c>
      <c r="K29" s="55">
        <v>216.13</v>
      </c>
      <c r="L29" s="55">
        <v>32.840000000000003</v>
      </c>
      <c r="M29" s="55">
        <v>40.79</v>
      </c>
      <c r="N29" s="55">
        <v>17.399999999999999</v>
      </c>
      <c r="O29" s="55">
        <v>0</v>
      </c>
      <c r="P29" s="55">
        <v>0.75</v>
      </c>
      <c r="Q29" s="55">
        <v>9.57</v>
      </c>
      <c r="R29" s="43"/>
      <c r="S29" s="43"/>
      <c r="T29" s="43"/>
      <c r="U29" s="43"/>
    </row>
    <row r="30" spans="1:21" s="11" customFormat="1" ht="15">
      <c r="A30" s="54" t="s">
        <v>395</v>
      </c>
      <c r="B30" s="55">
        <v>8.40</v>
      </c>
      <c r="C30" s="55">
        <v>3.94</v>
      </c>
      <c r="D30" s="55">
        <v>12.56</v>
      </c>
      <c r="E30" s="55">
        <v>3.65</v>
      </c>
      <c r="F30" s="55">
        <v>4.66</v>
      </c>
      <c r="G30" s="55">
        <v>90.57</v>
      </c>
      <c r="H30" s="55">
        <v>34.47</v>
      </c>
      <c r="I30" s="55">
        <v>5.1100000000000003</v>
      </c>
      <c r="J30" s="55">
        <v>1.28</v>
      </c>
      <c r="K30" s="55">
        <v>191.87</v>
      </c>
      <c r="L30" s="55">
        <v>31.72</v>
      </c>
      <c r="M30" s="55">
        <v>46.84</v>
      </c>
      <c r="N30" s="55">
        <v>17.5</v>
      </c>
      <c r="O30" s="55">
        <v>0</v>
      </c>
      <c r="P30" s="55">
        <v>0.71</v>
      </c>
      <c r="Q30" s="55">
        <v>9.4600000000000009</v>
      </c>
      <c r="R30" s="43"/>
      <c r="S30" s="43"/>
      <c r="T30" s="43"/>
      <c r="U30" s="43"/>
    </row>
    <row r="31" spans="1:21" s="11" customFormat="1" ht="15">
      <c r="A31" s="54" t="s">
        <v>396</v>
      </c>
      <c r="B31" s="55">
        <v>8.43</v>
      </c>
      <c r="C31" s="55">
        <v>4.09</v>
      </c>
      <c r="D31" s="55">
        <v>12.67</v>
      </c>
      <c r="E31" s="55">
        <v>3.53</v>
      </c>
      <c r="F31" s="55">
        <v>4.43</v>
      </c>
      <c r="G31" s="55">
        <v>82.53</v>
      </c>
      <c r="H31" s="55">
        <v>34.47</v>
      </c>
      <c r="I31" s="55">
        <v>6.73</v>
      </c>
      <c r="J31" s="55">
        <v>0.84</v>
      </c>
      <c r="K31" s="55">
        <v>197.32</v>
      </c>
      <c r="L31" s="55">
        <v>30.64</v>
      </c>
      <c r="M31" s="55">
        <v>51.61</v>
      </c>
      <c r="N31" s="55">
        <v>18.5</v>
      </c>
      <c r="O31" s="55">
        <v>0</v>
      </c>
      <c r="P31" s="55">
        <v>0.65</v>
      </c>
      <c r="Q31" s="55">
        <v>9.5</v>
      </c>
      <c r="R31" s="43"/>
      <c r="S31" s="43"/>
      <c r="T31" s="43"/>
      <c r="U31" s="43"/>
    </row>
    <row r="32" spans="1:21" s="11" customFormat="1" ht="15">
      <c r="A32" s="54" t="s">
        <v>397</v>
      </c>
      <c r="B32" s="55">
        <v>8.2200000000000006</v>
      </c>
      <c r="C32" s="55">
        <v>3.27</v>
      </c>
      <c r="D32" s="55">
        <v>12.07</v>
      </c>
      <c r="E32" s="55">
        <v>3.61</v>
      </c>
      <c r="F32" s="55">
        <v>4.76</v>
      </c>
      <c r="G32" s="55">
        <v>80.86</v>
      </c>
      <c r="H32" s="55">
        <v>33.17</v>
      </c>
      <c r="I32" s="55">
        <v>6.72</v>
      </c>
      <c r="J32" s="55">
        <v>1.62</v>
      </c>
      <c r="K32" s="55">
        <v>159.69</v>
      </c>
      <c r="L32" s="55">
        <v>30.33</v>
      </c>
      <c r="M32" s="55">
        <v>54.87</v>
      </c>
      <c r="N32" s="55">
        <v>17.600000000000001</v>
      </c>
      <c r="O32" s="55">
        <v>0</v>
      </c>
      <c r="P32" s="55">
        <v>0.56999999999999995</v>
      </c>
      <c r="Q32" s="55">
        <v>9.5500000000000007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8.1500000000000004</v>
      </c>
      <c r="C34" s="28">
        <f t="shared" si="0"/>
        <v>3.1499999999999999</v>
      </c>
      <c r="D34" s="28">
        <f t="shared" si="0"/>
        <v>11.970000000000001</v>
      </c>
      <c r="E34" s="28">
        <f t="shared" si="0"/>
        <v>3.5299999999999998</v>
      </c>
      <c r="F34" s="28">
        <f t="shared" si="0"/>
        <v>4.3200000000000003</v>
      </c>
      <c r="G34" s="28">
        <f t="shared" si="0"/>
        <v>55.119999999999997</v>
      </c>
      <c r="H34" s="28">
        <f t="shared" si="0"/>
        <v>25.210000000000001</v>
      </c>
      <c r="I34" s="28">
        <f t="shared" si="0"/>
        <v>1.5800000000000001</v>
      </c>
      <c r="J34" s="28">
        <f t="shared" si="0"/>
        <v>0.5</v>
      </c>
      <c r="K34" s="28">
        <f t="shared" si="0"/>
        <v>13.67</v>
      </c>
      <c r="L34" s="28">
        <f t="shared" si="0"/>
        <v>27.170000000000002</v>
      </c>
      <c r="M34" s="28">
        <f t="shared" si="0"/>
        <v>31.77</v>
      </c>
      <c r="N34" s="28">
        <f t="shared" si="0"/>
        <v>17</v>
      </c>
      <c r="O34" s="28">
        <f t="shared" si="0"/>
        <v>0</v>
      </c>
      <c r="P34" s="28">
        <f t="shared" si="0"/>
        <v>0.25</v>
      </c>
      <c r="Q34" s="28">
        <f t="shared" si="0"/>
        <v>9.3499999999999996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8.4700000000000006</v>
      </c>
      <c r="C35" s="29">
        <f t="shared" si="1"/>
        <v>4.4000000000000004</v>
      </c>
      <c r="D35" s="29">
        <f t="shared" si="1"/>
        <v>12.859999999999999</v>
      </c>
      <c r="E35" s="29">
        <f t="shared" si="1"/>
        <v>4.6900000000000004</v>
      </c>
      <c r="F35" s="29">
        <f t="shared" si="1"/>
        <v>10.32</v>
      </c>
      <c r="G35" s="29">
        <f t="shared" si="1"/>
        <v>90.569999999999993</v>
      </c>
      <c r="H35" s="29">
        <f t="shared" si="1"/>
        <v>57.859999999999999</v>
      </c>
      <c r="I35" s="29">
        <f t="shared" si="1"/>
        <v>6.7300000000000004</v>
      </c>
      <c r="J35" s="29">
        <f t="shared" si="1"/>
        <v>1.6200000000000001</v>
      </c>
      <c r="K35" s="29">
        <f t="shared" si="1"/>
        <v>355.01999999999998</v>
      </c>
      <c r="L35" s="29">
        <f t="shared" si="1"/>
        <v>37.390000000000001</v>
      </c>
      <c r="M35" s="29">
        <f t="shared" si="1"/>
        <v>72.969999999999999</v>
      </c>
      <c r="N35" s="29">
        <f t="shared" si="1"/>
        <v>833.39999999999998</v>
      </c>
      <c r="O35" s="29">
        <f t="shared" si="1"/>
        <v>0</v>
      </c>
      <c r="P35" s="29">
        <f t="shared" si="1"/>
        <v>0.75</v>
      </c>
      <c r="Q35" s="29">
        <f t="shared" si="1"/>
        <v>9.5700000000000003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8.3191666666666659</v>
      </c>
      <c r="C36" s="28">
        <f t="shared" si="2"/>
        <v>3.7150000000000012</v>
      </c>
      <c r="D36" s="28">
        <f t="shared" si="2"/>
        <v>12.38541666666667</v>
      </c>
      <c r="E36" s="28">
        <f t="shared" si="2"/>
        <v>4.160000000000001</v>
      </c>
      <c r="F36" s="28">
        <f t="shared" si="2"/>
        <v>6.9620833333333332</v>
      </c>
      <c r="G36" s="28">
        <f t="shared" si="2"/>
        <v>72.31208333333332</v>
      </c>
      <c r="H36" s="28">
        <f t="shared" si="2"/>
        <v>38.77708333333333</v>
      </c>
      <c r="I36" s="28">
        <f t="shared" si="2"/>
        <v>3.3374999999999999</v>
      </c>
      <c r="J36" s="28">
        <f t="shared" si="2"/>
        <v>0.75458333333333349</v>
      </c>
      <c r="K36" s="28">
        <f t="shared" si="2"/>
        <v>205.17708333333334</v>
      </c>
      <c r="L36" s="28">
        <f t="shared" si="2"/>
        <v>32.153750000000002</v>
      </c>
      <c r="M36" s="28">
        <f t="shared" si="2"/>
        <v>52.08041666666665</v>
      </c>
      <c r="N36" s="28">
        <f t="shared" si="2"/>
        <v>199.63333333333333</v>
      </c>
      <c r="O36" s="28">
        <f t="shared" si="2"/>
        <v>0</v>
      </c>
      <c r="P36" s="28">
        <f t="shared" si="2"/>
        <v>0.51375000000000004</v>
      </c>
      <c r="Q36" s="28">
        <f t="shared" si="2"/>
        <v>9.444583333333334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0.10391956198102571</v>
      </c>
      <c r="C37" s="28">
        <f t="shared" si="3" ref="C37:Q37">STDEV(C9:C32)</f>
        <v>0.41605810630977963</v>
      </c>
      <c r="D37" s="28">
        <f t="shared" si="3"/>
        <v>0.29511941822668297</v>
      </c>
      <c r="E37" s="28">
        <f t="shared" si="3"/>
        <v>0.34012785319896099</v>
      </c>
      <c r="F37" s="28">
        <f t="shared" si="3"/>
        <v>2.0146808554397304</v>
      </c>
      <c r="G37" s="28">
        <f t="shared" si="3"/>
        <v>10.58115838943538</v>
      </c>
      <c r="H37" s="28">
        <f t="shared" si="3"/>
        <v>8.056349091766446</v>
      </c>
      <c r="I37" s="28">
        <f t="shared" si="3"/>
        <v>1.3909747911321813</v>
      </c>
      <c r="J37" s="28">
        <f t="shared" si="3"/>
        <v>0.23998150592994796</v>
      </c>
      <c r="K37" s="28">
        <f t="shared" si="3"/>
        <v>145.27274969575907</v>
      </c>
      <c r="L37" s="28">
        <f t="shared" si="3"/>
        <v>3.683020750393073</v>
      </c>
      <c r="M37" s="28">
        <f t="shared" si="3"/>
        <v>15.019141838266671</v>
      </c>
      <c r="N37" s="28">
        <f t="shared" si="3"/>
        <v>247.96017854673266</v>
      </c>
      <c r="O37" s="28">
        <f t="shared" si="3"/>
        <v>0</v>
      </c>
      <c r="P37" s="28">
        <f t="shared" si="3"/>
        <v>0.15692181658946963</v>
      </c>
      <c r="Q37" s="28">
        <f t="shared" si="3"/>
        <v>0.060718822142057802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fe0eb-70a3-4c37-bebe-4aafe2a9f914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398</v>
      </c>
      <c r="B9" s="55">
        <v>8.4700000000000006</v>
      </c>
      <c r="C9" s="55">
        <v>4.18</v>
      </c>
      <c r="D9" s="55">
        <v>12.75</v>
      </c>
      <c r="E9" s="55">
        <v>4.08</v>
      </c>
      <c r="F9" s="55">
        <v>5.30</v>
      </c>
      <c r="G9" s="55">
        <v>75.09</v>
      </c>
      <c r="H9" s="55">
        <v>33.17</v>
      </c>
      <c r="I9" s="55">
        <v>6.48</v>
      </c>
      <c r="J9" s="55">
        <v>0.38</v>
      </c>
      <c r="K9" s="55">
        <v>280.97000000000003</v>
      </c>
      <c r="L9" s="55">
        <v>29.89</v>
      </c>
      <c r="M9" s="55">
        <v>58.33</v>
      </c>
      <c r="N9" s="55">
        <v>17.5</v>
      </c>
      <c r="O9" s="55">
        <v>0</v>
      </c>
      <c r="P9" s="55">
        <v>0.5</v>
      </c>
      <c r="Q9" s="55">
        <v>9.5500000000000007</v>
      </c>
      <c r="R9" s="43"/>
      <c r="S9" s="43"/>
      <c r="T9" s="43"/>
      <c r="U9" s="43"/>
    </row>
    <row r="10" spans="1:21" s="11" customFormat="1" ht="15">
      <c r="A10" s="54" t="s">
        <v>399</v>
      </c>
      <c r="B10" s="55">
        <v>8.2200000000000006</v>
      </c>
      <c r="C10" s="55">
        <v>3.37</v>
      </c>
      <c r="D10" s="55">
        <v>12.13</v>
      </c>
      <c r="E10" s="55">
        <v>4.38</v>
      </c>
      <c r="F10" s="55">
        <v>6.61</v>
      </c>
      <c r="G10" s="55">
        <v>66.30</v>
      </c>
      <c r="H10" s="55">
        <v>28.38</v>
      </c>
      <c r="I10" s="55">
        <v>5.46</v>
      </c>
      <c r="J10" s="55">
        <v>0.48</v>
      </c>
      <c r="K10" s="55">
        <v>29.20</v>
      </c>
      <c r="L10" s="55">
        <v>29.97</v>
      </c>
      <c r="M10" s="55">
        <v>60.49</v>
      </c>
      <c r="N10" s="55">
        <v>17.30</v>
      </c>
      <c r="O10" s="55">
        <v>0</v>
      </c>
      <c r="P10" s="55">
        <v>0.39</v>
      </c>
      <c r="Q10" s="55">
        <v>9.51</v>
      </c>
      <c r="R10" s="43"/>
      <c r="S10" s="43"/>
      <c r="T10" s="43"/>
      <c r="U10" s="43"/>
    </row>
    <row r="11" spans="1:21" s="11" customFormat="1" ht="15">
      <c r="A11" s="54" t="s">
        <v>400</v>
      </c>
      <c r="B11" s="55">
        <v>8.2200000000000006</v>
      </c>
      <c r="C11" s="55">
        <v>3.19</v>
      </c>
      <c r="D11" s="55">
        <v>12.03</v>
      </c>
      <c r="E11" s="55">
        <v>4.1399999999999997</v>
      </c>
      <c r="F11" s="55">
        <v>11.39</v>
      </c>
      <c r="G11" s="55">
        <v>61.66</v>
      </c>
      <c r="H11" s="55">
        <v>26.04</v>
      </c>
      <c r="I11" s="55">
        <v>4.0199999999999996</v>
      </c>
      <c r="J11" s="55">
        <v>0.57999999999999996</v>
      </c>
      <c r="K11" s="55">
        <v>20.67</v>
      </c>
      <c r="L11" s="55">
        <v>29.89</v>
      </c>
      <c r="M11" s="55">
        <v>57.41</v>
      </c>
      <c r="N11" s="55">
        <v>17.80</v>
      </c>
      <c r="O11" s="55">
        <v>0</v>
      </c>
      <c r="P11" s="55">
        <v>0.32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401</v>
      </c>
      <c r="B12" s="55">
        <v>8.41</v>
      </c>
      <c r="C12" s="55">
        <v>3.79</v>
      </c>
      <c r="D12" s="55">
        <v>12.5</v>
      </c>
      <c r="E12" s="55">
        <v>4.05</v>
      </c>
      <c r="F12" s="55">
        <v>9.60</v>
      </c>
      <c r="G12" s="55">
        <v>59.38</v>
      </c>
      <c r="H12" s="55">
        <v>26.04</v>
      </c>
      <c r="I12" s="55">
        <v>2.72</v>
      </c>
      <c r="J12" s="55">
        <v>0.64</v>
      </c>
      <c r="K12" s="55">
        <v>24.74</v>
      </c>
      <c r="L12" s="55">
        <v>28.95</v>
      </c>
      <c r="M12" s="55">
        <v>55.43</v>
      </c>
      <c r="N12" s="55">
        <v>17.70</v>
      </c>
      <c r="O12" s="55">
        <v>0</v>
      </c>
      <c r="P12" s="55">
        <v>0.23</v>
      </c>
      <c r="Q12" s="55">
        <v>9.44</v>
      </c>
      <c r="R12" s="43"/>
      <c r="S12" s="43"/>
      <c r="T12" s="43"/>
      <c r="U12" s="43"/>
    </row>
    <row r="13" spans="1:21" s="11" customFormat="1" ht="15">
      <c r="A13" s="54" t="s">
        <v>402</v>
      </c>
      <c r="B13" s="55">
        <v>8.25</v>
      </c>
      <c r="C13" s="55">
        <v>3.42</v>
      </c>
      <c r="D13" s="55">
        <v>12.18</v>
      </c>
      <c r="E13" s="55">
        <v>3.5</v>
      </c>
      <c r="F13" s="55">
        <v>6.73</v>
      </c>
      <c r="G13" s="55">
        <v>53.32</v>
      </c>
      <c r="H13" s="55">
        <v>24.47</v>
      </c>
      <c r="I13" s="55">
        <v>2.13</v>
      </c>
      <c r="J13" s="55">
        <v>0.57999999999999996</v>
      </c>
      <c r="K13" s="55">
        <v>16.98</v>
      </c>
      <c r="L13" s="55">
        <v>28.27</v>
      </c>
      <c r="M13" s="55">
        <v>55.64</v>
      </c>
      <c r="N13" s="55">
        <v>17.70</v>
      </c>
      <c r="O13" s="55">
        <v>0</v>
      </c>
      <c r="P13" s="55">
        <v>0.21</v>
      </c>
      <c r="Q13" s="55">
        <v>9.44</v>
      </c>
      <c r="R13" s="43"/>
      <c r="S13" s="43"/>
      <c r="T13" s="43"/>
      <c r="U13" s="43"/>
    </row>
    <row r="14" spans="1:21" s="11" customFormat="1" ht="15">
      <c r="A14" s="54" t="s">
        <v>403</v>
      </c>
      <c r="B14" s="55">
        <v>8.1999999999999993</v>
      </c>
      <c r="C14" s="55">
        <v>3.27</v>
      </c>
      <c r="D14" s="55">
        <v>12.06</v>
      </c>
      <c r="E14" s="55">
        <v>3.64</v>
      </c>
      <c r="F14" s="55">
        <v>7.62</v>
      </c>
      <c r="G14" s="55">
        <v>46.18</v>
      </c>
      <c r="H14" s="55">
        <v>19.66</v>
      </c>
      <c r="I14" s="55">
        <v>1.72</v>
      </c>
      <c r="J14" s="55">
        <v>0.64</v>
      </c>
      <c r="K14" s="55">
        <v>18.09</v>
      </c>
      <c r="L14" s="55">
        <v>27.83</v>
      </c>
      <c r="M14" s="55">
        <v>53.88</v>
      </c>
      <c r="N14" s="55">
        <v>50.90</v>
      </c>
      <c r="O14" s="55">
        <v>0</v>
      </c>
      <c r="P14" s="55">
        <v>0.19</v>
      </c>
      <c r="Q14" s="55">
        <v>9.42</v>
      </c>
      <c r="R14" s="43"/>
      <c r="S14" s="43"/>
      <c r="T14" s="43"/>
      <c r="U14" s="43"/>
    </row>
    <row r="15" spans="1:21" s="11" customFormat="1" ht="15">
      <c r="A15" s="54" t="s">
        <v>404</v>
      </c>
      <c r="B15" s="55">
        <v>8.36</v>
      </c>
      <c r="C15" s="55">
        <v>3.71</v>
      </c>
      <c r="D15" s="55">
        <v>12.42</v>
      </c>
      <c r="E15" s="55">
        <v>3.83</v>
      </c>
      <c r="F15" s="55">
        <v>6.35</v>
      </c>
      <c r="G15" s="55">
        <v>43.23</v>
      </c>
      <c r="H15" s="55">
        <v>19.32</v>
      </c>
      <c r="I15" s="55">
        <v>1.44</v>
      </c>
      <c r="J15" s="55">
        <v>0.71</v>
      </c>
      <c r="K15" s="55">
        <v>29.25</v>
      </c>
      <c r="L15" s="55">
        <v>28.45</v>
      </c>
      <c r="M15" s="55">
        <v>55.33</v>
      </c>
      <c r="N15" s="55">
        <v>161.19999999999999</v>
      </c>
      <c r="O15" s="55">
        <v>0</v>
      </c>
      <c r="P15" s="55">
        <v>0.21</v>
      </c>
      <c r="Q15" s="55">
        <v>9.35</v>
      </c>
      <c r="R15" s="43"/>
      <c r="S15" s="43"/>
      <c r="T15" s="43"/>
      <c r="U15" s="43"/>
    </row>
    <row r="16" spans="1:21" s="11" customFormat="1" ht="15">
      <c r="A16" s="54" t="s">
        <v>405</v>
      </c>
      <c r="B16" s="55">
        <v>8.2100000000000009</v>
      </c>
      <c r="C16" s="55">
        <v>3.17</v>
      </c>
      <c r="D16" s="55">
        <v>12.01</v>
      </c>
      <c r="E16" s="55">
        <v>4.17</v>
      </c>
      <c r="F16" s="55">
        <v>6.94</v>
      </c>
      <c r="G16" s="55">
        <v>44.54</v>
      </c>
      <c r="H16" s="55">
        <v>24.63</v>
      </c>
      <c r="I16" s="55">
        <v>1.58</v>
      </c>
      <c r="J16" s="55">
        <v>0.56000000000000005</v>
      </c>
      <c r="K16" s="55">
        <v>4.38</v>
      </c>
      <c r="L16" s="55">
        <v>29.07</v>
      </c>
      <c r="M16" s="55">
        <v>55.32</v>
      </c>
      <c r="N16" s="55">
        <v>199.60</v>
      </c>
      <c r="O16" s="55">
        <v>0</v>
      </c>
      <c r="P16" s="55">
        <v>0.26</v>
      </c>
      <c r="Q16" s="55">
        <v>9.40</v>
      </c>
      <c r="R16" s="43"/>
      <c r="S16" s="43"/>
      <c r="T16" s="43"/>
      <c r="U16" s="43"/>
    </row>
    <row r="17" spans="1:21" s="11" customFormat="1" ht="15">
      <c r="A17" s="54" t="s">
        <v>406</v>
      </c>
      <c r="B17" s="55">
        <v>8.24</v>
      </c>
      <c r="C17" s="55">
        <v>3.43</v>
      </c>
      <c r="D17" s="55">
        <v>12.18</v>
      </c>
      <c r="E17" s="55">
        <v>4.09</v>
      </c>
      <c r="F17" s="55">
        <v>5.63</v>
      </c>
      <c r="G17" s="55">
        <v>45.02</v>
      </c>
      <c r="H17" s="55">
        <v>24.63</v>
      </c>
      <c r="I17" s="55">
        <v>1.75</v>
      </c>
      <c r="J17" s="55">
        <v>0.56999999999999995</v>
      </c>
      <c r="K17" s="55">
        <v>359.68</v>
      </c>
      <c r="L17" s="55">
        <v>30</v>
      </c>
      <c r="M17" s="55">
        <v>54.91</v>
      </c>
      <c r="N17" s="55">
        <v>272.39999999999998</v>
      </c>
      <c r="O17" s="55">
        <v>0</v>
      </c>
      <c r="P17" s="55">
        <v>0.34</v>
      </c>
      <c r="Q17" s="55">
        <v>9.4600000000000009</v>
      </c>
      <c r="R17" s="43"/>
      <c r="S17" s="43"/>
      <c r="T17" s="43"/>
      <c r="U17" s="43"/>
    </row>
    <row r="18" spans="1:21" s="11" customFormat="1" ht="15">
      <c r="A18" s="54" t="s">
        <v>407</v>
      </c>
      <c r="B18" s="55">
        <v>8.48</v>
      </c>
      <c r="C18" s="55">
        <v>4.3899999999999997</v>
      </c>
      <c r="D18" s="55">
        <v>12.87</v>
      </c>
      <c r="E18" s="55">
        <v>4.17</v>
      </c>
      <c r="F18" s="55">
        <v>5.82</v>
      </c>
      <c r="G18" s="55">
        <v>53.22</v>
      </c>
      <c r="H18" s="55">
        <v>24.13</v>
      </c>
      <c r="I18" s="55">
        <v>2.4700000000000002</v>
      </c>
      <c r="J18" s="55">
        <v>0.55000000000000004</v>
      </c>
      <c r="K18" s="55">
        <v>337.23</v>
      </c>
      <c r="L18" s="55">
        <v>33.46</v>
      </c>
      <c r="M18" s="55">
        <v>49.74</v>
      </c>
      <c r="N18" s="55">
        <v>698.40</v>
      </c>
      <c r="O18" s="55">
        <v>0</v>
      </c>
      <c r="P18" s="55">
        <v>0.46</v>
      </c>
      <c r="Q18" s="55">
        <v>9.49</v>
      </c>
      <c r="R18" s="43"/>
      <c r="S18" s="43"/>
      <c r="T18" s="43"/>
      <c r="U18" s="43"/>
    </row>
    <row r="19" spans="1:21" s="11" customFormat="1" ht="15">
      <c r="A19" s="54" t="s">
        <v>408</v>
      </c>
      <c r="B19" s="55">
        <v>8.1999999999999993</v>
      </c>
      <c r="C19" s="55">
        <v>3.28</v>
      </c>
      <c r="D19" s="55">
        <v>12.07</v>
      </c>
      <c r="E19" s="55">
        <v>3.72</v>
      </c>
      <c r="F19" s="55">
        <v>6.85</v>
      </c>
      <c r="G19" s="55">
        <v>55.56</v>
      </c>
      <c r="H19" s="55">
        <v>25.63</v>
      </c>
      <c r="I19" s="55">
        <v>2.71</v>
      </c>
      <c r="J19" s="55">
        <v>1.36</v>
      </c>
      <c r="K19" s="55">
        <v>339.14</v>
      </c>
      <c r="L19" s="55">
        <v>38.54</v>
      </c>
      <c r="M19" s="55">
        <v>38.89</v>
      </c>
      <c r="N19" s="55">
        <v>811.90</v>
      </c>
      <c r="O19" s="55">
        <v>0</v>
      </c>
      <c r="P19" s="55">
        <v>0.46</v>
      </c>
      <c r="Q19" s="55">
        <v>9.42</v>
      </c>
      <c r="R19" s="43"/>
      <c r="S19" s="43"/>
      <c r="T19" s="43"/>
      <c r="U19" s="43"/>
    </row>
    <row r="20" spans="1:21" s="11" customFormat="1" ht="15">
      <c r="A20" s="54" t="s">
        <v>409</v>
      </c>
      <c r="B20" s="55">
        <v>8.51</v>
      </c>
      <c r="C20" s="55">
        <v>4.3099999999999996</v>
      </c>
      <c r="D20" s="55">
        <v>12.85</v>
      </c>
      <c r="E20" s="55">
        <v>4.59</v>
      </c>
      <c r="F20" s="55">
        <v>6.33</v>
      </c>
      <c r="G20" s="55">
        <v>62.81</v>
      </c>
      <c r="H20" s="55">
        <v>25.63</v>
      </c>
      <c r="I20" s="55">
        <v>2.69</v>
      </c>
      <c r="J20" s="55">
        <v>2.09</v>
      </c>
      <c r="K20" s="55">
        <v>334.92</v>
      </c>
      <c r="L20" s="55">
        <v>39.22</v>
      </c>
      <c r="M20" s="55">
        <v>31.75</v>
      </c>
      <c r="N20" s="55">
        <v>832.40</v>
      </c>
      <c r="O20" s="55">
        <v>0</v>
      </c>
      <c r="P20" s="55">
        <v>0.45</v>
      </c>
      <c r="Q20" s="55">
        <v>9.36</v>
      </c>
      <c r="R20" s="43"/>
      <c r="S20" s="43"/>
      <c r="T20" s="43"/>
      <c r="U20" s="43"/>
    </row>
    <row r="21" spans="1:21" s="11" customFormat="1" ht="15">
      <c r="A21" s="54" t="s">
        <v>410</v>
      </c>
      <c r="B21" s="55">
        <v>8.18</v>
      </c>
      <c r="C21" s="55">
        <v>3.15</v>
      </c>
      <c r="D21" s="55">
        <v>11.97</v>
      </c>
      <c r="E21" s="55">
        <v>4.7699999999999996</v>
      </c>
      <c r="F21" s="55">
        <v>7.96</v>
      </c>
      <c r="G21" s="55">
        <v>65.83</v>
      </c>
      <c r="H21" s="55">
        <v>25.28</v>
      </c>
      <c r="I21" s="55">
        <v>2.70</v>
      </c>
      <c r="J21" s="55">
        <v>0.87</v>
      </c>
      <c r="K21" s="55">
        <v>329.30</v>
      </c>
      <c r="L21" s="55">
        <v>38.65</v>
      </c>
      <c r="M21" s="55">
        <v>32.5</v>
      </c>
      <c r="N21" s="55">
        <v>900.40</v>
      </c>
      <c r="O21" s="55">
        <v>0</v>
      </c>
      <c r="P21" s="55">
        <v>0.45</v>
      </c>
      <c r="Q21" s="55">
        <v>9.4499999999999993</v>
      </c>
      <c r="R21" s="43"/>
      <c r="S21" s="43"/>
      <c r="T21" s="43"/>
      <c r="U21" s="43"/>
    </row>
    <row r="22" spans="1:21" s="11" customFormat="1" ht="15">
      <c r="A22" s="54" t="s">
        <v>411</v>
      </c>
      <c r="B22" s="55">
        <v>8.3800000000000008</v>
      </c>
      <c r="C22" s="55">
        <v>4.13</v>
      </c>
      <c r="D22" s="55">
        <v>12.65</v>
      </c>
      <c r="E22" s="55">
        <v>5.21</v>
      </c>
      <c r="F22" s="55">
        <v>9.1199999999999992</v>
      </c>
      <c r="G22" s="55">
        <v>67.64</v>
      </c>
      <c r="H22" s="55">
        <v>34.24</v>
      </c>
      <c r="I22" s="55">
        <v>2.63</v>
      </c>
      <c r="J22" s="55">
        <v>0.54</v>
      </c>
      <c r="K22" s="55">
        <v>329.51</v>
      </c>
      <c r="L22" s="55">
        <v>36.31</v>
      </c>
      <c r="M22" s="55">
        <v>36.33</v>
      </c>
      <c r="N22" s="55">
        <v>341.20</v>
      </c>
      <c r="O22" s="55">
        <v>0</v>
      </c>
      <c r="P22" s="55">
        <v>0.42</v>
      </c>
      <c r="Q22" s="55">
        <v>9.43</v>
      </c>
      <c r="R22" s="43"/>
      <c r="S22" s="43"/>
      <c r="T22" s="43"/>
      <c r="U22" s="43"/>
    </row>
    <row r="23" spans="1:21" s="11" customFormat="1" ht="15">
      <c r="A23" s="54" t="s">
        <v>412</v>
      </c>
      <c r="B23" s="55">
        <v>8.27</v>
      </c>
      <c r="C23" s="55">
        <v>3.66</v>
      </c>
      <c r="D23" s="55">
        <v>12.32</v>
      </c>
      <c r="E23" s="55">
        <v>4.96</v>
      </c>
      <c r="F23" s="55">
        <v>6.75</v>
      </c>
      <c r="G23" s="55">
        <v>73.83</v>
      </c>
      <c r="H23" s="55">
        <v>34.24</v>
      </c>
      <c r="I23" s="55">
        <v>3.80</v>
      </c>
      <c r="J23" s="55">
        <v>1.45</v>
      </c>
      <c r="K23" s="55">
        <v>156.52000000000001</v>
      </c>
      <c r="L23" s="55">
        <v>35.950000000000003</v>
      </c>
      <c r="M23" s="55">
        <v>36.58</v>
      </c>
      <c r="N23" s="55">
        <v>390.70</v>
      </c>
      <c r="O23" s="55">
        <v>0</v>
      </c>
      <c r="P23" s="55">
        <v>0.42</v>
      </c>
      <c r="Q23" s="55">
        <v>9.42</v>
      </c>
      <c r="R23" s="43"/>
      <c r="S23" s="43"/>
      <c r="T23" s="43"/>
      <c r="U23" s="43"/>
    </row>
    <row r="24" spans="1:21" s="11" customFormat="1" ht="15">
      <c r="A24" s="54" t="s">
        <v>413</v>
      </c>
      <c r="B24" s="55">
        <v>8.31</v>
      </c>
      <c r="C24" s="55">
        <v>3.85</v>
      </c>
      <c r="D24" s="55">
        <v>12.45</v>
      </c>
      <c r="E24" s="55">
        <v>5.31</v>
      </c>
      <c r="F24" s="55">
        <v>6.60</v>
      </c>
      <c r="G24" s="55">
        <v>73.83</v>
      </c>
      <c r="H24" s="55">
        <v>31.49</v>
      </c>
      <c r="I24" s="55">
        <v>5</v>
      </c>
      <c r="J24" s="55">
        <v>2.37</v>
      </c>
      <c r="K24" s="55">
        <v>346.06</v>
      </c>
      <c r="L24" s="55">
        <v>36.76</v>
      </c>
      <c r="M24" s="55">
        <v>35.020000000000003</v>
      </c>
      <c r="N24" s="55">
        <v>236.60</v>
      </c>
      <c r="O24" s="55">
        <v>0</v>
      </c>
      <c r="P24" s="55">
        <v>0.43</v>
      </c>
      <c r="Q24" s="55">
        <v>9.3800000000000008</v>
      </c>
      <c r="R24" s="43"/>
      <c r="S24" s="43"/>
      <c r="T24" s="43"/>
      <c r="U24" s="43"/>
    </row>
    <row r="25" spans="1:21" s="11" customFormat="1" ht="15">
      <c r="A25" s="54" t="s">
        <v>414</v>
      </c>
      <c r="B25" s="55">
        <v>8.19</v>
      </c>
      <c r="C25" s="55">
        <v>3.18</v>
      </c>
      <c r="D25" s="55">
        <v>12.01</v>
      </c>
      <c r="E25" s="55">
        <v>4.79</v>
      </c>
      <c r="F25" s="55">
        <v>5.78</v>
      </c>
      <c r="G25" s="55">
        <v>200.83</v>
      </c>
      <c r="H25" s="55">
        <v>49.58</v>
      </c>
      <c r="I25" s="55">
        <v>4.9800000000000004</v>
      </c>
      <c r="J25" s="55">
        <v>2.09</v>
      </c>
      <c r="K25" s="55">
        <v>344.61</v>
      </c>
      <c r="L25" s="55">
        <v>34.65</v>
      </c>
      <c r="M25" s="55">
        <v>37.78</v>
      </c>
      <c r="N25" s="55">
        <v>106.5</v>
      </c>
      <c r="O25" s="55">
        <v>0</v>
      </c>
      <c r="P25" s="55">
        <v>0.46</v>
      </c>
      <c r="Q25" s="55">
        <v>9.39</v>
      </c>
      <c r="R25" s="43"/>
      <c r="S25" s="43"/>
      <c r="T25" s="43"/>
      <c r="U25" s="43"/>
    </row>
    <row r="26" spans="1:21" s="11" customFormat="1" ht="15">
      <c r="A26" s="54" t="s">
        <v>415</v>
      </c>
      <c r="B26" s="55">
        <v>8.43</v>
      </c>
      <c r="C26" s="55">
        <v>4.28</v>
      </c>
      <c r="D26" s="55">
        <v>12.77</v>
      </c>
      <c r="E26" s="55">
        <v>4.70</v>
      </c>
      <c r="F26" s="55">
        <v>5.04</v>
      </c>
      <c r="G26" s="55">
        <v>200.83</v>
      </c>
      <c r="H26" s="55">
        <v>49.58</v>
      </c>
      <c r="I26" s="55">
        <v>6.22</v>
      </c>
      <c r="J26" s="55">
        <v>1.01</v>
      </c>
      <c r="K26" s="55">
        <v>163.75</v>
      </c>
      <c r="L26" s="55">
        <v>33.72</v>
      </c>
      <c r="M26" s="55">
        <v>37.65</v>
      </c>
      <c r="N26" s="55">
        <v>101.20</v>
      </c>
      <c r="O26" s="55">
        <v>0</v>
      </c>
      <c r="P26" s="55">
        <v>0.45</v>
      </c>
      <c r="Q26" s="55">
        <v>9.5299999999999994</v>
      </c>
      <c r="R26" s="43"/>
      <c r="S26" s="43"/>
      <c r="T26" s="43"/>
      <c r="U26" s="43"/>
    </row>
    <row r="27" spans="1:21" s="11" customFormat="1" ht="15">
      <c r="A27" s="54" t="s">
        <v>416</v>
      </c>
      <c r="B27" s="55">
        <v>8.4600000000000009</v>
      </c>
      <c r="C27" s="55">
        <v>4.6500000000000004</v>
      </c>
      <c r="D27" s="55">
        <v>12.98</v>
      </c>
      <c r="E27" s="55">
        <v>4.9800000000000004</v>
      </c>
      <c r="F27" s="55">
        <v>4.28</v>
      </c>
      <c r="G27" s="55">
        <v>95.70</v>
      </c>
      <c r="H27" s="55">
        <v>43.30</v>
      </c>
      <c r="I27" s="55">
        <v>6.93</v>
      </c>
      <c r="J27" s="55">
        <v>1.04</v>
      </c>
      <c r="K27" s="55">
        <v>190.82</v>
      </c>
      <c r="L27" s="55">
        <v>33.47</v>
      </c>
      <c r="M27" s="55">
        <v>39.60</v>
      </c>
      <c r="N27" s="55">
        <v>32.200000000000003</v>
      </c>
      <c r="O27" s="55">
        <v>0</v>
      </c>
      <c r="P27" s="55">
        <v>0.5</v>
      </c>
      <c r="Q27" s="55">
        <v>9.59</v>
      </c>
      <c r="R27" s="43"/>
      <c r="S27" s="43"/>
      <c r="T27" s="43"/>
      <c r="U27" s="43"/>
    </row>
    <row r="28" spans="1:21" s="11" customFormat="1" ht="15">
      <c r="A28" s="54" t="s">
        <v>417</v>
      </c>
      <c r="B28" s="55">
        <v>8.2200000000000006</v>
      </c>
      <c r="C28" s="55">
        <v>3.44</v>
      </c>
      <c r="D28" s="55">
        <v>12.17</v>
      </c>
      <c r="E28" s="55">
        <v>4.9000000000000004</v>
      </c>
      <c r="F28" s="55">
        <v>3.88</v>
      </c>
      <c r="G28" s="55">
        <v>139.04</v>
      </c>
      <c r="H28" s="55">
        <v>41.93</v>
      </c>
      <c r="I28" s="55">
        <v>7.15</v>
      </c>
      <c r="J28" s="55">
        <v>1.38</v>
      </c>
      <c r="K28" s="55">
        <v>169.22</v>
      </c>
      <c r="L28" s="55">
        <v>32.83</v>
      </c>
      <c r="M28" s="55">
        <v>40.56</v>
      </c>
      <c r="N28" s="55">
        <v>17.100000000000001</v>
      </c>
      <c r="O28" s="55">
        <v>0</v>
      </c>
      <c r="P28" s="55">
        <v>0.57999999999999996</v>
      </c>
      <c r="Q28" s="55">
        <v>9.64</v>
      </c>
      <c r="R28" s="43"/>
      <c r="S28" s="43"/>
      <c r="T28" s="43"/>
      <c r="U28" s="43"/>
    </row>
    <row r="29" spans="1:21" s="11" customFormat="1" ht="15">
      <c r="A29" s="54" t="s">
        <v>418</v>
      </c>
      <c r="B29" s="55">
        <v>8.60</v>
      </c>
      <c r="C29" s="55">
        <v>4.91</v>
      </c>
      <c r="D29" s="55">
        <v>13.24</v>
      </c>
      <c r="E29" s="55">
        <v>4.80</v>
      </c>
      <c r="F29" s="55">
        <v>8.59</v>
      </c>
      <c r="G29" s="55">
        <v>139.04</v>
      </c>
      <c r="H29" s="55">
        <v>40.85</v>
      </c>
      <c r="I29" s="55">
        <v>7.46</v>
      </c>
      <c r="J29" s="55">
        <v>0.82</v>
      </c>
      <c r="K29" s="55">
        <v>29.5</v>
      </c>
      <c r="L29" s="55">
        <v>31.63</v>
      </c>
      <c r="M29" s="55">
        <v>47</v>
      </c>
      <c r="N29" s="55">
        <v>17.899999999999999</v>
      </c>
      <c r="O29" s="55">
        <v>0</v>
      </c>
      <c r="P29" s="55">
        <v>0.56000000000000005</v>
      </c>
      <c r="Q29" s="55">
        <v>9.59</v>
      </c>
      <c r="R29" s="43"/>
      <c r="S29" s="43"/>
      <c r="T29" s="43"/>
      <c r="U29" s="43"/>
    </row>
    <row r="30" spans="1:21" s="11" customFormat="1" ht="15">
      <c r="A30" s="54" t="s">
        <v>419</v>
      </c>
      <c r="B30" s="55">
        <v>8.2200000000000006</v>
      </c>
      <c r="C30" s="55">
        <v>3.24</v>
      </c>
      <c r="D30" s="55">
        <v>12.06</v>
      </c>
      <c r="E30" s="55">
        <v>4.9000000000000004</v>
      </c>
      <c r="F30" s="55">
        <v>10.32</v>
      </c>
      <c r="G30" s="55">
        <v>102.52</v>
      </c>
      <c r="H30" s="55">
        <v>35.15</v>
      </c>
      <c r="I30" s="55">
        <v>6.04</v>
      </c>
      <c r="J30" s="55">
        <v>0.38</v>
      </c>
      <c r="K30" s="55">
        <v>197.71</v>
      </c>
      <c r="L30" s="55">
        <v>29.15</v>
      </c>
      <c r="M30" s="55">
        <v>55.15</v>
      </c>
      <c r="N30" s="55">
        <v>17.80</v>
      </c>
      <c r="O30" s="55">
        <v>0</v>
      </c>
      <c r="P30" s="55">
        <v>0.46</v>
      </c>
      <c r="Q30" s="55">
        <v>9.51</v>
      </c>
      <c r="R30" s="43"/>
      <c r="S30" s="43"/>
      <c r="T30" s="43"/>
      <c r="U30" s="43"/>
    </row>
    <row r="31" spans="1:21" s="11" customFormat="1" ht="15">
      <c r="A31" s="54" t="s">
        <v>420</v>
      </c>
      <c r="B31" s="55">
        <v>8.33</v>
      </c>
      <c r="C31" s="55">
        <v>3.96</v>
      </c>
      <c r="D31" s="55">
        <v>12.53</v>
      </c>
      <c r="E31" s="55">
        <v>4.71</v>
      </c>
      <c r="F31" s="55">
        <v>8.0299999999999994</v>
      </c>
      <c r="G31" s="55">
        <v>65.75</v>
      </c>
      <c r="H31" s="55">
        <v>34.15</v>
      </c>
      <c r="I31" s="55">
        <v>4.6399999999999997</v>
      </c>
      <c r="J31" s="55">
        <v>0.73</v>
      </c>
      <c r="K31" s="55">
        <v>219.10</v>
      </c>
      <c r="L31" s="55">
        <v>28.47</v>
      </c>
      <c r="M31" s="55">
        <v>54.40</v>
      </c>
      <c r="N31" s="55">
        <v>17.30</v>
      </c>
      <c r="O31" s="55">
        <v>0</v>
      </c>
      <c r="P31" s="55">
        <v>0.41</v>
      </c>
      <c r="Q31" s="55">
        <v>9.52</v>
      </c>
      <c r="R31" s="43"/>
      <c r="S31" s="43"/>
      <c r="T31" s="43"/>
      <c r="U31" s="43"/>
    </row>
    <row r="32" spans="1:21" s="11" customFormat="1" ht="15">
      <c r="A32" s="54" t="s">
        <v>421</v>
      </c>
      <c r="B32" s="55">
        <v>8.36</v>
      </c>
      <c r="C32" s="55">
        <v>3.88</v>
      </c>
      <c r="D32" s="55">
        <v>12.5</v>
      </c>
      <c r="E32" s="55">
        <v>4.95</v>
      </c>
      <c r="F32" s="55">
        <v>11.85</v>
      </c>
      <c r="G32" s="55">
        <v>51.07</v>
      </c>
      <c r="H32" s="55">
        <v>30.66</v>
      </c>
      <c r="I32" s="55">
        <v>3.85</v>
      </c>
      <c r="J32" s="55">
        <v>0.84</v>
      </c>
      <c r="K32" s="55">
        <v>26.07</v>
      </c>
      <c r="L32" s="55">
        <v>27.18</v>
      </c>
      <c r="M32" s="55">
        <v>66.34</v>
      </c>
      <c r="N32" s="55">
        <v>17.600000000000001</v>
      </c>
      <c r="O32" s="55">
        <v>0</v>
      </c>
      <c r="P32" s="55">
        <v>0.28999999999999998</v>
      </c>
      <c r="Q32" s="55">
        <v>9.52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3.1499999999999999</v>
      </c>
      <c r="D34" s="28">
        <f t="shared" si="0"/>
        <v>11.970000000000001</v>
      </c>
      <c r="E34" s="28">
        <f t="shared" si="0"/>
        <v>3.5</v>
      </c>
      <c r="F34" s="28">
        <f t="shared" si="0"/>
        <v>3.8799999999999999</v>
      </c>
      <c r="G34" s="28">
        <f t="shared" si="0"/>
        <v>43.229999999999997</v>
      </c>
      <c r="H34" s="28">
        <f t="shared" si="0"/>
        <v>19.32</v>
      </c>
      <c r="I34" s="28">
        <f t="shared" si="0"/>
        <v>1.4399999999999999</v>
      </c>
      <c r="J34" s="28">
        <f t="shared" si="0"/>
        <v>0.38</v>
      </c>
      <c r="K34" s="28">
        <f t="shared" si="0"/>
        <v>4.3799999999999999</v>
      </c>
      <c r="L34" s="28">
        <f t="shared" si="0"/>
        <v>27.18</v>
      </c>
      <c r="M34" s="28">
        <f t="shared" si="0"/>
        <v>31.75</v>
      </c>
      <c r="N34" s="28">
        <f t="shared" si="0"/>
        <v>17.100000000000001</v>
      </c>
      <c r="O34" s="28">
        <f t="shared" si="0"/>
        <v>0</v>
      </c>
      <c r="P34" s="28">
        <f t="shared" si="0"/>
        <v>0.19</v>
      </c>
      <c r="Q34" s="28">
        <f t="shared" si="0"/>
        <v>9.3499999999999996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8.5999999999999996</v>
      </c>
      <c r="C35" s="29">
        <f t="shared" si="1"/>
        <v>4.9100000000000001</v>
      </c>
      <c r="D35" s="29">
        <f t="shared" si="1"/>
        <v>13.24</v>
      </c>
      <c r="E35" s="29">
        <f t="shared" si="1"/>
        <v>5.3099999999999996</v>
      </c>
      <c r="F35" s="29">
        <f t="shared" si="1"/>
        <v>11.85</v>
      </c>
      <c r="G35" s="29">
        <f t="shared" si="1"/>
        <v>200.83000000000001</v>
      </c>
      <c r="H35" s="29">
        <f t="shared" si="1"/>
        <v>49.579999999999998</v>
      </c>
      <c r="I35" s="29">
        <f t="shared" si="1"/>
        <v>7.46</v>
      </c>
      <c r="J35" s="29">
        <f t="shared" si="1"/>
        <v>2.3700000000000001</v>
      </c>
      <c r="K35" s="29">
        <f t="shared" si="1"/>
        <v>359.68000000000001</v>
      </c>
      <c r="L35" s="29">
        <f t="shared" si="1"/>
        <v>39.219999999999999</v>
      </c>
      <c r="M35" s="29">
        <f t="shared" si="1"/>
        <v>66.340000000000003</v>
      </c>
      <c r="N35" s="29">
        <f t="shared" si="1"/>
        <v>900.39999999999998</v>
      </c>
      <c r="O35" s="29">
        <f t="shared" si="1"/>
        <v>0</v>
      </c>
      <c r="P35" s="29">
        <f t="shared" si="1"/>
        <v>0.57999999999999996</v>
      </c>
      <c r="Q35" s="29">
        <f t="shared" si="1"/>
        <v>9.6400000000000006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8.3216666666666672</v>
      </c>
      <c r="C36" s="28">
        <f t="shared" si="2"/>
        <v>3.7433333333333327</v>
      </c>
      <c r="D36" s="28">
        <f t="shared" si="2"/>
        <v>12.404166666666663</v>
      </c>
      <c r="E36" s="28">
        <f t="shared" si="2"/>
        <v>4.472500000000001</v>
      </c>
      <c r="F36" s="28">
        <f t="shared" si="2"/>
        <v>7.2237499999999981</v>
      </c>
      <c r="G36" s="28">
        <f t="shared" si="2"/>
        <v>80.92583333333333</v>
      </c>
      <c r="H36" s="28">
        <f t="shared" si="2"/>
        <v>31.340833333333325</v>
      </c>
      <c r="I36" s="28">
        <f t="shared" si="2"/>
        <v>4.0237500000000006</v>
      </c>
      <c r="J36" s="28">
        <f t="shared" si="2"/>
        <v>0.94416666666666671</v>
      </c>
      <c r="K36" s="28">
        <f t="shared" si="2"/>
        <v>179.05916666666667</v>
      </c>
      <c r="L36" s="28">
        <f t="shared" si="2"/>
        <v>32.179583333333333</v>
      </c>
      <c r="M36" s="28">
        <f t="shared" si="2"/>
        <v>47.751250000000006</v>
      </c>
      <c r="N36" s="28">
        <f t="shared" si="2"/>
        <v>221.3041666666667</v>
      </c>
      <c r="O36" s="28">
        <f t="shared" si="2"/>
        <v>0</v>
      </c>
      <c r="P36" s="28">
        <f t="shared" si="2"/>
        <v>0.39374999999999999</v>
      </c>
      <c r="Q36" s="28">
        <f t="shared" si="2"/>
        <v>9.4683333333333319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0.12167907421342669</v>
      </c>
      <c r="C37" s="28">
        <f t="shared" si="3" ref="C37:Q37">STDEV(C9:C32)</f>
        <v>0.51365414406012755</v>
      </c>
      <c r="D37" s="28">
        <f t="shared" si="3"/>
        <v>0.36246639024610461</v>
      </c>
      <c r="E37" s="28">
        <f t="shared" si="3"/>
        <v>0.51715988613394515</v>
      </c>
      <c r="F37" s="28">
        <f t="shared" si="3"/>
        <v>2.0718817586288947</v>
      </c>
      <c r="G37" s="28">
        <f t="shared" si="3"/>
        <v>45.034271482627737</v>
      </c>
      <c r="H37" s="28">
        <f t="shared" si="3"/>
        <v>8.5747262177952415</v>
      </c>
      <c r="I37" s="28">
        <f t="shared" si="3"/>
        <v>1.9489636320697288</v>
      </c>
      <c r="J37" s="28">
        <f t="shared" si="3"/>
        <v>0.56461542638343221</v>
      </c>
      <c r="K37" s="28">
        <f t="shared" si="3"/>
        <v>138.88503199524004</v>
      </c>
      <c r="L37" s="28">
        <f t="shared" si="3"/>
        <v>3.8045538836535844</v>
      </c>
      <c r="M37" s="28">
        <f t="shared" si="3"/>
        <v>10.311076489366412</v>
      </c>
      <c r="N37" s="28">
        <f t="shared" si="3"/>
        <v>292.55331209314073</v>
      </c>
      <c r="O37" s="28">
        <f t="shared" si="3"/>
        <v>0</v>
      </c>
      <c r="P37" s="28">
        <f t="shared" si="3"/>
        <v>0.11185442791180998</v>
      </c>
      <c r="Q37" s="28">
        <f t="shared" si="3"/>
        <v>0.076650912054851555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a4a05b-59fd-4db9-9ef3-03e9cfa30bd4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422</v>
      </c>
      <c r="B9" s="55">
        <v>8.23</v>
      </c>
      <c r="C9" s="55">
        <v>3.44</v>
      </c>
      <c r="D9" s="55">
        <v>12.17</v>
      </c>
      <c r="E9" s="55">
        <v>5.52</v>
      </c>
      <c r="F9" s="55">
        <v>10.37</v>
      </c>
      <c r="G9" s="55">
        <v>43.58</v>
      </c>
      <c r="H9" s="55">
        <v>29.25</v>
      </c>
      <c r="I9" s="55">
        <v>2.10</v>
      </c>
      <c r="J9" s="55">
        <v>0.73</v>
      </c>
      <c r="K9" s="55">
        <v>26</v>
      </c>
      <c r="L9" s="55">
        <v>26.73</v>
      </c>
      <c r="M9" s="55">
        <v>64.569999999999993</v>
      </c>
      <c r="N9" s="55">
        <v>16.80</v>
      </c>
      <c r="O9" s="55">
        <v>0</v>
      </c>
      <c r="P9" s="55">
        <v>0.21</v>
      </c>
      <c r="Q9" s="55">
        <v>9.4700000000000006</v>
      </c>
      <c r="R9" s="43"/>
      <c r="S9" s="43"/>
      <c r="T9" s="43"/>
      <c r="U9" s="43"/>
    </row>
    <row r="10" spans="1:21" s="11" customFormat="1" ht="15">
      <c r="A10" s="54" t="s">
        <v>423</v>
      </c>
      <c r="B10" s="55">
        <v>8.23</v>
      </c>
      <c r="C10" s="55">
        <v>3.24</v>
      </c>
      <c r="D10" s="55">
        <v>12.07</v>
      </c>
      <c r="E10" s="55">
        <v>5.51</v>
      </c>
      <c r="F10" s="55">
        <v>9.31</v>
      </c>
      <c r="G10" s="55">
        <v>29.32</v>
      </c>
      <c r="H10" s="55">
        <v>24.06</v>
      </c>
      <c r="I10" s="55">
        <v>1.51</v>
      </c>
      <c r="J10" s="55">
        <v>0.60</v>
      </c>
      <c r="K10" s="55">
        <v>337.52</v>
      </c>
      <c r="L10" s="55">
        <v>26.22</v>
      </c>
      <c r="M10" s="55">
        <v>61.94</v>
      </c>
      <c r="N10" s="55">
        <v>16.899999999999999</v>
      </c>
      <c r="O10" s="55">
        <v>0</v>
      </c>
      <c r="P10" s="55">
        <v>0.22</v>
      </c>
      <c r="Q10" s="55">
        <v>9.39</v>
      </c>
      <c r="R10" s="43"/>
      <c r="S10" s="43"/>
      <c r="T10" s="43"/>
      <c r="U10" s="43"/>
    </row>
    <row r="11" spans="1:21" s="11" customFormat="1" ht="15">
      <c r="A11" s="54" t="s">
        <v>424</v>
      </c>
      <c r="B11" s="55">
        <v>8.2799999999999994</v>
      </c>
      <c r="C11" s="55">
        <v>3.5</v>
      </c>
      <c r="D11" s="55">
        <v>12.25</v>
      </c>
      <c r="E11" s="55">
        <v>5.49</v>
      </c>
      <c r="F11" s="55">
        <v>5.44</v>
      </c>
      <c r="G11" s="55">
        <v>32.28</v>
      </c>
      <c r="H11" s="55">
        <v>22.91</v>
      </c>
      <c r="I11" s="55">
        <v>1.97</v>
      </c>
      <c r="J11" s="55">
        <v>0.49</v>
      </c>
      <c r="K11" s="55">
        <v>356.98</v>
      </c>
      <c r="L11" s="55">
        <v>26.02</v>
      </c>
      <c r="M11" s="55">
        <v>62.74</v>
      </c>
      <c r="N11" s="55">
        <v>16.899999999999999</v>
      </c>
      <c r="O11" s="55">
        <v>0</v>
      </c>
      <c r="P11" s="55">
        <v>0.24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425</v>
      </c>
      <c r="B12" s="55">
        <v>8.26</v>
      </c>
      <c r="C12" s="55">
        <v>3.37</v>
      </c>
      <c r="D12" s="55">
        <v>12.16</v>
      </c>
      <c r="E12" s="55">
        <v>5.45</v>
      </c>
      <c r="F12" s="55">
        <v>5.42</v>
      </c>
      <c r="G12" s="55">
        <v>32.28</v>
      </c>
      <c r="H12" s="55">
        <v>18.98</v>
      </c>
      <c r="I12" s="55">
        <v>2.08</v>
      </c>
      <c r="J12" s="55">
        <v>1.48</v>
      </c>
      <c r="K12" s="55">
        <v>357.55</v>
      </c>
      <c r="L12" s="55">
        <v>25.19</v>
      </c>
      <c r="M12" s="55">
        <v>67.459999999999994</v>
      </c>
      <c r="N12" s="55">
        <v>17</v>
      </c>
      <c r="O12" s="55">
        <v>0</v>
      </c>
      <c r="P12" s="55">
        <v>0.24</v>
      </c>
      <c r="Q12" s="55">
        <v>9.42</v>
      </c>
      <c r="R12" s="43"/>
      <c r="S12" s="43"/>
      <c r="T12" s="43"/>
      <c r="U12" s="43"/>
    </row>
    <row r="13" spans="1:21" s="11" customFormat="1" ht="15">
      <c r="A13" s="54" t="s">
        <v>426</v>
      </c>
      <c r="B13" s="55">
        <v>8.23</v>
      </c>
      <c r="C13" s="55">
        <v>3.34</v>
      </c>
      <c r="D13" s="55">
        <v>12.11</v>
      </c>
      <c r="E13" s="55">
        <v>3.19</v>
      </c>
      <c r="F13" s="55">
        <v>4.51</v>
      </c>
      <c r="G13" s="55">
        <v>31.17</v>
      </c>
      <c r="H13" s="55">
        <v>18.98</v>
      </c>
      <c r="I13" s="55">
        <v>3.05</v>
      </c>
      <c r="J13" s="55">
        <v>0.62</v>
      </c>
      <c r="K13" s="55">
        <v>349.92</v>
      </c>
      <c r="L13" s="55">
        <v>24.93</v>
      </c>
      <c r="M13" s="55">
        <v>68.95</v>
      </c>
      <c r="N13" s="55">
        <v>17</v>
      </c>
      <c r="O13" s="55">
        <v>0</v>
      </c>
      <c r="P13" s="55">
        <v>0.23</v>
      </c>
      <c r="Q13" s="55">
        <v>9.43</v>
      </c>
      <c r="R13" s="43"/>
      <c r="S13" s="43"/>
      <c r="T13" s="43"/>
      <c r="U13" s="43"/>
    </row>
    <row r="14" spans="1:21" s="11" customFormat="1" ht="15">
      <c r="A14" s="54" t="s">
        <v>427</v>
      </c>
      <c r="B14" s="55">
        <v>8.3800000000000008</v>
      </c>
      <c r="C14" s="55">
        <v>3.60</v>
      </c>
      <c r="D14" s="55">
        <v>12.37</v>
      </c>
      <c r="E14" s="55">
        <v>3.18</v>
      </c>
      <c r="F14" s="55">
        <v>4.55</v>
      </c>
      <c r="G14" s="55">
        <v>31.17</v>
      </c>
      <c r="H14" s="55">
        <v>13.86</v>
      </c>
      <c r="I14" s="55">
        <v>3.51</v>
      </c>
      <c r="J14" s="55">
        <v>0.73</v>
      </c>
      <c r="K14" s="55">
        <v>349.75</v>
      </c>
      <c r="L14" s="55">
        <v>25.59</v>
      </c>
      <c r="M14" s="55">
        <v>70.64</v>
      </c>
      <c r="N14" s="55">
        <v>47.30</v>
      </c>
      <c r="O14" s="55">
        <v>0</v>
      </c>
      <c r="P14" s="55">
        <v>0.23</v>
      </c>
      <c r="Q14" s="55">
        <v>9.36</v>
      </c>
      <c r="R14" s="43"/>
      <c r="S14" s="43"/>
      <c r="T14" s="43"/>
      <c r="U14" s="43"/>
    </row>
    <row r="15" spans="1:21" s="11" customFormat="1" ht="15">
      <c r="A15" s="54" t="s">
        <v>428</v>
      </c>
      <c r="B15" s="55">
        <v>8.2100000000000009</v>
      </c>
      <c r="C15" s="55">
        <v>3.22</v>
      </c>
      <c r="D15" s="55">
        <v>12.04</v>
      </c>
      <c r="E15" s="55">
        <v>3.32</v>
      </c>
      <c r="F15" s="55">
        <v>5.47</v>
      </c>
      <c r="G15" s="55">
        <v>42.65</v>
      </c>
      <c r="H15" s="55">
        <v>14.14</v>
      </c>
      <c r="I15" s="55">
        <v>3.57</v>
      </c>
      <c r="J15" s="55">
        <v>0.57999999999999996</v>
      </c>
      <c r="K15" s="55">
        <v>25.10</v>
      </c>
      <c r="L15" s="55">
        <v>26.32</v>
      </c>
      <c r="M15" s="55">
        <v>67.540000000000006</v>
      </c>
      <c r="N15" s="55">
        <v>149.90</v>
      </c>
      <c r="O15" s="55">
        <v>0</v>
      </c>
      <c r="P15" s="55">
        <v>0.27</v>
      </c>
      <c r="Q15" s="55">
        <v>9.42</v>
      </c>
      <c r="R15" s="43"/>
      <c r="S15" s="43"/>
      <c r="T15" s="43"/>
      <c r="U15" s="43"/>
    </row>
    <row r="16" spans="1:21" s="11" customFormat="1" ht="15">
      <c r="A16" s="54" t="s">
        <v>429</v>
      </c>
      <c r="B16" s="55">
        <v>8.4700000000000006</v>
      </c>
      <c r="C16" s="55">
        <v>4.3499999999999996</v>
      </c>
      <c r="D16" s="55">
        <v>12.84</v>
      </c>
      <c r="E16" s="55">
        <v>3.69</v>
      </c>
      <c r="F16" s="55">
        <v>4.88</v>
      </c>
      <c r="G16" s="55">
        <v>48.33</v>
      </c>
      <c r="H16" s="55">
        <v>14.14</v>
      </c>
      <c r="I16" s="55">
        <v>3.07</v>
      </c>
      <c r="J16" s="55">
        <v>0.67</v>
      </c>
      <c r="K16" s="55">
        <v>359.55</v>
      </c>
      <c r="L16" s="55">
        <v>29</v>
      </c>
      <c r="M16" s="55">
        <v>63.85</v>
      </c>
      <c r="N16" s="55">
        <v>394.10</v>
      </c>
      <c r="O16" s="55">
        <v>0</v>
      </c>
      <c r="P16" s="55">
        <v>0.39</v>
      </c>
      <c r="Q16" s="55">
        <v>9.48</v>
      </c>
      <c r="R16" s="43"/>
      <c r="S16" s="43"/>
      <c r="T16" s="43"/>
      <c r="U16" s="43"/>
    </row>
    <row r="17" spans="1:21" s="11" customFormat="1" ht="15">
      <c r="A17" s="54" t="s">
        <v>430</v>
      </c>
      <c r="B17" s="55">
        <v>8.25</v>
      </c>
      <c r="C17" s="55">
        <v>3.54</v>
      </c>
      <c r="D17" s="55">
        <v>12.24</v>
      </c>
      <c r="E17" s="55">
        <v>4.33</v>
      </c>
      <c r="F17" s="55">
        <v>5.5</v>
      </c>
      <c r="G17" s="55">
        <v>63.29</v>
      </c>
      <c r="H17" s="55">
        <v>18.27</v>
      </c>
      <c r="I17" s="55">
        <v>3.55</v>
      </c>
      <c r="J17" s="55">
        <v>0.68</v>
      </c>
      <c r="K17" s="55">
        <v>355.49</v>
      </c>
      <c r="L17" s="55">
        <v>30.02</v>
      </c>
      <c r="M17" s="55">
        <v>53.27</v>
      </c>
      <c r="N17" s="55">
        <v>333.30</v>
      </c>
      <c r="O17" s="55">
        <v>0</v>
      </c>
      <c r="P17" s="55">
        <v>0.56999999999999995</v>
      </c>
      <c r="Q17" s="55">
        <v>9.49</v>
      </c>
      <c r="R17" s="43"/>
      <c r="S17" s="43"/>
      <c r="T17" s="43"/>
      <c r="U17" s="43"/>
    </row>
    <row r="18" spans="1:21" s="11" customFormat="1" ht="15">
      <c r="A18" s="54" t="s">
        <v>431</v>
      </c>
      <c r="B18" s="55">
        <v>8.42</v>
      </c>
      <c r="C18" s="55">
        <v>4.22</v>
      </c>
      <c r="D18" s="55">
        <v>12.74</v>
      </c>
      <c r="E18" s="55">
        <v>4.46</v>
      </c>
      <c r="F18" s="55">
        <v>5.80</v>
      </c>
      <c r="G18" s="55">
        <v>64.5</v>
      </c>
      <c r="H18" s="55">
        <v>18.329999999999998</v>
      </c>
      <c r="I18" s="55">
        <v>4.08</v>
      </c>
      <c r="J18" s="55">
        <v>0.56999999999999995</v>
      </c>
      <c r="K18" s="55">
        <v>26.99</v>
      </c>
      <c r="L18" s="55">
        <v>31.33</v>
      </c>
      <c r="M18" s="55">
        <v>50.16</v>
      </c>
      <c r="N18" s="55">
        <v>696.90</v>
      </c>
      <c r="O18" s="55">
        <v>0</v>
      </c>
      <c r="P18" s="55">
        <v>0.71</v>
      </c>
      <c r="Q18" s="55">
        <v>9.51</v>
      </c>
      <c r="R18" s="43"/>
      <c r="S18" s="43"/>
      <c r="T18" s="43"/>
      <c r="U18" s="43"/>
    </row>
    <row r="19" spans="1:21" s="11" customFormat="1" ht="15">
      <c r="A19" s="54" t="s">
        <v>432</v>
      </c>
      <c r="B19" s="55">
        <v>8.1999999999999993</v>
      </c>
      <c r="C19" s="55">
        <v>3.30</v>
      </c>
      <c r="D19" s="55">
        <v>12.08</v>
      </c>
      <c r="E19" s="55">
        <v>4.72</v>
      </c>
      <c r="F19" s="55">
        <v>7.69</v>
      </c>
      <c r="G19" s="55">
        <v>79.92</v>
      </c>
      <c r="H19" s="55">
        <v>28.93</v>
      </c>
      <c r="I19" s="55">
        <v>4.74</v>
      </c>
      <c r="J19" s="55">
        <v>0.62</v>
      </c>
      <c r="K19" s="55">
        <v>343.94</v>
      </c>
      <c r="L19" s="55">
        <v>34.71</v>
      </c>
      <c r="M19" s="55">
        <v>44.87</v>
      </c>
      <c r="N19" s="55">
        <v>804.40</v>
      </c>
      <c r="O19" s="55">
        <v>0</v>
      </c>
      <c r="P19" s="55">
        <v>0.79</v>
      </c>
      <c r="Q19" s="55">
        <v>9.41</v>
      </c>
      <c r="R19" s="43"/>
      <c r="S19" s="43"/>
      <c r="T19" s="43"/>
      <c r="U19" s="43"/>
    </row>
    <row r="20" spans="1:21" s="11" customFormat="1" ht="15">
      <c r="A20" s="54" t="s">
        <v>433</v>
      </c>
      <c r="B20" s="55">
        <v>8.32</v>
      </c>
      <c r="C20" s="55">
        <v>3.82</v>
      </c>
      <c r="D20" s="55">
        <v>12.44</v>
      </c>
      <c r="E20" s="55">
        <v>4.4400000000000004</v>
      </c>
      <c r="F20" s="55">
        <v>8.74</v>
      </c>
      <c r="G20" s="55">
        <v>79.92</v>
      </c>
      <c r="H20" s="55">
        <v>28.93</v>
      </c>
      <c r="I20" s="55">
        <v>4.8099999999999996</v>
      </c>
      <c r="J20" s="55">
        <v>1.01</v>
      </c>
      <c r="K20" s="55">
        <v>352.49</v>
      </c>
      <c r="L20" s="55">
        <v>36.53</v>
      </c>
      <c r="M20" s="55">
        <v>37.56</v>
      </c>
      <c r="N20" s="55">
        <v>856.80</v>
      </c>
      <c r="O20" s="55">
        <v>0</v>
      </c>
      <c r="P20" s="55">
        <v>0.72</v>
      </c>
      <c r="Q20" s="55">
        <v>9.5</v>
      </c>
      <c r="R20" s="43"/>
      <c r="S20" s="43"/>
      <c r="T20" s="43"/>
      <c r="U20" s="43"/>
    </row>
    <row r="21" spans="1:21" s="11" customFormat="1" ht="15">
      <c r="A21" s="54" t="s">
        <v>434</v>
      </c>
      <c r="B21" s="55">
        <v>8.27</v>
      </c>
      <c r="C21" s="55">
        <v>3.74</v>
      </c>
      <c r="D21" s="55">
        <v>12.37</v>
      </c>
      <c r="E21" s="55">
        <v>3.93</v>
      </c>
      <c r="F21" s="55">
        <v>9.07</v>
      </c>
      <c r="G21" s="55">
        <v>68.23</v>
      </c>
      <c r="H21" s="55">
        <v>32.89</v>
      </c>
      <c r="I21" s="55">
        <v>4.3899999999999997</v>
      </c>
      <c r="J21" s="55">
        <v>0.43</v>
      </c>
      <c r="K21" s="55">
        <v>178.90</v>
      </c>
      <c r="L21" s="55">
        <v>35.83</v>
      </c>
      <c r="M21" s="55">
        <v>37.49</v>
      </c>
      <c r="N21" s="55">
        <v>841.30</v>
      </c>
      <c r="O21" s="55">
        <v>0</v>
      </c>
      <c r="P21" s="55">
        <v>0.67</v>
      </c>
      <c r="Q21" s="55">
        <v>9.4499999999999993</v>
      </c>
      <c r="R21" s="43"/>
      <c r="S21" s="43"/>
      <c r="T21" s="43"/>
      <c r="U21" s="43"/>
    </row>
    <row r="22" spans="1:21" s="11" customFormat="1" ht="15">
      <c r="A22" s="54" t="s">
        <v>435</v>
      </c>
      <c r="B22" s="55">
        <v>8.27</v>
      </c>
      <c r="C22" s="55">
        <v>3.65</v>
      </c>
      <c r="D22" s="55">
        <v>12.31</v>
      </c>
      <c r="E22" s="55">
        <v>4.03</v>
      </c>
      <c r="F22" s="55">
        <v>10.32</v>
      </c>
      <c r="G22" s="55">
        <v>68.23</v>
      </c>
      <c r="H22" s="55">
        <v>32.89</v>
      </c>
      <c r="I22" s="55">
        <v>3.91</v>
      </c>
      <c r="J22" s="55">
        <v>0.5</v>
      </c>
      <c r="K22" s="55">
        <v>138.85</v>
      </c>
      <c r="L22" s="55">
        <v>36.26</v>
      </c>
      <c r="M22" s="55">
        <v>37.71</v>
      </c>
      <c r="N22" s="55">
        <v>729.20</v>
      </c>
      <c r="O22" s="55">
        <v>0</v>
      </c>
      <c r="P22" s="55">
        <v>0.52</v>
      </c>
      <c r="Q22" s="55">
        <v>9.39</v>
      </c>
      <c r="R22" s="43"/>
      <c r="S22" s="43"/>
      <c r="T22" s="43"/>
      <c r="U22" s="43"/>
    </row>
    <row r="23" spans="1:21" s="11" customFormat="1" ht="15">
      <c r="A23" s="54" t="s">
        <v>436</v>
      </c>
      <c r="B23" s="55">
        <v>8.16</v>
      </c>
      <c r="C23" s="55">
        <v>3.27</v>
      </c>
      <c r="D23" s="55">
        <v>12.03</v>
      </c>
      <c r="E23" s="55">
        <v>4.1500000000000004</v>
      </c>
      <c r="F23" s="55">
        <v>10.28</v>
      </c>
      <c r="G23" s="55">
        <v>67.11</v>
      </c>
      <c r="H23" s="55">
        <v>30.58</v>
      </c>
      <c r="I23" s="55">
        <v>3.46</v>
      </c>
      <c r="J23" s="55">
        <v>0.63</v>
      </c>
      <c r="K23" s="55">
        <v>205.53</v>
      </c>
      <c r="L23" s="55">
        <v>36.43</v>
      </c>
      <c r="M23" s="55">
        <v>36.17</v>
      </c>
      <c r="N23" s="55">
        <v>651.5</v>
      </c>
      <c r="O23" s="55">
        <v>0</v>
      </c>
      <c r="P23" s="55">
        <v>0.40</v>
      </c>
      <c r="Q23" s="55">
        <v>9.39</v>
      </c>
      <c r="R23" s="43"/>
      <c r="S23" s="43"/>
      <c r="T23" s="43"/>
      <c r="U23" s="43"/>
    </row>
    <row r="24" spans="1:21" s="11" customFormat="1" ht="15">
      <c r="A24" s="54" t="s">
        <v>437</v>
      </c>
      <c r="B24" s="55">
        <v>8.3000000000000007</v>
      </c>
      <c r="C24" s="55">
        <v>3.57</v>
      </c>
      <c r="D24" s="55">
        <v>12.30</v>
      </c>
      <c r="E24" s="55">
        <v>4.20</v>
      </c>
      <c r="F24" s="55">
        <v>11.08</v>
      </c>
      <c r="G24" s="55">
        <v>59.89</v>
      </c>
      <c r="H24" s="55">
        <v>29.17</v>
      </c>
      <c r="I24" s="55">
        <v>3.49</v>
      </c>
      <c r="J24" s="55">
        <v>1.97</v>
      </c>
      <c r="K24" s="55">
        <v>357.04</v>
      </c>
      <c r="L24" s="55">
        <v>36.5</v>
      </c>
      <c r="M24" s="55">
        <v>37.82</v>
      </c>
      <c r="N24" s="55">
        <v>229.5</v>
      </c>
      <c r="O24" s="55">
        <v>0</v>
      </c>
      <c r="P24" s="55">
        <v>0.32</v>
      </c>
      <c r="Q24" s="55">
        <v>9.34</v>
      </c>
      <c r="R24" s="43"/>
      <c r="S24" s="43"/>
      <c r="T24" s="43"/>
      <c r="U24" s="43"/>
    </row>
    <row r="25" spans="1:21" s="11" customFormat="1" ht="15">
      <c r="A25" s="54" t="s">
        <v>438</v>
      </c>
      <c r="B25" s="55">
        <v>8.33</v>
      </c>
      <c r="C25" s="55">
        <v>3.76</v>
      </c>
      <c r="D25" s="55">
        <v>12.42</v>
      </c>
      <c r="E25" s="55">
        <v>3.85</v>
      </c>
      <c r="F25" s="55">
        <v>7.75</v>
      </c>
      <c r="G25" s="55">
        <v>67.66</v>
      </c>
      <c r="H25" s="55">
        <v>27.93</v>
      </c>
      <c r="I25" s="55">
        <v>3.10</v>
      </c>
      <c r="J25" s="55">
        <v>2.15</v>
      </c>
      <c r="K25" s="55">
        <v>314.08</v>
      </c>
      <c r="L25" s="55">
        <v>33.90</v>
      </c>
      <c r="M25" s="55">
        <v>40.74</v>
      </c>
      <c r="N25" s="55">
        <v>117.40</v>
      </c>
      <c r="O25" s="55">
        <v>0</v>
      </c>
      <c r="P25" s="55">
        <v>0.28999999999999998</v>
      </c>
      <c r="Q25" s="55">
        <v>9.43</v>
      </c>
      <c r="R25" s="43"/>
      <c r="S25" s="43"/>
      <c r="T25" s="43"/>
      <c r="U25" s="43"/>
    </row>
    <row r="26" spans="1:21" s="11" customFormat="1" ht="15">
      <c r="A26" s="54" t="s">
        <v>439</v>
      </c>
      <c r="B26" s="55">
        <v>8.34</v>
      </c>
      <c r="C26" s="55">
        <v>4.0199999999999996</v>
      </c>
      <c r="D26" s="55">
        <v>12.57</v>
      </c>
      <c r="E26" s="55">
        <v>4.3099999999999996</v>
      </c>
      <c r="F26" s="55">
        <v>6.44</v>
      </c>
      <c r="G26" s="55">
        <v>72.97</v>
      </c>
      <c r="H26" s="55">
        <v>18.54</v>
      </c>
      <c r="I26" s="55">
        <v>2.31</v>
      </c>
      <c r="J26" s="55">
        <v>1.59</v>
      </c>
      <c r="K26" s="55">
        <v>342.56</v>
      </c>
      <c r="L26" s="55">
        <v>33.04</v>
      </c>
      <c r="M26" s="55">
        <v>41.02</v>
      </c>
      <c r="N26" s="55">
        <v>84</v>
      </c>
      <c r="O26" s="55">
        <v>0</v>
      </c>
      <c r="P26" s="55">
        <v>0.36</v>
      </c>
      <c r="Q26" s="55">
        <v>9.44</v>
      </c>
      <c r="R26" s="43"/>
      <c r="S26" s="43"/>
      <c r="T26" s="43"/>
      <c r="U26" s="43"/>
    </row>
    <row r="27" spans="1:21" s="11" customFormat="1" ht="15">
      <c r="A27" s="54" t="s">
        <v>440</v>
      </c>
      <c r="B27" s="55">
        <v>8.17</v>
      </c>
      <c r="C27" s="55">
        <v>3.24</v>
      </c>
      <c r="D27" s="55">
        <v>12.02</v>
      </c>
      <c r="E27" s="55">
        <v>3.83</v>
      </c>
      <c r="F27" s="55">
        <v>4.51</v>
      </c>
      <c r="G27" s="55">
        <v>78.97</v>
      </c>
      <c r="H27" s="55">
        <v>26.81</v>
      </c>
      <c r="I27" s="55">
        <v>2.67</v>
      </c>
      <c r="J27" s="55">
        <v>1.93</v>
      </c>
      <c r="K27" s="55">
        <v>341.35</v>
      </c>
      <c r="L27" s="55">
        <v>31.75</v>
      </c>
      <c r="M27" s="55">
        <v>47.26</v>
      </c>
      <c r="N27" s="55">
        <v>36.40</v>
      </c>
      <c r="O27" s="55">
        <v>0</v>
      </c>
      <c r="P27" s="55">
        <v>0.47</v>
      </c>
      <c r="Q27" s="55">
        <v>9.4499999999999993</v>
      </c>
      <c r="R27" s="43"/>
      <c r="S27" s="43"/>
      <c r="T27" s="43"/>
      <c r="U27" s="43"/>
    </row>
    <row r="28" spans="1:21" s="11" customFormat="1" ht="15">
      <c r="A28" s="54" t="s">
        <v>441</v>
      </c>
      <c r="B28" s="55">
        <v>8.33</v>
      </c>
      <c r="C28" s="55">
        <v>3.60</v>
      </c>
      <c r="D28" s="55">
        <v>12.33</v>
      </c>
      <c r="E28" s="55">
        <v>5.26</v>
      </c>
      <c r="F28" s="55">
        <v>3.88</v>
      </c>
      <c r="G28" s="55">
        <v>94.29</v>
      </c>
      <c r="H28" s="55">
        <v>31.94</v>
      </c>
      <c r="I28" s="55">
        <v>4.1100000000000003</v>
      </c>
      <c r="J28" s="55">
        <v>1.22</v>
      </c>
      <c r="K28" s="55">
        <v>338.78</v>
      </c>
      <c r="L28" s="55">
        <v>30.49</v>
      </c>
      <c r="M28" s="55">
        <v>50.27</v>
      </c>
      <c r="N28" s="55">
        <v>18.5</v>
      </c>
      <c r="O28" s="55">
        <v>0</v>
      </c>
      <c r="P28" s="55">
        <v>0.62</v>
      </c>
      <c r="Q28" s="55">
        <v>9.5</v>
      </c>
      <c r="R28" s="43"/>
      <c r="S28" s="43"/>
      <c r="T28" s="43"/>
      <c r="U28" s="43"/>
    </row>
    <row r="29" spans="1:21" s="11" customFormat="1" ht="15">
      <c r="A29" s="54" t="s">
        <v>442</v>
      </c>
      <c r="B29" s="55">
        <v>8.57</v>
      </c>
      <c r="C29" s="55">
        <v>4.22</v>
      </c>
      <c r="D29" s="55">
        <v>12.85</v>
      </c>
      <c r="E29" s="55">
        <v>4.58</v>
      </c>
      <c r="F29" s="55">
        <v>3.98</v>
      </c>
      <c r="G29" s="55">
        <v>97.89</v>
      </c>
      <c r="H29" s="55">
        <v>33.71</v>
      </c>
      <c r="I29" s="55">
        <v>4.9400000000000004</v>
      </c>
      <c r="J29" s="55">
        <v>0.72</v>
      </c>
      <c r="K29" s="55">
        <v>337.29</v>
      </c>
      <c r="L29" s="55">
        <v>30.36</v>
      </c>
      <c r="M29" s="55">
        <v>50.54</v>
      </c>
      <c r="N29" s="55">
        <v>18.5</v>
      </c>
      <c r="O29" s="55">
        <v>0</v>
      </c>
      <c r="P29" s="55">
        <v>0.69</v>
      </c>
      <c r="Q29" s="55">
        <v>9.67</v>
      </c>
      <c r="R29" s="43"/>
      <c r="S29" s="43"/>
      <c r="T29" s="43"/>
      <c r="U29" s="43"/>
    </row>
    <row r="30" spans="1:21" s="11" customFormat="1" ht="15">
      <c r="A30" s="54" t="s">
        <v>443</v>
      </c>
      <c r="B30" s="55">
        <v>8.32</v>
      </c>
      <c r="C30" s="55">
        <v>3.60</v>
      </c>
      <c r="D30" s="55">
        <v>12.33</v>
      </c>
      <c r="E30" s="55">
        <v>4.78</v>
      </c>
      <c r="F30" s="55">
        <v>3.61</v>
      </c>
      <c r="G30" s="55">
        <v>97.89</v>
      </c>
      <c r="H30" s="55">
        <v>33.71</v>
      </c>
      <c r="I30" s="55">
        <v>5.21</v>
      </c>
      <c r="J30" s="55">
        <v>0.62</v>
      </c>
      <c r="K30" s="55">
        <v>324.95999999999998</v>
      </c>
      <c r="L30" s="55">
        <v>30.15</v>
      </c>
      <c r="M30" s="55">
        <v>52.99</v>
      </c>
      <c r="N30" s="55">
        <v>18.399999999999999</v>
      </c>
      <c r="O30" s="55">
        <v>0</v>
      </c>
      <c r="P30" s="55">
        <v>0.72</v>
      </c>
      <c r="Q30" s="55">
        <v>9.7100000000000009</v>
      </c>
      <c r="R30" s="43"/>
      <c r="S30" s="43"/>
      <c r="T30" s="43"/>
      <c r="U30" s="43"/>
    </row>
    <row r="31" spans="1:21" s="11" customFormat="1" ht="15">
      <c r="A31" s="54" t="s">
        <v>444</v>
      </c>
      <c r="B31" s="55">
        <v>8.5299999999999994</v>
      </c>
      <c r="C31" s="55">
        <v>4.2300000000000004</v>
      </c>
      <c r="D31" s="55">
        <v>12.83</v>
      </c>
      <c r="E31" s="55">
        <v>4.45</v>
      </c>
      <c r="F31" s="55">
        <v>4.22</v>
      </c>
      <c r="G31" s="55">
        <v>86.36</v>
      </c>
      <c r="H31" s="55">
        <v>27.73</v>
      </c>
      <c r="I31" s="55">
        <v>5.13</v>
      </c>
      <c r="J31" s="55">
        <v>0.60</v>
      </c>
      <c r="K31" s="55">
        <v>20.21</v>
      </c>
      <c r="L31" s="55">
        <v>29.90</v>
      </c>
      <c r="M31" s="55">
        <v>53.34</v>
      </c>
      <c r="N31" s="55">
        <v>18.600000000000001</v>
      </c>
      <c r="O31" s="55">
        <v>0</v>
      </c>
      <c r="P31" s="55">
        <v>0.68</v>
      </c>
      <c r="Q31" s="55">
        <v>9.6999999999999993</v>
      </c>
      <c r="R31" s="43"/>
      <c r="S31" s="43"/>
      <c r="T31" s="43"/>
      <c r="U31" s="43"/>
    </row>
    <row r="32" spans="1:21" s="11" customFormat="1" ht="15">
      <c r="A32" s="54" t="s">
        <v>445</v>
      </c>
      <c r="B32" s="55">
        <v>8.25</v>
      </c>
      <c r="C32" s="55">
        <v>3.35</v>
      </c>
      <c r="D32" s="55">
        <v>12.14</v>
      </c>
      <c r="E32" s="55">
        <v>4.3600000000000003</v>
      </c>
      <c r="F32" s="55">
        <v>4.8899999999999997</v>
      </c>
      <c r="G32" s="55">
        <v>76.33</v>
      </c>
      <c r="H32" s="55">
        <v>27.73</v>
      </c>
      <c r="I32" s="55">
        <v>4.3499999999999996</v>
      </c>
      <c r="J32" s="55">
        <v>0.55000000000000004</v>
      </c>
      <c r="K32" s="55">
        <v>25.30</v>
      </c>
      <c r="L32" s="55">
        <v>29.87</v>
      </c>
      <c r="M32" s="55">
        <v>52.43</v>
      </c>
      <c r="N32" s="55">
        <v>18.5</v>
      </c>
      <c r="O32" s="55">
        <v>0</v>
      </c>
      <c r="P32" s="55">
        <v>0.56000000000000005</v>
      </c>
      <c r="Q32" s="55">
        <v>9.5399999999999991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8.1600000000000001</v>
      </c>
      <c r="C34" s="28">
        <f t="shared" si="0"/>
        <v>3.2200000000000002</v>
      </c>
      <c r="D34" s="28">
        <f t="shared" si="0"/>
        <v>12.02</v>
      </c>
      <c r="E34" s="28">
        <f t="shared" si="0"/>
        <v>3.1800000000000002</v>
      </c>
      <c r="F34" s="28">
        <f t="shared" si="0"/>
        <v>3.6099999999999999</v>
      </c>
      <c r="G34" s="28">
        <f t="shared" si="0"/>
        <v>29.32</v>
      </c>
      <c r="H34" s="28">
        <f t="shared" si="0"/>
        <v>13.859999999999999</v>
      </c>
      <c r="I34" s="28">
        <f t="shared" si="0"/>
        <v>1.51</v>
      </c>
      <c r="J34" s="28">
        <f t="shared" si="0"/>
        <v>0.42999999999999999</v>
      </c>
      <c r="K34" s="28">
        <f t="shared" si="0"/>
        <v>20.210000000000001</v>
      </c>
      <c r="L34" s="28">
        <f t="shared" si="0"/>
        <v>24.93</v>
      </c>
      <c r="M34" s="28">
        <f t="shared" si="0"/>
        <v>36.170000000000002</v>
      </c>
      <c r="N34" s="28">
        <f t="shared" si="0"/>
        <v>16.800000000000001</v>
      </c>
      <c r="O34" s="28">
        <f t="shared" si="0"/>
        <v>0</v>
      </c>
      <c r="P34" s="28">
        <f t="shared" si="0"/>
        <v>0.20999999999999999</v>
      </c>
      <c r="Q34" s="28">
        <f t="shared" si="0"/>
        <v>9.3399999999999999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8.5700000000000003</v>
      </c>
      <c r="C35" s="29">
        <f t="shared" si="1"/>
        <v>4.3499999999999996</v>
      </c>
      <c r="D35" s="29">
        <f t="shared" si="1"/>
        <v>12.85</v>
      </c>
      <c r="E35" s="29">
        <f t="shared" si="1"/>
        <v>5.5199999999999996</v>
      </c>
      <c r="F35" s="29">
        <f t="shared" si="1"/>
        <v>11.08</v>
      </c>
      <c r="G35" s="29">
        <f t="shared" si="1"/>
        <v>97.890000000000001</v>
      </c>
      <c r="H35" s="29">
        <f t="shared" si="1"/>
        <v>33.710000000000001</v>
      </c>
      <c r="I35" s="29">
        <f t="shared" si="1"/>
        <v>5.21</v>
      </c>
      <c r="J35" s="29">
        <f t="shared" si="1"/>
        <v>2.1499999999999999</v>
      </c>
      <c r="K35" s="29">
        <f t="shared" si="1"/>
        <v>359.55000000000001</v>
      </c>
      <c r="L35" s="29">
        <f t="shared" si="1"/>
        <v>36.530000000000001</v>
      </c>
      <c r="M35" s="29">
        <f t="shared" si="1"/>
        <v>70.640000000000001</v>
      </c>
      <c r="N35" s="29">
        <f t="shared" si="1"/>
        <v>856.79999999999995</v>
      </c>
      <c r="O35" s="29">
        <f t="shared" si="1"/>
        <v>0</v>
      </c>
      <c r="P35" s="29">
        <f t="shared" si="1"/>
        <v>0.79000000000000004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8.3050000000000015</v>
      </c>
      <c r="C36" s="28">
        <f t="shared" si="2"/>
        <v>3.6329166666666661</v>
      </c>
      <c r="D36" s="28">
        <f t="shared" si="2"/>
        <v>12.33375</v>
      </c>
      <c r="E36" s="28">
        <f t="shared" si="2"/>
        <v>4.3762499999999998</v>
      </c>
      <c r="F36" s="28">
        <f t="shared" si="2"/>
        <v>6.5712499999999991</v>
      </c>
      <c r="G36" s="28">
        <f t="shared" si="2"/>
        <v>63.092916666666667</v>
      </c>
      <c r="H36" s="28">
        <f t="shared" si="2"/>
        <v>25.183750000000003</v>
      </c>
      <c r="I36" s="28">
        <f t="shared" si="2"/>
        <v>3.5462500000000001</v>
      </c>
      <c r="J36" s="28">
        <f t="shared" si="2"/>
        <v>0.90375000000000016</v>
      </c>
      <c r="K36" s="28">
        <f t="shared" si="2"/>
        <v>256.92208333333338</v>
      </c>
      <c r="L36" s="28">
        <f t="shared" si="2"/>
        <v>30.711249999999996</v>
      </c>
      <c r="M36" s="28">
        <f t="shared" si="2"/>
        <v>52.138749999999995</v>
      </c>
      <c r="N36" s="28">
        <f t="shared" si="2"/>
        <v>256.21249999999998</v>
      </c>
      <c r="O36" s="28">
        <f t="shared" si="2"/>
        <v>0</v>
      </c>
      <c r="P36" s="28">
        <f t="shared" si="2"/>
        <v>0.46333333333333337</v>
      </c>
      <c r="Q36" s="28">
        <f t="shared" si="2"/>
        <v>9.4716666666666658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0.10574785433110645</v>
      </c>
      <c r="C37" s="28">
        <f t="shared" si="3" ref="C37:Q37">STDEV(C9:C32)</f>
        <v>0.34892978198145869</v>
      </c>
      <c r="D37" s="28">
        <f t="shared" si="3"/>
        <v>0.26246014190152051</v>
      </c>
      <c r="E37" s="28">
        <f t="shared" si="3"/>
        <v>0.70757892477278483</v>
      </c>
      <c r="F37" s="28">
        <f t="shared" si="3"/>
        <v>2.4295147350502084</v>
      </c>
      <c r="G37" s="28">
        <f t="shared" si="3"/>
        <v>22.09046488757706</v>
      </c>
      <c r="H37" s="28">
        <f t="shared" si="3"/>
        <v>6.6497949053041063</v>
      </c>
      <c r="I37" s="28">
        <f t="shared" si="3"/>
        <v>1.0670390258133466</v>
      </c>
      <c r="J37" s="28">
        <f t="shared" si="3"/>
        <v>0.52159298224806872</v>
      </c>
      <c r="K37" s="28">
        <f t="shared" si="3"/>
        <v>134.92032731044631</v>
      </c>
      <c r="L37" s="28">
        <f t="shared" si="3"/>
        <v>3.9716991353498834</v>
      </c>
      <c r="M37" s="28">
        <f t="shared" si="3"/>
        <v>11.489176499228959</v>
      </c>
      <c r="N37" s="28">
        <f t="shared" si="3"/>
        <v>317.90189943289653</v>
      </c>
      <c r="O37" s="28">
        <f t="shared" si="3"/>
        <v>0</v>
      </c>
      <c r="P37" s="28">
        <f t="shared" si="3"/>
        <v>0.20096866869515101</v>
      </c>
      <c r="Q37" s="28">
        <f t="shared" si="3"/>
        <v>0.098363419617409575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6c8091-7fa9-4e80-b51d-f249128631a2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446</v>
      </c>
      <c r="B9" s="55">
        <v>8.36</v>
      </c>
      <c r="C9" s="55">
        <v>3.72</v>
      </c>
      <c r="D9" s="55">
        <v>12.42</v>
      </c>
      <c r="E9" s="55">
        <v>3.61</v>
      </c>
      <c r="F9" s="55">
        <v>4.51</v>
      </c>
      <c r="G9" s="55">
        <v>71.92</v>
      </c>
      <c r="H9" s="55">
        <v>27</v>
      </c>
      <c r="I9" s="55">
        <v>3.90</v>
      </c>
      <c r="J9" s="55">
        <v>0.41</v>
      </c>
      <c r="K9" s="55">
        <v>63.40</v>
      </c>
      <c r="L9" s="55">
        <v>29.65</v>
      </c>
      <c r="M9" s="55">
        <v>54.24</v>
      </c>
      <c r="N9" s="55">
        <v>18.5</v>
      </c>
      <c r="O9" s="55">
        <v>0</v>
      </c>
      <c r="P9" s="55">
        <v>0.49</v>
      </c>
      <c r="Q9" s="55">
        <v>9.44</v>
      </c>
      <c r="R9" s="43"/>
      <c r="S9" s="43"/>
      <c r="T9" s="43"/>
      <c r="U9" s="43"/>
    </row>
    <row r="10" spans="1:21" s="11" customFormat="1" ht="15">
      <c r="A10" s="54" t="s">
        <v>447</v>
      </c>
      <c r="B10" s="55">
        <v>8.33</v>
      </c>
      <c r="C10" s="55">
        <v>3.68</v>
      </c>
      <c r="D10" s="55">
        <v>12.37</v>
      </c>
      <c r="E10" s="55">
        <v>3.49</v>
      </c>
      <c r="F10" s="55">
        <v>4.7699999999999996</v>
      </c>
      <c r="G10" s="55">
        <v>61.29</v>
      </c>
      <c r="H10" s="55">
        <v>23.87</v>
      </c>
      <c r="I10" s="55">
        <v>4.18</v>
      </c>
      <c r="J10" s="55">
        <v>0.43</v>
      </c>
      <c r="K10" s="55">
        <v>18.38</v>
      </c>
      <c r="L10" s="55">
        <v>29.67</v>
      </c>
      <c r="M10" s="55">
        <v>58.19</v>
      </c>
      <c r="N10" s="55">
        <v>18.70</v>
      </c>
      <c r="O10" s="55">
        <v>0</v>
      </c>
      <c r="P10" s="55">
        <v>0.42</v>
      </c>
      <c r="Q10" s="55">
        <v>9.48</v>
      </c>
      <c r="R10" s="43"/>
      <c r="S10" s="43"/>
      <c r="T10" s="43"/>
      <c r="U10" s="43"/>
    </row>
    <row r="11" spans="1:21" s="11" customFormat="1" ht="15">
      <c r="A11" s="54" t="s">
        <v>448</v>
      </c>
      <c r="B11" s="55">
        <v>8.2100000000000009</v>
      </c>
      <c r="C11" s="55">
        <v>3.32</v>
      </c>
      <c r="D11" s="55">
        <v>12.09</v>
      </c>
      <c r="E11" s="55">
        <v>3.44</v>
      </c>
      <c r="F11" s="55">
        <v>4.9000000000000004</v>
      </c>
      <c r="G11" s="55">
        <v>59</v>
      </c>
      <c r="H11" s="55">
        <v>20.86</v>
      </c>
      <c r="I11" s="55">
        <v>3.78</v>
      </c>
      <c r="J11" s="55">
        <v>0.32</v>
      </c>
      <c r="K11" s="55">
        <v>79.23</v>
      </c>
      <c r="L11" s="55">
        <v>29.30</v>
      </c>
      <c r="M11" s="55">
        <v>59.68</v>
      </c>
      <c r="N11" s="55">
        <v>18.600000000000001</v>
      </c>
      <c r="O11" s="55">
        <v>0</v>
      </c>
      <c r="P11" s="55">
        <v>0.37</v>
      </c>
      <c r="Q11" s="55">
        <v>9.49</v>
      </c>
      <c r="R11" s="43"/>
      <c r="S11" s="43"/>
      <c r="T11" s="43"/>
      <c r="U11" s="43"/>
    </row>
    <row r="12" spans="1:21" s="11" customFormat="1" ht="15">
      <c r="A12" s="54" t="s">
        <v>449</v>
      </c>
      <c r="B12" s="55">
        <v>8.3000000000000007</v>
      </c>
      <c r="C12" s="55">
        <v>3.53</v>
      </c>
      <c r="D12" s="55">
        <v>12.27</v>
      </c>
      <c r="E12" s="55">
        <v>4.26</v>
      </c>
      <c r="F12" s="55">
        <v>5.31</v>
      </c>
      <c r="G12" s="55">
        <v>48.36</v>
      </c>
      <c r="H12" s="55">
        <v>20.86</v>
      </c>
      <c r="I12" s="55">
        <v>3.70</v>
      </c>
      <c r="J12" s="55">
        <v>0.52</v>
      </c>
      <c r="K12" s="55">
        <v>353.97</v>
      </c>
      <c r="L12" s="55">
        <v>29.23</v>
      </c>
      <c r="M12" s="55">
        <v>59.03</v>
      </c>
      <c r="N12" s="55">
        <v>18.5</v>
      </c>
      <c r="O12" s="55">
        <v>0</v>
      </c>
      <c r="P12" s="55">
        <v>0.30</v>
      </c>
      <c r="Q12" s="55">
        <v>9.49</v>
      </c>
      <c r="R12" s="43"/>
      <c r="S12" s="43"/>
      <c r="T12" s="43"/>
      <c r="U12" s="43"/>
    </row>
    <row r="13" spans="1:21" s="11" customFormat="1" ht="15">
      <c r="A13" s="54" t="s">
        <v>450</v>
      </c>
      <c r="B13" s="55">
        <v>8.43</v>
      </c>
      <c r="C13" s="55">
        <v>3.85</v>
      </c>
      <c r="D13" s="55">
        <v>12.55</v>
      </c>
      <c r="E13" s="55">
        <v>4.6399999999999997</v>
      </c>
      <c r="F13" s="55">
        <v>4.1100000000000003</v>
      </c>
      <c r="G13" s="55">
        <v>46.13</v>
      </c>
      <c r="H13" s="55">
        <v>19.399999999999999</v>
      </c>
      <c r="I13" s="55">
        <v>3.65</v>
      </c>
      <c r="J13" s="55">
        <v>0.54</v>
      </c>
      <c r="K13" s="55">
        <v>339.09</v>
      </c>
      <c r="L13" s="55">
        <v>28.80</v>
      </c>
      <c r="M13" s="55">
        <v>60.49</v>
      </c>
      <c r="N13" s="55">
        <v>18.5</v>
      </c>
      <c r="O13" s="55">
        <v>0</v>
      </c>
      <c r="P13" s="55">
        <v>0.27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451</v>
      </c>
      <c r="B14" s="55">
        <v>8.2200000000000006</v>
      </c>
      <c r="C14" s="55">
        <v>3.21</v>
      </c>
      <c r="D14" s="55">
        <v>12.05</v>
      </c>
      <c r="E14" s="55">
        <v>4.75</v>
      </c>
      <c r="F14" s="55">
        <v>4.42</v>
      </c>
      <c r="G14" s="55">
        <v>46.13</v>
      </c>
      <c r="H14" s="55">
        <v>17.20</v>
      </c>
      <c r="I14" s="55">
        <v>4.80</v>
      </c>
      <c r="J14" s="55">
        <v>1.46</v>
      </c>
      <c r="K14" s="55">
        <v>184.83</v>
      </c>
      <c r="L14" s="55">
        <v>28.46</v>
      </c>
      <c r="M14" s="55">
        <v>60.91</v>
      </c>
      <c r="N14" s="55">
        <v>29.70</v>
      </c>
      <c r="O14" s="55">
        <v>0</v>
      </c>
      <c r="P14" s="55">
        <v>0.25</v>
      </c>
      <c r="Q14" s="55">
        <v>9.4700000000000006</v>
      </c>
      <c r="R14" s="43"/>
      <c r="S14" s="43"/>
      <c r="T14" s="43"/>
      <c r="U14" s="43"/>
    </row>
    <row r="15" spans="1:21" s="11" customFormat="1" ht="15">
      <c r="A15" s="54" t="s">
        <v>452</v>
      </c>
      <c r="B15" s="55">
        <v>8.2799999999999994</v>
      </c>
      <c r="C15" s="55">
        <v>3.51</v>
      </c>
      <c r="D15" s="55">
        <v>12.24</v>
      </c>
      <c r="E15" s="55">
        <v>4.79</v>
      </c>
      <c r="F15" s="55">
        <v>4.3600000000000003</v>
      </c>
      <c r="G15" s="55">
        <v>43.64</v>
      </c>
      <c r="H15" s="55">
        <v>15.57</v>
      </c>
      <c r="I15" s="55">
        <v>5.80</v>
      </c>
      <c r="J15" s="55">
        <v>3.43</v>
      </c>
      <c r="K15" s="55">
        <v>110.25</v>
      </c>
      <c r="L15" s="55">
        <v>28.36</v>
      </c>
      <c r="M15" s="55">
        <v>76.39</v>
      </c>
      <c r="N15" s="55">
        <v>53.30</v>
      </c>
      <c r="O15" s="55">
        <v>0</v>
      </c>
      <c r="P15" s="55">
        <v>0.25</v>
      </c>
      <c r="Q15" s="55">
        <v>9.5</v>
      </c>
      <c r="R15" s="43"/>
      <c r="S15" s="43"/>
      <c r="T15" s="43"/>
      <c r="U15" s="43"/>
    </row>
    <row r="16" spans="1:21" s="11" customFormat="1" ht="15">
      <c r="A16" s="54" t="s">
        <v>453</v>
      </c>
      <c r="B16" s="55">
        <v>8.32</v>
      </c>
      <c r="C16" s="55">
        <v>3.66</v>
      </c>
      <c r="D16" s="55">
        <v>12.36</v>
      </c>
      <c r="E16" s="55">
        <v>4.66</v>
      </c>
      <c r="F16" s="55">
        <v>4.78</v>
      </c>
      <c r="G16" s="55">
        <v>54.62</v>
      </c>
      <c r="H16" s="55">
        <v>15.57</v>
      </c>
      <c r="I16" s="55">
        <v>7.35</v>
      </c>
      <c r="J16" s="55">
        <v>2.16</v>
      </c>
      <c r="K16" s="55">
        <v>112.13</v>
      </c>
      <c r="L16" s="55">
        <v>26.28</v>
      </c>
      <c r="M16" s="55">
        <v>76.709999999999994</v>
      </c>
      <c r="N16" s="55">
        <v>91.10</v>
      </c>
      <c r="O16" s="55">
        <v>0</v>
      </c>
      <c r="P16" s="55">
        <v>0.28000000000000003</v>
      </c>
      <c r="Q16" s="55">
        <v>9.51</v>
      </c>
      <c r="R16" s="43"/>
      <c r="S16" s="43"/>
      <c r="T16" s="43"/>
      <c r="U16" s="43"/>
    </row>
    <row r="17" spans="1:21" s="11" customFormat="1" ht="15">
      <c r="A17" s="54" t="s">
        <v>454</v>
      </c>
      <c r="B17" s="55">
        <v>8.35</v>
      </c>
      <c r="C17" s="55">
        <v>3.73</v>
      </c>
      <c r="D17" s="55">
        <v>12.42</v>
      </c>
      <c r="E17" s="55">
        <v>4.74</v>
      </c>
      <c r="F17" s="55">
        <v>4.87</v>
      </c>
      <c r="G17" s="55">
        <v>54.62</v>
      </c>
      <c r="H17" s="55">
        <v>15.38</v>
      </c>
      <c r="I17" s="55">
        <v>7.12</v>
      </c>
      <c r="J17" s="55">
        <v>1.01</v>
      </c>
      <c r="K17" s="55">
        <v>144.77000000000001</v>
      </c>
      <c r="L17" s="55">
        <v>27.86</v>
      </c>
      <c r="M17" s="55">
        <v>73.099999999999994</v>
      </c>
      <c r="N17" s="55">
        <v>251.80</v>
      </c>
      <c r="O17" s="55">
        <v>0</v>
      </c>
      <c r="P17" s="55">
        <v>0.28000000000000003</v>
      </c>
      <c r="Q17" s="55">
        <v>9.49</v>
      </c>
      <c r="R17" s="43"/>
      <c r="S17" s="43"/>
      <c r="T17" s="43"/>
      <c r="U17" s="43"/>
    </row>
    <row r="18" spans="1:21" s="11" customFormat="1" ht="15">
      <c r="A18" s="54" t="s">
        <v>455</v>
      </c>
      <c r="B18" s="55">
        <v>8.2200000000000006</v>
      </c>
      <c r="C18" s="55">
        <v>3.24</v>
      </c>
      <c r="D18" s="55">
        <v>12.06</v>
      </c>
      <c r="E18" s="55">
        <v>4.7699999999999996</v>
      </c>
      <c r="F18" s="55">
        <v>3.98</v>
      </c>
      <c r="G18" s="55">
        <v>50.15</v>
      </c>
      <c r="H18" s="55">
        <v>15.46</v>
      </c>
      <c r="I18" s="55">
        <v>6.54</v>
      </c>
      <c r="J18" s="55">
        <v>1.31</v>
      </c>
      <c r="K18" s="55">
        <v>152.74</v>
      </c>
      <c r="L18" s="55">
        <v>28.99</v>
      </c>
      <c r="M18" s="55">
        <v>66.900000000000006</v>
      </c>
      <c r="N18" s="55">
        <v>395.70</v>
      </c>
      <c r="O18" s="55">
        <v>0</v>
      </c>
      <c r="P18" s="55">
        <v>0.28000000000000003</v>
      </c>
      <c r="Q18" s="55">
        <v>9.4499999999999993</v>
      </c>
      <c r="R18" s="43"/>
      <c r="S18" s="43"/>
      <c r="T18" s="43"/>
      <c r="U18" s="43"/>
    </row>
    <row r="19" spans="1:21" s="11" customFormat="1" ht="15">
      <c r="A19" s="54" t="s">
        <v>456</v>
      </c>
      <c r="B19" s="55">
        <v>8.3000000000000007</v>
      </c>
      <c r="C19" s="55">
        <v>3.55</v>
      </c>
      <c r="D19" s="55">
        <v>12.29</v>
      </c>
      <c r="E19" s="55">
        <v>4.9000000000000004</v>
      </c>
      <c r="F19" s="55">
        <v>4.78</v>
      </c>
      <c r="G19" s="55">
        <v>47.85</v>
      </c>
      <c r="H19" s="55">
        <v>15.46</v>
      </c>
      <c r="I19" s="55">
        <v>6.93</v>
      </c>
      <c r="J19" s="55">
        <v>1.39</v>
      </c>
      <c r="K19" s="55">
        <v>344.56</v>
      </c>
      <c r="L19" s="55">
        <v>34.01</v>
      </c>
      <c r="M19" s="55">
        <v>61.82</v>
      </c>
      <c r="N19" s="55">
        <v>498.90</v>
      </c>
      <c r="O19" s="55">
        <v>0</v>
      </c>
      <c r="P19" s="55">
        <v>0.32</v>
      </c>
      <c r="Q19" s="55">
        <v>9.49</v>
      </c>
      <c r="R19" s="43"/>
      <c r="S19" s="43"/>
      <c r="T19" s="43"/>
      <c r="U19" s="43"/>
    </row>
    <row r="20" spans="1:21" s="11" customFormat="1" ht="15">
      <c r="A20" s="54" t="s">
        <v>457</v>
      </c>
      <c r="B20" s="55">
        <v>8.3699999999999992</v>
      </c>
      <c r="C20" s="55">
        <v>3.82</v>
      </c>
      <c r="D20" s="55">
        <v>12.48</v>
      </c>
      <c r="E20" s="55">
        <v>4.6100000000000003</v>
      </c>
      <c r="F20" s="55">
        <v>5.26</v>
      </c>
      <c r="G20" s="55">
        <v>50.96</v>
      </c>
      <c r="H20" s="55">
        <v>19.47</v>
      </c>
      <c r="I20" s="55">
        <v>6.85</v>
      </c>
      <c r="J20" s="55">
        <v>1.27</v>
      </c>
      <c r="K20" s="55">
        <v>345.11</v>
      </c>
      <c r="L20" s="55">
        <v>34.01</v>
      </c>
      <c r="M20" s="55">
        <v>52.65</v>
      </c>
      <c r="N20" s="55">
        <v>434.40</v>
      </c>
      <c r="O20" s="55">
        <v>0</v>
      </c>
      <c r="P20" s="55">
        <v>0.43</v>
      </c>
      <c r="Q20" s="55">
        <v>9.5299999999999994</v>
      </c>
      <c r="R20" s="43"/>
      <c r="S20" s="43"/>
      <c r="T20" s="43"/>
      <c r="U20" s="43"/>
    </row>
    <row r="21" spans="1:21" s="11" customFormat="1" ht="15">
      <c r="A21" s="54" t="s">
        <v>458</v>
      </c>
      <c r="B21" s="55">
        <v>8.19</v>
      </c>
      <c r="C21" s="55">
        <v>3.32</v>
      </c>
      <c r="D21" s="55">
        <v>12.08</v>
      </c>
      <c r="E21" s="55">
        <v>4.1399999999999997</v>
      </c>
      <c r="F21" s="55">
        <v>6.51</v>
      </c>
      <c r="G21" s="55">
        <v>78.78</v>
      </c>
      <c r="H21" s="55">
        <v>29.49</v>
      </c>
      <c r="I21" s="55">
        <v>6.14</v>
      </c>
      <c r="J21" s="55">
        <v>1.22</v>
      </c>
      <c r="K21" s="55">
        <v>355.95</v>
      </c>
      <c r="L21" s="55">
        <v>36.06</v>
      </c>
      <c r="M21" s="55">
        <v>53.01</v>
      </c>
      <c r="N21" s="55">
        <v>636.29999999999995</v>
      </c>
      <c r="O21" s="55">
        <v>0</v>
      </c>
      <c r="P21" s="55">
        <v>0.49</v>
      </c>
      <c r="Q21" s="55">
        <v>9.51</v>
      </c>
      <c r="R21" s="43"/>
      <c r="S21" s="43"/>
      <c r="T21" s="43"/>
      <c r="U21" s="43"/>
    </row>
    <row r="22" spans="1:21" s="11" customFormat="1" ht="15">
      <c r="A22" s="54" t="s">
        <v>459</v>
      </c>
      <c r="B22" s="55">
        <v>8.44</v>
      </c>
      <c r="C22" s="55">
        <v>4.28</v>
      </c>
      <c r="D22" s="55">
        <v>12.78</v>
      </c>
      <c r="E22" s="55">
        <v>4.6100000000000003</v>
      </c>
      <c r="F22" s="55">
        <v>6.5</v>
      </c>
      <c r="G22" s="55">
        <v>89.13</v>
      </c>
      <c r="H22" s="55">
        <v>33.840000000000003</v>
      </c>
      <c r="I22" s="55">
        <v>5.84</v>
      </c>
      <c r="J22" s="55">
        <v>0.69</v>
      </c>
      <c r="K22" s="55">
        <v>343.99</v>
      </c>
      <c r="L22" s="55">
        <v>36.380000000000003</v>
      </c>
      <c r="M22" s="55">
        <v>41.19</v>
      </c>
      <c r="N22" s="55">
        <v>750.10</v>
      </c>
      <c r="O22" s="55">
        <v>0</v>
      </c>
      <c r="P22" s="55">
        <v>0.52</v>
      </c>
      <c r="Q22" s="55">
        <v>9.43</v>
      </c>
      <c r="R22" s="43"/>
      <c r="S22" s="43"/>
      <c r="T22" s="43"/>
      <c r="U22" s="43"/>
    </row>
    <row r="23" spans="1:21" s="11" customFormat="1" ht="15">
      <c r="A23" s="54" t="s">
        <v>460</v>
      </c>
      <c r="B23" s="55">
        <v>8.1999999999999993</v>
      </c>
      <c r="C23" s="55">
        <v>3.20</v>
      </c>
      <c r="D23" s="55">
        <v>12.01</v>
      </c>
      <c r="E23" s="55">
        <v>4.46</v>
      </c>
      <c r="F23" s="55">
        <v>6.31</v>
      </c>
      <c r="G23" s="55">
        <v>89.13</v>
      </c>
      <c r="H23" s="55">
        <v>36.5</v>
      </c>
      <c r="I23" s="55">
        <v>6.44</v>
      </c>
      <c r="J23" s="55">
        <v>2.0099999999999998</v>
      </c>
      <c r="K23" s="55">
        <v>346.14</v>
      </c>
      <c r="L23" s="55">
        <v>36.520000000000003</v>
      </c>
      <c r="M23" s="55">
        <v>38.409999999999997</v>
      </c>
      <c r="N23" s="55">
        <v>489.80</v>
      </c>
      <c r="O23" s="55">
        <v>0</v>
      </c>
      <c r="P23" s="55">
        <v>0.53</v>
      </c>
      <c r="Q23" s="55">
        <v>9.43</v>
      </c>
      <c r="R23" s="43"/>
      <c r="S23" s="43"/>
      <c r="T23" s="43"/>
      <c r="U23" s="43"/>
    </row>
    <row r="24" spans="1:21" s="11" customFormat="1" ht="15">
      <c r="A24" s="54" t="s">
        <v>461</v>
      </c>
      <c r="B24" s="55">
        <v>8.32</v>
      </c>
      <c r="C24" s="55">
        <v>3.85</v>
      </c>
      <c r="D24" s="55">
        <v>12.46</v>
      </c>
      <c r="E24" s="55">
        <v>4.7699999999999996</v>
      </c>
      <c r="F24" s="55">
        <v>6.19</v>
      </c>
      <c r="G24" s="55">
        <v>90.31</v>
      </c>
      <c r="H24" s="55">
        <v>36.5</v>
      </c>
      <c r="I24" s="55">
        <v>6.52</v>
      </c>
      <c r="J24" s="55">
        <v>2.16</v>
      </c>
      <c r="K24" s="55">
        <v>339.61</v>
      </c>
      <c r="L24" s="55">
        <v>36.159999999999997</v>
      </c>
      <c r="M24" s="55">
        <v>43.62</v>
      </c>
      <c r="N24" s="55">
        <v>346.40</v>
      </c>
      <c r="O24" s="55">
        <v>0</v>
      </c>
      <c r="P24" s="55">
        <v>0.56000000000000005</v>
      </c>
      <c r="Q24" s="55">
        <v>9.5299999999999994</v>
      </c>
      <c r="R24" s="43"/>
      <c r="S24" s="43"/>
      <c r="T24" s="43"/>
      <c r="U24" s="43"/>
    </row>
    <row r="25" spans="1:21" s="11" customFormat="1" ht="15">
      <c r="A25" s="54" t="s">
        <v>462</v>
      </c>
      <c r="B25" s="55">
        <v>8.1999999999999993</v>
      </c>
      <c r="C25" s="55">
        <v>3.42</v>
      </c>
      <c r="D25" s="55">
        <v>12.14</v>
      </c>
      <c r="E25" s="55">
        <v>5.42</v>
      </c>
      <c r="F25" s="55">
        <v>6.21</v>
      </c>
      <c r="G25" s="55">
        <v>94.04</v>
      </c>
      <c r="H25" s="55">
        <v>35.64</v>
      </c>
      <c r="I25" s="55">
        <v>5.64</v>
      </c>
      <c r="J25" s="55">
        <v>2.08</v>
      </c>
      <c r="K25" s="55">
        <v>346.31</v>
      </c>
      <c r="L25" s="55">
        <v>34.17</v>
      </c>
      <c r="M25" s="55">
        <v>48.97</v>
      </c>
      <c r="N25" s="55">
        <v>177.90</v>
      </c>
      <c r="O25" s="55">
        <v>0</v>
      </c>
      <c r="P25" s="55">
        <v>0.59</v>
      </c>
      <c r="Q25" s="55">
        <v>9.51</v>
      </c>
      <c r="R25" s="43"/>
      <c r="S25" s="43"/>
      <c r="T25" s="43"/>
      <c r="U25" s="43"/>
    </row>
    <row r="26" spans="1:21" s="11" customFormat="1" ht="15">
      <c r="A26" s="54" t="s">
        <v>463</v>
      </c>
      <c r="B26" s="55">
        <v>8.43</v>
      </c>
      <c r="C26" s="55">
        <v>4.34</v>
      </c>
      <c r="D26" s="55">
        <v>12.80</v>
      </c>
      <c r="E26" s="55">
        <v>5.30</v>
      </c>
      <c r="F26" s="55">
        <v>4.9800000000000004</v>
      </c>
      <c r="G26" s="55">
        <v>102.96</v>
      </c>
      <c r="H26" s="55">
        <v>35.64</v>
      </c>
      <c r="I26" s="55">
        <v>4.67</v>
      </c>
      <c r="J26" s="55">
        <v>1.91</v>
      </c>
      <c r="K26" s="55">
        <v>347.79</v>
      </c>
      <c r="L26" s="55">
        <v>32.21</v>
      </c>
      <c r="M26" s="55">
        <v>49.61</v>
      </c>
      <c r="N26" s="55">
        <v>57.70</v>
      </c>
      <c r="O26" s="55">
        <v>0</v>
      </c>
      <c r="P26" s="55">
        <v>0.67</v>
      </c>
      <c r="Q26" s="55">
        <v>9.4700000000000006</v>
      </c>
      <c r="R26" s="43"/>
      <c r="S26" s="43"/>
      <c r="T26" s="43"/>
      <c r="U26" s="43"/>
    </row>
    <row r="27" spans="1:21" s="11" customFormat="1" ht="15">
      <c r="A27" s="54" t="s">
        <v>464</v>
      </c>
      <c r="B27" s="55">
        <v>8.19</v>
      </c>
      <c r="C27" s="55">
        <v>3.26</v>
      </c>
      <c r="D27" s="55">
        <v>12.05</v>
      </c>
      <c r="E27" s="55">
        <v>5.26</v>
      </c>
      <c r="F27" s="55">
        <v>4.34</v>
      </c>
      <c r="G27" s="55">
        <v>118.36</v>
      </c>
      <c r="H27" s="55">
        <v>41.47</v>
      </c>
      <c r="I27" s="55">
        <v>5.42</v>
      </c>
      <c r="J27" s="55">
        <v>0.98</v>
      </c>
      <c r="K27" s="55">
        <v>349.13</v>
      </c>
      <c r="L27" s="55">
        <v>31.51</v>
      </c>
      <c r="M27" s="55">
        <v>55.60</v>
      </c>
      <c r="N27" s="55">
        <v>36.60</v>
      </c>
      <c r="O27" s="55">
        <v>0</v>
      </c>
      <c r="P27" s="55">
        <v>0.76</v>
      </c>
      <c r="Q27" s="55">
        <v>9.52</v>
      </c>
      <c r="R27" s="43"/>
      <c r="S27" s="43"/>
      <c r="T27" s="43"/>
      <c r="U27" s="43"/>
    </row>
    <row r="28" spans="1:21" s="11" customFormat="1" ht="15">
      <c r="A28" s="54" t="s">
        <v>465</v>
      </c>
      <c r="B28" s="55">
        <v>8.23</v>
      </c>
      <c r="C28" s="55">
        <v>3.43</v>
      </c>
      <c r="D28" s="55">
        <v>12.16</v>
      </c>
      <c r="E28" s="55">
        <v>5.56</v>
      </c>
      <c r="F28" s="55">
        <v>4.05</v>
      </c>
      <c r="G28" s="55">
        <v>118.36</v>
      </c>
      <c r="H28" s="55">
        <v>43.15</v>
      </c>
      <c r="I28" s="55">
        <v>6.91</v>
      </c>
      <c r="J28" s="55">
        <v>0.62</v>
      </c>
      <c r="K28" s="55">
        <v>349.08</v>
      </c>
      <c r="L28" s="55">
        <v>30.42</v>
      </c>
      <c r="M28" s="55">
        <v>58.91</v>
      </c>
      <c r="N28" s="55">
        <v>20.70</v>
      </c>
      <c r="O28" s="55">
        <v>0</v>
      </c>
      <c r="P28" s="55">
        <v>0.90</v>
      </c>
      <c r="Q28" s="55">
        <v>9.69</v>
      </c>
      <c r="R28" s="43"/>
      <c r="S28" s="43"/>
      <c r="T28" s="43"/>
      <c r="U28" s="43"/>
    </row>
    <row r="29" spans="1:21" s="11" customFormat="1" ht="15">
      <c r="A29" s="54" t="s">
        <v>466</v>
      </c>
      <c r="B29" s="55">
        <v>8.91</v>
      </c>
      <c r="C29" s="55">
        <v>5.64</v>
      </c>
      <c r="D29" s="55">
        <v>13.87</v>
      </c>
      <c r="E29" s="55">
        <v>4.76</v>
      </c>
      <c r="F29" s="55">
        <v>3.96</v>
      </c>
      <c r="G29" s="55">
        <v>136.44</v>
      </c>
      <c r="H29" s="55">
        <v>44.66</v>
      </c>
      <c r="I29" s="55">
        <v>7.20</v>
      </c>
      <c r="J29" s="55">
        <v>0.89</v>
      </c>
      <c r="K29" s="55">
        <v>207.83</v>
      </c>
      <c r="L29" s="55">
        <v>30.36</v>
      </c>
      <c r="M29" s="55">
        <v>61.88</v>
      </c>
      <c r="N29" s="55">
        <v>20.5</v>
      </c>
      <c r="O29" s="55">
        <v>0</v>
      </c>
      <c r="P29" s="55">
        <v>1</v>
      </c>
      <c r="Q29" s="55">
        <v>9.6999999999999993</v>
      </c>
      <c r="R29" s="43"/>
      <c r="S29" s="43"/>
      <c r="T29" s="43"/>
      <c r="U29" s="43"/>
    </row>
    <row r="30" spans="1:21" s="11" customFormat="1" ht="15">
      <c r="A30" s="54" t="s">
        <v>467</v>
      </c>
      <c r="B30" s="55">
        <v>8.3699999999999992</v>
      </c>
      <c r="C30" s="55">
        <v>3.83</v>
      </c>
      <c r="D30" s="55">
        <v>12.48</v>
      </c>
      <c r="E30" s="55">
        <v>5</v>
      </c>
      <c r="F30" s="55">
        <v>3.77</v>
      </c>
      <c r="G30" s="55">
        <v>144.76</v>
      </c>
      <c r="H30" s="55">
        <v>49.71</v>
      </c>
      <c r="I30" s="55">
        <v>7.57</v>
      </c>
      <c r="J30" s="55">
        <v>1.1499999999999999</v>
      </c>
      <c r="K30" s="55">
        <v>171.60</v>
      </c>
      <c r="L30" s="55">
        <v>30.5</v>
      </c>
      <c r="M30" s="55">
        <v>53.51</v>
      </c>
      <c r="N30" s="55">
        <v>20.5</v>
      </c>
      <c r="O30" s="55">
        <v>0</v>
      </c>
      <c r="P30" s="55">
        <v>1</v>
      </c>
      <c r="Q30" s="55">
        <v>9.75</v>
      </c>
      <c r="R30" s="43"/>
      <c r="S30" s="43"/>
      <c r="T30" s="43"/>
      <c r="U30" s="43"/>
    </row>
    <row r="31" spans="1:21" s="11" customFormat="1" ht="15">
      <c r="A31" s="54" t="s">
        <v>468</v>
      </c>
      <c r="B31" s="55">
        <v>8.33</v>
      </c>
      <c r="C31" s="55">
        <v>3.56</v>
      </c>
      <c r="D31" s="55">
        <v>12.31</v>
      </c>
      <c r="E31" s="55">
        <v>4.8600000000000003</v>
      </c>
      <c r="F31" s="55">
        <v>3.69</v>
      </c>
      <c r="G31" s="55">
        <v>144.76</v>
      </c>
      <c r="H31" s="55">
        <v>50.31</v>
      </c>
      <c r="I31" s="55">
        <v>7.58</v>
      </c>
      <c r="J31" s="55">
        <v>0.76</v>
      </c>
      <c r="K31" s="55">
        <v>227.68</v>
      </c>
      <c r="L31" s="55">
        <v>30.45</v>
      </c>
      <c r="M31" s="55">
        <v>56.25</v>
      </c>
      <c r="N31" s="55">
        <v>20.90</v>
      </c>
      <c r="O31" s="55">
        <v>0</v>
      </c>
      <c r="P31" s="55">
        <v>0.89</v>
      </c>
      <c r="Q31" s="55">
        <v>9.7100000000000009</v>
      </c>
      <c r="R31" s="43"/>
      <c r="S31" s="43"/>
      <c r="T31" s="43"/>
      <c r="U31" s="43"/>
    </row>
    <row r="32" spans="1:21" s="11" customFormat="1" ht="15">
      <c r="A32" s="54" t="s">
        <v>469</v>
      </c>
      <c r="B32" s="55">
        <v>8.2899999999999991</v>
      </c>
      <c r="C32" s="55">
        <v>3.45</v>
      </c>
      <c r="D32" s="55">
        <v>12.23</v>
      </c>
      <c r="E32" s="55">
        <v>4.57</v>
      </c>
      <c r="F32" s="55">
        <v>4.29</v>
      </c>
      <c r="G32" s="55">
        <v>136.66999999999999</v>
      </c>
      <c r="H32" s="55">
        <v>50.31</v>
      </c>
      <c r="I32" s="55">
        <v>7.45</v>
      </c>
      <c r="J32" s="55">
        <v>0.57999999999999996</v>
      </c>
      <c r="K32" s="55">
        <v>203.99</v>
      </c>
      <c r="L32" s="55">
        <v>29.90</v>
      </c>
      <c r="M32" s="55">
        <v>54.59</v>
      </c>
      <c r="N32" s="55">
        <v>20.70</v>
      </c>
      <c r="O32" s="55">
        <v>0</v>
      </c>
      <c r="P32" s="55">
        <v>0.80</v>
      </c>
      <c r="Q32" s="55">
        <v>9.6300000000000008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8.1899999999999995</v>
      </c>
      <c r="C34" s="28">
        <f t="shared" si="0"/>
        <v>3.2000000000000002</v>
      </c>
      <c r="D34" s="28">
        <f t="shared" si="0"/>
        <v>12.01</v>
      </c>
      <c r="E34" s="28">
        <f t="shared" si="0"/>
        <v>3.4399999999999999</v>
      </c>
      <c r="F34" s="28">
        <f t="shared" si="0"/>
        <v>3.6899999999999999</v>
      </c>
      <c r="G34" s="28">
        <f t="shared" si="0"/>
        <v>43.640000000000001</v>
      </c>
      <c r="H34" s="28">
        <f t="shared" si="0"/>
        <v>15.380000000000001</v>
      </c>
      <c r="I34" s="28">
        <f t="shared" si="0"/>
        <v>3.6499999999999999</v>
      </c>
      <c r="J34" s="28">
        <f t="shared" si="0"/>
        <v>0.32000000000000001</v>
      </c>
      <c r="K34" s="28">
        <f t="shared" si="0"/>
        <v>18.379999999999999</v>
      </c>
      <c r="L34" s="28">
        <f t="shared" si="0"/>
        <v>26.280000000000001</v>
      </c>
      <c r="M34" s="28">
        <f t="shared" si="0"/>
        <v>38.409999999999997</v>
      </c>
      <c r="N34" s="28">
        <f t="shared" si="0"/>
        <v>18.5</v>
      </c>
      <c r="O34" s="28">
        <f t="shared" si="0"/>
        <v>0</v>
      </c>
      <c r="P34" s="28">
        <f t="shared" si="0"/>
        <v>0.25</v>
      </c>
      <c r="Q34" s="28">
        <f t="shared" si="0"/>
        <v>9.4199999999999999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8.9100000000000001</v>
      </c>
      <c r="C35" s="29">
        <f t="shared" si="1"/>
        <v>5.6399999999999997</v>
      </c>
      <c r="D35" s="29">
        <f t="shared" si="1"/>
        <v>13.869999999999999</v>
      </c>
      <c r="E35" s="29">
        <f t="shared" si="1"/>
        <v>5.5599999999999996</v>
      </c>
      <c r="F35" s="29">
        <f t="shared" si="1"/>
        <v>6.5099999999999998</v>
      </c>
      <c r="G35" s="29">
        <f t="shared" si="1"/>
        <v>144.75999999999999</v>
      </c>
      <c r="H35" s="29">
        <f t="shared" si="1"/>
        <v>50.310000000000002</v>
      </c>
      <c r="I35" s="29">
        <f t="shared" si="1"/>
        <v>7.5800000000000001</v>
      </c>
      <c r="J35" s="29">
        <f t="shared" si="1"/>
        <v>3.4300000000000002</v>
      </c>
      <c r="K35" s="29">
        <f t="shared" si="1"/>
        <v>355.94999999999999</v>
      </c>
      <c r="L35" s="29">
        <f t="shared" si="1"/>
        <v>36.520000000000003</v>
      </c>
      <c r="M35" s="29">
        <f t="shared" si="1"/>
        <v>76.709999999999994</v>
      </c>
      <c r="N35" s="29">
        <f t="shared" si="1"/>
        <v>750.10000000000002</v>
      </c>
      <c r="O35" s="29">
        <f t="shared" si="1"/>
        <v>0</v>
      </c>
      <c r="P35" s="29">
        <f t="shared" si="1"/>
        <v>1</v>
      </c>
      <c r="Q35" s="29">
        <f t="shared" si="1"/>
        <v>9.75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8.324583333333333</v>
      </c>
      <c r="C36" s="28">
        <f t="shared" si="2"/>
        <v>3.683333333333334</v>
      </c>
      <c r="D36" s="28">
        <f t="shared" si="2"/>
        <v>12.373750000000001</v>
      </c>
      <c r="E36" s="28">
        <f t="shared" si="2"/>
        <v>4.6404166666666669</v>
      </c>
      <c r="F36" s="28">
        <f t="shared" si="2"/>
        <v>4.8687499999999995</v>
      </c>
      <c r="G36" s="28">
        <f t="shared" si="2"/>
        <v>82.432083333333324</v>
      </c>
      <c r="H36" s="28">
        <f t="shared" si="2"/>
        <v>29.721666666666664</v>
      </c>
      <c r="I36" s="28">
        <f t="shared" si="2"/>
        <v>5.9158333333333326</v>
      </c>
      <c r="J36" s="28">
        <f t="shared" si="2"/>
        <v>1.2208333333333334</v>
      </c>
      <c r="K36" s="28">
        <f t="shared" si="2"/>
        <v>243.23166666666668</v>
      </c>
      <c r="L36" s="28">
        <f t="shared" si="2"/>
        <v>31.219166666666666</v>
      </c>
      <c r="M36" s="28">
        <f t="shared" si="2"/>
        <v>57.319166666666661</v>
      </c>
      <c r="N36" s="28">
        <f t="shared" si="2"/>
        <v>185.24166666666665</v>
      </c>
      <c r="O36" s="28">
        <f t="shared" si="2"/>
        <v>0</v>
      </c>
      <c r="P36" s="28">
        <f t="shared" si="2"/>
        <v>0.52708333333333346</v>
      </c>
      <c r="Q36" s="28">
        <f t="shared" si="2"/>
        <v>9.5266666666666673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0.14744134181215995</v>
      </c>
      <c r="C37" s="28">
        <f t="shared" si="3" ref="C37:Q37">STDEV(C9:C32)</f>
        <v>0.51446609443075642</v>
      </c>
      <c r="D37" s="28">
        <f t="shared" si="3"/>
        <v>0.38555225777870478</v>
      </c>
      <c r="E37" s="28">
        <f t="shared" si="3"/>
        <v>0.54655028144254503</v>
      </c>
      <c r="F37" s="28">
        <f t="shared" si="3"/>
        <v>0.88526740003528137</v>
      </c>
      <c r="G37" s="28">
        <f t="shared" si="3"/>
        <v>34.962449792184401</v>
      </c>
      <c r="H37" s="28">
        <f t="shared" si="3"/>
        <v>12.41999673271212</v>
      </c>
      <c r="I37" s="28">
        <f t="shared" si="3"/>
        <v>1.3481901448485203</v>
      </c>
      <c r="J37" s="28">
        <f t="shared" si="3"/>
        <v>0.75493689149817444</v>
      </c>
      <c r="K37" s="28">
        <f t="shared" si="3"/>
        <v>114.76578454160139</v>
      </c>
      <c r="L37" s="28">
        <f t="shared" si="3"/>
        <v>2.9996128977306</v>
      </c>
      <c r="M37" s="28">
        <f t="shared" si="3"/>
        <v>9.7059963163373482</v>
      </c>
      <c r="N37" s="28">
        <f t="shared" si="3"/>
        <v>229.71246093789719</v>
      </c>
      <c r="O37" s="28">
        <f t="shared" si="3"/>
        <v>0</v>
      </c>
      <c r="P37" s="28">
        <f t="shared" si="3"/>
        <v>0.24828943780905416</v>
      </c>
      <c r="Q37" s="28">
        <f t="shared" si="3"/>
        <v>0.095538140194814686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2d224a-cee7-48e3-b887-733c6afa418b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470</v>
      </c>
      <c r="B9" s="55">
        <v>8.36</v>
      </c>
      <c r="C9" s="55">
        <v>3.87</v>
      </c>
      <c r="D9" s="55">
        <v>12.5</v>
      </c>
      <c r="E9" s="55">
        <v>3.70</v>
      </c>
      <c r="F9" s="55">
        <v>6.89</v>
      </c>
      <c r="G9" s="55">
        <v>118.43</v>
      </c>
      <c r="H9" s="55">
        <v>44.22</v>
      </c>
      <c r="I9" s="55">
        <v>7.18</v>
      </c>
      <c r="J9" s="55">
        <v>0.56000000000000005</v>
      </c>
      <c r="K9" s="55">
        <v>24.68</v>
      </c>
      <c r="L9" s="55">
        <v>29.39</v>
      </c>
      <c r="M9" s="55">
        <v>56.61</v>
      </c>
      <c r="N9" s="55">
        <v>21</v>
      </c>
      <c r="O9" s="55">
        <v>0</v>
      </c>
      <c r="P9" s="55">
        <v>0.63</v>
      </c>
      <c r="Q9" s="55">
        <v>9.61</v>
      </c>
      <c r="R9" s="43"/>
      <c r="S9" s="43"/>
      <c r="T9" s="43"/>
      <c r="U9" s="43"/>
    </row>
    <row r="10" spans="1:21" s="11" customFormat="1" ht="15">
      <c r="A10" s="54" t="s">
        <v>471</v>
      </c>
      <c r="B10" s="55">
        <v>8.18</v>
      </c>
      <c r="C10" s="55">
        <v>3.22</v>
      </c>
      <c r="D10" s="55">
        <v>12.01</v>
      </c>
      <c r="E10" s="55">
        <v>3.5</v>
      </c>
      <c r="F10" s="55">
        <v>6.09</v>
      </c>
      <c r="G10" s="55">
        <v>83.90</v>
      </c>
      <c r="H10" s="55">
        <v>29.30</v>
      </c>
      <c r="I10" s="55">
        <v>4.6399999999999997</v>
      </c>
      <c r="J10" s="55">
        <v>0.63</v>
      </c>
      <c r="K10" s="55">
        <v>344.75</v>
      </c>
      <c r="L10" s="55">
        <v>28.01</v>
      </c>
      <c r="M10" s="55">
        <v>60.13</v>
      </c>
      <c r="N10" s="55">
        <v>20.80</v>
      </c>
      <c r="O10" s="55">
        <v>0</v>
      </c>
      <c r="P10" s="55">
        <v>0.40</v>
      </c>
      <c r="Q10" s="55">
        <v>9.49</v>
      </c>
      <c r="R10" s="43"/>
      <c r="S10" s="43"/>
      <c r="T10" s="43"/>
      <c r="U10" s="43"/>
    </row>
    <row r="11" spans="1:21" s="11" customFormat="1" ht="15">
      <c r="A11" s="54" t="s">
        <v>472</v>
      </c>
      <c r="B11" s="55">
        <v>8.2799999999999994</v>
      </c>
      <c r="C11" s="55">
        <v>3.47</v>
      </c>
      <c r="D11" s="55">
        <v>12.23</v>
      </c>
      <c r="E11" s="55">
        <v>3.5</v>
      </c>
      <c r="F11" s="55">
        <v>6.36</v>
      </c>
      <c r="G11" s="55">
        <v>64.94</v>
      </c>
      <c r="H11" s="55">
        <v>29.30</v>
      </c>
      <c r="I11" s="55">
        <v>3.28</v>
      </c>
      <c r="J11" s="55">
        <v>0.52</v>
      </c>
      <c r="K11" s="55">
        <v>30.56</v>
      </c>
      <c r="L11" s="55">
        <v>27.64</v>
      </c>
      <c r="M11" s="55">
        <v>61.54</v>
      </c>
      <c r="N11" s="55">
        <v>20.399999999999999</v>
      </c>
      <c r="O11" s="55">
        <v>0</v>
      </c>
      <c r="P11" s="55">
        <v>0.28999999999999998</v>
      </c>
      <c r="Q11" s="55">
        <v>9.4499999999999993</v>
      </c>
      <c r="R11" s="43"/>
      <c r="S11" s="43"/>
      <c r="T11" s="43"/>
      <c r="U11" s="43"/>
    </row>
    <row r="12" spans="1:21" s="11" customFormat="1" ht="15">
      <c r="A12" s="54" t="s">
        <v>473</v>
      </c>
      <c r="B12" s="55">
        <v>8.24</v>
      </c>
      <c r="C12" s="55">
        <v>3.29</v>
      </c>
      <c r="D12" s="55">
        <v>12.10</v>
      </c>
      <c r="E12" s="55">
        <v>3.81</v>
      </c>
      <c r="F12" s="55">
        <v>6.07</v>
      </c>
      <c r="G12" s="55">
        <v>47.52</v>
      </c>
      <c r="H12" s="55">
        <v>19.579999999999998</v>
      </c>
      <c r="I12" s="55">
        <v>2.66</v>
      </c>
      <c r="J12" s="55">
        <v>0.64</v>
      </c>
      <c r="K12" s="55">
        <v>23.61</v>
      </c>
      <c r="L12" s="55">
        <v>27.62</v>
      </c>
      <c r="M12" s="55">
        <v>59.64</v>
      </c>
      <c r="N12" s="55">
        <v>20.70</v>
      </c>
      <c r="O12" s="55">
        <v>0</v>
      </c>
      <c r="P12" s="55">
        <v>0.22</v>
      </c>
      <c r="Q12" s="55">
        <v>9.39</v>
      </c>
      <c r="R12" s="43"/>
      <c r="S12" s="43"/>
      <c r="T12" s="43"/>
      <c r="U12" s="43"/>
    </row>
    <row r="13" spans="1:21" s="11" customFormat="1" ht="15">
      <c r="A13" s="54" t="s">
        <v>474</v>
      </c>
      <c r="B13" s="55">
        <v>8.27</v>
      </c>
      <c r="C13" s="55">
        <v>3.41</v>
      </c>
      <c r="D13" s="55">
        <v>12.19</v>
      </c>
      <c r="E13" s="55">
        <v>4.3099999999999996</v>
      </c>
      <c r="F13" s="55">
        <v>5.92</v>
      </c>
      <c r="G13" s="55">
        <v>41.23</v>
      </c>
      <c r="H13" s="55">
        <v>18.079999999999998</v>
      </c>
      <c r="I13" s="55">
        <v>2.17</v>
      </c>
      <c r="J13" s="55">
        <v>0.65</v>
      </c>
      <c r="K13" s="55">
        <v>31.63</v>
      </c>
      <c r="L13" s="55">
        <v>27.54</v>
      </c>
      <c r="M13" s="55">
        <v>59.61</v>
      </c>
      <c r="N13" s="55">
        <v>20.80</v>
      </c>
      <c r="O13" s="55">
        <v>0</v>
      </c>
      <c r="P13" s="55">
        <v>0.19</v>
      </c>
      <c r="Q13" s="55">
        <v>9.43</v>
      </c>
      <c r="R13" s="43"/>
      <c r="S13" s="43"/>
      <c r="T13" s="43"/>
      <c r="U13" s="43"/>
    </row>
    <row r="14" spans="1:21" s="11" customFormat="1" ht="15">
      <c r="A14" s="54" t="s">
        <v>475</v>
      </c>
      <c r="B14" s="55">
        <v>8.3000000000000007</v>
      </c>
      <c r="C14" s="55">
        <v>3.58</v>
      </c>
      <c r="D14" s="55">
        <v>12.30</v>
      </c>
      <c r="E14" s="55">
        <v>4.38</v>
      </c>
      <c r="F14" s="55">
        <v>5.66</v>
      </c>
      <c r="G14" s="55">
        <v>39.71</v>
      </c>
      <c r="H14" s="55">
        <v>13.38</v>
      </c>
      <c r="I14" s="55">
        <v>2.0099999999999998</v>
      </c>
      <c r="J14" s="55">
        <v>0.56000000000000005</v>
      </c>
      <c r="K14" s="55">
        <v>19.89</v>
      </c>
      <c r="L14" s="55">
        <v>27.05</v>
      </c>
      <c r="M14" s="55">
        <v>60.48</v>
      </c>
      <c r="N14" s="55">
        <v>46.40</v>
      </c>
      <c r="O14" s="55">
        <v>0</v>
      </c>
      <c r="P14" s="55">
        <v>0.16</v>
      </c>
      <c r="Q14" s="55">
        <v>9.4499999999999993</v>
      </c>
      <c r="R14" s="43"/>
      <c r="S14" s="43"/>
      <c r="T14" s="43"/>
      <c r="U14" s="43"/>
    </row>
    <row r="15" spans="1:21" s="11" customFormat="1" ht="15">
      <c r="A15" s="54" t="s">
        <v>476</v>
      </c>
      <c r="B15" s="55">
        <v>8.1999999999999993</v>
      </c>
      <c r="C15" s="55">
        <v>3.32</v>
      </c>
      <c r="D15" s="55">
        <v>12.09</v>
      </c>
      <c r="E15" s="55">
        <v>4.33</v>
      </c>
      <c r="F15" s="55">
        <v>5.83</v>
      </c>
      <c r="G15" s="55">
        <v>31.85</v>
      </c>
      <c r="H15" s="55">
        <v>12.62</v>
      </c>
      <c r="I15" s="55">
        <v>1.75</v>
      </c>
      <c r="J15" s="55">
        <v>0.55000000000000004</v>
      </c>
      <c r="K15" s="55">
        <v>359.13</v>
      </c>
      <c r="L15" s="55">
        <v>26.90</v>
      </c>
      <c r="M15" s="55">
        <v>64.209999999999994</v>
      </c>
      <c r="N15" s="55">
        <v>80.5</v>
      </c>
      <c r="O15" s="55">
        <v>0</v>
      </c>
      <c r="P15" s="55">
        <v>0.16</v>
      </c>
      <c r="Q15" s="55">
        <v>9.44</v>
      </c>
      <c r="R15" s="43"/>
      <c r="S15" s="43"/>
      <c r="T15" s="43"/>
      <c r="U15" s="43"/>
    </row>
    <row r="16" spans="1:21" s="11" customFormat="1" ht="15">
      <c r="A16" s="54" t="s">
        <v>477</v>
      </c>
      <c r="B16" s="55">
        <v>8.3699999999999992</v>
      </c>
      <c r="C16" s="55">
        <v>3.77</v>
      </c>
      <c r="D16" s="55">
        <v>12.45</v>
      </c>
      <c r="E16" s="55">
        <v>4.80</v>
      </c>
      <c r="F16" s="55">
        <v>6.22</v>
      </c>
      <c r="G16" s="55">
        <v>36.33</v>
      </c>
      <c r="H16" s="55">
        <v>14.30</v>
      </c>
      <c r="I16" s="55">
        <v>1.66</v>
      </c>
      <c r="J16" s="55">
        <v>0.65</v>
      </c>
      <c r="K16" s="55">
        <v>24.51</v>
      </c>
      <c r="L16" s="55">
        <v>27.91</v>
      </c>
      <c r="M16" s="55">
        <v>63.79</v>
      </c>
      <c r="N16" s="55">
        <v>193.20</v>
      </c>
      <c r="O16" s="55">
        <v>0</v>
      </c>
      <c r="P16" s="55">
        <v>0.22</v>
      </c>
      <c r="Q16" s="55">
        <v>9.4499999999999993</v>
      </c>
      <c r="R16" s="43"/>
      <c r="S16" s="43"/>
      <c r="T16" s="43"/>
      <c r="U16" s="43"/>
    </row>
    <row r="17" spans="1:21" s="11" customFormat="1" ht="15">
      <c r="A17" s="54" t="s">
        <v>478</v>
      </c>
      <c r="B17" s="55">
        <v>8.27</v>
      </c>
      <c r="C17" s="55">
        <v>3.44</v>
      </c>
      <c r="D17" s="55">
        <v>12.20</v>
      </c>
      <c r="E17" s="55">
        <v>5.73</v>
      </c>
      <c r="F17" s="55">
        <v>7.22</v>
      </c>
      <c r="G17" s="55">
        <v>39.86</v>
      </c>
      <c r="H17" s="55">
        <v>14.30</v>
      </c>
      <c r="I17" s="55">
        <v>1.71</v>
      </c>
      <c r="J17" s="55">
        <v>0.68</v>
      </c>
      <c r="K17" s="55">
        <v>358.70</v>
      </c>
      <c r="L17" s="55">
        <v>29.56</v>
      </c>
      <c r="M17" s="55">
        <v>59.58</v>
      </c>
      <c r="N17" s="55">
        <v>293.10000000000002</v>
      </c>
      <c r="O17" s="55">
        <v>0</v>
      </c>
      <c r="P17" s="55">
        <v>0.28000000000000003</v>
      </c>
      <c r="Q17" s="55">
        <v>9.40</v>
      </c>
      <c r="R17" s="43"/>
      <c r="S17" s="43"/>
      <c r="T17" s="43"/>
      <c r="U17" s="43"/>
    </row>
    <row r="18" spans="1:21" s="11" customFormat="1" ht="15">
      <c r="A18" s="54" t="s">
        <v>479</v>
      </c>
      <c r="B18" s="55">
        <v>8.2200000000000006</v>
      </c>
      <c r="C18" s="55">
        <v>3.23</v>
      </c>
      <c r="D18" s="55">
        <v>12.05</v>
      </c>
      <c r="E18" s="55">
        <v>5.59</v>
      </c>
      <c r="F18" s="55">
        <v>7</v>
      </c>
      <c r="G18" s="55">
        <v>41.61</v>
      </c>
      <c r="H18" s="55">
        <v>11.23</v>
      </c>
      <c r="I18" s="55">
        <v>1.70</v>
      </c>
      <c r="J18" s="55">
        <v>0.55000000000000004</v>
      </c>
      <c r="K18" s="55">
        <v>20.14</v>
      </c>
      <c r="L18" s="55">
        <v>29.29</v>
      </c>
      <c r="M18" s="55">
        <v>70</v>
      </c>
      <c r="N18" s="55">
        <v>204.90</v>
      </c>
      <c r="O18" s="55">
        <v>0.40</v>
      </c>
      <c r="P18" s="55">
        <v>0.31</v>
      </c>
      <c r="Q18" s="55">
        <v>9.48</v>
      </c>
      <c r="R18" s="43"/>
      <c r="S18" s="43"/>
      <c r="T18" s="43"/>
      <c r="U18" s="43"/>
    </row>
    <row r="19" spans="1:21" s="11" customFormat="1" ht="15">
      <c r="A19" s="54" t="s">
        <v>480</v>
      </c>
      <c r="B19" s="55">
        <v>8.26</v>
      </c>
      <c r="C19" s="55">
        <v>3.53</v>
      </c>
      <c r="D19" s="55">
        <v>12.24</v>
      </c>
      <c r="E19" s="55">
        <v>5.46</v>
      </c>
      <c r="F19" s="55">
        <v>5.54</v>
      </c>
      <c r="G19" s="55">
        <v>51</v>
      </c>
      <c r="H19" s="55">
        <v>20.16</v>
      </c>
      <c r="I19" s="55">
        <v>2.31</v>
      </c>
      <c r="J19" s="55">
        <v>0.59</v>
      </c>
      <c r="K19" s="55">
        <v>21.82</v>
      </c>
      <c r="L19" s="55">
        <v>30.49</v>
      </c>
      <c r="M19" s="55">
        <v>64.20</v>
      </c>
      <c r="N19" s="55">
        <v>256</v>
      </c>
      <c r="O19" s="55">
        <v>0</v>
      </c>
      <c r="P19" s="55">
        <v>0.37</v>
      </c>
      <c r="Q19" s="55">
        <v>9.4700000000000006</v>
      </c>
      <c r="R19" s="43"/>
      <c r="S19" s="43"/>
      <c r="T19" s="43"/>
      <c r="U19" s="43"/>
    </row>
    <row r="20" spans="1:21" s="11" customFormat="1" ht="15">
      <c r="A20" s="54" t="s">
        <v>481</v>
      </c>
      <c r="B20" s="55">
        <v>8.27</v>
      </c>
      <c r="C20" s="55">
        <v>3.51</v>
      </c>
      <c r="D20" s="55">
        <v>12.24</v>
      </c>
      <c r="E20" s="55">
        <v>5.52</v>
      </c>
      <c r="F20" s="55">
        <v>5.71</v>
      </c>
      <c r="G20" s="55">
        <v>53.28</v>
      </c>
      <c r="H20" s="55">
        <v>20.74</v>
      </c>
      <c r="I20" s="55">
        <v>2.83</v>
      </c>
      <c r="J20" s="55">
        <v>0.44</v>
      </c>
      <c r="K20" s="55">
        <v>196.35</v>
      </c>
      <c r="L20" s="55">
        <v>31.79</v>
      </c>
      <c r="M20" s="55">
        <v>54.86</v>
      </c>
      <c r="N20" s="55">
        <v>346</v>
      </c>
      <c r="O20" s="55">
        <v>0</v>
      </c>
      <c r="P20" s="55">
        <v>0.40</v>
      </c>
      <c r="Q20" s="55">
        <v>9.4700000000000006</v>
      </c>
      <c r="R20" s="43"/>
      <c r="S20" s="43"/>
      <c r="T20" s="43"/>
      <c r="U20" s="43"/>
    </row>
    <row r="21" spans="1:21" s="11" customFormat="1" ht="15">
      <c r="A21" s="54" t="s">
        <v>482</v>
      </c>
      <c r="B21" s="55">
        <v>8.27</v>
      </c>
      <c r="C21" s="55">
        <v>3.48</v>
      </c>
      <c r="D21" s="55">
        <v>12.22</v>
      </c>
      <c r="E21" s="55">
        <v>3.15</v>
      </c>
      <c r="F21" s="55">
        <v>6.30</v>
      </c>
      <c r="G21" s="55">
        <v>53.28</v>
      </c>
      <c r="H21" s="55">
        <v>20.74</v>
      </c>
      <c r="I21" s="55">
        <v>3.18</v>
      </c>
      <c r="J21" s="55">
        <v>0.98</v>
      </c>
      <c r="K21" s="55">
        <v>180.35</v>
      </c>
      <c r="L21" s="55">
        <v>32.76</v>
      </c>
      <c r="M21" s="55">
        <v>49.86</v>
      </c>
      <c r="N21" s="55">
        <v>436.5</v>
      </c>
      <c r="O21" s="55">
        <v>0</v>
      </c>
      <c r="P21" s="55">
        <v>0.37</v>
      </c>
      <c r="Q21" s="55">
        <v>9.39</v>
      </c>
      <c r="R21" s="43"/>
      <c r="S21" s="43"/>
      <c r="T21" s="43"/>
      <c r="U21" s="43"/>
    </row>
    <row r="22" spans="1:21" s="11" customFormat="1" ht="15">
      <c r="A22" s="54" t="s">
        <v>483</v>
      </c>
      <c r="B22" s="55">
        <v>8.26</v>
      </c>
      <c r="C22" s="55">
        <v>3.44</v>
      </c>
      <c r="D22" s="55">
        <v>12.20</v>
      </c>
      <c r="E22" s="55">
        <v>3.31</v>
      </c>
      <c r="F22" s="55">
        <v>6.20</v>
      </c>
      <c r="G22" s="55">
        <v>51.31</v>
      </c>
      <c r="H22" s="55">
        <v>17.86</v>
      </c>
      <c r="I22" s="55">
        <v>4.96</v>
      </c>
      <c r="J22" s="55">
        <v>2.15</v>
      </c>
      <c r="K22" s="55">
        <v>167.78</v>
      </c>
      <c r="L22" s="55">
        <v>32.57</v>
      </c>
      <c r="M22" s="55">
        <v>49.76</v>
      </c>
      <c r="N22" s="55">
        <v>504.5</v>
      </c>
      <c r="O22" s="55">
        <v>0</v>
      </c>
      <c r="P22" s="55">
        <v>0.35</v>
      </c>
      <c r="Q22" s="55">
        <v>9.40</v>
      </c>
      <c r="R22" s="43"/>
      <c r="S22" s="43"/>
      <c r="T22" s="43"/>
      <c r="U22" s="43"/>
    </row>
    <row r="23" spans="1:21" s="11" customFormat="1" ht="15">
      <c r="A23" s="54" t="s">
        <v>484</v>
      </c>
      <c r="B23" s="55">
        <v>8.2200000000000006</v>
      </c>
      <c r="C23" s="55">
        <v>3.38</v>
      </c>
      <c r="D23" s="55">
        <v>12.13</v>
      </c>
      <c r="E23" s="55">
        <v>3.27</v>
      </c>
      <c r="F23" s="55">
        <v>6.97</v>
      </c>
      <c r="G23" s="55">
        <v>44.57</v>
      </c>
      <c r="H23" s="55">
        <v>19.47</v>
      </c>
      <c r="I23" s="55">
        <v>5.23</v>
      </c>
      <c r="J23" s="55">
        <v>1.20</v>
      </c>
      <c r="K23" s="55">
        <v>157.88999999999999</v>
      </c>
      <c r="L23" s="55">
        <v>33.32</v>
      </c>
      <c r="M23" s="55">
        <v>49.70</v>
      </c>
      <c r="N23" s="55">
        <v>397.20</v>
      </c>
      <c r="O23" s="55">
        <v>0</v>
      </c>
      <c r="P23" s="55">
        <v>0.33</v>
      </c>
      <c r="Q23" s="55">
        <v>9.44</v>
      </c>
      <c r="R23" s="43"/>
      <c r="S23" s="43"/>
      <c r="T23" s="43"/>
      <c r="U23" s="43"/>
    </row>
    <row r="24" spans="1:21" s="11" customFormat="1" ht="15">
      <c r="A24" s="54" t="s">
        <v>485</v>
      </c>
      <c r="B24" s="55">
        <v>8.36</v>
      </c>
      <c r="C24" s="55">
        <v>3.91</v>
      </c>
      <c r="D24" s="55">
        <v>12.52</v>
      </c>
      <c r="E24" s="55">
        <v>3.33</v>
      </c>
      <c r="F24" s="55">
        <v>7.82</v>
      </c>
      <c r="G24" s="55">
        <v>50.41</v>
      </c>
      <c r="H24" s="55">
        <v>21.43</v>
      </c>
      <c r="I24" s="55">
        <v>4.4800000000000004</v>
      </c>
      <c r="J24" s="55">
        <v>0.56000000000000005</v>
      </c>
      <c r="K24" s="55">
        <v>354.85</v>
      </c>
      <c r="L24" s="55">
        <v>33.75</v>
      </c>
      <c r="M24" s="55">
        <v>47.35</v>
      </c>
      <c r="N24" s="55">
        <v>343.90</v>
      </c>
      <c r="O24" s="55">
        <v>0</v>
      </c>
      <c r="P24" s="55">
        <v>0.34</v>
      </c>
      <c r="Q24" s="55">
        <v>9.43</v>
      </c>
      <c r="R24" s="43"/>
      <c r="S24" s="43"/>
      <c r="T24" s="43"/>
      <c r="U24" s="43"/>
    </row>
    <row r="25" spans="1:21" s="11" customFormat="1" ht="15">
      <c r="A25" s="54" t="s">
        <v>486</v>
      </c>
      <c r="B25" s="55">
        <v>8.1999999999999993</v>
      </c>
      <c r="C25" s="55">
        <v>3.30</v>
      </c>
      <c r="D25" s="55">
        <v>12.07</v>
      </c>
      <c r="E25" s="55">
        <v>4.2699999999999996</v>
      </c>
      <c r="F25" s="55">
        <v>7.12</v>
      </c>
      <c r="G25" s="55">
        <v>51.11</v>
      </c>
      <c r="H25" s="55">
        <v>21.43</v>
      </c>
      <c r="I25" s="55">
        <v>3.35</v>
      </c>
      <c r="J25" s="55">
        <v>0.78</v>
      </c>
      <c r="K25" s="55">
        <v>324.02</v>
      </c>
      <c r="L25" s="55">
        <v>34.28</v>
      </c>
      <c r="M25" s="55">
        <v>44.13</v>
      </c>
      <c r="N25" s="55">
        <v>170.80</v>
      </c>
      <c r="O25" s="55">
        <v>0</v>
      </c>
      <c r="P25" s="55">
        <v>0.40</v>
      </c>
      <c r="Q25" s="55">
        <v>9.39</v>
      </c>
      <c r="R25" s="43"/>
      <c r="S25" s="43"/>
      <c r="T25" s="43"/>
      <c r="U25" s="43"/>
    </row>
    <row r="26" spans="1:21" s="11" customFormat="1" ht="15">
      <c r="A26" s="54" t="s">
        <v>487</v>
      </c>
      <c r="B26" s="55">
        <v>8.31</v>
      </c>
      <c r="C26" s="55">
        <v>3.66</v>
      </c>
      <c r="D26" s="55">
        <v>12.34</v>
      </c>
      <c r="E26" s="55">
        <v>4.42</v>
      </c>
      <c r="F26" s="55">
        <v>5.14</v>
      </c>
      <c r="G26" s="55">
        <v>53.47</v>
      </c>
      <c r="H26" s="55">
        <v>22.84</v>
      </c>
      <c r="I26" s="55">
        <v>3.37</v>
      </c>
      <c r="J26" s="55">
        <v>0.64</v>
      </c>
      <c r="K26" s="55">
        <v>352.35</v>
      </c>
      <c r="L26" s="55">
        <v>33.71</v>
      </c>
      <c r="M26" s="55">
        <v>42.79</v>
      </c>
      <c r="N26" s="55">
        <v>101.5</v>
      </c>
      <c r="O26" s="55">
        <v>0</v>
      </c>
      <c r="P26" s="55">
        <v>0.46</v>
      </c>
      <c r="Q26" s="55">
        <v>9.40</v>
      </c>
      <c r="R26" s="43"/>
      <c r="S26" s="43"/>
      <c r="T26" s="43"/>
      <c r="U26" s="43"/>
    </row>
    <row r="27" spans="1:21" s="11" customFormat="1" ht="15">
      <c r="A27" s="54" t="s">
        <v>488</v>
      </c>
      <c r="B27" s="55">
        <v>8.2799999999999994</v>
      </c>
      <c r="C27" s="55">
        <v>3.62</v>
      </c>
      <c r="D27" s="55">
        <v>12.30</v>
      </c>
      <c r="E27" s="55">
        <v>4.46</v>
      </c>
      <c r="F27" s="55">
        <v>4.51</v>
      </c>
      <c r="G27" s="55">
        <v>59.57</v>
      </c>
      <c r="H27" s="55">
        <v>23.39</v>
      </c>
      <c r="I27" s="55">
        <v>4.3499999999999996</v>
      </c>
      <c r="J27" s="55">
        <v>0.57999999999999996</v>
      </c>
      <c r="K27" s="55">
        <v>317.26</v>
      </c>
      <c r="L27" s="55">
        <v>32.61</v>
      </c>
      <c r="M27" s="55">
        <v>44.45</v>
      </c>
      <c r="N27" s="55">
        <v>43.40</v>
      </c>
      <c r="O27" s="55">
        <v>0</v>
      </c>
      <c r="P27" s="55">
        <v>0.66</v>
      </c>
      <c r="Q27" s="55">
        <v>9.5500000000000007</v>
      </c>
      <c r="R27" s="43"/>
      <c r="S27" s="43"/>
      <c r="T27" s="43"/>
      <c r="U27" s="43"/>
    </row>
    <row r="28" spans="1:21" s="11" customFormat="1" ht="15">
      <c r="A28" s="54" t="s">
        <v>489</v>
      </c>
      <c r="B28" s="55">
        <v>8.26</v>
      </c>
      <c r="C28" s="55">
        <v>3.56</v>
      </c>
      <c r="D28" s="55">
        <v>12.25</v>
      </c>
      <c r="E28" s="55">
        <v>4.51</v>
      </c>
      <c r="F28" s="55">
        <v>4.67</v>
      </c>
      <c r="G28" s="55">
        <v>68.099999999999994</v>
      </c>
      <c r="H28" s="55">
        <v>24.61</v>
      </c>
      <c r="I28" s="55">
        <v>4.91</v>
      </c>
      <c r="J28" s="55">
        <v>0.16</v>
      </c>
      <c r="K28" s="55">
        <v>344.41</v>
      </c>
      <c r="L28" s="55">
        <v>31.78</v>
      </c>
      <c r="M28" s="55">
        <v>45.75</v>
      </c>
      <c r="N28" s="55">
        <v>21.10</v>
      </c>
      <c r="O28" s="55">
        <v>0</v>
      </c>
      <c r="P28" s="55">
        <v>0.60</v>
      </c>
      <c r="Q28" s="55">
        <v>9.5299999999999994</v>
      </c>
      <c r="R28" s="43"/>
      <c r="S28" s="43"/>
      <c r="T28" s="43"/>
      <c r="U28" s="43"/>
    </row>
    <row r="29" spans="1:21" s="11" customFormat="1" ht="15">
      <c r="A29" s="54" t="s">
        <v>490</v>
      </c>
      <c r="B29" s="55">
        <v>8.39</v>
      </c>
      <c r="C29" s="55">
        <v>4.1100000000000003</v>
      </c>
      <c r="D29" s="55">
        <v>12.64</v>
      </c>
      <c r="E29" s="55">
        <v>4.63</v>
      </c>
      <c r="F29" s="55">
        <v>4.57</v>
      </c>
      <c r="G29" s="55">
        <v>70.39</v>
      </c>
      <c r="H29" s="55">
        <v>24.61</v>
      </c>
      <c r="I29" s="55">
        <v>4.75</v>
      </c>
      <c r="J29" s="55">
        <v>0.42</v>
      </c>
      <c r="K29" s="55">
        <v>125.80</v>
      </c>
      <c r="L29" s="55">
        <v>30.86</v>
      </c>
      <c r="M29" s="55">
        <v>50.30</v>
      </c>
      <c r="N29" s="55">
        <v>20.80</v>
      </c>
      <c r="O29" s="55">
        <v>0</v>
      </c>
      <c r="P29" s="55">
        <v>0.56000000000000005</v>
      </c>
      <c r="Q29" s="55">
        <v>9.48</v>
      </c>
      <c r="R29" s="43"/>
      <c r="S29" s="43"/>
      <c r="T29" s="43"/>
      <c r="U29" s="43"/>
    </row>
    <row r="30" spans="1:21" s="11" customFormat="1" ht="15">
      <c r="A30" s="54" t="s">
        <v>491</v>
      </c>
      <c r="B30" s="55">
        <v>8.19</v>
      </c>
      <c r="C30" s="55">
        <v>3.14</v>
      </c>
      <c r="D30" s="55">
        <v>11.99</v>
      </c>
      <c r="E30" s="55">
        <v>4.57</v>
      </c>
      <c r="F30" s="55">
        <v>4.0599999999999996</v>
      </c>
      <c r="G30" s="55">
        <v>70.39</v>
      </c>
      <c r="H30" s="55">
        <v>20.149999999999999</v>
      </c>
      <c r="I30" s="55">
        <v>4.79</v>
      </c>
      <c r="J30" s="55">
        <v>0.76</v>
      </c>
      <c r="K30" s="55">
        <v>310.02999999999997</v>
      </c>
      <c r="L30" s="55">
        <v>30.15</v>
      </c>
      <c r="M30" s="55">
        <v>58.48</v>
      </c>
      <c r="N30" s="55">
        <v>20.90</v>
      </c>
      <c r="O30" s="55">
        <v>0</v>
      </c>
      <c r="P30" s="55">
        <v>0.55000000000000004</v>
      </c>
      <c r="Q30" s="55">
        <v>9.4499999999999993</v>
      </c>
      <c r="R30" s="43"/>
      <c r="S30" s="43"/>
      <c r="T30" s="43"/>
      <c r="U30" s="43"/>
    </row>
    <row r="31" spans="1:21" s="11" customFormat="1" ht="15">
      <c r="A31" s="54" t="s">
        <v>492</v>
      </c>
      <c r="B31" s="55">
        <v>8.23</v>
      </c>
      <c r="C31" s="55">
        <v>3.31</v>
      </c>
      <c r="D31" s="55">
        <v>12.11</v>
      </c>
      <c r="E31" s="55">
        <v>4.63</v>
      </c>
      <c r="F31" s="55">
        <v>3.85</v>
      </c>
      <c r="G31" s="55">
        <v>64.680000000000007</v>
      </c>
      <c r="H31" s="55">
        <v>20.149999999999999</v>
      </c>
      <c r="I31" s="55">
        <v>5.0999999999999996</v>
      </c>
      <c r="J31" s="55">
        <v>0.54</v>
      </c>
      <c r="K31" s="55">
        <v>355.79</v>
      </c>
      <c r="L31" s="55">
        <v>29.51</v>
      </c>
      <c r="M31" s="55">
        <v>62.33</v>
      </c>
      <c r="N31" s="55">
        <v>20.70</v>
      </c>
      <c r="O31" s="55">
        <v>0</v>
      </c>
      <c r="P31" s="55">
        <v>0.53</v>
      </c>
      <c r="Q31" s="55">
        <v>9.49</v>
      </c>
      <c r="R31" s="43"/>
      <c r="S31" s="43"/>
      <c r="T31" s="43"/>
      <c r="U31" s="43"/>
    </row>
    <row r="32" spans="1:21" s="11" customFormat="1" ht="15">
      <c r="A32" s="54" t="s">
        <v>493</v>
      </c>
      <c r="B32" s="55">
        <v>8.40</v>
      </c>
      <c r="C32" s="55">
        <v>3.96</v>
      </c>
      <c r="D32" s="55">
        <v>12.58</v>
      </c>
      <c r="E32" s="55">
        <v>4.6100000000000003</v>
      </c>
      <c r="F32" s="55">
        <v>4.6399999999999997</v>
      </c>
      <c r="G32" s="55">
        <v>67.22</v>
      </c>
      <c r="H32" s="55">
        <v>22.20</v>
      </c>
      <c r="I32" s="55">
        <v>5.33</v>
      </c>
      <c r="J32" s="55">
        <v>0.53</v>
      </c>
      <c r="K32" s="55">
        <v>16.80</v>
      </c>
      <c r="L32" s="55">
        <v>29.38</v>
      </c>
      <c r="M32" s="55">
        <v>64.06</v>
      </c>
      <c r="N32" s="55">
        <v>20.70</v>
      </c>
      <c r="O32" s="55">
        <v>0</v>
      </c>
      <c r="P32" s="55">
        <v>0.51</v>
      </c>
      <c r="Q32" s="55">
        <v>9.5299999999999994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3.1400000000000001</v>
      </c>
      <c r="D34" s="28">
        <f t="shared" si="0"/>
        <v>11.99</v>
      </c>
      <c r="E34" s="28">
        <f t="shared" si="0"/>
        <v>3.1499999999999999</v>
      </c>
      <c r="F34" s="28">
        <f t="shared" si="0"/>
        <v>3.8500000000000001</v>
      </c>
      <c r="G34" s="28">
        <f t="shared" si="0"/>
        <v>31.850000000000001</v>
      </c>
      <c r="H34" s="28">
        <f t="shared" si="0"/>
        <v>11.23</v>
      </c>
      <c r="I34" s="28">
        <f t="shared" si="0"/>
        <v>1.6599999999999999</v>
      </c>
      <c r="J34" s="28">
        <f t="shared" si="0"/>
        <v>0.16</v>
      </c>
      <c r="K34" s="28">
        <f t="shared" si="0"/>
        <v>16.800000000000001</v>
      </c>
      <c r="L34" s="28">
        <f t="shared" si="0"/>
        <v>26.899999999999999</v>
      </c>
      <c r="M34" s="28">
        <f t="shared" si="0"/>
        <v>42.789999999999999</v>
      </c>
      <c r="N34" s="28">
        <f t="shared" si="0"/>
        <v>20.399999999999999</v>
      </c>
      <c r="O34" s="28">
        <f t="shared" si="0"/>
        <v>0</v>
      </c>
      <c r="P34" s="28">
        <f t="shared" si="0"/>
        <v>0.16</v>
      </c>
      <c r="Q34" s="28">
        <f t="shared" si="0"/>
        <v>9.3900000000000006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8.4000000000000004</v>
      </c>
      <c r="C35" s="29">
        <f t="shared" si="1"/>
        <v>4.1100000000000003</v>
      </c>
      <c r="D35" s="29">
        <f t="shared" si="1"/>
        <v>12.640000000000001</v>
      </c>
      <c r="E35" s="29">
        <f t="shared" si="1"/>
        <v>5.7300000000000004</v>
      </c>
      <c r="F35" s="29">
        <f t="shared" si="1"/>
        <v>7.8200000000000003</v>
      </c>
      <c r="G35" s="29">
        <f t="shared" si="1"/>
        <v>118.43000000000001</v>
      </c>
      <c r="H35" s="29">
        <f t="shared" si="1"/>
        <v>44.219999999999999</v>
      </c>
      <c r="I35" s="29">
        <f t="shared" si="1"/>
        <v>7.1799999999999997</v>
      </c>
      <c r="J35" s="29">
        <f t="shared" si="1"/>
        <v>2.1499999999999999</v>
      </c>
      <c r="K35" s="29">
        <f t="shared" si="1"/>
        <v>359.13</v>
      </c>
      <c r="L35" s="29">
        <f t="shared" si="1"/>
        <v>34.280000000000001</v>
      </c>
      <c r="M35" s="29">
        <f t="shared" si="1"/>
        <v>70</v>
      </c>
      <c r="N35" s="29">
        <f t="shared" si="1"/>
        <v>504.5</v>
      </c>
      <c r="O35" s="29">
        <f t="shared" si="1"/>
        <v>0.40000000000000002</v>
      </c>
      <c r="P35" s="29">
        <f t="shared" si="1"/>
        <v>0.66000000000000003</v>
      </c>
      <c r="Q35" s="29">
        <f t="shared" si="1"/>
        <v>9.6099999999999994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8.2745833333333323</v>
      </c>
      <c r="C36" s="28">
        <f t="shared" si="2"/>
        <v>3.5212499999999998</v>
      </c>
      <c r="D36" s="28">
        <f t="shared" si="2"/>
        <v>12.247916666666669</v>
      </c>
      <c r="E36" s="28">
        <f t="shared" si="2"/>
        <v>4.3245833333333339</v>
      </c>
      <c r="F36" s="28">
        <f t="shared" si="2"/>
        <v>5.8483333333333327</v>
      </c>
      <c r="G36" s="28">
        <f t="shared" si="2"/>
        <v>56.423333333333346</v>
      </c>
      <c r="H36" s="28">
        <f t="shared" si="2"/>
        <v>21.087083333333329</v>
      </c>
      <c r="I36" s="28">
        <f t="shared" si="2"/>
        <v>3.6541666666666668</v>
      </c>
      <c r="J36" s="28">
        <f t="shared" si="2"/>
        <v>0.68000000000000005</v>
      </c>
      <c r="K36" s="28">
        <f t="shared" si="2"/>
        <v>185.96249999999998</v>
      </c>
      <c r="L36" s="28">
        <f t="shared" si="2"/>
        <v>30.327916666666667</v>
      </c>
      <c r="M36" s="28">
        <f t="shared" si="2"/>
        <v>55.983749999999993</v>
      </c>
      <c r="N36" s="28">
        <f t="shared" si="2"/>
        <v>151.07500000000002</v>
      </c>
      <c r="O36" s="28">
        <f t="shared" si="2"/>
        <v>0.016666666666666666</v>
      </c>
      <c r="P36" s="28">
        <f t="shared" si="2"/>
        <v>0.38708333333333328</v>
      </c>
      <c r="Q36" s="28">
        <f t="shared" si="2"/>
        <v>9.4587500000000002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0.063175336868162429</v>
      </c>
      <c r="C37" s="28">
        <f t="shared" si="3" ref="C37:Q37">STDEV(C9:C32)</f>
        <v>0.25248869970408983</v>
      </c>
      <c r="D37" s="28">
        <f t="shared" si="3"/>
        <v>0.17927339254708094</v>
      </c>
      <c r="E37" s="28">
        <f t="shared" si="3"/>
        <v>0.76448891234696492</v>
      </c>
      <c r="F37" s="28">
        <f t="shared" si="3"/>
        <v>1.0634834749300475</v>
      </c>
      <c r="G37" s="28">
        <f t="shared" si="3"/>
        <v>18.383826461384949</v>
      </c>
      <c r="H37" s="28">
        <f t="shared" si="3"/>
        <v>6.7639996395023916</v>
      </c>
      <c r="I37" s="28">
        <f t="shared" si="3"/>
        <v>1.5013701471790941</v>
      </c>
      <c r="J37" s="28">
        <f t="shared" si="3"/>
        <v>0.36734061909184851</v>
      </c>
      <c r="K37" s="28">
        <f t="shared" si="3"/>
        <v>145.78190327991004</v>
      </c>
      <c r="L37" s="28">
        <f t="shared" si="3"/>
        <v>2.3647464781234144</v>
      </c>
      <c r="M37" s="28">
        <f t="shared" si="3"/>
        <v>7.770062845977173</v>
      </c>
      <c r="N37" s="28">
        <f t="shared" si="3"/>
        <v>158.54006557114937</v>
      </c>
      <c r="O37" s="28">
        <f t="shared" si="3"/>
        <v>0.081649658092772623</v>
      </c>
      <c r="P37" s="28">
        <f t="shared" si="3"/>
        <v>0.14871856018980131</v>
      </c>
      <c r="Q37" s="28">
        <f t="shared" si="3"/>
        <v>0.055819000972475323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4b615a-0b13-45b8-b732-64d65ba50c8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494</v>
      </c>
      <c r="B9" s="55">
        <v>8.35</v>
      </c>
      <c r="C9" s="55">
        <v>3.77</v>
      </c>
      <c r="D9" s="55">
        <v>12.44</v>
      </c>
      <c r="E9" s="55">
        <v>3.91</v>
      </c>
      <c r="F9" s="55">
        <v>5.64</v>
      </c>
      <c r="G9" s="55">
        <v>67.22</v>
      </c>
      <c r="H9" s="55">
        <v>22.20</v>
      </c>
      <c r="I9" s="55">
        <v>4.75</v>
      </c>
      <c r="J9" s="55">
        <v>0.56000000000000005</v>
      </c>
      <c r="K9" s="55">
        <v>349.98</v>
      </c>
      <c r="L9" s="55">
        <v>28.99</v>
      </c>
      <c r="M9" s="55">
        <v>62.80</v>
      </c>
      <c r="N9" s="55">
        <v>20.70</v>
      </c>
      <c r="O9" s="55">
        <v>0</v>
      </c>
      <c r="P9" s="55">
        <v>0.46</v>
      </c>
      <c r="Q9" s="55">
        <v>9.51</v>
      </c>
      <c r="R9" s="43"/>
      <c r="S9" s="43"/>
      <c r="T9" s="43"/>
      <c r="U9" s="43"/>
    </row>
    <row r="10" spans="1:21" s="11" customFormat="1" ht="15">
      <c r="A10" s="54" t="s">
        <v>495</v>
      </c>
      <c r="B10" s="55">
        <v>8.14</v>
      </c>
      <c r="C10" s="55">
        <v>3.11</v>
      </c>
      <c r="D10" s="55">
        <v>11.93</v>
      </c>
      <c r="E10" s="55">
        <v>3.97</v>
      </c>
      <c r="F10" s="55">
        <v>6.69</v>
      </c>
      <c r="G10" s="55">
        <v>65.28</v>
      </c>
      <c r="H10" s="55">
        <v>21.43</v>
      </c>
      <c r="I10" s="55">
        <v>3.84</v>
      </c>
      <c r="J10" s="55">
        <v>0.79</v>
      </c>
      <c r="K10" s="55">
        <v>23.36</v>
      </c>
      <c r="L10" s="55">
        <v>28.58</v>
      </c>
      <c r="M10" s="55">
        <v>58.18</v>
      </c>
      <c r="N10" s="55">
        <v>20.90</v>
      </c>
      <c r="O10" s="55">
        <v>0</v>
      </c>
      <c r="P10" s="55">
        <v>0.43</v>
      </c>
      <c r="Q10" s="55">
        <v>9.48</v>
      </c>
      <c r="R10" s="43"/>
      <c r="S10" s="43"/>
      <c r="T10" s="43"/>
      <c r="U10" s="43"/>
    </row>
    <row r="11" spans="1:21" s="11" customFormat="1" ht="15">
      <c r="A11" s="54" t="s">
        <v>496</v>
      </c>
      <c r="B11" s="55">
        <v>8.23</v>
      </c>
      <c r="C11" s="55">
        <v>3.26</v>
      </c>
      <c r="D11" s="55">
        <v>12.08</v>
      </c>
      <c r="E11" s="55">
        <v>3.82</v>
      </c>
      <c r="F11" s="55">
        <v>7.24</v>
      </c>
      <c r="G11" s="55">
        <v>57.03</v>
      </c>
      <c r="H11" s="55">
        <v>17.57</v>
      </c>
      <c r="I11" s="55">
        <v>2.72</v>
      </c>
      <c r="J11" s="55">
        <v>0.70</v>
      </c>
      <c r="K11" s="55">
        <v>14.93</v>
      </c>
      <c r="L11" s="55">
        <v>27.73</v>
      </c>
      <c r="M11" s="55">
        <v>63.03</v>
      </c>
      <c r="N11" s="55">
        <v>20.80</v>
      </c>
      <c r="O11" s="55">
        <v>0</v>
      </c>
      <c r="P11" s="55">
        <v>0.32</v>
      </c>
      <c r="Q11" s="55">
        <v>9.3699999999999992</v>
      </c>
      <c r="R11" s="43"/>
      <c r="S11" s="43"/>
      <c r="T11" s="43"/>
      <c r="U11" s="43"/>
    </row>
    <row r="12" spans="1:21" s="11" customFormat="1" ht="15">
      <c r="A12" s="54" t="s">
        <v>497</v>
      </c>
      <c r="B12" s="55">
        <v>8.2899999999999991</v>
      </c>
      <c r="C12" s="55">
        <v>3.42</v>
      </c>
      <c r="D12" s="55">
        <v>12.20</v>
      </c>
      <c r="E12" s="55">
        <v>4</v>
      </c>
      <c r="F12" s="55">
        <v>7.09</v>
      </c>
      <c r="G12" s="55">
        <v>51.77</v>
      </c>
      <c r="H12" s="55">
        <v>17.57</v>
      </c>
      <c r="I12" s="55">
        <v>2.10</v>
      </c>
      <c r="J12" s="55">
        <v>0.71</v>
      </c>
      <c r="K12" s="55">
        <v>353.48</v>
      </c>
      <c r="L12" s="55">
        <v>26.88</v>
      </c>
      <c r="M12" s="55">
        <v>64.67</v>
      </c>
      <c r="N12" s="55">
        <v>20.70</v>
      </c>
      <c r="O12" s="55">
        <v>0</v>
      </c>
      <c r="P12" s="55">
        <v>0.27</v>
      </c>
      <c r="Q12" s="55">
        <v>9.40</v>
      </c>
      <c r="R12" s="43"/>
      <c r="S12" s="43"/>
      <c r="T12" s="43"/>
      <c r="U12" s="43"/>
    </row>
    <row r="13" spans="1:21" s="11" customFormat="1" ht="15">
      <c r="A13" s="54" t="s">
        <v>498</v>
      </c>
      <c r="B13" s="55">
        <v>8.2200000000000006</v>
      </c>
      <c r="C13" s="55">
        <v>3.30</v>
      </c>
      <c r="D13" s="55">
        <v>12.09</v>
      </c>
      <c r="E13" s="55">
        <v>3.22</v>
      </c>
      <c r="F13" s="55">
        <v>5.48</v>
      </c>
      <c r="G13" s="55">
        <v>38.39</v>
      </c>
      <c r="H13" s="55">
        <v>14.92</v>
      </c>
      <c r="I13" s="55">
        <v>1.82</v>
      </c>
      <c r="J13" s="55">
        <v>0.62</v>
      </c>
      <c r="K13" s="55">
        <v>22.40</v>
      </c>
      <c r="L13" s="55">
        <v>26.66</v>
      </c>
      <c r="M13" s="55">
        <v>67.69</v>
      </c>
      <c r="N13" s="55">
        <v>20.80</v>
      </c>
      <c r="O13" s="55">
        <v>0</v>
      </c>
      <c r="P13" s="55">
        <v>0.25</v>
      </c>
      <c r="Q13" s="55">
        <v>9.39</v>
      </c>
      <c r="R13" s="43"/>
      <c r="S13" s="43"/>
      <c r="T13" s="43"/>
      <c r="U13" s="43"/>
    </row>
    <row r="14" spans="1:21" s="11" customFormat="1" ht="15">
      <c r="A14" s="54" t="s">
        <v>499</v>
      </c>
      <c r="B14" s="55">
        <v>8.39</v>
      </c>
      <c r="C14" s="55">
        <v>3.79</v>
      </c>
      <c r="D14" s="55">
        <v>12.48</v>
      </c>
      <c r="E14" s="55">
        <v>3.23</v>
      </c>
      <c r="F14" s="55">
        <v>6.28</v>
      </c>
      <c r="G14" s="55">
        <v>35.51</v>
      </c>
      <c r="H14" s="55">
        <v>13.10</v>
      </c>
      <c r="I14" s="55">
        <v>1.63</v>
      </c>
      <c r="J14" s="55">
        <v>0.63</v>
      </c>
      <c r="K14" s="55">
        <v>355.16</v>
      </c>
      <c r="L14" s="55">
        <v>26.31</v>
      </c>
      <c r="M14" s="55">
        <v>67.930000000000007</v>
      </c>
      <c r="N14" s="55">
        <v>59.5</v>
      </c>
      <c r="O14" s="55">
        <v>0</v>
      </c>
      <c r="P14" s="55">
        <v>0.23</v>
      </c>
      <c r="Q14" s="55">
        <v>9.3800000000000008</v>
      </c>
      <c r="R14" s="43"/>
      <c r="S14" s="43"/>
      <c r="T14" s="43"/>
      <c r="U14" s="43"/>
    </row>
    <row r="15" spans="1:21" s="11" customFormat="1" ht="15">
      <c r="A15" s="54" t="s">
        <v>500</v>
      </c>
      <c r="B15" s="55">
        <v>8.17</v>
      </c>
      <c r="C15" s="55">
        <v>3.13</v>
      </c>
      <c r="D15" s="55">
        <v>11.96</v>
      </c>
      <c r="E15" s="55">
        <v>3.11</v>
      </c>
      <c r="F15" s="55">
        <v>4.54</v>
      </c>
      <c r="G15" s="55">
        <v>33.380000000000003</v>
      </c>
      <c r="H15" s="55">
        <v>13.61</v>
      </c>
      <c r="I15" s="55">
        <v>1.72</v>
      </c>
      <c r="J15" s="55">
        <v>0.45</v>
      </c>
      <c r="K15" s="55">
        <v>346.97</v>
      </c>
      <c r="L15" s="55">
        <v>26.81</v>
      </c>
      <c r="M15" s="55">
        <v>67.91</v>
      </c>
      <c r="N15" s="55">
        <v>175.90</v>
      </c>
      <c r="O15" s="55">
        <v>0</v>
      </c>
      <c r="P15" s="55">
        <v>0.23</v>
      </c>
      <c r="Q15" s="55">
        <v>9.3800000000000008</v>
      </c>
      <c r="R15" s="43"/>
      <c r="S15" s="43"/>
      <c r="T15" s="43"/>
      <c r="U15" s="43"/>
    </row>
    <row r="16" spans="1:21" s="11" customFormat="1" ht="15">
      <c r="A16" s="54" t="s">
        <v>501</v>
      </c>
      <c r="B16" s="55">
        <v>8.2200000000000006</v>
      </c>
      <c r="C16" s="55">
        <v>3.30</v>
      </c>
      <c r="D16" s="55">
        <v>12.09</v>
      </c>
      <c r="E16" s="55">
        <v>3.49</v>
      </c>
      <c r="F16" s="55">
        <v>6.52</v>
      </c>
      <c r="G16" s="55">
        <v>33.49</v>
      </c>
      <c r="H16" s="55">
        <v>13.61</v>
      </c>
      <c r="I16" s="55">
        <v>1.95</v>
      </c>
      <c r="J16" s="55">
        <v>0.72</v>
      </c>
      <c r="K16" s="55">
        <v>358.94</v>
      </c>
      <c r="L16" s="55">
        <v>28.89</v>
      </c>
      <c r="M16" s="55">
        <v>63.88</v>
      </c>
      <c r="N16" s="55">
        <v>368.30</v>
      </c>
      <c r="O16" s="55">
        <v>0</v>
      </c>
      <c r="P16" s="55">
        <v>0.26</v>
      </c>
      <c r="Q16" s="55">
        <v>9.3699999999999992</v>
      </c>
      <c r="R16" s="43"/>
      <c r="S16" s="43"/>
      <c r="T16" s="43"/>
      <c r="U16" s="43"/>
    </row>
    <row r="17" spans="1:21" s="11" customFormat="1" ht="15">
      <c r="A17" s="54" t="s">
        <v>502</v>
      </c>
      <c r="B17" s="55">
        <v>8.23</v>
      </c>
      <c r="C17" s="55">
        <v>3.42</v>
      </c>
      <c r="D17" s="55">
        <v>12.16</v>
      </c>
      <c r="E17" s="55">
        <v>4.29</v>
      </c>
      <c r="F17" s="55">
        <v>6.51</v>
      </c>
      <c r="G17" s="55">
        <v>34.270000000000003</v>
      </c>
      <c r="H17" s="55">
        <v>12.06</v>
      </c>
      <c r="I17" s="55">
        <v>1.85</v>
      </c>
      <c r="J17" s="55">
        <v>0.67</v>
      </c>
      <c r="K17" s="55">
        <v>24.47</v>
      </c>
      <c r="L17" s="55">
        <v>30.60</v>
      </c>
      <c r="M17" s="55">
        <v>55.98</v>
      </c>
      <c r="N17" s="55">
        <v>582.29999999999995</v>
      </c>
      <c r="O17" s="55">
        <v>0</v>
      </c>
      <c r="P17" s="55">
        <v>0.28000000000000003</v>
      </c>
      <c r="Q17" s="55">
        <v>9.4499999999999993</v>
      </c>
      <c r="R17" s="43"/>
      <c r="S17" s="43"/>
      <c r="T17" s="43"/>
      <c r="U17" s="43"/>
    </row>
    <row r="18" spans="1:21" s="11" customFormat="1" ht="15">
      <c r="A18" s="54" t="s">
        <v>503</v>
      </c>
      <c r="B18" s="55">
        <v>8.34</v>
      </c>
      <c r="C18" s="55">
        <v>3.90</v>
      </c>
      <c r="D18" s="55">
        <v>12.5</v>
      </c>
      <c r="E18" s="55">
        <v>3.73</v>
      </c>
      <c r="F18" s="55">
        <v>8.2799999999999994</v>
      </c>
      <c r="G18" s="55">
        <v>37.90</v>
      </c>
      <c r="H18" s="55">
        <v>12.12</v>
      </c>
      <c r="I18" s="55">
        <v>2.3199999999999998</v>
      </c>
      <c r="J18" s="55">
        <v>0.77</v>
      </c>
      <c r="K18" s="55">
        <v>351.36</v>
      </c>
      <c r="L18" s="55">
        <v>32.67</v>
      </c>
      <c r="M18" s="55">
        <v>48.71</v>
      </c>
      <c r="N18" s="55">
        <v>686.80</v>
      </c>
      <c r="O18" s="55">
        <v>0</v>
      </c>
      <c r="P18" s="55">
        <v>0.41</v>
      </c>
      <c r="Q18" s="55">
        <v>9.4499999999999993</v>
      </c>
      <c r="R18" s="43"/>
      <c r="S18" s="43"/>
      <c r="T18" s="43"/>
      <c r="U18" s="43"/>
    </row>
    <row r="19" spans="1:21" s="11" customFormat="1" ht="15">
      <c r="A19" s="54" t="s">
        <v>504</v>
      </c>
      <c r="B19" s="55">
        <v>8.17</v>
      </c>
      <c r="C19" s="55">
        <v>3.26</v>
      </c>
      <c r="D19" s="55">
        <v>12.03</v>
      </c>
      <c r="E19" s="55">
        <v>3.82</v>
      </c>
      <c r="F19" s="55">
        <v>8.6999999999999993</v>
      </c>
      <c r="G19" s="55">
        <v>43.28</v>
      </c>
      <c r="H19" s="55">
        <v>18.97</v>
      </c>
      <c r="I19" s="55">
        <v>2.70</v>
      </c>
      <c r="J19" s="55">
        <v>0.75</v>
      </c>
      <c r="K19" s="55">
        <v>356.80</v>
      </c>
      <c r="L19" s="55">
        <v>34.47</v>
      </c>
      <c r="M19" s="55">
        <v>46.23</v>
      </c>
      <c r="N19" s="55">
        <v>869.70</v>
      </c>
      <c r="O19" s="55">
        <v>0</v>
      </c>
      <c r="P19" s="55">
        <v>0.54</v>
      </c>
      <c r="Q19" s="55">
        <v>9.4600000000000009</v>
      </c>
      <c r="R19" s="43"/>
      <c r="S19" s="43"/>
      <c r="T19" s="43"/>
      <c r="U19" s="43"/>
    </row>
    <row r="20" spans="1:21" s="11" customFormat="1" ht="15">
      <c r="A20" s="54" t="s">
        <v>505</v>
      </c>
      <c r="B20" s="55">
        <v>8.2200000000000006</v>
      </c>
      <c r="C20" s="55">
        <v>3.31</v>
      </c>
      <c r="D20" s="55">
        <v>12.09</v>
      </c>
      <c r="E20" s="55">
        <v>4.4800000000000004</v>
      </c>
      <c r="F20" s="55">
        <v>8.74</v>
      </c>
      <c r="G20" s="55">
        <v>51.22</v>
      </c>
      <c r="H20" s="55">
        <v>20.53</v>
      </c>
      <c r="I20" s="55">
        <v>3.29</v>
      </c>
      <c r="J20" s="55">
        <v>1.1200000000000001</v>
      </c>
      <c r="K20" s="55">
        <v>336.14</v>
      </c>
      <c r="L20" s="55">
        <v>36.880000000000003</v>
      </c>
      <c r="M20" s="55">
        <v>39.020000000000003</v>
      </c>
      <c r="N20" s="55">
        <v>885</v>
      </c>
      <c r="O20" s="55">
        <v>0</v>
      </c>
      <c r="P20" s="55">
        <v>0.56999999999999995</v>
      </c>
      <c r="Q20" s="55">
        <v>9.36</v>
      </c>
      <c r="R20" s="43"/>
      <c r="S20" s="43"/>
      <c r="T20" s="43"/>
      <c r="U20" s="43"/>
    </row>
    <row r="21" spans="1:21" s="11" customFormat="1" ht="15">
      <c r="A21" s="54" t="s">
        <v>506</v>
      </c>
      <c r="B21" s="55">
        <v>8.2799999999999994</v>
      </c>
      <c r="C21" s="55">
        <v>3.54</v>
      </c>
      <c r="D21" s="55">
        <v>12.26</v>
      </c>
      <c r="E21" s="55">
        <v>4.49</v>
      </c>
      <c r="F21" s="55">
        <v>8.42</v>
      </c>
      <c r="G21" s="55">
        <v>51.22</v>
      </c>
      <c r="H21" s="55">
        <v>30.96</v>
      </c>
      <c r="I21" s="55">
        <v>3.10</v>
      </c>
      <c r="J21" s="55">
        <v>0.82</v>
      </c>
      <c r="K21" s="55">
        <v>353.90</v>
      </c>
      <c r="L21" s="55">
        <v>36.950000000000003</v>
      </c>
      <c r="M21" s="55">
        <v>35.07</v>
      </c>
      <c r="N21" s="55">
        <v>864.60</v>
      </c>
      <c r="O21" s="55">
        <v>0</v>
      </c>
      <c r="P21" s="55">
        <v>0.51</v>
      </c>
      <c r="Q21" s="55">
        <v>9.35</v>
      </c>
      <c r="R21" s="43"/>
      <c r="S21" s="43"/>
      <c r="T21" s="43"/>
      <c r="U21" s="43"/>
    </row>
    <row r="22" spans="1:21" s="11" customFormat="1" ht="15">
      <c r="A22" s="54" t="s">
        <v>507</v>
      </c>
      <c r="B22" s="55">
        <v>8.25</v>
      </c>
      <c r="C22" s="55">
        <v>3.36</v>
      </c>
      <c r="D22" s="55">
        <v>12.12</v>
      </c>
      <c r="E22" s="55">
        <v>4.5599999999999996</v>
      </c>
      <c r="F22" s="55">
        <v>8.65</v>
      </c>
      <c r="G22" s="55">
        <v>49.20</v>
      </c>
      <c r="H22" s="55">
        <v>32.11</v>
      </c>
      <c r="I22" s="55">
        <v>2.81</v>
      </c>
      <c r="J22" s="55">
        <v>0.66</v>
      </c>
      <c r="K22" s="55">
        <v>353.90</v>
      </c>
      <c r="L22" s="55">
        <v>37.049999999999997</v>
      </c>
      <c r="M22" s="55">
        <v>34.54</v>
      </c>
      <c r="N22" s="55">
        <v>846.20</v>
      </c>
      <c r="O22" s="55">
        <v>0</v>
      </c>
      <c r="P22" s="55">
        <v>0.47</v>
      </c>
      <c r="Q22" s="55">
        <v>9.42</v>
      </c>
      <c r="R22" s="43"/>
      <c r="S22" s="43"/>
      <c r="T22" s="43"/>
      <c r="U22" s="43"/>
    </row>
    <row r="23" spans="1:21" s="11" customFormat="1" ht="15">
      <c r="A23" s="54" t="s">
        <v>508</v>
      </c>
      <c r="B23" s="55">
        <v>8.36</v>
      </c>
      <c r="C23" s="55">
        <v>4.03</v>
      </c>
      <c r="D23" s="55">
        <v>12.59</v>
      </c>
      <c r="E23" s="55">
        <v>4.66</v>
      </c>
      <c r="F23" s="55">
        <v>9.33</v>
      </c>
      <c r="G23" s="55">
        <v>53.64</v>
      </c>
      <c r="H23" s="55">
        <v>33.39</v>
      </c>
      <c r="I23" s="55">
        <v>2.2400000000000002</v>
      </c>
      <c r="J23" s="55">
        <v>0.64</v>
      </c>
      <c r="K23" s="55">
        <v>345.77</v>
      </c>
      <c r="L23" s="55">
        <v>36.909999999999997</v>
      </c>
      <c r="M23" s="55">
        <v>34.21</v>
      </c>
      <c r="N23" s="55">
        <v>561.5</v>
      </c>
      <c r="O23" s="55">
        <v>0</v>
      </c>
      <c r="P23" s="55">
        <v>0.40</v>
      </c>
      <c r="Q23" s="55">
        <v>9.41</v>
      </c>
      <c r="R23" s="43"/>
      <c r="S23" s="43"/>
      <c r="T23" s="43"/>
      <c r="U23" s="43"/>
    </row>
    <row r="24" spans="1:21" s="11" customFormat="1" ht="15">
      <c r="A24" s="54" t="s">
        <v>509</v>
      </c>
      <c r="B24" s="55">
        <v>8.19</v>
      </c>
      <c r="C24" s="55">
        <v>3.27</v>
      </c>
      <c r="D24" s="55">
        <v>12.05</v>
      </c>
      <c r="E24" s="55">
        <v>4.71</v>
      </c>
      <c r="F24" s="55">
        <v>8.67</v>
      </c>
      <c r="G24" s="55">
        <v>53.64</v>
      </c>
      <c r="H24" s="55">
        <v>32.18</v>
      </c>
      <c r="I24" s="55">
        <v>2.14</v>
      </c>
      <c r="J24" s="55">
        <v>0.62</v>
      </c>
      <c r="K24" s="55">
        <v>358.10</v>
      </c>
      <c r="L24" s="55">
        <v>36.82</v>
      </c>
      <c r="M24" s="55">
        <v>32.479999999999997</v>
      </c>
      <c r="N24" s="55">
        <v>324.60000000000002</v>
      </c>
      <c r="O24" s="55">
        <v>0</v>
      </c>
      <c r="P24" s="55">
        <v>0.38</v>
      </c>
      <c r="Q24" s="55">
        <v>9.39</v>
      </c>
      <c r="R24" s="43"/>
      <c r="S24" s="43"/>
      <c r="T24" s="43"/>
      <c r="U24" s="43"/>
    </row>
    <row r="25" spans="1:21" s="11" customFormat="1" ht="15">
      <c r="A25" s="54" t="s">
        <v>510</v>
      </c>
      <c r="B25" s="55">
        <v>8.25</v>
      </c>
      <c r="C25" s="55">
        <v>3.52</v>
      </c>
      <c r="D25" s="55">
        <v>12.23</v>
      </c>
      <c r="E25" s="55">
        <v>3.64</v>
      </c>
      <c r="F25" s="55">
        <v>7.68</v>
      </c>
      <c r="G25" s="55">
        <v>51.70</v>
      </c>
      <c r="H25" s="55">
        <v>30.21</v>
      </c>
      <c r="I25" s="55">
        <v>1.95</v>
      </c>
      <c r="J25" s="55">
        <v>2.59</v>
      </c>
      <c r="K25" s="55">
        <v>345.62</v>
      </c>
      <c r="L25" s="55">
        <v>36.380000000000003</v>
      </c>
      <c r="M25" s="55">
        <v>46.25</v>
      </c>
      <c r="N25" s="55">
        <v>132.19999999999999</v>
      </c>
      <c r="O25" s="55">
        <v>0</v>
      </c>
      <c r="P25" s="55">
        <v>0.34</v>
      </c>
      <c r="Q25" s="55">
        <v>9.31</v>
      </c>
      <c r="R25" s="43"/>
      <c r="S25" s="43"/>
      <c r="T25" s="43"/>
      <c r="U25" s="43"/>
    </row>
    <row r="26" spans="1:21" s="11" customFormat="1" ht="15">
      <c r="A26" s="54" t="s">
        <v>511</v>
      </c>
      <c r="B26" s="55">
        <v>8.3800000000000008</v>
      </c>
      <c r="C26" s="55">
        <v>4.0599999999999996</v>
      </c>
      <c r="D26" s="55">
        <v>12.62</v>
      </c>
      <c r="E26" s="55">
        <v>3.58</v>
      </c>
      <c r="F26" s="55">
        <v>8.32</v>
      </c>
      <c r="G26" s="55">
        <v>76.08</v>
      </c>
      <c r="H26" s="55">
        <v>28.58</v>
      </c>
      <c r="I26" s="55">
        <v>2.58</v>
      </c>
      <c r="J26" s="55">
        <v>3.99</v>
      </c>
      <c r="K26" s="55">
        <v>344.31</v>
      </c>
      <c r="L26" s="55">
        <v>31.69</v>
      </c>
      <c r="M26" s="55">
        <v>57.17</v>
      </c>
      <c r="N26" s="55">
        <v>45.70</v>
      </c>
      <c r="O26" s="55">
        <v>0</v>
      </c>
      <c r="P26" s="55">
        <v>0.37</v>
      </c>
      <c r="Q26" s="55">
        <v>9.49</v>
      </c>
      <c r="R26" s="43"/>
      <c r="S26" s="43"/>
      <c r="T26" s="43"/>
      <c r="U26" s="43"/>
    </row>
    <row r="27" spans="1:21" s="11" customFormat="1" ht="15">
      <c r="A27" s="54" t="s">
        <v>512</v>
      </c>
      <c r="B27" s="55">
        <v>8.18</v>
      </c>
      <c r="C27" s="55">
        <v>3.20</v>
      </c>
      <c r="D27" s="55">
        <v>12</v>
      </c>
      <c r="E27" s="55">
        <v>3.70</v>
      </c>
      <c r="F27" s="55">
        <v>9.66</v>
      </c>
      <c r="G27" s="55">
        <v>84.46</v>
      </c>
      <c r="H27" s="55">
        <v>28.58</v>
      </c>
      <c r="I27" s="55">
        <v>2.4500000000000002</v>
      </c>
      <c r="J27" s="55">
        <v>4.38</v>
      </c>
      <c r="K27" s="55">
        <v>338.52</v>
      </c>
      <c r="L27" s="55">
        <v>26.96</v>
      </c>
      <c r="M27" s="55">
        <v>93.24</v>
      </c>
      <c r="N27" s="55">
        <v>27.5</v>
      </c>
      <c r="O27" s="55">
        <v>0.80</v>
      </c>
      <c r="P27" s="55">
        <v>0.33</v>
      </c>
      <c r="Q27" s="55">
        <v>9.48</v>
      </c>
      <c r="R27" s="43"/>
      <c r="S27" s="43"/>
      <c r="T27" s="43"/>
      <c r="U27" s="43"/>
    </row>
    <row r="28" spans="1:21" s="11" customFormat="1" ht="15">
      <c r="A28" s="54" t="s">
        <v>513</v>
      </c>
      <c r="B28" s="55">
        <v>8.26</v>
      </c>
      <c r="C28" s="55">
        <v>3.52</v>
      </c>
      <c r="D28" s="55">
        <v>12.24</v>
      </c>
      <c r="E28" s="55">
        <v>4.09</v>
      </c>
      <c r="F28" s="55">
        <v>10.81</v>
      </c>
      <c r="G28" s="55">
        <v>84.46</v>
      </c>
      <c r="H28" s="55">
        <v>24.71</v>
      </c>
      <c r="I28" s="55">
        <v>1.82</v>
      </c>
      <c r="J28" s="55">
        <v>2.0499999999999998</v>
      </c>
      <c r="K28" s="55">
        <v>337.25</v>
      </c>
      <c r="L28" s="55">
        <v>22.53</v>
      </c>
      <c r="M28" s="55">
        <v>98.35</v>
      </c>
      <c r="N28" s="55">
        <v>23.10</v>
      </c>
      <c r="O28" s="55">
        <v>9.40</v>
      </c>
      <c r="P28" s="55">
        <v>0.36</v>
      </c>
      <c r="Q28" s="55">
        <v>9.48</v>
      </c>
      <c r="R28" s="43"/>
      <c r="S28" s="43"/>
      <c r="T28" s="43"/>
      <c r="U28" s="43"/>
    </row>
    <row r="29" spans="1:21" s="11" customFormat="1" ht="15">
      <c r="A29" s="54" t="s">
        <v>514</v>
      </c>
      <c r="B29" s="55">
        <v>8.40</v>
      </c>
      <c r="C29" s="55">
        <v>3.71</v>
      </c>
      <c r="D29" s="55">
        <v>12.45</v>
      </c>
      <c r="E29" s="55">
        <v>4.22</v>
      </c>
      <c r="F29" s="55">
        <v>4.84</v>
      </c>
      <c r="G29" s="55">
        <v>76.12</v>
      </c>
      <c r="H29" s="55">
        <v>20.99</v>
      </c>
      <c r="I29" s="55">
        <v>2.41</v>
      </c>
      <c r="J29" s="55">
        <v>0.71</v>
      </c>
      <c r="K29" s="55">
        <v>338.84</v>
      </c>
      <c r="L29" s="55">
        <v>22.30</v>
      </c>
      <c r="M29" s="55">
        <v>98.38</v>
      </c>
      <c r="N29" s="55">
        <v>22.60</v>
      </c>
      <c r="O29" s="55">
        <v>0.40</v>
      </c>
      <c r="P29" s="55">
        <v>0.38</v>
      </c>
      <c r="Q29" s="55">
        <v>9.41</v>
      </c>
      <c r="R29" s="43"/>
      <c r="S29" s="43"/>
      <c r="T29" s="43"/>
      <c r="U29" s="43"/>
    </row>
    <row r="30" spans="1:21" s="11" customFormat="1" ht="15">
      <c r="A30" s="54" t="s">
        <v>515</v>
      </c>
      <c r="B30" s="55">
        <v>8.35</v>
      </c>
      <c r="C30" s="55">
        <v>3.57</v>
      </c>
      <c r="D30" s="55">
        <v>12.33</v>
      </c>
      <c r="E30" s="55">
        <v>4.2699999999999996</v>
      </c>
      <c r="F30" s="55">
        <v>3.74</v>
      </c>
      <c r="G30" s="55">
        <v>51.71</v>
      </c>
      <c r="H30" s="55">
        <v>14.72</v>
      </c>
      <c r="I30" s="55">
        <v>2.83</v>
      </c>
      <c r="J30" s="55">
        <v>1.1499999999999999</v>
      </c>
      <c r="K30" s="55">
        <v>327.94</v>
      </c>
      <c r="L30" s="55">
        <v>22.28</v>
      </c>
      <c r="M30" s="55">
        <v>98.38</v>
      </c>
      <c r="N30" s="55">
        <v>23</v>
      </c>
      <c r="O30" s="55">
        <v>0.20</v>
      </c>
      <c r="P30" s="55">
        <v>0.41</v>
      </c>
      <c r="Q30" s="55">
        <v>9.49</v>
      </c>
      <c r="R30" s="43"/>
      <c r="S30" s="43"/>
      <c r="T30" s="43"/>
      <c r="U30" s="43"/>
    </row>
    <row r="31" spans="1:21" s="11" customFormat="1" ht="15">
      <c r="A31" s="54" t="s">
        <v>516</v>
      </c>
      <c r="B31" s="55">
        <v>8.2200000000000006</v>
      </c>
      <c r="C31" s="55">
        <v>3.25</v>
      </c>
      <c r="D31" s="55">
        <v>12.06</v>
      </c>
      <c r="E31" s="55">
        <v>4.4000000000000004</v>
      </c>
      <c r="F31" s="55">
        <v>4.07</v>
      </c>
      <c r="G31" s="55">
        <v>38.229999999999997</v>
      </c>
      <c r="H31" s="55">
        <v>14.16</v>
      </c>
      <c r="I31" s="55">
        <v>3.14</v>
      </c>
      <c r="J31" s="55">
        <v>0.47</v>
      </c>
      <c r="K31" s="55">
        <v>297.70</v>
      </c>
      <c r="L31" s="55">
        <v>22.89</v>
      </c>
      <c r="M31" s="55">
        <v>98.43</v>
      </c>
      <c r="N31" s="55">
        <v>23.5</v>
      </c>
      <c r="O31" s="55">
        <v>0</v>
      </c>
      <c r="P31" s="55">
        <v>0.43</v>
      </c>
      <c r="Q31" s="55">
        <v>9.56</v>
      </c>
      <c r="R31" s="43"/>
      <c r="S31" s="43"/>
      <c r="T31" s="43"/>
      <c r="U31" s="43"/>
    </row>
    <row r="32" spans="1:21" s="11" customFormat="1" ht="15">
      <c r="A32" s="54" t="s">
        <v>517</v>
      </c>
      <c r="B32" s="55">
        <v>8.4600000000000009</v>
      </c>
      <c r="C32" s="55">
        <v>4.16</v>
      </c>
      <c r="D32" s="55">
        <v>12.73</v>
      </c>
      <c r="E32" s="55">
        <v>4.30</v>
      </c>
      <c r="F32" s="55">
        <v>4.07</v>
      </c>
      <c r="G32" s="55">
        <v>30.95</v>
      </c>
      <c r="H32" s="55">
        <v>15.66</v>
      </c>
      <c r="I32" s="55">
        <v>3.31</v>
      </c>
      <c r="J32" s="55">
        <v>0.94</v>
      </c>
      <c r="K32" s="55">
        <v>229</v>
      </c>
      <c r="L32" s="55">
        <v>23.06</v>
      </c>
      <c r="M32" s="55">
        <v>98.40</v>
      </c>
      <c r="N32" s="55">
        <v>23.80</v>
      </c>
      <c r="O32" s="55">
        <v>0</v>
      </c>
      <c r="P32" s="55">
        <v>0.43</v>
      </c>
      <c r="Q32" s="55">
        <v>9.61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8.1400000000000006</v>
      </c>
      <c r="C34" s="28">
        <f t="shared" si="0"/>
        <v>3.1099999999999999</v>
      </c>
      <c r="D34" s="28">
        <f t="shared" si="0"/>
        <v>11.93</v>
      </c>
      <c r="E34" s="28">
        <f t="shared" si="0"/>
        <v>3.1099999999999999</v>
      </c>
      <c r="F34" s="28">
        <f t="shared" si="0"/>
        <v>3.7400000000000002</v>
      </c>
      <c r="G34" s="28">
        <f t="shared" si="0"/>
        <v>30.949999999999999</v>
      </c>
      <c r="H34" s="28">
        <f t="shared" si="0"/>
        <v>12.06</v>
      </c>
      <c r="I34" s="28">
        <f t="shared" si="0"/>
        <v>1.6299999999999999</v>
      </c>
      <c r="J34" s="28">
        <f t="shared" si="0"/>
        <v>0.45000000000000001</v>
      </c>
      <c r="K34" s="28">
        <f t="shared" si="0"/>
        <v>14.93</v>
      </c>
      <c r="L34" s="28">
        <f t="shared" si="0"/>
        <v>22.280000000000001</v>
      </c>
      <c r="M34" s="28">
        <f t="shared" si="0"/>
        <v>32.479999999999997</v>
      </c>
      <c r="N34" s="28">
        <f t="shared" si="0"/>
        <v>20.699999999999999</v>
      </c>
      <c r="O34" s="28">
        <f t="shared" si="0"/>
        <v>0</v>
      </c>
      <c r="P34" s="28">
        <f t="shared" si="0"/>
        <v>0.23000000000000001</v>
      </c>
      <c r="Q34" s="28">
        <f t="shared" si="0"/>
        <v>9.3100000000000005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8.4600000000000009</v>
      </c>
      <c r="C35" s="29">
        <f t="shared" si="1"/>
        <v>4.1600000000000001</v>
      </c>
      <c r="D35" s="29">
        <f t="shared" si="1"/>
        <v>12.73</v>
      </c>
      <c r="E35" s="29">
        <f t="shared" si="1"/>
        <v>4.71</v>
      </c>
      <c r="F35" s="29">
        <f t="shared" si="1"/>
        <v>10.81</v>
      </c>
      <c r="G35" s="29">
        <f t="shared" si="1"/>
        <v>84.459999999999994</v>
      </c>
      <c r="H35" s="29">
        <f t="shared" si="1"/>
        <v>33.390000000000001</v>
      </c>
      <c r="I35" s="29">
        <f t="shared" si="1"/>
        <v>4.75</v>
      </c>
      <c r="J35" s="29">
        <f t="shared" si="1"/>
        <v>4.3799999999999999</v>
      </c>
      <c r="K35" s="29">
        <f t="shared" si="1"/>
        <v>358.94</v>
      </c>
      <c r="L35" s="29">
        <f t="shared" si="1"/>
        <v>37.049999999999997</v>
      </c>
      <c r="M35" s="29">
        <f t="shared" si="1"/>
        <v>98.430000000000007</v>
      </c>
      <c r="N35" s="29">
        <f t="shared" si="1"/>
        <v>885</v>
      </c>
      <c r="O35" s="29">
        <f t="shared" si="1"/>
        <v>9.4000000000000004</v>
      </c>
      <c r="P35" s="29">
        <f t="shared" si="1"/>
        <v>0.56999999999999995</v>
      </c>
      <c r="Q35" s="29">
        <f t="shared" si="1"/>
        <v>9.6099999999999994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8.2729166666666671</v>
      </c>
      <c r="C36" s="28">
        <f t="shared" si="2"/>
        <v>3.5066666666666659</v>
      </c>
      <c r="D36" s="28">
        <f t="shared" si="2"/>
        <v>12.238750000000001</v>
      </c>
      <c r="E36" s="28">
        <f t="shared" si="2"/>
        <v>3.9870833333333331</v>
      </c>
      <c r="F36" s="28">
        <f t="shared" si="2"/>
        <v>7.0820833333333333</v>
      </c>
      <c r="G36" s="28">
        <f t="shared" si="2"/>
        <v>52.089583333333344</v>
      </c>
      <c r="H36" s="28">
        <f t="shared" si="2"/>
        <v>20.997499999999999</v>
      </c>
      <c r="I36" s="28">
        <f t="shared" si="2"/>
        <v>2.5612500000000007</v>
      </c>
      <c r="J36" s="28">
        <f t="shared" si="2"/>
        <v>1.14625</v>
      </c>
      <c r="K36" s="28">
        <f t="shared" si="2"/>
        <v>286.03500000000003</v>
      </c>
      <c r="L36" s="28">
        <f t="shared" si="2"/>
        <v>29.637083333333333</v>
      </c>
      <c r="M36" s="28">
        <f t="shared" si="2"/>
        <v>63.78875</v>
      </c>
      <c r="N36" s="28">
        <f t="shared" si="2"/>
        <v>277.07083333333338</v>
      </c>
      <c r="O36" s="28">
        <f t="shared" si="2"/>
        <v>0.45000000000000001</v>
      </c>
      <c r="P36" s="28">
        <f t="shared" si="2"/>
        <v>0.3775</v>
      </c>
      <c r="Q36" s="28">
        <f t="shared" si="2"/>
        <v>9.4333333333333318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0.086249343622791255</v>
      </c>
      <c r="C37" s="28">
        <f t="shared" si="3" ref="C37:Q37">STDEV(C9:C32)</f>
        <v>0.30613533049897179</v>
      </c>
      <c r="D37" s="28">
        <f t="shared" si="3"/>
        <v>0.226989992117995</v>
      </c>
      <c r="E37" s="28">
        <f t="shared" si="3"/>
        <v>0.46529541029391103</v>
      </c>
      <c r="F37" s="28">
        <f t="shared" si="3"/>
        <v>1.9557362211368574</v>
      </c>
      <c r="G37" s="28">
        <f t="shared" si="3"/>
        <v>16.265588504079922</v>
      </c>
      <c r="H37" s="28">
        <f t="shared" si="3"/>
        <v>7.3017384767333828</v>
      </c>
      <c r="I37" s="28">
        <f t="shared" si="3"/>
        <v>0.74703653656064206</v>
      </c>
      <c r="J37" s="28">
        <f t="shared" si="3"/>
        <v>1.0551645760774457</v>
      </c>
      <c r="K37" s="28">
        <f t="shared" si="3"/>
        <v>123.86457745387133</v>
      </c>
      <c r="L37" s="28">
        <f t="shared" si="3"/>
        <v>5.2924043021203051</v>
      </c>
      <c r="M37" s="28">
        <f t="shared" si="3"/>
        <v>22.87302252084605</v>
      </c>
      <c r="N37" s="28">
        <f t="shared" si="3"/>
        <v>335.40801691070391</v>
      </c>
      <c r="O37" s="28">
        <f t="shared" si="3"/>
        <v>1.914929899954338</v>
      </c>
      <c r="P37" s="28">
        <f t="shared" si="3"/>
        <v>0.095382525060707629</v>
      </c>
      <c r="Q37" s="28">
        <f t="shared" si="3"/>
        <v>0.070628647141945514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b323aa-961a-4ba8-a16e-ab823dfae855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518</v>
      </c>
      <c r="B9" s="55">
        <v>8.1999999999999993</v>
      </c>
      <c r="C9" s="55">
        <v>3.31</v>
      </c>
      <c r="D9" s="55">
        <v>12.08</v>
      </c>
      <c r="E9" s="55">
        <v>4.0599999999999996</v>
      </c>
      <c r="F9" s="55">
        <v>4.0999999999999996</v>
      </c>
      <c r="G9" s="55">
        <v>27.09</v>
      </c>
      <c r="H9" s="55">
        <v>15.66</v>
      </c>
      <c r="I9" s="55">
        <v>3.70</v>
      </c>
      <c r="J9" s="55">
        <v>0.57999999999999996</v>
      </c>
      <c r="K9" s="55">
        <v>93.97</v>
      </c>
      <c r="L9" s="55">
        <v>23.61</v>
      </c>
      <c r="M9" s="55">
        <v>98.33</v>
      </c>
      <c r="N9" s="55">
        <v>23.90</v>
      </c>
      <c r="O9" s="55">
        <v>0</v>
      </c>
      <c r="P9" s="55">
        <v>0.44</v>
      </c>
      <c r="Q9" s="55">
        <v>9.57</v>
      </c>
      <c r="R9" s="43"/>
      <c r="S9" s="43"/>
      <c r="T9" s="43"/>
      <c r="U9" s="43"/>
    </row>
    <row r="10" spans="1:21" s="11" customFormat="1" ht="15">
      <c r="A10" s="54" t="s">
        <v>519</v>
      </c>
      <c r="B10" s="55">
        <v>8.3000000000000007</v>
      </c>
      <c r="C10" s="55">
        <v>3.5</v>
      </c>
      <c r="D10" s="55">
        <v>12.26</v>
      </c>
      <c r="E10" s="55">
        <v>3.84</v>
      </c>
      <c r="F10" s="55">
        <v>4.2699999999999996</v>
      </c>
      <c r="G10" s="55">
        <v>27.09</v>
      </c>
      <c r="H10" s="55">
        <v>14.84</v>
      </c>
      <c r="I10" s="55">
        <v>3.55</v>
      </c>
      <c r="J10" s="55">
        <v>0.51</v>
      </c>
      <c r="K10" s="55">
        <v>354.69</v>
      </c>
      <c r="L10" s="55">
        <v>24.01</v>
      </c>
      <c r="M10" s="55">
        <v>97.14</v>
      </c>
      <c r="N10" s="55">
        <v>23.20</v>
      </c>
      <c r="O10" s="55">
        <v>0</v>
      </c>
      <c r="P10" s="55">
        <v>0.38</v>
      </c>
      <c r="Q10" s="55">
        <v>9.43</v>
      </c>
      <c r="R10" s="43"/>
      <c r="S10" s="43"/>
      <c r="T10" s="43"/>
      <c r="U10" s="43"/>
    </row>
    <row r="11" spans="1:21" s="11" customFormat="1" ht="15">
      <c r="A11" s="54" t="s">
        <v>520</v>
      </c>
      <c r="B11" s="55">
        <v>8.32</v>
      </c>
      <c r="C11" s="55">
        <v>3.59</v>
      </c>
      <c r="D11" s="55">
        <v>12.32</v>
      </c>
      <c r="E11" s="55">
        <v>4.09</v>
      </c>
      <c r="F11" s="55">
        <v>4.28</v>
      </c>
      <c r="G11" s="55">
        <v>23.03</v>
      </c>
      <c r="H11" s="55">
        <v>10.68</v>
      </c>
      <c r="I11" s="55">
        <v>3.16</v>
      </c>
      <c r="J11" s="55">
        <v>0.62</v>
      </c>
      <c r="K11" s="55">
        <v>345.23</v>
      </c>
      <c r="L11" s="55">
        <v>24.39</v>
      </c>
      <c r="M11" s="55">
        <v>91.68</v>
      </c>
      <c r="N11" s="55">
        <v>22.70</v>
      </c>
      <c r="O11" s="55">
        <v>0</v>
      </c>
      <c r="P11" s="55">
        <v>0.35</v>
      </c>
      <c r="Q11" s="55">
        <v>9.4700000000000006</v>
      </c>
      <c r="R11" s="43"/>
      <c r="S11" s="43"/>
      <c r="T11" s="43"/>
      <c r="U11" s="43"/>
    </row>
    <row r="12" spans="1:21" s="11" customFormat="1" ht="15">
      <c r="A12" s="54" t="s">
        <v>521</v>
      </c>
      <c r="B12" s="55">
        <v>8.27</v>
      </c>
      <c r="C12" s="55">
        <v>3.51</v>
      </c>
      <c r="D12" s="55">
        <v>12.24</v>
      </c>
      <c r="E12" s="55">
        <v>4.8600000000000003</v>
      </c>
      <c r="F12" s="55">
        <v>4.33</v>
      </c>
      <c r="G12" s="55">
        <v>25.47</v>
      </c>
      <c r="H12" s="55">
        <v>13.19</v>
      </c>
      <c r="I12" s="55">
        <v>3.12</v>
      </c>
      <c r="J12" s="55">
        <v>0.67</v>
      </c>
      <c r="K12" s="55">
        <v>339.70</v>
      </c>
      <c r="L12" s="55">
        <v>24.36</v>
      </c>
      <c r="M12" s="55">
        <v>92.48</v>
      </c>
      <c r="N12" s="55">
        <v>22.70</v>
      </c>
      <c r="O12" s="55">
        <v>0</v>
      </c>
      <c r="P12" s="55">
        <v>0.35</v>
      </c>
      <c r="Q12" s="55">
        <v>9.4700000000000006</v>
      </c>
      <c r="R12" s="43"/>
      <c r="S12" s="43"/>
      <c r="T12" s="43"/>
      <c r="U12" s="43"/>
    </row>
    <row r="13" spans="1:21" s="11" customFormat="1" ht="15">
      <c r="A13" s="54" t="s">
        <v>522</v>
      </c>
      <c r="B13" s="55">
        <v>8.41</v>
      </c>
      <c r="C13" s="55">
        <v>3.96</v>
      </c>
      <c r="D13" s="55">
        <v>12.59</v>
      </c>
      <c r="E13" s="55">
        <v>5.14</v>
      </c>
      <c r="F13" s="55">
        <v>4.12</v>
      </c>
      <c r="G13" s="55">
        <v>38.04</v>
      </c>
      <c r="H13" s="55">
        <v>13.19</v>
      </c>
      <c r="I13" s="55">
        <v>3.94</v>
      </c>
      <c r="J13" s="55">
        <v>0.5</v>
      </c>
      <c r="K13" s="55">
        <v>219.18</v>
      </c>
      <c r="L13" s="55">
        <v>24.49</v>
      </c>
      <c r="M13" s="55">
        <v>94.66</v>
      </c>
      <c r="N13" s="55">
        <v>22.60</v>
      </c>
      <c r="O13" s="55">
        <v>0</v>
      </c>
      <c r="P13" s="55">
        <v>0.40</v>
      </c>
      <c r="Q13" s="55">
        <v>9.52</v>
      </c>
      <c r="R13" s="43"/>
      <c r="S13" s="43"/>
      <c r="T13" s="43"/>
      <c r="U13" s="43"/>
    </row>
    <row r="14" spans="1:21" s="11" customFormat="1" ht="15">
      <c r="A14" s="54" t="s">
        <v>523</v>
      </c>
      <c r="B14" s="55">
        <v>8.36</v>
      </c>
      <c r="C14" s="55">
        <v>3.74</v>
      </c>
      <c r="D14" s="55">
        <v>12.44</v>
      </c>
      <c r="E14" s="55">
        <v>4.66</v>
      </c>
      <c r="F14" s="55">
        <v>4.0199999999999996</v>
      </c>
      <c r="G14" s="55">
        <v>38.04</v>
      </c>
      <c r="H14" s="55">
        <v>13.36</v>
      </c>
      <c r="I14" s="55">
        <v>4.08</v>
      </c>
      <c r="J14" s="55">
        <v>0.23</v>
      </c>
      <c r="K14" s="55">
        <v>350.18</v>
      </c>
      <c r="L14" s="55">
        <v>23.95</v>
      </c>
      <c r="M14" s="55">
        <v>94.04</v>
      </c>
      <c r="N14" s="55">
        <v>52.5</v>
      </c>
      <c r="O14" s="55">
        <v>0</v>
      </c>
      <c r="P14" s="55">
        <v>0.38</v>
      </c>
      <c r="Q14" s="55">
        <v>9.48</v>
      </c>
      <c r="R14" s="43"/>
      <c r="S14" s="43"/>
      <c r="T14" s="43"/>
      <c r="U14" s="43"/>
    </row>
    <row r="15" spans="1:21" s="11" customFormat="1" ht="15">
      <c r="A15" s="54" t="s">
        <v>524</v>
      </c>
      <c r="B15" s="55">
        <v>8.1999999999999993</v>
      </c>
      <c r="C15" s="55">
        <v>3.17</v>
      </c>
      <c r="D15" s="55">
        <v>12</v>
      </c>
      <c r="E15" s="55">
        <v>4.93</v>
      </c>
      <c r="F15" s="55">
        <v>3.64</v>
      </c>
      <c r="G15" s="55">
        <v>33.69</v>
      </c>
      <c r="H15" s="55">
        <v>13.36</v>
      </c>
      <c r="I15" s="55">
        <v>4.45</v>
      </c>
      <c r="J15" s="55">
        <v>0.41</v>
      </c>
      <c r="K15" s="55">
        <v>328.99</v>
      </c>
      <c r="L15" s="55">
        <v>24.61</v>
      </c>
      <c r="M15" s="55">
        <v>89.73</v>
      </c>
      <c r="N15" s="55">
        <v>139.90</v>
      </c>
      <c r="O15" s="55">
        <v>0</v>
      </c>
      <c r="P15" s="55">
        <v>0.35</v>
      </c>
      <c r="Q15" s="55">
        <v>9.4700000000000006</v>
      </c>
      <c r="R15" s="43"/>
      <c r="S15" s="43"/>
      <c r="T15" s="43"/>
      <c r="U15" s="43"/>
    </row>
    <row r="16" spans="1:21" s="11" customFormat="1" ht="15">
      <c r="A16" s="54" t="s">
        <v>525</v>
      </c>
      <c r="B16" s="55">
        <v>8.39</v>
      </c>
      <c r="C16" s="55">
        <v>4.09</v>
      </c>
      <c r="D16" s="55">
        <v>12.64</v>
      </c>
      <c r="E16" s="55">
        <v>5.52</v>
      </c>
      <c r="F16" s="55">
        <v>5.30</v>
      </c>
      <c r="G16" s="55">
        <v>29.16</v>
      </c>
      <c r="H16" s="55">
        <v>11.65</v>
      </c>
      <c r="I16" s="55">
        <v>4.57</v>
      </c>
      <c r="J16" s="55">
        <v>0.47</v>
      </c>
      <c r="K16" s="55">
        <v>343.64</v>
      </c>
      <c r="L16" s="55">
        <v>25.46</v>
      </c>
      <c r="M16" s="55">
        <v>84.97</v>
      </c>
      <c r="N16" s="55">
        <v>217.20</v>
      </c>
      <c r="O16" s="55">
        <v>0</v>
      </c>
      <c r="P16" s="55">
        <v>0.30</v>
      </c>
      <c r="Q16" s="55">
        <v>9.5399999999999991</v>
      </c>
      <c r="R16" s="43"/>
      <c r="S16" s="43"/>
      <c r="T16" s="43"/>
      <c r="U16" s="43"/>
    </row>
    <row r="17" spans="1:21" s="11" customFormat="1" ht="15">
      <c r="A17" s="54" t="s">
        <v>526</v>
      </c>
      <c r="B17" s="55">
        <v>8.1999999999999993</v>
      </c>
      <c r="C17" s="55">
        <v>3.41</v>
      </c>
      <c r="D17" s="55">
        <v>12.13</v>
      </c>
      <c r="E17" s="55">
        <v>5.68</v>
      </c>
      <c r="F17" s="55">
        <v>5.5</v>
      </c>
      <c r="G17" s="55">
        <v>29.16</v>
      </c>
      <c r="H17" s="55">
        <v>11.65</v>
      </c>
      <c r="I17" s="55">
        <v>3.71</v>
      </c>
      <c r="J17" s="55">
        <v>0.61</v>
      </c>
      <c r="K17" s="55">
        <v>359.55</v>
      </c>
      <c r="L17" s="55">
        <v>25.76</v>
      </c>
      <c r="M17" s="55">
        <v>80</v>
      </c>
      <c r="N17" s="55">
        <v>227.5</v>
      </c>
      <c r="O17" s="55">
        <v>0</v>
      </c>
      <c r="P17" s="55">
        <v>0.28000000000000003</v>
      </c>
      <c r="Q17" s="55">
        <v>9.5299999999999994</v>
      </c>
      <c r="R17" s="43"/>
      <c r="S17" s="43"/>
      <c r="T17" s="43"/>
      <c r="U17" s="43"/>
    </row>
    <row r="18" spans="1:21" s="11" customFormat="1" ht="15">
      <c r="A18" s="54" t="s">
        <v>527</v>
      </c>
      <c r="B18" s="55">
        <v>8.35</v>
      </c>
      <c r="C18" s="55">
        <v>3.89</v>
      </c>
      <c r="D18" s="55">
        <v>12.51</v>
      </c>
      <c r="E18" s="55">
        <v>5.73</v>
      </c>
      <c r="F18" s="55">
        <v>5.36</v>
      </c>
      <c r="G18" s="55">
        <v>30.82</v>
      </c>
      <c r="H18" s="55">
        <v>9.59</v>
      </c>
      <c r="I18" s="55">
        <v>2.77</v>
      </c>
      <c r="J18" s="55">
        <v>0.52</v>
      </c>
      <c r="K18" s="55">
        <v>359.05</v>
      </c>
      <c r="L18" s="55">
        <v>26.5</v>
      </c>
      <c r="M18" s="55">
        <v>79.239999999999995</v>
      </c>
      <c r="N18" s="55">
        <v>290.80</v>
      </c>
      <c r="O18" s="55">
        <v>0</v>
      </c>
      <c r="P18" s="55">
        <v>0.30</v>
      </c>
      <c r="Q18" s="55">
        <v>9.5299999999999994</v>
      </c>
      <c r="R18" s="43"/>
      <c r="S18" s="43"/>
      <c r="T18" s="43"/>
      <c r="U18" s="43"/>
    </row>
    <row r="19" spans="1:21" s="11" customFormat="1" ht="15">
      <c r="A19" s="54" t="s">
        <v>528</v>
      </c>
      <c r="B19" s="55">
        <v>8.23</v>
      </c>
      <c r="C19" s="55">
        <v>3.37</v>
      </c>
      <c r="D19" s="55">
        <v>12.14</v>
      </c>
      <c r="E19" s="55">
        <v>5.42</v>
      </c>
      <c r="F19" s="55">
        <v>6.62</v>
      </c>
      <c r="G19" s="55">
        <v>30.82</v>
      </c>
      <c r="H19" s="55">
        <v>13.18</v>
      </c>
      <c r="I19" s="55">
        <v>2.42</v>
      </c>
      <c r="J19" s="55">
        <v>0.63</v>
      </c>
      <c r="K19" s="55">
        <v>348.27</v>
      </c>
      <c r="L19" s="55">
        <v>28.59</v>
      </c>
      <c r="M19" s="55">
        <v>74.33</v>
      </c>
      <c r="N19" s="55">
        <v>379.90</v>
      </c>
      <c r="O19" s="55">
        <v>0</v>
      </c>
      <c r="P19" s="55">
        <v>0.32</v>
      </c>
      <c r="Q19" s="55">
        <v>9.41</v>
      </c>
      <c r="R19" s="43"/>
      <c r="S19" s="43"/>
      <c r="T19" s="43"/>
      <c r="U19" s="43"/>
    </row>
    <row r="20" spans="1:21" s="11" customFormat="1" ht="15">
      <c r="A20" s="54" t="s">
        <v>529</v>
      </c>
      <c r="B20" s="55">
        <v>8.24</v>
      </c>
      <c r="C20" s="55">
        <v>3.46</v>
      </c>
      <c r="D20" s="55">
        <v>12.19</v>
      </c>
      <c r="E20" s="55">
        <v>5.80</v>
      </c>
      <c r="F20" s="55">
        <v>6.21</v>
      </c>
      <c r="G20" s="55">
        <v>39.799999999999997</v>
      </c>
      <c r="H20" s="55">
        <v>13.18</v>
      </c>
      <c r="I20" s="55">
        <v>2.33</v>
      </c>
      <c r="J20" s="55">
        <v>0.67</v>
      </c>
      <c r="K20" s="55">
        <v>352.42</v>
      </c>
      <c r="L20" s="55">
        <v>31.02</v>
      </c>
      <c r="M20" s="55">
        <v>65.290000000000006</v>
      </c>
      <c r="N20" s="55">
        <v>473.60</v>
      </c>
      <c r="O20" s="55">
        <v>0</v>
      </c>
      <c r="P20" s="55">
        <v>0.39</v>
      </c>
      <c r="Q20" s="55">
        <v>9.5500000000000007</v>
      </c>
      <c r="R20" s="43"/>
      <c r="S20" s="43"/>
      <c r="T20" s="43"/>
      <c r="U20" s="43"/>
    </row>
    <row r="21" spans="1:21" s="11" customFormat="1" ht="15">
      <c r="A21" s="54" t="s">
        <v>530</v>
      </c>
      <c r="B21" s="55">
        <v>8.31</v>
      </c>
      <c r="C21" s="55">
        <v>3.89</v>
      </c>
      <c r="D21" s="55">
        <v>12.47</v>
      </c>
      <c r="E21" s="55">
        <v>3.71</v>
      </c>
      <c r="F21" s="55">
        <v>6.77</v>
      </c>
      <c r="G21" s="55">
        <v>57.56</v>
      </c>
      <c r="H21" s="55">
        <v>13.68</v>
      </c>
      <c r="I21" s="55">
        <v>2.56</v>
      </c>
      <c r="J21" s="55">
        <v>0.85</v>
      </c>
      <c r="K21" s="55">
        <v>338.90</v>
      </c>
      <c r="L21" s="55">
        <v>34.14</v>
      </c>
      <c r="M21" s="55">
        <v>59.98</v>
      </c>
      <c r="N21" s="55">
        <v>832.40</v>
      </c>
      <c r="O21" s="55">
        <v>0</v>
      </c>
      <c r="P21" s="55">
        <v>0.47</v>
      </c>
      <c r="Q21" s="55">
        <v>9.61</v>
      </c>
      <c r="R21" s="43"/>
      <c r="S21" s="43"/>
      <c r="T21" s="43"/>
      <c r="U21" s="43"/>
    </row>
    <row r="22" spans="1:21" s="11" customFormat="1" ht="15">
      <c r="A22" s="54" t="s">
        <v>531</v>
      </c>
      <c r="B22" s="55">
        <v>8.3000000000000007</v>
      </c>
      <c r="C22" s="55">
        <v>3.90</v>
      </c>
      <c r="D22" s="55">
        <v>12.47</v>
      </c>
      <c r="E22" s="55">
        <v>3.66</v>
      </c>
      <c r="F22" s="55">
        <v>7.70</v>
      </c>
      <c r="G22" s="55">
        <v>57.56</v>
      </c>
      <c r="H22" s="55">
        <v>14.20</v>
      </c>
      <c r="I22" s="55">
        <v>2.4700000000000002</v>
      </c>
      <c r="J22" s="55">
        <v>1.1299999999999999</v>
      </c>
      <c r="K22" s="55">
        <v>328.09</v>
      </c>
      <c r="L22" s="55">
        <v>34.92</v>
      </c>
      <c r="M22" s="55">
        <v>49.92</v>
      </c>
      <c r="N22" s="55">
        <v>794.30</v>
      </c>
      <c r="O22" s="55">
        <v>0</v>
      </c>
      <c r="P22" s="55">
        <v>0.46</v>
      </c>
      <c r="Q22" s="55">
        <v>9.5399999999999991</v>
      </c>
      <c r="R22" s="43"/>
      <c r="S22" s="43"/>
      <c r="T22" s="43"/>
      <c r="U22" s="43"/>
    </row>
    <row r="23" spans="1:21" s="11" customFormat="1" ht="15">
      <c r="A23" s="54" t="s">
        <v>532</v>
      </c>
      <c r="B23" s="55">
        <v>8.2200000000000006</v>
      </c>
      <c r="C23" s="55">
        <v>3.55</v>
      </c>
      <c r="D23" s="55">
        <v>12.22</v>
      </c>
      <c r="E23" s="55">
        <v>3.49</v>
      </c>
      <c r="F23" s="55">
        <v>7.35</v>
      </c>
      <c r="G23" s="55">
        <v>64.819999999999993</v>
      </c>
      <c r="H23" s="55">
        <v>21.02</v>
      </c>
      <c r="I23" s="55">
        <v>2.29</v>
      </c>
      <c r="J23" s="55">
        <v>1.31</v>
      </c>
      <c r="K23" s="55">
        <v>327.86</v>
      </c>
      <c r="L23" s="55">
        <v>34.94</v>
      </c>
      <c r="M23" s="55">
        <v>49.27</v>
      </c>
      <c r="N23" s="55">
        <v>697.10</v>
      </c>
      <c r="O23" s="55">
        <v>0</v>
      </c>
      <c r="P23" s="55">
        <v>0.48</v>
      </c>
      <c r="Q23" s="55">
        <v>9.51</v>
      </c>
      <c r="R23" s="43"/>
      <c r="S23" s="43"/>
      <c r="T23" s="43"/>
      <c r="U23" s="43"/>
    </row>
    <row r="24" spans="1:21" s="11" customFormat="1" ht="15">
      <c r="A24" s="54" t="s">
        <v>533</v>
      </c>
      <c r="B24" s="55">
        <v>8.24</v>
      </c>
      <c r="C24" s="55">
        <v>3.37</v>
      </c>
      <c r="D24" s="55">
        <v>12.14</v>
      </c>
      <c r="E24" s="55">
        <v>4.67</v>
      </c>
      <c r="F24" s="55">
        <v>6.70</v>
      </c>
      <c r="G24" s="55">
        <v>64.819999999999993</v>
      </c>
      <c r="H24" s="55">
        <v>21.02</v>
      </c>
      <c r="I24" s="55">
        <v>2.27</v>
      </c>
      <c r="J24" s="55">
        <v>1.26</v>
      </c>
      <c r="K24" s="55">
        <v>317.93</v>
      </c>
      <c r="L24" s="55">
        <v>34.82</v>
      </c>
      <c r="M24" s="55">
        <v>48.49</v>
      </c>
      <c r="N24" s="55">
        <v>288.30</v>
      </c>
      <c r="O24" s="55">
        <v>0</v>
      </c>
      <c r="P24" s="55">
        <v>0.45</v>
      </c>
      <c r="Q24" s="55">
        <v>9.44</v>
      </c>
      <c r="R24" s="43"/>
      <c r="S24" s="43"/>
      <c r="T24" s="43"/>
      <c r="U24" s="43"/>
    </row>
    <row r="25" spans="1:21" s="11" customFormat="1" ht="15">
      <c r="A25" s="54" t="s">
        <v>534</v>
      </c>
      <c r="B25" s="55">
        <v>8.2899999999999991</v>
      </c>
      <c r="C25" s="55">
        <v>3.74</v>
      </c>
      <c r="D25" s="55">
        <v>12.38</v>
      </c>
      <c r="E25" s="55">
        <v>3.96</v>
      </c>
      <c r="F25" s="55">
        <v>5.47</v>
      </c>
      <c r="G25" s="55">
        <v>53.78</v>
      </c>
      <c r="H25" s="55">
        <v>18.03</v>
      </c>
      <c r="I25" s="55">
        <v>2.46</v>
      </c>
      <c r="J25" s="55">
        <v>0.93</v>
      </c>
      <c r="K25" s="55">
        <v>327.33999999999997</v>
      </c>
      <c r="L25" s="55">
        <v>33.479999999999997</v>
      </c>
      <c r="M25" s="55">
        <v>49.95</v>
      </c>
      <c r="N25" s="55">
        <v>151.40</v>
      </c>
      <c r="O25" s="55">
        <v>0</v>
      </c>
      <c r="P25" s="55">
        <v>0.47</v>
      </c>
      <c r="Q25" s="55">
        <v>9.61</v>
      </c>
      <c r="R25" s="43"/>
      <c r="S25" s="43"/>
      <c r="T25" s="43"/>
      <c r="U25" s="43"/>
    </row>
    <row r="26" spans="1:21" s="11" customFormat="1" ht="15">
      <c r="A26" s="54" t="s">
        <v>535</v>
      </c>
      <c r="B26" s="55">
        <v>8.41</v>
      </c>
      <c r="C26" s="55">
        <v>4.38</v>
      </c>
      <c r="D26" s="55">
        <v>12.81</v>
      </c>
      <c r="E26" s="55">
        <v>3.91</v>
      </c>
      <c r="F26" s="55">
        <v>4.8499999999999996</v>
      </c>
      <c r="G26" s="55">
        <v>53.75</v>
      </c>
      <c r="H26" s="55">
        <v>14.12</v>
      </c>
      <c r="I26" s="55">
        <v>2.57</v>
      </c>
      <c r="J26" s="55">
        <v>1.07</v>
      </c>
      <c r="K26" s="55">
        <v>335.29</v>
      </c>
      <c r="L26" s="55">
        <v>32.58</v>
      </c>
      <c r="M26" s="55">
        <v>51.46</v>
      </c>
      <c r="N26" s="55">
        <v>105.80</v>
      </c>
      <c r="O26" s="55">
        <v>0</v>
      </c>
      <c r="P26" s="55">
        <v>0.5</v>
      </c>
      <c r="Q26" s="55">
        <v>9.59</v>
      </c>
      <c r="R26" s="43"/>
      <c r="S26" s="43"/>
      <c r="T26" s="43"/>
      <c r="U26" s="43"/>
    </row>
    <row r="27" spans="1:21" s="11" customFormat="1" ht="15">
      <c r="A27" s="54" t="s">
        <v>536</v>
      </c>
      <c r="B27" s="55">
        <v>8.2200000000000006</v>
      </c>
      <c r="C27" s="55">
        <v>3.45</v>
      </c>
      <c r="D27" s="55">
        <v>12.17</v>
      </c>
      <c r="E27" s="55">
        <v>3.89</v>
      </c>
      <c r="F27" s="55">
        <v>8.33</v>
      </c>
      <c r="G27" s="55">
        <v>68.069999999999993</v>
      </c>
      <c r="H27" s="55">
        <v>16.93</v>
      </c>
      <c r="I27" s="55">
        <v>2.57</v>
      </c>
      <c r="J27" s="55">
        <v>1.1299999999999999</v>
      </c>
      <c r="K27" s="55">
        <v>17.350000000000001</v>
      </c>
      <c r="L27" s="55">
        <v>29.16</v>
      </c>
      <c r="M27" s="55">
        <v>83.02</v>
      </c>
      <c r="N27" s="55">
        <v>42.90</v>
      </c>
      <c r="O27" s="55">
        <v>0</v>
      </c>
      <c r="P27" s="55">
        <v>0.48</v>
      </c>
      <c r="Q27" s="55">
        <v>9.64</v>
      </c>
      <c r="R27" s="43"/>
      <c r="S27" s="43"/>
      <c r="T27" s="43"/>
      <c r="U27" s="43"/>
    </row>
    <row r="28" spans="1:21" s="11" customFormat="1" ht="15">
      <c r="A28" s="54" t="s">
        <v>537</v>
      </c>
      <c r="B28" s="55">
        <v>8.2200000000000006</v>
      </c>
      <c r="C28" s="55">
        <v>3.43</v>
      </c>
      <c r="D28" s="55">
        <v>12.16</v>
      </c>
      <c r="E28" s="55">
        <v>4.2699999999999996</v>
      </c>
      <c r="F28" s="55">
        <v>6.37</v>
      </c>
      <c r="G28" s="55">
        <v>68.069999999999993</v>
      </c>
      <c r="H28" s="55">
        <v>17.350000000000001</v>
      </c>
      <c r="I28" s="55">
        <v>3.02</v>
      </c>
      <c r="J28" s="55">
        <v>0.81</v>
      </c>
      <c r="K28" s="55">
        <v>169.65</v>
      </c>
      <c r="L28" s="55">
        <v>24.95</v>
      </c>
      <c r="M28" s="55">
        <v>87.17</v>
      </c>
      <c r="N28" s="55">
        <v>24.20</v>
      </c>
      <c r="O28" s="55">
        <v>0</v>
      </c>
      <c r="P28" s="55">
        <v>0.56999999999999995</v>
      </c>
      <c r="Q28" s="55">
        <v>9.52</v>
      </c>
      <c r="R28" s="43"/>
      <c r="S28" s="43"/>
      <c r="T28" s="43"/>
      <c r="U28" s="43"/>
    </row>
    <row r="29" spans="1:21" s="11" customFormat="1" ht="15">
      <c r="A29" s="54" t="s">
        <v>538</v>
      </c>
      <c r="B29" s="55">
        <v>8.25</v>
      </c>
      <c r="C29" s="55">
        <v>3.53</v>
      </c>
      <c r="D29" s="55">
        <v>12.23</v>
      </c>
      <c r="E29" s="55">
        <v>4.7699999999999996</v>
      </c>
      <c r="F29" s="55">
        <v>4.28</v>
      </c>
      <c r="G29" s="55">
        <v>67.80</v>
      </c>
      <c r="H29" s="55">
        <v>17.350000000000001</v>
      </c>
      <c r="I29" s="55">
        <v>3.91</v>
      </c>
      <c r="J29" s="55">
        <v>0.41</v>
      </c>
      <c r="K29" s="55">
        <v>236.06</v>
      </c>
      <c r="L29" s="55">
        <v>24.70</v>
      </c>
      <c r="M29" s="55">
        <v>87.41</v>
      </c>
      <c r="N29" s="55">
        <v>24.20</v>
      </c>
      <c r="O29" s="55">
        <v>0</v>
      </c>
      <c r="P29" s="55">
        <v>0.54</v>
      </c>
      <c r="Q29" s="55">
        <v>9.5</v>
      </c>
      <c r="R29" s="43"/>
      <c r="S29" s="43"/>
      <c r="T29" s="43"/>
      <c r="U29" s="43"/>
    </row>
    <row r="30" spans="1:21" s="11" customFormat="1" ht="15">
      <c r="A30" s="54" t="s">
        <v>539</v>
      </c>
      <c r="B30" s="55">
        <v>8.32</v>
      </c>
      <c r="C30" s="55">
        <v>3.98</v>
      </c>
      <c r="D30" s="55">
        <v>12.53</v>
      </c>
      <c r="E30" s="55">
        <v>4.5599999999999996</v>
      </c>
      <c r="F30" s="55">
        <v>4.9800000000000004</v>
      </c>
      <c r="G30" s="55">
        <v>59.11</v>
      </c>
      <c r="H30" s="55">
        <v>15.70</v>
      </c>
      <c r="I30" s="55">
        <v>4.07</v>
      </c>
      <c r="J30" s="55">
        <v>0.64</v>
      </c>
      <c r="K30" s="55">
        <v>179.03</v>
      </c>
      <c r="L30" s="55">
        <v>24.51</v>
      </c>
      <c r="M30" s="55">
        <v>87.34</v>
      </c>
      <c r="N30" s="55">
        <v>24.5</v>
      </c>
      <c r="O30" s="55">
        <v>0</v>
      </c>
      <c r="P30" s="55">
        <v>0.52</v>
      </c>
      <c r="Q30" s="55">
        <v>9.5500000000000007</v>
      </c>
      <c r="R30" s="43"/>
      <c r="S30" s="43"/>
      <c r="T30" s="43"/>
      <c r="U30" s="43"/>
    </row>
    <row r="31" spans="1:21" s="11" customFormat="1" ht="15">
      <c r="A31" s="54" t="s">
        <v>540</v>
      </c>
      <c r="B31" s="55">
        <v>8.2799999999999994</v>
      </c>
      <c r="C31" s="55">
        <v>3.65</v>
      </c>
      <c r="D31" s="55">
        <v>12.33</v>
      </c>
      <c r="E31" s="55">
        <v>5.07</v>
      </c>
      <c r="F31" s="55">
        <v>4.82</v>
      </c>
      <c r="G31" s="55">
        <v>49.48</v>
      </c>
      <c r="H31" s="55">
        <v>15.70</v>
      </c>
      <c r="I31" s="55">
        <v>3.58</v>
      </c>
      <c r="J31" s="55">
        <v>0.47</v>
      </c>
      <c r="K31" s="55">
        <v>353.82</v>
      </c>
      <c r="L31" s="55">
        <v>24.32</v>
      </c>
      <c r="M31" s="55">
        <v>86.98</v>
      </c>
      <c r="N31" s="55">
        <v>24.60</v>
      </c>
      <c r="O31" s="55">
        <v>0</v>
      </c>
      <c r="P31" s="55">
        <v>0.46</v>
      </c>
      <c r="Q31" s="55">
        <v>9.5500000000000007</v>
      </c>
      <c r="R31" s="43"/>
      <c r="S31" s="43"/>
      <c r="T31" s="43"/>
      <c r="U31" s="43"/>
    </row>
    <row r="32" spans="1:21" s="11" customFormat="1" ht="15">
      <c r="A32" s="54" t="s">
        <v>541</v>
      </c>
      <c r="B32" s="55">
        <v>8.18</v>
      </c>
      <c r="C32" s="55">
        <v>3.30</v>
      </c>
      <c r="D32" s="55">
        <v>12.06</v>
      </c>
      <c r="E32" s="55">
        <v>4.59</v>
      </c>
      <c r="F32" s="55">
        <v>4.70</v>
      </c>
      <c r="G32" s="55">
        <v>39.94</v>
      </c>
      <c r="H32" s="55">
        <v>14.95</v>
      </c>
      <c r="I32" s="55">
        <v>3.09</v>
      </c>
      <c r="J32" s="55">
        <v>0.52</v>
      </c>
      <c r="K32" s="55">
        <v>219.34</v>
      </c>
      <c r="L32" s="55">
        <v>24.25</v>
      </c>
      <c r="M32" s="55">
        <v>88.08</v>
      </c>
      <c r="N32" s="55">
        <v>24.90</v>
      </c>
      <c r="O32" s="55">
        <v>0</v>
      </c>
      <c r="P32" s="55">
        <v>0.37</v>
      </c>
      <c r="Q32" s="55">
        <v>9.51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3.1699999999999999</v>
      </c>
      <c r="D34" s="28">
        <f t="shared" si="0"/>
        <v>12</v>
      </c>
      <c r="E34" s="28">
        <f t="shared" si="0"/>
        <v>3.4900000000000002</v>
      </c>
      <c r="F34" s="28">
        <f t="shared" si="0"/>
        <v>3.6400000000000001</v>
      </c>
      <c r="G34" s="28">
        <f t="shared" si="0"/>
        <v>23.030000000000001</v>
      </c>
      <c r="H34" s="28">
        <f t="shared" si="0"/>
        <v>9.5899999999999999</v>
      </c>
      <c r="I34" s="28">
        <f t="shared" si="0"/>
        <v>2.27</v>
      </c>
      <c r="J34" s="28">
        <f t="shared" si="0"/>
        <v>0.23000000000000001</v>
      </c>
      <c r="K34" s="28">
        <f t="shared" si="0"/>
        <v>17.350000000000001</v>
      </c>
      <c r="L34" s="28">
        <f t="shared" si="0"/>
        <v>23.609999999999999</v>
      </c>
      <c r="M34" s="28">
        <f t="shared" si="0"/>
        <v>48.490000000000002</v>
      </c>
      <c r="N34" s="28">
        <f t="shared" si="0"/>
        <v>22.600000000000001</v>
      </c>
      <c r="O34" s="28">
        <f t="shared" si="0"/>
        <v>0</v>
      </c>
      <c r="P34" s="28">
        <f t="shared" si="0"/>
        <v>0.28000000000000003</v>
      </c>
      <c r="Q34" s="28">
        <f t="shared" si="0"/>
        <v>9.4100000000000001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8.4100000000000001</v>
      </c>
      <c r="C35" s="29">
        <f t="shared" si="1"/>
        <v>4.3799999999999999</v>
      </c>
      <c r="D35" s="29">
        <f t="shared" si="1"/>
        <v>12.81</v>
      </c>
      <c r="E35" s="29">
        <f t="shared" si="1"/>
        <v>5.7999999999999998</v>
      </c>
      <c r="F35" s="29">
        <f t="shared" si="1"/>
        <v>8.3300000000000001</v>
      </c>
      <c r="G35" s="29">
        <f t="shared" si="1"/>
        <v>68.069999999999993</v>
      </c>
      <c r="H35" s="29">
        <f t="shared" si="1"/>
        <v>21.02</v>
      </c>
      <c r="I35" s="29">
        <f t="shared" si="1"/>
        <v>4.5700000000000003</v>
      </c>
      <c r="J35" s="29">
        <f t="shared" si="1"/>
        <v>1.3100000000000001</v>
      </c>
      <c r="K35" s="29">
        <f t="shared" si="1"/>
        <v>359.55000000000001</v>
      </c>
      <c r="L35" s="29">
        <f t="shared" si="1"/>
        <v>34.939999999999998</v>
      </c>
      <c r="M35" s="29">
        <f t="shared" si="1"/>
        <v>98.329999999999998</v>
      </c>
      <c r="N35" s="29">
        <f t="shared" si="1"/>
        <v>832.39999999999998</v>
      </c>
      <c r="O35" s="29">
        <f t="shared" si="1"/>
        <v>0</v>
      </c>
      <c r="P35" s="29">
        <f t="shared" si="1"/>
        <v>0.56999999999999995</v>
      </c>
      <c r="Q35" s="29">
        <f t="shared" si="1"/>
        <v>9.6400000000000006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8.2795833333333331</v>
      </c>
      <c r="C36" s="28">
        <f t="shared" si="2"/>
        <v>3.632083333333334</v>
      </c>
      <c r="D36" s="28">
        <f t="shared" si="2"/>
        <v>12.312916666666665</v>
      </c>
      <c r="E36" s="28">
        <f t="shared" si="2"/>
        <v>4.5949999999999989</v>
      </c>
      <c r="F36" s="28">
        <f t="shared" si="2"/>
        <v>5.4195833333333328</v>
      </c>
      <c r="G36" s="28">
        <f t="shared" si="2"/>
        <v>44.873749999999994</v>
      </c>
      <c r="H36" s="28">
        <f t="shared" si="2"/>
        <v>14.732500000000002</v>
      </c>
      <c r="I36" s="28">
        <f t="shared" si="2"/>
        <v>3.1941666666666673</v>
      </c>
      <c r="J36" s="28">
        <f t="shared" si="2"/>
        <v>0.70625000000000016</v>
      </c>
      <c r="K36" s="28">
        <f t="shared" si="2"/>
        <v>289.39708333333334</v>
      </c>
      <c r="L36" s="28">
        <f t="shared" si="2"/>
        <v>27.646666666666672</v>
      </c>
      <c r="M36" s="28">
        <f t="shared" si="2"/>
        <v>77.956666666666678</v>
      </c>
      <c r="N36" s="28">
        <f t="shared" si="2"/>
        <v>205.46249999999998</v>
      </c>
      <c r="O36" s="28">
        <f t="shared" si="2"/>
        <v>0</v>
      </c>
      <c r="P36" s="28">
        <f t="shared" si="2"/>
        <v>0.41708333333333331</v>
      </c>
      <c r="Q36" s="28">
        <f t="shared" si="2"/>
        <v>9.5224999999999991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0.068808440247366265</v>
      </c>
      <c r="C37" s="28">
        <f t="shared" si="3" ref="C37:Q37">STDEV(C9:C32)</f>
        <v>0.29452953150325989</v>
      </c>
      <c r="D37" s="28">
        <f t="shared" si="3"/>
        <v>0.2063234937133156</v>
      </c>
      <c r="E37" s="28">
        <f t="shared" si="3"/>
        <v>0.71217364760838697</v>
      </c>
      <c r="F37" s="28">
        <f t="shared" si="3"/>
        <v>1.300723809091016</v>
      </c>
      <c r="G37" s="28">
        <f t="shared" si="3"/>
        <v>15.804415401894895</v>
      </c>
      <c r="H37" s="28">
        <f t="shared" si="3"/>
        <v>2.8608789315295167</v>
      </c>
      <c r="I37" s="28">
        <f t="shared" si="3"/>
        <v>0.7336088086016731</v>
      </c>
      <c r="J37" s="28">
        <f t="shared" si="3"/>
        <v>0.2914702237010629</v>
      </c>
      <c r="K37" s="28">
        <f t="shared" si="3"/>
        <v>93.406178060226935</v>
      </c>
      <c r="L37" s="28">
        <f t="shared" si="3"/>
        <v>4.2450581669253094</v>
      </c>
      <c r="M37" s="28">
        <f t="shared" si="3"/>
        <v>17.252512776446437</v>
      </c>
      <c r="N37" s="28">
        <f t="shared" si="3"/>
        <v>255.01584573529348</v>
      </c>
      <c r="O37" s="28">
        <f t="shared" si="3"/>
        <v>0</v>
      </c>
      <c r="P37" s="28">
        <f t="shared" si="3"/>
        <v>0.080729239714786835</v>
      </c>
      <c r="Q37" s="28">
        <f t="shared" si="3"/>
        <v>0.058178884560428329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421bc6-fe9f-4429-959c-68fe008b994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542</v>
      </c>
      <c r="B9" s="55">
        <v>8.3699999999999992</v>
      </c>
      <c r="C9" s="55">
        <v>3.81</v>
      </c>
      <c r="D9" s="55">
        <v>12.48</v>
      </c>
      <c r="E9" s="55">
        <v>4.74</v>
      </c>
      <c r="F9" s="55">
        <v>3.83</v>
      </c>
      <c r="G9" s="55">
        <v>34.86</v>
      </c>
      <c r="H9" s="55">
        <v>12.41</v>
      </c>
      <c r="I9" s="55">
        <v>3.14</v>
      </c>
      <c r="J9" s="55">
        <v>0.38</v>
      </c>
      <c r="K9" s="55">
        <v>222.10</v>
      </c>
      <c r="L9" s="55">
        <v>24.32</v>
      </c>
      <c r="M9" s="55">
        <v>85.78</v>
      </c>
      <c r="N9" s="55">
        <v>25.20</v>
      </c>
      <c r="O9" s="55">
        <v>0</v>
      </c>
      <c r="P9" s="55">
        <v>0.31</v>
      </c>
      <c r="Q9" s="55">
        <v>9.44</v>
      </c>
      <c r="R9" s="43"/>
      <c r="S9" s="43"/>
      <c r="T9" s="43"/>
      <c r="U9" s="43"/>
    </row>
    <row r="10" spans="1:21" s="11" customFormat="1" ht="15">
      <c r="A10" s="54" t="s">
        <v>543</v>
      </c>
      <c r="B10" s="55">
        <v>8.17</v>
      </c>
      <c r="C10" s="55">
        <v>3.13</v>
      </c>
      <c r="D10" s="55">
        <v>11.96</v>
      </c>
      <c r="E10" s="55">
        <v>5.04</v>
      </c>
      <c r="F10" s="55">
        <v>4.5999999999999996</v>
      </c>
      <c r="G10" s="55">
        <v>25.14</v>
      </c>
      <c r="H10" s="55">
        <v>11.80</v>
      </c>
      <c r="I10" s="55">
        <v>3.88</v>
      </c>
      <c r="J10" s="55">
        <v>0.69</v>
      </c>
      <c r="K10" s="55">
        <v>237.14</v>
      </c>
      <c r="L10" s="55">
        <v>24.21</v>
      </c>
      <c r="M10" s="55">
        <v>87.33</v>
      </c>
      <c r="N10" s="55">
        <v>25.70</v>
      </c>
      <c r="O10" s="55">
        <v>0</v>
      </c>
      <c r="P10" s="55">
        <v>0.28999999999999998</v>
      </c>
      <c r="Q10" s="55">
        <v>9.51</v>
      </c>
      <c r="R10" s="43"/>
      <c r="S10" s="43"/>
      <c r="T10" s="43"/>
      <c r="U10" s="43"/>
    </row>
    <row r="11" spans="1:21" s="11" customFormat="1" ht="15">
      <c r="A11" s="54" t="s">
        <v>544</v>
      </c>
      <c r="B11" s="55">
        <v>8.18</v>
      </c>
      <c r="C11" s="55">
        <v>3.26</v>
      </c>
      <c r="D11" s="55">
        <v>12.04</v>
      </c>
      <c r="E11" s="55">
        <v>4.74</v>
      </c>
      <c r="F11" s="55">
        <v>4.46</v>
      </c>
      <c r="G11" s="55">
        <v>23.45</v>
      </c>
      <c r="H11" s="55">
        <v>9.01</v>
      </c>
      <c r="I11" s="55">
        <v>3.87</v>
      </c>
      <c r="J11" s="55">
        <v>0.64</v>
      </c>
      <c r="K11" s="55">
        <v>338.87</v>
      </c>
      <c r="L11" s="55">
        <v>24.13</v>
      </c>
      <c r="M11" s="55">
        <v>89.97</v>
      </c>
      <c r="N11" s="55">
        <v>25.90</v>
      </c>
      <c r="O11" s="55">
        <v>0</v>
      </c>
      <c r="P11" s="55">
        <v>0.26</v>
      </c>
      <c r="Q11" s="55">
        <v>9.51</v>
      </c>
      <c r="R11" s="43"/>
      <c r="S11" s="43"/>
      <c r="T11" s="43"/>
      <c r="U11" s="43"/>
    </row>
    <row r="12" spans="1:21" s="11" customFormat="1" ht="15">
      <c r="A12" s="54" t="s">
        <v>545</v>
      </c>
      <c r="B12" s="55">
        <v>8.42</v>
      </c>
      <c r="C12" s="55">
        <v>3.93</v>
      </c>
      <c r="D12" s="55">
        <v>12.58</v>
      </c>
      <c r="E12" s="55">
        <v>4.95</v>
      </c>
      <c r="F12" s="55">
        <v>4.32</v>
      </c>
      <c r="G12" s="55">
        <v>23.45</v>
      </c>
      <c r="H12" s="55">
        <v>10.08</v>
      </c>
      <c r="I12" s="55">
        <v>3.68</v>
      </c>
      <c r="J12" s="55">
        <v>0.56000000000000005</v>
      </c>
      <c r="K12" s="55">
        <v>227.02</v>
      </c>
      <c r="L12" s="55">
        <v>24.21</v>
      </c>
      <c r="M12" s="55">
        <v>88.91</v>
      </c>
      <c r="N12" s="55">
        <v>26.10</v>
      </c>
      <c r="O12" s="55">
        <v>0</v>
      </c>
      <c r="P12" s="55">
        <v>0.25</v>
      </c>
      <c r="Q12" s="55">
        <v>9.5500000000000007</v>
      </c>
      <c r="R12" s="43"/>
      <c r="S12" s="43"/>
      <c r="T12" s="43"/>
      <c r="U12" s="43"/>
    </row>
    <row r="13" spans="1:21" s="11" customFormat="1" ht="15">
      <c r="A13" s="54" t="s">
        <v>546</v>
      </c>
      <c r="B13" s="55">
        <v>8.1999999999999993</v>
      </c>
      <c r="C13" s="55">
        <v>3.23</v>
      </c>
      <c r="D13" s="55">
        <v>12.03</v>
      </c>
      <c r="E13" s="55">
        <v>3.92</v>
      </c>
      <c r="F13" s="55">
        <v>3.99</v>
      </c>
      <c r="G13" s="55">
        <v>20.76</v>
      </c>
      <c r="H13" s="55">
        <v>10.08</v>
      </c>
      <c r="I13" s="55">
        <v>3.35</v>
      </c>
      <c r="J13" s="55">
        <v>0.52</v>
      </c>
      <c r="K13" s="55">
        <v>358.24</v>
      </c>
      <c r="L13" s="55">
        <v>24.22</v>
      </c>
      <c r="M13" s="55">
        <v>89.44</v>
      </c>
      <c r="N13" s="55">
        <v>26.5</v>
      </c>
      <c r="O13" s="55">
        <v>0</v>
      </c>
      <c r="P13" s="55">
        <v>0.23</v>
      </c>
      <c r="Q13" s="55">
        <v>9.51</v>
      </c>
      <c r="R13" s="43"/>
      <c r="S13" s="43"/>
      <c r="T13" s="43"/>
      <c r="U13" s="43"/>
    </row>
    <row r="14" spans="1:21" s="11" customFormat="1" ht="15">
      <c r="A14" s="54" t="s">
        <v>547</v>
      </c>
      <c r="B14" s="55">
        <v>8.26</v>
      </c>
      <c r="C14" s="55">
        <v>3.36</v>
      </c>
      <c r="D14" s="55">
        <v>12.15</v>
      </c>
      <c r="E14" s="55">
        <v>4.47</v>
      </c>
      <c r="F14" s="55">
        <v>3.52</v>
      </c>
      <c r="G14" s="55">
        <v>20.76</v>
      </c>
      <c r="H14" s="55">
        <v>7.5</v>
      </c>
      <c r="I14" s="55">
        <v>3.75</v>
      </c>
      <c r="J14" s="55">
        <v>0.46</v>
      </c>
      <c r="K14" s="55">
        <v>353.76</v>
      </c>
      <c r="L14" s="55">
        <v>24.36</v>
      </c>
      <c r="M14" s="55">
        <v>91.87</v>
      </c>
      <c r="N14" s="55">
        <v>82</v>
      </c>
      <c r="O14" s="55">
        <v>0</v>
      </c>
      <c r="P14" s="55">
        <v>0.22</v>
      </c>
      <c r="Q14" s="55">
        <v>9.49</v>
      </c>
      <c r="R14" s="43"/>
      <c r="S14" s="43"/>
      <c r="T14" s="43"/>
      <c r="U14" s="43"/>
    </row>
    <row r="15" spans="1:21" s="11" customFormat="1" ht="15">
      <c r="A15" s="54" t="s">
        <v>548</v>
      </c>
      <c r="B15" s="55">
        <v>8.25</v>
      </c>
      <c r="C15" s="55">
        <v>3.39</v>
      </c>
      <c r="D15" s="55">
        <v>12.16</v>
      </c>
      <c r="E15" s="55">
        <v>4.43</v>
      </c>
      <c r="F15" s="55">
        <v>4</v>
      </c>
      <c r="G15" s="55">
        <v>21.65</v>
      </c>
      <c r="H15" s="55">
        <v>8.15</v>
      </c>
      <c r="I15" s="55">
        <v>3.93</v>
      </c>
      <c r="J15" s="55">
        <v>0.44</v>
      </c>
      <c r="K15" s="55">
        <v>356.43</v>
      </c>
      <c r="L15" s="55">
        <v>26.29</v>
      </c>
      <c r="M15" s="55">
        <v>86.74</v>
      </c>
      <c r="N15" s="55">
        <v>213.40</v>
      </c>
      <c r="O15" s="55">
        <v>0</v>
      </c>
      <c r="P15" s="55">
        <v>0.23</v>
      </c>
      <c r="Q15" s="55">
        <v>9.57</v>
      </c>
      <c r="R15" s="43"/>
      <c r="S15" s="43"/>
      <c r="T15" s="43"/>
      <c r="U15" s="43"/>
    </row>
    <row r="16" spans="1:21" s="11" customFormat="1" ht="15">
      <c r="A16" s="54" t="s">
        <v>549</v>
      </c>
      <c r="B16" s="55">
        <v>8.4700000000000006</v>
      </c>
      <c r="C16" s="55">
        <v>4.1900000000000004</v>
      </c>
      <c r="D16" s="55">
        <v>12.75</v>
      </c>
      <c r="E16" s="55">
        <v>4.28</v>
      </c>
      <c r="F16" s="55">
        <v>4.28</v>
      </c>
      <c r="G16" s="55">
        <v>21.65</v>
      </c>
      <c r="H16" s="55">
        <v>8.15</v>
      </c>
      <c r="I16" s="55">
        <v>3.56</v>
      </c>
      <c r="J16" s="55">
        <v>0.30</v>
      </c>
      <c r="K16" s="55">
        <v>25.65</v>
      </c>
      <c r="L16" s="55">
        <v>26.73</v>
      </c>
      <c r="M16" s="55">
        <v>74.92</v>
      </c>
      <c r="N16" s="55">
        <v>230.10</v>
      </c>
      <c r="O16" s="55">
        <v>0</v>
      </c>
      <c r="P16" s="55">
        <v>0.21</v>
      </c>
      <c r="Q16" s="55">
        <v>9.58</v>
      </c>
      <c r="R16" s="43"/>
      <c r="S16" s="43"/>
      <c r="T16" s="43"/>
      <c r="U16" s="43"/>
    </row>
    <row r="17" spans="1:21" s="11" customFormat="1" ht="15">
      <c r="A17" s="54" t="s">
        <v>550</v>
      </c>
      <c r="B17" s="55">
        <v>8.19</v>
      </c>
      <c r="C17" s="55">
        <v>3.35</v>
      </c>
      <c r="D17" s="55">
        <v>12.09</v>
      </c>
      <c r="E17" s="55">
        <v>5.27</v>
      </c>
      <c r="F17" s="55">
        <v>4.80</v>
      </c>
      <c r="G17" s="55">
        <v>24.62</v>
      </c>
      <c r="H17" s="55">
        <v>7.18</v>
      </c>
      <c r="I17" s="55">
        <v>3.24</v>
      </c>
      <c r="J17" s="55">
        <v>0.66</v>
      </c>
      <c r="K17" s="55">
        <v>359.94</v>
      </c>
      <c r="L17" s="55">
        <v>29.70</v>
      </c>
      <c r="M17" s="55">
        <v>72.78</v>
      </c>
      <c r="N17" s="55">
        <v>629.40</v>
      </c>
      <c r="O17" s="55">
        <v>0</v>
      </c>
      <c r="P17" s="55">
        <v>0.22</v>
      </c>
      <c r="Q17" s="55">
        <v>9.52</v>
      </c>
      <c r="R17" s="43"/>
      <c r="S17" s="43"/>
      <c r="T17" s="43"/>
      <c r="U17" s="43"/>
    </row>
    <row r="18" spans="1:21" s="11" customFormat="1" ht="15">
      <c r="A18" s="54" t="s">
        <v>551</v>
      </c>
      <c r="B18" s="55">
        <v>8.23</v>
      </c>
      <c r="C18" s="55">
        <v>3.30</v>
      </c>
      <c r="D18" s="55">
        <v>12.10</v>
      </c>
      <c r="E18" s="55">
        <v>5.09</v>
      </c>
      <c r="F18" s="55">
        <v>5.59</v>
      </c>
      <c r="G18" s="55">
        <v>26.04</v>
      </c>
      <c r="H18" s="55">
        <v>8.43</v>
      </c>
      <c r="I18" s="55">
        <v>2.08</v>
      </c>
      <c r="J18" s="55">
        <v>0.81</v>
      </c>
      <c r="K18" s="55">
        <v>327.58999999999997</v>
      </c>
      <c r="L18" s="55">
        <v>29.70</v>
      </c>
      <c r="M18" s="55">
        <v>64.819999999999993</v>
      </c>
      <c r="N18" s="55">
        <v>614.20000000000005</v>
      </c>
      <c r="O18" s="55">
        <v>0</v>
      </c>
      <c r="P18" s="55">
        <v>0.30</v>
      </c>
      <c r="Q18" s="55">
        <v>9.44</v>
      </c>
      <c r="R18" s="43"/>
      <c r="S18" s="43"/>
      <c r="T18" s="43"/>
      <c r="U18" s="43"/>
    </row>
    <row r="19" spans="1:21" s="11" customFormat="1" ht="15">
      <c r="A19" s="54" t="s">
        <v>552</v>
      </c>
      <c r="B19" s="55">
        <v>8.2200000000000006</v>
      </c>
      <c r="C19" s="55">
        <v>3.35</v>
      </c>
      <c r="D19" s="55">
        <v>12.12</v>
      </c>
      <c r="E19" s="55">
        <v>5.15</v>
      </c>
      <c r="F19" s="55">
        <v>5.35</v>
      </c>
      <c r="G19" s="55">
        <v>31.93</v>
      </c>
      <c r="H19" s="55">
        <v>9.1999999999999993</v>
      </c>
      <c r="I19" s="55">
        <v>2.02</v>
      </c>
      <c r="J19" s="55">
        <v>1.19</v>
      </c>
      <c r="K19" s="55">
        <v>319.89999999999998</v>
      </c>
      <c r="L19" s="55">
        <v>33.450000000000003</v>
      </c>
      <c r="M19" s="55">
        <v>61.65</v>
      </c>
      <c r="N19" s="55">
        <v>873</v>
      </c>
      <c r="O19" s="55">
        <v>0</v>
      </c>
      <c r="P19" s="55">
        <v>0.33</v>
      </c>
      <c r="Q19" s="55">
        <v>9.56</v>
      </c>
      <c r="R19" s="43"/>
      <c r="S19" s="43"/>
      <c r="T19" s="43"/>
      <c r="U19" s="43"/>
    </row>
    <row r="20" spans="1:21" s="11" customFormat="1" ht="15">
      <c r="A20" s="54" t="s">
        <v>553</v>
      </c>
      <c r="B20" s="55">
        <v>8.31</v>
      </c>
      <c r="C20" s="55">
        <v>3.93</v>
      </c>
      <c r="D20" s="55">
        <v>12.49</v>
      </c>
      <c r="E20" s="55">
        <v>4.92</v>
      </c>
      <c r="F20" s="55">
        <v>5.71</v>
      </c>
      <c r="G20" s="55">
        <v>32.76</v>
      </c>
      <c r="H20" s="55">
        <v>9.07</v>
      </c>
      <c r="I20" s="55">
        <v>1.97</v>
      </c>
      <c r="J20" s="55">
        <v>1.05</v>
      </c>
      <c r="K20" s="55">
        <v>329.53</v>
      </c>
      <c r="L20" s="55">
        <v>32.76</v>
      </c>
      <c r="M20" s="55">
        <v>57.54</v>
      </c>
      <c r="N20" s="55">
        <v>791.10</v>
      </c>
      <c r="O20" s="55">
        <v>0</v>
      </c>
      <c r="P20" s="55">
        <v>0.33</v>
      </c>
      <c r="Q20" s="55">
        <v>9.57</v>
      </c>
      <c r="R20" s="43"/>
      <c r="S20" s="43"/>
      <c r="T20" s="43"/>
      <c r="U20" s="43"/>
    </row>
    <row r="21" spans="1:21" s="11" customFormat="1" ht="15">
      <c r="A21" s="54" t="s">
        <v>554</v>
      </c>
      <c r="B21" s="55">
        <v>8.16</v>
      </c>
      <c r="C21" s="55">
        <v>3.34</v>
      </c>
      <c r="D21" s="55">
        <v>12.06</v>
      </c>
      <c r="E21" s="55">
        <v>3.62</v>
      </c>
      <c r="F21" s="55">
        <v>6.46</v>
      </c>
      <c r="G21" s="55">
        <v>35.68</v>
      </c>
      <c r="H21" s="55">
        <v>8.7100000000000009</v>
      </c>
      <c r="I21" s="55">
        <v>1.85</v>
      </c>
      <c r="J21" s="55">
        <v>1.37</v>
      </c>
      <c r="K21" s="55">
        <v>341.26</v>
      </c>
      <c r="L21" s="55">
        <v>33.520000000000003</v>
      </c>
      <c r="M21" s="55">
        <v>57.68</v>
      </c>
      <c r="N21" s="55">
        <v>943.10</v>
      </c>
      <c r="O21" s="55">
        <v>0</v>
      </c>
      <c r="P21" s="55">
        <v>0.40</v>
      </c>
      <c r="Q21" s="55">
        <v>9.5299999999999994</v>
      </c>
      <c r="R21" s="43"/>
      <c r="S21" s="43"/>
      <c r="T21" s="43"/>
      <c r="U21" s="43"/>
    </row>
    <row r="22" spans="1:21" s="11" customFormat="1" ht="15">
      <c r="A22" s="54" t="s">
        <v>555</v>
      </c>
      <c r="B22" s="55">
        <v>8.36</v>
      </c>
      <c r="C22" s="55">
        <v>4.12</v>
      </c>
      <c r="D22" s="55">
        <v>12.63</v>
      </c>
      <c r="E22" s="55">
        <v>3.95</v>
      </c>
      <c r="F22" s="55">
        <v>7.13</v>
      </c>
      <c r="G22" s="55">
        <v>37.840000000000003</v>
      </c>
      <c r="H22" s="55">
        <v>8.32</v>
      </c>
      <c r="I22" s="55">
        <v>2.02</v>
      </c>
      <c r="J22" s="55">
        <v>0.74</v>
      </c>
      <c r="K22" s="55">
        <v>352.38</v>
      </c>
      <c r="L22" s="55">
        <v>32.130000000000003</v>
      </c>
      <c r="M22" s="55">
        <v>58.45</v>
      </c>
      <c r="N22" s="55">
        <v>806.70</v>
      </c>
      <c r="O22" s="55">
        <v>0</v>
      </c>
      <c r="P22" s="55">
        <v>0.41</v>
      </c>
      <c r="Q22" s="55">
        <v>9.48</v>
      </c>
      <c r="R22" s="43"/>
      <c r="S22" s="43"/>
      <c r="T22" s="43"/>
      <c r="U22" s="43"/>
    </row>
    <row r="23" spans="1:21" s="11" customFormat="1" ht="15">
      <c r="A23" s="54" t="s">
        <v>556</v>
      </c>
      <c r="B23" s="55">
        <v>8.18</v>
      </c>
      <c r="C23" s="55">
        <v>3.24</v>
      </c>
      <c r="D23" s="55">
        <v>12.02</v>
      </c>
      <c r="E23" s="55">
        <v>3.91</v>
      </c>
      <c r="F23" s="55">
        <v>7.11</v>
      </c>
      <c r="G23" s="55">
        <v>37.840000000000003</v>
      </c>
      <c r="H23" s="55">
        <v>14.56</v>
      </c>
      <c r="I23" s="55">
        <v>2.31</v>
      </c>
      <c r="J23" s="55">
        <v>1.51</v>
      </c>
      <c r="K23" s="55">
        <v>352.74</v>
      </c>
      <c r="L23" s="55">
        <v>32.90</v>
      </c>
      <c r="M23" s="55">
        <v>53.80</v>
      </c>
      <c r="N23" s="55">
        <v>696.70</v>
      </c>
      <c r="O23" s="55">
        <v>0</v>
      </c>
      <c r="P23" s="55">
        <v>0.48</v>
      </c>
      <c r="Q23" s="55">
        <v>9.41</v>
      </c>
      <c r="R23" s="43"/>
      <c r="S23" s="43"/>
      <c r="T23" s="43"/>
      <c r="U23" s="43"/>
    </row>
    <row r="24" spans="1:21" s="11" customFormat="1" ht="15">
      <c r="A24" s="54" t="s">
        <v>557</v>
      </c>
      <c r="B24" s="55">
        <v>8.25</v>
      </c>
      <c r="C24" s="55">
        <v>3.78</v>
      </c>
      <c r="D24" s="55">
        <v>12.36</v>
      </c>
      <c r="E24" s="55">
        <v>3.87</v>
      </c>
      <c r="F24" s="55">
        <v>6.55</v>
      </c>
      <c r="G24" s="55">
        <v>44.04</v>
      </c>
      <c r="H24" s="55">
        <v>14.56</v>
      </c>
      <c r="I24" s="55">
        <v>2.35</v>
      </c>
      <c r="J24" s="55">
        <v>1.20</v>
      </c>
      <c r="K24" s="55">
        <v>352.98</v>
      </c>
      <c r="L24" s="55">
        <v>32.79</v>
      </c>
      <c r="M24" s="55">
        <v>54.98</v>
      </c>
      <c r="N24" s="55">
        <v>346.80</v>
      </c>
      <c r="O24" s="55">
        <v>0</v>
      </c>
      <c r="P24" s="55">
        <v>0.45</v>
      </c>
      <c r="Q24" s="55">
        <v>9.59</v>
      </c>
      <c r="R24" s="43"/>
      <c r="S24" s="43"/>
      <c r="T24" s="43"/>
      <c r="U24" s="43"/>
    </row>
    <row r="25" spans="1:21" s="11" customFormat="1" ht="15">
      <c r="A25" s="54" t="s">
        <v>558</v>
      </c>
      <c r="B25" s="55">
        <v>8.2100000000000009</v>
      </c>
      <c r="C25" s="55">
        <v>3.45</v>
      </c>
      <c r="D25" s="55">
        <v>12.17</v>
      </c>
      <c r="E25" s="55">
        <v>4.25</v>
      </c>
      <c r="F25" s="55">
        <v>6.86</v>
      </c>
      <c r="G25" s="55">
        <v>47.07</v>
      </c>
      <c r="H25" s="55">
        <v>10.88</v>
      </c>
      <c r="I25" s="55">
        <v>2</v>
      </c>
      <c r="J25" s="55">
        <v>0.79</v>
      </c>
      <c r="K25" s="55">
        <v>13.98</v>
      </c>
      <c r="L25" s="55">
        <v>30.40</v>
      </c>
      <c r="M25" s="55">
        <v>59.20</v>
      </c>
      <c r="N25" s="55">
        <v>110.80</v>
      </c>
      <c r="O25" s="55">
        <v>0</v>
      </c>
      <c r="P25" s="55">
        <v>0.40</v>
      </c>
      <c r="Q25" s="55">
        <v>9.5500000000000007</v>
      </c>
      <c r="R25" s="43"/>
      <c r="S25" s="43"/>
      <c r="T25" s="43"/>
      <c r="U25" s="43"/>
    </row>
    <row r="26" spans="1:21" s="11" customFormat="1" ht="15">
      <c r="A26" s="54" t="s">
        <v>559</v>
      </c>
      <c r="B26" s="55">
        <v>8.2100000000000009</v>
      </c>
      <c r="C26" s="55">
        <v>3.48</v>
      </c>
      <c r="D26" s="55">
        <v>12.18</v>
      </c>
      <c r="E26" s="55">
        <v>4.1900000000000004</v>
      </c>
      <c r="F26" s="55">
        <v>5.82</v>
      </c>
      <c r="G26" s="55">
        <v>47.07</v>
      </c>
      <c r="H26" s="55">
        <v>11.40</v>
      </c>
      <c r="I26" s="55">
        <v>1.91</v>
      </c>
      <c r="J26" s="55">
        <v>3.67</v>
      </c>
      <c r="K26" s="55">
        <v>343.78</v>
      </c>
      <c r="L26" s="55">
        <v>29.75</v>
      </c>
      <c r="M26" s="55">
        <v>79.209999999999994</v>
      </c>
      <c r="N26" s="55">
        <v>33.5</v>
      </c>
      <c r="O26" s="55">
        <v>0</v>
      </c>
      <c r="P26" s="55">
        <v>0.39</v>
      </c>
      <c r="Q26" s="55">
        <v>9.5500000000000007</v>
      </c>
      <c r="R26" s="43"/>
      <c r="S26" s="43"/>
      <c r="T26" s="43"/>
      <c r="U26" s="43"/>
    </row>
    <row r="27" spans="1:21" s="11" customFormat="1" ht="15">
      <c r="A27" s="54" t="s">
        <v>560</v>
      </c>
      <c r="B27" s="55">
        <v>8.25</v>
      </c>
      <c r="C27" s="55">
        <v>3.40</v>
      </c>
      <c r="D27" s="55">
        <v>12.17</v>
      </c>
      <c r="E27" s="55">
        <v>3.93</v>
      </c>
      <c r="F27" s="55">
        <v>5.62</v>
      </c>
      <c r="G27" s="55">
        <v>50.61</v>
      </c>
      <c r="H27" s="55">
        <v>15.06</v>
      </c>
      <c r="I27" s="55">
        <v>1.93</v>
      </c>
      <c r="J27" s="55">
        <v>3.69</v>
      </c>
      <c r="K27" s="55">
        <v>337.48</v>
      </c>
      <c r="L27" s="55">
        <v>23.26</v>
      </c>
      <c r="M27" s="55">
        <v>98.35</v>
      </c>
      <c r="N27" s="55">
        <v>23.30</v>
      </c>
      <c r="O27" s="55">
        <v>7</v>
      </c>
      <c r="P27" s="55">
        <v>0.38</v>
      </c>
      <c r="Q27" s="55">
        <v>9.5</v>
      </c>
      <c r="R27" s="43"/>
      <c r="S27" s="43"/>
      <c r="T27" s="43"/>
      <c r="U27" s="43"/>
    </row>
    <row r="28" spans="1:21" s="11" customFormat="1" ht="15">
      <c r="A28" s="54" t="s">
        <v>561</v>
      </c>
      <c r="B28" s="55">
        <v>8.2799999999999994</v>
      </c>
      <c r="C28" s="55">
        <v>3.57</v>
      </c>
      <c r="D28" s="55">
        <v>12.28</v>
      </c>
      <c r="E28" s="55">
        <v>4.09</v>
      </c>
      <c r="F28" s="55">
        <v>5.52</v>
      </c>
      <c r="G28" s="55">
        <v>50.61</v>
      </c>
      <c r="H28" s="55">
        <v>15.06</v>
      </c>
      <c r="I28" s="55">
        <v>1.74</v>
      </c>
      <c r="J28" s="55">
        <v>3.04</v>
      </c>
      <c r="K28" s="55">
        <v>338.37</v>
      </c>
      <c r="L28" s="55">
        <v>21.29</v>
      </c>
      <c r="M28" s="55">
        <v>98.40</v>
      </c>
      <c r="N28" s="55">
        <v>17.899999999999999</v>
      </c>
      <c r="O28" s="55">
        <v>2</v>
      </c>
      <c r="P28" s="55">
        <v>0.35</v>
      </c>
      <c r="Q28" s="55">
        <v>9.5</v>
      </c>
      <c r="R28" s="43"/>
      <c r="S28" s="43"/>
      <c r="T28" s="43"/>
      <c r="U28" s="43"/>
    </row>
    <row r="29" spans="1:21" s="11" customFormat="1" ht="15">
      <c r="A29" s="54" t="s">
        <v>562</v>
      </c>
      <c r="B29" s="55">
        <v>8.2200000000000006</v>
      </c>
      <c r="C29" s="55">
        <v>3.43</v>
      </c>
      <c r="D29" s="55">
        <v>12.16</v>
      </c>
      <c r="E29" s="55">
        <v>4.28</v>
      </c>
      <c r="F29" s="55">
        <v>4.7300000000000004</v>
      </c>
      <c r="G29" s="55">
        <v>36.299999999999997</v>
      </c>
      <c r="H29" s="55">
        <v>12.47</v>
      </c>
      <c r="I29" s="55">
        <v>1.65</v>
      </c>
      <c r="J29" s="55">
        <v>1.33</v>
      </c>
      <c r="K29" s="55">
        <v>331.5</v>
      </c>
      <c r="L29" s="55">
        <v>21.61</v>
      </c>
      <c r="M29" s="55">
        <v>98.40</v>
      </c>
      <c r="N29" s="55">
        <v>17.20</v>
      </c>
      <c r="O29" s="55">
        <v>0.80</v>
      </c>
      <c r="P29" s="55">
        <v>0.40</v>
      </c>
      <c r="Q29" s="55">
        <v>9.4700000000000006</v>
      </c>
      <c r="R29" s="43"/>
      <c r="S29" s="43"/>
      <c r="T29" s="43"/>
      <c r="U29" s="43"/>
    </row>
    <row r="30" spans="1:21" s="11" customFormat="1" ht="15">
      <c r="A30" s="54" t="s">
        <v>563</v>
      </c>
      <c r="B30" s="55">
        <v>8.3000000000000007</v>
      </c>
      <c r="C30" s="55">
        <v>3.59</v>
      </c>
      <c r="D30" s="55">
        <v>12.31</v>
      </c>
      <c r="E30" s="55">
        <v>4.54</v>
      </c>
      <c r="F30" s="55">
        <v>4.22</v>
      </c>
      <c r="G30" s="55">
        <v>29.55</v>
      </c>
      <c r="H30" s="55">
        <v>12.47</v>
      </c>
      <c r="I30" s="55">
        <v>2.06</v>
      </c>
      <c r="J30" s="55">
        <v>0.74</v>
      </c>
      <c r="K30" s="55">
        <v>152.96</v>
      </c>
      <c r="L30" s="55">
        <v>21.74</v>
      </c>
      <c r="M30" s="55">
        <v>98.40</v>
      </c>
      <c r="N30" s="55">
        <v>17.5</v>
      </c>
      <c r="O30" s="55">
        <v>0.20</v>
      </c>
      <c r="P30" s="55">
        <v>0.45</v>
      </c>
      <c r="Q30" s="55">
        <v>9.52</v>
      </c>
      <c r="R30" s="43"/>
      <c r="S30" s="43"/>
      <c r="T30" s="43"/>
      <c r="U30" s="43"/>
    </row>
    <row r="31" spans="1:21" s="11" customFormat="1" ht="15">
      <c r="A31" s="54" t="s">
        <v>564</v>
      </c>
      <c r="B31" s="55">
        <v>8.26</v>
      </c>
      <c r="C31" s="55">
        <v>3.41</v>
      </c>
      <c r="D31" s="55">
        <v>12.18</v>
      </c>
      <c r="E31" s="55">
        <v>4.34</v>
      </c>
      <c r="F31" s="55">
        <v>3.84</v>
      </c>
      <c r="G31" s="55">
        <v>23.12</v>
      </c>
      <c r="H31" s="55">
        <v>8.8699999999999992</v>
      </c>
      <c r="I31" s="55">
        <v>3.22</v>
      </c>
      <c r="J31" s="55">
        <v>2.0699999999999998</v>
      </c>
      <c r="K31" s="55">
        <v>157.30000000000001</v>
      </c>
      <c r="L31" s="55">
        <v>21.80</v>
      </c>
      <c r="M31" s="55">
        <v>98.40</v>
      </c>
      <c r="N31" s="55">
        <v>18.30</v>
      </c>
      <c r="O31" s="55">
        <v>0</v>
      </c>
      <c r="P31" s="55">
        <v>0.45</v>
      </c>
      <c r="Q31" s="55">
        <v>9.59</v>
      </c>
      <c r="R31" s="43"/>
      <c r="S31" s="43"/>
      <c r="T31" s="43"/>
      <c r="U31" s="43"/>
    </row>
    <row r="32" spans="1:21" s="11" customFormat="1" ht="15">
      <c r="A32" s="54" t="s">
        <v>565</v>
      </c>
      <c r="B32" s="55">
        <v>8.42</v>
      </c>
      <c r="C32" s="55">
        <v>3.81</v>
      </c>
      <c r="D32" s="55">
        <v>12.52</v>
      </c>
      <c r="E32" s="55">
        <v>4.3899999999999997</v>
      </c>
      <c r="F32" s="55">
        <v>3.68</v>
      </c>
      <c r="G32" s="55">
        <v>22.90</v>
      </c>
      <c r="H32" s="55">
        <v>9.25</v>
      </c>
      <c r="I32" s="55">
        <v>5.25</v>
      </c>
      <c r="J32" s="55">
        <v>1.95</v>
      </c>
      <c r="K32" s="55">
        <v>197.49</v>
      </c>
      <c r="L32" s="55">
        <v>21.73</v>
      </c>
      <c r="M32" s="55">
        <v>98.42</v>
      </c>
      <c r="N32" s="55">
        <v>18.30</v>
      </c>
      <c r="O32" s="55">
        <v>0</v>
      </c>
      <c r="P32" s="55">
        <v>0.40</v>
      </c>
      <c r="Q32" s="55">
        <v>9.52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8.1600000000000001</v>
      </c>
      <c r="C34" s="28">
        <f t="shared" si="0"/>
        <v>3.1299999999999999</v>
      </c>
      <c r="D34" s="28">
        <f t="shared" si="0"/>
        <v>11.960000000000001</v>
      </c>
      <c r="E34" s="28">
        <f t="shared" si="0"/>
        <v>3.6200000000000001</v>
      </c>
      <c r="F34" s="28">
        <f t="shared" si="0"/>
        <v>3.52</v>
      </c>
      <c r="G34" s="28">
        <f t="shared" si="0"/>
        <v>20.760000000000002</v>
      </c>
      <c r="H34" s="28">
        <f t="shared" si="0"/>
        <v>7.1799999999999997</v>
      </c>
      <c r="I34" s="28">
        <f t="shared" si="0"/>
        <v>1.6499999999999999</v>
      </c>
      <c r="J34" s="28">
        <f t="shared" si="0"/>
        <v>0.29999999999999999</v>
      </c>
      <c r="K34" s="28">
        <f t="shared" si="0"/>
        <v>13.98</v>
      </c>
      <c r="L34" s="28">
        <f t="shared" si="0"/>
        <v>21.289999999999999</v>
      </c>
      <c r="M34" s="28">
        <f t="shared" si="0"/>
        <v>53.799999999999997</v>
      </c>
      <c r="N34" s="28">
        <f t="shared" si="0"/>
        <v>17.199999999999999</v>
      </c>
      <c r="O34" s="28">
        <f t="shared" si="0"/>
        <v>0</v>
      </c>
      <c r="P34" s="28">
        <f t="shared" si="0"/>
        <v>0.20999999999999999</v>
      </c>
      <c r="Q34" s="28">
        <f t="shared" si="0"/>
        <v>9.4100000000000001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8.4700000000000006</v>
      </c>
      <c r="C35" s="29">
        <f t="shared" si="1"/>
        <v>4.1900000000000004</v>
      </c>
      <c r="D35" s="29">
        <f t="shared" si="1"/>
        <v>12.75</v>
      </c>
      <c r="E35" s="29">
        <f t="shared" si="1"/>
        <v>5.2699999999999996</v>
      </c>
      <c r="F35" s="29">
        <f t="shared" si="1"/>
        <v>7.1299999999999999</v>
      </c>
      <c r="G35" s="29">
        <f t="shared" si="1"/>
        <v>50.609999999999999</v>
      </c>
      <c r="H35" s="29">
        <f t="shared" si="1"/>
        <v>15.06</v>
      </c>
      <c r="I35" s="29">
        <f t="shared" si="1"/>
        <v>5.25</v>
      </c>
      <c r="J35" s="29">
        <f t="shared" si="1"/>
        <v>3.6899999999999999</v>
      </c>
      <c r="K35" s="29">
        <f t="shared" si="1"/>
        <v>359.94</v>
      </c>
      <c r="L35" s="29">
        <f t="shared" si="1"/>
        <v>33.520000000000003</v>
      </c>
      <c r="M35" s="29">
        <f t="shared" si="1"/>
        <v>98.420000000000002</v>
      </c>
      <c r="N35" s="29">
        <f t="shared" si="1"/>
        <v>943.10000000000002</v>
      </c>
      <c r="O35" s="29">
        <f t="shared" si="1"/>
        <v>7</v>
      </c>
      <c r="P35" s="29">
        <f t="shared" si="1"/>
        <v>0.47999999999999998</v>
      </c>
      <c r="Q35" s="29">
        <f t="shared" si="1"/>
        <v>9.5899999999999999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8.2654166666666669</v>
      </c>
      <c r="C36" s="28">
        <f t="shared" si="2"/>
        <v>3.5354166666666669</v>
      </c>
      <c r="D36" s="28">
        <f t="shared" si="2"/>
        <v>12.249583333333334</v>
      </c>
      <c r="E36" s="28">
        <f t="shared" si="2"/>
        <v>4.4316666666666675</v>
      </c>
      <c r="F36" s="28">
        <f t="shared" si="2"/>
        <v>5.0829166666666667</v>
      </c>
      <c r="G36" s="28">
        <f t="shared" si="2"/>
        <v>32.070833333333333</v>
      </c>
      <c r="H36" s="28">
        <f t="shared" si="2"/>
        <v>10.527916666666668</v>
      </c>
      <c r="I36" s="28">
        <f t="shared" si="2"/>
        <v>2.7816666666666667</v>
      </c>
      <c r="J36" s="28">
        <f t="shared" si="2"/>
        <v>1.2416666666666665</v>
      </c>
      <c r="K36" s="28">
        <f t="shared" si="2"/>
        <v>280.34958333333333</v>
      </c>
      <c r="L36" s="28">
        <f t="shared" si="2"/>
        <v>26.958333333333329</v>
      </c>
      <c r="M36" s="28">
        <f t="shared" si="2"/>
        <v>79.393333333333345</v>
      </c>
      <c r="N36" s="28">
        <f t="shared" si="2"/>
        <v>275.52916666666664</v>
      </c>
      <c r="O36" s="28">
        <f t="shared" si="2"/>
        <v>0.41666666666666669</v>
      </c>
      <c r="P36" s="28">
        <f t="shared" si="2"/>
        <v>0.33916666666666667</v>
      </c>
      <c r="Q36" s="28">
        <f t="shared" si="2"/>
        <v>9.5191666666666688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0.085971641768700646</v>
      </c>
      <c r="C37" s="28">
        <f t="shared" si="3" ref="C37:Q37">STDEV(C9:C32)</f>
        <v>0.29392366898295608</v>
      </c>
      <c r="D37" s="28">
        <f t="shared" si="3"/>
        <v>0.21696481715719021</v>
      </c>
      <c r="E37" s="28">
        <f t="shared" si="3"/>
        <v>0.46573613229760008</v>
      </c>
      <c r="F37" s="28">
        <f t="shared" si="3"/>
        <v>1.1409510874958504</v>
      </c>
      <c r="G37" s="28">
        <f t="shared" si="3"/>
        <v>10.040263688147645</v>
      </c>
      <c r="H37" s="28">
        <f t="shared" si="3"/>
        <v>2.4884602872959918</v>
      </c>
      <c r="I37" s="28">
        <f t="shared" si="3"/>
        <v>0.96857432956075085</v>
      </c>
      <c r="J37" s="28">
        <f t="shared" si="3"/>
        <v>0.98283382056204216</v>
      </c>
      <c r="K37" s="28">
        <f t="shared" si="3"/>
        <v>103.85314399290046</v>
      </c>
      <c r="L37" s="28">
        <f t="shared" si="3"/>
        <v>4.4232052775715163</v>
      </c>
      <c r="M37" s="28">
        <f t="shared" si="3"/>
        <v>16.708005024061183</v>
      </c>
      <c r="N37" s="28">
        <f t="shared" si="3"/>
        <v>336.8214305367764</v>
      </c>
      <c r="O37" s="28">
        <f t="shared" si="3"/>
        <v>1.4672265071175636</v>
      </c>
      <c r="P37" s="28">
        <f t="shared" si="3"/>
        <v>0.085715234639329882</v>
      </c>
      <c r="Q37" s="28">
        <f t="shared" si="3"/>
        <v>0.048357065637830619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8034330-7048-4b4f-ac41-0b9f1afbb5bc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566</v>
      </c>
      <c r="B9" s="55">
        <v>8.2100000000000009</v>
      </c>
      <c r="C9" s="55">
        <v>3.28</v>
      </c>
      <c r="D9" s="55">
        <v>12.07</v>
      </c>
      <c r="E9" s="55">
        <v>4.3899999999999997</v>
      </c>
      <c r="F9" s="55">
        <v>3.87</v>
      </c>
      <c r="G9" s="55">
        <v>16.059999999999999</v>
      </c>
      <c r="H9" s="55">
        <v>9.25</v>
      </c>
      <c r="I9" s="55">
        <v>5.27</v>
      </c>
      <c r="J9" s="55">
        <v>0.42</v>
      </c>
      <c r="K9" s="55">
        <v>292.20999999999998</v>
      </c>
      <c r="L9" s="55">
        <v>21.73</v>
      </c>
      <c r="M9" s="55">
        <v>98.40</v>
      </c>
      <c r="N9" s="55">
        <v>17.80</v>
      </c>
      <c r="O9" s="55">
        <v>0</v>
      </c>
      <c r="P9" s="55">
        <v>0.36</v>
      </c>
      <c r="Q9" s="55">
        <v>9.56</v>
      </c>
      <c r="R9" s="43"/>
      <c r="S9" s="43"/>
      <c r="T9" s="43"/>
      <c r="U9" s="43"/>
    </row>
    <row r="10" spans="1:21" s="11" customFormat="1" ht="15">
      <c r="A10" s="54" t="s">
        <v>567</v>
      </c>
      <c r="B10" s="55">
        <v>8.42</v>
      </c>
      <c r="C10" s="55">
        <v>4</v>
      </c>
      <c r="D10" s="55">
        <v>12.62</v>
      </c>
      <c r="E10" s="55">
        <v>4.1399999999999997</v>
      </c>
      <c r="F10" s="55">
        <v>4.30</v>
      </c>
      <c r="G10" s="55">
        <v>11.45</v>
      </c>
      <c r="H10" s="55">
        <v>6.87</v>
      </c>
      <c r="I10" s="55">
        <v>4.87</v>
      </c>
      <c r="J10" s="55">
        <v>1.60</v>
      </c>
      <c r="K10" s="55">
        <v>173.58</v>
      </c>
      <c r="L10" s="55">
        <v>21.83</v>
      </c>
      <c r="M10" s="55">
        <v>98.40</v>
      </c>
      <c r="N10" s="55">
        <v>18</v>
      </c>
      <c r="O10" s="55">
        <v>0</v>
      </c>
      <c r="P10" s="55">
        <v>0.25</v>
      </c>
      <c r="Q10" s="55">
        <v>9.5299999999999994</v>
      </c>
      <c r="R10" s="43"/>
      <c r="S10" s="43"/>
      <c r="T10" s="43"/>
      <c r="U10" s="43"/>
    </row>
    <row r="11" spans="1:21" s="11" customFormat="1" ht="15">
      <c r="A11" s="54" t="s">
        <v>568</v>
      </c>
      <c r="B11" s="55">
        <v>8.2100000000000009</v>
      </c>
      <c r="C11" s="55">
        <v>3.41</v>
      </c>
      <c r="D11" s="55">
        <v>12.14</v>
      </c>
      <c r="E11" s="55">
        <v>4.21</v>
      </c>
      <c r="F11" s="55">
        <v>4.28</v>
      </c>
      <c r="G11" s="55">
        <v>13.63</v>
      </c>
      <c r="H11" s="55">
        <v>5.43</v>
      </c>
      <c r="I11" s="55">
        <v>4.67</v>
      </c>
      <c r="J11" s="55">
        <v>1.02</v>
      </c>
      <c r="K11" s="55">
        <v>159.22999999999999</v>
      </c>
      <c r="L11" s="55">
        <v>21.95</v>
      </c>
      <c r="M11" s="55">
        <v>98.40</v>
      </c>
      <c r="N11" s="55">
        <v>17.80</v>
      </c>
      <c r="O11" s="55">
        <v>0</v>
      </c>
      <c r="P11" s="55">
        <v>0.23</v>
      </c>
      <c r="Q11" s="55">
        <v>9.51</v>
      </c>
      <c r="R11" s="43"/>
      <c r="S11" s="43"/>
      <c r="T11" s="43"/>
      <c r="U11" s="43"/>
    </row>
    <row r="12" spans="1:21" s="11" customFormat="1" ht="15">
      <c r="A12" s="54" t="s">
        <v>569</v>
      </c>
      <c r="B12" s="55">
        <v>8.2100000000000009</v>
      </c>
      <c r="C12" s="55">
        <v>3.19</v>
      </c>
      <c r="D12" s="55">
        <v>12.02</v>
      </c>
      <c r="E12" s="55">
        <v>4.2699999999999996</v>
      </c>
      <c r="F12" s="55">
        <v>3.53</v>
      </c>
      <c r="G12" s="55">
        <v>13.63</v>
      </c>
      <c r="H12" s="55">
        <v>4.70</v>
      </c>
      <c r="I12" s="55">
        <v>4.68</v>
      </c>
      <c r="J12" s="55">
        <v>0.78</v>
      </c>
      <c r="K12" s="55">
        <v>176.17</v>
      </c>
      <c r="L12" s="55">
        <v>22.12</v>
      </c>
      <c r="M12" s="55">
        <v>98.38</v>
      </c>
      <c r="N12" s="55">
        <v>17.70</v>
      </c>
      <c r="O12" s="55">
        <v>0</v>
      </c>
      <c r="P12" s="55">
        <v>0.19</v>
      </c>
      <c r="Q12" s="55">
        <v>9.49</v>
      </c>
      <c r="R12" s="43"/>
      <c r="S12" s="43"/>
      <c r="T12" s="43"/>
      <c r="U12" s="43"/>
    </row>
    <row r="13" spans="1:21" s="11" customFormat="1" ht="15">
      <c r="A13" s="54" t="s">
        <v>570</v>
      </c>
      <c r="B13" s="55">
        <v>8.23</v>
      </c>
      <c r="C13" s="55">
        <v>3.24</v>
      </c>
      <c r="D13" s="55">
        <v>12.07</v>
      </c>
      <c r="E13" s="55">
        <v>5.05</v>
      </c>
      <c r="F13" s="55">
        <v>3.57</v>
      </c>
      <c r="G13" s="55">
        <v>9.73</v>
      </c>
      <c r="H13" s="55">
        <v>3.38</v>
      </c>
      <c r="I13" s="55">
        <v>5.59</v>
      </c>
      <c r="J13" s="55">
        <v>1.38</v>
      </c>
      <c r="K13" s="55">
        <v>163.56</v>
      </c>
      <c r="L13" s="55">
        <v>22.28</v>
      </c>
      <c r="M13" s="55">
        <v>98.38</v>
      </c>
      <c r="N13" s="55">
        <v>17.399999999999999</v>
      </c>
      <c r="O13" s="55">
        <v>0</v>
      </c>
      <c r="P13" s="55">
        <v>0.18</v>
      </c>
      <c r="Q13" s="55">
        <v>9.4700000000000006</v>
      </c>
      <c r="R13" s="43"/>
      <c r="S13" s="43"/>
      <c r="T13" s="43"/>
      <c r="U13" s="43"/>
    </row>
    <row r="14" spans="1:21" s="11" customFormat="1" ht="15">
      <c r="A14" s="54" t="s">
        <v>571</v>
      </c>
      <c r="B14" s="55">
        <v>8.2899999999999991</v>
      </c>
      <c r="C14" s="55">
        <v>3.52</v>
      </c>
      <c r="D14" s="55">
        <v>12.25</v>
      </c>
      <c r="E14" s="55">
        <v>5.25</v>
      </c>
      <c r="F14" s="55">
        <v>4.05</v>
      </c>
      <c r="G14" s="55">
        <v>9.34</v>
      </c>
      <c r="H14" s="55">
        <v>3.38</v>
      </c>
      <c r="I14" s="55">
        <v>5.98</v>
      </c>
      <c r="J14" s="55">
        <v>0.89</v>
      </c>
      <c r="K14" s="55">
        <v>176.31</v>
      </c>
      <c r="L14" s="55">
        <v>22.43</v>
      </c>
      <c r="M14" s="55">
        <v>98.38</v>
      </c>
      <c r="N14" s="55">
        <v>33.60</v>
      </c>
      <c r="O14" s="55">
        <v>0</v>
      </c>
      <c r="P14" s="55">
        <v>0.17</v>
      </c>
      <c r="Q14" s="55">
        <v>9.5399999999999991</v>
      </c>
      <c r="R14" s="43"/>
      <c r="S14" s="43"/>
      <c r="T14" s="43"/>
      <c r="U14" s="43"/>
    </row>
    <row r="15" spans="1:21" s="11" customFormat="1" ht="15">
      <c r="A15" s="54" t="s">
        <v>572</v>
      </c>
      <c r="B15" s="55">
        <v>8.25</v>
      </c>
      <c r="C15" s="55">
        <v>3.45</v>
      </c>
      <c r="D15" s="55">
        <v>12.19</v>
      </c>
      <c r="E15" s="55">
        <v>5.05</v>
      </c>
      <c r="F15" s="55">
        <v>4.1500000000000004</v>
      </c>
      <c r="G15" s="55">
        <v>10.029999999999999</v>
      </c>
      <c r="H15" s="55">
        <v>5.79</v>
      </c>
      <c r="I15" s="55">
        <v>5.63</v>
      </c>
      <c r="J15" s="55">
        <v>0.86</v>
      </c>
      <c r="K15" s="55">
        <v>158.83000000000001</v>
      </c>
      <c r="L15" s="55">
        <v>22.95</v>
      </c>
      <c r="M15" s="55">
        <v>98.35</v>
      </c>
      <c r="N15" s="55">
        <v>91.70</v>
      </c>
      <c r="O15" s="55">
        <v>0</v>
      </c>
      <c r="P15" s="55">
        <v>0.17</v>
      </c>
      <c r="Q15" s="55">
        <v>9.5500000000000007</v>
      </c>
      <c r="R15" s="43"/>
      <c r="S15" s="43"/>
      <c r="T15" s="43"/>
      <c r="U15" s="43"/>
    </row>
    <row r="16" spans="1:21" s="11" customFormat="1" ht="15">
      <c r="A16" s="54" t="s">
        <v>573</v>
      </c>
      <c r="B16" s="55">
        <v>8.42</v>
      </c>
      <c r="C16" s="55">
        <v>4.04</v>
      </c>
      <c r="D16" s="55">
        <v>12.64</v>
      </c>
      <c r="E16" s="55">
        <v>5.46</v>
      </c>
      <c r="F16" s="55">
        <v>3.89</v>
      </c>
      <c r="G16" s="55">
        <v>12.46</v>
      </c>
      <c r="H16" s="55">
        <v>5.79</v>
      </c>
      <c r="I16" s="55">
        <v>5.19</v>
      </c>
      <c r="J16" s="55">
        <v>0.99</v>
      </c>
      <c r="K16" s="55">
        <v>162.77000000000001</v>
      </c>
      <c r="L16" s="55">
        <v>23.55</v>
      </c>
      <c r="M16" s="55">
        <v>98.33</v>
      </c>
      <c r="N16" s="55">
        <v>105.30</v>
      </c>
      <c r="O16" s="55">
        <v>0</v>
      </c>
      <c r="P16" s="55">
        <v>0.18</v>
      </c>
      <c r="Q16" s="55">
        <v>9.58</v>
      </c>
      <c r="R16" s="43"/>
      <c r="S16" s="43"/>
      <c r="T16" s="43"/>
      <c r="U16" s="43"/>
    </row>
    <row r="17" spans="1:21" s="11" customFormat="1" ht="15">
      <c r="A17" s="54" t="s">
        <v>574</v>
      </c>
      <c r="B17" s="55">
        <v>8.1999999999999993</v>
      </c>
      <c r="C17" s="55">
        <v>3.23</v>
      </c>
      <c r="D17" s="55">
        <v>12.03</v>
      </c>
      <c r="E17" s="55">
        <v>3.94</v>
      </c>
      <c r="F17" s="55">
        <v>3.48</v>
      </c>
      <c r="G17" s="55">
        <v>12.46</v>
      </c>
      <c r="H17" s="55">
        <v>4.17</v>
      </c>
      <c r="I17" s="55">
        <v>5.46</v>
      </c>
      <c r="J17" s="55">
        <v>0.75</v>
      </c>
      <c r="K17" s="55">
        <v>195.42</v>
      </c>
      <c r="L17" s="55">
        <v>24.22</v>
      </c>
      <c r="M17" s="55">
        <v>98.30</v>
      </c>
      <c r="N17" s="55">
        <v>163.69999999999999</v>
      </c>
      <c r="O17" s="55">
        <v>0</v>
      </c>
      <c r="P17" s="55">
        <v>0.18</v>
      </c>
      <c r="Q17" s="55">
        <v>9.49</v>
      </c>
      <c r="R17" s="43"/>
      <c r="S17" s="43"/>
      <c r="T17" s="43"/>
      <c r="U17" s="43"/>
    </row>
    <row r="18" spans="1:21" s="11" customFormat="1" ht="15">
      <c r="A18" s="54" t="s">
        <v>575</v>
      </c>
      <c r="B18" s="55">
        <v>8.24</v>
      </c>
      <c r="C18" s="55">
        <v>3.37</v>
      </c>
      <c r="D18" s="55">
        <v>12.15</v>
      </c>
      <c r="E18" s="55">
        <v>4.25</v>
      </c>
      <c r="F18" s="55">
        <v>4.1500000000000004</v>
      </c>
      <c r="G18" s="55">
        <v>17.920000000000002</v>
      </c>
      <c r="H18" s="55">
        <v>4.20</v>
      </c>
      <c r="I18" s="55">
        <v>5.88</v>
      </c>
      <c r="J18" s="55">
        <v>0.68</v>
      </c>
      <c r="K18" s="55">
        <v>288.35000000000002</v>
      </c>
      <c r="L18" s="55">
        <v>26.14</v>
      </c>
      <c r="M18" s="55">
        <v>97.68</v>
      </c>
      <c r="N18" s="55">
        <v>312.80</v>
      </c>
      <c r="O18" s="55">
        <v>0</v>
      </c>
      <c r="P18" s="55">
        <v>0.25</v>
      </c>
      <c r="Q18" s="55">
        <v>9.61</v>
      </c>
      <c r="R18" s="43"/>
      <c r="S18" s="43"/>
      <c r="T18" s="43"/>
      <c r="U18" s="43"/>
    </row>
    <row r="19" spans="1:21" s="11" customFormat="1" ht="15">
      <c r="A19" s="54" t="s">
        <v>576</v>
      </c>
      <c r="B19" s="55">
        <v>8.4499999999999993</v>
      </c>
      <c r="C19" s="55">
        <v>4.24</v>
      </c>
      <c r="D19" s="55">
        <v>12.77</v>
      </c>
      <c r="E19" s="55">
        <v>4.34</v>
      </c>
      <c r="F19" s="55">
        <v>4.6399999999999997</v>
      </c>
      <c r="G19" s="55">
        <v>24.81</v>
      </c>
      <c r="H19" s="55">
        <v>6.63</v>
      </c>
      <c r="I19" s="55">
        <v>5.84</v>
      </c>
      <c r="J19" s="55">
        <v>0.54</v>
      </c>
      <c r="K19" s="55">
        <v>358.18</v>
      </c>
      <c r="L19" s="55">
        <v>27.73</v>
      </c>
      <c r="M19" s="55">
        <v>83.95</v>
      </c>
      <c r="N19" s="55">
        <v>447.40</v>
      </c>
      <c r="O19" s="55">
        <v>0</v>
      </c>
      <c r="P19" s="55">
        <v>0.39</v>
      </c>
      <c r="Q19" s="55">
        <v>9.65</v>
      </c>
      <c r="R19" s="43"/>
      <c r="S19" s="43"/>
      <c r="T19" s="43"/>
      <c r="U19" s="43"/>
    </row>
    <row r="20" spans="1:21" s="11" customFormat="1" ht="15">
      <c r="A20" s="54" t="s">
        <v>577</v>
      </c>
      <c r="B20" s="55">
        <v>8.2200000000000006</v>
      </c>
      <c r="C20" s="55">
        <v>3.33</v>
      </c>
      <c r="D20" s="55">
        <v>12.11</v>
      </c>
      <c r="E20" s="55">
        <v>4.1900000000000004</v>
      </c>
      <c r="F20" s="55">
        <v>4.8899999999999997</v>
      </c>
      <c r="G20" s="55">
        <v>39.79</v>
      </c>
      <c r="H20" s="55">
        <v>10.37</v>
      </c>
      <c r="I20" s="55">
        <v>5.28</v>
      </c>
      <c r="J20" s="55">
        <v>0.55000000000000004</v>
      </c>
      <c r="K20" s="55">
        <v>350.11</v>
      </c>
      <c r="L20" s="55">
        <v>30.29</v>
      </c>
      <c r="M20" s="55">
        <v>75.36</v>
      </c>
      <c r="N20" s="55">
        <v>671.30</v>
      </c>
      <c r="O20" s="55">
        <v>0</v>
      </c>
      <c r="P20" s="55">
        <v>0.49</v>
      </c>
      <c r="Q20" s="55">
        <v>9.60</v>
      </c>
      <c r="R20" s="43"/>
      <c r="S20" s="43"/>
      <c r="T20" s="43"/>
      <c r="U20" s="43"/>
    </row>
    <row r="21" spans="1:21" s="11" customFormat="1" ht="15">
      <c r="A21" s="54" t="s">
        <v>578</v>
      </c>
      <c r="B21" s="55">
        <v>8.26</v>
      </c>
      <c r="C21" s="55">
        <v>3.56</v>
      </c>
      <c r="D21" s="55">
        <v>12.26</v>
      </c>
      <c r="E21" s="55">
        <v>4.21</v>
      </c>
      <c r="F21" s="55">
        <v>4.51</v>
      </c>
      <c r="G21" s="55">
        <v>43.97</v>
      </c>
      <c r="H21" s="55">
        <v>11.06</v>
      </c>
      <c r="I21" s="55">
        <v>5.0999999999999996</v>
      </c>
      <c r="J21" s="55">
        <v>0.66</v>
      </c>
      <c r="K21" s="55">
        <v>322.14</v>
      </c>
      <c r="L21" s="55">
        <v>30.31</v>
      </c>
      <c r="M21" s="55">
        <v>74.150000000000006</v>
      </c>
      <c r="N21" s="55">
        <v>473.40</v>
      </c>
      <c r="O21" s="55">
        <v>0</v>
      </c>
      <c r="P21" s="55">
        <v>0.51</v>
      </c>
      <c r="Q21" s="55">
        <v>9.52</v>
      </c>
      <c r="R21" s="43"/>
      <c r="S21" s="43"/>
      <c r="T21" s="43"/>
      <c r="U21" s="43"/>
    </row>
    <row r="22" spans="1:21" s="11" customFormat="1" ht="15">
      <c r="A22" s="54" t="s">
        <v>579</v>
      </c>
      <c r="B22" s="55">
        <v>8.2200000000000006</v>
      </c>
      <c r="C22" s="55">
        <v>3.31</v>
      </c>
      <c r="D22" s="55">
        <v>12.08</v>
      </c>
      <c r="E22" s="55">
        <v>4.0999999999999996</v>
      </c>
      <c r="F22" s="55">
        <v>5.0599999999999996</v>
      </c>
      <c r="G22" s="55">
        <v>48.56</v>
      </c>
      <c r="H22" s="55">
        <v>15.92</v>
      </c>
      <c r="I22" s="55">
        <v>5.95</v>
      </c>
      <c r="J22" s="55">
        <v>0.34</v>
      </c>
      <c r="K22" s="55">
        <v>339.90</v>
      </c>
      <c r="L22" s="55">
        <v>31.10</v>
      </c>
      <c r="M22" s="55">
        <v>73.12</v>
      </c>
      <c r="N22" s="55">
        <v>643.70000000000005</v>
      </c>
      <c r="O22" s="55">
        <v>0</v>
      </c>
      <c r="P22" s="55">
        <v>0.51</v>
      </c>
      <c r="Q22" s="55">
        <v>9.4700000000000006</v>
      </c>
      <c r="R22" s="43"/>
      <c r="S22" s="43"/>
      <c r="T22" s="43"/>
      <c r="U22" s="43"/>
    </row>
    <row r="23" spans="1:21" s="11" customFormat="1" ht="15">
      <c r="A23" s="54" t="s">
        <v>580</v>
      </c>
      <c r="B23" s="55">
        <v>8.2799999999999994</v>
      </c>
      <c r="C23" s="55">
        <v>3.77</v>
      </c>
      <c r="D23" s="55">
        <v>12.38</v>
      </c>
      <c r="E23" s="55">
        <v>4.21</v>
      </c>
      <c r="F23" s="55">
        <v>5.95</v>
      </c>
      <c r="G23" s="55">
        <v>48.75</v>
      </c>
      <c r="H23" s="55">
        <v>19.63</v>
      </c>
      <c r="I23" s="55">
        <v>6.21</v>
      </c>
      <c r="J23" s="55">
        <v>0.62</v>
      </c>
      <c r="K23" s="55">
        <v>346.89</v>
      </c>
      <c r="L23" s="55">
        <v>31.20</v>
      </c>
      <c r="M23" s="55">
        <v>68.13</v>
      </c>
      <c r="N23" s="55">
        <v>442.20</v>
      </c>
      <c r="O23" s="55">
        <v>0</v>
      </c>
      <c r="P23" s="55">
        <v>0.5</v>
      </c>
      <c r="Q23" s="55">
        <v>9.57</v>
      </c>
      <c r="R23" s="43"/>
      <c r="S23" s="43"/>
      <c r="T23" s="43"/>
      <c r="U23" s="43"/>
    </row>
    <row r="24" spans="1:21" s="11" customFormat="1" ht="15">
      <c r="A24" s="54" t="s">
        <v>581</v>
      </c>
      <c r="B24" s="55">
        <v>8.23</v>
      </c>
      <c r="C24" s="55">
        <v>3.53</v>
      </c>
      <c r="D24" s="55">
        <v>12.20</v>
      </c>
      <c r="E24" s="55">
        <v>4.18</v>
      </c>
      <c r="F24" s="55">
        <v>6.33</v>
      </c>
      <c r="G24" s="55">
        <v>52.63</v>
      </c>
      <c r="H24" s="55">
        <v>22.28</v>
      </c>
      <c r="I24" s="55">
        <v>5.74</v>
      </c>
      <c r="J24" s="55">
        <v>0.84</v>
      </c>
      <c r="K24" s="55">
        <v>254.85</v>
      </c>
      <c r="L24" s="55">
        <v>31.10</v>
      </c>
      <c r="M24" s="55">
        <v>66.510000000000005</v>
      </c>
      <c r="N24" s="55">
        <v>335.10</v>
      </c>
      <c r="O24" s="55">
        <v>0</v>
      </c>
      <c r="P24" s="55">
        <v>0.51</v>
      </c>
      <c r="Q24" s="55">
        <v>9.58</v>
      </c>
      <c r="R24" s="43"/>
      <c r="S24" s="43"/>
      <c r="T24" s="43"/>
      <c r="U24" s="43"/>
    </row>
    <row r="25" spans="1:21" s="11" customFormat="1" ht="15">
      <c r="A25" s="54" t="s">
        <v>582</v>
      </c>
      <c r="B25" s="55">
        <v>8.3699999999999992</v>
      </c>
      <c r="C25" s="55">
        <v>4.12</v>
      </c>
      <c r="D25" s="55">
        <v>12.64</v>
      </c>
      <c r="E25" s="55">
        <v>3.99</v>
      </c>
      <c r="F25" s="55">
        <v>6.51</v>
      </c>
      <c r="G25" s="55">
        <v>52.97</v>
      </c>
      <c r="H25" s="55">
        <v>22.28</v>
      </c>
      <c r="I25" s="55">
        <v>6.03</v>
      </c>
      <c r="J25" s="55">
        <v>1.22</v>
      </c>
      <c r="K25" s="55">
        <v>146.37</v>
      </c>
      <c r="L25" s="55">
        <v>30.40</v>
      </c>
      <c r="M25" s="55">
        <v>66.599999999999994</v>
      </c>
      <c r="N25" s="55">
        <v>235.20</v>
      </c>
      <c r="O25" s="55">
        <v>0</v>
      </c>
      <c r="P25" s="55">
        <v>0.49</v>
      </c>
      <c r="Q25" s="55">
        <v>9.5</v>
      </c>
      <c r="R25" s="43"/>
      <c r="S25" s="43"/>
      <c r="T25" s="43"/>
      <c r="U25" s="43"/>
    </row>
    <row r="26" spans="1:21" s="11" customFormat="1" ht="15">
      <c r="A26" s="54" t="s">
        <v>583</v>
      </c>
      <c r="B26" s="55">
        <v>8.19</v>
      </c>
      <c r="C26" s="55">
        <v>3.30</v>
      </c>
      <c r="D26" s="55">
        <v>12.07</v>
      </c>
      <c r="E26" s="55">
        <v>3.80</v>
      </c>
      <c r="F26" s="55">
        <v>6.10</v>
      </c>
      <c r="G26" s="55">
        <v>52.97</v>
      </c>
      <c r="H26" s="55">
        <v>20.98</v>
      </c>
      <c r="I26" s="55">
        <v>6.19</v>
      </c>
      <c r="J26" s="55">
        <v>3.47</v>
      </c>
      <c r="K26" s="55">
        <v>331.40</v>
      </c>
      <c r="L26" s="55">
        <v>30.54</v>
      </c>
      <c r="M26" s="55">
        <v>71.650000000000006</v>
      </c>
      <c r="N26" s="55">
        <v>115.90</v>
      </c>
      <c r="O26" s="55">
        <v>0</v>
      </c>
      <c r="P26" s="55">
        <v>0.45</v>
      </c>
      <c r="Q26" s="55">
        <v>9.40</v>
      </c>
      <c r="R26" s="43"/>
      <c r="S26" s="43"/>
      <c r="T26" s="43"/>
      <c r="U26" s="43"/>
    </row>
    <row r="27" spans="1:21" s="11" customFormat="1" ht="15">
      <c r="A27" s="54" t="s">
        <v>584</v>
      </c>
      <c r="B27" s="55">
        <v>8.1999999999999993</v>
      </c>
      <c r="C27" s="55">
        <v>3.32</v>
      </c>
      <c r="D27" s="55">
        <v>12.08</v>
      </c>
      <c r="E27" s="55">
        <v>3.87</v>
      </c>
      <c r="F27" s="55">
        <v>6.24</v>
      </c>
      <c r="G27" s="55">
        <v>52.26</v>
      </c>
      <c r="H27" s="55">
        <v>20.94</v>
      </c>
      <c r="I27" s="55">
        <v>5.52</v>
      </c>
      <c r="J27" s="55">
        <v>3.38</v>
      </c>
      <c r="K27" s="55">
        <v>357.44</v>
      </c>
      <c r="L27" s="55">
        <v>26.01</v>
      </c>
      <c r="M27" s="55">
        <v>86.14</v>
      </c>
      <c r="N27" s="55">
        <v>31.5</v>
      </c>
      <c r="O27" s="55">
        <v>0</v>
      </c>
      <c r="P27" s="55">
        <v>0.43</v>
      </c>
      <c r="Q27" s="55">
        <v>9.58</v>
      </c>
      <c r="R27" s="43"/>
      <c r="S27" s="43"/>
      <c r="T27" s="43"/>
      <c r="U27" s="43"/>
    </row>
    <row r="28" spans="1:21" s="11" customFormat="1" ht="15">
      <c r="A28" s="54" t="s">
        <v>585</v>
      </c>
      <c r="B28" s="55">
        <v>8.23</v>
      </c>
      <c r="C28" s="55">
        <v>3.59</v>
      </c>
      <c r="D28" s="55">
        <v>12.25</v>
      </c>
      <c r="E28" s="55">
        <v>4</v>
      </c>
      <c r="F28" s="55">
        <v>4.99</v>
      </c>
      <c r="G28" s="55">
        <v>52.26</v>
      </c>
      <c r="H28" s="55">
        <v>18.09</v>
      </c>
      <c r="I28" s="55">
        <v>4.46</v>
      </c>
      <c r="J28" s="55">
        <v>1.41</v>
      </c>
      <c r="K28" s="55">
        <v>180.70</v>
      </c>
      <c r="L28" s="55">
        <v>23.94</v>
      </c>
      <c r="M28" s="55">
        <v>98.10</v>
      </c>
      <c r="N28" s="55">
        <v>19.20</v>
      </c>
      <c r="O28" s="55">
        <v>0</v>
      </c>
      <c r="P28" s="55">
        <v>0.41</v>
      </c>
      <c r="Q28" s="55">
        <v>9.60</v>
      </c>
      <c r="R28" s="43"/>
      <c r="S28" s="43"/>
      <c r="T28" s="43"/>
      <c r="U28" s="43"/>
    </row>
    <row r="29" spans="1:21" s="11" customFormat="1" ht="15">
      <c r="A29" s="54" t="s">
        <v>586</v>
      </c>
      <c r="B29" s="55">
        <v>8.1999999999999993</v>
      </c>
      <c r="C29" s="55">
        <v>3.41</v>
      </c>
      <c r="D29" s="55">
        <v>12.13</v>
      </c>
      <c r="E29" s="55">
        <v>4.8499999999999996</v>
      </c>
      <c r="F29" s="55">
        <v>4.25</v>
      </c>
      <c r="G29" s="55">
        <v>48.18</v>
      </c>
      <c r="H29" s="55">
        <v>17.739999999999998</v>
      </c>
      <c r="I29" s="55">
        <v>4.5199999999999996</v>
      </c>
      <c r="J29" s="55">
        <v>0.66</v>
      </c>
      <c r="K29" s="55">
        <v>149.09</v>
      </c>
      <c r="L29" s="55">
        <v>23.11</v>
      </c>
      <c r="M29" s="55">
        <v>98.32</v>
      </c>
      <c r="N29" s="55">
        <v>18.100000000000001</v>
      </c>
      <c r="O29" s="55">
        <v>1.40</v>
      </c>
      <c r="P29" s="55">
        <v>0.37</v>
      </c>
      <c r="Q29" s="55">
        <v>9.57</v>
      </c>
      <c r="R29" s="43"/>
      <c r="S29" s="43"/>
      <c r="T29" s="43"/>
      <c r="U29" s="43"/>
    </row>
    <row r="30" spans="1:21" s="11" customFormat="1" ht="15">
      <c r="A30" s="54" t="s">
        <v>587</v>
      </c>
      <c r="B30" s="55">
        <v>8.34</v>
      </c>
      <c r="C30" s="55">
        <v>3.85</v>
      </c>
      <c r="D30" s="55">
        <v>12.47</v>
      </c>
      <c r="E30" s="55">
        <v>4.8899999999999997</v>
      </c>
      <c r="F30" s="55">
        <v>4.95</v>
      </c>
      <c r="G30" s="55">
        <v>42.46</v>
      </c>
      <c r="H30" s="55">
        <v>12.79</v>
      </c>
      <c r="I30" s="55">
        <v>4.07</v>
      </c>
      <c r="J30" s="55">
        <v>0.63</v>
      </c>
      <c r="K30" s="55">
        <v>202.62</v>
      </c>
      <c r="L30" s="55">
        <v>21.85</v>
      </c>
      <c r="M30" s="55">
        <v>98.36</v>
      </c>
      <c r="N30" s="55">
        <v>18.30</v>
      </c>
      <c r="O30" s="55">
        <v>1</v>
      </c>
      <c r="P30" s="55">
        <v>0.34</v>
      </c>
      <c r="Q30" s="55">
        <v>9.57</v>
      </c>
      <c r="R30" s="43"/>
      <c r="S30" s="43"/>
      <c r="T30" s="43"/>
      <c r="U30" s="43"/>
    </row>
    <row r="31" spans="1:21" s="11" customFormat="1" ht="15">
      <c r="A31" s="54" t="s">
        <v>588</v>
      </c>
      <c r="B31" s="55">
        <v>8.18</v>
      </c>
      <c r="C31" s="55">
        <v>3.16</v>
      </c>
      <c r="D31" s="55">
        <v>11.99</v>
      </c>
      <c r="E31" s="55">
        <v>4.8099999999999996</v>
      </c>
      <c r="F31" s="55">
        <v>5.12</v>
      </c>
      <c r="G31" s="55">
        <v>35.57</v>
      </c>
      <c r="H31" s="55">
        <v>12.36</v>
      </c>
      <c r="I31" s="55">
        <v>3.53</v>
      </c>
      <c r="J31" s="55">
        <v>0.47</v>
      </c>
      <c r="K31" s="55">
        <v>176.76</v>
      </c>
      <c r="L31" s="55">
        <v>21.73</v>
      </c>
      <c r="M31" s="55">
        <v>98.40</v>
      </c>
      <c r="N31" s="55">
        <v>17.899999999999999</v>
      </c>
      <c r="O31" s="55">
        <v>1.20</v>
      </c>
      <c r="P31" s="55">
        <v>0.28999999999999998</v>
      </c>
      <c r="Q31" s="55">
        <v>9.44</v>
      </c>
      <c r="R31" s="43"/>
      <c r="S31" s="43"/>
      <c r="T31" s="43"/>
      <c r="U31" s="43"/>
    </row>
    <row r="32" spans="1:21" s="11" customFormat="1" ht="15">
      <c r="A32" s="54" t="s">
        <v>589</v>
      </c>
      <c r="B32" s="55">
        <v>8.19</v>
      </c>
      <c r="C32" s="55">
        <v>3.31</v>
      </c>
      <c r="D32" s="55">
        <v>12.07</v>
      </c>
      <c r="E32" s="55">
        <v>4.8099999999999996</v>
      </c>
      <c r="F32" s="55">
        <v>6.14</v>
      </c>
      <c r="G32" s="55">
        <v>23.31</v>
      </c>
      <c r="H32" s="55">
        <v>12.36</v>
      </c>
      <c r="I32" s="55">
        <v>3.97</v>
      </c>
      <c r="J32" s="55">
        <v>0.30</v>
      </c>
      <c r="K32" s="55">
        <v>325.33999999999997</v>
      </c>
      <c r="L32" s="55">
        <v>21.55</v>
      </c>
      <c r="M32" s="55">
        <v>98.40</v>
      </c>
      <c r="N32" s="55">
        <v>17.899999999999999</v>
      </c>
      <c r="O32" s="55">
        <v>0.40</v>
      </c>
      <c r="P32" s="55">
        <v>0.27</v>
      </c>
      <c r="Q32" s="55">
        <v>9.5399999999999991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3.1600000000000001</v>
      </c>
      <c r="D34" s="28">
        <f t="shared" si="0"/>
        <v>11.99</v>
      </c>
      <c r="E34" s="28">
        <f t="shared" si="0"/>
        <v>3.7999999999999998</v>
      </c>
      <c r="F34" s="28">
        <f t="shared" si="0"/>
        <v>3.48</v>
      </c>
      <c r="G34" s="28">
        <f t="shared" si="0"/>
        <v>9.3399999999999999</v>
      </c>
      <c r="H34" s="28">
        <f t="shared" si="0"/>
        <v>3.3799999999999999</v>
      </c>
      <c r="I34" s="28">
        <f t="shared" si="0"/>
        <v>3.5299999999999998</v>
      </c>
      <c r="J34" s="28">
        <f t="shared" si="0"/>
        <v>0.29999999999999999</v>
      </c>
      <c r="K34" s="28">
        <f t="shared" si="0"/>
        <v>146.37</v>
      </c>
      <c r="L34" s="28">
        <f t="shared" si="0"/>
        <v>21.550000000000001</v>
      </c>
      <c r="M34" s="28">
        <f t="shared" si="0"/>
        <v>66.510000000000005</v>
      </c>
      <c r="N34" s="28">
        <f t="shared" si="0"/>
        <v>17.399999999999999</v>
      </c>
      <c r="O34" s="28">
        <f t="shared" si="0"/>
        <v>0</v>
      </c>
      <c r="P34" s="28">
        <f t="shared" si="0"/>
        <v>0.17000000000000001</v>
      </c>
      <c r="Q34" s="28">
        <f t="shared" si="0"/>
        <v>9.4000000000000004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8.4499999999999993</v>
      </c>
      <c r="C35" s="29">
        <f t="shared" si="1"/>
        <v>4.2400000000000002</v>
      </c>
      <c r="D35" s="29">
        <f t="shared" si="1"/>
        <v>12.77</v>
      </c>
      <c r="E35" s="29">
        <f t="shared" si="1"/>
        <v>5.46</v>
      </c>
      <c r="F35" s="29">
        <f t="shared" si="1"/>
        <v>6.5099999999999998</v>
      </c>
      <c r="G35" s="29">
        <f t="shared" si="1"/>
        <v>52.969999999999999</v>
      </c>
      <c r="H35" s="29">
        <f t="shared" si="1"/>
        <v>22.280000000000001</v>
      </c>
      <c r="I35" s="29">
        <f t="shared" si="1"/>
        <v>6.21</v>
      </c>
      <c r="J35" s="29">
        <f t="shared" si="1"/>
        <v>3.4700000000000002</v>
      </c>
      <c r="K35" s="29">
        <f t="shared" si="1"/>
        <v>358.18000000000001</v>
      </c>
      <c r="L35" s="29">
        <f t="shared" si="1"/>
        <v>31.199999999999999</v>
      </c>
      <c r="M35" s="29">
        <f t="shared" si="1"/>
        <v>98.400000000000006</v>
      </c>
      <c r="N35" s="29">
        <f t="shared" si="1"/>
        <v>671.29999999999995</v>
      </c>
      <c r="O35" s="29">
        <f t="shared" si="1"/>
        <v>1.3999999999999999</v>
      </c>
      <c r="P35" s="29">
        <f t="shared" si="1"/>
        <v>0.51000000000000001</v>
      </c>
      <c r="Q35" s="29">
        <f t="shared" si="1"/>
        <v>9.6500000000000004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8.2599999999999998</v>
      </c>
      <c r="C36" s="28">
        <f t="shared" si="2"/>
        <v>3.5220833333333328</v>
      </c>
      <c r="D36" s="28">
        <f t="shared" si="2"/>
        <v>12.23666666666667</v>
      </c>
      <c r="E36" s="28">
        <f t="shared" si="2"/>
        <v>4.4274999999999993</v>
      </c>
      <c r="F36" s="28">
        <f t="shared" si="2"/>
        <v>4.7895833333333329</v>
      </c>
      <c r="G36" s="28">
        <f t="shared" si="2"/>
        <v>31.050000000000001</v>
      </c>
      <c r="H36" s="28">
        <f t="shared" si="2"/>
        <v>11.516250000000001</v>
      </c>
      <c r="I36" s="28">
        <f t="shared" si="2"/>
        <v>5.2345833333333323</v>
      </c>
      <c r="J36" s="28">
        <f t="shared" si="2"/>
        <v>1.0191666666666666</v>
      </c>
      <c r="K36" s="28">
        <f t="shared" si="2"/>
        <v>241.17583333333332</v>
      </c>
      <c r="L36" s="28">
        <f t="shared" si="2"/>
        <v>25.419166666666669</v>
      </c>
      <c r="M36" s="28">
        <f t="shared" si="2"/>
        <v>89.174583333333331</v>
      </c>
      <c r="N36" s="28">
        <f t="shared" si="2"/>
        <v>178.45416666666662</v>
      </c>
      <c r="O36" s="28">
        <f t="shared" si="2"/>
        <v>0.16666666666666666</v>
      </c>
      <c r="P36" s="28">
        <f t="shared" si="2"/>
        <v>0.33833333333333332</v>
      </c>
      <c r="Q36" s="28">
        <f t="shared" si="2"/>
        <v>9.5383333333333322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0.080217096735643742</v>
      </c>
      <c r="C37" s="28">
        <f t="shared" si="3" ref="C37:Q37">STDEV(C9:C32)</f>
        <v>0.31484957300779393</v>
      </c>
      <c r="D37" s="28">
        <f t="shared" si="3"/>
        <v>0.22757066110779467</v>
      </c>
      <c r="E37" s="28">
        <f t="shared" si="3"/>
        <v>0.46782800629961174</v>
      </c>
      <c r="F37" s="28">
        <f t="shared" si="3"/>
        <v>0.96192957875967056</v>
      </c>
      <c r="G37" s="28">
        <f t="shared" si="3"/>
        <v>17.667896457059935</v>
      </c>
      <c r="H37" s="28">
        <f t="shared" si="3"/>
        <v>6.6639991991361249</v>
      </c>
      <c r="I37" s="28">
        <f t="shared" si="3"/>
        <v>0.74519317114346817</v>
      </c>
      <c r="J37" s="28">
        <f t="shared" si="3"/>
        <v>0.81341960221976639</v>
      </c>
      <c r="K37" s="28">
        <f t="shared" si="3"/>
        <v>81.911141033209518</v>
      </c>
      <c r="L37" s="28">
        <f t="shared" si="3"/>
        <v>3.7931092175459193</v>
      </c>
      <c r="M37" s="28">
        <f t="shared" si="3"/>
        <v>12.743584226946341</v>
      </c>
      <c r="N37" s="28">
        <f t="shared" si="3"/>
        <v>213.77115553415015</v>
      </c>
      <c r="O37" s="28">
        <f t="shared" si="3"/>
        <v>0.41143087185922328</v>
      </c>
      <c r="P37" s="28">
        <f t="shared" si="3"/>
        <v>0.12835638791599194</v>
      </c>
      <c r="Q37" s="28">
        <f t="shared" si="3"/>
        <v>0.058804515255996691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d81f5b-ed7b-42f1-88af-eede19846326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 xml:space="preserve">                                                                                                                                                                                                    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613</v>
      </c>
      <c r="B9" s="55">
        <v>8.4600000000000009</v>
      </c>
      <c r="C9" s="55">
        <v>4.13</v>
      </c>
      <c r="D9" s="55">
        <v>12.71</v>
      </c>
      <c r="E9" s="55">
        <v>3.85</v>
      </c>
      <c r="F9" s="55">
        <v>7.97</v>
      </c>
      <c r="G9" s="55">
        <v>21.47</v>
      </c>
      <c r="H9" s="55">
        <v>10.220000000000001</v>
      </c>
      <c r="I9" s="55">
        <v>3.84</v>
      </c>
      <c r="J9" s="55">
        <v>0.55000000000000004</v>
      </c>
      <c r="K9" s="55">
        <v>36.549999999999997</v>
      </c>
      <c r="L9" s="55">
        <v>21.51</v>
      </c>
      <c r="M9" s="55">
        <v>98.40</v>
      </c>
      <c r="N9" s="55">
        <v>17.600000000000001</v>
      </c>
      <c r="O9" s="55">
        <v>0.40</v>
      </c>
      <c r="P9" s="55">
        <v>0.25</v>
      </c>
      <c r="Q9" s="55">
        <v>9.49</v>
      </c>
      <c r="R9" s="43"/>
      <c r="S9" s="43"/>
      <c r="T9" s="43"/>
      <c r="U9" s="43"/>
    </row>
    <row r="10" spans="1:21" s="11" customFormat="1" ht="15">
      <c r="A10" s="54" t="s">
        <v>590</v>
      </c>
      <c r="B10" s="55">
        <v>8.15</v>
      </c>
      <c r="C10" s="55">
        <v>3.15</v>
      </c>
      <c r="D10" s="55">
        <v>11.96</v>
      </c>
      <c r="E10" s="55">
        <v>3.84</v>
      </c>
      <c r="F10" s="55">
        <v>4.4400000000000004</v>
      </c>
      <c r="G10" s="55">
        <v>14.82</v>
      </c>
      <c r="H10" s="55">
        <v>7.15</v>
      </c>
      <c r="I10" s="55">
        <v>3.34</v>
      </c>
      <c r="J10" s="55">
        <v>0.59</v>
      </c>
      <c r="K10" s="55">
        <v>157.33000000000001</v>
      </c>
      <c r="L10" s="55">
        <v>21.59</v>
      </c>
      <c r="M10" s="55">
        <v>98.40</v>
      </c>
      <c r="N10" s="55">
        <v>17.899999999999999</v>
      </c>
      <c r="O10" s="55">
        <v>0</v>
      </c>
      <c r="P10" s="55">
        <v>0.24</v>
      </c>
      <c r="Q10" s="55">
        <v>9.49</v>
      </c>
      <c r="R10" s="43"/>
      <c r="S10" s="43"/>
      <c r="T10" s="43"/>
      <c r="U10" s="43"/>
    </row>
    <row r="11" spans="1:21" s="11" customFormat="1" ht="15">
      <c r="A11" s="54" t="s">
        <v>591</v>
      </c>
      <c r="B11" s="55">
        <v>8.24</v>
      </c>
      <c r="C11" s="55">
        <v>3.30</v>
      </c>
      <c r="D11" s="55">
        <v>12.10</v>
      </c>
      <c r="E11" s="55">
        <v>3.98</v>
      </c>
      <c r="F11" s="55">
        <v>3.87</v>
      </c>
      <c r="G11" s="55">
        <v>11.57</v>
      </c>
      <c r="H11" s="55">
        <v>5.01</v>
      </c>
      <c r="I11" s="55">
        <v>3.17</v>
      </c>
      <c r="J11" s="55">
        <v>0.52</v>
      </c>
      <c r="K11" s="55">
        <v>190.41</v>
      </c>
      <c r="L11" s="55">
        <v>21.37</v>
      </c>
      <c r="M11" s="55">
        <v>98.40</v>
      </c>
      <c r="N11" s="55">
        <v>17.80</v>
      </c>
      <c r="O11" s="55">
        <v>0</v>
      </c>
      <c r="P11" s="55">
        <v>0.21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592</v>
      </c>
      <c r="B12" s="55">
        <v>8.25</v>
      </c>
      <c r="C12" s="55">
        <v>3.39</v>
      </c>
      <c r="D12" s="55">
        <v>12.16</v>
      </c>
      <c r="E12" s="55">
        <v>3.98</v>
      </c>
      <c r="F12" s="55">
        <v>4.18</v>
      </c>
      <c r="G12" s="55">
        <v>8.5299999999999994</v>
      </c>
      <c r="H12" s="55">
        <v>3.5</v>
      </c>
      <c r="I12" s="55">
        <v>3.99</v>
      </c>
      <c r="J12" s="55">
        <v>0.38</v>
      </c>
      <c r="K12" s="55">
        <v>342.74</v>
      </c>
      <c r="L12" s="55">
        <v>21.56</v>
      </c>
      <c r="M12" s="55">
        <v>98.40</v>
      </c>
      <c r="N12" s="55">
        <v>17.70</v>
      </c>
      <c r="O12" s="55">
        <v>0</v>
      </c>
      <c r="P12" s="55">
        <v>0.20</v>
      </c>
      <c r="Q12" s="55">
        <v>9.4499999999999993</v>
      </c>
      <c r="R12" s="43"/>
      <c r="S12" s="43"/>
      <c r="T12" s="43"/>
      <c r="U12" s="43"/>
    </row>
    <row r="13" spans="1:21" s="11" customFormat="1" ht="15">
      <c r="A13" s="54" t="s">
        <v>593</v>
      </c>
      <c r="B13" s="55">
        <v>8.35</v>
      </c>
      <c r="C13" s="55">
        <v>3.79</v>
      </c>
      <c r="D13" s="55">
        <v>12.45</v>
      </c>
      <c r="E13" s="55">
        <v>4.32</v>
      </c>
      <c r="F13" s="55">
        <v>4.32</v>
      </c>
      <c r="G13" s="55">
        <v>7.39</v>
      </c>
      <c r="H13" s="55">
        <v>2.4500000000000002</v>
      </c>
      <c r="I13" s="55">
        <v>4.28</v>
      </c>
      <c r="J13" s="55">
        <v>0.53</v>
      </c>
      <c r="K13" s="55">
        <v>281.42</v>
      </c>
      <c r="L13" s="55">
        <v>21.59</v>
      </c>
      <c r="M13" s="55">
        <v>98.40</v>
      </c>
      <c r="N13" s="55">
        <v>17.70</v>
      </c>
      <c r="O13" s="55">
        <v>0</v>
      </c>
      <c r="P13" s="55">
        <v>0.21</v>
      </c>
      <c r="Q13" s="55">
        <v>9.49</v>
      </c>
      <c r="R13" s="43"/>
      <c r="S13" s="43"/>
      <c r="T13" s="43"/>
      <c r="U13" s="43"/>
    </row>
    <row r="14" spans="1:21" s="11" customFormat="1" ht="15">
      <c r="A14" s="54" t="s">
        <v>594</v>
      </c>
      <c r="B14" s="55">
        <v>8.40</v>
      </c>
      <c r="C14" s="55">
        <v>4.01</v>
      </c>
      <c r="D14" s="55">
        <v>12.61</v>
      </c>
      <c r="E14" s="55">
        <v>4.0999999999999996</v>
      </c>
      <c r="F14" s="55">
        <v>4.3499999999999996</v>
      </c>
      <c r="G14" s="55">
        <v>8.3000000000000007</v>
      </c>
      <c r="H14" s="55">
        <v>1.72</v>
      </c>
      <c r="I14" s="55">
        <v>4.0599999999999996</v>
      </c>
      <c r="J14" s="55">
        <v>1.47</v>
      </c>
      <c r="K14" s="55">
        <v>279.66000000000003</v>
      </c>
      <c r="L14" s="55">
        <v>21.80</v>
      </c>
      <c r="M14" s="55">
        <v>98.40</v>
      </c>
      <c r="N14" s="55">
        <v>45.70</v>
      </c>
      <c r="O14" s="55">
        <v>0</v>
      </c>
      <c r="P14" s="55">
        <v>0.20</v>
      </c>
      <c r="Q14" s="55">
        <v>9.4700000000000006</v>
      </c>
      <c r="R14" s="43"/>
      <c r="S14" s="43"/>
      <c r="T14" s="43"/>
      <c r="U14" s="43"/>
    </row>
    <row r="15" spans="1:21" s="11" customFormat="1" ht="15">
      <c r="A15" s="54" t="s">
        <v>595</v>
      </c>
      <c r="B15" s="55">
        <v>8.18</v>
      </c>
      <c r="C15" s="55">
        <v>3.22</v>
      </c>
      <c r="D15" s="55">
        <v>12</v>
      </c>
      <c r="E15" s="55">
        <v>4.09</v>
      </c>
      <c r="F15" s="55">
        <v>3.75</v>
      </c>
      <c r="G15" s="55">
        <v>8.59</v>
      </c>
      <c r="H15" s="55">
        <v>1.48</v>
      </c>
      <c r="I15" s="55">
        <v>5.0199999999999996</v>
      </c>
      <c r="J15" s="55">
        <v>1.36</v>
      </c>
      <c r="K15" s="55">
        <v>156.94</v>
      </c>
      <c r="L15" s="55">
        <v>22.36</v>
      </c>
      <c r="M15" s="55">
        <v>98.38</v>
      </c>
      <c r="N15" s="55">
        <v>104.90</v>
      </c>
      <c r="O15" s="55">
        <v>0</v>
      </c>
      <c r="P15" s="55">
        <v>0.22</v>
      </c>
      <c r="Q15" s="55">
        <v>9.49</v>
      </c>
      <c r="R15" s="43"/>
      <c r="S15" s="43"/>
      <c r="T15" s="43"/>
      <c r="U15" s="43"/>
    </row>
    <row r="16" spans="1:21" s="11" customFormat="1" ht="15">
      <c r="A16" s="54" t="s">
        <v>596</v>
      </c>
      <c r="B16" s="55">
        <v>8.24</v>
      </c>
      <c r="C16" s="55">
        <v>3.25</v>
      </c>
      <c r="D16" s="55">
        <v>12.08</v>
      </c>
      <c r="E16" s="55">
        <v>6.27</v>
      </c>
      <c r="F16" s="55">
        <v>3.60</v>
      </c>
      <c r="G16" s="55">
        <v>15.40</v>
      </c>
      <c r="H16" s="55">
        <v>3.67</v>
      </c>
      <c r="I16" s="55">
        <v>6.24</v>
      </c>
      <c r="J16" s="55">
        <v>1.28</v>
      </c>
      <c r="K16" s="55">
        <v>165.35</v>
      </c>
      <c r="L16" s="55">
        <v>23.17</v>
      </c>
      <c r="M16" s="55">
        <v>98.38</v>
      </c>
      <c r="N16" s="55">
        <v>195.5</v>
      </c>
      <c r="O16" s="55">
        <v>0</v>
      </c>
      <c r="P16" s="55">
        <v>0.22</v>
      </c>
      <c r="Q16" s="55">
        <v>9.4700000000000006</v>
      </c>
      <c r="R16" s="43"/>
      <c r="S16" s="43"/>
      <c r="T16" s="43"/>
      <c r="U16" s="43"/>
    </row>
    <row r="17" spans="1:21" s="11" customFormat="1" ht="15">
      <c r="A17" s="54" t="s">
        <v>597</v>
      </c>
      <c r="B17" s="55">
        <v>8.44</v>
      </c>
      <c r="C17" s="55">
        <v>4.0999999999999996</v>
      </c>
      <c r="D17" s="55">
        <v>12.68</v>
      </c>
      <c r="E17" s="55">
        <v>6.01</v>
      </c>
      <c r="F17" s="55">
        <v>4.03</v>
      </c>
      <c r="G17" s="55">
        <v>19.899999999999999</v>
      </c>
      <c r="H17" s="55">
        <v>3.67</v>
      </c>
      <c r="I17" s="55">
        <v>6.96</v>
      </c>
      <c r="J17" s="55">
        <v>1.1000000000000001</v>
      </c>
      <c r="K17" s="55">
        <v>203.19</v>
      </c>
      <c r="L17" s="55">
        <v>23.93</v>
      </c>
      <c r="M17" s="55">
        <v>98.34</v>
      </c>
      <c r="N17" s="55">
        <v>210.10</v>
      </c>
      <c r="O17" s="55">
        <v>0</v>
      </c>
      <c r="P17" s="55">
        <v>0.25</v>
      </c>
      <c r="Q17" s="55">
        <v>9.5500000000000007</v>
      </c>
      <c r="R17" s="43"/>
      <c r="S17" s="43"/>
      <c r="T17" s="43"/>
      <c r="U17" s="43"/>
    </row>
    <row r="18" spans="1:21" s="11" customFormat="1" ht="15">
      <c r="A18" s="54" t="s">
        <v>598</v>
      </c>
      <c r="B18" s="55">
        <v>8.2100000000000009</v>
      </c>
      <c r="C18" s="55">
        <v>3.37</v>
      </c>
      <c r="D18" s="55">
        <v>12.11</v>
      </c>
      <c r="E18" s="55">
        <v>5.88</v>
      </c>
      <c r="F18" s="55">
        <v>4.72</v>
      </c>
      <c r="G18" s="55">
        <v>25.01</v>
      </c>
      <c r="H18" s="55">
        <v>6.16</v>
      </c>
      <c r="I18" s="55">
        <v>6.88</v>
      </c>
      <c r="J18" s="55">
        <v>0.51</v>
      </c>
      <c r="K18" s="55">
        <v>307.97000000000003</v>
      </c>
      <c r="L18" s="55">
        <v>24.79</v>
      </c>
      <c r="M18" s="55">
        <v>98.27</v>
      </c>
      <c r="N18" s="55">
        <v>291.60000000000002</v>
      </c>
      <c r="O18" s="55">
        <v>0</v>
      </c>
      <c r="P18" s="55">
        <v>0.28999999999999998</v>
      </c>
      <c r="Q18" s="55">
        <v>9.58</v>
      </c>
      <c r="R18" s="43"/>
      <c r="S18" s="43"/>
      <c r="T18" s="43"/>
      <c r="U18" s="43"/>
    </row>
    <row r="19" spans="1:21" s="11" customFormat="1" ht="15">
      <c r="A19" s="54" t="s">
        <v>599</v>
      </c>
      <c r="B19" s="55">
        <v>8.2200000000000006</v>
      </c>
      <c r="C19" s="55">
        <v>3.47</v>
      </c>
      <c r="D19" s="55">
        <v>12.18</v>
      </c>
      <c r="E19" s="55">
        <v>5.84</v>
      </c>
      <c r="F19" s="55">
        <v>4.9000000000000004</v>
      </c>
      <c r="G19" s="55">
        <v>25.01</v>
      </c>
      <c r="H19" s="55">
        <v>7.96</v>
      </c>
      <c r="I19" s="55">
        <v>5.70</v>
      </c>
      <c r="J19" s="55">
        <v>0.56999999999999995</v>
      </c>
      <c r="K19" s="55">
        <v>21.96</v>
      </c>
      <c r="L19" s="55">
        <v>24.80</v>
      </c>
      <c r="M19" s="55">
        <v>94.76</v>
      </c>
      <c r="N19" s="55">
        <v>211.20</v>
      </c>
      <c r="O19" s="55">
        <v>0</v>
      </c>
      <c r="P19" s="55">
        <v>0.33</v>
      </c>
      <c r="Q19" s="55">
        <v>9.5399999999999991</v>
      </c>
      <c r="R19" s="43"/>
      <c r="S19" s="43"/>
      <c r="T19" s="43"/>
      <c r="U19" s="43"/>
    </row>
    <row r="20" spans="1:21" s="11" customFormat="1" ht="15">
      <c r="A20" s="54" t="s">
        <v>600</v>
      </c>
      <c r="B20" s="55">
        <v>8.24</v>
      </c>
      <c r="C20" s="55">
        <v>3.41</v>
      </c>
      <c r="D20" s="55">
        <v>12.17</v>
      </c>
      <c r="E20" s="55">
        <v>6.03</v>
      </c>
      <c r="F20" s="55">
        <v>5.20</v>
      </c>
      <c r="G20" s="55">
        <v>24.21</v>
      </c>
      <c r="H20" s="55">
        <v>8.5500000000000007</v>
      </c>
      <c r="I20" s="55">
        <v>4.3899999999999997</v>
      </c>
      <c r="J20" s="55">
        <v>0.56000000000000005</v>
      </c>
      <c r="K20" s="55">
        <v>349</v>
      </c>
      <c r="L20" s="55">
        <v>27.34</v>
      </c>
      <c r="M20" s="55">
        <v>87.22</v>
      </c>
      <c r="N20" s="55">
        <v>672.20</v>
      </c>
      <c r="O20" s="55">
        <v>0</v>
      </c>
      <c r="P20" s="55">
        <v>0.35</v>
      </c>
      <c r="Q20" s="55">
        <v>9.49</v>
      </c>
      <c r="R20" s="43"/>
      <c r="S20" s="43"/>
      <c r="T20" s="43"/>
      <c r="U20" s="43"/>
    </row>
    <row r="21" spans="1:21" s="11" customFormat="1" ht="15">
      <c r="A21" s="54" t="s">
        <v>601</v>
      </c>
      <c r="B21" s="55">
        <v>8.24</v>
      </c>
      <c r="C21" s="55">
        <v>3.48</v>
      </c>
      <c r="D21" s="55">
        <v>12.20</v>
      </c>
      <c r="E21" s="55">
        <v>5.80</v>
      </c>
      <c r="F21" s="55">
        <v>5.90</v>
      </c>
      <c r="G21" s="55">
        <v>38.840000000000003</v>
      </c>
      <c r="H21" s="55">
        <v>10.81</v>
      </c>
      <c r="I21" s="55">
        <v>3.49</v>
      </c>
      <c r="J21" s="55">
        <v>0.56000000000000005</v>
      </c>
      <c r="K21" s="55">
        <v>350.99</v>
      </c>
      <c r="L21" s="55">
        <v>29.33</v>
      </c>
      <c r="M21" s="55">
        <v>76.819999999999993</v>
      </c>
      <c r="N21" s="55">
        <v>890.70</v>
      </c>
      <c r="O21" s="55">
        <v>0</v>
      </c>
      <c r="P21" s="55">
        <v>0.41</v>
      </c>
      <c r="Q21" s="55">
        <v>9.4700000000000006</v>
      </c>
      <c r="R21" s="43"/>
      <c r="S21" s="43"/>
      <c r="T21" s="43"/>
      <c r="U21" s="43"/>
    </row>
    <row r="22" spans="1:21" s="11" customFormat="1" ht="15">
      <c r="A22" s="54" t="s">
        <v>602</v>
      </c>
      <c r="B22" s="55">
        <v>8.19</v>
      </c>
      <c r="C22" s="55">
        <v>3.33</v>
      </c>
      <c r="D22" s="55">
        <v>12.07</v>
      </c>
      <c r="E22" s="55">
        <v>5.88</v>
      </c>
      <c r="F22" s="55">
        <v>6.23</v>
      </c>
      <c r="G22" s="55">
        <v>38.840000000000003</v>
      </c>
      <c r="H22" s="55">
        <v>10.81</v>
      </c>
      <c r="I22" s="55">
        <v>3.37</v>
      </c>
      <c r="J22" s="55">
        <v>0.53</v>
      </c>
      <c r="K22" s="55">
        <v>352.09</v>
      </c>
      <c r="L22" s="55">
        <v>28.01</v>
      </c>
      <c r="M22" s="55">
        <v>82.15</v>
      </c>
      <c r="N22" s="55">
        <v>299.30</v>
      </c>
      <c r="O22" s="55">
        <v>0</v>
      </c>
      <c r="P22" s="55">
        <v>0.43</v>
      </c>
      <c r="Q22" s="55">
        <v>9.52</v>
      </c>
      <c r="R22" s="43"/>
      <c r="S22" s="43"/>
      <c r="T22" s="43"/>
      <c r="U22" s="43"/>
    </row>
    <row r="23" spans="1:21" s="11" customFormat="1" ht="15">
      <c r="A23" s="54" t="s">
        <v>603</v>
      </c>
      <c r="B23" s="55">
        <v>8.27</v>
      </c>
      <c r="C23" s="55">
        <v>3.74</v>
      </c>
      <c r="D23" s="55">
        <v>12.36</v>
      </c>
      <c r="E23" s="55">
        <v>5.76</v>
      </c>
      <c r="F23" s="55">
        <v>5.85</v>
      </c>
      <c r="G23" s="55">
        <v>39.799999999999997</v>
      </c>
      <c r="H23" s="55">
        <v>17.93</v>
      </c>
      <c r="I23" s="55">
        <v>3.24</v>
      </c>
      <c r="J23" s="55">
        <v>0.60</v>
      </c>
      <c r="K23" s="55">
        <v>351.83</v>
      </c>
      <c r="L23" s="55">
        <v>27.90</v>
      </c>
      <c r="M23" s="55">
        <v>82</v>
      </c>
      <c r="N23" s="55">
        <v>428.90</v>
      </c>
      <c r="O23" s="55">
        <v>0</v>
      </c>
      <c r="P23" s="55">
        <v>0.46</v>
      </c>
      <c r="Q23" s="55">
        <v>9.5299999999999994</v>
      </c>
      <c r="R23" s="43"/>
      <c r="S23" s="43"/>
      <c r="T23" s="43"/>
      <c r="U23" s="43"/>
    </row>
    <row r="24" spans="1:21" s="11" customFormat="1" ht="15">
      <c r="A24" s="54" t="s">
        <v>604</v>
      </c>
      <c r="B24" s="55">
        <v>8.25</v>
      </c>
      <c r="C24" s="55">
        <v>3.64</v>
      </c>
      <c r="D24" s="55">
        <v>12.29</v>
      </c>
      <c r="E24" s="55">
        <v>5.88</v>
      </c>
      <c r="F24" s="55">
        <v>5.19</v>
      </c>
      <c r="G24" s="55">
        <v>44.34</v>
      </c>
      <c r="H24" s="55">
        <v>17.93</v>
      </c>
      <c r="I24" s="55">
        <v>2.96</v>
      </c>
      <c r="J24" s="55">
        <v>0.51</v>
      </c>
      <c r="K24" s="55">
        <v>330.73</v>
      </c>
      <c r="L24" s="55">
        <v>28.07</v>
      </c>
      <c r="M24" s="55">
        <v>79.62</v>
      </c>
      <c r="N24" s="55">
        <v>246.10</v>
      </c>
      <c r="O24" s="55">
        <v>0</v>
      </c>
      <c r="P24" s="55">
        <v>0.47</v>
      </c>
      <c r="Q24" s="55">
        <v>9.52</v>
      </c>
      <c r="R24" s="43"/>
      <c r="S24" s="43"/>
      <c r="T24" s="43"/>
      <c r="U24" s="43"/>
    </row>
    <row r="25" spans="1:21" s="11" customFormat="1" ht="15">
      <c r="A25" s="54" t="s">
        <v>605</v>
      </c>
      <c r="B25" s="55">
        <v>8.1999999999999993</v>
      </c>
      <c r="C25" s="55">
        <v>3.31</v>
      </c>
      <c r="D25" s="55">
        <v>12.08</v>
      </c>
      <c r="E25" s="55">
        <v>4.97</v>
      </c>
      <c r="F25" s="55">
        <v>4.47</v>
      </c>
      <c r="G25" s="55">
        <v>44.34</v>
      </c>
      <c r="H25" s="55">
        <v>20.54</v>
      </c>
      <c r="I25" s="55">
        <v>3.58</v>
      </c>
      <c r="J25" s="55">
        <v>0.65</v>
      </c>
      <c r="K25" s="55">
        <v>342.07</v>
      </c>
      <c r="L25" s="55">
        <v>27.59</v>
      </c>
      <c r="M25" s="55">
        <v>78.400000000000006</v>
      </c>
      <c r="N25" s="55">
        <v>203.20</v>
      </c>
      <c r="O25" s="55">
        <v>0</v>
      </c>
      <c r="P25" s="55">
        <v>0.46</v>
      </c>
      <c r="Q25" s="55">
        <v>9.43</v>
      </c>
      <c r="R25" s="43"/>
      <c r="S25" s="43"/>
      <c r="T25" s="43"/>
      <c r="U25" s="43"/>
    </row>
    <row r="26" spans="1:21" s="11" customFormat="1" ht="15">
      <c r="A26" s="54" t="s">
        <v>606</v>
      </c>
      <c r="B26" s="55">
        <v>8.19</v>
      </c>
      <c r="C26" s="55">
        <v>3.39</v>
      </c>
      <c r="D26" s="55">
        <v>12.10</v>
      </c>
      <c r="E26" s="55">
        <v>5.19</v>
      </c>
      <c r="F26" s="55">
        <v>12.68</v>
      </c>
      <c r="G26" s="55">
        <v>44.34</v>
      </c>
      <c r="H26" s="55">
        <v>20.54</v>
      </c>
      <c r="I26" s="55">
        <v>4.04</v>
      </c>
      <c r="J26" s="55">
        <v>0.73</v>
      </c>
      <c r="K26" s="55">
        <v>282.82</v>
      </c>
      <c r="L26" s="55">
        <v>27.44</v>
      </c>
      <c r="M26" s="55">
        <v>77.22</v>
      </c>
      <c r="N26" s="55">
        <v>102.80</v>
      </c>
      <c r="O26" s="55">
        <v>0</v>
      </c>
      <c r="P26" s="55">
        <v>0.46</v>
      </c>
      <c r="Q26" s="55">
        <v>9.5399999999999991</v>
      </c>
      <c r="R26" s="43"/>
      <c r="S26" s="43"/>
      <c r="T26" s="43"/>
      <c r="U26" s="43"/>
    </row>
    <row r="27" spans="1:21" s="11" customFormat="1" ht="15">
      <c r="A27" s="54" t="s">
        <v>607</v>
      </c>
      <c r="B27" s="55">
        <v>8.26</v>
      </c>
      <c r="C27" s="55">
        <v>3.76</v>
      </c>
      <c r="D27" s="55">
        <v>12.36</v>
      </c>
      <c r="E27" s="55">
        <v>4.99</v>
      </c>
      <c r="F27" s="55">
        <v>5.66</v>
      </c>
      <c r="G27" s="55">
        <v>26.36</v>
      </c>
      <c r="H27" s="55">
        <v>0.81</v>
      </c>
      <c r="I27" s="55">
        <v>3.95</v>
      </c>
      <c r="J27" s="55">
        <v>0.30</v>
      </c>
      <c r="K27" s="55">
        <v>238.30</v>
      </c>
      <c r="L27" s="55">
        <v>27.16</v>
      </c>
      <c r="M27" s="55">
        <v>82.39</v>
      </c>
      <c r="N27" s="55">
        <v>55.40</v>
      </c>
      <c r="O27" s="55">
        <v>0</v>
      </c>
      <c r="P27" s="55">
        <v>0.48</v>
      </c>
      <c r="Q27" s="55">
        <v>9.51</v>
      </c>
      <c r="R27" s="43"/>
      <c r="S27" s="43"/>
      <c r="T27" s="43"/>
      <c r="U27" s="43"/>
    </row>
    <row r="28" spans="1:21" s="11" customFormat="1" ht="15">
      <c r="A28" s="54" t="s">
        <v>608</v>
      </c>
      <c r="B28" s="55">
        <v>8.17</v>
      </c>
      <c r="C28" s="55">
        <v>3.28</v>
      </c>
      <c r="D28" s="55">
        <v>12.04</v>
      </c>
      <c r="E28" s="55">
        <v>5.05</v>
      </c>
      <c r="F28" s="55">
        <v>4.62</v>
      </c>
      <c r="G28" s="55">
        <v>57.29</v>
      </c>
      <c r="H28" s="55">
        <v>7.47</v>
      </c>
      <c r="I28" s="55">
        <v>3.65</v>
      </c>
      <c r="J28" s="55">
        <v>0.56000000000000005</v>
      </c>
      <c r="K28" s="55">
        <v>80.180000000000007</v>
      </c>
      <c r="L28" s="55">
        <v>26.37</v>
      </c>
      <c r="M28" s="55">
        <v>85.10</v>
      </c>
      <c r="N28" s="55">
        <v>19.600000000000001</v>
      </c>
      <c r="O28" s="55">
        <v>0</v>
      </c>
      <c r="P28" s="55">
        <v>0.60</v>
      </c>
      <c r="Q28" s="55">
        <v>9.5299999999999994</v>
      </c>
      <c r="R28" s="43"/>
      <c r="S28" s="43"/>
      <c r="T28" s="43"/>
      <c r="U28" s="43"/>
    </row>
    <row r="29" spans="1:21" s="11" customFormat="1" ht="15">
      <c r="A29" s="54" t="s">
        <v>609</v>
      </c>
      <c r="B29" s="55">
        <v>8.34</v>
      </c>
      <c r="C29" s="55">
        <v>3.89</v>
      </c>
      <c r="D29" s="55">
        <v>12.5</v>
      </c>
      <c r="E29" s="55">
        <v>4.09</v>
      </c>
      <c r="F29" s="55">
        <v>3.88</v>
      </c>
      <c r="G29" s="55">
        <v>58.67</v>
      </c>
      <c r="H29" s="55">
        <v>10.94</v>
      </c>
      <c r="I29" s="55">
        <v>4.2300000000000004</v>
      </c>
      <c r="J29" s="55">
        <v>0.46</v>
      </c>
      <c r="K29" s="55">
        <v>210.87</v>
      </c>
      <c r="L29" s="55">
        <v>25.90</v>
      </c>
      <c r="M29" s="55">
        <v>89.84</v>
      </c>
      <c r="N29" s="55">
        <v>19.399999999999999</v>
      </c>
      <c r="O29" s="55">
        <v>0</v>
      </c>
      <c r="P29" s="55">
        <v>0.60</v>
      </c>
      <c r="Q29" s="55">
        <v>9.5399999999999991</v>
      </c>
      <c r="R29" s="43"/>
      <c r="S29" s="43"/>
      <c r="T29" s="43"/>
      <c r="U29" s="43"/>
    </row>
    <row r="30" spans="1:21" s="11" customFormat="1" ht="15">
      <c r="A30" s="54" t="s">
        <v>610</v>
      </c>
      <c r="B30" s="55">
        <v>8.1999999999999993</v>
      </c>
      <c r="C30" s="55">
        <v>3.23</v>
      </c>
      <c r="D30" s="55">
        <v>12.04</v>
      </c>
      <c r="E30" s="55">
        <v>4.1900000000000004</v>
      </c>
      <c r="F30" s="55">
        <v>3.63</v>
      </c>
      <c r="G30" s="55">
        <v>55.68</v>
      </c>
      <c r="H30" s="55">
        <v>11.12</v>
      </c>
      <c r="I30" s="55">
        <v>5.12</v>
      </c>
      <c r="J30" s="55">
        <v>0.56999999999999995</v>
      </c>
      <c r="K30" s="55">
        <v>285.08</v>
      </c>
      <c r="L30" s="55">
        <v>25.43</v>
      </c>
      <c r="M30" s="55">
        <v>91.39</v>
      </c>
      <c r="N30" s="55">
        <v>19.600000000000001</v>
      </c>
      <c r="O30" s="55">
        <v>0</v>
      </c>
      <c r="P30" s="55">
        <v>0.61</v>
      </c>
      <c r="Q30" s="55">
        <v>9.49</v>
      </c>
      <c r="R30" s="43"/>
      <c r="S30" s="43"/>
      <c r="T30" s="43"/>
      <c r="U30" s="43"/>
    </row>
    <row r="31" spans="1:21" s="11" customFormat="1" ht="15">
      <c r="A31" s="54" t="s">
        <v>611</v>
      </c>
      <c r="B31" s="55">
        <v>8.3000000000000007</v>
      </c>
      <c r="C31" s="55">
        <v>3.68</v>
      </c>
      <c r="D31" s="55">
        <v>12.35</v>
      </c>
      <c r="E31" s="55">
        <v>4.47</v>
      </c>
      <c r="F31" s="55">
        <v>4.75</v>
      </c>
      <c r="G31" s="55">
        <v>55.78</v>
      </c>
      <c r="H31" s="55">
        <v>10.93</v>
      </c>
      <c r="I31" s="55">
        <v>5.42</v>
      </c>
      <c r="J31" s="55">
        <v>0.22</v>
      </c>
      <c r="K31" s="55">
        <v>343.82</v>
      </c>
      <c r="L31" s="55">
        <v>25.35</v>
      </c>
      <c r="M31" s="55">
        <v>92.75</v>
      </c>
      <c r="N31" s="55">
        <v>19.600000000000001</v>
      </c>
      <c r="O31" s="55">
        <v>0</v>
      </c>
      <c r="P31" s="55">
        <v>0.61</v>
      </c>
      <c r="Q31" s="55">
        <v>9.59</v>
      </c>
      <c r="R31" s="43"/>
      <c r="S31" s="43"/>
      <c r="T31" s="43"/>
      <c r="U31" s="43"/>
    </row>
    <row r="32" spans="1:21" s="11" customFormat="1" ht="15">
      <c r="A32" s="54" t="s">
        <v>612</v>
      </c>
      <c r="B32" s="55">
        <v>8.24</v>
      </c>
      <c r="C32" s="55">
        <v>3.53</v>
      </c>
      <c r="D32" s="55">
        <v>12.23</v>
      </c>
      <c r="E32" s="55">
        <v>4.03</v>
      </c>
      <c r="F32" s="55">
        <v>4.25</v>
      </c>
      <c r="G32" s="55">
        <v>55.15</v>
      </c>
      <c r="H32" s="55">
        <v>14.47</v>
      </c>
      <c r="I32" s="55">
        <v>5.28</v>
      </c>
      <c r="J32" s="55">
        <v>0.75</v>
      </c>
      <c r="K32" s="55">
        <v>199.85</v>
      </c>
      <c r="L32" s="55">
        <v>25.20</v>
      </c>
      <c r="M32" s="55">
        <v>96</v>
      </c>
      <c r="N32" s="55">
        <v>19.600000000000001</v>
      </c>
      <c r="O32" s="55">
        <v>0</v>
      </c>
      <c r="P32" s="55">
        <v>0.59</v>
      </c>
      <c r="Q32" s="55">
        <v>9.60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8.1500000000000004</v>
      </c>
      <c r="C34" s="28">
        <f t="shared" si="0"/>
        <v>3.1499999999999999</v>
      </c>
      <c r="D34" s="28">
        <f t="shared" si="0"/>
        <v>11.960000000000001</v>
      </c>
      <c r="E34" s="28">
        <f t="shared" si="0"/>
        <v>3.8399999999999999</v>
      </c>
      <c r="F34" s="28">
        <f t="shared" si="0"/>
        <v>3.6000000000000001</v>
      </c>
      <c r="G34" s="28">
        <f t="shared" si="0"/>
        <v>7.3899999999999997</v>
      </c>
      <c r="H34" s="28">
        <f t="shared" si="0"/>
        <v>0.81000000000000005</v>
      </c>
      <c r="I34" s="28">
        <f t="shared" si="0"/>
        <v>2.96</v>
      </c>
      <c r="J34" s="28">
        <f t="shared" si="0"/>
        <v>0.22</v>
      </c>
      <c r="K34" s="28">
        <f t="shared" si="0"/>
        <v>21.960000000000001</v>
      </c>
      <c r="L34" s="28">
        <f t="shared" si="0"/>
        <v>21.370000000000001</v>
      </c>
      <c r="M34" s="28">
        <f t="shared" si="0"/>
        <v>76.819999999999993</v>
      </c>
      <c r="N34" s="28">
        <f t="shared" si="0"/>
        <v>17.600000000000001</v>
      </c>
      <c r="O34" s="28">
        <f t="shared" si="0"/>
        <v>0</v>
      </c>
      <c r="P34" s="28">
        <f t="shared" si="0"/>
        <v>0.20000000000000001</v>
      </c>
      <c r="Q34" s="28">
        <f t="shared" si="0"/>
        <v>9.4299999999999997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8.4600000000000009</v>
      </c>
      <c r="C35" s="29">
        <f t="shared" si="1"/>
        <v>4.1299999999999999</v>
      </c>
      <c r="D35" s="29">
        <f t="shared" si="1"/>
        <v>12.710000000000001</v>
      </c>
      <c r="E35" s="29">
        <f t="shared" si="1"/>
        <v>6.2699999999999996</v>
      </c>
      <c r="F35" s="29">
        <f t="shared" si="1"/>
        <v>12.68</v>
      </c>
      <c r="G35" s="29">
        <f t="shared" si="1"/>
        <v>58.670000000000002</v>
      </c>
      <c r="H35" s="29">
        <f t="shared" si="1"/>
        <v>20.539999999999999</v>
      </c>
      <c r="I35" s="29">
        <f t="shared" si="1"/>
        <v>6.96</v>
      </c>
      <c r="J35" s="29">
        <f t="shared" si="1"/>
        <v>1.47</v>
      </c>
      <c r="K35" s="29">
        <f t="shared" si="1"/>
        <v>352.08999999999997</v>
      </c>
      <c r="L35" s="29">
        <f t="shared" si="1"/>
        <v>29.329999999999998</v>
      </c>
      <c r="M35" s="29">
        <f t="shared" si="1"/>
        <v>98.400000000000006</v>
      </c>
      <c r="N35" s="29">
        <f t="shared" si="1"/>
        <v>890.70000000000005</v>
      </c>
      <c r="O35" s="29">
        <f t="shared" si="1"/>
        <v>0.40000000000000002</v>
      </c>
      <c r="P35" s="29">
        <f t="shared" si="1"/>
        <v>0.60999999999999999</v>
      </c>
      <c r="Q35" s="29">
        <f t="shared" si="1"/>
        <v>9.5999999999999996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8.2595833333333317</v>
      </c>
      <c r="C36" s="28">
        <f t="shared" si="2"/>
        <v>3.5354166666666669</v>
      </c>
      <c r="D36" s="28">
        <f t="shared" si="2"/>
        <v>12.242916666666666</v>
      </c>
      <c r="E36" s="28">
        <f t="shared" si="2"/>
        <v>4.9370833333333328</v>
      </c>
      <c r="F36" s="28">
        <f t="shared" si="2"/>
        <v>5.1016666666666666</v>
      </c>
      <c r="G36" s="28">
        <f t="shared" si="2"/>
        <v>31.23458333333333</v>
      </c>
      <c r="H36" s="28">
        <f t="shared" si="2"/>
        <v>8.9933333333333341</v>
      </c>
      <c r="I36" s="28">
        <f t="shared" si="2"/>
        <v>4.4250000000000007</v>
      </c>
      <c r="J36" s="28">
        <f t="shared" si="2"/>
        <v>0.66083333333333349</v>
      </c>
      <c r="K36" s="28">
        <f t="shared" si="2"/>
        <v>244.21458333333337</v>
      </c>
      <c r="L36" s="28">
        <f t="shared" si="2"/>
        <v>24.981666666666669</v>
      </c>
      <c r="M36" s="28">
        <f t="shared" si="2"/>
        <v>90.80958333333335</v>
      </c>
      <c r="N36" s="28">
        <f t="shared" si="2"/>
        <v>172.67083333333338</v>
      </c>
      <c r="O36" s="28">
        <f t="shared" si="2"/>
        <v>0.016666666666666666</v>
      </c>
      <c r="P36" s="28">
        <f t="shared" si="2"/>
        <v>0.38125000000000003</v>
      </c>
      <c r="Q36" s="28">
        <f t="shared" si="2"/>
        <v>9.5087499999999991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0.082907972379367645</v>
      </c>
      <c r="C37" s="28">
        <f t="shared" si="3" ref="C37:Q37">STDEV(C9:C32)</f>
        <v>0.29053143460346692</v>
      </c>
      <c r="D37" s="28">
        <f t="shared" si="3"/>
        <v>0.21620198218676834</v>
      </c>
      <c r="E37" s="28">
        <f t="shared" si="3"/>
        <v>0.87078914318224587</v>
      </c>
      <c r="F37" s="28">
        <f t="shared" si="3"/>
        <v>1.899582715428215</v>
      </c>
      <c r="G37" s="28">
        <f t="shared" si="3"/>
        <v>17.830136671710751</v>
      </c>
      <c r="H37" s="28">
        <f t="shared" si="3"/>
        <v>5.9468834853564934</v>
      </c>
      <c r="I37" s="28">
        <f t="shared" si="3"/>
        <v>1.1540966729155628</v>
      </c>
      <c r="J37" s="28">
        <f t="shared" si="3"/>
        <v>0.31923708876096973</v>
      </c>
      <c r="K37" s="28">
        <f t="shared" si="3"/>
        <v>102.2914477694755</v>
      </c>
      <c r="L37" s="28">
        <f t="shared" si="3"/>
        <v>2.5851358835139915</v>
      </c>
      <c r="M37" s="28">
        <f t="shared" si="3"/>
        <v>8.20610349687637</v>
      </c>
      <c r="N37" s="28">
        <f t="shared" si="3"/>
        <v>223.33827234696588</v>
      </c>
      <c r="O37" s="28">
        <f t="shared" si="3"/>
        <v>0.081649658092772623</v>
      </c>
      <c r="P37" s="28">
        <f t="shared" si="3"/>
        <v>0.15123585093718894</v>
      </c>
      <c r="Q37" s="28">
        <f t="shared" si="3"/>
        <v>0.045807963993364509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pans="7:7" s="21" customFormat="1" ht="15">
      <c r="G48" s="21" t="s">
        <v>614</v>
      </c>
    </row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c9242f-f946-42a8-abd2-3cbf17279568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51" t="s">
        <v>22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21" s="11" customFormat="1" ht="15">
      <c r="A9" s="54" t="s">
        <v>617</v>
      </c>
      <c r="B9" s="55">
        <v>8.18</v>
      </c>
      <c r="C9" s="55">
        <v>3.24</v>
      </c>
      <c r="D9" s="55">
        <v>12.03</v>
      </c>
      <c r="E9" s="55">
        <v>4.74</v>
      </c>
      <c r="F9" s="55">
        <v>4.42</v>
      </c>
      <c r="G9" s="55">
        <v>51.86</v>
      </c>
      <c r="H9" s="55">
        <v>14.63</v>
      </c>
      <c r="I9" s="55">
        <v>4.8099999999999996</v>
      </c>
      <c r="J9" s="55">
        <v>0.38</v>
      </c>
      <c r="K9" s="55">
        <v>173.33</v>
      </c>
      <c r="L9" s="55">
        <v>24.92</v>
      </c>
      <c r="M9" s="55">
        <v>97.73</v>
      </c>
      <c r="N9" s="55">
        <v>19.600000000000001</v>
      </c>
      <c r="O9" s="55">
        <v>0</v>
      </c>
      <c r="P9" s="55">
        <v>0.52</v>
      </c>
      <c r="Q9" s="55">
        <v>9.5500000000000007</v>
      </c>
      <c r="R9" s="43"/>
      <c r="S9" s="43"/>
      <c r="T9" s="43"/>
      <c r="U9" s="43"/>
    </row>
    <row r="10" spans="1:21" s="11" customFormat="1" ht="15">
      <c r="A10" s="54" t="s">
        <v>618</v>
      </c>
      <c r="B10" s="55">
        <v>8.33</v>
      </c>
      <c r="C10" s="55">
        <v>3.63</v>
      </c>
      <c r="D10" s="55">
        <v>12.36</v>
      </c>
      <c r="E10" s="55">
        <v>4.70</v>
      </c>
      <c r="F10" s="55">
        <v>3.85</v>
      </c>
      <c r="G10" s="55">
        <v>49.85</v>
      </c>
      <c r="H10" s="55">
        <v>17.02</v>
      </c>
      <c r="I10" s="55">
        <v>4.4800000000000004</v>
      </c>
      <c r="J10" s="55">
        <v>0.37</v>
      </c>
      <c r="K10" s="55">
        <v>190.41</v>
      </c>
      <c r="L10" s="55">
        <v>24.78</v>
      </c>
      <c r="M10" s="55">
        <v>98.30</v>
      </c>
      <c r="N10" s="55">
        <v>19.600000000000001</v>
      </c>
      <c r="O10" s="55">
        <v>0</v>
      </c>
      <c r="P10" s="55">
        <v>0.46</v>
      </c>
      <c r="Q10" s="55">
        <v>9.49</v>
      </c>
      <c r="R10" s="43"/>
      <c r="S10" s="43"/>
      <c r="T10" s="43"/>
      <c r="U10" s="43"/>
    </row>
    <row r="11" spans="1:21" s="11" customFormat="1" ht="15">
      <c r="A11" s="54" t="s">
        <v>619</v>
      </c>
      <c r="B11" s="55">
        <v>8.2200000000000006</v>
      </c>
      <c r="C11" s="55">
        <v>3.25</v>
      </c>
      <c r="D11" s="55">
        <v>12.06</v>
      </c>
      <c r="E11" s="55">
        <v>4.68</v>
      </c>
      <c r="F11" s="55">
        <v>3.98</v>
      </c>
      <c r="G11" s="55">
        <v>44.29</v>
      </c>
      <c r="H11" s="55">
        <v>17.30</v>
      </c>
      <c r="I11" s="55">
        <v>5.60</v>
      </c>
      <c r="J11" s="55">
        <v>0.93</v>
      </c>
      <c r="K11" s="55">
        <v>218.02</v>
      </c>
      <c r="L11" s="55">
        <v>24.31</v>
      </c>
      <c r="M11" s="55">
        <v>98.30</v>
      </c>
      <c r="N11" s="55">
        <v>19.600000000000001</v>
      </c>
      <c r="O11" s="55">
        <v>0</v>
      </c>
      <c r="P11" s="55">
        <v>0.44</v>
      </c>
      <c r="Q11" s="55">
        <v>9.5299999999999994</v>
      </c>
      <c r="R11" s="43"/>
      <c r="S11" s="43"/>
      <c r="T11" s="43"/>
      <c r="U11" s="43"/>
    </row>
    <row r="12" spans="1:21" s="11" customFormat="1" ht="15">
      <c r="A12" s="54" t="s">
        <v>620</v>
      </c>
      <c r="B12" s="55">
        <v>8.31</v>
      </c>
      <c r="C12" s="55">
        <v>3.72</v>
      </c>
      <c r="D12" s="55">
        <v>12.38</v>
      </c>
      <c r="E12" s="55">
        <v>4.72</v>
      </c>
      <c r="F12" s="55">
        <v>4.0199999999999996</v>
      </c>
      <c r="G12" s="55">
        <v>36.56</v>
      </c>
      <c r="H12" s="55">
        <v>12.61</v>
      </c>
      <c r="I12" s="55">
        <v>5.76</v>
      </c>
      <c r="J12" s="55">
        <v>0.96</v>
      </c>
      <c r="K12" s="55">
        <v>164.67</v>
      </c>
      <c r="L12" s="55">
        <v>24.16</v>
      </c>
      <c r="M12" s="55">
        <v>98.31</v>
      </c>
      <c r="N12" s="55">
        <v>19.600000000000001</v>
      </c>
      <c r="O12" s="55">
        <v>0</v>
      </c>
      <c r="P12" s="55">
        <v>0.41</v>
      </c>
      <c r="Q12" s="55">
        <v>9.56</v>
      </c>
      <c r="R12" s="43"/>
      <c r="S12" s="43"/>
      <c r="T12" s="43"/>
      <c r="U12" s="43"/>
    </row>
    <row r="13" spans="1:21" s="11" customFormat="1" ht="15">
      <c r="A13" s="54" t="s">
        <v>621</v>
      </c>
      <c r="B13" s="55">
        <v>8.24</v>
      </c>
      <c r="C13" s="55">
        <v>3.53</v>
      </c>
      <c r="D13" s="55">
        <v>12.23</v>
      </c>
      <c r="E13" s="55">
        <v>3.92</v>
      </c>
      <c r="F13" s="55">
        <v>4.18</v>
      </c>
      <c r="G13" s="55">
        <v>31.60</v>
      </c>
      <c r="H13" s="55">
        <v>9.91</v>
      </c>
      <c r="I13" s="55">
        <v>5.23</v>
      </c>
      <c r="J13" s="55">
        <v>0.82</v>
      </c>
      <c r="K13" s="55">
        <v>161.77000000000001</v>
      </c>
      <c r="L13" s="55">
        <v>24.08</v>
      </c>
      <c r="M13" s="55">
        <v>98.32</v>
      </c>
      <c r="N13" s="55">
        <v>19.600000000000001</v>
      </c>
      <c r="O13" s="55">
        <v>0</v>
      </c>
      <c r="P13" s="55">
        <v>0.38</v>
      </c>
      <c r="Q13" s="55">
        <v>9.5299999999999994</v>
      </c>
      <c r="R13" s="43"/>
      <c r="S13" s="43"/>
      <c r="T13" s="43"/>
      <c r="U13" s="43"/>
    </row>
    <row r="14" spans="1:21" s="11" customFormat="1" ht="15">
      <c r="A14" s="54" t="s">
        <v>622</v>
      </c>
      <c r="B14" s="55">
        <v>8.35</v>
      </c>
      <c r="C14" s="55">
        <v>3.77</v>
      </c>
      <c r="D14" s="55">
        <v>12.44</v>
      </c>
      <c r="E14" s="55">
        <v>3.70</v>
      </c>
      <c r="F14" s="55">
        <v>4.05</v>
      </c>
      <c r="G14" s="55">
        <v>31.63</v>
      </c>
      <c r="H14" s="55">
        <v>8.83</v>
      </c>
      <c r="I14" s="55">
        <v>5.07</v>
      </c>
      <c r="J14" s="55">
        <v>0.56999999999999995</v>
      </c>
      <c r="K14" s="55">
        <v>116.49</v>
      </c>
      <c r="L14" s="55">
        <v>24.14</v>
      </c>
      <c r="M14" s="55">
        <v>98.31</v>
      </c>
      <c r="N14" s="55">
        <v>22.90</v>
      </c>
      <c r="O14" s="55">
        <v>0</v>
      </c>
      <c r="P14" s="55">
        <v>0.35</v>
      </c>
      <c r="Q14" s="55">
        <v>9.5399999999999991</v>
      </c>
      <c r="R14" s="43"/>
      <c r="S14" s="43"/>
      <c r="T14" s="43"/>
      <c r="U14" s="43"/>
    </row>
    <row r="15" spans="1:21" s="11" customFormat="1" ht="15">
      <c r="A15" s="54" t="s">
        <v>623</v>
      </c>
      <c r="B15" s="55">
        <v>8.23</v>
      </c>
      <c r="C15" s="55">
        <v>3.23</v>
      </c>
      <c r="D15" s="55">
        <v>12.07</v>
      </c>
      <c r="E15" s="55">
        <v>3.68</v>
      </c>
      <c r="F15" s="55">
        <v>3.68</v>
      </c>
      <c r="G15" s="55">
        <v>40.770000000000003</v>
      </c>
      <c r="H15" s="55">
        <v>12.39</v>
      </c>
      <c r="I15" s="55">
        <v>6.20</v>
      </c>
      <c r="J15" s="55">
        <v>1.05</v>
      </c>
      <c r="K15" s="55">
        <v>356.78</v>
      </c>
      <c r="L15" s="55">
        <v>23.46</v>
      </c>
      <c r="M15" s="55">
        <v>98.35</v>
      </c>
      <c r="N15" s="55">
        <v>36.60</v>
      </c>
      <c r="O15" s="55">
        <v>0.20</v>
      </c>
      <c r="P15" s="55">
        <v>0.38</v>
      </c>
      <c r="Q15" s="55">
        <v>9.52</v>
      </c>
      <c r="R15" s="43"/>
      <c r="S15" s="43"/>
      <c r="T15" s="43"/>
      <c r="U15" s="43"/>
    </row>
    <row r="16" spans="1:21" s="11" customFormat="1" ht="15">
      <c r="A16" s="54" t="s">
        <v>624</v>
      </c>
      <c r="B16" s="55">
        <v>8.2200000000000006</v>
      </c>
      <c r="C16" s="55">
        <v>3.28</v>
      </c>
      <c r="D16" s="55">
        <v>12.07</v>
      </c>
      <c r="E16" s="55">
        <v>4.16</v>
      </c>
      <c r="F16" s="55">
        <v>3.98</v>
      </c>
      <c r="G16" s="55">
        <v>47.03</v>
      </c>
      <c r="H16" s="55">
        <v>24.38</v>
      </c>
      <c r="I16" s="55">
        <v>6.90</v>
      </c>
      <c r="J16" s="55">
        <v>0.44</v>
      </c>
      <c r="K16" s="55">
        <v>287.64</v>
      </c>
      <c r="L16" s="55">
        <v>23.83</v>
      </c>
      <c r="M16" s="55">
        <v>98.35</v>
      </c>
      <c r="N16" s="55">
        <v>115.80</v>
      </c>
      <c r="O16" s="55">
        <v>0.20</v>
      </c>
      <c r="P16" s="55">
        <v>0.46</v>
      </c>
      <c r="Q16" s="55">
        <v>9.65</v>
      </c>
      <c r="R16" s="43"/>
      <c r="S16" s="43"/>
      <c r="T16" s="43"/>
      <c r="U16" s="43"/>
    </row>
    <row r="17" spans="1:21" s="11" customFormat="1" ht="15">
      <c r="A17" s="54" t="s">
        <v>625</v>
      </c>
      <c r="B17" s="55">
        <v>8.8000000000000007</v>
      </c>
      <c r="C17" s="55">
        <v>4.83</v>
      </c>
      <c r="D17" s="55">
        <v>13.36</v>
      </c>
      <c r="E17" s="55">
        <v>3.93</v>
      </c>
      <c r="F17" s="55">
        <v>3.91</v>
      </c>
      <c r="G17" s="55">
        <v>47.29</v>
      </c>
      <c r="H17" s="55">
        <v>24.92</v>
      </c>
      <c r="I17" s="55">
        <v>6.85</v>
      </c>
      <c r="J17" s="55">
        <v>0.69</v>
      </c>
      <c r="K17" s="55">
        <v>353.98</v>
      </c>
      <c r="L17" s="55">
        <v>25.44</v>
      </c>
      <c r="M17" s="55">
        <v>98.34</v>
      </c>
      <c r="N17" s="55">
        <v>220.10</v>
      </c>
      <c r="O17" s="55">
        <v>0</v>
      </c>
      <c r="P17" s="55">
        <v>0.56000000000000005</v>
      </c>
      <c r="Q17" s="55">
        <v>9.76</v>
      </c>
      <c r="R17" s="43"/>
      <c r="S17" s="43"/>
      <c r="T17" s="43"/>
      <c r="U17" s="43"/>
    </row>
    <row r="18" spans="1:21" s="11" customFormat="1" ht="15">
      <c r="A18" s="54" t="s">
        <v>626</v>
      </c>
      <c r="B18" s="55">
        <v>8.67</v>
      </c>
      <c r="C18" s="55">
        <v>4.46</v>
      </c>
      <c r="D18" s="55">
        <v>13.05</v>
      </c>
      <c r="E18" s="55">
        <v>3.98</v>
      </c>
      <c r="F18" s="55">
        <v>5.84</v>
      </c>
      <c r="G18" s="55">
        <v>47.01</v>
      </c>
      <c r="H18" s="55">
        <v>23.33</v>
      </c>
      <c r="I18" s="55">
        <v>6.65</v>
      </c>
      <c r="J18" s="55">
        <v>1.53</v>
      </c>
      <c r="K18" s="55">
        <v>156.29</v>
      </c>
      <c r="L18" s="55">
        <v>24.64</v>
      </c>
      <c r="M18" s="55">
        <v>98.38</v>
      </c>
      <c r="N18" s="55">
        <v>98.90</v>
      </c>
      <c r="O18" s="55">
        <v>3.20</v>
      </c>
      <c r="P18" s="55">
        <v>0.56999999999999995</v>
      </c>
      <c r="Q18" s="55">
        <v>9.7799999999999994</v>
      </c>
      <c r="R18" s="43"/>
      <c r="S18" s="43"/>
      <c r="T18" s="43"/>
      <c r="U18" s="43"/>
    </row>
    <row r="19" spans="1:21" s="11" customFormat="1" ht="15">
      <c r="A19" s="54" t="s">
        <v>627</v>
      </c>
      <c r="B19" s="55">
        <v>8.3699999999999992</v>
      </c>
      <c r="C19" s="55">
        <v>3.74</v>
      </c>
      <c r="D19" s="55">
        <v>12.44</v>
      </c>
      <c r="E19" s="55">
        <v>3.69</v>
      </c>
      <c r="F19" s="55">
        <v>6.21</v>
      </c>
      <c r="G19" s="55">
        <v>45.29</v>
      </c>
      <c r="H19" s="55">
        <v>22.26</v>
      </c>
      <c r="I19" s="55">
        <v>6.52</v>
      </c>
      <c r="J19" s="55">
        <v>0.74</v>
      </c>
      <c r="K19" s="55">
        <v>336.39</v>
      </c>
      <c r="L19" s="55">
        <v>23.36</v>
      </c>
      <c r="M19" s="55">
        <v>98.38</v>
      </c>
      <c r="N19" s="55">
        <v>163.19999999999999</v>
      </c>
      <c r="O19" s="55">
        <v>3.20</v>
      </c>
      <c r="P19" s="55">
        <v>0.55000000000000004</v>
      </c>
      <c r="Q19" s="55">
        <v>9.74</v>
      </c>
      <c r="R19" s="43"/>
      <c r="S19" s="43"/>
      <c r="T19" s="43"/>
      <c r="U19" s="43"/>
    </row>
    <row r="20" spans="1:21" s="11" customFormat="1" ht="15">
      <c r="A20" s="54" t="s">
        <v>628</v>
      </c>
      <c r="B20" s="55">
        <v>8.2899999999999991</v>
      </c>
      <c r="C20" s="55">
        <v>3.47</v>
      </c>
      <c r="D20" s="55">
        <v>12.24</v>
      </c>
      <c r="E20" s="55">
        <v>4.9400000000000004</v>
      </c>
      <c r="F20" s="55">
        <v>3.64</v>
      </c>
      <c r="G20" s="55">
        <v>40.06</v>
      </c>
      <c r="H20" s="55">
        <v>15.64</v>
      </c>
      <c r="I20" s="55">
        <v>6.07</v>
      </c>
      <c r="J20" s="55">
        <v>0.96</v>
      </c>
      <c r="K20" s="55">
        <v>328.67</v>
      </c>
      <c r="L20" s="55">
        <v>24.97</v>
      </c>
      <c r="M20" s="55">
        <v>98.38</v>
      </c>
      <c r="N20" s="55">
        <v>348.70</v>
      </c>
      <c r="O20" s="55">
        <v>0</v>
      </c>
      <c r="P20" s="55">
        <v>0.54</v>
      </c>
      <c r="Q20" s="55">
        <v>9.68</v>
      </c>
      <c r="R20" s="43"/>
      <c r="S20" s="43"/>
      <c r="T20" s="43"/>
      <c r="U20" s="43"/>
    </row>
    <row r="21" spans="1:21" s="11" customFormat="1" ht="15">
      <c r="A21" s="54" t="s">
        <v>629</v>
      </c>
      <c r="B21" s="55">
        <v>8.5500000000000007</v>
      </c>
      <c r="C21" s="55">
        <v>4.29</v>
      </c>
      <c r="D21" s="55">
        <v>12.87</v>
      </c>
      <c r="E21" s="55">
        <v>5.21</v>
      </c>
      <c r="F21" s="55">
        <v>3.99</v>
      </c>
      <c r="G21" s="55">
        <v>33.369999999999997</v>
      </c>
      <c r="H21" s="55">
        <v>14.84</v>
      </c>
      <c r="I21" s="55">
        <v>5.36</v>
      </c>
      <c r="J21" s="55">
        <v>1.04</v>
      </c>
      <c r="K21" s="55">
        <v>328.78</v>
      </c>
      <c r="L21" s="55">
        <v>25.51</v>
      </c>
      <c r="M21" s="55">
        <v>98.36</v>
      </c>
      <c r="N21" s="55">
        <v>449.40</v>
      </c>
      <c r="O21" s="55">
        <v>0</v>
      </c>
      <c r="P21" s="55">
        <v>0.61</v>
      </c>
      <c r="Q21" s="55">
        <v>9.74</v>
      </c>
      <c r="R21" s="43"/>
      <c r="S21" s="43"/>
      <c r="T21" s="43"/>
      <c r="U21" s="43"/>
    </row>
    <row r="22" spans="1:21" s="11" customFormat="1" ht="15">
      <c r="A22" s="54" t="s">
        <v>630</v>
      </c>
      <c r="B22" s="55">
        <v>8.4700000000000006</v>
      </c>
      <c r="C22" s="55">
        <v>4.0999999999999996</v>
      </c>
      <c r="D22" s="55">
        <v>12.71</v>
      </c>
      <c r="E22" s="55">
        <v>5.24</v>
      </c>
      <c r="F22" s="55">
        <v>4.2300000000000004</v>
      </c>
      <c r="G22" s="55">
        <v>51.68</v>
      </c>
      <c r="H22" s="55">
        <v>16.34</v>
      </c>
      <c r="I22" s="55">
        <v>4.67</v>
      </c>
      <c r="J22" s="55">
        <v>1.1200000000000001</v>
      </c>
      <c r="K22" s="55">
        <v>329.42</v>
      </c>
      <c r="L22" s="55">
        <v>30.52</v>
      </c>
      <c r="M22" s="55">
        <v>89.63</v>
      </c>
      <c r="N22" s="55">
        <v>933.80</v>
      </c>
      <c r="O22" s="55">
        <v>0</v>
      </c>
      <c r="P22" s="55">
        <v>0.63</v>
      </c>
      <c r="Q22" s="55">
        <v>9.83</v>
      </c>
      <c r="R22" s="43"/>
      <c r="S22" s="43"/>
      <c r="T22" s="43"/>
      <c r="U22" s="43"/>
    </row>
    <row r="23" spans="1:21" s="11" customFormat="1" ht="15">
      <c r="A23" s="54" t="s">
        <v>631</v>
      </c>
      <c r="B23" s="55">
        <v>8.39</v>
      </c>
      <c r="C23" s="55">
        <v>3.87</v>
      </c>
      <c r="D23" s="55">
        <v>12.52</v>
      </c>
      <c r="E23" s="55">
        <v>5.04</v>
      </c>
      <c r="F23" s="55">
        <v>3.82</v>
      </c>
      <c r="G23" s="55">
        <v>52.53</v>
      </c>
      <c r="H23" s="55">
        <v>19.47</v>
      </c>
      <c r="I23" s="55">
        <v>4.2699999999999996</v>
      </c>
      <c r="J23" s="55">
        <v>0.79</v>
      </c>
      <c r="K23" s="55">
        <v>332.03</v>
      </c>
      <c r="L23" s="55">
        <v>29.36</v>
      </c>
      <c r="M23" s="55">
        <v>79.97</v>
      </c>
      <c r="N23" s="55">
        <v>448.30</v>
      </c>
      <c r="O23" s="55">
        <v>0</v>
      </c>
      <c r="P23" s="55">
        <v>0.71</v>
      </c>
      <c r="Q23" s="55">
        <v>9.7899999999999991</v>
      </c>
      <c r="R23" s="43"/>
      <c r="S23" s="43"/>
      <c r="T23" s="43"/>
      <c r="U23" s="43"/>
    </row>
    <row r="24" spans="1:21" s="11" customFormat="1" ht="15">
      <c r="A24" s="54" t="s">
        <v>632</v>
      </c>
      <c r="B24" s="55">
        <v>8.48</v>
      </c>
      <c r="C24" s="55">
        <v>4.18</v>
      </c>
      <c r="D24" s="55">
        <v>12.76</v>
      </c>
      <c r="E24" s="55">
        <v>5.0599999999999996</v>
      </c>
      <c r="F24" s="55">
        <v>3.77</v>
      </c>
      <c r="G24" s="55">
        <v>55.64</v>
      </c>
      <c r="H24" s="55">
        <v>19.61</v>
      </c>
      <c r="I24" s="55">
        <v>5.36</v>
      </c>
      <c r="J24" s="55">
        <v>1.68</v>
      </c>
      <c r="K24" s="55">
        <v>335.37</v>
      </c>
      <c r="L24" s="55">
        <v>29.21</v>
      </c>
      <c r="M24" s="55">
        <v>79.349999999999994</v>
      </c>
      <c r="N24" s="55">
        <v>303.30</v>
      </c>
      <c r="O24" s="55">
        <v>0</v>
      </c>
      <c r="P24" s="55">
        <v>0.73</v>
      </c>
      <c r="Q24" s="55">
        <v>9.67</v>
      </c>
      <c r="R24" s="43"/>
      <c r="S24" s="43"/>
      <c r="T24" s="43"/>
      <c r="U24" s="43"/>
    </row>
    <row r="25" spans="1:21" s="11" customFormat="1" ht="15">
      <c r="A25" s="54" t="s">
        <v>633</v>
      </c>
      <c r="B25" s="55">
        <v>8.23</v>
      </c>
      <c r="C25" s="55">
        <v>3.42</v>
      </c>
      <c r="D25" s="55">
        <v>12.14</v>
      </c>
      <c r="E25" s="55">
        <v>4.46</v>
      </c>
      <c r="F25" s="55">
        <v>4.0199999999999996</v>
      </c>
      <c r="G25" s="55">
        <v>57.72</v>
      </c>
      <c r="H25" s="55">
        <v>21.42</v>
      </c>
      <c r="I25" s="55">
        <v>6.88</v>
      </c>
      <c r="J25" s="55">
        <v>1.03</v>
      </c>
      <c r="K25" s="55">
        <v>177.86</v>
      </c>
      <c r="L25" s="55">
        <v>27.18</v>
      </c>
      <c r="M25" s="55">
        <v>83.44</v>
      </c>
      <c r="N25" s="55">
        <v>178.40</v>
      </c>
      <c r="O25" s="55">
        <v>0</v>
      </c>
      <c r="P25" s="55">
        <v>0.73</v>
      </c>
      <c r="Q25" s="55">
        <v>9.69</v>
      </c>
      <c r="R25" s="43"/>
      <c r="S25" s="43"/>
      <c r="T25" s="43"/>
      <c r="U25" s="43"/>
    </row>
    <row r="26" spans="1:21" s="11" customFormat="1" ht="15">
      <c r="A26" s="54" t="s">
        <v>634</v>
      </c>
      <c r="B26" s="55">
        <v>8.34</v>
      </c>
      <c r="C26" s="55">
        <v>4.0999999999999996</v>
      </c>
      <c r="D26" s="55">
        <v>12.60</v>
      </c>
      <c r="E26" s="55">
        <v>4.1900000000000004</v>
      </c>
      <c r="F26" s="55">
        <v>4.6399999999999997</v>
      </c>
      <c r="G26" s="55">
        <v>57.80</v>
      </c>
      <c r="H26" s="55">
        <v>21.56</v>
      </c>
      <c r="I26" s="55">
        <v>7.14</v>
      </c>
      <c r="J26" s="55">
        <v>1.1100000000000001</v>
      </c>
      <c r="K26" s="55">
        <v>167.72</v>
      </c>
      <c r="L26" s="55">
        <v>26.99</v>
      </c>
      <c r="M26" s="55">
        <v>82.73</v>
      </c>
      <c r="N26" s="55">
        <v>84.70</v>
      </c>
      <c r="O26" s="55">
        <v>0</v>
      </c>
      <c r="P26" s="55">
        <v>0.72</v>
      </c>
      <c r="Q26" s="55">
        <v>9.65</v>
      </c>
      <c r="R26" s="43"/>
      <c r="S26" s="43"/>
      <c r="T26" s="43"/>
      <c r="U26" s="43"/>
    </row>
    <row r="27" spans="1:21" s="11" customFormat="1" ht="15">
      <c r="A27" s="54" t="s">
        <v>635</v>
      </c>
      <c r="B27" s="55">
        <v>8.17</v>
      </c>
      <c r="C27" s="55">
        <v>3.31</v>
      </c>
      <c r="D27" s="55">
        <v>12.05</v>
      </c>
      <c r="E27" s="55">
        <v>4.0599999999999996</v>
      </c>
      <c r="F27" s="55">
        <v>4.55</v>
      </c>
      <c r="G27" s="55">
        <v>56.87</v>
      </c>
      <c r="H27" s="55">
        <v>20.57</v>
      </c>
      <c r="I27" s="55">
        <v>6.84</v>
      </c>
      <c r="J27" s="55">
        <v>1.19</v>
      </c>
      <c r="K27" s="55">
        <v>159.30000000000001</v>
      </c>
      <c r="L27" s="55">
        <v>26.80</v>
      </c>
      <c r="M27" s="55">
        <v>85.44</v>
      </c>
      <c r="N27" s="55">
        <v>41.40</v>
      </c>
      <c r="O27" s="55">
        <v>0</v>
      </c>
      <c r="P27" s="55">
        <v>0.70</v>
      </c>
      <c r="Q27" s="55">
        <v>9.6199999999999992</v>
      </c>
      <c r="R27" s="43"/>
      <c r="S27" s="43"/>
      <c r="T27" s="43"/>
      <c r="U27" s="43"/>
    </row>
    <row r="28" spans="1:21" s="11" customFormat="1" ht="15">
      <c r="A28" s="54" t="s">
        <v>636</v>
      </c>
      <c r="B28" s="55">
        <v>8.31</v>
      </c>
      <c r="C28" s="55">
        <v>3.61</v>
      </c>
      <c r="D28" s="55">
        <v>12.33</v>
      </c>
      <c r="E28" s="55">
        <v>5.30</v>
      </c>
      <c r="F28" s="55">
        <v>4.5599999999999996</v>
      </c>
      <c r="G28" s="55">
        <v>54.55</v>
      </c>
      <c r="H28" s="55">
        <v>16.59</v>
      </c>
      <c r="I28" s="55">
        <v>6.97</v>
      </c>
      <c r="J28" s="55">
        <v>1.72</v>
      </c>
      <c r="K28" s="55">
        <v>252.47</v>
      </c>
      <c r="L28" s="55">
        <v>26.19</v>
      </c>
      <c r="M28" s="55">
        <v>91.80</v>
      </c>
      <c r="N28" s="55">
        <v>19.100000000000001</v>
      </c>
      <c r="O28" s="55">
        <v>0</v>
      </c>
      <c r="P28" s="55">
        <v>0.63</v>
      </c>
      <c r="Q28" s="55">
        <v>9.58</v>
      </c>
      <c r="R28" s="43"/>
      <c r="S28" s="43"/>
      <c r="T28" s="43"/>
      <c r="U28" s="43"/>
    </row>
    <row r="29" spans="1:21" s="11" customFormat="1" ht="15">
      <c r="A29" s="54" t="s">
        <v>637</v>
      </c>
      <c r="B29" s="55">
        <v>8.23</v>
      </c>
      <c r="C29" s="55">
        <v>3.33</v>
      </c>
      <c r="D29" s="55">
        <v>12.11</v>
      </c>
      <c r="E29" s="55">
        <v>4.7300000000000004</v>
      </c>
      <c r="F29" s="55">
        <v>3.61</v>
      </c>
      <c r="G29" s="55">
        <v>52.86</v>
      </c>
      <c r="H29" s="55">
        <v>17.350000000000001</v>
      </c>
      <c r="I29" s="55">
        <v>7.28</v>
      </c>
      <c r="J29" s="55">
        <v>1.1299999999999999</v>
      </c>
      <c r="K29" s="55">
        <v>198.35</v>
      </c>
      <c r="L29" s="55">
        <v>25.35</v>
      </c>
      <c r="M29" s="55">
        <v>95.12</v>
      </c>
      <c r="N29" s="55">
        <v>18.899999999999999</v>
      </c>
      <c r="O29" s="55">
        <v>0</v>
      </c>
      <c r="P29" s="55">
        <v>0.60</v>
      </c>
      <c r="Q29" s="55">
        <v>9.5399999999999991</v>
      </c>
      <c r="R29" s="43"/>
      <c r="S29" s="43" t="s">
        <v>616</v>
      </c>
      <c r="T29" s="43"/>
      <c r="U29" s="43"/>
    </row>
    <row r="30" spans="1:21" s="11" customFormat="1" ht="15">
      <c r="A30" s="54" t="s">
        <v>638</v>
      </c>
      <c r="B30" s="55">
        <v>8.19</v>
      </c>
      <c r="C30" s="55">
        <v>3.33</v>
      </c>
      <c r="D30" s="55">
        <v>12.08</v>
      </c>
      <c r="E30" s="55">
        <v>4.88</v>
      </c>
      <c r="F30" s="55">
        <v>3.91</v>
      </c>
      <c r="G30" s="55">
        <v>44.76</v>
      </c>
      <c r="H30" s="55">
        <v>17.38</v>
      </c>
      <c r="I30" s="55">
        <v>7.26</v>
      </c>
      <c r="J30" s="55">
        <v>1.1499999999999999</v>
      </c>
      <c r="K30" s="55">
        <v>165.04</v>
      </c>
      <c r="L30" s="55">
        <v>24.86</v>
      </c>
      <c r="M30" s="55">
        <v>95.90</v>
      </c>
      <c r="N30" s="55">
        <v>18.80</v>
      </c>
      <c r="O30" s="55">
        <v>0</v>
      </c>
      <c r="P30" s="55">
        <v>0.57999999999999996</v>
      </c>
      <c r="Q30" s="55">
        <v>9.61</v>
      </c>
      <c r="R30" s="43"/>
      <c r="S30" s="43"/>
      <c r="T30" s="43"/>
      <c r="U30" s="43"/>
    </row>
    <row r="31" spans="1:21" s="11" customFormat="1" ht="15">
      <c r="A31" s="54" t="s">
        <v>639</v>
      </c>
      <c r="B31" s="55">
        <v>8.43</v>
      </c>
      <c r="C31" s="55">
        <v>4.1500000000000004</v>
      </c>
      <c r="D31" s="55">
        <v>12.71</v>
      </c>
      <c r="E31" s="55">
        <v>4.84</v>
      </c>
      <c r="F31" s="55">
        <v>4.18</v>
      </c>
      <c r="G31" s="55">
        <v>41.33</v>
      </c>
      <c r="H31" s="55">
        <v>18.41</v>
      </c>
      <c r="I31" s="55">
        <v>6.86</v>
      </c>
      <c r="J31" s="55">
        <v>0.33</v>
      </c>
      <c r="K31" s="55">
        <v>236.37</v>
      </c>
      <c r="L31" s="55">
        <v>24.75</v>
      </c>
      <c r="M31" s="55">
        <v>98.31</v>
      </c>
      <c r="N31" s="55">
        <v>18.899999999999999</v>
      </c>
      <c r="O31" s="55">
        <v>0</v>
      </c>
      <c r="P31" s="55">
        <v>0.54</v>
      </c>
      <c r="Q31" s="55">
        <v>9.56</v>
      </c>
      <c r="R31" s="43"/>
      <c r="S31" s="43"/>
      <c r="T31" s="43"/>
      <c r="U31" s="43"/>
    </row>
    <row r="32" spans="1:21" s="11" customFormat="1" ht="15">
      <c r="A32" s="54" t="s">
        <v>640</v>
      </c>
      <c r="B32" s="55">
        <v>8.15</v>
      </c>
      <c r="C32" s="55">
        <v>3.18</v>
      </c>
      <c r="D32" s="55">
        <v>11.96</v>
      </c>
      <c r="E32" s="55">
        <v>4.84</v>
      </c>
      <c r="F32" s="55">
        <v>3.84</v>
      </c>
      <c r="G32" s="55">
        <v>35.97</v>
      </c>
      <c r="H32" s="55">
        <v>18.5</v>
      </c>
      <c r="I32" s="55">
        <v>5.78</v>
      </c>
      <c r="J32" s="55">
        <v>0.57999999999999996</v>
      </c>
      <c r="K32" s="55">
        <v>184.36</v>
      </c>
      <c r="L32" s="55">
        <v>24.59</v>
      </c>
      <c r="M32" s="55">
        <v>98.30</v>
      </c>
      <c r="N32" s="55">
        <v>18.899999999999999</v>
      </c>
      <c r="O32" s="55">
        <v>0</v>
      </c>
      <c r="P32" s="55">
        <v>0.5</v>
      </c>
      <c r="Q32" s="55">
        <v>9.5500000000000007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8.1500000000000004</v>
      </c>
      <c r="C34" s="28">
        <f t="shared" si="0"/>
        <v>3.1800000000000002</v>
      </c>
      <c r="D34" s="28">
        <f t="shared" si="0"/>
        <v>11.960000000000001</v>
      </c>
      <c r="E34" s="28">
        <f t="shared" si="0"/>
        <v>3.6800000000000002</v>
      </c>
      <c r="F34" s="28">
        <f t="shared" si="0"/>
        <v>3.6099999999999999</v>
      </c>
      <c r="G34" s="28">
        <f t="shared" si="0"/>
        <v>31.600000000000001</v>
      </c>
      <c r="H34" s="28">
        <f t="shared" si="0"/>
        <v>8.8300000000000001</v>
      </c>
      <c r="I34" s="28">
        <f t="shared" si="0"/>
        <v>4.2699999999999996</v>
      </c>
      <c r="J34" s="28">
        <f t="shared" si="0"/>
        <v>0.33000000000000002</v>
      </c>
      <c r="K34" s="28">
        <f t="shared" si="0"/>
        <v>116.48999999999999</v>
      </c>
      <c r="L34" s="28">
        <f t="shared" si="0"/>
        <v>23.359999999999999</v>
      </c>
      <c r="M34" s="28">
        <f t="shared" si="0"/>
        <v>79.349999999999994</v>
      </c>
      <c r="N34" s="28">
        <f t="shared" si="0"/>
        <v>18.800000000000001</v>
      </c>
      <c r="O34" s="28">
        <f t="shared" si="0"/>
        <v>0</v>
      </c>
      <c r="P34" s="28">
        <f t="shared" si="0"/>
        <v>0.34999999999999998</v>
      </c>
      <c r="Q34" s="28">
        <f t="shared" si="0"/>
        <v>9.4900000000000002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8.8000000000000007</v>
      </c>
      <c r="C35" s="29">
        <f t="shared" si="1"/>
        <v>4.8300000000000001</v>
      </c>
      <c r="D35" s="29">
        <f t="shared" si="1"/>
        <v>13.359999999999999</v>
      </c>
      <c r="E35" s="29">
        <f t="shared" si="1"/>
        <v>5.2999999999999998</v>
      </c>
      <c r="F35" s="29">
        <f t="shared" si="1"/>
        <v>6.21</v>
      </c>
      <c r="G35" s="29">
        <f t="shared" si="1"/>
        <v>57.799999999999997</v>
      </c>
      <c r="H35" s="29">
        <f t="shared" si="1"/>
        <v>24.920000000000002</v>
      </c>
      <c r="I35" s="29">
        <f t="shared" si="1"/>
        <v>7.2800000000000002</v>
      </c>
      <c r="J35" s="29">
        <f t="shared" si="1"/>
        <v>1.72</v>
      </c>
      <c r="K35" s="29">
        <f t="shared" si="1"/>
        <v>356.77999999999997</v>
      </c>
      <c r="L35" s="29">
        <f t="shared" si="1"/>
        <v>30.52</v>
      </c>
      <c r="M35" s="29">
        <f t="shared" si="1"/>
        <v>98.379999999999995</v>
      </c>
      <c r="N35" s="29">
        <f t="shared" si="1"/>
        <v>933.79999999999995</v>
      </c>
      <c r="O35" s="29">
        <f t="shared" si="1"/>
        <v>3.2000000000000002</v>
      </c>
      <c r="P35" s="29">
        <f t="shared" si="1"/>
        <v>0.72999999999999998</v>
      </c>
      <c r="Q35" s="29">
        <f t="shared" si="1"/>
        <v>9.8300000000000001</v>
      </c>
      <c r="R35" s="29"/>
      <c r="S35" s="29"/>
      <c r="T35" s="29" t="s">
        <v>615</v>
      </c>
      <c r="U35" s="29"/>
    </row>
    <row r="36" spans="1:21" s="21" customFormat="1" ht="15">
      <c r="A36" s="27" t="s">
        <v>32</v>
      </c>
      <c r="B36" s="28">
        <f t="shared" si="2" ref="B36:Q36">AVERAGE(B9:B32)</f>
        <v>8.3395833333333318</v>
      </c>
      <c r="C36" s="28">
        <f t="shared" si="2"/>
        <v>3.7091666666666669</v>
      </c>
      <c r="D36" s="28">
        <f t="shared" si="2"/>
        <v>12.39875</v>
      </c>
      <c r="E36" s="28">
        <f t="shared" si="2"/>
        <v>4.5287499999999996</v>
      </c>
      <c r="F36" s="28">
        <f t="shared" si="2"/>
        <v>4.2033333333333331</v>
      </c>
      <c r="G36" s="28">
        <f t="shared" si="2"/>
        <v>46.18</v>
      </c>
      <c r="H36" s="28">
        <f t="shared" si="2"/>
        <v>17.719166666666666</v>
      </c>
      <c r="I36" s="28">
        <f t="shared" si="2"/>
        <v>6.0337500000000004</v>
      </c>
      <c r="J36" s="28">
        <f t="shared" si="2"/>
        <v>0.9295833333333331</v>
      </c>
      <c r="K36" s="28">
        <f t="shared" si="2"/>
        <v>237.9795833333333</v>
      </c>
      <c r="L36" s="28">
        <f t="shared" si="2"/>
        <v>25.558333333333337</v>
      </c>
      <c r="M36" s="28">
        <f t="shared" si="2"/>
        <v>94.075000000000003</v>
      </c>
      <c r="N36" s="28">
        <f t="shared" si="2"/>
        <v>151.58750000000001</v>
      </c>
      <c r="O36" s="28">
        <f t="shared" si="2"/>
        <v>0.28333333333333338</v>
      </c>
      <c r="P36" s="28">
        <f t="shared" si="2"/>
        <v>0.5541666666666667</v>
      </c>
      <c r="Q36" s="28">
        <f t="shared" si="2"/>
        <v>9.6316666666666677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0.16222579987456623</v>
      </c>
      <c r="C37" s="28">
        <f t="shared" si="3" ref="C37:Q37">STDEV(C9:C32)</f>
        <v>0.45061230484238074</v>
      </c>
      <c r="D37" s="28">
        <f t="shared" si="3"/>
        <v>0.36393158100414208</v>
      </c>
      <c r="E37" s="28">
        <f t="shared" si="3"/>
        <v>0.52687192157024987</v>
      </c>
      <c r="F37" s="28">
        <f t="shared" si="3"/>
        <v>0.63022195308076168</v>
      </c>
      <c r="G37" s="28">
        <f t="shared" si="3"/>
        <v>8.3076167251609618</v>
      </c>
      <c r="H37" s="28">
        <f t="shared" si="3"/>
        <v>4.239435890147023</v>
      </c>
      <c r="I37" s="28">
        <f t="shared" si="3"/>
        <v>0.95463087562453208</v>
      </c>
      <c r="J37" s="28">
        <f t="shared" si="3"/>
        <v>0.38465658502851302</v>
      </c>
      <c r="K37" s="28">
        <f t="shared" si="3"/>
        <v>79.961152224290913</v>
      </c>
      <c r="L37" s="28">
        <f t="shared" si="3"/>
        <v>1.903092829801093</v>
      </c>
      <c r="M37" s="28">
        <f t="shared" si="3"/>
        <v>6.6885586931192265</v>
      </c>
      <c r="N37" s="28">
        <f t="shared" si="3"/>
        <v>216.85159684527994</v>
      </c>
      <c r="O37" s="28">
        <f t="shared" si="3"/>
        <v>0.90008051169672154</v>
      </c>
      <c r="P37" s="28">
        <f t="shared" si="3"/>
        <v>0.11627989719961759</v>
      </c>
      <c r="Q37" s="28">
        <f t="shared" si="3"/>
        <v>0.10024607404928176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80114b-deb8-4f80-b716-bb4d14f48b2f}">
  <sheetPr codeName=""/>
  <dimension ref="A1:U119"/>
  <sheetViews>
    <sheetView zoomScale="85" zoomScaleNormal="85" workbookViewId="0" topLeftCell="A1">
      <pane xSplit="1" ySplit="8" topLeftCell="B21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641</v>
      </c>
      <c r="B9" s="55">
        <v>8.27</v>
      </c>
      <c r="C9" s="55">
        <v>3.40</v>
      </c>
      <c r="D9" s="55">
        <v>12.18</v>
      </c>
      <c r="E9" s="55">
        <v>4.6399999999999997</v>
      </c>
      <c r="F9" s="55">
        <v>3.5</v>
      </c>
      <c r="G9" s="55">
        <v>34.29</v>
      </c>
      <c r="H9" s="55">
        <v>13.60</v>
      </c>
      <c r="I9" s="55">
        <v>5.81</v>
      </c>
      <c r="J9" s="55">
        <v>0.92</v>
      </c>
      <c r="K9" s="55">
        <v>173.18</v>
      </c>
      <c r="L9" s="55">
        <v>24.56</v>
      </c>
      <c r="M9" s="55">
        <v>98.32</v>
      </c>
      <c r="N9" s="55">
        <v>18.899999999999999</v>
      </c>
      <c r="O9" s="55">
        <v>0</v>
      </c>
      <c r="P9" s="55">
        <v>0.47</v>
      </c>
      <c r="Q9" s="55">
        <v>9.48</v>
      </c>
      <c r="R9" s="43"/>
      <c r="S9" s="43"/>
      <c r="T9" s="43"/>
      <c r="U9" s="43"/>
    </row>
    <row r="10" spans="1:21" s="11" customFormat="1" ht="15">
      <c r="A10" s="54" t="s">
        <v>642</v>
      </c>
      <c r="B10" s="55">
        <v>8.25</v>
      </c>
      <c r="C10" s="55">
        <v>3.44</v>
      </c>
      <c r="D10" s="55">
        <v>12.18</v>
      </c>
      <c r="E10" s="55">
        <v>4.82</v>
      </c>
      <c r="F10" s="55">
        <v>3.85</v>
      </c>
      <c r="G10" s="55">
        <v>33.78</v>
      </c>
      <c r="H10" s="55">
        <v>13.33</v>
      </c>
      <c r="I10" s="55">
        <v>6.44</v>
      </c>
      <c r="J10" s="55">
        <v>1.48</v>
      </c>
      <c r="K10" s="55">
        <v>258.45999999999998</v>
      </c>
      <c r="L10" s="55">
        <v>24.33</v>
      </c>
      <c r="M10" s="55">
        <v>98.34</v>
      </c>
      <c r="N10" s="55">
        <v>18.899999999999999</v>
      </c>
      <c r="O10" s="55">
        <v>0</v>
      </c>
      <c r="P10" s="55">
        <v>0.44</v>
      </c>
      <c r="Q10" s="55">
        <v>9.56</v>
      </c>
      <c r="R10" s="43"/>
      <c r="S10" s="43"/>
      <c r="T10" s="43"/>
      <c r="U10" s="43"/>
    </row>
    <row r="11" spans="1:21" s="11" customFormat="1" ht="15">
      <c r="A11" s="54" t="s">
        <v>643</v>
      </c>
      <c r="B11" s="55">
        <v>8.2799999999999994</v>
      </c>
      <c r="C11" s="55">
        <v>3.54</v>
      </c>
      <c r="D11" s="55">
        <v>12.26</v>
      </c>
      <c r="E11" s="55">
        <v>4.8099999999999996</v>
      </c>
      <c r="F11" s="55">
        <v>4.1399999999999997</v>
      </c>
      <c r="G11" s="55">
        <v>27.35</v>
      </c>
      <c r="H11" s="55">
        <v>13.39</v>
      </c>
      <c r="I11" s="55">
        <v>6.87</v>
      </c>
      <c r="J11" s="55">
        <v>1.27</v>
      </c>
      <c r="K11" s="55">
        <v>155.57</v>
      </c>
      <c r="L11" s="55">
        <v>24.23</v>
      </c>
      <c r="M11" s="55">
        <v>98.35</v>
      </c>
      <c r="N11" s="55">
        <v>19.100000000000001</v>
      </c>
      <c r="O11" s="55">
        <v>0</v>
      </c>
      <c r="P11" s="55">
        <v>0.42</v>
      </c>
      <c r="Q11" s="55">
        <v>9.57</v>
      </c>
      <c r="R11" s="43"/>
      <c r="S11" s="43"/>
      <c r="T11" s="43"/>
      <c r="U11" s="43"/>
    </row>
    <row r="12" spans="1:21" s="11" customFormat="1" ht="15">
      <c r="A12" s="54" t="s">
        <v>644</v>
      </c>
      <c r="B12" s="55">
        <v>8.23</v>
      </c>
      <c r="C12" s="55">
        <v>3.41</v>
      </c>
      <c r="D12" s="55">
        <v>12.16</v>
      </c>
      <c r="E12" s="55">
        <v>4.99</v>
      </c>
      <c r="F12" s="55">
        <v>4.32</v>
      </c>
      <c r="G12" s="55">
        <v>25.91</v>
      </c>
      <c r="H12" s="55">
        <v>9.83</v>
      </c>
      <c r="I12" s="55">
        <v>6.45</v>
      </c>
      <c r="J12" s="55">
        <v>0.98</v>
      </c>
      <c r="K12" s="55">
        <v>169.57</v>
      </c>
      <c r="L12" s="55">
        <v>24.09</v>
      </c>
      <c r="M12" s="55">
        <v>98.35</v>
      </c>
      <c r="N12" s="55">
        <v>18.899999999999999</v>
      </c>
      <c r="O12" s="55">
        <v>0</v>
      </c>
      <c r="P12" s="55">
        <v>0.37</v>
      </c>
      <c r="Q12" s="55">
        <v>9.5500000000000007</v>
      </c>
      <c r="R12" s="43"/>
      <c r="S12" s="43"/>
      <c r="T12" s="43"/>
      <c r="U12" s="43"/>
    </row>
    <row r="13" spans="1:21" s="11" customFormat="1" ht="15">
      <c r="A13" s="54" t="s">
        <v>645</v>
      </c>
      <c r="B13" s="55">
        <v>8.23</v>
      </c>
      <c r="C13" s="55">
        <v>3.40</v>
      </c>
      <c r="D13" s="55">
        <v>12.15</v>
      </c>
      <c r="E13" s="55">
        <v>3.70</v>
      </c>
      <c r="F13" s="55">
        <v>3.78</v>
      </c>
      <c r="G13" s="55">
        <v>25.95</v>
      </c>
      <c r="H13" s="55">
        <v>8.33</v>
      </c>
      <c r="I13" s="55">
        <v>5.86</v>
      </c>
      <c r="J13" s="55">
        <v>1.01</v>
      </c>
      <c r="K13" s="55">
        <v>165.05</v>
      </c>
      <c r="L13" s="55">
        <v>23.83</v>
      </c>
      <c r="M13" s="55">
        <v>98.35</v>
      </c>
      <c r="N13" s="55">
        <v>19.20</v>
      </c>
      <c r="O13" s="55">
        <v>0</v>
      </c>
      <c r="P13" s="55">
        <v>0.34</v>
      </c>
      <c r="Q13" s="55">
        <v>9.5399999999999991</v>
      </c>
      <c r="R13" s="43"/>
      <c r="S13" s="43"/>
      <c r="T13" s="43"/>
      <c r="U13" s="43"/>
    </row>
    <row r="14" spans="1:21" s="11" customFormat="1" ht="15">
      <c r="A14" s="54" t="s">
        <v>646</v>
      </c>
      <c r="B14" s="55">
        <v>8.3800000000000008</v>
      </c>
      <c r="C14" s="55">
        <v>3.65</v>
      </c>
      <c r="D14" s="55">
        <v>12.40</v>
      </c>
      <c r="E14" s="55">
        <v>3.87</v>
      </c>
      <c r="F14" s="55">
        <v>3.60</v>
      </c>
      <c r="G14" s="55">
        <v>25.23</v>
      </c>
      <c r="H14" s="55">
        <v>9.15</v>
      </c>
      <c r="I14" s="55">
        <v>6.22</v>
      </c>
      <c r="J14" s="55">
        <v>1.29</v>
      </c>
      <c r="K14" s="55">
        <v>161.59</v>
      </c>
      <c r="L14" s="55">
        <v>23.54</v>
      </c>
      <c r="M14" s="55">
        <v>98.35</v>
      </c>
      <c r="N14" s="55">
        <v>52.10</v>
      </c>
      <c r="O14" s="55">
        <v>0</v>
      </c>
      <c r="P14" s="55">
        <v>0.31</v>
      </c>
      <c r="Q14" s="55">
        <v>9.49</v>
      </c>
      <c r="R14" s="43"/>
      <c r="S14" s="43"/>
      <c r="T14" s="43"/>
      <c r="U14" s="43"/>
    </row>
    <row r="15" spans="1:21" s="11" customFormat="1" ht="15">
      <c r="A15" s="54" t="s">
        <v>647</v>
      </c>
      <c r="B15" s="55">
        <v>8.18</v>
      </c>
      <c r="C15" s="55">
        <v>3.17</v>
      </c>
      <c r="D15" s="55">
        <v>11.99</v>
      </c>
      <c r="E15" s="55">
        <v>3.92</v>
      </c>
      <c r="F15" s="55">
        <v>4.13</v>
      </c>
      <c r="G15" s="55">
        <v>25.43</v>
      </c>
      <c r="H15" s="55">
        <v>9.25</v>
      </c>
      <c r="I15" s="55">
        <v>6.81</v>
      </c>
      <c r="J15" s="55">
        <v>1.54</v>
      </c>
      <c r="K15" s="55">
        <v>160.80000000000001</v>
      </c>
      <c r="L15" s="55">
        <v>24.21</v>
      </c>
      <c r="M15" s="55">
        <v>98.33</v>
      </c>
      <c r="N15" s="55">
        <v>164.60</v>
      </c>
      <c r="O15" s="55">
        <v>0</v>
      </c>
      <c r="P15" s="55">
        <v>0.30</v>
      </c>
      <c r="Q15" s="55">
        <v>9.57</v>
      </c>
      <c r="R15" s="43"/>
      <c r="S15" s="43"/>
      <c r="T15" s="43"/>
      <c r="U15" s="43"/>
    </row>
    <row r="16" spans="1:21" s="11" customFormat="1" ht="15">
      <c r="A16" s="54" t="s">
        <v>648</v>
      </c>
      <c r="B16" s="55">
        <v>8.41</v>
      </c>
      <c r="C16" s="55">
        <v>3.94</v>
      </c>
      <c r="D16" s="55">
        <v>12.58</v>
      </c>
      <c r="E16" s="55">
        <v>4.4800000000000004</v>
      </c>
      <c r="F16" s="55">
        <v>4.1399999999999997</v>
      </c>
      <c r="G16" s="55">
        <v>21.01</v>
      </c>
      <c r="H16" s="55">
        <v>6.68</v>
      </c>
      <c r="I16" s="55">
        <v>6.72</v>
      </c>
      <c r="J16" s="55">
        <v>1.77</v>
      </c>
      <c r="K16" s="55">
        <v>187.30</v>
      </c>
      <c r="L16" s="55">
        <v>26.79</v>
      </c>
      <c r="M16" s="55">
        <v>98.28</v>
      </c>
      <c r="N16" s="55">
        <v>329.60</v>
      </c>
      <c r="O16" s="55">
        <v>0</v>
      </c>
      <c r="P16" s="55">
        <v>0.30</v>
      </c>
      <c r="Q16" s="55">
        <v>9.57</v>
      </c>
      <c r="R16" s="43"/>
      <c r="S16" s="43"/>
      <c r="T16" s="43"/>
      <c r="U16" s="43"/>
    </row>
    <row r="17" spans="1:21" s="11" customFormat="1" ht="15">
      <c r="A17" s="54" t="s">
        <v>649</v>
      </c>
      <c r="B17" s="55">
        <v>8.14</v>
      </c>
      <c r="C17" s="55">
        <v>3.15</v>
      </c>
      <c r="D17" s="55">
        <v>11.95</v>
      </c>
      <c r="E17" s="55">
        <v>4.45</v>
      </c>
      <c r="F17" s="55">
        <v>4.46</v>
      </c>
      <c r="G17" s="55">
        <v>24.24</v>
      </c>
      <c r="H17" s="55">
        <v>10.93</v>
      </c>
      <c r="I17" s="55">
        <v>6.19</v>
      </c>
      <c r="J17" s="55">
        <v>1.45</v>
      </c>
      <c r="K17" s="55">
        <v>150.97999999999999</v>
      </c>
      <c r="L17" s="55">
        <v>27.79</v>
      </c>
      <c r="M17" s="55">
        <v>85.69</v>
      </c>
      <c r="N17" s="55">
        <v>664.10</v>
      </c>
      <c r="O17" s="55">
        <v>0</v>
      </c>
      <c r="P17" s="55">
        <v>0.28999999999999998</v>
      </c>
      <c r="Q17" s="55">
        <v>9.5500000000000007</v>
      </c>
      <c r="R17" s="43"/>
      <c r="S17" s="43"/>
      <c r="T17" s="43"/>
      <c r="U17" s="43"/>
    </row>
    <row r="18" spans="1:21" s="11" customFormat="1" ht="15">
      <c r="A18" s="54" t="s">
        <v>650</v>
      </c>
      <c r="B18" s="55">
        <v>8.3000000000000007</v>
      </c>
      <c r="C18" s="55">
        <v>3.63</v>
      </c>
      <c r="D18" s="55">
        <v>12.32</v>
      </c>
      <c r="E18" s="55">
        <v>4.6500000000000004</v>
      </c>
      <c r="F18" s="55">
        <v>4.2699999999999996</v>
      </c>
      <c r="G18" s="55">
        <v>26</v>
      </c>
      <c r="H18" s="55">
        <v>11.16</v>
      </c>
      <c r="I18" s="55">
        <v>5.16</v>
      </c>
      <c r="J18" s="55">
        <v>1.97</v>
      </c>
      <c r="K18" s="55">
        <v>153.22</v>
      </c>
      <c r="L18" s="55">
        <v>28.31</v>
      </c>
      <c r="M18" s="55">
        <v>80.709999999999994</v>
      </c>
      <c r="N18" s="55">
        <v>691.10</v>
      </c>
      <c r="O18" s="55">
        <v>0</v>
      </c>
      <c r="P18" s="55">
        <v>0.27</v>
      </c>
      <c r="Q18" s="55">
        <v>9.49</v>
      </c>
      <c r="R18" s="43"/>
      <c r="S18" s="43"/>
      <c r="T18" s="43"/>
      <c r="U18" s="43"/>
    </row>
    <row r="19" spans="1:21" s="11" customFormat="1" ht="15">
      <c r="A19" s="54" t="s">
        <v>651</v>
      </c>
      <c r="B19" s="55">
        <v>8.24</v>
      </c>
      <c r="C19" s="55">
        <v>3.31</v>
      </c>
      <c r="D19" s="55">
        <v>12.10</v>
      </c>
      <c r="E19" s="55">
        <v>4.59</v>
      </c>
      <c r="F19" s="55">
        <v>8.26</v>
      </c>
      <c r="G19" s="55">
        <v>26.07</v>
      </c>
      <c r="H19" s="55">
        <v>10.11</v>
      </c>
      <c r="I19" s="55">
        <v>5.23</v>
      </c>
      <c r="J19" s="55">
        <v>0.46</v>
      </c>
      <c r="K19" s="55">
        <v>281.64999999999998</v>
      </c>
      <c r="L19" s="55">
        <v>28.56</v>
      </c>
      <c r="M19" s="55">
        <v>78</v>
      </c>
      <c r="N19" s="55">
        <v>952.5</v>
      </c>
      <c r="O19" s="55">
        <v>0</v>
      </c>
      <c r="P19" s="55">
        <v>0.28999999999999998</v>
      </c>
      <c r="Q19" s="55">
        <v>9.4600000000000009</v>
      </c>
      <c r="R19" s="43"/>
      <c r="S19" s="43"/>
      <c r="T19" s="43"/>
      <c r="U19" s="43"/>
    </row>
    <row r="20" spans="1:21" s="11" customFormat="1" ht="15">
      <c r="A20" s="54" t="s">
        <v>652</v>
      </c>
      <c r="B20" s="55">
        <v>8.17</v>
      </c>
      <c r="C20" s="55">
        <v>3.24</v>
      </c>
      <c r="D20" s="55">
        <v>12.02</v>
      </c>
      <c r="E20" s="55">
        <v>4.62</v>
      </c>
      <c r="F20" s="55">
        <v>10.029999999999999</v>
      </c>
      <c r="G20" s="55">
        <v>18.25</v>
      </c>
      <c r="H20" s="55">
        <v>11.17</v>
      </c>
      <c r="I20" s="55">
        <v>4.25</v>
      </c>
      <c r="J20" s="55">
        <v>0.55000000000000004</v>
      </c>
      <c r="K20" s="55">
        <v>353.39</v>
      </c>
      <c r="L20" s="55">
        <v>30.28</v>
      </c>
      <c r="M20" s="55">
        <v>69.209999999999994</v>
      </c>
      <c r="N20" s="55">
        <v>1012.80</v>
      </c>
      <c r="O20" s="55">
        <v>0</v>
      </c>
      <c r="P20" s="55">
        <v>0.27</v>
      </c>
      <c r="Q20" s="55">
        <v>9.4499999999999993</v>
      </c>
      <c r="R20" s="43"/>
      <c r="S20" s="43"/>
      <c r="T20" s="43"/>
      <c r="U20" s="43"/>
    </row>
    <row r="21" spans="1:21" s="11" customFormat="1" ht="15">
      <c r="A21" s="54" t="s">
        <v>653</v>
      </c>
      <c r="B21" s="55">
        <v>8.17</v>
      </c>
      <c r="C21" s="55">
        <v>3.24</v>
      </c>
      <c r="D21" s="55">
        <v>12.02</v>
      </c>
      <c r="E21" s="55">
        <v>4.03</v>
      </c>
      <c r="F21" s="55">
        <v>6.72</v>
      </c>
      <c r="G21" s="55">
        <v>31.70</v>
      </c>
      <c r="H21" s="55">
        <v>13.30</v>
      </c>
      <c r="I21" s="55">
        <v>2.21</v>
      </c>
      <c r="J21" s="55">
        <v>1.1299999999999999</v>
      </c>
      <c r="K21" s="55">
        <v>328.01</v>
      </c>
      <c r="L21" s="55">
        <v>33.47</v>
      </c>
      <c r="M21" s="55">
        <v>58.64</v>
      </c>
      <c r="N21" s="55">
        <v>1022.60</v>
      </c>
      <c r="O21" s="55">
        <v>0</v>
      </c>
      <c r="P21" s="55">
        <v>0.32</v>
      </c>
      <c r="Q21" s="55">
        <v>9.42</v>
      </c>
      <c r="R21" s="43"/>
      <c r="S21" s="43"/>
      <c r="T21" s="43"/>
      <c r="U21" s="43"/>
    </row>
    <row r="22" spans="1:21" s="11" customFormat="1" ht="15">
      <c r="A22" s="54" t="s">
        <v>654</v>
      </c>
      <c r="B22" s="55">
        <v>8.2899999999999991</v>
      </c>
      <c r="C22" s="55">
        <v>3.59</v>
      </c>
      <c r="D22" s="55">
        <v>12.30</v>
      </c>
      <c r="E22" s="55">
        <v>4.59</v>
      </c>
      <c r="F22" s="55">
        <v>6.20</v>
      </c>
      <c r="G22" s="55">
        <v>32.58</v>
      </c>
      <c r="H22" s="55">
        <v>13.40</v>
      </c>
      <c r="I22" s="55">
        <v>2.16</v>
      </c>
      <c r="J22" s="55">
        <v>0.66</v>
      </c>
      <c r="K22" s="55">
        <v>326.82</v>
      </c>
      <c r="L22" s="55">
        <v>33.880000000000003</v>
      </c>
      <c r="M22" s="55">
        <v>57.33</v>
      </c>
      <c r="N22" s="55">
        <v>914.70</v>
      </c>
      <c r="O22" s="55">
        <v>0</v>
      </c>
      <c r="P22" s="55">
        <v>0.36</v>
      </c>
      <c r="Q22" s="55">
        <v>9.40</v>
      </c>
      <c r="R22" s="43"/>
      <c r="S22" s="43"/>
      <c r="T22" s="43"/>
      <c r="U22" s="43"/>
    </row>
    <row r="23" spans="1:21" s="11" customFormat="1" ht="15">
      <c r="A23" s="54" t="s">
        <v>655</v>
      </c>
      <c r="B23" s="55">
        <v>8.25</v>
      </c>
      <c r="C23" s="55">
        <v>3.39</v>
      </c>
      <c r="D23" s="55">
        <v>12.13</v>
      </c>
      <c r="E23" s="55">
        <v>4.92</v>
      </c>
      <c r="F23" s="55">
        <v>10.119999999999999</v>
      </c>
      <c r="G23" s="55">
        <v>23.26</v>
      </c>
      <c r="H23" s="55">
        <v>9.8699999999999992</v>
      </c>
      <c r="I23" s="55">
        <v>3.42</v>
      </c>
      <c r="J23" s="55">
        <v>1.65</v>
      </c>
      <c r="K23" s="55">
        <v>290.45999999999998</v>
      </c>
      <c r="L23" s="55">
        <v>32.89</v>
      </c>
      <c r="M23" s="55">
        <v>60.90</v>
      </c>
      <c r="N23" s="55">
        <v>594.10</v>
      </c>
      <c r="O23" s="55">
        <v>0</v>
      </c>
      <c r="P23" s="55">
        <v>0.45</v>
      </c>
      <c r="Q23" s="55">
        <v>9.5500000000000007</v>
      </c>
      <c r="R23" s="43"/>
      <c r="S23" s="43"/>
      <c r="T23" s="43"/>
      <c r="U23" s="43"/>
    </row>
    <row r="24" spans="1:21" s="11" customFormat="1" ht="15">
      <c r="A24" s="54" t="s">
        <v>656</v>
      </c>
      <c r="B24" s="55">
        <v>8.19</v>
      </c>
      <c r="C24" s="55">
        <v>3.24</v>
      </c>
      <c r="D24" s="55">
        <v>12.04</v>
      </c>
      <c r="E24" s="55">
        <v>4.3600000000000003</v>
      </c>
      <c r="F24" s="55">
        <v>4.66</v>
      </c>
      <c r="G24" s="55">
        <v>36.94</v>
      </c>
      <c r="H24" s="55">
        <v>7.26</v>
      </c>
      <c r="I24" s="55">
        <v>5.43</v>
      </c>
      <c r="J24" s="55">
        <v>1.03</v>
      </c>
      <c r="K24" s="55">
        <v>325.06</v>
      </c>
      <c r="L24" s="55">
        <v>31.05</v>
      </c>
      <c r="M24" s="55">
        <v>58.98</v>
      </c>
      <c r="N24" s="55">
        <v>204.10</v>
      </c>
      <c r="O24" s="55">
        <v>0</v>
      </c>
      <c r="P24" s="55">
        <v>0.39</v>
      </c>
      <c r="Q24" s="55">
        <v>9.52</v>
      </c>
      <c r="R24" s="43"/>
      <c r="S24" s="43"/>
      <c r="T24" s="43"/>
      <c r="U24" s="43"/>
    </row>
    <row r="25" spans="1:21" s="11" customFormat="1" ht="15">
      <c r="A25" s="54" t="s">
        <v>657</v>
      </c>
      <c r="B25" s="55">
        <v>8.27</v>
      </c>
      <c r="C25" s="55">
        <v>3.69</v>
      </c>
      <c r="D25" s="55">
        <v>12.34</v>
      </c>
      <c r="E25" s="55">
        <v>4.4800000000000004</v>
      </c>
      <c r="F25" s="55">
        <v>4.41</v>
      </c>
      <c r="G25" s="55">
        <v>37.630000000000003</v>
      </c>
      <c r="H25" s="55">
        <v>7.54</v>
      </c>
      <c r="I25" s="55">
        <v>5.47</v>
      </c>
      <c r="J25" s="55">
        <v>1.77</v>
      </c>
      <c r="K25" s="55">
        <v>314.80</v>
      </c>
      <c r="L25" s="55">
        <v>31.37</v>
      </c>
      <c r="M25" s="55">
        <v>64.75</v>
      </c>
      <c r="N25" s="55">
        <v>186.90</v>
      </c>
      <c r="O25" s="55">
        <v>0</v>
      </c>
      <c r="P25" s="55">
        <v>0.39</v>
      </c>
      <c r="Q25" s="55">
        <v>9.51</v>
      </c>
      <c r="R25" s="43"/>
      <c r="S25" s="43"/>
      <c r="T25" s="43"/>
      <c r="U25" s="43"/>
    </row>
    <row r="26" spans="1:21" s="11" customFormat="1" ht="15">
      <c r="A26" s="54" t="s">
        <v>658</v>
      </c>
      <c r="B26" s="55">
        <v>8.25</v>
      </c>
      <c r="C26" s="55">
        <v>3.49</v>
      </c>
      <c r="D26" s="55">
        <v>12.21</v>
      </c>
      <c r="E26" s="55">
        <v>4.54</v>
      </c>
      <c r="F26" s="55">
        <v>4.53</v>
      </c>
      <c r="G26" s="55">
        <v>36.380000000000003</v>
      </c>
      <c r="H26" s="55">
        <v>7.99</v>
      </c>
      <c r="I26" s="55">
        <v>5.54</v>
      </c>
      <c r="J26" s="55">
        <v>2.33</v>
      </c>
      <c r="K26" s="55">
        <v>149.26</v>
      </c>
      <c r="L26" s="55">
        <v>29.92</v>
      </c>
      <c r="M26" s="55">
        <v>65.63</v>
      </c>
      <c r="N26" s="55">
        <v>83.10</v>
      </c>
      <c r="O26" s="55">
        <v>0</v>
      </c>
      <c r="P26" s="55">
        <v>0.34</v>
      </c>
      <c r="Q26" s="55">
        <v>9.49</v>
      </c>
      <c r="R26" s="43"/>
      <c r="S26" s="43"/>
      <c r="T26" s="43"/>
      <c r="U26" s="43"/>
    </row>
    <row r="27" spans="1:21" s="11" customFormat="1" ht="15">
      <c r="A27" s="54" t="s">
        <v>659</v>
      </c>
      <c r="B27" s="55">
        <v>8.25</v>
      </c>
      <c r="C27" s="55">
        <v>3.44</v>
      </c>
      <c r="D27" s="55">
        <v>12.19</v>
      </c>
      <c r="E27" s="55">
        <v>4.32</v>
      </c>
      <c r="F27" s="55">
        <v>4</v>
      </c>
      <c r="G27" s="55">
        <v>57.03</v>
      </c>
      <c r="H27" s="55">
        <v>8.02</v>
      </c>
      <c r="I27" s="55">
        <v>5.44</v>
      </c>
      <c r="J27" s="55">
        <v>1.53</v>
      </c>
      <c r="K27" s="55">
        <v>157.86000000000001</v>
      </c>
      <c r="L27" s="55">
        <v>29.31</v>
      </c>
      <c r="M27" s="55">
        <v>68.62</v>
      </c>
      <c r="N27" s="55">
        <v>45.5</v>
      </c>
      <c r="O27" s="55">
        <v>0</v>
      </c>
      <c r="P27" s="55">
        <v>0.32</v>
      </c>
      <c r="Q27" s="55">
        <v>9.49</v>
      </c>
      <c r="R27" s="43"/>
      <c r="S27" s="43"/>
      <c r="T27" s="43"/>
      <c r="U27" s="43"/>
    </row>
    <row r="28" spans="1:21" s="11" customFormat="1" ht="15">
      <c r="A28" s="54" t="s">
        <v>660</v>
      </c>
      <c r="B28" s="55">
        <v>8.25</v>
      </c>
      <c r="C28" s="55">
        <v>3.37</v>
      </c>
      <c r="D28" s="55">
        <v>12.15</v>
      </c>
      <c r="E28" s="55">
        <v>5.21</v>
      </c>
      <c r="F28" s="55">
        <v>3.70</v>
      </c>
      <c r="G28" s="55">
        <v>58.58</v>
      </c>
      <c r="H28" s="55">
        <v>11.17</v>
      </c>
      <c r="I28" s="55">
        <v>6.04</v>
      </c>
      <c r="J28" s="55">
        <v>1.19</v>
      </c>
      <c r="K28" s="55">
        <v>164.04</v>
      </c>
      <c r="L28" s="55">
        <v>28.71</v>
      </c>
      <c r="M28" s="55">
        <v>69.78</v>
      </c>
      <c r="N28" s="55">
        <v>18.5</v>
      </c>
      <c r="O28" s="55">
        <v>0</v>
      </c>
      <c r="P28" s="55">
        <v>0.34</v>
      </c>
      <c r="Q28" s="55">
        <v>9.4700000000000006</v>
      </c>
      <c r="R28" s="43"/>
      <c r="S28" s="43"/>
      <c r="T28" s="43"/>
      <c r="U28" s="43"/>
    </row>
    <row r="29" spans="1:21" s="11" customFormat="1" ht="15">
      <c r="A29" s="54" t="s">
        <v>661</v>
      </c>
      <c r="B29" s="55">
        <v>8.24</v>
      </c>
      <c r="C29" s="55">
        <v>3.35</v>
      </c>
      <c r="D29" s="55">
        <v>12.13</v>
      </c>
      <c r="E29" s="55">
        <v>5.25</v>
      </c>
      <c r="F29" s="55">
        <v>4.0999999999999996</v>
      </c>
      <c r="G29" s="55">
        <v>48.32</v>
      </c>
      <c r="H29" s="55">
        <v>12.77</v>
      </c>
      <c r="I29" s="55">
        <v>6.55</v>
      </c>
      <c r="J29" s="55">
        <v>1.55</v>
      </c>
      <c r="K29" s="55">
        <v>155.35</v>
      </c>
      <c r="L29" s="55">
        <v>28.38</v>
      </c>
      <c r="M29" s="55">
        <v>74.400000000000006</v>
      </c>
      <c r="N29" s="55">
        <v>18.600000000000001</v>
      </c>
      <c r="O29" s="55">
        <v>0</v>
      </c>
      <c r="P29" s="55">
        <v>0.39</v>
      </c>
      <c r="Q29" s="55">
        <v>9.5</v>
      </c>
      <c r="R29" s="43"/>
      <c r="S29" s="43"/>
      <c r="T29" s="43"/>
      <c r="U29" s="43"/>
    </row>
    <row r="30" spans="1:21" s="11" customFormat="1" ht="15">
      <c r="A30" s="54" t="s">
        <v>662</v>
      </c>
      <c r="B30" s="55">
        <v>8.27</v>
      </c>
      <c r="C30" s="55">
        <v>3.45</v>
      </c>
      <c r="D30" s="55">
        <v>12.21</v>
      </c>
      <c r="E30" s="55">
        <v>5.26</v>
      </c>
      <c r="F30" s="55">
        <v>3.99</v>
      </c>
      <c r="G30" s="55">
        <v>51.34</v>
      </c>
      <c r="H30" s="55">
        <v>15.46</v>
      </c>
      <c r="I30" s="55">
        <v>6.48</v>
      </c>
      <c r="J30" s="55">
        <v>1.32</v>
      </c>
      <c r="K30" s="55">
        <v>167.73</v>
      </c>
      <c r="L30" s="55">
        <v>27.66</v>
      </c>
      <c r="M30" s="55">
        <v>80.790000000000006</v>
      </c>
      <c r="N30" s="55">
        <v>18.5</v>
      </c>
      <c r="O30" s="55">
        <v>0</v>
      </c>
      <c r="P30" s="55">
        <v>0.41</v>
      </c>
      <c r="Q30" s="55">
        <v>9.52</v>
      </c>
      <c r="R30" s="43"/>
      <c r="S30" s="43"/>
      <c r="T30" s="43"/>
      <c r="U30" s="43"/>
    </row>
    <row r="31" spans="1:21" s="11" customFormat="1" ht="15">
      <c r="A31" s="54" t="s">
        <v>663</v>
      </c>
      <c r="B31" s="55">
        <v>8.35</v>
      </c>
      <c r="C31" s="55">
        <v>3.66</v>
      </c>
      <c r="D31" s="55">
        <v>12.38</v>
      </c>
      <c r="E31" s="55">
        <v>5.23</v>
      </c>
      <c r="F31" s="55">
        <v>3.45</v>
      </c>
      <c r="G31" s="55">
        <v>51.56</v>
      </c>
      <c r="H31" s="55">
        <v>15.62</v>
      </c>
      <c r="I31" s="55">
        <v>6.15</v>
      </c>
      <c r="J31" s="55">
        <v>1.37</v>
      </c>
      <c r="K31" s="55">
        <v>195.57</v>
      </c>
      <c r="L31" s="55">
        <v>26.99</v>
      </c>
      <c r="M31" s="55">
        <v>84.12</v>
      </c>
      <c r="N31" s="55">
        <v>18.5</v>
      </c>
      <c r="O31" s="55">
        <v>0</v>
      </c>
      <c r="P31" s="55">
        <v>0.41</v>
      </c>
      <c r="Q31" s="55">
        <v>9.5399999999999991</v>
      </c>
      <c r="R31" s="43"/>
      <c r="S31" s="43"/>
      <c r="T31" s="43"/>
      <c r="U31" s="43"/>
    </row>
    <row r="32" spans="1:21" s="11" customFormat="1" ht="15">
      <c r="A32" s="54" t="s">
        <v>664</v>
      </c>
      <c r="B32" s="55">
        <v>8.25</v>
      </c>
      <c r="C32" s="55">
        <v>3.24</v>
      </c>
      <c r="D32" s="55">
        <v>12.09</v>
      </c>
      <c r="E32" s="55">
        <v>5.26</v>
      </c>
      <c r="F32" s="55">
        <v>3.62</v>
      </c>
      <c r="G32" s="55">
        <v>40.770000000000003</v>
      </c>
      <c r="H32" s="55">
        <v>12.97</v>
      </c>
      <c r="I32" s="55">
        <v>5.88</v>
      </c>
      <c r="J32" s="55">
        <v>0.54</v>
      </c>
      <c r="K32" s="55">
        <v>168.72</v>
      </c>
      <c r="L32" s="55">
        <v>26.43</v>
      </c>
      <c r="M32" s="55">
        <v>86.59</v>
      </c>
      <c r="N32" s="55">
        <v>18.399999999999999</v>
      </c>
      <c r="O32" s="55">
        <v>0</v>
      </c>
      <c r="P32" s="55">
        <v>0.39</v>
      </c>
      <c r="Q32" s="55">
        <v>9.49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8.1400000000000006</v>
      </c>
      <c r="C34" s="28">
        <f t="shared" si="0"/>
        <v>3.1499999999999999</v>
      </c>
      <c r="D34" s="28">
        <f t="shared" si="0"/>
        <v>11.949999999999999</v>
      </c>
      <c r="E34" s="28">
        <f t="shared" si="0"/>
        <v>3.7000000000000002</v>
      </c>
      <c r="F34" s="28">
        <f t="shared" si="0"/>
        <v>3.4500000000000002</v>
      </c>
      <c r="G34" s="28">
        <f t="shared" si="0"/>
        <v>18.25</v>
      </c>
      <c r="H34" s="28">
        <f t="shared" si="0"/>
        <v>6.6799999999999997</v>
      </c>
      <c r="I34" s="28">
        <f t="shared" si="0"/>
        <v>2.1600000000000001</v>
      </c>
      <c r="J34" s="28">
        <f t="shared" si="0"/>
        <v>0.46000000000000002</v>
      </c>
      <c r="K34" s="28">
        <f t="shared" si="0"/>
        <v>149.25999999999999</v>
      </c>
      <c r="L34" s="28">
        <f t="shared" si="0"/>
        <v>23.539999999999999</v>
      </c>
      <c r="M34" s="28">
        <f t="shared" si="0"/>
        <v>57.329999999999998</v>
      </c>
      <c r="N34" s="28">
        <f t="shared" si="0"/>
        <v>18.399999999999999</v>
      </c>
      <c r="O34" s="28">
        <f t="shared" si="0"/>
        <v>0</v>
      </c>
      <c r="P34" s="28">
        <f t="shared" si="0"/>
        <v>0.27000000000000002</v>
      </c>
      <c r="Q34" s="28">
        <f t="shared" si="0"/>
        <v>9.4000000000000004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8.4100000000000001</v>
      </c>
      <c r="C35" s="29">
        <f t="shared" si="1"/>
        <v>3.9399999999999999</v>
      </c>
      <c r="D35" s="29">
        <f t="shared" si="1"/>
        <v>12.58</v>
      </c>
      <c r="E35" s="29">
        <f t="shared" si="1"/>
        <v>5.2599999999999998</v>
      </c>
      <c r="F35" s="29">
        <f t="shared" si="1"/>
        <v>10.119999999999999</v>
      </c>
      <c r="G35" s="29">
        <f t="shared" si="1"/>
        <v>58.579999999999998</v>
      </c>
      <c r="H35" s="29">
        <f t="shared" si="1"/>
        <v>15.619999999999999</v>
      </c>
      <c r="I35" s="29">
        <f t="shared" si="1"/>
        <v>6.8700000000000001</v>
      </c>
      <c r="J35" s="29">
        <f t="shared" si="1"/>
        <v>2.3300000000000001</v>
      </c>
      <c r="K35" s="29">
        <f t="shared" si="1"/>
        <v>353.38999999999999</v>
      </c>
      <c r="L35" s="29">
        <f t="shared" si="1"/>
        <v>33.880000000000003</v>
      </c>
      <c r="M35" s="29">
        <f t="shared" si="1"/>
        <v>98.349999999999994</v>
      </c>
      <c r="N35" s="29">
        <f t="shared" si="1"/>
        <v>1022.6</v>
      </c>
      <c r="O35" s="29">
        <f t="shared" si="1"/>
        <v>0</v>
      </c>
      <c r="P35" s="29">
        <f t="shared" si="1"/>
        <v>0.46999999999999997</v>
      </c>
      <c r="Q35" s="29">
        <f t="shared" si="1"/>
        <v>9.5700000000000003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8.2545833333333345</v>
      </c>
      <c r="C36" s="28">
        <f t="shared" si="2"/>
        <v>3.4345833333333329</v>
      </c>
      <c r="D36" s="28">
        <f t="shared" si="2"/>
        <v>12.186666666666666</v>
      </c>
      <c r="E36" s="28">
        <f t="shared" si="2"/>
        <v>4.6245833333333337</v>
      </c>
      <c r="F36" s="28">
        <f t="shared" si="2"/>
        <v>4.9158333333333335</v>
      </c>
      <c r="G36" s="28">
        <f t="shared" si="2"/>
        <v>34.149999999999999</v>
      </c>
      <c r="H36" s="28">
        <f t="shared" si="2"/>
        <v>10.929166666666669</v>
      </c>
      <c r="I36" s="28">
        <f t="shared" si="2"/>
        <v>5.5324999999999998</v>
      </c>
      <c r="J36" s="28">
        <f t="shared" si="2"/>
        <v>1.2816666666666667</v>
      </c>
      <c r="K36" s="28">
        <f t="shared" si="2"/>
        <v>213.10166666666666</v>
      </c>
      <c r="L36" s="28">
        <f t="shared" si="2"/>
        <v>27.94083333333333</v>
      </c>
      <c r="M36" s="28">
        <f t="shared" si="2"/>
        <v>80.450416666666669</v>
      </c>
      <c r="N36" s="28">
        <f t="shared" si="2"/>
        <v>296.05416666666673</v>
      </c>
      <c r="O36" s="28">
        <f t="shared" si="2"/>
        <v>0</v>
      </c>
      <c r="P36" s="28">
        <f t="shared" si="2"/>
        <v>0.35749999999999998</v>
      </c>
      <c r="Q36" s="28">
        <f t="shared" si="2"/>
        <v>9.5075000000000021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0.063450025981881611</v>
      </c>
      <c r="C37" s="28">
        <f t="shared" si="3" ref="C37:Q37">STDEV(C9:C32)</f>
        <v>0.18985072320496982</v>
      </c>
      <c r="D37" s="28">
        <f t="shared" si="3"/>
        <v>0.14695952316647468</v>
      </c>
      <c r="E37" s="28">
        <f t="shared" si="3"/>
        <v>0.45305704762843091</v>
      </c>
      <c r="F37" s="28">
        <f t="shared" si="3"/>
        <v>1.9384752337556581</v>
      </c>
      <c r="G37" s="28">
        <f t="shared" si="3"/>
        <v>11.624541505684929</v>
      </c>
      <c r="H37" s="28">
        <f t="shared" si="3"/>
        <v>2.6108684489975604</v>
      </c>
      <c r="I37" s="28">
        <f t="shared" si="3"/>
        <v>1.3030374214653748</v>
      </c>
      <c r="J37" s="28">
        <f t="shared" si="3"/>
        <v>0.4662679456079406</v>
      </c>
      <c r="K37" s="28">
        <f t="shared" si="3"/>
        <v>72.605822300171369</v>
      </c>
      <c r="L37" s="28">
        <f t="shared" si="3"/>
        <v>3.1773572785197817</v>
      </c>
      <c r="M37" s="28">
        <f t="shared" si="3"/>
        <v>15.293758738144717</v>
      </c>
      <c r="N37" s="28">
        <f t="shared" si="3"/>
        <v>373.64133345876036</v>
      </c>
      <c r="O37" s="28">
        <f t="shared" si="3"/>
        <v>0</v>
      </c>
      <c r="P37" s="28">
        <f t="shared" si="3"/>
        <v>0.058551352414485024</v>
      </c>
      <c r="Q37" s="28">
        <f t="shared" si="3"/>
        <v>0.047019884785241578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12624e-ca85-424f-b2d4-d517649af491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7"/>
      <c r="B8" s="58" t="s">
        <v>22</v>
      </c>
      <c r="C8" s="58" t="s">
        <v>22</v>
      </c>
      <c r="D8" s="29" t="s">
        <v>61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58" t="s">
        <v>22</v>
      </c>
      <c r="R8" s="27"/>
      <c r="S8" s="29"/>
      <c r="T8" s="27"/>
      <c r="U8" s="27"/>
    </row>
    <row r="9" spans="1:21" s="11" customFormat="1" ht="15">
      <c r="A9" s="54" t="s">
        <v>665</v>
      </c>
      <c r="B9" s="55">
        <v>8.26</v>
      </c>
      <c r="C9" s="55">
        <v>3.33</v>
      </c>
      <c r="D9" s="55">
        <v>12.14</v>
      </c>
      <c r="E9" s="55">
        <v>5.14</v>
      </c>
      <c r="F9" s="55">
        <v>4.53</v>
      </c>
      <c r="G9" s="55">
        <v>40.83</v>
      </c>
      <c r="H9" s="55">
        <v>15.01</v>
      </c>
      <c r="I9" s="55">
        <v>6.30</v>
      </c>
      <c r="J9" s="55">
        <v>0.79</v>
      </c>
      <c r="K9" s="55">
        <v>189.75</v>
      </c>
      <c r="L9" s="55">
        <v>25.95</v>
      </c>
      <c r="M9" s="55">
        <v>87.98</v>
      </c>
      <c r="N9" s="55">
        <v>18.30</v>
      </c>
      <c r="O9" s="55">
        <v>0</v>
      </c>
      <c r="P9" s="55">
        <v>0.37</v>
      </c>
      <c r="Q9" s="55">
        <v>9.49</v>
      </c>
      <c r="R9" s="43"/>
      <c r="S9" s="43"/>
      <c r="T9" s="43"/>
      <c r="U9" s="43"/>
    </row>
    <row r="10" spans="1:21" s="11" customFormat="1" ht="15">
      <c r="A10" s="54" t="s">
        <v>666</v>
      </c>
      <c r="B10" s="55">
        <v>8.23</v>
      </c>
      <c r="C10" s="55">
        <v>3.39</v>
      </c>
      <c r="D10" s="55">
        <v>12.14</v>
      </c>
      <c r="E10" s="55">
        <v>5.14</v>
      </c>
      <c r="F10" s="55">
        <v>4.04</v>
      </c>
      <c r="G10" s="55">
        <v>33.57</v>
      </c>
      <c r="H10" s="55">
        <v>15.11</v>
      </c>
      <c r="I10" s="55">
        <v>6.32</v>
      </c>
      <c r="J10" s="55">
        <v>0.68</v>
      </c>
      <c r="K10" s="55">
        <v>237.94</v>
      </c>
      <c r="L10" s="55">
        <v>25.56</v>
      </c>
      <c r="M10" s="55">
        <v>90.38</v>
      </c>
      <c r="N10" s="55">
        <v>18.399999999999999</v>
      </c>
      <c r="O10" s="55">
        <v>0</v>
      </c>
      <c r="P10" s="55">
        <v>0.36</v>
      </c>
      <c r="Q10" s="55">
        <v>9.4499999999999993</v>
      </c>
      <c r="R10" s="43"/>
      <c r="S10" s="43"/>
      <c r="T10" s="43"/>
      <c r="U10" s="43"/>
    </row>
    <row r="11" spans="1:21" s="11" customFormat="1" ht="15">
      <c r="A11" s="54" t="s">
        <v>667</v>
      </c>
      <c r="B11" s="55">
        <v>8.23</v>
      </c>
      <c r="C11" s="55">
        <v>3.37</v>
      </c>
      <c r="D11" s="55">
        <v>12.14</v>
      </c>
      <c r="E11" s="55">
        <v>4.92</v>
      </c>
      <c r="F11" s="55">
        <v>3.71</v>
      </c>
      <c r="G11" s="55">
        <v>30.67</v>
      </c>
      <c r="H11" s="55">
        <v>11.05</v>
      </c>
      <c r="I11" s="55">
        <v>5.75</v>
      </c>
      <c r="J11" s="55">
        <v>0.92</v>
      </c>
      <c r="K11" s="55">
        <v>183.33</v>
      </c>
      <c r="L11" s="55">
        <v>25.11</v>
      </c>
      <c r="M11" s="55">
        <v>91.56</v>
      </c>
      <c r="N11" s="55">
        <v>18.20</v>
      </c>
      <c r="O11" s="55">
        <v>0</v>
      </c>
      <c r="P11" s="55">
        <v>0.34</v>
      </c>
      <c r="Q11" s="55">
        <v>9.44</v>
      </c>
      <c r="R11" s="43"/>
      <c r="S11" s="43"/>
      <c r="T11" s="43"/>
      <c r="U11" s="43"/>
    </row>
    <row r="12" spans="1:21" s="11" customFormat="1" ht="15">
      <c r="A12" s="54" t="s">
        <v>668</v>
      </c>
      <c r="B12" s="55">
        <v>8.32</v>
      </c>
      <c r="C12" s="55">
        <v>3.48</v>
      </c>
      <c r="D12" s="55">
        <v>12.27</v>
      </c>
      <c r="E12" s="55">
        <v>5.18</v>
      </c>
      <c r="F12" s="55">
        <v>3.58</v>
      </c>
      <c r="G12" s="55">
        <v>22.16</v>
      </c>
      <c r="H12" s="55">
        <v>10.050000000000001</v>
      </c>
      <c r="I12" s="55">
        <v>5.34</v>
      </c>
      <c r="J12" s="55">
        <v>0.57999999999999996</v>
      </c>
      <c r="K12" s="55">
        <v>277.58</v>
      </c>
      <c r="L12" s="55">
        <v>24.95</v>
      </c>
      <c r="M12" s="55">
        <v>93.43</v>
      </c>
      <c r="N12" s="55">
        <v>18.5</v>
      </c>
      <c r="O12" s="55">
        <v>0</v>
      </c>
      <c r="P12" s="55">
        <v>0.32</v>
      </c>
      <c r="Q12" s="55">
        <v>9.44</v>
      </c>
      <c r="R12" s="43"/>
      <c r="S12" s="43"/>
      <c r="T12" s="43"/>
      <c r="U12" s="43"/>
    </row>
    <row r="13" spans="1:21" s="11" customFormat="1" ht="15">
      <c r="A13" s="54" t="s">
        <v>669</v>
      </c>
      <c r="B13" s="55">
        <v>8.2100000000000009</v>
      </c>
      <c r="C13" s="55">
        <v>3.16</v>
      </c>
      <c r="D13" s="55">
        <v>11.99</v>
      </c>
      <c r="E13" s="55">
        <v>4.32</v>
      </c>
      <c r="F13" s="55">
        <v>3.47</v>
      </c>
      <c r="G13" s="55">
        <v>25.70</v>
      </c>
      <c r="H13" s="55">
        <v>8.6199999999999992</v>
      </c>
      <c r="I13" s="55">
        <v>5.75</v>
      </c>
      <c r="J13" s="55">
        <v>0.98</v>
      </c>
      <c r="K13" s="55">
        <v>163.66</v>
      </c>
      <c r="L13" s="55">
        <v>24.95</v>
      </c>
      <c r="M13" s="55">
        <v>92.95</v>
      </c>
      <c r="N13" s="55">
        <v>18.30</v>
      </c>
      <c r="O13" s="55">
        <v>0</v>
      </c>
      <c r="P13" s="55">
        <v>0.31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670</v>
      </c>
      <c r="B14" s="55">
        <v>8.26</v>
      </c>
      <c r="C14" s="55">
        <v>3.24</v>
      </c>
      <c r="D14" s="55">
        <v>12.09</v>
      </c>
      <c r="E14" s="55">
        <v>4.74</v>
      </c>
      <c r="F14" s="55">
        <v>3.68</v>
      </c>
      <c r="G14" s="55">
        <v>25.86</v>
      </c>
      <c r="H14" s="55">
        <v>8.65</v>
      </c>
      <c r="I14" s="55">
        <v>6.31</v>
      </c>
      <c r="J14" s="55">
        <v>0.54</v>
      </c>
      <c r="K14" s="55">
        <v>306.20999999999998</v>
      </c>
      <c r="L14" s="55">
        <v>24.97</v>
      </c>
      <c r="M14" s="55">
        <v>95.08</v>
      </c>
      <c r="N14" s="55">
        <v>28.60</v>
      </c>
      <c r="O14" s="55">
        <v>0</v>
      </c>
      <c r="P14" s="55">
        <v>0.31</v>
      </c>
      <c r="Q14" s="55">
        <v>9.4499999999999993</v>
      </c>
      <c r="R14" s="43"/>
      <c r="S14" s="43"/>
      <c r="T14" s="43"/>
      <c r="U14" s="43"/>
    </row>
    <row r="15" spans="1:21" s="11" customFormat="1" ht="15">
      <c r="A15" s="54" t="s">
        <v>671</v>
      </c>
      <c r="B15" s="55">
        <v>8.4499999999999993</v>
      </c>
      <c r="C15" s="55">
        <v>3.84</v>
      </c>
      <c r="D15" s="55">
        <v>12.56</v>
      </c>
      <c r="E15" s="55">
        <v>4.83</v>
      </c>
      <c r="F15" s="55">
        <v>4.09</v>
      </c>
      <c r="G15" s="55">
        <v>25</v>
      </c>
      <c r="H15" s="55">
        <v>8.4600000000000009</v>
      </c>
      <c r="I15" s="55">
        <v>6.08</v>
      </c>
      <c r="J15" s="55">
        <v>0.71</v>
      </c>
      <c r="K15" s="55">
        <v>166.89</v>
      </c>
      <c r="L15" s="55">
        <v>25.16</v>
      </c>
      <c r="M15" s="55">
        <v>94.02</v>
      </c>
      <c r="N15" s="55">
        <v>55.10</v>
      </c>
      <c r="O15" s="55">
        <v>0</v>
      </c>
      <c r="P15" s="55">
        <v>0.32</v>
      </c>
      <c r="Q15" s="55">
        <v>9.4600000000000009</v>
      </c>
      <c r="R15" s="43"/>
      <c r="S15" s="43"/>
      <c r="T15" s="43"/>
      <c r="U15" s="43"/>
    </row>
    <row r="16" spans="1:21" s="11" customFormat="1" ht="15">
      <c r="A16" s="54" t="s">
        <v>672</v>
      </c>
      <c r="B16" s="55">
        <v>8.26</v>
      </c>
      <c r="C16" s="55">
        <v>3.33</v>
      </c>
      <c r="D16" s="55">
        <v>12.14</v>
      </c>
      <c r="E16" s="55">
        <v>4.72</v>
      </c>
      <c r="F16" s="55">
        <v>4.07</v>
      </c>
      <c r="G16" s="55">
        <v>28.33</v>
      </c>
      <c r="H16" s="55">
        <v>12.78</v>
      </c>
      <c r="I16" s="55">
        <v>5.51</v>
      </c>
      <c r="J16" s="55">
        <v>1.44</v>
      </c>
      <c r="K16" s="55">
        <v>231.81</v>
      </c>
      <c r="L16" s="55">
        <v>25.87</v>
      </c>
      <c r="M16" s="55">
        <v>90.65</v>
      </c>
      <c r="N16" s="55">
        <v>147.69999999999999</v>
      </c>
      <c r="O16" s="55">
        <v>0</v>
      </c>
      <c r="P16" s="55">
        <v>0.33</v>
      </c>
      <c r="Q16" s="55">
        <v>9.48</v>
      </c>
      <c r="R16" s="43"/>
      <c r="S16" s="43"/>
      <c r="T16" s="43"/>
      <c r="U16" s="43"/>
    </row>
    <row r="17" spans="1:21" s="11" customFormat="1" ht="15">
      <c r="A17" s="54" t="s">
        <v>673</v>
      </c>
      <c r="B17" s="55">
        <v>8.48</v>
      </c>
      <c r="C17" s="55">
        <v>3.84</v>
      </c>
      <c r="D17" s="55">
        <v>12.58</v>
      </c>
      <c r="E17" s="55">
        <v>4.34</v>
      </c>
      <c r="F17" s="55">
        <v>3.74</v>
      </c>
      <c r="G17" s="55">
        <v>28.61</v>
      </c>
      <c r="H17" s="55">
        <v>13.03</v>
      </c>
      <c r="I17" s="55">
        <v>5.87</v>
      </c>
      <c r="J17" s="55">
        <v>1.1399999999999999</v>
      </c>
      <c r="K17" s="55">
        <v>162</v>
      </c>
      <c r="L17" s="55">
        <v>27.88</v>
      </c>
      <c r="M17" s="55">
        <v>86.03</v>
      </c>
      <c r="N17" s="55">
        <v>455.40</v>
      </c>
      <c r="O17" s="55">
        <v>0</v>
      </c>
      <c r="P17" s="55">
        <v>0.32</v>
      </c>
      <c r="Q17" s="55">
        <v>9.44</v>
      </c>
      <c r="R17" s="43"/>
      <c r="S17" s="43"/>
      <c r="T17" s="43"/>
      <c r="U17" s="43"/>
    </row>
    <row r="18" spans="1:21" s="11" customFormat="1" ht="15">
      <c r="A18" s="54" t="s">
        <v>674</v>
      </c>
      <c r="B18" s="55">
        <v>8.2200000000000006</v>
      </c>
      <c r="C18" s="55">
        <v>3.18</v>
      </c>
      <c r="D18" s="55">
        <v>12</v>
      </c>
      <c r="E18" s="55">
        <v>4.0199999999999996</v>
      </c>
      <c r="F18" s="55">
        <v>4.46</v>
      </c>
      <c r="G18" s="55">
        <v>29.80</v>
      </c>
      <c r="H18" s="55">
        <v>11.34</v>
      </c>
      <c r="I18" s="55">
        <v>6.23</v>
      </c>
      <c r="J18" s="55">
        <v>0.80</v>
      </c>
      <c r="K18" s="55">
        <v>344.73</v>
      </c>
      <c r="L18" s="55">
        <v>31.30</v>
      </c>
      <c r="M18" s="55">
        <v>75.489999999999995</v>
      </c>
      <c r="N18" s="55">
        <v>781.70</v>
      </c>
      <c r="O18" s="55">
        <v>0</v>
      </c>
      <c r="P18" s="55">
        <v>0.33</v>
      </c>
      <c r="Q18" s="55">
        <v>9.4700000000000006</v>
      </c>
      <c r="R18" s="43"/>
      <c r="S18" s="43"/>
      <c r="T18" s="43"/>
      <c r="U18" s="43"/>
    </row>
    <row r="19" spans="1:21" s="11" customFormat="1" ht="15">
      <c r="A19" s="54" t="s">
        <v>675</v>
      </c>
      <c r="B19" s="55">
        <v>8.27</v>
      </c>
      <c r="C19" s="55">
        <v>3.56</v>
      </c>
      <c r="D19" s="55">
        <v>12.27</v>
      </c>
      <c r="E19" s="55">
        <v>4.07</v>
      </c>
      <c r="F19" s="55">
        <v>5</v>
      </c>
      <c r="G19" s="55">
        <v>29.89</v>
      </c>
      <c r="H19" s="55">
        <v>11.44</v>
      </c>
      <c r="I19" s="55">
        <v>5.86</v>
      </c>
      <c r="J19" s="55">
        <v>0.74</v>
      </c>
      <c r="K19" s="55">
        <v>342.73</v>
      </c>
      <c r="L19" s="55">
        <v>33.840000000000003</v>
      </c>
      <c r="M19" s="55">
        <v>55.02</v>
      </c>
      <c r="N19" s="55">
        <v>961</v>
      </c>
      <c r="O19" s="55">
        <v>0</v>
      </c>
      <c r="P19" s="55">
        <v>0.37</v>
      </c>
      <c r="Q19" s="55">
        <v>9.4499999999999993</v>
      </c>
      <c r="R19" s="43"/>
      <c r="S19" s="43"/>
      <c r="T19" s="43"/>
      <c r="U19" s="43"/>
    </row>
    <row r="20" spans="1:21" s="11" customFormat="1" ht="15">
      <c r="A20" s="54" t="s">
        <v>676</v>
      </c>
      <c r="B20" s="55">
        <v>8.2100000000000009</v>
      </c>
      <c r="C20" s="55">
        <v>3.35</v>
      </c>
      <c r="D20" s="55">
        <v>12.11</v>
      </c>
      <c r="E20" s="55">
        <v>4.28</v>
      </c>
      <c r="F20" s="55">
        <v>5.18</v>
      </c>
      <c r="G20" s="55">
        <v>33.08</v>
      </c>
      <c r="H20" s="55">
        <v>10.47</v>
      </c>
      <c r="I20" s="55">
        <v>4.1500000000000004</v>
      </c>
      <c r="J20" s="55">
        <v>1.1100000000000001</v>
      </c>
      <c r="K20" s="55">
        <v>335.09</v>
      </c>
      <c r="L20" s="55">
        <v>35.69</v>
      </c>
      <c r="M20" s="55">
        <v>50.26</v>
      </c>
      <c r="N20" s="55">
        <v>1010.70</v>
      </c>
      <c r="O20" s="55">
        <v>0</v>
      </c>
      <c r="P20" s="55">
        <v>0.42</v>
      </c>
      <c r="Q20" s="55">
        <v>9.41</v>
      </c>
      <c r="R20" s="43"/>
      <c r="S20" s="43"/>
      <c r="T20" s="43"/>
      <c r="U20" s="43"/>
    </row>
    <row r="21" spans="1:21" s="11" customFormat="1" ht="15">
      <c r="A21" s="54" t="s">
        <v>677</v>
      </c>
      <c r="B21" s="55">
        <v>8.31</v>
      </c>
      <c r="C21" s="55">
        <v>3.75</v>
      </c>
      <c r="D21" s="55">
        <v>12.40</v>
      </c>
      <c r="E21" s="55">
        <v>4.4800000000000004</v>
      </c>
      <c r="F21" s="55">
        <v>5.0199999999999996</v>
      </c>
      <c r="G21" s="55">
        <v>35.51</v>
      </c>
      <c r="H21" s="55">
        <v>14.32</v>
      </c>
      <c r="I21" s="55">
        <v>3.43</v>
      </c>
      <c r="J21" s="55">
        <v>1.1100000000000001</v>
      </c>
      <c r="K21" s="55">
        <v>357.66</v>
      </c>
      <c r="L21" s="55">
        <v>34.25</v>
      </c>
      <c r="M21" s="55">
        <v>50.80</v>
      </c>
      <c r="N21" s="55">
        <v>683</v>
      </c>
      <c r="O21" s="55">
        <v>0</v>
      </c>
      <c r="P21" s="55">
        <v>0.45</v>
      </c>
      <c r="Q21" s="55">
        <v>9.36</v>
      </c>
      <c r="R21" s="43"/>
      <c r="S21" s="43"/>
      <c r="T21" s="43"/>
      <c r="U21" s="43"/>
    </row>
    <row r="22" spans="1:21" s="11" customFormat="1" ht="15">
      <c r="A22" s="54" t="s">
        <v>678</v>
      </c>
      <c r="B22" s="55">
        <v>8.18</v>
      </c>
      <c r="C22" s="55">
        <v>3.13</v>
      </c>
      <c r="D22" s="55">
        <v>11.97</v>
      </c>
      <c r="E22" s="55">
        <v>4.63</v>
      </c>
      <c r="F22" s="55">
        <v>4.4000000000000004</v>
      </c>
      <c r="G22" s="55">
        <v>47.37</v>
      </c>
      <c r="H22" s="55">
        <v>18.96</v>
      </c>
      <c r="I22" s="55">
        <v>3.98</v>
      </c>
      <c r="J22" s="55">
        <v>1.49</v>
      </c>
      <c r="K22" s="55">
        <v>333.02</v>
      </c>
      <c r="L22" s="55">
        <v>35.54</v>
      </c>
      <c r="M22" s="55">
        <v>46.79</v>
      </c>
      <c r="N22" s="55">
        <v>784.5</v>
      </c>
      <c r="O22" s="55">
        <v>0</v>
      </c>
      <c r="P22" s="55">
        <v>0.5</v>
      </c>
      <c r="Q22" s="55">
        <v>9.35</v>
      </c>
      <c r="R22" s="43"/>
      <c r="S22" s="43"/>
      <c r="T22" s="43"/>
      <c r="U22" s="43"/>
    </row>
    <row r="23" spans="1:21" s="11" customFormat="1" ht="15">
      <c r="A23" s="54" t="s">
        <v>679</v>
      </c>
      <c r="B23" s="55">
        <v>8.23</v>
      </c>
      <c r="C23" s="55">
        <v>3.27</v>
      </c>
      <c r="D23" s="55">
        <v>12.08</v>
      </c>
      <c r="E23" s="55">
        <v>4.57</v>
      </c>
      <c r="F23" s="55">
        <v>5.05</v>
      </c>
      <c r="G23" s="55">
        <v>47.92</v>
      </c>
      <c r="H23" s="55">
        <v>19.170000000000002</v>
      </c>
      <c r="I23" s="55">
        <v>4.68</v>
      </c>
      <c r="J23" s="55">
        <v>1.25</v>
      </c>
      <c r="K23" s="55">
        <v>334.16</v>
      </c>
      <c r="L23" s="55">
        <v>35.270000000000003</v>
      </c>
      <c r="M23" s="55">
        <v>46.72</v>
      </c>
      <c r="N23" s="55">
        <v>749.10</v>
      </c>
      <c r="O23" s="55">
        <v>0</v>
      </c>
      <c r="P23" s="55">
        <v>0.51</v>
      </c>
      <c r="Q23" s="55">
        <v>9.39</v>
      </c>
      <c r="R23" s="43"/>
      <c r="S23" s="43"/>
      <c r="T23" s="43"/>
      <c r="U23" s="43"/>
    </row>
    <row r="24" spans="1:21" s="11" customFormat="1" ht="15">
      <c r="A24" s="54" t="s">
        <v>680</v>
      </c>
      <c r="B24" s="55">
        <v>8.19</v>
      </c>
      <c r="C24" s="55">
        <v>3.38</v>
      </c>
      <c r="D24" s="55">
        <v>12.11</v>
      </c>
      <c r="E24" s="55">
        <v>4.20</v>
      </c>
      <c r="F24" s="55">
        <v>4.96</v>
      </c>
      <c r="G24" s="55">
        <v>50.54</v>
      </c>
      <c r="H24" s="55">
        <v>17.329999999999998</v>
      </c>
      <c r="I24" s="55">
        <v>4.68</v>
      </c>
      <c r="J24" s="55">
        <v>0.69</v>
      </c>
      <c r="K24" s="55">
        <v>346.70</v>
      </c>
      <c r="L24" s="55">
        <v>34.85</v>
      </c>
      <c r="M24" s="55">
        <v>47.85</v>
      </c>
      <c r="N24" s="55">
        <v>381.70</v>
      </c>
      <c r="O24" s="55">
        <v>0</v>
      </c>
      <c r="P24" s="55">
        <v>0.51</v>
      </c>
      <c r="Q24" s="55">
        <v>9.42</v>
      </c>
      <c r="R24" s="43"/>
      <c r="S24" s="43"/>
      <c r="T24" s="43"/>
      <c r="U24" s="43"/>
    </row>
    <row r="25" spans="1:21" s="11" customFormat="1" ht="15">
      <c r="A25" s="54" t="s">
        <v>681</v>
      </c>
      <c r="B25" s="55">
        <v>8.2100000000000009</v>
      </c>
      <c r="C25" s="55">
        <v>3.43</v>
      </c>
      <c r="D25" s="55">
        <v>12.15</v>
      </c>
      <c r="E25" s="55">
        <v>4.2300000000000004</v>
      </c>
      <c r="F25" s="55">
        <v>5.62</v>
      </c>
      <c r="G25" s="55">
        <v>50.96</v>
      </c>
      <c r="H25" s="55">
        <v>15.5</v>
      </c>
      <c r="I25" s="55">
        <v>4.5999999999999996</v>
      </c>
      <c r="J25" s="55">
        <v>0.54</v>
      </c>
      <c r="K25" s="55">
        <v>192.97</v>
      </c>
      <c r="L25" s="55">
        <v>32.26</v>
      </c>
      <c r="M25" s="55">
        <v>53.72</v>
      </c>
      <c r="N25" s="55">
        <v>99.80</v>
      </c>
      <c r="O25" s="55">
        <v>0</v>
      </c>
      <c r="P25" s="55">
        <v>0.5</v>
      </c>
      <c r="Q25" s="55">
        <v>9.42</v>
      </c>
      <c r="R25" s="43"/>
      <c r="S25" s="43"/>
      <c r="T25" s="43"/>
      <c r="U25" s="43"/>
    </row>
    <row r="26" spans="1:21" s="11" customFormat="1" ht="15">
      <c r="A26" s="54" t="s">
        <v>682</v>
      </c>
      <c r="B26" s="55">
        <v>8.1999999999999993</v>
      </c>
      <c r="C26" s="55">
        <v>3.25</v>
      </c>
      <c r="D26" s="55">
        <v>12.04</v>
      </c>
      <c r="E26" s="55">
        <v>4.3099999999999996</v>
      </c>
      <c r="F26" s="55">
        <v>5.20</v>
      </c>
      <c r="G26" s="55">
        <v>47.12</v>
      </c>
      <c r="H26" s="55">
        <v>18.239999999999998</v>
      </c>
      <c r="I26" s="55">
        <v>4.47</v>
      </c>
      <c r="J26" s="55">
        <v>0.51</v>
      </c>
      <c r="K26" s="55">
        <v>359.27</v>
      </c>
      <c r="L26" s="55">
        <v>31.24</v>
      </c>
      <c r="M26" s="55">
        <v>55.18</v>
      </c>
      <c r="N26" s="55">
        <v>73.400000000000006</v>
      </c>
      <c r="O26" s="55">
        <v>0</v>
      </c>
      <c r="P26" s="55">
        <v>0.52</v>
      </c>
      <c r="Q26" s="55">
        <v>9.35</v>
      </c>
      <c r="R26" s="43"/>
      <c r="S26" s="43"/>
      <c r="T26" s="43"/>
      <c r="U26" s="43"/>
    </row>
    <row r="27" spans="1:21" s="11" customFormat="1" ht="15">
      <c r="A27" s="54" t="s">
        <v>683</v>
      </c>
      <c r="B27" s="55">
        <v>8.2200000000000006</v>
      </c>
      <c r="C27" s="55">
        <v>3.27</v>
      </c>
      <c r="D27" s="55">
        <v>12.07</v>
      </c>
      <c r="E27" s="55">
        <v>4.20</v>
      </c>
      <c r="F27" s="55">
        <v>4.25</v>
      </c>
      <c r="G27" s="55">
        <v>47.53</v>
      </c>
      <c r="H27" s="55">
        <v>18.66</v>
      </c>
      <c r="I27" s="55">
        <v>5.07</v>
      </c>
      <c r="J27" s="55">
        <v>0.61</v>
      </c>
      <c r="K27" s="55">
        <v>223.04</v>
      </c>
      <c r="L27" s="55">
        <v>31.23</v>
      </c>
      <c r="M27" s="55">
        <v>58.75</v>
      </c>
      <c r="N27" s="55">
        <v>56.70</v>
      </c>
      <c r="O27" s="55">
        <v>0</v>
      </c>
      <c r="P27" s="55">
        <v>0.53</v>
      </c>
      <c r="Q27" s="55">
        <v>9.3800000000000008</v>
      </c>
      <c r="R27" s="43"/>
      <c r="S27" s="43"/>
      <c r="T27" s="43"/>
      <c r="U27" s="43"/>
    </row>
    <row r="28" spans="1:21" s="11" customFormat="1" ht="15">
      <c r="A28" s="54" t="s">
        <v>684</v>
      </c>
      <c r="B28" s="55">
        <v>8.25</v>
      </c>
      <c r="C28" s="55">
        <v>3.51</v>
      </c>
      <c r="D28" s="55">
        <v>12.23</v>
      </c>
      <c r="E28" s="55">
        <v>4.51</v>
      </c>
      <c r="F28" s="55">
        <v>4.29</v>
      </c>
      <c r="G28" s="55">
        <v>60.31</v>
      </c>
      <c r="H28" s="55">
        <v>23.23</v>
      </c>
      <c r="I28" s="55">
        <v>5.93</v>
      </c>
      <c r="J28" s="55">
        <v>1.18</v>
      </c>
      <c r="K28" s="55">
        <v>171.20</v>
      </c>
      <c r="L28" s="55">
        <v>30.13</v>
      </c>
      <c r="M28" s="55">
        <v>64.599999999999994</v>
      </c>
      <c r="N28" s="55">
        <v>17.600000000000001</v>
      </c>
      <c r="O28" s="55">
        <v>0</v>
      </c>
      <c r="P28" s="55">
        <v>0.52</v>
      </c>
      <c r="Q28" s="55">
        <v>9.43</v>
      </c>
      <c r="R28" s="43"/>
      <c r="S28" s="43"/>
      <c r="T28" s="43"/>
      <c r="U28" s="43"/>
    </row>
    <row r="29" spans="1:21" s="11" customFormat="1" ht="15">
      <c r="A29" s="54" t="s">
        <v>685</v>
      </c>
      <c r="B29" s="55">
        <v>8.1999999999999993</v>
      </c>
      <c r="C29" s="55">
        <v>3.37</v>
      </c>
      <c r="D29" s="55">
        <v>12.10</v>
      </c>
      <c r="E29" s="55">
        <v>4.6500000000000004</v>
      </c>
      <c r="F29" s="55">
        <v>4.1900000000000004</v>
      </c>
      <c r="G29" s="55">
        <v>62.83</v>
      </c>
      <c r="H29" s="55">
        <v>23.44</v>
      </c>
      <c r="I29" s="55">
        <v>5.92</v>
      </c>
      <c r="J29" s="55">
        <v>1.06</v>
      </c>
      <c r="K29" s="55">
        <v>155.52000000000001</v>
      </c>
      <c r="L29" s="55">
        <v>29.83</v>
      </c>
      <c r="M29" s="55">
        <v>64.83</v>
      </c>
      <c r="N29" s="55">
        <v>17.600000000000001</v>
      </c>
      <c r="O29" s="55">
        <v>0</v>
      </c>
      <c r="P29" s="55">
        <v>0.53</v>
      </c>
      <c r="Q29" s="55">
        <v>9.4600000000000009</v>
      </c>
      <c r="R29" s="43"/>
      <c r="S29" s="43"/>
      <c r="T29" s="43"/>
      <c r="U29" s="43"/>
    </row>
    <row r="30" spans="1:21" s="11" customFormat="1" ht="15">
      <c r="A30" s="54" t="s">
        <v>686</v>
      </c>
      <c r="B30" s="55">
        <v>8.18</v>
      </c>
      <c r="C30" s="55">
        <v>3.31</v>
      </c>
      <c r="D30" s="55">
        <v>12.06</v>
      </c>
      <c r="E30" s="55">
        <v>4.28</v>
      </c>
      <c r="F30" s="55">
        <v>3.78</v>
      </c>
      <c r="G30" s="55">
        <v>62.92</v>
      </c>
      <c r="H30" s="55">
        <v>22.03</v>
      </c>
      <c r="I30" s="55">
        <v>5.90</v>
      </c>
      <c r="J30" s="55">
        <v>0.84</v>
      </c>
      <c r="K30" s="55">
        <v>173.26</v>
      </c>
      <c r="L30" s="55">
        <v>29.24</v>
      </c>
      <c r="M30" s="55">
        <v>70.34</v>
      </c>
      <c r="N30" s="55">
        <v>17.70</v>
      </c>
      <c r="O30" s="55">
        <v>0</v>
      </c>
      <c r="P30" s="55">
        <v>0.53</v>
      </c>
      <c r="Q30" s="55">
        <v>9.48</v>
      </c>
      <c r="R30" s="43"/>
      <c r="S30" s="43"/>
      <c r="T30" s="43"/>
      <c r="U30" s="43"/>
    </row>
    <row r="31" spans="1:21" s="11" customFormat="1" ht="15">
      <c r="A31" s="54" t="s">
        <v>687</v>
      </c>
      <c r="B31" s="55">
        <v>8.27</v>
      </c>
      <c r="C31" s="55">
        <v>3.37</v>
      </c>
      <c r="D31" s="55">
        <v>12.17</v>
      </c>
      <c r="E31" s="55">
        <v>4.29</v>
      </c>
      <c r="F31" s="55">
        <v>3.70</v>
      </c>
      <c r="G31" s="55">
        <v>54.61</v>
      </c>
      <c r="H31" s="55">
        <v>22.28</v>
      </c>
      <c r="I31" s="55">
        <v>6</v>
      </c>
      <c r="J31" s="55">
        <v>0.28000000000000003</v>
      </c>
      <c r="K31" s="55">
        <v>334.78</v>
      </c>
      <c r="L31" s="55">
        <v>28.33</v>
      </c>
      <c r="M31" s="55">
        <v>74.17</v>
      </c>
      <c r="N31" s="55">
        <v>17.600000000000001</v>
      </c>
      <c r="O31" s="55">
        <v>0</v>
      </c>
      <c r="P31" s="55">
        <v>0.52</v>
      </c>
      <c r="Q31" s="55">
        <v>9.43</v>
      </c>
      <c r="R31" s="43"/>
      <c r="S31" s="43"/>
      <c r="T31" s="43"/>
      <c r="U31" s="43"/>
    </row>
    <row r="32" spans="1:21" s="11" customFormat="1" ht="15">
      <c r="A32" s="54" t="s">
        <v>688</v>
      </c>
      <c r="B32" s="55">
        <v>8.2799999999999994</v>
      </c>
      <c r="C32" s="55">
        <v>3.36</v>
      </c>
      <c r="D32" s="55">
        <v>12.17</v>
      </c>
      <c r="E32" s="55">
        <v>5.23</v>
      </c>
      <c r="F32" s="55">
        <v>3.93</v>
      </c>
      <c r="G32" s="55">
        <v>48.72</v>
      </c>
      <c r="H32" s="55">
        <v>18.41</v>
      </c>
      <c r="I32" s="55">
        <v>6</v>
      </c>
      <c r="J32" s="55">
        <v>0.99</v>
      </c>
      <c r="K32" s="55">
        <v>310.10000000000002</v>
      </c>
      <c r="L32" s="55">
        <v>27.81</v>
      </c>
      <c r="M32" s="55">
        <v>75.150000000000006</v>
      </c>
      <c r="N32" s="55">
        <v>17.399999999999999</v>
      </c>
      <c r="O32" s="55">
        <v>0</v>
      </c>
      <c r="P32" s="55">
        <v>0.49</v>
      </c>
      <c r="Q32" s="55">
        <v>9.4700000000000006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8.1799999999999997</v>
      </c>
      <c r="C34" s="28">
        <f t="shared" si="0"/>
        <v>3.1299999999999999</v>
      </c>
      <c r="D34" s="28">
        <f t="shared" si="0"/>
        <v>11.970000000000001</v>
      </c>
      <c r="E34" s="28">
        <f t="shared" si="0"/>
        <v>4.0199999999999996</v>
      </c>
      <c r="F34" s="28">
        <f t="shared" si="0"/>
        <v>3.4700000000000002</v>
      </c>
      <c r="G34" s="28">
        <f t="shared" si="0"/>
        <v>22.16</v>
      </c>
      <c r="H34" s="28">
        <f t="shared" si="0"/>
        <v>8.4600000000000009</v>
      </c>
      <c r="I34" s="28">
        <f t="shared" si="0"/>
        <v>3.4300000000000002</v>
      </c>
      <c r="J34" s="28">
        <f t="shared" si="0"/>
        <v>0.28000000000000003</v>
      </c>
      <c r="K34" s="28">
        <f t="shared" si="0"/>
        <v>155.52000000000001</v>
      </c>
      <c r="L34" s="28">
        <f t="shared" si="0"/>
        <v>24.949999999999999</v>
      </c>
      <c r="M34" s="28">
        <f t="shared" si="0"/>
        <v>46.719999999999999</v>
      </c>
      <c r="N34" s="28">
        <f t="shared" si="0"/>
        <v>17.399999999999999</v>
      </c>
      <c r="O34" s="28">
        <f t="shared" si="0"/>
        <v>0</v>
      </c>
      <c r="P34" s="28">
        <f t="shared" si="0"/>
        <v>0.31</v>
      </c>
      <c r="Q34" s="28">
        <f t="shared" si="0"/>
        <v>9.3499999999999996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8.4800000000000004</v>
      </c>
      <c r="C35" s="29">
        <f t="shared" si="1"/>
        <v>3.8399999999999999</v>
      </c>
      <c r="D35" s="29">
        <f t="shared" si="1"/>
        <v>12.58</v>
      </c>
      <c r="E35" s="29">
        <f t="shared" si="1"/>
        <v>5.2300000000000004</v>
      </c>
      <c r="F35" s="29">
        <f t="shared" si="1"/>
        <v>5.6200000000000001</v>
      </c>
      <c r="G35" s="29">
        <f t="shared" si="1"/>
        <v>62.920000000000002</v>
      </c>
      <c r="H35" s="29">
        <f t="shared" si="1"/>
        <v>23.440000000000001</v>
      </c>
      <c r="I35" s="29">
        <f t="shared" si="1"/>
        <v>6.3200000000000003</v>
      </c>
      <c r="J35" s="29">
        <f t="shared" si="1"/>
        <v>1.49</v>
      </c>
      <c r="K35" s="29">
        <f t="shared" si="1"/>
        <v>359.26999999999998</v>
      </c>
      <c r="L35" s="29">
        <f t="shared" si="1"/>
        <v>35.689999999999998</v>
      </c>
      <c r="M35" s="29">
        <f t="shared" si="1"/>
        <v>95.079999999999998</v>
      </c>
      <c r="N35" s="29">
        <f t="shared" si="1"/>
        <v>1010.7</v>
      </c>
      <c r="O35" s="29">
        <f t="shared" si="1"/>
        <v>0</v>
      </c>
      <c r="P35" s="29">
        <f t="shared" si="1"/>
        <v>0.53000000000000003</v>
      </c>
      <c r="Q35" s="29">
        <f t="shared" si="1"/>
        <v>9.4900000000000002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8.2550000000000008</v>
      </c>
      <c r="C36" s="28">
        <f t="shared" si="2"/>
        <v>3.3945833333333346</v>
      </c>
      <c r="D36" s="28">
        <f t="shared" si="2"/>
        <v>12.165833333333333</v>
      </c>
      <c r="E36" s="28">
        <f t="shared" si="2"/>
        <v>4.5533333333333346</v>
      </c>
      <c r="F36" s="28">
        <f t="shared" si="2"/>
        <v>4.3308333333333344</v>
      </c>
      <c r="G36" s="28">
        <f t="shared" si="2"/>
        <v>40.410000000000004</v>
      </c>
      <c r="H36" s="28">
        <f t="shared" si="2"/>
        <v>15.315833333333332</v>
      </c>
      <c r="I36" s="28">
        <f t="shared" si="2"/>
        <v>5.4220833333333331</v>
      </c>
      <c r="J36" s="28">
        <f t="shared" si="2"/>
        <v>0.87416666666666654</v>
      </c>
      <c r="K36" s="28">
        <f t="shared" si="2"/>
        <v>259.72500000000002</v>
      </c>
      <c r="L36" s="28">
        <f t="shared" si="2"/>
        <v>29.633750000000003</v>
      </c>
      <c r="M36" s="28">
        <f t="shared" si="2"/>
        <v>71.322916666666657</v>
      </c>
      <c r="N36" s="28">
        <f t="shared" si="2"/>
        <v>268.66666666666669</v>
      </c>
      <c r="O36" s="28">
        <f t="shared" si="2"/>
        <v>0</v>
      </c>
      <c r="P36" s="28">
        <f t="shared" si="2"/>
        <v>0.42541666666666661</v>
      </c>
      <c r="Q36" s="28">
        <f t="shared" si="2"/>
        <v>9.4308333333333323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0.074891225468501368</v>
      </c>
      <c r="C37" s="28">
        <f t="shared" si="3" ref="C37:Q37">STDEV(C9:C32)</f>
        <v>0.19110614320582803</v>
      </c>
      <c r="D37" s="28">
        <f t="shared" si="3"/>
        <v>0.1570354893886293</v>
      </c>
      <c r="E37" s="28">
        <f t="shared" si="3"/>
        <v>0.36626987753348056</v>
      </c>
      <c r="F37" s="28">
        <f t="shared" si="3"/>
        <v>0.61144815036085165</v>
      </c>
      <c r="G37" s="28">
        <f t="shared" si="3"/>
        <v>12.882642181059641</v>
      </c>
      <c r="H37" s="28">
        <f t="shared" si="3"/>
        <v>4.8141096216512764</v>
      </c>
      <c r="I37" s="28">
        <f t="shared" si="3"/>
        <v>0.8327272071028281</v>
      </c>
      <c r="J37" s="28">
        <f t="shared" si="3"/>
        <v>0.30737198348562028</v>
      </c>
      <c r="K37" s="28">
        <f t="shared" si="3"/>
        <v>77.957921091249872</v>
      </c>
      <c r="L37" s="28">
        <f t="shared" si="3"/>
        <v>3.8635383787853854</v>
      </c>
      <c r="M37" s="28">
        <f t="shared" si="3"/>
        <v>17.96343592561357</v>
      </c>
      <c r="N37" s="28">
        <f t="shared" si="3"/>
        <v>353.08274269412505</v>
      </c>
      <c r="O37" s="28">
        <f t="shared" si="3"/>
        <v>0</v>
      </c>
      <c r="P37" s="28">
        <f t="shared" si="3"/>
        <v>0.089878138110137645</v>
      </c>
      <c r="Q37" s="28">
        <f t="shared" si="3"/>
        <v>0.040423482915435488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002338-3c6f-4597-9161-052e7b5ba30a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2" t="s">
        <v>21</v>
      </c>
      <c r="B7" s="53" t="s">
        <v>58</v>
      </c>
      <c r="C7" s="53" t="s">
        <v>43</v>
      </c>
      <c r="D7" s="53" t="s">
        <v>44</v>
      </c>
      <c r="E7" s="53" t="s">
        <v>45</v>
      </c>
      <c r="F7" s="53" t="s">
        <v>46</v>
      </c>
      <c r="G7" s="53" t="s">
        <v>47</v>
      </c>
      <c r="H7" s="53" t="s">
        <v>48</v>
      </c>
      <c r="I7" s="53" t="s">
        <v>49</v>
      </c>
      <c r="J7" s="53" t="s">
        <v>50</v>
      </c>
      <c r="K7" s="53" t="s">
        <v>51</v>
      </c>
      <c r="L7" s="53" t="s">
        <v>52</v>
      </c>
      <c r="M7" s="53" t="s">
        <v>53</v>
      </c>
      <c r="N7" s="53" t="s">
        <v>54</v>
      </c>
      <c r="O7" s="53" t="s">
        <v>55</v>
      </c>
      <c r="P7" s="53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59"/>
      <c r="B8" s="60" t="s">
        <v>22</v>
      </c>
      <c r="C8" s="60" t="s">
        <v>22</v>
      </c>
      <c r="D8" s="29" t="s">
        <v>61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689</v>
      </c>
      <c r="B9" s="55">
        <v>8.33</v>
      </c>
      <c r="C9" s="55">
        <v>3.62</v>
      </c>
      <c r="D9" s="55">
        <v>12.34</v>
      </c>
      <c r="E9" s="55">
        <v>4.99</v>
      </c>
      <c r="F9" s="55">
        <v>4.01</v>
      </c>
      <c r="G9" s="55">
        <v>47.53</v>
      </c>
      <c r="H9" s="55">
        <v>18.09</v>
      </c>
      <c r="I9" s="55">
        <v>6.09</v>
      </c>
      <c r="J9" s="55">
        <v>1.58</v>
      </c>
      <c r="K9" s="55">
        <v>151.10</v>
      </c>
      <c r="L9" s="55">
        <v>27.57</v>
      </c>
      <c r="M9" s="55">
        <v>77.05</v>
      </c>
      <c r="N9" s="55">
        <v>17.600000000000001</v>
      </c>
      <c r="O9" s="55">
        <v>0</v>
      </c>
      <c r="P9" s="55">
        <v>0.45</v>
      </c>
      <c r="Q9" s="55">
        <v>9.4700000000000006</v>
      </c>
      <c r="R9" s="43"/>
      <c r="S9" s="43"/>
      <c r="T9" s="43"/>
      <c r="U9" s="43"/>
    </row>
    <row r="10" spans="1:21" s="11" customFormat="1" ht="15">
      <c r="A10" s="54" t="s">
        <v>690</v>
      </c>
      <c r="B10" s="55">
        <v>8.23</v>
      </c>
      <c r="C10" s="55">
        <v>3.31</v>
      </c>
      <c r="D10" s="55">
        <v>12.10</v>
      </c>
      <c r="E10" s="55">
        <v>5.03</v>
      </c>
      <c r="F10" s="55">
        <v>4.0599999999999996</v>
      </c>
      <c r="G10" s="55">
        <v>42.47</v>
      </c>
      <c r="H10" s="55">
        <v>18.149999999999999</v>
      </c>
      <c r="I10" s="55">
        <v>5.74</v>
      </c>
      <c r="J10" s="55">
        <v>1.28</v>
      </c>
      <c r="K10" s="55">
        <v>154.85</v>
      </c>
      <c r="L10" s="55">
        <v>26.86</v>
      </c>
      <c r="M10" s="55">
        <v>77.27</v>
      </c>
      <c r="N10" s="55">
        <v>17.5</v>
      </c>
      <c r="O10" s="55">
        <v>0</v>
      </c>
      <c r="P10" s="55">
        <v>0.39</v>
      </c>
      <c r="Q10" s="55">
        <v>9.43</v>
      </c>
      <c r="R10" s="43"/>
      <c r="S10" s="43"/>
      <c r="T10" s="43"/>
      <c r="U10" s="43"/>
    </row>
    <row r="11" spans="1:21" s="11" customFormat="1" ht="15">
      <c r="A11" s="54" t="s">
        <v>691</v>
      </c>
      <c r="B11" s="55">
        <v>8.25</v>
      </c>
      <c r="C11" s="55">
        <v>3.24</v>
      </c>
      <c r="D11" s="55">
        <v>12.06</v>
      </c>
      <c r="E11" s="55">
        <v>5.23</v>
      </c>
      <c r="F11" s="55">
        <v>3.76</v>
      </c>
      <c r="G11" s="55">
        <v>38.909999999999997</v>
      </c>
      <c r="H11" s="55">
        <v>15.34</v>
      </c>
      <c r="I11" s="55">
        <v>5.32</v>
      </c>
      <c r="J11" s="55">
        <v>1.31</v>
      </c>
      <c r="K11" s="55">
        <v>180.72</v>
      </c>
      <c r="L11" s="55">
        <v>26.79</v>
      </c>
      <c r="M11" s="55">
        <v>79.709999999999994</v>
      </c>
      <c r="N11" s="55">
        <v>17.399999999999999</v>
      </c>
      <c r="O11" s="55">
        <v>0</v>
      </c>
      <c r="P11" s="55">
        <v>0.36</v>
      </c>
      <c r="Q11" s="55">
        <v>9.43</v>
      </c>
      <c r="R11" s="43"/>
      <c r="S11" s="43"/>
      <c r="T11" s="43"/>
      <c r="U11" s="43"/>
    </row>
    <row r="12" spans="1:21" s="11" customFormat="1" ht="15">
      <c r="A12" s="54" t="s">
        <v>692</v>
      </c>
      <c r="B12" s="55">
        <v>8.23</v>
      </c>
      <c r="C12" s="55">
        <v>3.22</v>
      </c>
      <c r="D12" s="55">
        <v>12.06</v>
      </c>
      <c r="E12" s="55">
        <v>5.15</v>
      </c>
      <c r="F12" s="55">
        <v>3.43</v>
      </c>
      <c r="G12" s="55">
        <v>36.53</v>
      </c>
      <c r="H12" s="55">
        <v>15.15</v>
      </c>
      <c r="I12" s="55">
        <v>5.73</v>
      </c>
      <c r="J12" s="55">
        <v>1.02</v>
      </c>
      <c r="K12" s="55">
        <v>152.49</v>
      </c>
      <c r="L12" s="55">
        <v>26.52</v>
      </c>
      <c r="M12" s="55">
        <v>82</v>
      </c>
      <c r="N12" s="55">
        <v>17.399999999999999</v>
      </c>
      <c r="O12" s="55">
        <v>0</v>
      </c>
      <c r="P12" s="55">
        <v>0.32</v>
      </c>
      <c r="Q12" s="55">
        <v>9.41</v>
      </c>
      <c r="R12" s="43"/>
      <c r="S12" s="43"/>
      <c r="T12" s="43"/>
      <c r="U12" s="43"/>
    </row>
    <row r="13" spans="1:21" s="11" customFormat="1" ht="15">
      <c r="A13" s="54" t="s">
        <v>693</v>
      </c>
      <c r="B13" s="55">
        <v>8.2899999999999991</v>
      </c>
      <c r="C13" s="55">
        <v>3.43</v>
      </c>
      <c r="D13" s="55">
        <v>12.21</v>
      </c>
      <c r="E13" s="55">
        <v>3.67</v>
      </c>
      <c r="F13" s="55">
        <v>4.1100000000000003</v>
      </c>
      <c r="G13" s="55">
        <v>33.72</v>
      </c>
      <c r="H13" s="55">
        <v>12.52</v>
      </c>
      <c r="I13" s="55">
        <v>6.35</v>
      </c>
      <c r="J13" s="55">
        <v>0.77</v>
      </c>
      <c r="K13" s="55">
        <v>232.08</v>
      </c>
      <c r="L13" s="55">
        <v>26.20</v>
      </c>
      <c r="M13" s="55">
        <v>84.46</v>
      </c>
      <c r="N13" s="55">
        <v>17.399999999999999</v>
      </c>
      <c r="O13" s="55">
        <v>0</v>
      </c>
      <c r="P13" s="55">
        <v>0.31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694</v>
      </c>
      <c r="B14" s="55">
        <v>8.17</v>
      </c>
      <c r="C14" s="55">
        <v>3.17</v>
      </c>
      <c r="D14" s="55">
        <v>11.98</v>
      </c>
      <c r="E14" s="55">
        <v>3.64</v>
      </c>
      <c r="F14" s="55">
        <v>4.05</v>
      </c>
      <c r="G14" s="55">
        <v>32.46</v>
      </c>
      <c r="H14" s="55">
        <v>13</v>
      </c>
      <c r="I14" s="55">
        <v>5.88</v>
      </c>
      <c r="J14" s="55">
        <v>0.28000000000000003</v>
      </c>
      <c r="K14" s="55">
        <v>359.78</v>
      </c>
      <c r="L14" s="55">
        <v>25.95</v>
      </c>
      <c r="M14" s="55">
        <v>85.72</v>
      </c>
      <c r="N14" s="55">
        <v>49.10</v>
      </c>
      <c r="O14" s="55">
        <v>0</v>
      </c>
      <c r="P14" s="55">
        <v>0.30</v>
      </c>
      <c r="Q14" s="55">
        <v>9.42</v>
      </c>
      <c r="R14" s="43"/>
      <c r="S14" s="43"/>
      <c r="T14" s="43"/>
      <c r="U14" s="43"/>
    </row>
    <row r="15" spans="1:21" s="11" customFormat="1" ht="15">
      <c r="A15" s="54" t="s">
        <v>695</v>
      </c>
      <c r="B15" s="55">
        <v>8.5</v>
      </c>
      <c r="C15" s="55">
        <v>3.99</v>
      </c>
      <c r="D15" s="55">
        <v>12.68</v>
      </c>
      <c r="E15" s="55">
        <v>3.91</v>
      </c>
      <c r="F15" s="55">
        <v>3.91</v>
      </c>
      <c r="G15" s="55">
        <v>34.82</v>
      </c>
      <c r="H15" s="55">
        <v>13.02</v>
      </c>
      <c r="I15" s="55">
        <v>5.24</v>
      </c>
      <c r="J15" s="55">
        <v>0.38</v>
      </c>
      <c r="K15" s="55">
        <v>230.16</v>
      </c>
      <c r="L15" s="55">
        <v>26.70</v>
      </c>
      <c r="M15" s="55">
        <v>85.89</v>
      </c>
      <c r="N15" s="55">
        <v>144.80000000000001</v>
      </c>
      <c r="O15" s="55">
        <v>0</v>
      </c>
      <c r="P15" s="55">
        <v>0.30</v>
      </c>
      <c r="Q15" s="55">
        <v>9.4499999999999993</v>
      </c>
      <c r="R15" s="43"/>
      <c r="S15" s="43"/>
      <c r="T15" s="43"/>
      <c r="U15" s="43"/>
    </row>
    <row r="16" spans="1:21" s="11" customFormat="1" ht="15">
      <c r="A16" s="54" t="s">
        <v>696</v>
      </c>
      <c r="B16" s="55">
        <v>8.18</v>
      </c>
      <c r="C16" s="55">
        <v>3.11</v>
      </c>
      <c r="D16" s="55">
        <v>11.95</v>
      </c>
      <c r="E16" s="55">
        <v>5.38</v>
      </c>
      <c r="F16" s="55">
        <v>3.81</v>
      </c>
      <c r="G16" s="55">
        <v>34.92</v>
      </c>
      <c r="H16" s="55">
        <v>12.35</v>
      </c>
      <c r="I16" s="55">
        <v>5.14</v>
      </c>
      <c r="J16" s="55">
        <v>1.55</v>
      </c>
      <c r="K16" s="55">
        <v>191.20</v>
      </c>
      <c r="L16" s="55">
        <v>28.53</v>
      </c>
      <c r="M16" s="55">
        <v>82.34</v>
      </c>
      <c r="N16" s="55">
        <v>334.10</v>
      </c>
      <c r="O16" s="55">
        <v>0</v>
      </c>
      <c r="P16" s="55">
        <v>0.35</v>
      </c>
      <c r="Q16" s="55">
        <v>9.44</v>
      </c>
      <c r="R16" s="43"/>
      <c r="S16" s="43"/>
      <c r="T16" s="43"/>
      <c r="U16" s="43"/>
    </row>
    <row r="17" spans="1:21" s="11" customFormat="1" ht="15">
      <c r="A17" s="54" t="s">
        <v>697</v>
      </c>
      <c r="B17" s="55">
        <v>8.2200000000000006</v>
      </c>
      <c r="C17" s="55">
        <v>3.20</v>
      </c>
      <c r="D17" s="55">
        <v>12.04</v>
      </c>
      <c r="E17" s="55">
        <v>5.30</v>
      </c>
      <c r="F17" s="55">
        <v>3.94</v>
      </c>
      <c r="G17" s="55">
        <v>35.15</v>
      </c>
      <c r="H17" s="55">
        <v>12.49</v>
      </c>
      <c r="I17" s="55">
        <v>6.13</v>
      </c>
      <c r="J17" s="55">
        <v>0.99</v>
      </c>
      <c r="K17" s="55">
        <v>334.78</v>
      </c>
      <c r="L17" s="55">
        <v>32.61</v>
      </c>
      <c r="M17" s="55">
        <v>72.430000000000007</v>
      </c>
      <c r="N17" s="55">
        <v>539.79999999999995</v>
      </c>
      <c r="O17" s="55">
        <v>0</v>
      </c>
      <c r="P17" s="55">
        <v>0.36</v>
      </c>
      <c r="Q17" s="55">
        <v>9.43</v>
      </c>
      <c r="R17" s="43"/>
      <c r="S17" s="43"/>
      <c r="T17" s="43"/>
      <c r="U17" s="43"/>
    </row>
    <row r="18" spans="1:21" s="11" customFormat="1" ht="15">
      <c r="A18" s="54" t="s">
        <v>698</v>
      </c>
      <c r="B18" s="55">
        <v>8.19</v>
      </c>
      <c r="C18" s="55">
        <v>3.34</v>
      </c>
      <c r="D18" s="55">
        <v>12.09</v>
      </c>
      <c r="E18" s="55">
        <v>5.25</v>
      </c>
      <c r="F18" s="55">
        <v>4.55</v>
      </c>
      <c r="G18" s="55">
        <v>39.17</v>
      </c>
      <c r="H18" s="55">
        <v>12.12</v>
      </c>
      <c r="I18" s="55">
        <v>6.03</v>
      </c>
      <c r="J18" s="55">
        <v>0.47</v>
      </c>
      <c r="K18" s="55">
        <v>341.92</v>
      </c>
      <c r="L18" s="55">
        <v>32.340000000000003</v>
      </c>
      <c r="M18" s="55">
        <v>58.88</v>
      </c>
      <c r="N18" s="55">
        <v>585.29999999999995</v>
      </c>
      <c r="O18" s="55">
        <v>0</v>
      </c>
      <c r="P18" s="55">
        <v>0.39</v>
      </c>
      <c r="Q18" s="55">
        <v>9.4499999999999993</v>
      </c>
      <c r="R18" s="43"/>
      <c r="S18" s="43"/>
      <c r="T18" s="43"/>
      <c r="U18" s="43"/>
    </row>
    <row r="19" spans="1:21" s="11" customFormat="1" ht="15">
      <c r="A19" s="54" t="s">
        <v>699</v>
      </c>
      <c r="B19" s="55">
        <v>8.2200000000000006</v>
      </c>
      <c r="C19" s="55">
        <v>3.48</v>
      </c>
      <c r="D19" s="55">
        <v>12.19</v>
      </c>
      <c r="E19" s="55">
        <v>5.34</v>
      </c>
      <c r="F19" s="55">
        <v>9.27</v>
      </c>
      <c r="G19" s="55">
        <v>39.36</v>
      </c>
      <c r="H19" s="55">
        <v>12.15</v>
      </c>
      <c r="I19" s="55">
        <v>4.80</v>
      </c>
      <c r="J19" s="55">
        <v>1.34</v>
      </c>
      <c r="K19" s="55">
        <v>345.06</v>
      </c>
      <c r="L19" s="55">
        <v>36.53</v>
      </c>
      <c r="M19" s="55">
        <v>51.83</v>
      </c>
      <c r="N19" s="55">
        <v>787.5</v>
      </c>
      <c r="O19" s="55">
        <v>0</v>
      </c>
      <c r="P19" s="55">
        <v>0.56999999999999995</v>
      </c>
      <c r="Q19" s="55">
        <v>9.42</v>
      </c>
      <c r="R19" s="43"/>
      <c r="S19" s="43"/>
      <c r="T19" s="43"/>
      <c r="U19" s="43"/>
    </row>
    <row r="20" spans="1:21" s="11" customFormat="1" ht="15">
      <c r="A20" s="54" t="s">
        <v>700</v>
      </c>
      <c r="B20" s="55">
        <v>9.11</v>
      </c>
      <c r="C20" s="55">
        <v>3.72</v>
      </c>
      <c r="D20" s="55">
        <v>12.76</v>
      </c>
      <c r="E20" s="61" t="s">
        <v>14</v>
      </c>
      <c r="F20" s="55">
        <v>8.57</v>
      </c>
      <c r="G20" s="61" t="s">
        <v>14</v>
      </c>
      <c r="H20" s="61" t="s">
        <v>14</v>
      </c>
      <c r="I20" s="55">
        <v>6.47</v>
      </c>
      <c r="J20" s="55">
        <v>0.56999999999999995</v>
      </c>
      <c r="K20" s="55">
        <v>353.05</v>
      </c>
      <c r="L20" s="55">
        <v>34.68</v>
      </c>
      <c r="M20" s="55">
        <v>52.30</v>
      </c>
      <c r="N20" s="55">
        <v>841.40</v>
      </c>
      <c r="O20" s="55">
        <v>0</v>
      </c>
      <c r="P20" s="55">
        <v>0.61</v>
      </c>
      <c r="Q20" s="55">
        <v>9.36</v>
      </c>
      <c r="R20" s="43"/>
      <c r="S20" s="43"/>
      <c r="T20" s="43"/>
      <c r="U20" s="43"/>
    </row>
    <row r="21" spans="1:21" s="11" customFormat="1" ht="15">
      <c r="A21" s="54" t="s">
        <v>701</v>
      </c>
      <c r="B21" s="55">
        <v>8.40</v>
      </c>
      <c r="C21" s="55">
        <v>3.36</v>
      </c>
      <c r="D21" s="55">
        <v>12.23</v>
      </c>
      <c r="E21" s="61" t="s">
        <v>14</v>
      </c>
      <c r="F21" s="55">
        <v>16.329999999999998</v>
      </c>
      <c r="G21" s="61" t="s">
        <v>14</v>
      </c>
      <c r="H21" s="61" t="s">
        <v>14</v>
      </c>
      <c r="I21" s="55">
        <v>12.05</v>
      </c>
      <c r="J21" s="55">
        <v>1.41</v>
      </c>
      <c r="K21" s="55">
        <v>342.21</v>
      </c>
      <c r="L21" s="55">
        <v>37.14</v>
      </c>
      <c r="M21" s="55">
        <v>51.02</v>
      </c>
      <c r="N21" s="55">
        <v>981.90</v>
      </c>
      <c r="O21" s="55">
        <v>0</v>
      </c>
      <c r="P21" s="55">
        <v>0.61</v>
      </c>
      <c r="Q21" s="55">
        <v>9.3699999999999992</v>
      </c>
      <c r="R21" s="43"/>
      <c r="S21" s="43"/>
      <c r="T21" s="43"/>
      <c r="U21" s="43"/>
    </row>
    <row r="22" spans="1:21" s="11" customFormat="1" ht="15">
      <c r="A22" s="54" t="s">
        <v>702</v>
      </c>
      <c r="B22" s="55">
        <v>8.18</v>
      </c>
      <c r="C22" s="55">
        <v>3.46</v>
      </c>
      <c r="D22" s="55">
        <v>12.14</v>
      </c>
      <c r="E22" s="61" t="s">
        <v>14</v>
      </c>
      <c r="F22" s="55">
        <v>8.85</v>
      </c>
      <c r="G22" s="61" t="s">
        <v>14</v>
      </c>
      <c r="H22" s="61" t="s">
        <v>14</v>
      </c>
      <c r="I22" s="55">
        <v>10.53</v>
      </c>
      <c r="J22" s="55">
        <v>1.88</v>
      </c>
      <c r="K22" s="55">
        <v>322.55</v>
      </c>
      <c r="L22" s="55">
        <v>36.03</v>
      </c>
      <c r="M22" s="55">
        <v>53.27</v>
      </c>
      <c r="N22" s="55">
        <v>582.29999999999995</v>
      </c>
      <c r="O22" s="55">
        <v>0</v>
      </c>
      <c r="P22" s="55">
        <v>0.52</v>
      </c>
      <c r="Q22" s="55">
        <v>9.4499999999999993</v>
      </c>
      <c r="R22" s="43"/>
      <c r="S22" s="43"/>
      <c r="T22" s="43"/>
      <c r="U22" s="43"/>
    </row>
    <row r="23" spans="1:21" s="11" customFormat="1" ht="15">
      <c r="A23" s="54" t="s">
        <v>703</v>
      </c>
      <c r="B23" s="55">
        <v>8.18</v>
      </c>
      <c r="C23" s="55">
        <v>3.37</v>
      </c>
      <c r="D23" s="55">
        <v>12.09</v>
      </c>
      <c r="E23" s="61" t="s">
        <v>14</v>
      </c>
      <c r="F23" s="55">
        <v>6.03</v>
      </c>
      <c r="G23" s="61" t="s">
        <v>14</v>
      </c>
      <c r="H23" s="61" t="s">
        <v>14</v>
      </c>
      <c r="I23" s="55">
        <v>8.7899999999999991</v>
      </c>
      <c r="J23" s="55">
        <v>0.97</v>
      </c>
      <c r="K23" s="55">
        <v>341.81</v>
      </c>
      <c r="L23" s="55">
        <v>35.65</v>
      </c>
      <c r="M23" s="55">
        <v>50.95</v>
      </c>
      <c r="N23" s="55">
        <v>708.80</v>
      </c>
      <c r="O23" s="55">
        <v>0</v>
      </c>
      <c r="P23" s="55">
        <v>0.5</v>
      </c>
      <c r="Q23" s="55">
        <v>9.43</v>
      </c>
      <c r="R23" s="43"/>
      <c r="S23" s="43"/>
      <c r="T23" s="43"/>
      <c r="U23" s="43"/>
    </row>
    <row r="24" spans="1:21" s="11" customFormat="1" ht="15">
      <c r="A24" s="54" t="s">
        <v>704</v>
      </c>
      <c r="B24" s="55">
        <v>8.16</v>
      </c>
      <c r="C24" s="55">
        <v>3.27</v>
      </c>
      <c r="D24" s="55">
        <v>12.03</v>
      </c>
      <c r="E24" s="61" t="s">
        <v>14</v>
      </c>
      <c r="F24" s="55">
        <v>9.2799999999999994</v>
      </c>
      <c r="G24" s="61" t="s">
        <v>14</v>
      </c>
      <c r="H24" s="61" t="s">
        <v>14</v>
      </c>
      <c r="I24" s="55">
        <v>7.69</v>
      </c>
      <c r="J24" s="55">
        <v>1.27</v>
      </c>
      <c r="K24" s="55">
        <v>200.10</v>
      </c>
      <c r="L24" s="55">
        <v>32.67</v>
      </c>
      <c r="M24" s="55">
        <v>74.67</v>
      </c>
      <c r="N24" s="55">
        <v>144.60</v>
      </c>
      <c r="O24" s="55">
        <v>0</v>
      </c>
      <c r="P24" s="55">
        <v>0.48</v>
      </c>
      <c r="Q24" s="55">
        <v>9.36</v>
      </c>
      <c r="R24" s="43"/>
      <c r="S24" s="43"/>
      <c r="T24" s="43"/>
      <c r="U24" s="43"/>
    </row>
    <row r="25" spans="1:21" s="11" customFormat="1" ht="15">
      <c r="A25" s="54" t="s">
        <v>705</v>
      </c>
      <c r="B25" s="55">
        <v>8.25</v>
      </c>
      <c r="C25" s="55">
        <v>3.49</v>
      </c>
      <c r="D25" s="55">
        <v>12.21</v>
      </c>
      <c r="E25" s="61" t="s">
        <v>14</v>
      </c>
      <c r="F25" s="55">
        <v>12.66</v>
      </c>
      <c r="G25" s="61" t="s">
        <v>14</v>
      </c>
      <c r="H25" s="61" t="s">
        <v>14</v>
      </c>
      <c r="I25" s="55">
        <v>6.64</v>
      </c>
      <c r="J25" s="55">
        <v>3.31</v>
      </c>
      <c r="K25" s="55">
        <v>343.73</v>
      </c>
      <c r="L25" s="55">
        <v>26.89</v>
      </c>
      <c r="M25" s="55">
        <v>87.32</v>
      </c>
      <c r="N25" s="55">
        <v>86</v>
      </c>
      <c r="O25" s="55">
        <v>0</v>
      </c>
      <c r="P25" s="55">
        <v>0.34</v>
      </c>
      <c r="Q25" s="55">
        <v>9.34</v>
      </c>
      <c r="R25" s="43"/>
      <c r="S25" s="43"/>
      <c r="T25" s="43"/>
      <c r="U25" s="43"/>
    </row>
    <row r="26" spans="1:21" s="11" customFormat="1" ht="15">
      <c r="A26" s="54" t="s">
        <v>706</v>
      </c>
      <c r="B26" s="55">
        <v>8.23</v>
      </c>
      <c r="C26" s="55">
        <v>3.21</v>
      </c>
      <c r="D26" s="55">
        <v>12.05</v>
      </c>
      <c r="E26" s="61" t="s">
        <v>14</v>
      </c>
      <c r="F26" s="55">
        <v>9.10</v>
      </c>
      <c r="G26" s="61" t="s">
        <v>14</v>
      </c>
      <c r="H26" s="61" t="s">
        <v>14</v>
      </c>
      <c r="I26" s="55">
        <v>3.33</v>
      </c>
      <c r="J26" s="55">
        <v>2.08</v>
      </c>
      <c r="K26" s="55">
        <v>335.79</v>
      </c>
      <c r="L26" s="55">
        <v>24.38</v>
      </c>
      <c r="M26" s="55">
        <v>98.35</v>
      </c>
      <c r="N26" s="55">
        <v>21</v>
      </c>
      <c r="O26" s="55">
        <v>5.20</v>
      </c>
      <c r="P26" s="55">
        <v>0.37</v>
      </c>
      <c r="Q26" s="55">
        <v>9.36</v>
      </c>
      <c r="R26" s="43"/>
      <c r="S26" s="43"/>
      <c r="T26" s="43"/>
      <c r="U26" s="43"/>
    </row>
    <row r="27" spans="1:21" s="11" customFormat="1" ht="15">
      <c r="A27" s="54" t="s">
        <v>707</v>
      </c>
      <c r="B27" s="55">
        <v>8.19</v>
      </c>
      <c r="C27" s="55">
        <v>3.24</v>
      </c>
      <c r="D27" s="55">
        <v>12.03</v>
      </c>
      <c r="E27" s="61" t="s">
        <v>14</v>
      </c>
      <c r="F27" s="55">
        <v>4.54</v>
      </c>
      <c r="G27" s="61" t="s">
        <v>14</v>
      </c>
      <c r="H27" s="61" t="s">
        <v>14</v>
      </c>
      <c r="I27" s="55">
        <v>4.16</v>
      </c>
      <c r="J27" s="55">
        <v>0.98</v>
      </c>
      <c r="K27" s="55">
        <v>353.49</v>
      </c>
      <c r="L27" s="55">
        <v>23.63</v>
      </c>
      <c r="M27" s="55">
        <v>98.37</v>
      </c>
      <c r="N27" s="55">
        <v>18.20</v>
      </c>
      <c r="O27" s="55">
        <v>0.20</v>
      </c>
      <c r="P27" s="55">
        <v>0.44</v>
      </c>
      <c r="Q27" s="55">
        <v>9.42</v>
      </c>
      <c r="R27" s="43"/>
      <c r="S27" s="43"/>
      <c r="T27" s="43"/>
      <c r="U27" s="43"/>
    </row>
    <row r="28" spans="1:21" s="11" customFormat="1" ht="15">
      <c r="A28" s="54" t="s">
        <v>708</v>
      </c>
      <c r="B28" s="55">
        <v>8.26</v>
      </c>
      <c r="C28" s="55">
        <v>3.44</v>
      </c>
      <c r="D28" s="55">
        <v>12.19</v>
      </c>
      <c r="E28" s="61" t="s">
        <v>14</v>
      </c>
      <c r="F28" s="55">
        <v>4.04</v>
      </c>
      <c r="G28" s="61" t="s">
        <v>14</v>
      </c>
      <c r="H28" s="61" t="s">
        <v>14</v>
      </c>
      <c r="I28" s="55">
        <v>4.37</v>
      </c>
      <c r="J28" s="55">
        <v>1.92</v>
      </c>
      <c r="K28" s="55">
        <v>176.16</v>
      </c>
      <c r="L28" s="55">
        <v>23.45</v>
      </c>
      <c r="M28" s="55">
        <v>98.37</v>
      </c>
      <c r="N28" s="55">
        <v>18.80</v>
      </c>
      <c r="O28" s="55">
        <v>0.20</v>
      </c>
      <c r="P28" s="55">
        <v>0.45</v>
      </c>
      <c r="Q28" s="55">
        <v>9.44</v>
      </c>
      <c r="R28" s="43"/>
      <c r="S28" s="43"/>
      <c r="T28" s="43"/>
      <c r="U28" s="43"/>
    </row>
    <row r="29" spans="1:21" s="11" customFormat="1" ht="15">
      <c r="A29" s="54" t="s">
        <v>709</v>
      </c>
      <c r="B29" s="55">
        <v>8.19</v>
      </c>
      <c r="C29" s="55">
        <v>3.19</v>
      </c>
      <c r="D29" s="55">
        <v>12.01</v>
      </c>
      <c r="E29" s="61" t="s">
        <v>14</v>
      </c>
      <c r="F29" s="55">
        <v>4.1100000000000003</v>
      </c>
      <c r="G29" s="61" t="s">
        <v>14</v>
      </c>
      <c r="H29" s="61" t="s">
        <v>14</v>
      </c>
      <c r="I29" s="55">
        <v>4.58</v>
      </c>
      <c r="J29" s="55">
        <v>0.87</v>
      </c>
      <c r="K29" s="55">
        <v>179.35</v>
      </c>
      <c r="L29" s="55">
        <v>22.91</v>
      </c>
      <c r="M29" s="55">
        <v>98.35</v>
      </c>
      <c r="N29" s="55">
        <v>18.30</v>
      </c>
      <c r="O29" s="55">
        <v>0.40</v>
      </c>
      <c r="P29" s="55">
        <v>0.45</v>
      </c>
      <c r="Q29" s="55">
        <v>9.43</v>
      </c>
      <c r="R29" s="43"/>
      <c r="S29" s="43"/>
      <c r="T29" s="43"/>
      <c r="U29" s="43"/>
    </row>
    <row r="30" spans="1:21" s="11" customFormat="1" ht="15">
      <c r="A30" s="54" t="s">
        <v>710</v>
      </c>
      <c r="B30" s="55">
        <v>8.23</v>
      </c>
      <c r="C30" s="55">
        <v>3.24</v>
      </c>
      <c r="D30" s="55">
        <v>12.06</v>
      </c>
      <c r="E30" s="61" t="s">
        <v>14</v>
      </c>
      <c r="F30" s="55">
        <v>3.54</v>
      </c>
      <c r="G30" s="61" t="s">
        <v>14</v>
      </c>
      <c r="H30" s="61" t="s">
        <v>14</v>
      </c>
      <c r="I30" s="55">
        <v>4.47</v>
      </c>
      <c r="J30" s="55">
        <v>0.57999999999999996</v>
      </c>
      <c r="K30" s="55">
        <v>289.05</v>
      </c>
      <c r="L30" s="55">
        <v>23.11</v>
      </c>
      <c r="M30" s="55">
        <v>98.38</v>
      </c>
      <c r="N30" s="55">
        <v>18.100000000000001</v>
      </c>
      <c r="O30" s="55">
        <v>0.20</v>
      </c>
      <c r="P30" s="55">
        <v>0.43</v>
      </c>
      <c r="Q30" s="55">
        <v>9.39</v>
      </c>
      <c r="R30" s="43"/>
      <c r="S30" s="43"/>
      <c r="T30" s="43"/>
      <c r="U30" s="43"/>
    </row>
    <row r="31" spans="1:21" s="11" customFormat="1" ht="15">
      <c r="A31" s="54" t="s">
        <v>711</v>
      </c>
      <c r="B31" s="55">
        <v>8.2200000000000006</v>
      </c>
      <c r="C31" s="55">
        <v>3.17</v>
      </c>
      <c r="D31" s="55">
        <v>12.02</v>
      </c>
      <c r="E31" s="61" t="s">
        <v>14</v>
      </c>
      <c r="F31" s="55">
        <v>4.3899999999999997</v>
      </c>
      <c r="G31" s="61" t="s">
        <v>14</v>
      </c>
      <c r="H31" s="61" t="s">
        <v>14</v>
      </c>
      <c r="I31" s="55">
        <v>4.88</v>
      </c>
      <c r="J31" s="55">
        <v>1.53</v>
      </c>
      <c r="K31" s="55">
        <v>165.90</v>
      </c>
      <c r="L31" s="55">
        <v>23.30</v>
      </c>
      <c r="M31" s="55">
        <v>98.38</v>
      </c>
      <c r="N31" s="55">
        <v>18.70</v>
      </c>
      <c r="O31" s="55">
        <v>0</v>
      </c>
      <c r="P31" s="55">
        <v>0.42</v>
      </c>
      <c r="Q31" s="55">
        <v>9.40</v>
      </c>
      <c r="R31" s="43"/>
      <c r="S31" s="43"/>
      <c r="T31" s="43"/>
      <c r="U31" s="43"/>
    </row>
    <row r="32" spans="1:21" s="11" customFormat="1" ht="15">
      <c r="A32" s="54" t="s">
        <v>712</v>
      </c>
      <c r="B32" s="55">
        <v>8.26</v>
      </c>
      <c r="C32" s="55">
        <v>3.36</v>
      </c>
      <c r="D32" s="55">
        <v>12.15</v>
      </c>
      <c r="E32" s="61" t="s">
        <v>14</v>
      </c>
      <c r="F32" s="55">
        <v>4.3600000000000003</v>
      </c>
      <c r="G32" s="61" t="s">
        <v>14</v>
      </c>
      <c r="H32" s="61" t="s">
        <v>14</v>
      </c>
      <c r="I32" s="55">
        <v>4.97</v>
      </c>
      <c r="J32" s="55">
        <v>1.62</v>
      </c>
      <c r="K32" s="55">
        <v>150.19999999999999</v>
      </c>
      <c r="L32" s="55">
        <v>23.83</v>
      </c>
      <c r="M32" s="55">
        <v>98.35</v>
      </c>
      <c r="N32" s="55">
        <v>18.899999999999999</v>
      </c>
      <c r="O32" s="55">
        <v>0</v>
      </c>
      <c r="P32" s="55">
        <v>0.40</v>
      </c>
      <c r="Q32" s="55">
        <v>9.3699999999999992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8.1600000000000001</v>
      </c>
      <c r="C34" s="28">
        <f t="shared" si="0"/>
        <v>3.1099999999999999</v>
      </c>
      <c r="D34" s="28">
        <f t="shared" si="0"/>
        <v>11.949999999999999</v>
      </c>
      <c r="E34" s="28">
        <f t="shared" si="0"/>
        <v>3.6400000000000001</v>
      </c>
      <c r="F34" s="28">
        <f t="shared" si="0"/>
        <v>3.4300000000000002</v>
      </c>
      <c r="G34" s="28">
        <f t="shared" si="0"/>
        <v>32.460000000000001</v>
      </c>
      <c r="H34" s="28">
        <f t="shared" si="0"/>
        <v>12.119999999999999</v>
      </c>
      <c r="I34" s="28">
        <f t="shared" si="0"/>
        <v>3.3300000000000001</v>
      </c>
      <c r="J34" s="28">
        <f t="shared" si="0"/>
        <v>0.28000000000000003</v>
      </c>
      <c r="K34" s="28">
        <f t="shared" si="0"/>
        <v>150.19999999999999</v>
      </c>
      <c r="L34" s="28">
        <f t="shared" si="0"/>
        <v>22.91</v>
      </c>
      <c r="M34" s="28">
        <f t="shared" si="0"/>
        <v>50.950000000000003</v>
      </c>
      <c r="N34" s="28">
        <f t="shared" si="0"/>
        <v>17.399999999999999</v>
      </c>
      <c r="O34" s="28">
        <f t="shared" si="0"/>
        <v>0</v>
      </c>
      <c r="P34" s="28">
        <f t="shared" si="0"/>
        <v>0.29999999999999999</v>
      </c>
      <c r="Q34" s="28">
        <f t="shared" si="0"/>
        <v>9.3399999999999999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9.1099999999999994</v>
      </c>
      <c r="C35" s="29">
        <f t="shared" si="1"/>
        <v>3.9900000000000002</v>
      </c>
      <c r="D35" s="29">
        <f t="shared" si="1"/>
        <v>12.76</v>
      </c>
      <c r="E35" s="29">
        <f t="shared" si="1"/>
        <v>5.3799999999999999</v>
      </c>
      <c r="F35" s="29">
        <f t="shared" si="1"/>
        <v>16.329999999999998</v>
      </c>
      <c r="G35" s="29">
        <f t="shared" si="1"/>
        <v>47.530000000000001</v>
      </c>
      <c r="H35" s="29">
        <f t="shared" si="1"/>
        <v>18.149999999999999</v>
      </c>
      <c r="I35" s="29">
        <f t="shared" si="1"/>
        <v>12.050000000000001</v>
      </c>
      <c r="J35" s="29">
        <f t="shared" si="1"/>
        <v>3.3100000000000001</v>
      </c>
      <c r="K35" s="29">
        <f t="shared" si="1"/>
        <v>359.77999999999997</v>
      </c>
      <c r="L35" s="29">
        <f t="shared" si="1"/>
        <v>37.140000000000001</v>
      </c>
      <c r="M35" s="29">
        <f t="shared" si="1"/>
        <v>98.379999999999995</v>
      </c>
      <c r="N35" s="29">
        <f t="shared" si="1"/>
        <v>981.89999999999998</v>
      </c>
      <c r="O35" s="29">
        <f t="shared" si="1"/>
        <v>5.2000000000000002</v>
      </c>
      <c r="P35" s="29">
        <f t="shared" si="1"/>
        <v>0.60999999999999999</v>
      </c>
      <c r="Q35" s="29">
        <f t="shared" si="1"/>
        <v>9.4700000000000006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8.2779166666666644</v>
      </c>
      <c r="C36" s="28">
        <f t="shared" si="2"/>
        <v>3.3595833333333331</v>
      </c>
      <c r="D36" s="28">
        <f t="shared" si="2"/>
        <v>12.152916666666664</v>
      </c>
      <c r="E36" s="28">
        <f t="shared" si="2"/>
        <v>4.8081818181818186</v>
      </c>
      <c r="F36" s="28">
        <f t="shared" si="2"/>
        <v>6.0291666666666659</v>
      </c>
      <c r="G36" s="28">
        <f t="shared" si="2"/>
        <v>37.730909090909094</v>
      </c>
      <c r="H36" s="28">
        <f t="shared" si="2"/>
        <v>14.034545454545453</v>
      </c>
      <c r="I36" s="28">
        <f t="shared" si="2"/>
        <v>6.0575000000000001</v>
      </c>
      <c r="J36" s="28">
        <f t="shared" si="2"/>
        <v>1.2483333333333333</v>
      </c>
      <c r="K36" s="28">
        <f t="shared" si="2"/>
        <v>259.48041666666666</v>
      </c>
      <c r="L36" s="28">
        <f t="shared" si="2"/>
        <v>28.51125</v>
      </c>
      <c r="M36" s="28">
        <f t="shared" si="2"/>
        <v>78.985833333333332</v>
      </c>
      <c r="N36" s="28">
        <f t="shared" si="2"/>
        <v>250.20416666666668</v>
      </c>
      <c r="O36" s="28">
        <f t="shared" si="2"/>
        <v>0.25833333333333336</v>
      </c>
      <c r="P36" s="28">
        <f t="shared" si="2"/>
        <v>0.42166666666666669</v>
      </c>
      <c r="Q36" s="28">
        <f t="shared" si="2"/>
        <v>9.4120833333333334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0.19318788256778838</v>
      </c>
      <c r="C37" s="28">
        <f t="shared" si="3" ref="C37:Q37">STDEV(C9:C32)</f>
        <v>0.20133206761288228</v>
      </c>
      <c r="D37" s="28">
        <f t="shared" si="3"/>
        <v>0.19738462048957095</v>
      </c>
      <c r="E37" s="28">
        <f t="shared" si="3"/>
        <v>0.69933994854889125</v>
      </c>
      <c r="F37" s="28">
        <f t="shared" si="3"/>
        <v>3.3618278111592894</v>
      </c>
      <c r="G37" s="28">
        <f t="shared" si="3"/>
        <v>4.3925401638355712</v>
      </c>
      <c r="H37" s="28">
        <f t="shared" si="3"/>
        <v>2.3057725977917354</v>
      </c>
      <c r="I37" s="28">
        <f t="shared" si="3"/>
        <v>1.9965366752584797</v>
      </c>
      <c r="J37" s="28">
        <f t="shared" si="3"/>
        <v>0.6625095022561639</v>
      </c>
      <c r="K37" s="28">
        <f t="shared" si="3"/>
        <v>84.195492881495582</v>
      </c>
      <c r="L37" s="28">
        <f t="shared" si="3"/>
        <v>4.8343753811725456</v>
      </c>
      <c r="M37" s="28">
        <f t="shared" si="3"/>
        <v>17.437450680414397</v>
      </c>
      <c r="N37" s="28">
        <f t="shared" si="3"/>
        <v>325.21182859813837</v>
      </c>
      <c r="O37" s="28">
        <f t="shared" si="3"/>
        <v>1.0574442802328174</v>
      </c>
      <c r="P37" s="28">
        <f t="shared" si="3"/>
        <v>0.091350574909148066</v>
      </c>
      <c r="Q37" s="28">
        <f t="shared" si="3"/>
        <v>0.035260418339113329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COUNT(E9:E32)+13</f>
        <v>24</v>
      </c>
      <c r="F38" s="32">
        <f t="shared" si="4"/>
        <v>24</v>
      </c>
      <c r="G38" s="32">
        <f>COUNT(G9:G32)+13</f>
        <v>24</v>
      </c>
      <c r="H38" s="32">
        <f>COUNT(H9:H32)+13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6fdada-a347-4760-bdf8-eed52e5bc8c2}">
  <sheetPr codeName=""/>
  <dimension ref="A1:U119"/>
  <sheetViews>
    <sheetView zoomScale="85" zoomScaleNormal="85" workbookViewId="0" topLeftCell="A1">
      <pane xSplit="1" ySplit="8" topLeftCell="B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A33" sqref="A3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25"/>
      <c r="B8" s="51" t="s">
        <v>22</v>
      </c>
      <c r="C8" s="51" t="s">
        <v>22</v>
      </c>
      <c r="D8" s="29" t="s">
        <v>61</v>
      </c>
      <c r="E8" s="51" t="s">
        <v>22</v>
      </c>
      <c r="F8" s="51" t="s">
        <v>22</v>
      </c>
      <c r="G8" s="51" t="s">
        <v>23</v>
      </c>
      <c r="H8" s="51" t="s">
        <v>22</v>
      </c>
      <c r="I8" s="51" t="s">
        <v>22</v>
      </c>
      <c r="J8" s="51" t="s">
        <v>24</v>
      </c>
      <c r="K8" s="51" t="s">
        <v>25</v>
      </c>
      <c r="L8" s="25" t="s">
        <v>27</v>
      </c>
      <c r="M8" s="51" t="s">
        <v>26</v>
      </c>
      <c r="N8" s="51" t="s">
        <v>28</v>
      </c>
      <c r="O8" s="25" t="s">
        <v>29</v>
      </c>
      <c r="P8" s="51" t="s">
        <v>22</v>
      </c>
      <c r="Q8" s="51" t="s">
        <v>22</v>
      </c>
      <c r="R8" s="27"/>
      <c r="S8" s="29"/>
      <c r="T8" s="27"/>
      <c r="U8" s="27"/>
    </row>
    <row r="9" spans="1:21" s="11" customFormat="1" ht="15">
      <c r="A9" s="54" t="s">
        <v>158</v>
      </c>
      <c r="B9" s="55">
        <v>2.98</v>
      </c>
      <c r="C9" s="55">
        <v>3.20</v>
      </c>
      <c r="D9" s="55">
        <v>6.08</v>
      </c>
      <c r="E9" s="55">
        <v>1.05</v>
      </c>
      <c r="F9" s="55">
        <v>4.83</v>
      </c>
      <c r="G9" s="55">
        <v>44.13</v>
      </c>
      <c r="H9" s="55">
        <v>17.80</v>
      </c>
      <c r="I9" s="55">
        <v>6.28</v>
      </c>
      <c r="J9" s="55">
        <v>1.1200000000000001</v>
      </c>
      <c r="K9" s="55">
        <v>183.84</v>
      </c>
      <c r="L9" s="55">
        <v>29.18</v>
      </c>
      <c r="M9" s="55">
        <v>52.30</v>
      </c>
      <c r="N9" s="55">
        <v>13</v>
      </c>
      <c r="O9" s="55">
        <v>0</v>
      </c>
      <c r="P9" s="55">
        <v>0.55000000000000004</v>
      </c>
      <c r="Q9" s="55">
        <v>9.44</v>
      </c>
      <c r="R9" s="43"/>
      <c r="S9" s="43"/>
      <c r="T9" s="43"/>
      <c r="U9" s="43"/>
    </row>
    <row r="10" spans="1:21" s="11" customFormat="1" ht="15">
      <c r="A10" s="54" t="s">
        <v>159</v>
      </c>
      <c r="B10" s="55">
        <v>2.99</v>
      </c>
      <c r="C10" s="55">
        <v>3.75</v>
      </c>
      <c r="D10" s="55">
        <v>6.65</v>
      </c>
      <c r="E10" s="55">
        <v>0.94</v>
      </c>
      <c r="F10" s="55">
        <v>5.54</v>
      </c>
      <c r="G10" s="55">
        <v>38.92</v>
      </c>
      <c r="H10" s="55">
        <v>13.85</v>
      </c>
      <c r="I10" s="55">
        <v>5.81</v>
      </c>
      <c r="J10" s="55">
        <v>0.81</v>
      </c>
      <c r="K10" s="55">
        <v>163.32</v>
      </c>
      <c r="L10" s="55">
        <v>28.76</v>
      </c>
      <c r="M10" s="55">
        <v>57.67</v>
      </c>
      <c r="N10" s="55">
        <v>13.30</v>
      </c>
      <c r="O10" s="55">
        <v>0</v>
      </c>
      <c r="P10" s="55">
        <v>0.47</v>
      </c>
      <c r="Q10" s="55">
        <v>9.42</v>
      </c>
      <c r="R10" s="43"/>
      <c r="S10" s="43"/>
      <c r="T10" s="43"/>
      <c r="U10" s="43"/>
    </row>
    <row r="11" spans="1:21" s="11" customFormat="1" ht="15">
      <c r="A11" s="54" t="s">
        <v>160</v>
      </c>
      <c r="B11" s="55">
        <v>3.04</v>
      </c>
      <c r="C11" s="55">
        <v>3.58</v>
      </c>
      <c r="D11" s="55">
        <v>6.53</v>
      </c>
      <c r="E11" s="55">
        <v>1.17</v>
      </c>
      <c r="F11" s="55">
        <v>4.43</v>
      </c>
      <c r="G11" s="55">
        <v>34.020000000000003</v>
      </c>
      <c r="H11" s="55">
        <v>13.67</v>
      </c>
      <c r="I11" s="55">
        <v>5.30</v>
      </c>
      <c r="J11" s="55">
        <v>0.89</v>
      </c>
      <c r="K11" s="55">
        <v>241.02</v>
      </c>
      <c r="L11" s="55">
        <v>27.66</v>
      </c>
      <c r="M11" s="55">
        <v>58.97</v>
      </c>
      <c r="N11" s="55">
        <v>13</v>
      </c>
      <c r="O11" s="55">
        <v>0</v>
      </c>
      <c r="P11" s="55">
        <v>0.43</v>
      </c>
      <c r="Q11" s="55">
        <v>9.39</v>
      </c>
      <c r="R11" s="43"/>
      <c r="S11" s="43"/>
      <c r="T11" s="43"/>
      <c r="U11" s="43"/>
    </row>
    <row r="12" spans="1:21" s="11" customFormat="1" ht="15">
      <c r="A12" s="54" t="s">
        <v>161</v>
      </c>
      <c r="B12" s="55">
        <v>3.12</v>
      </c>
      <c r="C12" s="55">
        <v>3.28</v>
      </c>
      <c r="D12" s="55">
        <v>6.30</v>
      </c>
      <c r="E12" s="55">
        <v>1.55</v>
      </c>
      <c r="F12" s="55">
        <v>4.18</v>
      </c>
      <c r="G12" s="55">
        <v>31.97</v>
      </c>
      <c r="H12" s="55">
        <v>13.26</v>
      </c>
      <c r="I12" s="55">
        <v>4.5999999999999996</v>
      </c>
      <c r="J12" s="55">
        <v>0.73</v>
      </c>
      <c r="K12" s="55">
        <v>235.52</v>
      </c>
      <c r="L12" s="55">
        <v>27.44</v>
      </c>
      <c r="M12" s="55">
        <v>60.77</v>
      </c>
      <c r="N12" s="55">
        <v>13</v>
      </c>
      <c r="O12" s="55">
        <v>0</v>
      </c>
      <c r="P12" s="55">
        <v>0.40</v>
      </c>
      <c r="Q12" s="55">
        <v>9.41</v>
      </c>
      <c r="R12" s="43"/>
      <c r="S12" s="43"/>
      <c r="T12" s="43"/>
      <c r="U12" s="43"/>
    </row>
    <row r="13" spans="1:21" s="11" customFormat="1" ht="15">
      <c r="A13" s="54" t="s">
        <v>162</v>
      </c>
      <c r="B13" s="55">
        <v>3.28</v>
      </c>
      <c r="C13" s="55">
        <v>4.25</v>
      </c>
      <c r="D13" s="55">
        <v>7.44</v>
      </c>
      <c r="E13" s="55">
        <v>2.0099999999999998</v>
      </c>
      <c r="F13" s="55">
        <v>4.70</v>
      </c>
      <c r="G13" s="55">
        <v>31.04</v>
      </c>
      <c r="H13" s="55">
        <v>12.58</v>
      </c>
      <c r="I13" s="55">
        <v>5.1100000000000003</v>
      </c>
      <c r="J13" s="55">
        <v>0.46</v>
      </c>
      <c r="K13" s="55">
        <v>263.29000000000002</v>
      </c>
      <c r="L13" s="55">
        <v>27.04</v>
      </c>
      <c r="M13" s="55">
        <v>63.23</v>
      </c>
      <c r="N13" s="55">
        <v>13.20</v>
      </c>
      <c r="O13" s="55">
        <v>0</v>
      </c>
      <c r="P13" s="55">
        <v>0.38</v>
      </c>
      <c r="Q13" s="55">
        <v>9.40</v>
      </c>
      <c r="R13" s="43"/>
      <c r="S13" s="43"/>
      <c r="T13" s="43"/>
      <c r="U13" s="43"/>
    </row>
    <row r="14" spans="1:21" s="11" customFormat="1" ht="15">
      <c r="A14" s="54" t="s">
        <v>163</v>
      </c>
      <c r="B14" s="55">
        <v>3.25</v>
      </c>
      <c r="C14" s="55">
        <v>4.45</v>
      </c>
      <c r="D14" s="55">
        <v>7.60</v>
      </c>
      <c r="E14" s="55">
        <v>1.99</v>
      </c>
      <c r="F14" s="55">
        <v>4.8600000000000003</v>
      </c>
      <c r="G14" s="55">
        <v>21.31</v>
      </c>
      <c r="H14" s="55">
        <v>10.59</v>
      </c>
      <c r="I14" s="55">
        <v>5.21</v>
      </c>
      <c r="J14" s="55">
        <v>0.36</v>
      </c>
      <c r="K14" s="55">
        <v>348.10</v>
      </c>
      <c r="L14" s="55">
        <v>27.34</v>
      </c>
      <c r="M14" s="55">
        <v>63.08</v>
      </c>
      <c r="N14" s="55">
        <v>44.40</v>
      </c>
      <c r="O14" s="55">
        <v>0</v>
      </c>
      <c r="P14" s="55">
        <v>0.36</v>
      </c>
      <c r="Q14" s="55">
        <v>9.43</v>
      </c>
      <c r="R14" s="43"/>
      <c r="S14" s="43"/>
      <c r="T14" s="43"/>
      <c r="U14" s="43"/>
    </row>
    <row r="15" spans="1:21" s="11" customFormat="1" ht="15">
      <c r="A15" s="54" t="s">
        <v>164</v>
      </c>
      <c r="B15" s="55">
        <v>3.18</v>
      </c>
      <c r="C15" s="55">
        <v>4.70</v>
      </c>
      <c r="D15" s="55">
        <v>7.75</v>
      </c>
      <c r="E15" s="55">
        <v>2.0499999999999998</v>
      </c>
      <c r="F15" s="55">
        <v>5.58</v>
      </c>
      <c r="G15" s="55">
        <v>26.15</v>
      </c>
      <c r="H15" s="55">
        <v>11.37</v>
      </c>
      <c r="I15" s="55">
        <v>4.58</v>
      </c>
      <c r="J15" s="55">
        <v>0.5</v>
      </c>
      <c r="K15" s="55">
        <v>353.41</v>
      </c>
      <c r="L15" s="55">
        <v>28.60</v>
      </c>
      <c r="M15" s="55">
        <v>61.40</v>
      </c>
      <c r="N15" s="55">
        <v>199.60</v>
      </c>
      <c r="O15" s="55">
        <v>0</v>
      </c>
      <c r="P15" s="55">
        <v>0.35</v>
      </c>
      <c r="Q15" s="55">
        <v>9.41</v>
      </c>
      <c r="R15" s="43"/>
      <c r="S15" s="43"/>
      <c r="T15" s="43"/>
      <c r="U15" s="43"/>
    </row>
    <row r="16" spans="1:21" s="11" customFormat="1" ht="15">
      <c r="A16" s="54" t="s">
        <v>165</v>
      </c>
      <c r="B16" s="55">
        <v>3.07</v>
      </c>
      <c r="C16" s="55">
        <v>4.5199999999999996</v>
      </c>
      <c r="D16" s="55">
        <v>7.51</v>
      </c>
      <c r="E16" s="55">
        <v>1.74</v>
      </c>
      <c r="F16" s="55">
        <v>8.7799999999999994</v>
      </c>
      <c r="G16" s="55">
        <v>26.15</v>
      </c>
      <c r="H16" s="55">
        <v>11.94</v>
      </c>
      <c r="I16" s="55">
        <v>3.74</v>
      </c>
      <c r="J16" s="55">
        <v>0.63</v>
      </c>
      <c r="K16" s="55">
        <v>355.60</v>
      </c>
      <c r="L16" s="55">
        <v>29.46</v>
      </c>
      <c r="M16" s="55">
        <v>57.24</v>
      </c>
      <c r="N16" s="55">
        <v>312.20</v>
      </c>
      <c r="O16" s="55">
        <v>0</v>
      </c>
      <c r="P16" s="55">
        <v>0.33</v>
      </c>
      <c r="Q16" s="55">
        <v>9.36</v>
      </c>
      <c r="R16" s="43"/>
      <c r="S16" s="43"/>
      <c r="T16" s="43"/>
      <c r="U16" s="43"/>
    </row>
    <row r="17" spans="1:21" s="11" customFormat="1" ht="15">
      <c r="A17" s="54" t="s">
        <v>166</v>
      </c>
      <c r="B17" s="55">
        <v>2.91</v>
      </c>
      <c r="C17" s="55">
        <v>3.73</v>
      </c>
      <c r="D17" s="55">
        <v>6.55</v>
      </c>
      <c r="E17" s="55">
        <v>1.1299999999999999</v>
      </c>
      <c r="F17" s="55">
        <v>7.92</v>
      </c>
      <c r="G17" s="55">
        <v>26.65</v>
      </c>
      <c r="H17" s="55">
        <v>11.94</v>
      </c>
      <c r="I17" s="55">
        <v>2.96</v>
      </c>
      <c r="J17" s="55">
        <v>0.69</v>
      </c>
      <c r="K17" s="55">
        <v>343.30</v>
      </c>
      <c r="L17" s="55">
        <v>33.5</v>
      </c>
      <c r="M17" s="55">
        <v>50.95</v>
      </c>
      <c r="N17" s="55">
        <v>589.40</v>
      </c>
      <c r="O17" s="55">
        <v>0</v>
      </c>
      <c r="P17" s="55">
        <v>0.40</v>
      </c>
      <c r="Q17" s="55">
        <v>9.3800000000000008</v>
      </c>
      <c r="R17" s="43"/>
      <c r="S17" s="43"/>
      <c r="T17" s="43"/>
      <c r="U17" s="43"/>
    </row>
    <row r="18" spans="1:21" s="11" customFormat="1" ht="15">
      <c r="A18" s="54" t="s">
        <v>167</v>
      </c>
      <c r="B18" s="55">
        <v>2.97</v>
      </c>
      <c r="C18" s="55">
        <v>4.6900000000000004</v>
      </c>
      <c r="D18" s="55">
        <v>7.57</v>
      </c>
      <c r="E18" s="55">
        <v>1.19</v>
      </c>
      <c r="F18" s="55">
        <v>7.39</v>
      </c>
      <c r="G18" s="55">
        <v>30.74</v>
      </c>
      <c r="H18" s="55">
        <v>14.42</v>
      </c>
      <c r="I18" s="55">
        <v>3.73</v>
      </c>
      <c r="J18" s="55">
        <v>1.26</v>
      </c>
      <c r="K18" s="55">
        <v>331.83</v>
      </c>
      <c r="L18" s="55">
        <v>36.54</v>
      </c>
      <c r="M18" s="55">
        <v>39.49</v>
      </c>
      <c r="N18" s="55">
        <v>730</v>
      </c>
      <c r="O18" s="55">
        <v>0</v>
      </c>
      <c r="P18" s="55">
        <v>0.53</v>
      </c>
      <c r="Q18" s="55">
        <v>9.39</v>
      </c>
      <c r="R18" s="43"/>
      <c r="S18" s="43"/>
      <c r="T18" s="43"/>
      <c r="U18" s="43"/>
    </row>
    <row r="19" spans="1:21" s="11" customFormat="1" ht="15">
      <c r="A19" s="54" t="s">
        <v>168</v>
      </c>
      <c r="B19" s="55">
        <v>2.91</v>
      </c>
      <c r="C19" s="55">
        <v>4.13</v>
      </c>
      <c r="D19" s="55">
        <v>6.95</v>
      </c>
      <c r="E19" s="55">
        <v>1.0900000000000001</v>
      </c>
      <c r="F19" s="55">
        <v>7.34</v>
      </c>
      <c r="G19" s="55">
        <v>35.729999999999997</v>
      </c>
      <c r="H19" s="55">
        <v>17.14</v>
      </c>
      <c r="I19" s="55">
        <v>3.78</v>
      </c>
      <c r="J19" s="55">
        <v>1.57</v>
      </c>
      <c r="K19" s="55">
        <v>331.27</v>
      </c>
      <c r="L19" s="55">
        <v>39.96</v>
      </c>
      <c r="M19" s="55">
        <v>32.31</v>
      </c>
      <c r="N19" s="55">
        <v>816.40</v>
      </c>
      <c r="O19" s="55">
        <v>0</v>
      </c>
      <c r="P19" s="55">
        <v>0.53</v>
      </c>
      <c r="Q19" s="55">
        <v>9.40</v>
      </c>
      <c r="R19" s="43"/>
      <c r="S19" s="43"/>
      <c r="T19" s="43"/>
      <c r="U19" s="43"/>
    </row>
    <row r="20" spans="1:21" s="11" customFormat="1" ht="15">
      <c r="A20" s="54" t="s">
        <v>169</v>
      </c>
      <c r="B20" s="55">
        <v>2.87</v>
      </c>
      <c r="C20" s="55">
        <v>3.72</v>
      </c>
      <c r="D20" s="55">
        <v>6.5</v>
      </c>
      <c r="E20" s="55">
        <v>2.5499999999999998</v>
      </c>
      <c r="F20" s="55">
        <v>7.29</v>
      </c>
      <c r="G20" s="55">
        <v>35.729999999999997</v>
      </c>
      <c r="H20" s="55">
        <v>17.14</v>
      </c>
      <c r="I20" s="55">
        <v>3.17</v>
      </c>
      <c r="J20" s="55">
        <v>2.2400000000000002</v>
      </c>
      <c r="K20" s="55">
        <v>333.74</v>
      </c>
      <c r="L20" s="55">
        <v>40.229999999999997</v>
      </c>
      <c r="M20" s="55">
        <v>26.88</v>
      </c>
      <c r="N20" s="55">
        <v>841.70</v>
      </c>
      <c r="O20" s="55">
        <v>0</v>
      </c>
      <c r="P20" s="55">
        <v>0.51</v>
      </c>
      <c r="Q20" s="55">
        <v>9.39</v>
      </c>
      <c r="R20" s="43"/>
      <c r="S20" s="43"/>
      <c r="T20" s="43"/>
      <c r="U20" s="43"/>
    </row>
    <row r="21" spans="1:21" s="11" customFormat="1" ht="15">
      <c r="A21" s="54" t="s">
        <v>170</v>
      </c>
      <c r="B21" s="55">
        <v>2.67</v>
      </c>
      <c r="C21" s="55">
        <v>1.99</v>
      </c>
      <c r="D21" s="55">
        <v>4.5599999999999996</v>
      </c>
      <c r="E21" s="55">
        <v>1.79</v>
      </c>
      <c r="F21" s="55">
        <v>6.56</v>
      </c>
      <c r="G21" s="55">
        <v>35.56</v>
      </c>
      <c r="H21" s="55">
        <v>16.61</v>
      </c>
      <c r="I21" s="55">
        <v>3.04</v>
      </c>
      <c r="J21" s="55">
        <v>1.52</v>
      </c>
      <c r="K21" s="55">
        <v>354.56</v>
      </c>
      <c r="L21" s="55">
        <v>40.28</v>
      </c>
      <c r="M21" s="55">
        <v>25.56</v>
      </c>
      <c r="N21" s="55">
        <v>848.80</v>
      </c>
      <c r="O21" s="55">
        <v>0</v>
      </c>
      <c r="P21" s="55">
        <v>0.48</v>
      </c>
      <c r="Q21" s="55">
        <v>9.32</v>
      </c>
      <c r="R21" s="43"/>
      <c r="S21" s="43"/>
      <c r="T21" s="43"/>
      <c r="U21" s="43"/>
    </row>
    <row r="22" spans="1:21" s="11" customFormat="1" ht="15">
      <c r="A22" s="54" t="s">
        <v>171</v>
      </c>
      <c r="B22" s="55">
        <v>2.87</v>
      </c>
      <c r="C22" s="55">
        <v>3.30</v>
      </c>
      <c r="D22" s="55">
        <v>6.08</v>
      </c>
      <c r="E22" s="55">
        <v>2.2999999999999998</v>
      </c>
      <c r="F22" s="55">
        <v>7.60</v>
      </c>
      <c r="G22" s="55">
        <v>35.130000000000003</v>
      </c>
      <c r="H22" s="55">
        <v>16.53</v>
      </c>
      <c r="I22" s="55">
        <v>4.82</v>
      </c>
      <c r="J22" s="55">
        <v>1.28</v>
      </c>
      <c r="K22" s="55">
        <v>331.98</v>
      </c>
      <c r="L22" s="55">
        <v>39.130000000000003</v>
      </c>
      <c r="M22" s="55">
        <v>27.67</v>
      </c>
      <c r="N22" s="55">
        <v>820.20</v>
      </c>
      <c r="O22" s="55">
        <v>0</v>
      </c>
      <c r="P22" s="55">
        <v>0.45</v>
      </c>
      <c r="Q22" s="55">
        <v>9.39</v>
      </c>
      <c r="R22" s="43"/>
      <c r="S22" s="43"/>
      <c r="T22" s="43"/>
      <c r="U22" s="43"/>
    </row>
    <row r="23" spans="1:21" s="11" customFormat="1" ht="15">
      <c r="A23" s="54" t="s">
        <v>172</v>
      </c>
      <c r="B23" s="55">
        <v>2.85</v>
      </c>
      <c r="C23" s="55">
        <v>3.16</v>
      </c>
      <c r="D23" s="55">
        <v>5.92</v>
      </c>
      <c r="E23" s="55">
        <v>2.2400000000000002</v>
      </c>
      <c r="F23" s="55">
        <v>9.85</v>
      </c>
      <c r="G23" s="55">
        <v>38.450000000000003</v>
      </c>
      <c r="H23" s="55">
        <v>16.940000000000001</v>
      </c>
      <c r="I23" s="55">
        <v>5.51</v>
      </c>
      <c r="J23" s="55">
        <v>0.65</v>
      </c>
      <c r="K23" s="55">
        <v>301.58999999999997</v>
      </c>
      <c r="L23" s="55">
        <v>37.71</v>
      </c>
      <c r="M23" s="55">
        <v>31.60</v>
      </c>
      <c r="N23" s="55">
        <v>557.90</v>
      </c>
      <c r="O23" s="55">
        <v>0</v>
      </c>
      <c r="P23" s="55">
        <v>0.44</v>
      </c>
      <c r="Q23" s="55">
        <v>9.36</v>
      </c>
      <c r="R23" s="43"/>
      <c r="S23" s="43"/>
      <c r="T23" s="43"/>
      <c r="U23" s="43"/>
    </row>
    <row r="24" spans="1:21" s="11" customFormat="1" ht="15">
      <c r="A24" s="54" t="s">
        <v>173</v>
      </c>
      <c r="B24" s="55">
        <v>2.69</v>
      </c>
      <c r="C24" s="55">
        <v>2.08</v>
      </c>
      <c r="D24" s="55">
        <v>4.6500000000000004</v>
      </c>
      <c r="E24" s="55">
        <v>2.25</v>
      </c>
      <c r="F24" s="55">
        <v>10.31</v>
      </c>
      <c r="G24" s="55">
        <v>39.40</v>
      </c>
      <c r="H24" s="55">
        <v>18.22</v>
      </c>
      <c r="I24" s="55">
        <v>4.7699999999999996</v>
      </c>
      <c r="J24" s="55">
        <v>0.52</v>
      </c>
      <c r="K24" s="55">
        <v>351.03</v>
      </c>
      <c r="L24" s="55">
        <v>35.840000000000003</v>
      </c>
      <c r="M24" s="55">
        <v>32.22</v>
      </c>
      <c r="N24" s="55">
        <v>257.70</v>
      </c>
      <c r="O24" s="55">
        <v>0</v>
      </c>
      <c r="P24" s="55">
        <v>0.39</v>
      </c>
      <c r="Q24" s="55">
        <v>9.36</v>
      </c>
      <c r="R24" s="43"/>
      <c r="S24" s="43"/>
      <c r="T24" s="43"/>
      <c r="U24" s="43"/>
    </row>
    <row r="25" spans="1:21" s="11" customFormat="1" ht="15">
      <c r="A25" s="54" t="s">
        <v>174</v>
      </c>
      <c r="B25" s="55">
        <v>2.57</v>
      </c>
      <c r="C25" s="55">
        <v>1.42</v>
      </c>
      <c r="D25" s="55">
        <v>3.90</v>
      </c>
      <c r="E25" s="55">
        <v>1.1499999999999999</v>
      </c>
      <c r="F25" s="55">
        <v>11.25</v>
      </c>
      <c r="G25" s="55">
        <v>41.60</v>
      </c>
      <c r="H25" s="55">
        <v>19.45</v>
      </c>
      <c r="I25" s="55">
        <v>3.72</v>
      </c>
      <c r="J25" s="55">
        <v>1.51</v>
      </c>
      <c r="K25" s="55">
        <v>352.82</v>
      </c>
      <c r="L25" s="55">
        <v>35.380000000000003</v>
      </c>
      <c r="M25" s="55">
        <v>31.68</v>
      </c>
      <c r="N25" s="55">
        <v>111.20</v>
      </c>
      <c r="O25" s="55">
        <v>0</v>
      </c>
      <c r="P25" s="55">
        <v>0.37</v>
      </c>
      <c r="Q25" s="55">
        <v>9.34</v>
      </c>
      <c r="R25" s="43"/>
      <c r="S25" s="43"/>
      <c r="T25" s="43"/>
      <c r="U25" s="43"/>
    </row>
    <row r="26" spans="1:21" s="11" customFormat="1" ht="15">
      <c r="A26" s="54" t="s">
        <v>175</v>
      </c>
      <c r="B26" s="55">
        <v>2.78</v>
      </c>
      <c r="C26" s="55">
        <v>1.85</v>
      </c>
      <c r="D26" s="55">
        <v>4.55</v>
      </c>
      <c r="E26" s="55">
        <v>0.90</v>
      </c>
      <c r="F26" s="55">
        <v>5.58</v>
      </c>
      <c r="G26" s="55">
        <v>41.60</v>
      </c>
      <c r="H26" s="55">
        <v>19.45</v>
      </c>
      <c r="I26" s="55">
        <v>3</v>
      </c>
      <c r="J26" s="55">
        <v>1.28</v>
      </c>
      <c r="K26" s="55">
        <v>334.14</v>
      </c>
      <c r="L26" s="55">
        <v>34.22</v>
      </c>
      <c r="M26" s="55">
        <v>29.94</v>
      </c>
      <c r="N26" s="55">
        <v>54.70</v>
      </c>
      <c r="O26" s="55">
        <v>0</v>
      </c>
      <c r="P26" s="55">
        <v>0.40</v>
      </c>
      <c r="Q26" s="55">
        <v>9.33</v>
      </c>
      <c r="R26" s="43"/>
      <c r="S26" s="43"/>
      <c r="T26" s="43"/>
      <c r="U26" s="43"/>
    </row>
    <row r="27" spans="1:21" s="11" customFormat="1" ht="15">
      <c r="A27" s="54" t="s">
        <v>176</v>
      </c>
      <c r="B27" s="55">
        <v>2.77</v>
      </c>
      <c r="C27" s="55">
        <v>2.59</v>
      </c>
      <c r="D27" s="55">
        <v>5.26</v>
      </c>
      <c r="E27" s="55">
        <v>1.19</v>
      </c>
      <c r="F27" s="55">
        <v>5.15</v>
      </c>
      <c r="G27" s="55">
        <v>44.06</v>
      </c>
      <c r="H27" s="55">
        <v>19.059999999999999</v>
      </c>
      <c r="I27" s="55">
        <v>3.95</v>
      </c>
      <c r="J27" s="55">
        <v>0.79</v>
      </c>
      <c r="K27" s="55">
        <v>358.08</v>
      </c>
      <c r="L27" s="55">
        <v>33.5</v>
      </c>
      <c r="M27" s="55">
        <v>33.75</v>
      </c>
      <c r="N27" s="55">
        <v>28.60</v>
      </c>
      <c r="O27" s="55">
        <v>0</v>
      </c>
      <c r="P27" s="55">
        <v>0.43</v>
      </c>
      <c r="Q27" s="55">
        <v>9.44</v>
      </c>
      <c r="R27" s="43"/>
      <c r="S27" s="43"/>
      <c r="T27" s="43"/>
      <c r="U27" s="43"/>
    </row>
    <row r="28" spans="1:21" s="11" customFormat="1" ht="15">
      <c r="A28" s="54" t="s">
        <v>177</v>
      </c>
      <c r="B28" s="55">
        <v>2.67</v>
      </c>
      <c r="C28" s="55">
        <v>1.92</v>
      </c>
      <c r="D28" s="55">
        <v>4.5</v>
      </c>
      <c r="E28" s="55">
        <v>1.34</v>
      </c>
      <c r="F28" s="55">
        <v>4.88</v>
      </c>
      <c r="G28" s="55">
        <v>62.37</v>
      </c>
      <c r="H28" s="55">
        <v>21.18</v>
      </c>
      <c r="I28" s="55">
        <v>5.31</v>
      </c>
      <c r="J28" s="55">
        <v>2.69</v>
      </c>
      <c r="K28" s="55">
        <v>347.11</v>
      </c>
      <c r="L28" s="55">
        <v>32.479999999999997</v>
      </c>
      <c r="M28" s="55">
        <v>41.45</v>
      </c>
      <c r="N28" s="55">
        <v>16.20</v>
      </c>
      <c r="O28" s="55">
        <v>0</v>
      </c>
      <c r="P28" s="55">
        <v>0.54</v>
      </c>
      <c r="Q28" s="55">
        <v>9.4499999999999993</v>
      </c>
      <c r="R28" s="43"/>
      <c r="S28" s="43"/>
      <c r="T28" s="43"/>
      <c r="U28" s="43"/>
    </row>
    <row r="29" spans="1:21" s="11" customFormat="1" ht="15">
      <c r="A29" s="54" t="s">
        <v>178</v>
      </c>
      <c r="B29" s="55">
        <v>2.76</v>
      </c>
      <c r="C29" s="55">
        <v>2.5</v>
      </c>
      <c r="D29" s="55">
        <v>5.16</v>
      </c>
      <c r="E29" s="55">
        <v>1.43</v>
      </c>
      <c r="F29" s="55">
        <v>5.21</v>
      </c>
      <c r="G29" s="55">
        <v>62.37</v>
      </c>
      <c r="H29" s="55">
        <v>21.18</v>
      </c>
      <c r="I29" s="55">
        <v>5.38</v>
      </c>
      <c r="J29" s="55">
        <v>3.97</v>
      </c>
      <c r="K29" s="55">
        <v>109.14</v>
      </c>
      <c r="L29" s="55">
        <v>30.06</v>
      </c>
      <c r="M29" s="55">
        <v>48.70</v>
      </c>
      <c r="N29" s="55">
        <v>16</v>
      </c>
      <c r="O29" s="55">
        <v>0</v>
      </c>
      <c r="P29" s="55">
        <v>0.56999999999999995</v>
      </c>
      <c r="Q29" s="55">
        <v>9.48</v>
      </c>
      <c r="R29" s="43"/>
      <c r="S29" s="43"/>
      <c r="T29" s="43"/>
      <c r="U29" s="43"/>
    </row>
    <row r="30" spans="1:21" s="11" customFormat="1" ht="15">
      <c r="A30" s="54" t="s">
        <v>179</v>
      </c>
      <c r="B30" s="55">
        <v>2.68</v>
      </c>
      <c r="C30" s="55">
        <v>1.64</v>
      </c>
      <c r="D30" s="55">
        <v>4.2300000000000004</v>
      </c>
      <c r="E30" s="55">
        <v>1.63</v>
      </c>
      <c r="F30" s="55">
        <v>5.87</v>
      </c>
      <c r="G30" s="55">
        <v>59.22</v>
      </c>
      <c r="H30" s="55">
        <v>20.83</v>
      </c>
      <c r="I30" s="55">
        <v>7.67</v>
      </c>
      <c r="J30" s="55">
        <v>4.4400000000000004</v>
      </c>
      <c r="K30" s="55">
        <v>108.84</v>
      </c>
      <c r="L30" s="55">
        <v>29.01</v>
      </c>
      <c r="M30" s="55">
        <v>48.63</v>
      </c>
      <c r="N30" s="55">
        <v>15.20</v>
      </c>
      <c r="O30" s="55">
        <v>0</v>
      </c>
      <c r="P30" s="55">
        <v>0.49</v>
      </c>
      <c r="Q30" s="55">
        <v>9.3800000000000008</v>
      </c>
      <c r="R30" s="43"/>
      <c r="S30" s="43"/>
      <c r="T30" s="43"/>
      <c r="U30" s="43"/>
    </row>
    <row r="31" spans="1:21" s="11" customFormat="1" ht="15">
      <c r="A31" s="54" t="s">
        <v>180</v>
      </c>
      <c r="B31" s="55">
        <v>2.66</v>
      </c>
      <c r="C31" s="55">
        <v>1.27</v>
      </c>
      <c r="D31" s="55">
        <v>3.84</v>
      </c>
      <c r="E31" s="55">
        <v>1.55</v>
      </c>
      <c r="F31" s="55">
        <v>5.49</v>
      </c>
      <c r="G31" s="55">
        <v>50.07</v>
      </c>
      <c r="H31" s="55">
        <v>19.95</v>
      </c>
      <c r="I31" s="55">
        <v>7.74</v>
      </c>
      <c r="J31" s="55">
        <v>2.85</v>
      </c>
      <c r="K31" s="55">
        <v>155.38999999999999</v>
      </c>
      <c r="L31" s="55">
        <v>29.04</v>
      </c>
      <c r="M31" s="55">
        <v>61.82</v>
      </c>
      <c r="N31" s="55">
        <v>16.20</v>
      </c>
      <c r="O31" s="55">
        <v>0</v>
      </c>
      <c r="P31" s="55">
        <v>0.42</v>
      </c>
      <c r="Q31" s="55">
        <v>9.44</v>
      </c>
      <c r="R31" s="43"/>
      <c r="S31" s="43"/>
      <c r="T31" s="43"/>
      <c r="U31" s="43"/>
    </row>
    <row r="32" spans="1:21" s="11" customFormat="1" ht="15">
      <c r="A32" s="54" t="s">
        <v>181</v>
      </c>
      <c r="B32" s="55">
        <v>2.70</v>
      </c>
      <c r="C32" s="55">
        <v>1.81</v>
      </c>
      <c r="D32" s="55">
        <v>4.42</v>
      </c>
      <c r="E32" s="55">
        <v>1.61</v>
      </c>
      <c r="F32" s="55">
        <v>5.75</v>
      </c>
      <c r="G32" s="55">
        <v>38.46</v>
      </c>
      <c r="H32" s="55">
        <v>15.82</v>
      </c>
      <c r="I32" s="55">
        <v>7.53</v>
      </c>
      <c r="J32" s="55">
        <v>2.5</v>
      </c>
      <c r="K32" s="55">
        <v>196.14</v>
      </c>
      <c r="L32" s="55">
        <v>27.13</v>
      </c>
      <c r="M32" s="55">
        <v>63.05</v>
      </c>
      <c r="N32" s="55">
        <v>15.10</v>
      </c>
      <c r="O32" s="55">
        <v>0</v>
      </c>
      <c r="P32" s="55">
        <v>0.38</v>
      </c>
      <c r="Q32" s="55">
        <v>9.48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2.5699999999999998</v>
      </c>
      <c r="C34" s="28">
        <f t="shared" si="0"/>
        <v>1.27</v>
      </c>
      <c r="D34" s="28">
        <f t="shared" si="0"/>
        <v>3.8399999999999999</v>
      </c>
      <c r="E34" s="28">
        <f t="shared" si="0"/>
        <v>0.90000000000000002</v>
      </c>
      <c r="F34" s="28">
        <f t="shared" si="0"/>
        <v>4.1799999999999997</v>
      </c>
      <c r="G34" s="28">
        <f t="shared" si="0"/>
        <v>21.309999999999999</v>
      </c>
      <c r="H34" s="28">
        <f t="shared" si="0"/>
        <v>10.59</v>
      </c>
      <c r="I34" s="28">
        <f t="shared" si="0"/>
        <v>2.96</v>
      </c>
      <c r="J34" s="28">
        <f t="shared" si="0"/>
        <v>0.35999999999999999</v>
      </c>
      <c r="K34" s="28">
        <f t="shared" si="0"/>
        <v>108.84</v>
      </c>
      <c r="L34" s="28">
        <f t="shared" si="0"/>
        <v>27.039999999999999</v>
      </c>
      <c r="M34" s="28">
        <f t="shared" si="0"/>
        <v>25.559999999999999</v>
      </c>
      <c r="N34" s="28">
        <f t="shared" si="0"/>
        <v>13</v>
      </c>
      <c r="O34" s="28">
        <f t="shared" si="0"/>
        <v>0</v>
      </c>
      <c r="P34" s="28">
        <f t="shared" si="0"/>
        <v>0.33000000000000002</v>
      </c>
      <c r="Q34" s="28">
        <f t="shared" si="0"/>
        <v>9.3200000000000003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3.2799999999999998</v>
      </c>
      <c r="C35" s="29">
        <f t="shared" si="1"/>
        <v>4.7000000000000002</v>
      </c>
      <c r="D35" s="29">
        <f t="shared" si="1"/>
        <v>7.75</v>
      </c>
      <c r="E35" s="29">
        <f t="shared" si="1"/>
        <v>2.5499999999999998</v>
      </c>
      <c r="F35" s="29">
        <f t="shared" si="1"/>
        <v>11.25</v>
      </c>
      <c r="G35" s="29">
        <f t="shared" si="1"/>
        <v>62.369999999999997</v>
      </c>
      <c r="H35" s="29">
        <f t="shared" si="1"/>
        <v>21.18</v>
      </c>
      <c r="I35" s="29">
        <f t="shared" si="1"/>
        <v>7.7400000000000002</v>
      </c>
      <c r="J35" s="29">
        <f t="shared" si="1"/>
        <v>4.4400000000000004</v>
      </c>
      <c r="K35" s="29">
        <f t="shared" si="1"/>
        <v>358.07999999999998</v>
      </c>
      <c r="L35" s="29">
        <f t="shared" si="1"/>
        <v>40.280000000000001</v>
      </c>
      <c r="M35" s="29">
        <f t="shared" si="1"/>
        <v>63.229999999999997</v>
      </c>
      <c r="N35" s="29">
        <f t="shared" si="1"/>
        <v>848.79999999999995</v>
      </c>
      <c r="O35" s="29">
        <f t="shared" si="1"/>
        <v>0</v>
      </c>
      <c r="P35" s="29">
        <f t="shared" si="1"/>
        <v>0.56999999999999995</v>
      </c>
      <c r="Q35" s="29">
        <f t="shared" si="1"/>
        <v>9.4800000000000004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2.8850000000000002</v>
      </c>
      <c r="C36" s="28">
        <f t="shared" si="2"/>
        <v>3.0637500000000002</v>
      </c>
      <c r="D36" s="28">
        <f t="shared" si="2"/>
        <v>5.854166666666667</v>
      </c>
      <c r="E36" s="28">
        <f t="shared" si="2"/>
        <v>1.5766666666666664</v>
      </c>
      <c r="F36" s="28">
        <f t="shared" si="2"/>
        <v>6.5141666666666671</v>
      </c>
      <c r="G36" s="28">
        <f t="shared" si="2"/>
        <v>38.784583333333345</v>
      </c>
      <c r="H36" s="28">
        <f t="shared" si="2"/>
        <v>16.28833333333333</v>
      </c>
      <c r="I36" s="28">
        <f t="shared" si="2"/>
        <v>4.8629166666666661</v>
      </c>
      <c r="J36" s="28">
        <f t="shared" si="2"/>
        <v>1.469166666666667</v>
      </c>
      <c r="K36" s="28">
        <f t="shared" si="2"/>
        <v>282.71083333333337</v>
      </c>
      <c r="L36" s="28">
        <f t="shared" si="2"/>
        <v>32.478749999999998</v>
      </c>
      <c r="M36" s="28">
        <f t="shared" si="2"/>
        <v>45.848333333333336</v>
      </c>
      <c r="N36" s="28">
        <f t="shared" si="2"/>
        <v>264.87499999999994</v>
      </c>
      <c r="O36" s="28">
        <f t="shared" si="2"/>
        <v>0</v>
      </c>
      <c r="P36" s="28">
        <f t="shared" si="2"/>
        <v>0.44166666666666682</v>
      </c>
      <c r="Q36" s="28">
        <f t="shared" si="2"/>
        <v>9.3995833333333323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0.19960831210364846</v>
      </c>
      <c r="C37" s="28">
        <f t="shared" si="3" ref="C37:Q37">STDEV(C9:C32)</f>
        <v>1.115377933609327</v>
      </c>
      <c r="D37" s="28">
        <f t="shared" si="3"/>
        <v>1.2922004039846013</v>
      </c>
      <c r="E37" s="28">
        <f t="shared" si="3"/>
        <v>0.48117308344491244</v>
      </c>
      <c r="F37" s="28">
        <f t="shared" si="3"/>
        <v>1.9553403276927139</v>
      </c>
      <c r="G37" s="28">
        <f t="shared" si="3"/>
        <v>10.911710494042461</v>
      </c>
      <c r="H37" s="28">
        <f t="shared" si="3"/>
        <v>3.3069763763327975</v>
      </c>
      <c r="I37" s="28">
        <f t="shared" si="3"/>
        <v>1.42541063241948</v>
      </c>
      <c r="J37" s="28">
        <f t="shared" si="3"/>
        <v>1.1079629434498119</v>
      </c>
      <c r="K37" s="28">
        <f t="shared" si="3"/>
        <v>85.483088585157745</v>
      </c>
      <c r="L37" s="28">
        <f t="shared" si="3"/>
        <v>4.6700882707419975</v>
      </c>
      <c r="M37" s="28">
        <f t="shared" si="3"/>
        <v>13.946535074336909</v>
      </c>
      <c r="N37" s="28">
        <f t="shared" si="3"/>
        <v>329.68067059689355</v>
      </c>
      <c r="O37" s="28">
        <f t="shared" si="3"/>
        <v>0</v>
      </c>
      <c r="P37" s="28">
        <f t="shared" si="3"/>
        <v>0.06969914644020142</v>
      </c>
      <c r="Q37" s="28">
        <f t="shared" si="3"/>
        <v>0.042984240455499832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0.68" top="0.196850393700787" bottom="1.12" header="0.31496062992126" footer="0.15748031496063"/>
  <pageSetup orientation="landscape" paperSize="9" scale="6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59bd32-3950-4e7d-97d6-ce869f4ad3dd}">
  <sheetPr codeName=""/>
  <dimension ref="A1:U119"/>
  <sheetViews>
    <sheetView zoomScale="85" zoomScaleNormal="85"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713</v>
      </c>
      <c r="B9" s="55">
        <v>8.26</v>
      </c>
      <c r="C9" s="55">
        <v>3.36</v>
      </c>
      <c r="D9" s="55">
        <v>12.16</v>
      </c>
      <c r="E9" s="61" t="s">
        <v>14</v>
      </c>
      <c r="F9" s="55">
        <v>3.98</v>
      </c>
      <c r="G9" s="61" t="s">
        <v>14</v>
      </c>
      <c r="H9" s="61" t="s">
        <v>14</v>
      </c>
      <c r="I9" s="55">
        <v>2.68</v>
      </c>
      <c r="J9" s="55">
        <v>0.71</v>
      </c>
      <c r="K9" s="55">
        <v>213.29</v>
      </c>
      <c r="L9" s="55">
        <v>24.67</v>
      </c>
      <c r="M9" s="55">
        <v>98.22</v>
      </c>
      <c r="N9" s="55">
        <v>17.399999999999999</v>
      </c>
      <c r="O9" s="55">
        <v>0</v>
      </c>
      <c r="P9" s="55">
        <v>0.35</v>
      </c>
      <c r="Q9" s="55">
        <v>9.31</v>
      </c>
      <c r="R9" s="43"/>
      <c r="S9" s="43"/>
      <c r="T9" s="43"/>
      <c r="U9" s="43"/>
    </row>
    <row r="10" spans="1:21" s="11" customFormat="1" ht="15">
      <c r="A10" s="54" t="s">
        <v>714</v>
      </c>
      <c r="B10" s="55">
        <v>8.18</v>
      </c>
      <c r="C10" s="55">
        <v>3.13</v>
      </c>
      <c r="D10" s="55">
        <v>11.97</v>
      </c>
      <c r="E10" s="61" t="s">
        <v>14</v>
      </c>
      <c r="F10" s="55">
        <v>3.80</v>
      </c>
      <c r="G10" s="61" t="s">
        <v>14</v>
      </c>
      <c r="H10" s="61" t="s">
        <v>14</v>
      </c>
      <c r="I10" s="55">
        <v>3.07</v>
      </c>
      <c r="J10" s="55">
        <v>0.34</v>
      </c>
      <c r="K10" s="55">
        <v>298.06</v>
      </c>
      <c r="L10" s="55">
        <v>24.25</v>
      </c>
      <c r="M10" s="55">
        <v>98.32</v>
      </c>
      <c r="N10" s="55">
        <v>17.100000000000001</v>
      </c>
      <c r="O10" s="55">
        <v>0</v>
      </c>
      <c r="P10" s="55">
        <v>0.28999999999999998</v>
      </c>
      <c r="Q10" s="55">
        <v>9.33</v>
      </c>
      <c r="R10" s="43"/>
      <c r="S10" s="43"/>
      <c r="T10" s="43"/>
      <c r="U10" s="43"/>
    </row>
    <row r="11" spans="1:21" s="11" customFormat="1" ht="15">
      <c r="A11" s="54" t="s">
        <v>715</v>
      </c>
      <c r="B11" s="55">
        <v>8.1999999999999993</v>
      </c>
      <c r="C11" s="55">
        <v>3.24</v>
      </c>
      <c r="D11" s="55">
        <v>12.04</v>
      </c>
      <c r="E11" s="61" t="s">
        <v>14</v>
      </c>
      <c r="F11" s="55">
        <v>4.8499999999999996</v>
      </c>
      <c r="G11" s="61" t="s">
        <v>14</v>
      </c>
      <c r="H11" s="61" t="s">
        <v>14</v>
      </c>
      <c r="I11" s="55">
        <v>3.12</v>
      </c>
      <c r="J11" s="55">
        <v>0.5</v>
      </c>
      <c r="K11" s="55">
        <v>182</v>
      </c>
      <c r="L11" s="55">
        <v>24.31</v>
      </c>
      <c r="M11" s="55">
        <v>98.22</v>
      </c>
      <c r="N11" s="55">
        <v>17.399999999999999</v>
      </c>
      <c r="O11" s="55">
        <v>0</v>
      </c>
      <c r="P11" s="55">
        <v>0.30</v>
      </c>
      <c r="Q11" s="55">
        <v>9.2899999999999991</v>
      </c>
      <c r="R11" s="43"/>
      <c r="S11" s="43"/>
      <c r="T11" s="43"/>
      <c r="U11" s="43"/>
    </row>
    <row r="12" spans="1:21" s="11" customFormat="1" ht="15">
      <c r="A12" s="54" t="s">
        <v>716</v>
      </c>
      <c r="B12" s="55">
        <v>8.18</v>
      </c>
      <c r="C12" s="55">
        <v>3.16</v>
      </c>
      <c r="D12" s="55">
        <v>11.97</v>
      </c>
      <c r="E12" s="61" t="s">
        <v>14</v>
      </c>
      <c r="F12" s="55">
        <v>4.70</v>
      </c>
      <c r="G12" s="61" t="s">
        <v>14</v>
      </c>
      <c r="H12" s="61" t="s">
        <v>14</v>
      </c>
      <c r="I12" s="55">
        <v>2.83</v>
      </c>
      <c r="J12" s="55">
        <v>0.75</v>
      </c>
      <c r="K12" s="55">
        <v>338.84</v>
      </c>
      <c r="L12" s="55">
        <v>24.36</v>
      </c>
      <c r="M12" s="55">
        <v>98.33</v>
      </c>
      <c r="N12" s="55">
        <v>17.30</v>
      </c>
      <c r="O12" s="55">
        <v>0</v>
      </c>
      <c r="P12" s="55">
        <v>0.28000000000000003</v>
      </c>
      <c r="Q12" s="55">
        <v>9.2899999999999991</v>
      </c>
      <c r="R12" s="43"/>
      <c r="S12" s="43"/>
      <c r="T12" s="43"/>
      <c r="U12" s="43"/>
    </row>
    <row r="13" spans="1:21" s="11" customFormat="1" ht="15">
      <c r="A13" s="54" t="s">
        <v>717</v>
      </c>
      <c r="B13" s="55">
        <v>8.2100000000000009</v>
      </c>
      <c r="C13" s="55">
        <v>3.21</v>
      </c>
      <c r="D13" s="55">
        <v>12.04</v>
      </c>
      <c r="E13" s="61" t="s">
        <v>14</v>
      </c>
      <c r="F13" s="55">
        <v>4.33</v>
      </c>
      <c r="G13" s="61" t="s">
        <v>14</v>
      </c>
      <c r="H13" s="61" t="s">
        <v>14</v>
      </c>
      <c r="I13" s="55">
        <v>2.92</v>
      </c>
      <c r="J13" s="55">
        <v>1.29</v>
      </c>
      <c r="K13" s="55">
        <v>349.72</v>
      </c>
      <c r="L13" s="55">
        <v>23.61</v>
      </c>
      <c r="M13" s="55">
        <v>98.35</v>
      </c>
      <c r="N13" s="55">
        <v>17.899999999999999</v>
      </c>
      <c r="O13" s="55">
        <v>0.20</v>
      </c>
      <c r="P13" s="55">
        <v>0.26</v>
      </c>
      <c r="Q13" s="55">
        <v>9.3000000000000007</v>
      </c>
      <c r="R13" s="43"/>
      <c r="S13" s="43"/>
      <c r="T13" s="43"/>
      <c r="U13" s="43"/>
    </row>
    <row r="14" spans="1:21" s="11" customFormat="1" ht="15">
      <c r="A14" s="54" t="s">
        <v>718</v>
      </c>
      <c r="B14" s="55">
        <v>8.1999999999999993</v>
      </c>
      <c r="C14" s="55">
        <v>3.18</v>
      </c>
      <c r="D14" s="55">
        <v>12.01</v>
      </c>
      <c r="E14" s="61" t="s">
        <v>14</v>
      </c>
      <c r="F14" s="55">
        <v>3.96</v>
      </c>
      <c r="G14" s="61" t="s">
        <v>14</v>
      </c>
      <c r="H14" s="61" t="s">
        <v>14</v>
      </c>
      <c r="I14" s="55">
        <v>3.06</v>
      </c>
      <c r="J14" s="55">
        <v>0.35</v>
      </c>
      <c r="K14" s="55">
        <v>354.28</v>
      </c>
      <c r="L14" s="55">
        <v>23.03</v>
      </c>
      <c r="M14" s="55">
        <v>98.38</v>
      </c>
      <c r="N14" s="55">
        <v>24.90</v>
      </c>
      <c r="O14" s="55">
        <v>0.40</v>
      </c>
      <c r="P14" s="55">
        <v>0.25</v>
      </c>
      <c r="Q14" s="55">
        <v>9.2899999999999991</v>
      </c>
      <c r="R14" s="43"/>
      <c r="S14" s="43"/>
      <c r="T14" s="43"/>
      <c r="U14" s="43"/>
    </row>
    <row r="15" spans="1:21" s="11" customFormat="1" ht="15">
      <c r="A15" s="54" t="s">
        <v>719</v>
      </c>
      <c r="B15" s="55">
        <v>8.19</v>
      </c>
      <c r="C15" s="55">
        <v>3.18</v>
      </c>
      <c r="D15" s="55">
        <v>12.01</v>
      </c>
      <c r="E15" s="61" t="s">
        <v>14</v>
      </c>
      <c r="F15" s="55">
        <v>4.12</v>
      </c>
      <c r="G15" s="61" t="s">
        <v>14</v>
      </c>
      <c r="H15" s="61" t="s">
        <v>14</v>
      </c>
      <c r="I15" s="55">
        <v>3.06</v>
      </c>
      <c r="J15" s="55">
        <v>0.54</v>
      </c>
      <c r="K15" s="55">
        <v>358.54</v>
      </c>
      <c r="L15" s="55">
        <v>23.28</v>
      </c>
      <c r="M15" s="55">
        <v>98.38</v>
      </c>
      <c r="N15" s="55">
        <v>74.099999999999994</v>
      </c>
      <c r="O15" s="55">
        <v>0</v>
      </c>
      <c r="P15" s="55">
        <v>0.27</v>
      </c>
      <c r="Q15" s="55">
        <v>9.2899999999999991</v>
      </c>
      <c r="R15" s="43"/>
      <c r="S15" s="43"/>
      <c r="T15" s="43"/>
      <c r="U15" s="43"/>
    </row>
    <row r="16" spans="1:21" s="11" customFormat="1" ht="15">
      <c r="A16" s="54" t="s">
        <v>720</v>
      </c>
      <c r="B16" s="55">
        <v>8.31</v>
      </c>
      <c r="C16" s="55">
        <v>3.53</v>
      </c>
      <c r="D16" s="55">
        <v>12.28</v>
      </c>
      <c r="E16" s="61" t="s">
        <v>14</v>
      </c>
      <c r="F16" s="55">
        <v>4.7699999999999996</v>
      </c>
      <c r="G16" s="61" t="s">
        <v>14</v>
      </c>
      <c r="H16" s="61" t="s">
        <v>14</v>
      </c>
      <c r="I16" s="55">
        <v>2.88</v>
      </c>
      <c r="J16" s="55">
        <v>0.57999999999999996</v>
      </c>
      <c r="K16" s="55">
        <v>350.11</v>
      </c>
      <c r="L16" s="55">
        <v>24.20</v>
      </c>
      <c r="M16" s="55">
        <v>98.35</v>
      </c>
      <c r="N16" s="55">
        <v>194</v>
      </c>
      <c r="O16" s="55">
        <v>0</v>
      </c>
      <c r="P16" s="55">
        <v>0.28999999999999998</v>
      </c>
      <c r="Q16" s="55">
        <v>9.3000000000000007</v>
      </c>
      <c r="R16" s="43"/>
      <c r="S16" s="43"/>
      <c r="T16" s="43"/>
      <c r="U16" s="43"/>
    </row>
    <row r="17" spans="1:21" s="11" customFormat="1" ht="15">
      <c r="A17" s="54" t="s">
        <v>721</v>
      </c>
      <c r="B17" s="55">
        <v>8.14</v>
      </c>
      <c r="C17" s="55">
        <v>3.15</v>
      </c>
      <c r="D17" s="55">
        <v>11.95</v>
      </c>
      <c r="E17" s="61" t="s">
        <v>14</v>
      </c>
      <c r="F17" s="55">
        <v>5.01</v>
      </c>
      <c r="G17" s="61" t="s">
        <v>14</v>
      </c>
      <c r="H17" s="61" t="s">
        <v>14</v>
      </c>
      <c r="I17" s="55">
        <v>2.3199999999999998</v>
      </c>
      <c r="J17" s="55">
        <v>0.73</v>
      </c>
      <c r="K17" s="55">
        <v>359.99</v>
      </c>
      <c r="L17" s="55">
        <v>24.93</v>
      </c>
      <c r="M17" s="55">
        <v>98.25</v>
      </c>
      <c r="N17" s="55">
        <v>203.80</v>
      </c>
      <c r="O17" s="55">
        <v>0</v>
      </c>
      <c r="P17" s="55">
        <v>0.31</v>
      </c>
      <c r="Q17" s="55">
        <v>9.3000000000000007</v>
      </c>
      <c r="R17" s="43"/>
      <c r="S17" s="43"/>
      <c r="T17" s="43"/>
      <c r="U17" s="43"/>
    </row>
    <row r="18" spans="1:21" s="11" customFormat="1" ht="15">
      <c r="A18" s="54" t="s">
        <v>722</v>
      </c>
      <c r="B18" s="55">
        <v>8.2200000000000006</v>
      </c>
      <c r="C18" s="55">
        <v>3.17</v>
      </c>
      <c r="D18" s="55">
        <v>12.02</v>
      </c>
      <c r="E18" s="61" t="s">
        <v>14</v>
      </c>
      <c r="F18" s="55">
        <v>4.4400000000000004</v>
      </c>
      <c r="G18" s="61" t="s">
        <v>14</v>
      </c>
      <c r="H18" s="61" t="s">
        <v>14</v>
      </c>
      <c r="I18" s="55">
        <v>1.87</v>
      </c>
      <c r="J18" s="55">
        <v>0.62</v>
      </c>
      <c r="K18" s="55">
        <v>9.1300000000000008</v>
      </c>
      <c r="L18" s="55">
        <v>26.48</v>
      </c>
      <c r="M18" s="55">
        <v>91.92</v>
      </c>
      <c r="N18" s="55">
        <v>325.89999999999998</v>
      </c>
      <c r="O18" s="55">
        <v>0</v>
      </c>
      <c r="P18" s="55">
        <v>0.34</v>
      </c>
      <c r="Q18" s="55">
        <v>9.27</v>
      </c>
      <c r="R18" s="43"/>
      <c r="S18" s="43"/>
      <c r="T18" s="43"/>
      <c r="U18" s="43"/>
    </row>
    <row r="19" spans="1:21" s="11" customFormat="1" ht="15">
      <c r="A19" s="54" t="s">
        <v>723</v>
      </c>
      <c r="B19" s="55">
        <v>8.2200000000000006</v>
      </c>
      <c r="C19" s="55">
        <v>3.25</v>
      </c>
      <c r="D19" s="55">
        <v>12.07</v>
      </c>
      <c r="E19" s="61" t="s">
        <v>14</v>
      </c>
      <c r="F19" s="55">
        <v>6.53</v>
      </c>
      <c r="G19" s="61" t="s">
        <v>14</v>
      </c>
      <c r="H19" s="61" t="s">
        <v>14</v>
      </c>
      <c r="I19" s="55">
        <v>1.59</v>
      </c>
      <c r="J19" s="55">
        <v>0.62</v>
      </c>
      <c r="K19" s="55">
        <v>353.24</v>
      </c>
      <c r="L19" s="55">
        <v>28.01</v>
      </c>
      <c r="M19" s="55">
        <v>86.27</v>
      </c>
      <c r="N19" s="55">
        <v>417.20</v>
      </c>
      <c r="O19" s="55">
        <v>0</v>
      </c>
      <c r="P19" s="55">
        <v>0.36</v>
      </c>
      <c r="Q19" s="55">
        <v>9.3000000000000007</v>
      </c>
      <c r="R19" s="43"/>
      <c r="S19" s="43"/>
      <c r="T19" s="43"/>
      <c r="U19" s="43"/>
    </row>
    <row r="20" spans="1:21" s="11" customFormat="1" ht="15">
      <c r="A20" s="54" t="s">
        <v>724</v>
      </c>
      <c r="B20" s="55">
        <v>8.18</v>
      </c>
      <c r="C20" s="55">
        <v>3.23</v>
      </c>
      <c r="D20" s="55">
        <v>12</v>
      </c>
      <c r="E20" s="55">
        <v>4.63</v>
      </c>
      <c r="F20" s="55">
        <v>6.58</v>
      </c>
      <c r="G20" s="55">
        <v>31.55</v>
      </c>
      <c r="H20" s="55">
        <v>6.31</v>
      </c>
      <c r="I20" s="55">
        <v>1.46</v>
      </c>
      <c r="J20" s="55">
        <v>0.70</v>
      </c>
      <c r="K20" s="55">
        <v>325.38</v>
      </c>
      <c r="L20" s="55">
        <v>27.53</v>
      </c>
      <c r="M20" s="55">
        <v>86.85</v>
      </c>
      <c r="N20" s="55">
        <v>203</v>
      </c>
      <c r="O20" s="55">
        <v>0</v>
      </c>
      <c r="P20" s="55">
        <v>0.52</v>
      </c>
      <c r="Q20" s="55">
        <v>9.32</v>
      </c>
      <c r="R20" s="43"/>
      <c r="S20" s="43"/>
      <c r="T20" s="43"/>
      <c r="U20" s="43"/>
    </row>
    <row r="21" spans="1:21" s="11" customFormat="1" ht="15">
      <c r="A21" s="54" t="s">
        <v>725</v>
      </c>
      <c r="B21" s="55">
        <v>8.18</v>
      </c>
      <c r="C21" s="55">
        <v>3.31</v>
      </c>
      <c r="D21" s="55">
        <v>12.06</v>
      </c>
      <c r="E21" s="55">
        <v>4.9800000000000004</v>
      </c>
      <c r="F21" s="55">
        <v>5.91</v>
      </c>
      <c r="G21" s="55">
        <v>31.55</v>
      </c>
      <c r="H21" s="55">
        <v>6.31</v>
      </c>
      <c r="I21" s="55">
        <v>2.58</v>
      </c>
      <c r="J21" s="55">
        <v>0.57999999999999996</v>
      </c>
      <c r="K21" s="55">
        <v>359.02</v>
      </c>
      <c r="L21" s="55">
        <v>27.70</v>
      </c>
      <c r="M21" s="55">
        <v>85.97</v>
      </c>
      <c r="N21" s="55">
        <v>334.20</v>
      </c>
      <c r="O21" s="55">
        <v>0</v>
      </c>
      <c r="P21" s="55">
        <v>0.61</v>
      </c>
      <c r="Q21" s="55">
        <v>9.42</v>
      </c>
      <c r="R21" s="43"/>
      <c r="S21" s="43"/>
      <c r="T21" s="43"/>
      <c r="U21" s="43"/>
    </row>
    <row r="22" spans="1:21" s="11" customFormat="1" ht="15">
      <c r="A22" s="54" t="s">
        <v>726</v>
      </c>
      <c r="B22" s="55">
        <v>8.3000000000000007</v>
      </c>
      <c r="C22" s="55">
        <v>3.82</v>
      </c>
      <c r="D22" s="55">
        <v>12.43</v>
      </c>
      <c r="E22" s="55">
        <v>5.49</v>
      </c>
      <c r="F22" s="55">
        <v>5.27</v>
      </c>
      <c r="G22" s="55">
        <v>25.17</v>
      </c>
      <c r="H22" s="55">
        <v>4.78</v>
      </c>
      <c r="I22" s="55">
        <v>3.77</v>
      </c>
      <c r="J22" s="55">
        <v>0.62</v>
      </c>
      <c r="K22" s="55">
        <v>353.20</v>
      </c>
      <c r="L22" s="55">
        <v>29.90</v>
      </c>
      <c r="M22" s="55">
        <v>78.569999999999993</v>
      </c>
      <c r="N22" s="55">
        <v>664.70</v>
      </c>
      <c r="O22" s="55">
        <v>0</v>
      </c>
      <c r="P22" s="55">
        <v>0.69</v>
      </c>
      <c r="Q22" s="55">
        <v>9.41</v>
      </c>
      <c r="R22" s="43"/>
      <c r="S22" s="43"/>
      <c r="T22" s="43"/>
      <c r="U22" s="43"/>
    </row>
    <row r="23" spans="1:21" s="11" customFormat="1" ht="15">
      <c r="A23" s="54" t="s">
        <v>727</v>
      </c>
      <c r="B23" s="55">
        <v>8.2200000000000006</v>
      </c>
      <c r="C23" s="55">
        <v>3.55</v>
      </c>
      <c r="D23" s="55">
        <v>12.22</v>
      </c>
      <c r="E23" s="55">
        <v>4.83</v>
      </c>
      <c r="F23" s="55">
        <v>6.38</v>
      </c>
      <c r="G23" s="55">
        <v>58.82</v>
      </c>
      <c r="H23" s="55">
        <v>14.04</v>
      </c>
      <c r="I23" s="55">
        <v>3.89</v>
      </c>
      <c r="J23" s="55">
        <v>0.63</v>
      </c>
      <c r="K23" s="55">
        <v>349.04</v>
      </c>
      <c r="L23" s="55">
        <v>30.86</v>
      </c>
      <c r="M23" s="55">
        <v>75.55</v>
      </c>
      <c r="N23" s="55">
        <v>738.5</v>
      </c>
      <c r="O23" s="55">
        <v>0</v>
      </c>
      <c r="P23" s="55">
        <v>0.69</v>
      </c>
      <c r="Q23" s="55">
        <v>9.32</v>
      </c>
      <c r="R23" s="43"/>
      <c r="S23" s="43"/>
      <c r="T23" s="43"/>
      <c r="U23" s="43"/>
    </row>
    <row r="24" spans="1:21" s="11" customFormat="1" ht="15">
      <c r="A24" s="54" t="s">
        <v>728</v>
      </c>
      <c r="B24" s="55">
        <v>8.26</v>
      </c>
      <c r="C24" s="55">
        <v>3.24</v>
      </c>
      <c r="D24" s="55">
        <v>12.04</v>
      </c>
      <c r="E24" s="55">
        <v>5.05</v>
      </c>
      <c r="F24" s="55">
        <v>6.38</v>
      </c>
      <c r="G24" s="55">
        <v>58.82</v>
      </c>
      <c r="H24" s="55">
        <v>14.04</v>
      </c>
      <c r="I24" s="55">
        <v>3.84</v>
      </c>
      <c r="J24" s="55">
        <v>0.62</v>
      </c>
      <c r="K24" s="55">
        <v>355.17</v>
      </c>
      <c r="L24" s="55">
        <v>29.11</v>
      </c>
      <c r="M24" s="55">
        <v>77.569999999999993</v>
      </c>
      <c r="N24" s="55">
        <v>281.5</v>
      </c>
      <c r="O24" s="55">
        <v>0</v>
      </c>
      <c r="P24" s="55">
        <v>0.70</v>
      </c>
      <c r="Q24" s="55">
        <v>9.41</v>
      </c>
      <c r="R24" s="43"/>
      <c r="S24" s="43"/>
      <c r="T24" s="43"/>
      <c r="U24" s="43"/>
    </row>
    <row r="25" spans="1:21" s="11" customFormat="1" ht="15">
      <c r="A25" s="54" t="s">
        <v>729</v>
      </c>
      <c r="B25" s="55">
        <v>8.3000000000000007</v>
      </c>
      <c r="C25" s="55">
        <v>3.14</v>
      </c>
      <c r="D25" s="55">
        <v>12.05</v>
      </c>
      <c r="E25" s="55">
        <v>4.29</v>
      </c>
      <c r="F25" s="55">
        <v>8.01</v>
      </c>
      <c r="G25" s="55">
        <v>54.79</v>
      </c>
      <c r="H25" s="55">
        <v>15.09</v>
      </c>
      <c r="I25" s="55">
        <v>3.58</v>
      </c>
      <c r="J25" s="55">
        <v>0.52</v>
      </c>
      <c r="K25" s="55">
        <v>257.70999999999998</v>
      </c>
      <c r="L25" s="55">
        <v>28.13</v>
      </c>
      <c r="M25" s="55">
        <v>85.95</v>
      </c>
      <c r="N25" s="55">
        <v>205</v>
      </c>
      <c r="O25" s="55">
        <v>0</v>
      </c>
      <c r="P25" s="55">
        <v>0.57999999999999996</v>
      </c>
      <c r="Q25" s="55">
        <v>9.43</v>
      </c>
      <c r="R25" s="43"/>
      <c r="S25" s="43"/>
      <c r="T25" s="43"/>
      <c r="U25" s="43"/>
    </row>
    <row r="26" spans="1:21" s="11" customFormat="1" ht="15">
      <c r="A26" s="54" t="s">
        <v>730</v>
      </c>
      <c r="B26" s="55">
        <v>8.35</v>
      </c>
      <c r="C26" s="55">
        <v>3.39</v>
      </c>
      <c r="D26" s="55">
        <v>12.24</v>
      </c>
      <c r="E26" s="55">
        <v>4.2300000000000004</v>
      </c>
      <c r="F26" s="55">
        <v>6.92</v>
      </c>
      <c r="G26" s="55">
        <v>53.32</v>
      </c>
      <c r="H26" s="55">
        <v>15.09</v>
      </c>
      <c r="I26" s="55">
        <v>2.2400000000000002</v>
      </c>
      <c r="J26" s="55">
        <v>0.57999999999999996</v>
      </c>
      <c r="K26" s="55">
        <v>22.29</v>
      </c>
      <c r="L26" s="55">
        <v>26.01</v>
      </c>
      <c r="M26" s="55">
        <v>90.43</v>
      </c>
      <c r="N26" s="55">
        <v>51</v>
      </c>
      <c r="O26" s="55">
        <v>0</v>
      </c>
      <c r="P26" s="55">
        <v>0.37</v>
      </c>
      <c r="Q26" s="55">
        <v>9.32</v>
      </c>
      <c r="R26" s="43"/>
      <c r="S26" s="43"/>
      <c r="T26" s="43"/>
      <c r="U26" s="43"/>
    </row>
    <row r="27" spans="1:21" s="11" customFormat="1" ht="15">
      <c r="A27" s="54" t="s">
        <v>731</v>
      </c>
      <c r="B27" s="55">
        <v>8.19</v>
      </c>
      <c r="C27" s="55">
        <v>3.15</v>
      </c>
      <c r="D27" s="55">
        <v>11.99</v>
      </c>
      <c r="E27" s="55">
        <v>4.4400000000000004</v>
      </c>
      <c r="F27" s="55">
        <v>5.25</v>
      </c>
      <c r="G27" s="55">
        <v>38.64</v>
      </c>
      <c r="H27" s="55">
        <v>12.91</v>
      </c>
      <c r="I27" s="55">
        <v>1.52</v>
      </c>
      <c r="J27" s="55">
        <v>0.5</v>
      </c>
      <c r="K27" s="55">
        <v>343.44</v>
      </c>
      <c r="L27" s="55">
        <v>25.20</v>
      </c>
      <c r="M27" s="55">
        <v>91.88</v>
      </c>
      <c r="N27" s="55">
        <v>25.30</v>
      </c>
      <c r="O27" s="55">
        <v>0</v>
      </c>
      <c r="P27" s="55">
        <v>0.36</v>
      </c>
      <c r="Q27" s="55">
        <v>9.31</v>
      </c>
      <c r="R27" s="43"/>
      <c r="S27" s="43"/>
      <c r="T27" s="43"/>
      <c r="U27" s="43"/>
    </row>
    <row r="28" spans="1:21" s="11" customFormat="1" ht="15">
      <c r="A28" s="54" t="s">
        <v>732</v>
      </c>
      <c r="B28" s="55">
        <v>8.27</v>
      </c>
      <c r="C28" s="55">
        <v>3.23</v>
      </c>
      <c r="D28" s="55">
        <v>12.09</v>
      </c>
      <c r="E28" s="55">
        <v>4.63</v>
      </c>
      <c r="F28" s="55">
        <v>4.51</v>
      </c>
      <c r="G28" s="55">
        <v>33.94</v>
      </c>
      <c r="H28" s="55">
        <v>11.67</v>
      </c>
      <c r="I28" s="55">
        <v>1.68</v>
      </c>
      <c r="J28" s="55">
        <v>0.55000000000000004</v>
      </c>
      <c r="K28" s="55">
        <v>33.83</v>
      </c>
      <c r="L28" s="55">
        <v>25.09</v>
      </c>
      <c r="M28" s="55">
        <v>92.27</v>
      </c>
      <c r="N28" s="55">
        <v>17.30</v>
      </c>
      <c r="O28" s="55">
        <v>0</v>
      </c>
      <c r="P28" s="55">
        <v>0.39</v>
      </c>
      <c r="Q28" s="55">
        <v>9.36</v>
      </c>
      <c r="R28" s="43"/>
      <c r="S28" s="43"/>
      <c r="T28" s="43"/>
      <c r="U28" s="43"/>
    </row>
    <row r="29" spans="1:21" s="11" customFormat="1" ht="15">
      <c r="A29" s="54" t="s">
        <v>733</v>
      </c>
      <c r="B29" s="55">
        <v>8.2899999999999991</v>
      </c>
      <c r="C29" s="55">
        <v>3.29</v>
      </c>
      <c r="D29" s="55">
        <v>12.14</v>
      </c>
      <c r="E29" s="55">
        <v>4.8899999999999997</v>
      </c>
      <c r="F29" s="55">
        <v>4.20</v>
      </c>
      <c r="G29" s="55">
        <v>32.81</v>
      </c>
      <c r="H29" s="55">
        <v>9.32</v>
      </c>
      <c r="I29" s="55">
        <v>2.0699999999999998</v>
      </c>
      <c r="J29" s="55">
        <v>0.63</v>
      </c>
      <c r="K29" s="55">
        <v>37.44</v>
      </c>
      <c r="L29" s="55">
        <v>25.11</v>
      </c>
      <c r="M29" s="55">
        <v>95.04</v>
      </c>
      <c r="N29" s="55">
        <v>17.30</v>
      </c>
      <c r="O29" s="55">
        <v>0</v>
      </c>
      <c r="P29" s="55">
        <v>0.44</v>
      </c>
      <c r="Q29" s="55">
        <v>9.36</v>
      </c>
      <c r="R29" s="43"/>
      <c r="S29" s="43"/>
      <c r="T29" s="43"/>
      <c r="U29" s="43"/>
    </row>
    <row r="30" spans="1:21" s="11" customFormat="1" ht="15">
      <c r="A30" s="54" t="s">
        <v>734</v>
      </c>
      <c r="B30" s="55">
        <v>8.31</v>
      </c>
      <c r="C30" s="55">
        <v>3.45</v>
      </c>
      <c r="D30" s="55">
        <v>12.24</v>
      </c>
      <c r="E30" s="55">
        <v>4.82</v>
      </c>
      <c r="F30" s="55">
        <v>4.16</v>
      </c>
      <c r="G30" s="55">
        <v>30.78</v>
      </c>
      <c r="H30" s="55">
        <v>6.98</v>
      </c>
      <c r="I30" s="55">
        <v>2.15</v>
      </c>
      <c r="J30" s="55">
        <v>0.52</v>
      </c>
      <c r="K30" s="55">
        <v>195.59</v>
      </c>
      <c r="L30" s="55">
        <v>24.59</v>
      </c>
      <c r="M30" s="55">
        <v>97.71</v>
      </c>
      <c r="N30" s="55">
        <v>17.30</v>
      </c>
      <c r="O30" s="55">
        <v>0</v>
      </c>
      <c r="P30" s="55">
        <v>0.44</v>
      </c>
      <c r="Q30" s="55">
        <v>9.36</v>
      </c>
      <c r="R30" s="43"/>
      <c r="S30" s="43"/>
      <c r="T30" s="43"/>
      <c r="U30" s="43"/>
    </row>
    <row r="31" spans="1:21" s="11" customFormat="1" ht="15">
      <c r="A31" s="54" t="s">
        <v>735</v>
      </c>
      <c r="B31" s="55">
        <v>8.1999999999999993</v>
      </c>
      <c r="C31" s="55">
        <v>3.21</v>
      </c>
      <c r="D31" s="55">
        <v>12.02</v>
      </c>
      <c r="E31" s="55">
        <v>4.80</v>
      </c>
      <c r="F31" s="55">
        <v>4.03</v>
      </c>
      <c r="G31" s="55">
        <v>30.78</v>
      </c>
      <c r="H31" s="55">
        <v>7.13</v>
      </c>
      <c r="I31" s="55">
        <v>2.2400000000000002</v>
      </c>
      <c r="J31" s="55">
        <v>0.48</v>
      </c>
      <c r="K31" s="55">
        <v>237.92</v>
      </c>
      <c r="L31" s="55">
        <v>24.32</v>
      </c>
      <c r="M31" s="55">
        <v>98.23</v>
      </c>
      <c r="N31" s="55">
        <v>17.399999999999999</v>
      </c>
      <c r="O31" s="55">
        <v>0</v>
      </c>
      <c r="P31" s="55">
        <v>0.40</v>
      </c>
      <c r="Q31" s="55">
        <v>9.36</v>
      </c>
      <c r="R31" s="43"/>
      <c r="S31" s="43"/>
      <c r="T31" s="43"/>
      <c r="U31" s="43"/>
    </row>
    <row r="32" spans="1:21" s="11" customFormat="1" ht="15">
      <c r="A32" s="54" t="s">
        <v>736</v>
      </c>
      <c r="B32" s="55">
        <v>8.27</v>
      </c>
      <c r="C32" s="55">
        <v>3.23</v>
      </c>
      <c r="D32" s="55">
        <v>12.10</v>
      </c>
      <c r="E32" s="55">
        <v>4.66</v>
      </c>
      <c r="F32" s="55">
        <v>3.52</v>
      </c>
      <c r="G32" s="55">
        <v>23.41</v>
      </c>
      <c r="H32" s="55">
        <v>7.13</v>
      </c>
      <c r="I32" s="55">
        <v>2.33</v>
      </c>
      <c r="J32" s="55">
        <v>0.5</v>
      </c>
      <c r="K32" s="55">
        <v>342.90</v>
      </c>
      <c r="L32" s="55">
        <v>24.37</v>
      </c>
      <c r="M32" s="55">
        <v>98.20</v>
      </c>
      <c r="N32" s="55">
        <v>17.399999999999999</v>
      </c>
      <c r="O32" s="55">
        <v>0</v>
      </c>
      <c r="P32" s="55">
        <v>0.37</v>
      </c>
      <c r="Q32" s="55">
        <v>9.34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8.1400000000000006</v>
      </c>
      <c r="C34" s="28">
        <f t="shared" si="0"/>
        <v>3.1299999999999999</v>
      </c>
      <c r="D34" s="28">
        <f t="shared" si="0"/>
        <v>11.949999999999999</v>
      </c>
      <c r="E34" s="28">
        <f t="shared" si="0"/>
        <v>4.2300000000000004</v>
      </c>
      <c r="F34" s="28">
        <f t="shared" si="0"/>
        <v>3.52</v>
      </c>
      <c r="G34" s="28">
        <f t="shared" si="0"/>
        <v>23.41</v>
      </c>
      <c r="H34" s="28">
        <f t="shared" si="0"/>
        <v>4.7800000000000002</v>
      </c>
      <c r="I34" s="28">
        <f t="shared" si="0"/>
        <v>1.46</v>
      </c>
      <c r="J34" s="28">
        <f t="shared" si="0"/>
        <v>0.34000000000000002</v>
      </c>
      <c r="K34" s="28">
        <f t="shared" si="0"/>
        <v>9.1300000000000008</v>
      </c>
      <c r="L34" s="28">
        <f t="shared" si="0"/>
        <v>23.030000000000001</v>
      </c>
      <c r="M34" s="28">
        <f t="shared" si="0"/>
        <v>75.549999999999997</v>
      </c>
      <c r="N34" s="28">
        <f t="shared" si="0"/>
        <v>17.100000000000001</v>
      </c>
      <c r="O34" s="28">
        <f t="shared" si="0"/>
        <v>0</v>
      </c>
      <c r="P34" s="28">
        <f t="shared" si="0"/>
        <v>0.25</v>
      </c>
      <c r="Q34" s="28">
        <f t="shared" si="0"/>
        <v>9.2699999999999996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8.3499999999999996</v>
      </c>
      <c r="C35" s="29">
        <f t="shared" si="1"/>
        <v>3.8199999999999998</v>
      </c>
      <c r="D35" s="29">
        <f t="shared" si="1"/>
        <v>12.43</v>
      </c>
      <c r="E35" s="29">
        <f t="shared" si="1"/>
        <v>5.4900000000000002</v>
      </c>
      <c r="F35" s="29">
        <f t="shared" si="1"/>
        <v>8.0099999999999998</v>
      </c>
      <c r="G35" s="29">
        <f t="shared" si="1"/>
        <v>58.82</v>
      </c>
      <c r="H35" s="29">
        <f t="shared" si="1"/>
        <v>15.09</v>
      </c>
      <c r="I35" s="29">
        <f t="shared" si="1"/>
        <v>3.8900000000000001</v>
      </c>
      <c r="J35" s="29">
        <f t="shared" si="1"/>
        <v>1.29</v>
      </c>
      <c r="K35" s="29">
        <f t="shared" si="1"/>
        <v>359.99000000000001</v>
      </c>
      <c r="L35" s="29">
        <f t="shared" si="1"/>
        <v>30.859999999999999</v>
      </c>
      <c r="M35" s="29">
        <f t="shared" si="1"/>
        <v>98.379999999999995</v>
      </c>
      <c r="N35" s="29">
        <f t="shared" si="1"/>
        <v>738.5</v>
      </c>
      <c r="O35" s="29">
        <f t="shared" si="1"/>
        <v>0.40000000000000002</v>
      </c>
      <c r="P35" s="29">
        <f t="shared" si="1"/>
        <v>0.69999999999999996</v>
      </c>
      <c r="Q35" s="29">
        <f t="shared" si="1"/>
        <v>9.4299999999999997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8.2345833333333331</v>
      </c>
      <c r="C36" s="28">
        <f t="shared" si="2"/>
        <v>3.2833333333333337</v>
      </c>
      <c r="D36" s="28">
        <f t="shared" si="2"/>
        <v>12.089166666666669</v>
      </c>
      <c r="E36" s="28">
        <f t="shared" si="2"/>
        <v>4.7492307692307687</v>
      </c>
      <c r="F36" s="28">
        <f t="shared" si="2"/>
        <v>5.0670833333333327</v>
      </c>
      <c r="G36" s="28">
        <f t="shared" si="2"/>
        <v>38.798461538461531</v>
      </c>
      <c r="H36" s="28">
        <f t="shared" si="2"/>
        <v>10.061538461538463</v>
      </c>
      <c r="I36" s="28">
        <f t="shared" si="2"/>
        <v>2.6145833333333335</v>
      </c>
      <c r="J36" s="28">
        <f t="shared" si="2"/>
        <v>0.60250000000000004</v>
      </c>
      <c r="K36" s="28">
        <f t="shared" si="2"/>
        <v>265.83874999999995</v>
      </c>
      <c r="L36" s="28">
        <f t="shared" si="2"/>
        <v>25.793750000000003</v>
      </c>
      <c r="M36" s="28">
        <f t="shared" si="2"/>
        <v>92.383749999999978</v>
      </c>
      <c r="N36" s="28">
        <f t="shared" si="2"/>
        <v>163.20416666666671</v>
      </c>
      <c r="O36" s="28">
        <f t="shared" si="2"/>
        <v>0.025000000000000005</v>
      </c>
      <c r="P36" s="28">
        <f t="shared" si="2"/>
        <v>0.41083333333333322</v>
      </c>
      <c r="Q36" s="28">
        <f t="shared" si="2"/>
        <v>9.3329166666666676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0.055087216750126095</v>
      </c>
      <c r="C37" s="28">
        <f t="shared" si="3" ref="C37:Q37">STDEV(C9:C32)</f>
        <v>0.16404311911059366</v>
      </c>
      <c r="D37" s="28">
        <f t="shared" si="3"/>
        <v>0.11806102573252053</v>
      </c>
      <c r="E37" s="28">
        <f t="shared" si="3"/>
        <v>0.33402748236390756</v>
      </c>
      <c r="F37" s="28">
        <f t="shared" si="3"/>
        <v>1.1837577571176656</v>
      </c>
      <c r="G37" s="28">
        <f t="shared" si="3"/>
        <v>12.858302665433632</v>
      </c>
      <c r="H37" s="28">
        <f t="shared" si="3"/>
        <v>3.8319312932120018</v>
      </c>
      <c r="I37" s="28">
        <f t="shared" si="3"/>
        <v>0.7354441377223303</v>
      </c>
      <c r="J37" s="28">
        <f t="shared" si="3"/>
        <v>0.17881858671995432</v>
      </c>
      <c r="K37" s="28">
        <f t="shared" si="3"/>
        <v>122.81602863500314</v>
      </c>
      <c r="L37" s="28">
        <f t="shared" si="3"/>
        <v>2.1663449733313449</v>
      </c>
      <c r="M37" s="28">
        <f t="shared" si="3"/>
        <v>7.4253922821276497</v>
      </c>
      <c r="N37" s="28">
        <f t="shared" si="3"/>
        <v>207.88059381825875</v>
      </c>
      <c r="O37" s="28">
        <f t="shared" si="3"/>
        <v>0.089685440629288141</v>
      </c>
      <c r="P37" s="28">
        <f t="shared" si="3"/>
        <v>0.14391775026236231</v>
      </c>
      <c r="Q37" s="28">
        <f t="shared" si="3"/>
        <v>0.046201747253489869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COUNT(E9:E32)+11</f>
        <v>24</v>
      </c>
      <c r="F38" s="32">
        <f t="shared" si="4"/>
        <v>24</v>
      </c>
      <c r="G38" s="32">
        <f>COUNT(G9:G32)+11</f>
        <v>24</v>
      </c>
      <c r="H38" s="32">
        <f>COUNT(H9:H32)+11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72bbde-20a8-4a6d-8379-b6ced8851dd0}">
  <sheetPr codeName=""/>
  <dimension ref="A1:U119"/>
  <sheetViews>
    <sheetView zoomScale="85" zoomScaleNormal="85" workbookViewId="0" topLeftCell="A1">
      <selection pane="topLeft" activeCell="F50" sqref="F50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737</v>
      </c>
      <c r="B9" s="55">
        <v>8.24</v>
      </c>
      <c r="C9" s="55">
        <v>3.17</v>
      </c>
      <c r="D9" s="55">
        <v>12.04</v>
      </c>
      <c r="E9" s="55">
        <v>5.1100000000000003</v>
      </c>
      <c r="F9" s="55">
        <v>4.05</v>
      </c>
      <c r="G9" s="55">
        <v>23.81</v>
      </c>
      <c r="H9" s="55">
        <v>8.9499999999999993</v>
      </c>
      <c r="I9" s="55">
        <v>2.4500000000000002</v>
      </c>
      <c r="J9" s="55">
        <v>0.64</v>
      </c>
      <c r="K9" s="55">
        <v>15.34</v>
      </c>
      <c r="L9" s="55">
        <v>24.45</v>
      </c>
      <c r="M9" s="55">
        <v>97.36</v>
      </c>
      <c r="N9" s="55">
        <v>17.399999999999999</v>
      </c>
      <c r="O9" s="55">
        <v>0</v>
      </c>
      <c r="P9" s="55">
        <v>0.35</v>
      </c>
      <c r="Q9" s="55">
        <v>9.34</v>
      </c>
      <c r="R9" s="43"/>
      <c r="S9" s="43"/>
      <c r="T9" s="43"/>
      <c r="U9" s="43"/>
    </row>
    <row r="10" spans="1:21" s="11" customFormat="1" ht="15">
      <c r="A10" s="54" t="s">
        <v>738</v>
      </c>
      <c r="B10" s="55">
        <v>8.2100000000000009</v>
      </c>
      <c r="C10" s="55">
        <v>3.23</v>
      </c>
      <c r="D10" s="55">
        <v>12.04</v>
      </c>
      <c r="E10" s="55">
        <v>5.04</v>
      </c>
      <c r="F10" s="55">
        <v>4.87</v>
      </c>
      <c r="G10" s="55">
        <v>23.81</v>
      </c>
      <c r="H10" s="55">
        <v>8.9499999999999993</v>
      </c>
      <c r="I10" s="55">
        <v>2.54</v>
      </c>
      <c r="J10" s="55">
        <v>0.73</v>
      </c>
      <c r="K10" s="55">
        <v>16.73</v>
      </c>
      <c r="L10" s="55">
        <v>24.54</v>
      </c>
      <c r="M10" s="55">
        <v>96.16</v>
      </c>
      <c r="N10" s="55">
        <v>17.399999999999999</v>
      </c>
      <c r="O10" s="55">
        <v>0</v>
      </c>
      <c r="P10" s="55">
        <v>0.33</v>
      </c>
      <c r="Q10" s="55">
        <v>9.2899999999999991</v>
      </c>
      <c r="R10" s="43"/>
      <c r="S10" s="43"/>
      <c r="T10" s="43"/>
      <c r="U10" s="43"/>
    </row>
    <row r="11" spans="1:21" s="11" customFormat="1" ht="15">
      <c r="A11" s="54" t="s">
        <v>739</v>
      </c>
      <c r="B11" s="55">
        <v>8.32</v>
      </c>
      <c r="C11" s="55">
        <v>3.47</v>
      </c>
      <c r="D11" s="55">
        <v>12.26</v>
      </c>
      <c r="E11" s="55">
        <v>5.1100000000000003</v>
      </c>
      <c r="F11" s="55">
        <v>4.62</v>
      </c>
      <c r="G11" s="55">
        <v>17.77</v>
      </c>
      <c r="H11" s="55">
        <v>6.61</v>
      </c>
      <c r="I11" s="55">
        <v>1.98</v>
      </c>
      <c r="J11" s="55">
        <v>0.59</v>
      </c>
      <c r="K11" s="55">
        <v>358.86</v>
      </c>
      <c r="L11" s="55">
        <v>24.86</v>
      </c>
      <c r="M11" s="55">
        <v>92.78</v>
      </c>
      <c r="N11" s="55">
        <v>17.399999999999999</v>
      </c>
      <c r="O11" s="55">
        <v>0</v>
      </c>
      <c r="P11" s="55">
        <v>0.33</v>
      </c>
      <c r="Q11" s="55">
        <v>9.27</v>
      </c>
      <c r="R11" s="43"/>
      <c r="S11" s="43"/>
      <c r="T11" s="43"/>
      <c r="U11" s="43"/>
    </row>
    <row r="12" spans="1:21" s="11" customFormat="1" ht="15">
      <c r="A12" s="54" t="s">
        <v>740</v>
      </c>
      <c r="B12" s="55">
        <v>8.1999999999999993</v>
      </c>
      <c r="C12" s="55">
        <v>3.20</v>
      </c>
      <c r="D12" s="55">
        <v>12.02</v>
      </c>
      <c r="E12" s="55">
        <v>5</v>
      </c>
      <c r="F12" s="55">
        <v>4.62</v>
      </c>
      <c r="G12" s="55">
        <v>17.739999999999998</v>
      </c>
      <c r="H12" s="55">
        <v>5.52</v>
      </c>
      <c r="I12" s="55">
        <v>1.79</v>
      </c>
      <c r="J12" s="55">
        <v>0.62</v>
      </c>
      <c r="K12" s="55">
        <v>344.15</v>
      </c>
      <c r="L12" s="55">
        <v>24.95</v>
      </c>
      <c r="M12" s="55">
        <v>98.32</v>
      </c>
      <c r="N12" s="55">
        <v>18.70</v>
      </c>
      <c r="O12" s="55">
        <v>1</v>
      </c>
      <c r="P12" s="55">
        <v>0.35</v>
      </c>
      <c r="Q12" s="55">
        <v>9.2799999999999994</v>
      </c>
      <c r="R12" s="43"/>
      <c r="S12" s="43"/>
      <c r="T12" s="43"/>
      <c r="U12" s="43"/>
    </row>
    <row r="13" spans="1:21" s="11" customFormat="1" ht="15">
      <c r="A13" s="54" t="s">
        <v>741</v>
      </c>
      <c r="B13" s="55">
        <v>8.25</v>
      </c>
      <c r="C13" s="55">
        <v>3.18</v>
      </c>
      <c r="D13" s="55">
        <v>12.05</v>
      </c>
      <c r="E13" s="55">
        <v>3.54</v>
      </c>
      <c r="F13" s="55">
        <v>3.87</v>
      </c>
      <c r="G13" s="55">
        <v>23.40</v>
      </c>
      <c r="H13" s="55">
        <v>5.04</v>
      </c>
      <c r="I13" s="55">
        <v>2.16</v>
      </c>
      <c r="J13" s="55">
        <v>0.51</v>
      </c>
      <c r="K13" s="55">
        <v>356.45</v>
      </c>
      <c r="L13" s="55">
        <v>23.54</v>
      </c>
      <c r="M13" s="55">
        <v>98.35</v>
      </c>
      <c r="N13" s="55">
        <v>17.600000000000001</v>
      </c>
      <c r="O13" s="55">
        <v>0.20</v>
      </c>
      <c r="P13" s="55">
        <v>0.33</v>
      </c>
      <c r="Q13" s="55">
        <v>9.2899999999999991</v>
      </c>
      <c r="R13" s="43"/>
      <c r="S13" s="43"/>
      <c r="T13" s="43"/>
      <c r="U13" s="43"/>
    </row>
    <row r="14" spans="1:21" s="11" customFormat="1" ht="15">
      <c r="A14" s="54" t="s">
        <v>742</v>
      </c>
      <c r="B14" s="55">
        <v>8.25</v>
      </c>
      <c r="C14" s="55">
        <v>3.14</v>
      </c>
      <c r="D14" s="55">
        <v>12.03</v>
      </c>
      <c r="E14" s="55">
        <v>3.51</v>
      </c>
      <c r="F14" s="55">
        <v>3.85</v>
      </c>
      <c r="G14" s="55">
        <v>23.40</v>
      </c>
      <c r="H14" s="55">
        <v>5.04</v>
      </c>
      <c r="I14" s="55">
        <v>2.31</v>
      </c>
      <c r="J14" s="55">
        <v>0.56000000000000005</v>
      </c>
      <c r="K14" s="55">
        <v>10.68</v>
      </c>
      <c r="L14" s="55">
        <v>23.32</v>
      </c>
      <c r="M14" s="55">
        <v>98.35</v>
      </c>
      <c r="N14" s="55">
        <v>26.90</v>
      </c>
      <c r="O14" s="55">
        <v>0</v>
      </c>
      <c r="P14" s="55">
        <v>0.32</v>
      </c>
      <c r="Q14" s="55">
        <v>9.31</v>
      </c>
      <c r="R14" s="43"/>
      <c r="S14" s="43"/>
      <c r="T14" s="43"/>
      <c r="U14" s="43"/>
    </row>
    <row r="15" spans="1:21" s="11" customFormat="1" ht="15">
      <c r="A15" s="54" t="s">
        <v>743</v>
      </c>
      <c r="B15" s="55">
        <v>8.26</v>
      </c>
      <c r="C15" s="55">
        <v>3.29</v>
      </c>
      <c r="D15" s="55">
        <v>12.12</v>
      </c>
      <c r="E15" s="55">
        <v>3.58</v>
      </c>
      <c r="F15" s="55">
        <v>4.08</v>
      </c>
      <c r="G15" s="55">
        <v>19.23</v>
      </c>
      <c r="H15" s="55">
        <v>5.75</v>
      </c>
      <c r="I15" s="55">
        <v>2.2000000000000002</v>
      </c>
      <c r="J15" s="55">
        <v>0.49</v>
      </c>
      <c r="K15" s="55">
        <v>334.89</v>
      </c>
      <c r="L15" s="55">
        <v>23.59</v>
      </c>
      <c r="M15" s="55">
        <v>98.35</v>
      </c>
      <c r="N15" s="55">
        <v>39.299999999999997</v>
      </c>
      <c r="O15" s="55">
        <v>0</v>
      </c>
      <c r="P15" s="55">
        <v>0.31</v>
      </c>
      <c r="Q15" s="55">
        <v>9.2899999999999991</v>
      </c>
      <c r="R15" s="43"/>
      <c r="S15" s="43"/>
      <c r="T15" s="43"/>
      <c r="U15" s="43"/>
    </row>
    <row r="16" spans="1:21" s="11" customFormat="1" ht="15">
      <c r="A16" s="54" t="s">
        <v>744</v>
      </c>
      <c r="B16" s="55">
        <v>8.31</v>
      </c>
      <c r="C16" s="55">
        <v>3.42</v>
      </c>
      <c r="D16" s="55">
        <v>12.23</v>
      </c>
      <c r="E16" s="55">
        <v>3.95</v>
      </c>
      <c r="F16" s="55">
        <v>4.05</v>
      </c>
      <c r="G16" s="55">
        <v>15.25</v>
      </c>
      <c r="H16" s="55">
        <v>5.75</v>
      </c>
      <c r="I16" s="55">
        <v>2.04</v>
      </c>
      <c r="J16" s="55">
        <v>0.39</v>
      </c>
      <c r="K16" s="55">
        <v>350.08</v>
      </c>
      <c r="L16" s="55">
        <v>23.91</v>
      </c>
      <c r="M16" s="55">
        <v>98.34</v>
      </c>
      <c r="N16" s="55">
        <v>75.80</v>
      </c>
      <c r="O16" s="55">
        <v>0</v>
      </c>
      <c r="P16" s="55">
        <v>0.31</v>
      </c>
      <c r="Q16" s="55">
        <v>9.2899999999999991</v>
      </c>
      <c r="R16" s="43"/>
      <c r="S16" s="43"/>
      <c r="T16" s="43"/>
      <c r="U16" s="43"/>
    </row>
    <row r="17" spans="1:21" s="11" customFormat="1" ht="15">
      <c r="A17" s="54" t="s">
        <v>745</v>
      </c>
      <c r="B17" s="55">
        <v>8.25</v>
      </c>
      <c r="C17" s="55">
        <v>3.29</v>
      </c>
      <c r="D17" s="55">
        <v>12.11</v>
      </c>
      <c r="E17" s="55">
        <v>4.51</v>
      </c>
      <c r="F17" s="55">
        <v>3.54</v>
      </c>
      <c r="G17" s="55">
        <v>17.54</v>
      </c>
      <c r="H17" s="55">
        <v>4.18</v>
      </c>
      <c r="I17" s="55">
        <v>2.17</v>
      </c>
      <c r="J17" s="55">
        <v>0.53</v>
      </c>
      <c r="K17" s="55">
        <v>355.02</v>
      </c>
      <c r="L17" s="55">
        <v>24.03</v>
      </c>
      <c r="M17" s="55">
        <v>98.33</v>
      </c>
      <c r="N17" s="55">
        <v>73.5</v>
      </c>
      <c r="O17" s="55">
        <v>0</v>
      </c>
      <c r="P17" s="55">
        <v>0.33</v>
      </c>
      <c r="Q17" s="55">
        <v>9.31</v>
      </c>
      <c r="R17" s="43"/>
      <c r="S17" s="43"/>
      <c r="T17" s="43"/>
      <c r="U17" s="43"/>
    </row>
    <row r="18" spans="1:21" s="11" customFormat="1" ht="15">
      <c r="A18" s="54" t="s">
        <v>746</v>
      </c>
      <c r="B18" s="55">
        <v>8.2899999999999991</v>
      </c>
      <c r="C18" s="55">
        <v>3.23</v>
      </c>
      <c r="D18" s="55">
        <v>12.11</v>
      </c>
      <c r="E18" s="55">
        <v>4.2699999999999996</v>
      </c>
      <c r="F18" s="55">
        <v>4.03</v>
      </c>
      <c r="G18" s="55">
        <v>17.54</v>
      </c>
      <c r="H18" s="55">
        <v>3.61</v>
      </c>
      <c r="I18" s="55">
        <v>2.19</v>
      </c>
      <c r="J18" s="55">
        <v>0.49</v>
      </c>
      <c r="K18" s="55">
        <v>353.58</v>
      </c>
      <c r="L18" s="55">
        <v>24.25</v>
      </c>
      <c r="M18" s="55">
        <v>98.33</v>
      </c>
      <c r="N18" s="55">
        <v>120.5</v>
      </c>
      <c r="O18" s="55">
        <v>0</v>
      </c>
      <c r="P18" s="55">
        <v>0.36</v>
      </c>
      <c r="Q18" s="55">
        <v>9.31</v>
      </c>
      <c r="R18" s="43"/>
      <c r="S18" s="43"/>
      <c r="T18" s="43"/>
      <c r="U18" s="43"/>
    </row>
    <row r="19" spans="1:21" s="11" customFormat="1" ht="15">
      <c r="A19" s="54" t="s">
        <v>747</v>
      </c>
      <c r="B19" s="55">
        <v>8.26</v>
      </c>
      <c r="C19" s="55">
        <v>3.26</v>
      </c>
      <c r="D19" s="55">
        <v>12.07</v>
      </c>
      <c r="E19" s="55">
        <v>4.51</v>
      </c>
      <c r="F19" s="55">
        <v>4.28</v>
      </c>
      <c r="G19" s="55">
        <v>17.46</v>
      </c>
      <c r="H19" s="55">
        <v>3.61</v>
      </c>
      <c r="I19" s="55">
        <v>2.14</v>
      </c>
      <c r="J19" s="55">
        <v>0.47</v>
      </c>
      <c r="K19" s="55">
        <v>359.19</v>
      </c>
      <c r="L19" s="55">
        <v>24.47</v>
      </c>
      <c r="M19" s="55">
        <v>98.33</v>
      </c>
      <c r="N19" s="55">
        <v>132.69999999999999</v>
      </c>
      <c r="O19" s="55">
        <v>0</v>
      </c>
      <c r="P19" s="55">
        <v>0.39</v>
      </c>
      <c r="Q19" s="55">
        <v>9.3000000000000007</v>
      </c>
      <c r="R19" s="43"/>
      <c r="S19" s="43"/>
      <c r="T19" s="43"/>
      <c r="U19" s="43"/>
    </row>
    <row r="20" spans="1:21" s="11" customFormat="1" ht="15">
      <c r="A20" s="54" t="s">
        <v>748</v>
      </c>
      <c r="B20" s="55">
        <v>8.25</v>
      </c>
      <c r="C20" s="55">
        <v>3.37</v>
      </c>
      <c r="D20" s="55">
        <v>12.15</v>
      </c>
      <c r="E20" s="55">
        <v>4.82</v>
      </c>
      <c r="F20" s="55">
        <v>5.19</v>
      </c>
      <c r="G20" s="55">
        <v>22.11</v>
      </c>
      <c r="H20" s="55">
        <v>9.68</v>
      </c>
      <c r="I20" s="55">
        <v>1.94</v>
      </c>
      <c r="J20" s="55">
        <v>0.53</v>
      </c>
      <c r="K20" s="55">
        <v>6.55</v>
      </c>
      <c r="L20" s="55">
        <v>24.86</v>
      </c>
      <c r="M20" s="55">
        <v>97.15</v>
      </c>
      <c r="N20" s="55">
        <v>184.10</v>
      </c>
      <c r="O20" s="55">
        <v>0.20</v>
      </c>
      <c r="P20" s="55">
        <v>0.42</v>
      </c>
      <c r="Q20" s="55">
        <v>9.33</v>
      </c>
      <c r="R20" s="43"/>
      <c r="S20" s="43"/>
      <c r="T20" s="43"/>
      <c r="U20" s="43"/>
    </row>
    <row r="21" spans="1:21" s="11" customFormat="1" ht="15">
      <c r="A21" s="54" t="s">
        <v>749</v>
      </c>
      <c r="B21" s="55">
        <v>8.25</v>
      </c>
      <c r="C21" s="55">
        <v>3.39</v>
      </c>
      <c r="D21" s="55">
        <v>12.13</v>
      </c>
      <c r="E21" s="55">
        <v>4.3499999999999996</v>
      </c>
      <c r="F21" s="55">
        <v>4.9800000000000004</v>
      </c>
      <c r="G21" s="55">
        <v>22.11</v>
      </c>
      <c r="H21" s="55">
        <v>9.68</v>
      </c>
      <c r="I21" s="55">
        <v>1.64</v>
      </c>
      <c r="J21" s="55">
        <v>0.62</v>
      </c>
      <c r="K21" s="55">
        <v>345.45</v>
      </c>
      <c r="L21" s="55">
        <v>24.78</v>
      </c>
      <c r="M21" s="55">
        <v>98.35</v>
      </c>
      <c r="N21" s="55">
        <v>117.40</v>
      </c>
      <c r="O21" s="55">
        <v>0.40</v>
      </c>
      <c r="P21" s="55">
        <v>0.71</v>
      </c>
      <c r="Q21" s="55">
        <v>9.35</v>
      </c>
      <c r="R21" s="43"/>
      <c r="S21" s="43"/>
      <c r="T21" s="43"/>
      <c r="U21" s="43"/>
    </row>
    <row r="22" spans="1:21" s="11" customFormat="1" ht="15">
      <c r="A22" s="54" t="s">
        <v>750</v>
      </c>
      <c r="B22" s="55">
        <v>8.42</v>
      </c>
      <c r="C22" s="55">
        <v>3.60</v>
      </c>
      <c r="D22" s="55">
        <v>12.41</v>
      </c>
      <c r="E22" s="55">
        <v>4.74</v>
      </c>
      <c r="F22" s="55">
        <v>3.76</v>
      </c>
      <c r="G22" s="55">
        <v>15.48</v>
      </c>
      <c r="H22" s="55">
        <v>8.1300000000000008</v>
      </c>
      <c r="I22" s="55">
        <v>2.29</v>
      </c>
      <c r="J22" s="55">
        <v>0.51</v>
      </c>
      <c r="K22" s="55">
        <v>347.23</v>
      </c>
      <c r="L22" s="55">
        <v>25.66</v>
      </c>
      <c r="M22" s="55">
        <v>98.35</v>
      </c>
      <c r="N22" s="55">
        <v>216.30</v>
      </c>
      <c r="O22" s="55">
        <v>0</v>
      </c>
      <c r="P22" s="55">
        <v>0.67</v>
      </c>
      <c r="Q22" s="55">
        <v>9.39</v>
      </c>
      <c r="R22" s="43"/>
      <c r="S22" s="43"/>
      <c r="T22" s="43"/>
      <c r="U22" s="43"/>
    </row>
    <row r="23" spans="1:21" s="11" customFormat="1" ht="15">
      <c r="A23" s="54" t="s">
        <v>751</v>
      </c>
      <c r="B23" s="55">
        <v>8.34</v>
      </c>
      <c r="C23" s="55">
        <v>3.29</v>
      </c>
      <c r="D23" s="55">
        <v>12.17</v>
      </c>
      <c r="E23" s="55">
        <v>4.3499999999999996</v>
      </c>
      <c r="F23" s="55">
        <v>5.17</v>
      </c>
      <c r="G23" s="55">
        <v>32.700000000000003</v>
      </c>
      <c r="H23" s="55">
        <v>9.77</v>
      </c>
      <c r="I23" s="55">
        <v>2.37</v>
      </c>
      <c r="J23" s="55">
        <v>0.62</v>
      </c>
      <c r="K23" s="55">
        <v>334.46</v>
      </c>
      <c r="L23" s="55">
        <v>25.5</v>
      </c>
      <c r="M23" s="55">
        <v>97.63</v>
      </c>
      <c r="N23" s="55">
        <v>99.30</v>
      </c>
      <c r="O23" s="55">
        <v>0.20</v>
      </c>
      <c r="P23" s="55">
        <v>0.61</v>
      </c>
      <c r="Q23" s="55">
        <v>9.43</v>
      </c>
      <c r="R23" s="43"/>
      <c r="S23" s="43"/>
      <c r="T23" s="43"/>
      <c r="U23" s="43"/>
    </row>
    <row r="24" spans="1:21" s="11" customFormat="1" ht="15">
      <c r="A24" s="54" t="s">
        <v>752</v>
      </c>
      <c r="B24" s="55">
        <v>8.2899999999999991</v>
      </c>
      <c r="C24" s="55">
        <v>3.28</v>
      </c>
      <c r="D24" s="55">
        <v>12.12</v>
      </c>
      <c r="E24" s="55">
        <v>4.33</v>
      </c>
      <c r="F24" s="55">
        <v>4.63</v>
      </c>
      <c r="G24" s="55">
        <v>32.700000000000003</v>
      </c>
      <c r="H24" s="55">
        <v>9.77</v>
      </c>
      <c r="I24" s="55">
        <v>2.57</v>
      </c>
      <c r="J24" s="55">
        <v>0.60</v>
      </c>
      <c r="K24" s="55">
        <v>340.01</v>
      </c>
      <c r="L24" s="55">
        <v>25.01</v>
      </c>
      <c r="M24" s="55">
        <v>98.32</v>
      </c>
      <c r="N24" s="55">
        <v>69.20</v>
      </c>
      <c r="O24" s="55">
        <v>0.20</v>
      </c>
      <c r="P24" s="55">
        <v>0.61</v>
      </c>
      <c r="Q24" s="55">
        <v>9.3699999999999992</v>
      </c>
      <c r="R24" s="43"/>
      <c r="S24" s="43"/>
      <c r="T24" s="43"/>
      <c r="U24" s="43"/>
    </row>
    <row r="25" spans="1:21" s="11" customFormat="1" ht="15">
      <c r="A25" s="54" t="s">
        <v>753</v>
      </c>
      <c r="B25" s="55">
        <v>8.60</v>
      </c>
      <c r="C25" s="55">
        <v>3.85</v>
      </c>
      <c r="D25" s="55">
        <v>12.68</v>
      </c>
      <c r="E25" s="55">
        <v>4.28</v>
      </c>
      <c r="F25" s="55">
        <v>3.89</v>
      </c>
      <c r="G25" s="55">
        <v>25.29</v>
      </c>
      <c r="H25" s="55">
        <v>8.58</v>
      </c>
      <c r="I25" s="55">
        <v>2.95</v>
      </c>
      <c r="J25" s="55">
        <v>1.30</v>
      </c>
      <c r="K25" s="55">
        <v>355.82</v>
      </c>
      <c r="L25" s="55">
        <v>25.08</v>
      </c>
      <c r="M25" s="55">
        <v>98.33</v>
      </c>
      <c r="N25" s="55">
        <v>84.10</v>
      </c>
      <c r="O25" s="55">
        <v>0</v>
      </c>
      <c r="P25" s="55">
        <v>0.67</v>
      </c>
      <c r="Q25" s="55">
        <v>9.4499999999999993</v>
      </c>
      <c r="R25" s="43"/>
      <c r="S25" s="43"/>
      <c r="T25" s="43"/>
      <c r="U25" s="43"/>
    </row>
    <row r="26" spans="1:21" s="11" customFormat="1" ht="15">
      <c r="A26" s="54" t="s">
        <v>754</v>
      </c>
      <c r="B26" s="55">
        <v>8.48</v>
      </c>
      <c r="C26" s="55">
        <v>3.5</v>
      </c>
      <c r="D26" s="55">
        <v>12.40</v>
      </c>
      <c r="E26" s="55">
        <v>4.32</v>
      </c>
      <c r="F26" s="55">
        <v>4.41</v>
      </c>
      <c r="G26" s="55">
        <v>25.26</v>
      </c>
      <c r="H26" s="55">
        <v>10.53</v>
      </c>
      <c r="I26" s="55">
        <v>3.66</v>
      </c>
      <c r="J26" s="55">
        <v>1.31</v>
      </c>
      <c r="K26" s="55">
        <v>343.85</v>
      </c>
      <c r="L26" s="55">
        <v>24.70</v>
      </c>
      <c r="M26" s="55">
        <v>98.34</v>
      </c>
      <c r="N26" s="55">
        <v>36.10</v>
      </c>
      <c r="O26" s="55">
        <v>0.20</v>
      </c>
      <c r="P26" s="55">
        <v>0.77</v>
      </c>
      <c r="Q26" s="55">
        <v>9.67</v>
      </c>
      <c r="R26" s="43"/>
      <c r="S26" s="43"/>
      <c r="T26" s="43"/>
      <c r="U26" s="43"/>
    </row>
    <row r="27" spans="1:21" s="11" customFormat="1" ht="15">
      <c r="A27" s="54" t="s">
        <v>755</v>
      </c>
      <c r="B27" s="55">
        <v>8.42</v>
      </c>
      <c r="C27" s="55">
        <v>3.32</v>
      </c>
      <c r="D27" s="55">
        <v>12.26</v>
      </c>
      <c r="E27" s="55">
        <v>4.3099999999999996</v>
      </c>
      <c r="F27" s="55">
        <v>3.47</v>
      </c>
      <c r="G27" s="55">
        <v>32.44</v>
      </c>
      <c r="H27" s="55">
        <v>10.53</v>
      </c>
      <c r="I27" s="55">
        <v>4.8099999999999996</v>
      </c>
      <c r="J27" s="55">
        <v>0.91</v>
      </c>
      <c r="K27" s="55">
        <v>336.42</v>
      </c>
      <c r="L27" s="55">
        <v>22.88</v>
      </c>
      <c r="M27" s="55">
        <v>98.38</v>
      </c>
      <c r="N27" s="55">
        <v>19.80</v>
      </c>
      <c r="O27" s="55">
        <v>2.40</v>
      </c>
      <c r="P27" s="55">
        <v>0.77</v>
      </c>
      <c r="Q27" s="55">
        <v>9.77</v>
      </c>
      <c r="R27" s="43"/>
      <c r="S27" s="43"/>
      <c r="T27" s="43"/>
      <c r="U27" s="43"/>
    </row>
    <row r="28" spans="1:21" s="11" customFormat="1" ht="15">
      <c r="A28" s="54" t="s">
        <v>756</v>
      </c>
      <c r="B28" s="55">
        <v>8.48</v>
      </c>
      <c r="C28" s="55">
        <v>3.47</v>
      </c>
      <c r="D28" s="55">
        <v>12.39</v>
      </c>
      <c r="E28" s="55">
        <v>5.18</v>
      </c>
      <c r="F28" s="55">
        <v>4.3099999999999996</v>
      </c>
      <c r="G28" s="55">
        <v>32.44</v>
      </c>
      <c r="H28" s="55">
        <v>15.10</v>
      </c>
      <c r="I28" s="55">
        <v>5.47</v>
      </c>
      <c r="J28" s="55">
        <v>0.60</v>
      </c>
      <c r="K28" s="55">
        <v>315.47000000000003</v>
      </c>
      <c r="L28" s="55">
        <v>22.64</v>
      </c>
      <c r="M28" s="55">
        <v>98.38</v>
      </c>
      <c r="N28" s="55">
        <v>17.399999999999999</v>
      </c>
      <c r="O28" s="55">
        <v>0.20</v>
      </c>
      <c r="P28" s="55">
        <v>0.81</v>
      </c>
      <c r="Q28" s="55">
        <v>9.76</v>
      </c>
      <c r="R28" s="43"/>
      <c r="S28" s="43"/>
      <c r="T28" s="43"/>
      <c r="U28" s="43"/>
    </row>
    <row r="29" spans="1:21" s="11" customFormat="1" ht="15">
      <c r="A29" s="54" t="s">
        <v>757</v>
      </c>
      <c r="B29" s="55">
        <v>8.8000000000000007</v>
      </c>
      <c r="C29" s="55">
        <v>3.98</v>
      </c>
      <c r="D29" s="55">
        <v>12.91</v>
      </c>
      <c r="E29" s="55">
        <v>3.91</v>
      </c>
      <c r="F29" s="55">
        <v>4.30</v>
      </c>
      <c r="G29" s="55">
        <v>35.56</v>
      </c>
      <c r="H29" s="55">
        <v>15.10</v>
      </c>
      <c r="I29" s="55">
        <v>5.60</v>
      </c>
      <c r="J29" s="55">
        <v>0.87</v>
      </c>
      <c r="K29" s="55">
        <v>337.15</v>
      </c>
      <c r="L29" s="55">
        <v>22.81</v>
      </c>
      <c r="M29" s="55">
        <v>98.38</v>
      </c>
      <c r="N29" s="55">
        <v>17.5</v>
      </c>
      <c r="O29" s="55">
        <v>0</v>
      </c>
      <c r="P29" s="55">
        <v>0.83</v>
      </c>
      <c r="Q29" s="55">
        <v>9.7799999999999994</v>
      </c>
      <c r="R29" s="43"/>
      <c r="S29" s="43"/>
      <c r="T29" s="43"/>
      <c r="U29" s="43"/>
    </row>
    <row r="30" spans="1:21" s="11" customFormat="1" ht="15">
      <c r="A30" s="54" t="s">
        <v>758</v>
      </c>
      <c r="B30" s="55">
        <v>8.49</v>
      </c>
      <c r="C30" s="55">
        <v>3.49</v>
      </c>
      <c r="D30" s="55">
        <v>12.41</v>
      </c>
      <c r="E30" s="55">
        <v>4.0199999999999996</v>
      </c>
      <c r="F30" s="55">
        <v>3.92</v>
      </c>
      <c r="G30" s="55">
        <v>35.67</v>
      </c>
      <c r="H30" s="55">
        <v>15.67</v>
      </c>
      <c r="I30" s="55">
        <v>5.53</v>
      </c>
      <c r="J30" s="55">
        <v>0.41</v>
      </c>
      <c r="K30" s="55">
        <v>215.95</v>
      </c>
      <c r="L30" s="55">
        <v>23</v>
      </c>
      <c r="M30" s="55">
        <v>98.38</v>
      </c>
      <c r="N30" s="55">
        <v>17.399999999999999</v>
      </c>
      <c r="O30" s="55">
        <v>0</v>
      </c>
      <c r="P30" s="55">
        <v>0.78</v>
      </c>
      <c r="Q30" s="55">
        <v>9.77</v>
      </c>
      <c r="R30" s="43"/>
      <c r="S30" s="43"/>
      <c r="T30" s="43"/>
      <c r="U30" s="43"/>
    </row>
    <row r="31" spans="1:21" s="11" customFormat="1" ht="15">
      <c r="A31" s="54" t="s">
        <v>759</v>
      </c>
      <c r="B31" s="55">
        <v>8.49</v>
      </c>
      <c r="C31" s="55">
        <v>3.44</v>
      </c>
      <c r="D31" s="55">
        <v>12.38</v>
      </c>
      <c r="E31" s="55">
        <v>3.69</v>
      </c>
      <c r="F31" s="55">
        <v>3.5</v>
      </c>
      <c r="G31" s="55">
        <v>35.979999999999997</v>
      </c>
      <c r="H31" s="55">
        <v>15.67</v>
      </c>
      <c r="I31" s="55">
        <v>5.62</v>
      </c>
      <c r="J31" s="55">
        <v>0.98</v>
      </c>
      <c r="K31" s="55">
        <v>344.17</v>
      </c>
      <c r="L31" s="55">
        <v>23.13</v>
      </c>
      <c r="M31" s="55">
        <v>98.38</v>
      </c>
      <c r="N31" s="55">
        <v>17.600000000000001</v>
      </c>
      <c r="O31" s="55">
        <v>0</v>
      </c>
      <c r="P31" s="55">
        <v>0.73</v>
      </c>
      <c r="Q31" s="55">
        <v>9.74</v>
      </c>
      <c r="R31" s="43"/>
      <c r="S31" s="43"/>
      <c r="T31" s="43"/>
      <c r="U31" s="43"/>
    </row>
    <row r="32" spans="1:21" s="11" customFormat="1" ht="15">
      <c r="A32" s="54" t="s">
        <v>760</v>
      </c>
      <c r="B32" s="55">
        <v>8.44</v>
      </c>
      <c r="C32" s="55">
        <v>3.35</v>
      </c>
      <c r="D32" s="55">
        <v>12.29</v>
      </c>
      <c r="E32" s="55">
        <v>4.97</v>
      </c>
      <c r="F32" s="55">
        <v>3.38</v>
      </c>
      <c r="G32" s="55">
        <v>35.979999999999997</v>
      </c>
      <c r="H32" s="55">
        <v>14.23</v>
      </c>
      <c r="I32" s="55">
        <v>6.22</v>
      </c>
      <c r="J32" s="55">
        <v>0.41</v>
      </c>
      <c r="K32" s="55">
        <v>314.77</v>
      </c>
      <c r="L32" s="55">
        <v>23.10</v>
      </c>
      <c r="M32" s="55">
        <v>98.38</v>
      </c>
      <c r="N32" s="55">
        <v>17.70</v>
      </c>
      <c r="O32" s="55">
        <v>0</v>
      </c>
      <c r="P32" s="55">
        <v>0.69</v>
      </c>
      <c r="Q32" s="55">
        <v>9.7200000000000006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8.1999999999999993</v>
      </c>
      <c r="C34" s="28">
        <f t="shared" si="0"/>
        <v>3.1400000000000001</v>
      </c>
      <c r="D34" s="28">
        <f t="shared" si="0"/>
        <v>12.02</v>
      </c>
      <c r="E34" s="28">
        <f t="shared" si="0"/>
        <v>3.5099999999999998</v>
      </c>
      <c r="F34" s="28">
        <f t="shared" si="0"/>
        <v>3.3799999999999999</v>
      </c>
      <c r="G34" s="28">
        <f t="shared" si="0"/>
        <v>15.25</v>
      </c>
      <c r="H34" s="28">
        <f t="shared" si="0"/>
        <v>3.6099999999999999</v>
      </c>
      <c r="I34" s="28">
        <f t="shared" si="0"/>
        <v>1.6399999999999999</v>
      </c>
      <c r="J34" s="28">
        <f t="shared" si="0"/>
        <v>0.39000000000000001</v>
      </c>
      <c r="K34" s="28">
        <f t="shared" si="0"/>
        <v>6.5499999999999998</v>
      </c>
      <c r="L34" s="28">
        <f t="shared" si="0"/>
        <v>22.640000000000001</v>
      </c>
      <c r="M34" s="28">
        <f t="shared" si="0"/>
        <v>92.780000000000001</v>
      </c>
      <c r="N34" s="28">
        <f t="shared" si="0"/>
        <v>17.399999999999999</v>
      </c>
      <c r="O34" s="28">
        <f t="shared" si="0"/>
        <v>0</v>
      </c>
      <c r="P34" s="28">
        <f t="shared" si="0"/>
        <v>0.31</v>
      </c>
      <c r="Q34" s="28">
        <f t="shared" si="0"/>
        <v>9.2699999999999996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8.8000000000000007</v>
      </c>
      <c r="C35" s="29">
        <f t="shared" si="1"/>
        <v>3.98</v>
      </c>
      <c r="D35" s="29">
        <f t="shared" si="1"/>
        <v>12.91</v>
      </c>
      <c r="E35" s="29">
        <f t="shared" si="1"/>
        <v>5.1799999999999997</v>
      </c>
      <c r="F35" s="29">
        <f t="shared" si="1"/>
        <v>5.1900000000000004</v>
      </c>
      <c r="G35" s="29">
        <f t="shared" si="1"/>
        <v>35.979999999999997</v>
      </c>
      <c r="H35" s="29">
        <f t="shared" si="1"/>
        <v>15.67</v>
      </c>
      <c r="I35" s="29">
        <f t="shared" si="1"/>
        <v>6.2199999999999998</v>
      </c>
      <c r="J35" s="29">
        <f t="shared" si="1"/>
        <v>1.3100000000000001</v>
      </c>
      <c r="K35" s="29">
        <f t="shared" si="1"/>
        <v>359.19</v>
      </c>
      <c r="L35" s="29">
        <f t="shared" si="1"/>
        <v>25.66</v>
      </c>
      <c r="M35" s="29">
        <f t="shared" si="1"/>
        <v>98.379999999999995</v>
      </c>
      <c r="N35" s="29">
        <f t="shared" si="1"/>
        <v>216.30000000000001</v>
      </c>
      <c r="O35" s="29">
        <f t="shared" si="1"/>
        <v>2.3999999999999999</v>
      </c>
      <c r="P35" s="29">
        <f t="shared" si="1"/>
        <v>0.82999999999999996</v>
      </c>
      <c r="Q35" s="29">
        <f t="shared" si="1"/>
        <v>9.7799999999999994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8.3579166666666662</v>
      </c>
      <c r="C36" s="28">
        <f t="shared" si="2"/>
        <v>3.3837499999999996</v>
      </c>
      <c r="D36" s="28">
        <f t="shared" si="2"/>
        <v>12.240833333333336</v>
      </c>
      <c r="E36" s="28">
        <f t="shared" si="2"/>
        <v>4.3916666666666666</v>
      </c>
      <c r="F36" s="28">
        <f t="shared" si="2"/>
        <v>4.1987499999999995</v>
      </c>
      <c r="G36" s="28">
        <f t="shared" si="2"/>
        <v>25.02791666666667</v>
      </c>
      <c r="H36" s="28">
        <f t="shared" si="2"/>
        <v>8.9770833333333311</v>
      </c>
      <c r="I36" s="28">
        <f t="shared" si="2"/>
        <v>3.1099999999999999</v>
      </c>
      <c r="J36" s="28">
        <f t="shared" si="2"/>
        <v>0.65374999999999994</v>
      </c>
      <c r="K36" s="28">
        <f t="shared" si="2"/>
        <v>283.01125000000002</v>
      </c>
      <c r="L36" s="28">
        <f t="shared" si="2"/>
        <v>24.127499999999998</v>
      </c>
      <c r="M36" s="28">
        <f t="shared" si="2"/>
        <v>97.906250000000014</v>
      </c>
      <c r="N36" s="28">
        <f t="shared" si="2"/>
        <v>61.295833333333327</v>
      </c>
      <c r="O36" s="28">
        <f t="shared" si="2"/>
        <v>0.20833333333333334</v>
      </c>
      <c r="P36" s="28">
        <f t="shared" si="2"/>
        <v>0.53249999999999997</v>
      </c>
      <c r="Q36" s="28">
        <f t="shared" si="2"/>
        <v>9.4504166666666656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0.14515296778911821</v>
      </c>
      <c r="C37" s="28">
        <f t="shared" si="3" ref="C37:Q37">STDEV(C9:C32)</f>
        <v>0.20316650913668169</v>
      </c>
      <c r="D37" s="28">
        <f t="shared" si="3"/>
        <v>0.2183518633577248</v>
      </c>
      <c r="E37" s="28">
        <f t="shared" si="3"/>
        <v>0.52653639922625206</v>
      </c>
      <c r="F37" s="28">
        <f t="shared" si="3"/>
        <v>0.52780359077481664</v>
      </c>
      <c r="G37" s="28">
        <f t="shared" si="3"/>
        <v>7.2612161989852471</v>
      </c>
      <c r="H37" s="28">
        <f t="shared" si="3"/>
        <v>3.9015944111703127</v>
      </c>
      <c r="I37" s="28">
        <f t="shared" si="3"/>
        <v>1.5010720806491433</v>
      </c>
      <c r="J37" s="28">
        <f t="shared" si="3"/>
        <v>0.25047454960534415</v>
      </c>
      <c r="K37" s="28">
        <f t="shared" si="3"/>
        <v>126.86782448546168</v>
      </c>
      <c r="L37" s="28">
        <f t="shared" si="3"/>
        <v>0.90883704953573785</v>
      </c>
      <c r="M37" s="28">
        <f t="shared" si="3"/>
        <v>1.2165982956755212</v>
      </c>
      <c r="N37" s="28">
        <f t="shared" si="3"/>
        <v>57.617264012783892</v>
      </c>
      <c r="O37" s="28">
        <f t="shared" si="3"/>
        <v>0.51576592825973211</v>
      </c>
      <c r="P37" s="28">
        <f t="shared" si="3"/>
        <v>0.20024441586959801</v>
      </c>
      <c r="Q37" s="28">
        <f t="shared" si="3"/>
        <v>0.19859241998464083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7d0374-49ed-477d-ad07-ac9de5610aec}">
  <sheetPr codeName=""/>
  <dimension ref="A1:U119"/>
  <sheetViews>
    <sheetView zoomScale="85" zoomScaleNormal="85" workbookViewId="0" topLeftCell="A1">
      <selection pane="topLeft" activeCell="H58" sqref="H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4" t="s">
        <v>761</v>
      </c>
      <c r="B9" s="55">
        <v>8.41</v>
      </c>
      <c r="C9" s="55">
        <v>3.34</v>
      </c>
      <c r="D9" s="55">
        <v>12.26</v>
      </c>
      <c r="E9" s="55">
        <v>5.01</v>
      </c>
      <c r="F9" s="55">
        <v>4.2699999999999996</v>
      </c>
      <c r="G9" s="55">
        <v>28.26</v>
      </c>
      <c r="H9" s="55">
        <v>15.56</v>
      </c>
      <c r="I9" s="55">
        <v>6.34</v>
      </c>
      <c r="J9" s="55">
        <v>0.39</v>
      </c>
      <c r="K9" s="55">
        <v>290.97000000000003</v>
      </c>
      <c r="L9" s="55">
        <v>23.12</v>
      </c>
      <c r="M9" s="55">
        <v>98.38</v>
      </c>
      <c r="N9" s="55">
        <v>17.80</v>
      </c>
      <c r="O9" s="55">
        <v>0</v>
      </c>
      <c r="P9" s="55">
        <v>0.64</v>
      </c>
      <c r="Q9" s="55">
        <v>9.65</v>
      </c>
      <c r="R9" s="43"/>
      <c r="S9" s="43"/>
      <c r="T9" s="43"/>
      <c r="U9" s="43"/>
    </row>
    <row r="10" spans="1:21" s="11" customFormat="1" ht="15">
      <c r="A10" s="54" t="s">
        <v>762</v>
      </c>
      <c r="B10" s="55">
        <v>8.82</v>
      </c>
      <c r="C10" s="55">
        <v>3.99</v>
      </c>
      <c r="D10" s="55">
        <v>12.93</v>
      </c>
      <c r="E10" s="55">
        <v>5.34</v>
      </c>
      <c r="F10" s="55">
        <v>3.74</v>
      </c>
      <c r="G10" s="55">
        <v>26.78</v>
      </c>
      <c r="H10" s="55">
        <v>15.56</v>
      </c>
      <c r="I10" s="55">
        <v>5.81</v>
      </c>
      <c r="J10" s="55">
        <v>0.30</v>
      </c>
      <c r="K10" s="55">
        <v>337.10</v>
      </c>
      <c r="L10" s="55">
        <v>23.24</v>
      </c>
      <c r="M10" s="55">
        <v>98.38</v>
      </c>
      <c r="N10" s="55">
        <v>17.80</v>
      </c>
      <c r="O10" s="55">
        <v>0</v>
      </c>
      <c r="P10" s="55">
        <v>0.53</v>
      </c>
      <c r="Q10" s="55">
        <v>9.5500000000000007</v>
      </c>
      <c r="R10" s="43"/>
      <c r="S10" s="43"/>
      <c r="T10" s="43"/>
      <c r="U10" s="43"/>
    </row>
    <row r="11" spans="1:21" s="11" customFormat="1" ht="15">
      <c r="A11" s="54" t="s">
        <v>763</v>
      </c>
      <c r="B11" s="55">
        <v>8.33</v>
      </c>
      <c r="C11" s="55">
        <v>3.21</v>
      </c>
      <c r="D11" s="55">
        <v>12.13</v>
      </c>
      <c r="E11" s="55">
        <v>4.92</v>
      </c>
      <c r="F11" s="55">
        <v>3.53</v>
      </c>
      <c r="G11" s="55">
        <v>25.69</v>
      </c>
      <c r="H11" s="55">
        <v>11.65</v>
      </c>
      <c r="I11" s="55">
        <v>5.33</v>
      </c>
      <c r="J11" s="55">
        <v>0.43</v>
      </c>
      <c r="K11" s="55">
        <v>333.32</v>
      </c>
      <c r="L11" s="55">
        <v>23.25</v>
      </c>
      <c r="M11" s="55">
        <v>98.38</v>
      </c>
      <c r="N11" s="55">
        <v>17.899999999999999</v>
      </c>
      <c r="O11" s="55">
        <v>1</v>
      </c>
      <c r="P11" s="55">
        <v>0.47</v>
      </c>
      <c r="Q11" s="55">
        <v>9.4700000000000006</v>
      </c>
      <c r="R11" s="43"/>
      <c r="S11" s="43"/>
      <c r="T11" s="43"/>
      <c r="U11" s="43"/>
    </row>
    <row r="12" spans="1:21" s="11" customFormat="1" ht="15">
      <c r="A12" s="54" t="s">
        <v>764</v>
      </c>
      <c r="B12" s="55">
        <v>8.42</v>
      </c>
      <c r="C12" s="55">
        <v>3.33</v>
      </c>
      <c r="D12" s="55">
        <v>12.27</v>
      </c>
      <c r="E12" s="55">
        <v>4.6900000000000004</v>
      </c>
      <c r="F12" s="55">
        <v>3.5</v>
      </c>
      <c r="G12" s="55">
        <v>21.23</v>
      </c>
      <c r="H12" s="55">
        <v>8.99</v>
      </c>
      <c r="I12" s="55">
        <v>4.7300000000000004</v>
      </c>
      <c r="J12" s="55">
        <v>0.43</v>
      </c>
      <c r="K12" s="55">
        <v>350.48</v>
      </c>
      <c r="L12" s="55">
        <v>22.88</v>
      </c>
      <c r="M12" s="55">
        <v>98.38</v>
      </c>
      <c r="N12" s="55">
        <v>18.30</v>
      </c>
      <c r="O12" s="55">
        <v>0</v>
      </c>
      <c r="P12" s="55">
        <v>0.42</v>
      </c>
      <c r="Q12" s="55">
        <v>9.4499999999999993</v>
      </c>
      <c r="R12" s="43"/>
      <c r="S12" s="43"/>
      <c r="T12" s="43"/>
      <c r="U12" s="43"/>
    </row>
    <row r="13" spans="1:21" s="11" customFormat="1" ht="15">
      <c r="A13" s="54" t="s">
        <v>765</v>
      </c>
      <c r="B13" s="55">
        <v>8.3699999999999992</v>
      </c>
      <c r="C13" s="55">
        <v>3.22</v>
      </c>
      <c r="D13" s="55">
        <v>12.16</v>
      </c>
      <c r="E13" s="55">
        <v>4.6500000000000004</v>
      </c>
      <c r="F13" s="55">
        <v>4.57</v>
      </c>
      <c r="G13" s="55">
        <v>19.57</v>
      </c>
      <c r="H13" s="55">
        <v>8.99</v>
      </c>
      <c r="I13" s="55">
        <v>4.3899999999999997</v>
      </c>
      <c r="J13" s="55">
        <v>0.61</v>
      </c>
      <c r="K13" s="55">
        <v>359.45</v>
      </c>
      <c r="L13" s="55">
        <v>22.84</v>
      </c>
      <c r="M13" s="55">
        <v>98.35</v>
      </c>
      <c r="N13" s="55">
        <v>18.399999999999999</v>
      </c>
      <c r="O13" s="55">
        <v>0</v>
      </c>
      <c r="P13" s="55">
        <v>0.36</v>
      </c>
      <c r="Q13" s="55">
        <v>9.42</v>
      </c>
      <c r="R13" s="43"/>
      <c r="S13" s="43"/>
      <c r="T13" s="43"/>
      <c r="U13" s="43"/>
    </row>
    <row r="14" spans="1:21" s="11" customFormat="1" ht="15">
      <c r="A14" s="54" t="s">
        <v>766</v>
      </c>
      <c r="B14" s="55">
        <v>8.49</v>
      </c>
      <c r="C14" s="55">
        <v>3.60</v>
      </c>
      <c r="D14" s="55">
        <v>12.46</v>
      </c>
      <c r="E14" s="55">
        <v>4.51</v>
      </c>
      <c r="F14" s="55">
        <v>4.4800000000000004</v>
      </c>
      <c r="G14" s="55">
        <v>16.329999999999998</v>
      </c>
      <c r="H14" s="55">
        <v>6.46</v>
      </c>
      <c r="I14" s="55">
        <v>3.55</v>
      </c>
      <c r="J14" s="55">
        <v>0.62</v>
      </c>
      <c r="K14" s="55">
        <v>19.07</v>
      </c>
      <c r="L14" s="55">
        <v>22.81</v>
      </c>
      <c r="M14" s="55">
        <v>98.33</v>
      </c>
      <c r="N14" s="55">
        <v>38.5</v>
      </c>
      <c r="O14" s="55">
        <v>0</v>
      </c>
      <c r="P14" s="55">
        <v>0.28999999999999998</v>
      </c>
      <c r="Q14" s="55">
        <v>9.2799999999999994</v>
      </c>
      <c r="R14" s="43"/>
      <c r="S14" s="43"/>
      <c r="T14" s="43"/>
      <c r="U14" s="43"/>
    </row>
    <row r="15" spans="1:21" s="11" customFormat="1" ht="15">
      <c r="A15" s="54" t="s">
        <v>767</v>
      </c>
      <c r="B15" s="55">
        <v>8.40</v>
      </c>
      <c r="C15" s="55">
        <v>3.37</v>
      </c>
      <c r="D15" s="55">
        <v>12.25</v>
      </c>
      <c r="E15" s="55">
        <v>4.3499999999999996</v>
      </c>
      <c r="F15" s="55">
        <v>4.2300000000000004</v>
      </c>
      <c r="G15" s="55">
        <v>14.34</v>
      </c>
      <c r="H15" s="55">
        <v>5.75</v>
      </c>
      <c r="I15" s="55">
        <v>2.5099999999999998</v>
      </c>
      <c r="J15" s="55">
        <v>0.56999999999999995</v>
      </c>
      <c r="K15" s="55">
        <v>3.81</v>
      </c>
      <c r="L15" s="55">
        <v>22.91</v>
      </c>
      <c r="M15" s="55">
        <v>98.33</v>
      </c>
      <c r="N15" s="55">
        <v>53.10</v>
      </c>
      <c r="O15" s="55">
        <v>0</v>
      </c>
      <c r="P15" s="55">
        <v>0.27</v>
      </c>
      <c r="Q15" s="55">
        <v>9.35</v>
      </c>
      <c r="R15" s="43"/>
      <c r="S15" s="43"/>
      <c r="T15" s="43"/>
      <c r="U15" s="43"/>
    </row>
    <row r="16" spans="1:21" s="11" customFormat="1" ht="15">
      <c r="A16" s="54" t="s">
        <v>768</v>
      </c>
      <c r="B16" s="55">
        <v>8.52</v>
      </c>
      <c r="C16" s="55">
        <v>3.63</v>
      </c>
      <c r="D16" s="55">
        <v>12.5</v>
      </c>
      <c r="E16" s="55">
        <v>4.26</v>
      </c>
      <c r="F16" s="55">
        <v>3.39</v>
      </c>
      <c r="G16" s="55">
        <v>20.73</v>
      </c>
      <c r="H16" s="55">
        <v>5.03</v>
      </c>
      <c r="I16" s="55">
        <v>2.13</v>
      </c>
      <c r="J16" s="55">
        <v>0.59</v>
      </c>
      <c r="K16" s="55">
        <v>358.21</v>
      </c>
      <c r="L16" s="55">
        <v>23.30</v>
      </c>
      <c r="M16" s="55">
        <v>98.33</v>
      </c>
      <c r="N16" s="55">
        <v>85.30</v>
      </c>
      <c r="O16" s="55">
        <v>0</v>
      </c>
      <c r="P16" s="55">
        <v>0.37</v>
      </c>
      <c r="Q16" s="55">
        <v>9.36</v>
      </c>
      <c r="R16" s="43"/>
      <c r="S16" s="43"/>
      <c r="T16" s="43"/>
      <c r="U16" s="43"/>
    </row>
    <row r="17" spans="1:21" s="11" customFormat="1" ht="15">
      <c r="A17" s="54" t="s">
        <v>769</v>
      </c>
      <c r="B17" s="55">
        <v>8.36</v>
      </c>
      <c r="C17" s="55">
        <v>3.23</v>
      </c>
      <c r="D17" s="55">
        <v>12.16</v>
      </c>
      <c r="E17" s="55">
        <v>4.28</v>
      </c>
      <c r="F17" s="55">
        <v>3.35</v>
      </c>
      <c r="G17" s="55">
        <v>26.29</v>
      </c>
      <c r="H17" s="55">
        <v>6.68</v>
      </c>
      <c r="I17" s="55">
        <v>1.94</v>
      </c>
      <c r="J17" s="55">
        <v>0.5</v>
      </c>
      <c r="K17" s="55">
        <v>353.30</v>
      </c>
      <c r="L17" s="55">
        <v>23.77</v>
      </c>
      <c r="M17" s="55">
        <v>98.32</v>
      </c>
      <c r="N17" s="55">
        <v>124.90</v>
      </c>
      <c r="O17" s="55">
        <v>0</v>
      </c>
      <c r="P17" s="55">
        <v>0.41</v>
      </c>
      <c r="Q17" s="55">
        <v>9.35</v>
      </c>
      <c r="R17" s="43"/>
      <c r="S17" s="43"/>
      <c r="T17" s="43"/>
      <c r="U17" s="43"/>
    </row>
    <row r="18" spans="1:21" s="11" customFormat="1" ht="15">
      <c r="A18" s="54" t="s">
        <v>770</v>
      </c>
      <c r="B18" s="55">
        <v>8.35</v>
      </c>
      <c r="C18" s="55">
        <v>3.33</v>
      </c>
      <c r="D18" s="55">
        <v>12.21</v>
      </c>
      <c r="E18" s="55">
        <v>4.5</v>
      </c>
      <c r="F18" s="55">
        <v>4.79</v>
      </c>
      <c r="G18" s="55">
        <v>32.72</v>
      </c>
      <c r="H18" s="55">
        <v>8.0299999999999994</v>
      </c>
      <c r="I18" s="55">
        <v>2.4700000000000002</v>
      </c>
      <c r="J18" s="55">
        <v>0.64</v>
      </c>
      <c r="K18" s="55">
        <v>354.42</v>
      </c>
      <c r="L18" s="55">
        <v>27.07</v>
      </c>
      <c r="M18" s="55">
        <v>96.84</v>
      </c>
      <c r="N18" s="55">
        <v>415.60</v>
      </c>
      <c r="O18" s="55">
        <v>0</v>
      </c>
      <c r="P18" s="55">
        <v>0.54</v>
      </c>
      <c r="Q18" s="55">
        <v>9.36</v>
      </c>
      <c r="R18" s="43"/>
      <c r="S18" s="43"/>
      <c r="T18" s="43"/>
      <c r="U18" s="43"/>
    </row>
    <row r="19" spans="1:21" s="11" customFormat="1" ht="15">
      <c r="A19" s="54" t="s">
        <v>771</v>
      </c>
      <c r="B19" s="55">
        <v>8.59</v>
      </c>
      <c r="C19" s="55">
        <v>3.91</v>
      </c>
      <c r="D19" s="55">
        <v>12.71</v>
      </c>
      <c r="E19" s="55">
        <v>4.5599999999999996</v>
      </c>
      <c r="F19" s="55">
        <v>4.1399999999999997</v>
      </c>
      <c r="G19" s="55">
        <v>41.66</v>
      </c>
      <c r="H19" s="55">
        <v>13.30</v>
      </c>
      <c r="I19" s="55">
        <v>2.71</v>
      </c>
      <c r="J19" s="55">
        <v>0.60</v>
      </c>
      <c r="K19" s="55">
        <v>357.67</v>
      </c>
      <c r="L19" s="55">
        <v>26.46</v>
      </c>
      <c r="M19" s="55">
        <v>88.31</v>
      </c>
      <c r="N19" s="55">
        <v>537.90</v>
      </c>
      <c r="O19" s="55">
        <v>0.20</v>
      </c>
      <c r="P19" s="55">
        <v>0.77</v>
      </c>
      <c r="Q19" s="55">
        <v>9.3699999999999992</v>
      </c>
      <c r="R19" s="43"/>
      <c r="S19" s="43"/>
      <c r="T19" s="43"/>
      <c r="U19" s="43"/>
    </row>
    <row r="20" spans="1:21" s="11" customFormat="1" ht="15">
      <c r="A20" s="54" t="s">
        <v>772</v>
      </c>
      <c r="B20" s="55">
        <v>8.3000000000000007</v>
      </c>
      <c r="C20" s="55">
        <v>3.28</v>
      </c>
      <c r="D20" s="55">
        <v>12.14</v>
      </c>
      <c r="E20" s="55">
        <v>4.1900000000000004</v>
      </c>
      <c r="F20" s="55">
        <v>4.4800000000000004</v>
      </c>
      <c r="G20" s="55">
        <v>47.05</v>
      </c>
      <c r="H20" s="55">
        <v>15.52</v>
      </c>
      <c r="I20" s="55">
        <v>3.24</v>
      </c>
      <c r="J20" s="55">
        <v>0.61</v>
      </c>
      <c r="K20" s="55">
        <v>346.67</v>
      </c>
      <c r="L20" s="55">
        <v>28.04</v>
      </c>
      <c r="M20" s="55">
        <v>80.69</v>
      </c>
      <c r="N20" s="55">
        <v>433.80</v>
      </c>
      <c r="O20" s="55">
        <v>0</v>
      </c>
      <c r="P20" s="55">
        <v>0.79</v>
      </c>
      <c r="Q20" s="55">
        <v>9.35</v>
      </c>
      <c r="R20" s="43"/>
      <c r="S20" s="43"/>
      <c r="T20" s="43"/>
      <c r="U20" s="43"/>
    </row>
    <row r="21" spans="1:21" s="11" customFormat="1" ht="15">
      <c r="A21" s="54" t="s">
        <v>773</v>
      </c>
      <c r="B21" s="55">
        <v>8.34</v>
      </c>
      <c r="C21" s="55">
        <v>3.28</v>
      </c>
      <c r="D21" s="55">
        <v>12.18</v>
      </c>
      <c r="E21" s="55">
        <v>4.74</v>
      </c>
      <c r="F21" s="55">
        <v>4.01</v>
      </c>
      <c r="G21" s="55">
        <v>47.05</v>
      </c>
      <c r="H21" s="55">
        <v>15.52</v>
      </c>
      <c r="I21" s="55">
        <v>3.30</v>
      </c>
      <c r="J21" s="55">
        <v>0.54</v>
      </c>
      <c r="K21" s="55">
        <v>358.81</v>
      </c>
      <c r="L21" s="55">
        <v>27.99</v>
      </c>
      <c r="M21" s="55">
        <v>80.319999999999993</v>
      </c>
      <c r="N21" s="55">
        <v>384.40</v>
      </c>
      <c r="O21" s="55">
        <v>0</v>
      </c>
      <c r="P21" s="55">
        <v>0.74</v>
      </c>
      <c r="Q21" s="55">
        <v>9.35</v>
      </c>
      <c r="R21" s="43"/>
      <c r="S21" s="43"/>
      <c r="T21" s="43"/>
      <c r="U21" s="43"/>
    </row>
    <row r="22" spans="1:21" s="11" customFormat="1" ht="15">
      <c r="A22" s="54" t="s">
        <v>774</v>
      </c>
      <c r="B22" s="55">
        <v>8.33</v>
      </c>
      <c r="C22" s="55">
        <v>3.26</v>
      </c>
      <c r="D22" s="55">
        <v>12.15</v>
      </c>
      <c r="E22" s="55">
        <v>5.09</v>
      </c>
      <c r="F22" s="55">
        <v>5.15</v>
      </c>
      <c r="G22" s="55">
        <v>43.67</v>
      </c>
      <c r="H22" s="55">
        <v>13.83</v>
      </c>
      <c r="I22" s="55">
        <v>2.77</v>
      </c>
      <c r="J22" s="55">
        <v>0.57999999999999996</v>
      </c>
      <c r="K22" s="55">
        <v>348.5</v>
      </c>
      <c r="L22" s="55">
        <v>28.92</v>
      </c>
      <c r="M22" s="55">
        <v>77.42</v>
      </c>
      <c r="N22" s="55">
        <v>434.70</v>
      </c>
      <c r="O22" s="55">
        <v>0</v>
      </c>
      <c r="P22" s="55">
        <v>0.55000000000000004</v>
      </c>
      <c r="Q22" s="55">
        <v>9.33</v>
      </c>
      <c r="R22" s="43"/>
      <c r="S22" s="43"/>
      <c r="T22" s="43"/>
      <c r="U22" s="43"/>
    </row>
    <row r="23" spans="1:21" s="11" customFormat="1" ht="15">
      <c r="A23" s="54" t="s">
        <v>775</v>
      </c>
      <c r="B23" s="55">
        <v>8.41</v>
      </c>
      <c r="C23" s="55">
        <v>3.64</v>
      </c>
      <c r="D23" s="55">
        <v>12.42</v>
      </c>
      <c r="E23" s="55">
        <v>4.67</v>
      </c>
      <c r="F23" s="55">
        <v>5.05</v>
      </c>
      <c r="G23" s="55">
        <v>43.84</v>
      </c>
      <c r="H23" s="55">
        <v>13.83</v>
      </c>
      <c r="I23" s="55">
        <v>2.4500000000000002</v>
      </c>
      <c r="J23" s="55">
        <v>0.59</v>
      </c>
      <c r="K23" s="55">
        <v>354.16</v>
      </c>
      <c r="L23" s="55">
        <v>28.75</v>
      </c>
      <c r="M23" s="55">
        <v>76.27</v>
      </c>
      <c r="N23" s="55">
        <v>330.70</v>
      </c>
      <c r="O23" s="55">
        <v>0</v>
      </c>
      <c r="P23" s="55">
        <v>0.51</v>
      </c>
      <c r="Q23" s="55">
        <v>9.2799999999999994</v>
      </c>
      <c r="R23" s="43"/>
      <c r="S23" s="43"/>
      <c r="T23" s="43"/>
      <c r="U23" s="43"/>
    </row>
    <row r="24" spans="1:21" s="11" customFormat="1" ht="15">
      <c r="A24" s="54" t="s">
        <v>776</v>
      </c>
      <c r="B24" s="55">
        <v>8.31</v>
      </c>
      <c r="C24" s="55">
        <v>3.34</v>
      </c>
      <c r="D24" s="55">
        <v>12.19</v>
      </c>
      <c r="E24" s="55">
        <v>4.91</v>
      </c>
      <c r="F24" s="55">
        <v>4.71</v>
      </c>
      <c r="G24" s="55">
        <v>43.84</v>
      </c>
      <c r="H24" s="55">
        <v>15.57</v>
      </c>
      <c r="I24" s="55">
        <v>2.17</v>
      </c>
      <c r="J24" s="55">
        <v>0.60</v>
      </c>
      <c r="K24" s="55">
        <v>352.43</v>
      </c>
      <c r="L24" s="55">
        <v>29.46</v>
      </c>
      <c r="M24" s="55">
        <v>72.510000000000005</v>
      </c>
      <c r="N24" s="55">
        <v>324.89999999999998</v>
      </c>
      <c r="O24" s="55">
        <v>0</v>
      </c>
      <c r="P24" s="55">
        <v>0.5</v>
      </c>
      <c r="Q24" s="55">
        <v>9.26</v>
      </c>
      <c r="R24" s="43"/>
      <c r="S24" s="43"/>
      <c r="T24" s="43"/>
      <c r="U24" s="43"/>
    </row>
    <row r="25" spans="1:21" s="11" customFormat="1" ht="15">
      <c r="A25" s="54" t="s">
        <v>777</v>
      </c>
      <c r="B25" s="55">
        <v>8.31</v>
      </c>
      <c r="C25" s="55">
        <v>3.24</v>
      </c>
      <c r="D25" s="55">
        <v>12.11</v>
      </c>
      <c r="E25" s="55">
        <v>3.62</v>
      </c>
      <c r="F25" s="55">
        <v>5.26</v>
      </c>
      <c r="G25" s="55">
        <v>42.60</v>
      </c>
      <c r="H25" s="55">
        <v>15.57</v>
      </c>
      <c r="I25" s="55">
        <v>2.2000000000000002</v>
      </c>
      <c r="J25" s="55">
        <v>0.87</v>
      </c>
      <c r="K25" s="55">
        <v>351.08</v>
      </c>
      <c r="L25" s="55">
        <v>29.12</v>
      </c>
      <c r="M25" s="55">
        <v>77.349999999999994</v>
      </c>
      <c r="N25" s="55">
        <v>206.90</v>
      </c>
      <c r="O25" s="55">
        <v>0</v>
      </c>
      <c r="P25" s="55">
        <v>0.48</v>
      </c>
      <c r="Q25" s="55">
        <v>9.26</v>
      </c>
      <c r="R25" s="43"/>
      <c r="S25" s="43"/>
      <c r="T25" s="43"/>
      <c r="U25" s="43"/>
    </row>
    <row r="26" spans="1:21" s="11" customFormat="1" ht="15">
      <c r="A26" s="54" t="s">
        <v>778</v>
      </c>
      <c r="B26" s="55">
        <v>8.35</v>
      </c>
      <c r="C26" s="55">
        <v>3.38</v>
      </c>
      <c r="D26" s="55">
        <v>12.23</v>
      </c>
      <c r="E26" s="55">
        <v>3.69</v>
      </c>
      <c r="F26" s="55">
        <v>4.8499999999999996</v>
      </c>
      <c r="G26" s="55">
        <v>40.60</v>
      </c>
      <c r="H26" s="55">
        <v>12.02</v>
      </c>
      <c r="I26" s="55">
        <v>2.16</v>
      </c>
      <c r="J26" s="55">
        <v>0.82</v>
      </c>
      <c r="K26" s="55">
        <v>18.22</v>
      </c>
      <c r="L26" s="55">
        <v>24.86</v>
      </c>
      <c r="M26" s="55">
        <v>98.35</v>
      </c>
      <c r="N26" s="55">
        <v>50.80</v>
      </c>
      <c r="O26" s="55">
        <v>1.40</v>
      </c>
      <c r="P26" s="55">
        <v>0.48</v>
      </c>
      <c r="Q26" s="55">
        <v>9.2899999999999991</v>
      </c>
      <c r="R26" s="43"/>
      <c r="S26" s="43"/>
      <c r="T26" s="43"/>
      <c r="U26" s="43"/>
    </row>
    <row r="27" spans="1:21" s="11" customFormat="1" ht="15">
      <c r="A27" s="54" t="s">
        <v>779</v>
      </c>
      <c r="B27" s="55">
        <v>8.39</v>
      </c>
      <c r="C27" s="55">
        <v>3.42</v>
      </c>
      <c r="D27" s="55">
        <v>12.29</v>
      </c>
      <c r="E27" s="55">
        <v>3.64</v>
      </c>
      <c r="F27" s="55">
        <v>4.41</v>
      </c>
      <c r="G27" s="55">
        <v>40.60</v>
      </c>
      <c r="H27" s="55">
        <v>10.31</v>
      </c>
      <c r="I27" s="55">
        <v>2.40</v>
      </c>
      <c r="J27" s="55">
        <v>0.49</v>
      </c>
      <c r="K27" s="55">
        <v>96.56</v>
      </c>
      <c r="L27" s="55">
        <v>21.98</v>
      </c>
      <c r="M27" s="55">
        <v>98.35</v>
      </c>
      <c r="N27" s="55">
        <v>24.5</v>
      </c>
      <c r="O27" s="55">
        <v>0.60</v>
      </c>
      <c r="P27" s="55">
        <v>0.51</v>
      </c>
      <c r="Q27" s="55">
        <v>9.36</v>
      </c>
      <c r="R27" s="43"/>
      <c r="S27" s="43"/>
      <c r="T27" s="43"/>
      <c r="U27" s="43"/>
    </row>
    <row r="28" spans="1:21" s="11" customFormat="1" ht="15">
      <c r="A28" s="54" t="s">
        <v>780</v>
      </c>
      <c r="B28" s="55">
        <v>8.33</v>
      </c>
      <c r="C28" s="55">
        <v>3.30</v>
      </c>
      <c r="D28" s="55">
        <v>12.17</v>
      </c>
      <c r="E28" s="55">
        <v>4.17</v>
      </c>
      <c r="F28" s="55">
        <v>4.1399999999999997</v>
      </c>
      <c r="G28" s="55">
        <v>34.270000000000003</v>
      </c>
      <c r="H28" s="55">
        <v>10.86</v>
      </c>
      <c r="I28" s="55">
        <v>2.75</v>
      </c>
      <c r="J28" s="55">
        <v>0.97</v>
      </c>
      <c r="K28" s="55">
        <v>181.12</v>
      </c>
      <c r="L28" s="55">
        <v>22.38</v>
      </c>
      <c r="M28" s="55">
        <v>98.35</v>
      </c>
      <c r="N28" s="55">
        <v>17.80</v>
      </c>
      <c r="O28" s="55">
        <v>0</v>
      </c>
      <c r="P28" s="55">
        <v>0.49</v>
      </c>
      <c r="Q28" s="55">
        <v>9.33</v>
      </c>
      <c r="R28" s="43"/>
      <c r="S28" s="43"/>
      <c r="T28" s="43"/>
      <c r="U28" s="43"/>
    </row>
    <row r="29" spans="1:21" s="11" customFormat="1" ht="15">
      <c r="A29" s="54" t="s">
        <v>781</v>
      </c>
      <c r="B29" s="55">
        <v>8.42</v>
      </c>
      <c r="C29" s="55">
        <v>3.5</v>
      </c>
      <c r="D29" s="55">
        <v>12.36</v>
      </c>
      <c r="E29" s="55">
        <v>4.26</v>
      </c>
      <c r="F29" s="55">
        <v>4.1399999999999997</v>
      </c>
      <c r="G29" s="55">
        <v>25.21</v>
      </c>
      <c r="H29" s="55">
        <v>10.86</v>
      </c>
      <c r="I29" s="55">
        <v>3.24</v>
      </c>
      <c r="J29" s="55">
        <v>1.03</v>
      </c>
      <c r="K29" s="55">
        <v>173.54</v>
      </c>
      <c r="L29" s="55">
        <v>22.64</v>
      </c>
      <c r="M29" s="55">
        <v>98.37</v>
      </c>
      <c r="N29" s="55">
        <v>18.30</v>
      </c>
      <c r="O29" s="55">
        <v>0</v>
      </c>
      <c r="P29" s="55">
        <v>0.47</v>
      </c>
      <c r="Q29" s="55">
        <v>9.34</v>
      </c>
      <c r="R29" s="43"/>
      <c r="S29" s="43"/>
      <c r="T29" s="43"/>
      <c r="U29" s="43"/>
    </row>
    <row r="30" spans="1:21" s="11" customFormat="1" ht="15">
      <c r="A30" s="54" t="s">
        <v>782</v>
      </c>
      <c r="B30" s="55">
        <v>8.35</v>
      </c>
      <c r="C30" s="55">
        <v>3.27</v>
      </c>
      <c r="D30" s="55">
        <v>12.17</v>
      </c>
      <c r="E30" s="55">
        <v>4.17</v>
      </c>
      <c r="F30" s="55">
        <v>3.26</v>
      </c>
      <c r="G30" s="55">
        <v>20.41</v>
      </c>
      <c r="H30" s="55">
        <v>10.68</v>
      </c>
      <c r="I30" s="55">
        <v>3.99</v>
      </c>
      <c r="J30" s="55">
        <v>1.1299999999999999</v>
      </c>
      <c r="K30" s="55">
        <v>218.35</v>
      </c>
      <c r="L30" s="55">
        <v>22.58</v>
      </c>
      <c r="M30" s="55">
        <v>98.35</v>
      </c>
      <c r="N30" s="55">
        <v>18.5</v>
      </c>
      <c r="O30" s="55">
        <v>0</v>
      </c>
      <c r="P30" s="55">
        <v>0.43</v>
      </c>
      <c r="Q30" s="55">
        <v>9.34</v>
      </c>
      <c r="R30" s="43"/>
      <c r="S30" s="43"/>
      <c r="T30" s="43"/>
      <c r="U30" s="43"/>
    </row>
    <row r="31" spans="1:21" s="11" customFormat="1" ht="15">
      <c r="A31" s="54" t="s">
        <v>783</v>
      </c>
      <c r="B31" s="55">
        <v>8.4499999999999993</v>
      </c>
      <c r="C31" s="55">
        <v>3.41</v>
      </c>
      <c r="D31" s="55">
        <v>12.33</v>
      </c>
      <c r="E31" s="55">
        <v>4.3099999999999996</v>
      </c>
      <c r="F31" s="55">
        <v>4.46</v>
      </c>
      <c r="G31" s="55">
        <v>20.41</v>
      </c>
      <c r="H31" s="55">
        <v>10.68</v>
      </c>
      <c r="I31" s="55">
        <v>4.70</v>
      </c>
      <c r="J31" s="55">
        <v>1.38</v>
      </c>
      <c r="K31" s="55">
        <v>145.41999999999999</v>
      </c>
      <c r="L31" s="55">
        <v>22.71</v>
      </c>
      <c r="M31" s="55">
        <v>98.35</v>
      </c>
      <c r="N31" s="55">
        <v>17.20</v>
      </c>
      <c r="O31" s="55">
        <v>0.20</v>
      </c>
      <c r="P31" s="55">
        <v>0.42</v>
      </c>
      <c r="Q31" s="55">
        <v>9.36</v>
      </c>
      <c r="R31" s="43"/>
      <c r="S31" s="43"/>
      <c r="T31" s="43"/>
      <c r="U31" s="43"/>
    </row>
    <row r="32" spans="1:21" s="11" customFormat="1" ht="15">
      <c r="A32" s="54" t="s">
        <v>784</v>
      </c>
      <c r="B32" s="55">
        <v>8.32</v>
      </c>
      <c r="C32" s="55">
        <v>3.26</v>
      </c>
      <c r="D32" s="55">
        <v>12.15</v>
      </c>
      <c r="E32" s="55">
        <v>4.7300000000000004</v>
      </c>
      <c r="F32" s="55">
        <v>4.0599999999999996</v>
      </c>
      <c r="G32" s="55">
        <v>18.96</v>
      </c>
      <c r="H32" s="55">
        <v>8.1199999999999992</v>
      </c>
      <c r="I32" s="55">
        <v>5.32</v>
      </c>
      <c r="J32" s="55">
        <v>1.04</v>
      </c>
      <c r="K32" s="55">
        <v>186.28</v>
      </c>
      <c r="L32" s="55">
        <v>22.83</v>
      </c>
      <c r="M32" s="55">
        <v>98.39</v>
      </c>
      <c r="N32" s="55">
        <v>17.30</v>
      </c>
      <c r="O32" s="55">
        <v>0</v>
      </c>
      <c r="P32" s="55">
        <v>0.39</v>
      </c>
      <c r="Q32" s="55">
        <v>9.32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8.3000000000000007</v>
      </c>
      <c r="C34" s="28">
        <f t="shared" si="0"/>
        <v>3.21</v>
      </c>
      <c r="D34" s="28">
        <f t="shared" si="0"/>
        <v>12.109999999999999</v>
      </c>
      <c r="E34" s="28">
        <f t="shared" si="0"/>
        <v>3.6200000000000001</v>
      </c>
      <c r="F34" s="28">
        <f t="shared" si="0"/>
        <v>3.2599999999999998</v>
      </c>
      <c r="G34" s="28">
        <f t="shared" si="0"/>
        <v>14.34</v>
      </c>
      <c r="H34" s="28">
        <f t="shared" si="0"/>
        <v>5.0300000000000002</v>
      </c>
      <c r="I34" s="28">
        <f t="shared" si="0"/>
        <v>1.9399999999999999</v>
      </c>
      <c r="J34" s="28">
        <f t="shared" si="0"/>
        <v>0.29999999999999999</v>
      </c>
      <c r="K34" s="28">
        <f t="shared" si="0"/>
        <v>3.8100000000000001</v>
      </c>
      <c r="L34" s="28">
        <f t="shared" si="0"/>
        <v>21.98</v>
      </c>
      <c r="M34" s="28">
        <f t="shared" si="0"/>
        <v>72.510000000000005</v>
      </c>
      <c r="N34" s="28">
        <f t="shared" si="0"/>
        <v>17.199999999999999</v>
      </c>
      <c r="O34" s="28">
        <f t="shared" si="0"/>
        <v>0</v>
      </c>
      <c r="P34" s="28">
        <f t="shared" si="0"/>
        <v>0.27000000000000002</v>
      </c>
      <c r="Q34" s="28">
        <f t="shared" si="0"/>
        <v>9.2599999999999998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8.8200000000000003</v>
      </c>
      <c r="C35" s="29">
        <f t="shared" si="1"/>
        <v>3.9900000000000002</v>
      </c>
      <c r="D35" s="29">
        <f t="shared" si="1"/>
        <v>12.93</v>
      </c>
      <c r="E35" s="29">
        <f t="shared" si="1"/>
        <v>5.3399999999999999</v>
      </c>
      <c r="F35" s="29">
        <f t="shared" si="1"/>
        <v>5.2599999999999998</v>
      </c>
      <c r="G35" s="29">
        <f t="shared" si="1"/>
        <v>47.049999999999997</v>
      </c>
      <c r="H35" s="29">
        <f t="shared" si="1"/>
        <v>15.57</v>
      </c>
      <c r="I35" s="29">
        <f t="shared" si="1"/>
        <v>6.3399999999999999</v>
      </c>
      <c r="J35" s="29">
        <f t="shared" si="1"/>
        <v>1.3799999999999999</v>
      </c>
      <c r="K35" s="29">
        <f t="shared" si="1"/>
        <v>359.44999999999999</v>
      </c>
      <c r="L35" s="29">
        <f t="shared" si="1"/>
        <v>29.460000000000001</v>
      </c>
      <c r="M35" s="29">
        <f t="shared" si="1"/>
        <v>98.390000000000001</v>
      </c>
      <c r="N35" s="29">
        <f t="shared" si="1"/>
        <v>537.89999999999998</v>
      </c>
      <c r="O35" s="29">
        <f t="shared" si="1"/>
        <v>1.3999999999999999</v>
      </c>
      <c r="P35" s="29">
        <f t="shared" si="1"/>
        <v>0.79000000000000004</v>
      </c>
      <c r="Q35" s="29">
        <f t="shared" si="1"/>
        <v>9.6500000000000004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8.4029166666666661</v>
      </c>
      <c r="C36" s="28">
        <f t="shared" si="2"/>
        <v>3.4058333333333333</v>
      </c>
      <c r="D36" s="28">
        <f t="shared" si="2"/>
        <v>12.288749999999999</v>
      </c>
      <c r="E36" s="28">
        <f t="shared" si="2"/>
        <v>4.4691666666666672</v>
      </c>
      <c r="F36" s="28">
        <f t="shared" si="2"/>
        <v>4.2487499999999994</v>
      </c>
      <c r="G36" s="28">
        <f t="shared" si="2"/>
        <v>30.921250000000004</v>
      </c>
      <c r="H36" s="28">
        <f t="shared" si="2"/>
        <v>11.223750000000003</v>
      </c>
      <c r="I36" s="28">
        <f t="shared" si="2"/>
        <v>3.4416666666666664</v>
      </c>
      <c r="J36" s="28">
        <f t="shared" si="2"/>
        <v>0.68041666666666656</v>
      </c>
      <c r="K36" s="28">
        <f t="shared" si="2"/>
        <v>260.37250000000006</v>
      </c>
      <c r="L36" s="28">
        <f t="shared" si="2"/>
        <v>24.746250000000007</v>
      </c>
      <c r="M36" s="28">
        <f t="shared" si="2"/>
        <v>92.641666666666652</v>
      </c>
      <c r="N36" s="28">
        <f t="shared" si="2"/>
        <v>151.05416666666667</v>
      </c>
      <c r="O36" s="28">
        <f t="shared" si="2"/>
        <v>0.14166666666666666</v>
      </c>
      <c r="P36" s="28">
        <f t="shared" si="2"/>
        <v>0.49291666666666673</v>
      </c>
      <c r="Q36" s="28">
        <f t="shared" si="2"/>
        <v>9.3658333333333328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0.11407393356443882</v>
      </c>
      <c r="C37" s="28">
        <f t="shared" si="3" ref="C37:Q37">STDEV(C9:C32)</f>
        <v>0.20899171330912886</v>
      </c>
      <c r="D37" s="28">
        <f t="shared" si="3"/>
        <v>0.19777704838940113</v>
      </c>
      <c r="E37" s="28">
        <f t="shared" si="3"/>
        <v>0.44445292866297076</v>
      </c>
      <c r="F37" s="28">
        <f t="shared" si="3"/>
        <v>0.57531324171007825</v>
      </c>
      <c r="G37" s="28">
        <f t="shared" si="3"/>
        <v>10.943126614852599</v>
      </c>
      <c r="H37" s="28">
        <f t="shared" si="3"/>
        <v>3.4526609933184207</v>
      </c>
      <c r="I37" s="28">
        <f t="shared" si="3"/>
        <v>1.3151646174583971</v>
      </c>
      <c r="J37" s="28">
        <f t="shared" si="3"/>
        <v>0.2630999011231559</v>
      </c>
      <c r="K37" s="28">
        <f t="shared" si="3"/>
        <v>125.25037076227325</v>
      </c>
      <c r="L37" s="28">
        <f t="shared" si="3"/>
        <v>2.6305294763767075</v>
      </c>
      <c r="M37" s="28">
        <f t="shared" si="3"/>
        <v>9.3070827011368404</v>
      </c>
      <c r="N37" s="28">
        <f t="shared" si="3"/>
        <v>178.23514019203779</v>
      </c>
      <c r="O37" s="28">
        <f t="shared" si="3"/>
        <v>0.35620788589111063</v>
      </c>
      <c r="P37" s="28">
        <f t="shared" si="3"/>
        <v>0.13388766110848846</v>
      </c>
      <c r="Q37" s="28">
        <f t="shared" si="3"/>
        <v>0.089826725308842184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792eb7-9662-4385-8543-c17f84405864}">
  <sheetPr codeName=""/>
  <dimension ref="A1:X54"/>
  <sheetViews>
    <sheetView tabSelected="1" zoomScale="85" zoomScaleNormal="85" workbookViewId="0" topLeftCell="A1">
      <pane xSplit="1" ySplit="8" topLeftCell="B21" activePane="bottomRight" state="frozen"/>
      <selection pane="topLeft" activeCell="B2" sqref="B2"/>
      <selection pane="topRight" activeCell="B2" sqref="B2"/>
      <selection pane="bottomLeft" activeCell="B2" sqref="B2"/>
      <selection pane="bottomRight" activeCell="A31" sqref="A31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01-06-2024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01-06-2024 01:00</v>
      </c>
      <c r="B9" s="24">
        <f>'01'!B36</f>
        <v>3.6829166666666655</v>
      </c>
      <c r="C9" s="24">
        <f>'01'!C36</f>
        <v>4.7104166666666671</v>
      </c>
      <c r="D9" s="24">
        <f>'01'!D36</f>
        <v>6.5454166666666653</v>
      </c>
      <c r="E9" s="24">
        <f>'01'!E36</f>
        <v>1.4966666666666668</v>
      </c>
      <c r="F9" s="24">
        <f>'01'!F36</f>
        <v>4.6658333333333335</v>
      </c>
      <c r="G9" s="24">
        <f>'01'!G36</f>
        <v>84.398333333333326</v>
      </c>
      <c r="H9" s="24">
        <f>'01'!H36</f>
        <v>32.490416666666668</v>
      </c>
      <c r="I9" s="24">
        <f>'01'!I36</f>
        <v>9.4125000000000032</v>
      </c>
      <c r="J9" s="24">
        <f>'01'!J36</f>
        <v>1.2774999999999999</v>
      </c>
      <c r="K9" s="24">
        <f>'01'!K36</f>
        <v>316.84041666666673</v>
      </c>
      <c r="L9" s="24">
        <f>'01'!L36</f>
        <v>36.96125</v>
      </c>
      <c r="M9" s="24">
        <f>'01'!M36</f>
        <v>28.317499999999995</v>
      </c>
      <c r="N9" s="24">
        <f>'01'!N36</f>
        <v>259.82499999999999</v>
      </c>
      <c r="O9" s="24">
        <f>'01'!O36</f>
        <v>0</v>
      </c>
      <c r="P9" s="30">
        <f>'01'!$P$36</f>
        <v>0.73833333333333329</v>
      </c>
      <c r="Q9" s="24">
        <f>'01'!Q36</f>
        <v>10.082083333333333</v>
      </c>
      <c r="R9" s="45"/>
      <c r="S9" s="45"/>
      <c r="T9" s="45"/>
      <c r="U9" s="46"/>
    </row>
    <row r="10" spans="1:21" s="34" customFormat="1" ht="15">
      <c r="A10" s="36" t="str">
        <f>'02'!$B$2</f>
        <v>02-06-2024 01:00</v>
      </c>
      <c r="B10" s="33">
        <f>'02'!B36</f>
        <v>3.0420833333333328</v>
      </c>
      <c r="C10" s="33">
        <f>'02'!C36</f>
        <v>4.6416666666666675</v>
      </c>
      <c r="D10" s="33">
        <f>'02'!D36</f>
        <v>6.003333333333333</v>
      </c>
      <c r="E10" s="33">
        <f>'02'!E36</f>
        <v>1.7070833333333326</v>
      </c>
      <c r="F10" s="33">
        <f>'02'!F36</f>
        <v>5.9020833333333336</v>
      </c>
      <c r="G10" s="33">
        <f>'02'!G36</f>
        <v>58.438750000000006</v>
      </c>
      <c r="H10" s="33">
        <f>'02'!H36</f>
        <v>22.969583333333333</v>
      </c>
      <c r="I10" s="33">
        <f>'02'!I36</f>
        <v>7.4179166666666658</v>
      </c>
      <c r="J10" s="33">
        <f>'02'!J36</f>
        <v>1.3099999999999998</v>
      </c>
      <c r="K10" s="33">
        <f>'02'!K36</f>
        <v>225.22791666666672</v>
      </c>
      <c r="L10" s="33">
        <f>'02'!L36</f>
        <v>33.541249999999998</v>
      </c>
      <c r="M10" s="33">
        <f>'02'!M36</f>
        <v>45.536250000000003</v>
      </c>
      <c r="N10" s="33">
        <f>'02'!N36</f>
        <v>245.96249999999998</v>
      </c>
      <c r="O10" s="33">
        <f>'02'!O36</f>
        <v>0</v>
      </c>
      <c r="P10" s="30">
        <f>'02'!$P$36</f>
        <v>0.47625000000000006</v>
      </c>
      <c r="Q10" s="33">
        <f>'02'!Q36</f>
        <v>9.6174999999999979</v>
      </c>
      <c r="R10" s="47"/>
      <c r="S10" s="47"/>
      <c r="T10" s="47"/>
      <c r="U10" s="47"/>
    </row>
    <row r="11" spans="1:21" s="34" customFormat="1" ht="15">
      <c r="A11" s="36" t="str">
        <f>'03'!$B$2</f>
        <v>03-06-2024 01:00</v>
      </c>
      <c r="B11" s="33">
        <f>'03'!B36</f>
        <v>2.6491666666666664</v>
      </c>
      <c r="C11" s="33">
        <f>'03'!C36</f>
        <v>1.6741666666666664</v>
      </c>
      <c r="D11" s="33">
        <f>'03'!D36</f>
        <v>4.1000000000000005</v>
      </c>
      <c r="E11" s="33">
        <f>'03'!E36</f>
        <v>1.4565217391304348</v>
      </c>
      <c r="F11" s="33">
        <f>'03'!F36</f>
        <v>8.2366666666666664</v>
      </c>
      <c r="G11" s="33">
        <f>'03'!G36</f>
        <v>41.240434782608702</v>
      </c>
      <c r="H11" s="33">
        <f>'03'!H36</f>
        <v>14.45565217391305</v>
      </c>
      <c r="I11" s="33">
        <f>'03'!I36</f>
        <v>5.5566666666666675</v>
      </c>
      <c r="J11" s="33">
        <f>'03'!J36</f>
        <v>1.2958333333333332</v>
      </c>
      <c r="K11" s="33">
        <f>'03'!K36</f>
        <v>253.41916666666668</v>
      </c>
      <c r="L11" s="33">
        <f>'03'!L36</f>
        <v>31.615833333333331</v>
      </c>
      <c r="M11" s="33">
        <f>'03'!M36</f>
        <v>47.985833333333339</v>
      </c>
      <c r="N11" s="33">
        <f>'03'!N36</f>
        <v>263.86666666666667</v>
      </c>
      <c r="O11" s="33">
        <f>'03'!O36</f>
        <v>0</v>
      </c>
      <c r="P11" s="30">
        <f>'03'!$P$36</f>
        <v>0.41916666666666663</v>
      </c>
      <c r="Q11" s="33">
        <f>'03'!Q36</f>
        <v>9.4366666666666674</v>
      </c>
      <c r="R11" s="47"/>
      <c r="S11" s="47"/>
      <c r="T11" s="47"/>
      <c r="U11" s="47"/>
    </row>
    <row r="12" spans="1:21" s="34" customFormat="1" ht="15">
      <c r="A12" s="36" t="str">
        <f>'04'!$B$2</f>
        <v>04-06-2024 01:00</v>
      </c>
      <c r="B12" s="33">
        <f>'04'!B36</f>
        <v>2.8850000000000002</v>
      </c>
      <c r="C12" s="33">
        <f>'04'!C36</f>
        <v>3.0637500000000002</v>
      </c>
      <c r="D12" s="33">
        <f>'04'!D36</f>
        <v>5.854166666666667</v>
      </c>
      <c r="E12" s="33">
        <f>'04'!E36</f>
        <v>1.5766666666666664</v>
      </c>
      <c r="F12" s="33">
        <f>'04'!F36</f>
        <v>6.5141666666666671</v>
      </c>
      <c r="G12" s="33">
        <f>'04'!G36</f>
        <v>38.784583333333345</v>
      </c>
      <c r="H12" s="33">
        <f>'04'!H36</f>
        <v>16.28833333333333</v>
      </c>
      <c r="I12" s="33">
        <f>'04'!I36</f>
        <v>4.8629166666666661</v>
      </c>
      <c r="J12" s="33">
        <f>'04'!J36</f>
        <v>1.469166666666667</v>
      </c>
      <c r="K12" s="33">
        <f>'04'!K36</f>
        <v>282.71083333333337</v>
      </c>
      <c r="L12" s="33">
        <f>'04'!L36</f>
        <v>32.478749999999998</v>
      </c>
      <c r="M12" s="33">
        <f>'04'!M36</f>
        <v>45.848333333333336</v>
      </c>
      <c r="N12" s="33">
        <f>'04'!N36</f>
        <v>264.87499999999994</v>
      </c>
      <c r="O12" s="33">
        <f>'04'!O36</f>
        <v>0</v>
      </c>
      <c r="P12" s="30">
        <f>'04'!$P$36</f>
        <v>0.44166666666666682</v>
      </c>
      <c r="Q12" s="33">
        <f>'04'!Q36</f>
        <v>9.3995833333333323</v>
      </c>
      <c r="R12" s="47"/>
      <c r="S12" s="47"/>
      <c r="T12" s="47"/>
      <c r="U12" s="47"/>
    </row>
    <row r="13" spans="1:21" s="34" customFormat="1" ht="15">
      <c r="A13" s="36" t="str">
        <f>'05'!$B$2</f>
        <v>05-06-2024 01:00</v>
      </c>
      <c r="B13" s="33">
        <f>'05'!B36</f>
        <v>2.5866666666666669</v>
      </c>
      <c r="C13" s="33">
        <f>'05'!C36</f>
        <v>1.6125</v>
      </c>
      <c r="D13" s="33">
        <f>'05'!D36</f>
        <v>4.0508333333333324</v>
      </c>
      <c r="E13" s="33">
        <f>'05'!E36</f>
        <v>1.7525000000000002</v>
      </c>
      <c r="F13" s="33">
        <f>'05'!F36</f>
        <v>7.1679166666666658</v>
      </c>
      <c r="G13" s="33">
        <f>'05'!G36</f>
        <v>39.185416666666661</v>
      </c>
      <c r="H13" s="33">
        <f>'05'!H36</f>
        <v>15.805833333333338</v>
      </c>
      <c r="I13" s="33">
        <f>'05'!I36</f>
        <v>4.9516666666666671</v>
      </c>
      <c r="J13" s="33">
        <f>'05'!J36</f>
        <v>1.58125</v>
      </c>
      <c r="K13" s="33">
        <f>'05'!K36</f>
        <v>299.38249999999999</v>
      </c>
      <c r="L13" s="33">
        <f>'05'!L36</f>
        <v>31.240833333333338</v>
      </c>
      <c r="M13" s="33">
        <f>'05'!M36</f>
        <v>50.089166666666671</v>
      </c>
      <c r="N13" s="33">
        <f>'05'!N36</f>
        <v>271.62500000000006</v>
      </c>
      <c r="O13" s="33">
        <f>'05'!O36</f>
        <v>0.0083333333333333332</v>
      </c>
      <c r="P13" s="30">
        <f>'05'!$P$36</f>
        <v>0.46416666666666662</v>
      </c>
      <c r="Q13" s="33">
        <f>'05'!Q36</f>
        <v>9.4841666666666651</v>
      </c>
      <c r="R13" s="47"/>
      <c r="S13" s="47"/>
      <c r="T13" s="47"/>
      <c r="U13" s="47"/>
    </row>
    <row r="14" spans="1:21" s="34" customFormat="1" ht="15">
      <c r="A14" s="36" t="str">
        <f>'06'!$B$2</f>
        <v>06-06-2024 01:00</v>
      </c>
      <c r="B14" s="33">
        <f>'06'!B36</f>
        <v>2.5612500000000002</v>
      </c>
      <c r="C14" s="33">
        <f>'06'!C36</f>
        <v>1.3279166666666671</v>
      </c>
      <c r="D14" s="33">
        <f>'06'!D36</f>
        <v>3.8924999999999996</v>
      </c>
      <c r="E14" s="33">
        <f>'06'!E36</f>
        <v>1.5179166666666664</v>
      </c>
      <c r="F14" s="33">
        <f>'06'!F36</f>
        <v>6.2545833333333327</v>
      </c>
      <c r="G14" s="33">
        <f>'06'!G36</f>
        <v>37.388333333333335</v>
      </c>
      <c r="H14" s="33">
        <f>'06'!H36</f>
        <v>16.292083333333334</v>
      </c>
      <c r="I14" s="33">
        <f>'06'!I36</f>
        <v>5.1679166666666676</v>
      </c>
      <c r="J14" s="33">
        <f>'06'!J36</f>
        <v>1.1425000000000001</v>
      </c>
      <c r="K14" s="33">
        <f>'06'!K36</f>
        <v>258.03958333333344</v>
      </c>
      <c r="L14" s="33">
        <f>'06'!L36</f>
        <v>32.008750000000006</v>
      </c>
      <c r="M14" s="33">
        <f>'06'!M36</f>
        <v>49.540416666666658</v>
      </c>
      <c r="N14" s="33">
        <f>'06'!N36</f>
        <v>292.74166666666673</v>
      </c>
      <c r="O14" s="33">
        <f>'06'!O36</f>
        <v>0</v>
      </c>
      <c r="P14" s="30">
        <f>'06'!$P$36</f>
        <v>0.45291666666666663</v>
      </c>
      <c r="Q14" s="33">
        <f>'06'!Q36</f>
        <v>9.4370833333333337</v>
      </c>
      <c r="R14" s="47"/>
      <c r="S14" s="47"/>
      <c r="T14" s="47"/>
      <c r="U14" s="47"/>
    </row>
    <row r="15" spans="1:21" s="34" customFormat="1" ht="15">
      <c r="A15" s="36" t="str">
        <f>'07'!$B$2</f>
        <v>07-06-2024 01:00</v>
      </c>
      <c r="B15" s="33">
        <f>'07'!B36</f>
        <v>2.5483333333333333</v>
      </c>
      <c r="C15" s="33">
        <f>'07'!C36</f>
        <v>1.22</v>
      </c>
      <c r="D15" s="33">
        <f>'07'!D36</f>
        <v>3.8241666666666667</v>
      </c>
      <c r="E15" s="33">
        <f>'07'!E36</f>
        <v>2.1104166666666666</v>
      </c>
      <c r="F15" s="33">
        <f>'07'!F36</f>
        <v>6.6012499999999976</v>
      </c>
      <c r="G15" s="33">
        <f>'07'!G36</f>
        <v>36.936666666666675</v>
      </c>
      <c r="H15" s="33">
        <f>'07'!H36</f>
        <v>15.457083333333332</v>
      </c>
      <c r="I15" s="33">
        <f>'07'!I36</f>
        <v>4.5937499999999991</v>
      </c>
      <c r="J15" s="33">
        <f>'07'!J36</f>
        <v>1.23875</v>
      </c>
      <c r="K15" s="33">
        <f>'07'!K36</f>
        <v>265.48958333333331</v>
      </c>
      <c r="L15" s="33">
        <f>'07'!L36</f>
        <v>31.167916666666667</v>
      </c>
      <c r="M15" s="33">
        <f>'07'!M36</f>
        <v>51.597500000000004</v>
      </c>
      <c r="N15" s="33">
        <f>'07'!N37</f>
        <v>338.17535903750422</v>
      </c>
      <c r="O15" s="33">
        <f>'07'!O37</f>
        <v>0.040824829046386311</v>
      </c>
      <c r="P15" s="30">
        <f>'07'!$P$36</f>
        <v>0.41208333333333336</v>
      </c>
      <c r="Q15" s="33">
        <f>'07'!Q36</f>
        <v>9.4116666666666635</v>
      </c>
      <c r="R15" s="47"/>
      <c r="S15" s="47"/>
      <c r="T15" s="47"/>
      <c r="U15" s="47"/>
    </row>
    <row r="16" spans="1:21" s="34" customFormat="1" ht="15">
      <c r="A16" s="36" t="str">
        <f>'08'!$B$2</f>
        <v>08-06-2024 01:00</v>
      </c>
      <c r="B16" s="33">
        <f>'08'!B36</f>
        <v>2.5100000000000002</v>
      </c>
      <c r="C16" s="33">
        <f>'08'!C36</f>
        <v>1.0866666666666669</v>
      </c>
      <c r="D16" s="33">
        <f>'08'!D36</f>
        <v>3.7229166666666664</v>
      </c>
      <c r="E16" s="33">
        <f>'08'!E36</f>
        <v>1.9783333333333335</v>
      </c>
      <c r="F16" s="33">
        <f>'08'!F36</f>
        <v>6.7412500000000009</v>
      </c>
      <c r="G16" s="33">
        <f>'08'!G36</f>
        <v>35.482083333333343</v>
      </c>
      <c r="H16" s="33">
        <f>'08'!H36</f>
        <v>13.594583333333331</v>
      </c>
      <c r="I16" s="33">
        <f>'08'!I36</f>
        <v>3.7062500000000003</v>
      </c>
      <c r="J16" s="33">
        <f>'08'!J36</f>
        <v>1.1729166666666668</v>
      </c>
      <c r="K16" s="33">
        <f>'08'!K36</f>
        <v>278.60083333333336</v>
      </c>
      <c r="L16" s="33">
        <f>'08'!L36</f>
        <v>30.355416666666667</v>
      </c>
      <c r="M16" s="33">
        <f>'08'!M36</f>
        <v>55.878749999999997</v>
      </c>
      <c r="N16" s="33">
        <f>'08'!N36</f>
        <v>249.71250000000006</v>
      </c>
      <c r="O16" s="33">
        <f>'08'!O36</f>
        <v>0</v>
      </c>
      <c r="P16" s="30">
        <f>'08'!$P$36</f>
        <v>0.41749999999999998</v>
      </c>
      <c r="Q16" s="33">
        <f>'08'!Q36</f>
        <v>9.4016666666666673</v>
      </c>
      <c r="R16" s="47"/>
      <c r="S16" s="47"/>
      <c r="T16" s="47"/>
      <c r="U16" s="47"/>
    </row>
    <row r="17" spans="1:24" s="34" customFormat="1" ht="15">
      <c r="A17" s="36" t="str">
        <f>'09'!$B$2</f>
        <v>09-06-2024 01:00</v>
      </c>
      <c r="B17" s="33">
        <f>'09'!B36</f>
        <v>2.7537500000000001</v>
      </c>
      <c r="C17" s="33">
        <f>'09'!C36</f>
        <v>1.7795833333333333</v>
      </c>
      <c r="D17" s="33">
        <f>'09'!D36</f>
        <v>4.28125</v>
      </c>
      <c r="E17" s="33">
        <f>'09'!E36</f>
        <v>1.6824999999999999</v>
      </c>
      <c r="F17" s="33">
        <f>'09'!F36</f>
        <v>5.7374999999999998</v>
      </c>
      <c r="G17" s="33">
        <f>'09'!G36</f>
        <v>37.692500000000003</v>
      </c>
      <c r="H17" s="33">
        <f>'09'!H36</f>
        <v>14.045416666666663</v>
      </c>
      <c r="I17" s="33">
        <f>'09'!I36</f>
        <v>4.8525</v>
      </c>
      <c r="J17" s="33">
        <f>'09'!J36</f>
        <v>1.1675000000000002</v>
      </c>
      <c r="K17" s="33">
        <f>'09'!K36</f>
        <v>291.67333333333323</v>
      </c>
      <c r="L17" s="33">
        <f>'09'!L36</f>
        <v>29.47166666666666</v>
      </c>
      <c r="M17" s="33">
        <f>'09'!M36</f>
        <v>70.212916666666658</v>
      </c>
      <c r="N17" s="33">
        <f>'09'!N37</f>
        <v>339.12133094432323</v>
      </c>
      <c r="O17" s="33">
        <f>'09'!O37</f>
        <v>1.061445555206044</v>
      </c>
      <c r="P17" s="30">
        <f>'09'!$P$36</f>
        <v>0.46166666666666667</v>
      </c>
      <c r="Q17" s="33">
        <f>'09'!Q36</f>
        <v>9.4441666666666677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10-06-2024 01:00</v>
      </c>
      <c r="B18" s="33">
        <f>'10'!B36</f>
        <v>5.4029166666666661</v>
      </c>
      <c r="C18" s="33">
        <f>'10'!C36</f>
        <v>4.2716666666666665</v>
      </c>
      <c r="D18" s="33">
        <f>'10'!D36</f>
        <v>8.6800000000000015</v>
      </c>
      <c r="E18" s="33">
        <f>'10'!E36</f>
        <v>2.7533333333333334</v>
      </c>
      <c r="F18" s="33">
        <f>'10'!F36</f>
        <v>5.390416666666666</v>
      </c>
      <c r="G18" s="33">
        <f>'10'!G36</f>
        <v>46.327916666666674</v>
      </c>
      <c r="H18" s="33">
        <f>'10'!H36</f>
        <v>16.814583333333335</v>
      </c>
      <c r="I18" s="33">
        <f>'10'!I36</f>
        <v>5.9562500000000007</v>
      </c>
      <c r="J18" s="33">
        <f>'10'!J36</f>
        <v>0.80166666666666675</v>
      </c>
      <c r="K18" s="33">
        <f>'10'!K36</f>
        <v>255.28499999999994</v>
      </c>
      <c r="L18" s="33">
        <f>'10'!L36</f>
        <v>31.327916666666667</v>
      </c>
      <c r="M18" s="33">
        <f>'10'!M36</f>
        <v>55.17499999999999</v>
      </c>
      <c r="N18" s="33">
        <f>'10'!N36</f>
        <v>290.62916666666672</v>
      </c>
      <c r="O18" s="33">
        <f>'10'!O36</f>
        <v>0</v>
      </c>
      <c r="P18" s="30">
        <f>'10'!$P$36</f>
        <v>0.45458333333333328</v>
      </c>
      <c r="Q18" s="33">
        <f>'10'!Q36</f>
        <v>9.5004166666666645</v>
      </c>
      <c r="R18" s="47"/>
      <c r="S18" s="47"/>
      <c r="T18" s="47"/>
      <c r="U18" s="47"/>
    </row>
    <row r="19" spans="1:21" s="34" customFormat="1" ht="15">
      <c r="A19" s="36" t="str">
        <f>'11'!$B$2</f>
        <v>11-06-2024 01:00</v>
      </c>
      <c r="B19" s="33">
        <f>'11'!B36</f>
        <v>8.4579166666666659</v>
      </c>
      <c r="C19" s="33">
        <f>'11'!C36</f>
        <v>4.2058333333333335</v>
      </c>
      <c r="D19" s="33">
        <f>'11'!D36</f>
        <v>12.753333333333336</v>
      </c>
      <c r="E19" s="33">
        <f>'11'!E36</f>
        <v>4.4437500000000005</v>
      </c>
      <c r="F19" s="33">
        <f>'11'!F36</f>
        <v>5.6595833333333312</v>
      </c>
      <c r="G19" s="33">
        <f>'11'!G36</f>
        <v>100.01083333333337</v>
      </c>
      <c r="H19" s="33">
        <f>'11'!H36</f>
        <v>37.133333333333333</v>
      </c>
      <c r="I19" s="33">
        <f>'11'!I36</f>
        <v>5.6808333333333323</v>
      </c>
      <c r="J19" s="33">
        <f>'11'!J36</f>
        <v>1.4862500000000001</v>
      </c>
      <c r="K19" s="33">
        <f>'11'!K36</f>
        <v>286.62250000000012</v>
      </c>
      <c r="L19" s="33">
        <f>'11'!L36</f>
        <v>32.724583333333335</v>
      </c>
      <c r="M19" s="33">
        <f>'11'!M36</f>
        <v>49.696249999999999</v>
      </c>
      <c r="N19" s="33">
        <f>'11'!N36</f>
        <v>279.05833333333334</v>
      </c>
      <c r="O19" s="33">
        <f>'11'!O36</f>
        <v>0</v>
      </c>
      <c r="P19" s="33">
        <f>'11'!P36</f>
        <v>0.50250000000000017</v>
      </c>
      <c r="Q19" s="33">
        <f>'11'!Q36</f>
        <v>9.5241666666666678</v>
      </c>
      <c r="R19" s="47"/>
      <c r="S19" s="47"/>
      <c r="T19" s="47"/>
      <c r="U19" s="47"/>
    </row>
    <row r="20" spans="1:21" s="34" customFormat="1" ht="15">
      <c r="A20" s="36" t="str">
        <f>'12'!$B$2</f>
        <v>12-06-2024 01:00</v>
      </c>
      <c r="B20" s="33">
        <f>'12'!B36</f>
        <v>8.3758333333333326</v>
      </c>
      <c r="C20" s="33">
        <f>'12'!C36</f>
        <v>3.8766666666666665</v>
      </c>
      <c r="D20" s="33">
        <f>'12'!D36</f>
        <v>12.516249999999999</v>
      </c>
      <c r="E20" s="33">
        <f>'12'!E36</f>
        <v>4.4041666666666659</v>
      </c>
      <c r="F20" s="33">
        <f>'12'!F36</f>
        <v>7.2495833333333337</v>
      </c>
      <c r="G20" s="33">
        <f>'12'!G36</f>
        <v>59.11791666666668</v>
      </c>
      <c r="H20" s="33">
        <f>'12'!H36</f>
        <v>24.524583333333339</v>
      </c>
      <c r="I20" s="33">
        <f>'12'!I36</f>
        <v>3.2516666666666669</v>
      </c>
      <c r="J20" s="33">
        <f>'12'!J36</f>
        <v>1.22875</v>
      </c>
      <c r="K20" s="33">
        <f>'12'!K36</f>
        <v>301.56791666666669</v>
      </c>
      <c r="L20" s="33">
        <f>'12'!L36</f>
        <v>32.156250000000007</v>
      </c>
      <c r="M20" s="33">
        <f>'12'!M36</f>
        <v>50.172916666666659</v>
      </c>
      <c r="N20" s="33">
        <f>'12'!N36</f>
        <v>274.40833333333325</v>
      </c>
      <c r="O20" s="33">
        <f>'12'!O36</f>
        <v>0</v>
      </c>
      <c r="P20" s="33">
        <f>'12'!P36</f>
        <v>0.45916666666666672</v>
      </c>
      <c r="Q20" s="33">
        <f>'12'!Q36</f>
        <v>9.4637500000000028</v>
      </c>
      <c r="R20" s="47"/>
      <c r="S20" s="47"/>
      <c r="T20" s="47"/>
      <c r="U20" s="47"/>
    </row>
    <row r="21" spans="1:21" s="34" customFormat="1" ht="15">
      <c r="A21" s="36" t="str">
        <f>'13'!$B$2</f>
        <v>13-06-2024 01:00</v>
      </c>
      <c r="B21" s="33">
        <f>'13'!B36</f>
        <v>8.3191666666666659</v>
      </c>
      <c r="C21" s="33">
        <f>'13'!C36</f>
        <v>3.7150000000000012</v>
      </c>
      <c r="D21" s="33">
        <f>'13'!D36</f>
        <v>12.38541666666667</v>
      </c>
      <c r="E21" s="33">
        <f>'13'!E36</f>
        <v>4.160000000000001</v>
      </c>
      <c r="F21" s="33">
        <f>'13'!F36</f>
        <v>6.9620833333333332</v>
      </c>
      <c r="G21" s="33">
        <f>'13'!G36</f>
        <v>72.31208333333332</v>
      </c>
      <c r="H21" s="33">
        <f>'13'!H36</f>
        <v>38.77708333333333</v>
      </c>
      <c r="I21" s="33">
        <f>'13'!I36</f>
        <v>3.3374999999999999</v>
      </c>
      <c r="J21" s="33">
        <f>'13'!J36</f>
        <v>0.75458333333333349</v>
      </c>
      <c r="K21" s="33">
        <f>'13'!K36</f>
        <v>205.17708333333334</v>
      </c>
      <c r="L21" s="33">
        <f>'13'!L36</f>
        <v>32.153750000000002</v>
      </c>
      <c r="M21" s="33">
        <f>'13'!M36</f>
        <v>52.08041666666665</v>
      </c>
      <c r="N21" s="33">
        <f>'13'!N36</f>
        <v>199.63333333333333</v>
      </c>
      <c r="O21" s="33">
        <f>'13'!O36</f>
        <v>0</v>
      </c>
      <c r="P21" s="33">
        <f>'13'!P36</f>
        <v>0.51375000000000004</v>
      </c>
      <c r="Q21" s="33">
        <f>'13'!Q36</f>
        <v>9.444583333333334</v>
      </c>
      <c r="R21" s="47"/>
      <c r="S21" s="47"/>
      <c r="T21" s="47"/>
      <c r="U21" s="47"/>
    </row>
    <row r="22" spans="1:21" s="34" customFormat="1" ht="15">
      <c r="A22" s="36" t="str">
        <f>'14'!$B$2</f>
        <v>14-06-2024 01:00</v>
      </c>
      <c r="B22" s="30">
        <f>'14'!B36</f>
        <v>8.3216666666666672</v>
      </c>
      <c r="C22" s="30">
        <f>'14'!C36</f>
        <v>3.7433333333333327</v>
      </c>
      <c r="D22" s="30">
        <f>'14'!D36</f>
        <v>12.404166666666663</v>
      </c>
      <c r="E22" s="30">
        <f>'14'!E36</f>
        <v>4.472500000000001</v>
      </c>
      <c r="F22" s="30">
        <f>'14'!F36</f>
        <v>7.2237499999999981</v>
      </c>
      <c r="G22" s="30">
        <f>'14'!G36</f>
        <v>80.92583333333333</v>
      </c>
      <c r="H22" s="30">
        <f>'14'!H36</f>
        <v>31.340833333333325</v>
      </c>
      <c r="I22" s="30">
        <f>'14'!I36</f>
        <v>4.0237500000000006</v>
      </c>
      <c r="J22" s="30">
        <f>'14'!J36</f>
        <v>0.94416666666666671</v>
      </c>
      <c r="K22" s="30">
        <f>'14'!K36</f>
        <v>179.05916666666667</v>
      </c>
      <c r="L22" s="30">
        <f>'14'!L36</f>
        <v>32.179583333333333</v>
      </c>
      <c r="M22" s="30">
        <f>'14'!M36</f>
        <v>47.751250000000006</v>
      </c>
      <c r="N22" s="30">
        <f>'14'!N36</f>
        <v>221.3041666666667</v>
      </c>
      <c r="O22" s="30">
        <f>'14'!O36</f>
        <v>0</v>
      </c>
      <c r="P22" s="30">
        <f>'14'!P36</f>
        <v>0.39374999999999999</v>
      </c>
      <c r="Q22" s="30">
        <f>'14'!Q36</f>
        <v>9.4683333333333319</v>
      </c>
      <c r="R22" s="48"/>
      <c r="S22" s="48"/>
      <c r="T22" s="48"/>
      <c r="U22" s="48"/>
    </row>
    <row r="23" spans="1:21" s="34" customFormat="1" ht="15">
      <c r="A23" s="36" t="str">
        <f>'15'!$B$2</f>
        <v>15-06-2024 01:00</v>
      </c>
      <c r="B23" s="33">
        <f>'15'!B36</f>
        <v>8.3050000000000015</v>
      </c>
      <c r="C23" s="33">
        <f>'15'!C36</f>
        <v>3.6329166666666661</v>
      </c>
      <c r="D23" s="33">
        <f>'15'!D36</f>
        <v>12.33375</v>
      </c>
      <c r="E23" s="33">
        <f>'15'!E36</f>
        <v>4.3762499999999998</v>
      </c>
      <c r="F23" s="33">
        <f>'15'!F36</f>
        <v>6.5712499999999991</v>
      </c>
      <c r="G23" s="33">
        <f>'15'!G36</f>
        <v>63.092916666666667</v>
      </c>
      <c r="H23" s="33">
        <f>'15'!H36</f>
        <v>25.183750000000003</v>
      </c>
      <c r="I23" s="33">
        <f>'15'!I36</f>
        <v>3.5462500000000001</v>
      </c>
      <c r="J23" s="33">
        <f>'15'!J36</f>
        <v>0.90375000000000016</v>
      </c>
      <c r="K23" s="33">
        <f>'15'!K36</f>
        <v>256.92208333333338</v>
      </c>
      <c r="L23" s="33">
        <f>'15'!L36</f>
        <v>30.711249999999996</v>
      </c>
      <c r="M23" s="33">
        <f>'15'!M36</f>
        <v>52.138749999999995</v>
      </c>
      <c r="N23" s="33">
        <f>'15'!N36</f>
        <v>256.21249999999998</v>
      </c>
      <c r="O23" s="33">
        <f>'15'!O36</f>
        <v>0</v>
      </c>
      <c r="P23" s="30">
        <f>'15'!P36</f>
        <v>0.46333333333333337</v>
      </c>
      <c r="Q23" s="30">
        <f>'15'!Q36</f>
        <v>9.4716666666666658</v>
      </c>
      <c r="R23" s="48"/>
      <c r="S23" s="48"/>
      <c r="T23" s="48"/>
      <c r="U23" s="47"/>
    </row>
    <row r="24" spans="1:21" s="34" customFormat="1" ht="15">
      <c r="A24" s="36" t="str">
        <f>'16'!$B$2</f>
        <v>16-06-2024 01:00</v>
      </c>
      <c r="B24" s="33">
        <f>'16'!B36</f>
        <v>8.324583333333333</v>
      </c>
      <c r="C24" s="33">
        <f>'16'!C36</f>
        <v>3.683333333333334</v>
      </c>
      <c r="D24" s="33">
        <f>'16'!D36</f>
        <v>12.373750000000001</v>
      </c>
      <c r="E24" s="33">
        <f>'16'!E36</f>
        <v>4.6404166666666669</v>
      </c>
      <c r="F24" s="33">
        <f>'16'!F36</f>
        <v>4.8687499999999995</v>
      </c>
      <c r="G24" s="33">
        <f>'16'!G36</f>
        <v>82.432083333333324</v>
      </c>
      <c r="H24" s="33">
        <f>'16'!H36</f>
        <v>29.721666666666664</v>
      </c>
      <c r="I24" s="33">
        <f>'16'!I36</f>
        <v>5.9158333333333326</v>
      </c>
      <c r="J24" s="33">
        <f>'16'!J36</f>
        <v>1.2208333333333334</v>
      </c>
      <c r="K24" s="33">
        <f>'16'!K36</f>
        <v>243.23166666666668</v>
      </c>
      <c r="L24" s="33">
        <f>'16'!L36</f>
        <v>31.219166666666666</v>
      </c>
      <c r="M24" s="33">
        <f>'16'!M36</f>
        <v>57.319166666666661</v>
      </c>
      <c r="N24" s="33">
        <f>'16'!N36</f>
        <v>185.24166666666665</v>
      </c>
      <c r="O24" s="33">
        <f>'16'!O36</f>
        <v>0</v>
      </c>
      <c r="P24" s="30">
        <f>'16'!P36</f>
        <v>0.52708333333333346</v>
      </c>
      <c r="Q24" s="30">
        <f>'16'!Q36</f>
        <v>9.5266666666666673</v>
      </c>
      <c r="R24" s="48"/>
      <c r="S24" s="48"/>
      <c r="T24" s="48"/>
      <c r="U24" s="47"/>
    </row>
    <row r="25" spans="1:21" s="34" customFormat="1" ht="15">
      <c r="A25" s="36" t="str">
        <f>'17'!$B$2</f>
        <v>17-06-2024 01:00</v>
      </c>
      <c r="B25" s="33">
        <f>'17'!B36</f>
        <v>8.2745833333333323</v>
      </c>
      <c r="C25" s="33">
        <f>'17'!C36</f>
        <v>3.5212499999999998</v>
      </c>
      <c r="D25" s="33">
        <f>'17'!D36</f>
        <v>12.247916666666669</v>
      </c>
      <c r="E25" s="33">
        <f>'17'!E36</f>
        <v>4.3245833333333339</v>
      </c>
      <c r="F25" s="33">
        <f>'17'!F36</f>
        <v>5.8483333333333327</v>
      </c>
      <c r="G25" s="33">
        <f>'17'!G36</f>
        <v>56.423333333333346</v>
      </c>
      <c r="H25" s="33">
        <f>'17'!H36</f>
        <v>21.087083333333329</v>
      </c>
      <c r="I25" s="33">
        <f>'17'!I36</f>
        <v>3.6541666666666668</v>
      </c>
      <c r="J25" s="33">
        <f>'17'!J36</f>
        <v>0.68000000000000005</v>
      </c>
      <c r="K25" s="33">
        <f>'17'!K36</f>
        <v>185.96249999999998</v>
      </c>
      <c r="L25" s="33">
        <f>'17'!L36</f>
        <v>30.327916666666667</v>
      </c>
      <c r="M25" s="33">
        <f>'17'!M36</f>
        <v>55.983749999999993</v>
      </c>
      <c r="N25" s="33">
        <f>'17'!N36</f>
        <v>151.07500000000002</v>
      </c>
      <c r="O25" s="33">
        <f>'17'!O36</f>
        <v>0.016666666666666666</v>
      </c>
      <c r="P25" s="30">
        <f>'17'!P36</f>
        <v>0.38708333333333328</v>
      </c>
      <c r="Q25" s="30">
        <f>'17'!Q36</f>
        <v>9.4587500000000002</v>
      </c>
      <c r="R25" s="48"/>
      <c r="S25" s="48"/>
      <c r="T25" s="48"/>
      <c r="U25" s="47"/>
    </row>
    <row r="26" spans="1:21" s="34" customFormat="1" ht="15">
      <c r="A26" s="36" t="str">
        <f>'18'!$B$2</f>
        <v>18-06-2024 01:00</v>
      </c>
      <c r="B26" s="33">
        <f>'18'!B36</f>
        <v>8.2729166666666671</v>
      </c>
      <c r="C26" s="33">
        <f>'18'!C36</f>
        <v>3.5066666666666659</v>
      </c>
      <c r="D26" s="33">
        <f>'18'!D36</f>
        <v>12.238750000000001</v>
      </c>
      <c r="E26" s="33">
        <f>'18'!E36</f>
        <v>3.9870833333333331</v>
      </c>
      <c r="F26" s="33">
        <f>'18'!F36</f>
        <v>7.0820833333333333</v>
      </c>
      <c r="G26" s="33">
        <f>'18'!G36</f>
        <v>52.089583333333344</v>
      </c>
      <c r="H26" s="33">
        <f>'18'!H36</f>
        <v>20.997499999999999</v>
      </c>
      <c r="I26" s="33">
        <f>'18'!I36</f>
        <v>2.5612500000000007</v>
      </c>
      <c r="J26" s="33">
        <f>'18'!J36</f>
        <v>1.14625</v>
      </c>
      <c r="K26" s="33">
        <f>'18'!K36</f>
        <v>286.03500000000003</v>
      </c>
      <c r="L26" s="33">
        <f>'18'!L36</f>
        <v>29.637083333333333</v>
      </c>
      <c r="M26" s="33">
        <f>'18'!M36</f>
        <v>63.78875</v>
      </c>
      <c r="N26" s="33">
        <f>'18'!N36</f>
        <v>277.07083333333338</v>
      </c>
      <c r="O26" s="33">
        <f>'18'!O36</f>
        <v>0.45000000000000001</v>
      </c>
      <c r="P26" s="30">
        <f>'18'!P36</f>
        <v>0.3775</v>
      </c>
      <c r="Q26" s="30">
        <f>'18'!Q36</f>
        <v>9.4333333333333318</v>
      </c>
      <c r="R26" s="48"/>
      <c r="S26" s="48"/>
      <c r="T26" s="48"/>
      <c r="U26" s="47"/>
    </row>
    <row r="27" spans="1:21" s="34" customFormat="1" ht="15">
      <c r="A27" s="36" t="str">
        <f>'19'!$B$2</f>
        <v>19-06-2024 01:00</v>
      </c>
      <c r="B27" s="33">
        <f>'19'!B36</f>
        <v>8.2795833333333331</v>
      </c>
      <c r="C27" s="33">
        <f>'19'!C36</f>
        <v>3.632083333333334</v>
      </c>
      <c r="D27" s="33">
        <f>'19'!D36</f>
        <v>12.312916666666665</v>
      </c>
      <c r="E27" s="33">
        <f>'19'!E36</f>
        <v>4.5949999999999989</v>
      </c>
      <c r="F27" s="33">
        <f>'19'!F36</f>
        <v>5.4195833333333328</v>
      </c>
      <c r="G27" s="33">
        <f>'19'!G36</f>
        <v>44.873749999999994</v>
      </c>
      <c r="H27" s="33">
        <f>'19'!H36</f>
        <v>14.732500000000002</v>
      </c>
      <c r="I27" s="33">
        <f>'19'!I36</f>
        <v>3.1941666666666673</v>
      </c>
      <c r="J27" s="33">
        <f>'19'!J36</f>
        <v>0.70625000000000016</v>
      </c>
      <c r="K27" s="33">
        <f>'19'!K36</f>
        <v>289.39708333333334</v>
      </c>
      <c r="L27" s="33">
        <f>'19'!L36</f>
        <v>27.646666666666672</v>
      </c>
      <c r="M27" s="33">
        <f>'19'!M36</f>
        <v>77.956666666666678</v>
      </c>
      <c r="N27" s="33">
        <f>'19'!N36</f>
        <v>205.46249999999998</v>
      </c>
      <c r="O27" s="33">
        <f>'19'!O36</f>
        <v>0</v>
      </c>
      <c r="P27" s="30">
        <f>'19'!P36</f>
        <v>0.41708333333333331</v>
      </c>
      <c r="Q27" s="30">
        <f>'19'!Q36</f>
        <v>9.5224999999999991</v>
      </c>
      <c r="R27" s="48"/>
      <c r="S27" s="48"/>
      <c r="T27" s="48"/>
      <c r="U27" s="47"/>
    </row>
    <row r="28" spans="1:21" s="34" customFormat="1" ht="15">
      <c r="A28" s="36" t="str">
        <f>'20'!$B$2</f>
        <v>20-06-2024 01:00</v>
      </c>
      <c r="B28" s="33">
        <f>'20'!B36</f>
        <v>8.2654166666666669</v>
      </c>
      <c r="C28" s="33">
        <f>'20'!C36</f>
        <v>3.5354166666666669</v>
      </c>
      <c r="D28" s="33">
        <f>'20'!D36</f>
        <v>12.249583333333334</v>
      </c>
      <c r="E28" s="33">
        <f>'20'!E36</f>
        <v>4.4316666666666675</v>
      </c>
      <c r="F28" s="33">
        <f>'20'!F36</f>
        <v>5.0829166666666667</v>
      </c>
      <c r="G28" s="33">
        <f>'20'!G36</f>
        <v>32.070833333333333</v>
      </c>
      <c r="H28" s="33">
        <f>'20'!H36</f>
        <v>10.527916666666668</v>
      </c>
      <c r="I28" s="33">
        <f>'20'!I36</f>
        <v>2.7816666666666667</v>
      </c>
      <c r="J28" s="33">
        <f>'20'!J36</f>
        <v>1.2416666666666665</v>
      </c>
      <c r="K28" s="33">
        <f>'20'!K36</f>
        <v>280.34958333333333</v>
      </c>
      <c r="L28" s="33">
        <f>'20'!L36</f>
        <v>26.958333333333329</v>
      </c>
      <c r="M28" s="33">
        <f>'20'!M36</f>
        <v>79.393333333333345</v>
      </c>
      <c r="N28" s="33">
        <f>'20'!N36</f>
        <v>275.52916666666664</v>
      </c>
      <c r="O28" s="33">
        <f>'20'!O36</f>
        <v>0.41666666666666669</v>
      </c>
      <c r="P28" s="30">
        <f>'20'!P36</f>
        <v>0.33916666666666667</v>
      </c>
      <c r="Q28" s="30">
        <f>'20'!Q36</f>
        <v>9.5191666666666688</v>
      </c>
      <c r="R28" s="48"/>
      <c r="S28" s="48"/>
      <c r="T28" s="48"/>
      <c r="U28" s="47"/>
    </row>
    <row r="29" spans="1:21" s="34" customFormat="1" ht="15">
      <c r="A29" s="36" t="str">
        <f>'21'!$B$2</f>
        <v>21-06-2024 01:00</v>
      </c>
      <c r="B29" s="33">
        <f>'21'!B36</f>
        <v>8.2599999999999998</v>
      </c>
      <c r="C29" s="33">
        <f>'21'!C36</f>
        <v>3.5220833333333328</v>
      </c>
      <c r="D29" s="33">
        <f>'21'!D36</f>
        <v>12.23666666666667</v>
      </c>
      <c r="E29" s="33">
        <f>'21'!E36</f>
        <v>4.4274999999999993</v>
      </c>
      <c r="F29" s="33">
        <f>'21'!F36</f>
        <v>4.7895833333333329</v>
      </c>
      <c r="G29" s="33">
        <f>'21'!G36</f>
        <v>31.050000000000001</v>
      </c>
      <c r="H29" s="33">
        <f>'21'!H36</f>
        <v>11.516250000000001</v>
      </c>
      <c r="I29" s="33">
        <f>'21'!I36</f>
        <v>5.2345833333333323</v>
      </c>
      <c r="J29" s="33">
        <f>'21'!J36</f>
        <v>1.0191666666666666</v>
      </c>
      <c r="K29" s="33">
        <f>'21'!K36</f>
        <v>241.17583333333332</v>
      </c>
      <c r="L29" s="33">
        <f>'21'!L36</f>
        <v>25.419166666666669</v>
      </c>
      <c r="M29" s="33">
        <f>'21'!M36</f>
        <v>89.174583333333331</v>
      </c>
      <c r="N29" s="33">
        <f>'21'!N36</f>
        <v>178.45416666666662</v>
      </c>
      <c r="O29" s="33">
        <f>'21'!O36</f>
        <v>0.16666666666666666</v>
      </c>
      <c r="P29" s="30">
        <f>'21'!P36</f>
        <v>0.33833333333333332</v>
      </c>
      <c r="Q29" s="30">
        <f>'21'!Q36</f>
        <v>9.5383333333333322</v>
      </c>
      <c r="R29" s="48"/>
      <c r="S29" s="48"/>
      <c r="T29" s="48"/>
      <c r="U29" s="47"/>
    </row>
    <row r="30" spans="1:21" s="34" customFormat="1" ht="15">
      <c r="A30" s="36" t="str">
        <f>'22'!$B$2</f>
        <v xml:space="preserve">                                                                                                                                                                                                    </v>
      </c>
      <c r="B30" s="33">
        <f>'22'!B36</f>
        <v>8.2595833333333317</v>
      </c>
      <c r="C30" s="33">
        <f>'22'!C36</f>
        <v>3.5354166666666669</v>
      </c>
      <c r="D30" s="33">
        <f>'22'!D36</f>
        <v>12.242916666666666</v>
      </c>
      <c r="E30" s="33">
        <f>'22'!E36</f>
        <v>4.9370833333333328</v>
      </c>
      <c r="F30" s="33">
        <f>'22'!F36</f>
        <v>5.1016666666666666</v>
      </c>
      <c r="G30" s="33">
        <f>'22'!G36</f>
        <v>31.23458333333333</v>
      </c>
      <c r="H30" s="33">
        <f>'22'!H36</f>
        <v>8.9933333333333341</v>
      </c>
      <c r="I30" s="33">
        <f>'22'!I36</f>
        <v>4.4250000000000007</v>
      </c>
      <c r="J30" s="33">
        <f>'22'!J36</f>
        <v>0.66083333333333349</v>
      </c>
      <c r="K30" s="33">
        <f>'22'!K36</f>
        <v>244.21458333333337</v>
      </c>
      <c r="L30" s="33">
        <f>'22'!L36</f>
        <v>24.981666666666669</v>
      </c>
      <c r="M30" s="33">
        <f>'22'!M36</f>
        <v>90.80958333333335</v>
      </c>
      <c r="N30" s="33">
        <f>'22'!N36</f>
        <v>172.67083333333338</v>
      </c>
      <c r="O30" s="33">
        <f>'22'!O36</f>
        <v>0.016666666666666666</v>
      </c>
      <c r="P30" s="30">
        <f>'22'!P36</f>
        <v>0.38125000000000003</v>
      </c>
      <c r="Q30" s="30">
        <f>'22'!Q36</f>
        <v>9.5087499999999991</v>
      </c>
      <c r="R30" s="48"/>
      <c r="S30" s="47"/>
      <c r="T30" s="47"/>
      <c r="U30" s="47"/>
    </row>
    <row r="31" spans="1:21" s="34" customFormat="1" ht="15">
      <c r="A31" s="36" t="str">
        <f>'23'!$B$2</f>
        <v>23-06-2024 01:00</v>
      </c>
      <c r="B31" s="33">
        <f>'23'!B36</f>
        <v>8.3395833333333318</v>
      </c>
      <c r="C31" s="33">
        <f>'23'!C36</f>
        <v>3.7091666666666669</v>
      </c>
      <c r="D31" s="33">
        <f>'23'!D36</f>
        <v>12.39875</v>
      </c>
      <c r="E31" s="33">
        <f>'23'!E36</f>
        <v>4.5287499999999996</v>
      </c>
      <c r="F31" s="33">
        <f>'23'!F36</f>
        <v>4.2033333333333331</v>
      </c>
      <c r="G31" s="33">
        <f>'23'!G36</f>
        <v>46.18</v>
      </c>
      <c r="H31" s="33">
        <f>'23'!H36</f>
        <v>17.719166666666666</v>
      </c>
      <c r="I31" s="33">
        <f>'23'!I36</f>
        <v>6.0337500000000004</v>
      </c>
      <c r="J31" s="33">
        <f>'23'!J36</f>
        <v>0.9295833333333331</v>
      </c>
      <c r="K31" s="33">
        <f>'23'!K36</f>
        <v>237.9795833333333</v>
      </c>
      <c r="L31" s="33">
        <f>'23'!L36</f>
        <v>25.558333333333337</v>
      </c>
      <c r="M31" s="33">
        <f>'23'!M36</f>
        <v>94.075000000000003</v>
      </c>
      <c r="N31" s="33">
        <f>'23'!N36</f>
        <v>151.58750000000001</v>
      </c>
      <c r="O31" s="33">
        <f>'23'!O36</f>
        <v>0.28333333333333338</v>
      </c>
      <c r="P31" s="33">
        <f>'23'!P36</f>
        <v>0.5541666666666667</v>
      </c>
      <c r="Q31" s="33">
        <f>'23'!Q36</f>
        <v>9.6316666666666677</v>
      </c>
      <c r="R31" s="47"/>
      <c r="S31" s="47"/>
      <c r="T31" s="47"/>
      <c r="U31" s="47"/>
    </row>
    <row r="32" spans="1:21" s="34" customFormat="1" ht="15">
      <c r="A32" s="36" t="str">
        <f>'24'!$B$2</f>
        <v>24-06-2024 01:00</v>
      </c>
      <c r="B32" s="33">
        <f>'24'!B36</f>
        <v>8.2545833333333345</v>
      </c>
      <c r="C32" s="33">
        <f>'24'!C36</f>
        <v>3.4345833333333329</v>
      </c>
      <c r="D32" s="33">
        <f>'24'!D36</f>
        <v>12.186666666666666</v>
      </c>
      <c r="E32" s="33">
        <f>'24'!E36</f>
        <v>4.6245833333333337</v>
      </c>
      <c r="F32" s="33">
        <f>'24'!F36</f>
        <v>4.9158333333333335</v>
      </c>
      <c r="G32" s="33">
        <f>'24'!G36</f>
        <v>34.149999999999999</v>
      </c>
      <c r="H32" s="33">
        <f>'24'!H36</f>
        <v>10.929166666666669</v>
      </c>
      <c r="I32" s="33">
        <f>'24'!I36</f>
        <v>5.5324999999999998</v>
      </c>
      <c r="J32" s="33">
        <f>'24'!J36</f>
        <v>1.2816666666666667</v>
      </c>
      <c r="K32" s="33">
        <f>'24'!K36</f>
        <v>213.10166666666666</v>
      </c>
      <c r="L32" s="33">
        <f>'24'!L36</f>
        <v>27.94083333333333</v>
      </c>
      <c r="M32" s="33">
        <f>'24'!M36</f>
        <v>80.450416666666669</v>
      </c>
      <c r="N32" s="33">
        <f>'24'!N36</f>
        <v>296.05416666666673</v>
      </c>
      <c r="O32" s="33">
        <f>'24'!O36</f>
        <v>0</v>
      </c>
      <c r="P32" s="33">
        <f>'24'!P36</f>
        <v>0.35749999999999998</v>
      </c>
      <c r="Q32" s="33">
        <f>'24'!Q36</f>
        <v>9.5075000000000021</v>
      </c>
      <c r="R32" s="47"/>
      <c r="S32" s="47"/>
      <c r="T32" s="47"/>
      <c r="U32" s="47"/>
    </row>
    <row r="33" spans="1:21" s="34" customFormat="1" ht="15">
      <c r="A33" s="36" t="str">
        <f>'25'!$B$2</f>
        <v>25-06-2024 01:00</v>
      </c>
      <c r="B33" s="33">
        <f>'25'!B36</f>
        <v>8.2550000000000008</v>
      </c>
      <c r="C33" s="33">
        <f>'25'!C36</f>
        <v>3.3945833333333346</v>
      </c>
      <c r="D33" s="33">
        <f>'25'!D36</f>
        <v>12.165833333333333</v>
      </c>
      <c r="E33" s="33">
        <f>'25'!E36</f>
        <v>4.5533333333333346</v>
      </c>
      <c r="F33" s="33">
        <f>'25'!F36</f>
        <v>4.3308333333333344</v>
      </c>
      <c r="G33" s="33">
        <f>'25'!G36</f>
        <v>40.410000000000004</v>
      </c>
      <c r="H33" s="33">
        <f>'25'!H36</f>
        <v>15.315833333333332</v>
      </c>
      <c r="I33" s="33">
        <f>'25'!I36</f>
        <v>5.4220833333333331</v>
      </c>
      <c r="J33" s="33">
        <f>'25'!J36</f>
        <v>0.87416666666666654</v>
      </c>
      <c r="K33" s="33">
        <f>'25'!K36</f>
        <v>259.72500000000002</v>
      </c>
      <c r="L33" s="33">
        <f>'25'!L36</f>
        <v>29.633750000000003</v>
      </c>
      <c r="M33" s="33">
        <f>'25'!M36</f>
        <v>71.322916666666657</v>
      </c>
      <c r="N33" s="33">
        <f>'25'!N36</f>
        <v>268.66666666666669</v>
      </c>
      <c r="O33" s="33">
        <f>'25'!O36</f>
        <v>0</v>
      </c>
      <c r="P33" s="33">
        <f>'25'!P36</f>
        <v>0.42541666666666661</v>
      </c>
      <c r="Q33" s="33">
        <f>'25'!Q36</f>
        <v>9.4308333333333323</v>
      </c>
      <c r="R33" s="47"/>
      <c r="S33" s="47"/>
      <c r="T33" s="47"/>
      <c r="U33" s="47"/>
    </row>
    <row r="34" spans="1:21" s="34" customFormat="1" ht="15">
      <c r="A34" s="36" t="str">
        <f>'26'!$B$2</f>
        <v>26-06-2024 01:00</v>
      </c>
      <c r="B34" s="33">
        <f>'26'!B36</f>
        <v>8.2779166666666644</v>
      </c>
      <c r="C34" s="33">
        <f>'26'!C36</f>
        <v>3.3595833333333331</v>
      </c>
      <c r="D34" s="33">
        <f>'26'!D36</f>
        <v>12.152916666666664</v>
      </c>
      <c r="E34" s="33">
        <f>'26'!E36</f>
        <v>4.8081818181818186</v>
      </c>
      <c r="F34" s="33">
        <f>'26'!F36</f>
        <v>6.0291666666666659</v>
      </c>
      <c r="G34" s="33">
        <f>'26'!G36</f>
        <v>37.730909090909094</v>
      </c>
      <c r="H34" s="33">
        <f>'26'!H36</f>
        <v>14.034545454545453</v>
      </c>
      <c r="I34" s="33">
        <f>'26'!I36</f>
        <v>6.0575000000000001</v>
      </c>
      <c r="J34" s="33">
        <f>'26'!J36</f>
        <v>1.2483333333333333</v>
      </c>
      <c r="K34" s="33">
        <f>'26'!K36</f>
        <v>259.48041666666666</v>
      </c>
      <c r="L34" s="33">
        <f>'26'!L36</f>
        <v>28.51125</v>
      </c>
      <c r="M34" s="33">
        <f>'26'!M36</f>
        <v>78.985833333333332</v>
      </c>
      <c r="N34" s="33">
        <f>'26'!N36</f>
        <v>250.20416666666668</v>
      </c>
      <c r="O34" s="33">
        <f>'26'!O36</f>
        <v>0.25833333333333336</v>
      </c>
      <c r="P34" s="33">
        <f>'26'!P36</f>
        <v>0.42166666666666669</v>
      </c>
      <c r="Q34" s="33">
        <f>'26'!Q36</f>
        <v>9.4120833333333334</v>
      </c>
      <c r="R34" s="47"/>
      <c r="S34" s="47"/>
      <c r="T34" s="47"/>
      <c r="U34" s="47"/>
    </row>
    <row r="35" spans="1:21" s="34" customFormat="1" ht="15">
      <c r="A35" s="36" t="str">
        <f>'27'!$B$2</f>
        <v>27-06-2024 01:00</v>
      </c>
      <c r="B35" s="33">
        <f>'27'!B36</f>
        <v>2.8850000000000002</v>
      </c>
      <c r="C35" s="33">
        <f>'27'!C36</f>
        <v>3.0637500000000002</v>
      </c>
      <c r="D35" s="33">
        <f>'27'!D36</f>
        <v>5.854166666666667</v>
      </c>
      <c r="E35" s="33">
        <f>'27'!E36</f>
        <v>1.5766666666666664</v>
      </c>
      <c r="F35" s="33">
        <f>'27'!F36</f>
        <v>6.5141666666666671</v>
      </c>
      <c r="G35" s="33">
        <f>'27'!G36</f>
        <v>38.784583333333345</v>
      </c>
      <c r="H35" s="33">
        <f>'27'!H36</f>
        <v>16.28833333333333</v>
      </c>
      <c r="I35" s="33">
        <f>'27'!I36</f>
        <v>4.8629166666666661</v>
      </c>
      <c r="J35" s="33">
        <f>'27'!J36</f>
        <v>1.469166666666667</v>
      </c>
      <c r="K35" s="33">
        <f>'27'!K36</f>
        <v>282.71083333333337</v>
      </c>
      <c r="L35" s="33">
        <f>'27'!L36</f>
        <v>32.478749999999998</v>
      </c>
      <c r="M35" s="33">
        <f>'27'!M36</f>
        <v>45.848333333333336</v>
      </c>
      <c r="N35" s="33">
        <f>'27'!N36</f>
        <v>264.87499999999994</v>
      </c>
      <c r="O35" s="33">
        <f>'27'!O36</f>
        <v>0</v>
      </c>
      <c r="P35" s="30">
        <f>'27'!P36</f>
        <v>0.44166666666666682</v>
      </c>
      <c r="Q35" s="33">
        <f>'27'!Q36</f>
        <v>9.3995833333333323</v>
      </c>
      <c r="R35" s="47"/>
      <c r="S35" s="47"/>
      <c r="T35" s="47"/>
      <c r="U35" s="47"/>
    </row>
    <row r="36" spans="1:21" s="34" customFormat="1" ht="15">
      <c r="A36" s="36" t="str">
        <f>'28'!$B$2</f>
        <v>28-06-2024 01:00</v>
      </c>
      <c r="B36" s="33">
        <f>'28'!B36</f>
        <v>8.2345833333333331</v>
      </c>
      <c r="C36" s="33">
        <f>'28'!C36</f>
        <v>3.2833333333333337</v>
      </c>
      <c r="D36" s="33">
        <f>'28'!D36</f>
        <v>12.089166666666669</v>
      </c>
      <c r="E36" s="33">
        <f>'28'!E36</f>
        <v>4.7492307692307687</v>
      </c>
      <c r="F36" s="33">
        <f>'28'!F36</f>
        <v>5.0670833333333327</v>
      </c>
      <c r="G36" s="33">
        <f>'28'!G36</f>
        <v>38.798461538461531</v>
      </c>
      <c r="H36" s="33">
        <f>'28'!H36</f>
        <v>10.061538461538463</v>
      </c>
      <c r="I36" s="33">
        <f>'28'!I36</f>
        <v>2.6145833333333335</v>
      </c>
      <c r="J36" s="33">
        <f>'28'!J36</f>
        <v>0.60250000000000004</v>
      </c>
      <c r="K36" s="33">
        <f>'28'!K36</f>
        <v>265.83874999999995</v>
      </c>
      <c r="L36" s="33">
        <f>'28'!L36</f>
        <v>25.793750000000003</v>
      </c>
      <c r="M36" s="33">
        <f>'28'!M36</f>
        <v>92.383749999999978</v>
      </c>
      <c r="N36" s="33">
        <f>'28'!N36</f>
        <v>163.20416666666671</v>
      </c>
      <c r="O36" s="33">
        <f>'28'!O36</f>
        <v>0.025000000000000005</v>
      </c>
      <c r="P36" s="30">
        <f>'28'!P36</f>
        <v>0.41083333333333322</v>
      </c>
      <c r="Q36" s="33">
        <f>'28'!Q36</f>
        <v>9.3329166666666676</v>
      </c>
      <c r="R36" s="47"/>
      <c r="S36" s="47"/>
      <c r="T36" s="47"/>
      <c r="U36" s="47"/>
    </row>
    <row r="37" spans="1:21" s="34" customFormat="1" ht="15">
      <c r="A37" s="36" t="str">
        <f>'29'!$B$2</f>
        <v>29-06-2024 01:00</v>
      </c>
      <c r="B37" s="33">
        <f>'29'!B36</f>
        <v>8.3579166666666662</v>
      </c>
      <c r="C37" s="33">
        <f>'29'!C36</f>
        <v>3.3837499999999996</v>
      </c>
      <c r="D37" s="33">
        <f>'29'!D36</f>
        <v>12.240833333333336</v>
      </c>
      <c r="E37" s="33">
        <f>'29'!E36</f>
        <v>4.3916666666666666</v>
      </c>
      <c r="F37" s="33">
        <f>'29'!F36</f>
        <v>4.1987499999999995</v>
      </c>
      <c r="G37" s="33">
        <f>'29'!G36</f>
        <v>25.02791666666667</v>
      </c>
      <c r="H37" s="33">
        <f>'29'!H36</f>
        <v>8.9770833333333311</v>
      </c>
      <c r="I37" s="33">
        <f>'29'!I36</f>
        <v>3.1099999999999999</v>
      </c>
      <c r="J37" s="33">
        <f>'29'!J36</f>
        <v>0.65374999999999994</v>
      </c>
      <c r="K37" s="33">
        <f>'29'!K36</f>
        <v>283.01125000000002</v>
      </c>
      <c r="L37" s="33">
        <f>'29'!L36</f>
        <v>24.127499999999998</v>
      </c>
      <c r="M37" s="33">
        <f>'29'!M36</f>
        <v>97.906250000000014</v>
      </c>
      <c r="N37" s="33">
        <f>'29'!N36</f>
        <v>61.295833333333327</v>
      </c>
      <c r="O37" s="33">
        <f>'29'!O36</f>
        <v>0.20833333333333334</v>
      </c>
      <c r="P37" s="33">
        <f>'29'!P36</f>
        <v>0.53249999999999997</v>
      </c>
      <c r="Q37" s="33">
        <f>'29'!Q36</f>
        <v>9.4504166666666656</v>
      </c>
      <c r="R37" s="47"/>
      <c r="S37" s="47"/>
      <c r="T37" s="47"/>
      <c r="U37" s="47"/>
    </row>
    <row r="38" spans="1:21" s="34" customFormat="1" ht="15">
      <c r="A38" s="36" t="str">
        <f>'30'!$B$2</f>
        <v>30-06-2024 01:00</v>
      </c>
      <c r="B38" s="33">
        <f>'30'!B36</f>
        <v>8.4029166666666661</v>
      </c>
      <c r="C38" s="33">
        <f>'30'!C36</f>
        <v>3.4058333333333333</v>
      </c>
      <c r="D38" s="33">
        <f>'30'!D36</f>
        <v>12.288749999999999</v>
      </c>
      <c r="E38" s="33">
        <f>'30'!E36</f>
        <v>4.4691666666666672</v>
      </c>
      <c r="F38" s="33">
        <f>'30'!F36</f>
        <v>4.2487499999999994</v>
      </c>
      <c r="G38" s="33">
        <f>'30'!G36</f>
        <v>30.921250000000004</v>
      </c>
      <c r="H38" s="33">
        <f>'30'!H36</f>
        <v>11.223750000000003</v>
      </c>
      <c r="I38" s="33">
        <f>'30'!I36</f>
        <v>3.4416666666666664</v>
      </c>
      <c r="J38" s="33">
        <f>'30'!J36</f>
        <v>0.68041666666666656</v>
      </c>
      <c r="K38" s="33">
        <f>'30'!K36</f>
        <v>260.37250000000006</v>
      </c>
      <c r="L38" s="33">
        <f>'30'!L36</f>
        <v>24.746250000000007</v>
      </c>
      <c r="M38" s="33">
        <f>'30'!M36</f>
        <v>92.641666666666652</v>
      </c>
      <c r="N38" s="33">
        <f>'30'!N36</f>
        <v>151.05416666666667</v>
      </c>
      <c r="O38" s="33">
        <f>'30'!O36</f>
        <v>0.14166666666666666</v>
      </c>
      <c r="P38" s="33">
        <f>'30'!P36</f>
        <v>0.49291666666666673</v>
      </c>
      <c r="Q38" s="33">
        <f>'30'!Q36</f>
        <v>9.3658333333333328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2.5100000000000002</v>
      </c>
      <c r="C40" s="15">
        <f t="shared" si="0"/>
        <v>1.0866666666666669</v>
      </c>
      <c r="D40" s="15">
        <f t="shared" si="0"/>
        <v>3.7229166666666664</v>
      </c>
      <c r="E40" s="15">
        <f t="shared" si="0"/>
        <v>1.4565217391304348</v>
      </c>
      <c r="F40" s="15">
        <f t="shared" si="0"/>
        <v>4.1987499999999995</v>
      </c>
      <c r="G40" s="15">
        <f t="shared" si="0"/>
        <v>25.02791666666667</v>
      </c>
      <c r="H40" s="15">
        <f t="shared" si="0"/>
        <v>8.9770833333333311</v>
      </c>
      <c r="I40" s="15">
        <f t="shared" si="0"/>
        <v>2.5612500000000007</v>
      </c>
      <c r="J40" s="15">
        <f t="shared" si="0"/>
        <v>0.60250000000000004</v>
      </c>
      <c r="K40" s="15">
        <f t="shared" si="0"/>
        <v>179.05916666666667</v>
      </c>
      <c r="L40" s="15">
        <f t="shared" si="0"/>
        <v>24.127499999999998</v>
      </c>
      <c r="M40" s="15">
        <f t="shared" si="0"/>
        <v>28.317499999999995</v>
      </c>
      <c r="N40" s="15">
        <f t="shared" si="0"/>
        <v>61.295833333333327</v>
      </c>
      <c r="O40" s="15">
        <f t="shared" si="0"/>
        <v>0</v>
      </c>
      <c r="P40" s="15">
        <f t="shared" si="0"/>
        <v>0.33833333333333332</v>
      </c>
      <c r="Q40" s="15">
        <f t="shared" si="0"/>
        <v>9.3329166666666676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8.4579166666666659</v>
      </c>
      <c r="C41" s="15">
        <f t="shared" si="1"/>
        <v>4.7104166666666671</v>
      </c>
      <c r="D41" s="15">
        <f t="shared" si="1"/>
        <v>12.753333333333336</v>
      </c>
      <c r="E41" s="15">
        <f t="shared" si="1"/>
        <v>4.9370833333333328</v>
      </c>
      <c r="F41" s="15">
        <f t="shared" si="1"/>
        <v>8.2366666666666664</v>
      </c>
      <c r="G41" s="15">
        <f t="shared" si="1"/>
        <v>100.01083333333337</v>
      </c>
      <c r="H41" s="15">
        <f t="shared" si="1"/>
        <v>38.77708333333333</v>
      </c>
      <c r="I41" s="15">
        <f t="shared" si="1"/>
        <v>9.4125000000000032</v>
      </c>
      <c r="J41" s="15">
        <f t="shared" si="1"/>
        <v>1.58125</v>
      </c>
      <c r="K41" s="15">
        <f t="shared" si="1"/>
        <v>316.84041666666673</v>
      </c>
      <c r="L41" s="15">
        <f t="shared" si="1"/>
        <v>36.96125</v>
      </c>
      <c r="M41" s="15">
        <f t="shared" si="1"/>
        <v>97.906250000000014</v>
      </c>
      <c r="N41" s="15">
        <f t="shared" si="1"/>
        <v>339.12133094432323</v>
      </c>
      <c r="O41" s="15">
        <f t="shared" si="1"/>
        <v>1.061445555206044</v>
      </c>
      <c r="P41" s="15">
        <f t="shared" si="1"/>
        <v>0.73833333333333329</v>
      </c>
      <c r="Q41" s="15">
        <f t="shared" si="1"/>
        <v>10.082083333333333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6.3781944444444436</v>
      </c>
      <c r="C42" s="15">
        <f t="shared" si="2"/>
        <v>3.2177638888888893</v>
      </c>
      <c r="D42" s="15">
        <f t="shared" si="2"/>
        <v>9.6875694444444456</v>
      </c>
      <c r="E42" s="15">
        <f t="shared" si="2"/>
        <v>3.497783921995878</v>
      </c>
      <c r="F42" s="15">
        <f t="shared" si="2"/>
        <v>5.8192916666666656</v>
      </c>
      <c r="G42" s="15">
        <f t="shared" si="2"/>
        <v>48.450396291510437</v>
      </c>
      <c r="H42" s="15">
        <f t="shared" si="2"/>
        <v>18.576627314111011</v>
      </c>
      <c r="I42" s="15">
        <f t="shared" si="2"/>
        <v>4.7053333333333347</v>
      </c>
      <c r="J42" s="15">
        <f t="shared" si="2"/>
        <v>1.0729722222222222</v>
      </c>
      <c r="K42" s="15">
        <f t="shared" si="2"/>
        <v>259.62013888888896</v>
      </c>
      <c r="L42" s="15">
        <f t="shared" si="2"/>
        <v>29.835847222222224</v>
      </c>
      <c r="M42" s="15">
        <f t="shared" si="2"/>
        <v>64.002041666666685</v>
      </c>
      <c r="N42" s="15">
        <f t="shared" si="2"/>
        <v>236.65322299939422</v>
      </c>
      <c r="O42" s="15">
        <f t="shared" si="2"/>
        <v>0.10313123503063656</v>
      </c>
      <c r="P42" s="15">
        <f t="shared" si="2"/>
        <v>0.44916666666666666</v>
      </c>
      <c r="Q42" s="15">
        <f t="shared" si="2"/>
        <v>9.48752777777778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2.6270302068181737</v>
      </c>
      <c r="C43" s="15">
        <f t="shared" si="3"/>
        <v>0.98115852358910582</v>
      </c>
      <c r="D43" s="15">
        <f t="shared" si="3"/>
        <v>3.6213275873319835</v>
      </c>
      <c r="E43" s="15">
        <f t="shared" si="3"/>
        <v>1.356948788761394</v>
      </c>
      <c r="F43" s="15">
        <f t="shared" si="3"/>
        <v>1.0802976042153263</v>
      </c>
      <c r="G43" s="15">
        <f t="shared" si="3"/>
        <v>18.865059994438855</v>
      </c>
      <c r="H43" s="15">
        <f t="shared" si="3"/>
        <v>8.2475208330981076</v>
      </c>
      <c r="I43" s="15">
        <f t="shared" si="3"/>
        <v>1.5167997265428941</v>
      </c>
      <c r="J43" s="15">
        <f t="shared" si="3"/>
        <v>0.28704288024992192</v>
      </c>
      <c r="K43" s="15">
        <f t="shared" si="3"/>
        <v>33.239344516198209</v>
      </c>
      <c r="L43" s="15">
        <f t="shared" si="3"/>
        <v>3.0791223720300933</v>
      </c>
      <c r="M43" s="15">
        <f t="shared" si="3"/>
        <v>18.876298975991283</v>
      </c>
      <c r="N43" s="15">
        <f t="shared" si="3"/>
        <v>62.543632587481063</v>
      </c>
      <c r="O43" s="15">
        <f t="shared" si="3"/>
        <v>0.22166118788048186</v>
      </c>
      <c r="P43" s="15">
        <f t="shared" si="3"/>
        <v>0.077619022434440438</v>
      </c>
      <c r="Q43" s="15">
        <f t="shared" si="3"/>
        <v>0.13015518723793601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2024-06-28T12:08:35Z</cp:lastPrinted>
  <dcterms:created xsi:type="dcterms:W3CDTF">2013-08-23T16:44:31Z</dcterms:created>
  <dcterms:modified xsi:type="dcterms:W3CDTF">2024-07-10T14:27:09Z</dcterms:modified>
  <cp:category/>
</cp:coreProperties>
</file>