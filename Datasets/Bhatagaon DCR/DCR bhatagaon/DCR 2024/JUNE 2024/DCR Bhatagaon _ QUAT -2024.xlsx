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2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I110" i="41" l="1"/>
  <c r="I110" i="40"/>
  <c r="J110" i="33"/>
  <c r="G110" i="33"/>
  <c r="H110" i="33"/>
  <c r="H112" i="33"/>
  <c r="I110" i="32"/>
  <c r="Q110" i="31"/>
  <c r="Q112" i="31" s="1"/>
  <c r="I110" i="31"/>
  <c r="I112" i="31" s="1"/>
  <c r="H110" i="31"/>
  <c r="G110" i="31"/>
  <c r="G111" i="31"/>
  <c r="E110" i="31"/>
  <c r="E112" i="31" s="1"/>
  <c r="I110" i="30"/>
  <c r="I112" i="30"/>
  <c r="J110" i="29"/>
  <c r="J112" i="29" s="1"/>
  <c r="J110" i="28"/>
  <c r="J112" i="28"/>
  <c r="E110" i="27"/>
  <c r="E112" i="27" s="1"/>
  <c r="H110" i="27"/>
  <c r="G110" i="27"/>
  <c r="G112" i="27" s="1"/>
  <c r="I110" i="27"/>
  <c r="I112" i="27" s="1"/>
  <c r="C110" i="26"/>
  <c r="D110" i="26"/>
  <c r="E110" i="26"/>
  <c r="E112" i="26"/>
  <c r="F110" i="26"/>
  <c r="G110" i="26"/>
  <c r="H110" i="26"/>
  <c r="H111" i="26"/>
  <c r="I110" i="26"/>
  <c r="I112" i="26"/>
  <c r="J110" i="26"/>
  <c r="K110" i="26"/>
  <c r="L110" i="26"/>
  <c r="M110" i="26"/>
  <c r="N110" i="26"/>
  <c r="O110" i="26"/>
  <c r="P110" i="26"/>
  <c r="Q110" i="26"/>
  <c r="B110" i="26"/>
  <c r="B112" i="26"/>
  <c r="Q110" i="25"/>
  <c r="Q111" i="25" s="1"/>
  <c r="C110" i="25"/>
  <c r="D110" i="25"/>
  <c r="E110" i="25"/>
  <c r="E111" i="25"/>
  <c r="F110" i="25"/>
  <c r="G110" i="25"/>
  <c r="H110" i="25"/>
  <c r="I110" i="25"/>
  <c r="J110" i="25"/>
  <c r="J112" i="25" s="1"/>
  <c r="K110" i="25"/>
  <c r="L110" i="25"/>
  <c r="M110" i="25"/>
  <c r="M112" i="25"/>
  <c r="N110" i="25"/>
  <c r="N111" i="25" s="1"/>
  <c r="O110" i="25"/>
  <c r="P110" i="25"/>
  <c r="B110" i="25"/>
  <c r="B112" i="25"/>
  <c r="C110" i="23"/>
  <c r="D110" i="23"/>
  <c r="E110" i="23"/>
  <c r="F110" i="23"/>
  <c r="G110" i="23"/>
  <c r="H110" i="23"/>
  <c r="I110" i="23"/>
  <c r="I111" i="23"/>
  <c r="J110" i="23"/>
  <c r="K110" i="23"/>
  <c r="L110" i="23"/>
  <c r="M110" i="23"/>
  <c r="N110" i="23"/>
  <c r="O110" i="23"/>
  <c r="P110" i="23"/>
  <c r="Q110" i="23"/>
  <c r="B110" i="23"/>
  <c r="B112" i="23" s="1"/>
  <c r="G110" i="22"/>
  <c r="H110" i="22"/>
  <c r="H112" i="22" s="1"/>
  <c r="Q110" i="20"/>
  <c r="Q111" i="20" s="1"/>
  <c r="C110" i="20"/>
  <c r="D110" i="20"/>
  <c r="E110" i="20"/>
  <c r="F110" i="20"/>
  <c r="G110" i="20"/>
  <c r="H110" i="20"/>
  <c r="I110" i="20"/>
  <c r="I111" i="20" s="1"/>
  <c r="J110" i="20"/>
  <c r="K110" i="20"/>
  <c r="L110" i="20"/>
  <c r="M110" i="20"/>
  <c r="N110" i="20"/>
  <c r="O110" i="20"/>
  <c r="P110" i="20"/>
  <c r="B110" i="20"/>
  <c r="B112" i="20"/>
  <c r="Q110" i="19"/>
  <c r="Q112" i="19" s="1"/>
  <c r="H110" i="18"/>
  <c r="I110" i="18"/>
  <c r="J110" i="18"/>
  <c r="Q110" i="17"/>
  <c r="Q110" i="16"/>
  <c r="Q110" i="15"/>
  <c r="Q110" i="14"/>
  <c r="I110" i="14"/>
  <c r="I110" i="13"/>
  <c r="I111" i="13" s="1"/>
  <c r="I110" i="12"/>
  <c r="F110" i="12"/>
  <c r="F111" i="12" s="1"/>
  <c r="C110" i="11"/>
  <c r="D110" i="11"/>
  <c r="D112" i="11" s="1"/>
  <c r="B110" i="11"/>
  <c r="B112" i="11" s="1"/>
  <c r="H110" i="11"/>
  <c r="I110" i="11"/>
  <c r="I111" i="11" s="1"/>
  <c r="Q110" i="11"/>
  <c r="Q112" i="11" s="1"/>
  <c r="H110" i="8"/>
  <c r="H111" i="8" s="1"/>
  <c r="G110" i="8"/>
  <c r="G112" i="8" s="1"/>
  <c r="C110" i="8"/>
  <c r="C112" i="8" s="1"/>
  <c r="D110" i="8"/>
  <c r="D111" i="8" s="1"/>
  <c r="E110" i="8"/>
  <c r="E112" i="8" s="1"/>
  <c r="B110" i="8"/>
  <c r="B111" i="8" s="1"/>
  <c r="F110" i="8"/>
  <c r="I110" i="8"/>
  <c r="J110" i="8"/>
  <c r="J111" i="8" s="1"/>
  <c r="K110" i="8"/>
  <c r="L110" i="8"/>
  <c r="M110" i="8"/>
  <c r="N110" i="8"/>
  <c r="O110" i="8"/>
  <c r="P110" i="8"/>
  <c r="P112" i="8" s="1"/>
  <c r="Q110" i="8"/>
  <c r="I110" i="3"/>
  <c r="I112" i="3" s="1"/>
  <c r="I110" i="2"/>
  <c r="I111" i="41"/>
  <c r="J110" i="41"/>
  <c r="J112" i="41" s="1"/>
  <c r="H110" i="41"/>
  <c r="H112" i="41" s="1"/>
  <c r="J110" i="40"/>
  <c r="J111" i="40" s="1"/>
  <c r="H110" i="40"/>
  <c r="H111" i="40" s="1"/>
  <c r="I111" i="40"/>
  <c r="G112" i="33"/>
  <c r="I110" i="33"/>
  <c r="I112" i="33"/>
  <c r="J112" i="33"/>
  <c r="J110" i="32"/>
  <c r="J111" i="32" s="1"/>
  <c r="I112" i="32"/>
  <c r="H110" i="32"/>
  <c r="H111" i="32" s="1"/>
  <c r="H112" i="31"/>
  <c r="J110" i="31"/>
  <c r="J111" i="31"/>
  <c r="J110" i="30"/>
  <c r="J112" i="30" s="1"/>
  <c r="H110" i="30"/>
  <c r="H112" i="30" s="1"/>
  <c r="I110" i="29"/>
  <c r="I112" i="29" s="1"/>
  <c r="H110" i="29"/>
  <c r="H112" i="29" s="1"/>
  <c r="I110" i="28"/>
  <c r="I112" i="28" s="1"/>
  <c r="H110" i="28"/>
  <c r="H111" i="28" s="1"/>
  <c r="C110" i="27"/>
  <c r="C111" i="27"/>
  <c r="D110" i="27"/>
  <c r="D111" i="27"/>
  <c r="F110" i="27"/>
  <c r="F112" i="27" s="1"/>
  <c r="J110" i="27"/>
  <c r="K110" i="27"/>
  <c r="L110" i="27"/>
  <c r="M110" i="27"/>
  <c r="N110" i="27"/>
  <c r="N112" i="27" s="1"/>
  <c r="O110" i="27"/>
  <c r="O112" i="27" s="1"/>
  <c r="P110" i="27"/>
  <c r="Q110" i="27"/>
  <c r="Q111" i="26"/>
  <c r="J111" i="26"/>
  <c r="G112" i="26"/>
  <c r="F112" i="26"/>
  <c r="C112" i="26"/>
  <c r="P111" i="25"/>
  <c r="O111" i="25"/>
  <c r="L112" i="25"/>
  <c r="K111" i="25"/>
  <c r="I111" i="25"/>
  <c r="H111" i="25"/>
  <c r="G111" i="25"/>
  <c r="F112" i="25"/>
  <c r="D112" i="25"/>
  <c r="C111" i="25"/>
  <c r="J110" i="24"/>
  <c r="J111" i="24" s="1"/>
  <c r="I110" i="24"/>
  <c r="I112" i="24" s="1"/>
  <c r="H110" i="24"/>
  <c r="H111" i="24" s="1"/>
  <c r="J112" i="23"/>
  <c r="J110" i="22"/>
  <c r="J112" i="22" s="1"/>
  <c r="I110" i="22"/>
  <c r="I112" i="22" s="1"/>
  <c r="G111" i="22"/>
  <c r="J110" i="21"/>
  <c r="J111" i="21" s="1"/>
  <c r="I110" i="21"/>
  <c r="I111" i="21" s="1"/>
  <c r="H110" i="21"/>
  <c r="H111" i="21" s="1"/>
  <c r="H112" i="20"/>
  <c r="J111" i="20"/>
  <c r="J110" i="19"/>
  <c r="J111" i="19" s="1"/>
  <c r="I110" i="19"/>
  <c r="I111" i="19" s="1"/>
  <c r="H110" i="19"/>
  <c r="H112" i="19" s="1"/>
  <c r="Q112" i="17"/>
  <c r="J110" i="17"/>
  <c r="J112" i="17" s="1"/>
  <c r="I110" i="17"/>
  <c r="I111" i="17" s="1"/>
  <c r="H110" i="17"/>
  <c r="H112" i="17"/>
  <c r="H110" i="16"/>
  <c r="H111" i="16" s="1"/>
  <c r="I110" i="16"/>
  <c r="I111" i="16" s="1"/>
  <c r="J110" i="16"/>
  <c r="J112" i="16" s="1"/>
  <c r="Q111" i="16"/>
  <c r="H110" i="15"/>
  <c r="H111" i="15" s="1"/>
  <c r="I110" i="15"/>
  <c r="I112" i="15"/>
  <c r="J110" i="15"/>
  <c r="J112" i="15" s="1"/>
  <c r="Q111" i="15"/>
  <c r="Q111" i="14"/>
  <c r="J110" i="14"/>
  <c r="J111" i="14" s="1"/>
  <c r="I111" i="14"/>
  <c r="H110" i="14"/>
  <c r="H111" i="14" s="1"/>
  <c r="C112" i="11"/>
  <c r="J110" i="13"/>
  <c r="J112" i="13" s="1"/>
  <c r="H110" i="13"/>
  <c r="H112" i="13" s="1"/>
  <c r="J110" i="12"/>
  <c r="J111" i="12" s="1"/>
  <c r="H110" i="12"/>
  <c r="H111" i="12" s="1"/>
  <c r="I111" i="12"/>
  <c r="J110" i="11"/>
  <c r="J111" i="11"/>
  <c r="H111" i="11"/>
  <c r="G110" i="11"/>
  <c r="G112" i="11"/>
  <c r="J110" i="10"/>
  <c r="J112" i="10" s="1"/>
  <c r="I110" i="10"/>
  <c r="I112" i="10" s="1"/>
  <c r="H110" i="10"/>
  <c r="H112" i="10" s="1"/>
  <c r="J110" i="9"/>
  <c r="J112" i="9" s="1"/>
  <c r="I110" i="9"/>
  <c r="I111" i="9" s="1"/>
  <c r="H110" i="9"/>
  <c r="H111" i="9" s="1"/>
  <c r="Q111" i="8"/>
  <c r="I111" i="8"/>
  <c r="O112" i="8"/>
  <c r="N112" i="8"/>
  <c r="L112" i="8"/>
  <c r="K111" i="8"/>
  <c r="F111" i="8"/>
  <c r="I111" i="2"/>
  <c r="B2" i="23"/>
  <c r="C110" i="2"/>
  <c r="C111" i="2"/>
  <c r="D110" i="2"/>
  <c r="E110" i="2"/>
  <c r="E111" i="2" s="1"/>
  <c r="F110" i="2"/>
  <c r="F112" i="2" s="1"/>
  <c r="G110" i="2"/>
  <c r="G112" i="2"/>
  <c r="H110" i="2"/>
  <c r="J110" i="2"/>
  <c r="K110" i="2"/>
  <c r="K111" i="2" s="1"/>
  <c r="L110" i="2"/>
  <c r="L112" i="2" s="1"/>
  <c r="M110" i="2"/>
  <c r="M112" i="2" s="1"/>
  <c r="N110" i="2"/>
  <c r="N112" i="2" s="1"/>
  <c r="O110" i="2"/>
  <c r="P110" i="2"/>
  <c r="P112" i="2"/>
  <c r="Q110" i="2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 s="1"/>
  <c r="J110" i="3"/>
  <c r="J111" i="3" s="1"/>
  <c r="K110" i="3"/>
  <c r="K111" i="3" s="1"/>
  <c r="L110" i="3"/>
  <c r="L111" i="3" s="1"/>
  <c r="M110" i="3"/>
  <c r="M112" i="3" s="1"/>
  <c r="N110" i="3"/>
  <c r="N111" i="3" s="1"/>
  <c r="O110" i="3"/>
  <c r="P110" i="3"/>
  <c r="Q110" i="3"/>
  <c r="Q110" i="41"/>
  <c r="Q111" i="41"/>
  <c r="P110" i="41"/>
  <c r="P112" i="41"/>
  <c r="O110" i="41"/>
  <c r="O112" i="41"/>
  <c r="N110" i="41"/>
  <c r="N112" i="41"/>
  <c r="M110" i="41"/>
  <c r="M112" i="41"/>
  <c r="L110" i="41"/>
  <c r="L112" i="41"/>
  <c r="K110" i="41"/>
  <c r="K112" i="41" s="1"/>
  <c r="G110" i="41"/>
  <c r="G112" i="41"/>
  <c r="F110" i="41"/>
  <c r="F112" i="41" s="1"/>
  <c r="E110" i="41"/>
  <c r="E112" i="41"/>
  <c r="D110" i="41"/>
  <c r="D112" i="4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I108" i="41"/>
  <c r="I38" i="39" s="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J108" i="40"/>
  <c r="I108" i="40"/>
  <c r="H108" i="40"/>
  <c r="H37" i="39" s="1"/>
  <c r="G108" i="40"/>
  <c r="G37" i="39"/>
  <c r="F108" i="40"/>
  <c r="F37" i="39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2" i="33"/>
  <c r="M110" i="33"/>
  <c r="M112" i="33"/>
  <c r="L110" i="33"/>
  <c r="L112" i="33"/>
  <c r="K110" i="33"/>
  <c r="K111" i="33"/>
  <c r="F110" i="33"/>
  <c r="F112" i="33" s="1"/>
  <c r="E110" i="33"/>
  <c r="E112" i="33" s="1"/>
  <c r="D110" i="33"/>
  <c r="D112" i="33" s="1"/>
  <c r="C110" i="33"/>
  <c r="C112" i="33" s="1"/>
  <c r="B110" i="33"/>
  <c r="B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/>
  <c r="L108" i="33"/>
  <c r="L36" i="39" s="1"/>
  <c r="K108" i="33"/>
  <c r="J108" i="33"/>
  <c r="I108" i="33"/>
  <c r="I36" i="39" s="1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/>
  <c r="P110" i="32"/>
  <c r="P112" i="32" s="1"/>
  <c r="O110" i="32"/>
  <c r="O112" i="32"/>
  <c r="N110" i="32"/>
  <c r="N111" i="32" s="1"/>
  <c r="M110" i="32"/>
  <c r="M112" i="32" s="1"/>
  <c r="L110" i="32"/>
  <c r="L112" i="32"/>
  <c r="K110" i="32"/>
  <c r="K112" i="32" s="1"/>
  <c r="G110" i="32"/>
  <c r="G112" i="32"/>
  <c r="F110" i="32"/>
  <c r="F112" i="32"/>
  <c r="E110" i="32"/>
  <c r="E111" i="32" s="1"/>
  <c r="D110" i="32"/>
  <c r="D112" i="32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 s="1"/>
  <c r="I108" i="32"/>
  <c r="I35" i="39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 s="1"/>
  <c r="O110" i="31"/>
  <c r="O112" i="31" s="1"/>
  <c r="N110" i="31"/>
  <c r="N112" i="31"/>
  <c r="M110" i="31"/>
  <c r="M111" i="31" s="1"/>
  <c r="L110" i="31"/>
  <c r="L112" i="31"/>
  <c r="K110" i="31"/>
  <c r="K111" i="31"/>
  <c r="F110" i="31"/>
  <c r="F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 s="1"/>
  <c r="O108" i="31"/>
  <c r="O34" i="39"/>
  <c r="N108" i="31"/>
  <c r="N34" i="39"/>
  <c r="M108" i="31"/>
  <c r="L108" i="31"/>
  <c r="K108" i="31"/>
  <c r="K34" i="39" s="1"/>
  <c r="J108" i="31"/>
  <c r="I108" i="31"/>
  <c r="H108" i="31"/>
  <c r="H34" i="39" s="1"/>
  <c r="G108" i="31"/>
  <c r="F108" i="31"/>
  <c r="E108" i="31"/>
  <c r="D108" i="31"/>
  <c r="D34" i="39"/>
  <c r="C108" i="31"/>
  <c r="C34" i="39" s="1"/>
  <c r="B108" i="31"/>
  <c r="B34" i="39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2" i="30" s="1"/>
  <c r="O110" i="30"/>
  <c r="O112" i="30" s="1"/>
  <c r="N110" i="30"/>
  <c r="N112" i="30"/>
  <c r="M110" i="30"/>
  <c r="M112" i="30" s="1"/>
  <c r="L110" i="30"/>
  <c r="L112" i="30"/>
  <c r="K110" i="30"/>
  <c r="K112" i="30"/>
  <c r="G110" i="30"/>
  <c r="G111" i="30" s="1"/>
  <c r="F110" i="30"/>
  <c r="F112" i="30" s="1"/>
  <c r="E110" i="30"/>
  <c r="E112" i="30" s="1"/>
  <c r="D110" i="30"/>
  <c r="D112" i="30" s="1"/>
  <c r="C110" i="30"/>
  <c r="C111" i="30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/>
  <c r="O108" i="30"/>
  <c r="O33" i="39" s="1"/>
  <c r="N108" i="30"/>
  <c r="N33" i="39" s="1"/>
  <c r="M108" i="30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/>
  <c r="P110" i="29"/>
  <c r="P112" i="29"/>
  <c r="O110" i="29"/>
  <c r="O112" i="29"/>
  <c r="N110" i="29"/>
  <c r="N112" i="29"/>
  <c r="M110" i="29"/>
  <c r="M112" i="29" s="1"/>
  <c r="L110" i="29"/>
  <c r="L112" i="29"/>
  <c r="K110" i="29"/>
  <c r="K112" i="29"/>
  <c r="G110" i="29"/>
  <c r="G111" i="29"/>
  <c r="F110" i="29"/>
  <c r="F111" i="29"/>
  <c r="E110" i="29"/>
  <c r="E112" i="29"/>
  <c r="D110" i="29"/>
  <c r="D112" i="29"/>
  <c r="C110" i="29"/>
  <c r="C112" i="29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E32" i="3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/>
  <c r="P110" i="28"/>
  <c r="P111" i="28" s="1"/>
  <c r="O110" i="28"/>
  <c r="O112" i="28"/>
  <c r="N110" i="28"/>
  <c r="N112" i="28"/>
  <c r="M110" i="28"/>
  <c r="M112" i="28" s="1"/>
  <c r="L110" i="28"/>
  <c r="L112" i="28" s="1"/>
  <c r="K110" i="28"/>
  <c r="K112" i="28"/>
  <c r="G110" i="28"/>
  <c r="G112" i="28"/>
  <c r="F110" i="28"/>
  <c r="F112" i="28"/>
  <c r="E110" i="28"/>
  <c r="E112" i="28" s="1"/>
  <c r="D110" i="28"/>
  <c r="D112" i="28"/>
  <c r="C110" i="28"/>
  <c r="C112" i="28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/>
  <c r="K108" i="28"/>
  <c r="K31" i="39" s="1"/>
  <c r="J108" i="28"/>
  <c r="I108" i="28"/>
  <c r="H108" i="28"/>
  <c r="H31" i="39"/>
  <c r="G108" i="28"/>
  <c r="F108" i="28"/>
  <c r="E108" i="28"/>
  <c r="E31" i="39" s="1"/>
  <c r="D108" i="28"/>
  <c r="D31" i="39"/>
  <c r="C108" i="28"/>
  <c r="C31" i="39"/>
  <c r="B108" i="28"/>
  <c r="B31" i="39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M112" i="27"/>
  <c r="L112" i="27"/>
  <c r="K112" i="27"/>
  <c r="J112" i="27"/>
  <c r="H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 s="1"/>
  <c r="M108" i="27"/>
  <c r="L108" i="27"/>
  <c r="K108" i="27"/>
  <c r="K30" i="39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N112" i="26"/>
  <c r="M111" i="26"/>
  <c r="L112" i="26"/>
  <c r="K112" i="26"/>
  <c r="D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/>
  <c r="K108" i="26"/>
  <c r="J108" i="26"/>
  <c r="I108" i="26"/>
  <c r="H108" i="26"/>
  <c r="G108" i="26"/>
  <c r="F108" i="26"/>
  <c r="E108" i="26"/>
  <c r="D108" i="26"/>
  <c r="C108" i="26"/>
  <c r="C29" i="39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E28" i="39" s="1"/>
  <c r="D108" i="25"/>
  <c r="D28" i="39"/>
  <c r="C108" i="25"/>
  <c r="C28" i="39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/>
  <c r="P110" i="24"/>
  <c r="P112" i="24" s="1"/>
  <c r="O110" i="24"/>
  <c r="O112" i="24" s="1"/>
  <c r="N110" i="24"/>
  <c r="N112" i="24" s="1"/>
  <c r="M110" i="24"/>
  <c r="M112" i="24"/>
  <c r="L110" i="24"/>
  <c r="L112" i="24" s="1"/>
  <c r="K110" i="24"/>
  <c r="K112" i="24"/>
  <c r="G110" i="24"/>
  <c r="G112" i="24"/>
  <c r="F110" i="24"/>
  <c r="F112" i="24"/>
  <c r="E110" i="24"/>
  <c r="E112" i="24" s="1"/>
  <c r="D110" i="24"/>
  <c r="D112" i="24" s="1"/>
  <c r="C110" i="24"/>
  <c r="C112" i="24" s="1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N27" i="39"/>
  <c r="M108" i="24"/>
  <c r="L108" i="24"/>
  <c r="K108" i="24"/>
  <c r="K27" i="39" s="1"/>
  <c r="J108" i="24"/>
  <c r="I108" i="24"/>
  <c r="H108" i="24"/>
  <c r="G108" i="24"/>
  <c r="F108" i="24"/>
  <c r="E108" i="24"/>
  <c r="E27" i="39"/>
  <c r="D108" i="24"/>
  <c r="D27" i="39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2" i="23"/>
  <c r="P112" i="23"/>
  <c r="O112" i="23"/>
  <c r="N112" i="23"/>
  <c r="M112" i="23"/>
  <c r="L112" i="23"/>
  <c r="K112" i="23"/>
  <c r="H112" i="23"/>
  <c r="G111" i="23"/>
  <c r="F111" i="23"/>
  <c r="E112" i="23"/>
  <c r="D112" i="23"/>
  <c r="C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/>
  <c r="O108" i="23"/>
  <c r="N108" i="23"/>
  <c r="N26" i="39"/>
  <c r="M108" i="23"/>
  <c r="M26" i="39"/>
  <c r="L108" i="23"/>
  <c r="K108" i="23"/>
  <c r="J108" i="23"/>
  <c r="I108" i="23"/>
  <c r="I26" i="39" s="1"/>
  <c r="H108" i="23"/>
  <c r="G108" i="23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/>
  <c r="N110" i="22"/>
  <c r="N112" i="22" s="1"/>
  <c r="M110" i="22"/>
  <c r="M112" i="22"/>
  <c r="L110" i="22"/>
  <c r="L111" i="22" s="1"/>
  <c r="K110" i="22"/>
  <c r="K112" i="22"/>
  <c r="F110" i="22"/>
  <c r="F111" i="22" s="1"/>
  <c r="E110" i="22"/>
  <c r="E112" i="22" s="1"/>
  <c r="D110" i="22"/>
  <c r="D112" i="22" s="1"/>
  <c r="C110" i="22"/>
  <c r="C112" i="22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 s="1"/>
  <c r="P110" i="21"/>
  <c r="P111" i="21" s="1"/>
  <c r="O110" i="21"/>
  <c r="O112" i="21" s="1"/>
  <c r="N110" i="21"/>
  <c r="N112" i="21"/>
  <c r="M110" i="21"/>
  <c r="M112" i="21" s="1"/>
  <c r="L110" i="21"/>
  <c r="L112" i="21" s="1"/>
  <c r="K110" i="21"/>
  <c r="K112" i="21" s="1"/>
  <c r="G110" i="21"/>
  <c r="G111" i="21"/>
  <c r="F110" i="21"/>
  <c r="F112" i="21" s="1"/>
  <c r="E110" i="21"/>
  <c r="E112" i="21" s="1"/>
  <c r="D110" i="21"/>
  <c r="D111" i="21" s="1"/>
  <c r="C110" i="21"/>
  <c r="C112" i="2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/>
  <c r="M108" i="21"/>
  <c r="M24" i="39" s="1"/>
  <c r="L108" i="21"/>
  <c r="L24" i="39" s="1"/>
  <c r="K108" i="21"/>
  <c r="K24" i="39" s="1"/>
  <c r="J108" i="21"/>
  <c r="J24" i="39"/>
  <c r="I108" i="21"/>
  <c r="I24" i="39" s="1"/>
  <c r="H108" i="21"/>
  <c r="G108" i="21"/>
  <c r="F108" i="21"/>
  <c r="E108" i="21"/>
  <c r="D108" i="21"/>
  <c r="D24" i="39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P111" i="20"/>
  <c r="O112" i="20"/>
  <c r="N111" i="20"/>
  <c r="M112" i="20"/>
  <c r="L112" i="20"/>
  <c r="K112" i="20"/>
  <c r="G112" i="20"/>
  <c r="F112" i="20"/>
  <c r="E112" i="20"/>
  <c r="D112" i="20"/>
  <c r="C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O108" i="20"/>
  <c r="N108" i="20"/>
  <c r="M108" i="20"/>
  <c r="L108" i="20"/>
  <c r="K108" i="20"/>
  <c r="J108" i="20"/>
  <c r="J23" i="39" s="1"/>
  <c r="I108" i="20"/>
  <c r="H108" i="20"/>
  <c r="G108" i="20"/>
  <c r="F108" i="20"/>
  <c r="F23" i="39" s="1"/>
  <c r="E108" i="20"/>
  <c r="D108" i="20"/>
  <c r="D23" i="39" s="1"/>
  <c r="C108" i="20"/>
  <c r="B108" i="20"/>
  <c r="B23" i="39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/>
  <c r="O110" i="19"/>
  <c r="O112" i="19"/>
  <c r="N110" i="19"/>
  <c r="N112" i="19"/>
  <c r="M110" i="19"/>
  <c r="M111" i="19" s="1"/>
  <c r="L110" i="19"/>
  <c r="L112" i="19"/>
  <c r="K110" i="19"/>
  <c r="K111" i="19"/>
  <c r="G110" i="19"/>
  <c r="G112" i="19"/>
  <c r="F110" i="19"/>
  <c r="F112" i="19" s="1"/>
  <c r="E110" i="19"/>
  <c r="E111" i="19"/>
  <c r="D110" i="19"/>
  <c r="D112" i="19"/>
  <c r="C110" i="19"/>
  <c r="C111" i="19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/>
  <c r="J108" i="19"/>
  <c r="I108" i="19"/>
  <c r="I22" i="39"/>
  <c r="H108" i="19"/>
  <c r="G108" i="19"/>
  <c r="F108" i="19"/>
  <c r="F22" i="39" s="1"/>
  <c r="E108" i="19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/>
  <c r="P110" i="18"/>
  <c r="P112" i="18" s="1"/>
  <c r="O110" i="18"/>
  <c r="O112" i="18" s="1"/>
  <c r="N110" i="18"/>
  <c r="N112" i="18" s="1"/>
  <c r="M110" i="18"/>
  <c r="M111" i="18"/>
  <c r="L110" i="18"/>
  <c r="L112" i="18" s="1"/>
  <c r="K110" i="18"/>
  <c r="K112" i="18" s="1"/>
  <c r="J111" i="18"/>
  <c r="I112" i="18"/>
  <c r="H112" i="18"/>
  <c r="G110" i="18"/>
  <c r="G112" i="18"/>
  <c r="F110" i="18"/>
  <c r="F112" i="18"/>
  <c r="E110" i="18"/>
  <c r="E112" i="18"/>
  <c r="D110" i="18"/>
  <c r="D112" i="18" s="1"/>
  <c r="C110" i="18"/>
  <c r="C111" i="18"/>
  <c r="B110" i="18"/>
  <c r="B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K21" i="39"/>
  <c r="J108" i="18"/>
  <c r="I108" i="18"/>
  <c r="I21" i="39" s="1"/>
  <c r="H108" i="18"/>
  <c r="H21" i="39"/>
  <c r="G108" i="18"/>
  <c r="F108" i="18"/>
  <c r="F21" i="39"/>
  <c r="E108" i="18"/>
  <c r="E21" i="39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 s="1"/>
  <c r="O110" i="17"/>
  <c r="O112" i="17" s="1"/>
  <c r="N110" i="17"/>
  <c r="N111" i="17" s="1"/>
  <c r="M110" i="17"/>
  <c r="M112" i="17"/>
  <c r="L110" i="17"/>
  <c r="L111" i="17"/>
  <c r="K110" i="17"/>
  <c r="K111" i="17"/>
  <c r="G110" i="17"/>
  <c r="G112" i="17"/>
  <c r="F110" i="17"/>
  <c r="F111" i="17"/>
  <c r="E110" i="17"/>
  <c r="E111" i="17" s="1"/>
  <c r="D110" i="17"/>
  <c r="D111" i="17" s="1"/>
  <c r="C110" i="17"/>
  <c r="C111" i="17" s="1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 s="1"/>
  <c r="I108" i="17"/>
  <c r="I20" i="39"/>
  <c r="H108" i="17"/>
  <c r="H20" i="39"/>
  <c r="G108" i="17"/>
  <c r="G20" i="39"/>
  <c r="F108" i="17"/>
  <c r="E108" i="17"/>
  <c r="D108" i="17"/>
  <c r="C108" i="17"/>
  <c r="C20" i="39" s="1"/>
  <c r="B108" i="17"/>
  <c r="B20" i="39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 s="1"/>
  <c r="O110" i="16"/>
  <c r="O112" i="16"/>
  <c r="N110" i="16"/>
  <c r="N112" i="16" s="1"/>
  <c r="M110" i="16"/>
  <c r="M112" i="16"/>
  <c r="L110" i="16"/>
  <c r="L112" i="16"/>
  <c r="K110" i="16"/>
  <c r="K112" i="16"/>
  <c r="G110" i="16"/>
  <c r="G112" i="16" s="1"/>
  <c r="F110" i="16"/>
  <c r="F112" i="16"/>
  <c r="E110" i="16"/>
  <c r="E112" i="16" s="1"/>
  <c r="D110" i="16"/>
  <c r="D112" i="16"/>
  <c r="C110" i="16"/>
  <c r="C112" i="16" s="1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/>
  <c r="O108" i="16"/>
  <c r="O19" i="39" s="1"/>
  <c r="N108" i="16"/>
  <c r="M108" i="16"/>
  <c r="M19" i="39" s="1"/>
  <c r="L108" i="16"/>
  <c r="L19" i="39"/>
  <c r="K108" i="16"/>
  <c r="J108" i="16"/>
  <c r="J19" i="39" s="1"/>
  <c r="I108" i="16"/>
  <c r="I19" i="39"/>
  <c r="H108" i="16"/>
  <c r="G108" i="16"/>
  <c r="F108" i="16"/>
  <c r="E108" i="16"/>
  <c r="E19" i="39" s="1"/>
  <c r="D108" i="16"/>
  <c r="D19" i="39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 s="1"/>
  <c r="O110" i="15"/>
  <c r="O112" i="15"/>
  <c r="N110" i="15"/>
  <c r="N112" i="15"/>
  <c r="M110" i="15"/>
  <c r="M112" i="15"/>
  <c r="L110" i="15"/>
  <c r="L111" i="15" s="1"/>
  <c r="K110" i="15"/>
  <c r="K112" i="15"/>
  <c r="G110" i="15"/>
  <c r="G111" i="15"/>
  <c r="F110" i="15"/>
  <c r="F112" i="15"/>
  <c r="E110" i="15"/>
  <c r="E112" i="15" s="1"/>
  <c r="D110" i="15"/>
  <c r="D112" i="15"/>
  <c r="C110" i="15"/>
  <c r="C112" i="15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N18" i="39" s="1"/>
  <c r="M108" i="15"/>
  <c r="L108" i="15"/>
  <c r="K108" i="15"/>
  <c r="K18" i="39" s="1"/>
  <c r="J108" i="15"/>
  <c r="I108" i="15"/>
  <c r="H108" i="15"/>
  <c r="G108" i="15"/>
  <c r="F108" i="15"/>
  <c r="E108" i="15"/>
  <c r="D108" i="15"/>
  <c r="C108" i="15"/>
  <c r="C18" i="39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 s="1"/>
  <c r="O110" i="14"/>
  <c r="O111" i="14"/>
  <c r="N110" i="14"/>
  <c r="N112" i="14" s="1"/>
  <c r="M110" i="14"/>
  <c r="M112" i="14" s="1"/>
  <c r="L110" i="14"/>
  <c r="L112" i="14" s="1"/>
  <c r="K110" i="14"/>
  <c r="K112" i="14"/>
  <c r="G110" i="14"/>
  <c r="G112" i="14" s="1"/>
  <c r="F110" i="14"/>
  <c r="F111" i="14"/>
  <c r="E110" i="14"/>
  <c r="E112" i="14" s="1"/>
  <c r="D110" i="14"/>
  <c r="D112" i="14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N17" i="39"/>
  <c r="M108" i="14"/>
  <c r="L108" i="14"/>
  <c r="K108" i="14"/>
  <c r="K17" i="39"/>
  <c r="J108" i="14"/>
  <c r="I108" i="14"/>
  <c r="H108" i="14"/>
  <c r="G108" i="14"/>
  <c r="G17" i="39" s="1"/>
  <c r="F108" i="14"/>
  <c r="F17" i="39" s="1"/>
  <c r="E108" i="14"/>
  <c r="D108" i="14"/>
  <c r="D17" i="39" s="1"/>
  <c r="C108" i="14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1" i="13" s="1"/>
  <c r="O110" i="13"/>
  <c r="O111" i="13"/>
  <c r="N110" i="13"/>
  <c r="N112" i="13"/>
  <c r="M110" i="13"/>
  <c r="M111" i="13"/>
  <c r="L110" i="13"/>
  <c r="L112" i="13" s="1"/>
  <c r="K110" i="13"/>
  <c r="K112" i="13"/>
  <c r="G110" i="13"/>
  <c r="G112" i="13" s="1"/>
  <c r="F110" i="13"/>
  <c r="F112" i="13"/>
  <c r="E110" i="13"/>
  <c r="E112" i="13" s="1"/>
  <c r="D110" i="13"/>
  <c r="D111" i="13"/>
  <c r="C110" i="13"/>
  <c r="C112" i="13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P16" i="39"/>
  <c r="O108" i="13"/>
  <c r="O16" i="39" s="1"/>
  <c r="N108" i="13"/>
  <c r="M108" i="13"/>
  <c r="L108" i="13"/>
  <c r="K108" i="13"/>
  <c r="J108" i="13"/>
  <c r="I108" i="13"/>
  <c r="H108" i="13"/>
  <c r="H16" i="39" s="1"/>
  <c r="G108" i="13"/>
  <c r="G16" i="39" s="1"/>
  <c r="F108" i="13"/>
  <c r="E108" i="13"/>
  <c r="D108" i="13"/>
  <c r="C108" i="13"/>
  <c r="C16" i="39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 s="1"/>
  <c r="P110" i="12"/>
  <c r="P112" i="12"/>
  <c r="O110" i="12"/>
  <c r="O111" i="12" s="1"/>
  <c r="N110" i="12"/>
  <c r="N112" i="12" s="1"/>
  <c r="M110" i="12"/>
  <c r="M111" i="12" s="1"/>
  <c r="L110" i="12"/>
  <c r="L112" i="12"/>
  <c r="K110" i="12"/>
  <c r="K111" i="12" s="1"/>
  <c r="G110" i="12"/>
  <c r="G112" i="12"/>
  <c r="E110" i="12"/>
  <c r="E112" i="12" s="1"/>
  <c r="D110" i="12"/>
  <c r="D112" i="12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/>
  <c r="N108" i="12"/>
  <c r="M108" i="12"/>
  <c r="L108" i="12"/>
  <c r="K108" i="12"/>
  <c r="J108" i="12"/>
  <c r="I108" i="12"/>
  <c r="I15" i="39"/>
  <c r="H108" i="12"/>
  <c r="G108" i="12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P110" i="11"/>
  <c r="P112" i="11" s="1"/>
  <c r="O110" i="11"/>
  <c r="O112" i="11"/>
  <c r="N110" i="11"/>
  <c r="N112" i="11" s="1"/>
  <c r="M110" i="11"/>
  <c r="M112" i="11" s="1"/>
  <c r="L110" i="11"/>
  <c r="L112" i="11" s="1"/>
  <c r="K110" i="11"/>
  <c r="K112" i="11"/>
  <c r="F110" i="11"/>
  <c r="F112" i="11" s="1"/>
  <c r="E110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/>
  <c r="O108" i="11"/>
  <c r="O14" i="39" s="1"/>
  <c r="N108" i="11"/>
  <c r="N14" i="39" s="1"/>
  <c r="M108" i="11"/>
  <c r="M14" i="39" s="1"/>
  <c r="L108" i="11"/>
  <c r="K108" i="11"/>
  <c r="K14" i="39"/>
  <c r="J108" i="11"/>
  <c r="J14" i="39" s="1"/>
  <c r="I108" i="11"/>
  <c r="H108" i="11"/>
  <c r="G108" i="11"/>
  <c r="G14" i="39" s="1"/>
  <c r="F108" i="11"/>
  <c r="E108" i="11"/>
  <c r="D108" i="11"/>
  <c r="D14" i="39"/>
  <c r="C108" i="11"/>
  <c r="C14" i="39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2" i="10" s="1"/>
  <c r="P110" i="10"/>
  <c r="P112" i="10"/>
  <c r="O110" i="10"/>
  <c r="O111" i="10" s="1"/>
  <c r="N110" i="10"/>
  <c r="N112" i="10"/>
  <c r="M110" i="10"/>
  <c r="M111" i="10"/>
  <c r="L110" i="10"/>
  <c r="L111" i="10"/>
  <c r="K110" i="10"/>
  <c r="K112" i="10" s="1"/>
  <c r="G110" i="10"/>
  <c r="G112" i="10"/>
  <c r="F110" i="10"/>
  <c r="F112" i="10" s="1"/>
  <c r="E110" i="10"/>
  <c r="E112" i="10"/>
  <c r="D110" i="10"/>
  <c r="D112" i="10" s="1"/>
  <c r="C110" i="10"/>
  <c r="C112" i="10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/>
  <c r="P108" i="10"/>
  <c r="O108" i="10"/>
  <c r="O13" i="39"/>
  <c r="N108" i="10"/>
  <c r="M108" i="10"/>
  <c r="M13" i="39" s="1"/>
  <c r="L108" i="10"/>
  <c r="L13" i="39"/>
  <c r="K108" i="10"/>
  <c r="K13" i="39" s="1"/>
  <c r="J108" i="10"/>
  <c r="I108" i="10"/>
  <c r="I13" i="39" s="1"/>
  <c r="H108" i="10"/>
  <c r="H13" i="39" s="1"/>
  <c r="G108" i="10"/>
  <c r="G13" i="39" s="1"/>
  <c r="F108" i="10"/>
  <c r="F13" i="39"/>
  <c r="E108" i="10"/>
  <c r="E13" i="39" s="1"/>
  <c r="D108" i="10"/>
  <c r="D13" i="39"/>
  <c r="C108" i="10"/>
  <c r="C13" i="39" s="1"/>
  <c r="B108" i="10"/>
  <c r="B13" i="39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/>
  <c r="N110" i="9"/>
  <c r="N112" i="9" s="1"/>
  <c r="M110" i="9"/>
  <c r="M112" i="9"/>
  <c r="L110" i="9"/>
  <c r="L112" i="9" s="1"/>
  <c r="K110" i="9"/>
  <c r="K112" i="9"/>
  <c r="G110" i="9"/>
  <c r="G112" i="9" s="1"/>
  <c r="F110" i="9"/>
  <c r="F111" i="9" s="1"/>
  <c r="E110" i="9"/>
  <c r="E112" i="9" s="1"/>
  <c r="D110" i="9"/>
  <c r="D111" i="9"/>
  <c r="C110" i="9"/>
  <c r="C112" i="9" s="1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N108" i="9"/>
  <c r="N12" i="39" s="1"/>
  <c r="M108" i="9"/>
  <c r="M12" i="39" s="1"/>
  <c r="L108" i="9"/>
  <c r="L12" i="39" s="1"/>
  <c r="K108" i="9"/>
  <c r="J108" i="9"/>
  <c r="J12" i="39"/>
  <c r="I108" i="9"/>
  <c r="H108" i="9"/>
  <c r="H12" i="39" s="1"/>
  <c r="G108" i="9"/>
  <c r="G12" i="39"/>
  <c r="F108" i="9"/>
  <c r="E108" i="9"/>
  <c r="E12" i="39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M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/>
  <c r="N108" i="8"/>
  <c r="M108" i="8"/>
  <c r="M11" i="39" s="1"/>
  <c r="L108" i="8"/>
  <c r="L11" i="39"/>
  <c r="K108" i="8"/>
  <c r="K11" i="39"/>
  <c r="J108" i="8"/>
  <c r="I108" i="8"/>
  <c r="I11" i="39" s="1"/>
  <c r="H108" i="8"/>
  <c r="H11" i="39" s="1"/>
  <c r="G108" i="8"/>
  <c r="G11" i="39" s="1"/>
  <c r="F108" i="8"/>
  <c r="F11" i="39"/>
  <c r="E108" i="8"/>
  <c r="E11" i="39" s="1"/>
  <c r="D108" i="8"/>
  <c r="D11" i="39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K112" i="3"/>
  <c r="B110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1" i="2" s="1"/>
  <c r="B112" i="2"/>
  <c r="D112" i="2"/>
  <c r="O112" i="2"/>
  <c r="Q112" i="2"/>
  <c r="T40" i="6"/>
  <c r="T21" i="6"/>
  <c r="K88" i="6"/>
  <c r="J88" i="6"/>
  <c r="K115" i="6"/>
  <c r="J115" i="6"/>
  <c r="I115" i="6"/>
  <c r="I12" i="39"/>
  <c r="F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D26" i="39"/>
  <c r="H26" i="39"/>
  <c r="J26" i="39"/>
  <c r="K26" i="39"/>
  <c r="L26" i="39"/>
  <c r="O25" i="39"/>
  <c r="N25" i="39"/>
  <c r="L25" i="39"/>
  <c r="K25" i="39"/>
  <c r="J25" i="39"/>
  <c r="H25" i="39"/>
  <c r="G25" i="39"/>
  <c r="F25" i="39"/>
  <c r="E25" i="39"/>
  <c r="D25" i="39"/>
  <c r="C25" i="39"/>
  <c r="Q24" i="39"/>
  <c r="G24" i="39"/>
  <c r="E24" i="39"/>
  <c r="A24" i="39"/>
  <c r="M23" i="39"/>
  <c r="L23" i="39"/>
  <c r="K23" i="39"/>
  <c r="I23" i="39"/>
  <c r="H23" i="39"/>
  <c r="E23" i="39"/>
  <c r="Q22" i="39"/>
  <c r="N22" i="39"/>
  <c r="M22" i="39"/>
  <c r="L22" i="39"/>
  <c r="G22" i="39"/>
  <c r="C22" i="39"/>
  <c r="Q21" i="39"/>
  <c r="P21" i="39"/>
  <c r="M21" i="39"/>
  <c r="L21" i="39"/>
  <c r="J21" i="39"/>
  <c r="G21" i="39"/>
  <c r="D21" i="39"/>
  <c r="C21" i="39"/>
  <c r="B21" i="39"/>
  <c r="A21" i="39"/>
  <c r="M20" i="39"/>
  <c r="E20" i="39"/>
  <c r="A20" i="39"/>
  <c r="K19" i="39"/>
  <c r="H19" i="39"/>
  <c r="G19" i="39"/>
  <c r="B19" i="39"/>
  <c r="M18" i="39"/>
  <c r="L18" i="39"/>
  <c r="J18" i="39"/>
  <c r="I18" i="39"/>
  <c r="H18" i="39"/>
  <c r="G18" i="39"/>
  <c r="E18" i="39"/>
  <c r="D18" i="39"/>
  <c r="P17" i="39"/>
  <c r="M17" i="39"/>
  <c r="L17" i="39"/>
  <c r="I17" i="39"/>
  <c r="C17" i="39"/>
  <c r="A17" i="39"/>
  <c r="Q16" i="39"/>
  <c r="L16" i="39"/>
  <c r="J16" i="39"/>
  <c r="I16" i="39"/>
  <c r="F16" i="39"/>
  <c r="E16" i="39"/>
  <c r="D16" i="39"/>
  <c r="B16" i="39"/>
  <c r="N15" i="39"/>
  <c r="M15" i="39"/>
  <c r="L15" i="39"/>
  <c r="H15" i="39"/>
  <c r="G15" i="39"/>
  <c r="F15" i="39"/>
  <c r="C15" i="39"/>
  <c r="L14" i="39"/>
  <c r="I14" i="39"/>
  <c r="H14" i="39"/>
  <c r="F14" i="39"/>
  <c r="E14" i="39"/>
  <c r="P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/>
  <c r="C108" i="2"/>
  <c r="C9" i="39" s="1"/>
  <c r="D108" i="2"/>
  <c r="D9" i="39"/>
  <c r="E108" i="2"/>
  <c r="E9" i="39" s="1"/>
  <c r="F108" i="2"/>
  <c r="F9" i="39" s="1"/>
  <c r="G108" i="2"/>
  <c r="G9" i="39" s="1"/>
  <c r="H108" i="2"/>
  <c r="H9" i="39" s="1"/>
  <c r="I108" i="2"/>
  <c r="I9" i="39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G36" i="39"/>
  <c r="E36" i="39"/>
  <c r="D36" i="39"/>
  <c r="C36" i="39"/>
  <c r="A36" i="39"/>
  <c r="P35" i="39"/>
  <c r="G35" i="39"/>
  <c r="E35" i="39"/>
  <c r="C35" i="39"/>
  <c r="M34" i="39"/>
  <c r="L34" i="39"/>
  <c r="J34" i="39"/>
  <c r="I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J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F28" i="39"/>
  <c r="B28" i="39"/>
  <c r="P27" i="39"/>
  <c r="O27" i="39"/>
  <c r="M27" i="39"/>
  <c r="L27" i="39"/>
  <c r="H27" i="39"/>
  <c r="G27" i="39"/>
  <c r="B27" i="39"/>
  <c r="O26" i="39"/>
  <c r="G26" i="39"/>
  <c r="I25" i="39"/>
  <c r="P24" i="39"/>
  <c r="H24" i="39"/>
  <c r="N23" i="39"/>
  <c r="C23" i="39"/>
  <c r="O22" i="39"/>
  <c r="D22" i="39"/>
  <c r="O21" i="39"/>
  <c r="P20" i="39"/>
  <c r="F20" i="39"/>
  <c r="D20" i="39"/>
  <c r="F18" i="39"/>
  <c r="E17" i="39"/>
  <c r="M16" i="39"/>
  <c r="K16" i="39"/>
  <c r="K15" i="39"/>
  <c r="J15" i="39"/>
  <c r="Q12" i="39"/>
  <c r="O12" i="39"/>
  <c r="B12" i="39"/>
  <c r="N11" i="39"/>
  <c r="P10" i="39"/>
  <c r="P36" i="39"/>
  <c r="E34" i="39"/>
  <c r="E26" i="39"/>
  <c r="P23" i="39"/>
  <c r="P18" i="39"/>
  <c r="Q17" i="39"/>
  <c r="P15" i="39"/>
  <c r="B2" i="2"/>
  <c r="A9" i="39"/>
  <c r="B2" i="39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N19" i="39"/>
  <c r="F19" i="39"/>
  <c r="O18" i="39"/>
  <c r="O17" i="39"/>
  <c r="J17" i="39"/>
  <c r="H17" i="39"/>
  <c r="N16" i="39"/>
  <c r="K28" i="6"/>
  <c r="J28" i="6"/>
  <c r="N13" i="39"/>
  <c r="J13" i="39"/>
  <c r="D9" i="5"/>
  <c r="D24" i="5" s="1"/>
  <c r="D10" i="5"/>
  <c r="I119" i="6"/>
  <c r="J101" i="6"/>
  <c r="J81" i="6"/>
  <c r="J61" i="6"/>
  <c r="I21" i="6"/>
  <c r="D8" i="5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111" i="2"/>
  <c r="H22" i="39"/>
  <c r="O111" i="2"/>
  <c r="P111" i="41"/>
  <c r="O111" i="41"/>
  <c r="N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Q111" i="32"/>
  <c r="O111" i="32"/>
  <c r="M111" i="32"/>
  <c r="L111" i="32"/>
  <c r="K111" i="32"/>
  <c r="G111" i="32"/>
  <c r="F111" i="32"/>
  <c r="D111" i="32"/>
  <c r="O111" i="31"/>
  <c r="N111" i="31"/>
  <c r="L111" i="31"/>
  <c r="F111" i="31"/>
  <c r="D111" i="31"/>
  <c r="C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O111" i="28"/>
  <c r="N111" i="28"/>
  <c r="M111" i="28"/>
  <c r="L111" i="28"/>
  <c r="K111" i="28"/>
  <c r="G111" i="28"/>
  <c r="F111" i="28"/>
  <c r="E111" i="28"/>
  <c r="D111" i="28"/>
  <c r="C111" i="28"/>
  <c r="P111" i="27"/>
  <c r="N111" i="27"/>
  <c r="M111" i="27"/>
  <c r="L111" i="27"/>
  <c r="B111" i="27"/>
  <c r="N111" i="26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P111" i="23"/>
  <c r="N111" i="23"/>
  <c r="M111" i="23"/>
  <c r="L111" i="23"/>
  <c r="K111" i="23"/>
  <c r="H111" i="23"/>
  <c r="E111" i="23"/>
  <c r="D111" i="23"/>
  <c r="C111" i="23"/>
  <c r="P111" i="22"/>
  <c r="N111" i="22"/>
  <c r="M111" i="22"/>
  <c r="K111" i="22"/>
  <c r="E111" i="22"/>
  <c r="D111" i="22"/>
  <c r="C111" i="22"/>
  <c r="B111" i="22"/>
  <c r="Q111" i="21"/>
  <c r="N111" i="21"/>
  <c r="M111" i="21"/>
  <c r="L111" i="21"/>
  <c r="K111" i="21"/>
  <c r="E111" i="21"/>
  <c r="C111" i="21"/>
  <c r="B111" i="21"/>
  <c r="O111" i="20"/>
  <c r="M111" i="20"/>
  <c r="L111" i="20"/>
  <c r="K111" i="20"/>
  <c r="G111" i="20"/>
  <c r="F111" i="20"/>
  <c r="E111" i="20"/>
  <c r="D111" i="20"/>
  <c r="P111" i="19"/>
  <c r="O111" i="19"/>
  <c r="N111" i="19"/>
  <c r="L111" i="19"/>
  <c r="H111" i="19"/>
  <c r="G111" i="19"/>
  <c r="F111" i="19"/>
  <c r="D111" i="19"/>
  <c r="B111" i="19"/>
  <c r="Q111" i="18"/>
  <c r="P111" i="18"/>
  <c r="O111" i="18"/>
  <c r="N111" i="18"/>
  <c r="L111" i="18"/>
  <c r="I111" i="18"/>
  <c r="H111" i="18"/>
  <c r="G111" i="18"/>
  <c r="F111" i="18"/>
  <c r="E111" i="18"/>
  <c r="D111" i="18"/>
  <c r="P111" i="17"/>
  <c r="O111" i="17"/>
  <c r="G111" i="17"/>
  <c r="B111" i="17"/>
  <c r="O111" i="16"/>
  <c r="N111" i="16"/>
  <c r="L111" i="16"/>
  <c r="G111" i="16"/>
  <c r="F111" i="16"/>
  <c r="E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G111" i="13"/>
  <c r="F111" i="13"/>
  <c r="E111" i="13"/>
  <c r="C111" i="13"/>
  <c r="Q111" i="12"/>
  <c r="P111" i="12"/>
  <c r="N111" i="12"/>
  <c r="L111" i="12"/>
  <c r="E111" i="12"/>
  <c r="D111" i="12"/>
  <c r="C111" i="12"/>
  <c r="B111" i="12"/>
  <c r="O111" i="11"/>
  <c r="M111" i="11"/>
  <c r="L111" i="11"/>
  <c r="K111" i="11"/>
  <c r="E111" i="11"/>
  <c r="Q111" i="10"/>
  <c r="P111" i="10"/>
  <c r="N111" i="10"/>
  <c r="K111" i="10"/>
  <c r="G111" i="10"/>
  <c r="F111" i="10"/>
  <c r="C111" i="10"/>
  <c r="B111" i="10"/>
  <c r="P111" i="9"/>
  <c r="N111" i="9"/>
  <c r="M111" i="9"/>
  <c r="K111" i="9"/>
  <c r="E111" i="9"/>
  <c r="C111" i="9"/>
  <c r="M111" i="8"/>
  <c r="Q111" i="3"/>
  <c r="P111" i="3"/>
  <c r="O111" i="3"/>
  <c r="H111" i="3"/>
  <c r="G111" i="3"/>
  <c r="C112" i="30"/>
  <c r="C112" i="17"/>
  <c r="D112" i="3"/>
  <c r="M111" i="2"/>
  <c r="K112" i="2"/>
  <c r="Q111" i="2"/>
  <c r="G111" i="2"/>
  <c r="J112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1" i="10"/>
  <c r="I112" i="9"/>
  <c r="H112" i="9"/>
  <c r="B111" i="9"/>
  <c r="J112" i="8"/>
  <c r="P111" i="8"/>
  <c r="L111" i="8"/>
  <c r="O111" i="8"/>
  <c r="I112" i="8"/>
  <c r="H112" i="8"/>
  <c r="F112" i="8"/>
  <c r="N111" i="8"/>
  <c r="J111" i="13"/>
  <c r="P112" i="13"/>
  <c r="J112" i="12"/>
  <c r="H112" i="12"/>
  <c r="I112" i="12"/>
  <c r="G111" i="12"/>
  <c r="O112" i="12"/>
  <c r="J112" i="11"/>
  <c r="P111" i="11"/>
  <c r="H112" i="11"/>
  <c r="G111" i="11"/>
  <c r="I112" i="11"/>
  <c r="D111" i="11"/>
  <c r="C111" i="11"/>
  <c r="C111" i="16"/>
  <c r="I112" i="16"/>
  <c r="P111" i="16"/>
  <c r="Q112" i="16"/>
  <c r="I111" i="15"/>
  <c r="Q112" i="15"/>
  <c r="Q112" i="14"/>
  <c r="I112" i="14"/>
  <c r="H112" i="14"/>
  <c r="B112" i="14"/>
  <c r="J112" i="14"/>
  <c r="Q111" i="17"/>
  <c r="B112" i="18"/>
  <c r="J112" i="18"/>
  <c r="J111" i="17"/>
  <c r="I112" i="17"/>
  <c r="H111" i="17"/>
  <c r="N112" i="17"/>
  <c r="L112" i="17"/>
  <c r="M111" i="17"/>
  <c r="K112" i="17"/>
  <c r="F112" i="17"/>
  <c r="D112" i="17"/>
  <c r="E112" i="17"/>
  <c r="I112" i="20"/>
  <c r="J112" i="20"/>
  <c r="J112" i="19"/>
  <c r="I112" i="19"/>
  <c r="E112" i="19"/>
  <c r="M112" i="19"/>
  <c r="C112" i="19"/>
  <c r="P112" i="25"/>
  <c r="O112" i="25"/>
  <c r="N112" i="25"/>
  <c r="L111" i="25"/>
  <c r="J111" i="25"/>
  <c r="H112" i="25"/>
  <c r="G112" i="25"/>
  <c r="F111" i="25"/>
  <c r="D111" i="25"/>
  <c r="K112" i="25"/>
  <c r="C112" i="25"/>
  <c r="I112" i="25"/>
  <c r="J112" i="24"/>
  <c r="I111" i="24"/>
  <c r="H112" i="24"/>
  <c r="J111" i="23"/>
  <c r="Q111" i="23"/>
  <c r="O111" i="23"/>
  <c r="I112" i="23"/>
  <c r="G112" i="23"/>
  <c r="J111" i="22"/>
  <c r="H111" i="22"/>
  <c r="Q112" i="22"/>
  <c r="O112" i="22"/>
  <c r="J112" i="21"/>
  <c r="H112" i="21"/>
  <c r="P112" i="21"/>
  <c r="D112" i="27"/>
  <c r="C112" i="27"/>
  <c r="H111" i="27"/>
  <c r="Q111" i="27"/>
  <c r="Q112" i="26"/>
  <c r="J112" i="26"/>
  <c r="I111" i="26"/>
  <c r="G111" i="26"/>
  <c r="F111" i="26"/>
  <c r="E111" i="26"/>
  <c r="C111" i="26"/>
  <c r="H112" i="26"/>
  <c r="P112" i="26"/>
  <c r="O111" i="27"/>
  <c r="K111" i="27"/>
  <c r="J111" i="27"/>
  <c r="I111" i="32"/>
  <c r="B112" i="32"/>
  <c r="J112" i="32"/>
  <c r="H112" i="32"/>
  <c r="P111" i="31"/>
  <c r="J111" i="30"/>
  <c r="H111" i="30"/>
  <c r="G112" i="30"/>
  <c r="I111" i="29"/>
  <c r="H111" i="29"/>
  <c r="O111" i="29"/>
  <c r="G112" i="29"/>
  <c r="I111" i="28"/>
  <c r="H112" i="28"/>
  <c r="J111" i="28"/>
  <c r="B111" i="28"/>
  <c r="J112" i="40"/>
  <c r="H112" i="40"/>
  <c r="I112" i="40"/>
  <c r="D111" i="40"/>
  <c r="G111" i="33"/>
  <c r="J111" i="33"/>
  <c r="H111" i="33"/>
  <c r="J111" i="41"/>
  <c r="H111" i="41"/>
  <c r="I112" i="41"/>
  <c r="Q112" i="41"/>
  <c r="P111" i="2"/>
  <c r="F111" i="2"/>
  <c r="J112" i="3"/>
  <c r="L112" i="3"/>
  <c r="C112" i="3"/>
  <c r="K112" i="8"/>
  <c r="Q112" i="8"/>
  <c r="F112" i="9"/>
  <c r="J111" i="9"/>
  <c r="Q112" i="9"/>
  <c r="D112" i="9"/>
  <c r="O111" i="9"/>
  <c r="D111" i="10"/>
  <c r="O112" i="10"/>
  <c r="H111" i="10"/>
  <c r="F111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K112" i="19"/>
  <c r="P112" i="20"/>
  <c r="C111" i="20"/>
  <c r="H111" i="20"/>
  <c r="N112" i="20"/>
  <c r="F111" i="21"/>
  <c r="D112" i="21"/>
  <c r="O111" i="21"/>
  <c r="I112" i="21"/>
  <c r="I111" i="22"/>
  <c r="L112" i="22"/>
  <c r="F112" i="22"/>
  <c r="G112" i="22"/>
  <c r="F112" i="23"/>
  <c r="G111" i="24"/>
  <c r="M111" i="25"/>
  <c r="E112" i="25"/>
  <c r="O112" i="26"/>
  <c r="M112" i="26"/>
  <c r="F111" i="27"/>
  <c r="P112" i="28"/>
  <c r="F112" i="29"/>
  <c r="K111" i="30"/>
  <c r="F111" i="30"/>
  <c r="Q112" i="30"/>
  <c r="M112" i="31"/>
  <c r="H111" i="31"/>
  <c r="K112" i="31"/>
  <c r="J112" i="31"/>
  <c r="E112" i="32"/>
  <c r="P111" i="32"/>
  <c r="C112" i="32"/>
  <c r="N112" i="32"/>
  <c r="K112" i="33"/>
  <c r="E111" i="33"/>
  <c r="Q112" i="33"/>
  <c r="L111" i="40"/>
  <c r="G111" i="8"/>
  <c r="E111" i="8"/>
  <c r="D112" i="8"/>
  <c r="C111" i="8"/>
  <c r="B112" i="8"/>
  <c r="Q112" i="25"/>
  <c r="B111" i="25"/>
  <c r="B111" i="23"/>
  <c r="G112" i="21"/>
  <c r="B111" i="20"/>
  <c r="Q112" i="20"/>
  <c r="Q111" i="19"/>
  <c r="I112" i="13"/>
  <c r="F112" i="12"/>
  <c r="B111" i="11"/>
  <c r="Q111" i="11"/>
  <c r="N111" i="11"/>
  <c r="I111" i="30"/>
  <c r="J111" i="29"/>
  <c r="Q112" i="29"/>
  <c r="E111" i="27"/>
  <c r="G111" i="27"/>
  <c r="B111" i="26"/>
  <c r="I111" i="31"/>
  <c r="G112" i="31"/>
  <c r="E111" i="31"/>
  <c r="D44" i="5" l="1"/>
  <c r="H43" i="39"/>
  <c r="H40" i="39"/>
  <c r="H42" i="39"/>
  <c r="H41" i="39"/>
  <c r="H44" i="39"/>
  <c r="G44" i="39"/>
  <c r="G40" i="39"/>
  <c r="G42" i="39"/>
  <c r="G41" i="39"/>
  <c r="G43" i="39"/>
  <c r="F43" i="39"/>
  <c r="F40" i="39"/>
  <c r="F42" i="39"/>
  <c r="F41" i="39"/>
  <c r="F44" i="39"/>
  <c r="E42" i="39"/>
  <c r="E40" i="39"/>
  <c r="E43" i="39"/>
  <c r="E44" i="39"/>
  <c r="E41" i="39"/>
  <c r="I41" i="39"/>
  <c r="I42" i="39"/>
  <c r="I44" i="39"/>
  <c r="I40" i="39"/>
  <c r="I43" i="39"/>
  <c r="C42" i="39"/>
  <c r="C40" i="39"/>
  <c r="C43" i="39"/>
  <c r="C41" i="39"/>
  <c r="C44" i="39"/>
  <c r="D42" i="39"/>
  <c r="D41" i="39"/>
  <c r="D40" i="39"/>
  <c r="D44" i="39"/>
  <c r="D43" i="39"/>
  <c r="P42" i="39"/>
  <c r="P41" i="39"/>
  <c r="P43" i="39"/>
  <c r="P40" i="39"/>
  <c r="P44" i="39"/>
  <c r="L42" i="39"/>
  <c r="L40" i="39"/>
  <c r="L44" i="39"/>
  <c r="L41" i="39"/>
  <c r="L43" i="39"/>
  <c r="O44" i="39"/>
  <c r="O42" i="39"/>
  <c r="O41" i="39"/>
  <c r="O43" i="39"/>
  <c r="O40" i="39"/>
  <c r="Q43" i="39"/>
  <c r="Q40" i="39"/>
  <c r="Q41" i="39"/>
  <c r="Q44" i="39"/>
  <c r="Q42" i="39"/>
  <c r="N40" i="39"/>
  <c r="N43" i="39"/>
  <c r="N41" i="39"/>
  <c r="N44" i="39"/>
  <c r="N42" i="39"/>
  <c r="B40" i="39"/>
  <c r="B44" i="39"/>
  <c r="B42" i="39"/>
  <c r="B43" i="39"/>
  <c r="B41" i="39"/>
  <c r="M41" i="39"/>
  <c r="M44" i="39"/>
  <c r="M42" i="39"/>
  <c r="M40" i="39"/>
  <c r="M43" i="39"/>
  <c r="K41" i="39"/>
  <c r="K40" i="39"/>
  <c r="K43" i="39"/>
  <c r="K42" i="39"/>
  <c r="K44" i="39"/>
  <c r="J44" i="39"/>
  <c r="J40" i="39"/>
  <c r="J42" i="39"/>
  <c r="J41" i="39"/>
  <c r="J43" i="39"/>
  <c r="B45" i="39" l="1"/>
  <c r="B46" i="39"/>
  <c r="C45" i="39"/>
  <c r="C46" i="39"/>
  <c r="G45" i="39"/>
  <c r="G46" i="39"/>
  <c r="J45" i="39"/>
  <c r="J46" i="39"/>
  <c r="Q45" i="39"/>
  <c r="Q46" i="39"/>
  <c r="H45" i="39"/>
  <c r="H46" i="39"/>
  <c r="L45" i="39"/>
  <c r="L46" i="39"/>
  <c r="P45" i="39"/>
  <c r="P46" i="39"/>
  <c r="O46" i="39"/>
  <c r="O45" i="39"/>
  <c r="M46" i="39"/>
  <c r="M45" i="39"/>
  <c r="E46" i="39"/>
  <c r="E45" i="39"/>
  <c r="N45" i="39"/>
  <c r="N46" i="39"/>
  <c r="D46" i="39"/>
  <c r="D45" i="39"/>
  <c r="K46" i="39"/>
  <c r="K45" i="39"/>
  <c r="I46" i="39"/>
  <c r="I45" i="39"/>
  <c r="F45" i="39"/>
  <c r="F46" i="39"/>
</calcChain>
</file>

<file path=xl/sharedStrings.xml><?xml version="1.0" encoding="utf-8"?>
<sst xmlns="http://schemas.openxmlformats.org/spreadsheetml/2006/main" count="5683" uniqueCount="3129">
  <si>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</si>
  <si>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</si>
  <si>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</si>
  <si>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</si>
  <si>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</si>
  <si>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</si>
  <si>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</si>
  <si>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</si>
  <si>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</si>
  <si>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</si>
  <si>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</si>
  <si>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</si>
  <si>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</si>
  <si>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</si>
  <si>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</si>
  <si>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</si>
  <si>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</si>
  <si>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</si>
  <si>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</si>
  <si>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</si>
  <si>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</si>
  <si>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</si>
  <si>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</si>
  <si>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</si>
  <si>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</si>
  <si>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</si>
  <si>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</si>
  <si>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</si>
  <si>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</si>
  <si>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</si>
  <si>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</si>
  <si>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</si>
  <si>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</si>
  <si>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</si>
  <si>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</si>
  <si>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</si>
  <si>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</si>
  <si>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</si>
  <si>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</si>
  <si>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</si>
  <si>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</si>
  <si>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</si>
  <si>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</si>
  <si>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</si>
  <si>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</si>
  <si>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</si>
  <si>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</si>
  <si>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</si>
  <si>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</si>
  <si>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</si>
  <si>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</si>
  <si>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</si>
  <si>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</si>
  <si>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</si>
  <si>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</si>
  <si>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</si>
  <si>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</si>
  <si>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</si>
  <si>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</si>
  <si>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</si>
  <si>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</si>
  <si>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</si>
  <si>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</si>
  <si>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</si>
  <si>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</si>
  <si>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</si>
  <si>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</si>
  <si>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</si>
  <si>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</si>
  <si>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</si>
  <si>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</si>
  <si>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</si>
  <si>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</si>
  <si>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</si>
  <si>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</si>
  <si>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</si>
  <si>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</si>
  <si>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</si>
  <si>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</si>
  <si>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</si>
  <si>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</si>
  <si>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</si>
  <si>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</si>
  <si>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</si>
  <si>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</si>
  <si>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</si>
  <si>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</si>
  <si>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</si>
  <si>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</si>
  <si>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</si>
  <si>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</si>
  <si>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</si>
  <si>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</si>
  <si>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</si>
  <si>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</si>
  <si>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</si>
  <si>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</si>
  <si>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</si>
  <si>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</si>
  <si>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</si>
  <si>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</si>
  <si>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</si>
  <si>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</si>
  <si>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</si>
  <si>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</si>
  <si>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</si>
  <si>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</si>
  <si>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</si>
  <si>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</si>
  <si>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</si>
  <si>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</si>
  <si>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</si>
  <si>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</si>
  <si>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</si>
  <si>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</si>
  <si>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</si>
  <si>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</si>
  <si>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</si>
  <si>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</si>
  <si>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</si>
  <si>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</si>
  <si>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</si>
  <si>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</si>
  <si>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</si>
  <si>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</si>
  <si>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</si>
  <si>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</si>
  <si>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</si>
  <si>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</si>
  <si>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</si>
  <si>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</si>
  <si>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</si>
  <si>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</si>
  <si>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</si>
  <si>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</si>
  <si>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</si>
  <si>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</si>
  <si>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</si>
  <si>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</si>
  <si>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</si>
  <si>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</si>
  <si>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</si>
  <si>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</si>
  <si>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</si>
  <si>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</si>
  <si>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</si>
  <si>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</si>
  <si>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</si>
  <si>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</si>
  <si>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</si>
  <si>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</si>
  <si>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</si>
  <si>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</si>
  <si>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</si>
  <si>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</si>
  <si>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</si>
  <si>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</si>
  <si>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</si>
  <si>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</si>
  <si>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</si>
  <si>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</si>
  <si>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</si>
  <si>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</si>
  <si>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</si>
  <si>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</si>
  <si>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</si>
  <si>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</si>
  <si>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</si>
  <si>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</si>
  <si>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</si>
  <si>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</si>
  <si>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</si>
  <si>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</si>
  <si>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</si>
  <si>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</si>
  <si>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</si>
  <si>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</si>
  <si>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</si>
  <si>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</si>
  <si>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</si>
  <si>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</si>
  <si>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</si>
  <si>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</si>
  <si>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</si>
  <si>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</si>
  <si>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</si>
  <si>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</si>
  <si>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</si>
  <si>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</si>
  <si>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</si>
  <si>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</si>
  <si>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</si>
  <si>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</si>
  <si>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</si>
  <si>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</si>
  <si>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</si>
  <si>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</si>
  <si>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</si>
  <si>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</si>
  <si>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</si>
  <si>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</si>
  <si>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</si>
  <si>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</si>
  <si>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</si>
  <si>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</si>
  <si>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</si>
  <si>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</si>
  <si>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</si>
  <si>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</si>
  <si>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</si>
  <si>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</si>
  <si>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</si>
  <si>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</si>
  <si>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</si>
  <si>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</si>
  <si>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</si>
  <si>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</si>
  <si>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</si>
  <si>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</si>
  <si>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</si>
  <si>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</si>
  <si>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</si>
  <si>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</si>
  <si>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</si>
  <si>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</si>
  <si>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</si>
  <si>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</si>
  <si>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</si>
  <si>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</si>
  <si>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</si>
  <si>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</si>
  <si>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</si>
  <si>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</si>
  <si>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</si>
  <si>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</si>
  <si>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</si>
  <si>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</si>
  <si>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</si>
  <si>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</si>
  <si>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</si>
  <si>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</si>
  <si>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</si>
  <si>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</si>
  <si>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</si>
  <si>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</si>
  <si>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</si>
  <si>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01/04/2023 - 30/04/2023</t>
  </si>
  <si>
    <t>ppb</t>
  </si>
  <si>
    <t>01-06-2024 00:15</t>
  </si>
  <si>
    <t>01-06-2024 00:30</t>
  </si>
  <si>
    <t>01-06-2024 00:45</t>
  </si>
  <si>
    <t>01-06-2024 01:00</t>
  </si>
  <si>
    <t>01-06-2024 01:15</t>
  </si>
  <si>
    <t>01-06-2024 01:30</t>
  </si>
  <si>
    <t>01-06-2024 01:45</t>
  </si>
  <si>
    <t>01-06-2024 02:00</t>
  </si>
  <si>
    <t>01-06-2024 02:15</t>
  </si>
  <si>
    <t>01-06-2024 02:30</t>
  </si>
  <si>
    <t>01-06-2024 02:45</t>
  </si>
  <si>
    <t>01-06-2024 03:00</t>
  </si>
  <si>
    <t>01-06-2024 03:15</t>
  </si>
  <si>
    <t>01-06-2024 03:30</t>
  </si>
  <si>
    <t>01-06-2024 03:45</t>
  </si>
  <si>
    <t>01-06-2024 04:00</t>
  </si>
  <si>
    <t>01-06-2024 04:15</t>
  </si>
  <si>
    <t>01-06-2024 04:30</t>
  </si>
  <si>
    <t>01-06-2024 04:45</t>
  </si>
  <si>
    <t>01-06-2024 05:00</t>
  </si>
  <si>
    <t>01-06-2024 05:15</t>
  </si>
  <si>
    <t>01-06-2024 05:30</t>
  </si>
  <si>
    <t>01-06-2024 05:45</t>
  </si>
  <si>
    <t>01-06-2024 06:00</t>
  </si>
  <si>
    <t>01-06-2024 06:15</t>
  </si>
  <si>
    <t>01-06-2024 06:30</t>
  </si>
  <si>
    <t>01-06-2024 06:45</t>
  </si>
  <si>
    <t>01-06-2024 07:00</t>
  </si>
  <si>
    <t>01-06-2024 07:15</t>
  </si>
  <si>
    <t>01-06-2024 07:30</t>
  </si>
  <si>
    <t>01-06-2024 07:45</t>
  </si>
  <si>
    <t>01-06-2024 08:00</t>
  </si>
  <si>
    <t>01-06-2024 08:15</t>
  </si>
  <si>
    <t>01-06-2024 08:30</t>
  </si>
  <si>
    <t>01-06-2024 08:45</t>
  </si>
  <si>
    <t>01-06-2024 09:00</t>
  </si>
  <si>
    <t>01-06-2024 09:15</t>
  </si>
  <si>
    <t>01-06-2024 09:30</t>
  </si>
  <si>
    <t>01-06-2024 09:45</t>
  </si>
  <si>
    <t>01-06-2024 10:00</t>
  </si>
  <si>
    <t>01-06-2024 10:15</t>
  </si>
  <si>
    <t>01-06-2024 10:30</t>
  </si>
  <si>
    <t>01-06-2024 10:45</t>
  </si>
  <si>
    <t>01-06-2024 11:00</t>
  </si>
  <si>
    <t>01-06-2024 11:15</t>
  </si>
  <si>
    <t>01-06-2024 11:30</t>
  </si>
  <si>
    <t>01-06-2024 11:45</t>
  </si>
  <si>
    <t>01-06-2024 12:00</t>
  </si>
  <si>
    <t>01-06-2024 12:15</t>
  </si>
  <si>
    <t>01-06-2024 12:30</t>
  </si>
  <si>
    <t>01-06-2024 12:45</t>
  </si>
  <si>
    <t>01-06-2024 13:00</t>
  </si>
  <si>
    <t>01-06-2024 13:15</t>
  </si>
  <si>
    <t>01-06-2024 13:30</t>
  </si>
  <si>
    <t>01-06-2024 13:45</t>
  </si>
  <si>
    <t>01-06-2024 14:00</t>
  </si>
  <si>
    <t>01-06-2024 14:15</t>
  </si>
  <si>
    <t>01-06-2024 14:30</t>
  </si>
  <si>
    <t>01-06-2024 14:45</t>
  </si>
  <si>
    <t>01-06-2024 15:00</t>
  </si>
  <si>
    <t>01-06-2024 15:15</t>
  </si>
  <si>
    <t>01-06-2024 15:30</t>
  </si>
  <si>
    <t>01-06-2024 15:45</t>
  </si>
  <si>
    <t>01-06-2024 16:00</t>
  </si>
  <si>
    <t>01-06-2024 16:15</t>
  </si>
  <si>
    <t>01-06-2024 16:30</t>
  </si>
  <si>
    <t>01-06-2024 16:45</t>
  </si>
  <si>
    <t>01-06-2024 17:00</t>
  </si>
  <si>
    <t>01-06-2024 17:15</t>
  </si>
  <si>
    <t>01-06-2024 17:30</t>
  </si>
  <si>
    <t>01-06-2024 17:45</t>
  </si>
  <si>
    <t>01-06-2024 18:00</t>
  </si>
  <si>
    <t>01-06-2024 18:15</t>
  </si>
  <si>
    <t>01-06-2024 18:30</t>
  </si>
  <si>
    <t>01-06-2024 18:45</t>
  </si>
  <si>
    <t>01-06-2024 19:00</t>
  </si>
  <si>
    <t>01-06-2024 19:15</t>
  </si>
  <si>
    <t>01-06-2024 19:30</t>
  </si>
  <si>
    <t>01-06-2024 19:45</t>
  </si>
  <si>
    <t>01-06-2024 20:00</t>
  </si>
  <si>
    <t>01-06-2024 20:15</t>
  </si>
  <si>
    <t>01-06-2024 20:30</t>
  </si>
  <si>
    <t>01-06-2024 20:45</t>
  </si>
  <si>
    <t>01-06-2024 21:00</t>
  </si>
  <si>
    <t>01-06-2024 21:15</t>
  </si>
  <si>
    <t>01-06-2024 21:30</t>
  </si>
  <si>
    <t>01-06-2024 21:45</t>
  </si>
  <si>
    <t>01-06-2024 22:00</t>
  </si>
  <si>
    <t>01-06-2024 22:15</t>
  </si>
  <si>
    <t>01-06-2024 22:30</t>
  </si>
  <si>
    <t>01-06-2024 22:45</t>
  </si>
  <si>
    <t>01-06-2024 23:00</t>
  </si>
  <si>
    <t>01-06-2024 23:15</t>
  </si>
  <si>
    <t>01-06-2024 23:30</t>
  </si>
  <si>
    <t>01-06-2024 23:45</t>
  </si>
  <si>
    <t>01-06-2024 24:00</t>
  </si>
  <si>
    <t>02-06-2024 00:15</t>
  </si>
  <si>
    <t>02-06-2024 00:30</t>
  </si>
  <si>
    <t>02-06-2024 00:45</t>
  </si>
  <si>
    <t>02-06-2024 01:00</t>
  </si>
  <si>
    <t>02-06-2024 01:15</t>
  </si>
  <si>
    <t>02-06-2024 01:30</t>
  </si>
  <si>
    <t>02-06-2024 01:45</t>
  </si>
  <si>
    <t>02-06-2024 02:00</t>
  </si>
  <si>
    <t>02-06-2024 02:15</t>
  </si>
  <si>
    <t>02-06-2024 02:30</t>
  </si>
  <si>
    <t>02-06-2024 02:45</t>
  </si>
  <si>
    <t>02-06-2024 03:00</t>
  </si>
  <si>
    <t>02-06-2024 03:15</t>
  </si>
  <si>
    <t>02-06-2024 03:30</t>
  </si>
  <si>
    <t>02-06-2024 03:45</t>
  </si>
  <si>
    <t>02-06-2024 04:00</t>
  </si>
  <si>
    <t>02-06-2024 04:15</t>
  </si>
  <si>
    <t>02-06-2024 04:30</t>
  </si>
  <si>
    <t>02-06-2024 04:45</t>
  </si>
  <si>
    <t>02-06-2024 05:00</t>
  </si>
  <si>
    <t>02-06-2024 05:15</t>
  </si>
  <si>
    <t>02-06-2024 05:30</t>
  </si>
  <si>
    <t>02-06-2024 05:45</t>
  </si>
  <si>
    <t>02-06-2024 06:00</t>
  </si>
  <si>
    <t>02-06-2024 06:15</t>
  </si>
  <si>
    <t>02-06-2024 06:30</t>
  </si>
  <si>
    <t>02-06-2024 06:45</t>
  </si>
  <si>
    <t>02-06-2024 07:00</t>
  </si>
  <si>
    <t>02-06-2024 07:15</t>
  </si>
  <si>
    <t>02-06-2024 07:30</t>
  </si>
  <si>
    <t>02-06-2024 07:45</t>
  </si>
  <si>
    <t>02-06-2024 08:00</t>
  </si>
  <si>
    <t>02-06-2024 08:15</t>
  </si>
  <si>
    <t>02-06-2024 08:30</t>
  </si>
  <si>
    <t>02-06-2024 08:45</t>
  </si>
  <si>
    <t>02-06-2024 09:00</t>
  </si>
  <si>
    <t>02-06-2024 09:15</t>
  </si>
  <si>
    <t>02-06-2024 09:30</t>
  </si>
  <si>
    <t>02-06-2024 09:45</t>
  </si>
  <si>
    <t>02-06-2024 10:00</t>
  </si>
  <si>
    <t>02-06-2024 10:15</t>
  </si>
  <si>
    <t>02-06-2024 10:30</t>
  </si>
  <si>
    <t>02-06-2024 10:45</t>
  </si>
  <si>
    <t>02-06-2024 11:00</t>
  </si>
  <si>
    <t>02-06-2024 11:15</t>
  </si>
  <si>
    <t>02-06-2024 11:30</t>
  </si>
  <si>
    <t>02-06-2024 11:45</t>
  </si>
  <si>
    <t>02-06-2024 12:00</t>
  </si>
  <si>
    <t>02-06-2024 12:15</t>
  </si>
  <si>
    <t>02-06-2024 12:30</t>
  </si>
  <si>
    <t>02-06-2024 12:45</t>
  </si>
  <si>
    <t>02-06-2024 13:00</t>
  </si>
  <si>
    <t>02-06-2024 13:15</t>
  </si>
  <si>
    <t>02-06-2024 13:30</t>
  </si>
  <si>
    <t>02-06-2024 13:45</t>
  </si>
  <si>
    <t>02-06-2024 14:00</t>
  </si>
  <si>
    <t>02-06-2024 14:15</t>
  </si>
  <si>
    <t>02-06-2024 14:30</t>
  </si>
  <si>
    <t>02-06-2024 14:45</t>
  </si>
  <si>
    <t>02-06-2024 15:00</t>
  </si>
  <si>
    <t>02-06-2024 15:15</t>
  </si>
  <si>
    <t>02-06-2024 15:30</t>
  </si>
  <si>
    <t>02-06-2024 15:45</t>
  </si>
  <si>
    <t>02-06-2024 16:00</t>
  </si>
  <si>
    <t>02-06-2024 16:15</t>
  </si>
  <si>
    <t>02-06-2024 16:30</t>
  </si>
  <si>
    <t>02-06-2024 16:45</t>
  </si>
  <si>
    <t>02-06-2024 17:00</t>
  </si>
  <si>
    <t>02-06-2024 17:15</t>
  </si>
  <si>
    <t>02-06-2024 17:30</t>
  </si>
  <si>
    <t>02-06-2024 17:45</t>
  </si>
  <si>
    <t>02-06-2024 18:00</t>
  </si>
  <si>
    <t>02-06-2024 18:15</t>
  </si>
  <si>
    <t>02-06-2024 18:30</t>
  </si>
  <si>
    <t>02-06-2024 18:45</t>
  </si>
  <si>
    <t>02-06-2024 19:00</t>
  </si>
  <si>
    <t>02-06-2024 19:15</t>
  </si>
  <si>
    <t>02-06-2024 19:30</t>
  </si>
  <si>
    <t>02-06-2024 19:45</t>
  </si>
  <si>
    <t>02-06-2024 20:00</t>
  </si>
  <si>
    <t>02-06-2024 20:15</t>
  </si>
  <si>
    <t>02-06-2024 20:30</t>
  </si>
  <si>
    <t>02-06-2024 20:45</t>
  </si>
  <si>
    <t>02-06-2024 21:00</t>
  </si>
  <si>
    <t>02-06-2024 21:15</t>
  </si>
  <si>
    <t>02-06-2024 21:30</t>
  </si>
  <si>
    <t>02-06-2024 21:45</t>
  </si>
  <si>
    <t>02-06-2024 22:00</t>
  </si>
  <si>
    <t>02-06-2024 22:15</t>
  </si>
  <si>
    <t>02-06-2024 22:30</t>
  </si>
  <si>
    <t>02-06-2024 22:45</t>
  </si>
  <si>
    <t>02-06-2024 23:00</t>
  </si>
  <si>
    <t>02-06-2024 23:15</t>
  </si>
  <si>
    <t>02-06-2024 23:30</t>
  </si>
  <si>
    <t>02-06-2024 23:45</t>
  </si>
  <si>
    <t>02-06-2024 24:00</t>
  </si>
  <si>
    <t>03-06-2024 00:15</t>
  </si>
  <si>
    <t>03-06-2024 00:30</t>
  </si>
  <si>
    <t>03-06-2024 00:45</t>
  </si>
  <si>
    <t>03-06-2024 01:00</t>
  </si>
  <si>
    <t>03-06-2024 01:15</t>
  </si>
  <si>
    <t>03-06-2024 01:30</t>
  </si>
  <si>
    <t>03-06-2024 01:45</t>
  </si>
  <si>
    <t>03-06-2024 02:00</t>
  </si>
  <si>
    <t>03-06-2024 02:15</t>
  </si>
  <si>
    <t>03-06-2024 02:30</t>
  </si>
  <si>
    <t>03-06-2024 02:45</t>
  </si>
  <si>
    <t>03-06-2024 03:00</t>
  </si>
  <si>
    <t>03-06-2024 03:15</t>
  </si>
  <si>
    <t>03-06-2024 03:30</t>
  </si>
  <si>
    <t>03-06-2024 03:45</t>
  </si>
  <si>
    <t>03-06-2024 04:00</t>
  </si>
  <si>
    <t>03-06-2024 04:15</t>
  </si>
  <si>
    <t>03-06-2024 04:30</t>
  </si>
  <si>
    <t>03-06-2024 04:45</t>
  </si>
  <si>
    <t>03-06-2024 05:00</t>
  </si>
  <si>
    <t>03-06-2024 05:15</t>
  </si>
  <si>
    <t>03-06-2024 05:30</t>
  </si>
  <si>
    <t>03-06-2024 05:45</t>
  </si>
  <si>
    <t>03-06-2024 06:00</t>
  </si>
  <si>
    <t>03-06-2024 06:15</t>
  </si>
  <si>
    <t>03-06-2024 06:30</t>
  </si>
  <si>
    <t>03-06-2024 06:45</t>
  </si>
  <si>
    <t>03-06-2024 07:00</t>
  </si>
  <si>
    <t>03-06-2024 07:15</t>
  </si>
  <si>
    <t>03-06-2024 07:30</t>
  </si>
  <si>
    <t>03-06-2024 07:45</t>
  </si>
  <si>
    <t>03-06-2024 08:00</t>
  </si>
  <si>
    <t>03-06-2024 08:15</t>
  </si>
  <si>
    <t>03-06-2024 08:30</t>
  </si>
  <si>
    <t>03-06-2024 08:45</t>
  </si>
  <si>
    <t>03-06-2024 09:00</t>
  </si>
  <si>
    <t>03-06-2024 09:15</t>
  </si>
  <si>
    <t>03-06-2024 09:30</t>
  </si>
  <si>
    <t>03-06-2024 09:45</t>
  </si>
  <si>
    <t>03-06-2024 10:00</t>
  </si>
  <si>
    <t>03-06-2024 10:15</t>
  </si>
  <si>
    <t>03-06-2024 10:30</t>
  </si>
  <si>
    <t>03-06-2024 10:45</t>
  </si>
  <si>
    <t>03-06-2024 11:00</t>
  </si>
  <si>
    <t>03-06-2024 11:15</t>
  </si>
  <si>
    <t>03-06-2024 11:30</t>
  </si>
  <si>
    <t>03-06-2024 11:45</t>
  </si>
  <si>
    <t>03-06-2024 12:00</t>
  </si>
  <si>
    <t>03-06-2024 12:15</t>
  </si>
  <si>
    <t>03-06-2024 12:30</t>
  </si>
  <si>
    <t>03-06-2024 12:45</t>
  </si>
  <si>
    <t>03-06-2024 13:00</t>
  </si>
  <si>
    <t>03-06-2024 13:15</t>
  </si>
  <si>
    <t>03-06-2024 13:30</t>
  </si>
  <si>
    <t>03-06-2024 13:45</t>
  </si>
  <si>
    <t>03-06-2024 14:00</t>
  </si>
  <si>
    <t>03-06-2024 14:15</t>
  </si>
  <si>
    <t>03-06-2024 14:30</t>
  </si>
  <si>
    <t>03-06-2024 14:45</t>
  </si>
  <si>
    <t>03-06-2024 15:00</t>
  </si>
  <si>
    <t>03-06-2024 15:15</t>
  </si>
  <si>
    <t>03-06-2024 15:30</t>
  </si>
  <si>
    <t>03-06-2024 15:45</t>
  </si>
  <si>
    <t>03-06-2024 16:00</t>
  </si>
  <si>
    <t>03-06-2024 16:15</t>
  </si>
  <si>
    <t>03-06-2024 16:30</t>
  </si>
  <si>
    <t>03-06-2024 16:45</t>
  </si>
  <si>
    <t>03-06-2024 17:00</t>
  </si>
  <si>
    <t>03-06-2024 17:15</t>
  </si>
  <si>
    <t>03-06-2024 17:30</t>
  </si>
  <si>
    <t>03-06-2024 17:45</t>
  </si>
  <si>
    <t>03-06-2024 18:00</t>
  </si>
  <si>
    <t>03-06-2024 18:15</t>
  </si>
  <si>
    <t>03-06-2024 18:30</t>
  </si>
  <si>
    <t>03-06-2024 18:45</t>
  </si>
  <si>
    <t>03-06-2024 19:00</t>
  </si>
  <si>
    <t>03-06-2024 19:15</t>
  </si>
  <si>
    <t>03-06-2024 19:30</t>
  </si>
  <si>
    <t>03-06-2024 19:45</t>
  </si>
  <si>
    <t>03-06-2024 20:00</t>
  </si>
  <si>
    <t>03-06-2024 20:15</t>
  </si>
  <si>
    <t>03-06-2024 20:30</t>
  </si>
  <si>
    <t>03-06-2024 20:45</t>
  </si>
  <si>
    <t>03-06-2024 21:00</t>
  </si>
  <si>
    <t>03-06-2024 21:15</t>
  </si>
  <si>
    <t>03-06-2024 21:30</t>
  </si>
  <si>
    <t>03-06-2024 21:45</t>
  </si>
  <si>
    <t>03-06-2024 22:00</t>
  </si>
  <si>
    <t>03-06-2024 22:15</t>
  </si>
  <si>
    <t>03-06-2024 22:30</t>
  </si>
  <si>
    <t>03-06-2024 22:45</t>
  </si>
  <si>
    <t>03-06-2024 23:00</t>
  </si>
  <si>
    <t>03-06-2024 23:15</t>
  </si>
  <si>
    <t>03-06-2024 23:30</t>
  </si>
  <si>
    <t>03-06-2024 23:45</t>
  </si>
  <si>
    <t>03-06-2024 24:00</t>
  </si>
  <si>
    <t>04-06-2024 00:15</t>
  </si>
  <si>
    <t>04-06-2024 00:30</t>
  </si>
  <si>
    <t>04-06-2024 00:45</t>
  </si>
  <si>
    <t>04-06-2024 01:00</t>
  </si>
  <si>
    <t>04-06-2024 01:15</t>
  </si>
  <si>
    <t>04-06-2024 01:30</t>
  </si>
  <si>
    <t>04-06-2024 01:45</t>
  </si>
  <si>
    <t>04-06-2024 02:00</t>
  </si>
  <si>
    <t>04-06-2024 02:15</t>
  </si>
  <si>
    <t>04-06-2024 02:30</t>
  </si>
  <si>
    <t>04-06-2024 02:45</t>
  </si>
  <si>
    <t>04-06-2024 03:00</t>
  </si>
  <si>
    <t>04-06-2024 03:15</t>
  </si>
  <si>
    <t>04-06-2024 03:30</t>
  </si>
  <si>
    <t>04-06-2024 03:45</t>
  </si>
  <si>
    <t>04-06-2024 04:00</t>
  </si>
  <si>
    <t>04-06-2024 04:15</t>
  </si>
  <si>
    <t>04-06-2024 04:30</t>
  </si>
  <si>
    <t>04-06-2024 04:45</t>
  </si>
  <si>
    <t>04-06-2024 05:00</t>
  </si>
  <si>
    <t>04-06-2024 05:15</t>
  </si>
  <si>
    <t>04-06-2024 05:30</t>
  </si>
  <si>
    <t>04-06-2024 05:45</t>
  </si>
  <si>
    <t>04-06-2024 06:00</t>
  </si>
  <si>
    <t>04-06-2024 06:15</t>
  </si>
  <si>
    <t>04-06-2024 06:30</t>
  </si>
  <si>
    <t>04-06-2024 06:45</t>
  </si>
  <si>
    <t>04-06-2024 07:00</t>
  </si>
  <si>
    <t>04-06-2024 07:15</t>
  </si>
  <si>
    <t>04-06-2024 07:30</t>
  </si>
  <si>
    <t>04-06-2024 07:45</t>
  </si>
  <si>
    <t>04-06-2024 08:00</t>
  </si>
  <si>
    <t>04-06-2024 08:15</t>
  </si>
  <si>
    <t>04-06-2024 08:30</t>
  </si>
  <si>
    <t>04-06-2024 08:45</t>
  </si>
  <si>
    <t>04-06-2024 09:00</t>
  </si>
  <si>
    <t>04-06-2024 09:15</t>
  </si>
  <si>
    <t>04-06-2024 09:30</t>
  </si>
  <si>
    <t>04-06-2024 09:45</t>
  </si>
  <si>
    <t>04-06-2024 10:00</t>
  </si>
  <si>
    <t>04-06-2024 10:15</t>
  </si>
  <si>
    <t>04-06-2024 10:30</t>
  </si>
  <si>
    <t>04-06-2024 10:45</t>
  </si>
  <si>
    <t>04-06-2024 11:00</t>
  </si>
  <si>
    <t>04-06-2024 11:15</t>
  </si>
  <si>
    <t>04-06-2024 11:30</t>
  </si>
  <si>
    <t>04-06-2024 11:45</t>
  </si>
  <si>
    <t>04-06-2024 12:00</t>
  </si>
  <si>
    <t>04-06-2024 12:15</t>
  </si>
  <si>
    <t>04-06-2024 12:30</t>
  </si>
  <si>
    <t>04-06-2024 12:45</t>
  </si>
  <si>
    <t>04-06-2024 13:00</t>
  </si>
  <si>
    <t>04-06-2024 13:15</t>
  </si>
  <si>
    <t>04-06-2024 13:30</t>
  </si>
  <si>
    <t>04-06-2024 13:45</t>
  </si>
  <si>
    <t>04-06-2024 14:00</t>
  </si>
  <si>
    <t>04-06-2024 14:15</t>
  </si>
  <si>
    <t>04-06-2024 14:30</t>
  </si>
  <si>
    <t>04-06-2024 14:45</t>
  </si>
  <si>
    <t>04-06-2024 15:00</t>
  </si>
  <si>
    <t>04-06-2024 15:15</t>
  </si>
  <si>
    <t>04-06-2024 15:30</t>
  </si>
  <si>
    <t>04-06-2024 15:45</t>
  </si>
  <si>
    <t>04-06-2024 16:00</t>
  </si>
  <si>
    <t>04-06-2024 16:15</t>
  </si>
  <si>
    <t>04-06-2024 16:30</t>
  </si>
  <si>
    <t>04-06-2024 16:45</t>
  </si>
  <si>
    <t>04-06-2024 17:00</t>
  </si>
  <si>
    <t>04-06-2024 17:15</t>
  </si>
  <si>
    <t>04-06-2024 17:30</t>
  </si>
  <si>
    <t>04-06-2024 17:45</t>
  </si>
  <si>
    <t>04-06-2024 18:00</t>
  </si>
  <si>
    <t>04-06-2024 18:15</t>
  </si>
  <si>
    <t>04-06-2024 18:30</t>
  </si>
  <si>
    <t>04-06-2024 18:45</t>
  </si>
  <si>
    <t>04-06-2024 19:00</t>
  </si>
  <si>
    <t>04-06-2024 19:15</t>
  </si>
  <si>
    <t>04-06-2024 19:30</t>
  </si>
  <si>
    <t>04-06-2024 19:45</t>
  </si>
  <si>
    <t>04-06-2024 20:00</t>
  </si>
  <si>
    <t>04-06-2024 20:15</t>
  </si>
  <si>
    <t>04-06-2024 20:30</t>
  </si>
  <si>
    <t>04-06-2024 20:45</t>
  </si>
  <si>
    <t>04-06-2024 21:00</t>
  </si>
  <si>
    <t>04-06-2024 21:15</t>
  </si>
  <si>
    <t>04-06-2024 21:30</t>
  </si>
  <si>
    <t>04-06-2024 21:45</t>
  </si>
  <si>
    <t>04-06-2024 22:00</t>
  </si>
  <si>
    <t>04-06-2024 22:15</t>
  </si>
  <si>
    <t>04-06-2024 22:30</t>
  </si>
  <si>
    <t>04-06-2024 22:45</t>
  </si>
  <si>
    <t>04-06-2024 23:00</t>
  </si>
  <si>
    <t>04-06-2024 23:15</t>
  </si>
  <si>
    <t>04-06-2024 23:30</t>
  </si>
  <si>
    <t>04-06-2024 23:45</t>
  </si>
  <si>
    <t>04-06-2024 24:00</t>
  </si>
  <si>
    <t>Akash</t>
  </si>
  <si>
    <t>05-06-2024 00:15</t>
  </si>
  <si>
    <t>05-06-2024 00:30</t>
  </si>
  <si>
    <t>05-06-2024 00:45</t>
  </si>
  <si>
    <t>05-06-2024 01:00</t>
  </si>
  <si>
    <t>05-06-2024 01:15</t>
  </si>
  <si>
    <t>05-06-2024 01:30</t>
  </si>
  <si>
    <t>05-06-2024 01:45</t>
  </si>
  <si>
    <t>05-06-2024 02:00</t>
  </si>
  <si>
    <t>05-06-2024 02:15</t>
  </si>
  <si>
    <t>05-06-2024 02:30</t>
  </si>
  <si>
    <t>05-06-2024 02:45</t>
  </si>
  <si>
    <t>05-06-2024 03:00</t>
  </si>
  <si>
    <t>05-06-2024 03:15</t>
  </si>
  <si>
    <t>05-06-2024 03:30</t>
  </si>
  <si>
    <t>05-06-2024 03:45</t>
  </si>
  <si>
    <t>05-06-2024 04:00</t>
  </si>
  <si>
    <t>05-06-2024 04:15</t>
  </si>
  <si>
    <t>05-06-2024 04:30</t>
  </si>
  <si>
    <t>05-06-2024 04:45</t>
  </si>
  <si>
    <t>05-06-2024 05:00</t>
  </si>
  <si>
    <t>05-06-2024 05:15</t>
  </si>
  <si>
    <t>05-06-2024 05:30</t>
  </si>
  <si>
    <t>05-06-2024 05:45</t>
  </si>
  <si>
    <t>05-06-2024 06:00</t>
  </si>
  <si>
    <t>05-06-2024 06:15</t>
  </si>
  <si>
    <t>05-06-2024 06:30</t>
  </si>
  <si>
    <t>05-06-2024 06:45</t>
  </si>
  <si>
    <t>05-06-2024 07:00</t>
  </si>
  <si>
    <t>05-06-2024 07:15</t>
  </si>
  <si>
    <t>05-06-2024 07:30</t>
  </si>
  <si>
    <t>05-06-2024 07:45</t>
  </si>
  <si>
    <t>05-06-2024 08:00</t>
  </si>
  <si>
    <t>05-06-2024 08:15</t>
  </si>
  <si>
    <t>05-06-2024 08:30</t>
  </si>
  <si>
    <t>05-06-2024 08:45</t>
  </si>
  <si>
    <t>05-06-2024 09:00</t>
  </si>
  <si>
    <t>05-06-2024 09:15</t>
  </si>
  <si>
    <t>05-06-2024 09:30</t>
  </si>
  <si>
    <t>05-06-2024 09:45</t>
  </si>
  <si>
    <t>05-06-2024 10:00</t>
  </si>
  <si>
    <t>05-06-2024 10:15</t>
  </si>
  <si>
    <t>05-06-2024 10:30</t>
  </si>
  <si>
    <t>05-06-2024 10:45</t>
  </si>
  <si>
    <t>05-06-2024 11:00</t>
  </si>
  <si>
    <t>05-06-2024 11:15</t>
  </si>
  <si>
    <t>05-06-2024 11:30</t>
  </si>
  <si>
    <t>05-06-2024 11:45</t>
  </si>
  <si>
    <t>05-06-2024 12:00</t>
  </si>
  <si>
    <t>05-06-2024 12:15</t>
  </si>
  <si>
    <t>05-06-2024 12:30</t>
  </si>
  <si>
    <t>05-06-2024 12:45</t>
  </si>
  <si>
    <t>05-06-2024 13:00</t>
  </si>
  <si>
    <t>05-06-2024 13:15</t>
  </si>
  <si>
    <t>05-06-2024 13:30</t>
  </si>
  <si>
    <t>05-06-2024 13:45</t>
  </si>
  <si>
    <t>05-06-2024 14:00</t>
  </si>
  <si>
    <t>05-06-2024 14:15</t>
  </si>
  <si>
    <t>05-06-2024 14:30</t>
  </si>
  <si>
    <t>05-06-2024 14:45</t>
  </si>
  <si>
    <t>05-06-2024 15:00</t>
  </si>
  <si>
    <t>05-06-2024 15:15</t>
  </si>
  <si>
    <t>05-06-2024 15:30</t>
  </si>
  <si>
    <t>05-06-2024 15:45</t>
  </si>
  <si>
    <t>05-06-2024 16:00</t>
  </si>
  <si>
    <t>05-06-2024 16:15</t>
  </si>
  <si>
    <t>05-06-2024 16:30</t>
  </si>
  <si>
    <t>05-06-2024 16:45</t>
  </si>
  <si>
    <t>05-06-2024 17:00</t>
  </si>
  <si>
    <t>05-06-2024 17:15</t>
  </si>
  <si>
    <t>05-06-2024 17:30</t>
  </si>
  <si>
    <t>05-06-2024 17:45</t>
  </si>
  <si>
    <t>05-06-2024 18:00</t>
  </si>
  <si>
    <t>05-06-2024 18:15</t>
  </si>
  <si>
    <t>05-06-2024 18:30</t>
  </si>
  <si>
    <t>05-06-2024 18:45</t>
  </si>
  <si>
    <t>05-06-2024 19:00</t>
  </si>
  <si>
    <t>05-06-2024 19:15</t>
  </si>
  <si>
    <t>05-06-2024 19:30</t>
  </si>
  <si>
    <t>05-06-2024 19:45</t>
  </si>
  <si>
    <t>05-06-2024 20:00</t>
  </si>
  <si>
    <t>05-06-2024 20:15</t>
  </si>
  <si>
    <t>05-06-2024 20:30</t>
  </si>
  <si>
    <t>05-06-2024 20:45</t>
  </si>
  <si>
    <t>05-06-2024 21:00</t>
  </si>
  <si>
    <t>05-06-2024 21:15</t>
  </si>
  <si>
    <t>05-06-2024 21:30</t>
  </si>
  <si>
    <t>05-06-2024 21:45</t>
  </si>
  <si>
    <t>05-06-2024 22:00</t>
  </si>
  <si>
    <t>05-06-2024 22:15</t>
  </si>
  <si>
    <t>05-06-2024 22:30</t>
  </si>
  <si>
    <t>05-06-2024 22:45</t>
  </si>
  <si>
    <t>05-06-2024 23:00</t>
  </si>
  <si>
    <t>05-06-2024 23:15</t>
  </si>
  <si>
    <t>05-06-2024 23:30</t>
  </si>
  <si>
    <t>05-06-2024 23:45</t>
  </si>
  <si>
    <t>05-06-2024 24:00</t>
  </si>
  <si>
    <t>06-06-2024 00:15</t>
  </si>
  <si>
    <t>06-06-2024 00:30</t>
  </si>
  <si>
    <t>06-06-2024 00:45</t>
  </si>
  <si>
    <t>06-06-2024 01:00</t>
  </si>
  <si>
    <t>06-06-2024 01:15</t>
  </si>
  <si>
    <t>06-06-2024 01:30</t>
  </si>
  <si>
    <t>06-06-2024 01:45</t>
  </si>
  <si>
    <t>06-06-2024 02:00</t>
  </si>
  <si>
    <t>06-06-2024 02:15</t>
  </si>
  <si>
    <t>06-06-2024 02:30</t>
  </si>
  <si>
    <t>06-06-2024 02:45</t>
  </si>
  <si>
    <t>06-06-2024 03:00</t>
  </si>
  <si>
    <t>06-06-2024 03:15</t>
  </si>
  <si>
    <t>06-06-2024 03:30</t>
  </si>
  <si>
    <t>06-06-2024 03:45</t>
  </si>
  <si>
    <t>06-06-2024 04:00</t>
  </si>
  <si>
    <t>06-06-2024 04:15</t>
  </si>
  <si>
    <t>06-06-2024 04:30</t>
  </si>
  <si>
    <t>06-06-2024 04:45</t>
  </si>
  <si>
    <t>06-06-2024 05:00</t>
  </si>
  <si>
    <t>06-06-2024 05:15</t>
  </si>
  <si>
    <t>06-06-2024 05:30</t>
  </si>
  <si>
    <t>06-06-2024 05:45</t>
  </si>
  <si>
    <t>06-06-2024 06:00</t>
  </si>
  <si>
    <t>06-06-2024 06:15</t>
  </si>
  <si>
    <t>06-06-2024 06:30</t>
  </si>
  <si>
    <t>06-06-2024 06:45</t>
  </si>
  <si>
    <t>06-06-2024 07:00</t>
  </si>
  <si>
    <t>06-06-2024 07:15</t>
  </si>
  <si>
    <t>06-06-2024 07:30</t>
  </si>
  <si>
    <t>06-06-2024 07:45</t>
  </si>
  <si>
    <t>06-06-2024 08:00</t>
  </si>
  <si>
    <t>06-06-2024 08:15</t>
  </si>
  <si>
    <t>06-06-2024 08:30</t>
  </si>
  <si>
    <t>06-06-2024 08:45</t>
  </si>
  <si>
    <t>06-06-2024 09:00</t>
  </si>
  <si>
    <t>06-06-2024 09:15</t>
  </si>
  <si>
    <t>06-06-2024 09:30</t>
  </si>
  <si>
    <t>06-06-2024 09:45</t>
  </si>
  <si>
    <t>06-06-2024 10:00</t>
  </si>
  <si>
    <t>06-06-2024 10:15</t>
  </si>
  <si>
    <t>06-06-2024 10:30</t>
  </si>
  <si>
    <t>06-06-2024 10:45</t>
  </si>
  <si>
    <t>06-06-2024 11:00</t>
  </si>
  <si>
    <t>06-06-2024 11:15</t>
  </si>
  <si>
    <t>06-06-2024 11:30</t>
  </si>
  <si>
    <t>06-06-2024 11:45</t>
  </si>
  <si>
    <t>06-06-2024 12:00</t>
  </si>
  <si>
    <t>06-06-2024 12:15</t>
  </si>
  <si>
    <t>06-06-2024 12:30</t>
  </si>
  <si>
    <t>06-06-2024 12:45</t>
  </si>
  <si>
    <t>06-06-2024 13:00</t>
  </si>
  <si>
    <t>06-06-2024 13:15</t>
  </si>
  <si>
    <t>06-06-2024 13:30</t>
  </si>
  <si>
    <t>06-06-2024 13:45</t>
  </si>
  <si>
    <t>06-06-2024 14:00</t>
  </si>
  <si>
    <t>06-06-2024 14:15</t>
  </si>
  <si>
    <t>06-06-2024 14:30</t>
  </si>
  <si>
    <t>06-06-2024 14:45</t>
  </si>
  <si>
    <t>06-06-2024 15:00</t>
  </si>
  <si>
    <t>06-06-2024 15:15</t>
  </si>
  <si>
    <t>06-06-2024 15:30</t>
  </si>
  <si>
    <t>06-06-2024 15:45</t>
  </si>
  <si>
    <t>06-06-2024 16:00</t>
  </si>
  <si>
    <t>06-06-2024 16:15</t>
  </si>
  <si>
    <t>06-06-2024 16:30</t>
  </si>
  <si>
    <t>06-06-2024 16:45</t>
  </si>
  <si>
    <t>06-06-2024 17:00</t>
  </si>
  <si>
    <t>06-06-2024 17:15</t>
  </si>
  <si>
    <t>06-06-2024 17:30</t>
  </si>
  <si>
    <t>06-06-2024 17:45</t>
  </si>
  <si>
    <t>06-06-2024 18:00</t>
  </si>
  <si>
    <t>06-06-2024 18:15</t>
  </si>
  <si>
    <t>06-06-2024 18:30</t>
  </si>
  <si>
    <t>06-06-2024 18:45</t>
  </si>
  <si>
    <t>06-06-2024 19:00</t>
  </si>
  <si>
    <t>06-06-2024 19:15</t>
  </si>
  <si>
    <t>06-06-2024 19:30</t>
  </si>
  <si>
    <t>06-06-2024 19:45</t>
  </si>
  <si>
    <t>06-06-2024 20:00</t>
  </si>
  <si>
    <t>06-06-2024 20:15</t>
  </si>
  <si>
    <t>06-06-2024 20:30</t>
  </si>
  <si>
    <t>06-06-2024 20:45</t>
  </si>
  <si>
    <t>06-06-2024 21:00</t>
  </si>
  <si>
    <t>06-06-2024 21:15</t>
  </si>
  <si>
    <t>06-06-2024 21:30</t>
  </si>
  <si>
    <t>06-06-2024 21:45</t>
  </si>
  <si>
    <t>06-06-2024 22:00</t>
  </si>
  <si>
    <t>06-06-2024 22:15</t>
  </si>
  <si>
    <t>06-06-2024 22:30</t>
  </si>
  <si>
    <t>06-06-2024 22:45</t>
  </si>
  <si>
    <t>06-06-2024 23:00</t>
  </si>
  <si>
    <t>06-06-2024 23:15</t>
  </si>
  <si>
    <t>06-06-2024 23:30</t>
  </si>
  <si>
    <t>06-06-2024 23:45</t>
  </si>
  <si>
    <t>06-06-2024 24:00</t>
  </si>
  <si>
    <t>07-06-2024 00:15</t>
  </si>
  <si>
    <t>07-06-2024 00:30</t>
  </si>
  <si>
    <t>07-06-2024 00:45</t>
  </si>
  <si>
    <t>07-06-2024 01:00</t>
  </si>
  <si>
    <t>07-06-2024 01:15</t>
  </si>
  <si>
    <t>07-06-2024 01:30</t>
  </si>
  <si>
    <t>07-06-2024 01:45</t>
  </si>
  <si>
    <t>07-06-2024 02:00</t>
  </si>
  <si>
    <t>07-06-2024 02:15</t>
  </si>
  <si>
    <t>07-06-2024 02:30</t>
  </si>
  <si>
    <t>07-06-2024 02:45</t>
  </si>
  <si>
    <t>07-06-2024 03:00</t>
  </si>
  <si>
    <t>07-06-2024 03:15</t>
  </si>
  <si>
    <t>07-06-2024 03:30</t>
  </si>
  <si>
    <t>07-06-2024 03:45</t>
  </si>
  <si>
    <t>07-06-2024 04:00</t>
  </si>
  <si>
    <t>07-06-2024 04:15</t>
  </si>
  <si>
    <t>07-06-2024 04:30</t>
  </si>
  <si>
    <t>07-06-2024 04:45</t>
  </si>
  <si>
    <t>07-06-2024 05:00</t>
  </si>
  <si>
    <t>07-06-2024 05:15</t>
  </si>
  <si>
    <t>07-06-2024 05:30</t>
  </si>
  <si>
    <t>07-06-2024 05:45</t>
  </si>
  <si>
    <t>07-06-2024 06:00</t>
  </si>
  <si>
    <t>07-06-2024 06:15</t>
  </si>
  <si>
    <t>07-06-2024 06:30</t>
  </si>
  <si>
    <t>07-06-2024 06:45</t>
  </si>
  <si>
    <t>07-06-2024 07:00</t>
  </si>
  <si>
    <t>07-06-2024 07:15</t>
  </si>
  <si>
    <t>07-06-2024 07:30</t>
  </si>
  <si>
    <t>07-06-2024 07:45</t>
  </si>
  <si>
    <t>07-06-2024 08:00</t>
  </si>
  <si>
    <t>07-06-2024 08:15</t>
  </si>
  <si>
    <t>07-06-2024 08:30</t>
  </si>
  <si>
    <t>07-06-2024 08:45</t>
  </si>
  <si>
    <t>07-06-2024 09:00</t>
  </si>
  <si>
    <t>07-06-2024 09:15</t>
  </si>
  <si>
    <t>07-06-2024 09:30</t>
  </si>
  <si>
    <t>07-06-2024 09:45</t>
  </si>
  <si>
    <t>07-06-2024 10:00</t>
  </si>
  <si>
    <t>07-06-2024 10:15</t>
  </si>
  <si>
    <t>07-06-2024 10:30</t>
  </si>
  <si>
    <t>07-06-2024 10:45</t>
  </si>
  <si>
    <t>07-06-2024 11:00</t>
  </si>
  <si>
    <t>07-06-2024 11:15</t>
  </si>
  <si>
    <t>07-06-2024 11:30</t>
  </si>
  <si>
    <t>07-06-2024 11:45</t>
  </si>
  <si>
    <t>07-06-2024 12:00</t>
  </si>
  <si>
    <t>07-06-2024 12:15</t>
  </si>
  <si>
    <t>07-06-2024 12:30</t>
  </si>
  <si>
    <t>07-06-2024 12:45</t>
  </si>
  <si>
    <t>07-06-2024 13:00</t>
  </si>
  <si>
    <t>07-06-2024 13:15</t>
  </si>
  <si>
    <t>07-06-2024 13:30</t>
  </si>
  <si>
    <t>07-06-2024 13:45</t>
  </si>
  <si>
    <t>07-06-2024 14:00</t>
  </si>
  <si>
    <t>07-06-2024 14:15</t>
  </si>
  <si>
    <t>07-06-2024 14:30</t>
  </si>
  <si>
    <t>07-06-2024 14:45</t>
  </si>
  <si>
    <t>07-06-2024 15:00</t>
  </si>
  <si>
    <t>07-06-2024 15:15</t>
  </si>
  <si>
    <t>07-06-2024 15:30</t>
  </si>
  <si>
    <t>07-06-2024 15:45</t>
  </si>
  <si>
    <t>07-06-2024 16:00</t>
  </si>
  <si>
    <t>07-06-2024 16:15</t>
  </si>
  <si>
    <t>07-06-2024 16:30</t>
  </si>
  <si>
    <t>07-06-2024 16:45</t>
  </si>
  <si>
    <t>07-06-2024 17:00</t>
  </si>
  <si>
    <t>07-06-2024 17:15</t>
  </si>
  <si>
    <t>07-06-2024 17:30</t>
  </si>
  <si>
    <t>07-06-2024 17:45</t>
  </si>
  <si>
    <t>07-06-2024 18:00</t>
  </si>
  <si>
    <t>07-06-2024 18:15</t>
  </si>
  <si>
    <t>07-06-2024 18:30</t>
  </si>
  <si>
    <t>07-06-2024 18:45</t>
  </si>
  <si>
    <t>07-06-2024 19:00</t>
  </si>
  <si>
    <t>07-06-2024 19:15</t>
  </si>
  <si>
    <t>07-06-2024 19:30</t>
  </si>
  <si>
    <t>07-06-2024 19:45</t>
  </si>
  <si>
    <t>07-06-2024 20:00</t>
  </si>
  <si>
    <t>07-06-2024 20:15</t>
  </si>
  <si>
    <t>07-06-2024 20:30</t>
  </si>
  <si>
    <t>07-06-2024 20:45</t>
  </si>
  <si>
    <t>07-06-2024 21:00</t>
  </si>
  <si>
    <t>07-06-2024 21:15</t>
  </si>
  <si>
    <t>07-06-2024 21:30</t>
  </si>
  <si>
    <t>07-06-2024 21:45</t>
  </si>
  <si>
    <t>07-06-2024 22:00</t>
  </si>
  <si>
    <t>07-06-2024 22:15</t>
  </si>
  <si>
    <t>07-06-2024 22:30</t>
  </si>
  <si>
    <t>07-06-2024 22:45</t>
  </si>
  <si>
    <t>07-06-2024 23:00</t>
  </si>
  <si>
    <t>07-06-2024 23:15</t>
  </si>
  <si>
    <t>07-06-2024 23:30</t>
  </si>
  <si>
    <t>07-06-2024 23:45</t>
  </si>
  <si>
    <t>07-06-2024 24:00</t>
  </si>
  <si>
    <t>08-06-2024 00:15</t>
  </si>
  <si>
    <t>08-06-2024 00:30</t>
  </si>
  <si>
    <t>08-06-2024 00:45</t>
  </si>
  <si>
    <t>08-06-2024 01:00</t>
  </si>
  <si>
    <t>08-06-2024 01:15</t>
  </si>
  <si>
    <t>08-06-2024 01:30</t>
  </si>
  <si>
    <t>08-06-2024 01:45</t>
  </si>
  <si>
    <t>08-06-2024 02:00</t>
  </si>
  <si>
    <t>08-06-2024 02:15</t>
  </si>
  <si>
    <t>08-06-2024 02:30</t>
  </si>
  <si>
    <t>08-06-2024 02:45</t>
  </si>
  <si>
    <t>08-06-2024 03:00</t>
  </si>
  <si>
    <t>08-06-2024 03:15</t>
  </si>
  <si>
    <t>08-06-2024 03:30</t>
  </si>
  <si>
    <t>08-06-2024 03:45</t>
  </si>
  <si>
    <t>08-06-2024 04:00</t>
  </si>
  <si>
    <t>08-06-2024 04:15</t>
  </si>
  <si>
    <t>08-06-2024 04:30</t>
  </si>
  <si>
    <t>08-06-2024 04:45</t>
  </si>
  <si>
    <t>08-06-2024 05:00</t>
  </si>
  <si>
    <t>08-06-2024 05:15</t>
  </si>
  <si>
    <t>08-06-2024 05:30</t>
  </si>
  <si>
    <t>08-06-2024 05:45</t>
  </si>
  <si>
    <t>08-06-2024 06:00</t>
  </si>
  <si>
    <t>08-06-2024 06:15</t>
  </si>
  <si>
    <t>08-06-2024 06:30</t>
  </si>
  <si>
    <t>08-06-2024 06:45</t>
  </si>
  <si>
    <t>08-06-2024 07:00</t>
  </si>
  <si>
    <t>08-06-2024 07:15</t>
  </si>
  <si>
    <t>08-06-2024 07:30</t>
  </si>
  <si>
    <t>08-06-2024 07:45</t>
  </si>
  <si>
    <t>08-06-2024 08:00</t>
  </si>
  <si>
    <t>08-06-2024 08:15</t>
  </si>
  <si>
    <t>08-06-2024 08:30</t>
  </si>
  <si>
    <t>08-06-2024 08:45</t>
  </si>
  <si>
    <t>08-06-2024 09:00</t>
  </si>
  <si>
    <t>08-06-2024 09:15</t>
  </si>
  <si>
    <t>08-06-2024 09:30</t>
  </si>
  <si>
    <t>08-06-2024 09:45</t>
  </si>
  <si>
    <t>08-06-2024 10:00</t>
  </si>
  <si>
    <t>08-06-2024 10:15</t>
  </si>
  <si>
    <t>08-06-2024 10:30</t>
  </si>
  <si>
    <t>08-06-2024 10:45</t>
  </si>
  <si>
    <t>08-06-2024 11:00</t>
  </si>
  <si>
    <t>08-06-2024 11:15</t>
  </si>
  <si>
    <t>08-06-2024 11:30</t>
  </si>
  <si>
    <t>08-06-2024 11:45</t>
  </si>
  <si>
    <t>08-06-2024 12:00</t>
  </si>
  <si>
    <t>08-06-2024 12:15</t>
  </si>
  <si>
    <t>08-06-2024 12:30</t>
  </si>
  <si>
    <t>08-06-2024 12:45</t>
  </si>
  <si>
    <t>08-06-2024 13:00</t>
  </si>
  <si>
    <t>08-06-2024 13:15</t>
  </si>
  <si>
    <t>08-06-2024 13:30</t>
  </si>
  <si>
    <t>08-06-2024 13:45</t>
  </si>
  <si>
    <t>08-06-2024 14:00</t>
  </si>
  <si>
    <t>08-06-2024 14:15</t>
  </si>
  <si>
    <t>08-06-2024 14:30</t>
  </si>
  <si>
    <t>08-06-2024 14:45</t>
  </si>
  <si>
    <t>08-06-2024 15:00</t>
  </si>
  <si>
    <t>08-06-2024 15:15</t>
  </si>
  <si>
    <t>08-06-2024 15:30</t>
  </si>
  <si>
    <t>08-06-2024 15:45</t>
  </si>
  <si>
    <t>08-06-2024 16:00</t>
  </si>
  <si>
    <t>08-06-2024 16:15</t>
  </si>
  <si>
    <t>08-06-2024 16:30</t>
  </si>
  <si>
    <t>08-06-2024 16:45</t>
  </si>
  <si>
    <t>08-06-2024 17:00</t>
  </si>
  <si>
    <t>08-06-2024 17:15</t>
  </si>
  <si>
    <t>08-06-2024 17:30</t>
  </si>
  <si>
    <t>08-06-2024 17:45</t>
  </si>
  <si>
    <t>08-06-2024 18:00</t>
  </si>
  <si>
    <t>08-06-2024 18:15</t>
  </si>
  <si>
    <t>08-06-2024 18:30</t>
  </si>
  <si>
    <t>08-06-2024 18:45</t>
  </si>
  <si>
    <t>08-06-2024 19:00</t>
  </si>
  <si>
    <t>08-06-2024 19:15</t>
  </si>
  <si>
    <t>08-06-2024 19:30</t>
  </si>
  <si>
    <t>08-06-2024 19:45</t>
  </si>
  <si>
    <t>08-06-2024 20:00</t>
  </si>
  <si>
    <t>08-06-2024 20:15</t>
  </si>
  <si>
    <t>08-06-2024 20:30</t>
  </si>
  <si>
    <t>08-06-2024 20:45</t>
  </si>
  <si>
    <t>08-06-2024 21:00</t>
  </si>
  <si>
    <t>08-06-2024 21:15</t>
  </si>
  <si>
    <t>08-06-2024 21:30</t>
  </si>
  <si>
    <t>08-06-2024 21:45</t>
  </si>
  <si>
    <t>08-06-2024 22:00</t>
  </si>
  <si>
    <t>08-06-2024 22:15</t>
  </si>
  <si>
    <t>08-06-2024 22:30</t>
  </si>
  <si>
    <t>08-06-2024 22:45</t>
  </si>
  <si>
    <t>08-06-2024 23:00</t>
  </si>
  <si>
    <t>08-06-2024 23:15</t>
  </si>
  <si>
    <t>08-06-2024 23:30</t>
  </si>
  <si>
    <t>08-06-2024 23:45</t>
  </si>
  <si>
    <t>08-06-2024 24:00</t>
  </si>
  <si>
    <t>09-06-2024 00:15</t>
  </si>
  <si>
    <t>09-06-2024 00:30</t>
  </si>
  <si>
    <t>09-06-2024 00:45</t>
  </si>
  <si>
    <t>09-06-2024 01:00</t>
  </si>
  <si>
    <t>09-06-2024 01:15</t>
  </si>
  <si>
    <t>09-06-2024 01:30</t>
  </si>
  <si>
    <t>09-06-2024 01:45</t>
  </si>
  <si>
    <t>09-06-2024 02:00</t>
  </si>
  <si>
    <t>09-06-2024 02:15</t>
  </si>
  <si>
    <t>09-06-2024 02:30</t>
  </si>
  <si>
    <t>09-06-2024 02:45</t>
  </si>
  <si>
    <t>09-06-2024 03:00</t>
  </si>
  <si>
    <t>09-06-2024 03:15</t>
  </si>
  <si>
    <t>09-06-2024 03:30</t>
  </si>
  <si>
    <t>09-06-2024 03:45</t>
  </si>
  <si>
    <t>09-06-2024 04:00</t>
  </si>
  <si>
    <t>09-06-2024 04:15</t>
  </si>
  <si>
    <t>09-06-2024 04:30</t>
  </si>
  <si>
    <t>09-06-2024 04:45</t>
  </si>
  <si>
    <t>09-06-2024 05:00</t>
  </si>
  <si>
    <t>09-06-2024 05:15</t>
  </si>
  <si>
    <t>09-06-2024 05:30</t>
  </si>
  <si>
    <t>09-06-2024 05:45</t>
  </si>
  <si>
    <t>09-06-2024 06:00</t>
  </si>
  <si>
    <t>09-06-2024 06:15</t>
  </si>
  <si>
    <t>09-06-2024 06:30</t>
  </si>
  <si>
    <t>09-06-2024 06:45</t>
  </si>
  <si>
    <t>09-06-2024 07:00</t>
  </si>
  <si>
    <t>09-06-2024 07:15</t>
  </si>
  <si>
    <t>09-06-2024 07:30</t>
  </si>
  <si>
    <t>09-06-2024 07:45</t>
  </si>
  <si>
    <t>09-06-2024 08:00</t>
  </si>
  <si>
    <t>09-06-2024 08:15</t>
  </si>
  <si>
    <t>09-06-2024 08:30</t>
  </si>
  <si>
    <t>09-06-2024 08:45</t>
  </si>
  <si>
    <t>09-06-2024 09:00</t>
  </si>
  <si>
    <t>09-06-2024 09:15</t>
  </si>
  <si>
    <t>09-06-2024 09:30</t>
  </si>
  <si>
    <t>09-06-2024 09:45</t>
  </si>
  <si>
    <t>09-06-2024 10:00</t>
  </si>
  <si>
    <t>09-06-2024 10:15</t>
  </si>
  <si>
    <t>09-06-2024 10:30</t>
  </si>
  <si>
    <t>09-06-2024 10:45</t>
  </si>
  <si>
    <t>09-06-2024 11:00</t>
  </si>
  <si>
    <t>09-06-2024 11:15</t>
  </si>
  <si>
    <t>09-06-2024 11:30</t>
  </si>
  <si>
    <t>09-06-2024 11:45</t>
  </si>
  <si>
    <t>09-06-2024 12:00</t>
  </si>
  <si>
    <t>09-06-2024 12:15</t>
  </si>
  <si>
    <t>09-06-2024 12:30</t>
  </si>
  <si>
    <t>09-06-2024 12:45</t>
  </si>
  <si>
    <t>09-06-2024 13:00</t>
  </si>
  <si>
    <t>09-06-2024 13:15</t>
  </si>
  <si>
    <t>09-06-2024 13:30</t>
  </si>
  <si>
    <t>09-06-2024 13:45</t>
  </si>
  <si>
    <t>09-06-2024 14:00</t>
  </si>
  <si>
    <t>09-06-2024 14:15</t>
  </si>
  <si>
    <t>09-06-2024 14:30</t>
  </si>
  <si>
    <t>09-06-2024 14:45</t>
  </si>
  <si>
    <t>09-06-2024 15:00</t>
  </si>
  <si>
    <t>09-06-2024 15:15</t>
  </si>
  <si>
    <t>09-06-2024 15:30</t>
  </si>
  <si>
    <t>09-06-2024 15:45</t>
  </si>
  <si>
    <t>09-06-2024 16:00</t>
  </si>
  <si>
    <t>09-06-2024 16:15</t>
  </si>
  <si>
    <t>09-06-2024 16:30</t>
  </si>
  <si>
    <t>09-06-2024 16:45</t>
  </si>
  <si>
    <t>09-06-2024 17:00</t>
  </si>
  <si>
    <t>09-06-2024 17:15</t>
  </si>
  <si>
    <t>09-06-2024 17:30</t>
  </si>
  <si>
    <t>09-06-2024 17:45</t>
  </si>
  <si>
    <t>09-06-2024 18:00</t>
  </si>
  <si>
    <t>09-06-2024 18:15</t>
  </si>
  <si>
    <t>09-06-2024 18:30</t>
  </si>
  <si>
    <t>09-06-2024 18:45</t>
  </si>
  <si>
    <t>09-06-2024 19:00</t>
  </si>
  <si>
    <t>09-06-2024 19:15</t>
  </si>
  <si>
    <t>09-06-2024 19:30</t>
  </si>
  <si>
    <t>09-06-2024 19:45</t>
  </si>
  <si>
    <t>09-06-2024 20:00</t>
  </si>
  <si>
    <t>09-06-2024 20:15</t>
  </si>
  <si>
    <t>09-06-2024 20:30</t>
  </si>
  <si>
    <t>09-06-2024 20:45</t>
  </si>
  <si>
    <t>09-06-2024 21:00</t>
  </si>
  <si>
    <t>09-06-2024 21:15</t>
  </si>
  <si>
    <t>09-06-2024 21:30</t>
  </si>
  <si>
    <t>09-06-2024 21:45</t>
  </si>
  <si>
    <t>09-06-2024 22:00</t>
  </si>
  <si>
    <t>09-06-2024 22:15</t>
  </si>
  <si>
    <t>09-06-2024 22:30</t>
  </si>
  <si>
    <t>09-06-2024 22:45</t>
  </si>
  <si>
    <t>09-06-2024 23:00</t>
  </si>
  <si>
    <t>09-06-2024 23:15</t>
  </si>
  <si>
    <t>09-06-2024 23:30</t>
  </si>
  <si>
    <t>09-06-2024 23:45</t>
  </si>
  <si>
    <t>09-06-2024 24:00</t>
  </si>
  <si>
    <t>10-06-2024 00:15</t>
  </si>
  <si>
    <t>10-06-2024 00:30</t>
  </si>
  <si>
    <t>10-06-2024 00:45</t>
  </si>
  <si>
    <t>10-06-2024 01:00</t>
  </si>
  <si>
    <t>10-06-2024 01:15</t>
  </si>
  <si>
    <t>10-06-2024 01:30</t>
  </si>
  <si>
    <t>10-06-2024 01:45</t>
  </si>
  <si>
    <t>10-06-2024 02:00</t>
  </si>
  <si>
    <t>10-06-2024 02:15</t>
  </si>
  <si>
    <t>10-06-2024 02:30</t>
  </si>
  <si>
    <t>10-06-2024 02:45</t>
  </si>
  <si>
    <t>10-06-2024 03:00</t>
  </si>
  <si>
    <t>10-06-2024 03:15</t>
  </si>
  <si>
    <t>10-06-2024 03:30</t>
  </si>
  <si>
    <t>10-06-2024 03:45</t>
  </si>
  <si>
    <t>10-06-2024 04:00</t>
  </si>
  <si>
    <t>10-06-2024 04:15</t>
  </si>
  <si>
    <t>10-06-2024 04:30</t>
  </si>
  <si>
    <t>10-06-2024 04:45</t>
  </si>
  <si>
    <t>10-06-2024 05:00</t>
  </si>
  <si>
    <t>10-06-2024 05:15</t>
  </si>
  <si>
    <t>10-06-2024 05:30</t>
  </si>
  <si>
    <t>10-06-2024 05:45</t>
  </si>
  <si>
    <t>10-06-2024 06:00</t>
  </si>
  <si>
    <t>10-06-2024 06:15</t>
  </si>
  <si>
    <t>10-06-2024 06:30</t>
  </si>
  <si>
    <t>10-06-2024 06:45</t>
  </si>
  <si>
    <t>10-06-2024 07:00</t>
  </si>
  <si>
    <t>10-06-2024 07:15</t>
  </si>
  <si>
    <t>10-06-2024 07:30</t>
  </si>
  <si>
    <t>10-06-2024 07:45</t>
  </si>
  <si>
    <t>10-06-2024 08:00</t>
  </si>
  <si>
    <t>10-06-2024 08:15</t>
  </si>
  <si>
    <t>10-06-2024 08:30</t>
  </si>
  <si>
    <t>10-06-2024 08:45</t>
  </si>
  <si>
    <t>10-06-2024 09:00</t>
  </si>
  <si>
    <t>10-06-2024 09:15</t>
  </si>
  <si>
    <t>10-06-2024 09:30</t>
  </si>
  <si>
    <t>10-06-2024 09:45</t>
  </si>
  <si>
    <t>10-06-2024 10:00</t>
  </si>
  <si>
    <t>10-06-2024 10:15</t>
  </si>
  <si>
    <t>10-06-2024 10:30</t>
  </si>
  <si>
    <t>10-06-2024 10:45</t>
  </si>
  <si>
    <t>10-06-2024 11:00</t>
  </si>
  <si>
    <t>10-06-2024 11:15</t>
  </si>
  <si>
    <t>10-06-2024 11:30</t>
  </si>
  <si>
    <t>10-06-2024 11:45</t>
  </si>
  <si>
    <t>10-06-2024 12:00</t>
  </si>
  <si>
    <t>10-06-2024 12:15</t>
  </si>
  <si>
    <t>10-06-2024 12:30</t>
  </si>
  <si>
    <t>10-06-2024 12:45</t>
  </si>
  <si>
    <t>10-06-2024 13:00</t>
  </si>
  <si>
    <t>10-06-2024 13:15</t>
  </si>
  <si>
    <t>10-06-2024 13:30</t>
  </si>
  <si>
    <t>10-06-2024 13:45</t>
  </si>
  <si>
    <t>10-06-2024 14:00</t>
  </si>
  <si>
    <t>10-06-2024 14:15</t>
  </si>
  <si>
    <t>10-06-2024 14:30</t>
  </si>
  <si>
    <t>10-06-2024 14:45</t>
  </si>
  <si>
    <t>10-06-2024 15:00</t>
  </si>
  <si>
    <t>10-06-2024 15:15</t>
  </si>
  <si>
    <t>10-06-2024 15:30</t>
  </si>
  <si>
    <t>10-06-2024 15:45</t>
  </si>
  <si>
    <t>10-06-2024 16:00</t>
  </si>
  <si>
    <t>10-06-2024 16:15</t>
  </si>
  <si>
    <t>10-06-2024 16:30</t>
  </si>
  <si>
    <t>10-06-2024 16:45</t>
  </si>
  <si>
    <t>10-06-2024 17:00</t>
  </si>
  <si>
    <t>10-06-2024 17:15</t>
  </si>
  <si>
    <t>10-06-2024 17:30</t>
  </si>
  <si>
    <t>10-06-2024 17:45</t>
  </si>
  <si>
    <t>10-06-2024 18:00</t>
  </si>
  <si>
    <t>10-06-2024 18:15</t>
  </si>
  <si>
    <t>10-06-2024 18:30</t>
  </si>
  <si>
    <t>10-06-2024 18:45</t>
  </si>
  <si>
    <t>10-06-2024 19:00</t>
  </si>
  <si>
    <t>10-06-2024 19:15</t>
  </si>
  <si>
    <t>10-06-2024 19:30</t>
  </si>
  <si>
    <t>10-06-2024 19:45</t>
  </si>
  <si>
    <t>10-06-2024 20:00</t>
  </si>
  <si>
    <t>10-06-2024 20:15</t>
  </si>
  <si>
    <t>10-06-2024 20:30</t>
  </si>
  <si>
    <t>10-06-2024 20:45</t>
  </si>
  <si>
    <t>10-06-2024 21:00</t>
  </si>
  <si>
    <t>10-06-2024 21:15</t>
  </si>
  <si>
    <t>10-06-2024 21:30</t>
  </si>
  <si>
    <t>10-06-2024 21:45</t>
  </si>
  <si>
    <t>10-06-2024 22:00</t>
  </si>
  <si>
    <t>10-06-2024 22:15</t>
  </si>
  <si>
    <t>10-06-2024 22:30</t>
  </si>
  <si>
    <t>10-06-2024 22:45</t>
  </si>
  <si>
    <t>10-06-2024 23:00</t>
  </si>
  <si>
    <t>10-06-2024 23:15</t>
  </si>
  <si>
    <t>10-06-2024 23:30</t>
  </si>
  <si>
    <t>10-06-2024 23:45</t>
  </si>
  <si>
    <t>10-06-2024 24:00</t>
  </si>
  <si>
    <t>11-06-2024 00:15</t>
  </si>
  <si>
    <t>11-06-2024 00:30</t>
  </si>
  <si>
    <t>11-06-2024 00:45</t>
  </si>
  <si>
    <t>11-06-2024 01:00</t>
  </si>
  <si>
    <t>11-06-2024 01:15</t>
  </si>
  <si>
    <t>11-06-2024 01:30</t>
  </si>
  <si>
    <t>11-06-2024 01:45</t>
  </si>
  <si>
    <t>11-06-2024 02:00</t>
  </si>
  <si>
    <t>11-06-2024 02:15</t>
  </si>
  <si>
    <t>11-06-2024 02:30</t>
  </si>
  <si>
    <t>11-06-2024 02:45</t>
  </si>
  <si>
    <t>11-06-2024 03:00</t>
  </si>
  <si>
    <t>11-06-2024 03:15</t>
  </si>
  <si>
    <t>11-06-2024 03:30</t>
  </si>
  <si>
    <t>11-06-2024 03:45</t>
  </si>
  <si>
    <t>11-06-2024 04:00</t>
  </si>
  <si>
    <t>11-06-2024 04:15</t>
  </si>
  <si>
    <t>11-06-2024 04:30</t>
  </si>
  <si>
    <t>11-06-2024 04:45</t>
  </si>
  <si>
    <t>11-06-2024 05:00</t>
  </si>
  <si>
    <t>11-06-2024 05:15</t>
  </si>
  <si>
    <t>11-06-2024 05:30</t>
  </si>
  <si>
    <t>11-06-2024 05:45</t>
  </si>
  <si>
    <t>11-06-2024 06:00</t>
  </si>
  <si>
    <t>11-06-2024 06:15</t>
  </si>
  <si>
    <t>11-06-2024 06:30</t>
  </si>
  <si>
    <t>11-06-2024 06:45</t>
  </si>
  <si>
    <t>11-06-2024 07:00</t>
  </si>
  <si>
    <t>11-06-2024 07:15</t>
  </si>
  <si>
    <t>11-06-2024 07:30</t>
  </si>
  <si>
    <t>11-06-2024 07:45</t>
  </si>
  <si>
    <t>11-06-2024 08:00</t>
  </si>
  <si>
    <t>11-06-2024 08:15</t>
  </si>
  <si>
    <t>11-06-2024 08:30</t>
  </si>
  <si>
    <t>11-06-2024 08:45</t>
  </si>
  <si>
    <t>11-06-2024 09:00</t>
  </si>
  <si>
    <t>11-06-2024 09:15</t>
  </si>
  <si>
    <t>11-06-2024 09:30</t>
  </si>
  <si>
    <t>11-06-2024 09:45</t>
  </si>
  <si>
    <t>11-06-2024 10:00</t>
  </si>
  <si>
    <t>11-06-2024 10:15</t>
  </si>
  <si>
    <t>11-06-2024 10:30</t>
  </si>
  <si>
    <t>11-06-2024 10:45</t>
  </si>
  <si>
    <t>11-06-2024 11:00</t>
  </si>
  <si>
    <t>11-06-2024 11:15</t>
  </si>
  <si>
    <t>11-06-2024 11:30</t>
  </si>
  <si>
    <t>11-06-2024 11:45</t>
  </si>
  <si>
    <t>11-06-2024 12:00</t>
  </si>
  <si>
    <t>11-06-2024 12:15</t>
  </si>
  <si>
    <t>11-06-2024 12:30</t>
  </si>
  <si>
    <t>11-06-2024 12:45</t>
  </si>
  <si>
    <t>11-06-2024 13:00</t>
  </si>
  <si>
    <t>11-06-2024 13:15</t>
  </si>
  <si>
    <t>11-06-2024 13:30</t>
  </si>
  <si>
    <t>11-06-2024 13:45</t>
  </si>
  <si>
    <t>11-06-2024 14:00</t>
  </si>
  <si>
    <t>11-06-2024 14:15</t>
  </si>
  <si>
    <t>11-06-2024 14:30</t>
  </si>
  <si>
    <t>11-06-2024 14:45</t>
  </si>
  <si>
    <t>11-06-2024 15:00</t>
  </si>
  <si>
    <t>11-06-2024 15:15</t>
  </si>
  <si>
    <t>11-06-2024 15:30</t>
  </si>
  <si>
    <t>11-06-2024 15:45</t>
  </si>
  <si>
    <t>11-06-2024 16:00</t>
  </si>
  <si>
    <t>11-06-2024 16:15</t>
  </si>
  <si>
    <t>11-06-2024 16:30</t>
  </si>
  <si>
    <t>11-06-2024 16:45</t>
  </si>
  <si>
    <t>11-06-2024 17:00</t>
  </si>
  <si>
    <t>11-06-2024 17:15</t>
  </si>
  <si>
    <t>11-06-2024 17:30</t>
  </si>
  <si>
    <t>11-06-2024 17:45</t>
  </si>
  <si>
    <t>11-06-2024 18:00</t>
  </si>
  <si>
    <t>11-06-2024 18:15</t>
  </si>
  <si>
    <t>11-06-2024 18:30</t>
  </si>
  <si>
    <t>11-06-2024 18:45</t>
  </si>
  <si>
    <t>11-06-2024 19:00</t>
  </si>
  <si>
    <t>11-06-2024 19:15</t>
  </si>
  <si>
    <t>11-06-2024 19:30</t>
  </si>
  <si>
    <t>11-06-2024 19:45</t>
  </si>
  <si>
    <t>11-06-2024 20:00</t>
  </si>
  <si>
    <t>11-06-2024 20:15</t>
  </si>
  <si>
    <t>11-06-2024 20:30</t>
  </si>
  <si>
    <t>11-06-2024 20:45</t>
  </si>
  <si>
    <t>11-06-2024 21:00</t>
  </si>
  <si>
    <t>11-06-2024 21:15</t>
  </si>
  <si>
    <t>11-06-2024 21:30</t>
  </si>
  <si>
    <t>11-06-2024 21:45</t>
  </si>
  <si>
    <t>11-06-2024 22:00</t>
  </si>
  <si>
    <t>11-06-2024 22:15</t>
  </si>
  <si>
    <t>11-06-2024 22:30</t>
  </si>
  <si>
    <t>11-06-2024 22:45</t>
  </si>
  <si>
    <t>11-06-2024 23:00</t>
  </si>
  <si>
    <t>11-06-2024 23:15</t>
  </si>
  <si>
    <t>11-06-2024 23:30</t>
  </si>
  <si>
    <t>11-06-2024 23:45</t>
  </si>
  <si>
    <t>11-06-2024 24:00</t>
  </si>
  <si>
    <t>12-06-2024 00:15</t>
  </si>
  <si>
    <t>12-06-2024 00:30</t>
  </si>
  <si>
    <t>12-06-2024 00:45</t>
  </si>
  <si>
    <t>12-06-2024 01:00</t>
  </si>
  <si>
    <t>12-06-2024 01:15</t>
  </si>
  <si>
    <t>12-06-2024 01:30</t>
  </si>
  <si>
    <t>12-06-2024 01:45</t>
  </si>
  <si>
    <t>12-06-2024 02:00</t>
  </si>
  <si>
    <t>12-06-2024 02:15</t>
  </si>
  <si>
    <t>12-06-2024 02:30</t>
  </si>
  <si>
    <t>12-06-2024 02:45</t>
  </si>
  <si>
    <t>12-06-2024 03:00</t>
  </si>
  <si>
    <t>12-06-2024 03:15</t>
  </si>
  <si>
    <t>12-06-2024 03:30</t>
  </si>
  <si>
    <t>12-06-2024 03:45</t>
  </si>
  <si>
    <t>12-06-2024 04:00</t>
  </si>
  <si>
    <t>12-06-2024 04:15</t>
  </si>
  <si>
    <t>12-06-2024 04:30</t>
  </si>
  <si>
    <t>12-06-2024 04:45</t>
  </si>
  <si>
    <t>12-06-2024 05:00</t>
  </si>
  <si>
    <t>12-06-2024 05:15</t>
  </si>
  <si>
    <t>12-06-2024 05:30</t>
  </si>
  <si>
    <t>12-06-2024 05:45</t>
  </si>
  <si>
    <t>12-06-2024 06:00</t>
  </si>
  <si>
    <t>12-06-2024 06:15</t>
  </si>
  <si>
    <t>12-06-2024 06:30</t>
  </si>
  <si>
    <t>12-06-2024 06:45</t>
  </si>
  <si>
    <t>12-06-2024 07:00</t>
  </si>
  <si>
    <t>12-06-2024 07:15</t>
  </si>
  <si>
    <t>12-06-2024 07:30</t>
  </si>
  <si>
    <t>12-06-2024 07:45</t>
  </si>
  <si>
    <t>12-06-2024 08:00</t>
  </si>
  <si>
    <t>12-06-2024 08:15</t>
  </si>
  <si>
    <t>12-06-2024 08:30</t>
  </si>
  <si>
    <t>12-06-2024 08:45</t>
  </si>
  <si>
    <t>12-06-2024 09:00</t>
  </si>
  <si>
    <t>12-06-2024 09:15</t>
  </si>
  <si>
    <t>12-06-2024 09:30</t>
  </si>
  <si>
    <t>12-06-2024 09:45</t>
  </si>
  <si>
    <t>12-06-2024 10:00</t>
  </si>
  <si>
    <t>12-06-2024 10:15</t>
  </si>
  <si>
    <t>12-06-2024 10:30</t>
  </si>
  <si>
    <t>12-06-2024 10:45</t>
  </si>
  <si>
    <t>12-06-2024 11:00</t>
  </si>
  <si>
    <t>12-06-2024 11:15</t>
  </si>
  <si>
    <t>12-06-2024 11:30</t>
  </si>
  <si>
    <t>12-06-2024 11:45</t>
  </si>
  <si>
    <t>12-06-2024 12:00</t>
  </si>
  <si>
    <t>12-06-2024 12:15</t>
  </si>
  <si>
    <t>12-06-2024 12:30</t>
  </si>
  <si>
    <t>12-06-2024 12:45</t>
  </si>
  <si>
    <t>12-06-2024 13:00</t>
  </si>
  <si>
    <t>12-06-2024 13:15</t>
  </si>
  <si>
    <t>12-06-2024 13:30</t>
  </si>
  <si>
    <t>12-06-2024 13:45</t>
  </si>
  <si>
    <t>12-06-2024 14:00</t>
  </si>
  <si>
    <t>12-06-2024 14:15</t>
  </si>
  <si>
    <t>12-06-2024 14:30</t>
  </si>
  <si>
    <t>12-06-2024 14:45</t>
  </si>
  <si>
    <t>12-06-2024 15:00</t>
  </si>
  <si>
    <t>12-06-2024 15:15</t>
  </si>
  <si>
    <t>12-06-2024 15:30</t>
  </si>
  <si>
    <t>12-06-2024 15:45</t>
  </si>
  <si>
    <t>12-06-2024 16:00</t>
  </si>
  <si>
    <t>12-06-2024 16:15</t>
  </si>
  <si>
    <t>12-06-2024 16:30</t>
  </si>
  <si>
    <t>12-06-2024 16:45</t>
  </si>
  <si>
    <t>12-06-2024 17:00</t>
  </si>
  <si>
    <t>12-06-2024 17:15</t>
  </si>
  <si>
    <t>12-06-2024 17:30</t>
  </si>
  <si>
    <t>12-06-2024 17:45</t>
  </si>
  <si>
    <t>12-06-2024 18:00</t>
  </si>
  <si>
    <t>12-06-2024 18:15</t>
  </si>
  <si>
    <t>12-06-2024 18:30</t>
  </si>
  <si>
    <t>12-06-2024 18:45</t>
  </si>
  <si>
    <t>12-06-2024 19:00</t>
  </si>
  <si>
    <t>12-06-2024 19:15</t>
  </si>
  <si>
    <t>12-06-2024 19:30</t>
  </si>
  <si>
    <t>12-06-2024 19:45</t>
  </si>
  <si>
    <t>12-06-2024 20:00</t>
  </si>
  <si>
    <t>12-06-2024 20:15</t>
  </si>
  <si>
    <t>12-06-2024 20:30</t>
  </si>
  <si>
    <t>12-06-2024 20:45</t>
  </si>
  <si>
    <t>12-06-2024 21:00</t>
  </si>
  <si>
    <t>12-06-2024 21:15</t>
  </si>
  <si>
    <t>12-06-2024 21:30</t>
  </si>
  <si>
    <t>12-06-2024 21:45</t>
  </si>
  <si>
    <t>12-06-2024 22:00</t>
  </si>
  <si>
    <t>12-06-2024 22:15</t>
  </si>
  <si>
    <t>12-06-2024 22:30</t>
  </si>
  <si>
    <t>12-06-2024 22:45</t>
  </si>
  <si>
    <t>12-06-2024 23:00</t>
  </si>
  <si>
    <t>12-06-2024 23:15</t>
  </si>
  <si>
    <t>12-06-2024 23:30</t>
  </si>
  <si>
    <t>12-06-2024 23:45</t>
  </si>
  <si>
    <t>12-06-2024 24:00</t>
  </si>
  <si>
    <t>13-06-2024 00:15</t>
  </si>
  <si>
    <t>13-06-2024 00:30</t>
  </si>
  <si>
    <t>13-06-2024 00:45</t>
  </si>
  <si>
    <t>13-06-2024 01:00</t>
  </si>
  <si>
    <t>13-06-2024 01:15</t>
  </si>
  <si>
    <t>13-06-2024 01:30</t>
  </si>
  <si>
    <t>13-06-2024 01:45</t>
  </si>
  <si>
    <t>13-06-2024 02:00</t>
  </si>
  <si>
    <t>13-06-2024 02:15</t>
  </si>
  <si>
    <t>13-06-2024 02:30</t>
  </si>
  <si>
    <t>13-06-2024 02:45</t>
  </si>
  <si>
    <t>13-06-2024 03:00</t>
  </si>
  <si>
    <t>13-06-2024 03:15</t>
  </si>
  <si>
    <t>13-06-2024 03:30</t>
  </si>
  <si>
    <t>13-06-2024 03:45</t>
  </si>
  <si>
    <t>13-06-2024 04:00</t>
  </si>
  <si>
    <t>13-06-2024 04:15</t>
  </si>
  <si>
    <t>13-06-2024 04:30</t>
  </si>
  <si>
    <t>13-06-2024 04:45</t>
  </si>
  <si>
    <t>13-06-2024 05:00</t>
  </si>
  <si>
    <t>13-06-2024 05:15</t>
  </si>
  <si>
    <t>13-06-2024 05:30</t>
  </si>
  <si>
    <t>13-06-2024 05:45</t>
  </si>
  <si>
    <t>13-06-2024 06:00</t>
  </si>
  <si>
    <t>13-06-2024 06:15</t>
  </si>
  <si>
    <t>13-06-2024 06:30</t>
  </si>
  <si>
    <t>13-06-2024 06:45</t>
  </si>
  <si>
    <t>13-06-2024 07:00</t>
  </si>
  <si>
    <t>13-06-2024 07:15</t>
  </si>
  <si>
    <t>13-06-2024 07:30</t>
  </si>
  <si>
    <t>13-06-2024 07:45</t>
  </si>
  <si>
    <t>13-06-2024 08:00</t>
  </si>
  <si>
    <t>13-06-2024 08:15</t>
  </si>
  <si>
    <t>13-06-2024 08:30</t>
  </si>
  <si>
    <t>13-06-2024 08:45</t>
  </si>
  <si>
    <t>13-06-2024 09:00</t>
  </si>
  <si>
    <t>13-06-2024 09:15</t>
  </si>
  <si>
    <t>13-06-2024 09:30</t>
  </si>
  <si>
    <t>13-06-2024 09:45</t>
  </si>
  <si>
    <t>13-06-2024 10:00</t>
  </si>
  <si>
    <t>13-06-2024 10:15</t>
  </si>
  <si>
    <t>13-06-2024 10:30</t>
  </si>
  <si>
    <t>13-06-2024 10:45</t>
  </si>
  <si>
    <t>13-06-2024 11:00</t>
  </si>
  <si>
    <t>13-06-2024 11:15</t>
  </si>
  <si>
    <t>13-06-2024 11:30</t>
  </si>
  <si>
    <t>13-06-2024 11:45</t>
  </si>
  <si>
    <t>13-06-2024 12:00</t>
  </si>
  <si>
    <t>13-06-2024 12:15</t>
  </si>
  <si>
    <t>13-06-2024 12:30</t>
  </si>
  <si>
    <t>13-06-2024 12:45</t>
  </si>
  <si>
    <t>13-06-2024 13:00</t>
  </si>
  <si>
    <t>13-06-2024 13:15</t>
  </si>
  <si>
    <t>13-06-2024 13:30</t>
  </si>
  <si>
    <t>13-06-2024 13:45</t>
  </si>
  <si>
    <t>13-06-2024 14:00</t>
  </si>
  <si>
    <t>13-06-2024 14:15</t>
  </si>
  <si>
    <t>13-06-2024 14:30</t>
  </si>
  <si>
    <t>13-06-2024 14:45</t>
  </si>
  <si>
    <t>13-06-2024 15:00</t>
  </si>
  <si>
    <t>13-06-2024 15:15</t>
  </si>
  <si>
    <t>13-06-2024 15:30</t>
  </si>
  <si>
    <t>13-06-2024 15:45</t>
  </si>
  <si>
    <t>13-06-2024 16:00</t>
  </si>
  <si>
    <t>13-06-2024 16:15</t>
  </si>
  <si>
    <t>13-06-2024 16:30</t>
  </si>
  <si>
    <t>13-06-2024 16:45</t>
  </si>
  <si>
    <t>13-06-2024 17:00</t>
  </si>
  <si>
    <t>13-06-2024 17:15</t>
  </si>
  <si>
    <t>13-06-2024 17:30</t>
  </si>
  <si>
    <t>13-06-2024 17:45</t>
  </si>
  <si>
    <t>13-06-2024 18:00</t>
  </si>
  <si>
    <t>13-06-2024 18:15</t>
  </si>
  <si>
    <t>13-06-2024 18:30</t>
  </si>
  <si>
    <t>13-06-2024 18:45</t>
  </si>
  <si>
    <t>13-06-2024 19:00</t>
  </si>
  <si>
    <t>13-06-2024 19:15</t>
  </si>
  <si>
    <t>13-06-2024 19:30</t>
  </si>
  <si>
    <t>13-06-2024 19:45</t>
  </si>
  <si>
    <t>13-06-2024 20:00</t>
  </si>
  <si>
    <t>13-06-2024 20:15</t>
  </si>
  <si>
    <t>13-06-2024 20:30</t>
  </si>
  <si>
    <t>13-06-2024 20:45</t>
  </si>
  <si>
    <t>13-06-2024 21:00</t>
  </si>
  <si>
    <t>13-06-2024 21:15</t>
  </si>
  <si>
    <t>13-06-2024 21:30</t>
  </si>
  <si>
    <t>13-06-2024 21:45</t>
  </si>
  <si>
    <t>13-06-2024 22:00</t>
  </si>
  <si>
    <t>13-06-2024 22:15</t>
  </si>
  <si>
    <t>13-06-2024 22:30</t>
  </si>
  <si>
    <t>13-06-2024 22:45</t>
  </si>
  <si>
    <t>13-06-2024 23:00</t>
  </si>
  <si>
    <t>13-06-2024 23:15</t>
  </si>
  <si>
    <t>13-06-2024 23:30</t>
  </si>
  <si>
    <t>13-06-2024 23:45</t>
  </si>
  <si>
    <t>13-06-2024 24:00</t>
  </si>
  <si>
    <t>14-06-2024 00:15</t>
  </si>
  <si>
    <t>14-06-2024 00:30</t>
  </si>
  <si>
    <t>14-06-2024 00:45</t>
  </si>
  <si>
    <t>14-06-2024 01:00</t>
  </si>
  <si>
    <t>14-06-2024 01:15</t>
  </si>
  <si>
    <t>14-06-2024 01:30</t>
  </si>
  <si>
    <t>14-06-2024 01:45</t>
  </si>
  <si>
    <t>14-06-2024 02:00</t>
  </si>
  <si>
    <t>14-06-2024 02:15</t>
  </si>
  <si>
    <t>14-06-2024 02:30</t>
  </si>
  <si>
    <t>14-06-2024 02:45</t>
  </si>
  <si>
    <t>14-06-2024 03:00</t>
  </si>
  <si>
    <t>14-06-2024 03:15</t>
  </si>
  <si>
    <t>14-06-2024 03:30</t>
  </si>
  <si>
    <t>14-06-2024 03:45</t>
  </si>
  <si>
    <t>14-06-2024 04:00</t>
  </si>
  <si>
    <t>14-06-2024 04:15</t>
  </si>
  <si>
    <t>14-06-2024 04:30</t>
  </si>
  <si>
    <t>14-06-2024 04:45</t>
  </si>
  <si>
    <t>14-06-2024 05:00</t>
  </si>
  <si>
    <t>14-06-2024 05:15</t>
  </si>
  <si>
    <t>14-06-2024 05:30</t>
  </si>
  <si>
    <t>14-06-2024 05:45</t>
  </si>
  <si>
    <t>14-06-2024 06:00</t>
  </si>
  <si>
    <t>14-06-2024 06:15</t>
  </si>
  <si>
    <t>14-06-2024 06:30</t>
  </si>
  <si>
    <t>14-06-2024 06:45</t>
  </si>
  <si>
    <t>14-06-2024 07:00</t>
  </si>
  <si>
    <t>14-06-2024 07:15</t>
  </si>
  <si>
    <t>14-06-2024 07:30</t>
  </si>
  <si>
    <t>14-06-2024 07:45</t>
  </si>
  <si>
    <t>14-06-2024 08:00</t>
  </si>
  <si>
    <t>14-06-2024 08:15</t>
  </si>
  <si>
    <t>14-06-2024 08:30</t>
  </si>
  <si>
    <t>14-06-2024 08:45</t>
  </si>
  <si>
    <t>14-06-2024 09:00</t>
  </si>
  <si>
    <t>14-06-2024 09:15</t>
  </si>
  <si>
    <t>14-06-2024 09:30</t>
  </si>
  <si>
    <t>14-06-2024 09:45</t>
  </si>
  <si>
    <t>14-06-2024 10:00</t>
  </si>
  <si>
    <t>14-06-2024 10:15</t>
  </si>
  <si>
    <t>14-06-2024 10:30</t>
  </si>
  <si>
    <t>14-06-2024 10:45</t>
  </si>
  <si>
    <t>14-06-2024 11:00</t>
  </si>
  <si>
    <t>14-06-2024 11:15</t>
  </si>
  <si>
    <t>14-06-2024 11:30</t>
  </si>
  <si>
    <t>14-06-2024 11:45</t>
  </si>
  <si>
    <t>14-06-2024 12:00</t>
  </si>
  <si>
    <t>14-06-2024 12:15</t>
  </si>
  <si>
    <t>14-06-2024 12:30</t>
  </si>
  <si>
    <t>14-06-2024 12:45</t>
  </si>
  <si>
    <t>14-06-2024 13:00</t>
  </si>
  <si>
    <t>14-06-2024 13:15</t>
  </si>
  <si>
    <t>14-06-2024 13:30</t>
  </si>
  <si>
    <t>14-06-2024 13:45</t>
  </si>
  <si>
    <t>14-06-2024 14:00</t>
  </si>
  <si>
    <t>14-06-2024 14:15</t>
  </si>
  <si>
    <t>14-06-2024 14:30</t>
  </si>
  <si>
    <t>14-06-2024 14:45</t>
  </si>
  <si>
    <t>14-06-2024 15:00</t>
  </si>
  <si>
    <t>14-06-2024 15:15</t>
  </si>
  <si>
    <t>14-06-2024 15:30</t>
  </si>
  <si>
    <t>14-06-2024 15:45</t>
  </si>
  <si>
    <t>14-06-2024 16:00</t>
  </si>
  <si>
    <t>14-06-2024 16:15</t>
  </si>
  <si>
    <t>14-06-2024 16:30</t>
  </si>
  <si>
    <t>14-06-2024 16:45</t>
  </si>
  <si>
    <t>14-06-2024 17:00</t>
  </si>
  <si>
    <t>14-06-2024 17:15</t>
  </si>
  <si>
    <t>14-06-2024 17:30</t>
  </si>
  <si>
    <t>14-06-2024 17:45</t>
  </si>
  <si>
    <t>14-06-2024 18:00</t>
  </si>
  <si>
    <t>14-06-2024 18:15</t>
  </si>
  <si>
    <t>14-06-2024 18:30</t>
  </si>
  <si>
    <t>14-06-2024 18:45</t>
  </si>
  <si>
    <t>14-06-2024 19:00</t>
  </si>
  <si>
    <t>14-06-2024 19:15</t>
  </si>
  <si>
    <t>14-06-2024 19:30</t>
  </si>
  <si>
    <t>14-06-2024 19:45</t>
  </si>
  <si>
    <t>14-06-2024 20:00</t>
  </si>
  <si>
    <t>14-06-2024 20:15</t>
  </si>
  <si>
    <t>14-06-2024 20:30</t>
  </si>
  <si>
    <t>14-06-2024 20:45</t>
  </si>
  <si>
    <t>14-06-2024 21:00</t>
  </si>
  <si>
    <t>14-06-2024 21:15</t>
  </si>
  <si>
    <t>14-06-2024 21:30</t>
  </si>
  <si>
    <t>14-06-2024 21:45</t>
  </si>
  <si>
    <t>14-06-2024 22:00</t>
  </si>
  <si>
    <t>14-06-2024 22:15</t>
  </si>
  <si>
    <t>14-06-2024 22:30</t>
  </si>
  <si>
    <t>14-06-2024 22:45</t>
  </si>
  <si>
    <t>14-06-2024 23:00</t>
  </si>
  <si>
    <t>14-06-2024 23:15</t>
  </si>
  <si>
    <t>14-06-2024 23:30</t>
  </si>
  <si>
    <t>14-06-2024 23:45</t>
  </si>
  <si>
    <t>14-06-2024 24:00</t>
  </si>
  <si>
    <t>15-06-2024 00:15</t>
  </si>
  <si>
    <t>15-06-2024 00:30</t>
  </si>
  <si>
    <t>15-06-2024 00:45</t>
  </si>
  <si>
    <t>15-06-2024 01:00</t>
  </si>
  <si>
    <t>15-06-2024 01:15</t>
  </si>
  <si>
    <t>15-06-2024 01:30</t>
  </si>
  <si>
    <t>15-06-2024 01:45</t>
  </si>
  <si>
    <t>15-06-2024 02:00</t>
  </si>
  <si>
    <t>15-06-2024 02:15</t>
  </si>
  <si>
    <t>15-06-2024 02:30</t>
  </si>
  <si>
    <t>15-06-2024 02:45</t>
  </si>
  <si>
    <t>15-06-2024 03:00</t>
  </si>
  <si>
    <t>15-06-2024 03:15</t>
  </si>
  <si>
    <t>15-06-2024 03:30</t>
  </si>
  <si>
    <t>15-06-2024 03:45</t>
  </si>
  <si>
    <t>15-06-2024 04:00</t>
  </si>
  <si>
    <t>15-06-2024 04:15</t>
  </si>
  <si>
    <t>15-06-2024 04:30</t>
  </si>
  <si>
    <t>15-06-2024 04:45</t>
  </si>
  <si>
    <t>15-06-2024 05:00</t>
  </si>
  <si>
    <t>15-06-2024 05:15</t>
  </si>
  <si>
    <t>15-06-2024 05:30</t>
  </si>
  <si>
    <t>15-06-2024 05:45</t>
  </si>
  <si>
    <t>15-06-2024 06:00</t>
  </si>
  <si>
    <t>15-06-2024 06:15</t>
  </si>
  <si>
    <t>15-06-2024 06:30</t>
  </si>
  <si>
    <t>15-06-2024 06:45</t>
  </si>
  <si>
    <t>15-06-2024 07:00</t>
  </si>
  <si>
    <t>15-06-2024 07:15</t>
  </si>
  <si>
    <t>15-06-2024 07:30</t>
  </si>
  <si>
    <t>15-06-2024 07:45</t>
  </si>
  <si>
    <t>15-06-2024 08:00</t>
  </si>
  <si>
    <t>15-06-2024 08:15</t>
  </si>
  <si>
    <t>15-06-2024 08:30</t>
  </si>
  <si>
    <t>15-06-2024 08:45</t>
  </si>
  <si>
    <t>15-06-2024 09:00</t>
  </si>
  <si>
    <t>15-06-2024 09:15</t>
  </si>
  <si>
    <t>15-06-2024 09:30</t>
  </si>
  <si>
    <t>15-06-2024 09:45</t>
  </si>
  <si>
    <t>15-06-2024 10:00</t>
  </si>
  <si>
    <t>15-06-2024 10:15</t>
  </si>
  <si>
    <t>15-06-2024 10:30</t>
  </si>
  <si>
    <t>15-06-2024 10:45</t>
  </si>
  <si>
    <t>15-06-2024 11:00</t>
  </si>
  <si>
    <t>15-06-2024 11:15</t>
  </si>
  <si>
    <t>15-06-2024 11:30</t>
  </si>
  <si>
    <t>15-06-2024 11:45</t>
  </si>
  <si>
    <t>15-06-2024 12:00</t>
  </si>
  <si>
    <t>15-06-2024 12:15</t>
  </si>
  <si>
    <t>15-06-2024 12:30</t>
  </si>
  <si>
    <t>15-06-2024 12:45</t>
  </si>
  <si>
    <t>15-06-2024 13:00</t>
  </si>
  <si>
    <t>15-06-2024 13:15</t>
  </si>
  <si>
    <t>15-06-2024 13:30</t>
  </si>
  <si>
    <t>15-06-2024 13:45</t>
  </si>
  <si>
    <t>15-06-2024 14:00</t>
  </si>
  <si>
    <t>15-06-2024 14:15</t>
  </si>
  <si>
    <t>15-06-2024 14:30</t>
  </si>
  <si>
    <t>15-06-2024 14:45</t>
  </si>
  <si>
    <t>15-06-2024 15:00</t>
  </si>
  <si>
    <t>15-06-2024 15:15</t>
  </si>
  <si>
    <t>15-06-2024 15:30</t>
  </si>
  <si>
    <t>15-06-2024 15:45</t>
  </si>
  <si>
    <t>15-06-2024 16:00</t>
  </si>
  <si>
    <t>15-06-2024 16:15</t>
  </si>
  <si>
    <t>15-06-2024 16:30</t>
  </si>
  <si>
    <t>15-06-2024 16:45</t>
  </si>
  <si>
    <t>15-06-2024 17:00</t>
  </si>
  <si>
    <t>15-06-2024 17:15</t>
  </si>
  <si>
    <t>15-06-2024 17:30</t>
  </si>
  <si>
    <t>15-06-2024 17:45</t>
  </si>
  <si>
    <t>15-06-2024 18:00</t>
  </si>
  <si>
    <t>15-06-2024 18:15</t>
  </si>
  <si>
    <t>15-06-2024 18:30</t>
  </si>
  <si>
    <t>15-06-2024 18:45</t>
  </si>
  <si>
    <t>15-06-2024 19:00</t>
  </si>
  <si>
    <t>15-06-2024 19:15</t>
  </si>
  <si>
    <t>15-06-2024 19:30</t>
  </si>
  <si>
    <t>15-06-2024 19:45</t>
  </si>
  <si>
    <t>15-06-2024 20:00</t>
  </si>
  <si>
    <t>15-06-2024 20:15</t>
  </si>
  <si>
    <t>15-06-2024 20:30</t>
  </si>
  <si>
    <t>15-06-2024 20:45</t>
  </si>
  <si>
    <t>15-06-2024 21:00</t>
  </si>
  <si>
    <t>15-06-2024 21:15</t>
  </si>
  <si>
    <t>15-06-2024 21:30</t>
  </si>
  <si>
    <t>15-06-2024 21:45</t>
  </si>
  <si>
    <t>15-06-2024 22:00</t>
  </si>
  <si>
    <t>15-06-2024 22:15</t>
  </si>
  <si>
    <t>15-06-2024 22:30</t>
  </si>
  <si>
    <t>15-06-2024 22:45</t>
  </si>
  <si>
    <t>15-06-2024 23:00</t>
  </si>
  <si>
    <t>15-06-2024 23:15</t>
  </si>
  <si>
    <t>15-06-2024 23:30</t>
  </si>
  <si>
    <t>15-06-2024 23:45</t>
  </si>
  <si>
    <t>15-06-2024 24:00</t>
  </si>
  <si>
    <t>16-06-2024 00:15</t>
  </si>
  <si>
    <t>16-06-2024 00:30</t>
  </si>
  <si>
    <t>16-06-2024 00:45</t>
  </si>
  <si>
    <t>16-06-2024 01:00</t>
  </si>
  <si>
    <t>16-06-2024 01:15</t>
  </si>
  <si>
    <t>16-06-2024 01:30</t>
  </si>
  <si>
    <t>16-06-2024 01:45</t>
  </si>
  <si>
    <t>16-06-2024 02:00</t>
  </si>
  <si>
    <t>16-06-2024 02:15</t>
  </si>
  <si>
    <t>16-06-2024 02:30</t>
  </si>
  <si>
    <t>16-06-2024 02:45</t>
  </si>
  <si>
    <t>16-06-2024 03:00</t>
  </si>
  <si>
    <t>16-06-2024 03:15</t>
  </si>
  <si>
    <t>16-06-2024 03:30</t>
  </si>
  <si>
    <t>16-06-2024 03:45</t>
  </si>
  <si>
    <t>16-06-2024 04:00</t>
  </si>
  <si>
    <t>16-06-2024 04:15</t>
  </si>
  <si>
    <t>16-06-2024 04:30</t>
  </si>
  <si>
    <t>16-06-2024 04:45</t>
  </si>
  <si>
    <t>16-06-2024 05:00</t>
  </si>
  <si>
    <t>16-06-2024 05:15</t>
  </si>
  <si>
    <t>16-06-2024 05:30</t>
  </si>
  <si>
    <t>16-06-2024 05:45</t>
  </si>
  <si>
    <t>16-06-2024 06:00</t>
  </si>
  <si>
    <t>16-06-2024 06:15</t>
  </si>
  <si>
    <t>16-06-2024 06:30</t>
  </si>
  <si>
    <t>16-06-2024 06:45</t>
  </si>
  <si>
    <t>16-06-2024 07:00</t>
  </si>
  <si>
    <t>16-06-2024 07:15</t>
  </si>
  <si>
    <t>16-06-2024 07:30</t>
  </si>
  <si>
    <t>16-06-2024 07:45</t>
  </si>
  <si>
    <t>16-06-2024 08:00</t>
  </si>
  <si>
    <t>16-06-2024 08:15</t>
  </si>
  <si>
    <t>16-06-2024 08:30</t>
  </si>
  <si>
    <t>16-06-2024 08:45</t>
  </si>
  <si>
    <t>16-06-2024 09:00</t>
  </si>
  <si>
    <t>16-06-2024 09:15</t>
  </si>
  <si>
    <t>16-06-2024 09:30</t>
  </si>
  <si>
    <t>16-06-2024 09:45</t>
  </si>
  <si>
    <t>16-06-2024 10:00</t>
  </si>
  <si>
    <t>16-06-2024 10:15</t>
  </si>
  <si>
    <t>16-06-2024 10:30</t>
  </si>
  <si>
    <t>16-06-2024 10:45</t>
  </si>
  <si>
    <t>16-06-2024 11:00</t>
  </si>
  <si>
    <t>16-06-2024 11:15</t>
  </si>
  <si>
    <t>16-06-2024 11:30</t>
  </si>
  <si>
    <t>16-06-2024 11:45</t>
  </si>
  <si>
    <t>16-06-2024 12:00</t>
  </si>
  <si>
    <t>16-06-2024 12:15</t>
  </si>
  <si>
    <t>16-06-2024 12:30</t>
  </si>
  <si>
    <t>16-06-2024 12:45</t>
  </si>
  <si>
    <t>16-06-2024 13:00</t>
  </si>
  <si>
    <t>16-06-2024 13:15</t>
  </si>
  <si>
    <t>16-06-2024 13:30</t>
  </si>
  <si>
    <t>16-06-2024 13:45</t>
  </si>
  <si>
    <t>16-06-2024 14:00</t>
  </si>
  <si>
    <t>16-06-2024 14:15</t>
  </si>
  <si>
    <t>16-06-2024 14:30</t>
  </si>
  <si>
    <t>16-06-2024 14:45</t>
  </si>
  <si>
    <t>16-06-2024 15:00</t>
  </si>
  <si>
    <t>16-06-2024 15:15</t>
  </si>
  <si>
    <t>16-06-2024 15:30</t>
  </si>
  <si>
    <t>16-06-2024 15:45</t>
  </si>
  <si>
    <t>16-06-2024 16:00</t>
  </si>
  <si>
    <t>16-06-2024 16:15</t>
  </si>
  <si>
    <t>16-06-2024 16:30</t>
  </si>
  <si>
    <t>16-06-2024 16:45</t>
  </si>
  <si>
    <t>16-06-2024 17:00</t>
  </si>
  <si>
    <t>16-06-2024 17:15</t>
  </si>
  <si>
    <t>16-06-2024 17:30</t>
  </si>
  <si>
    <t>16-06-2024 17:45</t>
  </si>
  <si>
    <t>16-06-2024 18:00</t>
  </si>
  <si>
    <t>16-06-2024 18:15</t>
  </si>
  <si>
    <t>16-06-2024 18:30</t>
  </si>
  <si>
    <t>16-06-2024 18:45</t>
  </si>
  <si>
    <t>16-06-2024 19:00</t>
  </si>
  <si>
    <t>16-06-2024 19:15</t>
  </si>
  <si>
    <t>16-06-2024 19:30</t>
  </si>
  <si>
    <t>16-06-2024 19:45</t>
  </si>
  <si>
    <t>16-06-2024 20:00</t>
  </si>
  <si>
    <t>16-06-2024 20:15</t>
  </si>
  <si>
    <t>16-06-2024 20:30</t>
  </si>
  <si>
    <t>16-06-2024 20:45</t>
  </si>
  <si>
    <t>16-06-2024 21:00</t>
  </si>
  <si>
    <t>16-06-2024 21:15</t>
  </si>
  <si>
    <t>16-06-2024 21:30</t>
  </si>
  <si>
    <t>16-06-2024 21:45</t>
  </si>
  <si>
    <t>16-06-2024 22:00</t>
  </si>
  <si>
    <t>16-06-2024 22:15</t>
  </si>
  <si>
    <t>16-06-2024 22:30</t>
  </si>
  <si>
    <t>16-06-2024 22:45</t>
  </si>
  <si>
    <t>16-06-2024 23:00</t>
  </si>
  <si>
    <t>16-06-2024 23:15</t>
  </si>
  <si>
    <t>16-06-2024 23:30</t>
  </si>
  <si>
    <t>16-06-2024 23:45</t>
  </si>
  <si>
    <t>16-06-2024 24:00</t>
  </si>
  <si>
    <t>17-06-2024 00:15</t>
  </si>
  <si>
    <t>17-06-2024 00:30</t>
  </si>
  <si>
    <t>17-06-2024 00:45</t>
  </si>
  <si>
    <t>17-06-2024 01:00</t>
  </si>
  <si>
    <t>17-06-2024 01:15</t>
  </si>
  <si>
    <t>17-06-2024 01:30</t>
  </si>
  <si>
    <t>17-06-2024 01:45</t>
  </si>
  <si>
    <t>17-06-2024 02:00</t>
  </si>
  <si>
    <t>17-06-2024 02:15</t>
  </si>
  <si>
    <t>17-06-2024 02:30</t>
  </si>
  <si>
    <t>17-06-2024 02:45</t>
  </si>
  <si>
    <t>17-06-2024 03:00</t>
  </si>
  <si>
    <t>17-06-2024 03:15</t>
  </si>
  <si>
    <t>17-06-2024 03:30</t>
  </si>
  <si>
    <t>17-06-2024 03:45</t>
  </si>
  <si>
    <t>17-06-2024 04:00</t>
  </si>
  <si>
    <t>17-06-2024 04:15</t>
  </si>
  <si>
    <t>17-06-2024 04:30</t>
  </si>
  <si>
    <t>17-06-2024 04:45</t>
  </si>
  <si>
    <t>17-06-2024 05:00</t>
  </si>
  <si>
    <t>17-06-2024 05:15</t>
  </si>
  <si>
    <t>17-06-2024 05:30</t>
  </si>
  <si>
    <t>17-06-2024 05:45</t>
  </si>
  <si>
    <t>17-06-2024 06:00</t>
  </si>
  <si>
    <t>17-06-2024 06:15</t>
  </si>
  <si>
    <t>17-06-2024 06:30</t>
  </si>
  <si>
    <t>17-06-2024 06:45</t>
  </si>
  <si>
    <t>17-06-2024 07:00</t>
  </si>
  <si>
    <t>17-06-2024 07:15</t>
  </si>
  <si>
    <t>17-06-2024 07:30</t>
  </si>
  <si>
    <t>17-06-2024 07:45</t>
  </si>
  <si>
    <t>17-06-2024 08:00</t>
  </si>
  <si>
    <t>17-06-2024 08:15</t>
  </si>
  <si>
    <t>17-06-2024 08:30</t>
  </si>
  <si>
    <t>17-06-2024 08:45</t>
  </si>
  <si>
    <t>17-06-2024 09:00</t>
  </si>
  <si>
    <t>17-06-2024 09:15</t>
  </si>
  <si>
    <t>17-06-2024 09:30</t>
  </si>
  <si>
    <t>17-06-2024 09:45</t>
  </si>
  <si>
    <t>17-06-2024 10:00</t>
  </si>
  <si>
    <t>17-06-2024 10:15</t>
  </si>
  <si>
    <t>17-06-2024 10:30</t>
  </si>
  <si>
    <t>17-06-2024 10:45</t>
  </si>
  <si>
    <t>17-06-2024 11:00</t>
  </si>
  <si>
    <t>17-06-2024 11:15</t>
  </si>
  <si>
    <t>17-06-2024 11:30</t>
  </si>
  <si>
    <t>17-06-2024 11:45</t>
  </si>
  <si>
    <t>17-06-2024 12:00</t>
  </si>
  <si>
    <t>17-06-2024 12:15</t>
  </si>
  <si>
    <t>17-06-2024 12:30</t>
  </si>
  <si>
    <t>17-06-2024 12:45</t>
  </si>
  <si>
    <t>17-06-2024 13:00</t>
  </si>
  <si>
    <t>17-06-2024 13:15</t>
  </si>
  <si>
    <t>17-06-2024 13:30</t>
  </si>
  <si>
    <t>17-06-2024 13:45</t>
  </si>
  <si>
    <t>17-06-2024 14:00</t>
  </si>
  <si>
    <t>17-06-2024 14:15</t>
  </si>
  <si>
    <t>17-06-2024 14:30</t>
  </si>
  <si>
    <t>17-06-2024 14:45</t>
  </si>
  <si>
    <t>17-06-2024 15:00</t>
  </si>
  <si>
    <t>17-06-2024 15:15</t>
  </si>
  <si>
    <t>17-06-2024 15:30</t>
  </si>
  <si>
    <t>17-06-2024 15:45</t>
  </si>
  <si>
    <t>17-06-2024 16:00</t>
  </si>
  <si>
    <t>17-06-2024 16:15</t>
  </si>
  <si>
    <t>17-06-2024 16:30</t>
  </si>
  <si>
    <t>17-06-2024 16:45</t>
  </si>
  <si>
    <t>17-06-2024 17:00</t>
  </si>
  <si>
    <t>17-06-2024 17:15</t>
  </si>
  <si>
    <t>17-06-2024 17:30</t>
  </si>
  <si>
    <t>17-06-2024 17:45</t>
  </si>
  <si>
    <t>17-06-2024 18:00</t>
  </si>
  <si>
    <t>17-06-2024 18:15</t>
  </si>
  <si>
    <t>17-06-2024 18:30</t>
  </si>
  <si>
    <t>17-06-2024 18:45</t>
  </si>
  <si>
    <t>17-06-2024 19:00</t>
  </si>
  <si>
    <t>17-06-2024 19:15</t>
  </si>
  <si>
    <t>17-06-2024 19:30</t>
  </si>
  <si>
    <t>17-06-2024 19:45</t>
  </si>
  <si>
    <t>17-06-2024 20:00</t>
  </si>
  <si>
    <t>17-06-2024 20:15</t>
  </si>
  <si>
    <t>17-06-2024 20:30</t>
  </si>
  <si>
    <t>17-06-2024 20:45</t>
  </si>
  <si>
    <t>17-06-2024 21:00</t>
  </si>
  <si>
    <t>17-06-2024 21:15</t>
  </si>
  <si>
    <t>17-06-2024 21:30</t>
  </si>
  <si>
    <t>17-06-2024 21:45</t>
  </si>
  <si>
    <t>17-06-2024 22:00</t>
  </si>
  <si>
    <t>17-06-2024 22:15</t>
  </si>
  <si>
    <t>17-06-2024 22:30</t>
  </si>
  <si>
    <t>17-06-2024 22:45</t>
  </si>
  <si>
    <t>17-06-2024 23:00</t>
  </si>
  <si>
    <t>17-06-2024 23:15</t>
  </si>
  <si>
    <t>17-06-2024 23:30</t>
  </si>
  <si>
    <t>17-06-2024 23:45</t>
  </si>
  <si>
    <t>17-06-2024 24:00</t>
  </si>
  <si>
    <t>18-06-2024 00:15</t>
  </si>
  <si>
    <t>18-06-2024 00:30</t>
  </si>
  <si>
    <t>18-06-2024 00:45</t>
  </si>
  <si>
    <t>18-06-2024 01:00</t>
  </si>
  <si>
    <t>18-06-2024 01:15</t>
  </si>
  <si>
    <t>18-06-2024 01:30</t>
  </si>
  <si>
    <t>18-06-2024 01:45</t>
  </si>
  <si>
    <t>18-06-2024 02:00</t>
  </si>
  <si>
    <t>18-06-2024 02:15</t>
  </si>
  <si>
    <t>18-06-2024 02:30</t>
  </si>
  <si>
    <t>18-06-2024 02:45</t>
  </si>
  <si>
    <t>18-06-2024 03:00</t>
  </si>
  <si>
    <t>18-06-2024 03:15</t>
  </si>
  <si>
    <t>18-06-2024 03:30</t>
  </si>
  <si>
    <t>18-06-2024 03:45</t>
  </si>
  <si>
    <t>18-06-2024 04:00</t>
  </si>
  <si>
    <t>18-06-2024 04:15</t>
  </si>
  <si>
    <t>18-06-2024 04:30</t>
  </si>
  <si>
    <t>18-06-2024 04:45</t>
  </si>
  <si>
    <t>18-06-2024 05:00</t>
  </si>
  <si>
    <t>18-06-2024 05:15</t>
  </si>
  <si>
    <t>18-06-2024 05:30</t>
  </si>
  <si>
    <t>18-06-2024 05:45</t>
  </si>
  <si>
    <t>18-06-2024 06:00</t>
  </si>
  <si>
    <t>18-06-2024 06:15</t>
  </si>
  <si>
    <t>18-06-2024 06:30</t>
  </si>
  <si>
    <t>18-06-2024 06:45</t>
  </si>
  <si>
    <t>18-06-2024 07:00</t>
  </si>
  <si>
    <t>18-06-2024 07:15</t>
  </si>
  <si>
    <t>18-06-2024 07:30</t>
  </si>
  <si>
    <t>18-06-2024 07:45</t>
  </si>
  <si>
    <t>18-06-2024 08:00</t>
  </si>
  <si>
    <t>18-06-2024 08:15</t>
  </si>
  <si>
    <t>18-06-2024 08:30</t>
  </si>
  <si>
    <t>18-06-2024 08:45</t>
  </si>
  <si>
    <t>18-06-2024 09:00</t>
  </si>
  <si>
    <t>18-06-2024 09:15</t>
  </si>
  <si>
    <t>18-06-2024 09:30</t>
  </si>
  <si>
    <t>18-06-2024 09:45</t>
  </si>
  <si>
    <t>18-06-2024 10:00</t>
  </si>
  <si>
    <t>18-06-2024 10:15</t>
  </si>
  <si>
    <t>18-06-2024 10:30</t>
  </si>
  <si>
    <t>18-06-2024 10:45</t>
  </si>
  <si>
    <t>18-06-2024 11:00</t>
  </si>
  <si>
    <t>18-06-2024 11:15</t>
  </si>
  <si>
    <t>18-06-2024 11:30</t>
  </si>
  <si>
    <t>18-06-2024 11:45</t>
  </si>
  <si>
    <t>18-06-2024 12:00</t>
  </si>
  <si>
    <t>18-06-2024 12:15</t>
  </si>
  <si>
    <t>18-06-2024 12:30</t>
  </si>
  <si>
    <t>18-06-2024 12:45</t>
  </si>
  <si>
    <t>18-06-2024 13:00</t>
  </si>
  <si>
    <t>18-06-2024 13:15</t>
  </si>
  <si>
    <t>18-06-2024 13:30</t>
  </si>
  <si>
    <t>18-06-2024 13:45</t>
  </si>
  <si>
    <t>18-06-2024 14:00</t>
  </si>
  <si>
    <t>18-06-2024 14:15</t>
  </si>
  <si>
    <t>18-06-2024 14:30</t>
  </si>
  <si>
    <t>18-06-2024 14:45</t>
  </si>
  <si>
    <t>18-06-2024 15:00</t>
  </si>
  <si>
    <t>18-06-2024 15:15</t>
  </si>
  <si>
    <t>18-06-2024 15:30</t>
  </si>
  <si>
    <t>18-06-2024 15:45</t>
  </si>
  <si>
    <t>18-06-2024 16:00</t>
  </si>
  <si>
    <t>18-06-2024 16:15</t>
  </si>
  <si>
    <t>18-06-2024 16:30</t>
  </si>
  <si>
    <t>18-06-2024 16:45</t>
  </si>
  <si>
    <t>18-06-2024 17:00</t>
  </si>
  <si>
    <t>18-06-2024 17:15</t>
  </si>
  <si>
    <t>18-06-2024 17:30</t>
  </si>
  <si>
    <t>18-06-2024 17:45</t>
  </si>
  <si>
    <t>18-06-2024 18:00</t>
  </si>
  <si>
    <t>18-06-2024 18:15</t>
  </si>
  <si>
    <t>18-06-2024 18:30</t>
  </si>
  <si>
    <t>18-06-2024 18:45</t>
  </si>
  <si>
    <t>18-06-2024 19:00</t>
  </si>
  <si>
    <t>18-06-2024 19:15</t>
  </si>
  <si>
    <t>18-06-2024 19:30</t>
  </si>
  <si>
    <t>18-06-2024 19:45</t>
  </si>
  <si>
    <t>18-06-2024 20:00</t>
  </si>
  <si>
    <t>18-06-2024 20:15</t>
  </si>
  <si>
    <t>18-06-2024 20:30</t>
  </si>
  <si>
    <t>18-06-2024 20:45</t>
  </si>
  <si>
    <t>18-06-2024 21:00</t>
  </si>
  <si>
    <t>18-06-2024 21:15</t>
  </si>
  <si>
    <t>18-06-2024 21:30</t>
  </si>
  <si>
    <t>18-06-2024 21:45</t>
  </si>
  <si>
    <t>18-06-2024 22:00</t>
  </si>
  <si>
    <t>18-06-2024 22:15</t>
  </si>
  <si>
    <t>18-06-2024 22:30</t>
  </si>
  <si>
    <t>18-06-2024 22:45</t>
  </si>
  <si>
    <t>18-06-2024 23:00</t>
  </si>
  <si>
    <t>18-06-2024 23:15</t>
  </si>
  <si>
    <t>18-06-2024 23:30</t>
  </si>
  <si>
    <t>18-06-2024 23:45</t>
  </si>
  <si>
    <t>18-06-2024 24:00</t>
  </si>
  <si>
    <t>19-06-2024 00:15</t>
  </si>
  <si>
    <t>19-06-2024 00:30</t>
  </si>
  <si>
    <t>19-06-2024 00:45</t>
  </si>
  <si>
    <t>19-06-2024 01:00</t>
  </si>
  <si>
    <t>19-06-2024 01:15</t>
  </si>
  <si>
    <t>19-06-2024 01:30</t>
  </si>
  <si>
    <t>19-06-2024 01:45</t>
  </si>
  <si>
    <t>19-06-2024 02:00</t>
  </si>
  <si>
    <t>19-06-2024 02:15</t>
  </si>
  <si>
    <t>19-06-2024 02:30</t>
  </si>
  <si>
    <t>19-06-2024 02:45</t>
  </si>
  <si>
    <t>19-06-2024 03:00</t>
  </si>
  <si>
    <t>19-06-2024 03:15</t>
  </si>
  <si>
    <t>19-06-2024 03:30</t>
  </si>
  <si>
    <t>19-06-2024 03:45</t>
  </si>
  <si>
    <t>19-06-2024 04:00</t>
  </si>
  <si>
    <t>19-06-2024 04:15</t>
  </si>
  <si>
    <t>19-06-2024 04:30</t>
  </si>
  <si>
    <t>19-06-2024 04:45</t>
  </si>
  <si>
    <t>19-06-2024 05:00</t>
  </si>
  <si>
    <t>19-06-2024 05:15</t>
  </si>
  <si>
    <t>19-06-2024 05:30</t>
  </si>
  <si>
    <t>19-06-2024 05:45</t>
  </si>
  <si>
    <t>19-06-2024 06:00</t>
  </si>
  <si>
    <t>19-06-2024 06:15</t>
  </si>
  <si>
    <t>19-06-2024 06:30</t>
  </si>
  <si>
    <t>19-06-2024 06:45</t>
  </si>
  <si>
    <t>19-06-2024 07:00</t>
  </si>
  <si>
    <t>19-06-2024 07:15</t>
  </si>
  <si>
    <t>19-06-2024 07:30</t>
  </si>
  <si>
    <t>19-06-2024 07:45</t>
  </si>
  <si>
    <t>19-06-2024 08:00</t>
  </si>
  <si>
    <t>19-06-2024 08:15</t>
  </si>
  <si>
    <t>19-06-2024 08:30</t>
  </si>
  <si>
    <t>19-06-2024 08:45</t>
  </si>
  <si>
    <t>19-06-2024 09:00</t>
  </si>
  <si>
    <t>19-06-2024 09:15</t>
  </si>
  <si>
    <t>19-06-2024 09:30</t>
  </si>
  <si>
    <t>19-06-2024 09:45</t>
  </si>
  <si>
    <t>19-06-2024 10:00</t>
  </si>
  <si>
    <t>19-06-2024 10:15</t>
  </si>
  <si>
    <t>19-06-2024 10:30</t>
  </si>
  <si>
    <t>19-06-2024 10:45</t>
  </si>
  <si>
    <t>19-06-2024 11:00</t>
  </si>
  <si>
    <t>19-06-2024 11:15</t>
  </si>
  <si>
    <t>19-06-2024 11:30</t>
  </si>
  <si>
    <t>19-06-2024 11:45</t>
  </si>
  <si>
    <t>19-06-2024 12:00</t>
  </si>
  <si>
    <t>19-06-2024 12:15</t>
  </si>
  <si>
    <t>19-06-2024 12:30</t>
  </si>
  <si>
    <t>19-06-2024 12:45</t>
  </si>
  <si>
    <t>19-06-2024 13:00</t>
  </si>
  <si>
    <t>19-06-2024 13:15</t>
  </si>
  <si>
    <t>19-06-2024 13:30</t>
  </si>
  <si>
    <t>19-06-2024 13:45</t>
  </si>
  <si>
    <t>19-06-2024 14:00</t>
  </si>
  <si>
    <t>19-06-2024 14:15</t>
  </si>
  <si>
    <t>19-06-2024 14:30</t>
  </si>
  <si>
    <t>19-06-2024 14:45</t>
  </si>
  <si>
    <t>19-06-2024 15:00</t>
  </si>
  <si>
    <t>19-06-2024 15:15</t>
  </si>
  <si>
    <t>19-06-2024 15:30</t>
  </si>
  <si>
    <t>19-06-2024 15:45</t>
  </si>
  <si>
    <t>19-06-2024 16:00</t>
  </si>
  <si>
    <t>19-06-2024 16:15</t>
  </si>
  <si>
    <t>19-06-2024 16:30</t>
  </si>
  <si>
    <t>19-06-2024 16:45</t>
  </si>
  <si>
    <t>19-06-2024 17:00</t>
  </si>
  <si>
    <t>19-06-2024 17:15</t>
  </si>
  <si>
    <t>19-06-2024 17:30</t>
  </si>
  <si>
    <t>19-06-2024 17:45</t>
  </si>
  <si>
    <t>19-06-2024 18:00</t>
  </si>
  <si>
    <t>19-06-2024 18:15</t>
  </si>
  <si>
    <t>19-06-2024 18:30</t>
  </si>
  <si>
    <t>19-06-2024 18:45</t>
  </si>
  <si>
    <t>19-06-2024 19:00</t>
  </si>
  <si>
    <t>19-06-2024 19:15</t>
  </si>
  <si>
    <t>19-06-2024 19:30</t>
  </si>
  <si>
    <t>19-06-2024 19:45</t>
  </si>
  <si>
    <t>19-06-2024 20:00</t>
  </si>
  <si>
    <t>19-06-2024 20:15</t>
  </si>
  <si>
    <t>19-06-2024 20:30</t>
  </si>
  <si>
    <t>19-06-2024 20:45</t>
  </si>
  <si>
    <t>19-06-2024 21:00</t>
  </si>
  <si>
    <t>19-06-2024 21:15</t>
  </si>
  <si>
    <t>19-06-2024 21:30</t>
  </si>
  <si>
    <t>19-06-2024 21:45</t>
  </si>
  <si>
    <t>19-06-2024 22:00</t>
  </si>
  <si>
    <t>19-06-2024 22:15</t>
  </si>
  <si>
    <t>19-06-2024 22:30</t>
  </si>
  <si>
    <t>19-06-2024 22:45</t>
  </si>
  <si>
    <t>19-06-2024 23:00</t>
  </si>
  <si>
    <t>19-06-2024 23:15</t>
  </si>
  <si>
    <t>19-06-2024 23:30</t>
  </si>
  <si>
    <t>19-06-2024 23:45</t>
  </si>
  <si>
    <t>19-06-2024 24:00</t>
  </si>
  <si>
    <t>20-06-2024 00:15</t>
  </si>
  <si>
    <t>20-06-2024 00:30</t>
  </si>
  <si>
    <t>20-06-2024 00:45</t>
  </si>
  <si>
    <t>20-06-2024 01:00</t>
  </si>
  <si>
    <t>20-06-2024 01:15</t>
  </si>
  <si>
    <t>20-06-2024 01:30</t>
  </si>
  <si>
    <t>20-06-2024 01:45</t>
  </si>
  <si>
    <t>20-06-2024 02:00</t>
  </si>
  <si>
    <t>20-06-2024 02:15</t>
  </si>
  <si>
    <t>20-06-2024 02:30</t>
  </si>
  <si>
    <t>20-06-2024 02:45</t>
  </si>
  <si>
    <t>20-06-2024 03:00</t>
  </si>
  <si>
    <t>20-06-2024 03:15</t>
  </si>
  <si>
    <t>20-06-2024 03:30</t>
  </si>
  <si>
    <t>20-06-2024 03:45</t>
  </si>
  <si>
    <t>20-06-2024 04:00</t>
  </si>
  <si>
    <t>20-06-2024 04:15</t>
  </si>
  <si>
    <t>20-06-2024 04:30</t>
  </si>
  <si>
    <t>20-06-2024 04:45</t>
  </si>
  <si>
    <t>20-06-2024 05:00</t>
  </si>
  <si>
    <t>20-06-2024 05:15</t>
  </si>
  <si>
    <t>20-06-2024 05:30</t>
  </si>
  <si>
    <t>20-06-2024 05:45</t>
  </si>
  <si>
    <t>20-06-2024 06:00</t>
  </si>
  <si>
    <t>20-06-2024 06:15</t>
  </si>
  <si>
    <t>20-06-2024 06:30</t>
  </si>
  <si>
    <t>20-06-2024 06:45</t>
  </si>
  <si>
    <t>20-06-2024 07:00</t>
  </si>
  <si>
    <t>20-06-2024 07:15</t>
  </si>
  <si>
    <t>20-06-2024 07:30</t>
  </si>
  <si>
    <t>20-06-2024 07:45</t>
  </si>
  <si>
    <t>20-06-2024 08:00</t>
  </si>
  <si>
    <t>20-06-2024 08:15</t>
  </si>
  <si>
    <t>20-06-2024 08:30</t>
  </si>
  <si>
    <t>20-06-2024 08:45</t>
  </si>
  <si>
    <t>20-06-2024 09:00</t>
  </si>
  <si>
    <t>20-06-2024 09:15</t>
  </si>
  <si>
    <t>20-06-2024 09:30</t>
  </si>
  <si>
    <t>20-06-2024 09:45</t>
  </si>
  <si>
    <t>20-06-2024 10:00</t>
  </si>
  <si>
    <t>20-06-2024 10:15</t>
  </si>
  <si>
    <t>20-06-2024 10:30</t>
  </si>
  <si>
    <t>20-06-2024 10:45</t>
  </si>
  <si>
    <t>20-06-2024 11:00</t>
  </si>
  <si>
    <t>20-06-2024 11:15</t>
  </si>
  <si>
    <t>20-06-2024 11:30</t>
  </si>
  <si>
    <t>20-06-2024 11:45</t>
  </si>
  <si>
    <t>20-06-2024 12:00</t>
  </si>
  <si>
    <t>20-06-2024 12:15</t>
  </si>
  <si>
    <t>20-06-2024 12:30</t>
  </si>
  <si>
    <t>20-06-2024 12:45</t>
  </si>
  <si>
    <t>20-06-2024 13:00</t>
  </si>
  <si>
    <t>20-06-2024 13:15</t>
  </si>
  <si>
    <t>20-06-2024 13:30</t>
  </si>
  <si>
    <t>20-06-2024 13:45</t>
  </si>
  <si>
    <t>20-06-2024 14:00</t>
  </si>
  <si>
    <t>20-06-2024 14:15</t>
  </si>
  <si>
    <t>20-06-2024 14:30</t>
  </si>
  <si>
    <t>20-06-2024 14:45</t>
  </si>
  <si>
    <t>20-06-2024 15:00</t>
  </si>
  <si>
    <t>20-06-2024 15:15</t>
  </si>
  <si>
    <t>20-06-2024 15:30</t>
  </si>
  <si>
    <t>20-06-2024 15:45</t>
  </si>
  <si>
    <t>20-06-2024 16:00</t>
  </si>
  <si>
    <t>20-06-2024 16:15</t>
  </si>
  <si>
    <t>20-06-2024 16:30</t>
  </si>
  <si>
    <t>20-06-2024 16:45</t>
  </si>
  <si>
    <t>20-06-2024 17:00</t>
  </si>
  <si>
    <t>20-06-2024 17:15</t>
  </si>
  <si>
    <t>20-06-2024 17:30</t>
  </si>
  <si>
    <t>20-06-2024 17:45</t>
  </si>
  <si>
    <t>20-06-2024 18:00</t>
  </si>
  <si>
    <t>20-06-2024 18:15</t>
  </si>
  <si>
    <t>20-06-2024 18:30</t>
  </si>
  <si>
    <t>20-06-2024 18:45</t>
  </si>
  <si>
    <t>20-06-2024 19:00</t>
  </si>
  <si>
    <t>20-06-2024 19:15</t>
  </si>
  <si>
    <t>20-06-2024 19:30</t>
  </si>
  <si>
    <t>20-06-2024 19:45</t>
  </si>
  <si>
    <t>20-06-2024 20:00</t>
  </si>
  <si>
    <t>20-06-2024 20:15</t>
  </si>
  <si>
    <t>20-06-2024 20:30</t>
  </si>
  <si>
    <t>20-06-2024 20:45</t>
  </si>
  <si>
    <t>20-06-2024 21:00</t>
  </si>
  <si>
    <t>20-06-2024 21:15</t>
  </si>
  <si>
    <t>20-06-2024 21:30</t>
  </si>
  <si>
    <t>20-06-2024 21:45</t>
  </si>
  <si>
    <t>20-06-2024 22:00</t>
  </si>
  <si>
    <t>20-06-2024 22:15</t>
  </si>
  <si>
    <t>20-06-2024 22:30</t>
  </si>
  <si>
    <t>20-06-2024 22:45</t>
  </si>
  <si>
    <t>20-06-2024 23:00</t>
  </si>
  <si>
    <t>20-06-2024 23:15</t>
  </si>
  <si>
    <t>20-06-2024 23:30</t>
  </si>
  <si>
    <t>20-06-2024 23:45</t>
  </si>
  <si>
    <t>20-06-2024 24:00</t>
  </si>
  <si>
    <t>21-06-2024 00:15</t>
  </si>
  <si>
    <t>21-06-2024 00:30</t>
  </si>
  <si>
    <t>21-06-2024 00:45</t>
  </si>
  <si>
    <t>21-06-2024 01:00</t>
  </si>
  <si>
    <t>21-06-2024 01:15</t>
  </si>
  <si>
    <t>21-06-2024 01:30</t>
  </si>
  <si>
    <t>21-06-2024 01:45</t>
  </si>
  <si>
    <t>21-06-2024 02:00</t>
  </si>
  <si>
    <t>21-06-2024 02:15</t>
  </si>
  <si>
    <t>21-06-2024 02:30</t>
  </si>
  <si>
    <t>21-06-2024 02:45</t>
  </si>
  <si>
    <t>21-06-2024 03:00</t>
  </si>
  <si>
    <t>21-06-2024 03:15</t>
  </si>
  <si>
    <t>21-06-2024 03:30</t>
  </si>
  <si>
    <t>21-06-2024 03:45</t>
  </si>
  <si>
    <t>21-06-2024 04:00</t>
  </si>
  <si>
    <t>21-06-2024 04:15</t>
  </si>
  <si>
    <t>21-06-2024 04:30</t>
  </si>
  <si>
    <t>21-06-2024 04:45</t>
  </si>
  <si>
    <t>21-06-2024 05:00</t>
  </si>
  <si>
    <t>21-06-2024 05:15</t>
  </si>
  <si>
    <t>21-06-2024 05:30</t>
  </si>
  <si>
    <t>21-06-2024 05:45</t>
  </si>
  <si>
    <t>21-06-2024 06:00</t>
  </si>
  <si>
    <t>21-06-2024 06:15</t>
  </si>
  <si>
    <t>21-06-2024 06:30</t>
  </si>
  <si>
    <t>21-06-2024 06:45</t>
  </si>
  <si>
    <t>21-06-2024 07:00</t>
  </si>
  <si>
    <t>21-06-2024 07:15</t>
  </si>
  <si>
    <t>21-06-2024 07:30</t>
  </si>
  <si>
    <t>21-06-2024 07:45</t>
  </si>
  <si>
    <t>21-06-2024 08:00</t>
  </si>
  <si>
    <t>21-06-2024 08:15</t>
  </si>
  <si>
    <t>21-06-2024 08:30</t>
  </si>
  <si>
    <t>21-06-2024 08:45</t>
  </si>
  <si>
    <t>21-06-2024 09:00</t>
  </si>
  <si>
    <t>21-06-2024 09:15</t>
  </si>
  <si>
    <t>21-06-2024 09:30</t>
  </si>
  <si>
    <t>21-06-2024 09:45</t>
  </si>
  <si>
    <t>21-06-2024 10:00</t>
  </si>
  <si>
    <t>21-06-2024 10:15</t>
  </si>
  <si>
    <t>21-06-2024 10:30</t>
  </si>
  <si>
    <t>21-06-2024 10:45</t>
  </si>
  <si>
    <t>21-06-2024 11:00</t>
  </si>
  <si>
    <t>21-06-2024 11:15</t>
  </si>
  <si>
    <t>21-06-2024 11:30</t>
  </si>
  <si>
    <t>21-06-2024 11:45</t>
  </si>
  <si>
    <t>21-06-2024 12:00</t>
  </si>
  <si>
    <t>21-06-2024 12:15</t>
  </si>
  <si>
    <t>21-06-2024 12:30</t>
  </si>
  <si>
    <t>21-06-2024 12:45</t>
  </si>
  <si>
    <t>21-06-2024 13:00</t>
  </si>
  <si>
    <t>21-06-2024 13:15</t>
  </si>
  <si>
    <t>21-06-2024 13:30</t>
  </si>
  <si>
    <t>21-06-2024 13:45</t>
  </si>
  <si>
    <t>21-06-2024 14:00</t>
  </si>
  <si>
    <t>21-06-2024 14:15</t>
  </si>
  <si>
    <t>21-06-2024 14:30</t>
  </si>
  <si>
    <t>21-06-2024 14:45</t>
  </si>
  <si>
    <t>21-06-2024 15:00</t>
  </si>
  <si>
    <t>21-06-2024 15:15</t>
  </si>
  <si>
    <t>21-06-2024 15:30</t>
  </si>
  <si>
    <t>21-06-2024 15:45</t>
  </si>
  <si>
    <t>21-06-2024 16:00</t>
  </si>
  <si>
    <t>21-06-2024 16:15</t>
  </si>
  <si>
    <t>21-06-2024 16:30</t>
  </si>
  <si>
    <t>21-06-2024 16:45</t>
  </si>
  <si>
    <t>21-06-2024 17:00</t>
  </si>
  <si>
    <t>21-06-2024 17:15</t>
  </si>
  <si>
    <t>21-06-2024 17:30</t>
  </si>
  <si>
    <t>21-06-2024 17:45</t>
  </si>
  <si>
    <t>21-06-2024 18:00</t>
  </si>
  <si>
    <t>21-06-2024 18:15</t>
  </si>
  <si>
    <t>21-06-2024 18:30</t>
  </si>
  <si>
    <t>21-06-2024 18:45</t>
  </si>
  <si>
    <t>21-06-2024 19:00</t>
  </si>
  <si>
    <t>21-06-2024 19:15</t>
  </si>
  <si>
    <t>21-06-2024 19:30</t>
  </si>
  <si>
    <t>21-06-2024 19:45</t>
  </si>
  <si>
    <t>21-06-2024 20:00</t>
  </si>
  <si>
    <t>21-06-2024 20:15</t>
  </si>
  <si>
    <t>21-06-2024 20:30</t>
  </si>
  <si>
    <t>21-06-2024 20:45</t>
  </si>
  <si>
    <t>21-06-2024 21:00</t>
  </si>
  <si>
    <t>21-06-2024 21:15</t>
  </si>
  <si>
    <t>21-06-2024 21:30</t>
  </si>
  <si>
    <t>21-06-2024 21:45</t>
  </si>
  <si>
    <t>21-06-2024 22:00</t>
  </si>
  <si>
    <t>21-06-2024 22:15</t>
  </si>
  <si>
    <t>21-06-2024 22:30</t>
  </si>
  <si>
    <t>21-06-2024 22:45</t>
  </si>
  <si>
    <t>21-06-2024 23:00</t>
  </si>
  <si>
    <t>21-06-2024 23:15</t>
  </si>
  <si>
    <t>21-06-2024 23:30</t>
  </si>
  <si>
    <t>21-06-2024 23:45</t>
  </si>
  <si>
    <t>21-06-2024 24:00</t>
  </si>
  <si>
    <t>22-06-2024 00:15</t>
  </si>
  <si>
    <t>22-06-2024 00:30</t>
  </si>
  <si>
    <t>22-06-2024 00:45</t>
  </si>
  <si>
    <t>22-06-2024 01:00</t>
  </si>
  <si>
    <t>22-06-2024 01:15</t>
  </si>
  <si>
    <t>22-06-2024 01:30</t>
  </si>
  <si>
    <t>22-06-2024 01:45</t>
  </si>
  <si>
    <t>22-06-2024 02:00</t>
  </si>
  <si>
    <t>22-06-2024 02:15</t>
  </si>
  <si>
    <t>22-06-2024 02:30</t>
  </si>
  <si>
    <t>22-06-2024 02:45</t>
  </si>
  <si>
    <t>22-06-2024 03:00</t>
  </si>
  <si>
    <t>22-06-2024 03:15</t>
  </si>
  <si>
    <t>22-06-2024 03:30</t>
  </si>
  <si>
    <t>22-06-2024 03:45</t>
  </si>
  <si>
    <t>22-06-2024 04:00</t>
  </si>
  <si>
    <t>22-06-2024 04:15</t>
  </si>
  <si>
    <t>22-06-2024 04:30</t>
  </si>
  <si>
    <t>22-06-2024 04:45</t>
  </si>
  <si>
    <t>22-06-2024 05:00</t>
  </si>
  <si>
    <t>22-06-2024 05:15</t>
  </si>
  <si>
    <t>22-06-2024 05:30</t>
  </si>
  <si>
    <t>22-06-2024 05:45</t>
  </si>
  <si>
    <t>22-06-2024 06:00</t>
  </si>
  <si>
    <t>22-06-2024 06:15</t>
  </si>
  <si>
    <t>22-06-2024 06:30</t>
  </si>
  <si>
    <t>22-06-2024 06:45</t>
  </si>
  <si>
    <t>22-06-2024 07:00</t>
  </si>
  <si>
    <t>22-06-2024 07:15</t>
  </si>
  <si>
    <t>22-06-2024 07:30</t>
  </si>
  <si>
    <t>22-06-2024 07:45</t>
  </si>
  <si>
    <t>22-06-2024 08:00</t>
  </si>
  <si>
    <t>22-06-2024 08:15</t>
  </si>
  <si>
    <t>22-06-2024 08:30</t>
  </si>
  <si>
    <t>22-06-2024 08:45</t>
  </si>
  <si>
    <t>22-06-2024 09:00</t>
  </si>
  <si>
    <t>22-06-2024 09:15</t>
  </si>
  <si>
    <t>22-06-2024 09:30</t>
  </si>
  <si>
    <t>22-06-2024 09:45</t>
  </si>
  <si>
    <t>22-06-2024 10:00</t>
  </si>
  <si>
    <t>22-06-2024 10:15</t>
  </si>
  <si>
    <t>22-06-2024 10:30</t>
  </si>
  <si>
    <t>22-06-2024 10:45</t>
  </si>
  <si>
    <t>22-06-2024 11:00</t>
  </si>
  <si>
    <t>22-06-2024 11:15</t>
  </si>
  <si>
    <t>22-06-2024 11:30</t>
  </si>
  <si>
    <t>22-06-2024 11:45</t>
  </si>
  <si>
    <t>22-06-2024 12:00</t>
  </si>
  <si>
    <t>22-06-2024 12:15</t>
  </si>
  <si>
    <t>22-06-2024 12:30</t>
  </si>
  <si>
    <t>22-06-2024 12:45</t>
  </si>
  <si>
    <t>22-06-2024 13:00</t>
  </si>
  <si>
    <t>22-06-2024 13:15</t>
  </si>
  <si>
    <t>22-06-2024 13:30</t>
  </si>
  <si>
    <t>22-06-2024 13:45</t>
  </si>
  <si>
    <t>22-06-2024 14:00</t>
  </si>
  <si>
    <t>22-06-2024 14:15</t>
  </si>
  <si>
    <t>22-06-2024 14:30</t>
  </si>
  <si>
    <t>22-06-2024 14:45</t>
  </si>
  <si>
    <t>22-06-2024 15:00</t>
  </si>
  <si>
    <t>22-06-2024 15:15</t>
  </si>
  <si>
    <t>22-06-2024 15:30</t>
  </si>
  <si>
    <t>22-06-2024 15:45</t>
  </si>
  <si>
    <t>22-06-2024 16:00</t>
  </si>
  <si>
    <t>22-06-2024 16:15</t>
  </si>
  <si>
    <t>22-06-2024 16:30</t>
  </si>
  <si>
    <t>22-06-2024 16:45</t>
  </si>
  <si>
    <t>22-06-2024 17:00</t>
  </si>
  <si>
    <t>22-06-2024 17:15</t>
  </si>
  <si>
    <t>22-06-2024 17:30</t>
  </si>
  <si>
    <t>22-06-2024 17:45</t>
  </si>
  <si>
    <t>22-06-2024 18:00</t>
  </si>
  <si>
    <t>22-06-2024 18:15</t>
  </si>
  <si>
    <t>22-06-2024 18:30</t>
  </si>
  <si>
    <t>22-06-2024 18:45</t>
  </si>
  <si>
    <t>22-06-2024 19:00</t>
  </si>
  <si>
    <t>22-06-2024 19:15</t>
  </si>
  <si>
    <t>22-06-2024 19:30</t>
  </si>
  <si>
    <t>22-06-2024 19:45</t>
  </si>
  <si>
    <t>22-06-2024 20:00</t>
  </si>
  <si>
    <t>22-06-2024 20:15</t>
  </si>
  <si>
    <t>22-06-2024 20:30</t>
  </si>
  <si>
    <t>22-06-2024 20:45</t>
  </si>
  <si>
    <t>22-06-2024 21:00</t>
  </si>
  <si>
    <t>22-06-2024 21:15</t>
  </si>
  <si>
    <t>22-06-2024 21:30</t>
  </si>
  <si>
    <t>22-06-2024 21:45</t>
  </si>
  <si>
    <t>22-06-2024 22:00</t>
  </si>
  <si>
    <t>22-06-2024 22:15</t>
  </si>
  <si>
    <t>22-06-2024 22:30</t>
  </si>
  <si>
    <t>22-06-2024 22:45</t>
  </si>
  <si>
    <t>22-06-2024 23:00</t>
  </si>
  <si>
    <t>22-06-2024 23:15</t>
  </si>
  <si>
    <t>22-06-2024 23:30</t>
  </si>
  <si>
    <t>22-06-2024 23:45</t>
  </si>
  <si>
    <t>22-06-2024 24:00</t>
  </si>
  <si>
    <t>23-06-2024 00:15</t>
  </si>
  <si>
    <t>23-06-2024 00:30</t>
  </si>
  <si>
    <t>23-06-2024 00:45</t>
  </si>
  <si>
    <t>23-06-2024 01:00</t>
  </si>
  <si>
    <t>23-06-2024 01:15</t>
  </si>
  <si>
    <t>23-06-2024 01:30</t>
  </si>
  <si>
    <t>23-06-2024 01:45</t>
  </si>
  <si>
    <t>23-06-2024 02:00</t>
  </si>
  <si>
    <t>23-06-2024 02:15</t>
  </si>
  <si>
    <t>23-06-2024 02:30</t>
  </si>
  <si>
    <t>23-06-2024 02:45</t>
  </si>
  <si>
    <t>23-06-2024 03:00</t>
  </si>
  <si>
    <t>23-06-2024 03:15</t>
  </si>
  <si>
    <t>23-06-2024 03:30</t>
  </si>
  <si>
    <t>23-06-2024 03:45</t>
  </si>
  <si>
    <t>23-06-2024 04:00</t>
  </si>
  <si>
    <t>23-06-2024 04:15</t>
  </si>
  <si>
    <t>23-06-2024 04:30</t>
  </si>
  <si>
    <t>23-06-2024 04:45</t>
  </si>
  <si>
    <t>23-06-2024 05:00</t>
  </si>
  <si>
    <t>23-06-2024 05:15</t>
  </si>
  <si>
    <t>23-06-2024 05:30</t>
  </si>
  <si>
    <t>23-06-2024 05:45</t>
  </si>
  <si>
    <t>23-06-2024 06:00</t>
  </si>
  <si>
    <t>23-06-2024 06:15</t>
  </si>
  <si>
    <t>23-06-2024 06:30</t>
  </si>
  <si>
    <t>23-06-2024 06:45</t>
  </si>
  <si>
    <t>23-06-2024 07:00</t>
  </si>
  <si>
    <t>23-06-2024 07:15</t>
  </si>
  <si>
    <t>23-06-2024 07:30</t>
  </si>
  <si>
    <t>23-06-2024 07:45</t>
  </si>
  <si>
    <t>23-06-2024 08:00</t>
  </si>
  <si>
    <t>23-06-2024 08:15</t>
  </si>
  <si>
    <t>23-06-2024 08:30</t>
  </si>
  <si>
    <t>23-06-2024 08:45</t>
  </si>
  <si>
    <t>23-06-2024 09:00</t>
  </si>
  <si>
    <t>23-06-2024 09:15</t>
  </si>
  <si>
    <t>23-06-2024 09:30</t>
  </si>
  <si>
    <t>23-06-2024 09:45</t>
  </si>
  <si>
    <t>23-06-2024 10:00</t>
  </si>
  <si>
    <t>23-06-2024 10:15</t>
  </si>
  <si>
    <t>23-06-2024 10:30</t>
  </si>
  <si>
    <t>23-06-2024 10:45</t>
  </si>
  <si>
    <t>23-06-2024 11:00</t>
  </si>
  <si>
    <t>23-06-2024 11:15</t>
  </si>
  <si>
    <t>23-06-2024 11:30</t>
  </si>
  <si>
    <t>23-06-2024 11:45</t>
  </si>
  <si>
    <t>23-06-2024 12:00</t>
  </si>
  <si>
    <t>23-06-2024 12:15</t>
  </si>
  <si>
    <t>23-06-2024 12:30</t>
  </si>
  <si>
    <t>23-06-2024 12:45</t>
  </si>
  <si>
    <t>23-06-2024 13:00</t>
  </si>
  <si>
    <t>23-06-2024 13:15</t>
  </si>
  <si>
    <t>23-06-2024 13:30</t>
  </si>
  <si>
    <t>23-06-2024 13:45</t>
  </si>
  <si>
    <t>23-06-2024 14:00</t>
  </si>
  <si>
    <t>23-06-2024 14:15</t>
  </si>
  <si>
    <t>23-06-2024 14:30</t>
  </si>
  <si>
    <t>23-06-2024 14:45</t>
  </si>
  <si>
    <t>23-06-2024 15:00</t>
  </si>
  <si>
    <t>23-06-2024 15:15</t>
  </si>
  <si>
    <t>23-06-2024 15:30</t>
  </si>
  <si>
    <t>23-06-2024 15:45</t>
  </si>
  <si>
    <t>23-06-2024 16:00</t>
  </si>
  <si>
    <t>23-06-2024 16:15</t>
  </si>
  <si>
    <t>23-06-2024 16:30</t>
  </si>
  <si>
    <t>23-06-2024 16:45</t>
  </si>
  <si>
    <t>23-06-2024 17:00</t>
  </si>
  <si>
    <t>23-06-2024 17:15</t>
  </si>
  <si>
    <t>23-06-2024 17:30</t>
  </si>
  <si>
    <t>23-06-2024 17:45</t>
  </si>
  <si>
    <t>23-06-2024 18:00</t>
  </si>
  <si>
    <t>23-06-2024 18:15</t>
  </si>
  <si>
    <t>23-06-2024 18:30</t>
  </si>
  <si>
    <t>23-06-2024 18:45</t>
  </si>
  <si>
    <t>23-06-2024 19:00</t>
  </si>
  <si>
    <t>23-06-2024 19:15</t>
  </si>
  <si>
    <t>23-06-2024 19:30</t>
  </si>
  <si>
    <t>23-06-2024 19:45</t>
  </si>
  <si>
    <t>23-06-2024 20:00</t>
  </si>
  <si>
    <t>23-06-2024 20:15</t>
  </si>
  <si>
    <t>23-06-2024 20:30</t>
  </si>
  <si>
    <t>23-06-2024 20:45</t>
  </si>
  <si>
    <t>23-06-2024 21:00</t>
  </si>
  <si>
    <t>23-06-2024 21:15</t>
  </si>
  <si>
    <t>23-06-2024 21:30</t>
  </si>
  <si>
    <t>23-06-2024 21:45</t>
  </si>
  <si>
    <t>23-06-2024 22:00</t>
  </si>
  <si>
    <t>23-06-2024 22:15</t>
  </si>
  <si>
    <t>23-06-2024 22:30</t>
  </si>
  <si>
    <t>23-06-2024 22:45</t>
  </si>
  <si>
    <t>23-06-2024 23:00</t>
  </si>
  <si>
    <t>23-06-2024 23:15</t>
  </si>
  <si>
    <t>23-06-2024 23:30</t>
  </si>
  <si>
    <t>23-06-2024 23:45</t>
  </si>
  <si>
    <t>23-06-2024 24:00</t>
  </si>
  <si>
    <t>24-06-2024 00:15</t>
  </si>
  <si>
    <t>24-06-2024 00:30</t>
  </si>
  <si>
    <t>24-06-2024 00:45</t>
  </si>
  <si>
    <t>24-06-2024 01:00</t>
  </si>
  <si>
    <t>24-06-2024 01:15</t>
  </si>
  <si>
    <t>24-06-2024 01:30</t>
  </si>
  <si>
    <t>24-06-2024 01:45</t>
  </si>
  <si>
    <t>24-06-2024 02:00</t>
  </si>
  <si>
    <t>24-06-2024 02:15</t>
  </si>
  <si>
    <t>24-06-2024 02:30</t>
  </si>
  <si>
    <t>24-06-2024 02:45</t>
  </si>
  <si>
    <t>24-06-2024 03:00</t>
  </si>
  <si>
    <t>24-06-2024 03:15</t>
  </si>
  <si>
    <t>24-06-2024 03:30</t>
  </si>
  <si>
    <t>24-06-2024 03:45</t>
  </si>
  <si>
    <t>24-06-2024 04:00</t>
  </si>
  <si>
    <t>24-06-2024 04:15</t>
  </si>
  <si>
    <t>24-06-2024 04:30</t>
  </si>
  <si>
    <t>24-06-2024 04:45</t>
  </si>
  <si>
    <t>24-06-2024 05:00</t>
  </si>
  <si>
    <t>24-06-2024 05:15</t>
  </si>
  <si>
    <t>24-06-2024 05:30</t>
  </si>
  <si>
    <t>24-06-2024 05:45</t>
  </si>
  <si>
    <t>24-06-2024 06:00</t>
  </si>
  <si>
    <t>24-06-2024 06:15</t>
  </si>
  <si>
    <t>24-06-2024 06:30</t>
  </si>
  <si>
    <t>24-06-2024 06:45</t>
  </si>
  <si>
    <t>24-06-2024 07:00</t>
  </si>
  <si>
    <t>24-06-2024 07:15</t>
  </si>
  <si>
    <t>24-06-2024 07:30</t>
  </si>
  <si>
    <t>24-06-2024 07:45</t>
  </si>
  <si>
    <t>24-06-2024 08:00</t>
  </si>
  <si>
    <t>24-06-2024 08:15</t>
  </si>
  <si>
    <t>24-06-2024 08:30</t>
  </si>
  <si>
    <t>24-06-2024 08:45</t>
  </si>
  <si>
    <t>24-06-2024 09:00</t>
  </si>
  <si>
    <t>24-06-2024 09:15</t>
  </si>
  <si>
    <t>24-06-2024 09:30</t>
  </si>
  <si>
    <t>24-06-2024 09:45</t>
  </si>
  <si>
    <t>24-06-2024 10:00</t>
  </si>
  <si>
    <t>24-06-2024 10:15</t>
  </si>
  <si>
    <t>24-06-2024 10:30</t>
  </si>
  <si>
    <t>24-06-2024 10:45</t>
  </si>
  <si>
    <t>24-06-2024 11:00</t>
  </si>
  <si>
    <t>24-06-2024 11:15</t>
  </si>
  <si>
    <t>24-06-2024 11:30</t>
  </si>
  <si>
    <t>24-06-2024 11:45</t>
  </si>
  <si>
    <t>24-06-2024 12:00</t>
  </si>
  <si>
    <t>24-06-2024 12:15</t>
  </si>
  <si>
    <t>24-06-2024 12:30</t>
  </si>
  <si>
    <t>24-06-2024 12:45</t>
  </si>
  <si>
    <t>24-06-2024 13:00</t>
  </si>
  <si>
    <t>24-06-2024 13:15</t>
  </si>
  <si>
    <t>24-06-2024 13:30</t>
  </si>
  <si>
    <t>24-06-2024 13:45</t>
  </si>
  <si>
    <t>24-06-2024 14:00</t>
  </si>
  <si>
    <t>24-06-2024 14:15</t>
  </si>
  <si>
    <t>24-06-2024 14:30</t>
  </si>
  <si>
    <t>24-06-2024 14:45</t>
  </si>
  <si>
    <t>24-06-2024 15:00</t>
  </si>
  <si>
    <t>24-06-2024 15:15</t>
  </si>
  <si>
    <t>24-06-2024 15:30</t>
  </si>
  <si>
    <t>24-06-2024 15:45</t>
  </si>
  <si>
    <t>24-06-2024 16:00</t>
  </si>
  <si>
    <t>24-06-2024 16:15</t>
  </si>
  <si>
    <t>24-06-2024 16:30</t>
  </si>
  <si>
    <t>24-06-2024 16:45</t>
  </si>
  <si>
    <t>24-06-2024 17:00</t>
  </si>
  <si>
    <t>24-06-2024 17:15</t>
  </si>
  <si>
    <t>24-06-2024 17:30</t>
  </si>
  <si>
    <t>24-06-2024 17:45</t>
  </si>
  <si>
    <t>24-06-2024 18:00</t>
  </si>
  <si>
    <t>24-06-2024 18:15</t>
  </si>
  <si>
    <t>24-06-2024 18:30</t>
  </si>
  <si>
    <t>24-06-2024 18:45</t>
  </si>
  <si>
    <t>24-06-2024 19:00</t>
  </si>
  <si>
    <t>24-06-2024 19:15</t>
  </si>
  <si>
    <t>24-06-2024 19:30</t>
  </si>
  <si>
    <t>24-06-2024 19:45</t>
  </si>
  <si>
    <t>24-06-2024 20:00</t>
  </si>
  <si>
    <t>24-06-2024 20:15</t>
  </si>
  <si>
    <t>24-06-2024 20:30</t>
  </si>
  <si>
    <t>24-06-2024 20:45</t>
  </si>
  <si>
    <t>24-06-2024 21:00</t>
  </si>
  <si>
    <t>24-06-2024 21:15</t>
  </si>
  <si>
    <t>24-06-2024 21:30</t>
  </si>
  <si>
    <t>24-06-2024 21:45</t>
  </si>
  <si>
    <t>24-06-2024 22:00</t>
  </si>
  <si>
    <t>24-06-2024 22:15</t>
  </si>
  <si>
    <t>24-06-2024 22:30</t>
  </si>
  <si>
    <t>24-06-2024 22:45</t>
  </si>
  <si>
    <t>24-06-2024 23:00</t>
  </si>
  <si>
    <t>24-06-2024 23:15</t>
  </si>
  <si>
    <t>24-06-2024 23:30</t>
  </si>
  <si>
    <t>24-06-2024 23:45</t>
  </si>
  <si>
    <t>24-06-2024 24:00</t>
  </si>
  <si>
    <t>25-06-2024 00:15</t>
  </si>
  <si>
    <t>25-06-2024 00:30</t>
  </si>
  <si>
    <t>25-06-2024 00:45</t>
  </si>
  <si>
    <t>25-06-2024 01:00</t>
  </si>
  <si>
    <t>25-06-2024 01:15</t>
  </si>
  <si>
    <t>25-06-2024 01:30</t>
  </si>
  <si>
    <t>25-06-2024 01:45</t>
  </si>
  <si>
    <t>25-06-2024 02:00</t>
  </si>
  <si>
    <t>25-06-2024 02:15</t>
  </si>
  <si>
    <t>25-06-2024 02:30</t>
  </si>
  <si>
    <t>25-06-2024 02:45</t>
  </si>
  <si>
    <t>25-06-2024 03:00</t>
  </si>
  <si>
    <t>25-06-2024 03:15</t>
  </si>
  <si>
    <t>25-06-2024 03:30</t>
  </si>
  <si>
    <t>25-06-2024 03:45</t>
  </si>
  <si>
    <t>25-06-2024 04:00</t>
  </si>
  <si>
    <t>25-06-2024 04:15</t>
  </si>
  <si>
    <t>25-06-2024 04:30</t>
  </si>
  <si>
    <t>25-06-2024 04:45</t>
  </si>
  <si>
    <t>25-06-2024 05:00</t>
  </si>
  <si>
    <t>25-06-2024 05:15</t>
  </si>
  <si>
    <t>25-06-2024 05:30</t>
  </si>
  <si>
    <t>25-06-2024 05:45</t>
  </si>
  <si>
    <t>25-06-2024 06:00</t>
  </si>
  <si>
    <t>25-06-2024 06:15</t>
  </si>
  <si>
    <t>25-06-2024 06:30</t>
  </si>
  <si>
    <t>25-06-2024 06:45</t>
  </si>
  <si>
    <t>25-06-2024 07:00</t>
  </si>
  <si>
    <t>25-06-2024 07:15</t>
  </si>
  <si>
    <t>25-06-2024 07:30</t>
  </si>
  <si>
    <t>25-06-2024 07:45</t>
  </si>
  <si>
    <t>25-06-2024 08:00</t>
  </si>
  <si>
    <t>25-06-2024 08:15</t>
  </si>
  <si>
    <t>25-06-2024 08:30</t>
  </si>
  <si>
    <t>25-06-2024 08:45</t>
  </si>
  <si>
    <t>25-06-2024 09:00</t>
  </si>
  <si>
    <t>25-06-2024 09:15</t>
  </si>
  <si>
    <t>25-06-2024 09:30</t>
  </si>
  <si>
    <t>25-06-2024 09:45</t>
  </si>
  <si>
    <t>25-06-2024 10:00</t>
  </si>
  <si>
    <t>25-06-2024 10:15</t>
  </si>
  <si>
    <t>25-06-2024 10:30</t>
  </si>
  <si>
    <t>25-06-2024 10:45</t>
  </si>
  <si>
    <t>25-06-2024 11:00</t>
  </si>
  <si>
    <t>25-06-2024 11:15</t>
  </si>
  <si>
    <t>25-06-2024 11:30</t>
  </si>
  <si>
    <t>25-06-2024 11:45</t>
  </si>
  <si>
    <t>25-06-2024 12:00</t>
  </si>
  <si>
    <t>25-06-2024 12:15</t>
  </si>
  <si>
    <t>25-06-2024 12:30</t>
  </si>
  <si>
    <t>25-06-2024 12:45</t>
  </si>
  <si>
    <t>25-06-2024 13:00</t>
  </si>
  <si>
    <t>25-06-2024 13:15</t>
  </si>
  <si>
    <t>25-06-2024 13:30</t>
  </si>
  <si>
    <t>25-06-2024 13:45</t>
  </si>
  <si>
    <t>25-06-2024 14:00</t>
  </si>
  <si>
    <t>25-06-2024 14:15</t>
  </si>
  <si>
    <t>25-06-2024 14:30</t>
  </si>
  <si>
    <t>25-06-2024 14:45</t>
  </si>
  <si>
    <t>25-06-2024 15:00</t>
  </si>
  <si>
    <t>25-06-2024 15:15</t>
  </si>
  <si>
    <t>25-06-2024 15:30</t>
  </si>
  <si>
    <t>25-06-2024 15:45</t>
  </si>
  <si>
    <t>25-06-2024 16:00</t>
  </si>
  <si>
    <t>25-06-2024 16:15</t>
  </si>
  <si>
    <t>25-06-2024 16:30</t>
  </si>
  <si>
    <t>25-06-2024 16:45</t>
  </si>
  <si>
    <t>25-06-2024 17:00</t>
  </si>
  <si>
    <t>25-06-2024 17:15</t>
  </si>
  <si>
    <t>25-06-2024 17:30</t>
  </si>
  <si>
    <t>25-06-2024 17:45</t>
  </si>
  <si>
    <t>25-06-2024 18:00</t>
  </si>
  <si>
    <t>25-06-2024 18:15</t>
  </si>
  <si>
    <t>25-06-2024 18:30</t>
  </si>
  <si>
    <t>25-06-2024 18:45</t>
  </si>
  <si>
    <t>25-06-2024 19:00</t>
  </si>
  <si>
    <t>25-06-2024 19:15</t>
  </si>
  <si>
    <t>25-06-2024 19:30</t>
  </si>
  <si>
    <t>25-06-2024 19:45</t>
  </si>
  <si>
    <t>25-06-2024 20:00</t>
  </si>
  <si>
    <t>25-06-2024 20:15</t>
  </si>
  <si>
    <t>25-06-2024 20:30</t>
  </si>
  <si>
    <t>25-06-2024 20:45</t>
  </si>
  <si>
    <t>25-06-2024 21:00</t>
  </si>
  <si>
    <t>25-06-2024 21:15</t>
  </si>
  <si>
    <t>25-06-2024 21:30</t>
  </si>
  <si>
    <t>25-06-2024 21:45</t>
  </si>
  <si>
    <t>25-06-2024 22:00</t>
  </si>
  <si>
    <t>25-06-2024 22:15</t>
  </si>
  <si>
    <t>25-06-2024 22:30</t>
  </si>
  <si>
    <t>25-06-2024 22:45</t>
  </si>
  <si>
    <t>25-06-2024 23:00</t>
  </si>
  <si>
    <t>25-06-2024 23:15</t>
  </si>
  <si>
    <t>25-06-2024 23:30</t>
  </si>
  <si>
    <t>25-06-2024 23:45</t>
  </si>
  <si>
    <t>25-06-2024 24:00</t>
  </si>
  <si>
    <t>26-06-2024 00:15</t>
  </si>
  <si>
    <t>26-06-2024 00:30</t>
  </si>
  <si>
    <t>26-06-2024 00:45</t>
  </si>
  <si>
    <t>26-06-2024 01:00</t>
  </si>
  <si>
    <t>26-06-2024 01:15</t>
  </si>
  <si>
    <t>26-06-2024 01:30</t>
  </si>
  <si>
    <t>26-06-2024 01:45</t>
  </si>
  <si>
    <t>26-06-2024 02:00</t>
  </si>
  <si>
    <t>26-06-2024 02:15</t>
  </si>
  <si>
    <t>26-06-2024 02:30</t>
  </si>
  <si>
    <t>26-06-2024 02:45</t>
  </si>
  <si>
    <t>26-06-2024 03:00</t>
  </si>
  <si>
    <t>26-06-2024 03:15</t>
  </si>
  <si>
    <t>26-06-2024 03:30</t>
  </si>
  <si>
    <t>26-06-2024 03:45</t>
  </si>
  <si>
    <t>26-06-2024 04:00</t>
  </si>
  <si>
    <t>26-06-2024 04:15</t>
  </si>
  <si>
    <t>26-06-2024 04:30</t>
  </si>
  <si>
    <t>26-06-2024 04:45</t>
  </si>
  <si>
    <t>26-06-2024 05:00</t>
  </si>
  <si>
    <t>26-06-2024 05:15</t>
  </si>
  <si>
    <t>26-06-2024 05:30</t>
  </si>
  <si>
    <t>26-06-2024 05:45</t>
  </si>
  <si>
    <t>26-06-2024 06:00</t>
  </si>
  <si>
    <t>26-06-2024 06:15</t>
  </si>
  <si>
    <t>26-06-2024 06:30</t>
  </si>
  <si>
    <t>26-06-2024 06:45</t>
  </si>
  <si>
    <t>26-06-2024 07:00</t>
  </si>
  <si>
    <t>26-06-2024 07:15</t>
  </si>
  <si>
    <t>26-06-2024 07:30</t>
  </si>
  <si>
    <t>26-06-2024 07:45</t>
  </si>
  <si>
    <t>26-06-2024 08:00</t>
  </si>
  <si>
    <t>26-06-2024 08:15</t>
  </si>
  <si>
    <t>26-06-2024 08:30</t>
  </si>
  <si>
    <t>26-06-2024 08:45</t>
  </si>
  <si>
    <t>26-06-2024 09:00</t>
  </si>
  <si>
    <t>26-06-2024 09:15</t>
  </si>
  <si>
    <t>26-06-2024 09:30</t>
  </si>
  <si>
    <t>26-06-2024 09:45</t>
  </si>
  <si>
    <t>26-06-2024 10:00</t>
  </si>
  <si>
    <t>26-06-2024 10:15</t>
  </si>
  <si>
    <t>26-06-2024 10:30</t>
  </si>
  <si>
    <t>26-06-2024 10:45</t>
  </si>
  <si>
    <t>26-06-2024 11:00</t>
  </si>
  <si>
    <t>26-06-2024 11:15</t>
  </si>
  <si>
    <t>26-06-2024 11:30</t>
  </si>
  <si>
    <t>26-06-2024 11:45</t>
  </si>
  <si>
    <t>26-06-2024 12:00</t>
  </si>
  <si>
    <t>26-06-2024 12:15</t>
  </si>
  <si>
    <t>26-06-2024 12:30</t>
  </si>
  <si>
    <t>26-06-2024 12:45</t>
  </si>
  <si>
    <t>26-06-2024 13:00</t>
  </si>
  <si>
    <t>26-06-2024 13:15</t>
  </si>
  <si>
    <t>26-06-2024 13:30</t>
  </si>
  <si>
    <t>26-06-2024 13:45</t>
  </si>
  <si>
    <t>26-06-2024 14:00</t>
  </si>
  <si>
    <t>26-06-2024 14:15</t>
  </si>
  <si>
    <t>26-06-2024 14:30</t>
  </si>
  <si>
    <t>26-06-2024 14:45</t>
  </si>
  <si>
    <t>26-06-2024 15:00</t>
  </si>
  <si>
    <t>26-06-2024 15:15</t>
  </si>
  <si>
    <t>26-06-2024 15:30</t>
  </si>
  <si>
    <t>26-06-2024 15:45</t>
  </si>
  <si>
    <t>26-06-2024 16:00</t>
  </si>
  <si>
    <t>26-06-2024 16:15</t>
  </si>
  <si>
    <t>26-06-2024 16:30</t>
  </si>
  <si>
    <t>26-06-2024 16:45</t>
  </si>
  <si>
    <t>26-06-2024 17:00</t>
  </si>
  <si>
    <t>26-06-2024 17:15</t>
  </si>
  <si>
    <t>26-06-2024 17:30</t>
  </si>
  <si>
    <t>26-06-2024 17:45</t>
  </si>
  <si>
    <t>26-06-2024 18:00</t>
  </si>
  <si>
    <t>26-06-2024 18:15</t>
  </si>
  <si>
    <t>26-06-2024 18:30</t>
  </si>
  <si>
    <t>26-06-2024 18:45</t>
  </si>
  <si>
    <t>26-06-2024 19:00</t>
  </si>
  <si>
    <t>26-06-2024 19:15</t>
  </si>
  <si>
    <t>26-06-2024 19:30</t>
  </si>
  <si>
    <t>26-06-2024 19:45</t>
  </si>
  <si>
    <t>26-06-2024 20:00</t>
  </si>
  <si>
    <t>26-06-2024 20:15</t>
  </si>
  <si>
    <t>26-06-2024 20:30</t>
  </si>
  <si>
    <t>26-06-2024 20:45</t>
  </si>
  <si>
    <t>26-06-2024 21:00</t>
  </si>
  <si>
    <t>26-06-2024 21:15</t>
  </si>
  <si>
    <t>26-06-2024 21:30</t>
  </si>
  <si>
    <t>26-06-2024 21:45</t>
  </si>
  <si>
    <t>26-06-2024 22:00</t>
  </si>
  <si>
    <t>26-06-2024 22:15</t>
  </si>
  <si>
    <t>26-06-2024 22:30</t>
  </si>
  <si>
    <t>26-06-2024 22:45</t>
  </si>
  <si>
    <t>26-06-2024 23:00</t>
  </si>
  <si>
    <t>26-06-2024 23:15</t>
  </si>
  <si>
    <t>26-06-2024 23:30</t>
  </si>
  <si>
    <t>26-06-2024 23:45</t>
  </si>
  <si>
    <t>26-06-2024 24:00</t>
  </si>
  <si>
    <t>27-06-2024 00:15</t>
  </si>
  <si>
    <t>27-06-2024 00:30</t>
  </si>
  <si>
    <t>27-06-2024 00:45</t>
  </si>
  <si>
    <t>27-06-2024 01:00</t>
  </si>
  <si>
    <t>27-06-2024 01:15</t>
  </si>
  <si>
    <t>27-06-2024 01:30</t>
  </si>
  <si>
    <t>27-06-2024 01:45</t>
  </si>
  <si>
    <t>27-06-2024 02:00</t>
  </si>
  <si>
    <t>27-06-2024 02:15</t>
  </si>
  <si>
    <t>27-06-2024 02:30</t>
  </si>
  <si>
    <t>27-06-2024 02:45</t>
  </si>
  <si>
    <t>27-06-2024 03:00</t>
  </si>
  <si>
    <t>27-06-2024 03:15</t>
  </si>
  <si>
    <t>27-06-2024 03:30</t>
  </si>
  <si>
    <t>27-06-2024 03:45</t>
  </si>
  <si>
    <t>27-06-2024 04:00</t>
  </si>
  <si>
    <t>27-06-2024 04:15</t>
  </si>
  <si>
    <t>27-06-2024 04:30</t>
  </si>
  <si>
    <t>27-06-2024 04:45</t>
  </si>
  <si>
    <t>27-06-2024 05:00</t>
  </si>
  <si>
    <t>27-06-2024 05:15</t>
  </si>
  <si>
    <t>27-06-2024 05:30</t>
  </si>
  <si>
    <t>27-06-2024 05:45</t>
  </si>
  <si>
    <t>27-06-2024 06:00</t>
  </si>
  <si>
    <t>27-06-2024 06:15</t>
  </si>
  <si>
    <t>27-06-2024 06:30</t>
  </si>
  <si>
    <t>27-06-2024 06:45</t>
  </si>
  <si>
    <t>27-06-2024 07:00</t>
  </si>
  <si>
    <t>27-06-2024 07:15</t>
  </si>
  <si>
    <t>27-06-2024 07:30</t>
  </si>
  <si>
    <t>27-06-2024 07:45</t>
  </si>
  <si>
    <t>27-06-2024 08:00</t>
  </si>
  <si>
    <t>27-06-2024 08:15</t>
  </si>
  <si>
    <t>27-06-2024 08:30</t>
  </si>
  <si>
    <t>27-06-2024 08:45</t>
  </si>
  <si>
    <t>27-06-2024 09:00</t>
  </si>
  <si>
    <t>27-06-2024 09:15</t>
  </si>
  <si>
    <t>27-06-2024 09:30</t>
  </si>
  <si>
    <t>27-06-2024 09:45</t>
  </si>
  <si>
    <t>27-06-2024 10:00</t>
  </si>
  <si>
    <t>27-06-2024 10:15</t>
  </si>
  <si>
    <t>27-06-2024 10:30</t>
  </si>
  <si>
    <t>27-06-2024 10:45</t>
  </si>
  <si>
    <t>27-06-2024 11:00</t>
  </si>
  <si>
    <t>27-06-2024 11:15</t>
  </si>
  <si>
    <t>27-06-2024 11:30</t>
  </si>
  <si>
    <t>27-06-2024 11:45</t>
  </si>
  <si>
    <t>27-06-2024 12:00</t>
  </si>
  <si>
    <t>27-06-2024 12:15</t>
  </si>
  <si>
    <t>27-06-2024 12:30</t>
  </si>
  <si>
    <t>27-06-2024 12:45</t>
  </si>
  <si>
    <t>27-06-2024 13:00</t>
  </si>
  <si>
    <t>27-06-2024 13:15</t>
  </si>
  <si>
    <t>27-06-2024 13:30</t>
  </si>
  <si>
    <t>27-06-2024 13:45</t>
  </si>
  <si>
    <t>27-06-2024 14:00</t>
  </si>
  <si>
    <t>27-06-2024 14:15</t>
  </si>
  <si>
    <t>27-06-2024 14:30</t>
  </si>
  <si>
    <t>27-06-2024 14:45</t>
  </si>
  <si>
    <t>27-06-2024 15:00</t>
  </si>
  <si>
    <t>27-06-2024 15:15</t>
  </si>
  <si>
    <t>27-06-2024 15:30</t>
  </si>
  <si>
    <t>27-06-2024 15:45</t>
  </si>
  <si>
    <t>27-06-2024 16:00</t>
  </si>
  <si>
    <t>27-06-2024 16:15</t>
  </si>
  <si>
    <t>27-06-2024 16:30</t>
  </si>
  <si>
    <t>27-06-2024 16:45</t>
  </si>
  <si>
    <t>27-06-2024 17:00</t>
  </si>
  <si>
    <t>27-06-2024 17:15</t>
  </si>
  <si>
    <t>27-06-2024 17:30</t>
  </si>
  <si>
    <t>27-06-2024 17:45</t>
  </si>
  <si>
    <t>27-06-2024 18:00</t>
  </si>
  <si>
    <t>27-06-2024 18:15</t>
  </si>
  <si>
    <t>27-06-2024 18:30</t>
  </si>
  <si>
    <t>27-06-2024 18:45</t>
  </si>
  <si>
    <t>27-06-2024 19:00</t>
  </si>
  <si>
    <t>27-06-2024 19:15</t>
  </si>
  <si>
    <t>27-06-2024 19:30</t>
  </si>
  <si>
    <t>27-06-2024 19:45</t>
  </si>
  <si>
    <t>27-06-2024 20:00</t>
  </si>
  <si>
    <t>27-06-2024 20:15</t>
  </si>
  <si>
    <t>27-06-2024 20:30</t>
  </si>
  <si>
    <t>27-06-2024 20:45</t>
  </si>
  <si>
    <t>27-06-2024 21:00</t>
  </si>
  <si>
    <t>27-06-2024 21:15</t>
  </si>
  <si>
    <t>27-06-2024 21:30</t>
  </si>
  <si>
    <t>27-06-2024 21:45</t>
  </si>
  <si>
    <t>27-06-2024 22:00</t>
  </si>
  <si>
    <t>27-06-2024 22:15</t>
  </si>
  <si>
    <t>27-06-2024 22:30</t>
  </si>
  <si>
    <t>27-06-2024 22:45</t>
  </si>
  <si>
    <t>27-06-2024 23:00</t>
  </si>
  <si>
    <t>27-06-2024 23:15</t>
  </si>
  <si>
    <t>27-06-2024 23:30</t>
  </si>
  <si>
    <t>27-06-2024 23:45</t>
  </si>
  <si>
    <t>27-06-2024 24:00</t>
  </si>
  <si>
    <t>28-06-2024 00:15</t>
  </si>
  <si>
    <t>28-06-2024 00:30</t>
  </si>
  <si>
    <t>28-06-2024 00:45</t>
  </si>
  <si>
    <t>28-06-2024 01:00</t>
  </si>
  <si>
    <t>28-06-2024 01:15</t>
  </si>
  <si>
    <t>28-06-2024 01:30</t>
  </si>
  <si>
    <t>28-06-2024 01:45</t>
  </si>
  <si>
    <t>28-06-2024 02:00</t>
  </si>
  <si>
    <t>28-06-2024 02:15</t>
  </si>
  <si>
    <t>28-06-2024 02:30</t>
  </si>
  <si>
    <t>28-06-2024 02:45</t>
  </si>
  <si>
    <t>28-06-2024 03:00</t>
  </si>
  <si>
    <t>28-06-2024 03:15</t>
  </si>
  <si>
    <t>28-06-2024 03:30</t>
  </si>
  <si>
    <t>28-06-2024 03:45</t>
  </si>
  <si>
    <t>28-06-2024 04:00</t>
  </si>
  <si>
    <t>28-06-2024 04:15</t>
  </si>
  <si>
    <t>28-06-2024 04:30</t>
  </si>
  <si>
    <t>28-06-2024 04:45</t>
  </si>
  <si>
    <t>28-06-2024 05:00</t>
  </si>
  <si>
    <t>28-06-2024 05:15</t>
  </si>
  <si>
    <t>28-06-2024 05:30</t>
  </si>
  <si>
    <t>28-06-2024 05:45</t>
  </si>
  <si>
    <t>28-06-2024 06:00</t>
  </si>
  <si>
    <t>28-06-2024 06:15</t>
  </si>
  <si>
    <t>28-06-2024 06:30</t>
  </si>
  <si>
    <t>28-06-2024 06:45</t>
  </si>
  <si>
    <t>28-06-2024 07:00</t>
  </si>
  <si>
    <t>28-06-2024 07:15</t>
  </si>
  <si>
    <t>28-06-2024 07:30</t>
  </si>
  <si>
    <t>28-06-2024 07:45</t>
  </si>
  <si>
    <t>28-06-2024 08:00</t>
  </si>
  <si>
    <t>28-06-2024 08:15</t>
  </si>
  <si>
    <t>28-06-2024 08:30</t>
  </si>
  <si>
    <t>28-06-2024 08:45</t>
  </si>
  <si>
    <t>28-06-2024 09:00</t>
  </si>
  <si>
    <t>28-06-2024 09:15</t>
  </si>
  <si>
    <t>28-06-2024 09:30</t>
  </si>
  <si>
    <t>28-06-2024 09:45</t>
  </si>
  <si>
    <t>28-06-2024 10:00</t>
  </si>
  <si>
    <t>28-06-2024 10:15</t>
  </si>
  <si>
    <t>28-06-2024 10:30</t>
  </si>
  <si>
    <t>28-06-2024 10:45</t>
  </si>
  <si>
    <t>28-06-2024 11:00</t>
  </si>
  <si>
    <t>28-06-2024 11:15</t>
  </si>
  <si>
    <t>28-06-2024 11:30</t>
  </si>
  <si>
    <t>28-06-2024 11:45</t>
  </si>
  <si>
    <t>28-06-2024 12:00</t>
  </si>
  <si>
    <t>28-06-2024 12:15</t>
  </si>
  <si>
    <t>28-06-2024 12:30</t>
  </si>
  <si>
    <t>28-06-2024 12:45</t>
  </si>
  <si>
    <t>28-06-2024 13:00</t>
  </si>
  <si>
    <t>28-06-2024 13:15</t>
  </si>
  <si>
    <t>28-06-2024 13:30</t>
  </si>
  <si>
    <t>28-06-2024 13:45</t>
  </si>
  <si>
    <t>28-06-2024 14:00</t>
  </si>
  <si>
    <t>28-06-2024 14:15</t>
  </si>
  <si>
    <t>28-06-2024 14:30</t>
  </si>
  <si>
    <t>28-06-2024 14:45</t>
  </si>
  <si>
    <t>28-06-2024 15:00</t>
  </si>
  <si>
    <t>28-06-2024 15:15</t>
  </si>
  <si>
    <t>28-06-2024 15:30</t>
  </si>
  <si>
    <t>28-06-2024 15:45</t>
  </si>
  <si>
    <t>28-06-2024 16:00</t>
  </si>
  <si>
    <t>28-06-2024 16:15</t>
  </si>
  <si>
    <t>28-06-2024 16:30</t>
  </si>
  <si>
    <t>28-06-2024 16:45</t>
  </si>
  <si>
    <t>28-06-2024 17:00</t>
  </si>
  <si>
    <t>28-06-2024 17:15</t>
  </si>
  <si>
    <t>28-06-2024 17:30</t>
  </si>
  <si>
    <t>28-06-2024 17:45</t>
  </si>
  <si>
    <t>28-06-2024 18:00</t>
  </si>
  <si>
    <t>28-06-2024 18:15</t>
  </si>
  <si>
    <t>28-06-2024 18:30</t>
  </si>
  <si>
    <t>28-06-2024 18:45</t>
  </si>
  <si>
    <t>28-06-2024 19:00</t>
  </si>
  <si>
    <t>28-06-2024 19:15</t>
  </si>
  <si>
    <t>28-06-2024 19:30</t>
  </si>
  <si>
    <t>28-06-2024 19:45</t>
  </si>
  <si>
    <t>28-06-2024 20:00</t>
  </si>
  <si>
    <t>28-06-2024 20:15</t>
  </si>
  <si>
    <t>28-06-2024 20:30</t>
  </si>
  <si>
    <t>28-06-2024 20:45</t>
  </si>
  <si>
    <t>28-06-2024 21:00</t>
  </si>
  <si>
    <t>28-06-2024 21:15</t>
  </si>
  <si>
    <t>28-06-2024 21:30</t>
  </si>
  <si>
    <t>28-06-2024 21:45</t>
  </si>
  <si>
    <t>28-06-2024 22:00</t>
  </si>
  <si>
    <t>28-06-2024 22:15</t>
  </si>
  <si>
    <t>28-06-2024 22:30</t>
  </si>
  <si>
    <t>28-06-2024 22:45</t>
  </si>
  <si>
    <t>28-06-2024 23:00</t>
  </si>
  <si>
    <t>28-06-2024 23:15</t>
  </si>
  <si>
    <t>28-06-2024 23:30</t>
  </si>
  <si>
    <t>28-06-2024 23:45</t>
  </si>
  <si>
    <t>28-06-2024 24:00</t>
  </si>
  <si>
    <t>29-06-2024 00:15</t>
  </si>
  <si>
    <t>29-06-2024 00:30</t>
  </si>
  <si>
    <t>29-06-2024 00:45</t>
  </si>
  <si>
    <t>29-06-2024 01:00</t>
  </si>
  <si>
    <t>29-06-2024 01:15</t>
  </si>
  <si>
    <t>29-06-2024 01:30</t>
  </si>
  <si>
    <t>29-06-2024 01:45</t>
  </si>
  <si>
    <t>29-06-2024 02:00</t>
  </si>
  <si>
    <t>29-06-2024 02:15</t>
  </si>
  <si>
    <t>29-06-2024 02:30</t>
  </si>
  <si>
    <t>29-06-2024 02:45</t>
  </si>
  <si>
    <t>29-06-2024 03:00</t>
  </si>
  <si>
    <t>29-06-2024 03:15</t>
  </si>
  <si>
    <t>29-06-2024 03:30</t>
  </si>
  <si>
    <t>29-06-2024 03:45</t>
  </si>
  <si>
    <t>29-06-2024 04:00</t>
  </si>
  <si>
    <t>29-06-2024 04:15</t>
  </si>
  <si>
    <t>29-06-2024 04:30</t>
  </si>
  <si>
    <t>29-06-2024 04:45</t>
  </si>
  <si>
    <t>29-06-2024 05:00</t>
  </si>
  <si>
    <t>29-06-2024 05:15</t>
  </si>
  <si>
    <t>29-06-2024 05:30</t>
  </si>
  <si>
    <t>29-06-2024 05:45</t>
  </si>
  <si>
    <t>29-06-2024 06:00</t>
  </si>
  <si>
    <t>29-06-2024 06:15</t>
  </si>
  <si>
    <t>29-06-2024 06:30</t>
  </si>
  <si>
    <t>29-06-2024 06:45</t>
  </si>
  <si>
    <t>29-06-2024 07:00</t>
  </si>
  <si>
    <t>29-06-2024 07:15</t>
  </si>
  <si>
    <t>29-06-2024 07:30</t>
  </si>
  <si>
    <t>29-06-2024 07:45</t>
  </si>
  <si>
    <t>29-06-2024 08:00</t>
  </si>
  <si>
    <t>29-06-2024 08:15</t>
  </si>
  <si>
    <t>29-06-2024 08:30</t>
  </si>
  <si>
    <t>29-06-2024 08:45</t>
  </si>
  <si>
    <t>29-06-2024 09:00</t>
  </si>
  <si>
    <t>29-06-2024 09:15</t>
  </si>
  <si>
    <t>29-06-2024 09:30</t>
  </si>
  <si>
    <t>29-06-2024 09:45</t>
  </si>
  <si>
    <t>29-06-2024 10:00</t>
  </si>
  <si>
    <t>29-06-2024 10:15</t>
  </si>
  <si>
    <t>29-06-2024 10:30</t>
  </si>
  <si>
    <t>29-06-2024 10:45</t>
  </si>
  <si>
    <t>29-06-2024 11:00</t>
  </si>
  <si>
    <t>29-06-2024 11:15</t>
  </si>
  <si>
    <t>29-06-2024 11:30</t>
  </si>
  <si>
    <t>29-06-2024 11:45</t>
  </si>
  <si>
    <t>29-06-2024 12:00</t>
  </si>
  <si>
    <t>29-06-2024 12:15</t>
  </si>
  <si>
    <t>29-06-2024 12:30</t>
  </si>
  <si>
    <t>29-06-2024 12:45</t>
  </si>
  <si>
    <t>29-06-2024 13:00</t>
  </si>
  <si>
    <t>29-06-2024 13:15</t>
  </si>
  <si>
    <t>29-06-2024 13:30</t>
  </si>
  <si>
    <t>29-06-2024 13:45</t>
  </si>
  <si>
    <t>29-06-2024 14:00</t>
  </si>
  <si>
    <t>29-06-2024 14:15</t>
  </si>
  <si>
    <t>29-06-2024 14:30</t>
  </si>
  <si>
    <t>29-06-2024 14:45</t>
  </si>
  <si>
    <t>29-06-2024 15:00</t>
  </si>
  <si>
    <t>29-06-2024 15:15</t>
  </si>
  <si>
    <t>29-06-2024 15:30</t>
  </si>
  <si>
    <t>29-06-2024 15:45</t>
  </si>
  <si>
    <t>29-06-2024 16:00</t>
  </si>
  <si>
    <t>29-06-2024 16:15</t>
  </si>
  <si>
    <t>29-06-2024 16:30</t>
  </si>
  <si>
    <t>29-06-2024 16:45</t>
  </si>
  <si>
    <t>29-06-2024 17:00</t>
  </si>
  <si>
    <t>29-06-2024 17:15</t>
  </si>
  <si>
    <t>29-06-2024 17:30</t>
  </si>
  <si>
    <t>29-06-2024 17:45</t>
  </si>
  <si>
    <t>29-06-2024 18:00</t>
  </si>
  <si>
    <t>29-06-2024 18:15</t>
  </si>
  <si>
    <t>29-06-2024 18:30</t>
  </si>
  <si>
    <t>29-06-2024 18:45</t>
  </si>
  <si>
    <t>29-06-2024 19:00</t>
  </si>
  <si>
    <t>29-06-2024 19:15</t>
  </si>
  <si>
    <t>29-06-2024 19:30</t>
  </si>
  <si>
    <t>29-06-2024 19:45</t>
  </si>
  <si>
    <t>29-06-2024 20:00</t>
  </si>
  <si>
    <t>29-06-2024 20:15</t>
  </si>
  <si>
    <t>29-06-2024 20:30</t>
  </si>
  <si>
    <t>29-06-2024 20:45</t>
  </si>
  <si>
    <t>29-06-2024 21:00</t>
  </si>
  <si>
    <t>29-06-2024 21:15</t>
  </si>
  <si>
    <t>29-06-2024 21:30</t>
  </si>
  <si>
    <t>29-06-2024 21:45</t>
  </si>
  <si>
    <t>29-06-2024 22:00</t>
  </si>
  <si>
    <t>29-06-2024 22:15</t>
  </si>
  <si>
    <t>29-06-2024 22:30</t>
  </si>
  <si>
    <t>29-06-2024 22:45</t>
  </si>
  <si>
    <t>29-06-2024 23:00</t>
  </si>
  <si>
    <t>29-06-2024 23:15</t>
  </si>
  <si>
    <t>29-06-2024 23:30</t>
  </si>
  <si>
    <t>29-06-2024 23:45</t>
  </si>
  <si>
    <t>29-06-2024 24:00</t>
  </si>
  <si>
    <t>30-06-2024 00:15</t>
  </si>
  <si>
    <t>30-06-2024 00:30</t>
  </si>
  <si>
    <t>30-06-2024 00:45</t>
  </si>
  <si>
    <t>30-06-2024 01:00</t>
  </si>
  <si>
    <t>30-06-2024 01:15</t>
  </si>
  <si>
    <t>30-06-2024 01:30</t>
  </si>
  <si>
    <t>30-06-2024 01:45</t>
  </si>
  <si>
    <t>30-06-2024 02:00</t>
  </si>
  <si>
    <t>30-06-2024 02:15</t>
  </si>
  <si>
    <t>30-06-2024 02:30</t>
  </si>
  <si>
    <t>30-06-2024 02:45</t>
  </si>
  <si>
    <t>30-06-2024 03:00</t>
  </si>
  <si>
    <t>30-06-2024 03:15</t>
  </si>
  <si>
    <t>30-06-2024 03:30</t>
  </si>
  <si>
    <t>30-06-2024 03:45</t>
  </si>
  <si>
    <t>30-06-2024 04:00</t>
  </si>
  <si>
    <t>30-06-2024 04:15</t>
  </si>
  <si>
    <t>30-06-2024 04:30</t>
  </si>
  <si>
    <t>30-06-2024 04:45</t>
  </si>
  <si>
    <t>30-06-2024 05:00</t>
  </si>
  <si>
    <t>30-06-2024 05:15</t>
  </si>
  <si>
    <t>30-06-2024 05:30</t>
  </si>
  <si>
    <t>30-06-2024 05:45</t>
  </si>
  <si>
    <t>30-06-2024 06:00</t>
  </si>
  <si>
    <t>30-06-2024 06:15</t>
  </si>
  <si>
    <t>30-06-2024 06:30</t>
  </si>
  <si>
    <t>30-06-2024 06:45</t>
  </si>
  <si>
    <t>30-06-2024 07:00</t>
  </si>
  <si>
    <t>30-06-2024 07:15</t>
  </si>
  <si>
    <t>30-06-2024 07:30</t>
  </si>
  <si>
    <t>30-06-2024 07:45</t>
  </si>
  <si>
    <t>30-06-2024 08:00</t>
  </si>
  <si>
    <t>30-06-2024 08:15</t>
  </si>
  <si>
    <t>30-06-2024 08:30</t>
  </si>
  <si>
    <t>30-06-2024 08:45</t>
  </si>
  <si>
    <t>30-06-2024 09:00</t>
  </si>
  <si>
    <t>30-06-2024 09:15</t>
  </si>
  <si>
    <t>30-06-2024 09:30</t>
  </si>
  <si>
    <t>30-06-2024 09:45</t>
  </si>
  <si>
    <t>30-06-2024 10:00</t>
  </si>
  <si>
    <t>30-06-2024 10:15</t>
  </si>
  <si>
    <t>30-06-2024 10:30</t>
  </si>
  <si>
    <t>30-06-2024 10:45</t>
  </si>
  <si>
    <t>30-06-2024 11:00</t>
  </si>
  <si>
    <t>30-06-2024 11:15</t>
  </si>
  <si>
    <t>30-06-2024 11:30</t>
  </si>
  <si>
    <t>30-06-2024 11:45</t>
  </si>
  <si>
    <t>30-06-2024 12:00</t>
  </si>
  <si>
    <t>30-06-2024 12:15</t>
  </si>
  <si>
    <t>30-06-2024 12:30</t>
  </si>
  <si>
    <t>30-06-2024 12:45</t>
  </si>
  <si>
    <t>30-06-2024 13:00</t>
  </si>
  <si>
    <t>30-06-2024 13:15</t>
  </si>
  <si>
    <t>30-06-2024 13:30</t>
  </si>
  <si>
    <t>30-06-2024 13:45</t>
  </si>
  <si>
    <t>30-06-2024 14:00</t>
  </si>
  <si>
    <t>30-06-2024 14:15</t>
  </si>
  <si>
    <t>30-06-2024 14:30</t>
  </si>
  <si>
    <t>30-06-2024 14:45</t>
  </si>
  <si>
    <t>30-06-2024 15:00</t>
  </si>
  <si>
    <t>30-06-2024 15:15</t>
  </si>
  <si>
    <t>30-06-2024 15:30</t>
  </si>
  <si>
    <t>30-06-2024 15:45</t>
  </si>
  <si>
    <t>30-06-2024 16:00</t>
  </si>
  <si>
    <t>30-06-2024 16:15</t>
  </si>
  <si>
    <t>30-06-2024 16:30</t>
  </si>
  <si>
    <t>30-06-2024 16:45</t>
  </si>
  <si>
    <t>30-06-2024 17:00</t>
  </si>
  <si>
    <t>30-06-2024 17:15</t>
  </si>
  <si>
    <t>30-06-2024 17:30</t>
  </si>
  <si>
    <t>30-06-2024 17:45</t>
  </si>
  <si>
    <t>30-06-2024 18:00</t>
  </si>
  <si>
    <t>30-06-2024 18:15</t>
  </si>
  <si>
    <t>30-06-2024 18:30</t>
  </si>
  <si>
    <t>30-06-2024 18:45</t>
  </si>
  <si>
    <t>30-06-2024 19:00</t>
  </si>
  <si>
    <t>30-06-2024 19:15</t>
  </si>
  <si>
    <t>30-06-2024 19:30</t>
  </si>
  <si>
    <t>30-06-2024 19:45</t>
  </si>
  <si>
    <t>30-06-2024 20:00</t>
  </si>
  <si>
    <t>30-06-2024 20:15</t>
  </si>
  <si>
    <t>30-06-2024 20:30</t>
  </si>
  <si>
    <t>30-06-2024 20:45</t>
  </si>
  <si>
    <t>30-06-2024 21:00</t>
  </si>
  <si>
    <t>30-06-2024 21:15</t>
  </si>
  <si>
    <t>30-06-2024 21:30</t>
  </si>
  <si>
    <t>30-06-2024 21:45</t>
  </si>
  <si>
    <t>30-06-2024 22:00</t>
  </si>
  <si>
    <t>30-06-2024 22:15</t>
  </si>
  <si>
    <t>30-06-2024 22:30</t>
  </si>
  <si>
    <t>30-06-2024 22:45</t>
  </si>
  <si>
    <t>30-06-2024 23:00</t>
  </si>
  <si>
    <t>30-06-2024 23:15</t>
  </si>
  <si>
    <t>30-06-2024 23:30</t>
  </si>
  <si>
    <t>30-06-2024 23:45</t>
  </si>
  <si>
    <t>30-06-2024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</si>
</sst>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248</v>
      </c>
      <c r="B9" s="64">
        <v>4.28</v>
      </c>
      <c r="C9" s="64">
        <v>6.2</v>
      </c>
      <c r="D9" s="64">
        <v>7.82</v>
      </c>
      <c r="E9" s="64">
        <v>0.62</v>
      </c>
      <c r="F9" s="64">
        <v>3.5</v>
      </c>
      <c r="G9" s="64">
        <v>88.56</v>
      </c>
      <c r="H9" s="64">
        <v>33.82</v>
      </c>
      <c r="I9" s="64">
        <v>12.8</v>
      </c>
      <c r="J9" s="64">
        <v>0.17</v>
      </c>
      <c r="K9" s="64">
        <v>337.09</v>
      </c>
      <c r="L9" s="64">
        <v>32.19</v>
      </c>
      <c r="M9" s="64">
        <v>28.46</v>
      </c>
      <c r="N9" s="64">
        <v>11.6</v>
      </c>
      <c r="O9" s="64">
        <v>0</v>
      </c>
      <c r="P9" s="64">
        <v>0.98</v>
      </c>
      <c r="Q9" s="64">
        <v>10.47</v>
      </c>
      <c r="R9" s="198"/>
      <c r="S9" s="198"/>
      <c r="T9" s="198"/>
      <c r="U9" s="198"/>
    </row>
    <row r="10" spans="1:21" s="12" customFormat="1" x14ac:dyDescent="0.25">
      <c r="A10" s="214" t="s">
        <v>249</v>
      </c>
      <c r="B10" s="64">
        <v>4.16</v>
      </c>
      <c r="C10" s="64">
        <v>6.01</v>
      </c>
      <c r="D10" s="64">
        <v>7.62</v>
      </c>
      <c r="E10" s="64">
        <v>1.01</v>
      </c>
      <c r="F10" s="64">
        <v>3.32</v>
      </c>
      <c r="G10" s="64">
        <v>87.77</v>
      </c>
      <c r="H10" s="64">
        <v>33.54</v>
      </c>
      <c r="I10" s="64">
        <v>12.62</v>
      </c>
      <c r="J10" s="64">
        <v>0.57999999999999996</v>
      </c>
      <c r="K10" s="64">
        <v>298.64999999999998</v>
      </c>
      <c r="L10" s="64">
        <v>31.61</v>
      </c>
      <c r="M10" s="64">
        <v>29.23</v>
      </c>
      <c r="N10" s="64">
        <v>11.6</v>
      </c>
      <c r="O10" s="64">
        <v>0</v>
      </c>
      <c r="P10" s="64">
        <v>0.97</v>
      </c>
      <c r="Q10" s="64">
        <v>10.41</v>
      </c>
      <c r="R10" s="198"/>
      <c r="S10" s="198"/>
      <c r="T10" s="198"/>
      <c r="U10" s="198"/>
    </row>
    <row r="11" spans="1:21" s="12" customFormat="1" x14ac:dyDescent="0.25">
      <c r="A11" s="214" t="s">
        <v>250</v>
      </c>
      <c r="B11" s="64">
        <v>4.3600000000000003</v>
      </c>
      <c r="C11" s="64">
        <v>6.72</v>
      </c>
      <c r="D11" s="64">
        <v>8.16</v>
      </c>
      <c r="E11" s="64">
        <v>0.8</v>
      </c>
      <c r="F11" s="64">
        <v>3.36</v>
      </c>
      <c r="G11" s="64">
        <v>78.42</v>
      </c>
      <c r="H11" s="64">
        <v>30.27</v>
      </c>
      <c r="I11" s="64">
        <v>11.89</v>
      </c>
      <c r="J11" s="64">
        <v>0.46</v>
      </c>
      <c r="K11" s="64">
        <v>213.25</v>
      </c>
      <c r="L11" s="64">
        <v>31.21</v>
      </c>
      <c r="M11" s="64">
        <v>30.19</v>
      </c>
      <c r="N11" s="64">
        <v>11.6</v>
      </c>
      <c r="O11" s="64">
        <v>0</v>
      </c>
      <c r="P11" s="64">
        <v>0.95</v>
      </c>
      <c r="Q11" s="64">
        <v>10.36</v>
      </c>
      <c r="R11" s="198"/>
      <c r="S11" s="198"/>
      <c r="T11" s="198"/>
      <c r="U11" s="198"/>
    </row>
    <row r="12" spans="1:21" s="12" customFormat="1" x14ac:dyDescent="0.25">
      <c r="A12" s="214" t="s">
        <v>251</v>
      </c>
      <c r="B12" s="64">
        <v>4.3</v>
      </c>
      <c r="C12" s="64">
        <v>6.69</v>
      </c>
      <c r="D12" s="64">
        <v>8.09</v>
      </c>
      <c r="E12" s="64">
        <v>1.25</v>
      </c>
      <c r="F12" s="64">
        <v>3.34</v>
      </c>
      <c r="G12" s="64">
        <v>78.42</v>
      </c>
      <c r="H12" s="64">
        <v>30.27</v>
      </c>
      <c r="I12" s="64">
        <v>11.46</v>
      </c>
      <c r="J12" s="64">
        <v>0.48</v>
      </c>
      <c r="K12" s="64">
        <v>241.42</v>
      </c>
      <c r="L12" s="64">
        <v>31.02</v>
      </c>
      <c r="M12" s="64">
        <v>32.369999999999997</v>
      </c>
      <c r="N12" s="64">
        <v>11.5</v>
      </c>
      <c r="O12" s="64">
        <v>0</v>
      </c>
      <c r="P12" s="64">
        <v>0.94</v>
      </c>
      <c r="Q12" s="64">
        <v>10.3</v>
      </c>
      <c r="R12" s="198"/>
      <c r="S12" s="198"/>
      <c r="T12" s="198"/>
      <c r="U12" s="198"/>
    </row>
    <row r="13" spans="1:21" s="12" customFormat="1" x14ac:dyDescent="0.25">
      <c r="A13" s="214" t="s">
        <v>252</v>
      </c>
      <c r="B13" s="64">
        <v>3.98</v>
      </c>
      <c r="C13" s="64">
        <v>5.8</v>
      </c>
      <c r="D13" s="64">
        <v>7.37</v>
      </c>
      <c r="E13" s="64">
        <v>0.84</v>
      </c>
      <c r="F13" s="64">
        <v>3.5</v>
      </c>
      <c r="G13" s="64">
        <v>78.42</v>
      </c>
      <c r="H13" s="64">
        <v>30.27</v>
      </c>
      <c r="I13" s="64">
        <v>11.51</v>
      </c>
      <c r="J13" s="64">
        <v>0.36</v>
      </c>
      <c r="K13" s="64">
        <v>237.44</v>
      </c>
      <c r="L13" s="64">
        <v>30.94</v>
      </c>
      <c r="M13" s="64">
        <v>31.26</v>
      </c>
      <c r="N13" s="64">
        <v>11.4</v>
      </c>
      <c r="O13" s="64">
        <v>0</v>
      </c>
      <c r="P13" s="64">
        <v>0.86</v>
      </c>
      <c r="Q13" s="64">
        <v>10.19</v>
      </c>
      <c r="R13" s="198"/>
      <c r="S13" s="198"/>
      <c r="T13" s="198"/>
      <c r="U13" s="198"/>
    </row>
    <row r="14" spans="1:21" s="12" customFormat="1" x14ac:dyDescent="0.25">
      <c r="A14" s="214" t="s">
        <v>253</v>
      </c>
      <c r="B14" s="64">
        <v>3.74</v>
      </c>
      <c r="C14" s="64">
        <v>4.66</v>
      </c>
      <c r="D14" s="64">
        <v>6.57</v>
      </c>
      <c r="E14" s="64">
        <v>1.1299999999999999</v>
      </c>
      <c r="F14" s="64">
        <v>3.51</v>
      </c>
      <c r="G14" s="64">
        <v>79.150000000000006</v>
      </c>
      <c r="H14" s="64">
        <v>30.24</v>
      </c>
      <c r="I14" s="64">
        <v>11.55</v>
      </c>
      <c r="J14" s="64">
        <v>0.57999999999999996</v>
      </c>
      <c r="K14" s="64">
        <v>327.29000000000002</v>
      </c>
      <c r="L14" s="64">
        <v>31.12</v>
      </c>
      <c r="M14" s="64">
        <v>31.78</v>
      </c>
      <c r="N14" s="64">
        <v>11.2</v>
      </c>
      <c r="O14" s="64">
        <v>0</v>
      </c>
      <c r="P14" s="64">
        <v>0.91</v>
      </c>
      <c r="Q14" s="64">
        <v>10.1</v>
      </c>
      <c r="R14" s="198"/>
      <c r="S14" s="198"/>
      <c r="T14" s="198"/>
      <c r="U14" s="198"/>
    </row>
    <row r="15" spans="1:21" s="12" customFormat="1" x14ac:dyDescent="0.25">
      <c r="A15" s="214" t="s">
        <v>254</v>
      </c>
      <c r="B15" s="64">
        <v>3.62</v>
      </c>
      <c r="C15" s="64">
        <v>4.24</v>
      </c>
      <c r="D15" s="64">
        <v>6.26</v>
      </c>
      <c r="E15" s="64">
        <v>1.28</v>
      </c>
      <c r="F15" s="64">
        <v>3.53</v>
      </c>
      <c r="G15" s="64">
        <v>87.79</v>
      </c>
      <c r="H15" s="64">
        <v>29.83</v>
      </c>
      <c r="I15" s="64">
        <v>11.33</v>
      </c>
      <c r="J15" s="64">
        <v>0.3</v>
      </c>
      <c r="K15" s="64">
        <v>56.24</v>
      </c>
      <c r="L15" s="64">
        <v>31.26</v>
      </c>
      <c r="M15" s="64">
        <v>31.72</v>
      </c>
      <c r="N15" s="64">
        <v>10.9</v>
      </c>
      <c r="O15" s="64">
        <v>0</v>
      </c>
      <c r="P15" s="64">
        <v>0.9</v>
      </c>
      <c r="Q15" s="64">
        <v>10.09</v>
      </c>
      <c r="R15" s="198"/>
      <c r="S15" s="198"/>
      <c r="T15" s="198"/>
      <c r="U15" s="198"/>
    </row>
    <row r="16" spans="1:21" s="12" customFormat="1" x14ac:dyDescent="0.25">
      <c r="A16" s="214" t="s">
        <v>255</v>
      </c>
      <c r="B16" s="64">
        <v>3.34</v>
      </c>
      <c r="C16" s="64">
        <v>3.28</v>
      </c>
      <c r="D16" s="64">
        <v>5.53</v>
      </c>
      <c r="E16" s="64">
        <v>1.1399999999999999</v>
      </c>
      <c r="F16" s="64">
        <v>3.66</v>
      </c>
      <c r="G16" s="64">
        <v>87.79</v>
      </c>
      <c r="H16" s="64">
        <v>29.83</v>
      </c>
      <c r="I16" s="64">
        <v>11.16</v>
      </c>
      <c r="J16" s="64">
        <v>1.07</v>
      </c>
      <c r="K16" s="64">
        <v>77.59</v>
      </c>
      <c r="L16" s="64">
        <v>31.88</v>
      </c>
      <c r="M16" s="64">
        <v>29.15</v>
      </c>
      <c r="N16" s="64">
        <v>9</v>
      </c>
      <c r="O16" s="64">
        <v>0</v>
      </c>
      <c r="P16" s="64">
        <v>0.89</v>
      </c>
      <c r="Q16" s="64">
        <v>10.1</v>
      </c>
      <c r="R16" s="198"/>
      <c r="S16" s="198"/>
      <c r="T16" s="198"/>
      <c r="U16" s="198"/>
    </row>
    <row r="17" spans="1:21" s="12" customFormat="1" x14ac:dyDescent="0.25">
      <c r="A17" s="214" t="s">
        <v>256</v>
      </c>
      <c r="B17" s="64">
        <v>3</v>
      </c>
      <c r="C17" s="64">
        <v>2.2200000000000002</v>
      </c>
      <c r="D17" s="64">
        <v>4.71</v>
      </c>
      <c r="E17" s="64">
        <v>1.05</v>
      </c>
      <c r="F17" s="64">
        <v>3.68</v>
      </c>
      <c r="G17" s="64">
        <v>87.79</v>
      </c>
      <c r="H17" s="64">
        <v>29.83</v>
      </c>
      <c r="I17" s="64">
        <v>11.57</v>
      </c>
      <c r="J17" s="64">
        <v>1.31</v>
      </c>
      <c r="K17" s="64">
        <v>349.98</v>
      </c>
      <c r="L17" s="64">
        <v>32.43</v>
      </c>
      <c r="M17" s="64">
        <v>27.44</v>
      </c>
      <c r="N17" s="64">
        <v>10.6</v>
      </c>
      <c r="O17" s="64">
        <v>0</v>
      </c>
      <c r="P17" s="64">
        <v>0.86</v>
      </c>
      <c r="Q17" s="64">
        <v>10.09</v>
      </c>
      <c r="R17" s="198"/>
      <c r="S17" s="198"/>
      <c r="T17" s="198"/>
      <c r="U17" s="198"/>
    </row>
    <row r="18" spans="1:21" s="12" customFormat="1" x14ac:dyDescent="0.25">
      <c r="A18" s="214" t="s">
        <v>257</v>
      </c>
      <c r="B18" s="64">
        <v>3.08</v>
      </c>
      <c r="C18" s="64">
        <v>2.68</v>
      </c>
      <c r="D18" s="64">
        <v>5.01</v>
      </c>
      <c r="E18" s="64">
        <v>0.65</v>
      </c>
      <c r="F18" s="64">
        <v>3.27</v>
      </c>
      <c r="G18" s="64">
        <v>87.68</v>
      </c>
      <c r="H18" s="64">
        <v>30</v>
      </c>
      <c r="I18" s="64">
        <v>12.62</v>
      </c>
      <c r="J18" s="64">
        <v>0.94</v>
      </c>
      <c r="K18" s="64">
        <v>357.4</v>
      </c>
      <c r="L18" s="64">
        <v>32</v>
      </c>
      <c r="M18" s="64">
        <v>28.44</v>
      </c>
      <c r="N18" s="64">
        <v>11.6</v>
      </c>
      <c r="O18" s="64">
        <v>0</v>
      </c>
      <c r="P18" s="64">
        <v>0.83</v>
      </c>
      <c r="Q18" s="64">
        <v>10.07</v>
      </c>
      <c r="R18" s="198"/>
      <c r="S18" s="198"/>
      <c r="T18" s="198"/>
      <c r="U18" s="198"/>
    </row>
    <row r="19" spans="1:21" s="12" customFormat="1" x14ac:dyDescent="0.25">
      <c r="A19" s="214" t="s">
        <v>258</v>
      </c>
      <c r="B19" s="64">
        <v>2.85</v>
      </c>
      <c r="C19" s="64">
        <v>1.85</v>
      </c>
      <c r="D19" s="64">
        <v>4.4000000000000004</v>
      </c>
      <c r="E19" s="64">
        <v>1.06</v>
      </c>
      <c r="F19" s="64">
        <v>3.5</v>
      </c>
      <c r="G19" s="64">
        <v>86.36</v>
      </c>
      <c r="H19" s="64">
        <v>32.01</v>
      </c>
      <c r="I19" s="64">
        <v>12.92</v>
      </c>
      <c r="J19" s="64">
        <v>1.32</v>
      </c>
      <c r="K19" s="64">
        <v>136.19</v>
      </c>
      <c r="L19" s="64">
        <v>31.99</v>
      </c>
      <c r="M19" s="64">
        <v>27.84</v>
      </c>
      <c r="N19" s="64">
        <v>11.1</v>
      </c>
      <c r="O19" s="64">
        <v>0</v>
      </c>
      <c r="P19" s="64">
        <v>0.8</v>
      </c>
      <c r="Q19" s="64">
        <v>10.06</v>
      </c>
      <c r="R19" s="198"/>
      <c r="S19" s="198"/>
      <c r="T19" s="198"/>
      <c r="U19" s="198"/>
    </row>
    <row r="20" spans="1:21" s="12" customFormat="1" x14ac:dyDescent="0.25">
      <c r="A20" s="214" t="s">
        <v>259</v>
      </c>
      <c r="B20" s="64">
        <v>3.17</v>
      </c>
      <c r="C20" s="64">
        <v>3.13</v>
      </c>
      <c r="D20" s="64">
        <v>5.32</v>
      </c>
      <c r="E20" s="64">
        <v>1.29</v>
      </c>
      <c r="F20" s="64">
        <v>3.81</v>
      </c>
      <c r="G20" s="64">
        <v>86.36</v>
      </c>
      <c r="H20" s="64">
        <v>32.01</v>
      </c>
      <c r="I20" s="64">
        <v>11.83</v>
      </c>
      <c r="J20" s="64">
        <v>0.21</v>
      </c>
      <c r="K20" s="64">
        <v>197.36</v>
      </c>
      <c r="L20" s="64">
        <v>31.9</v>
      </c>
      <c r="M20" s="64">
        <v>29.07</v>
      </c>
      <c r="N20" s="64">
        <v>11.9</v>
      </c>
      <c r="O20" s="64">
        <v>0</v>
      </c>
      <c r="P20" s="64">
        <v>0.78</v>
      </c>
      <c r="Q20" s="64">
        <v>10.08</v>
      </c>
      <c r="R20" s="198"/>
      <c r="S20" s="198"/>
      <c r="T20" s="198"/>
      <c r="U20" s="198"/>
    </row>
    <row r="21" spans="1:21" s="12" customFormat="1" x14ac:dyDescent="0.25">
      <c r="A21" s="214" t="s">
        <v>260</v>
      </c>
      <c r="B21" s="64">
        <v>3.51</v>
      </c>
      <c r="C21" s="64">
        <v>4.42</v>
      </c>
      <c r="D21" s="64">
        <v>6.27</v>
      </c>
      <c r="E21" s="64">
        <v>1.08</v>
      </c>
      <c r="F21" s="64">
        <v>3.99</v>
      </c>
      <c r="G21" s="64">
        <v>86.36</v>
      </c>
      <c r="H21" s="64">
        <v>32.01</v>
      </c>
      <c r="I21" s="64">
        <v>11.27</v>
      </c>
      <c r="J21" s="64">
        <v>0.64</v>
      </c>
      <c r="K21" s="64">
        <v>204.69</v>
      </c>
      <c r="L21" s="64">
        <v>31.26</v>
      </c>
      <c r="M21" s="64">
        <v>32.42</v>
      </c>
      <c r="N21" s="64">
        <v>11.8</v>
      </c>
      <c r="O21" s="64">
        <v>0</v>
      </c>
      <c r="P21" s="64">
        <v>0.77</v>
      </c>
      <c r="Q21" s="64">
        <v>10.15</v>
      </c>
      <c r="R21" s="198"/>
      <c r="S21" s="198"/>
      <c r="T21" s="198"/>
      <c r="U21" s="198"/>
    </row>
    <row r="22" spans="1:21" s="12" customFormat="1" x14ac:dyDescent="0.25">
      <c r="A22" s="214" t="s">
        <v>261</v>
      </c>
      <c r="B22" s="64">
        <v>3.67</v>
      </c>
      <c r="C22" s="64">
        <v>5.03</v>
      </c>
      <c r="D22" s="64">
        <v>6.72</v>
      </c>
      <c r="E22" s="64">
        <v>1.1299999999999999</v>
      </c>
      <c r="F22" s="64">
        <v>3.89</v>
      </c>
      <c r="G22" s="64">
        <v>86.75</v>
      </c>
      <c r="H22" s="64">
        <v>32.18</v>
      </c>
      <c r="I22" s="64">
        <v>11.8</v>
      </c>
      <c r="J22" s="64">
        <v>0.32</v>
      </c>
      <c r="K22" s="64">
        <v>296.99</v>
      </c>
      <c r="L22" s="64">
        <v>30.47</v>
      </c>
      <c r="M22" s="64">
        <v>35.57</v>
      </c>
      <c r="N22" s="64">
        <v>12.1</v>
      </c>
      <c r="O22" s="64">
        <v>0</v>
      </c>
      <c r="P22" s="64">
        <v>0.73</v>
      </c>
      <c r="Q22" s="64">
        <v>10.210000000000001</v>
      </c>
      <c r="R22" s="198"/>
      <c r="S22" s="198"/>
      <c r="T22" s="198"/>
      <c r="U22" s="198"/>
    </row>
    <row r="23" spans="1:21" s="12" customFormat="1" x14ac:dyDescent="0.25">
      <c r="A23" s="214" t="s">
        <v>262</v>
      </c>
      <c r="B23" s="64">
        <v>3.59</v>
      </c>
      <c r="C23" s="64">
        <v>4.6100000000000003</v>
      </c>
      <c r="D23" s="64">
        <v>6.44</v>
      </c>
      <c r="E23" s="64">
        <v>0.82</v>
      </c>
      <c r="F23" s="64">
        <v>3.56</v>
      </c>
      <c r="G23" s="64">
        <v>91.36</v>
      </c>
      <c r="H23" s="64">
        <v>34.18</v>
      </c>
      <c r="I23" s="64">
        <v>12</v>
      </c>
      <c r="J23" s="64">
        <v>0.36</v>
      </c>
      <c r="K23" s="64">
        <v>199.48</v>
      </c>
      <c r="L23" s="64">
        <v>29.82</v>
      </c>
      <c r="M23" s="64">
        <v>36.049999999999997</v>
      </c>
      <c r="N23" s="64">
        <v>11.5</v>
      </c>
      <c r="O23" s="64">
        <v>0</v>
      </c>
      <c r="P23" s="64">
        <v>0.71</v>
      </c>
      <c r="Q23" s="64">
        <v>10.15</v>
      </c>
      <c r="R23" s="198"/>
      <c r="S23" s="198"/>
      <c r="T23" s="198"/>
      <c r="U23" s="198"/>
    </row>
    <row r="24" spans="1:21" s="12" customFormat="1" x14ac:dyDescent="0.25">
      <c r="A24" s="214" t="s">
        <v>263</v>
      </c>
      <c r="B24" s="64">
        <v>3.39</v>
      </c>
      <c r="C24" s="64">
        <v>3.87</v>
      </c>
      <c r="D24" s="64">
        <v>5.89</v>
      </c>
      <c r="E24" s="64">
        <v>1.61</v>
      </c>
      <c r="F24" s="64">
        <v>3.46</v>
      </c>
      <c r="G24" s="64">
        <v>91.36</v>
      </c>
      <c r="H24" s="64">
        <v>34.18</v>
      </c>
      <c r="I24" s="64">
        <v>12.05</v>
      </c>
      <c r="J24" s="64">
        <v>0.25</v>
      </c>
      <c r="K24" s="64">
        <v>316.23</v>
      </c>
      <c r="L24" s="64">
        <v>29.98</v>
      </c>
      <c r="M24" s="64">
        <v>36.29</v>
      </c>
      <c r="N24" s="64">
        <v>11.2</v>
      </c>
      <c r="O24" s="64">
        <v>0</v>
      </c>
      <c r="P24" s="64">
        <v>0.68</v>
      </c>
      <c r="Q24" s="64">
        <v>10.16</v>
      </c>
      <c r="R24" s="198"/>
      <c r="S24" s="198"/>
      <c r="T24" s="198"/>
      <c r="U24" s="198"/>
    </row>
    <row r="25" spans="1:21" s="12" customFormat="1" x14ac:dyDescent="0.25">
      <c r="A25" s="214" t="s">
        <v>264</v>
      </c>
      <c r="B25" s="64">
        <v>3.62</v>
      </c>
      <c r="C25" s="64">
        <v>4.57</v>
      </c>
      <c r="D25" s="64">
        <v>6.44</v>
      </c>
      <c r="E25" s="64">
        <v>1.32</v>
      </c>
      <c r="F25" s="64">
        <v>3.52</v>
      </c>
      <c r="G25" s="64">
        <v>91.36</v>
      </c>
      <c r="H25" s="64">
        <v>34.18</v>
      </c>
      <c r="I25" s="64">
        <v>11.92</v>
      </c>
      <c r="J25" s="64">
        <v>0.37</v>
      </c>
      <c r="K25" s="64">
        <v>317.17</v>
      </c>
      <c r="L25" s="64">
        <v>30.27</v>
      </c>
      <c r="M25" s="64">
        <v>35.58</v>
      </c>
      <c r="N25" s="64">
        <v>11.5</v>
      </c>
      <c r="O25" s="64">
        <v>0</v>
      </c>
      <c r="P25" s="64">
        <v>0.66</v>
      </c>
      <c r="Q25" s="64">
        <v>10.18</v>
      </c>
      <c r="R25" s="198"/>
      <c r="S25" s="198"/>
      <c r="T25" s="198"/>
      <c r="U25" s="198"/>
    </row>
    <row r="26" spans="1:21" s="12" customFormat="1" x14ac:dyDescent="0.25">
      <c r="A26" s="214" t="s">
        <v>265</v>
      </c>
      <c r="B26" s="64">
        <v>3.59</v>
      </c>
      <c r="C26" s="64">
        <v>4.2699999999999996</v>
      </c>
      <c r="D26" s="64">
        <v>6.25</v>
      </c>
      <c r="E26" s="64">
        <v>1.27</v>
      </c>
      <c r="F26" s="64">
        <v>3.43</v>
      </c>
      <c r="G26" s="64">
        <v>91.68</v>
      </c>
      <c r="H26" s="64">
        <v>34.26</v>
      </c>
      <c r="I26" s="64">
        <v>11.62</v>
      </c>
      <c r="J26" s="64">
        <v>0.32</v>
      </c>
      <c r="K26" s="64">
        <v>258.37</v>
      </c>
      <c r="L26" s="64">
        <v>29.49</v>
      </c>
      <c r="M26" s="64">
        <v>37.85</v>
      </c>
      <c r="N26" s="64">
        <v>11.4</v>
      </c>
      <c r="O26" s="64">
        <v>0</v>
      </c>
      <c r="P26" s="64">
        <v>0.66</v>
      </c>
      <c r="Q26" s="64">
        <v>10.19</v>
      </c>
      <c r="R26" s="198"/>
      <c r="S26" s="198"/>
      <c r="T26" s="198"/>
      <c r="U26" s="198"/>
    </row>
    <row r="27" spans="1:21" s="12" customFormat="1" x14ac:dyDescent="0.25">
      <c r="A27" s="214" t="s">
        <v>266</v>
      </c>
      <c r="B27" s="64">
        <v>3.73</v>
      </c>
      <c r="C27" s="64">
        <v>4.34</v>
      </c>
      <c r="D27" s="64">
        <v>6.41</v>
      </c>
      <c r="E27" s="64">
        <v>1.1200000000000001</v>
      </c>
      <c r="F27" s="64">
        <v>3.58</v>
      </c>
      <c r="G27" s="64">
        <v>95.47</v>
      </c>
      <c r="H27" s="64">
        <v>35.200000000000003</v>
      </c>
      <c r="I27" s="64">
        <v>11.14</v>
      </c>
      <c r="J27" s="64">
        <v>0.35</v>
      </c>
      <c r="K27" s="64">
        <v>278.43</v>
      </c>
      <c r="L27" s="64">
        <v>29.05</v>
      </c>
      <c r="M27" s="64">
        <v>39.65</v>
      </c>
      <c r="N27" s="64">
        <v>11.4</v>
      </c>
      <c r="O27" s="64">
        <v>0</v>
      </c>
      <c r="P27" s="64">
        <v>0.65</v>
      </c>
      <c r="Q27" s="64">
        <v>10.210000000000001</v>
      </c>
      <c r="R27" s="198"/>
      <c r="S27" s="198"/>
      <c r="T27" s="198"/>
      <c r="U27" s="198"/>
    </row>
    <row r="28" spans="1:21" s="12" customFormat="1" x14ac:dyDescent="0.25">
      <c r="A28" s="214" t="s">
        <v>267</v>
      </c>
      <c r="B28" s="64">
        <v>4.0599999999999996</v>
      </c>
      <c r="C28" s="64">
        <v>5.0599999999999996</v>
      </c>
      <c r="D28" s="64">
        <v>7.05</v>
      </c>
      <c r="E28" s="64">
        <v>1.1499999999999999</v>
      </c>
      <c r="F28" s="64">
        <v>3.55</v>
      </c>
      <c r="G28" s="64">
        <v>95.47</v>
      </c>
      <c r="H28" s="64">
        <v>35.200000000000003</v>
      </c>
      <c r="I28" s="64">
        <v>10.56</v>
      </c>
      <c r="J28" s="64">
        <v>0.56999999999999995</v>
      </c>
      <c r="K28" s="64">
        <v>295.55</v>
      </c>
      <c r="L28" s="64">
        <v>29</v>
      </c>
      <c r="M28" s="64">
        <v>43.65</v>
      </c>
      <c r="N28" s="64">
        <v>11.9</v>
      </c>
      <c r="O28" s="64">
        <v>0</v>
      </c>
      <c r="P28" s="64">
        <v>0.64</v>
      </c>
      <c r="Q28" s="64">
        <v>10.26</v>
      </c>
      <c r="R28" s="198"/>
      <c r="S28" s="198"/>
      <c r="T28" s="198"/>
      <c r="U28" s="198"/>
    </row>
    <row r="29" spans="1:21" s="12" customFormat="1" x14ac:dyDescent="0.25">
      <c r="A29" s="214" t="s">
        <v>268</v>
      </c>
      <c r="B29" s="64">
        <v>4.3600000000000003</v>
      </c>
      <c r="C29" s="64">
        <v>5.46</v>
      </c>
      <c r="D29" s="64">
        <v>7.49</v>
      </c>
      <c r="E29" s="64">
        <v>1.55</v>
      </c>
      <c r="F29" s="64">
        <v>3.52</v>
      </c>
      <c r="G29" s="64">
        <v>95.47</v>
      </c>
      <c r="H29" s="64">
        <v>35.200000000000003</v>
      </c>
      <c r="I29" s="64">
        <v>10.18</v>
      </c>
      <c r="J29" s="64">
        <v>0.64</v>
      </c>
      <c r="K29" s="64">
        <v>354.94</v>
      </c>
      <c r="L29" s="64">
        <v>28.21</v>
      </c>
      <c r="M29" s="64">
        <v>44.37</v>
      </c>
      <c r="N29" s="64">
        <v>14</v>
      </c>
      <c r="O29" s="64">
        <v>0</v>
      </c>
      <c r="P29" s="64">
        <v>0.64</v>
      </c>
      <c r="Q29" s="64">
        <v>10.32</v>
      </c>
      <c r="R29" s="198"/>
      <c r="S29" s="198"/>
      <c r="T29" s="198"/>
      <c r="U29" s="198"/>
    </row>
    <row r="30" spans="1:21" s="12" customFormat="1" x14ac:dyDescent="0.25">
      <c r="A30" s="214" t="s">
        <v>269</v>
      </c>
      <c r="B30" s="64">
        <v>4.5</v>
      </c>
      <c r="C30" s="64">
        <v>5.43</v>
      </c>
      <c r="D30" s="64">
        <v>7.59</v>
      </c>
      <c r="E30" s="64">
        <v>1.52</v>
      </c>
      <c r="F30" s="64">
        <v>3.49</v>
      </c>
      <c r="G30" s="64">
        <v>95.44</v>
      </c>
      <c r="H30" s="64">
        <v>35.119999999999997</v>
      </c>
      <c r="I30" s="64">
        <v>10.119999999999999</v>
      </c>
      <c r="J30" s="64">
        <v>0.1</v>
      </c>
      <c r="K30" s="64">
        <v>99.65</v>
      </c>
      <c r="L30" s="64">
        <v>28.26</v>
      </c>
      <c r="M30" s="64">
        <v>42.34</v>
      </c>
      <c r="N30" s="64">
        <v>20.8</v>
      </c>
      <c r="O30" s="64">
        <v>0</v>
      </c>
      <c r="P30" s="64">
        <v>0.65</v>
      </c>
      <c r="Q30" s="64">
        <v>10.36</v>
      </c>
      <c r="R30" s="198"/>
      <c r="S30" s="198"/>
      <c r="T30" s="198"/>
      <c r="U30" s="198"/>
    </row>
    <row r="31" spans="1:21" s="12" customFormat="1" x14ac:dyDescent="0.25">
      <c r="A31" s="214" t="s">
        <v>270</v>
      </c>
      <c r="B31" s="64">
        <v>3.97</v>
      </c>
      <c r="C31" s="64">
        <v>4.05</v>
      </c>
      <c r="D31" s="64">
        <v>6.45</v>
      </c>
      <c r="E31" s="64">
        <v>1.44</v>
      </c>
      <c r="F31" s="64">
        <v>3.69</v>
      </c>
      <c r="G31" s="64">
        <v>95.14</v>
      </c>
      <c r="H31" s="64">
        <v>34.15</v>
      </c>
      <c r="I31" s="64">
        <v>10.029999999999999</v>
      </c>
      <c r="J31" s="64">
        <v>0.44</v>
      </c>
      <c r="K31" s="64">
        <v>302.64</v>
      </c>
      <c r="L31" s="64">
        <v>28.44</v>
      </c>
      <c r="M31" s="64">
        <v>46.18</v>
      </c>
      <c r="N31" s="64">
        <v>34.5</v>
      </c>
      <c r="O31" s="64">
        <v>0</v>
      </c>
      <c r="P31" s="64">
        <v>0.66</v>
      </c>
      <c r="Q31" s="64">
        <v>10.31</v>
      </c>
      <c r="R31" s="198"/>
      <c r="S31" s="198"/>
      <c r="T31" s="198"/>
      <c r="U31" s="198"/>
    </row>
    <row r="32" spans="1:21" s="12" customFormat="1" x14ac:dyDescent="0.25">
      <c r="A32" s="214" t="s">
        <v>271</v>
      </c>
      <c r="B32" s="64">
        <v>4.68</v>
      </c>
      <c r="C32" s="64">
        <v>5.08</v>
      </c>
      <c r="D32" s="64">
        <v>7.55</v>
      </c>
      <c r="E32" s="64">
        <v>1.58</v>
      </c>
      <c r="F32" s="64">
        <v>3.45</v>
      </c>
      <c r="G32" s="64">
        <v>95.14</v>
      </c>
      <c r="H32" s="64">
        <v>34.15</v>
      </c>
      <c r="I32" s="64">
        <v>9.65</v>
      </c>
      <c r="J32" s="64">
        <v>0.71</v>
      </c>
      <c r="K32" s="64">
        <v>344.24</v>
      </c>
      <c r="L32" s="64">
        <v>28.59</v>
      </c>
      <c r="M32" s="64">
        <v>46.73</v>
      </c>
      <c r="N32" s="64">
        <v>54.8</v>
      </c>
      <c r="O32" s="64">
        <v>0</v>
      </c>
      <c r="P32" s="64">
        <v>0.7</v>
      </c>
      <c r="Q32" s="64">
        <v>10.17</v>
      </c>
      <c r="R32" s="198"/>
      <c r="S32" s="198"/>
      <c r="T32" s="198"/>
      <c r="U32" s="198"/>
    </row>
    <row r="33" spans="1:21" s="12" customFormat="1" x14ac:dyDescent="0.25">
      <c r="A33" s="214" t="s">
        <v>272</v>
      </c>
      <c r="B33" s="64">
        <v>6.05</v>
      </c>
      <c r="C33" s="64">
        <v>7.68</v>
      </c>
      <c r="D33" s="64">
        <v>10.01</v>
      </c>
      <c r="E33" s="64">
        <v>1.48</v>
      </c>
      <c r="F33" s="64">
        <v>3.45</v>
      </c>
      <c r="G33" s="64">
        <v>95.14</v>
      </c>
      <c r="H33" s="64">
        <v>34.15</v>
      </c>
      <c r="I33" s="64">
        <v>9.24</v>
      </c>
      <c r="J33" s="64">
        <v>0.63</v>
      </c>
      <c r="K33" s="64">
        <v>301.06</v>
      </c>
      <c r="L33" s="64">
        <v>29.2</v>
      </c>
      <c r="M33" s="64">
        <v>44.33</v>
      </c>
      <c r="N33" s="64">
        <v>87.4</v>
      </c>
      <c r="O33" s="64">
        <v>0</v>
      </c>
      <c r="P33" s="64">
        <v>0.72</v>
      </c>
      <c r="Q33" s="64">
        <v>10.28</v>
      </c>
      <c r="R33" s="198"/>
      <c r="S33" s="198"/>
      <c r="T33" s="198"/>
      <c r="U33" s="198"/>
    </row>
    <row r="34" spans="1:21" s="12" customFormat="1" x14ac:dyDescent="0.25">
      <c r="A34" s="214" t="s">
        <v>273</v>
      </c>
      <c r="B34" s="64">
        <v>6.13</v>
      </c>
      <c r="C34" s="64">
        <v>7.73</v>
      </c>
      <c r="D34" s="64">
        <v>10.1</v>
      </c>
      <c r="E34" s="64">
        <v>1.42</v>
      </c>
      <c r="F34" s="64">
        <v>3.28</v>
      </c>
      <c r="G34" s="64">
        <v>95.54</v>
      </c>
      <c r="H34" s="64">
        <v>34.49</v>
      </c>
      <c r="I34" s="64">
        <v>9.2899999999999991</v>
      </c>
      <c r="J34" s="64">
        <v>0.69</v>
      </c>
      <c r="K34" s="64">
        <v>314.18</v>
      </c>
      <c r="L34" s="64">
        <v>30.75</v>
      </c>
      <c r="M34" s="64">
        <v>37.49</v>
      </c>
      <c r="N34" s="64">
        <v>125.1</v>
      </c>
      <c r="O34" s="64">
        <v>0</v>
      </c>
      <c r="P34" s="64">
        <v>0.71</v>
      </c>
      <c r="Q34" s="64">
        <v>10.39</v>
      </c>
      <c r="R34" s="198"/>
      <c r="S34" s="198"/>
      <c r="T34" s="198"/>
      <c r="U34" s="198"/>
    </row>
    <row r="35" spans="1:21" s="12" customFormat="1" x14ac:dyDescent="0.25">
      <c r="A35" s="214" t="s">
        <v>274</v>
      </c>
      <c r="B35" s="64">
        <v>6.45</v>
      </c>
      <c r="C35" s="64">
        <v>8.1999999999999993</v>
      </c>
      <c r="D35" s="64">
        <v>10.61</v>
      </c>
      <c r="E35" s="64">
        <v>1.64</v>
      </c>
      <c r="F35" s="64">
        <v>3.38</v>
      </c>
      <c r="G35" s="64">
        <v>100.39</v>
      </c>
      <c r="H35" s="64">
        <v>38.53</v>
      </c>
      <c r="I35" s="64">
        <v>9.41</v>
      </c>
      <c r="J35" s="64">
        <v>0.93</v>
      </c>
      <c r="K35" s="64">
        <v>334.54</v>
      </c>
      <c r="L35" s="64">
        <v>32.229999999999997</v>
      </c>
      <c r="M35" s="64">
        <v>33.49</v>
      </c>
      <c r="N35" s="64">
        <v>169.6</v>
      </c>
      <c r="O35" s="64">
        <v>0</v>
      </c>
      <c r="P35" s="64">
        <v>0.71</v>
      </c>
      <c r="Q35" s="64">
        <v>10.47</v>
      </c>
      <c r="R35" s="198"/>
      <c r="S35" s="198"/>
      <c r="T35" s="198"/>
      <c r="U35" s="198"/>
    </row>
    <row r="36" spans="1:21" s="12" customFormat="1" x14ac:dyDescent="0.25">
      <c r="A36" s="214" t="s">
        <v>275</v>
      </c>
      <c r="B36" s="64">
        <v>6.4</v>
      </c>
      <c r="C36" s="64">
        <v>8.0399999999999991</v>
      </c>
      <c r="D36" s="64">
        <v>10.48</v>
      </c>
      <c r="E36" s="64">
        <v>1.51</v>
      </c>
      <c r="F36" s="64">
        <v>3.51</v>
      </c>
      <c r="G36" s="64">
        <v>100.39</v>
      </c>
      <c r="H36" s="64">
        <v>38.53</v>
      </c>
      <c r="I36" s="64">
        <v>9.11</v>
      </c>
      <c r="J36" s="64">
        <v>1.1399999999999999</v>
      </c>
      <c r="K36" s="64">
        <v>345.69</v>
      </c>
      <c r="L36" s="64">
        <v>33.590000000000003</v>
      </c>
      <c r="M36" s="64">
        <v>29.74</v>
      </c>
      <c r="N36" s="64">
        <v>215.1</v>
      </c>
      <c r="O36" s="64">
        <v>0</v>
      </c>
      <c r="P36" s="64">
        <v>0.71</v>
      </c>
      <c r="Q36" s="64">
        <v>10.47</v>
      </c>
      <c r="R36" s="198"/>
      <c r="S36" s="198"/>
      <c r="T36" s="198"/>
      <c r="U36" s="198"/>
    </row>
    <row r="37" spans="1:21" s="12" customFormat="1" x14ac:dyDescent="0.25">
      <c r="A37" s="214" t="s">
        <v>276</v>
      </c>
      <c r="B37" s="64">
        <v>6.08</v>
      </c>
      <c r="C37" s="64">
        <v>7.48</v>
      </c>
      <c r="D37" s="64">
        <v>9.93</v>
      </c>
      <c r="E37" s="64">
        <v>1.65</v>
      </c>
      <c r="F37" s="64">
        <v>3.52</v>
      </c>
      <c r="G37" s="64">
        <v>100.39</v>
      </c>
      <c r="H37" s="64">
        <v>38.53</v>
      </c>
      <c r="I37" s="64">
        <v>9.1999999999999993</v>
      </c>
      <c r="J37" s="64">
        <v>1.04</v>
      </c>
      <c r="K37" s="64">
        <v>305.07</v>
      </c>
      <c r="L37" s="64">
        <v>34.85</v>
      </c>
      <c r="M37" s="64">
        <v>28.36</v>
      </c>
      <c r="N37" s="64">
        <v>266.10000000000002</v>
      </c>
      <c r="O37" s="64">
        <v>0</v>
      </c>
      <c r="P37" s="64">
        <v>0.69</v>
      </c>
      <c r="Q37" s="64">
        <v>10.5</v>
      </c>
      <c r="R37" s="198"/>
      <c r="S37" s="198"/>
      <c r="T37" s="198"/>
      <c r="U37" s="198"/>
    </row>
    <row r="38" spans="1:21" s="12" customFormat="1" x14ac:dyDescent="0.25">
      <c r="A38" s="214" t="s">
        <v>277</v>
      </c>
      <c r="B38" s="64">
        <v>5.8</v>
      </c>
      <c r="C38" s="64">
        <v>7.08</v>
      </c>
      <c r="D38" s="64">
        <v>9.5</v>
      </c>
      <c r="E38" s="64">
        <v>1.54</v>
      </c>
      <c r="F38" s="64">
        <v>3.46</v>
      </c>
      <c r="G38" s="64">
        <v>100.33</v>
      </c>
      <c r="H38" s="64">
        <v>38.520000000000003</v>
      </c>
      <c r="I38" s="64">
        <v>9.75</v>
      </c>
      <c r="J38" s="64">
        <v>1.24</v>
      </c>
      <c r="K38" s="64">
        <v>316.27</v>
      </c>
      <c r="L38" s="64">
        <v>35.33</v>
      </c>
      <c r="M38" s="64">
        <v>28.2</v>
      </c>
      <c r="N38" s="64">
        <v>317.8</v>
      </c>
      <c r="O38" s="64">
        <v>0</v>
      </c>
      <c r="P38" s="64">
        <v>0.7</v>
      </c>
      <c r="Q38" s="64">
        <v>10.47</v>
      </c>
      <c r="R38" s="198"/>
      <c r="S38" s="198"/>
      <c r="T38" s="198"/>
      <c r="U38" s="198"/>
    </row>
    <row r="39" spans="1:21" s="12" customFormat="1" x14ac:dyDescent="0.25">
      <c r="A39" s="214" t="s">
        <v>278</v>
      </c>
      <c r="B39" s="64">
        <v>5.36</v>
      </c>
      <c r="C39" s="64">
        <v>6.48</v>
      </c>
      <c r="D39" s="64">
        <v>8.83</v>
      </c>
      <c r="E39" s="64">
        <v>1.9</v>
      </c>
      <c r="F39" s="64">
        <v>3.55</v>
      </c>
      <c r="G39" s="64">
        <v>99.63</v>
      </c>
      <c r="H39" s="64">
        <v>38.36</v>
      </c>
      <c r="I39" s="64">
        <v>10.17</v>
      </c>
      <c r="J39" s="64">
        <v>1.1100000000000001</v>
      </c>
      <c r="K39" s="64">
        <v>318.77999999999997</v>
      </c>
      <c r="L39" s="64">
        <v>35.85</v>
      </c>
      <c r="M39" s="64">
        <v>29.06</v>
      </c>
      <c r="N39" s="64">
        <v>367.5</v>
      </c>
      <c r="O39" s="64">
        <v>0</v>
      </c>
      <c r="P39" s="64">
        <v>0.69</v>
      </c>
      <c r="Q39" s="64">
        <v>10.46</v>
      </c>
      <c r="R39" s="198"/>
      <c r="S39" s="198"/>
      <c r="T39" s="198"/>
      <c r="U39" s="198"/>
    </row>
    <row r="40" spans="1:21" s="12" customFormat="1" x14ac:dyDescent="0.25">
      <c r="A40" s="214" t="s">
        <v>279</v>
      </c>
      <c r="B40" s="64">
        <v>5.27</v>
      </c>
      <c r="C40" s="64">
        <v>7</v>
      </c>
      <c r="D40" s="64">
        <v>9.0299999999999994</v>
      </c>
      <c r="E40" s="64">
        <v>1.77</v>
      </c>
      <c r="F40" s="64">
        <v>4.01</v>
      </c>
      <c r="G40" s="64">
        <v>99.63</v>
      </c>
      <c r="H40" s="64">
        <v>38.36</v>
      </c>
      <c r="I40" s="64">
        <v>10.16</v>
      </c>
      <c r="J40" s="64">
        <v>1.1599999999999999</v>
      </c>
      <c r="K40" s="64">
        <v>329.61</v>
      </c>
      <c r="L40" s="64">
        <v>36.96</v>
      </c>
      <c r="M40" s="64">
        <v>28.52</v>
      </c>
      <c r="N40" s="64">
        <v>411.7</v>
      </c>
      <c r="O40" s="64">
        <v>0</v>
      </c>
      <c r="P40" s="64">
        <v>0.69</v>
      </c>
      <c r="Q40" s="64">
        <v>10.47</v>
      </c>
      <c r="R40" s="198"/>
      <c r="S40" s="198"/>
      <c r="T40" s="198"/>
      <c r="U40" s="198"/>
    </row>
    <row r="41" spans="1:21" s="12" customFormat="1" x14ac:dyDescent="0.25">
      <c r="A41" s="214" t="s">
        <v>280</v>
      </c>
      <c r="B41" s="64">
        <v>3.87</v>
      </c>
      <c r="C41" s="64">
        <v>4.16</v>
      </c>
      <c r="D41" s="64">
        <v>6.42</v>
      </c>
      <c r="E41" s="64">
        <v>1.73</v>
      </c>
      <c r="F41" s="64">
        <v>4.05</v>
      </c>
      <c r="G41" s="64">
        <v>99.63</v>
      </c>
      <c r="H41" s="64">
        <v>38.36</v>
      </c>
      <c r="I41" s="64">
        <v>9.7799999999999994</v>
      </c>
      <c r="J41" s="64">
        <v>1.28</v>
      </c>
      <c r="K41" s="64">
        <v>339.45</v>
      </c>
      <c r="L41" s="64">
        <v>37.83</v>
      </c>
      <c r="M41" s="64">
        <v>27.57</v>
      </c>
      <c r="N41" s="64">
        <v>456.5</v>
      </c>
      <c r="O41" s="64">
        <v>0</v>
      </c>
      <c r="P41" s="64">
        <v>0.68</v>
      </c>
      <c r="Q41" s="64">
        <v>10.44</v>
      </c>
      <c r="R41" s="198"/>
      <c r="S41" s="198"/>
      <c r="T41" s="198"/>
      <c r="U41" s="198"/>
    </row>
    <row r="42" spans="1:21" s="12" customFormat="1" x14ac:dyDescent="0.25">
      <c r="A42" s="214" t="s">
        <v>281</v>
      </c>
      <c r="B42" s="64">
        <v>3.58</v>
      </c>
      <c r="C42" s="64">
        <v>3.79</v>
      </c>
      <c r="D42" s="64">
        <v>5.99</v>
      </c>
      <c r="E42" s="64">
        <v>1.75</v>
      </c>
      <c r="F42" s="64">
        <v>3.95</v>
      </c>
      <c r="G42" s="64">
        <v>99.53</v>
      </c>
      <c r="H42" s="64">
        <v>37.880000000000003</v>
      </c>
      <c r="I42" s="64">
        <v>9.4</v>
      </c>
      <c r="J42" s="64">
        <v>1.29</v>
      </c>
      <c r="K42" s="64">
        <v>344.83</v>
      </c>
      <c r="L42" s="64">
        <v>38.56</v>
      </c>
      <c r="M42" s="64">
        <v>27.7</v>
      </c>
      <c r="N42" s="64">
        <v>502.3</v>
      </c>
      <c r="O42" s="64">
        <v>0</v>
      </c>
      <c r="P42" s="64">
        <v>0.69</v>
      </c>
      <c r="Q42" s="64">
        <v>10.41</v>
      </c>
      <c r="R42" s="198"/>
      <c r="S42" s="198"/>
      <c r="T42" s="198"/>
      <c r="U42" s="198"/>
    </row>
    <row r="43" spans="1:21" s="12" customFormat="1" x14ac:dyDescent="0.25">
      <c r="A43" s="214" t="s">
        <v>282</v>
      </c>
      <c r="B43" s="64">
        <v>3.4</v>
      </c>
      <c r="C43" s="64">
        <v>3.68</v>
      </c>
      <c r="D43" s="64">
        <v>5.79</v>
      </c>
      <c r="E43" s="64">
        <v>1.46</v>
      </c>
      <c r="F43" s="64">
        <v>4.01</v>
      </c>
      <c r="G43" s="64">
        <v>98.41</v>
      </c>
      <c r="H43" s="64">
        <v>32.19</v>
      </c>
      <c r="I43" s="64">
        <v>9.1</v>
      </c>
      <c r="J43" s="64">
        <v>1.1599999999999999</v>
      </c>
      <c r="K43" s="64">
        <v>340.96</v>
      </c>
      <c r="L43" s="64">
        <v>39.35</v>
      </c>
      <c r="M43" s="64">
        <v>26.86</v>
      </c>
      <c r="N43" s="64">
        <v>541.20000000000005</v>
      </c>
      <c r="O43" s="64">
        <v>0</v>
      </c>
      <c r="P43" s="64">
        <v>0.7</v>
      </c>
      <c r="Q43" s="64">
        <v>10.4</v>
      </c>
      <c r="R43" s="198"/>
      <c r="S43" s="198"/>
      <c r="T43" s="198"/>
      <c r="U43" s="198"/>
    </row>
    <row r="44" spans="1:21" s="12" customFormat="1" x14ac:dyDescent="0.25">
      <c r="A44" s="214" t="s">
        <v>283</v>
      </c>
      <c r="B44" s="64">
        <v>2.92</v>
      </c>
      <c r="C44" s="64">
        <v>2.41</v>
      </c>
      <c r="D44" s="64">
        <v>4.74</v>
      </c>
      <c r="E44" s="64">
        <v>1.54</v>
      </c>
      <c r="F44" s="64">
        <v>4.26</v>
      </c>
      <c r="G44" s="64">
        <v>98.41</v>
      </c>
      <c r="H44" s="64">
        <v>32.19</v>
      </c>
      <c r="I44" s="64">
        <v>8.76</v>
      </c>
      <c r="J44" s="64">
        <v>1.35</v>
      </c>
      <c r="K44" s="64">
        <v>348.69</v>
      </c>
      <c r="L44" s="64">
        <v>40.25</v>
      </c>
      <c r="M44" s="64">
        <v>24.91</v>
      </c>
      <c r="N44" s="64">
        <v>579.79999999999995</v>
      </c>
      <c r="O44" s="64">
        <v>0</v>
      </c>
      <c r="P44" s="64">
        <v>0.71</v>
      </c>
      <c r="Q44" s="64">
        <v>10.35</v>
      </c>
      <c r="R44" s="198"/>
      <c r="S44" s="198"/>
      <c r="T44" s="198"/>
      <c r="U44" s="198"/>
    </row>
    <row r="45" spans="1:21" s="12" customFormat="1" x14ac:dyDescent="0.25">
      <c r="A45" s="214" t="s">
        <v>284</v>
      </c>
      <c r="B45" s="64">
        <v>2.69</v>
      </c>
      <c r="C45" s="64">
        <v>1.62</v>
      </c>
      <c r="D45" s="64">
        <v>4.1500000000000004</v>
      </c>
      <c r="E45" s="64">
        <v>1.79</v>
      </c>
      <c r="F45" s="64">
        <v>4.45</v>
      </c>
      <c r="G45" s="64">
        <v>98.41</v>
      </c>
      <c r="H45" s="64">
        <v>32.19</v>
      </c>
      <c r="I45" s="64">
        <v>8.56</v>
      </c>
      <c r="J45" s="64">
        <v>1.4</v>
      </c>
      <c r="K45" s="64">
        <v>350.15</v>
      </c>
      <c r="L45" s="64">
        <v>41.1</v>
      </c>
      <c r="M45" s="64">
        <v>22.8</v>
      </c>
      <c r="N45" s="64">
        <v>608.5</v>
      </c>
      <c r="O45" s="64">
        <v>0</v>
      </c>
      <c r="P45" s="64">
        <v>0.73</v>
      </c>
      <c r="Q45" s="64">
        <v>10.26</v>
      </c>
      <c r="R45" s="198"/>
      <c r="S45" s="198"/>
      <c r="T45" s="198"/>
      <c r="U45" s="198"/>
    </row>
    <row r="46" spans="1:21" s="12" customFormat="1" x14ac:dyDescent="0.25">
      <c r="A46" s="214" t="s">
        <v>285</v>
      </c>
      <c r="B46" s="64">
        <v>2.75</v>
      </c>
      <c r="C46" s="64">
        <v>2.44</v>
      </c>
      <c r="D46" s="64">
        <v>4.63</v>
      </c>
      <c r="E46" s="64">
        <v>1.63</v>
      </c>
      <c r="F46" s="64">
        <v>4.45</v>
      </c>
      <c r="G46" s="64">
        <v>98.98</v>
      </c>
      <c r="H46" s="64">
        <v>33.03</v>
      </c>
      <c r="I46" s="64">
        <v>8.33</v>
      </c>
      <c r="J46" s="64">
        <v>1.2</v>
      </c>
      <c r="K46" s="64">
        <v>345.06</v>
      </c>
      <c r="L46" s="64">
        <v>41.38</v>
      </c>
      <c r="M46" s="64">
        <v>22.5</v>
      </c>
      <c r="N46" s="64">
        <v>612</v>
      </c>
      <c r="O46" s="64">
        <v>0</v>
      </c>
      <c r="P46" s="64">
        <v>0.75</v>
      </c>
      <c r="Q46" s="64">
        <v>10.25</v>
      </c>
      <c r="R46" s="198"/>
      <c r="S46" s="198"/>
      <c r="T46" s="198"/>
      <c r="U46" s="198"/>
    </row>
    <row r="47" spans="1:21" s="12" customFormat="1" x14ac:dyDescent="0.25">
      <c r="A47" s="214" t="s">
        <v>286</v>
      </c>
      <c r="B47" s="64">
        <v>2.74</v>
      </c>
      <c r="C47" s="64">
        <v>2.81</v>
      </c>
      <c r="D47" s="64">
        <v>4.8099999999999996</v>
      </c>
      <c r="E47" s="64">
        <v>1.71</v>
      </c>
      <c r="F47" s="64">
        <v>4.9000000000000004</v>
      </c>
      <c r="G47" s="64">
        <v>105.72</v>
      </c>
      <c r="H47" s="64">
        <v>43.04</v>
      </c>
      <c r="I47" s="64">
        <v>8.27</v>
      </c>
      <c r="J47" s="64">
        <v>1.42</v>
      </c>
      <c r="K47" s="64">
        <v>338.2</v>
      </c>
      <c r="L47" s="64">
        <v>41.8</v>
      </c>
      <c r="M47" s="64">
        <v>23.03</v>
      </c>
      <c r="N47" s="64">
        <v>636.1</v>
      </c>
      <c r="O47" s="64">
        <v>0</v>
      </c>
      <c r="P47" s="64">
        <v>0.78</v>
      </c>
      <c r="Q47" s="64">
        <v>10.220000000000001</v>
      </c>
      <c r="R47" s="198"/>
      <c r="S47" s="198"/>
      <c r="T47" s="198"/>
      <c r="U47" s="198"/>
    </row>
    <row r="48" spans="1:21" s="12" customFormat="1" x14ac:dyDescent="0.25">
      <c r="A48" s="214" t="s">
        <v>287</v>
      </c>
      <c r="B48" s="64">
        <v>2.4700000000000002</v>
      </c>
      <c r="C48" s="64">
        <v>1.1200000000000001</v>
      </c>
      <c r="D48" s="64">
        <v>3.71</v>
      </c>
      <c r="E48" s="64">
        <v>1.65</v>
      </c>
      <c r="F48" s="64">
        <v>5.55</v>
      </c>
      <c r="G48" s="64">
        <v>105.72</v>
      </c>
      <c r="H48" s="64">
        <v>43.04</v>
      </c>
      <c r="I48" s="64">
        <v>8.2200000000000006</v>
      </c>
      <c r="J48" s="64">
        <v>2.54</v>
      </c>
      <c r="K48" s="64">
        <v>337.99</v>
      </c>
      <c r="L48" s="64">
        <v>40.86</v>
      </c>
      <c r="M48" s="64">
        <v>25.39</v>
      </c>
      <c r="N48" s="64">
        <v>698.3</v>
      </c>
      <c r="O48" s="64">
        <v>0</v>
      </c>
      <c r="P48" s="64">
        <v>0.8</v>
      </c>
      <c r="Q48" s="64">
        <v>10.15</v>
      </c>
      <c r="R48" s="198"/>
      <c r="S48" s="198"/>
      <c r="T48" s="198"/>
      <c r="U48" s="198"/>
    </row>
    <row r="49" spans="1:21" s="12" customFormat="1" x14ac:dyDescent="0.25">
      <c r="A49" s="214" t="s">
        <v>288</v>
      </c>
      <c r="B49" s="64">
        <v>2.63</v>
      </c>
      <c r="C49" s="64">
        <v>2.64</v>
      </c>
      <c r="D49" s="64">
        <v>4.63</v>
      </c>
      <c r="E49" s="64">
        <v>1.81</v>
      </c>
      <c r="F49" s="64">
        <v>5.93</v>
      </c>
      <c r="G49" s="64">
        <v>105.72</v>
      </c>
      <c r="H49" s="64">
        <v>43.04</v>
      </c>
      <c r="I49" s="64">
        <v>8.2899999999999991</v>
      </c>
      <c r="J49" s="64">
        <v>2.06</v>
      </c>
      <c r="K49" s="64">
        <v>339.81</v>
      </c>
      <c r="L49" s="64">
        <v>41.9</v>
      </c>
      <c r="M49" s="64">
        <v>24.77</v>
      </c>
      <c r="N49" s="64">
        <v>738.4</v>
      </c>
      <c r="O49" s="64">
        <v>0</v>
      </c>
      <c r="P49" s="64">
        <v>0.78</v>
      </c>
      <c r="Q49" s="64">
        <v>10.029999999999999</v>
      </c>
      <c r="R49" s="198"/>
      <c r="S49" s="198"/>
      <c r="T49" s="198"/>
      <c r="U49" s="198"/>
    </row>
    <row r="50" spans="1:21" s="12" customFormat="1" x14ac:dyDescent="0.25">
      <c r="A50" s="214" t="s">
        <v>289</v>
      </c>
      <c r="B50" s="64">
        <v>2.48</v>
      </c>
      <c r="C50" s="64">
        <v>1.4</v>
      </c>
      <c r="D50" s="64">
        <v>3.86</v>
      </c>
      <c r="E50" s="64">
        <v>1.56</v>
      </c>
      <c r="F50" s="64">
        <v>6.13</v>
      </c>
      <c r="G50" s="64">
        <v>105.86</v>
      </c>
      <c r="H50" s="64">
        <v>43.06</v>
      </c>
      <c r="I50" s="64">
        <v>8.17</v>
      </c>
      <c r="J50" s="64">
        <v>2.09</v>
      </c>
      <c r="K50" s="64">
        <v>336.73</v>
      </c>
      <c r="L50" s="64">
        <v>42.09</v>
      </c>
      <c r="M50" s="64">
        <v>24.8</v>
      </c>
      <c r="N50" s="64">
        <v>747.8</v>
      </c>
      <c r="O50" s="64">
        <v>0</v>
      </c>
      <c r="P50" s="64">
        <v>0.78</v>
      </c>
      <c r="Q50" s="64">
        <v>9.77</v>
      </c>
      <c r="R50" s="198"/>
      <c r="S50" s="198"/>
      <c r="T50" s="198"/>
      <c r="U50" s="198"/>
    </row>
    <row r="51" spans="1:21" s="12" customFormat="1" x14ac:dyDescent="0.25">
      <c r="A51" s="214" t="s">
        <v>290</v>
      </c>
      <c r="B51" s="64">
        <v>2.59</v>
      </c>
      <c r="C51" s="64">
        <v>2.19</v>
      </c>
      <c r="D51" s="64">
        <v>4.3600000000000003</v>
      </c>
      <c r="E51" s="64">
        <v>1.55</v>
      </c>
      <c r="F51" s="64">
        <v>5.71</v>
      </c>
      <c r="G51" s="64">
        <v>107.43</v>
      </c>
      <c r="H51" s="64">
        <v>43.38</v>
      </c>
      <c r="I51" s="64">
        <v>7.79</v>
      </c>
      <c r="J51" s="64">
        <v>1.84</v>
      </c>
      <c r="K51" s="64">
        <v>341.83</v>
      </c>
      <c r="L51" s="64">
        <v>42.78</v>
      </c>
      <c r="M51" s="64">
        <v>24.52</v>
      </c>
      <c r="N51" s="64">
        <v>756.3</v>
      </c>
      <c r="O51" s="64">
        <v>0</v>
      </c>
      <c r="P51" s="64">
        <v>0.78</v>
      </c>
      <c r="Q51" s="64">
        <v>9.6999999999999993</v>
      </c>
      <c r="R51" s="198"/>
      <c r="S51" s="198"/>
      <c r="T51" s="198"/>
      <c r="U51" s="198"/>
    </row>
    <row r="52" spans="1:21" s="12" customFormat="1" x14ac:dyDescent="0.25">
      <c r="A52" s="214" t="s">
        <v>291</v>
      </c>
      <c r="B52" s="64">
        <v>2.5</v>
      </c>
      <c r="C52" s="64">
        <v>1.6</v>
      </c>
      <c r="D52" s="64">
        <v>3.98</v>
      </c>
      <c r="E52" s="64">
        <v>1.51</v>
      </c>
      <c r="F52" s="64">
        <v>5.81</v>
      </c>
      <c r="G52" s="64">
        <v>107.43</v>
      </c>
      <c r="H52" s="64">
        <v>43.38</v>
      </c>
      <c r="I52" s="64">
        <v>7.58</v>
      </c>
      <c r="J52" s="64">
        <v>1.45</v>
      </c>
      <c r="K52" s="64">
        <v>341.62</v>
      </c>
      <c r="L52" s="64">
        <v>43.04</v>
      </c>
      <c r="M52" s="64">
        <v>23.56</v>
      </c>
      <c r="N52" s="64">
        <v>771.4</v>
      </c>
      <c r="O52" s="64">
        <v>0</v>
      </c>
      <c r="P52" s="64">
        <v>0.77</v>
      </c>
      <c r="Q52" s="64">
        <v>9.68</v>
      </c>
      <c r="R52" s="198"/>
      <c r="S52" s="198"/>
      <c r="T52" s="198"/>
      <c r="U52" s="198"/>
    </row>
    <row r="53" spans="1:21" s="12" customFormat="1" x14ac:dyDescent="0.25">
      <c r="A53" s="214" t="s">
        <v>292</v>
      </c>
      <c r="B53" s="64">
        <v>2.58</v>
      </c>
      <c r="C53" s="64">
        <v>2.21</v>
      </c>
      <c r="D53" s="64">
        <v>4.37</v>
      </c>
      <c r="E53" s="64">
        <v>1.62</v>
      </c>
      <c r="F53" s="64">
        <v>6.13</v>
      </c>
      <c r="G53" s="64">
        <v>107.43</v>
      </c>
      <c r="H53" s="64">
        <v>43.38</v>
      </c>
      <c r="I53" s="64">
        <v>7.6</v>
      </c>
      <c r="J53" s="64">
        <v>1.1499999999999999</v>
      </c>
      <c r="K53" s="64">
        <v>329.88</v>
      </c>
      <c r="L53" s="64">
        <v>42.95</v>
      </c>
      <c r="M53" s="64">
        <v>23.66</v>
      </c>
      <c r="N53" s="64">
        <v>774.7</v>
      </c>
      <c r="O53" s="64">
        <v>0</v>
      </c>
      <c r="P53" s="64">
        <v>0.76</v>
      </c>
      <c r="Q53" s="64">
        <v>9.69</v>
      </c>
      <c r="R53" s="198"/>
      <c r="S53" s="198"/>
      <c r="T53" s="198"/>
      <c r="U53" s="198"/>
    </row>
    <row r="54" spans="1:21" s="12" customFormat="1" x14ac:dyDescent="0.25">
      <c r="A54" s="214" t="s">
        <v>293</v>
      </c>
      <c r="B54" s="64">
        <v>2.4300000000000002</v>
      </c>
      <c r="C54" s="64">
        <v>1</v>
      </c>
      <c r="D54" s="64">
        <v>3.62</v>
      </c>
      <c r="E54" s="64">
        <v>1.47</v>
      </c>
      <c r="F54" s="64">
        <v>6.08</v>
      </c>
      <c r="G54" s="64">
        <v>106.53</v>
      </c>
      <c r="H54" s="64">
        <v>43.14</v>
      </c>
      <c r="I54" s="64">
        <v>7.63</v>
      </c>
      <c r="J54" s="64">
        <v>1.26</v>
      </c>
      <c r="K54" s="64">
        <v>339.79</v>
      </c>
      <c r="L54" s="64">
        <v>43.36</v>
      </c>
      <c r="M54" s="64">
        <v>23.86</v>
      </c>
      <c r="N54" s="64">
        <v>779.2</v>
      </c>
      <c r="O54" s="64">
        <v>0</v>
      </c>
      <c r="P54" s="64">
        <v>0.74</v>
      </c>
      <c r="Q54" s="64">
        <v>9.6999999999999993</v>
      </c>
      <c r="R54" s="198"/>
      <c r="S54" s="198"/>
      <c r="T54" s="198"/>
      <c r="U54" s="198"/>
    </row>
    <row r="55" spans="1:21" s="12" customFormat="1" x14ac:dyDescent="0.25">
      <c r="A55" s="214" t="s">
        <v>294</v>
      </c>
      <c r="B55" s="64">
        <v>2.59</v>
      </c>
      <c r="C55" s="64">
        <v>2.65</v>
      </c>
      <c r="D55" s="64">
        <v>4.5999999999999996</v>
      </c>
      <c r="E55" s="64">
        <v>1.48</v>
      </c>
      <c r="F55" s="64">
        <v>6.16</v>
      </c>
      <c r="G55" s="64">
        <v>95.81</v>
      </c>
      <c r="H55" s="64">
        <v>40.29</v>
      </c>
      <c r="I55" s="64">
        <v>7.65</v>
      </c>
      <c r="J55" s="64">
        <v>1.61</v>
      </c>
      <c r="K55" s="64">
        <v>330.45</v>
      </c>
      <c r="L55" s="64">
        <v>43.31</v>
      </c>
      <c r="M55" s="64">
        <v>23.56</v>
      </c>
      <c r="N55" s="64">
        <v>790.7</v>
      </c>
      <c r="O55" s="64">
        <v>0</v>
      </c>
      <c r="P55" s="64">
        <v>0.73</v>
      </c>
      <c r="Q55" s="64">
        <v>9.67</v>
      </c>
      <c r="R55" s="198"/>
      <c r="S55" s="198"/>
      <c r="T55" s="198"/>
      <c r="U55" s="198"/>
    </row>
    <row r="56" spans="1:21" s="12" customFormat="1" x14ac:dyDescent="0.25">
      <c r="A56" s="214" t="s">
        <v>295</v>
      </c>
      <c r="B56" s="64">
        <v>2.61</v>
      </c>
      <c r="C56" s="64">
        <v>2.92</v>
      </c>
      <c r="D56" s="64">
        <v>4.76</v>
      </c>
      <c r="E56" s="64">
        <v>2</v>
      </c>
      <c r="F56" s="64">
        <v>6.46</v>
      </c>
      <c r="G56" s="64">
        <v>95.81</v>
      </c>
      <c r="H56" s="64">
        <v>40.29</v>
      </c>
      <c r="I56" s="64">
        <v>7.43</v>
      </c>
      <c r="J56" s="64">
        <v>1.4</v>
      </c>
      <c r="K56" s="64">
        <v>314.88</v>
      </c>
      <c r="L56" s="64">
        <v>43.31</v>
      </c>
      <c r="M56" s="64">
        <v>23.03</v>
      </c>
      <c r="N56" s="64">
        <v>780.2</v>
      </c>
      <c r="O56" s="64">
        <v>0</v>
      </c>
      <c r="P56" s="64">
        <v>0.71</v>
      </c>
      <c r="Q56" s="64">
        <v>9.67</v>
      </c>
      <c r="R56" s="198"/>
      <c r="S56" s="198"/>
      <c r="T56" s="198"/>
      <c r="U56" s="198"/>
    </row>
    <row r="57" spans="1:21" s="12" customFormat="1" x14ac:dyDescent="0.25">
      <c r="A57" s="214" t="s">
        <v>296</v>
      </c>
      <c r="B57" s="64">
        <v>2.5</v>
      </c>
      <c r="C57" s="64">
        <v>1.9</v>
      </c>
      <c r="D57" s="64">
        <v>4.1399999999999997</v>
      </c>
      <c r="E57" s="64">
        <v>1.1399999999999999</v>
      </c>
      <c r="F57" s="64">
        <v>5.91</v>
      </c>
      <c r="G57" s="64">
        <v>95.81</v>
      </c>
      <c r="H57" s="64">
        <v>40.29</v>
      </c>
      <c r="I57" s="64">
        <v>7.38</v>
      </c>
      <c r="J57" s="64">
        <v>1.18</v>
      </c>
      <c r="K57" s="64">
        <v>337.68</v>
      </c>
      <c r="L57" s="64">
        <v>43.02</v>
      </c>
      <c r="M57" s="64">
        <v>21.86</v>
      </c>
      <c r="N57" s="64">
        <v>802.7</v>
      </c>
      <c r="O57" s="64">
        <v>0</v>
      </c>
      <c r="P57" s="64">
        <v>0.69</v>
      </c>
      <c r="Q57" s="64">
        <v>9.7200000000000006</v>
      </c>
      <c r="R57" s="198"/>
      <c r="S57" s="198"/>
      <c r="T57" s="198"/>
      <c r="U57" s="198"/>
    </row>
    <row r="58" spans="1:21" s="12" customFormat="1" x14ac:dyDescent="0.25">
      <c r="A58" s="214" t="s">
        <v>297</v>
      </c>
      <c r="B58" s="64">
        <v>2.6</v>
      </c>
      <c r="C58" s="64">
        <v>2.56</v>
      </c>
      <c r="D58" s="64">
        <v>4.57</v>
      </c>
      <c r="E58" s="64">
        <v>1.19</v>
      </c>
      <c r="F58" s="64">
        <v>6.56</v>
      </c>
      <c r="G58" s="64">
        <v>94.34</v>
      </c>
      <c r="H58" s="64">
        <v>39.81</v>
      </c>
      <c r="I58" s="64">
        <v>7.5</v>
      </c>
      <c r="J58" s="64">
        <v>1.1000000000000001</v>
      </c>
      <c r="K58" s="64">
        <v>352.47</v>
      </c>
      <c r="L58" s="64">
        <v>42.3</v>
      </c>
      <c r="M58" s="64">
        <v>23.27</v>
      </c>
      <c r="N58" s="64">
        <v>725.4</v>
      </c>
      <c r="O58" s="64">
        <v>0</v>
      </c>
      <c r="P58" s="64">
        <v>0.68</v>
      </c>
      <c r="Q58" s="64">
        <v>9.7899999999999991</v>
      </c>
      <c r="R58" s="198"/>
      <c r="S58" s="198"/>
      <c r="T58" s="198"/>
      <c r="U58" s="198"/>
    </row>
    <row r="59" spans="1:21" s="12" customFormat="1" x14ac:dyDescent="0.25">
      <c r="A59" s="214" t="s">
        <v>298</v>
      </c>
      <c r="B59" s="64">
        <v>2.4500000000000002</v>
      </c>
      <c r="C59" s="64">
        <v>1.39</v>
      </c>
      <c r="D59" s="64">
        <v>3.84</v>
      </c>
      <c r="E59" s="64">
        <v>1.06</v>
      </c>
      <c r="F59" s="64">
        <v>6.58</v>
      </c>
      <c r="G59" s="64">
        <v>76.94</v>
      </c>
      <c r="H59" s="64">
        <v>34.119999999999997</v>
      </c>
      <c r="I59" s="64">
        <v>7.32</v>
      </c>
      <c r="J59" s="64">
        <v>1.58</v>
      </c>
      <c r="K59" s="64">
        <v>334.53</v>
      </c>
      <c r="L59" s="64">
        <v>43.46</v>
      </c>
      <c r="M59" s="64">
        <v>20.47</v>
      </c>
      <c r="N59" s="64">
        <v>798.6</v>
      </c>
      <c r="O59" s="64">
        <v>0</v>
      </c>
      <c r="P59" s="64">
        <v>0.66</v>
      </c>
      <c r="Q59" s="64">
        <v>9.81</v>
      </c>
      <c r="R59" s="198"/>
      <c r="S59" s="198"/>
      <c r="T59" s="198"/>
      <c r="U59" s="198"/>
    </row>
    <row r="60" spans="1:21" s="12" customFormat="1" x14ac:dyDescent="0.25">
      <c r="A60" s="214" t="s">
        <v>299</v>
      </c>
      <c r="B60" s="64">
        <v>2.5</v>
      </c>
      <c r="C60" s="64">
        <v>1.57</v>
      </c>
      <c r="D60" s="64">
        <v>3.97</v>
      </c>
      <c r="E60" s="64">
        <v>1.27</v>
      </c>
      <c r="F60" s="64">
        <v>6.36</v>
      </c>
      <c r="G60" s="64">
        <v>76.94</v>
      </c>
      <c r="H60" s="64">
        <v>34.119999999999997</v>
      </c>
      <c r="I60" s="64">
        <v>7.43</v>
      </c>
      <c r="J60" s="64">
        <v>2.25</v>
      </c>
      <c r="K60" s="64">
        <v>348.22</v>
      </c>
      <c r="L60" s="64">
        <v>43.97</v>
      </c>
      <c r="M60" s="64">
        <v>17.579999999999998</v>
      </c>
      <c r="N60" s="64">
        <v>798.7</v>
      </c>
      <c r="O60" s="64">
        <v>0</v>
      </c>
      <c r="P60" s="64">
        <v>0.63</v>
      </c>
      <c r="Q60" s="64">
        <v>9.8000000000000007</v>
      </c>
      <c r="R60" s="198"/>
      <c r="S60" s="198"/>
      <c r="T60" s="198"/>
      <c r="U60" s="198"/>
    </row>
    <row r="61" spans="1:21" s="12" customFormat="1" x14ac:dyDescent="0.25">
      <c r="A61" s="214" t="s">
        <v>300</v>
      </c>
      <c r="B61" s="64">
        <v>2.61</v>
      </c>
      <c r="C61" s="64">
        <v>2.58</v>
      </c>
      <c r="D61" s="64">
        <v>4.58</v>
      </c>
      <c r="E61" s="64">
        <v>1.06</v>
      </c>
      <c r="F61" s="64">
        <v>6.38</v>
      </c>
      <c r="G61" s="64">
        <v>76.94</v>
      </c>
      <c r="H61" s="64">
        <v>34.119999999999997</v>
      </c>
      <c r="I61" s="64">
        <v>7.59</v>
      </c>
      <c r="J61" s="64">
        <v>1.38</v>
      </c>
      <c r="K61" s="64">
        <v>318.26</v>
      </c>
      <c r="L61" s="64">
        <v>44.1</v>
      </c>
      <c r="M61" s="64">
        <v>18.100000000000001</v>
      </c>
      <c r="N61" s="64">
        <v>748.5</v>
      </c>
      <c r="O61" s="64">
        <v>0</v>
      </c>
      <c r="P61" s="64">
        <v>0.56999999999999995</v>
      </c>
      <c r="Q61" s="64">
        <v>9.76</v>
      </c>
      <c r="R61" s="198"/>
      <c r="S61" s="198"/>
      <c r="T61" s="198"/>
      <c r="U61" s="198"/>
    </row>
    <row r="62" spans="1:21" s="12" customFormat="1" x14ac:dyDescent="0.25">
      <c r="A62" s="214" t="s">
        <v>301</v>
      </c>
      <c r="B62" s="64">
        <v>2.62</v>
      </c>
      <c r="C62" s="64">
        <v>2.81</v>
      </c>
      <c r="D62" s="64">
        <v>4.71</v>
      </c>
      <c r="E62" s="64">
        <v>1.68</v>
      </c>
      <c r="F62" s="64">
        <v>6.6</v>
      </c>
      <c r="G62" s="64">
        <v>76.12</v>
      </c>
      <c r="H62" s="64">
        <v>33.630000000000003</v>
      </c>
      <c r="I62" s="64">
        <v>7.45</v>
      </c>
      <c r="J62" s="64">
        <v>0.82</v>
      </c>
      <c r="K62" s="64">
        <v>326.92</v>
      </c>
      <c r="L62" s="64">
        <v>43.16</v>
      </c>
      <c r="M62" s="64">
        <v>18.32</v>
      </c>
      <c r="N62" s="64">
        <v>723</v>
      </c>
      <c r="O62" s="64">
        <v>0</v>
      </c>
      <c r="P62" s="64">
        <v>0.55000000000000004</v>
      </c>
      <c r="Q62" s="64">
        <v>9.74</v>
      </c>
      <c r="R62" s="198"/>
      <c r="S62" s="198"/>
      <c r="T62" s="198"/>
      <c r="U62" s="198"/>
    </row>
    <row r="63" spans="1:21" s="12" customFormat="1" x14ac:dyDescent="0.25">
      <c r="A63" s="214" t="s">
        <v>302</v>
      </c>
      <c r="B63" s="64">
        <v>2.4900000000000002</v>
      </c>
      <c r="C63" s="64">
        <v>1.94</v>
      </c>
      <c r="D63" s="64">
        <v>4.16</v>
      </c>
      <c r="E63" s="64">
        <v>1.54</v>
      </c>
      <c r="F63" s="64">
        <v>6.36</v>
      </c>
      <c r="G63" s="64">
        <v>66.33</v>
      </c>
      <c r="H63" s="64">
        <v>27.83</v>
      </c>
      <c r="I63" s="64">
        <v>7.13</v>
      </c>
      <c r="J63" s="64">
        <v>0.45</v>
      </c>
      <c r="K63" s="64">
        <v>328.8</v>
      </c>
      <c r="L63" s="64">
        <v>42.52</v>
      </c>
      <c r="M63" s="64">
        <v>18.440000000000001</v>
      </c>
      <c r="N63" s="64">
        <v>617.79999999999995</v>
      </c>
      <c r="O63" s="64">
        <v>0</v>
      </c>
      <c r="P63" s="64">
        <v>0.53</v>
      </c>
      <c r="Q63" s="64">
        <v>9.73</v>
      </c>
      <c r="R63" s="198"/>
      <c r="S63" s="198"/>
      <c r="T63" s="198"/>
      <c r="U63" s="198"/>
    </row>
    <row r="64" spans="1:21" s="12" customFormat="1" x14ac:dyDescent="0.25">
      <c r="A64" s="214" t="s">
        <v>303</v>
      </c>
      <c r="B64" s="64">
        <v>2.39</v>
      </c>
      <c r="C64" s="64">
        <v>0.89</v>
      </c>
      <c r="D64" s="64">
        <v>3.53</v>
      </c>
      <c r="E64" s="64">
        <v>1.04</v>
      </c>
      <c r="F64" s="64">
        <v>6.16</v>
      </c>
      <c r="G64" s="64">
        <v>66.33</v>
      </c>
      <c r="H64" s="64">
        <v>27.83</v>
      </c>
      <c r="I64" s="64">
        <v>6.78</v>
      </c>
      <c r="J64" s="64">
        <v>0.34</v>
      </c>
      <c r="K64" s="64">
        <v>57.98</v>
      </c>
      <c r="L64" s="64">
        <v>41.51</v>
      </c>
      <c r="M64" s="64">
        <v>19.63</v>
      </c>
      <c r="N64" s="64">
        <v>519.70000000000005</v>
      </c>
      <c r="O64" s="64">
        <v>0</v>
      </c>
      <c r="P64" s="64">
        <v>0.5</v>
      </c>
      <c r="Q64" s="64">
        <v>9.69</v>
      </c>
      <c r="R64" s="198"/>
      <c r="S64" s="198"/>
      <c r="T64" s="198"/>
      <c r="U64" s="198"/>
    </row>
    <row r="65" spans="1:21" s="12" customFormat="1" x14ac:dyDescent="0.25">
      <c r="A65" s="214" t="s">
        <v>304</v>
      </c>
      <c r="B65" s="64">
        <v>2.62</v>
      </c>
      <c r="C65" s="64">
        <v>2.83</v>
      </c>
      <c r="D65" s="64">
        <v>4.7300000000000004</v>
      </c>
      <c r="E65" s="64">
        <v>1.54</v>
      </c>
      <c r="F65" s="64">
        <v>5.95</v>
      </c>
      <c r="G65" s="64">
        <v>66.33</v>
      </c>
      <c r="H65" s="64">
        <v>27.83</v>
      </c>
      <c r="I65" s="64">
        <v>6.47</v>
      </c>
      <c r="J65" s="64">
        <v>1.18</v>
      </c>
      <c r="K65" s="64">
        <v>318.58</v>
      </c>
      <c r="L65" s="64">
        <v>41.86</v>
      </c>
      <c r="M65" s="64">
        <v>18.96</v>
      </c>
      <c r="N65" s="64">
        <v>618.5</v>
      </c>
      <c r="O65" s="64">
        <v>0</v>
      </c>
      <c r="P65" s="64">
        <v>0.49</v>
      </c>
      <c r="Q65" s="64">
        <v>9.68</v>
      </c>
      <c r="R65" s="198"/>
      <c r="S65" s="198"/>
      <c r="T65" s="198"/>
      <c r="U65" s="198"/>
    </row>
    <row r="66" spans="1:21" s="12" customFormat="1" x14ac:dyDescent="0.25">
      <c r="A66" s="214" t="s">
        <v>305</v>
      </c>
      <c r="B66" s="64">
        <v>2.44</v>
      </c>
      <c r="C66" s="64">
        <v>1.59</v>
      </c>
      <c r="D66" s="64">
        <v>3.93</v>
      </c>
      <c r="E66" s="64">
        <v>1.08</v>
      </c>
      <c r="F66" s="64">
        <v>6.01</v>
      </c>
      <c r="G66" s="64">
        <v>65.400000000000006</v>
      </c>
      <c r="H66" s="64">
        <v>27.7</v>
      </c>
      <c r="I66" s="64">
        <v>6.51</v>
      </c>
      <c r="J66" s="64">
        <v>1.07</v>
      </c>
      <c r="K66" s="64">
        <v>317.57</v>
      </c>
      <c r="L66" s="64">
        <v>42.32</v>
      </c>
      <c r="M66" s="64">
        <v>18.45</v>
      </c>
      <c r="N66" s="64">
        <v>583</v>
      </c>
      <c r="O66" s="64">
        <v>0</v>
      </c>
      <c r="P66" s="64">
        <v>0.47</v>
      </c>
      <c r="Q66" s="64">
        <v>9.67</v>
      </c>
      <c r="R66" s="198"/>
      <c r="S66" s="198"/>
      <c r="T66" s="198"/>
      <c r="U66" s="198"/>
    </row>
    <row r="67" spans="1:21" s="12" customFormat="1" x14ac:dyDescent="0.25">
      <c r="A67" s="214" t="s">
        <v>306</v>
      </c>
      <c r="B67" s="64">
        <v>2.37</v>
      </c>
      <c r="C67" s="64">
        <v>0.92</v>
      </c>
      <c r="D67" s="64">
        <v>3.52</v>
      </c>
      <c r="E67" s="64">
        <v>1.27</v>
      </c>
      <c r="F67" s="64">
        <v>5.95</v>
      </c>
      <c r="G67" s="64">
        <v>54.3</v>
      </c>
      <c r="H67" s="64">
        <v>26.09</v>
      </c>
      <c r="I67" s="64">
        <v>6.63</v>
      </c>
      <c r="J67" s="64">
        <v>0.73</v>
      </c>
      <c r="K67" s="64">
        <v>327.02</v>
      </c>
      <c r="L67" s="64">
        <v>42.33</v>
      </c>
      <c r="M67" s="64">
        <v>17.239999999999998</v>
      </c>
      <c r="N67" s="64">
        <v>259.89999999999998</v>
      </c>
      <c r="O67" s="64">
        <v>0</v>
      </c>
      <c r="P67" s="64">
        <v>0.44</v>
      </c>
      <c r="Q67" s="64">
        <v>9.69</v>
      </c>
      <c r="R67" s="198"/>
      <c r="S67" s="198"/>
      <c r="T67" s="198"/>
      <c r="U67" s="198"/>
    </row>
    <row r="68" spans="1:21" s="12" customFormat="1" x14ac:dyDescent="0.25">
      <c r="A68" s="214" t="s">
        <v>307</v>
      </c>
      <c r="B68" s="64">
        <v>2.61</v>
      </c>
      <c r="C68" s="64">
        <v>2.79</v>
      </c>
      <c r="D68" s="64">
        <v>4.6900000000000004</v>
      </c>
      <c r="E68" s="64">
        <v>1.05</v>
      </c>
      <c r="F68" s="64">
        <v>5.7</v>
      </c>
      <c r="G68" s="64">
        <v>54.3</v>
      </c>
      <c r="H68" s="64">
        <v>26.09</v>
      </c>
      <c r="I68" s="64">
        <v>6.46</v>
      </c>
      <c r="J68" s="64">
        <v>1.1200000000000001</v>
      </c>
      <c r="K68" s="64">
        <v>327.08999999999997</v>
      </c>
      <c r="L68" s="64">
        <v>42.5</v>
      </c>
      <c r="M68" s="64">
        <v>15.64</v>
      </c>
      <c r="N68" s="64">
        <v>294.10000000000002</v>
      </c>
      <c r="O68" s="64">
        <v>0</v>
      </c>
      <c r="P68" s="64">
        <v>0.42</v>
      </c>
      <c r="Q68" s="64">
        <v>9.58</v>
      </c>
      <c r="R68" s="198"/>
      <c r="S68" s="198"/>
      <c r="T68" s="198"/>
      <c r="U68" s="198"/>
    </row>
    <row r="69" spans="1:21" s="12" customFormat="1" x14ac:dyDescent="0.25">
      <c r="A69" s="214" t="s">
        <v>308</v>
      </c>
      <c r="B69" s="64">
        <v>2.5299999999999998</v>
      </c>
      <c r="C69" s="64">
        <v>2.41</v>
      </c>
      <c r="D69" s="64">
        <v>4.43</v>
      </c>
      <c r="E69" s="64">
        <v>0.88</v>
      </c>
      <c r="F69" s="64">
        <v>5.86</v>
      </c>
      <c r="G69" s="64">
        <v>54.3</v>
      </c>
      <c r="H69" s="64">
        <v>26.09</v>
      </c>
      <c r="I69" s="64">
        <v>6.2</v>
      </c>
      <c r="J69" s="64">
        <v>1.18</v>
      </c>
      <c r="K69" s="64">
        <v>315.45</v>
      </c>
      <c r="L69" s="64">
        <v>41.62</v>
      </c>
      <c r="M69" s="64">
        <v>16.66</v>
      </c>
      <c r="N69" s="64">
        <v>198.1</v>
      </c>
      <c r="O69" s="64">
        <v>0</v>
      </c>
      <c r="P69" s="64">
        <v>0.41</v>
      </c>
      <c r="Q69" s="64">
        <v>9.52</v>
      </c>
      <c r="R69" s="198"/>
      <c r="S69" s="198"/>
      <c r="T69" s="198"/>
      <c r="U69" s="198"/>
    </row>
    <row r="70" spans="1:21" s="12" customFormat="1" x14ac:dyDescent="0.25">
      <c r="A70" s="214" t="s">
        <v>309</v>
      </c>
      <c r="B70" s="64">
        <v>2.33</v>
      </c>
      <c r="C70" s="64">
        <v>0.67</v>
      </c>
      <c r="D70" s="64">
        <v>3.36</v>
      </c>
      <c r="E70" s="64">
        <v>0.84</v>
      </c>
      <c r="F70" s="64">
        <v>5.56</v>
      </c>
      <c r="G70" s="64">
        <v>53.84</v>
      </c>
      <c r="H70" s="64">
        <v>25.88</v>
      </c>
      <c r="I70" s="64">
        <v>6.2</v>
      </c>
      <c r="J70" s="64">
        <v>1.58</v>
      </c>
      <c r="K70" s="64">
        <v>314.43</v>
      </c>
      <c r="L70" s="64">
        <v>41.04</v>
      </c>
      <c r="M70" s="64">
        <v>16.850000000000001</v>
      </c>
      <c r="N70" s="64">
        <v>165.1</v>
      </c>
      <c r="O70" s="64">
        <v>0</v>
      </c>
      <c r="P70" s="64">
        <v>0.38</v>
      </c>
      <c r="Q70" s="64">
        <v>9.5399999999999991</v>
      </c>
      <c r="R70" s="198"/>
      <c r="S70" s="198"/>
      <c r="T70" s="198"/>
      <c r="U70" s="198"/>
    </row>
    <row r="71" spans="1:21" s="12" customFormat="1" x14ac:dyDescent="0.25">
      <c r="A71" s="214" t="s">
        <v>310</v>
      </c>
      <c r="B71" s="64">
        <v>2.31</v>
      </c>
      <c r="C71" s="64">
        <v>0.4</v>
      </c>
      <c r="D71" s="64">
        <v>3.2</v>
      </c>
      <c r="E71" s="64">
        <v>0.92</v>
      </c>
      <c r="F71" s="64">
        <v>5.5</v>
      </c>
      <c r="G71" s="64">
        <v>48.37</v>
      </c>
      <c r="H71" s="64">
        <v>23.43</v>
      </c>
      <c r="I71" s="64">
        <v>6.1</v>
      </c>
      <c r="J71" s="64">
        <v>0.84</v>
      </c>
      <c r="K71" s="64">
        <v>321.17</v>
      </c>
      <c r="L71" s="64">
        <v>40.83</v>
      </c>
      <c r="M71" s="64">
        <v>16.63</v>
      </c>
      <c r="N71" s="64">
        <v>138.80000000000001</v>
      </c>
      <c r="O71" s="64">
        <v>0</v>
      </c>
      <c r="P71" s="64">
        <v>0.37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4" t="s">
        <v>311</v>
      </c>
      <c r="B72" s="64">
        <v>2.66</v>
      </c>
      <c r="C72" s="64">
        <v>2.37</v>
      </c>
      <c r="D72" s="64">
        <v>4.5199999999999996</v>
      </c>
      <c r="E72" s="64">
        <v>0.51</v>
      </c>
      <c r="F72" s="64">
        <v>5.44</v>
      </c>
      <c r="G72" s="64">
        <v>48.37</v>
      </c>
      <c r="H72" s="64">
        <v>23.43</v>
      </c>
      <c r="I72" s="64">
        <v>5.76</v>
      </c>
      <c r="J72" s="64">
        <v>1.25</v>
      </c>
      <c r="K72" s="64">
        <v>312.39</v>
      </c>
      <c r="L72" s="64">
        <v>40.75</v>
      </c>
      <c r="M72" s="64">
        <v>16.54</v>
      </c>
      <c r="N72" s="64">
        <v>122.9</v>
      </c>
      <c r="O72" s="64">
        <v>0</v>
      </c>
      <c r="P72" s="64">
        <v>0.36</v>
      </c>
      <c r="Q72" s="64">
        <v>9.56</v>
      </c>
      <c r="R72" s="198"/>
      <c r="S72" s="198"/>
      <c r="T72" s="198"/>
      <c r="U72" s="198"/>
    </row>
    <row r="73" spans="1:21" s="12" customFormat="1" x14ac:dyDescent="0.25">
      <c r="A73" s="214" t="s">
        <v>312</v>
      </c>
      <c r="B73" s="64">
        <v>2.59</v>
      </c>
      <c r="C73" s="64">
        <v>2.17</v>
      </c>
      <c r="D73" s="64">
        <v>4.3499999999999996</v>
      </c>
      <c r="E73" s="64">
        <v>0.91</v>
      </c>
      <c r="F73" s="64">
        <v>5.46</v>
      </c>
      <c r="G73" s="64">
        <v>48.37</v>
      </c>
      <c r="H73" s="64">
        <v>23.43</v>
      </c>
      <c r="I73" s="64">
        <v>5.58</v>
      </c>
      <c r="J73" s="64">
        <v>1.54</v>
      </c>
      <c r="K73" s="64">
        <v>318.79000000000002</v>
      </c>
      <c r="L73" s="64">
        <v>40.47</v>
      </c>
      <c r="M73" s="64">
        <v>16.2</v>
      </c>
      <c r="N73" s="64">
        <v>110.5</v>
      </c>
      <c r="O73" s="64">
        <v>0</v>
      </c>
      <c r="P73" s="64">
        <v>0.35</v>
      </c>
      <c r="Q73" s="64">
        <v>9.58</v>
      </c>
      <c r="R73" s="198"/>
      <c r="S73" s="198"/>
      <c r="T73" s="198"/>
      <c r="U73" s="198"/>
    </row>
    <row r="74" spans="1:21" s="12" customFormat="1" x14ac:dyDescent="0.25">
      <c r="A74" s="214" t="s">
        <v>313</v>
      </c>
      <c r="B74" s="64">
        <v>2.35</v>
      </c>
      <c r="C74" s="64">
        <v>0.59</v>
      </c>
      <c r="D74" s="64">
        <v>3.34</v>
      </c>
      <c r="E74" s="64">
        <v>0.66</v>
      </c>
      <c r="F74" s="64">
        <v>5.47</v>
      </c>
      <c r="G74" s="64">
        <v>48.39</v>
      </c>
      <c r="H74" s="64">
        <v>23.21</v>
      </c>
      <c r="I74" s="64">
        <v>5.55</v>
      </c>
      <c r="J74" s="64">
        <v>1.1000000000000001</v>
      </c>
      <c r="K74" s="64">
        <v>316.81</v>
      </c>
      <c r="L74" s="64">
        <v>40.090000000000003</v>
      </c>
      <c r="M74" s="64">
        <v>15.8</v>
      </c>
      <c r="N74" s="64">
        <v>99.8</v>
      </c>
      <c r="O74" s="64">
        <v>0</v>
      </c>
      <c r="P74" s="64">
        <v>0.33</v>
      </c>
      <c r="Q74" s="64">
        <v>9.56</v>
      </c>
      <c r="R74" s="198"/>
      <c r="S74" s="198"/>
      <c r="T74" s="198"/>
      <c r="U74" s="198"/>
    </row>
    <row r="75" spans="1:21" s="12" customFormat="1" x14ac:dyDescent="0.25">
      <c r="A75" s="214" t="s">
        <v>314</v>
      </c>
      <c r="B75" s="64">
        <v>2.56</v>
      </c>
      <c r="C75" s="64">
        <v>1.55</v>
      </c>
      <c r="D75" s="64">
        <v>4</v>
      </c>
      <c r="E75" s="64">
        <v>0.91</v>
      </c>
      <c r="F75" s="64">
        <v>5.45</v>
      </c>
      <c r="G75" s="64">
        <v>48.69</v>
      </c>
      <c r="H75" s="64">
        <v>20.64</v>
      </c>
      <c r="I75" s="64">
        <v>5.5</v>
      </c>
      <c r="J75" s="64">
        <v>1.23</v>
      </c>
      <c r="K75" s="64">
        <v>316.05</v>
      </c>
      <c r="L75" s="64">
        <v>39.94</v>
      </c>
      <c r="M75" s="64">
        <v>16.170000000000002</v>
      </c>
      <c r="N75" s="64">
        <v>91</v>
      </c>
      <c r="O75" s="64">
        <v>0</v>
      </c>
      <c r="P75" s="64">
        <v>0.33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315</v>
      </c>
      <c r="B76" s="64">
        <v>2.61</v>
      </c>
      <c r="C76" s="64">
        <v>2.0499999999999998</v>
      </c>
      <c r="D76" s="64">
        <v>4.3099999999999996</v>
      </c>
      <c r="E76" s="64">
        <v>0.88</v>
      </c>
      <c r="F76" s="64">
        <v>5.48</v>
      </c>
      <c r="G76" s="64">
        <v>48.69</v>
      </c>
      <c r="H76" s="64">
        <v>20.64</v>
      </c>
      <c r="I76" s="64">
        <v>5.38</v>
      </c>
      <c r="J76" s="64">
        <v>1.3</v>
      </c>
      <c r="K76" s="64">
        <v>316.32</v>
      </c>
      <c r="L76" s="64">
        <v>39.619999999999997</v>
      </c>
      <c r="M76" s="64">
        <v>15.87</v>
      </c>
      <c r="N76" s="64">
        <v>84.9</v>
      </c>
      <c r="O76" s="64">
        <v>0</v>
      </c>
      <c r="P76" s="64">
        <v>0.33</v>
      </c>
      <c r="Q76" s="64">
        <v>9.6999999999999993</v>
      </c>
      <c r="R76" s="198"/>
      <c r="S76" s="198"/>
      <c r="T76" s="198"/>
      <c r="U76" s="198"/>
    </row>
    <row r="77" spans="1:21" s="12" customFormat="1" x14ac:dyDescent="0.25">
      <c r="A77" s="214" t="s">
        <v>316</v>
      </c>
      <c r="B77" s="64">
        <v>2.38</v>
      </c>
      <c r="C77" s="64">
        <v>0.74</v>
      </c>
      <c r="D77" s="64">
        <v>3.44</v>
      </c>
      <c r="E77" s="64">
        <v>0.79</v>
      </c>
      <c r="F77" s="64">
        <v>5.21</v>
      </c>
      <c r="G77" s="64">
        <v>48.69</v>
      </c>
      <c r="H77" s="64">
        <v>20.64</v>
      </c>
      <c r="I77" s="64">
        <v>5.18</v>
      </c>
      <c r="J77" s="64">
        <v>0.98</v>
      </c>
      <c r="K77" s="64">
        <v>315.98</v>
      </c>
      <c r="L77" s="64">
        <v>39.39</v>
      </c>
      <c r="M77" s="64">
        <v>16.16</v>
      </c>
      <c r="N77" s="64">
        <v>75.5</v>
      </c>
      <c r="O77" s="64">
        <v>0</v>
      </c>
      <c r="P77" s="64">
        <v>0.33</v>
      </c>
      <c r="Q77" s="64">
        <v>9.73</v>
      </c>
      <c r="R77" s="198"/>
      <c r="S77" s="198"/>
      <c r="T77" s="198"/>
      <c r="U77" s="198"/>
    </row>
    <row r="78" spans="1:21" s="12" customFormat="1" x14ac:dyDescent="0.25">
      <c r="A78" s="214" t="s">
        <v>317</v>
      </c>
      <c r="B78" s="64">
        <v>2.57</v>
      </c>
      <c r="C78" s="64">
        <v>2.2599999999999998</v>
      </c>
      <c r="D78" s="64">
        <v>4.3899999999999997</v>
      </c>
      <c r="E78" s="64">
        <v>0.64</v>
      </c>
      <c r="F78" s="64">
        <v>5.01</v>
      </c>
      <c r="G78" s="64">
        <v>48.34</v>
      </c>
      <c r="H78" s="64">
        <v>20.56</v>
      </c>
      <c r="I78" s="64">
        <v>5.07</v>
      </c>
      <c r="J78" s="64">
        <v>0.7</v>
      </c>
      <c r="K78" s="64">
        <v>325.63</v>
      </c>
      <c r="L78" s="64">
        <v>39.31</v>
      </c>
      <c r="M78" s="64">
        <v>16.18</v>
      </c>
      <c r="N78" s="64">
        <v>65.7</v>
      </c>
      <c r="O78" s="64">
        <v>0</v>
      </c>
      <c r="P78" s="64">
        <v>0.34</v>
      </c>
      <c r="Q78" s="64">
        <v>9.73</v>
      </c>
      <c r="R78" s="198"/>
      <c r="S78" s="198"/>
      <c r="T78" s="198"/>
      <c r="U78" s="198"/>
    </row>
    <row r="79" spans="1:21" s="12" customFormat="1" x14ac:dyDescent="0.25">
      <c r="A79" s="214" t="s">
        <v>318</v>
      </c>
      <c r="B79" s="64">
        <v>2.4500000000000002</v>
      </c>
      <c r="C79" s="64">
        <v>1.42</v>
      </c>
      <c r="D79" s="64">
        <v>3.85</v>
      </c>
      <c r="E79" s="64">
        <v>0.79</v>
      </c>
      <c r="F79" s="64">
        <v>5.14</v>
      </c>
      <c r="G79" s="64">
        <v>44.24</v>
      </c>
      <c r="H79" s="64">
        <v>19.61</v>
      </c>
      <c r="I79" s="64">
        <v>4.9400000000000004</v>
      </c>
      <c r="J79" s="64">
        <v>0.92</v>
      </c>
      <c r="K79" s="64">
        <v>307.67</v>
      </c>
      <c r="L79" s="64">
        <v>38.96</v>
      </c>
      <c r="M79" s="64">
        <v>16.25</v>
      </c>
      <c r="N79" s="64">
        <v>58.3</v>
      </c>
      <c r="O79" s="64">
        <v>0</v>
      </c>
      <c r="P79" s="64">
        <v>0.34</v>
      </c>
      <c r="Q79" s="64">
        <v>9.73</v>
      </c>
      <c r="R79" s="198"/>
      <c r="S79" s="198"/>
      <c r="T79" s="198"/>
      <c r="U79" s="198"/>
    </row>
    <row r="80" spans="1:21" s="12" customFormat="1" x14ac:dyDescent="0.25">
      <c r="A80" s="214" t="s">
        <v>319</v>
      </c>
      <c r="B80" s="64">
        <v>2.3199999999999998</v>
      </c>
      <c r="C80" s="64">
        <v>0.63</v>
      </c>
      <c r="D80" s="64">
        <v>3.34</v>
      </c>
      <c r="E80" s="64">
        <v>0.37</v>
      </c>
      <c r="F80" s="64">
        <v>4.88</v>
      </c>
      <c r="G80" s="64">
        <v>44.24</v>
      </c>
      <c r="H80" s="64">
        <v>19.61</v>
      </c>
      <c r="I80" s="64">
        <v>4.78</v>
      </c>
      <c r="J80" s="64">
        <v>0.63</v>
      </c>
      <c r="K80" s="64">
        <v>325.45</v>
      </c>
      <c r="L80" s="64">
        <v>38.57</v>
      </c>
      <c r="M80" s="64">
        <v>17.09</v>
      </c>
      <c r="N80" s="64">
        <v>52.8</v>
      </c>
      <c r="O80" s="64">
        <v>0</v>
      </c>
      <c r="P80" s="64">
        <v>0.35</v>
      </c>
      <c r="Q80" s="64">
        <v>9.7200000000000006</v>
      </c>
      <c r="R80" s="198"/>
      <c r="S80" s="198"/>
      <c r="T80" s="198"/>
      <c r="U80" s="198"/>
    </row>
    <row r="81" spans="1:26" s="12" customFormat="1" x14ac:dyDescent="0.25">
      <c r="A81" s="214" t="s">
        <v>320</v>
      </c>
      <c r="B81" s="64">
        <v>2.66</v>
      </c>
      <c r="C81" s="64">
        <v>2.78</v>
      </c>
      <c r="D81" s="64">
        <v>4.7300000000000004</v>
      </c>
      <c r="E81" s="64">
        <v>0.6</v>
      </c>
      <c r="F81" s="64">
        <v>4.6100000000000003</v>
      </c>
      <c r="G81" s="64">
        <v>44.24</v>
      </c>
      <c r="H81" s="64">
        <v>19.61</v>
      </c>
      <c r="I81" s="64">
        <v>4.62</v>
      </c>
      <c r="J81" s="64">
        <v>0.73</v>
      </c>
      <c r="K81" s="64">
        <v>317.70999999999998</v>
      </c>
      <c r="L81" s="64">
        <v>38.15</v>
      </c>
      <c r="M81" s="64">
        <v>17.760000000000002</v>
      </c>
      <c r="N81" s="64">
        <v>41.5</v>
      </c>
      <c r="O81" s="64">
        <v>0</v>
      </c>
      <c r="P81" s="64">
        <v>0.37</v>
      </c>
      <c r="Q81" s="64">
        <v>9.75</v>
      </c>
      <c r="R81" s="198"/>
      <c r="S81" s="198"/>
      <c r="T81" s="198"/>
      <c r="U81" s="198"/>
    </row>
    <row r="82" spans="1:26" s="12" customFormat="1" x14ac:dyDescent="0.25">
      <c r="A82" s="214" t="s">
        <v>321</v>
      </c>
      <c r="B82" s="64">
        <v>2.5499999999999998</v>
      </c>
      <c r="C82" s="64">
        <v>2.19</v>
      </c>
      <c r="D82" s="64">
        <v>4.33</v>
      </c>
      <c r="E82" s="64">
        <v>0.69</v>
      </c>
      <c r="F82" s="64">
        <v>4.4400000000000004</v>
      </c>
      <c r="G82" s="64">
        <v>44.43</v>
      </c>
      <c r="H82" s="64">
        <v>19.52</v>
      </c>
      <c r="I82" s="64">
        <v>4.47</v>
      </c>
      <c r="J82" s="64">
        <v>0.63</v>
      </c>
      <c r="K82" s="64">
        <v>320.68</v>
      </c>
      <c r="L82" s="64">
        <v>37.479999999999997</v>
      </c>
      <c r="M82" s="64">
        <v>18.41</v>
      </c>
      <c r="N82" s="64">
        <v>23.7</v>
      </c>
      <c r="O82" s="64">
        <v>0</v>
      </c>
      <c r="P82" s="64">
        <v>0.39</v>
      </c>
      <c r="Q82" s="64">
        <v>9.77</v>
      </c>
      <c r="R82" s="198"/>
      <c r="S82" s="198"/>
      <c r="T82" s="198"/>
      <c r="U82" s="198"/>
    </row>
    <row r="83" spans="1:26" s="12" customFormat="1" x14ac:dyDescent="0.25">
      <c r="A83" s="214" t="s">
        <v>322</v>
      </c>
      <c r="B83" s="64">
        <v>2.65</v>
      </c>
      <c r="C83" s="64">
        <v>3.08</v>
      </c>
      <c r="D83" s="64">
        <v>4.88</v>
      </c>
      <c r="E83" s="64">
        <v>0.6</v>
      </c>
      <c r="F83" s="64">
        <v>4.41</v>
      </c>
      <c r="G83" s="64">
        <v>46.71</v>
      </c>
      <c r="H83" s="64">
        <v>18.52</v>
      </c>
      <c r="I83" s="64">
        <v>4.46</v>
      </c>
      <c r="J83" s="64">
        <v>0.57999999999999996</v>
      </c>
      <c r="K83" s="64">
        <v>318.57</v>
      </c>
      <c r="L83" s="64">
        <v>36.93</v>
      </c>
      <c r="M83" s="64">
        <v>19.489999999999998</v>
      </c>
      <c r="N83" s="64">
        <v>15.5</v>
      </c>
      <c r="O83" s="64">
        <v>0</v>
      </c>
      <c r="P83" s="64">
        <v>0.42</v>
      </c>
      <c r="Q83" s="64">
        <v>9.7899999999999991</v>
      </c>
      <c r="R83" s="198"/>
      <c r="S83" s="198"/>
      <c r="T83" s="198"/>
      <c r="U83" s="198"/>
    </row>
    <row r="84" spans="1:26" s="12" customFormat="1" x14ac:dyDescent="0.25">
      <c r="A84" s="214" t="s">
        <v>323</v>
      </c>
      <c r="B84" s="64">
        <v>2.62</v>
      </c>
      <c r="C84" s="64">
        <v>2.77</v>
      </c>
      <c r="D84" s="64">
        <v>4.7</v>
      </c>
      <c r="E84" s="64">
        <v>0.76</v>
      </c>
      <c r="F84" s="64">
        <v>3.97</v>
      </c>
      <c r="G84" s="64">
        <v>46.71</v>
      </c>
      <c r="H84" s="64">
        <v>18.52</v>
      </c>
      <c r="I84" s="64">
        <v>4.45</v>
      </c>
      <c r="J84" s="64">
        <v>0.42</v>
      </c>
      <c r="K84" s="64">
        <v>7.12</v>
      </c>
      <c r="L84" s="64">
        <v>36.61</v>
      </c>
      <c r="M84" s="64">
        <v>19.93</v>
      </c>
      <c r="N84" s="64">
        <v>12</v>
      </c>
      <c r="O84" s="64">
        <v>0</v>
      </c>
      <c r="P84" s="64">
        <v>0.49</v>
      </c>
      <c r="Q84" s="64">
        <v>9.81</v>
      </c>
      <c r="R84" s="198"/>
      <c r="S84" s="198"/>
      <c r="T84" s="198"/>
      <c r="U84" s="198"/>
    </row>
    <row r="85" spans="1:26" s="12" customFormat="1" x14ac:dyDescent="0.25">
      <c r="A85" s="214" t="s">
        <v>324</v>
      </c>
      <c r="B85" s="64">
        <v>2.52</v>
      </c>
      <c r="C85" s="64">
        <v>2.19</v>
      </c>
      <c r="D85" s="64">
        <v>4.3099999999999996</v>
      </c>
      <c r="E85" s="64">
        <v>0.51</v>
      </c>
      <c r="F85" s="64">
        <v>3.46</v>
      </c>
      <c r="G85" s="64">
        <v>46.71</v>
      </c>
      <c r="H85" s="64">
        <v>18.52</v>
      </c>
      <c r="I85" s="64">
        <v>4.5199999999999996</v>
      </c>
      <c r="J85" s="64">
        <v>0.23</v>
      </c>
      <c r="K85" s="64">
        <v>301.10000000000002</v>
      </c>
      <c r="L85" s="64">
        <v>36.67</v>
      </c>
      <c r="M85" s="64">
        <v>19.98</v>
      </c>
      <c r="N85" s="64">
        <v>11.5</v>
      </c>
      <c r="O85" s="64">
        <v>0</v>
      </c>
      <c r="P85" s="64">
        <v>0.56000000000000005</v>
      </c>
      <c r="Q85" s="64">
        <v>9.85</v>
      </c>
      <c r="R85" s="198"/>
      <c r="S85" s="198"/>
      <c r="T85" s="198"/>
      <c r="U85" s="198"/>
    </row>
    <row r="86" spans="1:26" s="12" customFormat="1" x14ac:dyDescent="0.25">
      <c r="A86" s="214" t="s">
        <v>325</v>
      </c>
      <c r="B86" s="64">
        <v>2.48</v>
      </c>
      <c r="C86" s="64">
        <v>1.61</v>
      </c>
      <c r="D86" s="64">
        <v>3.98</v>
      </c>
      <c r="E86" s="64">
        <v>0.84</v>
      </c>
      <c r="F86" s="64">
        <v>3.3</v>
      </c>
      <c r="G86" s="64">
        <v>47.45</v>
      </c>
      <c r="H86" s="64">
        <v>18.75</v>
      </c>
      <c r="I86" s="64">
        <v>4.71</v>
      </c>
      <c r="J86" s="64">
        <v>0.09</v>
      </c>
      <c r="K86" s="64">
        <v>59.68</v>
      </c>
      <c r="L86" s="64">
        <v>36.11</v>
      </c>
      <c r="M86" s="64">
        <v>21</v>
      </c>
      <c r="N86" s="64">
        <v>11.6</v>
      </c>
      <c r="O86" s="64">
        <v>0</v>
      </c>
      <c r="P86" s="64">
        <v>0.67</v>
      </c>
      <c r="Q86" s="64">
        <v>9.81</v>
      </c>
      <c r="R86" s="198"/>
      <c r="S86" s="198"/>
      <c r="T86" s="198"/>
      <c r="U86" s="198"/>
    </row>
    <row r="87" spans="1:26" s="12" customFormat="1" x14ac:dyDescent="0.25">
      <c r="A87" s="214" t="s">
        <v>326</v>
      </c>
      <c r="B87" s="64">
        <v>2.56</v>
      </c>
      <c r="C87" s="64">
        <v>1.93</v>
      </c>
      <c r="D87" s="64">
        <v>4.2</v>
      </c>
      <c r="E87" s="64">
        <v>0.56999999999999995</v>
      </c>
      <c r="F87" s="64">
        <v>3.63</v>
      </c>
      <c r="G87" s="64">
        <v>56.11</v>
      </c>
      <c r="H87" s="64">
        <v>21.41</v>
      </c>
      <c r="I87" s="64">
        <v>5.28</v>
      </c>
      <c r="J87" s="64">
        <v>0.3</v>
      </c>
      <c r="K87" s="64">
        <v>322.83</v>
      </c>
      <c r="L87" s="64">
        <v>35.97</v>
      </c>
      <c r="M87" s="64">
        <v>21.26</v>
      </c>
      <c r="N87" s="64">
        <v>11.5</v>
      </c>
      <c r="O87" s="64">
        <v>0</v>
      </c>
      <c r="P87" s="64">
        <v>0.76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4" t="s">
        <v>327</v>
      </c>
      <c r="B88" s="64">
        <v>2.71</v>
      </c>
      <c r="C88" s="64">
        <v>2.16</v>
      </c>
      <c r="D88" s="64">
        <v>4.45</v>
      </c>
      <c r="E88" s="64">
        <v>0.76</v>
      </c>
      <c r="F88" s="64">
        <v>3.53</v>
      </c>
      <c r="G88" s="64">
        <v>56.11</v>
      </c>
      <c r="H88" s="64">
        <v>21.41</v>
      </c>
      <c r="I88" s="64">
        <v>5.96</v>
      </c>
      <c r="J88" s="64">
        <v>0.55000000000000004</v>
      </c>
      <c r="K88" s="64">
        <v>341.59</v>
      </c>
      <c r="L88" s="64">
        <v>35.79</v>
      </c>
      <c r="M88" s="64">
        <v>22.57</v>
      </c>
      <c r="N88" s="64">
        <v>11.7</v>
      </c>
      <c r="O88" s="64">
        <v>0</v>
      </c>
      <c r="P88" s="64">
        <v>0.8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4" t="s">
        <v>328</v>
      </c>
      <c r="B89" s="64">
        <v>2.79</v>
      </c>
      <c r="C89" s="64">
        <v>2.54</v>
      </c>
      <c r="D89" s="64">
        <v>4.71</v>
      </c>
      <c r="E89" s="64">
        <v>1.49</v>
      </c>
      <c r="F89" s="64">
        <v>3.56</v>
      </c>
      <c r="G89" s="64">
        <v>56.11</v>
      </c>
      <c r="H89" s="64">
        <v>21.41</v>
      </c>
      <c r="I89" s="64">
        <v>6.49</v>
      </c>
      <c r="J89" s="64">
        <v>0.61</v>
      </c>
      <c r="K89" s="64">
        <v>286.47000000000003</v>
      </c>
      <c r="L89" s="64">
        <v>34.950000000000003</v>
      </c>
      <c r="M89" s="64">
        <v>23.88</v>
      </c>
      <c r="N89" s="64">
        <v>11.9</v>
      </c>
      <c r="O89" s="64">
        <v>0</v>
      </c>
      <c r="P89" s="64">
        <v>0.88</v>
      </c>
      <c r="Q89" s="64">
        <v>9.67</v>
      </c>
      <c r="R89" s="198"/>
      <c r="S89" s="198"/>
      <c r="T89" s="198"/>
      <c r="U89" s="198"/>
    </row>
    <row r="90" spans="1:26" s="12" customFormat="1" x14ac:dyDescent="0.25">
      <c r="A90" s="214" t="s">
        <v>329</v>
      </c>
      <c r="B90" s="64">
        <v>3.08</v>
      </c>
      <c r="C90" s="64">
        <v>3.09</v>
      </c>
      <c r="D90" s="64">
        <v>5.23</v>
      </c>
      <c r="E90" s="64">
        <v>1.5</v>
      </c>
      <c r="F90" s="64">
        <v>3.44</v>
      </c>
      <c r="G90" s="64">
        <v>57.43</v>
      </c>
      <c r="H90" s="64">
        <v>21.68</v>
      </c>
      <c r="I90" s="64">
        <v>6.98</v>
      </c>
      <c r="J90" s="64">
        <v>0.5</v>
      </c>
      <c r="K90" s="64">
        <v>237.03</v>
      </c>
      <c r="L90" s="64">
        <v>35.020000000000003</v>
      </c>
      <c r="M90" s="64">
        <v>23.64</v>
      </c>
      <c r="N90" s="64">
        <v>11.4</v>
      </c>
      <c r="O90" s="64">
        <v>0</v>
      </c>
      <c r="P90" s="64">
        <v>0.97</v>
      </c>
      <c r="Q90" s="64">
        <v>9.73</v>
      </c>
      <c r="R90" s="198"/>
      <c r="S90" s="198"/>
      <c r="T90" s="198"/>
      <c r="U90" s="198"/>
    </row>
    <row r="91" spans="1:26" s="12" customFormat="1" x14ac:dyDescent="0.25">
      <c r="A91" s="214" t="s">
        <v>330</v>
      </c>
      <c r="B91" s="64">
        <v>3.18</v>
      </c>
      <c r="C91" s="64">
        <v>3.02</v>
      </c>
      <c r="D91" s="64">
        <v>5.27</v>
      </c>
      <c r="E91" s="64">
        <v>1.81</v>
      </c>
      <c r="F91" s="64">
        <v>3.42</v>
      </c>
      <c r="G91" s="64">
        <v>73.19</v>
      </c>
      <c r="H91" s="64">
        <v>24.96</v>
      </c>
      <c r="I91" s="64">
        <v>8.9</v>
      </c>
      <c r="J91" s="64">
        <v>0.45</v>
      </c>
      <c r="K91" s="64">
        <v>287.66000000000003</v>
      </c>
      <c r="L91" s="64">
        <v>34.54</v>
      </c>
      <c r="M91" s="64">
        <v>25.57</v>
      </c>
      <c r="N91" s="64">
        <v>11.8</v>
      </c>
      <c r="O91" s="64">
        <v>0</v>
      </c>
      <c r="P91" s="64">
        <v>1.08</v>
      </c>
      <c r="Q91" s="64">
        <v>9.8000000000000007</v>
      </c>
      <c r="R91" s="198"/>
      <c r="S91" s="198"/>
      <c r="T91" s="198"/>
      <c r="U91" s="198"/>
    </row>
    <row r="92" spans="1:26" s="12" customFormat="1" x14ac:dyDescent="0.25">
      <c r="A92" s="214" t="s">
        <v>331</v>
      </c>
      <c r="B92" s="64">
        <v>4.21</v>
      </c>
      <c r="C92" s="64">
        <v>5.95</v>
      </c>
      <c r="D92" s="64">
        <v>7.64</v>
      </c>
      <c r="E92" s="64">
        <v>1.95</v>
      </c>
      <c r="F92" s="64">
        <v>3.59</v>
      </c>
      <c r="G92" s="64">
        <v>73.19</v>
      </c>
      <c r="H92" s="64">
        <v>24.96</v>
      </c>
      <c r="I92" s="64">
        <v>10.38</v>
      </c>
      <c r="J92" s="64">
        <v>0.13</v>
      </c>
      <c r="K92" s="64">
        <v>223.23</v>
      </c>
      <c r="L92" s="64">
        <v>33.92</v>
      </c>
      <c r="M92" s="64">
        <v>26.25</v>
      </c>
      <c r="N92" s="64">
        <v>11.9</v>
      </c>
      <c r="O92" s="64">
        <v>0</v>
      </c>
      <c r="P92" s="64">
        <v>1.17</v>
      </c>
      <c r="Q92" s="64">
        <v>9.89</v>
      </c>
      <c r="R92" s="198"/>
      <c r="S92" s="198"/>
      <c r="T92" s="198"/>
      <c r="U92" s="198"/>
    </row>
    <row r="93" spans="1:26" s="12" customFormat="1" x14ac:dyDescent="0.25">
      <c r="A93" s="214" t="s">
        <v>332</v>
      </c>
      <c r="B93" s="64">
        <v>4.41</v>
      </c>
      <c r="C93" s="64">
        <v>6.02</v>
      </c>
      <c r="D93" s="64">
        <v>7.83</v>
      </c>
      <c r="E93" s="64">
        <v>1.82</v>
      </c>
      <c r="F93" s="64">
        <v>3.6</v>
      </c>
      <c r="G93" s="64">
        <v>73.19</v>
      </c>
      <c r="H93" s="64">
        <v>24.96</v>
      </c>
      <c r="I93" s="64">
        <v>11.42</v>
      </c>
      <c r="J93" s="64">
        <v>0.45</v>
      </c>
      <c r="K93" s="64">
        <v>286.55</v>
      </c>
      <c r="L93" s="64">
        <v>33.57</v>
      </c>
      <c r="M93" s="64">
        <v>27.4</v>
      </c>
      <c r="N93" s="64">
        <v>11.8</v>
      </c>
      <c r="O93" s="64">
        <v>0</v>
      </c>
      <c r="P93" s="64">
        <v>1.21</v>
      </c>
      <c r="Q93" s="64">
        <v>9.99</v>
      </c>
      <c r="R93" s="198"/>
      <c r="S93" s="198"/>
      <c r="T93" s="198"/>
      <c r="U93" s="198"/>
    </row>
    <row r="94" spans="1:26" s="12" customFormat="1" x14ac:dyDescent="0.25">
      <c r="A94" s="214" t="s">
        <v>333</v>
      </c>
      <c r="B94" s="64">
        <v>5.38</v>
      </c>
      <c r="C94" s="64">
        <v>8.15</v>
      </c>
      <c r="D94" s="64">
        <v>9.7200000000000006</v>
      </c>
      <c r="E94" s="64">
        <v>2.04</v>
      </c>
      <c r="F94" s="64">
        <v>3.59</v>
      </c>
      <c r="G94" s="64">
        <v>75.63</v>
      </c>
      <c r="H94" s="64">
        <v>25.56</v>
      </c>
      <c r="I94" s="64">
        <v>12.13</v>
      </c>
      <c r="J94" s="64">
        <v>1.0900000000000001</v>
      </c>
      <c r="K94" s="64">
        <v>150.19</v>
      </c>
      <c r="L94" s="64">
        <v>34.090000000000003</v>
      </c>
      <c r="M94" s="64">
        <v>26.62</v>
      </c>
      <c r="N94" s="64">
        <v>10.199999999999999</v>
      </c>
      <c r="O94" s="64">
        <v>0</v>
      </c>
      <c r="P94" s="64">
        <v>1.1499999999999999</v>
      </c>
      <c r="Q94" s="64">
        <v>10.31</v>
      </c>
      <c r="R94" s="198"/>
      <c r="S94" s="198"/>
      <c r="T94" s="198"/>
      <c r="U94" s="198"/>
    </row>
    <row r="95" spans="1:26" s="12" customFormat="1" x14ac:dyDescent="0.25">
      <c r="A95" s="214" t="s">
        <v>334</v>
      </c>
      <c r="B95" s="64">
        <v>5.77</v>
      </c>
      <c r="C95" s="64">
        <v>9.42</v>
      </c>
      <c r="D95" s="64">
        <v>10.69</v>
      </c>
      <c r="E95" s="64">
        <v>2</v>
      </c>
      <c r="F95" s="64">
        <v>3.98</v>
      </c>
      <c r="G95" s="64">
        <v>104.53</v>
      </c>
      <c r="H95" s="64">
        <v>32.68</v>
      </c>
      <c r="I95" s="64">
        <v>11.94</v>
      </c>
      <c r="J95" s="64">
        <v>1.49</v>
      </c>
      <c r="K95" s="64">
        <v>101.14</v>
      </c>
      <c r="L95" s="64">
        <v>34.450000000000003</v>
      </c>
      <c r="M95" s="64">
        <v>27.51</v>
      </c>
      <c r="N95" s="64">
        <v>10.7</v>
      </c>
      <c r="O95" s="64">
        <v>0</v>
      </c>
      <c r="P95" s="64">
        <v>1.1100000000000001</v>
      </c>
      <c r="Q95" s="64">
        <v>10.51</v>
      </c>
      <c r="R95" s="198"/>
      <c r="S95" s="198"/>
      <c r="T95" s="198"/>
      <c r="U95" s="198"/>
    </row>
    <row r="96" spans="1:26" s="12" customFormat="1" x14ac:dyDescent="0.25">
      <c r="A96" s="214" t="s">
        <v>335</v>
      </c>
      <c r="B96" s="64">
        <v>5.53</v>
      </c>
      <c r="C96" s="64">
        <v>9.69</v>
      </c>
      <c r="D96" s="64">
        <v>10.64</v>
      </c>
      <c r="E96" s="64">
        <v>1.99</v>
      </c>
      <c r="F96" s="64">
        <v>3.95</v>
      </c>
      <c r="G96" s="64">
        <v>104.53</v>
      </c>
      <c r="H96" s="64">
        <v>32.68</v>
      </c>
      <c r="I96" s="64">
        <v>12.96</v>
      </c>
      <c r="J96" s="64">
        <v>0.9</v>
      </c>
      <c r="K96" s="64">
        <v>116.02</v>
      </c>
      <c r="L96" s="64">
        <v>33.53</v>
      </c>
      <c r="M96" s="64">
        <v>31.18</v>
      </c>
      <c r="N96" s="64">
        <v>12.5</v>
      </c>
      <c r="O96" s="64">
        <v>0</v>
      </c>
      <c r="P96" s="64">
        <v>1.06</v>
      </c>
      <c r="Q96" s="64">
        <v>10.52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336</v>
      </c>
      <c r="B97" s="64">
        <v>5.1100000000000003</v>
      </c>
      <c r="C97" s="64">
        <v>9.48</v>
      </c>
      <c r="D97" s="64">
        <v>10.199999999999999</v>
      </c>
      <c r="E97" s="64">
        <v>2.06</v>
      </c>
      <c r="F97" s="64">
        <v>3.97</v>
      </c>
      <c r="G97" s="64">
        <v>104.53</v>
      </c>
      <c r="H97" s="64">
        <v>32.68</v>
      </c>
      <c r="I97" s="64">
        <v>14.1</v>
      </c>
      <c r="J97" s="64">
        <v>0.6</v>
      </c>
      <c r="K97" s="64">
        <v>153.93</v>
      </c>
      <c r="L97" s="64">
        <v>32.729999999999997</v>
      </c>
      <c r="M97" s="64">
        <v>32.96</v>
      </c>
      <c r="N97" s="64">
        <v>12</v>
      </c>
      <c r="O97" s="64">
        <v>0</v>
      </c>
      <c r="P97" s="64">
        <v>1.01</v>
      </c>
      <c r="Q97" s="64">
        <v>10.46</v>
      </c>
      <c r="R97" s="198"/>
      <c r="S97" s="198"/>
      <c r="T97" s="198"/>
      <c r="U97" s="198"/>
    </row>
    <row r="98" spans="1:33" s="12" customFormat="1" x14ac:dyDescent="0.25">
      <c r="A98" s="214" t="s">
        <v>337</v>
      </c>
      <c r="B98" s="64">
        <v>4.78</v>
      </c>
      <c r="C98" s="64">
        <v>9.25</v>
      </c>
      <c r="D98" s="64">
        <v>9.81</v>
      </c>
      <c r="E98" s="64">
        <v>1.46</v>
      </c>
      <c r="F98" s="64">
        <v>4.09</v>
      </c>
      <c r="G98" s="64">
        <v>102.8</v>
      </c>
      <c r="H98" s="64">
        <v>32.479999999999997</v>
      </c>
      <c r="I98" s="64">
        <v>14.4</v>
      </c>
      <c r="J98" s="64">
        <v>0.62</v>
      </c>
      <c r="K98" s="64">
        <v>139.18</v>
      </c>
      <c r="L98" s="64">
        <v>32.630000000000003</v>
      </c>
      <c r="M98" s="64">
        <v>33.51</v>
      </c>
      <c r="N98" s="64">
        <v>11.6</v>
      </c>
      <c r="O98" s="64">
        <v>0</v>
      </c>
      <c r="P98" s="64">
        <v>0.96</v>
      </c>
      <c r="Q98" s="64">
        <v>10.43</v>
      </c>
      <c r="R98" s="198"/>
      <c r="S98" s="198"/>
      <c r="T98" s="198"/>
      <c r="U98" s="198"/>
    </row>
    <row r="99" spans="1:33" s="12" customFormat="1" x14ac:dyDescent="0.25">
      <c r="A99" s="214" t="s">
        <v>338</v>
      </c>
      <c r="B99" s="64">
        <v>4.46</v>
      </c>
      <c r="C99" s="64">
        <v>8.89</v>
      </c>
      <c r="D99" s="64">
        <v>9.3699999999999992</v>
      </c>
      <c r="E99" s="64">
        <v>1.86</v>
      </c>
      <c r="F99" s="64">
        <v>4.09</v>
      </c>
      <c r="G99" s="64">
        <v>82.3</v>
      </c>
      <c r="H99" s="64">
        <v>30.13</v>
      </c>
      <c r="I99" s="64">
        <v>14.2</v>
      </c>
      <c r="J99" s="64">
        <v>1.29</v>
      </c>
      <c r="K99" s="64">
        <v>158.07</v>
      </c>
      <c r="L99" s="64">
        <v>32.479999999999997</v>
      </c>
      <c r="M99" s="64">
        <v>34.04</v>
      </c>
      <c r="N99" s="64">
        <v>11.4</v>
      </c>
      <c r="O99" s="64">
        <v>0</v>
      </c>
      <c r="P99" s="64">
        <v>0.91</v>
      </c>
      <c r="Q99" s="64">
        <v>10.39</v>
      </c>
      <c r="R99" s="198"/>
      <c r="S99" s="198"/>
      <c r="T99" s="198"/>
      <c r="U99" s="198"/>
    </row>
    <row r="100" spans="1:33" s="12" customFormat="1" x14ac:dyDescent="0.25">
      <c r="A100" s="214" t="s">
        <v>339</v>
      </c>
      <c r="B100" s="64">
        <v>4.1900000000000004</v>
      </c>
      <c r="C100" s="64">
        <v>8.5299999999999994</v>
      </c>
      <c r="D100" s="64">
        <v>8.9600000000000009</v>
      </c>
      <c r="E100" s="64">
        <v>1.92</v>
      </c>
      <c r="F100" s="64">
        <v>4.1100000000000003</v>
      </c>
      <c r="G100" s="64">
        <v>82.3</v>
      </c>
      <c r="H100" s="64">
        <v>30.13</v>
      </c>
      <c r="I100" s="64">
        <v>13.74</v>
      </c>
      <c r="J100" s="64">
        <v>1.65</v>
      </c>
      <c r="K100" s="64">
        <v>159.18</v>
      </c>
      <c r="L100" s="64">
        <v>32.479999999999997</v>
      </c>
      <c r="M100" s="64">
        <v>34.15</v>
      </c>
      <c r="N100" s="64">
        <v>11.2</v>
      </c>
      <c r="O100" s="64">
        <v>0</v>
      </c>
      <c r="P100" s="64">
        <v>0.87</v>
      </c>
      <c r="Q100" s="64">
        <v>10.28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340</v>
      </c>
      <c r="B101" s="64">
        <v>3.94</v>
      </c>
      <c r="C101" s="64">
        <v>8.2100000000000009</v>
      </c>
      <c r="D101" s="64">
        <v>8.59</v>
      </c>
      <c r="E101" s="64">
        <v>1.65</v>
      </c>
      <c r="F101" s="64">
        <v>3.74</v>
      </c>
      <c r="G101" s="64">
        <v>82.3</v>
      </c>
      <c r="H101" s="64">
        <v>30.13</v>
      </c>
      <c r="I101" s="64">
        <v>13.62</v>
      </c>
      <c r="J101" s="64">
        <v>1.86</v>
      </c>
      <c r="K101" s="64">
        <v>151.19</v>
      </c>
      <c r="L101" s="64">
        <v>32.380000000000003</v>
      </c>
      <c r="M101" s="64">
        <v>35.08</v>
      </c>
      <c r="N101" s="64">
        <v>11.4</v>
      </c>
      <c r="O101" s="64">
        <v>0</v>
      </c>
      <c r="P101" s="64">
        <v>0.83</v>
      </c>
      <c r="Q101" s="64">
        <v>10.210000000000001</v>
      </c>
      <c r="R101" s="198"/>
      <c r="S101" s="198"/>
      <c r="T101" s="198"/>
      <c r="U101" s="198"/>
    </row>
    <row r="102" spans="1:33" s="12" customFormat="1" x14ac:dyDescent="0.25">
      <c r="A102" s="214" t="s">
        <v>341</v>
      </c>
      <c r="B102" s="64">
        <v>3.71</v>
      </c>
      <c r="C102" s="64">
        <v>7.92</v>
      </c>
      <c r="D102" s="64">
        <v>8.26</v>
      </c>
      <c r="E102" s="64">
        <v>1.77</v>
      </c>
      <c r="F102" s="64">
        <v>3.63</v>
      </c>
      <c r="G102" s="64">
        <v>80.19</v>
      </c>
      <c r="H102" s="64">
        <v>29.72</v>
      </c>
      <c r="I102" s="64">
        <v>13.56</v>
      </c>
      <c r="J102" s="64">
        <v>1.69</v>
      </c>
      <c r="K102" s="64">
        <v>159.63</v>
      </c>
      <c r="L102" s="64">
        <v>32.03</v>
      </c>
      <c r="M102" s="64">
        <v>36.270000000000003</v>
      </c>
      <c r="N102" s="64">
        <v>11.6</v>
      </c>
      <c r="O102" s="64">
        <v>0</v>
      </c>
      <c r="P102" s="64">
        <v>0.78</v>
      </c>
      <c r="Q102" s="64">
        <v>10.18</v>
      </c>
      <c r="R102" s="198"/>
      <c r="S102" s="198"/>
      <c r="T102" s="198"/>
      <c r="U102" s="198"/>
    </row>
    <row r="103" spans="1:33" s="12" customFormat="1" x14ac:dyDescent="0.25">
      <c r="A103" s="214" t="s">
        <v>342</v>
      </c>
      <c r="B103" s="64">
        <v>3.51</v>
      </c>
      <c r="C103" s="64">
        <v>7.52</v>
      </c>
      <c r="D103" s="64">
        <v>7.89</v>
      </c>
      <c r="E103" s="64">
        <v>1.94</v>
      </c>
      <c r="F103" s="64">
        <v>3.95</v>
      </c>
      <c r="G103" s="64">
        <v>55.15</v>
      </c>
      <c r="H103" s="64">
        <v>24.84</v>
      </c>
      <c r="I103" s="64">
        <v>13.37</v>
      </c>
      <c r="J103" s="64">
        <v>1.36</v>
      </c>
      <c r="K103" s="64">
        <v>168.68</v>
      </c>
      <c r="L103" s="64">
        <v>32.049999999999997</v>
      </c>
      <c r="M103" s="64">
        <v>37.51</v>
      </c>
      <c r="N103" s="64">
        <v>11.7</v>
      </c>
      <c r="O103" s="64">
        <v>0</v>
      </c>
      <c r="P103" s="64">
        <v>0.75</v>
      </c>
      <c r="Q103" s="64">
        <v>10.130000000000001</v>
      </c>
      <c r="R103" s="198"/>
      <c r="S103" s="198"/>
      <c r="T103" s="198"/>
      <c r="U103" s="198"/>
    </row>
    <row r="104" spans="1:33" s="12" customFormat="1" x14ac:dyDescent="0.25">
      <c r="A104" s="214" t="s">
        <v>343</v>
      </c>
      <c r="B104" s="64">
        <v>3.29</v>
      </c>
      <c r="C104" s="64">
        <v>6.92</v>
      </c>
      <c r="D104" s="64">
        <v>7.4</v>
      </c>
      <c r="E104" s="64">
        <v>1.02</v>
      </c>
      <c r="F104" s="64">
        <v>4.17</v>
      </c>
      <c r="G104" s="64">
        <v>55.15</v>
      </c>
      <c r="H104" s="64">
        <v>24.84</v>
      </c>
      <c r="I104" s="64">
        <v>13.09</v>
      </c>
      <c r="J104" s="64">
        <v>1.45</v>
      </c>
      <c r="K104" s="64">
        <v>149.01</v>
      </c>
      <c r="L104" s="64">
        <v>31.73</v>
      </c>
      <c r="M104" s="64">
        <v>38.51</v>
      </c>
      <c r="N104" s="64">
        <v>11.7</v>
      </c>
      <c r="O104" s="64">
        <v>0</v>
      </c>
      <c r="P104" s="64">
        <v>0.7</v>
      </c>
      <c r="Q104" s="64">
        <v>10.09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2.31</v>
      </c>
      <c r="C106" s="67">
        <f>MIN(C9:C104)</f>
        <v>0.4</v>
      </c>
      <c r="D106" s="67">
        <f t="shared" ref="D106:Q106" si="0">MIN(D9:D104)</f>
        <v>3.2</v>
      </c>
      <c r="E106" s="67">
        <f t="shared" si="0"/>
        <v>0.37</v>
      </c>
      <c r="F106" s="67">
        <f t="shared" si="0"/>
        <v>3.27</v>
      </c>
      <c r="G106" s="67">
        <f t="shared" si="0"/>
        <v>44.24</v>
      </c>
      <c r="H106" s="67">
        <f t="shared" si="0"/>
        <v>18.52</v>
      </c>
      <c r="I106" s="67">
        <f t="shared" si="0"/>
        <v>4.45</v>
      </c>
      <c r="J106" s="67">
        <f t="shared" si="0"/>
        <v>0.09</v>
      </c>
      <c r="K106" s="67">
        <f t="shared" si="0"/>
        <v>7.12</v>
      </c>
      <c r="L106" s="67">
        <f t="shared" si="0"/>
        <v>28.21</v>
      </c>
      <c r="M106" s="67">
        <f t="shared" si="0"/>
        <v>15.64</v>
      </c>
      <c r="N106" s="67">
        <f t="shared" si="0"/>
        <v>9</v>
      </c>
      <c r="O106" s="67">
        <f t="shared" si="0"/>
        <v>0</v>
      </c>
      <c r="P106" s="67">
        <f t="shared" si="0"/>
        <v>0.33</v>
      </c>
      <c r="Q106" s="67">
        <f t="shared" si="0"/>
        <v>9.52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6.45</v>
      </c>
      <c r="C107" s="66">
        <f t="shared" ref="C107:Q107" si="1">MAX(C9:C104)</f>
        <v>9.69</v>
      </c>
      <c r="D107" s="66">
        <f t="shared" si="1"/>
        <v>10.69</v>
      </c>
      <c r="E107" s="66">
        <f t="shared" si="1"/>
        <v>2.06</v>
      </c>
      <c r="F107" s="66">
        <f t="shared" si="1"/>
        <v>6.6</v>
      </c>
      <c r="G107" s="66">
        <f t="shared" si="1"/>
        <v>107.43</v>
      </c>
      <c r="H107" s="66">
        <f t="shared" si="1"/>
        <v>43.38</v>
      </c>
      <c r="I107" s="66">
        <f t="shared" si="1"/>
        <v>14.4</v>
      </c>
      <c r="J107" s="66">
        <f t="shared" si="1"/>
        <v>2.54</v>
      </c>
      <c r="K107" s="66">
        <f t="shared" si="1"/>
        <v>357.4</v>
      </c>
      <c r="L107" s="66">
        <f t="shared" si="1"/>
        <v>44.1</v>
      </c>
      <c r="M107" s="66">
        <f t="shared" si="1"/>
        <v>46.73</v>
      </c>
      <c r="N107" s="66">
        <f t="shared" si="1"/>
        <v>802.7</v>
      </c>
      <c r="O107" s="66">
        <f t="shared" si="1"/>
        <v>0</v>
      </c>
      <c r="P107" s="66">
        <f t="shared" si="1"/>
        <v>1.21</v>
      </c>
      <c r="Q107" s="66">
        <f t="shared" si="1"/>
        <v>10.52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3.4465625000000002</v>
      </c>
      <c r="C108" s="67">
        <f t="shared" ref="C108:Q108" si="2">AVERAGE(C9:C104)</f>
        <v>3.9827083333333326</v>
      </c>
      <c r="D108" s="67">
        <f t="shared" si="2"/>
        <v>5.9896874999999987</v>
      </c>
      <c r="E108" s="67">
        <f t="shared" si="2"/>
        <v>1.2969791666666668</v>
      </c>
      <c r="F108" s="67">
        <f t="shared" si="2"/>
        <v>4.4636458333333335</v>
      </c>
      <c r="G108" s="67">
        <f t="shared" si="2"/>
        <v>79.785208333333273</v>
      </c>
      <c r="H108" s="67">
        <f t="shared" si="2"/>
        <v>30.833437499999988</v>
      </c>
      <c r="I108" s="67">
        <f t="shared" si="2"/>
        <v>9.0117708333333386</v>
      </c>
      <c r="J108" s="67">
        <f t="shared" si="2"/>
        <v>0.9521875000000003</v>
      </c>
      <c r="K108" s="67">
        <f t="shared" si="2"/>
        <v>276.05729166666663</v>
      </c>
      <c r="L108" s="67">
        <f t="shared" si="2"/>
        <v>36.301562500000003</v>
      </c>
      <c r="M108" s="67">
        <f t="shared" si="2"/>
        <v>26.710208333333341</v>
      </c>
      <c r="N108" s="67">
        <f t="shared" si="2"/>
        <v>230.85104166666676</v>
      </c>
      <c r="O108" s="67">
        <f t="shared" si="2"/>
        <v>0</v>
      </c>
      <c r="P108" s="67">
        <f t="shared" si="2"/>
        <v>0.69874999999999998</v>
      </c>
      <c r="Q108" s="67">
        <f t="shared" si="2"/>
        <v>10.01770833333333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1.1187303217910642</v>
      </c>
      <c r="C109" s="67">
        <f t="shared" ref="C109:Q109" si="3">STDEV(C9:C104)</f>
        <v>2.5321143564292452</v>
      </c>
      <c r="D109" s="67">
        <f t="shared" si="3"/>
        <v>2.1634034848261519</v>
      </c>
      <c r="E109" s="67">
        <f t="shared" si="3"/>
        <v>0.4338496460190745</v>
      </c>
      <c r="F109" s="67">
        <f t="shared" si="3"/>
        <v>1.0826712771188896</v>
      </c>
      <c r="G109" s="67">
        <f t="shared" si="3"/>
        <v>20.766226577593301</v>
      </c>
      <c r="H109" s="67">
        <f t="shared" si="3"/>
        <v>7.0449820631238875</v>
      </c>
      <c r="I109" s="67">
        <f t="shared" si="3"/>
        <v>2.8243449151194882</v>
      </c>
      <c r="J109" s="67">
        <f t="shared" si="3"/>
        <v>0.52386258367910454</v>
      </c>
      <c r="K109" s="67">
        <f t="shared" si="3"/>
        <v>86.295306824624944</v>
      </c>
      <c r="L109" s="67">
        <f t="shared" si="3"/>
        <v>4.9052539669484325</v>
      </c>
      <c r="M109" s="67">
        <f t="shared" si="3"/>
        <v>8.0176741579780195</v>
      </c>
      <c r="N109" s="67">
        <f t="shared" si="3"/>
        <v>292.41440744791288</v>
      </c>
      <c r="O109" s="67">
        <f t="shared" si="3"/>
        <v>0</v>
      </c>
      <c r="P109" s="67">
        <f t="shared" si="3"/>
        <v>0.21093900340594843</v>
      </c>
      <c r="Q109" s="67">
        <f t="shared" si="3"/>
        <v>0.31184840840472711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344</v>
      </c>
      <c r="B9" s="64">
        <v>3.23</v>
      </c>
      <c r="C9" s="64">
        <v>6.51</v>
      </c>
      <c r="D9" s="64">
        <v>7.14</v>
      </c>
      <c r="E9" s="64">
        <v>1.73</v>
      </c>
      <c r="F9" s="64">
        <v>3.98</v>
      </c>
      <c r="G9" s="64">
        <v>55.15</v>
      </c>
      <c r="H9" s="64">
        <v>24.84</v>
      </c>
      <c r="I9" s="64">
        <v>12.72</v>
      </c>
      <c r="J9" s="64">
        <v>0.78</v>
      </c>
      <c r="K9" s="64">
        <v>115.96</v>
      </c>
      <c r="L9" s="64">
        <v>31.46</v>
      </c>
      <c r="M9" s="64">
        <v>39.96</v>
      </c>
      <c r="N9" s="64">
        <v>11.9</v>
      </c>
      <c r="O9" s="64">
        <v>0</v>
      </c>
      <c r="P9" s="64">
        <v>0.65</v>
      </c>
      <c r="Q9" s="64">
        <v>9.9</v>
      </c>
      <c r="R9" s="198"/>
      <c r="S9" s="198"/>
      <c r="T9" s="198"/>
      <c r="U9" s="198"/>
    </row>
    <row r="10" spans="1:21" s="12" customFormat="1" x14ac:dyDescent="0.25">
      <c r="A10" s="214" t="s">
        <v>345</v>
      </c>
      <c r="B10" s="64">
        <v>3.08</v>
      </c>
      <c r="C10" s="64">
        <v>5.26</v>
      </c>
      <c r="D10" s="64">
        <v>6.36</v>
      </c>
      <c r="E10" s="64">
        <v>1.72</v>
      </c>
      <c r="F10" s="64">
        <v>4.2</v>
      </c>
      <c r="G10" s="64">
        <v>54.67</v>
      </c>
      <c r="H10" s="64">
        <v>24.64</v>
      </c>
      <c r="I10" s="64">
        <v>11.23</v>
      </c>
      <c r="J10" s="64">
        <v>1.02</v>
      </c>
      <c r="K10" s="64">
        <v>102.24</v>
      </c>
      <c r="L10" s="64">
        <v>31.34</v>
      </c>
      <c r="M10" s="64">
        <v>41.19</v>
      </c>
      <c r="N10" s="64">
        <v>11.5</v>
      </c>
      <c r="O10" s="64">
        <v>0</v>
      </c>
      <c r="P10" s="64">
        <v>0.63</v>
      </c>
      <c r="Q10" s="64">
        <v>9.81</v>
      </c>
      <c r="R10" s="198"/>
      <c r="S10" s="198"/>
      <c r="T10" s="198"/>
      <c r="U10" s="198"/>
    </row>
    <row r="11" spans="1:21" s="12" customFormat="1" x14ac:dyDescent="0.25">
      <c r="A11" s="214" t="s">
        <v>346</v>
      </c>
      <c r="B11" s="64">
        <v>3.08</v>
      </c>
      <c r="C11" s="64">
        <v>5.07</v>
      </c>
      <c r="D11" s="64">
        <v>6.26</v>
      </c>
      <c r="E11" s="64">
        <v>1.67</v>
      </c>
      <c r="F11" s="64">
        <v>4.1900000000000004</v>
      </c>
      <c r="G11" s="64">
        <v>48.96</v>
      </c>
      <c r="H11" s="64">
        <v>22.19</v>
      </c>
      <c r="I11" s="64">
        <v>9.34</v>
      </c>
      <c r="J11" s="64">
        <v>0.64</v>
      </c>
      <c r="K11" s="64">
        <v>151.99</v>
      </c>
      <c r="L11" s="64">
        <v>31.1</v>
      </c>
      <c r="M11" s="64">
        <v>42.64</v>
      </c>
      <c r="N11" s="64">
        <v>11.7</v>
      </c>
      <c r="O11" s="64">
        <v>0</v>
      </c>
      <c r="P11" s="64">
        <v>0.6</v>
      </c>
      <c r="Q11" s="64">
        <v>9.81</v>
      </c>
      <c r="R11" s="198"/>
      <c r="S11" s="198"/>
      <c r="T11" s="198"/>
      <c r="U11" s="198"/>
    </row>
    <row r="12" spans="1:21" s="12" customFormat="1" x14ac:dyDescent="0.25">
      <c r="A12" s="214" t="s">
        <v>347</v>
      </c>
      <c r="B12" s="64">
        <v>3.1</v>
      </c>
      <c r="C12" s="64">
        <v>5.21</v>
      </c>
      <c r="D12" s="64">
        <v>6.35</v>
      </c>
      <c r="E12" s="64">
        <v>1.77</v>
      </c>
      <c r="F12" s="64">
        <v>3.92</v>
      </c>
      <c r="G12" s="64">
        <v>48.96</v>
      </c>
      <c r="H12" s="64">
        <v>22.19</v>
      </c>
      <c r="I12" s="64">
        <v>8.6199999999999992</v>
      </c>
      <c r="J12" s="64">
        <v>1.19</v>
      </c>
      <c r="K12" s="64">
        <v>158.41999999999999</v>
      </c>
      <c r="L12" s="64">
        <v>30.99</v>
      </c>
      <c r="M12" s="64">
        <v>43.43</v>
      </c>
      <c r="N12" s="64">
        <v>11.4</v>
      </c>
      <c r="O12" s="64">
        <v>0</v>
      </c>
      <c r="P12" s="64">
        <v>0.6</v>
      </c>
      <c r="Q12" s="64">
        <v>9.81</v>
      </c>
      <c r="R12" s="198"/>
      <c r="S12" s="198"/>
      <c r="T12" s="198"/>
      <c r="U12" s="198"/>
    </row>
    <row r="13" spans="1:21" s="12" customFormat="1" x14ac:dyDescent="0.25">
      <c r="A13" s="214" t="s">
        <v>348</v>
      </c>
      <c r="B13" s="64">
        <v>3.1</v>
      </c>
      <c r="C13" s="64">
        <v>4.9800000000000004</v>
      </c>
      <c r="D13" s="64">
        <v>6.23</v>
      </c>
      <c r="E13" s="64">
        <v>1.83</v>
      </c>
      <c r="F13" s="64">
        <v>3.92</v>
      </c>
      <c r="G13" s="64">
        <v>48.96</v>
      </c>
      <c r="H13" s="64">
        <v>22.19</v>
      </c>
      <c r="I13" s="64">
        <v>8.44</v>
      </c>
      <c r="J13" s="64">
        <v>0.84</v>
      </c>
      <c r="K13" s="64">
        <v>155.61000000000001</v>
      </c>
      <c r="L13" s="64">
        <v>30.84</v>
      </c>
      <c r="M13" s="64">
        <v>44.79</v>
      </c>
      <c r="N13" s="64">
        <v>11.6</v>
      </c>
      <c r="O13" s="64">
        <v>0</v>
      </c>
      <c r="P13" s="64">
        <v>0.56000000000000005</v>
      </c>
      <c r="Q13" s="64">
        <v>9.81</v>
      </c>
      <c r="R13" s="198"/>
      <c r="S13" s="198"/>
      <c r="T13" s="198"/>
      <c r="U13" s="198"/>
    </row>
    <row r="14" spans="1:21" s="12" customFormat="1" x14ac:dyDescent="0.25">
      <c r="A14" s="214" t="s">
        <v>349</v>
      </c>
      <c r="B14" s="64">
        <v>3.11</v>
      </c>
      <c r="C14" s="64">
        <v>4.83</v>
      </c>
      <c r="D14" s="64">
        <v>6.16</v>
      </c>
      <c r="E14" s="64">
        <v>1.88</v>
      </c>
      <c r="F14" s="64">
        <v>3.75</v>
      </c>
      <c r="G14" s="64">
        <v>48.51</v>
      </c>
      <c r="H14" s="64">
        <v>22.11</v>
      </c>
      <c r="I14" s="64">
        <v>9.3000000000000007</v>
      </c>
      <c r="J14" s="64">
        <v>0.93</v>
      </c>
      <c r="K14" s="64">
        <v>132.71</v>
      </c>
      <c r="L14" s="64">
        <v>30.65</v>
      </c>
      <c r="M14" s="64">
        <v>46.57</v>
      </c>
      <c r="N14" s="64">
        <v>11.7</v>
      </c>
      <c r="O14" s="64">
        <v>0</v>
      </c>
      <c r="P14" s="64">
        <v>0.55000000000000004</v>
      </c>
      <c r="Q14" s="64">
        <v>9.8000000000000007</v>
      </c>
      <c r="R14" s="198"/>
      <c r="S14" s="198"/>
      <c r="T14" s="198"/>
      <c r="U14" s="198"/>
    </row>
    <row r="15" spans="1:21" s="12" customFormat="1" x14ac:dyDescent="0.25">
      <c r="A15" s="214" t="s">
        <v>350</v>
      </c>
      <c r="B15" s="64">
        <v>3.1</v>
      </c>
      <c r="C15" s="64">
        <v>4.6399999999999997</v>
      </c>
      <c r="D15" s="64">
        <v>6.06</v>
      </c>
      <c r="E15" s="64">
        <v>1.68</v>
      </c>
      <c r="F15" s="64">
        <v>3.46</v>
      </c>
      <c r="G15" s="64">
        <v>43.21</v>
      </c>
      <c r="H15" s="64">
        <v>21.24</v>
      </c>
      <c r="I15" s="64">
        <v>8.85</v>
      </c>
      <c r="J15" s="64">
        <v>0.91</v>
      </c>
      <c r="K15" s="64">
        <v>166.43</v>
      </c>
      <c r="L15" s="64">
        <v>30.49</v>
      </c>
      <c r="M15" s="64">
        <v>47.71</v>
      </c>
      <c r="N15" s="64">
        <v>11.6</v>
      </c>
      <c r="O15" s="64">
        <v>0</v>
      </c>
      <c r="P15" s="64">
        <v>0.54</v>
      </c>
      <c r="Q15" s="64">
        <v>9.81</v>
      </c>
      <c r="R15" s="198"/>
      <c r="S15" s="198"/>
      <c r="T15" s="198"/>
      <c r="U15" s="198"/>
    </row>
    <row r="16" spans="1:21" s="12" customFormat="1" x14ac:dyDescent="0.25">
      <c r="A16" s="214" t="s">
        <v>351</v>
      </c>
      <c r="B16" s="64">
        <v>3.14</v>
      </c>
      <c r="C16" s="64">
        <v>4.6900000000000004</v>
      </c>
      <c r="D16" s="64">
        <v>6.11</v>
      </c>
      <c r="E16" s="64">
        <v>2.33</v>
      </c>
      <c r="F16" s="64">
        <v>4.05</v>
      </c>
      <c r="G16" s="64">
        <v>43.21</v>
      </c>
      <c r="H16" s="64">
        <v>21.24</v>
      </c>
      <c r="I16" s="64">
        <v>8.1300000000000008</v>
      </c>
      <c r="J16" s="64">
        <v>0.94</v>
      </c>
      <c r="K16" s="64">
        <v>163.51</v>
      </c>
      <c r="L16" s="64">
        <v>30.44</v>
      </c>
      <c r="M16" s="64">
        <v>48.67</v>
      </c>
      <c r="N16" s="64">
        <v>11.5</v>
      </c>
      <c r="O16" s="64">
        <v>0</v>
      </c>
      <c r="P16" s="64">
        <v>0.54</v>
      </c>
      <c r="Q16" s="64">
        <v>9.82</v>
      </c>
      <c r="R16" s="198"/>
      <c r="S16" s="198"/>
      <c r="T16" s="198"/>
      <c r="U16" s="198"/>
    </row>
    <row r="17" spans="1:21" s="12" customFormat="1" x14ac:dyDescent="0.25">
      <c r="A17" s="214" t="s">
        <v>352</v>
      </c>
      <c r="B17" s="64">
        <v>3.19</v>
      </c>
      <c r="C17" s="64">
        <v>4.8499999999999996</v>
      </c>
      <c r="D17" s="64">
        <v>6.24</v>
      </c>
      <c r="E17" s="64">
        <v>2.4</v>
      </c>
      <c r="F17" s="64">
        <v>4.49</v>
      </c>
      <c r="G17" s="64">
        <v>43.21</v>
      </c>
      <c r="H17" s="64">
        <v>21.24</v>
      </c>
      <c r="I17" s="64">
        <v>8.66</v>
      </c>
      <c r="J17" s="64">
        <v>0.21</v>
      </c>
      <c r="K17" s="64">
        <v>152.83000000000001</v>
      </c>
      <c r="L17" s="64">
        <v>30.25</v>
      </c>
      <c r="M17" s="64">
        <v>50.17</v>
      </c>
      <c r="N17" s="64">
        <v>11.9</v>
      </c>
      <c r="O17" s="64">
        <v>0</v>
      </c>
      <c r="P17" s="64">
        <v>0.52</v>
      </c>
      <c r="Q17" s="64">
        <v>9.8699999999999992</v>
      </c>
      <c r="R17" s="198"/>
      <c r="S17" s="198"/>
      <c r="T17" s="198"/>
      <c r="U17" s="198"/>
    </row>
    <row r="18" spans="1:21" s="12" customFormat="1" x14ac:dyDescent="0.25">
      <c r="A18" s="214" t="s">
        <v>353</v>
      </c>
      <c r="B18" s="64">
        <v>3.21</v>
      </c>
      <c r="C18" s="64">
        <v>4.87</v>
      </c>
      <c r="D18" s="64">
        <v>6.26</v>
      </c>
      <c r="E18" s="64">
        <v>2</v>
      </c>
      <c r="F18" s="64">
        <v>4.32</v>
      </c>
      <c r="G18" s="64">
        <v>42.96</v>
      </c>
      <c r="H18" s="64">
        <v>21.16</v>
      </c>
      <c r="I18" s="64">
        <v>9.32</v>
      </c>
      <c r="J18" s="64">
        <v>0.87</v>
      </c>
      <c r="K18" s="64">
        <v>170.03</v>
      </c>
      <c r="L18" s="64">
        <v>30.05</v>
      </c>
      <c r="M18" s="64">
        <v>51.31</v>
      </c>
      <c r="N18" s="64">
        <v>11.5</v>
      </c>
      <c r="O18" s="64">
        <v>0</v>
      </c>
      <c r="P18" s="64">
        <v>0.51</v>
      </c>
      <c r="Q18" s="64">
        <v>9.8699999999999992</v>
      </c>
      <c r="R18" s="198"/>
      <c r="S18" s="198"/>
      <c r="T18" s="198"/>
      <c r="U18" s="198"/>
    </row>
    <row r="19" spans="1:21" s="12" customFormat="1" x14ac:dyDescent="0.25">
      <c r="A19" s="214" t="s">
        <v>354</v>
      </c>
      <c r="B19" s="64">
        <v>3.23</v>
      </c>
      <c r="C19" s="64">
        <v>4.97</v>
      </c>
      <c r="D19" s="64">
        <v>6.33</v>
      </c>
      <c r="E19" s="64">
        <v>1.9</v>
      </c>
      <c r="F19" s="64">
        <v>4.26</v>
      </c>
      <c r="G19" s="64">
        <v>40.01</v>
      </c>
      <c r="H19" s="64">
        <v>20.239999999999998</v>
      </c>
      <c r="I19" s="64">
        <v>9.01</v>
      </c>
      <c r="J19" s="64">
        <v>0.97</v>
      </c>
      <c r="K19" s="64">
        <v>159.43</v>
      </c>
      <c r="L19" s="64">
        <v>29.97</v>
      </c>
      <c r="M19" s="64">
        <v>52.56</v>
      </c>
      <c r="N19" s="64">
        <v>11.6</v>
      </c>
      <c r="O19" s="64">
        <v>0</v>
      </c>
      <c r="P19" s="64">
        <v>0.49</v>
      </c>
      <c r="Q19" s="64">
        <v>9.84</v>
      </c>
      <c r="R19" s="198"/>
      <c r="S19" s="198"/>
      <c r="T19" s="198"/>
      <c r="U19" s="198"/>
    </row>
    <row r="20" spans="1:21" s="12" customFormat="1" x14ac:dyDescent="0.25">
      <c r="A20" s="214" t="s">
        <v>355</v>
      </c>
      <c r="B20" s="64">
        <v>3.22</v>
      </c>
      <c r="C20" s="64">
        <v>5.05</v>
      </c>
      <c r="D20" s="64">
        <v>6.36</v>
      </c>
      <c r="E20" s="64">
        <v>1.78</v>
      </c>
      <c r="F20" s="64">
        <v>4.12</v>
      </c>
      <c r="G20" s="64">
        <v>40.01</v>
      </c>
      <c r="H20" s="64">
        <v>20.239999999999998</v>
      </c>
      <c r="I20" s="64">
        <v>9.3699999999999992</v>
      </c>
      <c r="J20" s="64">
        <v>0.97</v>
      </c>
      <c r="K20" s="64">
        <v>159.85</v>
      </c>
      <c r="L20" s="64">
        <v>29.79</v>
      </c>
      <c r="M20" s="64">
        <v>53.83</v>
      </c>
      <c r="N20" s="64">
        <v>11.7</v>
      </c>
      <c r="O20" s="64">
        <v>0</v>
      </c>
      <c r="P20" s="64">
        <v>0.48</v>
      </c>
      <c r="Q20" s="64">
        <v>9.81</v>
      </c>
      <c r="R20" s="198"/>
      <c r="S20" s="198"/>
      <c r="T20" s="198"/>
      <c r="U20" s="198"/>
    </row>
    <row r="21" spans="1:21" s="12" customFormat="1" x14ac:dyDescent="0.25">
      <c r="A21" s="214" t="s">
        <v>356</v>
      </c>
      <c r="B21" s="64">
        <v>3.2</v>
      </c>
      <c r="C21" s="64">
        <v>4.8899999999999997</v>
      </c>
      <c r="D21" s="64">
        <v>6.27</v>
      </c>
      <c r="E21" s="64">
        <v>1.81</v>
      </c>
      <c r="F21" s="64">
        <v>4.1500000000000004</v>
      </c>
      <c r="G21" s="64">
        <v>40.01</v>
      </c>
      <c r="H21" s="64">
        <v>20.239999999999998</v>
      </c>
      <c r="I21" s="64">
        <v>9.2899999999999991</v>
      </c>
      <c r="J21" s="64">
        <v>1.01</v>
      </c>
      <c r="K21" s="64">
        <v>139.56</v>
      </c>
      <c r="L21" s="64">
        <v>29.56</v>
      </c>
      <c r="M21" s="64">
        <v>55.05</v>
      </c>
      <c r="N21" s="64">
        <v>11.9</v>
      </c>
      <c r="O21" s="64">
        <v>0</v>
      </c>
      <c r="P21" s="64">
        <v>0.46</v>
      </c>
      <c r="Q21" s="64">
        <v>9.7799999999999994</v>
      </c>
      <c r="R21" s="198"/>
      <c r="S21" s="198"/>
      <c r="T21" s="198"/>
      <c r="U21" s="198"/>
    </row>
    <row r="22" spans="1:21" s="12" customFormat="1" x14ac:dyDescent="0.25">
      <c r="A22" s="214" t="s">
        <v>357</v>
      </c>
      <c r="B22" s="64">
        <v>3.19</v>
      </c>
      <c r="C22" s="64">
        <v>4.78</v>
      </c>
      <c r="D22" s="64">
        <v>6.2</v>
      </c>
      <c r="E22" s="64">
        <v>2.0099999999999998</v>
      </c>
      <c r="F22" s="64">
        <v>4.12</v>
      </c>
      <c r="G22" s="64">
        <v>40.130000000000003</v>
      </c>
      <c r="H22" s="64">
        <v>20.04</v>
      </c>
      <c r="I22" s="64">
        <v>9.06</v>
      </c>
      <c r="J22" s="64">
        <v>0.56000000000000005</v>
      </c>
      <c r="K22" s="64">
        <v>92.29</v>
      </c>
      <c r="L22" s="64">
        <v>29.41</v>
      </c>
      <c r="M22" s="64">
        <v>56.42</v>
      </c>
      <c r="N22" s="64">
        <v>11.7</v>
      </c>
      <c r="O22" s="64">
        <v>0</v>
      </c>
      <c r="P22" s="64">
        <v>0.44</v>
      </c>
      <c r="Q22" s="64">
        <v>9.76</v>
      </c>
      <c r="R22" s="198"/>
      <c r="S22" s="198"/>
      <c r="T22" s="198"/>
      <c r="U22" s="198"/>
    </row>
    <row r="23" spans="1:21" s="12" customFormat="1" x14ac:dyDescent="0.25">
      <c r="A23" s="214" t="s">
        <v>358</v>
      </c>
      <c r="B23" s="64">
        <v>3.17</v>
      </c>
      <c r="C23" s="64">
        <v>4.6100000000000003</v>
      </c>
      <c r="D23" s="64">
        <v>6.1</v>
      </c>
      <c r="E23" s="64">
        <v>1.79</v>
      </c>
      <c r="F23" s="64">
        <v>4.12</v>
      </c>
      <c r="G23" s="64">
        <v>41.58</v>
      </c>
      <c r="H23" s="64">
        <v>17.66</v>
      </c>
      <c r="I23" s="64">
        <v>9.14</v>
      </c>
      <c r="J23" s="64">
        <v>1.18</v>
      </c>
      <c r="K23" s="64">
        <v>165.26</v>
      </c>
      <c r="L23" s="64">
        <v>29.36</v>
      </c>
      <c r="M23" s="64">
        <v>57.13</v>
      </c>
      <c r="N23" s="64">
        <v>11.4</v>
      </c>
      <c r="O23" s="64">
        <v>0</v>
      </c>
      <c r="P23" s="64">
        <v>0.43</v>
      </c>
      <c r="Q23" s="64">
        <v>9.73</v>
      </c>
      <c r="R23" s="198"/>
      <c r="S23" s="198"/>
      <c r="T23" s="198"/>
      <c r="U23" s="198"/>
    </row>
    <row r="24" spans="1:21" s="12" customFormat="1" x14ac:dyDescent="0.25">
      <c r="A24" s="214" t="s">
        <v>359</v>
      </c>
      <c r="B24" s="64">
        <v>3.16</v>
      </c>
      <c r="C24" s="64">
        <v>4.53</v>
      </c>
      <c r="D24" s="64">
        <v>6.04</v>
      </c>
      <c r="E24" s="64">
        <v>0.66</v>
      </c>
      <c r="F24" s="64">
        <v>4.03</v>
      </c>
      <c r="G24" s="64">
        <v>41.58</v>
      </c>
      <c r="H24" s="64">
        <v>17.66</v>
      </c>
      <c r="I24" s="64">
        <v>8.59</v>
      </c>
      <c r="J24" s="64">
        <v>0.71</v>
      </c>
      <c r="K24" s="64">
        <v>132.87</v>
      </c>
      <c r="L24" s="64">
        <v>29.25</v>
      </c>
      <c r="M24" s="64">
        <v>58.57</v>
      </c>
      <c r="N24" s="64">
        <v>11.7</v>
      </c>
      <c r="O24" s="64">
        <v>0</v>
      </c>
      <c r="P24" s="64">
        <v>0.41</v>
      </c>
      <c r="Q24" s="64">
        <v>9.7100000000000009</v>
      </c>
      <c r="R24" s="198"/>
      <c r="S24" s="198"/>
      <c r="T24" s="198"/>
      <c r="U24" s="198"/>
    </row>
    <row r="25" spans="1:21" s="12" customFormat="1" x14ac:dyDescent="0.25">
      <c r="A25" s="214" t="s">
        <v>360</v>
      </c>
      <c r="B25" s="64">
        <v>3.16</v>
      </c>
      <c r="C25" s="64">
        <v>4.92</v>
      </c>
      <c r="D25" s="64">
        <v>6.25</v>
      </c>
      <c r="E25" s="64">
        <v>1.46</v>
      </c>
      <c r="F25" s="64">
        <v>4.16</v>
      </c>
      <c r="G25" s="64">
        <v>41.58</v>
      </c>
      <c r="H25" s="64">
        <v>17.66</v>
      </c>
      <c r="I25" s="64">
        <v>8.4600000000000009</v>
      </c>
      <c r="J25" s="64">
        <v>0.93</v>
      </c>
      <c r="K25" s="64">
        <v>155.30000000000001</v>
      </c>
      <c r="L25" s="64">
        <v>29.2</v>
      </c>
      <c r="M25" s="64">
        <v>59.02</v>
      </c>
      <c r="N25" s="64">
        <v>11.5</v>
      </c>
      <c r="O25" s="64">
        <v>0</v>
      </c>
      <c r="P25" s="64">
        <v>0.4</v>
      </c>
      <c r="Q25" s="64">
        <v>9.7200000000000006</v>
      </c>
      <c r="R25" s="198"/>
      <c r="S25" s="198"/>
      <c r="T25" s="198"/>
      <c r="U25" s="198"/>
    </row>
    <row r="26" spans="1:21" s="12" customFormat="1" x14ac:dyDescent="0.25">
      <c r="A26" s="214" t="s">
        <v>361</v>
      </c>
      <c r="B26" s="64">
        <v>3.15</v>
      </c>
      <c r="C26" s="64">
        <v>4.6500000000000004</v>
      </c>
      <c r="D26" s="64">
        <v>6.1</v>
      </c>
      <c r="E26" s="64">
        <v>1.24</v>
      </c>
      <c r="F26" s="64">
        <v>3.91</v>
      </c>
      <c r="G26" s="64">
        <v>41.37</v>
      </c>
      <c r="H26" s="64">
        <v>17.47</v>
      </c>
      <c r="I26" s="64">
        <v>7.92</v>
      </c>
      <c r="J26" s="64">
        <v>0.3</v>
      </c>
      <c r="K26" s="64">
        <v>179.64</v>
      </c>
      <c r="L26" s="64">
        <v>29.15</v>
      </c>
      <c r="M26" s="64">
        <v>59.63</v>
      </c>
      <c r="N26" s="64">
        <v>11.6</v>
      </c>
      <c r="O26" s="64">
        <v>0</v>
      </c>
      <c r="P26" s="64">
        <v>0.39</v>
      </c>
      <c r="Q26" s="64">
        <v>9.7200000000000006</v>
      </c>
      <c r="R26" s="198"/>
      <c r="S26" s="198"/>
      <c r="T26" s="198"/>
      <c r="U26" s="198"/>
    </row>
    <row r="27" spans="1:21" s="12" customFormat="1" x14ac:dyDescent="0.25">
      <c r="A27" s="214" t="s">
        <v>362</v>
      </c>
      <c r="B27" s="64">
        <v>3.16</v>
      </c>
      <c r="C27" s="64">
        <v>4.5599999999999996</v>
      </c>
      <c r="D27" s="64">
        <v>6.07</v>
      </c>
      <c r="E27" s="64">
        <v>1.19</v>
      </c>
      <c r="F27" s="64">
        <v>3.84</v>
      </c>
      <c r="G27" s="64">
        <v>38.799999999999997</v>
      </c>
      <c r="H27" s="64">
        <v>15.17</v>
      </c>
      <c r="I27" s="64">
        <v>7.51</v>
      </c>
      <c r="J27" s="64">
        <v>1.25</v>
      </c>
      <c r="K27" s="64">
        <v>157.55000000000001</v>
      </c>
      <c r="L27" s="64">
        <v>29.08</v>
      </c>
      <c r="M27" s="64">
        <v>60.56</v>
      </c>
      <c r="N27" s="64">
        <v>11.4</v>
      </c>
      <c r="O27" s="64">
        <v>0</v>
      </c>
      <c r="P27" s="64">
        <v>0.38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4" t="s">
        <v>363</v>
      </c>
      <c r="B28" s="64">
        <v>3.2</v>
      </c>
      <c r="C28" s="64">
        <v>4.46</v>
      </c>
      <c r="D28" s="64">
        <v>6.04</v>
      </c>
      <c r="E28" s="64">
        <v>1.42</v>
      </c>
      <c r="F28" s="64">
        <v>4.16</v>
      </c>
      <c r="G28" s="64">
        <v>38.799999999999997</v>
      </c>
      <c r="H28" s="64">
        <v>15.17</v>
      </c>
      <c r="I28" s="64">
        <v>7.14</v>
      </c>
      <c r="J28" s="64">
        <v>1.05</v>
      </c>
      <c r="K28" s="64">
        <v>168.84</v>
      </c>
      <c r="L28" s="64">
        <v>29.09</v>
      </c>
      <c r="M28" s="64">
        <v>60.5</v>
      </c>
      <c r="N28" s="64">
        <v>11.6</v>
      </c>
      <c r="O28" s="64">
        <v>0</v>
      </c>
      <c r="P28" s="64">
        <v>0.38</v>
      </c>
      <c r="Q28" s="64">
        <v>9.5500000000000007</v>
      </c>
      <c r="R28" s="198"/>
      <c r="S28" s="198"/>
      <c r="T28" s="198"/>
      <c r="U28" s="198"/>
    </row>
    <row r="29" spans="1:21" s="12" customFormat="1" x14ac:dyDescent="0.25">
      <c r="A29" s="214" t="s">
        <v>364</v>
      </c>
      <c r="B29" s="64">
        <v>3.22</v>
      </c>
      <c r="C29" s="64">
        <v>4.49</v>
      </c>
      <c r="D29" s="64">
        <v>6.08</v>
      </c>
      <c r="E29" s="64">
        <v>1.55</v>
      </c>
      <c r="F29" s="64">
        <v>3.53</v>
      </c>
      <c r="G29" s="64">
        <v>38.799999999999997</v>
      </c>
      <c r="H29" s="64">
        <v>15.17</v>
      </c>
      <c r="I29" s="64">
        <v>6.58</v>
      </c>
      <c r="J29" s="64">
        <v>1.66</v>
      </c>
      <c r="K29" s="64">
        <v>155.06</v>
      </c>
      <c r="L29" s="64">
        <v>29.03</v>
      </c>
      <c r="M29" s="64">
        <v>60.97</v>
      </c>
      <c r="N29" s="64">
        <v>12.8</v>
      </c>
      <c r="O29" s="64">
        <v>0</v>
      </c>
      <c r="P29" s="64">
        <v>0.38</v>
      </c>
      <c r="Q29" s="64">
        <v>9.5399999999999991</v>
      </c>
      <c r="R29" s="198"/>
      <c r="S29" s="198"/>
      <c r="T29" s="198"/>
      <c r="U29" s="198"/>
    </row>
    <row r="30" spans="1:21" s="12" customFormat="1" x14ac:dyDescent="0.25">
      <c r="A30" s="214" t="s">
        <v>365</v>
      </c>
      <c r="B30" s="64">
        <v>3.25</v>
      </c>
      <c r="C30" s="64">
        <v>4.37</v>
      </c>
      <c r="D30" s="64">
        <v>6.03</v>
      </c>
      <c r="E30" s="64">
        <v>1.37</v>
      </c>
      <c r="F30" s="64">
        <v>3.69</v>
      </c>
      <c r="G30" s="64">
        <v>38.840000000000003</v>
      </c>
      <c r="H30" s="64">
        <v>15.21</v>
      </c>
      <c r="I30" s="64">
        <v>6.19</v>
      </c>
      <c r="J30" s="64">
        <v>1.4</v>
      </c>
      <c r="K30" s="64">
        <v>159.83000000000001</v>
      </c>
      <c r="L30" s="64">
        <v>28.99</v>
      </c>
      <c r="M30" s="64">
        <v>61.59</v>
      </c>
      <c r="N30" s="64">
        <v>19.399999999999999</v>
      </c>
      <c r="O30" s="64">
        <v>0</v>
      </c>
      <c r="P30" s="64">
        <v>0.37</v>
      </c>
      <c r="Q30" s="64">
        <v>9.57</v>
      </c>
      <c r="R30" s="198"/>
      <c r="S30" s="198"/>
      <c r="T30" s="198"/>
      <c r="U30" s="198"/>
    </row>
    <row r="31" spans="1:21" s="12" customFormat="1" x14ac:dyDescent="0.25">
      <c r="A31" s="214" t="s">
        <v>366</v>
      </c>
      <c r="B31" s="64">
        <v>3.31</v>
      </c>
      <c r="C31" s="64">
        <v>4.54</v>
      </c>
      <c r="D31" s="64">
        <v>6.17</v>
      </c>
      <c r="E31" s="64">
        <v>1.4</v>
      </c>
      <c r="F31" s="64">
        <v>3.66</v>
      </c>
      <c r="G31" s="64">
        <v>39.29</v>
      </c>
      <c r="H31" s="64">
        <v>15.73</v>
      </c>
      <c r="I31" s="64">
        <v>7.03</v>
      </c>
      <c r="J31" s="64">
        <v>1.46</v>
      </c>
      <c r="K31" s="64">
        <v>155.87</v>
      </c>
      <c r="L31" s="64">
        <v>28.85</v>
      </c>
      <c r="M31" s="64">
        <v>62.51</v>
      </c>
      <c r="N31" s="64">
        <v>25.9</v>
      </c>
      <c r="O31" s="64">
        <v>0</v>
      </c>
      <c r="P31" s="64">
        <v>0.37</v>
      </c>
      <c r="Q31" s="64">
        <v>9.59</v>
      </c>
      <c r="R31" s="198"/>
      <c r="S31" s="198"/>
      <c r="T31" s="198"/>
      <c r="U31" s="198"/>
    </row>
    <row r="32" spans="1:21" s="12" customFormat="1" x14ac:dyDescent="0.25">
      <c r="A32" s="214" t="s">
        <v>367</v>
      </c>
      <c r="B32" s="64">
        <v>3.34</v>
      </c>
      <c r="C32" s="64">
        <v>4.5199999999999996</v>
      </c>
      <c r="D32" s="64">
        <v>6.19</v>
      </c>
      <c r="E32" s="64">
        <v>1.48</v>
      </c>
      <c r="F32" s="64">
        <v>4.24</v>
      </c>
      <c r="G32" s="64">
        <v>39.29</v>
      </c>
      <c r="H32" s="64">
        <v>15.73</v>
      </c>
      <c r="I32" s="64">
        <v>7.22</v>
      </c>
      <c r="J32" s="64">
        <v>1.29</v>
      </c>
      <c r="K32" s="64">
        <v>149.33000000000001</v>
      </c>
      <c r="L32" s="64">
        <v>28.81</v>
      </c>
      <c r="M32" s="64">
        <v>62.68</v>
      </c>
      <c r="N32" s="64">
        <v>53.6</v>
      </c>
      <c r="O32" s="64">
        <v>0</v>
      </c>
      <c r="P32" s="64">
        <v>0.37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4" t="s">
        <v>368</v>
      </c>
      <c r="B33" s="64">
        <v>3.38</v>
      </c>
      <c r="C33" s="64">
        <v>4.5199999999999996</v>
      </c>
      <c r="D33" s="64">
        <v>6.22</v>
      </c>
      <c r="E33" s="64">
        <v>1.26</v>
      </c>
      <c r="F33" s="64">
        <v>3.53</v>
      </c>
      <c r="G33" s="64">
        <v>39.29</v>
      </c>
      <c r="H33" s="64">
        <v>15.73</v>
      </c>
      <c r="I33" s="64">
        <v>6.7</v>
      </c>
      <c r="J33" s="64">
        <v>0.08</v>
      </c>
      <c r="K33" s="64">
        <v>354.57</v>
      </c>
      <c r="L33" s="64">
        <v>29.44</v>
      </c>
      <c r="M33" s="64">
        <v>60.75</v>
      </c>
      <c r="N33" s="64">
        <v>74.099999999999994</v>
      </c>
      <c r="O33" s="64">
        <v>0</v>
      </c>
      <c r="P33" s="64">
        <v>0.38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4" t="s">
        <v>369</v>
      </c>
      <c r="B34" s="64">
        <v>3.41</v>
      </c>
      <c r="C34" s="64">
        <v>4.5199999999999996</v>
      </c>
      <c r="D34" s="64">
        <v>6.24</v>
      </c>
      <c r="E34" s="64">
        <v>1.56</v>
      </c>
      <c r="F34" s="64">
        <v>3.48</v>
      </c>
      <c r="G34" s="64">
        <v>39.24</v>
      </c>
      <c r="H34" s="64">
        <v>15.79</v>
      </c>
      <c r="I34" s="64">
        <v>6.6</v>
      </c>
      <c r="J34" s="64">
        <v>0.12</v>
      </c>
      <c r="K34" s="64">
        <v>255.49</v>
      </c>
      <c r="L34" s="64">
        <v>29.65</v>
      </c>
      <c r="M34" s="64">
        <v>59.68</v>
      </c>
      <c r="N34" s="64">
        <v>87.9</v>
      </c>
      <c r="O34" s="64">
        <v>0</v>
      </c>
      <c r="P34" s="64">
        <v>0.38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4" t="s">
        <v>370</v>
      </c>
      <c r="B35" s="64">
        <v>3.43</v>
      </c>
      <c r="C35" s="64">
        <v>5.05</v>
      </c>
      <c r="D35" s="64">
        <v>6.54</v>
      </c>
      <c r="E35" s="64">
        <v>1.58</v>
      </c>
      <c r="F35" s="64">
        <v>4.0599999999999996</v>
      </c>
      <c r="G35" s="64">
        <v>38.67</v>
      </c>
      <c r="H35" s="64">
        <v>16.53</v>
      </c>
      <c r="I35" s="64">
        <v>6.48</v>
      </c>
      <c r="J35" s="64">
        <v>0.35</v>
      </c>
      <c r="K35" s="64">
        <v>187.03</v>
      </c>
      <c r="L35" s="64">
        <v>30.09</v>
      </c>
      <c r="M35" s="64">
        <v>57.83</v>
      </c>
      <c r="N35" s="64">
        <v>132</v>
      </c>
      <c r="O35" s="64">
        <v>0</v>
      </c>
      <c r="P35" s="64">
        <v>0.39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4" t="s">
        <v>371</v>
      </c>
      <c r="B36" s="64">
        <v>3.45</v>
      </c>
      <c r="C36" s="64">
        <v>5.35</v>
      </c>
      <c r="D36" s="64">
        <v>6.7</v>
      </c>
      <c r="E36" s="64">
        <v>1.49</v>
      </c>
      <c r="F36" s="64">
        <v>4.26</v>
      </c>
      <c r="G36" s="64">
        <v>38.67</v>
      </c>
      <c r="H36" s="64">
        <v>16.53</v>
      </c>
      <c r="I36" s="64">
        <v>6.9</v>
      </c>
      <c r="J36" s="64">
        <v>0.45</v>
      </c>
      <c r="K36" s="64">
        <v>33.68</v>
      </c>
      <c r="L36" s="64">
        <v>30.92</v>
      </c>
      <c r="M36" s="64">
        <v>54.42</v>
      </c>
      <c r="N36" s="64">
        <v>196.3</v>
      </c>
      <c r="O36" s="64">
        <v>0</v>
      </c>
      <c r="P36" s="64">
        <v>0.4</v>
      </c>
      <c r="Q36" s="64">
        <v>9.7100000000000009</v>
      </c>
      <c r="R36" s="198"/>
      <c r="S36" s="198"/>
      <c r="T36" s="198"/>
      <c r="U36" s="198"/>
    </row>
    <row r="37" spans="1:21" s="12" customFormat="1" x14ac:dyDescent="0.25">
      <c r="A37" s="214" t="s">
        <v>372</v>
      </c>
      <c r="B37" s="64">
        <v>3.45</v>
      </c>
      <c r="C37" s="64">
        <v>5.34</v>
      </c>
      <c r="D37" s="64">
        <v>6.7</v>
      </c>
      <c r="E37" s="64">
        <v>1.35</v>
      </c>
      <c r="F37" s="64">
        <v>4.0599999999999996</v>
      </c>
      <c r="G37" s="64">
        <v>38.67</v>
      </c>
      <c r="H37" s="64">
        <v>16.53</v>
      </c>
      <c r="I37" s="64">
        <v>7.53</v>
      </c>
      <c r="J37" s="64">
        <v>0.28000000000000003</v>
      </c>
      <c r="K37" s="64">
        <v>35.549999999999997</v>
      </c>
      <c r="L37" s="64">
        <v>31.66</v>
      </c>
      <c r="M37" s="64">
        <v>51.59</v>
      </c>
      <c r="N37" s="64">
        <v>225.9</v>
      </c>
      <c r="O37" s="64">
        <v>0</v>
      </c>
      <c r="P37" s="64">
        <v>0.4</v>
      </c>
      <c r="Q37" s="64">
        <v>9.7100000000000009</v>
      </c>
      <c r="R37" s="198"/>
      <c r="S37" s="198"/>
      <c r="T37" s="198"/>
      <c r="U37" s="198"/>
    </row>
    <row r="38" spans="1:21" s="12" customFormat="1" x14ac:dyDescent="0.25">
      <c r="A38" s="214" t="s">
        <v>373</v>
      </c>
      <c r="B38" s="64">
        <v>3.39</v>
      </c>
      <c r="C38" s="64">
        <v>5.33</v>
      </c>
      <c r="D38" s="64">
        <v>6.65</v>
      </c>
      <c r="E38" s="64">
        <v>1.61</v>
      </c>
      <c r="F38" s="64">
        <v>4.0999999999999996</v>
      </c>
      <c r="G38" s="64">
        <v>39.83</v>
      </c>
      <c r="H38" s="64">
        <v>16.600000000000001</v>
      </c>
      <c r="I38" s="64">
        <v>7.56</v>
      </c>
      <c r="J38" s="64">
        <v>0.28000000000000003</v>
      </c>
      <c r="K38" s="64">
        <v>177.66</v>
      </c>
      <c r="L38" s="64">
        <v>31.42</v>
      </c>
      <c r="M38" s="64">
        <v>51.05</v>
      </c>
      <c r="N38" s="64">
        <v>221.6</v>
      </c>
      <c r="O38" s="64">
        <v>0</v>
      </c>
      <c r="P38" s="64">
        <v>0.43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4" t="s">
        <v>374</v>
      </c>
      <c r="B39" s="64">
        <v>3.27</v>
      </c>
      <c r="C39" s="64">
        <v>5.04</v>
      </c>
      <c r="D39" s="64">
        <v>6.4</v>
      </c>
      <c r="E39" s="64">
        <v>1.69</v>
      </c>
      <c r="F39" s="64">
        <v>4.26</v>
      </c>
      <c r="G39" s="64">
        <v>53.57</v>
      </c>
      <c r="H39" s="64">
        <v>17.399999999999999</v>
      </c>
      <c r="I39" s="64">
        <v>7.25</v>
      </c>
      <c r="J39" s="64">
        <v>0.23</v>
      </c>
      <c r="K39" s="64">
        <v>146.91</v>
      </c>
      <c r="L39" s="64">
        <v>31.61</v>
      </c>
      <c r="M39" s="64">
        <v>49.92</v>
      </c>
      <c r="N39" s="64">
        <v>318.7</v>
      </c>
      <c r="O39" s="64">
        <v>0</v>
      </c>
      <c r="P39" s="64">
        <v>0.44</v>
      </c>
      <c r="Q39" s="64">
        <v>9.7100000000000009</v>
      </c>
      <c r="R39" s="198"/>
      <c r="S39" s="198"/>
      <c r="T39" s="198"/>
      <c r="U39" s="198"/>
    </row>
    <row r="40" spans="1:21" s="12" customFormat="1" x14ac:dyDescent="0.25">
      <c r="A40" s="214" t="s">
        <v>375</v>
      </c>
      <c r="B40" s="64">
        <v>3.2</v>
      </c>
      <c r="C40" s="64">
        <v>5.23</v>
      </c>
      <c r="D40" s="64">
        <v>6.44</v>
      </c>
      <c r="E40" s="64">
        <v>3.32</v>
      </c>
      <c r="F40" s="64">
        <v>4.38</v>
      </c>
      <c r="G40" s="64">
        <v>53.57</v>
      </c>
      <c r="H40" s="64">
        <v>17.399999999999999</v>
      </c>
      <c r="I40" s="64">
        <v>6.96</v>
      </c>
      <c r="J40" s="64">
        <v>0.81</v>
      </c>
      <c r="K40" s="64">
        <v>163.77000000000001</v>
      </c>
      <c r="L40" s="64">
        <v>32.1</v>
      </c>
      <c r="M40" s="64">
        <v>46.63</v>
      </c>
      <c r="N40" s="64">
        <v>373.3</v>
      </c>
      <c r="O40" s="64">
        <v>0</v>
      </c>
      <c r="P40" s="64">
        <v>0.44</v>
      </c>
      <c r="Q40" s="64">
        <v>9.69</v>
      </c>
      <c r="R40" s="198"/>
      <c r="S40" s="198"/>
      <c r="T40" s="198"/>
      <c r="U40" s="198"/>
    </row>
    <row r="41" spans="1:21" s="12" customFormat="1" x14ac:dyDescent="0.25">
      <c r="A41" s="214" t="s">
        <v>376</v>
      </c>
      <c r="B41" s="64">
        <v>3.12</v>
      </c>
      <c r="C41" s="64">
        <v>4.96</v>
      </c>
      <c r="D41" s="64">
        <v>6.24</v>
      </c>
      <c r="E41" s="64">
        <v>2.2599999999999998</v>
      </c>
      <c r="F41" s="64">
        <v>4.4000000000000004</v>
      </c>
      <c r="G41" s="64">
        <v>53.57</v>
      </c>
      <c r="H41" s="64">
        <v>17.399999999999999</v>
      </c>
      <c r="I41" s="64">
        <v>6.75</v>
      </c>
      <c r="J41" s="64">
        <v>0.41</v>
      </c>
      <c r="K41" s="64">
        <v>348.13</v>
      </c>
      <c r="L41" s="64">
        <v>33.950000000000003</v>
      </c>
      <c r="M41" s="64">
        <v>39.119999999999997</v>
      </c>
      <c r="N41" s="64">
        <v>418.2</v>
      </c>
      <c r="O41" s="64">
        <v>0</v>
      </c>
      <c r="P41" s="64">
        <v>0.46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4" t="s">
        <v>377</v>
      </c>
      <c r="B42" s="64">
        <v>3.14</v>
      </c>
      <c r="C42" s="64">
        <v>5.07</v>
      </c>
      <c r="D42" s="64">
        <v>6.31</v>
      </c>
      <c r="E42" s="64">
        <v>2.61</v>
      </c>
      <c r="F42" s="64">
        <v>4.58</v>
      </c>
      <c r="G42" s="64">
        <v>53.59</v>
      </c>
      <c r="H42" s="64">
        <v>17.45</v>
      </c>
      <c r="I42" s="64">
        <v>6.61</v>
      </c>
      <c r="J42" s="64">
        <v>7.0000000000000007E-2</v>
      </c>
      <c r="K42" s="64">
        <v>336.58</v>
      </c>
      <c r="L42" s="64">
        <v>34.61</v>
      </c>
      <c r="M42" s="64">
        <v>39.64</v>
      </c>
      <c r="N42" s="64">
        <v>462.2</v>
      </c>
      <c r="O42" s="64">
        <v>0</v>
      </c>
      <c r="P42" s="64">
        <v>0.47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4" t="s">
        <v>378</v>
      </c>
      <c r="B43" s="64">
        <v>3.11</v>
      </c>
      <c r="C43" s="64">
        <v>5.24</v>
      </c>
      <c r="D43" s="64">
        <v>6.37</v>
      </c>
      <c r="E43" s="64">
        <v>2.2200000000000002</v>
      </c>
      <c r="F43" s="64">
        <v>5.23</v>
      </c>
      <c r="G43" s="64">
        <v>53.91</v>
      </c>
      <c r="H43" s="64">
        <v>18</v>
      </c>
      <c r="I43" s="64">
        <v>6.46</v>
      </c>
      <c r="J43" s="64">
        <v>0.51</v>
      </c>
      <c r="K43" s="64">
        <v>350.44</v>
      </c>
      <c r="L43" s="64">
        <v>34.61</v>
      </c>
      <c r="M43" s="64">
        <v>41.85</v>
      </c>
      <c r="N43" s="64">
        <v>500.8</v>
      </c>
      <c r="O43" s="64">
        <v>0</v>
      </c>
      <c r="P43" s="64">
        <v>0.48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4" t="s">
        <v>379</v>
      </c>
      <c r="B44" s="64">
        <v>3.03</v>
      </c>
      <c r="C44" s="64">
        <v>5.0199999999999996</v>
      </c>
      <c r="D44" s="64">
        <v>6.2</v>
      </c>
      <c r="E44" s="64">
        <v>2.17</v>
      </c>
      <c r="F44" s="64">
        <v>6.11</v>
      </c>
      <c r="G44" s="64">
        <v>53.91</v>
      </c>
      <c r="H44" s="64">
        <v>18</v>
      </c>
      <c r="I44" s="64">
        <v>6.4</v>
      </c>
      <c r="J44" s="64">
        <v>0.54</v>
      </c>
      <c r="K44" s="64">
        <v>17.16</v>
      </c>
      <c r="L44" s="64">
        <v>34.54</v>
      </c>
      <c r="M44" s="64">
        <v>44.31</v>
      </c>
      <c r="N44" s="64">
        <v>527</v>
      </c>
      <c r="O44" s="64">
        <v>0</v>
      </c>
      <c r="P44" s="64">
        <v>0.48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4" t="s">
        <v>380</v>
      </c>
      <c r="B45" s="64">
        <v>2.96</v>
      </c>
      <c r="C45" s="64">
        <v>4.8099999999999996</v>
      </c>
      <c r="D45" s="64">
        <v>6.03</v>
      </c>
      <c r="E45" s="64">
        <v>2.38</v>
      </c>
      <c r="F45" s="64">
        <v>6.8</v>
      </c>
      <c r="G45" s="64">
        <v>53.91</v>
      </c>
      <c r="H45" s="64">
        <v>18</v>
      </c>
      <c r="I45" s="64">
        <v>6.48</v>
      </c>
      <c r="J45" s="64">
        <v>0.48</v>
      </c>
      <c r="K45" s="64">
        <v>357.99</v>
      </c>
      <c r="L45" s="64">
        <v>35.35</v>
      </c>
      <c r="M45" s="64">
        <v>42.45</v>
      </c>
      <c r="N45" s="64">
        <v>575.20000000000005</v>
      </c>
      <c r="O45" s="64">
        <v>0</v>
      </c>
      <c r="P45" s="64">
        <v>0.48</v>
      </c>
      <c r="Q45" s="64">
        <v>9.57</v>
      </c>
      <c r="R45" s="198"/>
      <c r="S45" s="198"/>
      <c r="T45" s="198"/>
      <c r="U45" s="198"/>
    </row>
    <row r="46" spans="1:21" s="12" customFormat="1" x14ac:dyDescent="0.25">
      <c r="A46" s="214" t="s">
        <v>381</v>
      </c>
      <c r="B46" s="64">
        <v>2.91</v>
      </c>
      <c r="C46" s="64">
        <v>4.7699999999999996</v>
      </c>
      <c r="D46" s="64">
        <v>5.97</v>
      </c>
      <c r="E46" s="64">
        <v>2.2200000000000002</v>
      </c>
      <c r="F46" s="64">
        <v>7.71</v>
      </c>
      <c r="G46" s="64">
        <v>54.37</v>
      </c>
      <c r="H46" s="64">
        <v>18.28</v>
      </c>
      <c r="I46" s="64">
        <v>6.48</v>
      </c>
      <c r="J46" s="64">
        <v>0.45</v>
      </c>
      <c r="K46" s="64">
        <v>12.97</v>
      </c>
      <c r="L46" s="64">
        <v>35.58</v>
      </c>
      <c r="M46" s="64">
        <v>41.08</v>
      </c>
      <c r="N46" s="64">
        <v>608.6</v>
      </c>
      <c r="O46" s="64">
        <v>0</v>
      </c>
      <c r="P46" s="64">
        <v>0.48</v>
      </c>
      <c r="Q46" s="64">
        <v>9.48</v>
      </c>
      <c r="R46" s="198"/>
      <c r="S46" s="198"/>
      <c r="T46" s="198"/>
      <c r="U46" s="198"/>
    </row>
    <row r="47" spans="1:21" s="12" customFormat="1" x14ac:dyDescent="0.25">
      <c r="A47" s="214" t="s">
        <v>382</v>
      </c>
      <c r="B47" s="64">
        <v>2.89</v>
      </c>
      <c r="C47" s="64">
        <v>4.51</v>
      </c>
      <c r="D47" s="64">
        <v>5.81</v>
      </c>
      <c r="E47" s="64">
        <v>2.4500000000000002</v>
      </c>
      <c r="F47" s="64">
        <v>8.08</v>
      </c>
      <c r="G47" s="64">
        <v>59.72</v>
      </c>
      <c r="H47" s="64">
        <v>21.61</v>
      </c>
      <c r="I47" s="64">
        <v>6.31</v>
      </c>
      <c r="J47" s="64">
        <v>0.23</v>
      </c>
      <c r="K47" s="64">
        <v>351.17</v>
      </c>
      <c r="L47" s="64">
        <v>35.64</v>
      </c>
      <c r="M47" s="64">
        <v>41.46</v>
      </c>
      <c r="N47" s="64">
        <v>652.79999999999995</v>
      </c>
      <c r="O47" s="64">
        <v>0</v>
      </c>
      <c r="P47" s="64">
        <v>0.49</v>
      </c>
      <c r="Q47" s="64">
        <v>9.43</v>
      </c>
      <c r="R47" s="198"/>
      <c r="S47" s="198"/>
      <c r="T47" s="198"/>
      <c r="U47" s="198"/>
    </row>
    <row r="48" spans="1:21" s="12" customFormat="1" x14ac:dyDescent="0.25">
      <c r="A48" s="214" t="s">
        <v>383</v>
      </c>
      <c r="B48" s="64">
        <v>2.88</v>
      </c>
      <c r="C48" s="64">
        <v>4.2300000000000004</v>
      </c>
      <c r="D48" s="64">
        <v>5.66</v>
      </c>
      <c r="E48" s="64">
        <v>2.2799999999999998</v>
      </c>
      <c r="F48" s="64">
        <v>8.19</v>
      </c>
      <c r="G48" s="64">
        <v>59.72</v>
      </c>
      <c r="H48" s="64">
        <v>21.61</v>
      </c>
      <c r="I48" s="64">
        <v>6.4</v>
      </c>
      <c r="J48" s="64">
        <v>0.54</v>
      </c>
      <c r="K48" s="64">
        <v>355.21</v>
      </c>
      <c r="L48" s="64">
        <v>36.409999999999997</v>
      </c>
      <c r="M48" s="64">
        <v>38.909999999999997</v>
      </c>
      <c r="N48" s="64">
        <v>702.1</v>
      </c>
      <c r="O48" s="64">
        <v>0</v>
      </c>
      <c r="P48" s="64">
        <v>0.48</v>
      </c>
      <c r="Q48" s="64">
        <v>9.4499999999999993</v>
      </c>
      <c r="R48" s="198"/>
      <c r="S48" s="198"/>
      <c r="T48" s="198"/>
      <c r="U48" s="198"/>
    </row>
    <row r="49" spans="1:21" s="12" customFormat="1" x14ac:dyDescent="0.25">
      <c r="A49" s="214" t="s">
        <v>384</v>
      </c>
      <c r="B49" s="64">
        <v>2.89</v>
      </c>
      <c r="C49" s="64">
        <v>4.1399999999999997</v>
      </c>
      <c r="D49" s="64">
        <v>5.63</v>
      </c>
      <c r="E49" s="64">
        <v>2.39</v>
      </c>
      <c r="F49" s="64">
        <v>7.75</v>
      </c>
      <c r="G49" s="64">
        <v>59.72</v>
      </c>
      <c r="H49" s="64">
        <v>21.61</v>
      </c>
      <c r="I49" s="64">
        <v>6.1</v>
      </c>
      <c r="J49" s="64">
        <v>0.52</v>
      </c>
      <c r="K49" s="64">
        <v>338.48</v>
      </c>
      <c r="L49" s="64">
        <v>36.74</v>
      </c>
      <c r="M49" s="64">
        <v>37.61</v>
      </c>
      <c r="N49" s="64">
        <v>542</v>
      </c>
      <c r="O49" s="64">
        <v>0</v>
      </c>
      <c r="P49" s="64">
        <v>0.48</v>
      </c>
      <c r="Q49" s="64">
        <v>9.4499999999999993</v>
      </c>
      <c r="R49" s="198"/>
      <c r="S49" s="198"/>
      <c r="T49" s="198"/>
      <c r="U49" s="198"/>
    </row>
    <row r="50" spans="1:21" s="12" customFormat="1" x14ac:dyDescent="0.25">
      <c r="A50" s="214" t="s">
        <v>385</v>
      </c>
      <c r="B50" s="64">
        <v>2.86</v>
      </c>
      <c r="C50" s="64">
        <v>4.01</v>
      </c>
      <c r="D50" s="64">
        <v>5.53</v>
      </c>
      <c r="E50" s="64">
        <v>2.56</v>
      </c>
      <c r="F50" s="64">
        <v>9</v>
      </c>
      <c r="G50" s="64">
        <v>59.82</v>
      </c>
      <c r="H50" s="64">
        <v>21.74</v>
      </c>
      <c r="I50" s="64">
        <v>5.56</v>
      </c>
      <c r="J50" s="64">
        <v>0.48</v>
      </c>
      <c r="K50" s="64">
        <v>345.37</v>
      </c>
      <c r="L50" s="64">
        <v>35.950000000000003</v>
      </c>
      <c r="M50" s="64">
        <v>38.520000000000003</v>
      </c>
      <c r="N50" s="64">
        <v>694.9</v>
      </c>
      <c r="O50" s="64">
        <v>0</v>
      </c>
      <c r="P50" s="64">
        <v>0.47</v>
      </c>
      <c r="Q50" s="64">
        <v>9.43</v>
      </c>
      <c r="R50" s="198"/>
      <c r="S50" s="198"/>
      <c r="T50" s="198"/>
      <c r="U50" s="198"/>
    </row>
    <row r="51" spans="1:21" s="12" customFormat="1" x14ac:dyDescent="0.25">
      <c r="A51" s="214" t="s">
        <v>386</v>
      </c>
      <c r="B51" s="64">
        <v>2.84</v>
      </c>
      <c r="C51" s="64">
        <v>4.09</v>
      </c>
      <c r="D51" s="64">
        <v>5.56</v>
      </c>
      <c r="E51" s="64">
        <v>2.39</v>
      </c>
      <c r="F51" s="64">
        <v>9.26</v>
      </c>
      <c r="G51" s="64">
        <v>60.94</v>
      </c>
      <c r="H51" s="64">
        <v>23.29</v>
      </c>
      <c r="I51" s="64">
        <v>5.21</v>
      </c>
      <c r="J51" s="64">
        <v>0.45</v>
      </c>
      <c r="K51" s="64">
        <v>320.85000000000002</v>
      </c>
      <c r="L51" s="64">
        <v>37.159999999999997</v>
      </c>
      <c r="M51" s="64">
        <v>36.369999999999997</v>
      </c>
      <c r="N51" s="64">
        <v>724.1</v>
      </c>
      <c r="O51" s="64">
        <v>0</v>
      </c>
      <c r="P51" s="64">
        <v>0.46</v>
      </c>
      <c r="Q51" s="64">
        <v>9.4600000000000009</v>
      </c>
      <c r="R51" s="198"/>
      <c r="S51" s="198"/>
      <c r="T51" s="198"/>
      <c r="U51" s="198"/>
    </row>
    <row r="52" spans="1:21" s="12" customFormat="1" x14ac:dyDescent="0.25">
      <c r="A52" s="214" t="s">
        <v>387</v>
      </c>
      <c r="B52" s="64">
        <v>2.84</v>
      </c>
      <c r="C52" s="64">
        <v>4.01</v>
      </c>
      <c r="D52" s="64">
        <v>5.52</v>
      </c>
      <c r="E52" s="64">
        <v>2.54</v>
      </c>
      <c r="F52" s="64">
        <v>9.49</v>
      </c>
      <c r="G52" s="64">
        <v>60.94</v>
      </c>
      <c r="H52" s="64">
        <v>23.29</v>
      </c>
      <c r="I52" s="64">
        <v>4.87</v>
      </c>
      <c r="J52" s="64">
        <v>0.91</v>
      </c>
      <c r="K52" s="64">
        <v>335.26</v>
      </c>
      <c r="L52" s="64">
        <v>38.22</v>
      </c>
      <c r="M52" s="64">
        <v>34.64</v>
      </c>
      <c r="N52" s="64">
        <v>743.7</v>
      </c>
      <c r="O52" s="64">
        <v>0</v>
      </c>
      <c r="P52" s="64">
        <v>0.47</v>
      </c>
      <c r="Q52" s="64">
        <v>9.42</v>
      </c>
      <c r="R52" s="198"/>
      <c r="S52" s="198"/>
      <c r="T52" s="198"/>
      <c r="U52" s="198"/>
    </row>
    <row r="53" spans="1:21" s="12" customFormat="1" x14ac:dyDescent="0.25">
      <c r="A53" s="214" t="s">
        <v>388</v>
      </c>
      <c r="B53" s="64">
        <v>2.86</v>
      </c>
      <c r="C53" s="64">
        <v>4.42</v>
      </c>
      <c r="D53" s="64">
        <v>5.75</v>
      </c>
      <c r="E53" s="64">
        <v>2.57</v>
      </c>
      <c r="F53" s="64">
        <v>9.09</v>
      </c>
      <c r="G53" s="64">
        <v>60.94</v>
      </c>
      <c r="H53" s="64">
        <v>23.29</v>
      </c>
      <c r="I53" s="64">
        <v>4.62</v>
      </c>
      <c r="J53" s="64">
        <v>1.26</v>
      </c>
      <c r="K53" s="64">
        <v>330.32</v>
      </c>
      <c r="L53" s="64">
        <v>39.75</v>
      </c>
      <c r="M53" s="64">
        <v>32.58</v>
      </c>
      <c r="N53" s="64">
        <v>752.5</v>
      </c>
      <c r="O53" s="64">
        <v>0</v>
      </c>
      <c r="P53" s="64">
        <v>0.51</v>
      </c>
      <c r="Q53" s="64">
        <v>9.48</v>
      </c>
      <c r="R53" s="198"/>
      <c r="S53" s="198"/>
      <c r="T53" s="198"/>
      <c r="U53" s="198"/>
    </row>
    <row r="54" spans="1:21" s="12" customFormat="1" x14ac:dyDescent="0.25">
      <c r="A54" s="214" t="s">
        <v>389</v>
      </c>
      <c r="B54" s="64">
        <v>2.9</v>
      </c>
      <c r="C54" s="64">
        <v>4.93</v>
      </c>
      <c r="D54" s="64">
        <v>6.04</v>
      </c>
      <c r="E54" s="64">
        <v>2.62</v>
      </c>
      <c r="F54" s="64">
        <v>8.51</v>
      </c>
      <c r="G54" s="64">
        <v>60.95</v>
      </c>
      <c r="H54" s="64">
        <v>23.53</v>
      </c>
      <c r="I54" s="64">
        <v>4.57</v>
      </c>
      <c r="J54" s="64">
        <v>1.04</v>
      </c>
      <c r="K54" s="64">
        <v>329.43</v>
      </c>
      <c r="L54" s="64">
        <v>40.770000000000003</v>
      </c>
      <c r="M54" s="64">
        <v>28.43</v>
      </c>
      <c r="N54" s="64">
        <v>769.7</v>
      </c>
      <c r="O54" s="64">
        <v>0</v>
      </c>
      <c r="P54" s="64">
        <v>0.53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14" t="s">
        <v>390</v>
      </c>
      <c r="B55" s="64">
        <v>2.91</v>
      </c>
      <c r="C55" s="64">
        <v>5.1100000000000003</v>
      </c>
      <c r="D55" s="64">
        <v>6.15</v>
      </c>
      <c r="E55" s="64">
        <v>2.59</v>
      </c>
      <c r="F55" s="64">
        <v>8.65</v>
      </c>
      <c r="G55" s="64">
        <v>61.04</v>
      </c>
      <c r="H55" s="64">
        <v>26.41</v>
      </c>
      <c r="I55" s="64">
        <v>4.63</v>
      </c>
      <c r="J55" s="64">
        <v>1.27</v>
      </c>
      <c r="K55" s="64">
        <v>339.49</v>
      </c>
      <c r="L55" s="64">
        <v>40.409999999999997</v>
      </c>
      <c r="M55" s="64">
        <v>27.66</v>
      </c>
      <c r="N55" s="64">
        <v>764.1</v>
      </c>
      <c r="O55" s="64">
        <v>0</v>
      </c>
      <c r="P55" s="64">
        <v>0.54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4" t="s">
        <v>391</v>
      </c>
      <c r="B56" s="64">
        <v>2.92</v>
      </c>
      <c r="C56" s="64">
        <v>5.14</v>
      </c>
      <c r="D56" s="64">
        <v>6.17</v>
      </c>
      <c r="E56" s="64">
        <v>0.86</v>
      </c>
      <c r="F56" s="64">
        <v>8.16</v>
      </c>
      <c r="G56" s="64">
        <v>61.04</v>
      </c>
      <c r="H56" s="64">
        <v>26.41</v>
      </c>
      <c r="I56" s="64">
        <v>4.5999999999999996</v>
      </c>
      <c r="J56" s="64">
        <v>1.32</v>
      </c>
      <c r="K56" s="64">
        <v>326.51</v>
      </c>
      <c r="L56" s="64">
        <v>40.909999999999997</v>
      </c>
      <c r="M56" s="64">
        <v>25.81</v>
      </c>
      <c r="N56" s="64">
        <v>762.8</v>
      </c>
      <c r="O56" s="64">
        <v>0</v>
      </c>
      <c r="P56" s="64">
        <v>0.54</v>
      </c>
      <c r="Q56" s="64">
        <v>9.59</v>
      </c>
      <c r="R56" s="198"/>
      <c r="S56" s="198"/>
      <c r="T56" s="198"/>
      <c r="U56" s="198"/>
    </row>
    <row r="57" spans="1:21" s="12" customFormat="1" x14ac:dyDescent="0.25">
      <c r="A57" s="214" t="s">
        <v>392</v>
      </c>
      <c r="B57" s="64">
        <v>2.93</v>
      </c>
      <c r="C57" s="64">
        <v>5.3</v>
      </c>
      <c r="D57" s="64">
        <v>6.26</v>
      </c>
      <c r="E57" s="64">
        <v>0.61</v>
      </c>
      <c r="F57" s="64">
        <v>7.39</v>
      </c>
      <c r="G57" s="64">
        <v>61.04</v>
      </c>
      <c r="H57" s="64">
        <v>26.41</v>
      </c>
      <c r="I57" s="64">
        <v>4.53</v>
      </c>
      <c r="J57" s="64">
        <v>1.29</v>
      </c>
      <c r="K57" s="64">
        <v>332.5</v>
      </c>
      <c r="L57" s="64">
        <v>41.59</v>
      </c>
      <c r="M57" s="64">
        <v>24.69</v>
      </c>
      <c r="N57" s="64">
        <v>769.8</v>
      </c>
      <c r="O57" s="64">
        <v>0</v>
      </c>
      <c r="P57" s="64">
        <v>0.54</v>
      </c>
      <c r="Q57" s="64">
        <v>9.5500000000000007</v>
      </c>
      <c r="R57" s="198"/>
      <c r="S57" s="198"/>
      <c r="T57" s="198"/>
      <c r="U57" s="198"/>
    </row>
    <row r="58" spans="1:21" s="12" customFormat="1" x14ac:dyDescent="0.25">
      <c r="A58" s="214" t="s">
        <v>393</v>
      </c>
      <c r="B58" s="64">
        <v>2.93</v>
      </c>
      <c r="C58" s="64">
        <v>5.14</v>
      </c>
      <c r="D58" s="64">
        <v>6.18</v>
      </c>
      <c r="E58" s="64">
        <v>0.7</v>
      </c>
      <c r="F58" s="64">
        <v>6.81</v>
      </c>
      <c r="G58" s="64">
        <v>60.69</v>
      </c>
      <c r="H58" s="64">
        <v>26.36</v>
      </c>
      <c r="I58" s="64">
        <v>4.53</v>
      </c>
      <c r="J58" s="64">
        <v>1.53</v>
      </c>
      <c r="K58" s="64">
        <v>342.6</v>
      </c>
      <c r="L58" s="64">
        <v>41.76</v>
      </c>
      <c r="M58" s="64">
        <v>24.37</v>
      </c>
      <c r="N58" s="64">
        <v>718.5</v>
      </c>
      <c r="O58" s="64">
        <v>0</v>
      </c>
      <c r="P58" s="64">
        <v>0.53</v>
      </c>
      <c r="Q58" s="64">
        <v>9.5500000000000007</v>
      </c>
      <c r="R58" s="198"/>
      <c r="S58" s="198"/>
      <c r="T58" s="198"/>
      <c r="U58" s="198"/>
    </row>
    <row r="59" spans="1:21" s="12" customFormat="1" x14ac:dyDescent="0.25">
      <c r="A59" s="214" t="s">
        <v>394</v>
      </c>
      <c r="B59" s="64">
        <v>2.92</v>
      </c>
      <c r="C59" s="64">
        <v>4.8499999999999996</v>
      </c>
      <c r="D59" s="64">
        <v>6.02</v>
      </c>
      <c r="E59" s="64">
        <v>0.63</v>
      </c>
      <c r="F59" s="64">
        <v>6.75</v>
      </c>
      <c r="G59" s="64">
        <v>56.5</v>
      </c>
      <c r="H59" s="64">
        <v>25.76</v>
      </c>
      <c r="I59" s="64">
        <v>4.53</v>
      </c>
      <c r="J59" s="64">
        <v>1.41</v>
      </c>
      <c r="K59" s="64">
        <v>322.20999999999998</v>
      </c>
      <c r="L59" s="64">
        <v>41.01</v>
      </c>
      <c r="M59" s="64">
        <v>25.52</v>
      </c>
      <c r="N59" s="64">
        <v>431.7</v>
      </c>
      <c r="O59" s="64">
        <v>0</v>
      </c>
      <c r="P59" s="64">
        <v>0.53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4" t="s">
        <v>395</v>
      </c>
      <c r="B60" s="64">
        <v>2.9</v>
      </c>
      <c r="C60" s="64">
        <v>4.66</v>
      </c>
      <c r="D60" s="64">
        <v>5.9</v>
      </c>
      <c r="E60" s="64">
        <v>0.71</v>
      </c>
      <c r="F60" s="64">
        <v>7.19</v>
      </c>
      <c r="G60" s="64">
        <v>56.5</v>
      </c>
      <c r="H60" s="64">
        <v>25.76</v>
      </c>
      <c r="I60" s="64">
        <v>4.59</v>
      </c>
      <c r="J60" s="64">
        <v>0.11</v>
      </c>
      <c r="K60" s="64">
        <v>245.17</v>
      </c>
      <c r="L60" s="64">
        <v>40.29</v>
      </c>
      <c r="M60" s="64">
        <v>25.2</v>
      </c>
      <c r="N60" s="64">
        <v>723.2</v>
      </c>
      <c r="O60" s="64">
        <v>0</v>
      </c>
      <c r="P60" s="64">
        <v>0.53</v>
      </c>
      <c r="Q60" s="64">
        <v>9.52</v>
      </c>
      <c r="R60" s="198"/>
      <c r="S60" s="198"/>
      <c r="T60" s="198"/>
      <c r="U60" s="198"/>
    </row>
    <row r="61" spans="1:21" s="12" customFormat="1" x14ac:dyDescent="0.25">
      <c r="A61" s="214" t="s">
        <v>396</v>
      </c>
      <c r="B61" s="64">
        <v>2.88</v>
      </c>
      <c r="C61" s="64">
        <v>4.5599999999999996</v>
      </c>
      <c r="D61" s="64">
        <v>5.83</v>
      </c>
      <c r="E61" s="64">
        <v>0.52</v>
      </c>
      <c r="F61" s="64">
        <v>7.12</v>
      </c>
      <c r="G61" s="64">
        <v>56.5</v>
      </c>
      <c r="H61" s="64">
        <v>25.76</v>
      </c>
      <c r="I61" s="64">
        <v>4.82</v>
      </c>
      <c r="J61" s="64">
        <v>0.83</v>
      </c>
      <c r="K61" s="64">
        <v>326.44</v>
      </c>
      <c r="L61" s="64">
        <v>40.46</v>
      </c>
      <c r="M61" s="64">
        <v>24.07</v>
      </c>
      <c r="N61" s="64">
        <v>749.4</v>
      </c>
      <c r="O61" s="64">
        <v>0</v>
      </c>
      <c r="P61" s="64">
        <v>0.5</v>
      </c>
      <c r="Q61" s="64">
        <v>9.51</v>
      </c>
      <c r="R61" s="198"/>
      <c r="S61" s="198"/>
      <c r="T61" s="198"/>
      <c r="U61" s="198"/>
    </row>
    <row r="62" spans="1:21" s="12" customFormat="1" x14ac:dyDescent="0.25">
      <c r="A62" s="214" t="s">
        <v>397</v>
      </c>
      <c r="B62" s="64">
        <v>2.87</v>
      </c>
      <c r="C62" s="64">
        <v>4.45</v>
      </c>
      <c r="D62" s="64">
        <v>5.78</v>
      </c>
      <c r="E62" s="64">
        <v>0.61</v>
      </c>
      <c r="F62" s="64">
        <v>7.15</v>
      </c>
      <c r="G62" s="64">
        <v>56.53</v>
      </c>
      <c r="H62" s="64">
        <v>25.65</v>
      </c>
      <c r="I62" s="64">
        <v>4.9400000000000004</v>
      </c>
      <c r="J62" s="64">
        <v>0.21</v>
      </c>
      <c r="K62" s="64">
        <v>323.64</v>
      </c>
      <c r="L62" s="64">
        <v>41.48</v>
      </c>
      <c r="M62" s="64">
        <v>21.92</v>
      </c>
      <c r="N62" s="64">
        <v>738.6</v>
      </c>
      <c r="O62" s="64">
        <v>0</v>
      </c>
      <c r="P62" s="64">
        <v>0.49</v>
      </c>
      <c r="Q62" s="64">
        <v>9.4700000000000006</v>
      </c>
      <c r="R62" s="198"/>
      <c r="S62" s="198"/>
      <c r="T62" s="198"/>
      <c r="U62" s="198"/>
    </row>
    <row r="63" spans="1:21" s="12" customFormat="1" x14ac:dyDescent="0.25">
      <c r="A63" s="214" t="s">
        <v>398</v>
      </c>
      <c r="B63" s="64">
        <v>2.87</v>
      </c>
      <c r="C63" s="64">
        <v>4.58</v>
      </c>
      <c r="D63" s="64">
        <v>5.83</v>
      </c>
      <c r="E63" s="64">
        <v>1.48</v>
      </c>
      <c r="F63" s="64">
        <v>7.35</v>
      </c>
      <c r="G63" s="64">
        <v>56.87</v>
      </c>
      <c r="H63" s="64">
        <v>24.27</v>
      </c>
      <c r="I63" s="64">
        <v>4.8899999999999997</v>
      </c>
      <c r="J63" s="64">
        <v>0.1</v>
      </c>
      <c r="K63" s="64">
        <v>278.33999999999997</v>
      </c>
      <c r="L63" s="64">
        <v>39.799999999999997</v>
      </c>
      <c r="M63" s="64">
        <v>24.17</v>
      </c>
      <c r="N63" s="64">
        <v>268.3</v>
      </c>
      <c r="O63" s="64">
        <v>0</v>
      </c>
      <c r="P63" s="64">
        <v>0.48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4" t="s">
        <v>399</v>
      </c>
      <c r="B64" s="64">
        <v>2.84</v>
      </c>
      <c r="C64" s="64">
        <v>4.46</v>
      </c>
      <c r="D64" s="64">
        <v>5.75</v>
      </c>
      <c r="E64" s="64">
        <v>0.87</v>
      </c>
      <c r="F64" s="64">
        <v>8.49</v>
      </c>
      <c r="G64" s="64">
        <v>56.87</v>
      </c>
      <c r="H64" s="64">
        <v>24.27</v>
      </c>
      <c r="I64" s="64">
        <v>4.8899999999999997</v>
      </c>
      <c r="J64" s="64">
        <v>0.15</v>
      </c>
      <c r="K64" s="64">
        <v>268.14</v>
      </c>
      <c r="L64" s="64">
        <v>35.58</v>
      </c>
      <c r="M64" s="64">
        <v>36.26</v>
      </c>
      <c r="N64" s="64">
        <v>207.5</v>
      </c>
      <c r="O64" s="64">
        <v>0</v>
      </c>
      <c r="P64" s="64">
        <v>0.46</v>
      </c>
      <c r="Q64" s="64">
        <v>9.3800000000000008</v>
      </c>
      <c r="R64" s="198"/>
      <c r="S64" s="198"/>
      <c r="T64" s="198"/>
      <c r="U64" s="198"/>
    </row>
    <row r="65" spans="1:21" s="12" customFormat="1" x14ac:dyDescent="0.25">
      <c r="A65" s="214" t="s">
        <v>400</v>
      </c>
      <c r="B65" s="64">
        <v>2.76</v>
      </c>
      <c r="C65" s="64">
        <v>3.8</v>
      </c>
      <c r="D65" s="64">
        <v>5.34</v>
      </c>
      <c r="E65" s="64">
        <v>1.2</v>
      </c>
      <c r="F65" s="64">
        <v>11.86</v>
      </c>
      <c r="G65" s="64">
        <v>56.87</v>
      </c>
      <c r="H65" s="64">
        <v>24.27</v>
      </c>
      <c r="I65" s="64">
        <v>4.82</v>
      </c>
      <c r="J65" s="64">
        <v>0.39</v>
      </c>
      <c r="K65" s="64">
        <v>6.75</v>
      </c>
      <c r="L65" s="64">
        <v>34.700000000000003</v>
      </c>
      <c r="M65" s="64">
        <v>36.159999999999997</v>
      </c>
      <c r="N65" s="64">
        <v>323.89999999999998</v>
      </c>
      <c r="O65" s="64">
        <v>0</v>
      </c>
      <c r="P65" s="64">
        <v>0.45</v>
      </c>
      <c r="Q65" s="64">
        <v>9.33</v>
      </c>
      <c r="R65" s="198"/>
      <c r="S65" s="198"/>
      <c r="T65" s="198"/>
      <c r="U65" s="198"/>
    </row>
    <row r="66" spans="1:21" s="12" customFormat="1" x14ac:dyDescent="0.25">
      <c r="A66" s="214" t="s">
        <v>401</v>
      </c>
      <c r="B66" s="64">
        <v>2.77</v>
      </c>
      <c r="C66" s="64">
        <v>3.69</v>
      </c>
      <c r="D66" s="64">
        <v>5.29</v>
      </c>
      <c r="E66" s="64">
        <v>0.81</v>
      </c>
      <c r="F66" s="64">
        <v>12.05</v>
      </c>
      <c r="G66" s="64">
        <v>57.2</v>
      </c>
      <c r="H66" s="64">
        <v>24.28</v>
      </c>
      <c r="I66" s="64">
        <v>4.41</v>
      </c>
      <c r="J66" s="64">
        <v>0.16</v>
      </c>
      <c r="K66" s="64">
        <v>191.38</v>
      </c>
      <c r="L66" s="64">
        <v>35.22</v>
      </c>
      <c r="M66" s="64">
        <v>35.39</v>
      </c>
      <c r="N66" s="64">
        <v>326.60000000000002</v>
      </c>
      <c r="O66" s="64">
        <v>0</v>
      </c>
      <c r="P66" s="64">
        <v>0.44</v>
      </c>
      <c r="Q66" s="64">
        <v>9.32</v>
      </c>
      <c r="R66" s="198"/>
      <c r="S66" s="198"/>
      <c r="T66" s="198"/>
      <c r="U66" s="198"/>
    </row>
    <row r="67" spans="1:21" s="12" customFormat="1" x14ac:dyDescent="0.25">
      <c r="A67" s="214" t="s">
        <v>402</v>
      </c>
      <c r="B67" s="64">
        <v>2.76</v>
      </c>
      <c r="C67" s="64">
        <v>3.51</v>
      </c>
      <c r="D67" s="64">
        <v>5.19</v>
      </c>
      <c r="E67" s="64">
        <v>0.89</v>
      </c>
      <c r="F67" s="64">
        <v>9.57</v>
      </c>
      <c r="G67" s="64">
        <v>61.13</v>
      </c>
      <c r="H67" s="64">
        <v>24.33</v>
      </c>
      <c r="I67" s="64">
        <v>4.01</v>
      </c>
      <c r="J67" s="64">
        <v>0.08</v>
      </c>
      <c r="K67" s="64">
        <v>217.33</v>
      </c>
      <c r="L67" s="64">
        <v>35.840000000000003</v>
      </c>
      <c r="M67" s="64">
        <v>33.9</v>
      </c>
      <c r="N67" s="64">
        <v>222.3</v>
      </c>
      <c r="O67" s="64">
        <v>0</v>
      </c>
      <c r="P67" s="64">
        <v>0.44</v>
      </c>
      <c r="Q67" s="64">
        <v>9.33</v>
      </c>
      <c r="R67" s="198"/>
      <c r="S67" s="198"/>
      <c r="T67" s="198"/>
      <c r="U67" s="198"/>
    </row>
    <row r="68" spans="1:21" s="12" customFormat="1" x14ac:dyDescent="0.25">
      <c r="A68" s="214" t="s">
        <v>403</v>
      </c>
      <c r="B68" s="64">
        <v>2.73</v>
      </c>
      <c r="C68" s="64">
        <v>3.23</v>
      </c>
      <c r="D68" s="64">
        <v>5.03</v>
      </c>
      <c r="E68" s="64">
        <v>0.54</v>
      </c>
      <c r="F68" s="64">
        <v>9.42</v>
      </c>
      <c r="G68" s="64">
        <v>61.13</v>
      </c>
      <c r="H68" s="64">
        <v>24.33</v>
      </c>
      <c r="I68" s="64">
        <v>3.9</v>
      </c>
      <c r="J68" s="64">
        <v>0.44</v>
      </c>
      <c r="K68" s="64">
        <v>13.81</v>
      </c>
      <c r="L68" s="64">
        <v>36.39</v>
      </c>
      <c r="M68" s="64">
        <v>33.36</v>
      </c>
      <c r="N68" s="64">
        <v>250.7</v>
      </c>
      <c r="O68" s="64">
        <v>0</v>
      </c>
      <c r="P68" s="64">
        <v>0.45</v>
      </c>
      <c r="Q68" s="64">
        <v>9.36</v>
      </c>
      <c r="R68" s="198"/>
      <c r="S68" s="198"/>
      <c r="T68" s="198"/>
      <c r="U68" s="198"/>
    </row>
    <row r="69" spans="1:21" s="12" customFormat="1" x14ac:dyDescent="0.25">
      <c r="A69" s="214" t="s">
        <v>404</v>
      </c>
      <c r="B69" s="64">
        <v>2.73</v>
      </c>
      <c r="C69" s="64">
        <v>3.29</v>
      </c>
      <c r="D69" s="64">
        <v>5.0599999999999996</v>
      </c>
      <c r="E69" s="64">
        <v>0.8</v>
      </c>
      <c r="F69" s="64">
        <v>8.39</v>
      </c>
      <c r="G69" s="64">
        <v>61.13</v>
      </c>
      <c r="H69" s="64">
        <v>24.33</v>
      </c>
      <c r="I69" s="64">
        <v>3.97</v>
      </c>
      <c r="J69" s="64">
        <v>0.55000000000000004</v>
      </c>
      <c r="K69" s="64">
        <v>330.57</v>
      </c>
      <c r="L69" s="64">
        <v>36.83</v>
      </c>
      <c r="M69" s="64">
        <v>32.1</v>
      </c>
      <c r="N69" s="64">
        <v>215.4</v>
      </c>
      <c r="O69" s="64">
        <v>0</v>
      </c>
      <c r="P69" s="64">
        <v>0.45</v>
      </c>
      <c r="Q69" s="64">
        <v>9.36</v>
      </c>
      <c r="R69" s="198"/>
      <c r="S69" s="198"/>
      <c r="T69" s="198"/>
      <c r="U69" s="198"/>
    </row>
    <row r="70" spans="1:21" s="12" customFormat="1" x14ac:dyDescent="0.25">
      <c r="A70" s="214" t="s">
        <v>405</v>
      </c>
      <c r="B70" s="64">
        <v>2.67</v>
      </c>
      <c r="C70" s="64">
        <v>2.68</v>
      </c>
      <c r="D70" s="64">
        <v>4.68</v>
      </c>
      <c r="E70" s="64">
        <v>0.78</v>
      </c>
      <c r="F70" s="64">
        <v>7.14</v>
      </c>
      <c r="G70" s="64">
        <v>63.05</v>
      </c>
      <c r="H70" s="64">
        <v>24.67</v>
      </c>
      <c r="I70" s="64">
        <v>3.98</v>
      </c>
      <c r="J70" s="64">
        <v>1.98</v>
      </c>
      <c r="K70" s="64">
        <v>343.82</v>
      </c>
      <c r="L70" s="64">
        <v>36.270000000000003</v>
      </c>
      <c r="M70" s="64">
        <v>32.24</v>
      </c>
      <c r="N70" s="64">
        <v>190.6</v>
      </c>
      <c r="O70" s="64">
        <v>0</v>
      </c>
      <c r="P70" s="64">
        <v>0.45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4" t="s">
        <v>406</v>
      </c>
      <c r="B71" s="64">
        <v>2.67</v>
      </c>
      <c r="C71" s="64">
        <v>2.42</v>
      </c>
      <c r="D71" s="64">
        <v>4.55</v>
      </c>
      <c r="E71" s="64">
        <v>0.52</v>
      </c>
      <c r="F71" s="64">
        <v>6.09</v>
      </c>
      <c r="G71" s="64">
        <v>85.84</v>
      </c>
      <c r="H71" s="64">
        <v>28.77</v>
      </c>
      <c r="I71" s="64">
        <v>3.95</v>
      </c>
      <c r="J71" s="64">
        <v>1.6</v>
      </c>
      <c r="K71" s="64">
        <v>344.62</v>
      </c>
      <c r="L71" s="64">
        <v>34.9</v>
      </c>
      <c r="M71" s="64">
        <v>32.79</v>
      </c>
      <c r="N71" s="64">
        <v>211.1</v>
      </c>
      <c r="O71" s="64">
        <v>0</v>
      </c>
      <c r="P71" s="64">
        <v>0.45</v>
      </c>
      <c r="Q71" s="64">
        <v>9.39</v>
      </c>
      <c r="R71" s="198"/>
      <c r="S71" s="198"/>
      <c r="T71" s="198"/>
      <c r="U71" s="198"/>
    </row>
    <row r="72" spans="1:21" s="12" customFormat="1" x14ac:dyDescent="0.25">
      <c r="A72" s="214" t="s">
        <v>407</v>
      </c>
      <c r="B72" s="64">
        <v>2.87</v>
      </c>
      <c r="C72" s="64">
        <v>4.05</v>
      </c>
      <c r="D72" s="64">
        <v>5.57</v>
      </c>
      <c r="E72" s="64">
        <v>1.69</v>
      </c>
      <c r="F72" s="64">
        <v>5.05</v>
      </c>
      <c r="G72" s="64">
        <v>85.84</v>
      </c>
      <c r="H72" s="64">
        <v>28.77</v>
      </c>
      <c r="I72" s="64">
        <v>4.1900000000000004</v>
      </c>
      <c r="J72" s="64">
        <v>0.54</v>
      </c>
      <c r="K72" s="64">
        <v>38.39</v>
      </c>
      <c r="L72" s="64">
        <v>35.369999999999997</v>
      </c>
      <c r="M72" s="64">
        <v>31.4</v>
      </c>
      <c r="N72" s="64">
        <v>211.3</v>
      </c>
      <c r="O72" s="64">
        <v>0</v>
      </c>
      <c r="P72" s="64">
        <v>0.46</v>
      </c>
      <c r="Q72" s="64">
        <v>9.4700000000000006</v>
      </c>
      <c r="R72" s="198"/>
      <c r="S72" s="198"/>
      <c r="T72" s="198"/>
      <c r="U72" s="198"/>
    </row>
    <row r="73" spans="1:21" s="12" customFormat="1" x14ac:dyDescent="0.25">
      <c r="A73" s="214" t="s">
        <v>408</v>
      </c>
      <c r="B73" s="64">
        <v>2.91</v>
      </c>
      <c r="C73" s="64">
        <v>4.3</v>
      </c>
      <c r="D73" s="64">
        <v>5.73</v>
      </c>
      <c r="E73" s="64">
        <v>0.91</v>
      </c>
      <c r="F73" s="64">
        <v>5.13</v>
      </c>
      <c r="G73" s="64">
        <v>85.84</v>
      </c>
      <c r="H73" s="64">
        <v>28.77</v>
      </c>
      <c r="I73" s="64">
        <v>4.59</v>
      </c>
      <c r="J73" s="64">
        <v>0.76</v>
      </c>
      <c r="K73" s="64">
        <v>49.67</v>
      </c>
      <c r="L73" s="64">
        <v>35.51</v>
      </c>
      <c r="M73" s="64">
        <v>30.46</v>
      </c>
      <c r="N73" s="64">
        <v>201</v>
      </c>
      <c r="O73" s="64">
        <v>0</v>
      </c>
      <c r="P73" s="64">
        <v>0.46</v>
      </c>
      <c r="Q73" s="64">
        <v>9.5399999999999991</v>
      </c>
      <c r="R73" s="198"/>
      <c r="S73" s="198"/>
      <c r="T73" s="198"/>
      <c r="U73" s="198"/>
    </row>
    <row r="74" spans="1:21" s="12" customFormat="1" x14ac:dyDescent="0.25">
      <c r="A74" s="214" t="s">
        <v>409</v>
      </c>
      <c r="B74" s="64">
        <v>2.91</v>
      </c>
      <c r="C74" s="64">
        <v>4.29</v>
      </c>
      <c r="D74" s="64">
        <v>5.72</v>
      </c>
      <c r="E74" s="64">
        <v>1.25</v>
      </c>
      <c r="F74" s="64">
        <v>5.15</v>
      </c>
      <c r="G74" s="64">
        <v>86.14</v>
      </c>
      <c r="H74" s="64">
        <v>28.82</v>
      </c>
      <c r="I74" s="64">
        <v>5.08</v>
      </c>
      <c r="J74" s="64">
        <v>0.5</v>
      </c>
      <c r="K74" s="64">
        <v>55.22</v>
      </c>
      <c r="L74" s="64">
        <v>35.549999999999997</v>
      </c>
      <c r="M74" s="64">
        <v>29.92</v>
      </c>
      <c r="N74" s="64">
        <v>195.6</v>
      </c>
      <c r="O74" s="64">
        <v>0</v>
      </c>
      <c r="P74" s="64">
        <v>0.46</v>
      </c>
      <c r="Q74" s="64">
        <v>9.57</v>
      </c>
      <c r="R74" s="198"/>
      <c r="S74" s="198"/>
      <c r="T74" s="198"/>
      <c r="U74" s="198"/>
    </row>
    <row r="75" spans="1:21" s="12" customFormat="1" x14ac:dyDescent="0.25">
      <c r="A75" s="214" t="s">
        <v>410</v>
      </c>
      <c r="B75" s="64">
        <v>2.92</v>
      </c>
      <c r="C75" s="64">
        <v>4.3499999999999996</v>
      </c>
      <c r="D75" s="64">
        <v>5.76</v>
      </c>
      <c r="E75" s="64">
        <v>1.43</v>
      </c>
      <c r="F75" s="64">
        <v>4.99</v>
      </c>
      <c r="G75" s="64">
        <v>89.79</v>
      </c>
      <c r="H75" s="64">
        <v>29.34</v>
      </c>
      <c r="I75" s="64">
        <v>5.68</v>
      </c>
      <c r="J75" s="64">
        <v>0.52</v>
      </c>
      <c r="K75" s="64">
        <v>38.700000000000003</v>
      </c>
      <c r="L75" s="64">
        <v>35.979999999999997</v>
      </c>
      <c r="M75" s="64">
        <v>29.14</v>
      </c>
      <c r="N75" s="64">
        <v>171.3</v>
      </c>
      <c r="O75" s="64">
        <v>0</v>
      </c>
      <c r="P75" s="64">
        <v>0.45</v>
      </c>
      <c r="Q75" s="64">
        <v>9.57</v>
      </c>
      <c r="R75" s="198"/>
      <c r="S75" s="198"/>
      <c r="T75" s="198"/>
      <c r="U75" s="198"/>
    </row>
    <row r="76" spans="1:21" s="12" customFormat="1" x14ac:dyDescent="0.25">
      <c r="A76" s="214" t="s">
        <v>411</v>
      </c>
      <c r="B76" s="64">
        <v>2.94</v>
      </c>
      <c r="C76" s="64">
        <v>4.51</v>
      </c>
      <c r="D76" s="64">
        <v>5.86</v>
      </c>
      <c r="E76" s="64">
        <v>1.22</v>
      </c>
      <c r="F76" s="64">
        <v>5.26</v>
      </c>
      <c r="G76" s="64">
        <v>89.79</v>
      </c>
      <c r="H76" s="64">
        <v>29.34</v>
      </c>
      <c r="I76" s="64">
        <v>5.96</v>
      </c>
      <c r="J76" s="64">
        <v>0.95</v>
      </c>
      <c r="K76" s="64">
        <v>92.85</v>
      </c>
      <c r="L76" s="64">
        <v>36.119999999999997</v>
      </c>
      <c r="M76" s="64">
        <v>27.04</v>
      </c>
      <c r="N76" s="64">
        <v>133.80000000000001</v>
      </c>
      <c r="O76" s="64">
        <v>0</v>
      </c>
      <c r="P76" s="64">
        <v>0.46</v>
      </c>
      <c r="Q76" s="64">
        <v>9.57</v>
      </c>
      <c r="R76" s="198"/>
      <c r="S76" s="198"/>
      <c r="T76" s="198"/>
      <c r="U76" s="198"/>
    </row>
    <row r="77" spans="1:21" s="12" customFormat="1" x14ac:dyDescent="0.25">
      <c r="A77" s="214" t="s">
        <v>412</v>
      </c>
      <c r="B77" s="64">
        <v>2.9</v>
      </c>
      <c r="C77" s="64">
        <v>4.4000000000000004</v>
      </c>
      <c r="D77" s="64">
        <v>5.77</v>
      </c>
      <c r="E77" s="64">
        <v>1.2</v>
      </c>
      <c r="F77" s="64">
        <v>5.42</v>
      </c>
      <c r="G77" s="64">
        <v>89.79</v>
      </c>
      <c r="H77" s="64">
        <v>29.34</v>
      </c>
      <c r="I77" s="64">
        <v>6.23</v>
      </c>
      <c r="J77" s="64">
        <v>1.88</v>
      </c>
      <c r="K77" s="64">
        <v>359.68</v>
      </c>
      <c r="L77" s="64">
        <v>35.880000000000003</v>
      </c>
      <c r="M77" s="64">
        <v>27.79</v>
      </c>
      <c r="N77" s="64">
        <v>112.1</v>
      </c>
      <c r="O77" s="64">
        <v>0</v>
      </c>
      <c r="P77" s="64">
        <v>0.44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4" t="s">
        <v>413</v>
      </c>
      <c r="B78" s="64">
        <v>2.9</v>
      </c>
      <c r="C78" s="64">
        <v>4.05</v>
      </c>
      <c r="D78" s="64">
        <v>5.58</v>
      </c>
      <c r="E78" s="64">
        <v>1.23</v>
      </c>
      <c r="F78" s="64">
        <v>5.84</v>
      </c>
      <c r="G78" s="64">
        <v>88.84</v>
      </c>
      <c r="H78" s="64">
        <v>29.2</v>
      </c>
      <c r="I78" s="64">
        <v>7.08</v>
      </c>
      <c r="J78" s="64">
        <v>1.59</v>
      </c>
      <c r="K78" s="64">
        <v>343.71</v>
      </c>
      <c r="L78" s="64">
        <v>35.29</v>
      </c>
      <c r="M78" s="64">
        <v>29.41</v>
      </c>
      <c r="N78" s="64">
        <v>95.6</v>
      </c>
      <c r="O78" s="64">
        <v>0</v>
      </c>
      <c r="P78" s="64">
        <v>0.44</v>
      </c>
      <c r="Q78" s="64">
        <v>9.4600000000000009</v>
      </c>
      <c r="R78" s="198"/>
      <c r="S78" s="198"/>
      <c r="T78" s="198"/>
      <c r="U78" s="198"/>
    </row>
    <row r="79" spans="1:21" s="12" customFormat="1" x14ac:dyDescent="0.25">
      <c r="A79" s="214" t="s">
        <v>414</v>
      </c>
      <c r="B79" s="64">
        <v>2.84</v>
      </c>
      <c r="C79" s="64">
        <v>3.45</v>
      </c>
      <c r="D79" s="64">
        <v>5.22</v>
      </c>
      <c r="E79" s="64">
        <v>1</v>
      </c>
      <c r="F79" s="64">
        <v>5.5</v>
      </c>
      <c r="G79" s="64">
        <v>77.67</v>
      </c>
      <c r="H79" s="64">
        <v>27.54</v>
      </c>
      <c r="I79" s="64">
        <v>7.41</v>
      </c>
      <c r="J79" s="64">
        <v>1.89</v>
      </c>
      <c r="K79" s="64">
        <v>343.63</v>
      </c>
      <c r="L79" s="64">
        <v>34.64</v>
      </c>
      <c r="M79" s="64">
        <v>31</v>
      </c>
      <c r="N79" s="64">
        <v>76.900000000000006</v>
      </c>
      <c r="O79" s="64">
        <v>0</v>
      </c>
      <c r="P79" s="64">
        <v>0.45</v>
      </c>
      <c r="Q79" s="64">
        <v>9.4600000000000009</v>
      </c>
      <c r="R79" s="198"/>
      <c r="S79" s="198"/>
      <c r="T79" s="198"/>
      <c r="U79" s="198"/>
    </row>
    <row r="80" spans="1:21" s="12" customFormat="1" x14ac:dyDescent="0.25">
      <c r="A80" s="214" t="s">
        <v>415</v>
      </c>
      <c r="B80" s="64">
        <v>2.89</v>
      </c>
      <c r="C80" s="64">
        <v>3.88</v>
      </c>
      <c r="D80" s="64">
        <v>5.49</v>
      </c>
      <c r="E80" s="64">
        <v>1.02</v>
      </c>
      <c r="F80" s="64">
        <v>4.9000000000000004</v>
      </c>
      <c r="G80" s="64">
        <v>77.67</v>
      </c>
      <c r="H80" s="64">
        <v>27.54</v>
      </c>
      <c r="I80" s="64">
        <v>7.22</v>
      </c>
      <c r="J80" s="64">
        <v>0.73</v>
      </c>
      <c r="K80" s="64">
        <v>10.29</v>
      </c>
      <c r="L80" s="64">
        <v>33.840000000000003</v>
      </c>
      <c r="M80" s="64">
        <v>33.880000000000003</v>
      </c>
      <c r="N80" s="64">
        <v>56.6</v>
      </c>
      <c r="O80" s="64">
        <v>0</v>
      </c>
      <c r="P80" s="64">
        <v>0.47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4" t="s">
        <v>416</v>
      </c>
      <c r="B81" s="64">
        <v>2.83</v>
      </c>
      <c r="C81" s="64">
        <v>3.31</v>
      </c>
      <c r="D81" s="64">
        <v>5.14</v>
      </c>
      <c r="E81" s="64">
        <v>1.1200000000000001</v>
      </c>
      <c r="F81" s="64">
        <v>4.3600000000000003</v>
      </c>
      <c r="G81" s="64">
        <v>77.67</v>
      </c>
      <c r="H81" s="64">
        <v>27.54</v>
      </c>
      <c r="I81" s="64">
        <v>7.04</v>
      </c>
      <c r="J81" s="64">
        <v>0.67</v>
      </c>
      <c r="K81" s="64">
        <v>4.12</v>
      </c>
      <c r="L81" s="64">
        <v>33.380000000000003</v>
      </c>
      <c r="M81" s="64">
        <v>35.22</v>
      </c>
      <c r="N81" s="64">
        <v>39.5</v>
      </c>
      <c r="O81" s="64">
        <v>0</v>
      </c>
      <c r="P81" s="64">
        <v>0.49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4" t="s">
        <v>417</v>
      </c>
      <c r="B82" s="64">
        <v>3.05</v>
      </c>
      <c r="C82" s="64">
        <v>4.95</v>
      </c>
      <c r="D82" s="64">
        <v>6.18</v>
      </c>
      <c r="E82" s="64">
        <v>1.05</v>
      </c>
      <c r="F82" s="64">
        <v>4.13</v>
      </c>
      <c r="G82" s="64">
        <v>76.95</v>
      </c>
      <c r="H82" s="64">
        <v>27.46</v>
      </c>
      <c r="I82" s="64">
        <v>7.23</v>
      </c>
      <c r="J82" s="64">
        <v>0.61</v>
      </c>
      <c r="K82" s="64">
        <v>7.33</v>
      </c>
      <c r="L82" s="64">
        <v>33.22</v>
      </c>
      <c r="M82" s="64">
        <v>35.15</v>
      </c>
      <c r="N82" s="64">
        <v>24.5</v>
      </c>
      <c r="O82" s="64">
        <v>0</v>
      </c>
      <c r="P82" s="64">
        <v>0.5</v>
      </c>
      <c r="Q82" s="64">
        <v>9.58</v>
      </c>
      <c r="R82" s="198"/>
      <c r="S82" s="198"/>
      <c r="T82" s="198"/>
      <c r="U82" s="198"/>
    </row>
    <row r="83" spans="1:26" s="12" customFormat="1" x14ac:dyDescent="0.25">
      <c r="A83" s="214" t="s">
        <v>418</v>
      </c>
      <c r="B83" s="64">
        <v>2.96</v>
      </c>
      <c r="C83" s="64">
        <v>4.37</v>
      </c>
      <c r="D83" s="64">
        <v>5.8</v>
      </c>
      <c r="E83" s="64">
        <v>1.01</v>
      </c>
      <c r="F83" s="64">
        <v>4.29</v>
      </c>
      <c r="G83" s="64">
        <v>68.41</v>
      </c>
      <c r="H83" s="64">
        <v>26.53</v>
      </c>
      <c r="I83" s="64">
        <v>7.49</v>
      </c>
      <c r="J83" s="64">
        <v>0.4</v>
      </c>
      <c r="K83" s="64">
        <v>50.52</v>
      </c>
      <c r="L83" s="64">
        <v>32.89</v>
      </c>
      <c r="M83" s="64">
        <v>35.43</v>
      </c>
      <c r="N83" s="64">
        <v>14.8</v>
      </c>
      <c r="O83" s="64">
        <v>0</v>
      </c>
      <c r="P83" s="64">
        <v>0.51</v>
      </c>
      <c r="Q83" s="64">
        <v>9.41</v>
      </c>
      <c r="R83" s="198"/>
      <c r="S83" s="198"/>
      <c r="T83" s="198"/>
      <c r="U83" s="198"/>
    </row>
    <row r="84" spans="1:26" s="12" customFormat="1" x14ac:dyDescent="0.25">
      <c r="A84" s="214" t="s">
        <v>419</v>
      </c>
      <c r="B84" s="64">
        <v>2.84</v>
      </c>
      <c r="C84" s="64">
        <v>3.24</v>
      </c>
      <c r="D84" s="64">
        <v>5.1100000000000003</v>
      </c>
      <c r="E84" s="64">
        <v>1.0900000000000001</v>
      </c>
      <c r="F84" s="64">
        <v>4.16</v>
      </c>
      <c r="G84" s="64">
        <v>68.41</v>
      </c>
      <c r="H84" s="64">
        <v>26.53</v>
      </c>
      <c r="I84" s="64">
        <v>6.97</v>
      </c>
      <c r="J84" s="64">
        <v>1.63</v>
      </c>
      <c r="K84" s="64">
        <v>97.25</v>
      </c>
      <c r="L84" s="64">
        <v>32.659999999999997</v>
      </c>
      <c r="M84" s="64">
        <v>36.85</v>
      </c>
      <c r="N84" s="64">
        <v>12.6</v>
      </c>
      <c r="O84" s="64">
        <v>0</v>
      </c>
      <c r="P84" s="64">
        <v>0.52</v>
      </c>
      <c r="Q84" s="64">
        <v>9.39</v>
      </c>
      <c r="R84" s="198"/>
      <c r="S84" s="198"/>
      <c r="T84" s="198"/>
      <c r="U84" s="198"/>
    </row>
    <row r="85" spans="1:26" s="12" customFormat="1" x14ac:dyDescent="0.25">
      <c r="A85" s="214" t="s">
        <v>420</v>
      </c>
      <c r="B85" s="64">
        <v>2.97</v>
      </c>
      <c r="C85" s="64">
        <v>4.09</v>
      </c>
      <c r="D85" s="64">
        <v>5.66</v>
      </c>
      <c r="E85" s="64">
        <v>1.35</v>
      </c>
      <c r="F85" s="64">
        <v>4.18</v>
      </c>
      <c r="G85" s="64">
        <v>68.41</v>
      </c>
      <c r="H85" s="64">
        <v>26.53</v>
      </c>
      <c r="I85" s="64">
        <v>7.12</v>
      </c>
      <c r="J85" s="64">
        <v>1.61</v>
      </c>
      <c r="K85" s="64">
        <v>110.79</v>
      </c>
      <c r="L85" s="64">
        <v>31.18</v>
      </c>
      <c r="M85" s="64">
        <v>45.2</v>
      </c>
      <c r="N85" s="64">
        <v>14.6</v>
      </c>
      <c r="O85" s="64">
        <v>0</v>
      </c>
      <c r="P85" s="64">
        <v>0.48</v>
      </c>
      <c r="Q85" s="64">
        <v>9.39</v>
      </c>
      <c r="R85" s="198"/>
      <c r="S85" s="198"/>
      <c r="T85" s="198"/>
      <c r="U85" s="198"/>
    </row>
    <row r="86" spans="1:26" s="12" customFormat="1" x14ac:dyDescent="0.25">
      <c r="A86" s="214" t="s">
        <v>421</v>
      </c>
      <c r="B86" s="64">
        <v>2.96</v>
      </c>
      <c r="C86" s="64">
        <v>4.2</v>
      </c>
      <c r="D86" s="64">
        <v>5.71</v>
      </c>
      <c r="E86" s="64">
        <v>1.39</v>
      </c>
      <c r="F86" s="64">
        <v>4.66</v>
      </c>
      <c r="G86" s="64">
        <v>68.099999999999994</v>
      </c>
      <c r="H86" s="64">
        <v>26.32</v>
      </c>
      <c r="I86" s="64">
        <v>8.15</v>
      </c>
      <c r="J86" s="64">
        <v>1.31</v>
      </c>
      <c r="K86" s="64">
        <v>161.66999999999999</v>
      </c>
      <c r="L86" s="64">
        <v>30.36</v>
      </c>
      <c r="M86" s="64">
        <v>46.91</v>
      </c>
      <c r="N86" s="64">
        <v>13.1</v>
      </c>
      <c r="O86" s="64">
        <v>0</v>
      </c>
      <c r="P86" s="64">
        <v>0.49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14" t="s">
        <v>422</v>
      </c>
      <c r="B87" s="64">
        <v>2.9</v>
      </c>
      <c r="C87" s="64">
        <v>3.85</v>
      </c>
      <c r="D87" s="64">
        <v>5.48</v>
      </c>
      <c r="E87" s="64">
        <v>1.41</v>
      </c>
      <c r="F87" s="64">
        <v>4.72</v>
      </c>
      <c r="G87" s="64">
        <v>64.53</v>
      </c>
      <c r="H87" s="64">
        <v>23.84</v>
      </c>
      <c r="I87" s="64">
        <v>9.18</v>
      </c>
      <c r="J87" s="64">
        <v>0.88</v>
      </c>
      <c r="K87" s="64">
        <v>166.52</v>
      </c>
      <c r="L87" s="64">
        <v>29.94</v>
      </c>
      <c r="M87" s="64">
        <v>47.77</v>
      </c>
      <c r="N87" s="64">
        <v>12.7</v>
      </c>
      <c r="O87" s="64">
        <v>0</v>
      </c>
      <c r="P87" s="64">
        <v>0.48</v>
      </c>
      <c r="Q87" s="64">
        <v>9.44</v>
      </c>
      <c r="R87" s="198"/>
      <c r="S87" s="198"/>
      <c r="T87" s="198"/>
      <c r="U87" s="198"/>
    </row>
    <row r="88" spans="1:26" s="12" customFormat="1" x14ac:dyDescent="0.25">
      <c r="A88" s="214" t="s">
        <v>423</v>
      </c>
      <c r="B88" s="64">
        <v>2.8</v>
      </c>
      <c r="C88" s="64">
        <v>3.32</v>
      </c>
      <c r="D88" s="64">
        <v>5.13</v>
      </c>
      <c r="E88" s="64">
        <v>1.39</v>
      </c>
      <c r="F88" s="64">
        <v>4.7300000000000004</v>
      </c>
      <c r="G88" s="64">
        <v>64.53</v>
      </c>
      <c r="H88" s="64">
        <v>23.84</v>
      </c>
      <c r="I88" s="64">
        <v>9.5</v>
      </c>
      <c r="J88" s="64">
        <v>1.24</v>
      </c>
      <c r="K88" s="64">
        <v>145.13999999999999</v>
      </c>
      <c r="L88" s="64">
        <v>29.88</v>
      </c>
      <c r="M88" s="64">
        <v>47.41</v>
      </c>
      <c r="N88" s="64">
        <v>12</v>
      </c>
      <c r="O88" s="64">
        <v>0</v>
      </c>
      <c r="P88" s="64">
        <v>0.47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4" t="s">
        <v>424</v>
      </c>
      <c r="B89" s="64">
        <v>2.54</v>
      </c>
      <c r="C89" s="64">
        <v>1.4</v>
      </c>
      <c r="D89" s="64">
        <v>3.91</v>
      </c>
      <c r="E89" s="64">
        <v>1.06</v>
      </c>
      <c r="F89" s="64">
        <v>4.58</v>
      </c>
      <c r="G89" s="64">
        <v>64.53</v>
      </c>
      <c r="H89" s="64">
        <v>23.84</v>
      </c>
      <c r="I89" s="64">
        <v>9.41</v>
      </c>
      <c r="J89" s="64">
        <v>1.39</v>
      </c>
      <c r="K89" s="64">
        <v>142.5</v>
      </c>
      <c r="L89" s="64">
        <v>30.06</v>
      </c>
      <c r="M89" s="64">
        <v>46.55</v>
      </c>
      <c r="N89" s="64">
        <v>11.8</v>
      </c>
      <c r="O89" s="64">
        <v>0</v>
      </c>
      <c r="P89" s="64">
        <v>0.46</v>
      </c>
      <c r="Q89" s="64">
        <v>9.42</v>
      </c>
      <c r="R89" s="198"/>
      <c r="S89" s="198"/>
      <c r="T89" s="198"/>
      <c r="U89" s="198"/>
    </row>
    <row r="90" spans="1:26" s="12" customFormat="1" x14ac:dyDescent="0.25">
      <c r="A90" s="214" t="s">
        <v>425</v>
      </c>
      <c r="B90" s="64">
        <v>2.85</v>
      </c>
      <c r="C90" s="64">
        <v>3.52</v>
      </c>
      <c r="D90" s="64">
        <v>5.27</v>
      </c>
      <c r="E90" s="64">
        <v>0.93</v>
      </c>
      <c r="F90" s="64">
        <v>4.47</v>
      </c>
      <c r="G90" s="64">
        <v>63.9</v>
      </c>
      <c r="H90" s="64">
        <v>23.55</v>
      </c>
      <c r="I90" s="64">
        <v>9.25</v>
      </c>
      <c r="J90" s="64">
        <v>1.57</v>
      </c>
      <c r="K90" s="64">
        <v>147.87</v>
      </c>
      <c r="L90" s="64">
        <v>30.09</v>
      </c>
      <c r="M90" s="64">
        <v>46.56</v>
      </c>
      <c r="N90" s="64">
        <v>11.8</v>
      </c>
      <c r="O90" s="64">
        <v>0</v>
      </c>
      <c r="P90" s="64">
        <v>0.46</v>
      </c>
      <c r="Q90" s="64">
        <v>9.5399999999999991</v>
      </c>
      <c r="R90" s="198"/>
      <c r="S90" s="198"/>
      <c r="T90" s="198"/>
      <c r="U90" s="198"/>
    </row>
    <row r="91" spans="1:26" s="12" customFormat="1" x14ac:dyDescent="0.25">
      <c r="A91" s="214" t="s">
        <v>426</v>
      </c>
      <c r="B91" s="64">
        <v>2.92</v>
      </c>
      <c r="C91" s="64">
        <v>4.1900000000000004</v>
      </c>
      <c r="D91" s="64">
        <v>5.68</v>
      </c>
      <c r="E91" s="64">
        <v>1.1100000000000001</v>
      </c>
      <c r="F91" s="64">
        <v>4.6100000000000003</v>
      </c>
      <c r="G91" s="64">
        <v>56.44</v>
      </c>
      <c r="H91" s="64">
        <v>20.12</v>
      </c>
      <c r="I91" s="64">
        <v>9.14</v>
      </c>
      <c r="J91" s="64">
        <v>1.02</v>
      </c>
      <c r="K91" s="64">
        <v>165.42</v>
      </c>
      <c r="L91" s="64">
        <v>30.07</v>
      </c>
      <c r="M91" s="64">
        <v>46.87</v>
      </c>
      <c r="N91" s="64">
        <v>11.8</v>
      </c>
      <c r="O91" s="64">
        <v>0</v>
      </c>
      <c r="P91" s="64">
        <v>0.46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4" t="s">
        <v>427</v>
      </c>
      <c r="B92" s="64">
        <v>2.88</v>
      </c>
      <c r="C92" s="64">
        <v>3.71</v>
      </c>
      <c r="D92" s="64">
        <v>5.39</v>
      </c>
      <c r="E92" s="64">
        <v>1.1000000000000001</v>
      </c>
      <c r="F92" s="64">
        <v>4.5</v>
      </c>
      <c r="G92" s="64">
        <v>56.44</v>
      </c>
      <c r="H92" s="64">
        <v>20.12</v>
      </c>
      <c r="I92" s="64">
        <v>9.15</v>
      </c>
      <c r="J92" s="64">
        <v>0.76</v>
      </c>
      <c r="K92" s="64">
        <v>142.65</v>
      </c>
      <c r="L92" s="64">
        <v>30.09</v>
      </c>
      <c r="M92" s="64">
        <v>46.28</v>
      </c>
      <c r="N92" s="64">
        <v>11.8</v>
      </c>
      <c r="O92" s="64">
        <v>0</v>
      </c>
      <c r="P92" s="64">
        <v>0.46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4" t="s">
        <v>428</v>
      </c>
      <c r="B93" s="64">
        <v>2.95</v>
      </c>
      <c r="C93" s="64">
        <v>4.16</v>
      </c>
      <c r="D93" s="64">
        <v>5.68</v>
      </c>
      <c r="E93" s="64">
        <v>0.8</v>
      </c>
      <c r="F93" s="64">
        <v>4.37</v>
      </c>
      <c r="G93" s="64">
        <v>56.44</v>
      </c>
      <c r="H93" s="64">
        <v>20.12</v>
      </c>
      <c r="I93" s="64">
        <v>8.6199999999999992</v>
      </c>
      <c r="J93" s="64">
        <v>0.57999999999999996</v>
      </c>
      <c r="K93" s="64">
        <v>110.47</v>
      </c>
      <c r="L93" s="64">
        <v>30.08</v>
      </c>
      <c r="M93" s="64">
        <v>46.46</v>
      </c>
      <c r="N93" s="64">
        <v>11.9</v>
      </c>
      <c r="O93" s="64">
        <v>0</v>
      </c>
      <c r="P93" s="64">
        <v>0.45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4" t="s">
        <v>429</v>
      </c>
      <c r="B94" s="64">
        <v>2.82</v>
      </c>
      <c r="C94" s="64">
        <v>3.41</v>
      </c>
      <c r="D94" s="64">
        <v>5.19</v>
      </c>
      <c r="E94" s="64">
        <v>0.71</v>
      </c>
      <c r="F94" s="64">
        <v>4.5199999999999996</v>
      </c>
      <c r="G94" s="64">
        <v>55.73</v>
      </c>
      <c r="H94" s="64">
        <v>20.29</v>
      </c>
      <c r="I94" s="64">
        <v>7.86</v>
      </c>
      <c r="J94" s="64">
        <v>0.7</v>
      </c>
      <c r="K94" s="64">
        <v>149.11000000000001</v>
      </c>
      <c r="L94" s="64">
        <v>29.99</v>
      </c>
      <c r="M94" s="64">
        <v>47</v>
      </c>
      <c r="N94" s="64">
        <v>11.8</v>
      </c>
      <c r="O94" s="64">
        <v>0</v>
      </c>
      <c r="P94" s="64">
        <v>0.44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4" t="s">
        <v>430</v>
      </c>
      <c r="B95" s="64">
        <v>2.83</v>
      </c>
      <c r="C95" s="64">
        <v>3.24</v>
      </c>
      <c r="D95" s="64">
        <v>5.1100000000000003</v>
      </c>
      <c r="E95" s="64">
        <v>0.86</v>
      </c>
      <c r="F95" s="64">
        <v>4.51</v>
      </c>
      <c r="G95" s="64">
        <v>47.34</v>
      </c>
      <c r="H95" s="64">
        <v>22.29</v>
      </c>
      <c r="I95" s="64">
        <v>7.62</v>
      </c>
      <c r="J95" s="64">
        <v>0.55000000000000004</v>
      </c>
      <c r="K95" s="64">
        <v>139.65</v>
      </c>
      <c r="L95" s="64">
        <v>29.89</v>
      </c>
      <c r="M95" s="64">
        <v>47.43</v>
      </c>
      <c r="N95" s="64">
        <v>11.8</v>
      </c>
      <c r="O95" s="64">
        <v>0</v>
      </c>
      <c r="P95" s="64">
        <v>0.44</v>
      </c>
      <c r="Q95" s="64">
        <v>9.59</v>
      </c>
      <c r="R95" s="198"/>
      <c r="S95" s="198"/>
      <c r="T95" s="198"/>
      <c r="U95" s="198"/>
    </row>
    <row r="96" spans="1:26" s="12" customFormat="1" x14ac:dyDescent="0.25">
      <c r="A96" s="214" t="s">
        <v>431</v>
      </c>
      <c r="B96" s="64">
        <v>2.83</v>
      </c>
      <c r="C96" s="64">
        <v>3.24</v>
      </c>
      <c r="D96" s="64">
        <v>5.1100000000000003</v>
      </c>
      <c r="E96" s="64">
        <v>0.98</v>
      </c>
      <c r="F96" s="64">
        <v>4.62</v>
      </c>
      <c r="G96" s="64">
        <v>47.34</v>
      </c>
      <c r="H96" s="64">
        <v>22.29</v>
      </c>
      <c r="I96" s="64">
        <v>7.18</v>
      </c>
      <c r="J96" s="64">
        <v>0.86</v>
      </c>
      <c r="K96" s="64">
        <v>121</v>
      </c>
      <c r="L96" s="64">
        <v>29.94</v>
      </c>
      <c r="M96" s="64">
        <v>48.11</v>
      </c>
      <c r="N96" s="64">
        <v>11.6</v>
      </c>
      <c r="O96" s="64">
        <v>0</v>
      </c>
      <c r="P96" s="64">
        <v>0.43</v>
      </c>
      <c r="Q96" s="64">
        <v>9.5500000000000007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432</v>
      </c>
      <c r="B97" s="64">
        <v>2.63</v>
      </c>
      <c r="C97" s="64">
        <v>1.99</v>
      </c>
      <c r="D97" s="64">
        <v>4.3</v>
      </c>
      <c r="E97" s="64">
        <v>0.95</v>
      </c>
      <c r="F97" s="64">
        <v>4.7300000000000004</v>
      </c>
      <c r="G97" s="64">
        <v>47.34</v>
      </c>
      <c r="H97" s="64">
        <v>22.29</v>
      </c>
      <c r="I97" s="64">
        <v>6.85</v>
      </c>
      <c r="J97" s="64">
        <v>2.02</v>
      </c>
      <c r="K97" s="64">
        <v>105.18</v>
      </c>
      <c r="L97" s="64">
        <v>29.73</v>
      </c>
      <c r="M97" s="64">
        <v>50.29</v>
      </c>
      <c r="N97" s="64">
        <v>11.9</v>
      </c>
      <c r="O97" s="64">
        <v>0</v>
      </c>
      <c r="P97" s="64">
        <v>0.43</v>
      </c>
      <c r="Q97" s="64">
        <v>9.57</v>
      </c>
      <c r="R97" s="198"/>
      <c r="S97" s="198"/>
      <c r="T97" s="198"/>
      <c r="U97" s="198"/>
    </row>
    <row r="98" spans="1:33" s="12" customFormat="1" x14ac:dyDescent="0.25">
      <c r="A98" s="214" t="s">
        <v>433</v>
      </c>
      <c r="B98" s="64">
        <v>2.68</v>
      </c>
      <c r="C98" s="64">
        <v>2.0699999999999998</v>
      </c>
      <c r="D98" s="64">
        <v>4.37</v>
      </c>
      <c r="E98" s="64">
        <v>0.87</v>
      </c>
      <c r="F98" s="64">
        <v>4.4000000000000004</v>
      </c>
      <c r="G98" s="64">
        <v>47.19</v>
      </c>
      <c r="H98" s="64">
        <v>22.09</v>
      </c>
      <c r="I98" s="64">
        <v>6.88</v>
      </c>
      <c r="J98" s="64">
        <v>1.96</v>
      </c>
      <c r="K98" s="64">
        <v>95.41</v>
      </c>
      <c r="L98" s="64">
        <v>29.73</v>
      </c>
      <c r="M98" s="64">
        <v>50.14</v>
      </c>
      <c r="N98" s="64">
        <v>11.9</v>
      </c>
      <c r="O98" s="64">
        <v>0</v>
      </c>
      <c r="P98" s="64">
        <v>0.42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4" t="s">
        <v>434</v>
      </c>
      <c r="B99" s="64">
        <v>2.85</v>
      </c>
      <c r="C99" s="64">
        <v>3.26</v>
      </c>
      <c r="D99" s="64">
        <v>5.13</v>
      </c>
      <c r="E99" s="64">
        <v>0.97</v>
      </c>
      <c r="F99" s="64">
        <v>4.55</v>
      </c>
      <c r="G99" s="64">
        <v>45.44</v>
      </c>
      <c r="H99" s="64">
        <v>19.690000000000001</v>
      </c>
      <c r="I99" s="64">
        <v>7.3</v>
      </c>
      <c r="J99" s="64">
        <v>2.4900000000000002</v>
      </c>
      <c r="K99" s="64">
        <v>106.51</v>
      </c>
      <c r="L99" s="64">
        <v>29.48</v>
      </c>
      <c r="M99" s="64">
        <v>52.08</v>
      </c>
      <c r="N99" s="64">
        <v>12.6</v>
      </c>
      <c r="O99" s="64">
        <v>0</v>
      </c>
      <c r="P99" s="64">
        <v>0.42</v>
      </c>
      <c r="Q99" s="64">
        <v>9.5500000000000007</v>
      </c>
      <c r="R99" s="198"/>
      <c r="S99" s="198"/>
      <c r="T99" s="198"/>
      <c r="U99" s="198"/>
    </row>
    <row r="100" spans="1:33" s="12" customFormat="1" x14ac:dyDescent="0.25">
      <c r="A100" s="214" t="s">
        <v>435</v>
      </c>
      <c r="B100" s="64">
        <v>2.62</v>
      </c>
      <c r="C100" s="64">
        <v>1.9</v>
      </c>
      <c r="D100" s="64">
        <v>4.24</v>
      </c>
      <c r="E100" s="64">
        <v>0.93</v>
      </c>
      <c r="F100" s="64">
        <v>4.51</v>
      </c>
      <c r="G100" s="64">
        <v>45.44</v>
      </c>
      <c r="H100" s="64">
        <v>19.690000000000001</v>
      </c>
      <c r="I100" s="64">
        <v>7.65</v>
      </c>
      <c r="J100" s="64">
        <v>3.04</v>
      </c>
      <c r="K100" s="64">
        <v>110.38</v>
      </c>
      <c r="L100" s="64">
        <v>29.03</v>
      </c>
      <c r="M100" s="64">
        <v>54.35</v>
      </c>
      <c r="N100" s="64">
        <v>12.9</v>
      </c>
      <c r="O100" s="64">
        <v>0</v>
      </c>
      <c r="P100" s="64">
        <v>0.42</v>
      </c>
      <c r="Q100" s="64">
        <v>9.56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436</v>
      </c>
      <c r="B101" s="64">
        <v>2.83</v>
      </c>
      <c r="C101" s="64">
        <v>3.09</v>
      </c>
      <c r="D101" s="64">
        <v>5.03</v>
      </c>
      <c r="E101" s="64">
        <v>0.98</v>
      </c>
      <c r="F101" s="64">
        <v>4.37</v>
      </c>
      <c r="G101" s="64">
        <v>45.44</v>
      </c>
      <c r="H101" s="64">
        <v>19.690000000000001</v>
      </c>
      <c r="I101" s="64">
        <v>7.84</v>
      </c>
      <c r="J101" s="64">
        <v>2.5299999999999998</v>
      </c>
      <c r="K101" s="64">
        <v>102.38</v>
      </c>
      <c r="L101" s="64">
        <v>28.56</v>
      </c>
      <c r="M101" s="64">
        <v>57.06</v>
      </c>
      <c r="N101" s="64">
        <v>12.8</v>
      </c>
      <c r="O101" s="64">
        <v>0</v>
      </c>
      <c r="P101" s="64">
        <v>0.4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4" t="s">
        <v>437</v>
      </c>
      <c r="B102" s="64">
        <v>2.63</v>
      </c>
      <c r="C102" s="64">
        <v>1.94</v>
      </c>
      <c r="D102" s="64">
        <v>4.2699999999999996</v>
      </c>
      <c r="E102" s="64">
        <v>0.91</v>
      </c>
      <c r="F102" s="64">
        <v>4.12</v>
      </c>
      <c r="G102" s="64">
        <v>44.96</v>
      </c>
      <c r="H102" s="64">
        <v>19.59</v>
      </c>
      <c r="I102" s="64">
        <v>8.06</v>
      </c>
      <c r="J102" s="64">
        <v>2.5499999999999998</v>
      </c>
      <c r="K102" s="64">
        <v>98.79</v>
      </c>
      <c r="L102" s="64">
        <v>28.27</v>
      </c>
      <c r="M102" s="64">
        <v>57.93</v>
      </c>
      <c r="N102" s="64">
        <v>12.5</v>
      </c>
      <c r="O102" s="64">
        <v>0</v>
      </c>
      <c r="P102" s="64">
        <v>0.39</v>
      </c>
      <c r="Q102" s="64">
        <v>9.43</v>
      </c>
      <c r="R102" s="198"/>
      <c r="S102" s="198"/>
      <c r="T102" s="198"/>
      <c r="U102" s="198"/>
    </row>
    <row r="103" spans="1:33" s="12" customFormat="1" x14ac:dyDescent="0.25">
      <c r="A103" s="214" t="s">
        <v>438</v>
      </c>
      <c r="B103" s="64">
        <v>2.62</v>
      </c>
      <c r="C103" s="64">
        <v>1.58</v>
      </c>
      <c r="D103" s="64">
        <v>4.07</v>
      </c>
      <c r="E103" s="64">
        <v>0.62</v>
      </c>
      <c r="F103" s="64">
        <v>4.09</v>
      </c>
      <c r="G103" s="64">
        <v>39.24</v>
      </c>
      <c r="H103" s="64">
        <v>18.41</v>
      </c>
      <c r="I103" s="64">
        <v>8.25</v>
      </c>
      <c r="J103" s="64">
        <v>3.35</v>
      </c>
      <c r="K103" s="64">
        <v>101.51</v>
      </c>
      <c r="L103" s="64">
        <v>27.95</v>
      </c>
      <c r="M103" s="64">
        <v>60.27</v>
      </c>
      <c r="N103" s="64">
        <v>12.8</v>
      </c>
      <c r="O103" s="64">
        <v>0</v>
      </c>
      <c r="P103" s="64">
        <v>0.39</v>
      </c>
      <c r="Q103" s="64">
        <v>9.44</v>
      </c>
      <c r="R103" s="198"/>
      <c r="S103" s="198"/>
      <c r="T103" s="198"/>
      <c r="U103" s="198"/>
    </row>
    <row r="104" spans="1:33" s="12" customFormat="1" x14ac:dyDescent="0.25">
      <c r="A104" s="214" t="s">
        <v>439</v>
      </c>
      <c r="B104" s="64">
        <v>2.62</v>
      </c>
      <c r="C104" s="64">
        <v>1.59</v>
      </c>
      <c r="D104" s="64">
        <v>4.07</v>
      </c>
      <c r="E104" s="64">
        <v>0.46</v>
      </c>
      <c r="F104" s="64">
        <v>4.3</v>
      </c>
      <c r="G104" s="64">
        <v>39.24</v>
      </c>
      <c r="H104" s="64">
        <v>18.41</v>
      </c>
      <c r="I104" s="64">
        <v>8.67</v>
      </c>
      <c r="J104" s="64">
        <v>3.02</v>
      </c>
      <c r="K104" s="64">
        <v>108.14</v>
      </c>
      <c r="L104" s="64">
        <v>27.36</v>
      </c>
      <c r="M104" s="64">
        <v>65.91</v>
      </c>
      <c r="N104" s="64">
        <v>13.4</v>
      </c>
      <c r="O104" s="64">
        <v>0</v>
      </c>
      <c r="P104" s="64">
        <v>0.37</v>
      </c>
      <c r="Q104" s="64">
        <v>9.4499999999999993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2.54</v>
      </c>
      <c r="C106" s="67">
        <f>MIN(C9:C104)</f>
        <v>1.4</v>
      </c>
      <c r="D106" s="67">
        <f t="shared" ref="D106:Q106" si="0">MIN(D9:D104)</f>
        <v>3.91</v>
      </c>
      <c r="E106" s="67">
        <f t="shared" si="0"/>
        <v>0.46</v>
      </c>
      <c r="F106" s="67">
        <f t="shared" si="0"/>
        <v>3.46</v>
      </c>
      <c r="G106" s="67">
        <f t="shared" si="0"/>
        <v>38.67</v>
      </c>
      <c r="H106" s="67">
        <f t="shared" si="0"/>
        <v>15.17</v>
      </c>
      <c r="I106" s="67">
        <f t="shared" si="0"/>
        <v>3.9</v>
      </c>
      <c r="J106" s="67">
        <f t="shared" si="0"/>
        <v>7.0000000000000007E-2</v>
      </c>
      <c r="K106" s="67">
        <f t="shared" si="0"/>
        <v>4.12</v>
      </c>
      <c r="L106" s="67">
        <f t="shared" si="0"/>
        <v>27.36</v>
      </c>
      <c r="M106" s="67">
        <f t="shared" si="0"/>
        <v>21.92</v>
      </c>
      <c r="N106" s="67">
        <f t="shared" si="0"/>
        <v>11.4</v>
      </c>
      <c r="O106" s="67">
        <f t="shared" si="0"/>
        <v>0</v>
      </c>
      <c r="P106" s="67">
        <f t="shared" si="0"/>
        <v>0.37</v>
      </c>
      <c r="Q106" s="67">
        <f t="shared" si="0"/>
        <v>9.32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3.45</v>
      </c>
      <c r="C107" s="66">
        <f t="shared" ref="C107:Q107" si="1">MAX(C9:C104)</f>
        <v>6.51</v>
      </c>
      <c r="D107" s="66">
        <f t="shared" si="1"/>
        <v>7.14</v>
      </c>
      <c r="E107" s="66">
        <f t="shared" si="1"/>
        <v>3.32</v>
      </c>
      <c r="F107" s="66">
        <f t="shared" si="1"/>
        <v>12.05</v>
      </c>
      <c r="G107" s="66">
        <f t="shared" si="1"/>
        <v>89.79</v>
      </c>
      <c r="H107" s="66">
        <f t="shared" si="1"/>
        <v>29.34</v>
      </c>
      <c r="I107" s="66">
        <f t="shared" si="1"/>
        <v>12.72</v>
      </c>
      <c r="J107" s="66">
        <f t="shared" si="1"/>
        <v>3.35</v>
      </c>
      <c r="K107" s="66">
        <f t="shared" si="1"/>
        <v>359.68</v>
      </c>
      <c r="L107" s="66">
        <f t="shared" si="1"/>
        <v>41.76</v>
      </c>
      <c r="M107" s="66">
        <f t="shared" si="1"/>
        <v>65.91</v>
      </c>
      <c r="N107" s="66">
        <f t="shared" si="1"/>
        <v>769.8</v>
      </c>
      <c r="O107" s="66">
        <f t="shared" si="1"/>
        <v>0</v>
      </c>
      <c r="P107" s="66">
        <f t="shared" si="1"/>
        <v>0.65</v>
      </c>
      <c r="Q107" s="66">
        <f t="shared" si="1"/>
        <v>9.9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2.9797916666666668</v>
      </c>
      <c r="C108" s="67">
        <f t="shared" ref="C108:Q108" si="2">AVERAGE(C9:C104)</f>
        <v>4.2146874999999993</v>
      </c>
      <c r="D108" s="67">
        <f t="shared" si="2"/>
        <v>5.7359374999999995</v>
      </c>
      <c r="E108" s="67">
        <f t="shared" si="2"/>
        <v>1.4344791666666667</v>
      </c>
      <c r="F108" s="67">
        <f t="shared" si="2"/>
        <v>5.4781250000000012</v>
      </c>
      <c r="G108" s="67">
        <f t="shared" si="2"/>
        <v>55.689270833333296</v>
      </c>
      <c r="H108" s="67">
        <f t="shared" si="2"/>
        <v>22.060520833333317</v>
      </c>
      <c r="I108" s="67">
        <f t="shared" si="2"/>
        <v>6.95583333333333</v>
      </c>
      <c r="J108" s="67">
        <f t="shared" si="2"/>
        <v>0.96958333333333302</v>
      </c>
      <c r="K108" s="67">
        <f t="shared" si="2"/>
        <v>183.96041666666667</v>
      </c>
      <c r="L108" s="67">
        <f t="shared" si="2"/>
        <v>33.00802083333334</v>
      </c>
      <c r="M108" s="67">
        <f t="shared" si="2"/>
        <v>43.387291666666648</v>
      </c>
      <c r="N108" s="67">
        <f t="shared" si="2"/>
        <v>209.53437499999987</v>
      </c>
      <c r="O108" s="67">
        <f t="shared" si="2"/>
        <v>0</v>
      </c>
      <c r="P108" s="67">
        <f t="shared" si="2"/>
        <v>0.46447916666666672</v>
      </c>
      <c r="Q108" s="67">
        <f t="shared" si="2"/>
        <v>9.5763541666666701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0.21191348367058552</v>
      </c>
      <c r="C109" s="67">
        <f t="shared" ref="C109:Q109" si="3">STDEV(C9:C104)</f>
        <v>0.96809846511493336</v>
      </c>
      <c r="D109" s="67">
        <f t="shared" si="3"/>
        <v>0.64550197215238714</v>
      </c>
      <c r="E109" s="67">
        <f t="shared" si="3"/>
        <v>0.62751283449515105</v>
      </c>
      <c r="F109" s="67">
        <f t="shared" si="3"/>
        <v>1.962133807605219</v>
      </c>
      <c r="G109" s="67">
        <f t="shared" si="3"/>
        <v>14.046906701611404</v>
      </c>
      <c r="H109" s="67">
        <f t="shared" si="3"/>
        <v>4.0697208930012225</v>
      </c>
      <c r="I109" s="67">
        <f t="shared" si="3"/>
        <v>1.8064036190972814</v>
      </c>
      <c r="J109" s="67">
        <f t="shared" si="3"/>
        <v>0.69558141778797555</v>
      </c>
      <c r="K109" s="67">
        <f t="shared" si="3"/>
        <v>109.71178072248323</v>
      </c>
      <c r="L109" s="67">
        <f t="shared" si="3"/>
        <v>3.882180510402728</v>
      </c>
      <c r="M109" s="67">
        <f t="shared" si="3"/>
        <v>11.517925661120033</v>
      </c>
      <c r="N109" s="67">
        <f t="shared" si="3"/>
        <v>263.90876766039116</v>
      </c>
      <c r="O109" s="67">
        <f t="shared" si="3"/>
        <v>0</v>
      </c>
      <c r="P109" s="67">
        <f t="shared" si="3"/>
        <v>5.7360719948258886E-2</v>
      </c>
      <c r="Q109" s="67">
        <f t="shared" si="3"/>
        <v>0.14287366367504489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440</v>
      </c>
      <c r="B9" s="64">
        <v>2.77</v>
      </c>
      <c r="C9" s="64">
        <v>2.33</v>
      </c>
      <c r="D9" s="64">
        <v>4.58</v>
      </c>
      <c r="E9" s="64">
        <v>0.56999999999999995</v>
      </c>
      <c r="F9" s="64">
        <v>4.22</v>
      </c>
      <c r="G9" s="64">
        <v>39.24</v>
      </c>
      <c r="H9" s="64">
        <v>18.41</v>
      </c>
      <c r="I9" s="64">
        <v>8.9600000000000009</v>
      </c>
      <c r="J9" s="64">
        <v>2.99</v>
      </c>
      <c r="K9" s="64">
        <v>109.15</v>
      </c>
      <c r="L9" s="64">
        <v>26.5</v>
      </c>
      <c r="M9" s="64">
        <v>72.510000000000005</v>
      </c>
      <c r="N9" s="64">
        <v>13.1</v>
      </c>
      <c r="O9" s="64">
        <v>0</v>
      </c>
      <c r="P9" s="64">
        <v>0.36</v>
      </c>
      <c r="Q9" s="64">
        <v>9.4499999999999993</v>
      </c>
      <c r="R9" s="198"/>
      <c r="S9" s="198"/>
      <c r="T9" s="198"/>
      <c r="U9" s="198"/>
    </row>
    <row r="10" spans="1:21" s="12" customFormat="1" x14ac:dyDescent="0.25">
      <c r="A10" s="214" t="s">
        <v>441</v>
      </c>
      <c r="B10" s="64">
        <v>2.7</v>
      </c>
      <c r="C10" s="64">
        <v>1.95</v>
      </c>
      <c r="D10" s="64">
        <v>4.33</v>
      </c>
      <c r="E10" s="64">
        <v>0.63</v>
      </c>
      <c r="F10" s="64">
        <v>3.91</v>
      </c>
      <c r="G10" s="64">
        <v>38.909999999999997</v>
      </c>
      <c r="H10" s="64">
        <v>18.309999999999999</v>
      </c>
      <c r="I10" s="64">
        <v>9.06</v>
      </c>
      <c r="J10" s="64">
        <v>2.57</v>
      </c>
      <c r="K10" s="64">
        <v>107.95</v>
      </c>
      <c r="L10" s="64">
        <v>26.16</v>
      </c>
      <c r="M10" s="64">
        <v>73.569999999999993</v>
      </c>
      <c r="N10" s="64">
        <v>12.7</v>
      </c>
      <c r="O10" s="64">
        <v>0</v>
      </c>
      <c r="P10" s="64">
        <v>0.35</v>
      </c>
      <c r="Q10" s="64">
        <v>9.44</v>
      </c>
      <c r="R10" s="198"/>
      <c r="S10" s="198"/>
      <c r="T10" s="198"/>
      <c r="U10" s="198"/>
    </row>
    <row r="11" spans="1:21" s="12" customFormat="1" x14ac:dyDescent="0.25">
      <c r="A11" s="214" t="s">
        <v>442</v>
      </c>
      <c r="B11" s="64">
        <v>2.72</v>
      </c>
      <c r="C11" s="64">
        <v>2.02</v>
      </c>
      <c r="D11" s="64">
        <v>4.38</v>
      </c>
      <c r="E11" s="64">
        <v>0.8</v>
      </c>
      <c r="F11" s="64">
        <v>3.8</v>
      </c>
      <c r="G11" s="64">
        <v>34.979999999999997</v>
      </c>
      <c r="H11" s="64">
        <v>17.03</v>
      </c>
      <c r="I11" s="64">
        <v>9.0299999999999994</v>
      </c>
      <c r="J11" s="64">
        <v>1.99</v>
      </c>
      <c r="K11" s="64">
        <v>94.25</v>
      </c>
      <c r="L11" s="64">
        <v>26.12</v>
      </c>
      <c r="M11" s="64">
        <v>72.38</v>
      </c>
      <c r="N11" s="64">
        <v>12.1</v>
      </c>
      <c r="O11" s="64">
        <v>0</v>
      </c>
      <c r="P11" s="64">
        <v>0.34</v>
      </c>
      <c r="Q11" s="64">
        <v>9.4499999999999993</v>
      </c>
      <c r="R11" s="198"/>
      <c r="S11" s="198"/>
      <c r="T11" s="198"/>
      <c r="U11" s="198"/>
    </row>
    <row r="12" spans="1:21" s="12" customFormat="1" x14ac:dyDescent="0.25">
      <c r="A12" s="214" t="s">
        <v>443</v>
      </c>
      <c r="B12" s="64">
        <v>2.8</v>
      </c>
      <c r="C12" s="64">
        <v>2.4700000000000002</v>
      </c>
      <c r="D12" s="64">
        <v>4.68</v>
      </c>
      <c r="E12" s="64">
        <v>0.85</v>
      </c>
      <c r="F12" s="64">
        <v>3.76</v>
      </c>
      <c r="G12" s="64">
        <v>34.979999999999997</v>
      </c>
      <c r="H12" s="64">
        <v>17.03</v>
      </c>
      <c r="I12" s="64">
        <v>8.99</v>
      </c>
      <c r="J12" s="64">
        <v>2.57</v>
      </c>
      <c r="K12" s="64">
        <v>96.27</v>
      </c>
      <c r="L12" s="64">
        <v>26.25</v>
      </c>
      <c r="M12" s="64">
        <v>70.38</v>
      </c>
      <c r="N12" s="64">
        <v>12.1</v>
      </c>
      <c r="O12" s="64">
        <v>0</v>
      </c>
      <c r="P12" s="64">
        <v>0.33</v>
      </c>
      <c r="Q12" s="64">
        <v>9.49</v>
      </c>
      <c r="R12" s="198"/>
      <c r="S12" s="198"/>
      <c r="T12" s="198"/>
      <c r="U12" s="198"/>
    </row>
    <row r="13" spans="1:21" s="12" customFormat="1" x14ac:dyDescent="0.25">
      <c r="A13" s="214" t="s">
        <v>444</v>
      </c>
      <c r="B13" s="64">
        <v>2.81</v>
      </c>
      <c r="C13" s="64">
        <v>2.5299999999999998</v>
      </c>
      <c r="D13" s="64">
        <v>4.72</v>
      </c>
      <c r="E13" s="64">
        <v>0.94</v>
      </c>
      <c r="F13" s="64">
        <v>4.1100000000000003</v>
      </c>
      <c r="G13" s="64">
        <v>34.979999999999997</v>
      </c>
      <c r="H13" s="64">
        <v>17.03</v>
      </c>
      <c r="I13" s="64">
        <v>8.98</v>
      </c>
      <c r="J13" s="64">
        <v>2.46</v>
      </c>
      <c r="K13" s="64">
        <v>102.44</v>
      </c>
      <c r="L13" s="64">
        <v>26.1</v>
      </c>
      <c r="M13" s="64">
        <v>70.86</v>
      </c>
      <c r="N13" s="64">
        <v>12.5</v>
      </c>
      <c r="O13" s="64">
        <v>0</v>
      </c>
      <c r="P13" s="64">
        <v>0.36</v>
      </c>
      <c r="Q13" s="64">
        <v>9.52</v>
      </c>
      <c r="R13" s="198"/>
      <c r="S13" s="198"/>
      <c r="T13" s="198"/>
      <c r="U13" s="198"/>
    </row>
    <row r="14" spans="1:21" s="12" customFormat="1" x14ac:dyDescent="0.25">
      <c r="A14" s="214" t="s">
        <v>445</v>
      </c>
      <c r="B14" s="64">
        <v>2.75</v>
      </c>
      <c r="C14" s="64">
        <v>2.08</v>
      </c>
      <c r="D14" s="64">
        <v>4.4400000000000004</v>
      </c>
      <c r="E14" s="64">
        <v>0.75</v>
      </c>
      <c r="F14" s="64">
        <v>4.42</v>
      </c>
      <c r="G14" s="64">
        <v>34.36</v>
      </c>
      <c r="H14" s="64">
        <v>16.88</v>
      </c>
      <c r="I14" s="64">
        <v>8.8800000000000008</v>
      </c>
      <c r="J14" s="64">
        <v>1.89</v>
      </c>
      <c r="K14" s="64">
        <v>101.83</v>
      </c>
      <c r="L14" s="64">
        <v>25.99</v>
      </c>
      <c r="M14" s="64">
        <v>70.81</v>
      </c>
      <c r="N14" s="64">
        <v>12.2</v>
      </c>
      <c r="O14" s="64">
        <v>0</v>
      </c>
      <c r="P14" s="64">
        <v>0.36</v>
      </c>
      <c r="Q14" s="64">
        <v>9.5</v>
      </c>
      <c r="R14" s="198"/>
      <c r="S14" s="198"/>
      <c r="T14" s="198"/>
      <c r="U14" s="198"/>
    </row>
    <row r="15" spans="1:21" s="12" customFormat="1" x14ac:dyDescent="0.25">
      <c r="A15" s="214" t="s">
        <v>446</v>
      </c>
      <c r="B15" s="64">
        <v>2.71</v>
      </c>
      <c r="C15" s="64">
        <v>2.19</v>
      </c>
      <c r="D15" s="64">
        <v>4.46</v>
      </c>
      <c r="E15" s="64">
        <v>0.78</v>
      </c>
      <c r="F15" s="64">
        <v>4.22</v>
      </c>
      <c r="G15" s="64">
        <v>27.01</v>
      </c>
      <c r="H15" s="64">
        <v>15.16</v>
      </c>
      <c r="I15" s="64">
        <v>8.67</v>
      </c>
      <c r="J15" s="64">
        <v>1.51</v>
      </c>
      <c r="K15" s="64">
        <v>97.16</v>
      </c>
      <c r="L15" s="64">
        <v>26.09</v>
      </c>
      <c r="M15" s="64">
        <v>69.67</v>
      </c>
      <c r="N15" s="64">
        <v>12.1</v>
      </c>
      <c r="O15" s="64">
        <v>0</v>
      </c>
      <c r="P15" s="64">
        <v>0.35</v>
      </c>
      <c r="Q15" s="64">
        <v>9.5500000000000007</v>
      </c>
      <c r="R15" s="198"/>
      <c r="S15" s="198"/>
      <c r="T15" s="198"/>
      <c r="U15" s="198"/>
    </row>
    <row r="16" spans="1:21" s="12" customFormat="1" x14ac:dyDescent="0.25">
      <c r="A16" s="214" t="s">
        <v>447</v>
      </c>
      <c r="B16" s="64">
        <v>2.63</v>
      </c>
      <c r="C16" s="64">
        <v>1.49</v>
      </c>
      <c r="D16" s="64">
        <v>4.03</v>
      </c>
      <c r="E16" s="64">
        <v>0.54</v>
      </c>
      <c r="F16" s="64">
        <v>4.12</v>
      </c>
      <c r="G16" s="64">
        <v>27.01</v>
      </c>
      <c r="H16" s="64">
        <v>15.16</v>
      </c>
      <c r="I16" s="64">
        <v>8.4600000000000009</v>
      </c>
      <c r="J16" s="64">
        <v>1.33</v>
      </c>
      <c r="K16" s="64">
        <v>102.12</v>
      </c>
      <c r="L16" s="64">
        <v>26.08</v>
      </c>
      <c r="M16" s="64">
        <v>68.92</v>
      </c>
      <c r="N16" s="64">
        <v>12.1</v>
      </c>
      <c r="O16" s="64">
        <v>0</v>
      </c>
      <c r="P16" s="64">
        <v>0.34</v>
      </c>
      <c r="Q16" s="64">
        <v>9.5</v>
      </c>
      <c r="R16" s="198"/>
      <c r="S16" s="198"/>
      <c r="T16" s="198"/>
      <c r="U16" s="198"/>
    </row>
    <row r="17" spans="1:21" s="12" customFormat="1" x14ac:dyDescent="0.25">
      <c r="A17" s="214" t="s">
        <v>448</v>
      </c>
      <c r="B17" s="64">
        <v>2.76</v>
      </c>
      <c r="C17" s="64">
        <v>1.92</v>
      </c>
      <c r="D17" s="64">
        <v>4.3600000000000003</v>
      </c>
      <c r="E17" s="64">
        <v>0.64</v>
      </c>
      <c r="F17" s="64">
        <v>4.68</v>
      </c>
      <c r="G17" s="64">
        <v>27.01</v>
      </c>
      <c r="H17" s="64">
        <v>15.16</v>
      </c>
      <c r="I17" s="64">
        <v>8.17</v>
      </c>
      <c r="J17" s="64">
        <v>1.3</v>
      </c>
      <c r="K17" s="64">
        <v>156.9</v>
      </c>
      <c r="L17" s="64">
        <v>26.16</v>
      </c>
      <c r="M17" s="64">
        <v>67.91</v>
      </c>
      <c r="N17" s="64">
        <v>12</v>
      </c>
      <c r="O17" s="64">
        <v>0</v>
      </c>
      <c r="P17" s="64">
        <v>0.34</v>
      </c>
      <c r="Q17" s="64">
        <v>9.48</v>
      </c>
      <c r="R17" s="198"/>
      <c r="S17" s="198"/>
      <c r="T17" s="198"/>
      <c r="U17" s="198"/>
    </row>
    <row r="18" spans="1:21" s="12" customFormat="1" x14ac:dyDescent="0.25">
      <c r="A18" s="214" t="s">
        <v>449</v>
      </c>
      <c r="B18" s="64">
        <v>2.82</v>
      </c>
      <c r="C18" s="64">
        <v>2.4500000000000002</v>
      </c>
      <c r="D18" s="64">
        <v>4.6900000000000004</v>
      </c>
      <c r="E18" s="64">
        <v>0.46</v>
      </c>
      <c r="F18" s="64">
        <v>3.88</v>
      </c>
      <c r="G18" s="64">
        <v>26.75</v>
      </c>
      <c r="H18" s="64">
        <v>15.05</v>
      </c>
      <c r="I18" s="64">
        <v>7.91</v>
      </c>
      <c r="J18" s="64">
        <v>0.86</v>
      </c>
      <c r="K18" s="64">
        <v>129.63</v>
      </c>
      <c r="L18" s="64">
        <v>26.11</v>
      </c>
      <c r="M18" s="64">
        <v>68.52</v>
      </c>
      <c r="N18" s="64">
        <v>12</v>
      </c>
      <c r="O18" s="64">
        <v>0</v>
      </c>
      <c r="P18" s="64">
        <v>0.33</v>
      </c>
      <c r="Q18" s="64">
        <v>9.52</v>
      </c>
      <c r="R18" s="198"/>
      <c r="S18" s="198"/>
      <c r="T18" s="198"/>
      <c r="U18" s="198"/>
    </row>
    <row r="19" spans="1:21" s="12" customFormat="1" x14ac:dyDescent="0.25">
      <c r="A19" s="214" t="s">
        <v>450</v>
      </c>
      <c r="B19" s="64">
        <v>2.85</v>
      </c>
      <c r="C19" s="64">
        <v>2.5299999999999998</v>
      </c>
      <c r="D19" s="64">
        <v>4.76</v>
      </c>
      <c r="E19" s="64">
        <v>0.57999999999999996</v>
      </c>
      <c r="F19" s="64">
        <v>4.37</v>
      </c>
      <c r="G19" s="64">
        <v>23.63</v>
      </c>
      <c r="H19" s="64">
        <v>13.75</v>
      </c>
      <c r="I19" s="64">
        <v>7.69</v>
      </c>
      <c r="J19" s="64">
        <v>2.44</v>
      </c>
      <c r="K19" s="64">
        <v>151.84</v>
      </c>
      <c r="L19" s="64">
        <v>26.41</v>
      </c>
      <c r="M19" s="64">
        <v>63.54</v>
      </c>
      <c r="N19" s="64">
        <v>11.5</v>
      </c>
      <c r="O19" s="64">
        <v>0</v>
      </c>
      <c r="P19" s="64">
        <v>0.32</v>
      </c>
      <c r="Q19" s="64">
        <v>9.4700000000000006</v>
      </c>
      <c r="R19" s="198"/>
      <c r="S19" s="198"/>
      <c r="T19" s="198"/>
      <c r="U19" s="198"/>
    </row>
    <row r="20" spans="1:21" s="12" customFormat="1" x14ac:dyDescent="0.25">
      <c r="A20" s="214" t="s">
        <v>451</v>
      </c>
      <c r="B20" s="64">
        <v>2.66</v>
      </c>
      <c r="C20" s="64">
        <v>1.61</v>
      </c>
      <c r="D20" s="64">
        <v>4.12</v>
      </c>
      <c r="E20" s="64">
        <v>0.63</v>
      </c>
      <c r="F20" s="64">
        <v>4.95</v>
      </c>
      <c r="G20" s="64">
        <v>23.63</v>
      </c>
      <c r="H20" s="64">
        <v>13.75</v>
      </c>
      <c r="I20" s="64">
        <v>7.38</v>
      </c>
      <c r="J20" s="64">
        <v>2.35</v>
      </c>
      <c r="K20" s="64">
        <v>153.80000000000001</v>
      </c>
      <c r="L20" s="64">
        <v>26.59</v>
      </c>
      <c r="M20" s="64">
        <v>60.46</v>
      </c>
      <c r="N20" s="64">
        <v>11.9</v>
      </c>
      <c r="O20" s="64">
        <v>0</v>
      </c>
      <c r="P20" s="64">
        <v>0.31</v>
      </c>
      <c r="Q20" s="64">
        <v>9.4700000000000006</v>
      </c>
      <c r="R20" s="198"/>
      <c r="S20" s="198"/>
      <c r="T20" s="198"/>
      <c r="U20" s="198"/>
    </row>
    <row r="21" spans="1:21" s="12" customFormat="1" x14ac:dyDescent="0.25">
      <c r="A21" s="214" t="s">
        <v>452</v>
      </c>
      <c r="B21" s="64">
        <v>2.85</v>
      </c>
      <c r="C21" s="64">
        <v>2.82</v>
      </c>
      <c r="D21" s="64">
        <v>4.91</v>
      </c>
      <c r="E21" s="64">
        <v>0.65</v>
      </c>
      <c r="F21" s="64">
        <v>4.3</v>
      </c>
      <c r="G21" s="64">
        <v>23.63</v>
      </c>
      <c r="H21" s="64">
        <v>13.75</v>
      </c>
      <c r="I21" s="64">
        <v>7.2</v>
      </c>
      <c r="J21" s="64">
        <v>2.4500000000000002</v>
      </c>
      <c r="K21" s="64">
        <v>154.51</v>
      </c>
      <c r="L21" s="64">
        <v>26.66</v>
      </c>
      <c r="M21" s="64">
        <v>59.43</v>
      </c>
      <c r="N21" s="64">
        <v>12.1</v>
      </c>
      <c r="O21" s="64">
        <v>0</v>
      </c>
      <c r="P21" s="64">
        <v>0.31</v>
      </c>
      <c r="Q21" s="64">
        <v>9.49</v>
      </c>
      <c r="R21" s="198"/>
      <c r="S21" s="198"/>
      <c r="T21" s="198"/>
      <c r="U21" s="198"/>
    </row>
    <row r="22" spans="1:21" s="12" customFormat="1" x14ac:dyDescent="0.25">
      <c r="A22" s="214" t="s">
        <v>453</v>
      </c>
      <c r="B22" s="64">
        <v>2.83</v>
      </c>
      <c r="C22" s="64">
        <v>2.56</v>
      </c>
      <c r="D22" s="64">
        <v>4.76</v>
      </c>
      <c r="E22" s="64">
        <v>0.54</v>
      </c>
      <c r="F22" s="64">
        <v>5.34</v>
      </c>
      <c r="G22" s="64">
        <v>23.39</v>
      </c>
      <c r="H22" s="64">
        <v>13.61</v>
      </c>
      <c r="I22" s="64">
        <v>7.13</v>
      </c>
      <c r="J22" s="64">
        <v>2.4700000000000002</v>
      </c>
      <c r="K22" s="64">
        <v>155.85</v>
      </c>
      <c r="L22" s="64">
        <v>26.7</v>
      </c>
      <c r="M22" s="64">
        <v>58.95</v>
      </c>
      <c r="N22" s="64">
        <v>12.1</v>
      </c>
      <c r="O22" s="64">
        <v>0</v>
      </c>
      <c r="P22" s="64">
        <v>0.3</v>
      </c>
      <c r="Q22" s="64">
        <v>9.4700000000000006</v>
      </c>
      <c r="R22" s="198"/>
      <c r="S22" s="198"/>
      <c r="T22" s="198"/>
      <c r="U22" s="198"/>
    </row>
    <row r="23" spans="1:21" s="12" customFormat="1" x14ac:dyDescent="0.25">
      <c r="A23" s="214" t="s">
        <v>454</v>
      </c>
      <c r="B23" s="64">
        <v>2.82</v>
      </c>
      <c r="C23" s="64">
        <v>2.75</v>
      </c>
      <c r="D23" s="64">
        <v>4.84</v>
      </c>
      <c r="E23" s="64">
        <v>0.89</v>
      </c>
      <c r="F23" s="64">
        <v>4.4800000000000004</v>
      </c>
      <c r="G23" s="64">
        <v>20.55</v>
      </c>
      <c r="H23" s="64">
        <v>11.94</v>
      </c>
      <c r="I23" s="64">
        <v>6.92</v>
      </c>
      <c r="J23" s="64">
        <v>2.42</v>
      </c>
      <c r="K23" s="64">
        <v>158.61000000000001</v>
      </c>
      <c r="L23" s="64">
        <v>26.76</v>
      </c>
      <c r="M23" s="64">
        <v>58.95</v>
      </c>
      <c r="N23" s="64">
        <v>12.1</v>
      </c>
      <c r="O23" s="64">
        <v>0</v>
      </c>
      <c r="P23" s="64">
        <v>0.28999999999999998</v>
      </c>
      <c r="Q23" s="64">
        <v>9.4600000000000009</v>
      </c>
      <c r="R23" s="198"/>
      <c r="S23" s="198"/>
      <c r="T23" s="198"/>
      <c r="U23" s="198"/>
    </row>
    <row r="24" spans="1:21" s="12" customFormat="1" x14ac:dyDescent="0.25">
      <c r="A24" s="214" t="s">
        <v>455</v>
      </c>
      <c r="B24" s="64">
        <v>2.64</v>
      </c>
      <c r="C24" s="64">
        <v>1.61</v>
      </c>
      <c r="D24" s="64">
        <v>4.0999999999999996</v>
      </c>
      <c r="E24" s="64">
        <v>1.1200000000000001</v>
      </c>
      <c r="F24" s="64">
        <v>4.33</v>
      </c>
      <c r="G24" s="64">
        <v>20.55</v>
      </c>
      <c r="H24" s="64">
        <v>11.94</v>
      </c>
      <c r="I24" s="64">
        <v>6.67</v>
      </c>
      <c r="J24" s="64">
        <v>1.94</v>
      </c>
      <c r="K24" s="64">
        <v>166.05</v>
      </c>
      <c r="L24" s="64">
        <v>26.79</v>
      </c>
      <c r="M24" s="64">
        <v>59.31</v>
      </c>
      <c r="N24" s="64">
        <v>12.1</v>
      </c>
      <c r="O24" s="64">
        <v>0</v>
      </c>
      <c r="P24" s="64">
        <v>0.28000000000000003</v>
      </c>
      <c r="Q24" s="64">
        <v>9.3800000000000008</v>
      </c>
      <c r="R24" s="198"/>
      <c r="S24" s="198"/>
      <c r="T24" s="198"/>
      <c r="U24" s="198"/>
    </row>
    <row r="25" spans="1:21" s="12" customFormat="1" x14ac:dyDescent="0.25">
      <c r="A25" s="214" t="s">
        <v>456</v>
      </c>
      <c r="B25" s="64">
        <v>2.76</v>
      </c>
      <c r="C25" s="64">
        <v>2.0699999999999998</v>
      </c>
      <c r="D25" s="64">
        <v>4.4400000000000004</v>
      </c>
      <c r="E25" s="64">
        <v>0.91</v>
      </c>
      <c r="F25" s="64">
        <v>4.45</v>
      </c>
      <c r="G25" s="64">
        <v>20.55</v>
      </c>
      <c r="H25" s="64">
        <v>11.94</v>
      </c>
      <c r="I25" s="64">
        <v>6.47</v>
      </c>
      <c r="J25" s="64">
        <v>2.4700000000000002</v>
      </c>
      <c r="K25" s="64">
        <v>150.44</v>
      </c>
      <c r="L25" s="64">
        <v>26.77</v>
      </c>
      <c r="M25" s="64">
        <v>59.59</v>
      </c>
      <c r="N25" s="64">
        <v>12.1</v>
      </c>
      <c r="O25" s="64">
        <v>0</v>
      </c>
      <c r="P25" s="64">
        <v>0.28000000000000003</v>
      </c>
      <c r="Q25" s="64">
        <v>9.3800000000000008</v>
      </c>
      <c r="R25" s="198"/>
      <c r="S25" s="198"/>
      <c r="T25" s="198"/>
      <c r="U25" s="198"/>
    </row>
    <row r="26" spans="1:21" s="12" customFormat="1" x14ac:dyDescent="0.25">
      <c r="A26" s="214" t="s">
        <v>457</v>
      </c>
      <c r="B26" s="64">
        <v>2.74</v>
      </c>
      <c r="C26" s="64">
        <v>2.06</v>
      </c>
      <c r="D26" s="64">
        <v>4.42</v>
      </c>
      <c r="E26" s="64">
        <v>0.53</v>
      </c>
      <c r="F26" s="64">
        <v>4.45</v>
      </c>
      <c r="G26" s="64">
        <v>20.260000000000002</v>
      </c>
      <c r="H26" s="64">
        <v>11.66</v>
      </c>
      <c r="I26" s="64">
        <v>6.38</v>
      </c>
      <c r="J26" s="64">
        <v>1.84</v>
      </c>
      <c r="K26" s="64">
        <v>154.02000000000001</v>
      </c>
      <c r="L26" s="64">
        <v>26.76</v>
      </c>
      <c r="M26" s="64">
        <v>59.87</v>
      </c>
      <c r="N26" s="64">
        <v>12.1</v>
      </c>
      <c r="O26" s="64">
        <v>0</v>
      </c>
      <c r="P26" s="64">
        <v>0.28000000000000003</v>
      </c>
      <c r="Q26" s="64">
        <v>9.41</v>
      </c>
      <c r="R26" s="198"/>
      <c r="S26" s="198"/>
      <c r="T26" s="198"/>
      <c r="U26" s="198"/>
    </row>
    <row r="27" spans="1:21" s="12" customFormat="1" x14ac:dyDescent="0.25">
      <c r="A27" s="214" t="s">
        <v>458</v>
      </c>
      <c r="B27" s="64">
        <v>2.66</v>
      </c>
      <c r="C27" s="64">
        <v>1.59</v>
      </c>
      <c r="D27" s="64">
        <v>4.1100000000000003</v>
      </c>
      <c r="E27" s="64">
        <v>0.62</v>
      </c>
      <c r="F27" s="64">
        <v>3.85</v>
      </c>
      <c r="G27" s="64">
        <v>16.89</v>
      </c>
      <c r="H27" s="64">
        <v>8.3800000000000008</v>
      </c>
      <c r="I27" s="64">
        <v>6.39</v>
      </c>
      <c r="J27" s="64">
        <v>1.73</v>
      </c>
      <c r="K27" s="64">
        <v>150.55000000000001</v>
      </c>
      <c r="L27" s="64">
        <v>26.81</v>
      </c>
      <c r="M27" s="64">
        <v>59.56</v>
      </c>
      <c r="N27" s="64">
        <v>12</v>
      </c>
      <c r="O27" s="64">
        <v>0</v>
      </c>
      <c r="P27" s="64">
        <v>0.27</v>
      </c>
      <c r="Q27" s="64">
        <v>9.39</v>
      </c>
      <c r="R27" s="198"/>
      <c r="S27" s="198"/>
      <c r="T27" s="198"/>
      <c r="U27" s="198"/>
    </row>
    <row r="28" spans="1:21" s="12" customFormat="1" x14ac:dyDescent="0.25">
      <c r="A28" s="214" t="s">
        <v>459</v>
      </c>
      <c r="B28" s="64">
        <v>2.77</v>
      </c>
      <c r="C28" s="64">
        <v>2.0699999999999998</v>
      </c>
      <c r="D28" s="64">
        <v>4.45</v>
      </c>
      <c r="E28" s="64">
        <v>1.08</v>
      </c>
      <c r="F28" s="64">
        <v>4.3499999999999996</v>
      </c>
      <c r="G28" s="64">
        <v>16.89</v>
      </c>
      <c r="H28" s="64">
        <v>8.3800000000000008</v>
      </c>
      <c r="I28" s="64">
        <v>6.36</v>
      </c>
      <c r="J28" s="64">
        <v>0.65</v>
      </c>
      <c r="K28" s="64">
        <v>212.77</v>
      </c>
      <c r="L28" s="64">
        <v>26.97</v>
      </c>
      <c r="M28" s="64">
        <v>58.02</v>
      </c>
      <c r="N28" s="64">
        <v>12</v>
      </c>
      <c r="O28" s="64">
        <v>0</v>
      </c>
      <c r="P28" s="64">
        <v>0.26</v>
      </c>
      <c r="Q28" s="64">
        <v>9.4</v>
      </c>
      <c r="R28" s="198"/>
      <c r="S28" s="198"/>
      <c r="T28" s="198"/>
      <c r="U28" s="198"/>
    </row>
    <row r="29" spans="1:21" s="12" customFormat="1" x14ac:dyDescent="0.25">
      <c r="A29" s="214" t="s">
        <v>460</v>
      </c>
      <c r="B29" s="64">
        <v>2.71</v>
      </c>
      <c r="C29" s="64">
        <v>1.83</v>
      </c>
      <c r="D29" s="64">
        <v>4.2699999999999996</v>
      </c>
      <c r="E29" s="64">
        <v>0.74</v>
      </c>
      <c r="F29" s="64">
        <v>5.0999999999999996</v>
      </c>
      <c r="G29" s="64">
        <v>16.89</v>
      </c>
      <c r="H29" s="64">
        <v>8.3800000000000008</v>
      </c>
      <c r="I29" s="64">
        <v>6.3</v>
      </c>
      <c r="J29" s="64">
        <v>0.74</v>
      </c>
      <c r="K29" s="64">
        <v>196.44</v>
      </c>
      <c r="L29" s="64">
        <v>26.97</v>
      </c>
      <c r="M29" s="64">
        <v>58.56</v>
      </c>
      <c r="N29" s="64">
        <v>13.6</v>
      </c>
      <c r="O29" s="64">
        <v>0</v>
      </c>
      <c r="P29" s="64">
        <v>0.26</v>
      </c>
      <c r="Q29" s="64">
        <v>9.43</v>
      </c>
      <c r="R29" s="198"/>
      <c r="S29" s="198"/>
      <c r="T29" s="198"/>
      <c r="U29" s="198"/>
    </row>
    <row r="30" spans="1:21" s="12" customFormat="1" x14ac:dyDescent="0.25">
      <c r="A30" s="214" t="s">
        <v>461</v>
      </c>
      <c r="B30" s="64">
        <v>2.78</v>
      </c>
      <c r="C30" s="64">
        <v>2.17</v>
      </c>
      <c r="D30" s="64">
        <v>4.5</v>
      </c>
      <c r="E30" s="64">
        <v>1.03</v>
      </c>
      <c r="F30" s="64">
        <v>5.27</v>
      </c>
      <c r="G30" s="64">
        <v>17.059999999999999</v>
      </c>
      <c r="H30" s="64">
        <v>8.4499999999999993</v>
      </c>
      <c r="I30" s="64">
        <v>6.06</v>
      </c>
      <c r="J30" s="64">
        <v>0.6</v>
      </c>
      <c r="K30" s="64">
        <v>197.58</v>
      </c>
      <c r="L30" s="64">
        <v>26.88</v>
      </c>
      <c r="M30" s="64">
        <v>59.24</v>
      </c>
      <c r="N30" s="64">
        <v>20.5</v>
      </c>
      <c r="O30" s="64">
        <v>0</v>
      </c>
      <c r="P30" s="64">
        <v>0.26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4" t="s">
        <v>462</v>
      </c>
      <c r="B31" s="64">
        <v>2.82</v>
      </c>
      <c r="C31" s="64">
        <v>2.69</v>
      </c>
      <c r="D31" s="64">
        <v>4.8099999999999996</v>
      </c>
      <c r="E31" s="64">
        <v>0.91</v>
      </c>
      <c r="F31" s="64">
        <v>4.8899999999999997</v>
      </c>
      <c r="G31" s="64">
        <v>19.05</v>
      </c>
      <c r="H31" s="64">
        <v>9.26</v>
      </c>
      <c r="I31" s="64">
        <v>5.78</v>
      </c>
      <c r="J31" s="64">
        <v>0.76</v>
      </c>
      <c r="K31" s="64">
        <v>212.57</v>
      </c>
      <c r="L31" s="64">
        <v>26.79</v>
      </c>
      <c r="M31" s="64">
        <v>60.56</v>
      </c>
      <c r="N31" s="64">
        <v>34.4</v>
      </c>
      <c r="O31" s="64">
        <v>0</v>
      </c>
      <c r="P31" s="64">
        <v>0.26</v>
      </c>
      <c r="Q31" s="64">
        <v>9.4499999999999993</v>
      </c>
      <c r="R31" s="198"/>
      <c r="S31" s="198"/>
      <c r="T31" s="198"/>
      <c r="U31" s="198"/>
    </row>
    <row r="32" spans="1:21" s="12" customFormat="1" x14ac:dyDescent="0.25">
      <c r="A32" s="214" t="s">
        <v>463</v>
      </c>
      <c r="B32" s="64">
        <v>2.7</v>
      </c>
      <c r="C32" s="64">
        <v>1.98</v>
      </c>
      <c r="D32" s="64">
        <v>4.34</v>
      </c>
      <c r="E32" s="64">
        <v>1.1100000000000001</v>
      </c>
      <c r="F32" s="64">
        <v>5.0199999999999996</v>
      </c>
      <c r="G32" s="64">
        <v>19.05</v>
      </c>
      <c r="H32" s="64">
        <v>9.26</v>
      </c>
      <c r="I32" s="64">
        <v>5.56</v>
      </c>
      <c r="J32" s="64">
        <v>0.53</v>
      </c>
      <c r="K32" s="64">
        <v>218.02</v>
      </c>
      <c r="L32" s="64">
        <v>26.79</v>
      </c>
      <c r="M32" s="64">
        <v>61.3</v>
      </c>
      <c r="N32" s="64">
        <v>55</v>
      </c>
      <c r="O32" s="64">
        <v>0</v>
      </c>
      <c r="P32" s="64">
        <v>0.26</v>
      </c>
      <c r="Q32" s="64">
        <v>9.4600000000000009</v>
      </c>
      <c r="R32" s="198"/>
      <c r="S32" s="198"/>
      <c r="T32" s="198"/>
      <c r="U32" s="198"/>
    </row>
    <row r="33" spans="1:21" s="12" customFormat="1" x14ac:dyDescent="0.25">
      <c r="A33" s="214" t="s">
        <v>464</v>
      </c>
      <c r="B33" s="64">
        <v>2.61</v>
      </c>
      <c r="C33" s="64">
        <v>1.4</v>
      </c>
      <c r="D33" s="64">
        <v>3.97</v>
      </c>
      <c r="E33" s="64">
        <v>1.1100000000000001</v>
      </c>
      <c r="F33" s="64">
        <v>5.52</v>
      </c>
      <c r="G33" s="64">
        <v>19.05</v>
      </c>
      <c r="H33" s="64">
        <v>9.26</v>
      </c>
      <c r="I33" s="64">
        <v>5.27</v>
      </c>
      <c r="J33" s="64">
        <v>0.81</v>
      </c>
      <c r="K33" s="64">
        <v>192.26</v>
      </c>
      <c r="L33" s="64">
        <v>26.82</v>
      </c>
      <c r="M33" s="64">
        <v>61.27</v>
      </c>
      <c r="N33" s="64">
        <v>77.7</v>
      </c>
      <c r="O33" s="64">
        <v>0</v>
      </c>
      <c r="P33" s="64">
        <v>0.26</v>
      </c>
      <c r="Q33" s="64">
        <v>9.4700000000000006</v>
      </c>
      <c r="R33" s="198"/>
      <c r="S33" s="198"/>
      <c r="T33" s="198"/>
      <c r="U33" s="198"/>
    </row>
    <row r="34" spans="1:21" s="12" customFormat="1" x14ac:dyDescent="0.25">
      <c r="A34" s="214" t="s">
        <v>465</v>
      </c>
      <c r="B34" s="64">
        <v>2.71</v>
      </c>
      <c r="C34" s="64">
        <v>2.13</v>
      </c>
      <c r="D34" s="64">
        <v>4.43</v>
      </c>
      <c r="E34" s="64">
        <v>1.03</v>
      </c>
      <c r="F34" s="64">
        <v>4.26</v>
      </c>
      <c r="G34" s="64">
        <v>19.190000000000001</v>
      </c>
      <c r="H34" s="64">
        <v>9.19</v>
      </c>
      <c r="I34" s="64">
        <v>4.92</v>
      </c>
      <c r="J34" s="64">
        <v>0.68</v>
      </c>
      <c r="K34" s="64">
        <v>207.48</v>
      </c>
      <c r="L34" s="64">
        <v>26.86</v>
      </c>
      <c r="M34" s="64">
        <v>61.31</v>
      </c>
      <c r="N34" s="64">
        <v>86.1</v>
      </c>
      <c r="O34" s="64">
        <v>0</v>
      </c>
      <c r="P34" s="64">
        <v>0.26</v>
      </c>
      <c r="Q34" s="64">
        <v>9.48</v>
      </c>
      <c r="R34" s="198"/>
      <c r="S34" s="198"/>
      <c r="T34" s="198"/>
      <c r="U34" s="198"/>
    </row>
    <row r="35" spans="1:21" s="12" customFormat="1" x14ac:dyDescent="0.25">
      <c r="A35" s="214" t="s">
        <v>466</v>
      </c>
      <c r="B35" s="64">
        <v>2.68</v>
      </c>
      <c r="C35" s="64">
        <v>1.87</v>
      </c>
      <c r="D35" s="64">
        <v>4.28</v>
      </c>
      <c r="E35" s="64">
        <v>0.95</v>
      </c>
      <c r="F35" s="64">
        <v>5.22</v>
      </c>
      <c r="G35" s="64">
        <v>20.87</v>
      </c>
      <c r="H35" s="64">
        <v>8.39</v>
      </c>
      <c r="I35" s="64">
        <v>4.7</v>
      </c>
      <c r="J35" s="64">
        <v>0.82</v>
      </c>
      <c r="K35" s="64">
        <v>196.7</v>
      </c>
      <c r="L35" s="64">
        <v>26.93</v>
      </c>
      <c r="M35" s="64">
        <v>61.12</v>
      </c>
      <c r="N35" s="64">
        <v>141.19999999999999</v>
      </c>
      <c r="O35" s="64">
        <v>0</v>
      </c>
      <c r="P35" s="64">
        <v>0.25</v>
      </c>
      <c r="Q35" s="64">
        <v>9.44</v>
      </c>
      <c r="R35" s="198"/>
      <c r="S35" s="198"/>
      <c r="T35" s="198"/>
      <c r="U35" s="198"/>
    </row>
    <row r="36" spans="1:21" s="12" customFormat="1" x14ac:dyDescent="0.25">
      <c r="A36" s="214" t="s">
        <v>467</v>
      </c>
      <c r="B36" s="64">
        <v>2.48</v>
      </c>
      <c r="C36" s="64">
        <v>0.75</v>
      </c>
      <c r="D36" s="64">
        <v>3.53</v>
      </c>
      <c r="E36" s="64">
        <v>1.05</v>
      </c>
      <c r="F36" s="64">
        <v>5.21</v>
      </c>
      <c r="G36" s="64">
        <v>20.87</v>
      </c>
      <c r="H36" s="64">
        <v>8.39</v>
      </c>
      <c r="I36" s="64">
        <v>4.41</v>
      </c>
      <c r="J36" s="64">
        <v>0.13</v>
      </c>
      <c r="K36" s="64">
        <v>229.88</v>
      </c>
      <c r="L36" s="64">
        <v>27.56</v>
      </c>
      <c r="M36" s="64">
        <v>59.22</v>
      </c>
      <c r="N36" s="64">
        <v>187.4</v>
      </c>
      <c r="O36" s="64">
        <v>0</v>
      </c>
      <c r="P36" s="64">
        <v>0.26</v>
      </c>
      <c r="Q36" s="64">
        <v>9.4700000000000006</v>
      </c>
      <c r="R36" s="198"/>
      <c r="S36" s="198"/>
      <c r="T36" s="198"/>
      <c r="U36" s="198"/>
    </row>
    <row r="37" spans="1:21" s="12" customFormat="1" x14ac:dyDescent="0.25">
      <c r="A37" s="214" t="s">
        <v>468</v>
      </c>
      <c r="B37" s="64">
        <v>2.62</v>
      </c>
      <c r="C37" s="64">
        <v>1.36</v>
      </c>
      <c r="D37" s="64">
        <v>3.95</v>
      </c>
      <c r="E37" s="64">
        <v>1.07</v>
      </c>
      <c r="F37" s="64">
        <v>5.17</v>
      </c>
      <c r="G37" s="64">
        <v>20.87</v>
      </c>
      <c r="H37" s="64">
        <v>8.39</v>
      </c>
      <c r="I37" s="64">
        <v>4.2</v>
      </c>
      <c r="J37" s="64">
        <v>0.28999999999999998</v>
      </c>
      <c r="K37" s="64">
        <v>206.54</v>
      </c>
      <c r="L37" s="64">
        <v>27.82</v>
      </c>
      <c r="M37" s="64">
        <v>58.36</v>
      </c>
      <c r="N37" s="64">
        <v>219.1</v>
      </c>
      <c r="O37" s="64">
        <v>0</v>
      </c>
      <c r="P37" s="64">
        <v>0.25</v>
      </c>
      <c r="Q37" s="64">
        <v>9.44</v>
      </c>
      <c r="R37" s="198"/>
      <c r="S37" s="198"/>
      <c r="T37" s="198"/>
      <c r="U37" s="198"/>
    </row>
    <row r="38" spans="1:21" s="12" customFormat="1" x14ac:dyDescent="0.25">
      <c r="A38" s="214" t="s">
        <v>469</v>
      </c>
      <c r="B38" s="64">
        <v>2.59</v>
      </c>
      <c r="C38" s="64">
        <v>1.22</v>
      </c>
      <c r="D38" s="64">
        <v>3.86</v>
      </c>
      <c r="E38" s="64">
        <v>0.8</v>
      </c>
      <c r="F38" s="64">
        <v>5.91</v>
      </c>
      <c r="G38" s="64">
        <v>21.02</v>
      </c>
      <c r="H38" s="64">
        <v>8.6</v>
      </c>
      <c r="I38" s="64">
        <v>4.0599999999999996</v>
      </c>
      <c r="J38" s="64">
        <v>0.69</v>
      </c>
      <c r="K38" s="64">
        <v>188.86</v>
      </c>
      <c r="L38" s="64">
        <v>27.88</v>
      </c>
      <c r="M38" s="64">
        <v>57.92</v>
      </c>
      <c r="N38" s="64">
        <v>257</v>
      </c>
      <c r="O38" s="64">
        <v>0</v>
      </c>
      <c r="P38" s="64">
        <v>0.26</v>
      </c>
      <c r="Q38" s="64">
        <v>9.44</v>
      </c>
      <c r="R38" s="198"/>
      <c r="S38" s="198"/>
      <c r="T38" s="198"/>
      <c r="U38" s="198"/>
    </row>
    <row r="39" spans="1:21" s="12" customFormat="1" x14ac:dyDescent="0.25">
      <c r="A39" s="214" t="s">
        <v>470</v>
      </c>
      <c r="B39" s="64">
        <v>2.62</v>
      </c>
      <c r="C39" s="64">
        <v>1.51</v>
      </c>
      <c r="D39" s="64">
        <v>4.04</v>
      </c>
      <c r="E39" s="64">
        <v>0.65</v>
      </c>
      <c r="F39" s="64">
        <v>5.35</v>
      </c>
      <c r="G39" s="64">
        <v>22.75</v>
      </c>
      <c r="H39" s="64">
        <v>11.06</v>
      </c>
      <c r="I39" s="64">
        <v>3.85</v>
      </c>
      <c r="J39" s="64">
        <v>0.52</v>
      </c>
      <c r="K39" s="64">
        <v>191.17</v>
      </c>
      <c r="L39" s="64">
        <v>28.21</v>
      </c>
      <c r="M39" s="64">
        <v>55.97</v>
      </c>
      <c r="N39" s="64">
        <v>352.6</v>
      </c>
      <c r="O39" s="64">
        <v>0</v>
      </c>
      <c r="P39" s="64">
        <v>0.27</v>
      </c>
      <c r="Q39" s="64">
        <v>9.48</v>
      </c>
      <c r="R39" s="198"/>
      <c r="S39" s="198"/>
      <c r="T39" s="198"/>
      <c r="U39" s="198"/>
    </row>
    <row r="40" spans="1:21" s="12" customFormat="1" x14ac:dyDescent="0.25">
      <c r="A40" s="214" t="s">
        <v>471</v>
      </c>
      <c r="B40" s="64">
        <v>2.67</v>
      </c>
      <c r="C40" s="64">
        <v>1.65</v>
      </c>
      <c r="D40" s="64">
        <v>4.1500000000000004</v>
      </c>
      <c r="E40" s="64">
        <v>1.76</v>
      </c>
      <c r="F40" s="64">
        <v>5.63</v>
      </c>
      <c r="G40" s="64">
        <v>22.75</v>
      </c>
      <c r="H40" s="64">
        <v>11.06</v>
      </c>
      <c r="I40" s="64">
        <v>3.73</v>
      </c>
      <c r="J40" s="64">
        <v>0.18</v>
      </c>
      <c r="K40" s="64">
        <v>8.36</v>
      </c>
      <c r="L40" s="64">
        <v>28.84</v>
      </c>
      <c r="M40" s="64">
        <v>53.7</v>
      </c>
      <c r="N40" s="64">
        <v>402.6</v>
      </c>
      <c r="O40" s="64">
        <v>0</v>
      </c>
      <c r="P40" s="64">
        <v>0.27</v>
      </c>
      <c r="Q40" s="64">
        <v>9.42</v>
      </c>
      <c r="R40" s="198"/>
      <c r="S40" s="198"/>
      <c r="T40" s="198"/>
      <c r="U40" s="198"/>
    </row>
    <row r="41" spans="1:21" s="12" customFormat="1" x14ac:dyDescent="0.25">
      <c r="A41" s="214" t="s">
        <v>472</v>
      </c>
      <c r="B41" s="64">
        <v>2.58</v>
      </c>
      <c r="C41" s="64">
        <v>1.22</v>
      </c>
      <c r="D41" s="64">
        <v>3.85</v>
      </c>
      <c r="E41" s="64">
        <v>1.77</v>
      </c>
      <c r="F41" s="64">
        <v>7.49</v>
      </c>
      <c r="G41" s="64">
        <v>22.75</v>
      </c>
      <c r="H41" s="64">
        <v>11.06</v>
      </c>
      <c r="I41" s="64">
        <v>3.58</v>
      </c>
      <c r="J41" s="64">
        <v>0.16</v>
      </c>
      <c r="K41" s="64">
        <v>4.1100000000000003</v>
      </c>
      <c r="L41" s="64">
        <v>29.13</v>
      </c>
      <c r="M41" s="64">
        <v>52.21</v>
      </c>
      <c r="N41" s="64">
        <v>454.9</v>
      </c>
      <c r="O41" s="64">
        <v>0</v>
      </c>
      <c r="P41" s="64">
        <v>0.27</v>
      </c>
      <c r="Q41" s="64">
        <v>9.39</v>
      </c>
      <c r="R41" s="198"/>
      <c r="S41" s="198"/>
      <c r="T41" s="198"/>
      <c r="U41" s="198"/>
    </row>
    <row r="42" spans="1:21" s="12" customFormat="1" x14ac:dyDescent="0.25">
      <c r="A42" s="214" t="s">
        <v>473</v>
      </c>
      <c r="B42" s="64">
        <v>2.5</v>
      </c>
      <c r="C42" s="64">
        <v>0.87</v>
      </c>
      <c r="D42" s="64">
        <v>3.61</v>
      </c>
      <c r="E42" s="64">
        <v>1.72</v>
      </c>
      <c r="F42" s="64">
        <v>8.4700000000000006</v>
      </c>
      <c r="G42" s="64">
        <v>22.82</v>
      </c>
      <c r="H42" s="64">
        <v>11.08</v>
      </c>
      <c r="I42" s="64">
        <v>3.29</v>
      </c>
      <c r="J42" s="64">
        <v>0.31</v>
      </c>
      <c r="K42" s="64">
        <v>330.52</v>
      </c>
      <c r="L42" s="64">
        <v>29.56</v>
      </c>
      <c r="M42" s="64">
        <v>51.29</v>
      </c>
      <c r="N42" s="64">
        <v>418.6</v>
      </c>
      <c r="O42" s="64">
        <v>0</v>
      </c>
      <c r="P42" s="64">
        <v>0.27</v>
      </c>
      <c r="Q42" s="64">
        <v>9.34</v>
      </c>
      <c r="R42" s="198"/>
      <c r="S42" s="198"/>
      <c r="T42" s="198"/>
      <c r="U42" s="198"/>
    </row>
    <row r="43" spans="1:21" s="12" customFormat="1" x14ac:dyDescent="0.25">
      <c r="A43" s="214" t="s">
        <v>474</v>
      </c>
      <c r="B43" s="64">
        <v>2.58</v>
      </c>
      <c r="C43" s="64">
        <v>1.24</v>
      </c>
      <c r="D43" s="64">
        <v>3.86</v>
      </c>
      <c r="E43" s="64">
        <v>1.79</v>
      </c>
      <c r="F43" s="64">
        <v>9.16</v>
      </c>
      <c r="G43" s="64">
        <v>23.66</v>
      </c>
      <c r="H43" s="64">
        <v>11.29</v>
      </c>
      <c r="I43" s="64">
        <v>2.89</v>
      </c>
      <c r="J43" s="64">
        <v>0.25</v>
      </c>
      <c r="K43" s="64">
        <v>13.18</v>
      </c>
      <c r="L43" s="64">
        <v>29.7</v>
      </c>
      <c r="M43" s="64">
        <v>50.47</v>
      </c>
      <c r="N43" s="64">
        <v>523.6</v>
      </c>
      <c r="O43" s="64">
        <v>0</v>
      </c>
      <c r="P43" s="64">
        <v>0.28000000000000003</v>
      </c>
      <c r="Q43" s="64">
        <v>9.36</v>
      </c>
      <c r="R43" s="198"/>
      <c r="S43" s="198"/>
      <c r="T43" s="198"/>
      <c r="U43" s="198"/>
    </row>
    <row r="44" spans="1:21" s="12" customFormat="1" x14ac:dyDescent="0.25">
      <c r="A44" s="214" t="s">
        <v>475</v>
      </c>
      <c r="B44" s="64">
        <v>2.4300000000000002</v>
      </c>
      <c r="C44" s="64">
        <v>0.59</v>
      </c>
      <c r="D44" s="64">
        <v>3.41</v>
      </c>
      <c r="E44" s="64">
        <v>1.69</v>
      </c>
      <c r="F44" s="64">
        <v>9.6199999999999992</v>
      </c>
      <c r="G44" s="64">
        <v>23.66</v>
      </c>
      <c r="H44" s="64">
        <v>11.29</v>
      </c>
      <c r="I44" s="64">
        <v>2.58</v>
      </c>
      <c r="J44" s="64">
        <v>0.56000000000000005</v>
      </c>
      <c r="K44" s="64">
        <v>4.22</v>
      </c>
      <c r="L44" s="64">
        <v>30.2</v>
      </c>
      <c r="M44" s="64">
        <v>49.49</v>
      </c>
      <c r="N44" s="64">
        <v>550.70000000000005</v>
      </c>
      <c r="O44" s="64">
        <v>0</v>
      </c>
      <c r="P44" s="64">
        <v>0.28000000000000003</v>
      </c>
      <c r="Q44" s="64">
        <v>9.3699999999999992</v>
      </c>
      <c r="R44" s="198"/>
      <c r="S44" s="198"/>
      <c r="T44" s="198"/>
      <c r="U44" s="198"/>
    </row>
    <row r="45" spans="1:21" s="12" customFormat="1" x14ac:dyDescent="0.25">
      <c r="A45" s="214" t="s">
        <v>476</v>
      </c>
      <c r="B45" s="64">
        <v>2.58</v>
      </c>
      <c r="C45" s="64">
        <v>1.24</v>
      </c>
      <c r="D45" s="64">
        <v>3.86</v>
      </c>
      <c r="E45" s="64">
        <v>1.94</v>
      </c>
      <c r="F45" s="64">
        <v>10.36</v>
      </c>
      <c r="G45" s="64">
        <v>23.66</v>
      </c>
      <c r="H45" s="64">
        <v>11.29</v>
      </c>
      <c r="I45" s="64">
        <v>2.4300000000000002</v>
      </c>
      <c r="J45" s="64">
        <v>0.54</v>
      </c>
      <c r="K45" s="64">
        <v>14.09</v>
      </c>
      <c r="L45" s="64">
        <v>30.68</v>
      </c>
      <c r="M45" s="64">
        <v>48.69</v>
      </c>
      <c r="N45" s="64">
        <v>585.9</v>
      </c>
      <c r="O45" s="64">
        <v>0</v>
      </c>
      <c r="P45" s="64">
        <v>0.28999999999999998</v>
      </c>
      <c r="Q45" s="64">
        <v>9.35</v>
      </c>
      <c r="R45" s="198"/>
      <c r="S45" s="198"/>
      <c r="T45" s="198"/>
      <c r="U45" s="198"/>
    </row>
    <row r="46" spans="1:21" s="12" customFormat="1" x14ac:dyDescent="0.25">
      <c r="A46" s="214" t="s">
        <v>477</v>
      </c>
      <c r="B46" s="64">
        <v>2.52</v>
      </c>
      <c r="C46" s="64">
        <v>0.92</v>
      </c>
      <c r="D46" s="64">
        <v>3.64</v>
      </c>
      <c r="E46" s="64">
        <v>2.23</v>
      </c>
      <c r="F46" s="64">
        <v>11.02</v>
      </c>
      <c r="G46" s="64">
        <v>24.06</v>
      </c>
      <c r="H46" s="64">
        <v>11.29</v>
      </c>
      <c r="I46" s="64">
        <v>2.27</v>
      </c>
      <c r="J46" s="64">
        <v>0.62</v>
      </c>
      <c r="K46" s="64">
        <v>11.68</v>
      </c>
      <c r="L46" s="64">
        <v>30.68</v>
      </c>
      <c r="M46" s="64">
        <v>48.23</v>
      </c>
      <c r="N46" s="64">
        <v>470</v>
      </c>
      <c r="O46" s="64">
        <v>0</v>
      </c>
      <c r="P46" s="64">
        <v>0.28999999999999998</v>
      </c>
      <c r="Q46" s="64">
        <v>9.3699999999999992</v>
      </c>
      <c r="R46" s="198"/>
      <c r="S46" s="198"/>
      <c r="T46" s="198"/>
      <c r="U46" s="198"/>
    </row>
    <row r="47" spans="1:21" s="12" customFormat="1" x14ac:dyDescent="0.25">
      <c r="A47" s="214" t="s">
        <v>478</v>
      </c>
      <c r="B47" s="64">
        <v>2.5</v>
      </c>
      <c r="C47" s="64">
        <v>0.93</v>
      </c>
      <c r="D47" s="64">
        <v>3.64</v>
      </c>
      <c r="E47" s="64">
        <v>2.13</v>
      </c>
      <c r="F47" s="64">
        <v>11.63</v>
      </c>
      <c r="G47" s="64">
        <v>28.74</v>
      </c>
      <c r="H47" s="64">
        <v>11.28</v>
      </c>
      <c r="I47" s="64">
        <v>2.13</v>
      </c>
      <c r="J47" s="64">
        <v>0.76</v>
      </c>
      <c r="K47" s="64">
        <v>3.25</v>
      </c>
      <c r="L47" s="64">
        <v>31.19</v>
      </c>
      <c r="M47" s="64">
        <v>45.76</v>
      </c>
      <c r="N47" s="64">
        <v>596.4</v>
      </c>
      <c r="O47" s="64">
        <v>0</v>
      </c>
      <c r="P47" s="64">
        <v>0.3</v>
      </c>
      <c r="Q47" s="64">
        <v>9.3699999999999992</v>
      </c>
      <c r="R47" s="198"/>
      <c r="S47" s="198"/>
      <c r="T47" s="198"/>
      <c r="U47" s="198"/>
    </row>
    <row r="48" spans="1:21" s="12" customFormat="1" x14ac:dyDescent="0.25">
      <c r="A48" s="214" t="s">
        <v>479</v>
      </c>
      <c r="B48" s="64">
        <v>2.5099999999999998</v>
      </c>
      <c r="C48" s="64">
        <v>0.87</v>
      </c>
      <c r="D48" s="64">
        <v>3.61</v>
      </c>
      <c r="E48" s="64">
        <v>1.81</v>
      </c>
      <c r="F48" s="64">
        <v>11.92</v>
      </c>
      <c r="G48" s="64">
        <v>28.74</v>
      </c>
      <c r="H48" s="64">
        <v>11.28</v>
      </c>
      <c r="I48" s="64">
        <v>2.0299999999999998</v>
      </c>
      <c r="J48" s="64">
        <v>0.76</v>
      </c>
      <c r="K48" s="64">
        <v>21.86</v>
      </c>
      <c r="L48" s="64">
        <v>31.98</v>
      </c>
      <c r="M48" s="64">
        <v>43.76</v>
      </c>
      <c r="N48" s="64">
        <v>730.6</v>
      </c>
      <c r="O48" s="64">
        <v>0</v>
      </c>
      <c r="P48" s="64">
        <v>0.31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14" t="s">
        <v>480</v>
      </c>
      <c r="B49" s="64">
        <v>2.46</v>
      </c>
      <c r="C49" s="64">
        <v>0.84</v>
      </c>
      <c r="D49" s="64">
        <v>3.55</v>
      </c>
      <c r="E49" s="64">
        <v>2.33</v>
      </c>
      <c r="F49" s="64">
        <v>11.13</v>
      </c>
      <c r="G49" s="64">
        <v>28.74</v>
      </c>
      <c r="H49" s="64">
        <v>11.28</v>
      </c>
      <c r="I49" s="64">
        <v>1.84</v>
      </c>
      <c r="J49" s="64">
        <v>0.74</v>
      </c>
      <c r="K49" s="64">
        <v>8.58</v>
      </c>
      <c r="L49" s="64">
        <v>32.479999999999997</v>
      </c>
      <c r="M49" s="64">
        <v>42.93</v>
      </c>
      <c r="N49" s="64">
        <v>759.9</v>
      </c>
      <c r="O49" s="64">
        <v>0</v>
      </c>
      <c r="P49" s="64">
        <v>0.33</v>
      </c>
      <c r="Q49" s="64">
        <v>9.43</v>
      </c>
      <c r="R49" s="198"/>
      <c r="S49" s="198"/>
      <c r="T49" s="198"/>
      <c r="U49" s="198"/>
    </row>
    <row r="50" spans="1:21" s="12" customFormat="1" x14ac:dyDescent="0.25">
      <c r="A50" s="214" t="s">
        <v>481</v>
      </c>
      <c r="B50" s="64">
        <v>2.36</v>
      </c>
      <c r="C50" s="64">
        <v>0.41</v>
      </c>
      <c r="D50" s="64">
        <v>3.25</v>
      </c>
      <c r="E50" s="64">
        <v>2.33</v>
      </c>
      <c r="F50" s="64">
        <v>12.16</v>
      </c>
      <c r="G50" s="64">
        <v>28.74</v>
      </c>
      <c r="H50" s="64">
        <v>11.28</v>
      </c>
      <c r="I50" s="64">
        <v>1.72</v>
      </c>
      <c r="J50" s="64">
        <v>0.83</v>
      </c>
      <c r="K50" s="64">
        <v>3.22</v>
      </c>
      <c r="L50" s="64">
        <v>33.32</v>
      </c>
      <c r="M50" s="64">
        <v>40.299999999999997</v>
      </c>
      <c r="N50" s="64">
        <v>786.5</v>
      </c>
      <c r="O50" s="64">
        <v>0</v>
      </c>
      <c r="P50" s="64">
        <v>0.34</v>
      </c>
      <c r="Q50" s="64">
        <v>9.4700000000000006</v>
      </c>
      <c r="R50" s="198"/>
      <c r="S50" s="198"/>
      <c r="T50" s="198"/>
      <c r="U50" s="198"/>
    </row>
    <row r="51" spans="1:21" s="12" customFormat="1" x14ac:dyDescent="0.25">
      <c r="A51" s="214" t="s">
        <v>482</v>
      </c>
      <c r="B51" s="64">
        <v>2.54</v>
      </c>
      <c r="C51" s="64">
        <v>1.34</v>
      </c>
      <c r="D51" s="64">
        <v>3.89</v>
      </c>
      <c r="E51" s="64">
        <v>1.61</v>
      </c>
      <c r="F51" s="64">
        <v>14.31</v>
      </c>
      <c r="G51" s="64">
        <v>28.74</v>
      </c>
      <c r="H51" s="64">
        <v>11.28</v>
      </c>
      <c r="I51" s="64">
        <v>1.7</v>
      </c>
      <c r="J51" s="64">
        <v>0.68</v>
      </c>
      <c r="K51" s="64">
        <v>14.15</v>
      </c>
      <c r="L51" s="64">
        <v>32.42</v>
      </c>
      <c r="M51" s="64">
        <v>42.13</v>
      </c>
      <c r="N51" s="64">
        <v>815.6</v>
      </c>
      <c r="O51" s="64">
        <v>0</v>
      </c>
      <c r="P51" s="64">
        <v>0.33</v>
      </c>
      <c r="Q51" s="64">
        <v>9.42</v>
      </c>
      <c r="R51" s="198"/>
      <c r="S51" s="198"/>
      <c r="T51" s="198"/>
      <c r="U51" s="198"/>
    </row>
    <row r="52" spans="1:21" s="12" customFormat="1" x14ac:dyDescent="0.25">
      <c r="A52" s="214" t="s">
        <v>483</v>
      </c>
      <c r="B52" s="64">
        <v>2.41</v>
      </c>
      <c r="C52" s="64">
        <v>0.59</v>
      </c>
      <c r="D52" s="64">
        <v>3.39</v>
      </c>
      <c r="E52" s="64">
        <v>1.84</v>
      </c>
      <c r="F52" s="64">
        <v>14.3</v>
      </c>
      <c r="G52" s="64">
        <v>28.74</v>
      </c>
      <c r="H52" s="64">
        <v>11.28</v>
      </c>
      <c r="I52" s="64">
        <v>1.61</v>
      </c>
      <c r="J52" s="64">
        <v>0.65</v>
      </c>
      <c r="K52" s="64">
        <v>340.06</v>
      </c>
      <c r="L52" s="64">
        <v>34.08</v>
      </c>
      <c r="M52" s="64">
        <v>38.75</v>
      </c>
      <c r="N52" s="64">
        <v>852.3</v>
      </c>
      <c r="O52" s="64">
        <v>0</v>
      </c>
      <c r="P52" s="64">
        <v>0.34</v>
      </c>
      <c r="Q52" s="64">
        <v>9.3800000000000008</v>
      </c>
      <c r="R52" s="198"/>
      <c r="S52" s="198"/>
      <c r="T52" s="198"/>
      <c r="U52" s="198"/>
    </row>
    <row r="53" spans="1:21" s="12" customFormat="1" x14ac:dyDescent="0.25">
      <c r="A53" s="214" t="s">
        <v>484</v>
      </c>
      <c r="B53" s="64">
        <v>2.35</v>
      </c>
      <c r="C53" s="64">
        <v>0.4</v>
      </c>
      <c r="D53" s="64">
        <v>3.24</v>
      </c>
      <c r="E53" s="64">
        <v>18.079999999999998</v>
      </c>
      <c r="F53" s="64">
        <v>13.77</v>
      </c>
      <c r="G53" s="64">
        <v>28.74</v>
      </c>
      <c r="H53" s="64">
        <v>11.28</v>
      </c>
      <c r="I53" s="64">
        <v>1.48</v>
      </c>
      <c r="J53" s="64">
        <v>0.63</v>
      </c>
      <c r="K53" s="64">
        <v>1.33</v>
      </c>
      <c r="L53" s="64">
        <v>34.479999999999997</v>
      </c>
      <c r="M53" s="64">
        <v>37.65</v>
      </c>
      <c r="N53" s="64">
        <v>752.5</v>
      </c>
      <c r="O53" s="64">
        <v>0</v>
      </c>
      <c r="P53" s="64">
        <v>0.35</v>
      </c>
      <c r="Q53" s="64">
        <v>9.42</v>
      </c>
      <c r="R53" s="198"/>
      <c r="S53" s="198"/>
      <c r="T53" s="198"/>
      <c r="U53" s="198"/>
    </row>
    <row r="54" spans="1:21" s="12" customFormat="1" x14ac:dyDescent="0.25">
      <c r="A54" s="214" t="s">
        <v>485</v>
      </c>
      <c r="B54" s="64">
        <v>2.37</v>
      </c>
      <c r="C54" s="64">
        <v>0.57999999999999996</v>
      </c>
      <c r="D54" s="64">
        <v>3.35</v>
      </c>
      <c r="E54" s="211" t="s">
        <v>40</v>
      </c>
      <c r="F54" s="64">
        <v>16.59</v>
      </c>
      <c r="G54" s="64">
        <v>14.37</v>
      </c>
      <c r="H54" s="64">
        <v>5.64</v>
      </c>
      <c r="I54" s="64">
        <v>1.5</v>
      </c>
      <c r="J54" s="64">
        <v>0.62</v>
      </c>
      <c r="K54" s="64">
        <v>3.31</v>
      </c>
      <c r="L54" s="64">
        <v>33.61</v>
      </c>
      <c r="M54" s="64">
        <v>38.770000000000003</v>
      </c>
      <c r="N54" s="64">
        <v>844.6</v>
      </c>
      <c r="O54" s="64">
        <v>0</v>
      </c>
      <c r="P54" s="64">
        <v>0.34</v>
      </c>
      <c r="Q54" s="64">
        <v>9.31</v>
      </c>
      <c r="R54" s="198"/>
      <c r="S54" s="198"/>
      <c r="T54" s="198"/>
      <c r="U54" s="198"/>
    </row>
    <row r="55" spans="1:21" s="12" customFormat="1" x14ac:dyDescent="0.25">
      <c r="A55" s="214" t="s">
        <v>486</v>
      </c>
      <c r="B55" s="64">
        <v>2.63</v>
      </c>
      <c r="C55" s="64">
        <v>1.56</v>
      </c>
      <c r="D55" s="64">
        <v>4.07</v>
      </c>
      <c r="E55" s="211" t="s">
        <v>40</v>
      </c>
      <c r="F55" s="64">
        <v>14.74</v>
      </c>
      <c r="G55" s="211" t="s">
        <v>40</v>
      </c>
      <c r="H55" s="211" t="s">
        <v>40</v>
      </c>
      <c r="I55" s="64">
        <v>2.11</v>
      </c>
      <c r="J55" s="64">
        <v>0.89</v>
      </c>
      <c r="K55" s="64">
        <v>328.25</v>
      </c>
      <c r="L55" s="64">
        <v>35.15</v>
      </c>
      <c r="M55" s="64">
        <v>36.520000000000003</v>
      </c>
      <c r="N55" s="64">
        <v>751.5</v>
      </c>
      <c r="O55" s="64">
        <v>0</v>
      </c>
      <c r="P55" s="64">
        <v>0.34</v>
      </c>
      <c r="Q55" s="64">
        <v>9.2899999999999991</v>
      </c>
      <c r="R55" s="198"/>
      <c r="S55" s="198"/>
      <c r="T55" s="198"/>
      <c r="U55" s="198"/>
    </row>
    <row r="56" spans="1:21" s="12" customFormat="1" x14ac:dyDescent="0.25">
      <c r="A56" s="214" t="s">
        <v>487</v>
      </c>
      <c r="B56" s="64">
        <v>2.11</v>
      </c>
      <c r="C56" s="64">
        <v>0.49</v>
      </c>
      <c r="D56" s="64">
        <v>2.61</v>
      </c>
      <c r="E56" s="64">
        <v>3.73</v>
      </c>
      <c r="F56" s="64">
        <v>13.35</v>
      </c>
      <c r="G56" s="211" t="s">
        <v>40</v>
      </c>
      <c r="H56" s="211" t="s">
        <v>40</v>
      </c>
      <c r="I56" s="64">
        <v>3.28</v>
      </c>
      <c r="J56" s="64">
        <v>0.96</v>
      </c>
      <c r="K56" s="64">
        <v>322.47000000000003</v>
      </c>
      <c r="L56" s="64">
        <v>35.6</v>
      </c>
      <c r="M56" s="64">
        <v>35.35</v>
      </c>
      <c r="N56" s="64">
        <v>576.70000000000005</v>
      </c>
      <c r="O56" s="64">
        <v>0</v>
      </c>
      <c r="P56" s="64">
        <v>0.34</v>
      </c>
      <c r="Q56" s="64">
        <v>9.32</v>
      </c>
      <c r="R56" s="198"/>
      <c r="S56" s="198"/>
      <c r="T56" s="198"/>
      <c r="U56" s="198"/>
    </row>
    <row r="57" spans="1:21" s="12" customFormat="1" x14ac:dyDescent="0.25">
      <c r="A57" s="214" t="s">
        <v>488</v>
      </c>
      <c r="B57" s="211" t="s">
        <v>40</v>
      </c>
      <c r="C57" s="211" t="s">
        <v>40</v>
      </c>
      <c r="D57" s="211" t="s">
        <v>40</v>
      </c>
      <c r="E57" s="64">
        <v>2.83</v>
      </c>
      <c r="F57" s="64">
        <v>12.94</v>
      </c>
      <c r="G57" s="211" t="s">
        <v>40</v>
      </c>
      <c r="H57" s="211" t="s">
        <v>40</v>
      </c>
      <c r="I57" s="64">
        <v>4.6399999999999997</v>
      </c>
      <c r="J57" s="64">
        <v>0.75</v>
      </c>
      <c r="K57" s="64">
        <v>345.41</v>
      </c>
      <c r="L57" s="64">
        <v>35.549999999999997</v>
      </c>
      <c r="M57" s="64">
        <v>35.020000000000003</v>
      </c>
      <c r="N57" s="64">
        <v>659.3</v>
      </c>
      <c r="O57" s="64">
        <v>0</v>
      </c>
      <c r="P57" s="64">
        <v>0.35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4" t="s">
        <v>489</v>
      </c>
      <c r="B58" s="211" t="s">
        <v>40</v>
      </c>
      <c r="C58" s="211" t="s">
        <v>40</v>
      </c>
      <c r="D58" s="211" t="s">
        <v>40</v>
      </c>
      <c r="E58" s="64">
        <v>3.02</v>
      </c>
      <c r="F58" s="64">
        <v>11.83</v>
      </c>
      <c r="G58" s="64">
        <v>37.9</v>
      </c>
      <c r="H58" s="64">
        <v>4.03</v>
      </c>
      <c r="I58" s="64">
        <v>5.68</v>
      </c>
      <c r="J58" s="64">
        <v>0.75</v>
      </c>
      <c r="K58" s="64">
        <v>338.51</v>
      </c>
      <c r="L58" s="64">
        <v>35.869999999999997</v>
      </c>
      <c r="M58" s="64">
        <v>33.74</v>
      </c>
      <c r="N58" s="64">
        <v>685.1</v>
      </c>
      <c r="O58" s="64">
        <v>0</v>
      </c>
      <c r="P58" s="64">
        <v>0.35</v>
      </c>
      <c r="Q58" s="64">
        <v>9.2799999999999994</v>
      </c>
      <c r="R58" s="198"/>
      <c r="S58" s="198"/>
      <c r="T58" s="198"/>
      <c r="U58" s="198"/>
    </row>
    <row r="59" spans="1:21" s="12" customFormat="1" x14ac:dyDescent="0.25">
      <c r="A59" s="214" t="s">
        <v>490</v>
      </c>
      <c r="B59" s="64">
        <v>5.53</v>
      </c>
      <c r="C59" s="64">
        <v>4.47</v>
      </c>
      <c r="D59" s="64">
        <v>9.9</v>
      </c>
      <c r="E59" s="64">
        <v>2.99</v>
      </c>
      <c r="F59" s="64">
        <v>11.16</v>
      </c>
      <c r="G59" s="64">
        <v>74.14</v>
      </c>
      <c r="H59" s="64">
        <v>7.71</v>
      </c>
      <c r="I59" s="64">
        <v>6.61</v>
      </c>
      <c r="J59" s="64">
        <v>0.82</v>
      </c>
      <c r="K59" s="64">
        <v>331.39</v>
      </c>
      <c r="L59" s="64">
        <v>35.409999999999997</v>
      </c>
      <c r="M59" s="64">
        <v>34.270000000000003</v>
      </c>
      <c r="N59" s="64">
        <v>627.79999999999995</v>
      </c>
      <c r="O59" s="64">
        <v>0</v>
      </c>
      <c r="P59" s="64">
        <v>0.36</v>
      </c>
      <c r="Q59" s="64">
        <v>9.3000000000000007</v>
      </c>
      <c r="R59" s="198"/>
      <c r="S59" s="198"/>
      <c r="T59" s="198"/>
      <c r="U59" s="198"/>
    </row>
    <row r="60" spans="1:21" s="12" customFormat="1" x14ac:dyDescent="0.25">
      <c r="A60" s="214" t="s">
        <v>491</v>
      </c>
      <c r="B60" s="64">
        <v>2.81</v>
      </c>
      <c r="C60" s="64">
        <v>0.96</v>
      </c>
      <c r="D60" s="64">
        <v>3.68</v>
      </c>
      <c r="E60" s="64">
        <v>2.96</v>
      </c>
      <c r="F60" s="64">
        <v>10.96</v>
      </c>
      <c r="G60" s="64">
        <v>74.14</v>
      </c>
      <c r="H60" s="64">
        <v>7.71</v>
      </c>
      <c r="I60" s="64">
        <v>7.7</v>
      </c>
      <c r="J60" s="64">
        <v>0.71</v>
      </c>
      <c r="K60" s="64">
        <v>357.12</v>
      </c>
      <c r="L60" s="64">
        <v>34.94</v>
      </c>
      <c r="M60" s="64">
        <v>34.69</v>
      </c>
      <c r="N60" s="64">
        <v>703.4</v>
      </c>
      <c r="O60" s="64">
        <v>0</v>
      </c>
      <c r="P60" s="64">
        <v>0.37</v>
      </c>
      <c r="Q60" s="64">
        <v>9.2799999999999994</v>
      </c>
      <c r="R60" s="198"/>
      <c r="S60" s="198"/>
      <c r="T60" s="198"/>
      <c r="U60" s="198"/>
    </row>
    <row r="61" spans="1:21" s="12" customFormat="1" x14ac:dyDescent="0.25">
      <c r="A61" s="214" t="s">
        <v>492</v>
      </c>
      <c r="B61" s="64">
        <v>2.4300000000000002</v>
      </c>
      <c r="C61" s="64">
        <v>0.52</v>
      </c>
      <c r="D61" s="64">
        <v>2.86</v>
      </c>
      <c r="E61" s="64">
        <v>2.8</v>
      </c>
      <c r="F61" s="64">
        <v>9.67</v>
      </c>
      <c r="G61" s="64">
        <v>74.14</v>
      </c>
      <c r="H61" s="64">
        <v>7.71</v>
      </c>
      <c r="I61" s="64">
        <v>8.92</v>
      </c>
      <c r="J61" s="64">
        <v>0.62</v>
      </c>
      <c r="K61" s="64">
        <v>339.25</v>
      </c>
      <c r="L61" s="64">
        <v>35.72</v>
      </c>
      <c r="M61" s="64">
        <v>33.36</v>
      </c>
      <c r="N61" s="64">
        <v>737.1</v>
      </c>
      <c r="O61" s="64">
        <v>0</v>
      </c>
      <c r="P61" s="64">
        <v>0.35</v>
      </c>
      <c r="Q61" s="64">
        <v>9.2899999999999991</v>
      </c>
      <c r="R61" s="198"/>
      <c r="S61" s="198"/>
      <c r="T61" s="198"/>
      <c r="U61" s="198"/>
    </row>
    <row r="62" spans="1:21" s="12" customFormat="1" x14ac:dyDescent="0.25">
      <c r="A62" s="214" t="s">
        <v>493</v>
      </c>
      <c r="B62" s="64">
        <v>2.36</v>
      </c>
      <c r="C62" s="64">
        <v>0.45</v>
      </c>
      <c r="D62" s="64">
        <v>2.72</v>
      </c>
      <c r="E62" s="64">
        <v>3.2</v>
      </c>
      <c r="F62" s="64">
        <v>11.19</v>
      </c>
      <c r="G62" s="64">
        <v>62.67</v>
      </c>
      <c r="H62" s="64">
        <v>8.9</v>
      </c>
      <c r="I62" s="64">
        <v>9.85</v>
      </c>
      <c r="J62" s="64">
        <v>0.48</v>
      </c>
      <c r="K62" s="64">
        <v>325.72000000000003</v>
      </c>
      <c r="L62" s="64">
        <v>35.94</v>
      </c>
      <c r="M62" s="64">
        <v>33.020000000000003</v>
      </c>
      <c r="N62" s="64">
        <v>714.9</v>
      </c>
      <c r="O62" s="64">
        <v>0</v>
      </c>
      <c r="P62" s="64">
        <v>0.39</v>
      </c>
      <c r="Q62" s="64">
        <v>9.32</v>
      </c>
      <c r="R62" s="198"/>
      <c r="S62" s="198"/>
      <c r="T62" s="198"/>
      <c r="U62" s="198"/>
    </row>
    <row r="63" spans="1:21" s="12" customFormat="1" x14ac:dyDescent="0.25">
      <c r="A63" s="214" t="s">
        <v>494</v>
      </c>
      <c r="B63" s="64">
        <v>2.4700000000000002</v>
      </c>
      <c r="C63" s="64">
        <v>1.06</v>
      </c>
      <c r="D63" s="64">
        <v>3.45</v>
      </c>
      <c r="E63" s="64">
        <v>3.99</v>
      </c>
      <c r="F63" s="64">
        <v>18.54</v>
      </c>
      <c r="G63" s="64">
        <v>51.69</v>
      </c>
      <c r="H63" s="64">
        <v>9.98</v>
      </c>
      <c r="I63" s="64">
        <v>9.61</v>
      </c>
      <c r="J63" s="64">
        <v>0.36</v>
      </c>
      <c r="K63" s="64">
        <v>352.58</v>
      </c>
      <c r="L63" s="64">
        <v>35.69</v>
      </c>
      <c r="M63" s="64">
        <v>33.64</v>
      </c>
      <c r="N63" s="64">
        <v>701.5</v>
      </c>
      <c r="O63" s="64">
        <v>0</v>
      </c>
      <c r="P63" s="64">
        <v>0.42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4" t="s">
        <v>495</v>
      </c>
      <c r="B64" s="64">
        <v>2.46</v>
      </c>
      <c r="C64" s="64">
        <v>1.1000000000000001</v>
      </c>
      <c r="D64" s="64">
        <v>3.48</v>
      </c>
      <c r="E64" s="64">
        <v>3.26</v>
      </c>
      <c r="F64" s="64">
        <v>14.82</v>
      </c>
      <c r="G64" s="64">
        <v>51.69</v>
      </c>
      <c r="H64" s="64">
        <v>9.98</v>
      </c>
      <c r="I64" s="64">
        <v>8.65</v>
      </c>
      <c r="J64" s="64">
        <v>0.75</v>
      </c>
      <c r="K64" s="64">
        <v>327.64999999999998</v>
      </c>
      <c r="L64" s="64">
        <v>36.25</v>
      </c>
      <c r="M64" s="64">
        <v>32.82</v>
      </c>
      <c r="N64" s="64">
        <v>668.8</v>
      </c>
      <c r="O64" s="64">
        <v>0</v>
      </c>
      <c r="P64" s="64">
        <v>0.43</v>
      </c>
      <c r="Q64" s="64">
        <v>9.33</v>
      </c>
      <c r="R64" s="198"/>
      <c r="S64" s="198"/>
      <c r="T64" s="198"/>
      <c r="U64" s="198"/>
    </row>
    <row r="65" spans="1:21" s="12" customFormat="1" x14ac:dyDescent="0.25">
      <c r="A65" s="214" t="s">
        <v>496</v>
      </c>
      <c r="B65" s="64">
        <v>2.3199999999999998</v>
      </c>
      <c r="C65" s="64">
        <v>0.42</v>
      </c>
      <c r="D65" s="64">
        <v>2.65</v>
      </c>
      <c r="E65" s="64">
        <v>2.77</v>
      </c>
      <c r="F65" s="64">
        <v>12.62</v>
      </c>
      <c r="G65" s="64">
        <v>51.69</v>
      </c>
      <c r="H65" s="64">
        <v>9.98</v>
      </c>
      <c r="I65" s="64">
        <v>7.64</v>
      </c>
      <c r="J65" s="64">
        <v>0.83</v>
      </c>
      <c r="K65" s="64">
        <v>323.52</v>
      </c>
      <c r="L65" s="64">
        <v>37.6</v>
      </c>
      <c r="M65" s="64">
        <v>29.3</v>
      </c>
      <c r="N65" s="64">
        <v>587.20000000000005</v>
      </c>
      <c r="O65" s="64">
        <v>0</v>
      </c>
      <c r="P65" s="64">
        <v>0.46</v>
      </c>
      <c r="Q65" s="64">
        <v>9.33</v>
      </c>
      <c r="R65" s="198"/>
      <c r="S65" s="198"/>
      <c r="T65" s="198"/>
      <c r="U65" s="198"/>
    </row>
    <row r="66" spans="1:21" s="12" customFormat="1" x14ac:dyDescent="0.25">
      <c r="A66" s="214" t="s">
        <v>497</v>
      </c>
      <c r="B66" s="64">
        <v>2.34</v>
      </c>
      <c r="C66" s="64">
        <v>0.4</v>
      </c>
      <c r="D66" s="64">
        <v>2.64</v>
      </c>
      <c r="E66" s="64">
        <v>3.13</v>
      </c>
      <c r="F66" s="64">
        <v>10.18</v>
      </c>
      <c r="G66" s="64">
        <v>54.54</v>
      </c>
      <c r="H66" s="64">
        <v>13.59</v>
      </c>
      <c r="I66" s="64">
        <v>6.93</v>
      </c>
      <c r="J66" s="64">
        <v>0.5</v>
      </c>
      <c r="K66" s="64">
        <v>348.95</v>
      </c>
      <c r="L66" s="64">
        <v>36.369999999999997</v>
      </c>
      <c r="M66" s="64">
        <v>31.04</v>
      </c>
      <c r="N66" s="64">
        <v>574.29999999999995</v>
      </c>
      <c r="O66" s="64">
        <v>0</v>
      </c>
      <c r="P66" s="64">
        <v>0.47</v>
      </c>
      <c r="Q66" s="64">
        <v>9.34</v>
      </c>
      <c r="R66" s="198"/>
      <c r="S66" s="198"/>
      <c r="T66" s="198"/>
      <c r="U66" s="198"/>
    </row>
    <row r="67" spans="1:21" s="12" customFormat="1" x14ac:dyDescent="0.25">
      <c r="A67" s="214" t="s">
        <v>498</v>
      </c>
      <c r="B67" s="64">
        <v>2.59</v>
      </c>
      <c r="C67" s="64">
        <v>1.66</v>
      </c>
      <c r="D67" s="64">
        <v>4.16</v>
      </c>
      <c r="E67" s="64">
        <v>3.09</v>
      </c>
      <c r="F67" s="64">
        <v>9.1999999999999993</v>
      </c>
      <c r="G67" s="64">
        <v>57.14</v>
      </c>
      <c r="H67" s="64">
        <v>16.899999999999999</v>
      </c>
      <c r="I67" s="64">
        <v>6.47</v>
      </c>
      <c r="J67" s="64">
        <v>1.22</v>
      </c>
      <c r="K67" s="64">
        <v>322.63</v>
      </c>
      <c r="L67" s="64">
        <v>36.49</v>
      </c>
      <c r="M67" s="64">
        <v>30.84</v>
      </c>
      <c r="N67" s="64">
        <v>210.4</v>
      </c>
      <c r="O67" s="64">
        <v>0</v>
      </c>
      <c r="P67" s="64">
        <v>0.49</v>
      </c>
      <c r="Q67" s="64">
        <v>9.3699999999999992</v>
      </c>
      <c r="R67" s="198"/>
      <c r="S67" s="198"/>
      <c r="T67" s="198"/>
      <c r="U67" s="198"/>
    </row>
    <row r="68" spans="1:21" s="12" customFormat="1" x14ac:dyDescent="0.25">
      <c r="A68" s="214" t="s">
        <v>499</v>
      </c>
      <c r="B68" s="64">
        <v>2.38</v>
      </c>
      <c r="C68" s="64">
        <v>0.65</v>
      </c>
      <c r="D68" s="64">
        <v>2.95</v>
      </c>
      <c r="E68" s="64">
        <v>2.99</v>
      </c>
      <c r="F68" s="64">
        <v>8.26</v>
      </c>
      <c r="G68" s="64">
        <v>57.14</v>
      </c>
      <c r="H68" s="64">
        <v>16.899999999999999</v>
      </c>
      <c r="I68" s="64">
        <v>6.18</v>
      </c>
      <c r="J68" s="64">
        <v>1.07</v>
      </c>
      <c r="K68" s="64">
        <v>313.73</v>
      </c>
      <c r="L68" s="64">
        <v>37.07</v>
      </c>
      <c r="M68" s="64">
        <v>29.6</v>
      </c>
      <c r="N68" s="64">
        <v>229</v>
      </c>
      <c r="O68" s="64">
        <v>0</v>
      </c>
      <c r="P68" s="64">
        <v>0.47</v>
      </c>
      <c r="Q68" s="64">
        <v>9.42</v>
      </c>
      <c r="R68" s="198"/>
      <c r="S68" s="198"/>
      <c r="T68" s="198"/>
      <c r="U68" s="198"/>
    </row>
    <row r="69" spans="1:21" s="12" customFormat="1" x14ac:dyDescent="0.25">
      <c r="A69" s="214" t="s">
        <v>500</v>
      </c>
      <c r="B69" s="64">
        <v>2.35</v>
      </c>
      <c r="C69" s="64">
        <v>0.47</v>
      </c>
      <c r="D69" s="64">
        <v>2.72</v>
      </c>
      <c r="E69" s="64">
        <v>3.07</v>
      </c>
      <c r="F69" s="64">
        <v>8.41</v>
      </c>
      <c r="G69" s="64">
        <v>57.14</v>
      </c>
      <c r="H69" s="64">
        <v>16.899999999999999</v>
      </c>
      <c r="I69" s="64">
        <v>5.94</v>
      </c>
      <c r="J69" s="64">
        <v>0.71</v>
      </c>
      <c r="K69" s="64">
        <v>331.5</v>
      </c>
      <c r="L69" s="64">
        <v>36.729999999999997</v>
      </c>
      <c r="M69" s="64">
        <v>30.78</v>
      </c>
      <c r="N69" s="64">
        <v>342.1</v>
      </c>
      <c r="O69" s="64">
        <v>0</v>
      </c>
      <c r="P69" s="64">
        <v>0.46</v>
      </c>
      <c r="Q69" s="64">
        <v>9.39</v>
      </c>
      <c r="R69" s="198"/>
      <c r="S69" s="198"/>
      <c r="T69" s="198"/>
      <c r="U69" s="198"/>
    </row>
    <row r="70" spans="1:21" s="12" customFormat="1" x14ac:dyDescent="0.25">
      <c r="A70" s="214" t="s">
        <v>501</v>
      </c>
      <c r="B70" s="64">
        <v>2.54</v>
      </c>
      <c r="C70" s="64">
        <v>1.31</v>
      </c>
      <c r="D70" s="64">
        <v>3.76</v>
      </c>
      <c r="E70" s="64">
        <v>2.99</v>
      </c>
      <c r="F70" s="64">
        <v>8.51</v>
      </c>
      <c r="G70" s="64">
        <v>51.64</v>
      </c>
      <c r="H70" s="64">
        <v>16.46</v>
      </c>
      <c r="I70" s="64">
        <v>5.6</v>
      </c>
      <c r="J70" s="64">
        <v>0.46</v>
      </c>
      <c r="K70" s="64">
        <v>359.48</v>
      </c>
      <c r="L70" s="64">
        <v>35.9</v>
      </c>
      <c r="M70" s="64">
        <v>31.32</v>
      </c>
      <c r="N70" s="64">
        <v>160.69999999999999</v>
      </c>
      <c r="O70" s="64">
        <v>0</v>
      </c>
      <c r="P70" s="64">
        <v>0.45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4" t="s">
        <v>502</v>
      </c>
      <c r="B71" s="64">
        <v>2.35</v>
      </c>
      <c r="C71" s="64">
        <v>0.47</v>
      </c>
      <c r="D71" s="64">
        <v>2.73</v>
      </c>
      <c r="E71" s="64">
        <v>2.8</v>
      </c>
      <c r="F71" s="64">
        <v>11.11</v>
      </c>
      <c r="G71" s="64">
        <v>46.61</v>
      </c>
      <c r="H71" s="64">
        <v>16.05</v>
      </c>
      <c r="I71" s="64">
        <v>5.27</v>
      </c>
      <c r="J71" s="64">
        <v>0.49</v>
      </c>
      <c r="K71" s="64">
        <v>335.88</v>
      </c>
      <c r="L71" s="64">
        <v>35.9</v>
      </c>
      <c r="M71" s="64">
        <v>31.22</v>
      </c>
      <c r="N71" s="64">
        <v>135.19999999999999</v>
      </c>
      <c r="O71" s="64">
        <v>0</v>
      </c>
      <c r="P71" s="64">
        <v>0.42</v>
      </c>
      <c r="Q71" s="64">
        <v>9.39</v>
      </c>
      <c r="R71" s="198"/>
      <c r="S71" s="198"/>
      <c r="T71" s="198"/>
      <c r="U71" s="198"/>
    </row>
    <row r="72" spans="1:21" s="12" customFormat="1" x14ac:dyDescent="0.25">
      <c r="A72" s="214" t="s">
        <v>503</v>
      </c>
      <c r="B72" s="64">
        <v>2.48</v>
      </c>
      <c r="C72" s="64">
        <v>1.03</v>
      </c>
      <c r="D72" s="64">
        <v>3.43</v>
      </c>
      <c r="E72" s="64">
        <v>0.19</v>
      </c>
      <c r="F72" s="64">
        <v>11.69</v>
      </c>
      <c r="G72" s="64">
        <v>46.61</v>
      </c>
      <c r="H72" s="64">
        <v>16.05</v>
      </c>
      <c r="I72" s="64">
        <v>4.91</v>
      </c>
      <c r="J72" s="64">
        <v>0.99</v>
      </c>
      <c r="K72" s="64">
        <v>316.75</v>
      </c>
      <c r="L72" s="64">
        <v>36.21</v>
      </c>
      <c r="M72" s="64">
        <v>31.05</v>
      </c>
      <c r="N72" s="64">
        <v>121.1</v>
      </c>
      <c r="O72" s="64">
        <v>0</v>
      </c>
      <c r="P72" s="64">
        <v>0.4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4" t="s">
        <v>504</v>
      </c>
      <c r="B73" s="64">
        <v>2.4700000000000002</v>
      </c>
      <c r="C73" s="64">
        <v>0.96</v>
      </c>
      <c r="D73" s="64">
        <v>3.34</v>
      </c>
      <c r="E73" s="64">
        <v>0.5</v>
      </c>
      <c r="F73" s="64">
        <v>9.2200000000000006</v>
      </c>
      <c r="G73" s="64">
        <v>46.61</v>
      </c>
      <c r="H73" s="64">
        <v>16.05</v>
      </c>
      <c r="I73" s="64">
        <v>4.42</v>
      </c>
      <c r="J73" s="64">
        <v>0.63</v>
      </c>
      <c r="K73" s="64">
        <v>351.16</v>
      </c>
      <c r="L73" s="64">
        <v>36.28</v>
      </c>
      <c r="M73" s="64">
        <v>30.58</v>
      </c>
      <c r="N73" s="64">
        <v>113.5</v>
      </c>
      <c r="O73" s="64">
        <v>0</v>
      </c>
      <c r="P73" s="64">
        <v>0.39</v>
      </c>
      <c r="Q73" s="64">
        <v>9.36</v>
      </c>
      <c r="R73" s="198"/>
      <c r="S73" s="198"/>
      <c r="T73" s="198"/>
      <c r="U73" s="198"/>
    </row>
    <row r="74" spans="1:21" s="12" customFormat="1" x14ac:dyDescent="0.25">
      <c r="A74" s="214" t="s">
        <v>505</v>
      </c>
      <c r="B74" s="64">
        <v>2.4700000000000002</v>
      </c>
      <c r="C74" s="64">
        <v>0.93</v>
      </c>
      <c r="D74" s="64">
        <v>3.31</v>
      </c>
      <c r="E74" s="64">
        <v>0.66</v>
      </c>
      <c r="F74" s="64">
        <v>9.4600000000000009</v>
      </c>
      <c r="G74" s="64">
        <v>45.19</v>
      </c>
      <c r="H74" s="64">
        <v>15.38</v>
      </c>
      <c r="I74" s="64">
        <v>4.0599999999999996</v>
      </c>
      <c r="J74" s="64">
        <v>0.95</v>
      </c>
      <c r="K74" s="64">
        <v>323.54000000000002</v>
      </c>
      <c r="L74" s="64">
        <v>36.17</v>
      </c>
      <c r="M74" s="64">
        <v>29.56</v>
      </c>
      <c r="N74" s="64">
        <v>101.1</v>
      </c>
      <c r="O74" s="64">
        <v>0</v>
      </c>
      <c r="P74" s="64">
        <v>0.37</v>
      </c>
      <c r="Q74" s="64">
        <v>9.3699999999999992</v>
      </c>
      <c r="R74" s="198"/>
      <c r="S74" s="198"/>
      <c r="T74" s="198"/>
      <c r="U74" s="198"/>
    </row>
    <row r="75" spans="1:21" s="12" customFormat="1" x14ac:dyDescent="0.25">
      <c r="A75" s="214" t="s">
        <v>506</v>
      </c>
      <c r="B75" s="64">
        <v>2.35</v>
      </c>
      <c r="C75" s="64">
        <v>0.43</v>
      </c>
      <c r="D75" s="64">
        <v>2.69</v>
      </c>
      <c r="E75" s="64">
        <v>0.54</v>
      </c>
      <c r="F75" s="64">
        <v>8.65</v>
      </c>
      <c r="G75" s="64">
        <v>43.83</v>
      </c>
      <c r="H75" s="64">
        <v>14.74</v>
      </c>
      <c r="I75" s="64">
        <v>3.77</v>
      </c>
      <c r="J75" s="64">
        <v>0.79</v>
      </c>
      <c r="K75" s="64">
        <v>322.70999999999998</v>
      </c>
      <c r="L75" s="64">
        <v>35.97</v>
      </c>
      <c r="M75" s="64">
        <v>29.65</v>
      </c>
      <c r="N75" s="64">
        <v>87.6</v>
      </c>
      <c r="O75" s="64">
        <v>0</v>
      </c>
      <c r="P75" s="64">
        <v>0.36</v>
      </c>
      <c r="Q75" s="64">
        <v>9.3800000000000008</v>
      </c>
      <c r="R75" s="198"/>
      <c r="S75" s="198"/>
      <c r="T75" s="198"/>
      <c r="U75" s="198"/>
    </row>
    <row r="76" spans="1:21" s="12" customFormat="1" x14ac:dyDescent="0.25">
      <c r="A76" s="214" t="s">
        <v>507</v>
      </c>
      <c r="B76" s="64">
        <v>2.33</v>
      </c>
      <c r="C76" s="64">
        <v>0.43</v>
      </c>
      <c r="D76" s="64">
        <v>2.67</v>
      </c>
      <c r="E76" s="64">
        <v>0.43</v>
      </c>
      <c r="F76" s="64">
        <v>7.79</v>
      </c>
      <c r="G76" s="64">
        <v>43.83</v>
      </c>
      <c r="H76" s="64">
        <v>14.74</v>
      </c>
      <c r="I76" s="64">
        <v>3.45</v>
      </c>
      <c r="J76" s="64">
        <v>0.54</v>
      </c>
      <c r="K76" s="64">
        <v>333.32</v>
      </c>
      <c r="L76" s="64">
        <v>35.729999999999997</v>
      </c>
      <c r="M76" s="64">
        <v>31.39</v>
      </c>
      <c r="N76" s="64">
        <v>81</v>
      </c>
      <c r="O76" s="64">
        <v>0</v>
      </c>
      <c r="P76" s="64">
        <v>0.36</v>
      </c>
      <c r="Q76" s="64">
        <v>9.3800000000000008</v>
      </c>
      <c r="R76" s="198"/>
      <c r="S76" s="198"/>
      <c r="T76" s="198"/>
      <c r="U76" s="198"/>
    </row>
    <row r="77" spans="1:21" s="12" customFormat="1" x14ac:dyDescent="0.25">
      <c r="A77" s="214" t="s">
        <v>508</v>
      </c>
      <c r="B77" s="64">
        <v>2.39</v>
      </c>
      <c r="C77" s="64">
        <v>0.68</v>
      </c>
      <c r="D77" s="64">
        <v>2.99</v>
      </c>
      <c r="E77" s="64">
        <v>0.6</v>
      </c>
      <c r="F77" s="64">
        <v>8.19</v>
      </c>
      <c r="G77" s="64">
        <v>43.83</v>
      </c>
      <c r="H77" s="64">
        <v>14.74</v>
      </c>
      <c r="I77" s="64">
        <v>3.24</v>
      </c>
      <c r="J77" s="64">
        <v>0.69</v>
      </c>
      <c r="K77" s="64">
        <v>346.94</v>
      </c>
      <c r="L77" s="64">
        <v>35.659999999999997</v>
      </c>
      <c r="M77" s="64">
        <v>31</v>
      </c>
      <c r="N77" s="64">
        <v>71</v>
      </c>
      <c r="O77" s="64">
        <v>0</v>
      </c>
      <c r="P77" s="64">
        <v>0.38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4" t="s">
        <v>509</v>
      </c>
      <c r="B78" s="64">
        <v>2.56</v>
      </c>
      <c r="C78" s="64">
        <v>1.55</v>
      </c>
      <c r="D78" s="64">
        <v>4.0199999999999996</v>
      </c>
      <c r="E78" s="64">
        <v>0.62</v>
      </c>
      <c r="F78" s="64">
        <v>9.7799999999999994</v>
      </c>
      <c r="G78" s="64">
        <v>37.94</v>
      </c>
      <c r="H78" s="64">
        <v>15.34</v>
      </c>
      <c r="I78" s="64">
        <v>3.19</v>
      </c>
      <c r="J78" s="64">
        <v>0.53</v>
      </c>
      <c r="K78" s="64">
        <v>14.42</v>
      </c>
      <c r="L78" s="64">
        <v>35.31</v>
      </c>
      <c r="M78" s="64">
        <v>31.32</v>
      </c>
      <c r="N78" s="64">
        <v>56.8</v>
      </c>
      <c r="O78" s="64">
        <v>0</v>
      </c>
      <c r="P78" s="64">
        <v>0.4</v>
      </c>
      <c r="Q78" s="64">
        <v>9.43</v>
      </c>
      <c r="R78" s="198"/>
      <c r="S78" s="198"/>
      <c r="T78" s="198"/>
      <c r="U78" s="198"/>
    </row>
    <row r="79" spans="1:21" s="12" customFormat="1" x14ac:dyDescent="0.25">
      <c r="A79" s="214" t="s">
        <v>510</v>
      </c>
      <c r="B79" s="64">
        <v>2.37</v>
      </c>
      <c r="C79" s="64">
        <v>0.6</v>
      </c>
      <c r="D79" s="64">
        <v>2.88</v>
      </c>
      <c r="E79" s="64">
        <v>0.51</v>
      </c>
      <c r="F79" s="64">
        <v>8.4</v>
      </c>
      <c r="G79" s="64">
        <v>32.549999999999997</v>
      </c>
      <c r="H79" s="64">
        <v>15.89</v>
      </c>
      <c r="I79" s="64">
        <v>2.96</v>
      </c>
      <c r="J79" s="64">
        <v>0.63</v>
      </c>
      <c r="K79" s="64">
        <v>353.75</v>
      </c>
      <c r="L79" s="64">
        <v>35.130000000000003</v>
      </c>
      <c r="M79" s="64">
        <v>32.020000000000003</v>
      </c>
      <c r="N79" s="64">
        <v>45.7</v>
      </c>
      <c r="O79" s="64">
        <v>0</v>
      </c>
      <c r="P79" s="64">
        <v>0.41</v>
      </c>
      <c r="Q79" s="64">
        <v>9.36</v>
      </c>
      <c r="R79" s="198"/>
      <c r="S79" s="198"/>
      <c r="T79" s="198"/>
      <c r="U79" s="198"/>
    </row>
    <row r="80" spans="1:21" s="12" customFormat="1" x14ac:dyDescent="0.25">
      <c r="A80" s="214" t="s">
        <v>511</v>
      </c>
      <c r="B80" s="64">
        <v>2.5099999999999998</v>
      </c>
      <c r="C80" s="64">
        <v>1.24</v>
      </c>
      <c r="D80" s="64">
        <v>3.66</v>
      </c>
      <c r="E80" s="64">
        <v>0.55000000000000004</v>
      </c>
      <c r="F80" s="64">
        <v>6.67</v>
      </c>
      <c r="G80" s="64">
        <v>32.549999999999997</v>
      </c>
      <c r="H80" s="64">
        <v>15.89</v>
      </c>
      <c r="I80" s="64">
        <v>2.77</v>
      </c>
      <c r="J80" s="64">
        <v>0.61</v>
      </c>
      <c r="K80" s="64">
        <v>32.4</v>
      </c>
      <c r="L80" s="64">
        <v>34.909999999999997</v>
      </c>
      <c r="M80" s="64">
        <v>31.8</v>
      </c>
      <c r="N80" s="64">
        <v>37.799999999999997</v>
      </c>
      <c r="O80" s="64">
        <v>0</v>
      </c>
      <c r="P80" s="64">
        <v>0.44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4" t="s">
        <v>512</v>
      </c>
      <c r="B81" s="64">
        <v>2.4300000000000002</v>
      </c>
      <c r="C81" s="64">
        <v>0.87</v>
      </c>
      <c r="D81" s="64">
        <v>3.21</v>
      </c>
      <c r="E81" s="64">
        <v>0.36</v>
      </c>
      <c r="F81" s="64">
        <v>6.28</v>
      </c>
      <c r="G81" s="64">
        <v>32.549999999999997</v>
      </c>
      <c r="H81" s="64">
        <v>15.89</v>
      </c>
      <c r="I81" s="64">
        <v>2.84</v>
      </c>
      <c r="J81" s="64">
        <v>0.56000000000000005</v>
      </c>
      <c r="K81" s="64">
        <v>9.11</v>
      </c>
      <c r="L81" s="64">
        <v>34.69</v>
      </c>
      <c r="M81" s="64">
        <v>32.729999999999997</v>
      </c>
      <c r="N81" s="64">
        <v>28.8</v>
      </c>
      <c r="O81" s="64">
        <v>0</v>
      </c>
      <c r="P81" s="64">
        <v>0.44</v>
      </c>
      <c r="Q81" s="64">
        <v>9.36</v>
      </c>
      <c r="R81" s="198"/>
      <c r="S81" s="198"/>
      <c r="T81" s="198"/>
      <c r="U81" s="198"/>
    </row>
    <row r="82" spans="1:26" s="12" customFormat="1" x14ac:dyDescent="0.25">
      <c r="A82" s="214" t="s">
        <v>513</v>
      </c>
      <c r="B82" s="64">
        <v>2.35</v>
      </c>
      <c r="C82" s="64">
        <v>0.5</v>
      </c>
      <c r="D82" s="64">
        <v>2.76</v>
      </c>
      <c r="E82" s="64">
        <v>0.88</v>
      </c>
      <c r="F82" s="64">
        <v>5.87</v>
      </c>
      <c r="G82" s="64">
        <v>38.93</v>
      </c>
      <c r="H82" s="64">
        <v>14.97</v>
      </c>
      <c r="I82" s="64">
        <v>2.93</v>
      </c>
      <c r="J82" s="64">
        <v>0.55000000000000004</v>
      </c>
      <c r="K82" s="64">
        <v>27.78</v>
      </c>
      <c r="L82" s="64">
        <v>34.520000000000003</v>
      </c>
      <c r="M82" s="64">
        <v>33.65</v>
      </c>
      <c r="N82" s="64">
        <v>18.8</v>
      </c>
      <c r="O82" s="64">
        <v>0</v>
      </c>
      <c r="P82" s="64">
        <v>0.46</v>
      </c>
      <c r="Q82" s="64">
        <v>9.3699999999999992</v>
      </c>
      <c r="R82" s="198"/>
      <c r="S82" s="198"/>
      <c r="T82" s="198"/>
      <c r="U82" s="198"/>
    </row>
    <row r="83" spans="1:26" s="12" customFormat="1" x14ac:dyDescent="0.25">
      <c r="A83" s="214" t="s">
        <v>514</v>
      </c>
      <c r="B83" s="64">
        <v>2.33</v>
      </c>
      <c r="C83" s="64">
        <v>0.34</v>
      </c>
      <c r="D83" s="64">
        <v>2.58</v>
      </c>
      <c r="E83" s="64">
        <v>0.78</v>
      </c>
      <c r="F83" s="64">
        <v>5.31</v>
      </c>
      <c r="G83" s="64">
        <v>45.02</v>
      </c>
      <c r="H83" s="64">
        <v>14.13</v>
      </c>
      <c r="I83" s="64">
        <v>2.99</v>
      </c>
      <c r="J83" s="64">
        <v>0.61</v>
      </c>
      <c r="K83" s="64">
        <v>0.84</v>
      </c>
      <c r="L83" s="64">
        <v>34.22</v>
      </c>
      <c r="M83" s="64">
        <v>35.29</v>
      </c>
      <c r="N83" s="64">
        <v>14.4</v>
      </c>
      <c r="O83" s="64">
        <v>0</v>
      </c>
      <c r="P83" s="64">
        <v>0.48</v>
      </c>
      <c r="Q83" s="64">
        <v>9.3800000000000008</v>
      </c>
      <c r="R83" s="198"/>
      <c r="S83" s="198"/>
      <c r="T83" s="198"/>
      <c r="U83" s="198"/>
    </row>
    <row r="84" spans="1:26" s="12" customFormat="1" x14ac:dyDescent="0.25">
      <c r="A84" s="214" t="s">
        <v>515</v>
      </c>
      <c r="B84" s="64">
        <v>2.57</v>
      </c>
      <c r="C84" s="64">
        <v>1.35</v>
      </c>
      <c r="D84" s="64">
        <v>3.84</v>
      </c>
      <c r="E84" s="64">
        <v>0.72</v>
      </c>
      <c r="F84" s="64">
        <v>5.32</v>
      </c>
      <c r="G84" s="64">
        <v>45.02</v>
      </c>
      <c r="H84" s="64">
        <v>14.13</v>
      </c>
      <c r="I84" s="64">
        <v>3.08</v>
      </c>
      <c r="J84" s="64">
        <v>0.63</v>
      </c>
      <c r="K84" s="64">
        <v>352.21</v>
      </c>
      <c r="L84" s="64">
        <v>33.9</v>
      </c>
      <c r="M84" s="64">
        <v>36.6</v>
      </c>
      <c r="N84" s="64">
        <v>12.9</v>
      </c>
      <c r="O84" s="64">
        <v>0</v>
      </c>
      <c r="P84" s="64">
        <v>0.5</v>
      </c>
      <c r="Q84" s="64">
        <v>9.4</v>
      </c>
      <c r="R84" s="198"/>
      <c r="S84" s="198"/>
      <c r="T84" s="198"/>
      <c r="U84" s="198"/>
    </row>
    <row r="85" spans="1:26" s="12" customFormat="1" x14ac:dyDescent="0.25">
      <c r="A85" s="214" t="s">
        <v>516</v>
      </c>
      <c r="B85" s="64">
        <v>2.4500000000000002</v>
      </c>
      <c r="C85" s="64">
        <v>0.85</v>
      </c>
      <c r="D85" s="64">
        <v>3.21</v>
      </c>
      <c r="E85" s="64">
        <v>0.91</v>
      </c>
      <c r="F85" s="64">
        <v>4.5599999999999996</v>
      </c>
      <c r="G85" s="64">
        <v>45.02</v>
      </c>
      <c r="H85" s="64">
        <v>14.13</v>
      </c>
      <c r="I85" s="64">
        <v>3.2</v>
      </c>
      <c r="J85" s="64">
        <v>0.69</v>
      </c>
      <c r="K85" s="64">
        <v>329.42</v>
      </c>
      <c r="L85" s="64">
        <v>33.479999999999997</v>
      </c>
      <c r="M85" s="64">
        <v>37.4</v>
      </c>
      <c r="N85" s="64">
        <v>12.9</v>
      </c>
      <c r="O85" s="64">
        <v>0</v>
      </c>
      <c r="P85" s="64">
        <v>0.51</v>
      </c>
      <c r="Q85" s="64">
        <v>9.4</v>
      </c>
      <c r="R85" s="198"/>
      <c r="S85" s="198"/>
      <c r="T85" s="198"/>
      <c r="U85" s="198"/>
    </row>
    <row r="86" spans="1:26" s="12" customFormat="1" x14ac:dyDescent="0.25">
      <c r="A86" s="214" t="s">
        <v>517</v>
      </c>
      <c r="B86" s="64">
        <v>2.46</v>
      </c>
      <c r="C86" s="64">
        <v>0.9</v>
      </c>
      <c r="D86" s="64">
        <v>3.27</v>
      </c>
      <c r="E86" s="64">
        <v>0.61</v>
      </c>
      <c r="F86" s="64">
        <v>4.91</v>
      </c>
      <c r="G86" s="64">
        <v>47.3</v>
      </c>
      <c r="H86" s="64">
        <v>15.91</v>
      </c>
      <c r="I86" s="64">
        <v>3.49</v>
      </c>
      <c r="J86" s="64">
        <v>0.64</v>
      </c>
      <c r="K86" s="64">
        <v>331.45</v>
      </c>
      <c r="L86" s="64">
        <v>33.19</v>
      </c>
      <c r="M86" s="64">
        <v>36.81</v>
      </c>
      <c r="N86" s="64">
        <v>12.9</v>
      </c>
      <c r="O86" s="64">
        <v>0</v>
      </c>
      <c r="P86" s="64">
        <v>0.56999999999999995</v>
      </c>
      <c r="Q86" s="64">
        <v>9.44</v>
      </c>
      <c r="R86" s="198"/>
      <c r="S86" s="198"/>
      <c r="T86" s="198"/>
      <c r="U86" s="198"/>
    </row>
    <row r="87" spans="1:26" s="12" customFormat="1" x14ac:dyDescent="0.25">
      <c r="A87" s="214" t="s">
        <v>518</v>
      </c>
      <c r="B87" s="64">
        <v>2.4700000000000002</v>
      </c>
      <c r="C87" s="64">
        <v>1.01</v>
      </c>
      <c r="D87" s="64">
        <v>3.39</v>
      </c>
      <c r="E87" s="64">
        <v>1.02</v>
      </c>
      <c r="F87" s="64">
        <v>4.6399999999999997</v>
      </c>
      <c r="G87" s="64">
        <v>49.38</v>
      </c>
      <c r="H87" s="64">
        <v>17.54</v>
      </c>
      <c r="I87" s="64">
        <v>3.76</v>
      </c>
      <c r="J87" s="64">
        <v>1.1000000000000001</v>
      </c>
      <c r="K87" s="64">
        <v>336.34</v>
      </c>
      <c r="L87" s="64">
        <v>32.92</v>
      </c>
      <c r="M87" s="64">
        <v>37.31</v>
      </c>
      <c r="N87" s="64">
        <v>12.6</v>
      </c>
      <c r="O87" s="64">
        <v>0</v>
      </c>
      <c r="P87" s="64">
        <v>0.61</v>
      </c>
      <c r="Q87" s="64">
        <v>9.4700000000000006</v>
      </c>
      <c r="R87" s="198"/>
      <c r="S87" s="198"/>
      <c r="T87" s="198"/>
      <c r="U87" s="198"/>
    </row>
    <row r="88" spans="1:26" s="12" customFormat="1" x14ac:dyDescent="0.25">
      <c r="A88" s="214" t="s">
        <v>519</v>
      </c>
      <c r="B88" s="64">
        <v>2.35</v>
      </c>
      <c r="C88" s="64">
        <v>0.4</v>
      </c>
      <c r="D88" s="64">
        <v>2.66</v>
      </c>
      <c r="E88" s="64">
        <v>0.72</v>
      </c>
      <c r="F88" s="64">
        <v>4.8600000000000003</v>
      </c>
      <c r="G88" s="64">
        <v>49.38</v>
      </c>
      <c r="H88" s="64">
        <v>17.54</v>
      </c>
      <c r="I88" s="64">
        <v>3.92</v>
      </c>
      <c r="J88" s="64">
        <v>1.55</v>
      </c>
      <c r="K88" s="64">
        <v>319.26</v>
      </c>
      <c r="L88" s="64">
        <v>32.42</v>
      </c>
      <c r="M88" s="64">
        <v>38.54</v>
      </c>
      <c r="N88" s="64">
        <v>12.7</v>
      </c>
      <c r="O88" s="64">
        <v>0</v>
      </c>
      <c r="P88" s="64">
        <v>0.64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4" t="s">
        <v>520</v>
      </c>
      <c r="B89" s="64">
        <v>2.61</v>
      </c>
      <c r="C89" s="64">
        <v>1.67</v>
      </c>
      <c r="D89" s="64">
        <v>4.1900000000000004</v>
      </c>
      <c r="E89" s="64">
        <v>0.21</v>
      </c>
      <c r="F89" s="64">
        <v>5.14</v>
      </c>
      <c r="G89" s="64">
        <v>49.38</v>
      </c>
      <c r="H89" s="64">
        <v>17.54</v>
      </c>
      <c r="I89" s="64">
        <v>4.05</v>
      </c>
      <c r="J89" s="64">
        <v>0.87</v>
      </c>
      <c r="K89" s="64">
        <v>326.25</v>
      </c>
      <c r="L89" s="64">
        <v>31.95</v>
      </c>
      <c r="M89" s="64">
        <v>39.83</v>
      </c>
      <c r="N89" s="64">
        <v>13</v>
      </c>
      <c r="O89" s="64">
        <v>0</v>
      </c>
      <c r="P89" s="64">
        <v>0.67</v>
      </c>
      <c r="Q89" s="64">
        <v>9.49</v>
      </c>
      <c r="R89" s="198"/>
      <c r="S89" s="198"/>
      <c r="T89" s="198"/>
      <c r="U89" s="198"/>
    </row>
    <row r="90" spans="1:26" s="12" customFormat="1" x14ac:dyDescent="0.25">
      <c r="A90" s="214" t="s">
        <v>521</v>
      </c>
      <c r="B90" s="64">
        <v>2.37</v>
      </c>
      <c r="C90" s="64">
        <v>0.64</v>
      </c>
      <c r="D90" s="64">
        <v>2.92</v>
      </c>
      <c r="E90" s="64">
        <v>0.53</v>
      </c>
      <c r="F90" s="64">
        <v>4.7</v>
      </c>
      <c r="G90" s="64">
        <v>50.13</v>
      </c>
      <c r="H90" s="64">
        <v>16.63</v>
      </c>
      <c r="I90" s="64">
        <v>4.07</v>
      </c>
      <c r="J90" s="64">
        <v>0.16</v>
      </c>
      <c r="K90" s="64">
        <v>221.98</v>
      </c>
      <c r="L90" s="64">
        <v>31.7</v>
      </c>
      <c r="M90" s="64">
        <v>39.68</v>
      </c>
      <c r="N90" s="64">
        <v>12.9</v>
      </c>
      <c r="O90" s="64">
        <v>0</v>
      </c>
      <c r="P90" s="64">
        <v>0.7</v>
      </c>
      <c r="Q90" s="64">
        <v>9.48</v>
      </c>
      <c r="R90" s="198"/>
      <c r="S90" s="198"/>
      <c r="T90" s="198"/>
      <c r="U90" s="198"/>
    </row>
    <row r="91" spans="1:26" s="12" customFormat="1" x14ac:dyDescent="0.25">
      <c r="A91" s="214" t="s">
        <v>522</v>
      </c>
      <c r="B91" s="64">
        <v>2.34</v>
      </c>
      <c r="C91" s="64">
        <v>0.44</v>
      </c>
      <c r="D91" s="64">
        <v>2.69</v>
      </c>
      <c r="E91" s="64">
        <v>0.21</v>
      </c>
      <c r="F91" s="64">
        <v>4.66</v>
      </c>
      <c r="G91" s="64">
        <v>50.82</v>
      </c>
      <c r="H91" s="64">
        <v>15.81</v>
      </c>
      <c r="I91" s="64">
        <v>4.0999999999999996</v>
      </c>
      <c r="J91" s="64">
        <v>0.59</v>
      </c>
      <c r="K91" s="64">
        <v>210.5</v>
      </c>
      <c r="L91" s="64">
        <v>31.99</v>
      </c>
      <c r="M91" s="64">
        <v>39.049999999999997</v>
      </c>
      <c r="N91" s="64">
        <v>12.4</v>
      </c>
      <c r="O91" s="64">
        <v>0</v>
      </c>
      <c r="P91" s="64">
        <v>0.71</v>
      </c>
      <c r="Q91" s="64">
        <v>9.4700000000000006</v>
      </c>
      <c r="R91" s="198"/>
      <c r="S91" s="198"/>
      <c r="T91" s="198"/>
      <c r="U91" s="198"/>
    </row>
    <row r="92" spans="1:26" s="12" customFormat="1" x14ac:dyDescent="0.25">
      <c r="A92" s="214" t="s">
        <v>523</v>
      </c>
      <c r="B92" s="64">
        <v>2.5099999999999998</v>
      </c>
      <c r="C92" s="64">
        <v>1.17</v>
      </c>
      <c r="D92" s="64">
        <v>3.59</v>
      </c>
      <c r="E92" s="64">
        <v>0.26</v>
      </c>
      <c r="F92" s="64">
        <v>4.83</v>
      </c>
      <c r="G92" s="64">
        <v>50.82</v>
      </c>
      <c r="H92" s="64">
        <v>15.81</v>
      </c>
      <c r="I92" s="64">
        <v>4.3099999999999996</v>
      </c>
      <c r="J92" s="64">
        <v>0.64</v>
      </c>
      <c r="K92" s="64">
        <v>182.14</v>
      </c>
      <c r="L92" s="64">
        <v>31.59</v>
      </c>
      <c r="M92" s="64">
        <v>40.549999999999997</v>
      </c>
      <c r="N92" s="64">
        <v>12.9</v>
      </c>
      <c r="O92" s="64">
        <v>0</v>
      </c>
      <c r="P92" s="64">
        <v>0.7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4" t="s">
        <v>524</v>
      </c>
      <c r="B93" s="64">
        <v>2.4900000000000002</v>
      </c>
      <c r="C93" s="64">
        <v>1.1499999999999999</v>
      </c>
      <c r="D93" s="64">
        <v>3.55</v>
      </c>
      <c r="E93" s="64">
        <v>0.35</v>
      </c>
      <c r="F93" s="64">
        <v>4.5</v>
      </c>
      <c r="G93" s="64">
        <v>50.82</v>
      </c>
      <c r="H93" s="64">
        <v>15.81</v>
      </c>
      <c r="I93" s="64">
        <v>4.66</v>
      </c>
      <c r="J93" s="64">
        <v>0.7</v>
      </c>
      <c r="K93" s="64">
        <v>194.52</v>
      </c>
      <c r="L93" s="64">
        <v>31.56</v>
      </c>
      <c r="M93" s="64">
        <v>40.4</v>
      </c>
      <c r="N93" s="64">
        <v>12.5</v>
      </c>
      <c r="O93" s="64">
        <v>0</v>
      </c>
      <c r="P93" s="64">
        <v>0.69</v>
      </c>
      <c r="Q93" s="64">
        <v>9.4499999999999993</v>
      </c>
      <c r="R93" s="198"/>
      <c r="S93" s="198"/>
      <c r="T93" s="198"/>
      <c r="U93" s="198"/>
    </row>
    <row r="94" spans="1:26" s="12" customFormat="1" x14ac:dyDescent="0.25">
      <c r="A94" s="214" t="s">
        <v>525</v>
      </c>
      <c r="B94" s="64">
        <v>2.36</v>
      </c>
      <c r="C94" s="64">
        <v>0.45</v>
      </c>
      <c r="D94" s="64">
        <v>2.72</v>
      </c>
      <c r="E94" s="64">
        <v>0.56000000000000005</v>
      </c>
      <c r="F94" s="64">
        <v>4.33</v>
      </c>
      <c r="G94" s="64">
        <v>53.26</v>
      </c>
      <c r="H94" s="64">
        <v>17.690000000000001</v>
      </c>
      <c r="I94" s="64">
        <v>4.83</v>
      </c>
      <c r="J94" s="64">
        <v>1.22</v>
      </c>
      <c r="K94" s="64">
        <v>148.72999999999999</v>
      </c>
      <c r="L94" s="64">
        <v>31.42</v>
      </c>
      <c r="M94" s="64">
        <v>40.840000000000003</v>
      </c>
      <c r="N94" s="64">
        <v>12.2</v>
      </c>
      <c r="O94" s="64">
        <v>0</v>
      </c>
      <c r="P94" s="64">
        <v>0.68</v>
      </c>
      <c r="Q94" s="64">
        <v>9.4600000000000009</v>
      </c>
      <c r="R94" s="198"/>
      <c r="S94" s="198"/>
      <c r="T94" s="198"/>
      <c r="U94" s="198"/>
    </row>
    <row r="95" spans="1:26" s="12" customFormat="1" x14ac:dyDescent="0.25">
      <c r="A95" s="214" t="s">
        <v>526</v>
      </c>
      <c r="B95" s="64">
        <v>2.6</v>
      </c>
      <c r="C95" s="64">
        <v>1.6</v>
      </c>
      <c r="D95" s="64">
        <v>4.1100000000000003</v>
      </c>
      <c r="E95" s="64">
        <v>0.43</v>
      </c>
      <c r="F95" s="64">
        <v>4.4000000000000004</v>
      </c>
      <c r="G95" s="64">
        <v>55.48</v>
      </c>
      <c r="H95" s="64">
        <v>19.41</v>
      </c>
      <c r="I95" s="64">
        <v>4.8600000000000003</v>
      </c>
      <c r="J95" s="64">
        <v>1.8</v>
      </c>
      <c r="K95" s="64">
        <v>150.97999999999999</v>
      </c>
      <c r="L95" s="64">
        <v>31.26</v>
      </c>
      <c r="M95" s="64">
        <v>43.32</v>
      </c>
      <c r="N95" s="64">
        <v>12.6</v>
      </c>
      <c r="O95" s="64">
        <v>0</v>
      </c>
      <c r="P95" s="64">
        <v>0.67</v>
      </c>
      <c r="Q95" s="64">
        <v>9.44</v>
      </c>
      <c r="R95" s="198"/>
      <c r="S95" s="198"/>
      <c r="T95" s="198"/>
      <c r="U95" s="198"/>
    </row>
    <row r="96" spans="1:26" s="12" customFormat="1" x14ac:dyDescent="0.25">
      <c r="A96" s="214" t="s">
        <v>527</v>
      </c>
      <c r="B96" s="64">
        <v>2.41</v>
      </c>
      <c r="C96" s="64">
        <v>0.77</v>
      </c>
      <c r="D96" s="64">
        <v>3.09</v>
      </c>
      <c r="E96" s="64">
        <v>0.23</v>
      </c>
      <c r="F96" s="64">
        <v>4.72</v>
      </c>
      <c r="G96" s="64">
        <v>55.48</v>
      </c>
      <c r="H96" s="64">
        <v>19.41</v>
      </c>
      <c r="I96" s="64">
        <v>5.0599999999999996</v>
      </c>
      <c r="J96" s="64">
        <v>1.7</v>
      </c>
      <c r="K96" s="64">
        <v>157.5</v>
      </c>
      <c r="L96" s="64">
        <v>30.8</v>
      </c>
      <c r="M96" s="64">
        <v>45.77</v>
      </c>
      <c r="N96" s="64">
        <v>13</v>
      </c>
      <c r="O96" s="64">
        <v>0</v>
      </c>
      <c r="P96" s="64">
        <v>0.65</v>
      </c>
      <c r="Q96" s="64">
        <v>9.43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528</v>
      </c>
      <c r="B97" s="64">
        <v>2.5299999999999998</v>
      </c>
      <c r="C97" s="64">
        <v>1.23</v>
      </c>
      <c r="D97" s="64">
        <v>3.67</v>
      </c>
      <c r="E97" s="64">
        <v>0.28999999999999998</v>
      </c>
      <c r="F97" s="64">
        <v>4.22</v>
      </c>
      <c r="G97" s="64">
        <v>55.48</v>
      </c>
      <c r="H97" s="64">
        <v>19.41</v>
      </c>
      <c r="I97" s="64">
        <v>5.39</v>
      </c>
      <c r="J97" s="64">
        <v>1.38</v>
      </c>
      <c r="K97" s="64">
        <v>160.15</v>
      </c>
      <c r="L97" s="64">
        <v>30.52</v>
      </c>
      <c r="M97" s="64">
        <v>46.75</v>
      </c>
      <c r="N97" s="64">
        <v>12.9</v>
      </c>
      <c r="O97" s="64">
        <v>0</v>
      </c>
      <c r="P97" s="64">
        <v>0.64</v>
      </c>
      <c r="Q97" s="64">
        <v>9.36</v>
      </c>
      <c r="R97" s="198"/>
      <c r="S97" s="198"/>
      <c r="T97" s="198"/>
      <c r="U97" s="198"/>
    </row>
    <row r="98" spans="1:33" s="12" customFormat="1" x14ac:dyDescent="0.25">
      <c r="A98" s="214" t="s">
        <v>529</v>
      </c>
      <c r="B98" s="64">
        <v>2.5499999999999998</v>
      </c>
      <c r="C98" s="64">
        <v>1.26</v>
      </c>
      <c r="D98" s="64">
        <v>3.72</v>
      </c>
      <c r="E98" s="64">
        <v>0.43</v>
      </c>
      <c r="F98" s="64">
        <v>4.1900000000000004</v>
      </c>
      <c r="G98" s="64">
        <v>52.69</v>
      </c>
      <c r="H98" s="64">
        <v>19.440000000000001</v>
      </c>
      <c r="I98" s="64">
        <v>5.6</v>
      </c>
      <c r="J98" s="64">
        <v>0.98</v>
      </c>
      <c r="K98" s="64">
        <v>164.41</v>
      </c>
      <c r="L98" s="64">
        <v>30.22</v>
      </c>
      <c r="M98" s="64">
        <v>48.08</v>
      </c>
      <c r="N98" s="64">
        <v>13</v>
      </c>
      <c r="O98" s="64">
        <v>0</v>
      </c>
      <c r="P98" s="64">
        <v>0.63</v>
      </c>
      <c r="Q98" s="64">
        <v>9.3699999999999992</v>
      </c>
      <c r="R98" s="198"/>
      <c r="S98" s="198"/>
      <c r="T98" s="198"/>
      <c r="U98" s="198"/>
    </row>
    <row r="99" spans="1:33" s="12" customFormat="1" x14ac:dyDescent="0.25">
      <c r="A99" s="214" t="s">
        <v>530</v>
      </c>
      <c r="B99" s="64">
        <v>2.41</v>
      </c>
      <c r="C99" s="64">
        <v>0.53</v>
      </c>
      <c r="D99" s="64">
        <v>2.85</v>
      </c>
      <c r="E99" s="64">
        <v>0.41</v>
      </c>
      <c r="F99" s="64">
        <v>4.32</v>
      </c>
      <c r="G99" s="64">
        <v>50.13</v>
      </c>
      <c r="H99" s="64">
        <v>19.47</v>
      </c>
      <c r="I99" s="64">
        <v>5.76</v>
      </c>
      <c r="J99" s="64">
        <v>0.84</v>
      </c>
      <c r="K99" s="64">
        <v>99.96</v>
      </c>
      <c r="L99" s="64">
        <v>29.89</v>
      </c>
      <c r="M99" s="64">
        <v>49.27</v>
      </c>
      <c r="N99" s="64">
        <v>12.9</v>
      </c>
      <c r="O99" s="64">
        <v>0</v>
      </c>
      <c r="P99" s="64">
        <v>0.61</v>
      </c>
      <c r="Q99" s="64">
        <v>9.4</v>
      </c>
      <c r="R99" s="198"/>
      <c r="S99" s="198"/>
      <c r="T99" s="198"/>
      <c r="U99" s="198"/>
    </row>
    <row r="100" spans="1:33" s="12" customFormat="1" x14ac:dyDescent="0.25">
      <c r="A100" s="214" t="s">
        <v>531</v>
      </c>
      <c r="B100" s="64">
        <v>2.62</v>
      </c>
      <c r="C100" s="64">
        <v>1.25</v>
      </c>
      <c r="D100" s="64">
        <v>3.78</v>
      </c>
      <c r="E100" s="64">
        <v>0.28999999999999998</v>
      </c>
      <c r="F100" s="64">
        <v>4.04</v>
      </c>
      <c r="G100" s="64">
        <v>50.13</v>
      </c>
      <c r="H100" s="64">
        <v>19.47</v>
      </c>
      <c r="I100" s="64">
        <v>5.52</v>
      </c>
      <c r="J100" s="64">
        <v>0.76</v>
      </c>
      <c r="K100" s="64">
        <v>134.22999999999999</v>
      </c>
      <c r="L100" s="64">
        <v>29.94</v>
      </c>
      <c r="M100" s="64">
        <v>49.19</v>
      </c>
      <c r="N100" s="64">
        <v>12.4</v>
      </c>
      <c r="O100" s="64">
        <v>0</v>
      </c>
      <c r="P100" s="64">
        <v>0.6</v>
      </c>
      <c r="Q100" s="64">
        <v>9.39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532</v>
      </c>
      <c r="B101" s="64">
        <v>2.5299999999999998</v>
      </c>
      <c r="C101" s="64">
        <v>0.88</v>
      </c>
      <c r="D101" s="64">
        <v>3.32</v>
      </c>
      <c r="E101" s="64">
        <v>0.16</v>
      </c>
      <c r="F101" s="64">
        <v>4.2</v>
      </c>
      <c r="G101" s="64">
        <v>50.13</v>
      </c>
      <c r="H101" s="64">
        <v>19.47</v>
      </c>
      <c r="I101" s="64">
        <v>5.36</v>
      </c>
      <c r="J101" s="64">
        <v>0.5</v>
      </c>
      <c r="K101" s="64">
        <v>133.74</v>
      </c>
      <c r="L101" s="64">
        <v>29.97</v>
      </c>
      <c r="M101" s="64">
        <v>48.65</v>
      </c>
      <c r="N101" s="64">
        <v>12.8</v>
      </c>
      <c r="O101" s="64">
        <v>0</v>
      </c>
      <c r="P101" s="64">
        <v>0.57999999999999996</v>
      </c>
      <c r="Q101" s="64">
        <v>9.43</v>
      </c>
      <c r="R101" s="198"/>
      <c r="S101" s="198"/>
      <c r="T101" s="198"/>
      <c r="U101" s="198"/>
    </row>
    <row r="102" spans="1:33" s="12" customFormat="1" x14ac:dyDescent="0.25">
      <c r="A102" s="214" t="s">
        <v>533</v>
      </c>
      <c r="B102" s="64">
        <v>2.62</v>
      </c>
      <c r="C102" s="64">
        <v>1.31</v>
      </c>
      <c r="D102" s="64">
        <v>3.84</v>
      </c>
      <c r="E102" s="64">
        <v>0.15</v>
      </c>
      <c r="F102" s="64">
        <v>4.28</v>
      </c>
      <c r="G102" s="64">
        <v>47</v>
      </c>
      <c r="H102" s="64">
        <v>18.600000000000001</v>
      </c>
      <c r="I102" s="64">
        <v>5.55</v>
      </c>
      <c r="J102" s="64">
        <v>1.1399999999999999</v>
      </c>
      <c r="K102" s="64">
        <v>158.88999999999999</v>
      </c>
      <c r="L102" s="64">
        <v>29.79</v>
      </c>
      <c r="M102" s="64">
        <v>49.15</v>
      </c>
      <c r="N102" s="64">
        <v>12.7</v>
      </c>
      <c r="O102" s="64">
        <v>0</v>
      </c>
      <c r="P102" s="64">
        <v>0.56999999999999995</v>
      </c>
      <c r="Q102" s="64">
        <v>9.43</v>
      </c>
      <c r="R102" s="198"/>
      <c r="S102" s="198"/>
      <c r="T102" s="198"/>
      <c r="U102" s="198"/>
    </row>
    <row r="103" spans="1:33" s="12" customFormat="1" x14ac:dyDescent="0.25">
      <c r="A103" s="214" t="s">
        <v>534</v>
      </c>
      <c r="B103" s="64">
        <v>2.4900000000000002</v>
      </c>
      <c r="C103" s="64">
        <v>0.69</v>
      </c>
      <c r="D103" s="64">
        <v>3.09</v>
      </c>
      <c r="E103" s="64">
        <v>0.25</v>
      </c>
      <c r="F103" s="64">
        <v>4.16</v>
      </c>
      <c r="G103" s="64">
        <v>44.13</v>
      </c>
      <c r="H103" s="64">
        <v>17.8</v>
      </c>
      <c r="I103" s="64">
        <v>5.66</v>
      </c>
      <c r="J103" s="64">
        <v>1.24</v>
      </c>
      <c r="K103" s="64">
        <v>148.36000000000001</v>
      </c>
      <c r="L103" s="64">
        <v>29.57</v>
      </c>
      <c r="M103" s="64">
        <v>49.95</v>
      </c>
      <c r="N103" s="64">
        <v>12.7</v>
      </c>
      <c r="O103" s="64">
        <v>0</v>
      </c>
      <c r="P103" s="64">
        <v>0.55000000000000004</v>
      </c>
      <c r="Q103" s="64">
        <v>9.4499999999999993</v>
      </c>
      <c r="R103" s="198"/>
      <c r="S103" s="198"/>
      <c r="T103" s="198"/>
      <c r="U103" s="198"/>
    </row>
    <row r="104" spans="1:33" s="12" customFormat="1" x14ac:dyDescent="0.25">
      <c r="A104" s="214" t="s">
        <v>535</v>
      </c>
      <c r="B104" s="64">
        <v>2.66</v>
      </c>
      <c r="C104" s="64">
        <v>1.48</v>
      </c>
      <c r="D104" s="64">
        <v>4.0599999999999996</v>
      </c>
      <c r="E104" s="64">
        <v>0.69</v>
      </c>
      <c r="F104" s="64">
        <v>4.76</v>
      </c>
      <c r="G104" s="64">
        <v>44.13</v>
      </c>
      <c r="H104" s="64">
        <v>17.8</v>
      </c>
      <c r="I104" s="64">
        <v>5.42</v>
      </c>
      <c r="J104" s="64">
        <v>1.1499999999999999</v>
      </c>
      <c r="K104" s="64">
        <v>162.85</v>
      </c>
      <c r="L104" s="64">
        <v>29.44</v>
      </c>
      <c r="M104" s="64">
        <v>50.68</v>
      </c>
      <c r="N104" s="64">
        <v>12.8</v>
      </c>
      <c r="O104" s="64">
        <v>0</v>
      </c>
      <c r="P104" s="64">
        <v>0.55000000000000004</v>
      </c>
      <c r="Q104" s="64">
        <v>9.4600000000000009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2.11</v>
      </c>
      <c r="C106" s="67">
        <f>MIN(C9:C104)</f>
        <v>0.34</v>
      </c>
      <c r="D106" s="67">
        <f t="shared" ref="D106:Q106" si="0">MIN(D9:D104)</f>
        <v>2.58</v>
      </c>
      <c r="E106" s="67">
        <f t="shared" si="0"/>
        <v>0.15</v>
      </c>
      <c r="F106" s="67">
        <f t="shared" si="0"/>
        <v>3.76</v>
      </c>
      <c r="G106" s="67">
        <f t="shared" si="0"/>
        <v>14.37</v>
      </c>
      <c r="H106" s="67">
        <f t="shared" si="0"/>
        <v>4.03</v>
      </c>
      <c r="I106" s="67">
        <f t="shared" si="0"/>
        <v>1.48</v>
      </c>
      <c r="J106" s="67">
        <f t="shared" si="0"/>
        <v>0.13</v>
      </c>
      <c r="K106" s="67">
        <f t="shared" si="0"/>
        <v>0.84</v>
      </c>
      <c r="L106" s="67">
        <f t="shared" si="0"/>
        <v>25.99</v>
      </c>
      <c r="M106" s="67">
        <f t="shared" si="0"/>
        <v>29.3</v>
      </c>
      <c r="N106" s="67">
        <f t="shared" si="0"/>
        <v>11.5</v>
      </c>
      <c r="O106" s="67">
        <f t="shared" si="0"/>
        <v>0</v>
      </c>
      <c r="P106" s="67">
        <f t="shared" si="0"/>
        <v>0.25</v>
      </c>
      <c r="Q106" s="67">
        <f t="shared" si="0"/>
        <v>9.2799999999999994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5.53</v>
      </c>
      <c r="C107" s="66">
        <f t="shared" ref="C107:Q107" si="1">MAX(C9:C104)</f>
        <v>4.47</v>
      </c>
      <c r="D107" s="66">
        <f t="shared" si="1"/>
        <v>9.9</v>
      </c>
      <c r="E107" s="66">
        <f t="shared" si="1"/>
        <v>18.079999999999998</v>
      </c>
      <c r="F107" s="66">
        <f t="shared" si="1"/>
        <v>18.54</v>
      </c>
      <c r="G107" s="66">
        <f t="shared" si="1"/>
        <v>74.14</v>
      </c>
      <c r="H107" s="66">
        <f t="shared" si="1"/>
        <v>19.47</v>
      </c>
      <c r="I107" s="66">
        <f t="shared" si="1"/>
        <v>9.85</v>
      </c>
      <c r="J107" s="66">
        <f t="shared" si="1"/>
        <v>2.99</v>
      </c>
      <c r="K107" s="66">
        <f t="shared" si="1"/>
        <v>359.48</v>
      </c>
      <c r="L107" s="66">
        <f t="shared" si="1"/>
        <v>37.6</v>
      </c>
      <c r="M107" s="66">
        <f t="shared" si="1"/>
        <v>73.569999999999993</v>
      </c>
      <c r="N107" s="66">
        <f t="shared" si="1"/>
        <v>852.3</v>
      </c>
      <c r="O107" s="66">
        <f t="shared" si="1"/>
        <v>0</v>
      </c>
      <c r="P107" s="66">
        <f t="shared" si="1"/>
        <v>0.71</v>
      </c>
      <c r="Q107" s="66">
        <f t="shared" si="1"/>
        <v>9.5500000000000007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2.5834042553191492</v>
      </c>
      <c r="C108" s="67">
        <f t="shared" ref="C108:Q108" si="2">AVERAGE(C9:C104)</f>
        <v>1.3008510638297877</v>
      </c>
      <c r="D108" s="67">
        <f t="shared" si="2"/>
        <v>3.758936170212765</v>
      </c>
      <c r="E108" s="67">
        <f t="shared" si="2"/>
        <v>1.4219148936170207</v>
      </c>
      <c r="F108" s="67">
        <f t="shared" si="2"/>
        <v>7.3021874999999996</v>
      </c>
      <c r="G108" s="67">
        <f t="shared" si="2"/>
        <v>37.296774193548409</v>
      </c>
      <c r="H108" s="67">
        <f t="shared" si="2"/>
        <v>13.562795698924731</v>
      </c>
      <c r="I108" s="67">
        <f t="shared" si="2"/>
        <v>5.1651041666666675</v>
      </c>
      <c r="J108" s="67">
        <f t="shared" si="2"/>
        <v>0.9981249999999996</v>
      </c>
      <c r="K108" s="67">
        <f t="shared" si="2"/>
        <v>190.48114583333333</v>
      </c>
      <c r="L108" s="67">
        <f t="shared" si="2"/>
        <v>31.199374999999993</v>
      </c>
      <c r="M108" s="67">
        <f t="shared" si="2"/>
        <v>46.734999999999992</v>
      </c>
      <c r="N108" s="67">
        <f t="shared" si="2"/>
        <v>222.3177083333334</v>
      </c>
      <c r="O108" s="67">
        <f t="shared" si="2"/>
        <v>0</v>
      </c>
      <c r="P108" s="67">
        <f t="shared" si="2"/>
        <v>0.40249999999999991</v>
      </c>
      <c r="Q108" s="67">
        <f t="shared" si="2"/>
        <v>9.4094791666666691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0.34643050224384447</v>
      </c>
      <c r="C109" s="67">
        <f t="shared" ref="C109:Q109" si="3">STDEV(C9:C104)</f>
        <v>0.74607310255342563</v>
      </c>
      <c r="D109" s="67">
        <f t="shared" si="3"/>
        <v>0.90945862199952243</v>
      </c>
      <c r="E109" s="67">
        <f t="shared" si="3"/>
        <v>1.9997173330333116</v>
      </c>
      <c r="F109" s="67">
        <f t="shared" si="3"/>
        <v>3.5764905477517943</v>
      </c>
      <c r="G109" s="67">
        <f t="shared" si="3"/>
        <v>14.803018285154842</v>
      </c>
      <c r="H109" s="67">
        <f t="shared" si="3"/>
        <v>3.7408582384235434</v>
      </c>
      <c r="I109" s="67">
        <f t="shared" si="3"/>
        <v>2.1956775694612092</v>
      </c>
      <c r="J109" s="67">
        <f t="shared" si="3"/>
        <v>0.65696961797892062</v>
      </c>
      <c r="K109" s="67">
        <f t="shared" si="3"/>
        <v>119.8302973978731</v>
      </c>
      <c r="L109" s="67">
        <f t="shared" si="3"/>
        <v>3.7500057017501485</v>
      </c>
      <c r="M109" s="67">
        <f t="shared" si="3"/>
        <v>13.221960599898321</v>
      </c>
      <c r="N109" s="67">
        <f t="shared" si="3"/>
        <v>284.65208865885882</v>
      </c>
      <c r="O109" s="67">
        <f t="shared" si="3"/>
        <v>0</v>
      </c>
      <c r="P109" s="67">
        <f t="shared" si="3"/>
        <v>0.13309276543270976</v>
      </c>
      <c r="Q109" s="67">
        <f t="shared" si="3"/>
        <v>6.0634709387084221E-2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COUNT(B9:B104)+2</f>
        <v>96</v>
      </c>
      <c r="C110" s="66">
        <f>COUNT(C9:C104)+2</f>
        <v>96</v>
      </c>
      <c r="D110" s="66">
        <f>COUNT(D9:D104)+2</f>
        <v>96</v>
      </c>
      <c r="E110" s="66">
        <f>COUNT(E9:E104)+2</f>
        <v>96</v>
      </c>
      <c r="F110" s="66">
        <f t="shared" ref="F110:Q110" si="4">COUNT(F9:F104)</f>
        <v>96</v>
      </c>
      <c r="G110" s="66">
        <f>COUNT(G9:G104)+3</f>
        <v>96</v>
      </c>
      <c r="H110" s="66">
        <f>COUNT(H9:H104)+3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536</v>
      </c>
      <c r="B9" s="64">
        <v>2.73</v>
      </c>
      <c r="C9" s="64">
        <v>2.12</v>
      </c>
      <c r="D9" s="64">
        <v>4.7699999999999996</v>
      </c>
      <c r="E9" s="64">
        <v>1.05</v>
      </c>
      <c r="F9" s="64">
        <v>4.45</v>
      </c>
      <c r="G9" s="64">
        <v>44.13</v>
      </c>
      <c r="H9" s="64">
        <v>17.8</v>
      </c>
      <c r="I9" s="64">
        <v>5.84</v>
      </c>
      <c r="J9" s="64">
        <v>0.8</v>
      </c>
      <c r="K9" s="64">
        <v>165.24</v>
      </c>
      <c r="L9" s="64">
        <v>29.18</v>
      </c>
      <c r="M9" s="64">
        <v>51.6</v>
      </c>
      <c r="N9" s="64">
        <v>13</v>
      </c>
      <c r="O9" s="64">
        <v>0</v>
      </c>
      <c r="P9" s="64">
        <v>0.55000000000000004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4" t="s">
        <v>537</v>
      </c>
      <c r="B10" s="64">
        <v>2.96</v>
      </c>
      <c r="C10" s="64">
        <v>3.2</v>
      </c>
      <c r="D10" s="64">
        <v>6.08</v>
      </c>
      <c r="E10" s="64">
        <v>1.02</v>
      </c>
      <c r="F10" s="64">
        <v>4.04</v>
      </c>
      <c r="G10" s="64">
        <v>41.47</v>
      </c>
      <c r="H10" s="64">
        <v>15.74</v>
      </c>
      <c r="I10" s="64">
        <v>6.28</v>
      </c>
      <c r="J10" s="64">
        <v>1.1200000000000001</v>
      </c>
      <c r="K10" s="64">
        <v>156.71</v>
      </c>
      <c r="L10" s="64">
        <v>29.02</v>
      </c>
      <c r="M10" s="64">
        <v>52.3</v>
      </c>
      <c r="N10" s="64">
        <v>12.7</v>
      </c>
      <c r="O10" s="64">
        <v>0</v>
      </c>
      <c r="P10" s="64">
        <v>0.53</v>
      </c>
      <c r="Q10" s="64">
        <v>9.4</v>
      </c>
      <c r="R10" s="198"/>
      <c r="S10" s="198"/>
      <c r="T10" s="198"/>
      <c r="U10" s="198"/>
    </row>
    <row r="11" spans="1:21" s="12" customFormat="1" x14ac:dyDescent="0.25">
      <c r="A11" s="214" t="s">
        <v>538</v>
      </c>
      <c r="B11" s="64">
        <v>2.98</v>
      </c>
      <c r="C11" s="64">
        <v>3.1</v>
      </c>
      <c r="D11" s="64">
        <v>5.99</v>
      </c>
      <c r="E11" s="64">
        <v>0.95</v>
      </c>
      <c r="F11" s="64">
        <v>4.67</v>
      </c>
      <c r="G11" s="64">
        <v>38.92</v>
      </c>
      <c r="H11" s="64">
        <v>13.85</v>
      </c>
      <c r="I11" s="64">
        <v>5.97</v>
      </c>
      <c r="J11" s="64">
        <v>0.99</v>
      </c>
      <c r="K11" s="64">
        <v>158.87</v>
      </c>
      <c r="L11" s="64">
        <v>29.01</v>
      </c>
      <c r="M11" s="64">
        <v>52.2</v>
      </c>
      <c r="N11" s="64">
        <v>12.7</v>
      </c>
      <c r="O11" s="64">
        <v>0</v>
      </c>
      <c r="P11" s="64">
        <v>0.5</v>
      </c>
      <c r="Q11" s="64">
        <v>9.4</v>
      </c>
      <c r="R11" s="198"/>
      <c r="S11" s="198"/>
      <c r="T11" s="198"/>
      <c r="U11" s="198"/>
    </row>
    <row r="12" spans="1:21" s="12" customFormat="1" x14ac:dyDescent="0.25">
      <c r="A12" s="214" t="s">
        <v>539</v>
      </c>
      <c r="B12" s="64">
        <v>2.93</v>
      </c>
      <c r="C12" s="64">
        <v>2.83</v>
      </c>
      <c r="D12" s="64">
        <v>5.67</v>
      </c>
      <c r="E12" s="64">
        <v>0.72</v>
      </c>
      <c r="F12" s="64">
        <v>4.83</v>
      </c>
      <c r="G12" s="64">
        <v>38.92</v>
      </c>
      <c r="H12" s="64">
        <v>13.85</v>
      </c>
      <c r="I12" s="64">
        <v>5.85</v>
      </c>
      <c r="J12" s="64">
        <v>0.73</v>
      </c>
      <c r="K12" s="64">
        <v>183.84</v>
      </c>
      <c r="L12" s="64">
        <v>28.95</v>
      </c>
      <c r="M12" s="64">
        <v>52.14</v>
      </c>
      <c r="N12" s="64">
        <v>12.8</v>
      </c>
      <c r="O12" s="64">
        <v>0</v>
      </c>
      <c r="P12" s="64">
        <v>0.49</v>
      </c>
      <c r="Q12" s="64">
        <v>9.41</v>
      </c>
      <c r="R12" s="198"/>
      <c r="S12" s="198"/>
      <c r="T12" s="198"/>
      <c r="U12" s="198"/>
    </row>
    <row r="13" spans="1:21" s="12" customFormat="1" x14ac:dyDescent="0.25">
      <c r="A13" s="214" t="s">
        <v>540</v>
      </c>
      <c r="B13" s="64">
        <v>2.92</v>
      </c>
      <c r="C13" s="64">
        <v>2.9</v>
      </c>
      <c r="D13" s="64">
        <v>5.73</v>
      </c>
      <c r="E13" s="64">
        <v>0.82</v>
      </c>
      <c r="F13" s="64">
        <v>4.6100000000000003</v>
      </c>
      <c r="G13" s="64">
        <v>38.92</v>
      </c>
      <c r="H13" s="64">
        <v>13.85</v>
      </c>
      <c r="I13" s="64">
        <v>5.81</v>
      </c>
      <c r="J13" s="64">
        <v>0.41</v>
      </c>
      <c r="K13" s="64">
        <v>163.32</v>
      </c>
      <c r="L13" s="64">
        <v>28.76</v>
      </c>
      <c r="M13" s="64">
        <v>52.92</v>
      </c>
      <c r="N13" s="64">
        <v>12.9</v>
      </c>
      <c r="O13" s="64">
        <v>0</v>
      </c>
      <c r="P13" s="64">
        <v>0.47</v>
      </c>
      <c r="Q13" s="64">
        <v>9.42</v>
      </c>
      <c r="R13" s="198"/>
      <c r="S13" s="198"/>
      <c r="T13" s="198"/>
      <c r="U13" s="198"/>
    </row>
    <row r="14" spans="1:21" s="12" customFormat="1" x14ac:dyDescent="0.25">
      <c r="A14" s="214" t="s">
        <v>541</v>
      </c>
      <c r="B14" s="64">
        <v>2.89</v>
      </c>
      <c r="C14" s="64">
        <v>2.68</v>
      </c>
      <c r="D14" s="64">
        <v>5.48</v>
      </c>
      <c r="E14" s="64">
        <v>0.91</v>
      </c>
      <c r="F14" s="64">
        <v>4.8499999999999996</v>
      </c>
      <c r="G14" s="64">
        <v>36.42</v>
      </c>
      <c r="H14" s="64">
        <v>13.76</v>
      </c>
      <c r="I14" s="64">
        <v>5.62</v>
      </c>
      <c r="J14" s="64">
        <v>0.66</v>
      </c>
      <c r="K14" s="64">
        <v>148.08000000000001</v>
      </c>
      <c r="L14" s="64">
        <v>28.57</v>
      </c>
      <c r="M14" s="64">
        <v>53.92</v>
      </c>
      <c r="N14" s="64">
        <v>12.8</v>
      </c>
      <c r="O14" s="64">
        <v>0</v>
      </c>
      <c r="P14" s="64">
        <v>0.46</v>
      </c>
      <c r="Q14" s="64">
        <v>9.41</v>
      </c>
      <c r="R14" s="198"/>
      <c r="S14" s="198"/>
      <c r="T14" s="198"/>
      <c r="U14" s="198"/>
    </row>
    <row r="15" spans="1:21" s="12" customFormat="1" x14ac:dyDescent="0.25">
      <c r="A15" s="214" t="s">
        <v>542</v>
      </c>
      <c r="B15" s="64">
        <v>2.95</v>
      </c>
      <c r="C15" s="64">
        <v>3.3</v>
      </c>
      <c r="D15" s="64">
        <v>6.15</v>
      </c>
      <c r="E15" s="64">
        <v>0.62</v>
      </c>
      <c r="F15" s="64">
        <v>5.54</v>
      </c>
      <c r="G15" s="64">
        <v>34.020000000000003</v>
      </c>
      <c r="H15" s="64">
        <v>13.67</v>
      </c>
      <c r="I15" s="64">
        <v>5.53</v>
      </c>
      <c r="J15" s="64">
        <v>0.13</v>
      </c>
      <c r="K15" s="64">
        <v>157.59</v>
      </c>
      <c r="L15" s="64">
        <v>28.37</v>
      </c>
      <c r="M15" s="64">
        <v>54.62</v>
      </c>
      <c r="N15" s="64">
        <v>13</v>
      </c>
      <c r="O15" s="64">
        <v>0</v>
      </c>
      <c r="P15" s="64">
        <v>0.46</v>
      </c>
      <c r="Q15" s="64">
        <v>9.42</v>
      </c>
      <c r="R15" s="198"/>
      <c r="S15" s="198"/>
      <c r="T15" s="198"/>
      <c r="U15" s="198"/>
    </row>
    <row r="16" spans="1:21" s="12" customFormat="1" x14ac:dyDescent="0.25">
      <c r="A16" s="214" t="s">
        <v>543</v>
      </c>
      <c r="B16" s="64">
        <v>2.99</v>
      </c>
      <c r="C16" s="64">
        <v>3.75</v>
      </c>
      <c r="D16" s="64">
        <v>6.65</v>
      </c>
      <c r="E16" s="64">
        <v>0.94</v>
      </c>
      <c r="F16" s="64">
        <v>3.15</v>
      </c>
      <c r="G16" s="64">
        <v>34.020000000000003</v>
      </c>
      <c r="H16" s="64">
        <v>13.67</v>
      </c>
      <c r="I16" s="64">
        <v>5.43</v>
      </c>
      <c r="J16" s="64">
        <v>0.81</v>
      </c>
      <c r="K16" s="64">
        <v>160.19999999999999</v>
      </c>
      <c r="L16" s="64">
        <v>27.88</v>
      </c>
      <c r="M16" s="64">
        <v>57.67</v>
      </c>
      <c r="N16" s="64">
        <v>13.3</v>
      </c>
      <c r="O16" s="64">
        <v>0</v>
      </c>
      <c r="P16" s="64">
        <v>0.44</v>
      </c>
      <c r="Q16" s="64">
        <v>9.41</v>
      </c>
      <c r="R16" s="198"/>
      <c r="S16" s="198"/>
      <c r="T16" s="198"/>
      <c r="U16" s="198"/>
    </row>
    <row r="17" spans="1:21" s="12" customFormat="1" x14ac:dyDescent="0.25">
      <c r="A17" s="214" t="s">
        <v>544</v>
      </c>
      <c r="B17" s="64">
        <v>2.98</v>
      </c>
      <c r="C17" s="64">
        <v>3.53</v>
      </c>
      <c r="D17" s="64">
        <v>6.42</v>
      </c>
      <c r="E17" s="64">
        <v>1.17</v>
      </c>
      <c r="F17" s="64">
        <v>3.96</v>
      </c>
      <c r="G17" s="64">
        <v>34.020000000000003</v>
      </c>
      <c r="H17" s="64">
        <v>13.67</v>
      </c>
      <c r="I17" s="64">
        <v>5.3</v>
      </c>
      <c r="J17" s="64">
        <v>0.68</v>
      </c>
      <c r="K17" s="64">
        <v>203.22</v>
      </c>
      <c r="L17" s="64">
        <v>27.62</v>
      </c>
      <c r="M17" s="64">
        <v>58.51</v>
      </c>
      <c r="N17" s="64">
        <v>13</v>
      </c>
      <c r="O17" s="64">
        <v>0</v>
      </c>
      <c r="P17" s="64">
        <v>0.43</v>
      </c>
      <c r="Q17" s="64">
        <v>9.39</v>
      </c>
      <c r="R17" s="198"/>
      <c r="S17" s="198"/>
      <c r="T17" s="198"/>
      <c r="U17" s="198"/>
    </row>
    <row r="18" spans="1:21" s="12" customFormat="1" x14ac:dyDescent="0.25">
      <c r="A18" s="214" t="s">
        <v>545</v>
      </c>
      <c r="B18" s="64">
        <v>3.02</v>
      </c>
      <c r="C18" s="64">
        <v>3.48</v>
      </c>
      <c r="D18" s="64">
        <v>6.42</v>
      </c>
      <c r="E18" s="64">
        <v>0.89</v>
      </c>
      <c r="F18" s="64">
        <v>4.43</v>
      </c>
      <c r="G18" s="64">
        <v>32.97</v>
      </c>
      <c r="H18" s="64">
        <v>13.46</v>
      </c>
      <c r="I18" s="64">
        <v>5.2</v>
      </c>
      <c r="J18" s="64">
        <v>0.54</v>
      </c>
      <c r="K18" s="64">
        <v>207.5</v>
      </c>
      <c r="L18" s="64">
        <v>27.66</v>
      </c>
      <c r="M18" s="64">
        <v>58.59</v>
      </c>
      <c r="N18" s="64">
        <v>12.9</v>
      </c>
      <c r="O18" s="64">
        <v>0</v>
      </c>
      <c r="P18" s="64">
        <v>0.42</v>
      </c>
      <c r="Q18" s="64">
        <v>9.3800000000000008</v>
      </c>
      <c r="R18" s="198"/>
      <c r="S18" s="198"/>
      <c r="T18" s="198"/>
      <c r="U18" s="198"/>
    </row>
    <row r="19" spans="1:21" s="12" customFormat="1" x14ac:dyDescent="0.25">
      <c r="A19" s="214" t="s">
        <v>546</v>
      </c>
      <c r="B19" s="64">
        <v>3.04</v>
      </c>
      <c r="C19" s="64">
        <v>3.58</v>
      </c>
      <c r="D19" s="64">
        <v>6.53</v>
      </c>
      <c r="E19" s="64">
        <v>0.96</v>
      </c>
      <c r="F19" s="64">
        <v>4.09</v>
      </c>
      <c r="G19" s="64">
        <v>31.97</v>
      </c>
      <c r="H19" s="64">
        <v>13.26</v>
      </c>
      <c r="I19" s="64">
        <v>4.8600000000000003</v>
      </c>
      <c r="J19" s="64">
        <v>0.28000000000000003</v>
      </c>
      <c r="K19" s="64">
        <v>241.02</v>
      </c>
      <c r="L19" s="64">
        <v>27.65</v>
      </c>
      <c r="M19" s="64">
        <v>58.08</v>
      </c>
      <c r="N19" s="64">
        <v>12.9</v>
      </c>
      <c r="O19" s="64">
        <v>0</v>
      </c>
      <c r="P19" s="64">
        <v>0.41</v>
      </c>
      <c r="Q19" s="64">
        <v>9.3800000000000008</v>
      </c>
      <c r="R19" s="198"/>
      <c r="S19" s="198"/>
      <c r="T19" s="198"/>
      <c r="U19" s="198"/>
    </row>
    <row r="20" spans="1:21" s="12" customFormat="1" x14ac:dyDescent="0.25">
      <c r="A20" s="214" t="s">
        <v>547</v>
      </c>
      <c r="B20" s="64">
        <v>3.04</v>
      </c>
      <c r="C20" s="64">
        <v>3.29</v>
      </c>
      <c r="D20" s="64">
        <v>6.24</v>
      </c>
      <c r="E20" s="64">
        <v>0.72</v>
      </c>
      <c r="F20" s="64">
        <v>4.1500000000000004</v>
      </c>
      <c r="G20" s="64">
        <v>31.97</v>
      </c>
      <c r="H20" s="64">
        <v>13.26</v>
      </c>
      <c r="I20" s="64">
        <v>4.5199999999999996</v>
      </c>
      <c r="J20" s="64">
        <v>0.89</v>
      </c>
      <c r="K20" s="64">
        <v>172.07</v>
      </c>
      <c r="L20" s="64">
        <v>27.56</v>
      </c>
      <c r="M20" s="64">
        <v>58.97</v>
      </c>
      <c r="N20" s="64">
        <v>12.8</v>
      </c>
      <c r="O20" s="64">
        <v>0</v>
      </c>
      <c r="P20" s="64">
        <v>0.41</v>
      </c>
      <c r="Q20" s="64">
        <v>9.35</v>
      </c>
      <c r="R20" s="198"/>
      <c r="S20" s="198"/>
      <c r="T20" s="198"/>
      <c r="U20" s="198"/>
    </row>
    <row r="21" spans="1:21" s="12" customFormat="1" x14ac:dyDescent="0.25">
      <c r="A21" s="214" t="s">
        <v>548</v>
      </c>
      <c r="B21" s="64">
        <v>3.06</v>
      </c>
      <c r="C21" s="64">
        <v>3.25</v>
      </c>
      <c r="D21" s="64">
        <v>6.22</v>
      </c>
      <c r="E21" s="64">
        <v>1.02</v>
      </c>
      <c r="F21" s="64">
        <v>3.95</v>
      </c>
      <c r="G21" s="64">
        <v>31.97</v>
      </c>
      <c r="H21" s="64">
        <v>13.26</v>
      </c>
      <c r="I21" s="64">
        <v>4.4000000000000004</v>
      </c>
      <c r="J21" s="64">
        <v>0.35</v>
      </c>
      <c r="K21" s="64">
        <v>208.36</v>
      </c>
      <c r="L21" s="64">
        <v>27.44</v>
      </c>
      <c r="M21" s="64">
        <v>59.76</v>
      </c>
      <c r="N21" s="64">
        <v>13</v>
      </c>
      <c r="O21" s="64">
        <v>0</v>
      </c>
      <c r="P21" s="64">
        <v>0.4</v>
      </c>
      <c r="Q21" s="64">
        <v>9.35</v>
      </c>
      <c r="R21" s="198"/>
      <c r="S21" s="198"/>
      <c r="T21" s="198"/>
      <c r="U21" s="198"/>
    </row>
    <row r="22" spans="1:21" s="12" customFormat="1" x14ac:dyDescent="0.25">
      <c r="A22" s="214" t="s">
        <v>549</v>
      </c>
      <c r="B22" s="64">
        <v>3.07</v>
      </c>
      <c r="C22" s="64">
        <v>3.22</v>
      </c>
      <c r="D22" s="64">
        <v>6.2</v>
      </c>
      <c r="E22" s="64">
        <v>0.94</v>
      </c>
      <c r="F22" s="64">
        <v>3.85</v>
      </c>
      <c r="G22" s="64">
        <v>31.49</v>
      </c>
      <c r="H22" s="64">
        <v>12.91</v>
      </c>
      <c r="I22" s="64">
        <v>4.4000000000000004</v>
      </c>
      <c r="J22" s="64">
        <v>0.73</v>
      </c>
      <c r="K22" s="64">
        <v>167.81</v>
      </c>
      <c r="L22" s="64">
        <v>27.28</v>
      </c>
      <c r="M22" s="64">
        <v>60.77</v>
      </c>
      <c r="N22" s="64">
        <v>13</v>
      </c>
      <c r="O22" s="64">
        <v>0</v>
      </c>
      <c r="P22" s="64">
        <v>0.39</v>
      </c>
      <c r="Q22" s="64">
        <v>9.36</v>
      </c>
      <c r="R22" s="198"/>
      <c r="S22" s="198"/>
      <c r="T22" s="198"/>
      <c r="U22" s="198"/>
    </row>
    <row r="23" spans="1:21" s="12" customFormat="1" x14ac:dyDescent="0.25">
      <c r="A23" s="214" t="s">
        <v>550</v>
      </c>
      <c r="B23" s="64">
        <v>3.11</v>
      </c>
      <c r="C23" s="64">
        <v>3.28</v>
      </c>
      <c r="D23" s="64">
        <v>6.3</v>
      </c>
      <c r="E23" s="64">
        <v>0.94</v>
      </c>
      <c r="F23" s="64">
        <v>4.07</v>
      </c>
      <c r="G23" s="64">
        <v>31.04</v>
      </c>
      <c r="H23" s="64">
        <v>12.58</v>
      </c>
      <c r="I23" s="64">
        <v>4.45</v>
      </c>
      <c r="J23" s="64">
        <v>0.6</v>
      </c>
      <c r="K23" s="64">
        <v>214.34</v>
      </c>
      <c r="L23" s="64">
        <v>27.27</v>
      </c>
      <c r="M23" s="64">
        <v>60.16</v>
      </c>
      <c r="N23" s="64">
        <v>12.9</v>
      </c>
      <c r="O23" s="64">
        <v>0</v>
      </c>
      <c r="P23" s="64">
        <v>0.39</v>
      </c>
      <c r="Q23" s="64">
        <v>9.4</v>
      </c>
      <c r="R23" s="198"/>
      <c r="S23" s="198"/>
      <c r="T23" s="198"/>
      <c r="U23" s="198"/>
    </row>
    <row r="24" spans="1:21" s="12" customFormat="1" x14ac:dyDescent="0.25">
      <c r="A24" s="214" t="s">
        <v>551</v>
      </c>
      <c r="B24" s="64">
        <v>3.12</v>
      </c>
      <c r="C24" s="64">
        <v>3.2</v>
      </c>
      <c r="D24" s="64">
        <v>6.23</v>
      </c>
      <c r="E24" s="64">
        <v>1.55</v>
      </c>
      <c r="F24" s="64">
        <v>4.18</v>
      </c>
      <c r="G24" s="64">
        <v>31.04</v>
      </c>
      <c r="H24" s="64">
        <v>12.58</v>
      </c>
      <c r="I24" s="64">
        <v>4.5999999999999996</v>
      </c>
      <c r="J24" s="64">
        <v>0.4</v>
      </c>
      <c r="K24" s="64">
        <v>235.52</v>
      </c>
      <c r="L24" s="64">
        <v>27.14</v>
      </c>
      <c r="M24" s="64">
        <v>60.6</v>
      </c>
      <c r="N24" s="64">
        <v>13</v>
      </c>
      <c r="O24" s="64">
        <v>0</v>
      </c>
      <c r="P24" s="64">
        <v>0.38</v>
      </c>
      <c r="Q24" s="64">
        <v>9.41</v>
      </c>
      <c r="R24" s="198"/>
      <c r="S24" s="198"/>
      <c r="T24" s="198"/>
      <c r="U24" s="198"/>
    </row>
    <row r="25" spans="1:21" s="12" customFormat="1" x14ac:dyDescent="0.25">
      <c r="A25" s="214" t="s">
        <v>552</v>
      </c>
      <c r="B25" s="64">
        <v>3.13</v>
      </c>
      <c r="C25" s="64">
        <v>3.21</v>
      </c>
      <c r="D25" s="64">
        <v>6.25</v>
      </c>
      <c r="E25" s="64">
        <v>1.87</v>
      </c>
      <c r="F25" s="64">
        <v>4.0599999999999996</v>
      </c>
      <c r="G25" s="64">
        <v>31.04</v>
      </c>
      <c r="H25" s="64">
        <v>12.58</v>
      </c>
      <c r="I25" s="64">
        <v>4.93</v>
      </c>
      <c r="J25" s="64">
        <v>0.16</v>
      </c>
      <c r="K25" s="64">
        <v>263.29000000000002</v>
      </c>
      <c r="L25" s="64">
        <v>27.04</v>
      </c>
      <c r="M25" s="64">
        <v>61.53</v>
      </c>
      <c r="N25" s="64">
        <v>13.1</v>
      </c>
      <c r="O25" s="64">
        <v>0</v>
      </c>
      <c r="P25" s="64">
        <v>0.37</v>
      </c>
      <c r="Q25" s="64">
        <v>9.4</v>
      </c>
      <c r="R25" s="198"/>
      <c r="S25" s="198"/>
      <c r="T25" s="198"/>
      <c r="U25" s="198"/>
    </row>
    <row r="26" spans="1:21" s="12" customFormat="1" x14ac:dyDescent="0.25">
      <c r="A26" s="214" t="s">
        <v>553</v>
      </c>
      <c r="B26" s="64">
        <v>3.13</v>
      </c>
      <c r="C26" s="64">
        <v>3.21</v>
      </c>
      <c r="D26" s="64">
        <v>6.25</v>
      </c>
      <c r="E26" s="64">
        <v>1.42</v>
      </c>
      <c r="F26" s="64">
        <v>3.99</v>
      </c>
      <c r="G26" s="64">
        <v>26.07</v>
      </c>
      <c r="H26" s="64">
        <v>11.56</v>
      </c>
      <c r="I26" s="64">
        <v>5.0599999999999996</v>
      </c>
      <c r="J26" s="64">
        <v>0.46</v>
      </c>
      <c r="K26" s="64">
        <v>191.76</v>
      </c>
      <c r="L26" s="64">
        <v>26.83</v>
      </c>
      <c r="M26" s="64">
        <v>63.12</v>
      </c>
      <c r="N26" s="64">
        <v>13.2</v>
      </c>
      <c r="O26" s="64">
        <v>0</v>
      </c>
      <c r="P26" s="64">
        <v>0.38</v>
      </c>
      <c r="Q26" s="64">
        <v>9.4</v>
      </c>
      <c r="R26" s="198"/>
      <c r="S26" s="198"/>
      <c r="T26" s="198"/>
      <c r="U26" s="198"/>
    </row>
    <row r="27" spans="1:21" s="12" customFormat="1" x14ac:dyDescent="0.25">
      <c r="A27" s="214" t="s">
        <v>554</v>
      </c>
      <c r="B27" s="64">
        <v>3.2</v>
      </c>
      <c r="C27" s="64">
        <v>3.9</v>
      </c>
      <c r="D27" s="64">
        <v>7.01</v>
      </c>
      <c r="E27" s="64">
        <v>1.71</v>
      </c>
      <c r="F27" s="64">
        <v>4.7</v>
      </c>
      <c r="G27" s="64">
        <v>21.31</v>
      </c>
      <c r="H27" s="64">
        <v>10.59</v>
      </c>
      <c r="I27" s="64">
        <v>5.05</v>
      </c>
      <c r="J27" s="64">
        <v>0.19</v>
      </c>
      <c r="K27" s="64">
        <v>262.8</v>
      </c>
      <c r="L27" s="64">
        <v>26.82</v>
      </c>
      <c r="M27" s="64">
        <v>63.2</v>
      </c>
      <c r="N27" s="64">
        <v>13.2</v>
      </c>
      <c r="O27" s="64">
        <v>0</v>
      </c>
      <c r="P27" s="64">
        <v>0.37</v>
      </c>
      <c r="Q27" s="64">
        <v>9.39</v>
      </c>
      <c r="R27" s="198"/>
      <c r="S27" s="198"/>
      <c r="T27" s="198"/>
      <c r="U27" s="198"/>
    </row>
    <row r="28" spans="1:21" s="12" customFormat="1" x14ac:dyDescent="0.25">
      <c r="A28" s="214" t="s">
        <v>555</v>
      </c>
      <c r="B28" s="64">
        <v>3.28</v>
      </c>
      <c r="C28" s="64">
        <v>4.25</v>
      </c>
      <c r="D28" s="64">
        <v>7.44</v>
      </c>
      <c r="E28" s="64">
        <v>2.0099999999999998</v>
      </c>
      <c r="F28" s="64">
        <v>3.27</v>
      </c>
      <c r="G28" s="64">
        <v>21.31</v>
      </c>
      <c r="H28" s="64">
        <v>10.59</v>
      </c>
      <c r="I28" s="64">
        <v>5.1100000000000003</v>
      </c>
      <c r="J28" s="64">
        <v>0.33</v>
      </c>
      <c r="K28" s="64">
        <v>216.02</v>
      </c>
      <c r="L28" s="64">
        <v>26.81</v>
      </c>
      <c r="M28" s="64">
        <v>63.23</v>
      </c>
      <c r="N28" s="64">
        <v>13.2</v>
      </c>
      <c r="O28" s="64">
        <v>0</v>
      </c>
      <c r="P28" s="64">
        <v>0.37</v>
      </c>
      <c r="Q28" s="64">
        <v>9.33</v>
      </c>
      <c r="R28" s="198"/>
      <c r="S28" s="198"/>
      <c r="T28" s="198"/>
      <c r="U28" s="198"/>
    </row>
    <row r="29" spans="1:21" s="12" customFormat="1" x14ac:dyDescent="0.25">
      <c r="A29" s="214" t="s">
        <v>556</v>
      </c>
      <c r="B29" s="64">
        <v>3.25</v>
      </c>
      <c r="C29" s="64">
        <v>3.94</v>
      </c>
      <c r="D29" s="64">
        <v>7.1</v>
      </c>
      <c r="E29" s="64">
        <v>1.78</v>
      </c>
      <c r="F29" s="64">
        <v>4.32</v>
      </c>
      <c r="G29" s="64">
        <v>21.31</v>
      </c>
      <c r="H29" s="64">
        <v>10.59</v>
      </c>
      <c r="I29" s="64">
        <v>5.13</v>
      </c>
      <c r="J29" s="64">
        <v>0.36</v>
      </c>
      <c r="K29" s="64">
        <v>207.09</v>
      </c>
      <c r="L29" s="64">
        <v>26.84</v>
      </c>
      <c r="M29" s="64">
        <v>62.96</v>
      </c>
      <c r="N29" s="64">
        <v>14.7</v>
      </c>
      <c r="O29" s="64">
        <v>0</v>
      </c>
      <c r="P29" s="64">
        <v>0.36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4" t="s">
        <v>557</v>
      </c>
      <c r="B30" s="64">
        <v>3.23</v>
      </c>
      <c r="C30" s="64">
        <v>3.87</v>
      </c>
      <c r="D30" s="64">
        <v>7.01</v>
      </c>
      <c r="E30" s="64">
        <v>1.89</v>
      </c>
      <c r="F30" s="64">
        <v>4.8600000000000003</v>
      </c>
      <c r="G30" s="64">
        <v>21.18</v>
      </c>
      <c r="H30" s="64">
        <v>8.99</v>
      </c>
      <c r="I30" s="64">
        <v>5.21</v>
      </c>
      <c r="J30" s="64">
        <v>0.18</v>
      </c>
      <c r="K30" s="64">
        <v>301.52</v>
      </c>
      <c r="L30" s="64">
        <v>26.91</v>
      </c>
      <c r="M30" s="64">
        <v>63.08</v>
      </c>
      <c r="N30" s="64">
        <v>21.9</v>
      </c>
      <c r="O30" s="64">
        <v>0</v>
      </c>
      <c r="P30" s="64">
        <v>0.35</v>
      </c>
      <c r="Q30" s="64">
        <v>9.4</v>
      </c>
      <c r="R30" s="198"/>
      <c r="S30" s="198"/>
      <c r="T30" s="198"/>
      <c r="U30" s="198"/>
    </row>
    <row r="31" spans="1:21" s="12" customFormat="1" x14ac:dyDescent="0.25">
      <c r="A31" s="214" t="s">
        <v>558</v>
      </c>
      <c r="B31" s="64">
        <v>3.24</v>
      </c>
      <c r="C31" s="64">
        <v>4.4000000000000004</v>
      </c>
      <c r="D31" s="64">
        <v>7.55</v>
      </c>
      <c r="E31" s="64">
        <v>1.99</v>
      </c>
      <c r="F31" s="64">
        <v>4.32</v>
      </c>
      <c r="G31" s="64">
        <v>21.05</v>
      </c>
      <c r="H31" s="64">
        <v>7.46</v>
      </c>
      <c r="I31" s="64">
        <v>5.18</v>
      </c>
      <c r="J31" s="64">
        <v>0.15</v>
      </c>
      <c r="K31" s="64">
        <v>9.2799999999999994</v>
      </c>
      <c r="L31" s="64">
        <v>27.1</v>
      </c>
      <c r="M31" s="64">
        <v>62.47</v>
      </c>
      <c r="N31" s="64">
        <v>33.200000000000003</v>
      </c>
      <c r="O31" s="64">
        <v>0</v>
      </c>
      <c r="P31" s="64">
        <v>0.36</v>
      </c>
      <c r="Q31" s="64">
        <v>9.43</v>
      </c>
      <c r="R31" s="198"/>
      <c r="S31" s="198"/>
      <c r="T31" s="198"/>
      <c r="U31" s="198"/>
    </row>
    <row r="32" spans="1:21" s="12" customFormat="1" x14ac:dyDescent="0.25">
      <c r="A32" s="214" t="s">
        <v>559</v>
      </c>
      <c r="B32" s="64">
        <v>3.23</v>
      </c>
      <c r="C32" s="64">
        <v>4.45</v>
      </c>
      <c r="D32" s="64">
        <v>7.6</v>
      </c>
      <c r="E32" s="64">
        <v>1.7</v>
      </c>
      <c r="F32" s="64">
        <v>3.8</v>
      </c>
      <c r="G32" s="64">
        <v>21.05</v>
      </c>
      <c r="H32" s="64">
        <v>7.46</v>
      </c>
      <c r="I32" s="64">
        <v>4.8499999999999996</v>
      </c>
      <c r="J32" s="64">
        <v>0.3</v>
      </c>
      <c r="K32" s="64">
        <v>348.1</v>
      </c>
      <c r="L32" s="64">
        <v>27.34</v>
      </c>
      <c r="M32" s="64">
        <v>61.72</v>
      </c>
      <c r="N32" s="64">
        <v>44.4</v>
      </c>
      <c r="O32" s="64">
        <v>0</v>
      </c>
      <c r="P32" s="64">
        <v>0.35</v>
      </c>
      <c r="Q32" s="64">
        <v>9.3800000000000008</v>
      </c>
      <c r="R32" s="198"/>
      <c r="S32" s="198"/>
      <c r="T32" s="198"/>
      <c r="U32" s="198"/>
    </row>
    <row r="33" spans="1:21" s="12" customFormat="1" x14ac:dyDescent="0.25">
      <c r="A33" s="214" t="s">
        <v>560</v>
      </c>
      <c r="B33" s="64">
        <v>3.18</v>
      </c>
      <c r="C33" s="64">
        <v>4.07</v>
      </c>
      <c r="D33" s="64">
        <v>7.16</v>
      </c>
      <c r="E33" s="64">
        <v>1.58</v>
      </c>
      <c r="F33" s="64">
        <v>4.7699999999999996</v>
      </c>
      <c r="G33" s="64">
        <v>21.05</v>
      </c>
      <c r="H33" s="64">
        <v>7.46</v>
      </c>
      <c r="I33" s="64">
        <v>4.58</v>
      </c>
      <c r="J33" s="64">
        <v>0.42</v>
      </c>
      <c r="K33" s="64">
        <v>353.41</v>
      </c>
      <c r="L33" s="64">
        <v>27.52</v>
      </c>
      <c r="M33" s="64">
        <v>61.4</v>
      </c>
      <c r="N33" s="64">
        <v>62.3</v>
      </c>
      <c r="O33" s="64">
        <v>0</v>
      </c>
      <c r="P33" s="64">
        <v>0.34</v>
      </c>
      <c r="Q33" s="64">
        <v>9.3699999999999992</v>
      </c>
      <c r="R33" s="198"/>
      <c r="S33" s="198"/>
      <c r="T33" s="198"/>
      <c r="U33" s="198"/>
    </row>
    <row r="34" spans="1:21" s="12" customFormat="1" x14ac:dyDescent="0.25">
      <c r="A34" s="214" t="s">
        <v>561</v>
      </c>
      <c r="B34" s="64">
        <v>3.14</v>
      </c>
      <c r="C34" s="64">
        <v>4.12</v>
      </c>
      <c r="D34" s="64">
        <v>7.17</v>
      </c>
      <c r="E34" s="64">
        <v>1.73</v>
      </c>
      <c r="F34" s="64">
        <v>5.58</v>
      </c>
      <c r="G34" s="64">
        <v>23.65</v>
      </c>
      <c r="H34" s="64">
        <v>9.4600000000000009</v>
      </c>
      <c r="I34" s="64">
        <v>4.57</v>
      </c>
      <c r="J34" s="64">
        <v>0.48</v>
      </c>
      <c r="K34" s="64">
        <v>11.73</v>
      </c>
      <c r="L34" s="64">
        <v>27.69</v>
      </c>
      <c r="M34" s="64">
        <v>60.78</v>
      </c>
      <c r="N34" s="64">
        <v>78.5</v>
      </c>
      <c r="O34" s="64">
        <v>0</v>
      </c>
      <c r="P34" s="64">
        <v>0.34</v>
      </c>
      <c r="Q34" s="64">
        <v>9.35</v>
      </c>
      <c r="R34" s="198"/>
      <c r="S34" s="198"/>
      <c r="T34" s="198"/>
      <c r="U34" s="198"/>
    </row>
    <row r="35" spans="1:21" s="12" customFormat="1" x14ac:dyDescent="0.25">
      <c r="A35" s="214" t="s">
        <v>562</v>
      </c>
      <c r="B35" s="64">
        <v>3.15</v>
      </c>
      <c r="C35" s="64">
        <v>4.7</v>
      </c>
      <c r="D35" s="64">
        <v>7.75</v>
      </c>
      <c r="E35" s="64">
        <v>1.55</v>
      </c>
      <c r="F35" s="64">
        <v>5.23</v>
      </c>
      <c r="G35" s="64">
        <v>26.15</v>
      </c>
      <c r="H35" s="64">
        <v>11.37</v>
      </c>
      <c r="I35" s="64">
        <v>4.43</v>
      </c>
      <c r="J35" s="64">
        <v>0.49</v>
      </c>
      <c r="K35" s="64">
        <v>19.62</v>
      </c>
      <c r="L35" s="64">
        <v>27.98</v>
      </c>
      <c r="M35" s="64">
        <v>60.1</v>
      </c>
      <c r="N35" s="64">
        <v>121.6</v>
      </c>
      <c r="O35" s="64">
        <v>0</v>
      </c>
      <c r="P35" s="64">
        <v>0.35</v>
      </c>
      <c r="Q35" s="64">
        <v>9.41</v>
      </c>
      <c r="R35" s="198"/>
      <c r="S35" s="198"/>
      <c r="T35" s="198"/>
      <c r="U35" s="198"/>
    </row>
    <row r="36" spans="1:21" s="12" customFormat="1" x14ac:dyDescent="0.25">
      <c r="A36" s="214" t="s">
        <v>563</v>
      </c>
      <c r="B36" s="64">
        <v>3.11</v>
      </c>
      <c r="C36" s="64">
        <v>4.55</v>
      </c>
      <c r="D36" s="64">
        <v>7.56</v>
      </c>
      <c r="E36" s="64">
        <v>2.0499999999999998</v>
      </c>
      <c r="F36" s="64">
        <v>5.34</v>
      </c>
      <c r="G36" s="64">
        <v>26.15</v>
      </c>
      <c r="H36" s="64">
        <v>11.37</v>
      </c>
      <c r="I36" s="64">
        <v>3.97</v>
      </c>
      <c r="J36" s="64">
        <v>0.5</v>
      </c>
      <c r="K36" s="64">
        <v>18.79</v>
      </c>
      <c r="L36" s="64">
        <v>28.6</v>
      </c>
      <c r="M36" s="64">
        <v>58.12</v>
      </c>
      <c r="N36" s="64">
        <v>199.6</v>
      </c>
      <c r="O36" s="64">
        <v>0</v>
      </c>
      <c r="P36" s="64">
        <v>0.34</v>
      </c>
      <c r="Q36" s="64">
        <v>9.3699999999999992</v>
      </c>
      <c r="R36" s="198"/>
      <c r="S36" s="198"/>
      <c r="T36" s="198"/>
      <c r="U36" s="198"/>
    </row>
    <row r="37" spans="1:21" s="12" customFormat="1" x14ac:dyDescent="0.25">
      <c r="A37" s="214" t="s">
        <v>564</v>
      </c>
      <c r="B37" s="64">
        <v>3.07</v>
      </c>
      <c r="C37" s="64">
        <v>4.5199999999999996</v>
      </c>
      <c r="D37" s="64">
        <v>7.51</v>
      </c>
      <c r="E37" s="64">
        <v>1.57</v>
      </c>
      <c r="F37" s="64">
        <v>6.74</v>
      </c>
      <c r="G37" s="64">
        <v>26.15</v>
      </c>
      <c r="H37" s="64">
        <v>11.37</v>
      </c>
      <c r="I37" s="64">
        <v>3.74</v>
      </c>
      <c r="J37" s="64">
        <v>0.63</v>
      </c>
      <c r="K37" s="64">
        <v>18.86</v>
      </c>
      <c r="L37" s="64">
        <v>28.95</v>
      </c>
      <c r="M37" s="64">
        <v>57.16</v>
      </c>
      <c r="N37" s="64">
        <v>196.2</v>
      </c>
      <c r="O37" s="64">
        <v>0</v>
      </c>
      <c r="P37" s="64">
        <v>0.33</v>
      </c>
      <c r="Q37" s="64">
        <v>9.36</v>
      </c>
      <c r="R37" s="198"/>
      <c r="S37" s="198"/>
      <c r="T37" s="198"/>
      <c r="U37" s="198"/>
    </row>
    <row r="38" spans="1:21" s="12" customFormat="1" x14ac:dyDescent="0.25">
      <c r="A38" s="214" t="s">
        <v>565</v>
      </c>
      <c r="B38" s="64">
        <v>3.02</v>
      </c>
      <c r="C38" s="64">
        <v>4.49</v>
      </c>
      <c r="D38" s="64">
        <v>7.42</v>
      </c>
      <c r="E38" s="64">
        <v>1.74</v>
      </c>
      <c r="F38" s="64">
        <v>8.6</v>
      </c>
      <c r="G38" s="64">
        <v>25.88</v>
      </c>
      <c r="H38" s="64">
        <v>11.66</v>
      </c>
      <c r="I38" s="64">
        <v>3.55</v>
      </c>
      <c r="J38" s="64">
        <v>0.56000000000000005</v>
      </c>
      <c r="K38" s="64">
        <v>15.59</v>
      </c>
      <c r="L38" s="64">
        <v>28.92</v>
      </c>
      <c r="M38" s="64">
        <v>57.24</v>
      </c>
      <c r="N38" s="64">
        <v>209.5</v>
      </c>
      <c r="O38" s="64">
        <v>0</v>
      </c>
      <c r="P38" s="64">
        <v>0.32</v>
      </c>
      <c r="Q38" s="64">
        <v>9.33</v>
      </c>
      <c r="R38" s="198"/>
      <c r="S38" s="198"/>
      <c r="T38" s="198"/>
      <c r="U38" s="198"/>
    </row>
    <row r="39" spans="1:21" s="12" customFormat="1" x14ac:dyDescent="0.25">
      <c r="A39" s="214" t="s">
        <v>566</v>
      </c>
      <c r="B39" s="64">
        <v>2.94</v>
      </c>
      <c r="C39" s="64">
        <v>4.01</v>
      </c>
      <c r="D39" s="64">
        <v>6.86</v>
      </c>
      <c r="E39" s="64">
        <v>1.3</v>
      </c>
      <c r="F39" s="64">
        <v>8.7799999999999994</v>
      </c>
      <c r="G39" s="64">
        <v>25.63</v>
      </c>
      <c r="H39" s="64">
        <v>11.94</v>
      </c>
      <c r="I39" s="64">
        <v>3.07</v>
      </c>
      <c r="J39" s="64">
        <v>0.53</v>
      </c>
      <c r="K39" s="64">
        <v>355.6</v>
      </c>
      <c r="L39" s="64">
        <v>29.39</v>
      </c>
      <c r="M39" s="64">
        <v>56.1</v>
      </c>
      <c r="N39" s="64">
        <v>205.7</v>
      </c>
      <c r="O39" s="64">
        <v>0</v>
      </c>
      <c r="P39" s="64">
        <v>0.32</v>
      </c>
      <c r="Q39" s="64">
        <v>9.33</v>
      </c>
      <c r="R39" s="198"/>
      <c r="S39" s="198"/>
      <c r="T39" s="198"/>
      <c r="U39" s="198"/>
    </row>
    <row r="40" spans="1:21" s="12" customFormat="1" x14ac:dyDescent="0.25">
      <c r="A40" s="214" t="s">
        <v>567</v>
      </c>
      <c r="B40" s="64">
        <v>2.92</v>
      </c>
      <c r="C40" s="64">
        <v>3.75</v>
      </c>
      <c r="D40" s="64">
        <v>6.57</v>
      </c>
      <c r="E40" s="64">
        <v>0.82</v>
      </c>
      <c r="F40" s="64">
        <v>8.44</v>
      </c>
      <c r="G40" s="64">
        <v>25.63</v>
      </c>
      <c r="H40" s="64">
        <v>11.94</v>
      </c>
      <c r="I40" s="64">
        <v>2.82</v>
      </c>
      <c r="J40" s="64">
        <v>0.63</v>
      </c>
      <c r="K40" s="64">
        <v>349.32</v>
      </c>
      <c r="L40" s="64">
        <v>29.46</v>
      </c>
      <c r="M40" s="64">
        <v>55.92</v>
      </c>
      <c r="N40" s="64">
        <v>312.2</v>
      </c>
      <c r="O40" s="64">
        <v>0</v>
      </c>
      <c r="P40" s="64">
        <v>0.32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14" t="s">
        <v>568</v>
      </c>
      <c r="B41" s="64">
        <v>2.91</v>
      </c>
      <c r="C41" s="64">
        <v>3.64</v>
      </c>
      <c r="D41" s="64">
        <v>6.46</v>
      </c>
      <c r="E41" s="64">
        <v>0.72</v>
      </c>
      <c r="F41" s="64">
        <v>7.92</v>
      </c>
      <c r="G41" s="64">
        <v>25.63</v>
      </c>
      <c r="H41" s="64">
        <v>11.94</v>
      </c>
      <c r="I41" s="64">
        <v>2.72</v>
      </c>
      <c r="J41" s="64">
        <v>0.47</v>
      </c>
      <c r="K41" s="64">
        <v>9.43</v>
      </c>
      <c r="L41" s="64">
        <v>31.23</v>
      </c>
      <c r="M41" s="64">
        <v>50.95</v>
      </c>
      <c r="N41" s="64">
        <v>468.2</v>
      </c>
      <c r="O41" s="64">
        <v>0</v>
      </c>
      <c r="P41" s="64">
        <v>0.33</v>
      </c>
      <c r="Q41" s="64">
        <v>9.32</v>
      </c>
      <c r="R41" s="198"/>
      <c r="S41" s="198"/>
      <c r="T41" s="198"/>
      <c r="U41" s="198"/>
    </row>
    <row r="42" spans="1:21" s="12" customFormat="1" x14ac:dyDescent="0.25">
      <c r="A42" s="214" t="s">
        <v>569</v>
      </c>
      <c r="B42" s="64">
        <v>2.91</v>
      </c>
      <c r="C42" s="64">
        <v>3.71</v>
      </c>
      <c r="D42" s="64">
        <v>6.53</v>
      </c>
      <c r="E42" s="64">
        <v>1.1299999999999999</v>
      </c>
      <c r="F42" s="64">
        <v>7.72</v>
      </c>
      <c r="G42" s="64">
        <v>26.15</v>
      </c>
      <c r="H42" s="64">
        <v>11.14</v>
      </c>
      <c r="I42" s="64">
        <v>2.61</v>
      </c>
      <c r="J42" s="64">
        <v>0.6</v>
      </c>
      <c r="K42" s="64">
        <v>7.66</v>
      </c>
      <c r="L42" s="64">
        <v>31.55</v>
      </c>
      <c r="M42" s="64">
        <v>49.66</v>
      </c>
      <c r="N42" s="64">
        <v>518.4</v>
      </c>
      <c r="O42" s="64">
        <v>0</v>
      </c>
      <c r="P42" s="64">
        <v>0.36</v>
      </c>
      <c r="Q42" s="64">
        <v>9.35</v>
      </c>
      <c r="R42" s="198"/>
      <c r="S42" s="198"/>
      <c r="T42" s="198"/>
      <c r="U42" s="198"/>
    </row>
    <row r="43" spans="1:21" s="12" customFormat="1" x14ac:dyDescent="0.25">
      <c r="A43" s="214" t="s">
        <v>570</v>
      </c>
      <c r="B43" s="64">
        <v>2.9</v>
      </c>
      <c r="C43" s="64">
        <v>3.66</v>
      </c>
      <c r="D43" s="64">
        <v>6.47</v>
      </c>
      <c r="E43" s="64">
        <v>1.08</v>
      </c>
      <c r="F43" s="64">
        <v>7.73</v>
      </c>
      <c r="G43" s="64">
        <v>26.65</v>
      </c>
      <c r="H43" s="64">
        <v>10.41</v>
      </c>
      <c r="I43" s="64">
        <v>2.7</v>
      </c>
      <c r="J43" s="64">
        <v>0.56999999999999995</v>
      </c>
      <c r="K43" s="64">
        <v>17.34</v>
      </c>
      <c r="L43" s="64">
        <v>31.37</v>
      </c>
      <c r="M43" s="64">
        <v>49.32</v>
      </c>
      <c r="N43" s="64">
        <v>548</v>
      </c>
      <c r="O43" s="64">
        <v>0</v>
      </c>
      <c r="P43" s="64">
        <v>0.38</v>
      </c>
      <c r="Q43" s="64">
        <v>9.3699999999999992</v>
      </c>
      <c r="R43" s="198"/>
      <c r="S43" s="198"/>
      <c r="T43" s="198"/>
      <c r="U43" s="198"/>
    </row>
    <row r="44" spans="1:21" s="12" customFormat="1" x14ac:dyDescent="0.25">
      <c r="A44" s="214" t="s">
        <v>571</v>
      </c>
      <c r="B44" s="64">
        <v>2.91</v>
      </c>
      <c r="C44" s="64">
        <v>3.73</v>
      </c>
      <c r="D44" s="64">
        <v>6.55</v>
      </c>
      <c r="E44" s="64">
        <v>0.95</v>
      </c>
      <c r="F44" s="64">
        <v>7.6</v>
      </c>
      <c r="G44" s="64">
        <v>26.65</v>
      </c>
      <c r="H44" s="64">
        <v>10.41</v>
      </c>
      <c r="I44" s="64">
        <v>2.96</v>
      </c>
      <c r="J44" s="64">
        <v>0.69</v>
      </c>
      <c r="K44" s="64">
        <v>343.3</v>
      </c>
      <c r="L44" s="64">
        <v>33.5</v>
      </c>
      <c r="M44" s="64">
        <v>43.24</v>
      </c>
      <c r="N44" s="64">
        <v>589.4</v>
      </c>
      <c r="O44" s="64">
        <v>0</v>
      </c>
      <c r="P44" s="64">
        <v>0.4</v>
      </c>
      <c r="Q44" s="64">
        <v>9.3800000000000008</v>
      </c>
      <c r="R44" s="198"/>
      <c r="S44" s="198"/>
      <c r="T44" s="198"/>
      <c r="U44" s="198"/>
    </row>
    <row r="45" spans="1:21" s="12" customFormat="1" x14ac:dyDescent="0.25">
      <c r="A45" s="214" t="s">
        <v>572</v>
      </c>
      <c r="B45" s="64">
        <v>2.94</v>
      </c>
      <c r="C45" s="64">
        <v>4.05</v>
      </c>
      <c r="D45" s="64">
        <v>6.89</v>
      </c>
      <c r="E45" s="64">
        <v>0.93</v>
      </c>
      <c r="F45" s="64">
        <v>7.39</v>
      </c>
      <c r="G45" s="64">
        <v>26.65</v>
      </c>
      <c r="H45" s="64">
        <v>10.41</v>
      </c>
      <c r="I45" s="64">
        <v>3.12</v>
      </c>
      <c r="J45" s="64">
        <v>0.73</v>
      </c>
      <c r="K45" s="64">
        <v>331.83</v>
      </c>
      <c r="L45" s="64">
        <v>35.21</v>
      </c>
      <c r="M45" s="64">
        <v>39.49</v>
      </c>
      <c r="N45" s="64">
        <v>625.9</v>
      </c>
      <c r="O45" s="64">
        <v>0</v>
      </c>
      <c r="P45" s="64">
        <v>0.45</v>
      </c>
      <c r="Q45" s="64">
        <v>9.39</v>
      </c>
      <c r="R45" s="198"/>
      <c r="S45" s="198"/>
      <c r="T45" s="198"/>
      <c r="U45" s="198"/>
    </row>
    <row r="46" spans="1:21" s="12" customFormat="1" x14ac:dyDescent="0.25">
      <c r="A46" s="214" t="s">
        <v>573</v>
      </c>
      <c r="B46" s="64">
        <v>2.97</v>
      </c>
      <c r="C46" s="64">
        <v>4.6900000000000004</v>
      </c>
      <c r="D46" s="64">
        <v>7.57</v>
      </c>
      <c r="E46" s="64">
        <v>1.19</v>
      </c>
      <c r="F46" s="64">
        <v>5.79</v>
      </c>
      <c r="G46" s="64">
        <v>28.74</v>
      </c>
      <c r="H46" s="64">
        <v>12.51</v>
      </c>
      <c r="I46" s="64">
        <v>3.23</v>
      </c>
      <c r="J46" s="64">
        <v>0.59</v>
      </c>
      <c r="K46" s="64">
        <v>11.86</v>
      </c>
      <c r="L46" s="64">
        <v>34.94</v>
      </c>
      <c r="M46" s="64">
        <v>39.07</v>
      </c>
      <c r="N46" s="64">
        <v>661.1</v>
      </c>
      <c r="O46" s="64">
        <v>0</v>
      </c>
      <c r="P46" s="64">
        <v>0.5</v>
      </c>
      <c r="Q46" s="64">
        <v>9.36</v>
      </c>
      <c r="R46" s="198"/>
      <c r="S46" s="198"/>
      <c r="T46" s="198"/>
      <c r="U46" s="198"/>
    </row>
    <row r="47" spans="1:21" s="12" customFormat="1" x14ac:dyDescent="0.25">
      <c r="A47" s="214" t="s">
        <v>574</v>
      </c>
      <c r="B47" s="64">
        <v>2.96</v>
      </c>
      <c r="C47" s="64">
        <v>4.5199999999999996</v>
      </c>
      <c r="D47" s="64">
        <v>7.39</v>
      </c>
      <c r="E47" s="64">
        <v>0.95</v>
      </c>
      <c r="F47" s="64">
        <v>6.69</v>
      </c>
      <c r="G47" s="64">
        <v>30.74</v>
      </c>
      <c r="H47" s="64">
        <v>14.42</v>
      </c>
      <c r="I47" s="64">
        <v>3.46</v>
      </c>
      <c r="J47" s="64">
        <v>0.85</v>
      </c>
      <c r="K47" s="64">
        <v>326.57</v>
      </c>
      <c r="L47" s="64">
        <v>36.54</v>
      </c>
      <c r="M47" s="64">
        <v>34.76</v>
      </c>
      <c r="N47" s="64">
        <v>699</v>
      </c>
      <c r="O47" s="64">
        <v>0</v>
      </c>
      <c r="P47" s="64">
        <v>0.53</v>
      </c>
      <c r="Q47" s="64">
        <v>9.34</v>
      </c>
      <c r="R47" s="198"/>
      <c r="S47" s="198"/>
      <c r="T47" s="198"/>
      <c r="U47" s="198"/>
    </row>
    <row r="48" spans="1:21" s="12" customFormat="1" x14ac:dyDescent="0.25">
      <c r="A48" s="214" t="s">
        <v>575</v>
      </c>
      <c r="B48" s="64">
        <v>2.94</v>
      </c>
      <c r="C48" s="64">
        <v>4.41</v>
      </c>
      <c r="D48" s="64">
        <v>7.26</v>
      </c>
      <c r="E48" s="64">
        <v>0.94</v>
      </c>
      <c r="F48" s="64">
        <v>7.26</v>
      </c>
      <c r="G48" s="64">
        <v>30.74</v>
      </c>
      <c r="H48" s="64">
        <v>14.42</v>
      </c>
      <c r="I48" s="64">
        <v>3.73</v>
      </c>
      <c r="J48" s="64">
        <v>1.26</v>
      </c>
      <c r="K48" s="64">
        <v>315.17</v>
      </c>
      <c r="L48" s="64">
        <v>36.479999999999997</v>
      </c>
      <c r="M48" s="64">
        <v>35.130000000000003</v>
      </c>
      <c r="N48" s="64">
        <v>730</v>
      </c>
      <c r="O48" s="64">
        <v>0</v>
      </c>
      <c r="P48" s="64">
        <v>0.52</v>
      </c>
      <c r="Q48" s="64">
        <v>9.3699999999999992</v>
      </c>
      <c r="R48" s="198"/>
      <c r="S48" s="198"/>
      <c r="T48" s="198"/>
      <c r="U48" s="198"/>
    </row>
    <row r="49" spans="1:21" s="12" customFormat="1" x14ac:dyDescent="0.25">
      <c r="A49" s="214" t="s">
        <v>576</v>
      </c>
      <c r="B49" s="64">
        <v>2.88</v>
      </c>
      <c r="C49" s="64">
        <v>3.97</v>
      </c>
      <c r="D49" s="64">
        <v>6.76</v>
      </c>
      <c r="E49" s="64">
        <v>1.0900000000000001</v>
      </c>
      <c r="F49" s="64">
        <v>7.34</v>
      </c>
      <c r="G49" s="64">
        <v>30.74</v>
      </c>
      <c r="H49" s="64">
        <v>14.42</v>
      </c>
      <c r="I49" s="64">
        <v>3.78</v>
      </c>
      <c r="J49" s="64">
        <v>0.9</v>
      </c>
      <c r="K49" s="64">
        <v>331.27</v>
      </c>
      <c r="L49" s="64">
        <v>38.03</v>
      </c>
      <c r="M49" s="64">
        <v>32.31</v>
      </c>
      <c r="N49" s="64">
        <v>745</v>
      </c>
      <c r="O49" s="64">
        <v>0</v>
      </c>
      <c r="P49" s="64">
        <v>0.52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4" t="s">
        <v>577</v>
      </c>
      <c r="B50" s="64">
        <v>2.91</v>
      </c>
      <c r="C50" s="64">
        <v>4.13</v>
      </c>
      <c r="D50" s="64">
        <v>6.95</v>
      </c>
      <c r="E50" s="64">
        <v>1.08</v>
      </c>
      <c r="F50" s="64">
        <v>6.86</v>
      </c>
      <c r="G50" s="64">
        <v>33.29</v>
      </c>
      <c r="H50" s="64">
        <v>15.81</v>
      </c>
      <c r="I50" s="64">
        <v>3.68</v>
      </c>
      <c r="J50" s="64">
        <v>1.1100000000000001</v>
      </c>
      <c r="K50" s="64">
        <v>323.89999999999998</v>
      </c>
      <c r="L50" s="64">
        <v>38.6</v>
      </c>
      <c r="M50" s="64">
        <v>30.61</v>
      </c>
      <c r="N50" s="64">
        <v>773.7</v>
      </c>
      <c r="O50" s="64">
        <v>0</v>
      </c>
      <c r="P50" s="64">
        <v>0.53</v>
      </c>
      <c r="Q50" s="64">
        <v>9.3800000000000008</v>
      </c>
      <c r="R50" s="198"/>
      <c r="S50" s="198"/>
      <c r="T50" s="198"/>
      <c r="U50" s="198"/>
    </row>
    <row r="51" spans="1:21" s="12" customFormat="1" x14ac:dyDescent="0.25">
      <c r="A51" s="214" t="s">
        <v>578</v>
      </c>
      <c r="B51" s="64">
        <v>2.9</v>
      </c>
      <c r="C51" s="64">
        <v>4.07</v>
      </c>
      <c r="D51" s="64">
        <v>6.88</v>
      </c>
      <c r="E51" s="64">
        <v>0.62</v>
      </c>
      <c r="F51" s="64">
        <v>6.76</v>
      </c>
      <c r="G51" s="64">
        <v>35.729999999999997</v>
      </c>
      <c r="H51" s="64">
        <v>17.14</v>
      </c>
      <c r="I51" s="64">
        <v>3.6</v>
      </c>
      <c r="J51" s="64">
        <v>1.57</v>
      </c>
      <c r="K51" s="64">
        <v>320.94</v>
      </c>
      <c r="L51" s="64">
        <v>39.24</v>
      </c>
      <c r="M51" s="64">
        <v>28.25</v>
      </c>
      <c r="N51" s="64">
        <v>800.1</v>
      </c>
      <c r="O51" s="64">
        <v>0</v>
      </c>
      <c r="P51" s="64">
        <v>0.53</v>
      </c>
      <c r="Q51" s="64">
        <v>9.4</v>
      </c>
      <c r="R51" s="198"/>
      <c r="S51" s="198"/>
      <c r="T51" s="198"/>
      <c r="U51" s="198"/>
    </row>
    <row r="52" spans="1:21" s="12" customFormat="1" x14ac:dyDescent="0.25">
      <c r="A52" s="214" t="s">
        <v>579</v>
      </c>
      <c r="B52" s="64">
        <v>2.91</v>
      </c>
      <c r="C52" s="64">
        <v>3.99</v>
      </c>
      <c r="D52" s="64">
        <v>6.81</v>
      </c>
      <c r="E52" s="64">
        <v>0.8</v>
      </c>
      <c r="F52" s="64">
        <v>6.83</v>
      </c>
      <c r="G52" s="64">
        <v>35.729999999999997</v>
      </c>
      <c r="H52" s="64">
        <v>17.14</v>
      </c>
      <c r="I52" s="64">
        <v>3.38</v>
      </c>
      <c r="J52" s="64">
        <v>1.22</v>
      </c>
      <c r="K52" s="64">
        <v>320.70999999999998</v>
      </c>
      <c r="L52" s="64">
        <v>39.96</v>
      </c>
      <c r="M52" s="64">
        <v>26.58</v>
      </c>
      <c r="N52" s="64">
        <v>816.4</v>
      </c>
      <c r="O52" s="64">
        <v>0</v>
      </c>
      <c r="P52" s="64">
        <v>0.53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4" t="s">
        <v>580</v>
      </c>
      <c r="B53" s="64">
        <v>2.87</v>
      </c>
      <c r="C53" s="64">
        <v>3.72</v>
      </c>
      <c r="D53" s="64">
        <v>6.5</v>
      </c>
      <c r="E53" s="64">
        <v>0.86</v>
      </c>
      <c r="F53" s="64">
        <v>7.09</v>
      </c>
      <c r="G53" s="64">
        <v>35.729999999999997</v>
      </c>
      <c r="H53" s="64">
        <v>17.14</v>
      </c>
      <c r="I53" s="64">
        <v>3.17</v>
      </c>
      <c r="J53" s="64">
        <v>2.0099999999999998</v>
      </c>
      <c r="K53" s="64">
        <v>333.43</v>
      </c>
      <c r="L53" s="64">
        <v>39.78</v>
      </c>
      <c r="M53" s="64">
        <v>26.88</v>
      </c>
      <c r="N53" s="64">
        <v>832.4</v>
      </c>
      <c r="O53" s="64">
        <v>0</v>
      </c>
      <c r="P53" s="64">
        <v>0.51</v>
      </c>
      <c r="Q53" s="64">
        <v>9.39</v>
      </c>
      <c r="R53" s="198"/>
      <c r="S53" s="198"/>
      <c r="T53" s="198"/>
      <c r="U53" s="198"/>
    </row>
    <row r="54" spans="1:21" s="12" customFormat="1" x14ac:dyDescent="0.25">
      <c r="A54" s="214" t="s">
        <v>581</v>
      </c>
      <c r="B54" s="64">
        <v>2.84</v>
      </c>
      <c r="C54" s="64">
        <v>3.56</v>
      </c>
      <c r="D54" s="64">
        <v>6.31</v>
      </c>
      <c r="E54" s="64">
        <v>0.71</v>
      </c>
      <c r="F54" s="64">
        <v>7.09</v>
      </c>
      <c r="G54" s="64">
        <v>35.64</v>
      </c>
      <c r="H54" s="64">
        <v>16.87</v>
      </c>
      <c r="I54" s="64">
        <v>3.05</v>
      </c>
      <c r="J54" s="64">
        <v>1.72</v>
      </c>
      <c r="K54" s="64">
        <v>333.74</v>
      </c>
      <c r="L54" s="64">
        <v>40.229999999999997</v>
      </c>
      <c r="M54" s="64">
        <v>26.57</v>
      </c>
      <c r="N54" s="64">
        <v>793.8</v>
      </c>
      <c r="O54" s="64">
        <v>0</v>
      </c>
      <c r="P54" s="64">
        <v>0.5</v>
      </c>
      <c r="Q54" s="64">
        <v>9.3800000000000008</v>
      </c>
      <c r="R54" s="198"/>
      <c r="S54" s="198"/>
      <c r="T54" s="198"/>
      <c r="U54" s="198"/>
    </row>
    <row r="55" spans="1:21" s="12" customFormat="1" x14ac:dyDescent="0.25">
      <c r="A55" s="214" t="s">
        <v>582</v>
      </c>
      <c r="B55" s="64">
        <v>2.74</v>
      </c>
      <c r="C55" s="64">
        <v>2.71</v>
      </c>
      <c r="D55" s="64">
        <v>5.36</v>
      </c>
      <c r="E55" s="64">
        <v>0.71</v>
      </c>
      <c r="F55" s="64">
        <v>7.29</v>
      </c>
      <c r="G55" s="64">
        <v>35.56</v>
      </c>
      <c r="H55" s="64">
        <v>16.61</v>
      </c>
      <c r="I55" s="64">
        <v>2.91</v>
      </c>
      <c r="J55" s="64">
        <v>2.2400000000000002</v>
      </c>
      <c r="K55" s="64">
        <v>333.72</v>
      </c>
      <c r="L55" s="64">
        <v>40.03</v>
      </c>
      <c r="M55" s="64">
        <v>26.16</v>
      </c>
      <c r="N55" s="64">
        <v>841.7</v>
      </c>
      <c r="O55" s="64">
        <v>0</v>
      </c>
      <c r="P55" s="64">
        <v>0.5</v>
      </c>
      <c r="Q55" s="64">
        <v>9.36</v>
      </c>
      <c r="R55" s="198"/>
      <c r="S55" s="198"/>
      <c r="T55" s="198"/>
      <c r="U55" s="198"/>
    </row>
    <row r="56" spans="1:21" s="12" customFormat="1" x14ac:dyDescent="0.25">
      <c r="A56" s="214" t="s">
        <v>583</v>
      </c>
      <c r="B56" s="64">
        <v>2.76</v>
      </c>
      <c r="C56" s="64">
        <v>2.94</v>
      </c>
      <c r="D56" s="64">
        <v>5.61</v>
      </c>
      <c r="E56" s="64">
        <v>2.5499999999999998</v>
      </c>
      <c r="F56" s="64">
        <v>6.58</v>
      </c>
      <c r="G56" s="64">
        <v>35.56</v>
      </c>
      <c r="H56" s="64">
        <v>16.61</v>
      </c>
      <c r="I56" s="64">
        <v>2.86</v>
      </c>
      <c r="J56" s="64">
        <v>1.7</v>
      </c>
      <c r="K56" s="64">
        <v>327.71</v>
      </c>
      <c r="L56" s="64">
        <v>39.729999999999997</v>
      </c>
      <c r="M56" s="64">
        <v>26.45</v>
      </c>
      <c r="N56" s="64">
        <v>688.7</v>
      </c>
      <c r="O56" s="64">
        <v>0</v>
      </c>
      <c r="P56" s="64">
        <v>0.49</v>
      </c>
      <c r="Q56" s="64">
        <v>9.31</v>
      </c>
      <c r="R56" s="198"/>
      <c r="S56" s="198"/>
      <c r="T56" s="198"/>
      <c r="U56" s="198"/>
    </row>
    <row r="57" spans="1:21" s="12" customFormat="1" x14ac:dyDescent="0.25">
      <c r="A57" s="214" t="s">
        <v>584</v>
      </c>
      <c r="B57" s="64">
        <v>2.67</v>
      </c>
      <c r="C57" s="64">
        <v>1.99</v>
      </c>
      <c r="D57" s="64">
        <v>4.5599999999999996</v>
      </c>
      <c r="E57" s="64">
        <v>1.77</v>
      </c>
      <c r="F57" s="64">
        <v>6.56</v>
      </c>
      <c r="G57" s="64">
        <v>35.56</v>
      </c>
      <c r="H57" s="64">
        <v>16.61</v>
      </c>
      <c r="I57" s="64">
        <v>2.81</v>
      </c>
      <c r="J57" s="64">
        <v>1.52</v>
      </c>
      <c r="K57" s="64">
        <v>325.77</v>
      </c>
      <c r="L57" s="64">
        <v>40.119999999999997</v>
      </c>
      <c r="M57" s="64">
        <v>25.55</v>
      </c>
      <c r="N57" s="64">
        <v>843.1</v>
      </c>
      <c r="O57" s="64">
        <v>0</v>
      </c>
      <c r="P57" s="64">
        <v>0.48</v>
      </c>
      <c r="Q57" s="64">
        <v>9.2799999999999994</v>
      </c>
      <c r="R57" s="198"/>
      <c r="S57" s="198"/>
      <c r="T57" s="198"/>
      <c r="U57" s="198"/>
    </row>
    <row r="58" spans="1:21" s="12" customFormat="1" x14ac:dyDescent="0.25">
      <c r="A58" s="214" t="s">
        <v>585</v>
      </c>
      <c r="B58" s="64">
        <v>2.5299999999999998</v>
      </c>
      <c r="C58" s="64">
        <v>1.18</v>
      </c>
      <c r="D58" s="64">
        <v>3.62</v>
      </c>
      <c r="E58" s="64">
        <v>1.54</v>
      </c>
      <c r="F58" s="64">
        <v>6.1</v>
      </c>
      <c r="G58" s="64">
        <v>35.340000000000003</v>
      </c>
      <c r="H58" s="64">
        <v>16.05</v>
      </c>
      <c r="I58" s="64">
        <v>2.75</v>
      </c>
      <c r="J58" s="64">
        <v>0.9</v>
      </c>
      <c r="K58" s="64">
        <v>339.94</v>
      </c>
      <c r="L58" s="64">
        <v>40.15</v>
      </c>
      <c r="M58" s="64">
        <v>25.56</v>
      </c>
      <c r="N58" s="64">
        <v>841.7</v>
      </c>
      <c r="O58" s="64">
        <v>0</v>
      </c>
      <c r="P58" s="64">
        <v>0.48</v>
      </c>
      <c r="Q58" s="64">
        <v>9.3000000000000007</v>
      </c>
      <c r="R58" s="198"/>
      <c r="S58" s="198"/>
      <c r="T58" s="198"/>
      <c r="U58" s="198"/>
    </row>
    <row r="59" spans="1:21" s="12" customFormat="1" x14ac:dyDescent="0.25">
      <c r="A59" s="214" t="s">
        <v>586</v>
      </c>
      <c r="B59" s="64">
        <v>2.66</v>
      </c>
      <c r="C59" s="64">
        <v>1.72</v>
      </c>
      <c r="D59" s="64">
        <v>4.28</v>
      </c>
      <c r="E59" s="64">
        <v>1.78</v>
      </c>
      <c r="F59" s="64">
        <v>5.78</v>
      </c>
      <c r="G59" s="64">
        <v>35.130000000000003</v>
      </c>
      <c r="H59" s="64">
        <v>15.51</v>
      </c>
      <c r="I59" s="64">
        <v>2.81</v>
      </c>
      <c r="J59" s="64">
        <v>0.46</v>
      </c>
      <c r="K59" s="64">
        <v>354.56</v>
      </c>
      <c r="L59" s="64">
        <v>40.15</v>
      </c>
      <c r="M59" s="64">
        <v>25.18</v>
      </c>
      <c r="N59" s="64">
        <v>848.8</v>
      </c>
      <c r="O59" s="64">
        <v>0</v>
      </c>
      <c r="P59" s="64">
        <v>0.47</v>
      </c>
      <c r="Q59" s="64">
        <v>9.32</v>
      </c>
      <c r="R59" s="198"/>
      <c r="S59" s="198"/>
      <c r="T59" s="198"/>
      <c r="U59" s="198"/>
    </row>
    <row r="60" spans="1:21" s="12" customFormat="1" x14ac:dyDescent="0.25">
      <c r="A60" s="214" t="s">
        <v>587</v>
      </c>
      <c r="B60" s="64">
        <v>2.5499999999999998</v>
      </c>
      <c r="C60" s="64">
        <v>1.1499999999999999</v>
      </c>
      <c r="D60" s="64">
        <v>3.61</v>
      </c>
      <c r="E60" s="64">
        <v>1.79</v>
      </c>
      <c r="F60" s="64">
        <v>6.13</v>
      </c>
      <c r="G60" s="64">
        <v>35.130000000000003</v>
      </c>
      <c r="H60" s="64">
        <v>15.51</v>
      </c>
      <c r="I60" s="64">
        <v>3.04</v>
      </c>
      <c r="J60" s="64">
        <v>1.19</v>
      </c>
      <c r="K60" s="64">
        <v>339.54</v>
      </c>
      <c r="L60" s="64">
        <v>40.28</v>
      </c>
      <c r="M60" s="64">
        <v>24.36</v>
      </c>
      <c r="N60" s="64">
        <v>660.2</v>
      </c>
      <c r="O60" s="64">
        <v>0</v>
      </c>
      <c r="P60" s="64">
        <v>0.47</v>
      </c>
      <c r="Q60" s="64">
        <v>9.31</v>
      </c>
      <c r="R60" s="198"/>
      <c r="S60" s="198"/>
      <c r="T60" s="198"/>
      <c r="U60" s="198"/>
    </row>
    <row r="61" spans="1:21" s="12" customFormat="1" x14ac:dyDescent="0.25">
      <c r="A61" s="214" t="s">
        <v>588</v>
      </c>
      <c r="B61" s="64">
        <v>2.8</v>
      </c>
      <c r="C61" s="64">
        <v>2.2999999999999998</v>
      </c>
      <c r="D61" s="64">
        <v>5.01</v>
      </c>
      <c r="E61" s="64">
        <v>2.2999999999999998</v>
      </c>
      <c r="F61" s="64">
        <v>6.41</v>
      </c>
      <c r="G61" s="64">
        <v>35.130000000000003</v>
      </c>
      <c r="H61" s="64">
        <v>15.51</v>
      </c>
      <c r="I61" s="64">
        <v>3.36</v>
      </c>
      <c r="J61" s="64">
        <v>0.52</v>
      </c>
      <c r="K61" s="64">
        <v>328.18</v>
      </c>
      <c r="L61" s="64">
        <v>39.130000000000003</v>
      </c>
      <c r="M61" s="64">
        <v>26.29</v>
      </c>
      <c r="N61" s="64">
        <v>677.1</v>
      </c>
      <c r="O61" s="64">
        <v>0</v>
      </c>
      <c r="P61" s="64">
        <v>0.45</v>
      </c>
      <c r="Q61" s="64">
        <v>9.31</v>
      </c>
      <c r="R61" s="198"/>
      <c r="S61" s="198"/>
      <c r="T61" s="198"/>
      <c r="U61" s="198"/>
    </row>
    <row r="62" spans="1:21" s="12" customFormat="1" x14ac:dyDescent="0.25">
      <c r="A62" s="214" t="s">
        <v>589</v>
      </c>
      <c r="B62" s="64">
        <v>2.71</v>
      </c>
      <c r="C62" s="64">
        <v>1.95</v>
      </c>
      <c r="D62" s="64">
        <v>4.5599999999999996</v>
      </c>
      <c r="E62" s="64">
        <v>2.2999999999999998</v>
      </c>
      <c r="F62" s="64">
        <v>6.06</v>
      </c>
      <c r="G62" s="64">
        <v>34.58</v>
      </c>
      <c r="H62" s="64">
        <v>16.04</v>
      </c>
      <c r="I62" s="64">
        <v>3.72</v>
      </c>
      <c r="J62" s="64">
        <v>0.48</v>
      </c>
      <c r="K62" s="64">
        <v>127.9</v>
      </c>
      <c r="L62" s="64">
        <v>39.020000000000003</v>
      </c>
      <c r="M62" s="64">
        <v>26.06</v>
      </c>
      <c r="N62" s="64">
        <v>820.2</v>
      </c>
      <c r="O62" s="64">
        <v>0</v>
      </c>
      <c r="P62" s="64">
        <v>0.45</v>
      </c>
      <c r="Q62" s="64">
        <v>9.35</v>
      </c>
      <c r="R62" s="198"/>
      <c r="S62" s="198"/>
      <c r="T62" s="198"/>
      <c r="U62" s="198"/>
    </row>
    <row r="63" spans="1:21" s="12" customFormat="1" x14ac:dyDescent="0.25">
      <c r="A63" s="214" t="s">
        <v>590</v>
      </c>
      <c r="B63" s="64">
        <v>2.64</v>
      </c>
      <c r="C63" s="64">
        <v>1.71</v>
      </c>
      <c r="D63" s="64">
        <v>4.26</v>
      </c>
      <c r="E63" s="64">
        <v>2.06</v>
      </c>
      <c r="F63" s="64">
        <v>7.6</v>
      </c>
      <c r="G63" s="64">
        <v>34.08</v>
      </c>
      <c r="H63" s="64">
        <v>16.53</v>
      </c>
      <c r="I63" s="64">
        <v>4.13</v>
      </c>
      <c r="J63" s="64">
        <v>0.54</v>
      </c>
      <c r="K63" s="64">
        <v>331.98</v>
      </c>
      <c r="L63" s="64">
        <v>38.01</v>
      </c>
      <c r="M63" s="64">
        <v>27.24</v>
      </c>
      <c r="N63" s="64">
        <v>606.4</v>
      </c>
      <c r="O63" s="64">
        <v>0</v>
      </c>
      <c r="P63" s="64">
        <v>0.44</v>
      </c>
      <c r="Q63" s="64">
        <v>9.3699999999999992</v>
      </c>
      <c r="R63" s="198"/>
      <c r="S63" s="198"/>
      <c r="T63" s="198"/>
      <c r="U63" s="198"/>
    </row>
    <row r="64" spans="1:21" s="12" customFormat="1" x14ac:dyDescent="0.25">
      <c r="A64" s="214" t="s">
        <v>591</v>
      </c>
      <c r="B64" s="64">
        <v>2.87</v>
      </c>
      <c r="C64" s="64">
        <v>3.3</v>
      </c>
      <c r="D64" s="64">
        <v>6.08</v>
      </c>
      <c r="E64" s="64">
        <v>2.2000000000000002</v>
      </c>
      <c r="F64" s="64">
        <v>6.96</v>
      </c>
      <c r="G64" s="64">
        <v>34.08</v>
      </c>
      <c r="H64" s="64">
        <v>16.53</v>
      </c>
      <c r="I64" s="64">
        <v>4.82</v>
      </c>
      <c r="J64" s="64">
        <v>1.28</v>
      </c>
      <c r="K64" s="64">
        <v>147.44999999999999</v>
      </c>
      <c r="L64" s="64">
        <v>37.880000000000003</v>
      </c>
      <c r="M64" s="64">
        <v>27.67</v>
      </c>
      <c r="N64" s="64">
        <v>354.8</v>
      </c>
      <c r="O64" s="64">
        <v>0</v>
      </c>
      <c r="P64" s="64">
        <v>0.44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14" t="s">
        <v>592</v>
      </c>
      <c r="B65" s="64">
        <v>2.85</v>
      </c>
      <c r="C65" s="64">
        <v>3.16</v>
      </c>
      <c r="D65" s="64">
        <v>5.92</v>
      </c>
      <c r="E65" s="64">
        <v>2.06</v>
      </c>
      <c r="F65" s="64">
        <v>7.12</v>
      </c>
      <c r="G65" s="64">
        <v>34.08</v>
      </c>
      <c r="H65" s="64">
        <v>16.53</v>
      </c>
      <c r="I65" s="64">
        <v>5.23</v>
      </c>
      <c r="J65" s="64">
        <v>0.14000000000000001</v>
      </c>
      <c r="K65" s="64">
        <v>301.58999999999997</v>
      </c>
      <c r="L65" s="64">
        <v>37.71</v>
      </c>
      <c r="M65" s="64">
        <v>27.18</v>
      </c>
      <c r="N65" s="64">
        <v>557.9</v>
      </c>
      <c r="O65" s="64">
        <v>0</v>
      </c>
      <c r="P65" s="64">
        <v>0.44</v>
      </c>
      <c r="Q65" s="64">
        <v>9.36</v>
      </c>
      <c r="R65" s="198"/>
      <c r="S65" s="198"/>
      <c r="T65" s="198"/>
      <c r="U65" s="198"/>
    </row>
    <row r="66" spans="1:21" s="12" customFormat="1" x14ac:dyDescent="0.25">
      <c r="A66" s="214" t="s">
        <v>593</v>
      </c>
      <c r="B66" s="64">
        <v>2.78</v>
      </c>
      <c r="C66" s="64">
        <v>3.01</v>
      </c>
      <c r="D66" s="64">
        <v>5.7</v>
      </c>
      <c r="E66" s="64">
        <v>2.2400000000000002</v>
      </c>
      <c r="F66" s="64">
        <v>8.6300000000000008</v>
      </c>
      <c r="G66" s="64">
        <v>36.36</v>
      </c>
      <c r="H66" s="64">
        <v>16.739999999999998</v>
      </c>
      <c r="I66" s="64">
        <v>5.51</v>
      </c>
      <c r="J66" s="64">
        <v>0.35</v>
      </c>
      <c r="K66" s="64">
        <v>218.83</v>
      </c>
      <c r="L66" s="64">
        <v>36.79</v>
      </c>
      <c r="M66" s="64">
        <v>29.46</v>
      </c>
      <c r="N66" s="64">
        <v>356.3</v>
      </c>
      <c r="O66" s="64">
        <v>0</v>
      </c>
      <c r="P66" s="64">
        <v>0.42</v>
      </c>
      <c r="Q66" s="64">
        <v>9.36</v>
      </c>
      <c r="R66" s="198"/>
      <c r="S66" s="198"/>
      <c r="T66" s="198"/>
      <c r="U66" s="198"/>
    </row>
    <row r="67" spans="1:21" s="12" customFormat="1" x14ac:dyDescent="0.25">
      <c r="A67" s="214" t="s">
        <v>594</v>
      </c>
      <c r="B67" s="64">
        <v>2.79</v>
      </c>
      <c r="C67" s="64">
        <v>3.05</v>
      </c>
      <c r="D67" s="64">
        <v>5.75</v>
      </c>
      <c r="E67" s="64">
        <v>2.21</v>
      </c>
      <c r="F67" s="64">
        <v>9.85</v>
      </c>
      <c r="G67" s="64">
        <v>38.450000000000003</v>
      </c>
      <c r="H67" s="64">
        <v>16.940000000000001</v>
      </c>
      <c r="I67" s="64">
        <v>5.49</v>
      </c>
      <c r="J67" s="64">
        <v>0.65</v>
      </c>
      <c r="K67" s="64">
        <v>187.99</v>
      </c>
      <c r="L67" s="64">
        <v>35.97</v>
      </c>
      <c r="M67" s="64">
        <v>30.58</v>
      </c>
      <c r="N67" s="64">
        <v>258.3</v>
      </c>
      <c r="O67" s="64">
        <v>0</v>
      </c>
      <c r="P67" s="64">
        <v>0.41</v>
      </c>
      <c r="Q67" s="64">
        <v>9.36</v>
      </c>
      <c r="R67" s="198"/>
      <c r="S67" s="198"/>
      <c r="T67" s="198"/>
      <c r="U67" s="198"/>
    </row>
    <row r="68" spans="1:21" s="12" customFormat="1" x14ac:dyDescent="0.25">
      <c r="A68" s="214" t="s">
        <v>595</v>
      </c>
      <c r="B68" s="64">
        <v>2.68</v>
      </c>
      <c r="C68" s="64">
        <v>2.27</v>
      </c>
      <c r="D68" s="64">
        <v>4.8600000000000003</v>
      </c>
      <c r="E68" s="64">
        <v>2.04</v>
      </c>
      <c r="F68" s="64">
        <v>9.7200000000000006</v>
      </c>
      <c r="G68" s="64">
        <v>38.450000000000003</v>
      </c>
      <c r="H68" s="64">
        <v>16.940000000000001</v>
      </c>
      <c r="I68" s="64">
        <v>5.12</v>
      </c>
      <c r="J68" s="64">
        <v>0.37</v>
      </c>
      <c r="K68" s="64">
        <v>235.79</v>
      </c>
      <c r="L68" s="64">
        <v>35.53</v>
      </c>
      <c r="M68" s="64">
        <v>31.6</v>
      </c>
      <c r="N68" s="64">
        <v>245.4</v>
      </c>
      <c r="O68" s="64">
        <v>0</v>
      </c>
      <c r="P68" s="64">
        <v>0.4</v>
      </c>
      <c r="Q68" s="64">
        <v>9.35</v>
      </c>
      <c r="R68" s="198"/>
      <c r="S68" s="198"/>
      <c r="T68" s="198"/>
      <c r="U68" s="198"/>
    </row>
    <row r="69" spans="1:21" s="12" customFormat="1" x14ac:dyDescent="0.25">
      <c r="A69" s="214" t="s">
        <v>596</v>
      </c>
      <c r="B69" s="64">
        <v>2.67</v>
      </c>
      <c r="C69" s="64">
        <v>2.08</v>
      </c>
      <c r="D69" s="64">
        <v>4.6500000000000004</v>
      </c>
      <c r="E69" s="64">
        <v>2.02</v>
      </c>
      <c r="F69" s="64">
        <v>10.14</v>
      </c>
      <c r="G69" s="64">
        <v>38.450000000000003</v>
      </c>
      <c r="H69" s="64">
        <v>16.940000000000001</v>
      </c>
      <c r="I69" s="64">
        <v>4.7699999999999996</v>
      </c>
      <c r="J69" s="64">
        <v>0.52</v>
      </c>
      <c r="K69" s="64">
        <v>206.42</v>
      </c>
      <c r="L69" s="64">
        <v>35.369999999999997</v>
      </c>
      <c r="M69" s="64">
        <v>31.92</v>
      </c>
      <c r="N69" s="64">
        <v>218.1</v>
      </c>
      <c r="O69" s="64">
        <v>0</v>
      </c>
      <c r="P69" s="64">
        <v>0.39</v>
      </c>
      <c r="Q69" s="64">
        <v>9.32</v>
      </c>
      <c r="R69" s="198"/>
      <c r="S69" s="198"/>
      <c r="T69" s="198"/>
      <c r="U69" s="198"/>
    </row>
    <row r="70" spans="1:21" s="12" customFormat="1" x14ac:dyDescent="0.25">
      <c r="A70" s="214" t="s">
        <v>597</v>
      </c>
      <c r="B70" s="64">
        <v>2.56</v>
      </c>
      <c r="C70" s="64">
        <v>1.52</v>
      </c>
      <c r="D70" s="64">
        <v>3.99</v>
      </c>
      <c r="E70" s="64">
        <v>1.94</v>
      </c>
      <c r="F70" s="64">
        <v>10.23</v>
      </c>
      <c r="G70" s="64">
        <v>38.93</v>
      </c>
      <c r="H70" s="64">
        <v>17.59</v>
      </c>
      <c r="I70" s="64">
        <v>4.3600000000000003</v>
      </c>
      <c r="J70" s="64">
        <v>0.49</v>
      </c>
      <c r="K70" s="64">
        <v>202.81</v>
      </c>
      <c r="L70" s="64">
        <v>35.18</v>
      </c>
      <c r="M70" s="64">
        <v>32.22</v>
      </c>
      <c r="N70" s="64">
        <v>257.7</v>
      </c>
      <c r="O70" s="64">
        <v>0</v>
      </c>
      <c r="P70" s="64">
        <v>0.38</v>
      </c>
      <c r="Q70" s="64">
        <v>9.32</v>
      </c>
      <c r="R70" s="198"/>
      <c r="S70" s="198"/>
      <c r="T70" s="198"/>
      <c r="U70" s="198"/>
    </row>
    <row r="71" spans="1:21" s="12" customFormat="1" x14ac:dyDescent="0.25">
      <c r="A71" s="214" t="s">
        <v>598</v>
      </c>
      <c r="B71" s="64">
        <v>2.4300000000000002</v>
      </c>
      <c r="C71" s="64">
        <v>0.75</v>
      </c>
      <c r="D71" s="64">
        <v>3.08</v>
      </c>
      <c r="E71" s="64">
        <v>2.25</v>
      </c>
      <c r="F71" s="64">
        <v>9.99</v>
      </c>
      <c r="G71" s="64">
        <v>39.4</v>
      </c>
      <c r="H71" s="64">
        <v>18.22</v>
      </c>
      <c r="I71" s="64">
        <v>4.05</v>
      </c>
      <c r="J71" s="64">
        <v>0.25</v>
      </c>
      <c r="K71" s="64">
        <v>333.33</v>
      </c>
      <c r="L71" s="64">
        <v>35.840000000000003</v>
      </c>
      <c r="M71" s="64">
        <v>31.57</v>
      </c>
      <c r="N71" s="64">
        <v>171.1</v>
      </c>
      <c r="O71" s="64">
        <v>0</v>
      </c>
      <c r="P71" s="64">
        <v>0.38</v>
      </c>
      <c r="Q71" s="64">
        <v>9.36</v>
      </c>
      <c r="R71" s="198"/>
      <c r="S71" s="198"/>
      <c r="T71" s="198"/>
      <c r="U71" s="198"/>
    </row>
    <row r="72" spans="1:21" s="12" customFormat="1" x14ac:dyDescent="0.25">
      <c r="A72" s="214" t="s">
        <v>599</v>
      </c>
      <c r="B72" s="64">
        <v>2.69</v>
      </c>
      <c r="C72" s="64">
        <v>1.79</v>
      </c>
      <c r="D72" s="64">
        <v>4.3899999999999997</v>
      </c>
      <c r="E72" s="64">
        <v>1.08</v>
      </c>
      <c r="F72" s="64">
        <v>10.31</v>
      </c>
      <c r="G72" s="64">
        <v>39.4</v>
      </c>
      <c r="H72" s="64">
        <v>18.22</v>
      </c>
      <c r="I72" s="64">
        <v>3.89</v>
      </c>
      <c r="J72" s="64">
        <v>0.15</v>
      </c>
      <c r="K72" s="64">
        <v>351.03</v>
      </c>
      <c r="L72" s="64">
        <v>35.56</v>
      </c>
      <c r="M72" s="64">
        <v>31.45</v>
      </c>
      <c r="N72" s="64">
        <v>135.30000000000001</v>
      </c>
      <c r="O72" s="64">
        <v>0</v>
      </c>
      <c r="P72" s="64">
        <v>0.37</v>
      </c>
      <c r="Q72" s="64">
        <v>9.35</v>
      </c>
      <c r="R72" s="198"/>
      <c r="S72" s="198"/>
      <c r="T72" s="198"/>
      <c r="U72" s="198"/>
    </row>
    <row r="73" spans="1:21" s="12" customFormat="1" x14ac:dyDescent="0.25">
      <c r="A73" s="214" t="s">
        <v>600</v>
      </c>
      <c r="B73" s="64">
        <v>2.57</v>
      </c>
      <c r="C73" s="64">
        <v>1.42</v>
      </c>
      <c r="D73" s="64">
        <v>3.9</v>
      </c>
      <c r="E73" s="64">
        <v>0.94</v>
      </c>
      <c r="F73" s="64">
        <v>11.25</v>
      </c>
      <c r="G73" s="64">
        <v>39.4</v>
      </c>
      <c r="H73" s="64">
        <v>18.22</v>
      </c>
      <c r="I73" s="64">
        <v>3.72</v>
      </c>
      <c r="J73" s="64">
        <v>0.37</v>
      </c>
      <c r="K73" s="64">
        <v>352.82</v>
      </c>
      <c r="L73" s="64">
        <v>35.380000000000003</v>
      </c>
      <c r="M73" s="64">
        <v>31.68</v>
      </c>
      <c r="N73" s="64">
        <v>111.2</v>
      </c>
      <c r="O73" s="64">
        <v>0</v>
      </c>
      <c r="P73" s="64">
        <v>0.37</v>
      </c>
      <c r="Q73" s="64">
        <v>9.33</v>
      </c>
      <c r="R73" s="198"/>
      <c r="S73" s="198"/>
      <c r="T73" s="198"/>
      <c r="U73" s="198"/>
    </row>
    <row r="74" spans="1:21" s="12" customFormat="1" x14ac:dyDescent="0.25">
      <c r="A74" s="214" t="s">
        <v>601</v>
      </c>
      <c r="B74" s="64">
        <v>2.5499999999999998</v>
      </c>
      <c r="C74" s="64">
        <v>1.37</v>
      </c>
      <c r="D74" s="64">
        <v>3.84</v>
      </c>
      <c r="E74" s="64">
        <v>1.1499999999999999</v>
      </c>
      <c r="F74" s="64">
        <v>9.5500000000000007</v>
      </c>
      <c r="G74" s="64">
        <v>40.520000000000003</v>
      </c>
      <c r="H74" s="64">
        <v>18.86</v>
      </c>
      <c r="I74" s="64">
        <v>3.46</v>
      </c>
      <c r="J74" s="64">
        <v>0.98</v>
      </c>
      <c r="K74" s="64">
        <v>320.22000000000003</v>
      </c>
      <c r="L74" s="64">
        <v>35.369999999999997</v>
      </c>
      <c r="M74" s="64">
        <v>31.18</v>
      </c>
      <c r="N74" s="64">
        <v>105.5</v>
      </c>
      <c r="O74" s="64">
        <v>0</v>
      </c>
      <c r="P74" s="64">
        <v>0.37</v>
      </c>
      <c r="Q74" s="64">
        <v>9.34</v>
      </c>
      <c r="R74" s="198"/>
      <c r="S74" s="198"/>
      <c r="T74" s="198"/>
      <c r="U74" s="198"/>
    </row>
    <row r="75" spans="1:21" s="12" customFormat="1" x14ac:dyDescent="0.25">
      <c r="A75" s="214" t="s">
        <v>602</v>
      </c>
      <c r="B75" s="64">
        <v>2.42</v>
      </c>
      <c r="C75" s="64">
        <v>0.76</v>
      </c>
      <c r="D75" s="64">
        <v>3.08</v>
      </c>
      <c r="E75" s="64">
        <v>0.92</v>
      </c>
      <c r="F75" s="64">
        <v>8.0399999999999991</v>
      </c>
      <c r="G75" s="64">
        <v>41.6</v>
      </c>
      <c r="H75" s="64">
        <v>19.45</v>
      </c>
      <c r="I75" s="64">
        <v>3.21</v>
      </c>
      <c r="J75" s="64">
        <v>1.51</v>
      </c>
      <c r="K75" s="64">
        <v>310.91000000000003</v>
      </c>
      <c r="L75" s="64">
        <v>34.6</v>
      </c>
      <c r="M75" s="64">
        <v>27.74</v>
      </c>
      <c r="N75" s="64">
        <v>89.2</v>
      </c>
      <c r="O75" s="64">
        <v>0</v>
      </c>
      <c r="P75" s="64">
        <v>0.36</v>
      </c>
      <c r="Q75" s="64">
        <v>9.27</v>
      </c>
      <c r="R75" s="198"/>
      <c r="S75" s="198"/>
      <c r="T75" s="198"/>
      <c r="U75" s="198"/>
    </row>
    <row r="76" spans="1:21" s="12" customFormat="1" x14ac:dyDescent="0.25">
      <c r="A76" s="214" t="s">
        <v>603</v>
      </c>
      <c r="B76" s="64">
        <v>2.35</v>
      </c>
      <c r="C76" s="64">
        <v>0.31</v>
      </c>
      <c r="D76" s="64">
        <v>2.57</v>
      </c>
      <c r="E76" s="64">
        <v>1.08</v>
      </c>
      <c r="F76" s="64">
        <v>6.61</v>
      </c>
      <c r="G76" s="64">
        <v>41.6</v>
      </c>
      <c r="H76" s="64">
        <v>19.45</v>
      </c>
      <c r="I76" s="64">
        <v>3.07</v>
      </c>
      <c r="J76" s="64">
        <v>1.28</v>
      </c>
      <c r="K76" s="64">
        <v>306.57</v>
      </c>
      <c r="L76" s="64">
        <v>34.520000000000003</v>
      </c>
      <c r="M76" s="64">
        <v>27.44</v>
      </c>
      <c r="N76" s="64">
        <v>71.8</v>
      </c>
      <c r="O76" s="64">
        <v>0</v>
      </c>
      <c r="P76" s="64">
        <v>0.36</v>
      </c>
      <c r="Q76" s="64">
        <v>9.27</v>
      </c>
      <c r="R76" s="198"/>
      <c r="S76" s="198"/>
      <c r="T76" s="198"/>
      <c r="U76" s="198"/>
    </row>
    <row r="77" spans="1:21" s="12" customFormat="1" x14ac:dyDescent="0.25">
      <c r="A77" s="214" t="s">
        <v>604</v>
      </c>
      <c r="B77" s="64">
        <v>2.37</v>
      </c>
      <c r="C77" s="64">
        <v>0.32</v>
      </c>
      <c r="D77" s="64">
        <v>2.6</v>
      </c>
      <c r="E77" s="64">
        <v>0.9</v>
      </c>
      <c r="F77" s="64">
        <v>5.58</v>
      </c>
      <c r="G77" s="64">
        <v>41.6</v>
      </c>
      <c r="H77" s="64">
        <v>19.45</v>
      </c>
      <c r="I77" s="64">
        <v>2.96</v>
      </c>
      <c r="J77" s="64">
        <v>1.28</v>
      </c>
      <c r="K77" s="64">
        <v>311.52</v>
      </c>
      <c r="L77" s="64">
        <v>34.200000000000003</v>
      </c>
      <c r="M77" s="64">
        <v>28.73</v>
      </c>
      <c r="N77" s="64">
        <v>54.7</v>
      </c>
      <c r="O77" s="64">
        <v>0</v>
      </c>
      <c r="P77" s="64">
        <v>0.37</v>
      </c>
      <c r="Q77" s="64">
        <v>9.26</v>
      </c>
      <c r="R77" s="198"/>
      <c r="S77" s="198"/>
      <c r="T77" s="198"/>
      <c r="U77" s="198"/>
    </row>
    <row r="78" spans="1:21" s="12" customFormat="1" x14ac:dyDescent="0.25">
      <c r="A78" s="214" t="s">
        <v>605</v>
      </c>
      <c r="B78" s="64">
        <v>2.78</v>
      </c>
      <c r="C78" s="64">
        <v>1.85</v>
      </c>
      <c r="D78" s="64">
        <v>4.55</v>
      </c>
      <c r="E78" s="64">
        <v>0.84</v>
      </c>
      <c r="F78" s="64">
        <v>4.8600000000000003</v>
      </c>
      <c r="G78" s="64">
        <v>41.21</v>
      </c>
      <c r="H78" s="64">
        <v>19.21</v>
      </c>
      <c r="I78" s="64">
        <v>2.88</v>
      </c>
      <c r="J78" s="64">
        <v>0.7</v>
      </c>
      <c r="K78" s="64">
        <v>312.01</v>
      </c>
      <c r="L78" s="64">
        <v>34.22</v>
      </c>
      <c r="M78" s="64">
        <v>28.61</v>
      </c>
      <c r="N78" s="64">
        <v>46.5</v>
      </c>
      <c r="O78" s="64">
        <v>0</v>
      </c>
      <c r="P78" s="64">
        <v>0.38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4" t="s">
        <v>606</v>
      </c>
      <c r="B79" s="64">
        <v>2.59</v>
      </c>
      <c r="C79" s="64">
        <v>1.0900000000000001</v>
      </c>
      <c r="D79" s="64">
        <v>3.59</v>
      </c>
      <c r="E79" s="64">
        <v>0.63</v>
      </c>
      <c r="F79" s="64">
        <v>4.54</v>
      </c>
      <c r="G79" s="64">
        <v>40.86</v>
      </c>
      <c r="H79" s="64">
        <v>18.989999999999998</v>
      </c>
      <c r="I79" s="64">
        <v>2.85</v>
      </c>
      <c r="J79" s="64">
        <v>0.12</v>
      </c>
      <c r="K79" s="64">
        <v>334.14</v>
      </c>
      <c r="L79" s="64">
        <v>34.119999999999997</v>
      </c>
      <c r="M79" s="64">
        <v>28</v>
      </c>
      <c r="N79" s="64">
        <v>44.2</v>
      </c>
      <c r="O79" s="64">
        <v>0</v>
      </c>
      <c r="P79" s="64">
        <v>0.4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14" t="s">
        <v>607</v>
      </c>
      <c r="B80" s="64">
        <v>2.57</v>
      </c>
      <c r="C80" s="64">
        <v>1.08</v>
      </c>
      <c r="D80" s="64">
        <v>3.56</v>
      </c>
      <c r="E80" s="64">
        <v>0.68</v>
      </c>
      <c r="F80" s="64">
        <v>4.7699999999999996</v>
      </c>
      <c r="G80" s="64">
        <v>40.86</v>
      </c>
      <c r="H80" s="64">
        <v>18.989999999999998</v>
      </c>
      <c r="I80" s="64">
        <v>3</v>
      </c>
      <c r="J80" s="64">
        <v>0.51</v>
      </c>
      <c r="K80" s="64">
        <v>146.27000000000001</v>
      </c>
      <c r="L80" s="64">
        <v>33.74</v>
      </c>
      <c r="M80" s="64">
        <v>29.94</v>
      </c>
      <c r="N80" s="64">
        <v>38.799999999999997</v>
      </c>
      <c r="O80" s="64">
        <v>0</v>
      </c>
      <c r="P80" s="64">
        <v>0.39</v>
      </c>
      <c r="Q80" s="64">
        <v>9.33</v>
      </c>
      <c r="R80" s="198"/>
      <c r="S80" s="198"/>
      <c r="T80" s="198"/>
      <c r="U80" s="198"/>
    </row>
    <row r="81" spans="1:26" s="12" customFormat="1" x14ac:dyDescent="0.25">
      <c r="A81" s="214" t="s">
        <v>608</v>
      </c>
      <c r="B81" s="64">
        <v>2.71</v>
      </c>
      <c r="C81" s="64">
        <v>1.78</v>
      </c>
      <c r="D81" s="64">
        <v>4.4000000000000004</v>
      </c>
      <c r="E81" s="64">
        <v>0.83</v>
      </c>
      <c r="F81" s="64">
        <v>4.76</v>
      </c>
      <c r="G81" s="64">
        <v>40.86</v>
      </c>
      <c r="H81" s="64">
        <v>18.989999999999998</v>
      </c>
      <c r="I81" s="64">
        <v>3.09</v>
      </c>
      <c r="J81" s="64">
        <v>0.36</v>
      </c>
      <c r="K81" s="64">
        <v>186.7</v>
      </c>
      <c r="L81" s="64">
        <v>33.42</v>
      </c>
      <c r="M81" s="64">
        <v>31.51</v>
      </c>
      <c r="N81" s="64">
        <v>28.6</v>
      </c>
      <c r="O81" s="64">
        <v>0</v>
      </c>
      <c r="P81" s="64">
        <v>0.41</v>
      </c>
      <c r="Q81" s="64">
        <v>9.34</v>
      </c>
      <c r="R81" s="198"/>
      <c r="S81" s="198"/>
      <c r="T81" s="198"/>
      <c r="U81" s="198"/>
    </row>
    <row r="82" spans="1:26" s="12" customFormat="1" x14ac:dyDescent="0.25">
      <c r="A82" s="214" t="s">
        <v>609</v>
      </c>
      <c r="B82" s="64">
        <v>2.6</v>
      </c>
      <c r="C82" s="64">
        <v>1.58</v>
      </c>
      <c r="D82" s="64">
        <v>4.09</v>
      </c>
      <c r="E82" s="64">
        <v>0.73</v>
      </c>
      <c r="F82" s="64">
        <v>5.0199999999999996</v>
      </c>
      <c r="G82" s="64">
        <v>42.49</v>
      </c>
      <c r="H82" s="64">
        <v>19.03</v>
      </c>
      <c r="I82" s="64">
        <v>3.18</v>
      </c>
      <c r="J82" s="64">
        <v>0.49</v>
      </c>
      <c r="K82" s="64">
        <v>203.39</v>
      </c>
      <c r="L82" s="64">
        <v>33.5</v>
      </c>
      <c r="M82" s="64">
        <v>31.26</v>
      </c>
      <c r="N82" s="64">
        <v>21.6</v>
      </c>
      <c r="O82" s="64">
        <v>0</v>
      </c>
      <c r="P82" s="64">
        <v>0.41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14" t="s">
        <v>610</v>
      </c>
      <c r="B83" s="64">
        <v>2.77</v>
      </c>
      <c r="C83" s="64">
        <v>2.59</v>
      </c>
      <c r="D83" s="64">
        <v>5.26</v>
      </c>
      <c r="E83" s="64">
        <v>1.19</v>
      </c>
      <c r="F83" s="64">
        <v>5.15</v>
      </c>
      <c r="G83" s="64">
        <v>44.06</v>
      </c>
      <c r="H83" s="64">
        <v>19.059999999999999</v>
      </c>
      <c r="I83" s="64">
        <v>3.65</v>
      </c>
      <c r="J83" s="64">
        <v>0.1</v>
      </c>
      <c r="K83" s="64">
        <v>268.95999999999998</v>
      </c>
      <c r="L83" s="64">
        <v>33.380000000000003</v>
      </c>
      <c r="M83" s="64">
        <v>31.84</v>
      </c>
      <c r="N83" s="64">
        <v>16.3</v>
      </c>
      <c r="O83" s="64">
        <v>0</v>
      </c>
      <c r="P83" s="64">
        <v>0.42</v>
      </c>
      <c r="Q83" s="64">
        <v>9.42</v>
      </c>
      <c r="R83" s="198"/>
      <c r="S83" s="198"/>
      <c r="T83" s="198"/>
      <c r="U83" s="198"/>
    </row>
    <row r="84" spans="1:26" s="12" customFormat="1" x14ac:dyDescent="0.25">
      <c r="A84" s="214" t="s">
        <v>611</v>
      </c>
      <c r="B84" s="64">
        <v>2.5099999999999998</v>
      </c>
      <c r="C84" s="64">
        <v>1.37</v>
      </c>
      <c r="D84" s="64">
        <v>3.79</v>
      </c>
      <c r="E84" s="64">
        <v>0.61</v>
      </c>
      <c r="F84" s="64">
        <v>5</v>
      </c>
      <c r="G84" s="64">
        <v>44.06</v>
      </c>
      <c r="H84" s="64">
        <v>19.059999999999999</v>
      </c>
      <c r="I84" s="64">
        <v>3.95</v>
      </c>
      <c r="J84" s="64">
        <v>0.79</v>
      </c>
      <c r="K84" s="64">
        <v>358.08</v>
      </c>
      <c r="L84" s="64">
        <v>33.06</v>
      </c>
      <c r="M84" s="64">
        <v>33.75</v>
      </c>
      <c r="N84" s="64">
        <v>14.8</v>
      </c>
      <c r="O84" s="64">
        <v>0</v>
      </c>
      <c r="P84" s="64">
        <v>0.43</v>
      </c>
      <c r="Q84" s="64">
        <v>9.44</v>
      </c>
      <c r="R84" s="198"/>
      <c r="S84" s="198"/>
      <c r="T84" s="198"/>
      <c r="U84" s="198"/>
    </row>
    <row r="85" spans="1:26" s="12" customFormat="1" x14ac:dyDescent="0.25">
      <c r="A85" s="214" t="s">
        <v>612</v>
      </c>
      <c r="B85" s="64">
        <v>2.67</v>
      </c>
      <c r="C85" s="64">
        <v>1.92</v>
      </c>
      <c r="D85" s="64">
        <v>4.5</v>
      </c>
      <c r="E85" s="64">
        <v>1.02</v>
      </c>
      <c r="F85" s="64">
        <v>4.42</v>
      </c>
      <c r="G85" s="64">
        <v>44.06</v>
      </c>
      <c r="H85" s="64">
        <v>19.059999999999999</v>
      </c>
      <c r="I85" s="64">
        <v>4.12</v>
      </c>
      <c r="J85" s="64">
        <v>2.48</v>
      </c>
      <c r="K85" s="64">
        <v>347</v>
      </c>
      <c r="L85" s="64">
        <v>32.479999999999997</v>
      </c>
      <c r="M85" s="64">
        <v>35.39</v>
      </c>
      <c r="N85" s="64">
        <v>16</v>
      </c>
      <c r="O85" s="64">
        <v>0</v>
      </c>
      <c r="P85" s="64">
        <v>0.47</v>
      </c>
      <c r="Q85" s="64">
        <v>9.43</v>
      </c>
      <c r="R85" s="198"/>
      <c r="S85" s="198"/>
      <c r="T85" s="198"/>
      <c r="U85" s="198"/>
    </row>
    <row r="86" spans="1:26" s="12" customFormat="1" x14ac:dyDescent="0.25">
      <c r="A86" s="214" t="s">
        <v>613</v>
      </c>
      <c r="B86" s="64">
        <v>2.65</v>
      </c>
      <c r="C86" s="64">
        <v>1.81</v>
      </c>
      <c r="D86" s="64">
        <v>4.3600000000000003</v>
      </c>
      <c r="E86" s="64">
        <v>0.87</v>
      </c>
      <c r="F86" s="64">
        <v>4.47</v>
      </c>
      <c r="G86" s="64">
        <v>53.62</v>
      </c>
      <c r="H86" s="64">
        <v>20.170000000000002</v>
      </c>
      <c r="I86" s="64">
        <v>4.6100000000000003</v>
      </c>
      <c r="J86" s="64">
        <v>1.8</v>
      </c>
      <c r="K86" s="64">
        <v>347.11</v>
      </c>
      <c r="L86" s="64">
        <v>31.29</v>
      </c>
      <c r="M86" s="64">
        <v>39.65</v>
      </c>
      <c r="N86" s="64">
        <v>16.2</v>
      </c>
      <c r="O86" s="64">
        <v>0</v>
      </c>
      <c r="P86" s="64">
        <v>0.51</v>
      </c>
      <c r="Q86" s="64">
        <v>9.4499999999999993</v>
      </c>
      <c r="R86" s="198"/>
      <c r="S86" s="198"/>
      <c r="T86" s="198"/>
      <c r="U86" s="198"/>
    </row>
    <row r="87" spans="1:26" s="12" customFormat="1" x14ac:dyDescent="0.25">
      <c r="A87" s="214" t="s">
        <v>614</v>
      </c>
      <c r="B87" s="64">
        <v>2.4900000000000002</v>
      </c>
      <c r="C87" s="64">
        <v>0.93</v>
      </c>
      <c r="D87" s="64">
        <v>3.33</v>
      </c>
      <c r="E87" s="64">
        <v>0.92</v>
      </c>
      <c r="F87" s="64">
        <v>4.5199999999999996</v>
      </c>
      <c r="G87" s="64">
        <v>62.37</v>
      </c>
      <c r="H87" s="64">
        <v>21.18</v>
      </c>
      <c r="I87" s="64">
        <v>5.13</v>
      </c>
      <c r="J87" s="64">
        <v>1.68</v>
      </c>
      <c r="K87" s="64">
        <v>346.87</v>
      </c>
      <c r="L87" s="64">
        <v>30.76</v>
      </c>
      <c r="M87" s="64">
        <v>40.74</v>
      </c>
      <c r="N87" s="64">
        <v>15.6</v>
      </c>
      <c r="O87" s="64">
        <v>0</v>
      </c>
      <c r="P87" s="64">
        <v>0.53</v>
      </c>
      <c r="Q87" s="64">
        <v>9.44</v>
      </c>
      <c r="R87" s="198"/>
      <c r="S87" s="198"/>
      <c r="T87" s="198"/>
      <c r="U87" s="198"/>
    </row>
    <row r="88" spans="1:26" s="12" customFormat="1" x14ac:dyDescent="0.25">
      <c r="A88" s="214" t="s">
        <v>615</v>
      </c>
      <c r="B88" s="64">
        <v>2.66</v>
      </c>
      <c r="C88" s="64">
        <v>1.75</v>
      </c>
      <c r="D88" s="64">
        <v>4.33</v>
      </c>
      <c r="E88" s="64">
        <v>1.34</v>
      </c>
      <c r="F88" s="64">
        <v>4.88</v>
      </c>
      <c r="G88" s="64">
        <v>62.37</v>
      </c>
      <c r="H88" s="64">
        <v>21.18</v>
      </c>
      <c r="I88" s="64">
        <v>5.31</v>
      </c>
      <c r="J88" s="64">
        <v>2.69</v>
      </c>
      <c r="K88" s="64">
        <v>345.67</v>
      </c>
      <c r="L88" s="64">
        <v>30.51</v>
      </c>
      <c r="M88" s="64">
        <v>41.45</v>
      </c>
      <c r="N88" s="64">
        <v>15.3</v>
      </c>
      <c r="O88" s="64">
        <v>0</v>
      </c>
      <c r="P88" s="64">
        <v>0.54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4" t="s">
        <v>616</v>
      </c>
      <c r="B89" s="64">
        <v>2.4700000000000002</v>
      </c>
      <c r="C89" s="64">
        <v>0.94</v>
      </c>
      <c r="D89" s="64">
        <v>3.32</v>
      </c>
      <c r="E89" s="64">
        <v>1.21</v>
      </c>
      <c r="F89" s="64">
        <v>5.21</v>
      </c>
      <c r="G89" s="64">
        <v>62.37</v>
      </c>
      <c r="H89" s="64">
        <v>21.18</v>
      </c>
      <c r="I89" s="64">
        <v>5.25</v>
      </c>
      <c r="J89" s="64">
        <v>0.76</v>
      </c>
      <c r="K89" s="64">
        <v>6.97</v>
      </c>
      <c r="L89" s="64">
        <v>30.06</v>
      </c>
      <c r="M89" s="64">
        <v>41.65</v>
      </c>
      <c r="N89" s="64">
        <v>15.3</v>
      </c>
      <c r="O89" s="64">
        <v>0</v>
      </c>
      <c r="P89" s="64">
        <v>0.56000000000000005</v>
      </c>
      <c r="Q89" s="64">
        <v>9.4499999999999993</v>
      </c>
      <c r="R89" s="198"/>
      <c r="S89" s="198"/>
      <c r="T89" s="198"/>
      <c r="U89" s="198"/>
    </row>
    <row r="90" spans="1:26" s="12" customFormat="1" x14ac:dyDescent="0.25">
      <c r="A90" s="214" t="s">
        <v>617</v>
      </c>
      <c r="B90" s="64">
        <v>2.76</v>
      </c>
      <c r="C90" s="64">
        <v>2.5</v>
      </c>
      <c r="D90" s="64">
        <v>5.16</v>
      </c>
      <c r="E90" s="64">
        <v>1.43</v>
      </c>
      <c r="F90" s="64">
        <v>4.95</v>
      </c>
      <c r="G90" s="64">
        <v>60.72</v>
      </c>
      <c r="H90" s="64">
        <v>21</v>
      </c>
      <c r="I90" s="64">
        <v>5.09</v>
      </c>
      <c r="J90" s="64">
        <v>1.37</v>
      </c>
      <c r="K90" s="64">
        <v>96.96</v>
      </c>
      <c r="L90" s="64">
        <v>29.75</v>
      </c>
      <c r="M90" s="64">
        <v>41.88</v>
      </c>
      <c r="N90" s="64">
        <v>14.8</v>
      </c>
      <c r="O90" s="64">
        <v>0</v>
      </c>
      <c r="P90" s="64">
        <v>0.56999999999999995</v>
      </c>
      <c r="Q90" s="64">
        <v>9.48</v>
      </c>
      <c r="R90" s="198"/>
      <c r="S90" s="198"/>
      <c r="T90" s="198"/>
      <c r="U90" s="198"/>
    </row>
    <row r="91" spans="1:26" s="12" customFormat="1" x14ac:dyDescent="0.25">
      <c r="A91" s="214" t="s">
        <v>618</v>
      </c>
      <c r="B91" s="64">
        <v>2.57</v>
      </c>
      <c r="C91" s="64">
        <v>1.45</v>
      </c>
      <c r="D91" s="64">
        <v>3.93</v>
      </c>
      <c r="E91" s="64">
        <v>1.1399999999999999</v>
      </c>
      <c r="F91" s="64">
        <v>4.91</v>
      </c>
      <c r="G91" s="64">
        <v>59.22</v>
      </c>
      <c r="H91" s="64">
        <v>20.83</v>
      </c>
      <c r="I91" s="64">
        <v>5.04</v>
      </c>
      <c r="J91" s="64">
        <v>3.97</v>
      </c>
      <c r="K91" s="64">
        <v>109.14</v>
      </c>
      <c r="L91" s="64">
        <v>29.19</v>
      </c>
      <c r="M91" s="64">
        <v>46.25</v>
      </c>
      <c r="N91" s="64">
        <v>16</v>
      </c>
      <c r="O91" s="64">
        <v>0</v>
      </c>
      <c r="P91" s="64">
        <v>0.55000000000000004</v>
      </c>
      <c r="Q91" s="64">
        <v>9.4700000000000006</v>
      </c>
      <c r="R91" s="198"/>
      <c r="S91" s="198"/>
      <c r="T91" s="198"/>
      <c r="U91" s="198"/>
    </row>
    <row r="92" spans="1:26" s="12" customFormat="1" x14ac:dyDescent="0.25">
      <c r="A92" s="214" t="s">
        <v>619</v>
      </c>
      <c r="B92" s="64">
        <v>2.4</v>
      </c>
      <c r="C92" s="64">
        <v>0.6</v>
      </c>
      <c r="D92" s="64">
        <v>2.91</v>
      </c>
      <c r="E92" s="64">
        <v>1.2</v>
      </c>
      <c r="F92" s="64">
        <v>4.8099999999999996</v>
      </c>
      <c r="G92" s="64">
        <v>59.22</v>
      </c>
      <c r="H92" s="64">
        <v>20.83</v>
      </c>
      <c r="I92" s="64">
        <v>5.38</v>
      </c>
      <c r="J92" s="64">
        <v>3.84</v>
      </c>
      <c r="K92" s="64">
        <v>108.79</v>
      </c>
      <c r="L92" s="64">
        <v>28.71</v>
      </c>
      <c r="M92" s="64">
        <v>48.7</v>
      </c>
      <c r="N92" s="64">
        <v>14.9</v>
      </c>
      <c r="O92" s="64">
        <v>0</v>
      </c>
      <c r="P92" s="64">
        <v>0.53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4" t="s">
        <v>620</v>
      </c>
      <c r="B93" s="64">
        <v>2.37</v>
      </c>
      <c r="C93" s="64">
        <v>0.48</v>
      </c>
      <c r="D93" s="64">
        <v>2.77</v>
      </c>
      <c r="E93" s="64">
        <v>1.63</v>
      </c>
      <c r="F93" s="64">
        <v>5.22</v>
      </c>
      <c r="G93" s="64">
        <v>59.22</v>
      </c>
      <c r="H93" s="64">
        <v>20.83</v>
      </c>
      <c r="I93" s="64">
        <v>6.23</v>
      </c>
      <c r="J93" s="64">
        <v>4.4400000000000004</v>
      </c>
      <c r="K93" s="64">
        <v>108.84</v>
      </c>
      <c r="L93" s="64">
        <v>28.82</v>
      </c>
      <c r="M93" s="64">
        <v>47.45</v>
      </c>
      <c r="N93" s="64">
        <v>14.6</v>
      </c>
      <c r="O93" s="64">
        <v>0</v>
      </c>
      <c r="P93" s="64">
        <v>0.49</v>
      </c>
      <c r="Q93" s="64">
        <v>9.3800000000000008</v>
      </c>
      <c r="R93" s="198"/>
      <c r="S93" s="198"/>
      <c r="T93" s="198"/>
      <c r="U93" s="198"/>
    </row>
    <row r="94" spans="1:26" s="12" customFormat="1" x14ac:dyDescent="0.25">
      <c r="A94" s="214" t="s">
        <v>621</v>
      </c>
      <c r="B94" s="64">
        <v>2.68</v>
      </c>
      <c r="C94" s="64">
        <v>1.64</v>
      </c>
      <c r="D94" s="64">
        <v>4.2300000000000004</v>
      </c>
      <c r="E94" s="64">
        <v>1.6</v>
      </c>
      <c r="F94" s="64">
        <v>5.87</v>
      </c>
      <c r="G94" s="64">
        <v>54.44</v>
      </c>
      <c r="H94" s="64">
        <v>20.38</v>
      </c>
      <c r="I94" s="64">
        <v>6.92</v>
      </c>
      <c r="J94" s="64">
        <v>3.63</v>
      </c>
      <c r="K94" s="64">
        <v>108.25</v>
      </c>
      <c r="L94" s="64">
        <v>28.73</v>
      </c>
      <c r="M94" s="64">
        <v>48.63</v>
      </c>
      <c r="N94" s="64">
        <v>15.2</v>
      </c>
      <c r="O94" s="64">
        <v>0</v>
      </c>
      <c r="P94" s="64">
        <v>0.47</v>
      </c>
      <c r="Q94" s="64">
        <v>9.35</v>
      </c>
      <c r="R94" s="198"/>
      <c r="S94" s="198"/>
      <c r="T94" s="198"/>
      <c r="U94" s="198"/>
    </row>
    <row r="95" spans="1:26" s="12" customFormat="1" x14ac:dyDescent="0.25">
      <c r="A95" s="214" t="s">
        <v>622</v>
      </c>
      <c r="B95" s="64">
        <v>2.48</v>
      </c>
      <c r="C95" s="64">
        <v>0.72</v>
      </c>
      <c r="D95" s="64">
        <v>3.12</v>
      </c>
      <c r="E95" s="64">
        <v>1.29</v>
      </c>
      <c r="F95" s="64">
        <v>5.26</v>
      </c>
      <c r="G95" s="64">
        <v>50.07</v>
      </c>
      <c r="H95" s="64">
        <v>19.95</v>
      </c>
      <c r="I95" s="64">
        <v>7.36</v>
      </c>
      <c r="J95" s="64">
        <v>2.0499999999999998</v>
      </c>
      <c r="K95" s="64">
        <v>101.11</v>
      </c>
      <c r="L95" s="64">
        <v>28.9</v>
      </c>
      <c r="M95" s="64">
        <v>47.05</v>
      </c>
      <c r="N95" s="64">
        <v>14.5</v>
      </c>
      <c r="O95" s="64">
        <v>0</v>
      </c>
      <c r="P95" s="64">
        <v>0.46</v>
      </c>
      <c r="Q95" s="64">
        <v>9.36</v>
      </c>
      <c r="R95" s="198"/>
      <c r="S95" s="198"/>
      <c r="T95" s="198"/>
      <c r="U95" s="198"/>
    </row>
    <row r="96" spans="1:26" s="12" customFormat="1" x14ac:dyDescent="0.25">
      <c r="A96" s="214" t="s">
        <v>623</v>
      </c>
      <c r="B96" s="64">
        <v>2.42</v>
      </c>
      <c r="C96" s="64">
        <v>0.4</v>
      </c>
      <c r="D96" s="64">
        <v>2.73</v>
      </c>
      <c r="E96" s="64">
        <v>1.35</v>
      </c>
      <c r="F96" s="64">
        <v>4.7</v>
      </c>
      <c r="G96" s="64">
        <v>50.07</v>
      </c>
      <c r="H96" s="64">
        <v>19.95</v>
      </c>
      <c r="I96" s="64">
        <v>7.67</v>
      </c>
      <c r="J96" s="64">
        <v>1.33</v>
      </c>
      <c r="K96" s="64">
        <v>107.06</v>
      </c>
      <c r="L96" s="64">
        <v>29.01</v>
      </c>
      <c r="M96" s="64">
        <v>46</v>
      </c>
      <c r="N96" s="64">
        <v>14.6</v>
      </c>
      <c r="O96" s="64">
        <v>0</v>
      </c>
      <c r="P96" s="64">
        <v>0.44</v>
      </c>
      <c r="Q96" s="64">
        <v>9.3800000000000008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624</v>
      </c>
      <c r="B97" s="64">
        <v>2.42</v>
      </c>
      <c r="C97" s="64">
        <v>0.38</v>
      </c>
      <c r="D97" s="64">
        <v>2.71</v>
      </c>
      <c r="E97" s="64">
        <v>1.43</v>
      </c>
      <c r="F97" s="64">
        <v>4.57</v>
      </c>
      <c r="G97" s="64">
        <v>50.07</v>
      </c>
      <c r="H97" s="64">
        <v>19.95</v>
      </c>
      <c r="I97" s="64">
        <v>7.74</v>
      </c>
      <c r="J97" s="64">
        <v>2.67</v>
      </c>
      <c r="K97" s="64">
        <v>108.22</v>
      </c>
      <c r="L97" s="64">
        <v>29.04</v>
      </c>
      <c r="M97" s="64">
        <v>46.22</v>
      </c>
      <c r="N97" s="64">
        <v>14.9</v>
      </c>
      <c r="O97" s="64">
        <v>0</v>
      </c>
      <c r="P97" s="64">
        <v>0.42</v>
      </c>
      <c r="Q97" s="64">
        <v>9.39</v>
      </c>
      <c r="R97" s="198"/>
      <c r="S97" s="198"/>
      <c r="T97" s="198"/>
      <c r="U97" s="198"/>
    </row>
    <row r="98" spans="1:33" s="12" customFormat="1" x14ac:dyDescent="0.25">
      <c r="A98" s="214" t="s">
        <v>625</v>
      </c>
      <c r="B98" s="64">
        <v>2.66</v>
      </c>
      <c r="C98" s="64">
        <v>1.27</v>
      </c>
      <c r="D98" s="64">
        <v>3.84</v>
      </c>
      <c r="E98" s="64">
        <v>1.55</v>
      </c>
      <c r="F98" s="64">
        <v>4.58</v>
      </c>
      <c r="G98" s="64">
        <v>44.14</v>
      </c>
      <c r="H98" s="64">
        <v>17.79</v>
      </c>
      <c r="I98" s="64">
        <v>7.67</v>
      </c>
      <c r="J98" s="64">
        <v>1.02</v>
      </c>
      <c r="K98" s="64">
        <v>133.19999999999999</v>
      </c>
      <c r="L98" s="64">
        <v>28.73</v>
      </c>
      <c r="M98" s="64">
        <v>48</v>
      </c>
      <c r="N98" s="64">
        <v>15.3</v>
      </c>
      <c r="O98" s="64">
        <v>0</v>
      </c>
      <c r="P98" s="64">
        <v>0.41</v>
      </c>
      <c r="Q98" s="64">
        <v>9.41</v>
      </c>
      <c r="R98" s="198"/>
      <c r="S98" s="198"/>
      <c r="T98" s="198"/>
      <c r="U98" s="198"/>
    </row>
    <row r="99" spans="1:33" s="12" customFormat="1" x14ac:dyDescent="0.25">
      <c r="A99" s="214" t="s">
        <v>626</v>
      </c>
      <c r="B99" s="64">
        <v>2.58</v>
      </c>
      <c r="C99" s="64">
        <v>1.07</v>
      </c>
      <c r="D99" s="64">
        <v>3.55</v>
      </c>
      <c r="E99" s="64">
        <v>1.39</v>
      </c>
      <c r="F99" s="64">
        <v>5.1100000000000003</v>
      </c>
      <c r="G99" s="64">
        <v>38.46</v>
      </c>
      <c r="H99" s="64">
        <v>15.82</v>
      </c>
      <c r="I99" s="64">
        <v>7.69</v>
      </c>
      <c r="J99" s="64">
        <v>2.16</v>
      </c>
      <c r="K99" s="64">
        <v>155.38999999999999</v>
      </c>
      <c r="L99" s="64">
        <v>28</v>
      </c>
      <c r="M99" s="64">
        <v>54.36</v>
      </c>
      <c r="N99" s="64">
        <v>16</v>
      </c>
      <c r="O99" s="64">
        <v>0</v>
      </c>
      <c r="P99" s="64">
        <v>0.4</v>
      </c>
      <c r="Q99" s="64">
        <v>9.44</v>
      </c>
      <c r="R99" s="198"/>
      <c r="S99" s="198"/>
      <c r="T99" s="198"/>
      <c r="U99" s="198"/>
    </row>
    <row r="100" spans="1:33" s="12" customFormat="1" x14ac:dyDescent="0.25">
      <c r="A100" s="214" t="s">
        <v>627</v>
      </c>
      <c r="B100" s="64">
        <v>2.41</v>
      </c>
      <c r="C100" s="64">
        <v>0.49</v>
      </c>
      <c r="D100" s="64">
        <v>2.81</v>
      </c>
      <c r="E100" s="64">
        <v>1.45</v>
      </c>
      <c r="F100" s="64">
        <v>5.49</v>
      </c>
      <c r="G100" s="64">
        <v>38.46</v>
      </c>
      <c r="H100" s="64">
        <v>15.82</v>
      </c>
      <c r="I100" s="64">
        <v>7.67</v>
      </c>
      <c r="J100" s="64">
        <v>2.85</v>
      </c>
      <c r="K100" s="64">
        <v>153.56</v>
      </c>
      <c r="L100" s="64">
        <v>27.05</v>
      </c>
      <c r="M100" s="64">
        <v>61.82</v>
      </c>
      <c r="N100" s="64">
        <v>16.2</v>
      </c>
      <c r="O100" s="64">
        <v>0</v>
      </c>
      <c r="P100" s="64">
        <v>0.39</v>
      </c>
      <c r="Q100" s="64">
        <v>9.43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628</v>
      </c>
      <c r="B101" s="64">
        <v>2.6</v>
      </c>
      <c r="C101" s="64">
        <v>1.47</v>
      </c>
      <c r="D101" s="64">
        <v>3.98</v>
      </c>
      <c r="E101" s="64">
        <v>1.57</v>
      </c>
      <c r="F101" s="64">
        <v>5.13</v>
      </c>
      <c r="G101" s="64">
        <v>38.46</v>
      </c>
      <c r="H101" s="64">
        <v>15.82</v>
      </c>
      <c r="I101" s="64">
        <v>7.53</v>
      </c>
      <c r="J101" s="64">
        <v>2.5</v>
      </c>
      <c r="K101" s="64">
        <v>156.69</v>
      </c>
      <c r="L101" s="64">
        <v>26.76</v>
      </c>
      <c r="M101" s="64">
        <v>63.05</v>
      </c>
      <c r="N101" s="64">
        <v>15.1</v>
      </c>
      <c r="O101" s="64">
        <v>0</v>
      </c>
      <c r="P101" s="64">
        <v>0.38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4" t="s">
        <v>629</v>
      </c>
      <c r="B102" s="64">
        <v>2.5099999999999998</v>
      </c>
      <c r="C102" s="64">
        <v>1.05</v>
      </c>
      <c r="D102" s="64">
        <v>3.47</v>
      </c>
      <c r="E102" s="64">
        <v>1.61</v>
      </c>
      <c r="F102" s="64">
        <v>5.1100000000000003</v>
      </c>
      <c r="G102" s="64">
        <v>36.130000000000003</v>
      </c>
      <c r="H102" s="64">
        <v>15.66</v>
      </c>
      <c r="I102" s="64">
        <v>7.31</v>
      </c>
      <c r="J102" s="64">
        <v>2.04</v>
      </c>
      <c r="K102" s="64">
        <v>151.41999999999999</v>
      </c>
      <c r="L102" s="64">
        <v>26.85</v>
      </c>
      <c r="M102" s="64">
        <v>62.28</v>
      </c>
      <c r="N102" s="64">
        <v>14.7</v>
      </c>
      <c r="O102" s="64">
        <v>0</v>
      </c>
      <c r="P102" s="64">
        <v>0.37</v>
      </c>
      <c r="Q102" s="64">
        <v>9.4600000000000009</v>
      </c>
      <c r="R102" s="198"/>
      <c r="S102" s="198"/>
      <c r="T102" s="198"/>
      <c r="U102" s="198"/>
    </row>
    <row r="103" spans="1:33" s="12" customFormat="1" x14ac:dyDescent="0.25">
      <c r="A103" s="214" t="s">
        <v>630</v>
      </c>
      <c r="B103" s="64">
        <v>2.7</v>
      </c>
      <c r="C103" s="64">
        <v>1.81</v>
      </c>
      <c r="D103" s="64">
        <v>4.42</v>
      </c>
      <c r="E103" s="64">
        <v>1.53</v>
      </c>
      <c r="F103" s="64">
        <v>5.75</v>
      </c>
      <c r="G103" s="64">
        <v>33.99</v>
      </c>
      <c r="H103" s="64">
        <v>15.51</v>
      </c>
      <c r="I103" s="64">
        <v>7.17</v>
      </c>
      <c r="J103" s="64">
        <v>0.56999999999999995</v>
      </c>
      <c r="K103" s="64">
        <v>186.19</v>
      </c>
      <c r="L103" s="64">
        <v>27.08</v>
      </c>
      <c r="M103" s="64">
        <v>60.39</v>
      </c>
      <c r="N103" s="64">
        <v>14.6</v>
      </c>
      <c r="O103" s="64">
        <v>0</v>
      </c>
      <c r="P103" s="64">
        <v>0.36</v>
      </c>
      <c r="Q103" s="64">
        <v>9.48</v>
      </c>
      <c r="R103" s="198"/>
      <c r="S103" s="198"/>
      <c r="T103" s="198"/>
      <c r="U103" s="198"/>
    </row>
    <row r="104" spans="1:33" s="12" customFormat="1" x14ac:dyDescent="0.25">
      <c r="A104" s="214" t="s">
        <v>631</v>
      </c>
      <c r="B104" s="64">
        <v>2.5099999999999998</v>
      </c>
      <c r="C104" s="64">
        <v>1.1599999999999999</v>
      </c>
      <c r="D104" s="64">
        <v>3.58</v>
      </c>
      <c r="E104" s="64">
        <v>0.95</v>
      </c>
      <c r="F104" s="64">
        <v>5.37</v>
      </c>
      <c r="G104" s="64">
        <v>33.99</v>
      </c>
      <c r="H104" s="64">
        <v>15.51</v>
      </c>
      <c r="I104" s="64">
        <v>6.98</v>
      </c>
      <c r="J104" s="64">
        <v>0.57999999999999996</v>
      </c>
      <c r="K104" s="64">
        <v>196.14</v>
      </c>
      <c r="L104" s="64">
        <v>27.13</v>
      </c>
      <c r="M104" s="64">
        <v>59.66</v>
      </c>
      <c r="N104" s="64">
        <v>14.8</v>
      </c>
      <c r="O104" s="64">
        <v>0</v>
      </c>
      <c r="P104" s="64">
        <v>0.35</v>
      </c>
      <c r="Q104" s="64">
        <v>9.48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2.35</v>
      </c>
      <c r="C106" s="67">
        <f>MIN(C9:C104)</f>
        <v>0.31</v>
      </c>
      <c r="D106" s="67">
        <f t="shared" ref="D106:Q106" si="0">MIN(D9:D104)</f>
        <v>2.57</v>
      </c>
      <c r="E106" s="67">
        <f t="shared" si="0"/>
        <v>0.61</v>
      </c>
      <c r="F106" s="67">
        <f t="shared" si="0"/>
        <v>3.15</v>
      </c>
      <c r="G106" s="67">
        <f t="shared" si="0"/>
        <v>21.05</v>
      </c>
      <c r="H106" s="67">
        <f t="shared" si="0"/>
        <v>7.46</v>
      </c>
      <c r="I106" s="67">
        <f t="shared" si="0"/>
        <v>2.61</v>
      </c>
      <c r="J106" s="67">
        <f t="shared" si="0"/>
        <v>0.1</v>
      </c>
      <c r="K106" s="67">
        <f t="shared" si="0"/>
        <v>6.97</v>
      </c>
      <c r="L106" s="67">
        <f t="shared" si="0"/>
        <v>26.76</v>
      </c>
      <c r="M106" s="67">
        <f t="shared" si="0"/>
        <v>24.36</v>
      </c>
      <c r="N106" s="67">
        <f t="shared" si="0"/>
        <v>12.7</v>
      </c>
      <c r="O106" s="67">
        <f t="shared" si="0"/>
        <v>0</v>
      </c>
      <c r="P106" s="67">
        <f t="shared" si="0"/>
        <v>0.32</v>
      </c>
      <c r="Q106" s="67">
        <f t="shared" si="0"/>
        <v>9.26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3.28</v>
      </c>
      <c r="C107" s="66">
        <f t="shared" ref="C107:Q107" si="1">MAX(C9:C104)</f>
        <v>4.7</v>
      </c>
      <c r="D107" s="66">
        <f t="shared" si="1"/>
        <v>7.75</v>
      </c>
      <c r="E107" s="66">
        <f t="shared" si="1"/>
        <v>2.5499999999999998</v>
      </c>
      <c r="F107" s="66">
        <f t="shared" si="1"/>
        <v>11.25</v>
      </c>
      <c r="G107" s="66">
        <f t="shared" si="1"/>
        <v>62.37</v>
      </c>
      <c r="H107" s="66">
        <f t="shared" si="1"/>
        <v>21.18</v>
      </c>
      <c r="I107" s="66">
        <f t="shared" si="1"/>
        <v>7.74</v>
      </c>
      <c r="J107" s="66">
        <f t="shared" si="1"/>
        <v>4.4400000000000004</v>
      </c>
      <c r="K107" s="66">
        <f t="shared" si="1"/>
        <v>358.08</v>
      </c>
      <c r="L107" s="66">
        <f t="shared" si="1"/>
        <v>40.28</v>
      </c>
      <c r="M107" s="66">
        <f t="shared" si="1"/>
        <v>63.23</v>
      </c>
      <c r="N107" s="66">
        <f t="shared" si="1"/>
        <v>848.8</v>
      </c>
      <c r="O107" s="66">
        <f t="shared" si="1"/>
        <v>0</v>
      </c>
      <c r="P107" s="66">
        <f t="shared" si="1"/>
        <v>0.56999999999999995</v>
      </c>
      <c r="Q107" s="66">
        <f t="shared" si="1"/>
        <v>9.48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2.8014583333333327</v>
      </c>
      <c r="C108" s="67">
        <f t="shared" ref="C108:Q108" si="2">AVERAGE(C9:C104)</f>
        <v>2.6035416666666675</v>
      </c>
      <c r="D108" s="67">
        <f t="shared" si="2"/>
        <v>5.3144791666666658</v>
      </c>
      <c r="E108" s="67">
        <f t="shared" si="2"/>
        <v>1.3208333333333333</v>
      </c>
      <c r="F108" s="67">
        <f t="shared" si="2"/>
        <v>5.9646875000000028</v>
      </c>
      <c r="G108" s="67">
        <f t="shared" si="2"/>
        <v>36.676562499999982</v>
      </c>
      <c r="H108" s="67">
        <f t="shared" si="2"/>
        <v>15.505729166666669</v>
      </c>
      <c r="I108" s="67">
        <f t="shared" si="2"/>
        <v>4.5731250000000001</v>
      </c>
      <c r="J108" s="67">
        <f t="shared" si="2"/>
        <v>1.0151041666666665</v>
      </c>
      <c r="K108" s="67">
        <f t="shared" si="2"/>
        <v>218.69093749999999</v>
      </c>
      <c r="L108" s="67">
        <f t="shared" si="2"/>
        <v>31.989895833333339</v>
      </c>
      <c r="M108" s="67">
        <f t="shared" si="2"/>
        <v>44.089166666666671</v>
      </c>
      <c r="N108" s="67">
        <f t="shared" si="2"/>
        <v>225.94999999999993</v>
      </c>
      <c r="O108" s="67">
        <f t="shared" si="2"/>
        <v>0</v>
      </c>
      <c r="P108" s="67">
        <f t="shared" si="2"/>
        <v>0.42729166666666668</v>
      </c>
      <c r="Q108" s="67">
        <f t="shared" si="2"/>
        <v>9.3765625000000039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0.24564406927896673</v>
      </c>
      <c r="C109" s="67">
        <f t="shared" ref="C109:Q109" si="3">STDEV(C9:C104)</f>
        <v>1.2960384815328703</v>
      </c>
      <c r="D109" s="67">
        <f t="shared" si="3"/>
        <v>1.5246037412988505</v>
      </c>
      <c r="E109" s="67">
        <f t="shared" si="3"/>
        <v>0.49137329933386248</v>
      </c>
      <c r="F109" s="67">
        <f t="shared" si="3"/>
        <v>1.8189215735675488</v>
      </c>
      <c r="G109" s="67">
        <f t="shared" si="3"/>
        <v>9.9620272538565278</v>
      </c>
      <c r="H109" s="67">
        <f t="shared" si="3"/>
        <v>3.532442943195226</v>
      </c>
      <c r="I109" s="67">
        <f t="shared" si="3"/>
        <v>1.4215168418203676</v>
      </c>
      <c r="J109" s="67">
        <f t="shared" si="3"/>
        <v>0.90133818034679847</v>
      </c>
      <c r="K109" s="67">
        <f t="shared" si="3"/>
        <v>110.37048407954893</v>
      </c>
      <c r="L109" s="67">
        <f t="shared" si="3"/>
        <v>4.5082192761296094</v>
      </c>
      <c r="M109" s="67">
        <f t="shared" si="3"/>
        <v>13.671420183161697</v>
      </c>
      <c r="N109" s="67">
        <f t="shared" si="3"/>
        <v>296.00160063578602</v>
      </c>
      <c r="O109" s="67">
        <f t="shared" si="3"/>
        <v>0</v>
      </c>
      <c r="P109" s="67">
        <f t="shared" si="3"/>
        <v>6.654605317359169E-2</v>
      </c>
      <c r="Q109" s="67">
        <f t="shared" si="3"/>
        <v>5.0467876703378108E-2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4" sqref="G13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633</v>
      </c>
      <c r="B9" s="25">
        <v>2.39</v>
      </c>
      <c r="C9" s="25">
        <v>0.54</v>
      </c>
      <c r="D9" s="25">
        <v>2.84</v>
      </c>
      <c r="E9" s="25">
        <v>0.86</v>
      </c>
      <c r="F9" s="25">
        <v>5.29</v>
      </c>
      <c r="G9" s="25">
        <v>33.99</v>
      </c>
      <c r="H9" s="25">
        <v>15.51</v>
      </c>
      <c r="I9" s="25">
        <v>6.69</v>
      </c>
      <c r="J9" s="25">
        <v>0.19</v>
      </c>
      <c r="K9" s="25">
        <v>221.68</v>
      </c>
      <c r="L9" s="25">
        <v>27.08</v>
      </c>
      <c r="M9" s="25">
        <v>59.42</v>
      </c>
      <c r="N9" s="25">
        <v>14.9</v>
      </c>
      <c r="O9" s="25">
        <v>0</v>
      </c>
      <c r="P9" s="25">
        <v>0.35</v>
      </c>
      <c r="Q9" s="25">
        <v>9.44</v>
      </c>
      <c r="R9" s="198"/>
      <c r="S9" s="198"/>
      <c r="T9" s="198"/>
      <c r="U9" s="198"/>
    </row>
    <row r="10" spans="1:21" s="12" customFormat="1" x14ac:dyDescent="0.25">
      <c r="A10" s="215" t="s">
        <v>634</v>
      </c>
      <c r="B10" s="25">
        <v>2.5099999999999998</v>
      </c>
      <c r="C10" s="25">
        <v>0.88</v>
      </c>
      <c r="D10" s="25">
        <v>3.29</v>
      </c>
      <c r="E10" s="25">
        <v>1.04</v>
      </c>
      <c r="F10" s="25">
        <v>5.31</v>
      </c>
      <c r="G10" s="25">
        <v>30.97</v>
      </c>
      <c r="H10" s="25">
        <v>14.25</v>
      </c>
      <c r="I10" s="25">
        <v>6.36</v>
      </c>
      <c r="J10" s="25">
        <v>0.33</v>
      </c>
      <c r="K10" s="25">
        <v>213.05</v>
      </c>
      <c r="L10" s="25">
        <v>27.06</v>
      </c>
      <c r="M10" s="25">
        <v>59.37</v>
      </c>
      <c r="N10" s="25">
        <v>14.9</v>
      </c>
      <c r="O10" s="25">
        <v>0</v>
      </c>
      <c r="P10" s="25">
        <v>0.34</v>
      </c>
      <c r="Q10" s="25">
        <v>9.44</v>
      </c>
      <c r="R10" s="198"/>
      <c r="S10" s="198"/>
      <c r="T10" s="198"/>
      <c r="U10" s="198"/>
    </row>
    <row r="11" spans="1:21" s="12" customFormat="1" x14ac:dyDescent="0.25">
      <c r="A11" s="215" t="s">
        <v>635</v>
      </c>
      <c r="B11" s="25">
        <v>2.75</v>
      </c>
      <c r="C11" s="25">
        <v>2.1</v>
      </c>
      <c r="D11" s="25">
        <v>4.76</v>
      </c>
      <c r="E11" s="25">
        <v>0.95</v>
      </c>
      <c r="F11" s="25">
        <v>4.6500000000000004</v>
      </c>
      <c r="G11" s="25">
        <v>28.2</v>
      </c>
      <c r="H11" s="25">
        <v>13.09</v>
      </c>
      <c r="I11" s="25">
        <v>5.98</v>
      </c>
      <c r="J11" s="25">
        <v>1.34</v>
      </c>
      <c r="K11" s="25">
        <v>348.31</v>
      </c>
      <c r="L11" s="25">
        <v>26.95</v>
      </c>
      <c r="M11" s="25">
        <v>60.64</v>
      </c>
      <c r="N11" s="25">
        <v>14.8</v>
      </c>
      <c r="O11" s="25">
        <v>0</v>
      </c>
      <c r="P11" s="25">
        <v>0.34</v>
      </c>
      <c r="Q11" s="25">
        <v>9.4600000000000009</v>
      </c>
      <c r="R11" s="198"/>
      <c r="S11" s="198"/>
      <c r="T11" s="198"/>
      <c r="U11" s="198"/>
    </row>
    <row r="12" spans="1:21" s="12" customFormat="1" x14ac:dyDescent="0.25">
      <c r="A12" s="215" t="s">
        <v>636</v>
      </c>
      <c r="B12" s="25">
        <v>2.68</v>
      </c>
      <c r="C12" s="25">
        <v>1.5</v>
      </c>
      <c r="D12" s="25">
        <v>4.09</v>
      </c>
      <c r="E12" s="25">
        <v>1.07</v>
      </c>
      <c r="F12" s="25">
        <v>4.62</v>
      </c>
      <c r="G12" s="25">
        <v>28.2</v>
      </c>
      <c r="H12" s="25">
        <v>13.09</v>
      </c>
      <c r="I12" s="25">
        <v>5.63</v>
      </c>
      <c r="J12" s="25">
        <v>3.15</v>
      </c>
      <c r="K12" s="25">
        <v>347</v>
      </c>
      <c r="L12" s="25">
        <v>27.38</v>
      </c>
      <c r="M12" s="25">
        <v>58.51</v>
      </c>
      <c r="N12" s="25">
        <v>14.5</v>
      </c>
      <c r="O12" s="25">
        <v>0</v>
      </c>
      <c r="P12" s="25">
        <v>0.33</v>
      </c>
      <c r="Q12" s="25">
        <v>9.4499999999999993</v>
      </c>
      <c r="R12" s="198"/>
      <c r="S12" s="198"/>
      <c r="T12" s="198"/>
      <c r="U12" s="198"/>
    </row>
    <row r="13" spans="1:21" s="12" customFormat="1" x14ac:dyDescent="0.25">
      <c r="A13" s="215" t="s">
        <v>637</v>
      </c>
      <c r="B13" s="25">
        <v>2.5299999999999998</v>
      </c>
      <c r="C13" s="25">
        <v>0.96</v>
      </c>
      <c r="D13" s="25">
        <v>3.4</v>
      </c>
      <c r="E13" s="25">
        <v>0.95</v>
      </c>
      <c r="F13" s="25">
        <v>6.13</v>
      </c>
      <c r="G13" s="25">
        <v>28.2</v>
      </c>
      <c r="H13" s="25">
        <v>13.09</v>
      </c>
      <c r="I13" s="25">
        <v>5.42</v>
      </c>
      <c r="J13" s="25">
        <v>2.4900000000000002</v>
      </c>
      <c r="K13" s="25">
        <v>343.38</v>
      </c>
      <c r="L13" s="25">
        <v>27.35</v>
      </c>
      <c r="M13" s="25">
        <v>55.99</v>
      </c>
      <c r="N13" s="25">
        <v>15.3</v>
      </c>
      <c r="O13" s="25">
        <v>0</v>
      </c>
      <c r="P13" s="25">
        <v>0.32</v>
      </c>
      <c r="Q13" s="25">
        <v>9.42</v>
      </c>
      <c r="R13" s="198"/>
      <c r="S13" s="198"/>
      <c r="T13" s="198"/>
      <c r="U13" s="198"/>
    </row>
    <row r="14" spans="1:21" s="12" customFormat="1" x14ac:dyDescent="0.25">
      <c r="A14" s="215" t="s">
        <v>638</v>
      </c>
      <c r="B14" s="25">
        <v>2.58</v>
      </c>
      <c r="C14" s="25">
        <v>1.28</v>
      </c>
      <c r="D14" s="25">
        <v>3.77</v>
      </c>
      <c r="E14" s="25">
        <v>1.2</v>
      </c>
      <c r="F14" s="25">
        <v>5.84</v>
      </c>
      <c r="G14" s="25">
        <v>35.630000000000003</v>
      </c>
      <c r="H14" s="25">
        <v>14.58</v>
      </c>
      <c r="I14" s="25">
        <v>5.16</v>
      </c>
      <c r="J14" s="25">
        <v>2.63</v>
      </c>
      <c r="K14" s="25">
        <v>329.77</v>
      </c>
      <c r="L14" s="25">
        <v>27.16</v>
      </c>
      <c r="M14" s="25">
        <v>56.08</v>
      </c>
      <c r="N14" s="25">
        <v>15.5</v>
      </c>
      <c r="O14" s="25">
        <v>0</v>
      </c>
      <c r="P14" s="25">
        <v>0.34</v>
      </c>
      <c r="Q14" s="25">
        <v>9.4600000000000009</v>
      </c>
      <c r="R14" s="198"/>
      <c r="S14" s="198"/>
      <c r="T14" s="198"/>
      <c r="U14" s="198"/>
    </row>
    <row r="15" spans="1:21" s="12" customFormat="1" x14ac:dyDescent="0.25">
      <c r="A15" s="215" t="s">
        <v>639</v>
      </c>
      <c r="B15" s="25">
        <v>2.58</v>
      </c>
      <c r="C15" s="25">
        <v>1.28</v>
      </c>
      <c r="D15" s="25">
        <v>3.77</v>
      </c>
      <c r="E15" s="25">
        <v>1.25</v>
      </c>
      <c r="F15" s="25">
        <v>6.01</v>
      </c>
      <c r="G15" s="25">
        <v>42.73</v>
      </c>
      <c r="H15" s="25">
        <v>16</v>
      </c>
      <c r="I15" s="25">
        <v>4.87</v>
      </c>
      <c r="J15" s="25">
        <v>2.37</v>
      </c>
      <c r="K15" s="25">
        <v>320.22000000000003</v>
      </c>
      <c r="L15" s="25">
        <v>26.7</v>
      </c>
      <c r="M15" s="25">
        <v>60.13</v>
      </c>
      <c r="N15" s="25">
        <v>17.100000000000001</v>
      </c>
      <c r="O15" s="25">
        <v>0</v>
      </c>
      <c r="P15" s="25">
        <v>0.31</v>
      </c>
      <c r="Q15" s="25">
        <v>9.43</v>
      </c>
      <c r="R15" s="198"/>
      <c r="S15" s="198"/>
      <c r="T15" s="198"/>
      <c r="U15" s="198"/>
    </row>
    <row r="16" spans="1:21" s="12" customFormat="1" x14ac:dyDescent="0.25">
      <c r="A16" s="215" t="s">
        <v>640</v>
      </c>
      <c r="B16" s="25">
        <v>2.4</v>
      </c>
      <c r="C16" s="25">
        <v>0.52</v>
      </c>
      <c r="D16" s="25">
        <v>2.83</v>
      </c>
      <c r="E16" s="25">
        <v>1.1100000000000001</v>
      </c>
      <c r="F16" s="25">
        <v>7.4</v>
      </c>
      <c r="G16" s="25">
        <v>42.73</v>
      </c>
      <c r="H16" s="25">
        <v>16</v>
      </c>
      <c r="I16" s="25">
        <v>4.5599999999999996</v>
      </c>
      <c r="J16" s="25">
        <v>0.8</v>
      </c>
      <c r="K16" s="25">
        <v>331.64</v>
      </c>
      <c r="L16" s="25">
        <v>26</v>
      </c>
      <c r="M16" s="25">
        <v>64.11</v>
      </c>
      <c r="N16" s="25">
        <v>13.8</v>
      </c>
      <c r="O16" s="25">
        <v>0</v>
      </c>
      <c r="P16" s="25">
        <v>0.3</v>
      </c>
      <c r="Q16" s="25">
        <v>9.3699999999999992</v>
      </c>
      <c r="R16" s="198"/>
      <c r="S16" s="198"/>
      <c r="T16" s="198"/>
      <c r="U16" s="198"/>
    </row>
    <row r="17" spans="1:21" s="12" customFormat="1" x14ac:dyDescent="0.25">
      <c r="A17" s="215" t="s">
        <v>641</v>
      </c>
      <c r="B17" s="25">
        <v>2.54</v>
      </c>
      <c r="C17" s="25">
        <v>0.87</v>
      </c>
      <c r="D17" s="25">
        <v>3.33</v>
      </c>
      <c r="E17" s="25">
        <v>0.87</v>
      </c>
      <c r="F17" s="25">
        <v>7.09</v>
      </c>
      <c r="G17" s="25">
        <v>42.73</v>
      </c>
      <c r="H17" s="25">
        <v>16</v>
      </c>
      <c r="I17" s="25">
        <v>4.1399999999999997</v>
      </c>
      <c r="J17" s="25">
        <v>0.39</v>
      </c>
      <c r="K17" s="25">
        <v>25.01</v>
      </c>
      <c r="L17" s="25">
        <v>25.29</v>
      </c>
      <c r="M17" s="25">
        <v>68.02</v>
      </c>
      <c r="N17" s="25">
        <v>13.6</v>
      </c>
      <c r="O17" s="25">
        <v>0.2</v>
      </c>
      <c r="P17" s="25">
        <v>0.28999999999999998</v>
      </c>
      <c r="Q17" s="25">
        <v>9.3699999999999992</v>
      </c>
      <c r="R17" s="198"/>
      <c r="S17" s="198"/>
      <c r="T17" s="198"/>
      <c r="U17" s="198"/>
    </row>
    <row r="18" spans="1:21" s="12" customFormat="1" x14ac:dyDescent="0.25">
      <c r="A18" s="215" t="s">
        <v>642</v>
      </c>
      <c r="B18" s="25">
        <v>2.5499999999999998</v>
      </c>
      <c r="C18" s="25">
        <v>0.83</v>
      </c>
      <c r="D18" s="25">
        <v>3.29</v>
      </c>
      <c r="E18" s="25">
        <v>1.39</v>
      </c>
      <c r="F18" s="25">
        <v>6.78</v>
      </c>
      <c r="G18" s="25">
        <v>39.78</v>
      </c>
      <c r="H18" s="25">
        <v>14.41</v>
      </c>
      <c r="I18" s="25">
        <v>3.75</v>
      </c>
      <c r="J18" s="25">
        <v>0.82</v>
      </c>
      <c r="K18" s="25">
        <v>149.47999999999999</v>
      </c>
      <c r="L18" s="25">
        <v>25.3</v>
      </c>
      <c r="M18" s="25">
        <v>74.290000000000006</v>
      </c>
      <c r="N18" s="25">
        <v>14.2</v>
      </c>
      <c r="O18" s="25">
        <v>0.2</v>
      </c>
      <c r="P18" s="25">
        <v>0.28000000000000003</v>
      </c>
      <c r="Q18" s="25">
        <v>9.3699999999999992</v>
      </c>
      <c r="R18" s="198"/>
      <c r="S18" s="198"/>
      <c r="T18" s="198"/>
      <c r="U18" s="198"/>
    </row>
    <row r="19" spans="1:21" s="12" customFormat="1" x14ac:dyDescent="0.25">
      <c r="A19" s="215" t="s">
        <v>643</v>
      </c>
      <c r="B19" s="25">
        <v>2.4300000000000002</v>
      </c>
      <c r="C19" s="25">
        <v>0.41</v>
      </c>
      <c r="D19" s="25">
        <v>2.75</v>
      </c>
      <c r="E19" s="25">
        <v>0.81</v>
      </c>
      <c r="F19" s="25">
        <v>5.25</v>
      </c>
      <c r="G19" s="25">
        <v>36.97</v>
      </c>
      <c r="H19" s="25">
        <v>12.95</v>
      </c>
      <c r="I19" s="25">
        <v>3.5</v>
      </c>
      <c r="J19" s="25">
        <v>0.86</v>
      </c>
      <c r="K19" s="25">
        <v>122.41</v>
      </c>
      <c r="L19" s="25">
        <v>24.7</v>
      </c>
      <c r="M19" s="25">
        <v>77.16</v>
      </c>
      <c r="N19" s="25">
        <v>14.1</v>
      </c>
      <c r="O19" s="25">
        <v>0</v>
      </c>
      <c r="P19" s="25">
        <v>0.28000000000000003</v>
      </c>
      <c r="Q19" s="25">
        <v>9.4</v>
      </c>
      <c r="R19" s="198"/>
      <c r="S19" s="198"/>
      <c r="T19" s="198"/>
      <c r="U19" s="198"/>
    </row>
    <row r="20" spans="1:21" s="12" customFormat="1" x14ac:dyDescent="0.25">
      <c r="A20" s="215" t="s">
        <v>644</v>
      </c>
      <c r="B20" s="25">
        <v>2.5299999999999998</v>
      </c>
      <c r="C20" s="25">
        <v>0.73</v>
      </c>
      <c r="D20" s="25">
        <v>3.17</v>
      </c>
      <c r="E20" s="25">
        <v>1.26</v>
      </c>
      <c r="F20" s="25">
        <v>4.53</v>
      </c>
      <c r="G20" s="25">
        <v>36.97</v>
      </c>
      <c r="H20" s="25">
        <v>12.95</v>
      </c>
      <c r="I20" s="25">
        <v>3.48</v>
      </c>
      <c r="J20" s="25">
        <v>0.83</v>
      </c>
      <c r="K20" s="25">
        <v>147.35</v>
      </c>
      <c r="L20" s="25">
        <v>25.01</v>
      </c>
      <c r="M20" s="25">
        <v>72.05</v>
      </c>
      <c r="N20" s="25">
        <v>15.7</v>
      </c>
      <c r="O20" s="25">
        <v>0</v>
      </c>
      <c r="P20" s="25">
        <v>0.27</v>
      </c>
      <c r="Q20" s="25">
        <v>9.41</v>
      </c>
      <c r="R20" s="198"/>
      <c r="S20" s="198"/>
      <c r="T20" s="198"/>
      <c r="U20" s="198"/>
    </row>
    <row r="21" spans="1:21" s="12" customFormat="1" x14ac:dyDescent="0.25">
      <c r="A21" s="215" t="s">
        <v>645</v>
      </c>
      <c r="B21" s="25">
        <v>2.64</v>
      </c>
      <c r="C21" s="25">
        <v>1.05</v>
      </c>
      <c r="D21" s="25">
        <v>3.6</v>
      </c>
      <c r="E21" s="25">
        <v>0.92</v>
      </c>
      <c r="F21" s="25">
        <v>4.3099999999999996</v>
      </c>
      <c r="G21" s="25">
        <v>36.97</v>
      </c>
      <c r="H21" s="25">
        <v>12.95</v>
      </c>
      <c r="I21" s="25">
        <v>3.7</v>
      </c>
      <c r="J21" s="25">
        <v>1.19</v>
      </c>
      <c r="K21" s="25">
        <v>161.86000000000001</v>
      </c>
      <c r="L21" s="25">
        <v>25.25</v>
      </c>
      <c r="M21" s="25">
        <v>70.150000000000006</v>
      </c>
      <c r="N21" s="25">
        <v>16</v>
      </c>
      <c r="O21" s="25">
        <v>0</v>
      </c>
      <c r="P21" s="25">
        <v>0.27</v>
      </c>
      <c r="Q21" s="25">
        <v>9.42</v>
      </c>
      <c r="R21" s="198"/>
      <c r="S21" s="198"/>
      <c r="T21" s="198"/>
      <c r="U21" s="198"/>
    </row>
    <row r="22" spans="1:21" s="12" customFormat="1" x14ac:dyDescent="0.25">
      <c r="A22" s="215" t="s">
        <v>646</v>
      </c>
      <c r="B22" s="25">
        <v>2.5</v>
      </c>
      <c r="C22" s="25">
        <v>0.65</v>
      </c>
      <c r="D22" s="25">
        <v>3.07</v>
      </c>
      <c r="E22" s="25">
        <v>1.3</v>
      </c>
      <c r="F22" s="25">
        <v>4.37</v>
      </c>
      <c r="G22" s="25">
        <v>36.71</v>
      </c>
      <c r="H22" s="25">
        <v>13.31</v>
      </c>
      <c r="I22" s="25">
        <v>4.0199999999999996</v>
      </c>
      <c r="J22" s="25">
        <v>1.34</v>
      </c>
      <c r="K22" s="25">
        <v>158.79</v>
      </c>
      <c r="L22" s="25">
        <v>25.56</v>
      </c>
      <c r="M22" s="25">
        <v>68.77</v>
      </c>
      <c r="N22" s="25">
        <v>14.6</v>
      </c>
      <c r="O22" s="25">
        <v>0</v>
      </c>
      <c r="P22" s="25">
        <v>0.27</v>
      </c>
      <c r="Q22" s="25">
        <v>9.42</v>
      </c>
      <c r="R22" s="198"/>
      <c r="S22" s="198"/>
      <c r="T22" s="198"/>
      <c r="U22" s="198"/>
    </row>
    <row r="23" spans="1:21" s="12" customFormat="1" x14ac:dyDescent="0.25">
      <c r="A23" s="215" t="s">
        <v>647</v>
      </c>
      <c r="B23" s="25">
        <v>2.65</v>
      </c>
      <c r="C23" s="25">
        <v>1.23</v>
      </c>
      <c r="D23" s="25">
        <v>3.79</v>
      </c>
      <c r="E23" s="25">
        <v>1.19</v>
      </c>
      <c r="F23" s="25">
        <v>4.18</v>
      </c>
      <c r="G23" s="25">
        <v>36.47</v>
      </c>
      <c r="H23" s="25">
        <v>13.66</v>
      </c>
      <c r="I23" s="25">
        <v>4.34</v>
      </c>
      <c r="J23" s="25">
        <v>0.91</v>
      </c>
      <c r="K23" s="25">
        <v>148.84</v>
      </c>
      <c r="L23" s="25">
        <v>25.68</v>
      </c>
      <c r="M23" s="25">
        <v>68.23</v>
      </c>
      <c r="N23" s="25">
        <v>15</v>
      </c>
      <c r="O23" s="25">
        <v>0</v>
      </c>
      <c r="P23" s="25">
        <v>0.28000000000000003</v>
      </c>
      <c r="Q23" s="25">
        <v>9.4499999999999993</v>
      </c>
      <c r="R23" s="198"/>
      <c r="S23" s="198"/>
      <c r="T23" s="198"/>
      <c r="U23" s="198"/>
    </row>
    <row r="24" spans="1:21" s="12" customFormat="1" x14ac:dyDescent="0.25">
      <c r="A24" s="215" t="s">
        <v>648</v>
      </c>
      <c r="B24" s="25">
        <v>2.4500000000000002</v>
      </c>
      <c r="C24" s="25">
        <v>0.65</v>
      </c>
      <c r="D24" s="25">
        <v>3.01</v>
      </c>
      <c r="E24" s="25">
        <v>1.1299999999999999</v>
      </c>
      <c r="F24" s="25">
        <v>4.24</v>
      </c>
      <c r="G24" s="25">
        <v>36.47</v>
      </c>
      <c r="H24" s="25">
        <v>13.66</v>
      </c>
      <c r="I24" s="25">
        <v>4.76</v>
      </c>
      <c r="J24" s="25">
        <v>0.25</v>
      </c>
      <c r="K24" s="25">
        <v>131.91999999999999</v>
      </c>
      <c r="L24" s="25">
        <v>25.77</v>
      </c>
      <c r="M24" s="25">
        <v>67.81</v>
      </c>
      <c r="N24" s="25">
        <v>15.5</v>
      </c>
      <c r="O24" s="25">
        <v>0</v>
      </c>
      <c r="P24" s="25">
        <v>0.28000000000000003</v>
      </c>
      <c r="Q24" s="25">
        <v>9.43</v>
      </c>
      <c r="R24" s="198"/>
      <c r="S24" s="198"/>
      <c r="T24" s="198"/>
      <c r="U24" s="198"/>
    </row>
    <row r="25" spans="1:21" s="12" customFormat="1" x14ac:dyDescent="0.25">
      <c r="A25" s="215" t="s">
        <v>649</v>
      </c>
      <c r="B25" s="25">
        <v>2.37</v>
      </c>
      <c r="C25" s="25">
        <v>0.41</v>
      </c>
      <c r="D25" s="25">
        <v>2.7</v>
      </c>
      <c r="E25" s="25">
        <v>1.18</v>
      </c>
      <c r="F25" s="25">
        <v>4.08</v>
      </c>
      <c r="G25" s="25">
        <v>36.47</v>
      </c>
      <c r="H25" s="25">
        <v>13.66</v>
      </c>
      <c r="I25" s="25">
        <v>4.99</v>
      </c>
      <c r="J25" s="25">
        <v>0.32</v>
      </c>
      <c r="K25" s="25">
        <v>95.51</v>
      </c>
      <c r="L25" s="25">
        <v>25.69</v>
      </c>
      <c r="M25" s="25">
        <v>68.239999999999995</v>
      </c>
      <c r="N25" s="25">
        <v>15.6</v>
      </c>
      <c r="O25" s="25">
        <v>0</v>
      </c>
      <c r="P25" s="25">
        <v>0.27</v>
      </c>
      <c r="Q25" s="25">
        <v>9.41</v>
      </c>
      <c r="R25" s="198"/>
      <c r="S25" s="198"/>
      <c r="T25" s="198"/>
      <c r="U25" s="198"/>
    </row>
    <row r="26" spans="1:21" s="12" customFormat="1" x14ac:dyDescent="0.25">
      <c r="A26" s="215" t="s">
        <v>650</v>
      </c>
      <c r="B26" s="25">
        <v>2.52</v>
      </c>
      <c r="C26" s="25">
        <v>0.89</v>
      </c>
      <c r="D26" s="25">
        <v>3.33</v>
      </c>
      <c r="E26" s="25">
        <v>0.92</v>
      </c>
      <c r="F26" s="25">
        <v>4.41</v>
      </c>
      <c r="G26" s="25">
        <v>42.58</v>
      </c>
      <c r="H26" s="25">
        <v>13.21</v>
      </c>
      <c r="I26" s="25">
        <v>4.93</v>
      </c>
      <c r="J26" s="25">
        <v>0.57999999999999996</v>
      </c>
      <c r="K26" s="25">
        <v>4.59</v>
      </c>
      <c r="L26" s="25">
        <v>25.7</v>
      </c>
      <c r="M26" s="25">
        <v>71.17</v>
      </c>
      <c r="N26" s="25">
        <v>15.5</v>
      </c>
      <c r="O26" s="25">
        <v>0</v>
      </c>
      <c r="P26" s="25">
        <v>0.28000000000000003</v>
      </c>
      <c r="Q26" s="25">
        <v>9.44</v>
      </c>
      <c r="R26" s="198"/>
      <c r="S26" s="198"/>
      <c r="T26" s="198"/>
      <c r="U26" s="198"/>
    </row>
    <row r="27" spans="1:21" s="12" customFormat="1" x14ac:dyDescent="0.25">
      <c r="A27" s="215" t="s">
        <v>651</v>
      </c>
      <c r="B27" s="25">
        <v>2.61</v>
      </c>
      <c r="C27" s="25">
        <v>1.28</v>
      </c>
      <c r="D27" s="25">
        <v>3.79</v>
      </c>
      <c r="E27" s="25">
        <v>1.1399999999999999</v>
      </c>
      <c r="F27" s="25">
        <v>3.81</v>
      </c>
      <c r="G27" s="25">
        <v>48.17</v>
      </c>
      <c r="H27" s="25">
        <v>12.78</v>
      </c>
      <c r="I27" s="25">
        <v>4.6100000000000003</v>
      </c>
      <c r="J27" s="25">
        <v>1.71</v>
      </c>
      <c r="K27" s="25">
        <v>345.78</v>
      </c>
      <c r="L27" s="25">
        <v>25.97</v>
      </c>
      <c r="M27" s="25">
        <v>69.95</v>
      </c>
      <c r="N27" s="25">
        <v>15</v>
      </c>
      <c r="O27" s="25">
        <v>0</v>
      </c>
      <c r="P27" s="25">
        <v>0.28999999999999998</v>
      </c>
      <c r="Q27" s="25">
        <v>9.43</v>
      </c>
      <c r="R27" s="198"/>
      <c r="S27" s="198"/>
      <c r="T27" s="198"/>
      <c r="U27" s="198"/>
    </row>
    <row r="28" spans="1:21" s="12" customFormat="1" x14ac:dyDescent="0.25">
      <c r="A28" s="215" t="s">
        <v>652</v>
      </c>
      <c r="B28" s="25">
        <v>2.4900000000000002</v>
      </c>
      <c r="C28" s="25">
        <v>0.82</v>
      </c>
      <c r="D28" s="25">
        <v>3.21</v>
      </c>
      <c r="E28" s="25">
        <v>0.88</v>
      </c>
      <c r="F28" s="25">
        <v>4.22</v>
      </c>
      <c r="G28" s="25">
        <v>48.17</v>
      </c>
      <c r="H28" s="25">
        <v>12.78</v>
      </c>
      <c r="I28" s="25">
        <v>4.5999999999999996</v>
      </c>
      <c r="J28" s="25">
        <v>1.7</v>
      </c>
      <c r="K28" s="25">
        <v>348.26</v>
      </c>
      <c r="L28" s="25">
        <v>25.74</v>
      </c>
      <c r="M28" s="25">
        <v>72.569999999999993</v>
      </c>
      <c r="N28" s="25">
        <v>16</v>
      </c>
      <c r="O28" s="25">
        <v>0</v>
      </c>
      <c r="P28" s="25">
        <v>0.28999999999999998</v>
      </c>
      <c r="Q28" s="25">
        <v>9.39</v>
      </c>
      <c r="R28" s="198"/>
      <c r="S28" s="198"/>
      <c r="T28" s="198"/>
      <c r="U28" s="198"/>
    </row>
    <row r="29" spans="1:21" s="12" customFormat="1" x14ac:dyDescent="0.25">
      <c r="A29" s="215" t="s">
        <v>653</v>
      </c>
      <c r="B29" s="25">
        <v>2.73</v>
      </c>
      <c r="C29" s="25">
        <v>1.71</v>
      </c>
      <c r="D29" s="25">
        <v>4.3499999999999996</v>
      </c>
      <c r="E29" s="25">
        <v>1.51</v>
      </c>
      <c r="F29" s="25">
        <v>4.7300000000000004</v>
      </c>
      <c r="G29" s="25">
        <v>48.17</v>
      </c>
      <c r="H29" s="25">
        <v>12.78</v>
      </c>
      <c r="I29" s="25">
        <v>4.74</v>
      </c>
      <c r="J29" s="25">
        <v>2.38</v>
      </c>
      <c r="K29" s="25">
        <v>347.11</v>
      </c>
      <c r="L29" s="25">
        <v>25.29</v>
      </c>
      <c r="M29" s="25">
        <v>71.739999999999995</v>
      </c>
      <c r="N29" s="25">
        <v>17</v>
      </c>
      <c r="O29" s="25">
        <v>0</v>
      </c>
      <c r="P29" s="25">
        <v>0.31</v>
      </c>
      <c r="Q29" s="25">
        <v>9.4499999999999993</v>
      </c>
      <c r="R29" s="198"/>
      <c r="S29" s="198"/>
      <c r="T29" s="198"/>
      <c r="U29" s="198"/>
    </row>
    <row r="30" spans="1:21" s="12" customFormat="1" x14ac:dyDescent="0.25">
      <c r="A30" s="215" t="s">
        <v>654</v>
      </c>
      <c r="B30" s="25">
        <v>2.46</v>
      </c>
      <c r="C30" s="25">
        <v>0.77</v>
      </c>
      <c r="D30" s="25">
        <v>3.14</v>
      </c>
      <c r="E30" s="25">
        <v>1.27</v>
      </c>
      <c r="F30" s="25">
        <v>3.81</v>
      </c>
      <c r="G30" s="25">
        <v>50.19</v>
      </c>
      <c r="H30" s="25">
        <v>13.15</v>
      </c>
      <c r="I30" s="25">
        <v>4.68</v>
      </c>
      <c r="J30" s="25">
        <v>2.8</v>
      </c>
      <c r="K30" s="25">
        <v>346.35</v>
      </c>
      <c r="L30" s="25">
        <v>25.08</v>
      </c>
      <c r="M30" s="25">
        <v>72.099999999999994</v>
      </c>
      <c r="N30" s="25">
        <v>20.2</v>
      </c>
      <c r="O30" s="25">
        <v>0</v>
      </c>
      <c r="P30" s="25">
        <v>0.32</v>
      </c>
      <c r="Q30" s="25">
        <v>9.49</v>
      </c>
      <c r="R30" s="198"/>
      <c r="S30" s="198"/>
      <c r="T30" s="198"/>
      <c r="U30" s="198"/>
    </row>
    <row r="31" spans="1:21" s="12" customFormat="1" x14ac:dyDescent="0.25">
      <c r="A31" s="215" t="s">
        <v>655</v>
      </c>
      <c r="B31" s="25">
        <v>2.39</v>
      </c>
      <c r="C31" s="25">
        <v>0.52</v>
      </c>
      <c r="D31" s="25">
        <v>2.83</v>
      </c>
      <c r="E31" s="25">
        <v>1.01</v>
      </c>
      <c r="F31" s="25">
        <v>5.04</v>
      </c>
      <c r="G31" s="25">
        <v>52.12</v>
      </c>
      <c r="H31" s="25">
        <v>13.5</v>
      </c>
      <c r="I31" s="25">
        <v>4.5599999999999996</v>
      </c>
      <c r="J31" s="25">
        <v>3.09</v>
      </c>
      <c r="K31" s="25">
        <v>347.41</v>
      </c>
      <c r="L31" s="25">
        <v>24.67</v>
      </c>
      <c r="M31" s="25">
        <v>75.150000000000006</v>
      </c>
      <c r="N31" s="25">
        <v>29</v>
      </c>
      <c r="O31" s="25">
        <v>0</v>
      </c>
      <c r="P31" s="25">
        <v>0.34</v>
      </c>
      <c r="Q31" s="25">
        <v>9.48</v>
      </c>
      <c r="R31" s="198"/>
      <c r="S31" s="198"/>
      <c r="T31" s="198"/>
      <c r="U31" s="198"/>
    </row>
    <row r="32" spans="1:21" s="12" customFormat="1" x14ac:dyDescent="0.25">
      <c r="A32" s="215" t="s">
        <v>656</v>
      </c>
      <c r="B32" s="25">
        <v>2.63</v>
      </c>
      <c r="C32" s="25">
        <v>1.41</v>
      </c>
      <c r="D32" s="25">
        <v>3.95</v>
      </c>
      <c r="E32" s="25">
        <v>1.1399999999999999</v>
      </c>
      <c r="F32" s="25">
        <v>3.98</v>
      </c>
      <c r="G32" s="25">
        <v>52.12</v>
      </c>
      <c r="H32" s="25">
        <v>13.5</v>
      </c>
      <c r="I32" s="25">
        <v>4.42</v>
      </c>
      <c r="J32" s="25">
        <v>3.4</v>
      </c>
      <c r="K32" s="25">
        <v>346.99</v>
      </c>
      <c r="L32" s="25">
        <v>24.34</v>
      </c>
      <c r="M32" s="25">
        <v>76.05</v>
      </c>
      <c r="N32" s="25">
        <v>40.6</v>
      </c>
      <c r="O32" s="25">
        <v>0</v>
      </c>
      <c r="P32" s="25">
        <v>0.34</v>
      </c>
      <c r="Q32" s="25">
        <v>9.51</v>
      </c>
      <c r="R32" s="198"/>
      <c r="S32" s="198"/>
      <c r="T32" s="198"/>
      <c r="U32" s="198"/>
    </row>
    <row r="33" spans="1:21" s="12" customFormat="1" x14ac:dyDescent="0.25">
      <c r="A33" s="215" t="s">
        <v>657</v>
      </c>
      <c r="B33" s="25">
        <v>2.61</v>
      </c>
      <c r="C33" s="25">
        <v>1.4</v>
      </c>
      <c r="D33" s="25">
        <v>3.92</v>
      </c>
      <c r="E33" s="25">
        <v>1.04</v>
      </c>
      <c r="F33" s="25">
        <v>4.8600000000000003</v>
      </c>
      <c r="G33" s="25">
        <v>52.12</v>
      </c>
      <c r="H33" s="25">
        <v>13.5</v>
      </c>
      <c r="I33" s="25">
        <v>4.26</v>
      </c>
      <c r="J33" s="25">
        <v>2.94</v>
      </c>
      <c r="K33" s="25">
        <v>341.6</v>
      </c>
      <c r="L33" s="25">
        <v>24.14</v>
      </c>
      <c r="M33" s="25">
        <v>76.69</v>
      </c>
      <c r="N33" s="25">
        <v>47.3</v>
      </c>
      <c r="O33" s="25">
        <v>0</v>
      </c>
      <c r="P33" s="25">
        <v>0.34</v>
      </c>
      <c r="Q33" s="25">
        <v>9.42</v>
      </c>
      <c r="R33" s="198"/>
      <c r="S33" s="198"/>
      <c r="T33" s="198"/>
      <c r="U33" s="198"/>
    </row>
    <row r="34" spans="1:21" s="12" customFormat="1" x14ac:dyDescent="0.25">
      <c r="A34" s="215" t="s">
        <v>658</v>
      </c>
      <c r="B34" s="25">
        <v>2.41</v>
      </c>
      <c r="C34" s="25">
        <v>0.48</v>
      </c>
      <c r="D34" s="25">
        <v>2.8</v>
      </c>
      <c r="E34" s="25">
        <v>0.93</v>
      </c>
      <c r="F34" s="25">
        <v>4.97</v>
      </c>
      <c r="G34" s="25">
        <v>50.56</v>
      </c>
      <c r="H34" s="25">
        <v>14.94</v>
      </c>
      <c r="I34" s="25">
        <v>3.98</v>
      </c>
      <c r="J34" s="25">
        <v>2.88</v>
      </c>
      <c r="K34" s="25">
        <v>342.85</v>
      </c>
      <c r="L34" s="25">
        <v>24.17</v>
      </c>
      <c r="M34" s="25">
        <v>73.97</v>
      </c>
      <c r="N34" s="25">
        <v>66.400000000000006</v>
      </c>
      <c r="O34" s="25">
        <v>0</v>
      </c>
      <c r="P34" s="25">
        <v>0.34</v>
      </c>
      <c r="Q34" s="25">
        <v>9.3800000000000008</v>
      </c>
      <c r="R34" s="198"/>
      <c r="S34" s="198"/>
      <c r="T34" s="198"/>
      <c r="U34" s="198"/>
    </row>
    <row r="35" spans="1:21" s="12" customFormat="1" x14ac:dyDescent="0.25">
      <c r="A35" s="215" t="s">
        <v>659</v>
      </c>
      <c r="B35" s="25">
        <v>2.4300000000000002</v>
      </c>
      <c r="C35" s="25">
        <v>0.49</v>
      </c>
      <c r="D35" s="25">
        <v>2.83</v>
      </c>
      <c r="E35" s="25">
        <v>0.84</v>
      </c>
      <c r="F35" s="25">
        <v>5.42</v>
      </c>
      <c r="G35" s="25">
        <v>49.07</v>
      </c>
      <c r="H35" s="25">
        <v>16.260000000000002</v>
      </c>
      <c r="I35" s="25">
        <v>3.66</v>
      </c>
      <c r="J35" s="25">
        <v>3.3</v>
      </c>
      <c r="K35" s="25">
        <v>344.06</v>
      </c>
      <c r="L35" s="25">
        <v>24.43</v>
      </c>
      <c r="M35" s="25">
        <v>69.37</v>
      </c>
      <c r="N35" s="25">
        <v>78.400000000000006</v>
      </c>
      <c r="O35" s="25">
        <v>0</v>
      </c>
      <c r="P35" s="25">
        <v>0.34</v>
      </c>
      <c r="Q35" s="25">
        <v>9.39</v>
      </c>
      <c r="R35" s="198"/>
      <c r="S35" s="198"/>
      <c r="T35" s="198"/>
      <c r="U35" s="198"/>
    </row>
    <row r="36" spans="1:21" s="12" customFormat="1" x14ac:dyDescent="0.25">
      <c r="A36" s="215" t="s">
        <v>660</v>
      </c>
      <c r="B36" s="25">
        <v>2.64</v>
      </c>
      <c r="C36" s="25">
        <v>1.4</v>
      </c>
      <c r="D36" s="25">
        <v>3.95</v>
      </c>
      <c r="E36" s="25">
        <v>1.05</v>
      </c>
      <c r="F36" s="25">
        <v>5.99</v>
      </c>
      <c r="G36" s="25">
        <v>49.07</v>
      </c>
      <c r="H36" s="25">
        <v>16.260000000000002</v>
      </c>
      <c r="I36" s="25">
        <v>3.45</v>
      </c>
      <c r="J36" s="25">
        <v>2.93</v>
      </c>
      <c r="K36" s="25">
        <v>336.48</v>
      </c>
      <c r="L36" s="25">
        <v>24.58</v>
      </c>
      <c r="M36" s="25">
        <v>69.05</v>
      </c>
      <c r="N36" s="25">
        <v>83.5</v>
      </c>
      <c r="O36" s="25">
        <v>0</v>
      </c>
      <c r="P36" s="25">
        <v>0.34</v>
      </c>
      <c r="Q36" s="25">
        <v>9.41</v>
      </c>
      <c r="R36" s="198"/>
      <c r="S36" s="198"/>
      <c r="T36" s="198"/>
      <c r="U36" s="198"/>
    </row>
    <row r="37" spans="1:21" s="12" customFormat="1" x14ac:dyDescent="0.25">
      <c r="A37" s="215" t="s">
        <v>661</v>
      </c>
      <c r="B37" s="25">
        <v>2.57</v>
      </c>
      <c r="C37" s="25">
        <v>1.1599999999999999</v>
      </c>
      <c r="D37" s="25">
        <v>3.65</v>
      </c>
      <c r="E37" s="25">
        <v>0.96</v>
      </c>
      <c r="F37" s="25">
        <v>5.99</v>
      </c>
      <c r="G37" s="25">
        <v>49.07</v>
      </c>
      <c r="H37" s="25">
        <v>16.260000000000002</v>
      </c>
      <c r="I37" s="25">
        <v>3.32</v>
      </c>
      <c r="J37" s="25">
        <v>3.13</v>
      </c>
      <c r="K37" s="25">
        <v>336</v>
      </c>
      <c r="L37" s="25">
        <v>25.01</v>
      </c>
      <c r="M37" s="25">
        <v>66.98</v>
      </c>
      <c r="N37" s="25">
        <v>135.4</v>
      </c>
      <c r="O37" s="25">
        <v>0</v>
      </c>
      <c r="P37" s="25">
        <v>0.32</v>
      </c>
      <c r="Q37" s="25">
        <v>9.41</v>
      </c>
      <c r="R37" s="198"/>
      <c r="S37" s="198"/>
      <c r="T37" s="198"/>
      <c r="U37" s="198"/>
    </row>
    <row r="38" spans="1:21" s="12" customFormat="1" x14ac:dyDescent="0.25">
      <c r="A38" s="215" t="s">
        <v>662</v>
      </c>
      <c r="B38" s="25">
        <v>2.4300000000000002</v>
      </c>
      <c r="C38" s="25">
        <v>0.55000000000000004</v>
      </c>
      <c r="D38" s="25">
        <v>2.89</v>
      </c>
      <c r="E38" s="25">
        <v>1.1100000000000001</v>
      </c>
      <c r="F38" s="25">
        <v>6.22</v>
      </c>
      <c r="G38" s="25">
        <v>44.6</v>
      </c>
      <c r="H38" s="25">
        <v>14.05</v>
      </c>
      <c r="I38" s="25">
        <v>3.18</v>
      </c>
      <c r="J38" s="25">
        <v>2.97</v>
      </c>
      <c r="K38" s="25">
        <v>324.43</v>
      </c>
      <c r="L38" s="25">
        <v>26.02</v>
      </c>
      <c r="M38" s="25">
        <v>64.94</v>
      </c>
      <c r="N38" s="25">
        <v>306.3</v>
      </c>
      <c r="O38" s="25">
        <v>0</v>
      </c>
      <c r="P38" s="25">
        <v>0.33</v>
      </c>
      <c r="Q38" s="25">
        <v>9.44</v>
      </c>
      <c r="R38" s="198"/>
      <c r="S38" s="198"/>
      <c r="T38" s="198"/>
      <c r="U38" s="198"/>
    </row>
    <row r="39" spans="1:21" s="12" customFormat="1" x14ac:dyDescent="0.25">
      <c r="A39" s="215" t="s">
        <v>663</v>
      </c>
      <c r="B39" s="25">
        <v>2.4</v>
      </c>
      <c r="C39" s="25">
        <v>0.43</v>
      </c>
      <c r="D39" s="25">
        <v>2.74</v>
      </c>
      <c r="E39" s="25">
        <v>0.99</v>
      </c>
      <c r="F39" s="25">
        <v>6.66</v>
      </c>
      <c r="G39" s="25">
        <v>40.33</v>
      </c>
      <c r="H39" s="25">
        <v>11.93</v>
      </c>
      <c r="I39" s="25">
        <v>2.95</v>
      </c>
      <c r="J39" s="25">
        <v>2.84</v>
      </c>
      <c r="K39" s="25">
        <v>326.98</v>
      </c>
      <c r="L39" s="25">
        <v>28.13</v>
      </c>
      <c r="M39" s="25">
        <v>57.78</v>
      </c>
      <c r="N39" s="25">
        <v>419.1</v>
      </c>
      <c r="O39" s="25">
        <v>0</v>
      </c>
      <c r="P39" s="25">
        <v>0.32</v>
      </c>
      <c r="Q39" s="25">
        <v>9.44</v>
      </c>
      <c r="R39" s="198"/>
      <c r="S39" s="198"/>
      <c r="T39" s="198"/>
      <c r="U39" s="198"/>
    </row>
    <row r="40" spans="1:21" s="12" customFormat="1" x14ac:dyDescent="0.25">
      <c r="A40" s="215" t="s">
        <v>664</v>
      </c>
      <c r="B40" s="25">
        <v>2.44</v>
      </c>
      <c r="C40" s="25">
        <v>0.48</v>
      </c>
      <c r="D40" s="25">
        <v>2.83</v>
      </c>
      <c r="E40" s="25">
        <v>1.81</v>
      </c>
      <c r="F40" s="25">
        <v>6.57</v>
      </c>
      <c r="G40" s="25">
        <v>40.33</v>
      </c>
      <c r="H40" s="25">
        <v>11.93</v>
      </c>
      <c r="I40" s="25">
        <v>2.76</v>
      </c>
      <c r="J40" s="25">
        <v>2.0299999999999998</v>
      </c>
      <c r="K40" s="25">
        <v>315.75</v>
      </c>
      <c r="L40" s="25">
        <v>29.74</v>
      </c>
      <c r="M40" s="25">
        <v>52.34</v>
      </c>
      <c r="N40" s="25">
        <v>332.9</v>
      </c>
      <c r="O40" s="25">
        <v>0</v>
      </c>
      <c r="P40" s="25">
        <v>0.31</v>
      </c>
      <c r="Q40" s="25">
        <v>9.44</v>
      </c>
      <c r="R40" s="198"/>
      <c r="S40" s="198"/>
      <c r="T40" s="198"/>
      <c r="U40" s="198"/>
    </row>
    <row r="41" spans="1:21" s="12" customFormat="1" x14ac:dyDescent="0.25">
      <c r="A41" s="215" t="s">
        <v>665</v>
      </c>
      <c r="B41" s="25">
        <v>2.4</v>
      </c>
      <c r="C41" s="25">
        <v>0.46</v>
      </c>
      <c r="D41" s="25">
        <v>2.77</v>
      </c>
      <c r="E41" s="25">
        <v>1.31</v>
      </c>
      <c r="F41" s="25">
        <v>6.82</v>
      </c>
      <c r="G41" s="25">
        <v>40.33</v>
      </c>
      <c r="H41" s="25">
        <v>11.93</v>
      </c>
      <c r="I41" s="25">
        <v>2.6</v>
      </c>
      <c r="J41" s="25">
        <v>1.84</v>
      </c>
      <c r="K41" s="25">
        <v>313.77999999999997</v>
      </c>
      <c r="L41" s="25">
        <v>29.61</v>
      </c>
      <c r="M41" s="25">
        <v>50.87</v>
      </c>
      <c r="N41" s="25">
        <v>370.2</v>
      </c>
      <c r="O41" s="25">
        <v>0</v>
      </c>
      <c r="P41" s="25">
        <v>0.31</v>
      </c>
      <c r="Q41" s="25">
        <v>9.4700000000000006</v>
      </c>
      <c r="R41" s="198"/>
      <c r="S41" s="198"/>
      <c r="T41" s="198"/>
      <c r="U41" s="198"/>
    </row>
    <row r="42" spans="1:21" s="12" customFormat="1" x14ac:dyDescent="0.25">
      <c r="A42" s="215" t="s">
        <v>666</v>
      </c>
      <c r="B42" s="25">
        <v>2.73</v>
      </c>
      <c r="C42" s="25">
        <v>1.96</v>
      </c>
      <c r="D42" s="25">
        <v>4.5999999999999996</v>
      </c>
      <c r="E42" s="25">
        <v>1.51</v>
      </c>
      <c r="F42" s="25">
        <v>5.63</v>
      </c>
      <c r="G42" s="25">
        <v>34.72</v>
      </c>
      <c r="H42" s="25">
        <v>10.46</v>
      </c>
      <c r="I42" s="25">
        <v>2.5</v>
      </c>
      <c r="J42" s="25">
        <v>1.32</v>
      </c>
      <c r="K42" s="25">
        <v>310.16000000000003</v>
      </c>
      <c r="L42" s="25">
        <v>31.2</v>
      </c>
      <c r="M42" s="25">
        <v>46.32</v>
      </c>
      <c r="N42" s="25">
        <v>584.29999999999995</v>
      </c>
      <c r="O42" s="25">
        <v>0</v>
      </c>
      <c r="P42" s="25">
        <v>0.3</v>
      </c>
      <c r="Q42" s="25">
        <v>9.44</v>
      </c>
      <c r="R42" s="198"/>
      <c r="S42" s="198"/>
      <c r="T42" s="198"/>
      <c r="U42" s="198"/>
    </row>
    <row r="43" spans="1:21" s="12" customFormat="1" x14ac:dyDescent="0.25">
      <c r="A43" s="215" t="s">
        <v>667</v>
      </c>
      <c r="B43" s="25">
        <v>2.4500000000000002</v>
      </c>
      <c r="C43" s="25">
        <v>0.81</v>
      </c>
      <c r="D43" s="25">
        <v>3.17</v>
      </c>
      <c r="E43" s="25">
        <v>1.5</v>
      </c>
      <c r="F43" s="25">
        <v>6.04</v>
      </c>
      <c r="G43" s="25">
        <v>29.59</v>
      </c>
      <c r="H43" s="25">
        <v>9.0500000000000007</v>
      </c>
      <c r="I43" s="25">
        <v>2.44</v>
      </c>
      <c r="J43" s="25">
        <v>1.23</v>
      </c>
      <c r="K43" s="25">
        <v>314.95999999999998</v>
      </c>
      <c r="L43" s="25">
        <v>32.83</v>
      </c>
      <c r="M43" s="25">
        <v>41.5</v>
      </c>
      <c r="N43" s="25">
        <v>598.20000000000005</v>
      </c>
      <c r="O43" s="25">
        <v>0</v>
      </c>
      <c r="P43" s="25">
        <v>0.3</v>
      </c>
      <c r="Q43" s="25">
        <v>9.41</v>
      </c>
      <c r="R43" s="198"/>
      <c r="S43" s="198"/>
      <c r="T43" s="198"/>
      <c r="U43" s="198"/>
    </row>
    <row r="44" spans="1:21" s="12" customFormat="1" x14ac:dyDescent="0.25">
      <c r="A44" s="215" t="s">
        <v>668</v>
      </c>
      <c r="B44" s="25">
        <v>2.58</v>
      </c>
      <c r="C44" s="25">
        <v>1.33</v>
      </c>
      <c r="D44" s="25">
        <v>3.82</v>
      </c>
      <c r="E44" s="25">
        <v>1.28</v>
      </c>
      <c r="F44" s="25">
        <v>6.54</v>
      </c>
      <c r="G44" s="25">
        <v>29.59</v>
      </c>
      <c r="H44" s="25">
        <v>9.0500000000000007</v>
      </c>
      <c r="I44" s="25">
        <v>2.33</v>
      </c>
      <c r="J44" s="25">
        <v>0.97</v>
      </c>
      <c r="K44" s="25">
        <v>310.42</v>
      </c>
      <c r="L44" s="25">
        <v>32.19</v>
      </c>
      <c r="M44" s="25">
        <v>42.71</v>
      </c>
      <c r="N44" s="25">
        <v>332</v>
      </c>
      <c r="O44" s="25">
        <v>0</v>
      </c>
      <c r="P44" s="25">
        <v>0.32</v>
      </c>
      <c r="Q44" s="25">
        <v>9.44</v>
      </c>
      <c r="R44" s="198"/>
      <c r="S44" s="198"/>
      <c r="T44" s="198"/>
      <c r="U44" s="198"/>
    </row>
    <row r="45" spans="1:21" s="12" customFormat="1" x14ac:dyDescent="0.25">
      <c r="A45" s="215" t="s">
        <v>669</v>
      </c>
      <c r="B45" s="25">
        <v>2.5</v>
      </c>
      <c r="C45" s="25">
        <v>1.05</v>
      </c>
      <c r="D45" s="25">
        <v>3.46</v>
      </c>
      <c r="E45" s="25">
        <v>1.29</v>
      </c>
      <c r="F45" s="25">
        <v>5.97</v>
      </c>
      <c r="G45" s="25">
        <v>29.59</v>
      </c>
      <c r="H45" s="25">
        <v>9.0500000000000007</v>
      </c>
      <c r="I45" s="25">
        <v>2.2400000000000002</v>
      </c>
      <c r="J45" s="25">
        <v>0.95</v>
      </c>
      <c r="K45" s="25">
        <v>320.31</v>
      </c>
      <c r="L45" s="25">
        <v>31.61</v>
      </c>
      <c r="M45" s="25">
        <v>44.96</v>
      </c>
      <c r="N45" s="25">
        <v>500.3</v>
      </c>
      <c r="O45" s="25">
        <v>0</v>
      </c>
      <c r="P45" s="25">
        <v>0.32</v>
      </c>
      <c r="Q45" s="25">
        <v>9.43</v>
      </c>
      <c r="R45" s="198"/>
      <c r="S45" s="198"/>
      <c r="T45" s="198"/>
      <c r="U45" s="198"/>
    </row>
    <row r="46" spans="1:21" s="12" customFormat="1" x14ac:dyDescent="0.25">
      <c r="A46" s="215" t="s">
        <v>670</v>
      </c>
      <c r="B46" s="25">
        <v>2.38</v>
      </c>
      <c r="C46" s="25">
        <v>0.44</v>
      </c>
      <c r="D46" s="25">
        <v>2.73</v>
      </c>
      <c r="E46" s="25">
        <v>1.44</v>
      </c>
      <c r="F46" s="25">
        <v>6.9</v>
      </c>
      <c r="G46" s="25">
        <v>28.23</v>
      </c>
      <c r="H46" s="25">
        <v>8.83</v>
      </c>
      <c r="I46" s="25">
        <v>2.19</v>
      </c>
      <c r="J46" s="25">
        <v>0.93</v>
      </c>
      <c r="K46" s="25">
        <v>320.76</v>
      </c>
      <c r="L46" s="25">
        <v>32.979999999999997</v>
      </c>
      <c r="M46" s="25">
        <v>42.18</v>
      </c>
      <c r="N46" s="25">
        <v>809.5</v>
      </c>
      <c r="O46" s="25">
        <v>0</v>
      </c>
      <c r="P46" s="25">
        <v>0.31</v>
      </c>
      <c r="Q46" s="25">
        <v>9.41</v>
      </c>
      <c r="R46" s="198"/>
      <c r="S46" s="198"/>
      <c r="T46" s="198"/>
      <c r="U46" s="198"/>
    </row>
    <row r="47" spans="1:21" s="12" customFormat="1" x14ac:dyDescent="0.25">
      <c r="A47" s="215" t="s">
        <v>671</v>
      </c>
      <c r="B47" s="25">
        <v>2.4</v>
      </c>
      <c r="C47" s="25">
        <v>0.54</v>
      </c>
      <c r="D47" s="25">
        <v>2.85</v>
      </c>
      <c r="E47" s="25">
        <v>1.37</v>
      </c>
      <c r="F47" s="25">
        <v>7.58</v>
      </c>
      <c r="G47" s="25">
        <v>26.94</v>
      </c>
      <c r="H47" s="25">
        <v>8.6199999999999992</v>
      </c>
      <c r="I47" s="25">
        <v>2.09</v>
      </c>
      <c r="J47" s="25">
        <v>0.71</v>
      </c>
      <c r="K47" s="25">
        <v>351.02</v>
      </c>
      <c r="L47" s="25">
        <v>33.78</v>
      </c>
      <c r="M47" s="25">
        <v>40.409999999999997</v>
      </c>
      <c r="N47" s="25">
        <v>803.9</v>
      </c>
      <c r="O47" s="25">
        <v>0</v>
      </c>
      <c r="P47" s="25">
        <v>0.32</v>
      </c>
      <c r="Q47" s="25">
        <v>9.4499999999999993</v>
      </c>
      <c r="R47" s="198"/>
      <c r="S47" s="198"/>
      <c r="T47" s="198"/>
      <c r="U47" s="198"/>
    </row>
    <row r="48" spans="1:21" s="12" customFormat="1" x14ac:dyDescent="0.25">
      <c r="A48" s="215" t="s">
        <v>672</v>
      </c>
      <c r="B48" s="25">
        <v>2.4300000000000002</v>
      </c>
      <c r="C48" s="25">
        <v>0.7</v>
      </c>
      <c r="D48" s="25">
        <v>3.05</v>
      </c>
      <c r="E48" s="25">
        <v>1.45</v>
      </c>
      <c r="F48" s="25">
        <v>6.87</v>
      </c>
      <c r="G48" s="25">
        <v>26.94</v>
      </c>
      <c r="H48" s="25">
        <v>8.6199999999999992</v>
      </c>
      <c r="I48" s="25">
        <v>1.96</v>
      </c>
      <c r="J48" s="25">
        <v>0.68</v>
      </c>
      <c r="K48" s="25">
        <v>6.78</v>
      </c>
      <c r="L48" s="25">
        <v>32.97</v>
      </c>
      <c r="M48" s="25">
        <v>41.82</v>
      </c>
      <c r="N48" s="25">
        <v>849.7</v>
      </c>
      <c r="O48" s="25">
        <v>0</v>
      </c>
      <c r="P48" s="25">
        <v>0.32</v>
      </c>
      <c r="Q48" s="25">
        <v>9.44</v>
      </c>
      <c r="R48" s="198"/>
      <c r="S48" s="198"/>
      <c r="T48" s="198"/>
      <c r="U48" s="198"/>
    </row>
    <row r="49" spans="1:21" s="12" customFormat="1" x14ac:dyDescent="0.25">
      <c r="A49" s="215" t="s">
        <v>673</v>
      </c>
      <c r="B49" s="25">
        <v>2.64</v>
      </c>
      <c r="C49" s="25">
        <v>1.55</v>
      </c>
      <c r="D49" s="25">
        <v>4.1100000000000003</v>
      </c>
      <c r="E49" s="25">
        <v>1.42</v>
      </c>
      <c r="F49" s="25">
        <v>8.3000000000000007</v>
      </c>
      <c r="G49" s="25">
        <v>26.94</v>
      </c>
      <c r="H49" s="25">
        <v>8.6199999999999992</v>
      </c>
      <c r="I49" s="25">
        <v>1.95</v>
      </c>
      <c r="J49" s="25">
        <v>0.66</v>
      </c>
      <c r="K49" s="25">
        <v>0.2</v>
      </c>
      <c r="L49" s="25">
        <v>33.26</v>
      </c>
      <c r="M49" s="25">
        <v>40.89</v>
      </c>
      <c r="N49" s="25">
        <v>923</v>
      </c>
      <c r="O49" s="25">
        <v>0</v>
      </c>
      <c r="P49" s="25">
        <v>0.34</v>
      </c>
      <c r="Q49" s="25">
        <v>9.39</v>
      </c>
      <c r="R49" s="198"/>
      <c r="S49" s="198"/>
      <c r="T49" s="198"/>
      <c r="U49" s="198"/>
    </row>
    <row r="50" spans="1:21" s="12" customFormat="1" x14ac:dyDescent="0.25">
      <c r="A50" s="215" t="s">
        <v>674</v>
      </c>
      <c r="B50" s="25">
        <v>2.41</v>
      </c>
      <c r="C50" s="25">
        <v>0.64</v>
      </c>
      <c r="D50" s="25">
        <v>2.96</v>
      </c>
      <c r="E50" s="25">
        <v>1.73</v>
      </c>
      <c r="F50" s="25">
        <v>13.15</v>
      </c>
      <c r="G50" s="25">
        <v>24.3</v>
      </c>
      <c r="H50" s="25">
        <v>9.25</v>
      </c>
      <c r="I50" s="25">
        <v>1.96</v>
      </c>
      <c r="J50" s="25">
        <v>0.54</v>
      </c>
      <c r="K50" s="25">
        <v>349.4</v>
      </c>
      <c r="L50" s="25">
        <v>33.4</v>
      </c>
      <c r="M50" s="25">
        <v>41.17</v>
      </c>
      <c r="N50" s="25">
        <v>591.70000000000005</v>
      </c>
      <c r="O50" s="25">
        <v>0</v>
      </c>
      <c r="P50" s="25">
        <v>0.48</v>
      </c>
      <c r="Q50" s="25">
        <v>9.3800000000000008</v>
      </c>
      <c r="R50" s="198"/>
      <c r="S50" s="198"/>
      <c r="T50" s="198"/>
      <c r="U50" s="198"/>
    </row>
    <row r="51" spans="1:21" s="12" customFormat="1" x14ac:dyDescent="0.25">
      <c r="A51" s="215" t="s">
        <v>675</v>
      </c>
      <c r="B51" s="25">
        <v>2.36</v>
      </c>
      <c r="C51" s="25">
        <v>0.6</v>
      </c>
      <c r="D51" s="25">
        <v>2.87</v>
      </c>
      <c r="E51" s="25">
        <v>1.59</v>
      </c>
      <c r="F51" s="25">
        <v>11.5</v>
      </c>
      <c r="G51" s="25">
        <v>21.77</v>
      </c>
      <c r="H51" s="25">
        <v>9.85</v>
      </c>
      <c r="I51" s="25">
        <v>1.88</v>
      </c>
      <c r="J51" s="25">
        <v>0.63</v>
      </c>
      <c r="K51" s="25">
        <v>357.21</v>
      </c>
      <c r="L51" s="25">
        <v>32.950000000000003</v>
      </c>
      <c r="M51" s="25">
        <v>42.4</v>
      </c>
      <c r="N51" s="25">
        <v>521.9</v>
      </c>
      <c r="O51" s="25">
        <v>0</v>
      </c>
      <c r="P51" s="25">
        <v>0.66</v>
      </c>
      <c r="Q51" s="25">
        <v>9.5</v>
      </c>
      <c r="R51" s="198"/>
      <c r="S51" s="198"/>
      <c r="T51" s="198"/>
      <c r="U51" s="198"/>
    </row>
    <row r="52" spans="1:21" s="12" customFormat="1" x14ac:dyDescent="0.25">
      <c r="A52" s="215" t="s">
        <v>676</v>
      </c>
      <c r="B52" s="25">
        <v>2.39</v>
      </c>
      <c r="C52" s="25">
        <v>0.69</v>
      </c>
      <c r="D52" s="25">
        <v>2.99</v>
      </c>
      <c r="E52" s="25">
        <v>1.5</v>
      </c>
      <c r="F52" s="25">
        <v>9.6999999999999993</v>
      </c>
      <c r="G52" s="25">
        <v>21.77</v>
      </c>
      <c r="H52" s="25">
        <v>9.85</v>
      </c>
      <c r="I52" s="25">
        <v>2.74</v>
      </c>
      <c r="J52" s="25">
        <v>0.2</v>
      </c>
      <c r="K52" s="25">
        <v>5.58</v>
      </c>
      <c r="L52" s="25">
        <v>31.94</v>
      </c>
      <c r="M52" s="25">
        <v>46.2</v>
      </c>
      <c r="N52" s="25">
        <v>491.7</v>
      </c>
      <c r="O52" s="25">
        <v>0</v>
      </c>
      <c r="P52" s="25">
        <v>0.71</v>
      </c>
      <c r="Q52" s="25">
        <v>9.44</v>
      </c>
      <c r="R52" s="198"/>
      <c r="S52" s="198"/>
      <c r="T52" s="198"/>
      <c r="U52" s="198"/>
    </row>
    <row r="53" spans="1:21" s="12" customFormat="1" x14ac:dyDescent="0.25">
      <c r="A53" s="215" t="s">
        <v>677</v>
      </c>
      <c r="B53" s="25">
        <v>2.44</v>
      </c>
      <c r="C53" s="25">
        <v>0.89</v>
      </c>
      <c r="D53" s="25">
        <v>3.25</v>
      </c>
      <c r="E53" s="25">
        <v>1.53</v>
      </c>
      <c r="F53" s="25">
        <v>10.35</v>
      </c>
      <c r="G53" s="25">
        <v>21.77</v>
      </c>
      <c r="H53" s="25">
        <v>9.85</v>
      </c>
      <c r="I53" s="25">
        <v>3.77</v>
      </c>
      <c r="J53" s="25">
        <v>0.38</v>
      </c>
      <c r="K53" s="25">
        <v>342.54</v>
      </c>
      <c r="L53" s="25">
        <v>32.96</v>
      </c>
      <c r="M53" s="25">
        <v>44.59</v>
      </c>
      <c r="N53" s="25">
        <v>630.20000000000005</v>
      </c>
      <c r="O53" s="25">
        <v>0</v>
      </c>
      <c r="P53" s="25">
        <v>0.71</v>
      </c>
      <c r="Q53" s="25">
        <v>9.3699999999999992</v>
      </c>
      <c r="R53" s="198"/>
      <c r="S53" s="198"/>
      <c r="T53" s="198"/>
      <c r="U53" s="198"/>
    </row>
    <row r="54" spans="1:21" s="12" customFormat="1" x14ac:dyDescent="0.25">
      <c r="A54" s="215" t="s">
        <v>678</v>
      </c>
      <c r="B54" s="25">
        <v>2.41</v>
      </c>
      <c r="C54" s="25">
        <v>0.69</v>
      </c>
      <c r="D54" s="25">
        <v>3.01</v>
      </c>
      <c r="E54" s="25">
        <v>1.62</v>
      </c>
      <c r="F54" s="25">
        <v>8.4499999999999993</v>
      </c>
      <c r="G54" s="25">
        <v>23.9</v>
      </c>
      <c r="H54" s="25">
        <v>11.7</v>
      </c>
      <c r="I54" s="25">
        <v>4.17</v>
      </c>
      <c r="J54" s="25">
        <v>0.53</v>
      </c>
      <c r="K54" s="25">
        <v>186.67</v>
      </c>
      <c r="L54" s="25">
        <v>32.92</v>
      </c>
      <c r="M54" s="25">
        <v>43.86</v>
      </c>
      <c r="N54" s="25">
        <v>481.9</v>
      </c>
      <c r="O54" s="25">
        <v>0</v>
      </c>
      <c r="P54" s="25">
        <v>0.71</v>
      </c>
      <c r="Q54" s="25">
        <v>9.3800000000000008</v>
      </c>
      <c r="R54" s="198"/>
      <c r="S54" s="198"/>
      <c r="T54" s="198"/>
      <c r="U54" s="198"/>
    </row>
    <row r="55" spans="1:21" s="12" customFormat="1" x14ac:dyDescent="0.25">
      <c r="A55" s="215" t="s">
        <v>679</v>
      </c>
      <c r="B55" s="25">
        <v>2.62</v>
      </c>
      <c r="C55" s="25">
        <v>1.76</v>
      </c>
      <c r="D55" s="25">
        <v>4.29</v>
      </c>
      <c r="E55" s="25">
        <v>1.45</v>
      </c>
      <c r="F55" s="25">
        <v>11.14</v>
      </c>
      <c r="G55" s="25">
        <v>25.93</v>
      </c>
      <c r="H55" s="25">
        <v>13.46</v>
      </c>
      <c r="I55" s="25">
        <v>4.4800000000000004</v>
      </c>
      <c r="J55" s="25">
        <v>1.41</v>
      </c>
      <c r="K55" s="25">
        <v>324.54000000000002</v>
      </c>
      <c r="L55" s="25">
        <v>34.08</v>
      </c>
      <c r="M55" s="25">
        <v>39.92</v>
      </c>
      <c r="N55" s="25">
        <v>377.8</v>
      </c>
      <c r="O55" s="25">
        <v>0</v>
      </c>
      <c r="P55" s="25">
        <v>0.7</v>
      </c>
      <c r="Q55" s="25">
        <v>9.3699999999999992</v>
      </c>
      <c r="R55" s="198"/>
      <c r="S55" s="198"/>
      <c r="T55" s="198"/>
      <c r="U55" s="198"/>
    </row>
    <row r="56" spans="1:21" s="12" customFormat="1" x14ac:dyDescent="0.25">
      <c r="A56" s="215" t="s">
        <v>680</v>
      </c>
      <c r="B56" s="25">
        <v>2.41</v>
      </c>
      <c r="C56" s="25">
        <v>0.65</v>
      </c>
      <c r="D56" s="25">
        <v>2.97</v>
      </c>
      <c r="E56" s="25">
        <v>0.53</v>
      </c>
      <c r="F56" s="25">
        <v>7.87</v>
      </c>
      <c r="G56" s="25">
        <v>25.93</v>
      </c>
      <c r="H56" s="25">
        <v>13.46</v>
      </c>
      <c r="I56" s="25">
        <v>4.6100000000000003</v>
      </c>
      <c r="J56" s="25">
        <v>0.83</v>
      </c>
      <c r="K56" s="25">
        <v>327.5</v>
      </c>
      <c r="L56" s="25">
        <v>35.15</v>
      </c>
      <c r="M56" s="25">
        <v>36.31</v>
      </c>
      <c r="N56" s="25">
        <v>406.7</v>
      </c>
      <c r="O56" s="25">
        <v>0</v>
      </c>
      <c r="P56" s="25">
        <v>0.69</v>
      </c>
      <c r="Q56" s="25">
        <v>9.3699999999999992</v>
      </c>
      <c r="R56" s="198"/>
      <c r="S56" s="198"/>
      <c r="T56" s="198"/>
      <c r="U56" s="198"/>
    </row>
    <row r="57" spans="1:21" s="12" customFormat="1" x14ac:dyDescent="0.25">
      <c r="A57" s="215" t="s">
        <v>681</v>
      </c>
      <c r="B57" s="25">
        <v>2.39</v>
      </c>
      <c r="C57" s="25">
        <v>0.45</v>
      </c>
      <c r="D57" s="25">
        <v>2.76</v>
      </c>
      <c r="E57" s="25">
        <v>1.06</v>
      </c>
      <c r="F57" s="25">
        <v>5.62</v>
      </c>
      <c r="G57" s="25">
        <v>25.93</v>
      </c>
      <c r="H57" s="25">
        <v>13.46</v>
      </c>
      <c r="I57" s="25">
        <v>4.62</v>
      </c>
      <c r="J57" s="25">
        <v>0.99</v>
      </c>
      <c r="K57" s="25">
        <v>332.55</v>
      </c>
      <c r="L57" s="25">
        <v>35.9</v>
      </c>
      <c r="M57" s="25">
        <v>35.090000000000003</v>
      </c>
      <c r="N57" s="25">
        <v>501.4</v>
      </c>
      <c r="O57" s="25">
        <v>0</v>
      </c>
      <c r="P57" s="25">
        <v>0.66</v>
      </c>
      <c r="Q57" s="25">
        <v>9.3699999999999992</v>
      </c>
      <c r="R57" s="198"/>
      <c r="S57" s="198"/>
      <c r="T57" s="198"/>
      <c r="U57" s="198"/>
    </row>
    <row r="58" spans="1:21" s="12" customFormat="1" x14ac:dyDescent="0.25">
      <c r="A58" s="215" t="s">
        <v>682</v>
      </c>
      <c r="B58" s="25">
        <v>2.4</v>
      </c>
      <c r="C58" s="25">
        <v>0.42</v>
      </c>
      <c r="D58" s="25">
        <v>2.73</v>
      </c>
      <c r="E58" s="25">
        <v>1.1100000000000001</v>
      </c>
      <c r="F58" s="25">
        <v>6.51</v>
      </c>
      <c r="G58" s="25">
        <v>25.27</v>
      </c>
      <c r="H58" s="25">
        <v>14.62</v>
      </c>
      <c r="I58" s="25">
        <v>4.5999999999999996</v>
      </c>
      <c r="J58" s="25">
        <v>0.52</v>
      </c>
      <c r="K58" s="25">
        <v>337.27</v>
      </c>
      <c r="L58" s="25">
        <v>35.78</v>
      </c>
      <c r="M58" s="25">
        <v>34.979999999999997</v>
      </c>
      <c r="N58" s="25">
        <v>486</v>
      </c>
      <c r="O58" s="25">
        <v>0</v>
      </c>
      <c r="P58" s="25">
        <v>0.65</v>
      </c>
      <c r="Q58" s="25">
        <v>9.3699999999999992</v>
      </c>
      <c r="R58" s="198"/>
      <c r="S58" s="198"/>
      <c r="T58" s="198"/>
      <c r="U58" s="198"/>
    </row>
    <row r="59" spans="1:21" s="12" customFormat="1" x14ac:dyDescent="0.25">
      <c r="A59" s="215" t="s">
        <v>683</v>
      </c>
      <c r="B59" s="25">
        <v>2.21</v>
      </c>
      <c r="C59" s="25">
        <v>0.62</v>
      </c>
      <c r="D59" s="25">
        <v>2.82</v>
      </c>
      <c r="E59" s="25">
        <v>2.41</v>
      </c>
      <c r="F59" s="25">
        <v>11.56</v>
      </c>
      <c r="G59" s="25">
        <v>24.64</v>
      </c>
      <c r="H59" s="25">
        <v>15.73</v>
      </c>
      <c r="I59" s="25">
        <v>4.63</v>
      </c>
      <c r="J59" s="25">
        <v>1.1399999999999999</v>
      </c>
      <c r="K59" s="25">
        <v>330.35</v>
      </c>
      <c r="L59" s="25">
        <v>36.21</v>
      </c>
      <c r="M59" s="25">
        <v>31.3</v>
      </c>
      <c r="N59" s="25">
        <v>534.4</v>
      </c>
      <c r="O59" s="25">
        <v>0</v>
      </c>
      <c r="P59" s="25">
        <v>0.61</v>
      </c>
      <c r="Q59" s="25">
        <v>9.4600000000000009</v>
      </c>
      <c r="R59" s="198"/>
      <c r="S59" s="198"/>
      <c r="T59" s="198"/>
      <c r="U59" s="198"/>
    </row>
    <row r="60" spans="1:21" s="12" customFormat="1" x14ac:dyDescent="0.25">
      <c r="A60" s="215" t="s">
        <v>684</v>
      </c>
      <c r="B60" s="25">
        <v>2.54</v>
      </c>
      <c r="C60" s="25">
        <v>2.89</v>
      </c>
      <c r="D60" s="25">
        <v>4.6900000000000004</v>
      </c>
      <c r="E60" s="25">
        <v>2.06</v>
      </c>
      <c r="F60" s="25">
        <v>21.49</v>
      </c>
      <c r="G60" s="25">
        <v>24.64</v>
      </c>
      <c r="H60" s="25">
        <v>15.73</v>
      </c>
      <c r="I60" s="25">
        <v>4.6399999999999997</v>
      </c>
      <c r="J60" s="25">
        <v>1.18</v>
      </c>
      <c r="K60" s="25">
        <v>334.85</v>
      </c>
      <c r="L60" s="25">
        <v>37.159999999999997</v>
      </c>
      <c r="M60" s="25">
        <v>29.41</v>
      </c>
      <c r="N60" s="25">
        <v>585.6</v>
      </c>
      <c r="O60" s="25">
        <v>0</v>
      </c>
      <c r="P60" s="25">
        <v>0.5</v>
      </c>
      <c r="Q60" s="25">
        <v>9.5500000000000007</v>
      </c>
      <c r="R60" s="198"/>
      <c r="S60" s="198"/>
      <c r="T60" s="198"/>
      <c r="U60" s="198"/>
    </row>
    <row r="61" spans="1:21" s="12" customFormat="1" x14ac:dyDescent="0.25">
      <c r="A61" s="215" t="s">
        <v>685</v>
      </c>
      <c r="B61" s="25">
        <v>2.27</v>
      </c>
      <c r="C61" s="25">
        <v>0.88</v>
      </c>
      <c r="D61" s="25">
        <v>3.42</v>
      </c>
      <c r="E61" s="25">
        <v>1.68</v>
      </c>
      <c r="F61" s="25">
        <v>12.34</v>
      </c>
      <c r="G61" s="25">
        <v>24.64</v>
      </c>
      <c r="H61" s="25">
        <v>15.73</v>
      </c>
      <c r="I61" s="25">
        <v>4.07</v>
      </c>
      <c r="J61" s="25">
        <v>1.24</v>
      </c>
      <c r="K61" s="25">
        <v>338.24</v>
      </c>
      <c r="L61" s="25">
        <v>37.74</v>
      </c>
      <c r="M61" s="25">
        <v>29.57</v>
      </c>
      <c r="N61" s="25">
        <v>879.3</v>
      </c>
      <c r="O61" s="25">
        <v>0</v>
      </c>
      <c r="P61" s="25">
        <v>0.44</v>
      </c>
      <c r="Q61" s="25">
        <v>9.6999999999999993</v>
      </c>
      <c r="R61" s="198"/>
      <c r="S61" s="198"/>
      <c r="T61" s="198"/>
      <c r="U61" s="198"/>
    </row>
    <row r="62" spans="1:21" s="12" customFormat="1" x14ac:dyDescent="0.25">
      <c r="A62" s="215" t="s">
        <v>686</v>
      </c>
      <c r="B62" s="25">
        <v>2.4500000000000002</v>
      </c>
      <c r="C62" s="25">
        <v>2.06</v>
      </c>
      <c r="D62" s="25">
        <v>4.18</v>
      </c>
      <c r="E62" s="25">
        <v>0.85</v>
      </c>
      <c r="F62" s="25">
        <v>8.66</v>
      </c>
      <c r="G62" s="25">
        <v>31.86</v>
      </c>
      <c r="H62" s="25">
        <v>15.75</v>
      </c>
      <c r="I62" s="25">
        <v>3.24</v>
      </c>
      <c r="J62" s="25">
        <v>0.42</v>
      </c>
      <c r="K62" s="25">
        <v>83.81</v>
      </c>
      <c r="L62" s="25">
        <v>37.659999999999997</v>
      </c>
      <c r="M62" s="25">
        <v>30.1</v>
      </c>
      <c r="N62" s="25">
        <v>845.9</v>
      </c>
      <c r="O62" s="25">
        <v>0</v>
      </c>
      <c r="P62" s="25">
        <v>0.46</v>
      </c>
      <c r="Q62" s="25">
        <v>9.66</v>
      </c>
      <c r="R62" s="198"/>
      <c r="S62" s="198"/>
      <c r="T62" s="198"/>
      <c r="U62" s="198"/>
    </row>
    <row r="63" spans="1:21" s="12" customFormat="1" x14ac:dyDescent="0.25">
      <c r="A63" s="215" t="s">
        <v>687</v>
      </c>
      <c r="B63" s="25">
        <v>2.29</v>
      </c>
      <c r="C63" s="25">
        <v>0.92</v>
      </c>
      <c r="D63" s="25">
        <v>3.46</v>
      </c>
      <c r="E63" s="25">
        <v>1.98</v>
      </c>
      <c r="F63" s="25">
        <v>7.83</v>
      </c>
      <c r="G63" s="25">
        <v>38.46</v>
      </c>
      <c r="H63" s="25">
        <v>15.76</v>
      </c>
      <c r="I63" s="25">
        <v>3.24</v>
      </c>
      <c r="J63" s="25">
        <v>0.57999999999999996</v>
      </c>
      <c r="K63" s="25">
        <v>87.12</v>
      </c>
      <c r="L63" s="25">
        <v>35.729999999999997</v>
      </c>
      <c r="M63" s="25">
        <v>31.66</v>
      </c>
      <c r="N63" s="25">
        <v>713.2</v>
      </c>
      <c r="O63" s="25">
        <v>0</v>
      </c>
      <c r="P63" s="25">
        <v>0.45</v>
      </c>
      <c r="Q63" s="25">
        <v>9.6</v>
      </c>
      <c r="R63" s="198"/>
      <c r="S63" s="198"/>
      <c r="T63" s="198"/>
      <c r="U63" s="198"/>
    </row>
    <row r="64" spans="1:21" s="12" customFormat="1" x14ac:dyDescent="0.25">
      <c r="A64" s="215" t="s">
        <v>688</v>
      </c>
      <c r="B64" s="25">
        <v>2.23</v>
      </c>
      <c r="C64" s="25">
        <v>0.46</v>
      </c>
      <c r="D64" s="25">
        <v>3.17</v>
      </c>
      <c r="E64" s="25">
        <v>1.36</v>
      </c>
      <c r="F64" s="25">
        <v>7.48</v>
      </c>
      <c r="G64" s="25">
        <v>38.46</v>
      </c>
      <c r="H64" s="25">
        <v>15.76</v>
      </c>
      <c r="I64" s="25">
        <v>3.7</v>
      </c>
      <c r="J64" s="25">
        <v>1.44</v>
      </c>
      <c r="K64" s="25">
        <v>336.41</v>
      </c>
      <c r="L64" s="25">
        <v>37.54</v>
      </c>
      <c r="M64" s="25">
        <v>28.1</v>
      </c>
      <c r="N64" s="25">
        <v>425.6</v>
      </c>
      <c r="O64" s="25">
        <v>0</v>
      </c>
      <c r="P64" s="25">
        <v>0.44</v>
      </c>
      <c r="Q64" s="25">
        <v>9.51</v>
      </c>
      <c r="R64" s="198"/>
      <c r="S64" s="198"/>
      <c r="T64" s="198"/>
      <c r="U64" s="198"/>
    </row>
    <row r="65" spans="1:21" s="12" customFormat="1" x14ac:dyDescent="0.25">
      <c r="A65" s="215" t="s">
        <v>689</v>
      </c>
      <c r="B65" s="25">
        <v>2.4700000000000002</v>
      </c>
      <c r="C65" s="25">
        <v>1.61</v>
      </c>
      <c r="D65" s="25">
        <v>3.97</v>
      </c>
      <c r="E65" s="25">
        <v>1.31</v>
      </c>
      <c r="F65" s="25">
        <v>7.17</v>
      </c>
      <c r="G65" s="25">
        <v>38.46</v>
      </c>
      <c r="H65" s="25">
        <v>15.76</v>
      </c>
      <c r="I65" s="25">
        <v>4.2699999999999996</v>
      </c>
      <c r="J65" s="25">
        <v>0.82</v>
      </c>
      <c r="K65" s="25">
        <v>340.93</v>
      </c>
      <c r="L65" s="25">
        <v>37.56</v>
      </c>
      <c r="M65" s="25">
        <v>25.91</v>
      </c>
      <c r="N65" s="25">
        <v>704.1</v>
      </c>
      <c r="O65" s="25">
        <v>0</v>
      </c>
      <c r="P65" s="25">
        <v>0.45</v>
      </c>
      <c r="Q65" s="25">
        <v>9.49</v>
      </c>
      <c r="R65" s="198"/>
      <c r="S65" s="198"/>
      <c r="T65" s="198"/>
      <c r="U65" s="198"/>
    </row>
    <row r="66" spans="1:21" s="12" customFormat="1" x14ac:dyDescent="0.25">
      <c r="A66" s="215" t="s">
        <v>690</v>
      </c>
      <c r="B66" s="25">
        <v>2.35</v>
      </c>
      <c r="C66" s="25">
        <v>1.0900000000000001</v>
      </c>
      <c r="D66" s="25">
        <v>3.6</v>
      </c>
      <c r="E66" s="25">
        <v>1.29</v>
      </c>
      <c r="F66" s="25">
        <v>6.7</v>
      </c>
      <c r="G66" s="25">
        <v>34.25</v>
      </c>
      <c r="H66" s="25">
        <v>15.95</v>
      </c>
      <c r="I66" s="25">
        <v>4.5</v>
      </c>
      <c r="J66" s="25">
        <v>0.97</v>
      </c>
      <c r="K66" s="25">
        <v>328.16</v>
      </c>
      <c r="L66" s="25">
        <v>38</v>
      </c>
      <c r="M66" s="25">
        <v>25.39</v>
      </c>
      <c r="N66" s="25">
        <v>641.9</v>
      </c>
      <c r="O66" s="25">
        <v>0</v>
      </c>
      <c r="P66" s="25">
        <v>0.46</v>
      </c>
      <c r="Q66" s="25">
        <v>9.48</v>
      </c>
      <c r="R66" s="198"/>
      <c r="S66" s="198"/>
      <c r="T66" s="198"/>
      <c r="U66" s="198"/>
    </row>
    <row r="67" spans="1:21" s="12" customFormat="1" x14ac:dyDescent="0.25">
      <c r="A67" s="215" t="s">
        <v>691</v>
      </c>
      <c r="B67" s="25">
        <v>2.2400000000000002</v>
      </c>
      <c r="C67" s="25">
        <v>0.48</v>
      </c>
      <c r="D67" s="25">
        <v>3.2</v>
      </c>
      <c r="E67" s="25">
        <v>1.37</v>
      </c>
      <c r="F67" s="25">
        <v>7.05</v>
      </c>
      <c r="G67" s="25">
        <v>30.4</v>
      </c>
      <c r="H67" s="25">
        <v>16.13</v>
      </c>
      <c r="I67" s="25">
        <v>4.63</v>
      </c>
      <c r="J67" s="25">
        <v>0.47</v>
      </c>
      <c r="K67" s="25">
        <v>344.92</v>
      </c>
      <c r="L67" s="25">
        <v>37.619999999999997</v>
      </c>
      <c r="M67" s="25">
        <v>25.74</v>
      </c>
      <c r="N67" s="25">
        <v>276.7</v>
      </c>
      <c r="O67" s="25">
        <v>0</v>
      </c>
      <c r="P67" s="25">
        <v>0.45</v>
      </c>
      <c r="Q67" s="25">
        <v>9.49</v>
      </c>
      <c r="R67" s="198"/>
      <c r="S67" s="198"/>
      <c r="T67" s="198"/>
      <c r="U67" s="198"/>
    </row>
    <row r="68" spans="1:21" s="12" customFormat="1" x14ac:dyDescent="0.25">
      <c r="A68" s="215" t="s">
        <v>692</v>
      </c>
      <c r="B68" s="25">
        <v>2.4300000000000002</v>
      </c>
      <c r="C68" s="25">
        <v>1.34</v>
      </c>
      <c r="D68" s="25">
        <v>3.79</v>
      </c>
      <c r="E68" s="25">
        <v>1.21</v>
      </c>
      <c r="F68" s="25">
        <v>7.38</v>
      </c>
      <c r="G68" s="25">
        <v>30.4</v>
      </c>
      <c r="H68" s="25">
        <v>16.13</v>
      </c>
      <c r="I68" s="25">
        <v>4.72</v>
      </c>
      <c r="J68" s="25">
        <v>1.37</v>
      </c>
      <c r="K68" s="25">
        <v>323.27</v>
      </c>
      <c r="L68" s="25">
        <v>37.69</v>
      </c>
      <c r="M68" s="25">
        <v>26.24</v>
      </c>
      <c r="N68" s="25">
        <v>208.1</v>
      </c>
      <c r="O68" s="25">
        <v>0</v>
      </c>
      <c r="P68" s="25">
        <v>0.45</v>
      </c>
      <c r="Q68" s="25">
        <v>9.49</v>
      </c>
      <c r="R68" s="198"/>
      <c r="S68" s="198"/>
      <c r="T68" s="198"/>
      <c r="U68" s="198"/>
    </row>
    <row r="69" spans="1:21" s="12" customFormat="1" x14ac:dyDescent="0.25">
      <c r="A69" s="215" t="s">
        <v>693</v>
      </c>
      <c r="B69" s="25">
        <v>2.35</v>
      </c>
      <c r="C69" s="25">
        <v>0.93</v>
      </c>
      <c r="D69" s="25">
        <v>3.52</v>
      </c>
      <c r="E69" s="25">
        <v>1.23</v>
      </c>
      <c r="F69" s="25">
        <v>7.96</v>
      </c>
      <c r="G69" s="25">
        <v>30.4</v>
      </c>
      <c r="H69" s="25">
        <v>16.13</v>
      </c>
      <c r="I69" s="25">
        <v>4.71</v>
      </c>
      <c r="J69" s="25">
        <v>0.63</v>
      </c>
      <c r="K69" s="25">
        <v>330.98</v>
      </c>
      <c r="L69" s="25">
        <v>38.020000000000003</v>
      </c>
      <c r="M69" s="25">
        <v>25.5</v>
      </c>
      <c r="N69" s="25">
        <v>383.8</v>
      </c>
      <c r="O69" s="25">
        <v>0</v>
      </c>
      <c r="P69" s="25">
        <v>0.45</v>
      </c>
      <c r="Q69" s="25">
        <v>9.4600000000000009</v>
      </c>
      <c r="R69" s="198"/>
      <c r="S69" s="198"/>
      <c r="T69" s="198"/>
      <c r="U69" s="198"/>
    </row>
    <row r="70" spans="1:21" s="12" customFormat="1" x14ac:dyDescent="0.25">
      <c r="A70" s="215" t="s">
        <v>694</v>
      </c>
      <c r="B70" s="25">
        <v>2.25</v>
      </c>
      <c r="C70" s="25">
        <v>0.45</v>
      </c>
      <c r="D70" s="25">
        <v>3.19</v>
      </c>
      <c r="E70" s="25">
        <v>1.1299999999999999</v>
      </c>
      <c r="F70" s="25">
        <v>6.31</v>
      </c>
      <c r="G70" s="25">
        <v>31.76</v>
      </c>
      <c r="H70" s="25">
        <v>17.100000000000001</v>
      </c>
      <c r="I70" s="25">
        <v>4.6100000000000003</v>
      </c>
      <c r="J70" s="25">
        <v>0.59</v>
      </c>
      <c r="K70" s="25">
        <v>103.97</v>
      </c>
      <c r="L70" s="25">
        <v>35.799999999999997</v>
      </c>
      <c r="M70" s="25">
        <v>28.24</v>
      </c>
      <c r="N70" s="25">
        <v>220.1</v>
      </c>
      <c r="O70" s="25">
        <v>0</v>
      </c>
      <c r="P70" s="25">
        <v>0.45</v>
      </c>
      <c r="Q70" s="25">
        <v>9.4600000000000009</v>
      </c>
      <c r="R70" s="198"/>
      <c r="S70" s="198"/>
      <c r="T70" s="198"/>
      <c r="U70" s="198"/>
    </row>
    <row r="71" spans="1:21" s="12" customFormat="1" x14ac:dyDescent="0.25">
      <c r="A71" s="215" t="s">
        <v>695</v>
      </c>
      <c r="B71" s="25">
        <v>2.27</v>
      </c>
      <c r="C71" s="25">
        <v>0.52</v>
      </c>
      <c r="D71" s="25">
        <v>3.24</v>
      </c>
      <c r="E71" s="25">
        <v>1.47</v>
      </c>
      <c r="F71" s="25">
        <v>6.01</v>
      </c>
      <c r="G71" s="25">
        <v>33.049999999999997</v>
      </c>
      <c r="H71" s="25">
        <v>18.02</v>
      </c>
      <c r="I71" s="25">
        <v>4.5</v>
      </c>
      <c r="J71" s="25">
        <v>1.86</v>
      </c>
      <c r="K71" s="25">
        <v>344.55</v>
      </c>
      <c r="L71" s="25">
        <v>36.11</v>
      </c>
      <c r="M71" s="25">
        <v>25.65</v>
      </c>
      <c r="N71" s="25">
        <v>163.19999999999999</v>
      </c>
      <c r="O71" s="25">
        <v>0</v>
      </c>
      <c r="P71" s="25">
        <v>0.44</v>
      </c>
      <c r="Q71" s="25">
        <v>9.41</v>
      </c>
      <c r="R71" s="198"/>
      <c r="S71" s="198"/>
      <c r="T71" s="198"/>
      <c r="U71" s="198"/>
    </row>
    <row r="72" spans="1:21" s="12" customFormat="1" x14ac:dyDescent="0.25">
      <c r="A72" s="215" t="s">
        <v>696</v>
      </c>
      <c r="B72" s="25">
        <v>2.52</v>
      </c>
      <c r="C72" s="25">
        <v>1.56</v>
      </c>
      <c r="D72" s="25">
        <v>3.99</v>
      </c>
      <c r="E72" s="25">
        <v>2.08</v>
      </c>
      <c r="F72" s="25">
        <v>5.58</v>
      </c>
      <c r="G72" s="25">
        <v>33.049999999999997</v>
      </c>
      <c r="H72" s="25">
        <v>18.02</v>
      </c>
      <c r="I72" s="25">
        <v>4.99</v>
      </c>
      <c r="J72" s="25">
        <v>1.27</v>
      </c>
      <c r="K72" s="25">
        <v>345.94</v>
      </c>
      <c r="L72" s="25">
        <v>36.200000000000003</v>
      </c>
      <c r="M72" s="25">
        <v>26.56</v>
      </c>
      <c r="N72" s="25">
        <v>132.6</v>
      </c>
      <c r="O72" s="25">
        <v>0</v>
      </c>
      <c r="P72" s="25">
        <v>0.44</v>
      </c>
      <c r="Q72" s="25">
        <v>9.4</v>
      </c>
      <c r="R72" s="198"/>
      <c r="S72" s="198"/>
      <c r="T72" s="198"/>
      <c r="U72" s="198"/>
    </row>
    <row r="73" spans="1:21" s="12" customFormat="1" x14ac:dyDescent="0.25">
      <c r="A73" s="215" t="s">
        <v>697</v>
      </c>
      <c r="B73" s="25">
        <v>2.29</v>
      </c>
      <c r="C73" s="25">
        <v>0.51</v>
      </c>
      <c r="D73" s="25">
        <v>3.25</v>
      </c>
      <c r="E73" s="25">
        <v>2.11</v>
      </c>
      <c r="F73" s="25">
        <v>5.49</v>
      </c>
      <c r="G73" s="25">
        <v>33.049999999999997</v>
      </c>
      <c r="H73" s="25">
        <v>18.02</v>
      </c>
      <c r="I73" s="25">
        <v>5.5</v>
      </c>
      <c r="J73" s="25">
        <v>1.62</v>
      </c>
      <c r="K73" s="25">
        <v>341.03</v>
      </c>
      <c r="L73" s="25">
        <v>36.090000000000003</v>
      </c>
      <c r="M73" s="25">
        <v>28.53</v>
      </c>
      <c r="N73" s="25">
        <v>125.2</v>
      </c>
      <c r="O73" s="25">
        <v>0</v>
      </c>
      <c r="P73" s="25">
        <v>0.45</v>
      </c>
      <c r="Q73" s="25">
        <v>9.42</v>
      </c>
      <c r="R73" s="198"/>
      <c r="S73" s="198"/>
      <c r="T73" s="198"/>
      <c r="U73" s="198"/>
    </row>
    <row r="74" spans="1:21" s="12" customFormat="1" x14ac:dyDescent="0.25">
      <c r="A74" s="215" t="s">
        <v>698</v>
      </c>
      <c r="B74" s="25">
        <v>2.2599999999999998</v>
      </c>
      <c r="C74" s="25">
        <v>0.36</v>
      </c>
      <c r="D74" s="25">
        <v>3.14</v>
      </c>
      <c r="E74" s="25">
        <v>2.0099999999999998</v>
      </c>
      <c r="F74" s="25">
        <v>5.34</v>
      </c>
      <c r="G74" s="25">
        <v>34.71</v>
      </c>
      <c r="H74" s="25">
        <v>17.72</v>
      </c>
      <c r="I74" s="25">
        <v>5.77</v>
      </c>
      <c r="J74" s="25">
        <v>1.57</v>
      </c>
      <c r="K74" s="25">
        <v>340.3</v>
      </c>
      <c r="L74" s="25">
        <v>35.9</v>
      </c>
      <c r="M74" s="25">
        <v>29.86</v>
      </c>
      <c r="N74" s="25">
        <v>111.7</v>
      </c>
      <c r="O74" s="25">
        <v>0</v>
      </c>
      <c r="P74" s="25">
        <v>0.44</v>
      </c>
      <c r="Q74" s="25">
        <v>9.41</v>
      </c>
      <c r="R74" s="198"/>
      <c r="S74" s="198"/>
      <c r="T74" s="198"/>
      <c r="U74" s="198"/>
    </row>
    <row r="75" spans="1:21" s="12" customFormat="1" x14ac:dyDescent="0.25">
      <c r="A75" s="215" t="s">
        <v>699</v>
      </c>
      <c r="B75" s="25">
        <v>2.5299999999999998</v>
      </c>
      <c r="C75" s="25">
        <v>1.47</v>
      </c>
      <c r="D75" s="25">
        <v>3.94</v>
      </c>
      <c r="E75" s="25">
        <v>2.0099999999999998</v>
      </c>
      <c r="F75" s="25">
        <v>5.09</v>
      </c>
      <c r="G75" s="25">
        <v>36.299999999999997</v>
      </c>
      <c r="H75" s="25">
        <v>17.440000000000001</v>
      </c>
      <c r="I75" s="25">
        <v>6</v>
      </c>
      <c r="J75" s="25">
        <v>1.67</v>
      </c>
      <c r="K75" s="25">
        <v>344.54</v>
      </c>
      <c r="L75" s="25">
        <v>35.6</v>
      </c>
      <c r="M75" s="25">
        <v>30.25</v>
      </c>
      <c r="N75" s="25">
        <v>95.9</v>
      </c>
      <c r="O75" s="25">
        <v>0</v>
      </c>
      <c r="P75" s="25">
        <v>0.45</v>
      </c>
      <c r="Q75" s="25">
        <v>9.41</v>
      </c>
      <c r="R75" s="198"/>
      <c r="S75" s="198"/>
      <c r="T75" s="198"/>
      <c r="U75" s="198"/>
    </row>
    <row r="76" spans="1:21" s="12" customFormat="1" x14ac:dyDescent="0.25">
      <c r="A76" s="215" t="s">
        <v>700</v>
      </c>
      <c r="B76" s="25">
        <v>2.34</v>
      </c>
      <c r="C76" s="25">
        <v>0.66</v>
      </c>
      <c r="D76" s="25">
        <v>3.36</v>
      </c>
      <c r="E76" s="25">
        <v>1.93</v>
      </c>
      <c r="F76" s="25">
        <v>5.24</v>
      </c>
      <c r="G76" s="25">
        <v>36.299999999999997</v>
      </c>
      <c r="H76" s="25">
        <v>17.440000000000001</v>
      </c>
      <c r="I76" s="25">
        <v>6.21</v>
      </c>
      <c r="J76" s="25">
        <v>1.59</v>
      </c>
      <c r="K76" s="25">
        <v>341.96</v>
      </c>
      <c r="L76" s="25">
        <v>35.43</v>
      </c>
      <c r="M76" s="25">
        <v>29.9</v>
      </c>
      <c r="N76" s="25">
        <v>92.7</v>
      </c>
      <c r="O76" s="25">
        <v>0</v>
      </c>
      <c r="P76" s="25">
        <v>0.46</v>
      </c>
      <c r="Q76" s="25">
        <v>9.41</v>
      </c>
      <c r="R76" s="198"/>
      <c r="S76" s="198"/>
      <c r="T76" s="198"/>
      <c r="U76" s="198"/>
    </row>
    <row r="77" spans="1:21" s="12" customFormat="1" x14ac:dyDescent="0.25">
      <c r="A77" s="215" t="s">
        <v>701</v>
      </c>
      <c r="B77" s="25">
        <v>2.2599999999999998</v>
      </c>
      <c r="C77" s="25">
        <v>0.48</v>
      </c>
      <c r="D77" s="25">
        <v>3.21</v>
      </c>
      <c r="E77" s="25">
        <v>1.9</v>
      </c>
      <c r="F77" s="25">
        <v>4.93</v>
      </c>
      <c r="G77" s="25">
        <v>36.299999999999997</v>
      </c>
      <c r="H77" s="25">
        <v>17.440000000000001</v>
      </c>
      <c r="I77" s="25">
        <v>6.42</v>
      </c>
      <c r="J77" s="25">
        <v>1.1499999999999999</v>
      </c>
      <c r="K77" s="25">
        <v>343.29</v>
      </c>
      <c r="L77" s="25">
        <v>35.270000000000003</v>
      </c>
      <c r="M77" s="25">
        <v>27.12</v>
      </c>
      <c r="N77" s="25">
        <v>82.5</v>
      </c>
      <c r="O77" s="25">
        <v>0</v>
      </c>
      <c r="P77" s="25">
        <v>0.47</v>
      </c>
      <c r="Q77" s="25">
        <v>9.43</v>
      </c>
      <c r="R77" s="198"/>
      <c r="S77" s="198"/>
      <c r="T77" s="198"/>
      <c r="U77" s="198"/>
    </row>
    <row r="78" spans="1:21" s="12" customFormat="1" x14ac:dyDescent="0.25">
      <c r="A78" s="215" t="s">
        <v>702</v>
      </c>
      <c r="B78" s="25">
        <v>2.23</v>
      </c>
      <c r="C78" s="25">
        <v>0.42</v>
      </c>
      <c r="D78" s="25">
        <v>3.15</v>
      </c>
      <c r="E78" s="25">
        <v>1.88</v>
      </c>
      <c r="F78" s="25">
        <v>4.74</v>
      </c>
      <c r="G78" s="25">
        <v>37.08</v>
      </c>
      <c r="H78" s="25">
        <v>17.98</v>
      </c>
      <c r="I78" s="25">
        <v>6.53</v>
      </c>
      <c r="J78" s="25">
        <v>1</v>
      </c>
      <c r="K78" s="25">
        <v>345.45</v>
      </c>
      <c r="L78" s="25">
        <v>34.799999999999997</v>
      </c>
      <c r="M78" s="25">
        <v>29.37</v>
      </c>
      <c r="N78" s="25">
        <v>63</v>
      </c>
      <c r="O78" s="25">
        <v>0</v>
      </c>
      <c r="P78" s="25">
        <v>0.5</v>
      </c>
      <c r="Q78" s="25">
        <v>9.48</v>
      </c>
      <c r="R78" s="198"/>
      <c r="S78" s="198"/>
      <c r="T78" s="198"/>
      <c r="U78" s="198"/>
    </row>
    <row r="79" spans="1:21" s="12" customFormat="1" x14ac:dyDescent="0.25">
      <c r="A79" s="215" t="s">
        <v>703</v>
      </c>
      <c r="B79" s="25">
        <v>2.42</v>
      </c>
      <c r="C79" s="25">
        <v>1.21</v>
      </c>
      <c r="D79" s="25">
        <v>3.72</v>
      </c>
      <c r="E79" s="25">
        <v>2.15</v>
      </c>
      <c r="F79" s="25">
        <v>4.74</v>
      </c>
      <c r="G79" s="25">
        <v>37.81</v>
      </c>
      <c r="H79" s="25">
        <v>18.48</v>
      </c>
      <c r="I79" s="25">
        <v>6.57</v>
      </c>
      <c r="J79" s="25">
        <v>0.51</v>
      </c>
      <c r="K79" s="25">
        <v>21.27</v>
      </c>
      <c r="L79" s="25">
        <v>34.200000000000003</v>
      </c>
      <c r="M79" s="25">
        <v>31.3</v>
      </c>
      <c r="N79" s="25">
        <v>52.4</v>
      </c>
      <c r="O79" s="25">
        <v>0</v>
      </c>
      <c r="P79" s="25">
        <v>0.52</v>
      </c>
      <c r="Q79" s="25">
        <v>9.48</v>
      </c>
      <c r="R79" s="198"/>
      <c r="S79" s="198"/>
      <c r="T79" s="198"/>
      <c r="U79" s="198"/>
    </row>
    <row r="80" spans="1:21" s="12" customFormat="1" x14ac:dyDescent="0.25">
      <c r="A80" s="215" t="s">
        <v>704</v>
      </c>
      <c r="B80" s="25">
        <v>2.39</v>
      </c>
      <c r="C80" s="25">
        <v>1.1499999999999999</v>
      </c>
      <c r="D80" s="25">
        <v>3.66</v>
      </c>
      <c r="E80" s="25">
        <v>1.98</v>
      </c>
      <c r="F80" s="25">
        <v>4.95</v>
      </c>
      <c r="G80" s="25">
        <v>37.81</v>
      </c>
      <c r="H80" s="25">
        <v>18.48</v>
      </c>
      <c r="I80" s="25">
        <v>6.44</v>
      </c>
      <c r="J80" s="25">
        <v>0.72</v>
      </c>
      <c r="K80" s="25">
        <v>83.2</v>
      </c>
      <c r="L80" s="25">
        <v>33.590000000000003</v>
      </c>
      <c r="M80" s="25">
        <v>31.97</v>
      </c>
      <c r="N80" s="25">
        <v>43.7</v>
      </c>
      <c r="O80" s="25">
        <v>0</v>
      </c>
      <c r="P80" s="25">
        <v>0.52</v>
      </c>
      <c r="Q80" s="25">
        <v>9.51</v>
      </c>
      <c r="R80" s="198"/>
      <c r="S80" s="198"/>
      <c r="T80" s="198"/>
      <c r="U80" s="198"/>
    </row>
    <row r="81" spans="1:26" s="12" customFormat="1" x14ac:dyDescent="0.25">
      <c r="A81" s="215" t="s">
        <v>705</v>
      </c>
      <c r="B81" s="25">
        <v>2.5099999999999998</v>
      </c>
      <c r="C81" s="25">
        <v>1.72</v>
      </c>
      <c r="D81" s="25">
        <v>4.05</v>
      </c>
      <c r="E81" s="25">
        <v>2.09</v>
      </c>
      <c r="F81" s="25">
        <v>5.22</v>
      </c>
      <c r="G81" s="25">
        <v>37.81</v>
      </c>
      <c r="H81" s="25">
        <v>18.48</v>
      </c>
      <c r="I81" s="25">
        <v>6.18</v>
      </c>
      <c r="J81" s="25">
        <v>0.63</v>
      </c>
      <c r="K81" s="25">
        <v>105.45</v>
      </c>
      <c r="L81" s="25">
        <v>33.39</v>
      </c>
      <c r="M81" s="25">
        <v>31.56</v>
      </c>
      <c r="N81" s="25">
        <v>36.5</v>
      </c>
      <c r="O81" s="25">
        <v>0</v>
      </c>
      <c r="P81" s="25">
        <v>0.54</v>
      </c>
      <c r="Q81" s="25">
        <v>9.51</v>
      </c>
      <c r="R81" s="198"/>
      <c r="S81" s="198"/>
      <c r="T81" s="198"/>
      <c r="U81" s="198"/>
    </row>
    <row r="82" spans="1:26" s="12" customFormat="1" x14ac:dyDescent="0.25">
      <c r="A82" s="215" t="s">
        <v>706</v>
      </c>
      <c r="B82" s="25">
        <v>2.29</v>
      </c>
      <c r="C82" s="25">
        <v>0.68</v>
      </c>
      <c r="D82" s="25">
        <v>3.34</v>
      </c>
      <c r="E82" s="25">
        <v>2.0099999999999998</v>
      </c>
      <c r="F82" s="25">
        <v>4.6100000000000003</v>
      </c>
      <c r="G82" s="25">
        <v>39.159999999999997</v>
      </c>
      <c r="H82" s="25">
        <v>18.55</v>
      </c>
      <c r="I82" s="25">
        <v>5.99</v>
      </c>
      <c r="J82" s="25">
        <v>0.25</v>
      </c>
      <c r="K82" s="25">
        <v>192.23</v>
      </c>
      <c r="L82" s="25">
        <v>32.770000000000003</v>
      </c>
      <c r="M82" s="25">
        <v>36.17</v>
      </c>
      <c r="N82" s="25">
        <v>29.7</v>
      </c>
      <c r="O82" s="25">
        <v>0</v>
      </c>
      <c r="P82" s="25">
        <v>0.61</v>
      </c>
      <c r="Q82" s="25">
        <v>9.48</v>
      </c>
      <c r="R82" s="198"/>
      <c r="S82" s="198"/>
      <c r="T82" s="198"/>
      <c r="U82" s="198"/>
    </row>
    <row r="83" spans="1:26" s="12" customFormat="1" x14ac:dyDescent="0.25">
      <c r="A83" s="215" t="s">
        <v>707</v>
      </c>
      <c r="B83" s="25">
        <v>2.2200000000000002</v>
      </c>
      <c r="C83" s="25">
        <v>0.42</v>
      </c>
      <c r="D83" s="25">
        <v>3.15</v>
      </c>
      <c r="E83" s="25">
        <v>1.87</v>
      </c>
      <c r="F83" s="25">
        <v>4.03</v>
      </c>
      <c r="G83" s="25">
        <v>40.46</v>
      </c>
      <c r="H83" s="25">
        <v>18.62</v>
      </c>
      <c r="I83" s="25">
        <v>6.01</v>
      </c>
      <c r="J83" s="25">
        <v>0.35</v>
      </c>
      <c r="K83" s="25">
        <v>335.12</v>
      </c>
      <c r="L83" s="25">
        <v>32.299999999999997</v>
      </c>
      <c r="M83" s="25">
        <v>39.03</v>
      </c>
      <c r="N83" s="25">
        <v>20.9</v>
      </c>
      <c r="O83" s="25">
        <v>0</v>
      </c>
      <c r="P83" s="25">
        <v>0.66</v>
      </c>
      <c r="Q83" s="25">
        <v>9.49</v>
      </c>
      <c r="R83" s="198"/>
      <c r="S83" s="198"/>
      <c r="T83" s="198"/>
      <c r="U83" s="198"/>
    </row>
    <row r="84" spans="1:26" s="12" customFormat="1" x14ac:dyDescent="0.25">
      <c r="A84" s="215" t="s">
        <v>708</v>
      </c>
      <c r="B84" s="25">
        <v>2.79</v>
      </c>
      <c r="C84" s="25">
        <v>2.68</v>
      </c>
      <c r="D84" s="25">
        <v>4.78</v>
      </c>
      <c r="E84" s="25">
        <v>1.95</v>
      </c>
      <c r="F84" s="25">
        <v>4.07</v>
      </c>
      <c r="G84" s="25">
        <v>40.46</v>
      </c>
      <c r="H84" s="25">
        <v>18.62</v>
      </c>
      <c r="I84" s="25">
        <v>6.27</v>
      </c>
      <c r="J84" s="25">
        <v>0.63</v>
      </c>
      <c r="K84" s="25">
        <v>33.67</v>
      </c>
      <c r="L84" s="25">
        <v>32.32</v>
      </c>
      <c r="M84" s="25">
        <v>33.5</v>
      </c>
      <c r="N84" s="25">
        <v>19.399999999999999</v>
      </c>
      <c r="O84" s="25">
        <v>0</v>
      </c>
      <c r="P84" s="25">
        <v>0.67</v>
      </c>
      <c r="Q84" s="25">
        <v>9.5399999999999991</v>
      </c>
      <c r="R84" s="198"/>
      <c r="S84" s="198"/>
      <c r="T84" s="198"/>
      <c r="U84" s="198"/>
    </row>
    <row r="85" spans="1:26" s="12" customFormat="1" x14ac:dyDescent="0.25">
      <c r="A85" s="215" t="s">
        <v>709</v>
      </c>
      <c r="B85" s="25">
        <v>2.4500000000000002</v>
      </c>
      <c r="C85" s="25">
        <v>1.24</v>
      </c>
      <c r="D85" s="25">
        <v>3.76</v>
      </c>
      <c r="E85" s="25">
        <v>1.67</v>
      </c>
      <c r="F85" s="25">
        <v>4.41</v>
      </c>
      <c r="G85" s="25">
        <v>40.46</v>
      </c>
      <c r="H85" s="25">
        <v>18.62</v>
      </c>
      <c r="I85" s="25">
        <v>6.84</v>
      </c>
      <c r="J85" s="25">
        <v>0.5</v>
      </c>
      <c r="K85" s="25">
        <v>38.6</v>
      </c>
      <c r="L85" s="25">
        <v>31.69</v>
      </c>
      <c r="M85" s="25">
        <v>35.31</v>
      </c>
      <c r="N85" s="25">
        <v>19.600000000000001</v>
      </c>
      <c r="O85" s="25">
        <v>0</v>
      </c>
      <c r="P85" s="25">
        <v>0.57999999999999996</v>
      </c>
      <c r="Q85" s="25">
        <v>9.5399999999999991</v>
      </c>
      <c r="R85" s="198"/>
      <c r="S85" s="198"/>
      <c r="T85" s="198"/>
      <c r="U85" s="198"/>
    </row>
    <row r="86" spans="1:26" s="12" customFormat="1" x14ac:dyDescent="0.25">
      <c r="A86" s="215" t="s">
        <v>710</v>
      </c>
      <c r="B86" s="25">
        <v>2.27</v>
      </c>
      <c r="C86" s="25">
        <v>0.5</v>
      </c>
      <c r="D86" s="25">
        <v>3.23</v>
      </c>
      <c r="E86" s="25">
        <v>1.8</v>
      </c>
      <c r="F86" s="25">
        <v>4.3899999999999997</v>
      </c>
      <c r="G86" s="25">
        <v>41.64</v>
      </c>
      <c r="H86" s="25">
        <v>18.29</v>
      </c>
      <c r="I86" s="25">
        <v>6.94</v>
      </c>
      <c r="J86" s="25">
        <v>0.54</v>
      </c>
      <c r="K86" s="25">
        <v>26.32</v>
      </c>
      <c r="L86" s="25">
        <v>31.08</v>
      </c>
      <c r="M86" s="25">
        <v>38.799999999999997</v>
      </c>
      <c r="N86" s="25">
        <v>19.600000000000001</v>
      </c>
      <c r="O86" s="25">
        <v>0</v>
      </c>
      <c r="P86" s="25">
        <v>0.61</v>
      </c>
      <c r="Q86" s="25">
        <v>9.5399999999999991</v>
      </c>
      <c r="R86" s="198"/>
      <c r="S86" s="198"/>
      <c r="T86" s="198"/>
      <c r="U86" s="198"/>
    </row>
    <row r="87" spans="1:26" s="12" customFormat="1" x14ac:dyDescent="0.25">
      <c r="A87" s="215" t="s">
        <v>711</v>
      </c>
      <c r="B87" s="25">
        <v>2.29</v>
      </c>
      <c r="C87" s="25">
        <v>0.52</v>
      </c>
      <c r="D87" s="25">
        <v>3.25</v>
      </c>
      <c r="E87" s="25">
        <v>1.77</v>
      </c>
      <c r="F87" s="25">
        <v>4.5999999999999996</v>
      </c>
      <c r="G87" s="25">
        <v>42.73</v>
      </c>
      <c r="H87" s="25">
        <v>17.989999999999998</v>
      </c>
      <c r="I87" s="25">
        <v>6.54</v>
      </c>
      <c r="J87" s="25">
        <v>0.51</v>
      </c>
      <c r="K87" s="25">
        <v>16.63</v>
      </c>
      <c r="L87" s="25">
        <v>30.72</v>
      </c>
      <c r="M87" s="25">
        <v>40.4</v>
      </c>
      <c r="N87" s="25">
        <v>19.399999999999999</v>
      </c>
      <c r="O87" s="25">
        <v>0</v>
      </c>
      <c r="P87" s="25">
        <v>0.6</v>
      </c>
      <c r="Q87" s="25">
        <v>9.5</v>
      </c>
      <c r="R87" s="198"/>
      <c r="S87" s="198"/>
      <c r="T87" s="198"/>
      <c r="U87" s="198"/>
    </row>
    <row r="88" spans="1:26" s="12" customFormat="1" x14ac:dyDescent="0.25">
      <c r="A88" s="215" t="s">
        <v>712</v>
      </c>
      <c r="B88" s="25">
        <v>2.4700000000000002</v>
      </c>
      <c r="C88" s="25">
        <v>1.32</v>
      </c>
      <c r="D88" s="25">
        <v>3.82</v>
      </c>
      <c r="E88" s="25">
        <v>2.12</v>
      </c>
      <c r="F88" s="25">
        <v>4.46</v>
      </c>
      <c r="G88" s="25">
        <v>42.73</v>
      </c>
      <c r="H88" s="25">
        <v>17.989999999999998</v>
      </c>
      <c r="I88" s="25">
        <v>6.17</v>
      </c>
      <c r="J88" s="25">
        <v>0.25</v>
      </c>
      <c r="K88" s="25">
        <v>2.74</v>
      </c>
      <c r="L88" s="25">
        <v>30.48</v>
      </c>
      <c r="M88" s="25">
        <v>40.11</v>
      </c>
      <c r="N88" s="25">
        <v>19.100000000000001</v>
      </c>
      <c r="O88" s="25">
        <v>0</v>
      </c>
      <c r="P88" s="25">
        <v>0.61</v>
      </c>
      <c r="Q88" s="25">
        <v>9.49</v>
      </c>
      <c r="R88" s="198"/>
      <c r="S88" s="198"/>
      <c r="T88" s="198"/>
      <c r="U88" s="198"/>
    </row>
    <row r="89" spans="1:26" s="12" customFormat="1" x14ac:dyDescent="0.25">
      <c r="A89" s="215" t="s">
        <v>713</v>
      </c>
      <c r="B89" s="25">
        <v>2.5299999999999998</v>
      </c>
      <c r="C89" s="25">
        <v>1.62</v>
      </c>
      <c r="D89" s="25">
        <v>4.01</v>
      </c>
      <c r="E89" s="25">
        <v>2.06</v>
      </c>
      <c r="F89" s="25">
        <v>3.91</v>
      </c>
      <c r="G89" s="25">
        <v>42.73</v>
      </c>
      <c r="H89" s="25">
        <v>17.989999999999998</v>
      </c>
      <c r="I89" s="25">
        <v>5.86</v>
      </c>
      <c r="J89" s="25">
        <v>0.41</v>
      </c>
      <c r="K89" s="25">
        <v>202.45</v>
      </c>
      <c r="L89" s="25">
        <v>30.23</v>
      </c>
      <c r="M89" s="25">
        <v>40.68</v>
      </c>
      <c r="N89" s="25">
        <v>19</v>
      </c>
      <c r="O89" s="25">
        <v>0</v>
      </c>
      <c r="P89" s="25">
        <v>0.61</v>
      </c>
      <c r="Q89" s="25">
        <v>9.42</v>
      </c>
      <c r="R89" s="198"/>
      <c r="S89" s="198"/>
      <c r="T89" s="198"/>
      <c r="U89" s="198"/>
    </row>
    <row r="90" spans="1:26" s="12" customFormat="1" x14ac:dyDescent="0.25">
      <c r="A90" s="215" t="s">
        <v>714</v>
      </c>
      <c r="B90" s="25">
        <v>2.2999999999999998</v>
      </c>
      <c r="C90" s="25">
        <v>0.5</v>
      </c>
      <c r="D90" s="25">
        <v>3.25</v>
      </c>
      <c r="E90" s="25">
        <v>1.59</v>
      </c>
      <c r="F90" s="25">
        <v>3.82</v>
      </c>
      <c r="G90" s="25">
        <v>42.25</v>
      </c>
      <c r="H90" s="25">
        <v>17.989999999999998</v>
      </c>
      <c r="I90" s="25">
        <v>5.67</v>
      </c>
      <c r="J90" s="25">
        <v>0.56000000000000005</v>
      </c>
      <c r="K90" s="25">
        <v>213.87</v>
      </c>
      <c r="L90" s="25">
        <v>29.95</v>
      </c>
      <c r="M90" s="25">
        <v>40.880000000000003</v>
      </c>
      <c r="N90" s="25">
        <v>19.100000000000001</v>
      </c>
      <c r="O90" s="25">
        <v>0</v>
      </c>
      <c r="P90" s="25">
        <v>0.6</v>
      </c>
      <c r="Q90" s="25">
        <v>9.42</v>
      </c>
      <c r="R90" s="198"/>
      <c r="S90" s="198"/>
      <c r="T90" s="198"/>
      <c r="U90" s="198"/>
    </row>
    <row r="91" spans="1:26" s="12" customFormat="1" x14ac:dyDescent="0.25">
      <c r="A91" s="215" t="s">
        <v>715</v>
      </c>
      <c r="B91" s="25">
        <v>2.2799999999999998</v>
      </c>
      <c r="C91" s="25">
        <v>0.35</v>
      </c>
      <c r="D91" s="25">
        <v>3.16</v>
      </c>
      <c r="E91" s="25">
        <v>1.76</v>
      </c>
      <c r="F91" s="25">
        <v>4.04</v>
      </c>
      <c r="G91" s="25">
        <v>41.8</v>
      </c>
      <c r="H91" s="25">
        <v>17.989999999999998</v>
      </c>
      <c r="I91" s="25">
        <v>5.38</v>
      </c>
      <c r="J91" s="25">
        <v>0.49</v>
      </c>
      <c r="K91" s="25">
        <v>191.49</v>
      </c>
      <c r="L91" s="25">
        <v>29.64</v>
      </c>
      <c r="M91" s="25">
        <v>41.09</v>
      </c>
      <c r="N91" s="25">
        <v>19.2</v>
      </c>
      <c r="O91" s="25">
        <v>0</v>
      </c>
      <c r="P91" s="25">
        <v>0.59</v>
      </c>
      <c r="Q91" s="25">
        <v>9.4499999999999993</v>
      </c>
      <c r="R91" s="198"/>
      <c r="S91" s="198"/>
      <c r="T91" s="198"/>
      <c r="U91" s="198"/>
    </row>
    <row r="92" spans="1:26" s="12" customFormat="1" x14ac:dyDescent="0.25">
      <c r="A92" s="215" t="s">
        <v>716</v>
      </c>
      <c r="B92" s="25">
        <v>2.27</v>
      </c>
      <c r="C92" s="25">
        <v>0.34</v>
      </c>
      <c r="D92" s="25">
        <v>3.14</v>
      </c>
      <c r="E92" s="25">
        <v>2.13</v>
      </c>
      <c r="F92" s="25">
        <v>4.05</v>
      </c>
      <c r="G92" s="25">
        <v>41.8</v>
      </c>
      <c r="H92" s="25">
        <v>17.989999999999998</v>
      </c>
      <c r="I92" s="25">
        <v>5.47</v>
      </c>
      <c r="J92" s="25">
        <v>1.17</v>
      </c>
      <c r="K92" s="25">
        <v>165.08</v>
      </c>
      <c r="L92" s="25">
        <v>29.31</v>
      </c>
      <c r="M92" s="25">
        <v>42.74</v>
      </c>
      <c r="N92" s="25">
        <v>19.2</v>
      </c>
      <c r="O92" s="25">
        <v>0</v>
      </c>
      <c r="P92" s="25">
        <v>0.59</v>
      </c>
      <c r="Q92" s="25">
        <v>9.4499999999999993</v>
      </c>
      <c r="R92" s="198"/>
      <c r="S92" s="198"/>
      <c r="T92" s="198"/>
      <c r="U92" s="198"/>
    </row>
    <row r="93" spans="1:26" s="12" customFormat="1" x14ac:dyDescent="0.25">
      <c r="A93" s="215" t="s">
        <v>717</v>
      </c>
      <c r="B93" s="25">
        <v>2.4700000000000002</v>
      </c>
      <c r="C93" s="25">
        <v>0.94</v>
      </c>
      <c r="D93" s="25">
        <v>3.61</v>
      </c>
      <c r="E93" s="25">
        <v>2.11</v>
      </c>
      <c r="F93" s="25">
        <v>3.87</v>
      </c>
      <c r="G93" s="25">
        <v>41.8</v>
      </c>
      <c r="H93" s="25">
        <v>17.989999999999998</v>
      </c>
      <c r="I93" s="25">
        <v>5.4</v>
      </c>
      <c r="J93" s="25">
        <v>0.54</v>
      </c>
      <c r="K93" s="25">
        <v>174.31</v>
      </c>
      <c r="L93" s="25">
        <v>29.08</v>
      </c>
      <c r="M93" s="25">
        <v>44.17</v>
      </c>
      <c r="N93" s="25">
        <v>19.399999999999999</v>
      </c>
      <c r="O93" s="25">
        <v>0</v>
      </c>
      <c r="P93" s="25">
        <v>0.57999999999999996</v>
      </c>
      <c r="Q93" s="25">
        <v>9.4499999999999993</v>
      </c>
      <c r="R93" s="198"/>
      <c r="S93" s="198"/>
      <c r="T93" s="198"/>
      <c r="U93" s="198"/>
    </row>
    <row r="94" spans="1:26" s="12" customFormat="1" x14ac:dyDescent="0.25">
      <c r="A94" s="215" t="s">
        <v>718</v>
      </c>
      <c r="B94" s="25">
        <v>2.58</v>
      </c>
      <c r="C94" s="25">
        <v>1.49</v>
      </c>
      <c r="D94" s="25">
        <v>4</v>
      </c>
      <c r="E94" s="25">
        <v>2.08</v>
      </c>
      <c r="F94" s="25">
        <v>3.64</v>
      </c>
      <c r="G94" s="25">
        <v>41.63</v>
      </c>
      <c r="H94" s="25">
        <v>18.02</v>
      </c>
      <c r="I94" s="25">
        <v>5.66</v>
      </c>
      <c r="J94" s="25">
        <v>0.5</v>
      </c>
      <c r="K94" s="25">
        <v>179.6</v>
      </c>
      <c r="L94" s="25">
        <v>28.89</v>
      </c>
      <c r="M94" s="25">
        <v>45.1</v>
      </c>
      <c r="N94" s="25">
        <v>19.399999999999999</v>
      </c>
      <c r="O94" s="25">
        <v>0</v>
      </c>
      <c r="P94" s="25">
        <v>0.56999999999999995</v>
      </c>
      <c r="Q94" s="25">
        <v>9.48</v>
      </c>
      <c r="R94" s="198"/>
      <c r="S94" s="198"/>
      <c r="T94" s="198"/>
      <c r="U94" s="198"/>
    </row>
    <row r="95" spans="1:26" s="12" customFormat="1" x14ac:dyDescent="0.25">
      <c r="A95" s="215" t="s">
        <v>719</v>
      </c>
      <c r="B95" s="25">
        <v>2.37</v>
      </c>
      <c r="C95" s="25">
        <v>0.6</v>
      </c>
      <c r="D95" s="25">
        <v>3.36</v>
      </c>
      <c r="E95" s="25">
        <v>2.13</v>
      </c>
      <c r="F95" s="25">
        <v>3.91</v>
      </c>
      <c r="G95" s="25">
        <v>41.47</v>
      </c>
      <c r="H95" s="25">
        <v>18.05</v>
      </c>
      <c r="I95" s="25">
        <v>5.76</v>
      </c>
      <c r="J95" s="25">
        <v>0.32</v>
      </c>
      <c r="K95" s="25">
        <v>317.76</v>
      </c>
      <c r="L95" s="25">
        <v>28.66</v>
      </c>
      <c r="M95" s="25">
        <v>45.44</v>
      </c>
      <c r="N95" s="25">
        <v>19.600000000000001</v>
      </c>
      <c r="O95" s="25">
        <v>0</v>
      </c>
      <c r="P95" s="25">
        <v>0.56999999999999995</v>
      </c>
      <c r="Q95" s="25">
        <v>9.49</v>
      </c>
      <c r="R95" s="198"/>
      <c r="S95" s="198"/>
      <c r="T95" s="198"/>
      <c r="U95" s="198"/>
    </row>
    <row r="96" spans="1:26" s="12" customFormat="1" x14ac:dyDescent="0.25">
      <c r="A96" s="215" t="s">
        <v>720</v>
      </c>
      <c r="B96" s="25">
        <v>2.36</v>
      </c>
      <c r="C96" s="25">
        <v>0.61</v>
      </c>
      <c r="D96" s="25">
        <v>3.35</v>
      </c>
      <c r="E96" s="25">
        <v>1.99</v>
      </c>
      <c r="F96" s="25">
        <v>4.38</v>
      </c>
      <c r="G96" s="25">
        <v>41.47</v>
      </c>
      <c r="H96" s="25">
        <v>18.05</v>
      </c>
      <c r="I96" s="25">
        <v>5.33</v>
      </c>
      <c r="J96" s="25">
        <v>0.69</v>
      </c>
      <c r="K96" s="25">
        <v>193.12</v>
      </c>
      <c r="L96" s="25">
        <v>28.68</v>
      </c>
      <c r="M96" s="25">
        <v>45.45</v>
      </c>
      <c r="N96" s="25">
        <v>19</v>
      </c>
      <c r="O96" s="25">
        <v>0</v>
      </c>
      <c r="P96" s="25">
        <v>0.56999999999999995</v>
      </c>
      <c r="Q96" s="25">
        <v>9.51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721</v>
      </c>
      <c r="B97" s="25">
        <v>2.61</v>
      </c>
      <c r="C97" s="25">
        <v>1.81</v>
      </c>
      <c r="D97" s="25">
        <v>4.1900000000000004</v>
      </c>
      <c r="E97" s="25">
        <v>2.16</v>
      </c>
      <c r="F97" s="25">
        <v>4.4400000000000004</v>
      </c>
      <c r="G97" s="25">
        <v>41.47</v>
      </c>
      <c r="H97" s="25">
        <v>18.05</v>
      </c>
      <c r="I97" s="25">
        <v>5.47</v>
      </c>
      <c r="J97" s="25">
        <v>1.24</v>
      </c>
      <c r="K97" s="25">
        <v>157.26</v>
      </c>
      <c r="L97" s="25">
        <v>28.48</v>
      </c>
      <c r="M97" s="25">
        <v>46.47</v>
      </c>
      <c r="N97" s="25">
        <v>19.3</v>
      </c>
      <c r="O97" s="25">
        <v>0</v>
      </c>
      <c r="P97" s="25">
        <v>0.56000000000000005</v>
      </c>
      <c r="Q97" s="25">
        <v>9.5299999999999994</v>
      </c>
      <c r="R97" s="198"/>
      <c r="S97" s="198"/>
      <c r="T97" s="198"/>
      <c r="U97" s="198"/>
    </row>
    <row r="98" spans="1:33" s="12" customFormat="1" x14ac:dyDescent="0.25">
      <c r="A98" s="215" t="s">
        <v>722</v>
      </c>
      <c r="B98" s="25">
        <v>2.31</v>
      </c>
      <c r="C98" s="25">
        <v>0.71</v>
      </c>
      <c r="D98" s="25">
        <v>3.37</v>
      </c>
      <c r="E98" s="25">
        <v>2.2999999999999998</v>
      </c>
      <c r="F98" s="25">
        <v>4.03</v>
      </c>
      <c r="G98" s="25">
        <v>41</v>
      </c>
      <c r="H98" s="25">
        <v>17.45</v>
      </c>
      <c r="I98" s="25">
        <v>6.08</v>
      </c>
      <c r="J98" s="25">
        <v>0.64</v>
      </c>
      <c r="K98" s="25">
        <v>188.65</v>
      </c>
      <c r="L98" s="25">
        <v>28.44</v>
      </c>
      <c r="M98" s="25">
        <v>46.59</v>
      </c>
      <c r="N98" s="25">
        <v>19.5</v>
      </c>
      <c r="O98" s="25">
        <v>0</v>
      </c>
      <c r="P98" s="25">
        <v>0.54</v>
      </c>
      <c r="Q98" s="25">
        <v>9.4700000000000006</v>
      </c>
      <c r="R98" s="198"/>
      <c r="S98" s="198"/>
      <c r="T98" s="198"/>
      <c r="U98" s="198"/>
    </row>
    <row r="99" spans="1:33" s="12" customFormat="1" x14ac:dyDescent="0.25">
      <c r="A99" s="215" t="s">
        <v>723</v>
      </c>
      <c r="B99" s="25">
        <v>2.31</v>
      </c>
      <c r="C99" s="25">
        <v>0.57999999999999996</v>
      </c>
      <c r="D99" s="25">
        <v>3.3</v>
      </c>
      <c r="E99" s="25">
        <v>2.13</v>
      </c>
      <c r="F99" s="25">
        <v>4.25</v>
      </c>
      <c r="G99" s="25">
        <v>40.56</v>
      </c>
      <c r="H99" s="25">
        <v>16.87</v>
      </c>
      <c r="I99" s="25">
        <v>6.31</v>
      </c>
      <c r="J99" s="25">
        <v>0.93</v>
      </c>
      <c r="K99" s="25">
        <v>170.13</v>
      </c>
      <c r="L99" s="25">
        <v>28.33</v>
      </c>
      <c r="M99" s="25">
        <v>48.05</v>
      </c>
      <c r="N99" s="25">
        <v>19.399999999999999</v>
      </c>
      <c r="O99" s="25">
        <v>0</v>
      </c>
      <c r="P99" s="25">
        <v>0.51</v>
      </c>
      <c r="Q99" s="25">
        <v>9.48</v>
      </c>
      <c r="R99" s="198"/>
      <c r="S99" s="198"/>
      <c r="T99" s="198"/>
      <c r="U99" s="198"/>
    </row>
    <row r="100" spans="1:33" s="12" customFormat="1" x14ac:dyDescent="0.25">
      <c r="A100" s="215" t="s">
        <v>724</v>
      </c>
      <c r="B100" s="25">
        <v>2.5299999999999998</v>
      </c>
      <c r="C100" s="25">
        <v>1.31</v>
      </c>
      <c r="D100" s="25">
        <v>3.86</v>
      </c>
      <c r="E100" s="25">
        <v>2.0299999999999998</v>
      </c>
      <c r="F100" s="25">
        <v>4.51</v>
      </c>
      <c r="G100" s="25">
        <v>40.56</v>
      </c>
      <c r="H100" s="25">
        <v>16.87</v>
      </c>
      <c r="I100" s="25">
        <v>6.18</v>
      </c>
      <c r="J100" s="25">
        <v>0.03</v>
      </c>
      <c r="K100" s="25">
        <v>309.17</v>
      </c>
      <c r="L100" s="25">
        <v>28.2</v>
      </c>
      <c r="M100" s="25">
        <v>48.29</v>
      </c>
      <c r="N100" s="25">
        <v>19.7</v>
      </c>
      <c r="O100" s="25">
        <v>0</v>
      </c>
      <c r="P100" s="25">
        <v>0.49</v>
      </c>
      <c r="Q100" s="25">
        <v>9.4499999999999993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725</v>
      </c>
      <c r="B101" s="25">
        <v>2.36</v>
      </c>
      <c r="C101" s="25">
        <v>0.65</v>
      </c>
      <c r="D101" s="25">
        <v>3.38</v>
      </c>
      <c r="E101" s="25">
        <v>2.0099999999999998</v>
      </c>
      <c r="F101" s="25">
        <v>3.86</v>
      </c>
      <c r="G101" s="25">
        <v>40.56</v>
      </c>
      <c r="H101" s="25">
        <v>16.87</v>
      </c>
      <c r="I101" s="25">
        <v>5.99</v>
      </c>
      <c r="J101" s="25">
        <v>0.37</v>
      </c>
      <c r="K101" s="25">
        <v>108.22</v>
      </c>
      <c r="L101" s="25">
        <v>28.09</v>
      </c>
      <c r="M101" s="25">
        <v>48.56</v>
      </c>
      <c r="N101" s="25">
        <v>19.600000000000001</v>
      </c>
      <c r="O101" s="25">
        <v>0</v>
      </c>
      <c r="P101" s="25">
        <v>0.48</v>
      </c>
      <c r="Q101" s="25">
        <v>9.4700000000000006</v>
      </c>
      <c r="R101" s="198"/>
      <c r="S101" s="198"/>
      <c r="T101" s="198"/>
      <c r="U101" s="198"/>
    </row>
    <row r="102" spans="1:33" s="12" customFormat="1" x14ac:dyDescent="0.25">
      <c r="A102" s="215" t="s">
        <v>726</v>
      </c>
      <c r="B102" s="25">
        <v>2.6</v>
      </c>
      <c r="C102" s="25">
        <v>1.63</v>
      </c>
      <c r="D102" s="25">
        <v>4.08</v>
      </c>
      <c r="E102" s="25">
        <v>1.99</v>
      </c>
      <c r="F102" s="25">
        <v>4.7</v>
      </c>
      <c r="G102" s="25">
        <v>37.43</v>
      </c>
      <c r="H102" s="25">
        <v>18.89</v>
      </c>
      <c r="I102" s="25">
        <v>5.58</v>
      </c>
      <c r="J102" s="25">
        <v>0.39</v>
      </c>
      <c r="K102" s="25">
        <v>169.81</v>
      </c>
      <c r="L102" s="25">
        <v>28.02</v>
      </c>
      <c r="M102" s="25">
        <v>49.43</v>
      </c>
      <c r="N102" s="25">
        <v>19.5</v>
      </c>
      <c r="O102" s="25">
        <v>0</v>
      </c>
      <c r="P102" s="25">
        <v>0.48</v>
      </c>
      <c r="Q102" s="25">
        <v>9.5299999999999994</v>
      </c>
      <c r="R102" s="198"/>
      <c r="S102" s="198"/>
      <c r="T102" s="198"/>
      <c r="U102" s="198"/>
    </row>
    <row r="103" spans="1:33" s="12" customFormat="1" x14ac:dyDescent="0.25">
      <c r="A103" s="215" t="s">
        <v>727</v>
      </c>
      <c r="B103" s="25">
        <v>2.29</v>
      </c>
      <c r="C103" s="25">
        <v>0.56999999999999995</v>
      </c>
      <c r="D103" s="25">
        <v>3.28</v>
      </c>
      <c r="E103" s="25">
        <v>2.3199999999999998</v>
      </c>
      <c r="F103" s="25">
        <v>4.1399999999999997</v>
      </c>
      <c r="G103" s="25">
        <v>34.57</v>
      </c>
      <c r="H103" s="25">
        <v>20.73</v>
      </c>
      <c r="I103" s="25">
        <v>5.45</v>
      </c>
      <c r="J103" s="25">
        <v>0.63</v>
      </c>
      <c r="K103" s="25">
        <v>159.44999999999999</v>
      </c>
      <c r="L103" s="25">
        <v>28.03</v>
      </c>
      <c r="M103" s="25">
        <v>49.95</v>
      </c>
      <c r="N103" s="25">
        <v>19.399999999999999</v>
      </c>
      <c r="O103" s="25">
        <v>0</v>
      </c>
      <c r="P103" s="25">
        <v>0.48</v>
      </c>
      <c r="Q103" s="25">
        <v>9.51</v>
      </c>
      <c r="R103" s="198"/>
      <c r="S103" s="198"/>
      <c r="T103" s="198"/>
      <c r="U103" s="198"/>
    </row>
    <row r="104" spans="1:33" s="12" customFormat="1" x14ac:dyDescent="0.25">
      <c r="A104" s="215" t="s">
        <v>728</v>
      </c>
      <c r="B104" s="25">
        <v>2.4</v>
      </c>
      <c r="C104" s="25">
        <v>0.87</v>
      </c>
      <c r="D104" s="25">
        <v>3.52</v>
      </c>
      <c r="E104" s="25">
        <v>0.43</v>
      </c>
      <c r="F104" s="25">
        <v>3.93</v>
      </c>
      <c r="G104" s="25">
        <v>34.57</v>
      </c>
      <c r="H104" s="25">
        <v>20.73</v>
      </c>
      <c r="I104" s="25">
        <v>5.42</v>
      </c>
      <c r="J104" s="25">
        <v>0.16</v>
      </c>
      <c r="K104" s="25">
        <v>46.75</v>
      </c>
      <c r="L104" s="25">
        <v>27.96</v>
      </c>
      <c r="M104" s="25">
        <v>51.81</v>
      </c>
      <c r="N104" s="25">
        <v>19.899999999999999</v>
      </c>
      <c r="O104" s="25">
        <v>0</v>
      </c>
      <c r="P104" s="25">
        <v>0.46</v>
      </c>
      <c r="Q104" s="25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2.21</v>
      </c>
      <c r="C106" s="67">
        <f>MIN(C9:C104)</f>
        <v>0.34</v>
      </c>
      <c r="D106" s="67">
        <f t="shared" ref="D106:Q106" si="0">MIN(D9:D104)</f>
        <v>2.7</v>
      </c>
      <c r="E106" s="67">
        <f t="shared" si="0"/>
        <v>0.43</v>
      </c>
      <c r="F106" s="67">
        <f t="shared" si="0"/>
        <v>3.64</v>
      </c>
      <c r="G106" s="67">
        <f t="shared" si="0"/>
        <v>21.77</v>
      </c>
      <c r="H106" s="67">
        <f t="shared" si="0"/>
        <v>8.6199999999999992</v>
      </c>
      <c r="I106" s="67">
        <f t="shared" si="0"/>
        <v>1.88</v>
      </c>
      <c r="J106" s="67">
        <f t="shared" si="0"/>
        <v>0.03</v>
      </c>
      <c r="K106" s="67">
        <f t="shared" si="0"/>
        <v>0.2</v>
      </c>
      <c r="L106" s="67">
        <f t="shared" si="0"/>
        <v>24.14</v>
      </c>
      <c r="M106" s="67">
        <f t="shared" si="0"/>
        <v>25.39</v>
      </c>
      <c r="N106" s="67">
        <f t="shared" si="0"/>
        <v>13.6</v>
      </c>
      <c r="O106" s="67">
        <f t="shared" si="0"/>
        <v>0</v>
      </c>
      <c r="P106" s="67">
        <f t="shared" si="0"/>
        <v>0.27</v>
      </c>
      <c r="Q106" s="67">
        <f t="shared" si="0"/>
        <v>9.3699999999999992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2.79</v>
      </c>
      <c r="C107" s="66">
        <f t="shared" ref="C107:Q107" si="1">MAX(C9:C104)</f>
        <v>2.89</v>
      </c>
      <c r="D107" s="66">
        <f t="shared" si="1"/>
        <v>4.78</v>
      </c>
      <c r="E107" s="66">
        <f t="shared" si="1"/>
        <v>2.41</v>
      </c>
      <c r="F107" s="66">
        <f t="shared" si="1"/>
        <v>21.49</v>
      </c>
      <c r="G107" s="66">
        <f t="shared" si="1"/>
        <v>52.12</v>
      </c>
      <c r="H107" s="66">
        <f t="shared" si="1"/>
        <v>20.73</v>
      </c>
      <c r="I107" s="66">
        <f t="shared" si="1"/>
        <v>6.94</v>
      </c>
      <c r="J107" s="66">
        <f t="shared" si="1"/>
        <v>3.4</v>
      </c>
      <c r="K107" s="66">
        <f t="shared" si="1"/>
        <v>357.21</v>
      </c>
      <c r="L107" s="66">
        <f t="shared" si="1"/>
        <v>38.020000000000003</v>
      </c>
      <c r="M107" s="66">
        <f t="shared" si="1"/>
        <v>77.16</v>
      </c>
      <c r="N107" s="66">
        <f t="shared" si="1"/>
        <v>923</v>
      </c>
      <c r="O107" s="66">
        <f t="shared" si="1"/>
        <v>0.2</v>
      </c>
      <c r="P107" s="66">
        <f t="shared" si="1"/>
        <v>0.71</v>
      </c>
      <c r="Q107" s="66">
        <f t="shared" si="1"/>
        <v>9.6999999999999993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2.4440625000000002</v>
      </c>
      <c r="C108" s="67">
        <f t="shared" ref="C108:Q108" si="2">AVERAGE(C9:C104)</f>
        <v>0.94833333333333325</v>
      </c>
      <c r="D108" s="67">
        <f t="shared" si="2"/>
        <v>3.4371874999999998</v>
      </c>
      <c r="E108" s="67">
        <f t="shared" si="2"/>
        <v>1.4965625000000007</v>
      </c>
      <c r="F108" s="67">
        <f t="shared" si="2"/>
        <v>6.0105208333333335</v>
      </c>
      <c r="G108" s="67">
        <f t="shared" si="2"/>
        <v>36.679687500000014</v>
      </c>
      <c r="H108" s="67">
        <f t="shared" si="2"/>
        <v>15.042812499999997</v>
      </c>
      <c r="I108" s="67">
        <f t="shared" si="2"/>
        <v>4.6502083333333335</v>
      </c>
      <c r="J108" s="67">
        <f t="shared" si="2"/>
        <v>1.1536458333333333</v>
      </c>
      <c r="K108" s="67">
        <f t="shared" si="2"/>
        <v>239.53052083333338</v>
      </c>
      <c r="L108" s="67">
        <f t="shared" si="2"/>
        <v>30.594895833333329</v>
      </c>
      <c r="M108" s="67">
        <f t="shared" si="2"/>
        <v>47.523437500000007</v>
      </c>
      <c r="N108" s="67">
        <f t="shared" si="2"/>
        <v>208.48020833333342</v>
      </c>
      <c r="O108" s="67">
        <f t="shared" si="2"/>
        <v>4.1666666666666666E-3</v>
      </c>
      <c r="P108" s="67">
        <f t="shared" si="2"/>
        <v>0.44375000000000009</v>
      </c>
      <c r="Q108" s="67">
        <f t="shared" si="2"/>
        <v>9.453125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0.13433327075441492</v>
      </c>
      <c r="C109" s="67">
        <f t="shared" ref="C109:Q109" si="3">STDEV(C9:C104)</f>
        <v>0.52745000594552083</v>
      </c>
      <c r="D109" s="67">
        <f t="shared" si="3"/>
        <v>0.50375788488018403</v>
      </c>
      <c r="E109" s="67">
        <f t="shared" si="3"/>
        <v>0.46425906589226296</v>
      </c>
      <c r="F109" s="67">
        <f t="shared" si="3"/>
        <v>2.5797679902991177</v>
      </c>
      <c r="G109" s="67">
        <f t="shared" si="3"/>
        <v>7.6472085657893958</v>
      </c>
      <c r="H109" s="67">
        <f t="shared" si="3"/>
        <v>3.0545226875379941</v>
      </c>
      <c r="I109" s="67">
        <f t="shared" si="3"/>
        <v>1.3367304803859978</v>
      </c>
      <c r="J109" s="67">
        <f t="shared" si="3"/>
        <v>0.87160725075082013</v>
      </c>
      <c r="K109" s="67">
        <f t="shared" si="3"/>
        <v>119.13878348927682</v>
      </c>
      <c r="L109" s="67">
        <f t="shared" si="3"/>
        <v>4.3196084117823244</v>
      </c>
      <c r="M109" s="67">
        <f t="shared" si="3"/>
        <v>15.833158399426061</v>
      </c>
      <c r="N109" s="67">
        <f t="shared" si="3"/>
        <v>266.79014051844348</v>
      </c>
      <c r="O109" s="67">
        <f t="shared" si="3"/>
        <v>2.8715177232759195E-2</v>
      </c>
      <c r="P109" s="67">
        <f t="shared" si="3"/>
        <v>0.13352113966275947</v>
      </c>
      <c r="Q109" s="67">
        <f t="shared" si="3"/>
        <v>5.8907822731343297E-2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:G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729</v>
      </c>
      <c r="B9" s="64">
        <v>2.5499999999999998</v>
      </c>
      <c r="C9" s="64">
        <v>1.34</v>
      </c>
      <c r="D9" s="64">
        <v>3.89</v>
      </c>
      <c r="E9" s="64">
        <v>0.32</v>
      </c>
      <c r="F9" s="64">
        <v>3.98</v>
      </c>
      <c r="G9" s="64">
        <v>34.57</v>
      </c>
      <c r="H9" s="64">
        <v>20.73</v>
      </c>
      <c r="I9" s="64">
        <v>5.45</v>
      </c>
      <c r="J9" s="64">
        <v>0.69</v>
      </c>
      <c r="K9" s="64">
        <v>177.32</v>
      </c>
      <c r="L9" s="64">
        <v>28.05</v>
      </c>
      <c r="M9" s="64">
        <v>51.43</v>
      </c>
      <c r="N9" s="64">
        <v>19.3</v>
      </c>
      <c r="O9" s="64">
        <v>0</v>
      </c>
      <c r="P9" s="64">
        <v>0.45</v>
      </c>
      <c r="Q9" s="64">
        <v>9.4700000000000006</v>
      </c>
      <c r="R9" s="198"/>
      <c r="S9" s="198"/>
      <c r="T9" s="198"/>
      <c r="U9" s="198"/>
    </row>
    <row r="10" spans="1:21" s="12" customFormat="1" x14ac:dyDescent="0.25">
      <c r="A10" s="214" t="s">
        <v>730</v>
      </c>
      <c r="B10" s="64">
        <v>2.4300000000000002</v>
      </c>
      <c r="C10" s="64">
        <v>0.84</v>
      </c>
      <c r="D10" s="64">
        <v>3.53</v>
      </c>
      <c r="E10" s="64">
        <v>0.23</v>
      </c>
      <c r="F10" s="64">
        <v>4.16</v>
      </c>
      <c r="G10" s="64">
        <v>33.31</v>
      </c>
      <c r="H10" s="64">
        <v>19.16</v>
      </c>
      <c r="I10" s="64">
        <v>5.17</v>
      </c>
      <c r="J10" s="64">
        <v>0.08</v>
      </c>
      <c r="K10" s="64">
        <v>221.08</v>
      </c>
      <c r="L10" s="64">
        <v>28.19</v>
      </c>
      <c r="M10" s="64">
        <v>51.83</v>
      </c>
      <c r="N10" s="64">
        <v>19.7</v>
      </c>
      <c r="O10" s="64">
        <v>0</v>
      </c>
      <c r="P10" s="64">
        <v>0.43</v>
      </c>
      <c r="Q10" s="64">
        <v>9.4600000000000009</v>
      </c>
      <c r="R10" s="198"/>
      <c r="S10" s="198"/>
      <c r="T10" s="198"/>
      <c r="U10" s="198"/>
    </row>
    <row r="11" spans="1:21" s="12" customFormat="1" x14ac:dyDescent="0.25">
      <c r="A11" s="214" t="s">
        <v>731</v>
      </c>
      <c r="B11" s="64">
        <v>2.5099999999999998</v>
      </c>
      <c r="C11" s="64">
        <v>1.0900000000000001</v>
      </c>
      <c r="D11" s="64">
        <v>3.73</v>
      </c>
      <c r="E11" s="64">
        <v>0.31</v>
      </c>
      <c r="F11" s="64">
        <v>3.97</v>
      </c>
      <c r="G11" s="64">
        <v>32.15</v>
      </c>
      <c r="H11" s="64">
        <v>17.72</v>
      </c>
      <c r="I11" s="64">
        <v>5.15</v>
      </c>
      <c r="J11" s="64">
        <v>0.1</v>
      </c>
      <c r="K11" s="64">
        <v>170.21</v>
      </c>
      <c r="L11" s="64">
        <v>27.97</v>
      </c>
      <c r="M11" s="64">
        <v>53.24</v>
      </c>
      <c r="N11" s="64">
        <v>20</v>
      </c>
      <c r="O11" s="64">
        <v>0</v>
      </c>
      <c r="P11" s="64">
        <v>0.41</v>
      </c>
      <c r="Q11" s="64">
        <v>9.42</v>
      </c>
      <c r="R11" s="198"/>
      <c r="S11" s="198"/>
      <c r="T11" s="198"/>
      <c r="U11" s="198"/>
    </row>
    <row r="12" spans="1:21" s="12" customFormat="1" x14ac:dyDescent="0.25">
      <c r="A12" s="214" t="s">
        <v>732</v>
      </c>
      <c r="B12" s="64">
        <v>2.35</v>
      </c>
      <c r="C12" s="64">
        <v>0.51</v>
      </c>
      <c r="D12" s="64">
        <v>3.3</v>
      </c>
      <c r="E12" s="64">
        <v>0.11</v>
      </c>
      <c r="F12" s="64">
        <v>3.86</v>
      </c>
      <c r="G12" s="64">
        <v>32.15</v>
      </c>
      <c r="H12" s="64">
        <v>17.72</v>
      </c>
      <c r="I12" s="64">
        <v>4.87</v>
      </c>
      <c r="J12" s="64">
        <v>0.32</v>
      </c>
      <c r="K12" s="64">
        <v>218.79</v>
      </c>
      <c r="L12" s="64">
        <v>27.91</v>
      </c>
      <c r="M12" s="64">
        <v>53.9</v>
      </c>
      <c r="N12" s="64">
        <v>19.899999999999999</v>
      </c>
      <c r="O12" s="64">
        <v>0</v>
      </c>
      <c r="P12" s="64">
        <v>0.41</v>
      </c>
      <c r="Q12" s="64">
        <v>9.39</v>
      </c>
      <c r="R12" s="198"/>
      <c r="S12" s="198"/>
      <c r="T12" s="198"/>
      <c r="U12" s="198"/>
    </row>
    <row r="13" spans="1:21" s="12" customFormat="1" x14ac:dyDescent="0.25">
      <c r="A13" s="214" t="s">
        <v>733</v>
      </c>
      <c r="B13" s="64">
        <v>2.36</v>
      </c>
      <c r="C13" s="64">
        <v>0.49</v>
      </c>
      <c r="D13" s="64">
        <v>3.29</v>
      </c>
      <c r="E13" s="64">
        <v>0.03</v>
      </c>
      <c r="F13" s="64">
        <v>3.94</v>
      </c>
      <c r="G13" s="64">
        <v>32.15</v>
      </c>
      <c r="H13" s="64">
        <v>17.72</v>
      </c>
      <c r="I13" s="64">
        <v>4.41</v>
      </c>
      <c r="J13" s="64">
        <v>0.31</v>
      </c>
      <c r="K13" s="64">
        <v>200.52</v>
      </c>
      <c r="L13" s="64">
        <v>27.83</v>
      </c>
      <c r="M13" s="64">
        <v>54.81</v>
      </c>
      <c r="N13" s="64">
        <v>20</v>
      </c>
      <c r="O13" s="64">
        <v>0</v>
      </c>
      <c r="P13" s="64">
        <v>0.43</v>
      </c>
      <c r="Q13" s="64">
        <v>9.4</v>
      </c>
      <c r="R13" s="198"/>
      <c r="S13" s="198"/>
      <c r="T13" s="198"/>
      <c r="U13" s="198"/>
    </row>
    <row r="14" spans="1:21" s="12" customFormat="1" x14ac:dyDescent="0.25">
      <c r="A14" s="214" t="s">
        <v>734</v>
      </c>
      <c r="B14" s="64">
        <v>2.6</v>
      </c>
      <c r="C14" s="64">
        <v>1.32</v>
      </c>
      <c r="D14" s="64">
        <v>3.92</v>
      </c>
      <c r="E14" s="64">
        <v>0.33</v>
      </c>
      <c r="F14" s="64">
        <v>3.68</v>
      </c>
      <c r="G14" s="64">
        <v>31.33</v>
      </c>
      <c r="H14" s="64">
        <v>17.010000000000002</v>
      </c>
      <c r="I14" s="64">
        <v>4.38</v>
      </c>
      <c r="J14" s="64">
        <v>0.66</v>
      </c>
      <c r="K14" s="64">
        <v>182.53</v>
      </c>
      <c r="L14" s="64">
        <v>27.74</v>
      </c>
      <c r="M14" s="64">
        <v>55.62</v>
      </c>
      <c r="N14" s="64">
        <v>20</v>
      </c>
      <c r="O14" s="64">
        <v>0</v>
      </c>
      <c r="P14" s="64">
        <v>0.44</v>
      </c>
      <c r="Q14" s="64">
        <v>9.43</v>
      </c>
      <c r="R14" s="198"/>
      <c r="S14" s="198"/>
      <c r="T14" s="198"/>
      <c r="U14" s="198"/>
    </row>
    <row r="15" spans="1:21" s="12" customFormat="1" x14ac:dyDescent="0.25">
      <c r="A15" s="214" t="s">
        <v>735</v>
      </c>
      <c r="B15" s="64">
        <v>2.38</v>
      </c>
      <c r="C15" s="64">
        <v>0.57999999999999996</v>
      </c>
      <c r="D15" s="64">
        <v>3.35</v>
      </c>
      <c r="E15" s="64">
        <v>0.27</v>
      </c>
      <c r="F15" s="64">
        <v>3.69</v>
      </c>
      <c r="G15" s="64">
        <v>30.54</v>
      </c>
      <c r="H15" s="64">
        <v>16.36</v>
      </c>
      <c r="I15" s="64">
        <v>4.3600000000000003</v>
      </c>
      <c r="J15" s="64">
        <v>0.59</v>
      </c>
      <c r="K15" s="64">
        <v>154.58000000000001</v>
      </c>
      <c r="L15" s="64">
        <v>27.43</v>
      </c>
      <c r="M15" s="64">
        <v>57.34</v>
      </c>
      <c r="N15" s="64">
        <v>20.3</v>
      </c>
      <c r="O15" s="64">
        <v>0</v>
      </c>
      <c r="P15" s="64">
        <v>0.44</v>
      </c>
      <c r="Q15" s="64">
        <v>9.4600000000000009</v>
      </c>
      <c r="R15" s="198"/>
      <c r="S15" s="198"/>
      <c r="T15" s="198"/>
      <c r="U15" s="198"/>
    </row>
    <row r="16" spans="1:21" s="12" customFormat="1" x14ac:dyDescent="0.25">
      <c r="A16" s="214" t="s">
        <v>736</v>
      </c>
      <c r="B16" s="64">
        <v>2.3199999999999998</v>
      </c>
      <c r="C16" s="64">
        <v>0.34</v>
      </c>
      <c r="D16" s="64">
        <v>3.18</v>
      </c>
      <c r="E16" s="64">
        <v>0.49</v>
      </c>
      <c r="F16" s="64">
        <v>3.48</v>
      </c>
      <c r="G16" s="64">
        <v>30.54</v>
      </c>
      <c r="H16" s="64">
        <v>16.36</v>
      </c>
      <c r="I16" s="64">
        <v>4.22</v>
      </c>
      <c r="J16" s="64">
        <v>0.13</v>
      </c>
      <c r="K16" s="64">
        <v>344.87</v>
      </c>
      <c r="L16" s="64">
        <v>27.52</v>
      </c>
      <c r="M16" s="64">
        <v>56.57</v>
      </c>
      <c r="N16" s="64">
        <v>20.100000000000001</v>
      </c>
      <c r="O16" s="64">
        <v>0</v>
      </c>
      <c r="P16" s="64">
        <v>0.43</v>
      </c>
      <c r="Q16" s="64">
        <v>9.4600000000000009</v>
      </c>
      <c r="R16" s="198"/>
      <c r="S16" s="198"/>
      <c r="T16" s="198"/>
      <c r="U16" s="198"/>
    </row>
    <row r="17" spans="1:21" s="12" customFormat="1" x14ac:dyDescent="0.25">
      <c r="A17" s="214" t="s">
        <v>737</v>
      </c>
      <c r="B17" s="64">
        <v>2.3199999999999998</v>
      </c>
      <c r="C17" s="64">
        <v>0.33</v>
      </c>
      <c r="D17" s="64">
        <v>3.18</v>
      </c>
      <c r="E17" s="64">
        <v>0.42</v>
      </c>
      <c r="F17" s="64">
        <v>3.45</v>
      </c>
      <c r="G17" s="64">
        <v>30.54</v>
      </c>
      <c r="H17" s="64">
        <v>16.36</v>
      </c>
      <c r="I17" s="64">
        <v>4.34</v>
      </c>
      <c r="J17" s="64">
        <v>0.32</v>
      </c>
      <c r="K17" s="64">
        <v>143.19999999999999</v>
      </c>
      <c r="L17" s="64">
        <v>27.49</v>
      </c>
      <c r="M17" s="64">
        <v>56.79</v>
      </c>
      <c r="N17" s="64">
        <v>20.3</v>
      </c>
      <c r="O17" s="64">
        <v>0</v>
      </c>
      <c r="P17" s="64">
        <v>0.42</v>
      </c>
      <c r="Q17" s="64">
        <v>9.48</v>
      </c>
      <c r="R17" s="198"/>
      <c r="S17" s="198"/>
      <c r="T17" s="198"/>
      <c r="U17" s="198"/>
    </row>
    <row r="18" spans="1:21" s="12" customFormat="1" x14ac:dyDescent="0.25">
      <c r="A18" s="214" t="s">
        <v>738</v>
      </c>
      <c r="B18" s="64">
        <v>2.66</v>
      </c>
      <c r="C18" s="64">
        <v>1.45</v>
      </c>
      <c r="D18" s="64">
        <v>4.04</v>
      </c>
      <c r="E18" s="64">
        <v>0.37</v>
      </c>
      <c r="F18" s="64">
        <v>4.04</v>
      </c>
      <c r="G18" s="64">
        <v>29.52</v>
      </c>
      <c r="H18" s="64">
        <v>15.94</v>
      </c>
      <c r="I18" s="64">
        <v>4.47</v>
      </c>
      <c r="J18" s="64">
        <v>1.02</v>
      </c>
      <c r="K18" s="64">
        <v>143.86000000000001</v>
      </c>
      <c r="L18" s="64">
        <v>27.29</v>
      </c>
      <c r="M18" s="64">
        <v>58.17</v>
      </c>
      <c r="N18" s="64">
        <v>19.899999999999999</v>
      </c>
      <c r="O18" s="64">
        <v>0</v>
      </c>
      <c r="P18" s="64">
        <v>0.42</v>
      </c>
      <c r="Q18" s="64">
        <v>9.48</v>
      </c>
      <c r="R18" s="198"/>
      <c r="S18" s="198"/>
      <c r="T18" s="198"/>
      <c r="U18" s="198"/>
    </row>
    <row r="19" spans="1:21" s="12" customFormat="1" x14ac:dyDescent="0.25">
      <c r="A19" s="214" t="s">
        <v>739</v>
      </c>
      <c r="B19" s="64">
        <v>2.48</v>
      </c>
      <c r="C19" s="64">
        <v>1.08</v>
      </c>
      <c r="D19" s="64">
        <v>3.7</v>
      </c>
      <c r="E19" s="64">
        <v>0.71</v>
      </c>
      <c r="F19" s="64">
        <v>4.71</v>
      </c>
      <c r="G19" s="64">
        <v>28.55</v>
      </c>
      <c r="H19" s="64">
        <v>15.55</v>
      </c>
      <c r="I19" s="64">
        <v>4.5</v>
      </c>
      <c r="J19" s="64">
        <v>0.15</v>
      </c>
      <c r="K19" s="64">
        <v>69.63</v>
      </c>
      <c r="L19" s="64">
        <v>27.18</v>
      </c>
      <c r="M19" s="64">
        <v>58</v>
      </c>
      <c r="N19" s="64">
        <v>20.3</v>
      </c>
      <c r="O19" s="64">
        <v>0</v>
      </c>
      <c r="P19" s="64">
        <v>0.43</v>
      </c>
      <c r="Q19" s="64">
        <v>9.52</v>
      </c>
      <c r="R19" s="198"/>
      <c r="S19" s="198"/>
      <c r="T19" s="198"/>
      <c r="U19" s="198"/>
    </row>
    <row r="20" spans="1:21" s="12" customFormat="1" x14ac:dyDescent="0.25">
      <c r="A20" s="214" t="s">
        <v>740</v>
      </c>
      <c r="B20" s="64">
        <v>2.31</v>
      </c>
      <c r="C20" s="64">
        <v>0.59</v>
      </c>
      <c r="D20" s="64">
        <v>3.31</v>
      </c>
      <c r="E20" s="64">
        <v>0.42</v>
      </c>
      <c r="F20" s="64">
        <v>3.98</v>
      </c>
      <c r="G20" s="64">
        <v>28.55</v>
      </c>
      <c r="H20" s="64">
        <v>15.55</v>
      </c>
      <c r="I20" s="64">
        <v>5.29</v>
      </c>
      <c r="J20" s="64">
        <v>0.13</v>
      </c>
      <c r="K20" s="64">
        <v>341.3</v>
      </c>
      <c r="L20" s="64">
        <v>26.95</v>
      </c>
      <c r="M20" s="64">
        <v>60.51</v>
      </c>
      <c r="N20" s="64">
        <v>20.2</v>
      </c>
      <c r="O20" s="64">
        <v>0</v>
      </c>
      <c r="P20" s="64">
        <v>0.42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14" t="s">
        <v>741</v>
      </c>
      <c r="B21" s="64">
        <v>2.68</v>
      </c>
      <c r="C21" s="64">
        <v>1.74</v>
      </c>
      <c r="D21" s="64">
        <v>4.2</v>
      </c>
      <c r="E21" s="64">
        <v>0.44</v>
      </c>
      <c r="F21" s="64">
        <v>4.0199999999999996</v>
      </c>
      <c r="G21" s="64">
        <v>28.55</v>
      </c>
      <c r="H21" s="64">
        <v>15.55</v>
      </c>
      <c r="I21" s="64">
        <v>5.87</v>
      </c>
      <c r="J21" s="64">
        <v>0.41</v>
      </c>
      <c r="K21" s="64">
        <v>134.6</v>
      </c>
      <c r="L21" s="64">
        <v>26.47</v>
      </c>
      <c r="M21" s="64">
        <v>63</v>
      </c>
      <c r="N21" s="64">
        <v>20.2</v>
      </c>
      <c r="O21" s="64">
        <v>0</v>
      </c>
      <c r="P21" s="64">
        <v>0.41</v>
      </c>
      <c r="Q21" s="64">
        <v>9.48</v>
      </c>
      <c r="R21" s="198"/>
      <c r="S21" s="198"/>
      <c r="T21" s="198"/>
      <c r="U21" s="198"/>
    </row>
    <row r="22" spans="1:21" s="12" customFormat="1" x14ac:dyDescent="0.25">
      <c r="A22" s="214" t="s">
        <v>742</v>
      </c>
      <c r="B22" s="64">
        <v>2.35</v>
      </c>
      <c r="C22" s="64">
        <v>0.56000000000000005</v>
      </c>
      <c r="D22" s="64">
        <v>3.33</v>
      </c>
      <c r="E22" s="64">
        <v>0.28999999999999998</v>
      </c>
      <c r="F22" s="64">
        <v>3.94</v>
      </c>
      <c r="G22" s="64">
        <v>27.68</v>
      </c>
      <c r="H22" s="64">
        <v>14.5</v>
      </c>
      <c r="I22" s="64">
        <v>5.79</v>
      </c>
      <c r="J22" s="64">
        <v>0.19</v>
      </c>
      <c r="K22" s="64">
        <v>205.31</v>
      </c>
      <c r="L22" s="64">
        <v>26.58</v>
      </c>
      <c r="M22" s="64">
        <v>60.58</v>
      </c>
      <c r="N22" s="64">
        <v>20</v>
      </c>
      <c r="O22" s="64">
        <v>0</v>
      </c>
      <c r="P22" s="64">
        <v>0.41</v>
      </c>
      <c r="Q22" s="64">
        <v>9.48</v>
      </c>
      <c r="R22" s="198"/>
      <c r="S22" s="198"/>
      <c r="T22" s="198"/>
      <c r="U22" s="198"/>
    </row>
    <row r="23" spans="1:21" s="12" customFormat="1" x14ac:dyDescent="0.25">
      <c r="A23" s="214" t="s">
        <v>743</v>
      </c>
      <c r="B23" s="64">
        <v>2.27</v>
      </c>
      <c r="C23" s="64">
        <v>0.34</v>
      </c>
      <c r="D23" s="64">
        <v>3.15</v>
      </c>
      <c r="E23" s="64">
        <v>0.19</v>
      </c>
      <c r="F23" s="64">
        <v>4.79</v>
      </c>
      <c r="G23" s="64">
        <v>26.84</v>
      </c>
      <c r="H23" s="64">
        <v>13.49</v>
      </c>
      <c r="I23" s="64">
        <v>5.32</v>
      </c>
      <c r="J23" s="64">
        <v>0.18</v>
      </c>
      <c r="K23" s="64">
        <v>239.72</v>
      </c>
      <c r="L23" s="64">
        <v>26.86</v>
      </c>
      <c r="M23" s="64">
        <v>59.26</v>
      </c>
      <c r="N23" s="64">
        <v>20</v>
      </c>
      <c r="O23" s="64">
        <v>0</v>
      </c>
      <c r="P23" s="64">
        <v>0.41</v>
      </c>
      <c r="Q23" s="64">
        <v>9.5</v>
      </c>
      <c r="R23" s="198"/>
      <c r="S23" s="198"/>
      <c r="T23" s="198"/>
      <c r="U23" s="198"/>
    </row>
    <row r="24" spans="1:21" s="12" customFormat="1" x14ac:dyDescent="0.25">
      <c r="A24" s="214" t="s">
        <v>744</v>
      </c>
      <c r="B24" s="64">
        <v>2.6</v>
      </c>
      <c r="C24" s="64">
        <v>1.55</v>
      </c>
      <c r="D24" s="64">
        <v>4.04</v>
      </c>
      <c r="E24" s="64">
        <v>1.56</v>
      </c>
      <c r="F24" s="64">
        <v>3.82</v>
      </c>
      <c r="G24" s="64">
        <v>26.84</v>
      </c>
      <c r="H24" s="64">
        <v>13.49</v>
      </c>
      <c r="I24" s="64">
        <v>5.43</v>
      </c>
      <c r="J24" s="64">
        <v>0.51</v>
      </c>
      <c r="K24" s="64">
        <v>8.67</v>
      </c>
      <c r="L24" s="64">
        <v>26.97</v>
      </c>
      <c r="M24" s="64">
        <v>59.31</v>
      </c>
      <c r="N24" s="64">
        <v>20</v>
      </c>
      <c r="O24" s="64">
        <v>0</v>
      </c>
      <c r="P24" s="64">
        <v>0.41</v>
      </c>
      <c r="Q24" s="64">
        <v>9.5</v>
      </c>
      <c r="R24" s="198"/>
      <c r="S24" s="198"/>
      <c r="T24" s="198"/>
      <c r="U24" s="198"/>
    </row>
    <row r="25" spans="1:21" s="12" customFormat="1" x14ac:dyDescent="0.25">
      <c r="A25" s="214" t="s">
        <v>745</v>
      </c>
      <c r="B25" s="64">
        <v>2.39</v>
      </c>
      <c r="C25" s="64">
        <v>0.83</v>
      </c>
      <c r="D25" s="64">
        <v>3.5</v>
      </c>
      <c r="E25" s="64">
        <v>1.99</v>
      </c>
      <c r="F25" s="64">
        <v>3.74</v>
      </c>
      <c r="G25" s="64">
        <v>26.84</v>
      </c>
      <c r="H25" s="64">
        <v>13.49</v>
      </c>
      <c r="I25" s="64">
        <v>5.62</v>
      </c>
      <c r="J25" s="64">
        <v>0.45</v>
      </c>
      <c r="K25" s="64">
        <v>3.72</v>
      </c>
      <c r="L25" s="64">
        <v>26.9</v>
      </c>
      <c r="M25" s="64">
        <v>60.01</v>
      </c>
      <c r="N25" s="64">
        <v>20.100000000000001</v>
      </c>
      <c r="O25" s="64">
        <v>0</v>
      </c>
      <c r="P25" s="64">
        <v>0.41</v>
      </c>
      <c r="Q25" s="64">
        <v>9.4600000000000009</v>
      </c>
      <c r="R25" s="198"/>
      <c r="S25" s="198"/>
      <c r="T25" s="198"/>
      <c r="U25" s="198"/>
    </row>
    <row r="26" spans="1:21" s="12" customFormat="1" x14ac:dyDescent="0.25">
      <c r="A26" s="214" t="s">
        <v>746</v>
      </c>
      <c r="B26" s="64">
        <v>2.33</v>
      </c>
      <c r="C26" s="64">
        <v>0.55000000000000004</v>
      </c>
      <c r="D26" s="64">
        <v>3.31</v>
      </c>
      <c r="E26" s="64">
        <v>2.14</v>
      </c>
      <c r="F26" s="64">
        <v>3.73</v>
      </c>
      <c r="G26" s="64">
        <v>26.89</v>
      </c>
      <c r="H26" s="64">
        <v>12.06</v>
      </c>
      <c r="I26" s="64">
        <v>5.43</v>
      </c>
      <c r="J26" s="64">
        <v>0.34</v>
      </c>
      <c r="K26" s="64">
        <v>7.76</v>
      </c>
      <c r="L26" s="64">
        <v>26.87</v>
      </c>
      <c r="M26" s="64">
        <v>60.3</v>
      </c>
      <c r="N26" s="64">
        <v>20.2</v>
      </c>
      <c r="O26" s="64">
        <v>0</v>
      </c>
      <c r="P26" s="64">
        <v>0.41</v>
      </c>
      <c r="Q26" s="64">
        <v>9.44</v>
      </c>
      <c r="R26" s="198"/>
      <c r="S26" s="198"/>
      <c r="T26" s="198"/>
      <c r="U26" s="198"/>
    </row>
    <row r="27" spans="1:21" s="12" customFormat="1" x14ac:dyDescent="0.25">
      <c r="A27" s="214" t="s">
        <v>747</v>
      </c>
      <c r="B27" s="64">
        <v>2.68</v>
      </c>
      <c r="C27" s="64">
        <v>1.61</v>
      </c>
      <c r="D27" s="64">
        <v>4.1399999999999997</v>
      </c>
      <c r="E27" s="64">
        <v>1.89</v>
      </c>
      <c r="F27" s="64">
        <v>3.78</v>
      </c>
      <c r="G27" s="64">
        <v>26.93</v>
      </c>
      <c r="H27" s="64">
        <v>10.69</v>
      </c>
      <c r="I27" s="64">
        <v>5.26</v>
      </c>
      <c r="J27" s="64">
        <v>0.43</v>
      </c>
      <c r="K27" s="64">
        <v>23.28</v>
      </c>
      <c r="L27" s="64">
        <v>26.86</v>
      </c>
      <c r="M27" s="64">
        <v>61.02</v>
      </c>
      <c r="N27" s="64">
        <v>20.2</v>
      </c>
      <c r="O27" s="64">
        <v>0</v>
      </c>
      <c r="P27" s="64">
        <v>0.41</v>
      </c>
      <c r="Q27" s="64">
        <v>9.4600000000000009</v>
      </c>
      <c r="R27" s="198"/>
      <c r="S27" s="198"/>
      <c r="T27" s="198"/>
      <c r="U27" s="198"/>
    </row>
    <row r="28" spans="1:21" s="12" customFormat="1" x14ac:dyDescent="0.25">
      <c r="A28" s="214" t="s">
        <v>748</v>
      </c>
      <c r="B28" s="64">
        <v>2.38</v>
      </c>
      <c r="C28" s="64">
        <v>0.63</v>
      </c>
      <c r="D28" s="64">
        <v>3.38</v>
      </c>
      <c r="E28" s="64">
        <v>1.83</v>
      </c>
      <c r="F28" s="64">
        <v>4.16</v>
      </c>
      <c r="G28" s="64">
        <v>26.93</v>
      </c>
      <c r="H28" s="64">
        <v>10.69</v>
      </c>
      <c r="I28" s="64">
        <v>5.33</v>
      </c>
      <c r="J28" s="64">
        <v>0.46</v>
      </c>
      <c r="K28" s="64">
        <v>34.549999999999997</v>
      </c>
      <c r="L28" s="64">
        <v>26.78</v>
      </c>
      <c r="M28" s="64">
        <v>61.82</v>
      </c>
      <c r="N28" s="64">
        <v>20.5</v>
      </c>
      <c r="O28" s="64">
        <v>0</v>
      </c>
      <c r="P28" s="64">
        <v>0.4</v>
      </c>
      <c r="Q28" s="64">
        <v>9.4700000000000006</v>
      </c>
      <c r="R28" s="198"/>
      <c r="S28" s="198"/>
      <c r="T28" s="198"/>
      <c r="U28" s="198"/>
    </row>
    <row r="29" spans="1:21" s="12" customFormat="1" x14ac:dyDescent="0.25">
      <c r="A29" s="214" t="s">
        <v>749</v>
      </c>
      <c r="B29" s="64">
        <v>2.33</v>
      </c>
      <c r="C29" s="64">
        <v>0.53</v>
      </c>
      <c r="D29" s="64">
        <v>3.3</v>
      </c>
      <c r="E29" s="64">
        <v>1.7</v>
      </c>
      <c r="F29" s="64">
        <v>3.96</v>
      </c>
      <c r="G29" s="64">
        <v>26.93</v>
      </c>
      <c r="H29" s="64">
        <v>10.69</v>
      </c>
      <c r="I29" s="64">
        <v>5.31</v>
      </c>
      <c r="J29" s="64">
        <v>0.19</v>
      </c>
      <c r="K29" s="64">
        <v>222.43</v>
      </c>
      <c r="L29" s="64">
        <v>26.59</v>
      </c>
      <c r="M29" s="64">
        <v>63.01</v>
      </c>
      <c r="N29" s="64">
        <v>22.4</v>
      </c>
      <c r="O29" s="64">
        <v>0</v>
      </c>
      <c r="P29" s="64">
        <v>0.4</v>
      </c>
      <c r="Q29" s="64">
        <v>9.51</v>
      </c>
      <c r="R29" s="198"/>
      <c r="S29" s="198"/>
      <c r="T29" s="198"/>
      <c r="U29" s="198"/>
    </row>
    <row r="30" spans="1:21" s="12" customFormat="1" x14ac:dyDescent="0.25">
      <c r="A30" s="214" t="s">
        <v>750</v>
      </c>
      <c r="B30" s="64">
        <v>2.59</v>
      </c>
      <c r="C30" s="64">
        <v>1.3</v>
      </c>
      <c r="D30" s="64">
        <v>3.9</v>
      </c>
      <c r="E30" s="64">
        <v>1.83</v>
      </c>
      <c r="F30" s="64">
        <v>4.03</v>
      </c>
      <c r="G30" s="64">
        <v>29.49</v>
      </c>
      <c r="H30" s="64">
        <v>11.36</v>
      </c>
      <c r="I30" s="64">
        <v>5.13</v>
      </c>
      <c r="J30" s="64">
        <v>0.2</v>
      </c>
      <c r="K30" s="64">
        <v>244.92</v>
      </c>
      <c r="L30" s="64">
        <v>26.32</v>
      </c>
      <c r="M30" s="64">
        <v>64.760000000000005</v>
      </c>
      <c r="N30" s="64">
        <v>30.5</v>
      </c>
      <c r="O30" s="64">
        <v>0</v>
      </c>
      <c r="P30" s="64">
        <v>0.4</v>
      </c>
      <c r="Q30" s="64">
        <v>9.43</v>
      </c>
      <c r="R30" s="198"/>
      <c r="S30" s="198"/>
      <c r="T30" s="198"/>
      <c r="U30" s="198"/>
    </row>
    <row r="31" spans="1:21" s="12" customFormat="1" x14ac:dyDescent="0.25">
      <c r="A31" s="214" t="s">
        <v>751</v>
      </c>
      <c r="B31" s="64">
        <v>2.35</v>
      </c>
      <c r="C31" s="64">
        <v>0.48</v>
      </c>
      <c r="D31" s="64">
        <v>3.28</v>
      </c>
      <c r="E31" s="64">
        <v>1.87</v>
      </c>
      <c r="F31" s="64">
        <v>3.5</v>
      </c>
      <c r="G31" s="64">
        <v>31.95</v>
      </c>
      <c r="H31" s="64">
        <v>11.98</v>
      </c>
      <c r="I31" s="64">
        <v>4.6900000000000004</v>
      </c>
      <c r="J31" s="64">
        <v>0.2</v>
      </c>
      <c r="K31" s="64">
        <v>242.06</v>
      </c>
      <c r="L31" s="64">
        <v>26.31</v>
      </c>
      <c r="M31" s="64">
        <v>65.44</v>
      </c>
      <c r="N31" s="64">
        <v>44.9</v>
      </c>
      <c r="O31" s="64">
        <v>0</v>
      </c>
      <c r="P31" s="64">
        <v>0.4</v>
      </c>
      <c r="Q31" s="64">
        <v>9.42</v>
      </c>
      <c r="R31" s="198"/>
      <c r="S31" s="198"/>
      <c r="T31" s="198"/>
      <c r="U31" s="198"/>
    </row>
    <row r="32" spans="1:21" s="12" customFormat="1" x14ac:dyDescent="0.25">
      <c r="A32" s="214" t="s">
        <v>752</v>
      </c>
      <c r="B32" s="64">
        <v>2.31</v>
      </c>
      <c r="C32" s="64">
        <v>0.32</v>
      </c>
      <c r="D32" s="64">
        <v>3.16</v>
      </c>
      <c r="E32" s="64">
        <v>1.84</v>
      </c>
      <c r="F32" s="64">
        <v>3.55</v>
      </c>
      <c r="G32" s="64">
        <v>31.95</v>
      </c>
      <c r="H32" s="64">
        <v>11.98</v>
      </c>
      <c r="I32" s="64">
        <v>4.6900000000000004</v>
      </c>
      <c r="J32" s="64">
        <v>0.16</v>
      </c>
      <c r="K32" s="64">
        <v>7.58</v>
      </c>
      <c r="L32" s="64">
        <v>26.43</v>
      </c>
      <c r="M32" s="64">
        <v>65.38</v>
      </c>
      <c r="N32" s="64">
        <v>63.6</v>
      </c>
      <c r="O32" s="64">
        <v>0</v>
      </c>
      <c r="P32" s="64">
        <v>0.4</v>
      </c>
      <c r="Q32" s="64">
        <v>9.4499999999999993</v>
      </c>
      <c r="R32" s="198"/>
      <c r="S32" s="198"/>
      <c r="T32" s="198"/>
      <c r="U32" s="198"/>
    </row>
    <row r="33" spans="1:21" s="12" customFormat="1" x14ac:dyDescent="0.25">
      <c r="A33" s="214" t="s">
        <v>753</v>
      </c>
      <c r="B33" s="64">
        <v>2.5499999999999998</v>
      </c>
      <c r="C33" s="64">
        <v>0.91</v>
      </c>
      <c r="D33" s="64">
        <v>3.67</v>
      </c>
      <c r="E33" s="64">
        <v>1.74</v>
      </c>
      <c r="F33" s="64">
        <v>3.68</v>
      </c>
      <c r="G33" s="64">
        <v>31.95</v>
      </c>
      <c r="H33" s="64">
        <v>11.98</v>
      </c>
      <c r="I33" s="64">
        <v>5.0199999999999996</v>
      </c>
      <c r="J33" s="64">
        <v>0.19</v>
      </c>
      <c r="K33" s="64">
        <v>244.2</v>
      </c>
      <c r="L33" s="64">
        <v>26.83</v>
      </c>
      <c r="M33" s="64">
        <v>64.64</v>
      </c>
      <c r="N33" s="64">
        <v>95.7</v>
      </c>
      <c r="O33" s="64">
        <v>0</v>
      </c>
      <c r="P33" s="64">
        <v>0.4</v>
      </c>
      <c r="Q33" s="64">
        <v>9.4700000000000006</v>
      </c>
      <c r="R33" s="198"/>
      <c r="S33" s="198"/>
      <c r="T33" s="198"/>
      <c r="U33" s="198"/>
    </row>
    <row r="34" spans="1:21" s="12" customFormat="1" x14ac:dyDescent="0.25">
      <c r="A34" s="214" t="s">
        <v>754</v>
      </c>
      <c r="B34" s="64">
        <v>2.61</v>
      </c>
      <c r="C34" s="64">
        <v>1.1000000000000001</v>
      </c>
      <c r="D34" s="64">
        <v>3.81</v>
      </c>
      <c r="E34" s="64">
        <v>1.69</v>
      </c>
      <c r="F34" s="64">
        <v>3.62</v>
      </c>
      <c r="G34" s="64">
        <v>32.020000000000003</v>
      </c>
      <c r="H34" s="64">
        <v>12.17</v>
      </c>
      <c r="I34" s="64">
        <v>5.0999999999999996</v>
      </c>
      <c r="J34" s="64">
        <v>0.42</v>
      </c>
      <c r="K34" s="64">
        <v>166.31</v>
      </c>
      <c r="L34" s="64">
        <v>27.28</v>
      </c>
      <c r="M34" s="64">
        <v>63.67</v>
      </c>
      <c r="N34" s="64">
        <v>131.1</v>
      </c>
      <c r="O34" s="64">
        <v>0</v>
      </c>
      <c r="P34" s="64">
        <v>0.4</v>
      </c>
      <c r="Q34" s="64">
        <v>9.4600000000000009</v>
      </c>
      <c r="R34" s="198"/>
      <c r="S34" s="198"/>
      <c r="T34" s="198"/>
      <c r="U34" s="198"/>
    </row>
    <row r="35" spans="1:21" s="12" customFormat="1" x14ac:dyDescent="0.25">
      <c r="A35" s="214" t="s">
        <v>755</v>
      </c>
      <c r="B35" s="64">
        <v>2.39</v>
      </c>
      <c r="C35" s="64">
        <v>0.52</v>
      </c>
      <c r="D35" s="64">
        <v>3.33</v>
      </c>
      <c r="E35" s="64">
        <v>2.11</v>
      </c>
      <c r="F35" s="64">
        <v>3.36</v>
      </c>
      <c r="G35" s="64">
        <v>32.090000000000003</v>
      </c>
      <c r="H35" s="64">
        <v>12.36</v>
      </c>
      <c r="I35" s="64">
        <v>5.37</v>
      </c>
      <c r="J35" s="64">
        <v>0.21</v>
      </c>
      <c r="K35" s="64">
        <v>184.63</v>
      </c>
      <c r="L35" s="64">
        <v>27.78</v>
      </c>
      <c r="M35" s="64">
        <v>62.56</v>
      </c>
      <c r="N35" s="64">
        <v>178.3</v>
      </c>
      <c r="O35" s="64">
        <v>0</v>
      </c>
      <c r="P35" s="64">
        <v>0.4</v>
      </c>
      <c r="Q35" s="64">
        <v>9.48</v>
      </c>
      <c r="R35" s="198"/>
      <c r="S35" s="198"/>
      <c r="T35" s="198"/>
      <c r="U35" s="198"/>
    </row>
    <row r="36" spans="1:21" s="12" customFormat="1" x14ac:dyDescent="0.25">
      <c r="A36" s="214" t="s">
        <v>756</v>
      </c>
      <c r="B36" s="64">
        <v>2.31</v>
      </c>
      <c r="C36" s="64">
        <v>0.31</v>
      </c>
      <c r="D36" s="64">
        <v>3.16</v>
      </c>
      <c r="E36" s="64">
        <v>2.36</v>
      </c>
      <c r="F36" s="64">
        <v>3.59</v>
      </c>
      <c r="G36" s="64">
        <v>32.090000000000003</v>
      </c>
      <c r="H36" s="64">
        <v>12.36</v>
      </c>
      <c r="I36" s="64">
        <v>5.36</v>
      </c>
      <c r="J36" s="64">
        <v>0.08</v>
      </c>
      <c r="K36" s="64">
        <v>7.23</v>
      </c>
      <c r="L36" s="64">
        <v>28.38</v>
      </c>
      <c r="M36" s="64">
        <v>60.9</v>
      </c>
      <c r="N36" s="64">
        <v>219.8</v>
      </c>
      <c r="O36" s="64">
        <v>0</v>
      </c>
      <c r="P36" s="64">
        <v>0.4</v>
      </c>
      <c r="Q36" s="64">
        <v>9.48</v>
      </c>
      <c r="R36" s="198"/>
      <c r="S36" s="198"/>
      <c r="T36" s="198"/>
      <c r="U36" s="198"/>
    </row>
    <row r="37" spans="1:21" s="12" customFormat="1" x14ac:dyDescent="0.25">
      <c r="A37" s="214" t="s">
        <v>757</v>
      </c>
      <c r="B37" s="64">
        <v>2.31</v>
      </c>
      <c r="C37" s="64">
        <v>0.43</v>
      </c>
      <c r="D37" s="64">
        <v>3.22</v>
      </c>
      <c r="E37" s="64">
        <v>2.23</v>
      </c>
      <c r="F37" s="64">
        <v>4.38</v>
      </c>
      <c r="G37" s="64">
        <v>32.090000000000003</v>
      </c>
      <c r="H37" s="64">
        <v>12.36</v>
      </c>
      <c r="I37" s="64">
        <v>5.58</v>
      </c>
      <c r="J37" s="64">
        <v>0.13</v>
      </c>
      <c r="K37" s="64">
        <v>13.3</v>
      </c>
      <c r="L37" s="64">
        <v>28.76</v>
      </c>
      <c r="M37" s="64">
        <v>60.07</v>
      </c>
      <c r="N37" s="64">
        <v>270.5</v>
      </c>
      <c r="O37" s="64">
        <v>0</v>
      </c>
      <c r="P37" s="64">
        <v>0.39</v>
      </c>
      <c r="Q37" s="64">
        <v>9.52</v>
      </c>
      <c r="R37" s="198"/>
      <c r="S37" s="198"/>
      <c r="T37" s="198"/>
      <c r="U37" s="198"/>
    </row>
    <row r="38" spans="1:21" s="12" customFormat="1" x14ac:dyDescent="0.25">
      <c r="A38" s="214" t="s">
        <v>758</v>
      </c>
      <c r="B38" s="64">
        <v>2.68</v>
      </c>
      <c r="C38" s="64">
        <v>1.76</v>
      </c>
      <c r="D38" s="64">
        <v>4.21</v>
      </c>
      <c r="E38" s="64">
        <v>2.1</v>
      </c>
      <c r="F38" s="64">
        <v>4.3499999999999996</v>
      </c>
      <c r="G38" s="64">
        <v>32.770000000000003</v>
      </c>
      <c r="H38" s="64">
        <v>12.3</v>
      </c>
      <c r="I38" s="64">
        <v>5.92</v>
      </c>
      <c r="J38" s="64">
        <v>0.41</v>
      </c>
      <c r="K38" s="64">
        <v>26.95</v>
      </c>
      <c r="L38" s="64">
        <v>29.76</v>
      </c>
      <c r="M38" s="64">
        <v>56.97</v>
      </c>
      <c r="N38" s="64">
        <v>327</v>
      </c>
      <c r="O38" s="64">
        <v>0</v>
      </c>
      <c r="P38" s="64">
        <v>0.41</v>
      </c>
      <c r="Q38" s="212" t="s">
        <v>42</v>
      </c>
      <c r="R38" s="198"/>
      <c r="S38" s="198"/>
      <c r="T38" s="198"/>
      <c r="U38" s="198"/>
    </row>
    <row r="39" spans="1:21" s="12" customFormat="1" x14ac:dyDescent="0.25">
      <c r="A39" s="214" t="s">
        <v>759</v>
      </c>
      <c r="B39" s="64">
        <v>2.68</v>
      </c>
      <c r="C39" s="64">
        <v>1.76</v>
      </c>
      <c r="D39" s="64">
        <v>4.21</v>
      </c>
      <c r="E39" s="64">
        <v>2.1</v>
      </c>
      <c r="F39" s="64">
        <v>4.3499999999999996</v>
      </c>
      <c r="G39" s="64">
        <v>32.770000000000003</v>
      </c>
      <c r="H39" s="64">
        <v>12.3</v>
      </c>
      <c r="I39" s="64">
        <v>5.92</v>
      </c>
      <c r="J39" s="64">
        <v>0.41</v>
      </c>
      <c r="K39" s="64">
        <v>26.95</v>
      </c>
      <c r="L39" s="64">
        <v>29.76</v>
      </c>
      <c r="M39" s="64">
        <v>56.97</v>
      </c>
      <c r="N39" s="64">
        <v>327</v>
      </c>
      <c r="O39" s="64">
        <v>0</v>
      </c>
      <c r="P39" s="64">
        <v>0.41</v>
      </c>
      <c r="Q39" s="212" t="s">
        <v>42</v>
      </c>
      <c r="R39" s="198"/>
      <c r="S39" s="198"/>
      <c r="T39" s="198"/>
      <c r="U39" s="198"/>
    </row>
    <row r="40" spans="1:21" s="12" customFormat="1" x14ac:dyDescent="0.25">
      <c r="A40" s="214" t="s">
        <v>760</v>
      </c>
      <c r="B40" s="64">
        <v>2.36</v>
      </c>
      <c r="C40" s="64">
        <v>0.7</v>
      </c>
      <c r="D40" s="64">
        <v>3.39</v>
      </c>
      <c r="E40" s="64">
        <v>1.64</v>
      </c>
      <c r="F40" s="64">
        <v>6.95</v>
      </c>
      <c r="G40" s="64">
        <v>34.159999999999997</v>
      </c>
      <c r="H40" s="64">
        <v>12.19</v>
      </c>
      <c r="I40" s="64">
        <v>5.75</v>
      </c>
      <c r="J40" s="64">
        <v>0.44</v>
      </c>
      <c r="K40" s="64">
        <v>9.6199999999999992</v>
      </c>
      <c r="L40" s="64">
        <v>30.13</v>
      </c>
      <c r="M40" s="64">
        <v>55.75</v>
      </c>
      <c r="N40" s="64">
        <v>427</v>
      </c>
      <c r="O40" s="64">
        <v>0</v>
      </c>
      <c r="P40" s="64">
        <v>0.39</v>
      </c>
      <c r="Q40" s="64">
        <v>9.48</v>
      </c>
      <c r="R40" s="198"/>
      <c r="S40" s="198"/>
      <c r="T40" s="198"/>
      <c r="U40" s="198"/>
    </row>
    <row r="41" spans="1:21" s="12" customFormat="1" x14ac:dyDescent="0.25">
      <c r="A41" s="214" t="s">
        <v>761</v>
      </c>
      <c r="B41" s="64">
        <v>2.2599999999999998</v>
      </c>
      <c r="C41" s="64">
        <v>0.45</v>
      </c>
      <c r="D41" s="64">
        <v>3.19</v>
      </c>
      <c r="E41" s="64">
        <v>2.0099999999999998</v>
      </c>
      <c r="F41" s="64">
        <v>6.36</v>
      </c>
      <c r="G41" s="64">
        <v>34.159999999999997</v>
      </c>
      <c r="H41" s="64">
        <v>12.19</v>
      </c>
      <c r="I41" s="64">
        <v>5.16</v>
      </c>
      <c r="J41" s="64">
        <v>0.54</v>
      </c>
      <c r="K41" s="64">
        <v>17.86</v>
      </c>
      <c r="L41" s="64">
        <v>31.12</v>
      </c>
      <c r="M41" s="64">
        <v>52.4</v>
      </c>
      <c r="N41" s="64">
        <v>506.8</v>
      </c>
      <c r="O41" s="64">
        <v>0</v>
      </c>
      <c r="P41" s="64">
        <v>0.38</v>
      </c>
      <c r="Q41" s="64">
        <v>9.48</v>
      </c>
      <c r="R41" s="198"/>
      <c r="S41" s="198"/>
      <c r="T41" s="198"/>
      <c r="U41" s="198"/>
    </row>
    <row r="42" spans="1:21" s="12" customFormat="1" x14ac:dyDescent="0.25">
      <c r="A42" s="214" t="s">
        <v>762</v>
      </c>
      <c r="B42" s="64">
        <v>2.54</v>
      </c>
      <c r="C42" s="64">
        <v>1.32</v>
      </c>
      <c r="D42" s="64">
        <v>3.88</v>
      </c>
      <c r="E42" s="64">
        <v>1.97</v>
      </c>
      <c r="F42" s="64">
        <v>6.66</v>
      </c>
      <c r="G42" s="64">
        <v>34.380000000000003</v>
      </c>
      <c r="H42" s="64">
        <v>12.38</v>
      </c>
      <c r="I42" s="64">
        <v>4.67</v>
      </c>
      <c r="J42" s="64">
        <v>0.28999999999999998</v>
      </c>
      <c r="K42" s="64">
        <v>227.12</v>
      </c>
      <c r="L42" s="64">
        <v>31.03</v>
      </c>
      <c r="M42" s="64">
        <v>52.14</v>
      </c>
      <c r="N42" s="64">
        <v>473.2</v>
      </c>
      <c r="O42" s="64">
        <v>0</v>
      </c>
      <c r="P42" s="64">
        <v>0.37</v>
      </c>
      <c r="Q42" s="64">
        <v>9.43</v>
      </c>
      <c r="R42" s="198"/>
      <c r="S42" s="198"/>
      <c r="T42" s="198"/>
      <c r="U42" s="198"/>
    </row>
    <row r="43" spans="1:21" s="12" customFormat="1" x14ac:dyDescent="0.25">
      <c r="A43" s="214" t="s">
        <v>763</v>
      </c>
      <c r="B43" s="64">
        <v>2.33</v>
      </c>
      <c r="C43" s="64">
        <v>0.56999999999999995</v>
      </c>
      <c r="D43" s="64">
        <v>3.31</v>
      </c>
      <c r="E43" s="64">
        <v>2.08</v>
      </c>
      <c r="F43" s="64">
        <v>6.85</v>
      </c>
      <c r="G43" s="64">
        <v>34.590000000000003</v>
      </c>
      <c r="H43" s="64">
        <v>12.55</v>
      </c>
      <c r="I43" s="64">
        <v>4.09</v>
      </c>
      <c r="J43" s="64">
        <v>0.4</v>
      </c>
      <c r="K43" s="64">
        <v>352.04</v>
      </c>
      <c r="L43" s="64">
        <v>31.86</v>
      </c>
      <c r="M43" s="64">
        <v>49.8</v>
      </c>
      <c r="N43" s="64">
        <v>444.4</v>
      </c>
      <c r="O43" s="64">
        <v>0</v>
      </c>
      <c r="P43" s="64">
        <v>0.36</v>
      </c>
      <c r="Q43" s="64">
        <v>9.42</v>
      </c>
      <c r="R43" s="198"/>
      <c r="S43" s="198"/>
      <c r="T43" s="198"/>
      <c r="U43" s="198"/>
    </row>
    <row r="44" spans="1:21" s="12" customFormat="1" x14ac:dyDescent="0.25">
      <c r="A44" s="214" t="s">
        <v>764</v>
      </c>
      <c r="B44" s="64">
        <v>2.25</v>
      </c>
      <c r="C44" s="64">
        <v>0.37</v>
      </c>
      <c r="D44" s="64">
        <v>3.15</v>
      </c>
      <c r="E44" s="64">
        <v>1.75</v>
      </c>
      <c r="F44" s="64">
        <v>6.65</v>
      </c>
      <c r="G44" s="64">
        <v>34.590000000000003</v>
      </c>
      <c r="H44" s="64">
        <v>12.55</v>
      </c>
      <c r="I44" s="64">
        <v>3.83</v>
      </c>
      <c r="J44" s="64">
        <v>0.49</v>
      </c>
      <c r="K44" s="64">
        <v>15.98</v>
      </c>
      <c r="L44" s="64">
        <v>32.590000000000003</v>
      </c>
      <c r="M44" s="64">
        <v>47.35</v>
      </c>
      <c r="N44" s="64">
        <v>492.1</v>
      </c>
      <c r="O44" s="64">
        <v>0</v>
      </c>
      <c r="P44" s="64">
        <v>0.36</v>
      </c>
      <c r="Q44" s="64">
        <v>9.42</v>
      </c>
      <c r="R44" s="198"/>
      <c r="S44" s="198"/>
      <c r="T44" s="198"/>
      <c r="U44" s="198"/>
    </row>
    <row r="45" spans="1:21" s="12" customFormat="1" x14ac:dyDescent="0.25">
      <c r="A45" s="214" t="s">
        <v>765</v>
      </c>
      <c r="B45" s="64">
        <v>2.4500000000000002</v>
      </c>
      <c r="C45" s="64">
        <v>0.92</v>
      </c>
      <c r="D45" s="64">
        <v>3.59</v>
      </c>
      <c r="E45" s="64">
        <v>1.92</v>
      </c>
      <c r="F45" s="64">
        <v>6.8</v>
      </c>
      <c r="G45" s="64">
        <v>34.590000000000003</v>
      </c>
      <c r="H45" s="64">
        <v>12.55</v>
      </c>
      <c r="I45" s="64">
        <v>3.72</v>
      </c>
      <c r="J45" s="64">
        <v>0.54</v>
      </c>
      <c r="K45" s="64">
        <v>15.48</v>
      </c>
      <c r="L45" s="64">
        <v>33.42</v>
      </c>
      <c r="M45" s="64">
        <v>44.9</v>
      </c>
      <c r="N45" s="64">
        <v>680</v>
      </c>
      <c r="O45" s="64">
        <v>0</v>
      </c>
      <c r="P45" s="64">
        <v>0.36</v>
      </c>
      <c r="Q45" s="64">
        <v>9.43</v>
      </c>
      <c r="R45" s="198"/>
      <c r="S45" s="198"/>
      <c r="T45" s="198"/>
      <c r="U45" s="198"/>
    </row>
    <row r="46" spans="1:21" s="12" customFormat="1" x14ac:dyDescent="0.25">
      <c r="A46" s="214" t="s">
        <v>766</v>
      </c>
      <c r="B46" s="64">
        <v>2.44</v>
      </c>
      <c r="C46" s="64">
        <v>0.95</v>
      </c>
      <c r="D46" s="64">
        <v>3.6</v>
      </c>
      <c r="E46" s="64">
        <v>1.99</v>
      </c>
      <c r="F46" s="64">
        <v>7.53</v>
      </c>
      <c r="G46" s="64">
        <v>33.42</v>
      </c>
      <c r="H46" s="64">
        <v>11.79</v>
      </c>
      <c r="I46" s="64">
        <v>3.52</v>
      </c>
      <c r="J46" s="64">
        <v>0.64</v>
      </c>
      <c r="K46" s="64">
        <v>344.09</v>
      </c>
      <c r="L46" s="64">
        <v>34.380000000000003</v>
      </c>
      <c r="M46" s="64">
        <v>42.32</v>
      </c>
      <c r="N46" s="64">
        <v>708.8</v>
      </c>
      <c r="O46" s="64">
        <v>0</v>
      </c>
      <c r="P46" s="64">
        <v>0.38</v>
      </c>
      <c r="Q46" s="64">
        <v>9.43</v>
      </c>
      <c r="R46" s="198"/>
      <c r="S46" s="198"/>
      <c r="T46" s="198"/>
      <c r="U46" s="198"/>
    </row>
    <row r="47" spans="1:21" s="12" customFormat="1" x14ac:dyDescent="0.25">
      <c r="A47" s="214" t="s">
        <v>767</v>
      </c>
      <c r="B47" s="64">
        <v>2.38</v>
      </c>
      <c r="C47" s="64">
        <v>0.7</v>
      </c>
      <c r="D47" s="64">
        <v>3.42</v>
      </c>
      <c r="E47" s="64">
        <v>1.75</v>
      </c>
      <c r="F47" s="64">
        <v>8.06</v>
      </c>
      <c r="G47" s="64">
        <v>32.299999999999997</v>
      </c>
      <c r="H47" s="64">
        <v>11.06</v>
      </c>
      <c r="I47" s="64">
        <v>3.41</v>
      </c>
      <c r="J47" s="64">
        <v>0.57999999999999996</v>
      </c>
      <c r="K47" s="64">
        <v>345.45</v>
      </c>
      <c r="L47" s="64">
        <v>34.79</v>
      </c>
      <c r="M47" s="64">
        <v>41.43</v>
      </c>
      <c r="N47" s="64">
        <v>725.8</v>
      </c>
      <c r="O47" s="64">
        <v>0</v>
      </c>
      <c r="P47" s="64">
        <v>0.41</v>
      </c>
      <c r="Q47" s="64">
        <v>9.4</v>
      </c>
      <c r="R47" s="198"/>
      <c r="S47" s="198"/>
      <c r="T47" s="198"/>
      <c r="U47" s="198"/>
    </row>
    <row r="48" spans="1:21" s="12" customFormat="1" x14ac:dyDescent="0.25">
      <c r="A48" s="214" t="s">
        <v>768</v>
      </c>
      <c r="B48" s="64">
        <v>2.36</v>
      </c>
      <c r="C48" s="64">
        <v>0.65</v>
      </c>
      <c r="D48" s="64">
        <v>3.38</v>
      </c>
      <c r="E48" s="64">
        <v>2</v>
      </c>
      <c r="F48" s="64">
        <v>8.44</v>
      </c>
      <c r="G48" s="64">
        <v>32.299999999999997</v>
      </c>
      <c r="H48" s="64">
        <v>11.06</v>
      </c>
      <c r="I48" s="64">
        <v>3.42</v>
      </c>
      <c r="J48" s="64">
        <v>0.28000000000000003</v>
      </c>
      <c r="K48" s="64">
        <v>354.83</v>
      </c>
      <c r="L48" s="64">
        <v>34.369999999999997</v>
      </c>
      <c r="M48" s="64">
        <v>42</v>
      </c>
      <c r="N48" s="64">
        <v>761.6</v>
      </c>
      <c r="O48" s="64">
        <v>0</v>
      </c>
      <c r="P48" s="64">
        <v>0.44</v>
      </c>
      <c r="Q48" s="64">
        <v>9.3699999999999992</v>
      </c>
      <c r="R48" s="198"/>
      <c r="S48" s="198"/>
      <c r="T48" s="198"/>
      <c r="U48" s="198"/>
    </row>
    <row r="49" spans="1:21" s="12" customFormat="1" x14ac:dyDescent="0.25">
      <c r="A49" s="214" t="s">
        <v>769</v>
      </c>
      <c r="B49" s="64">
        <v>2.34</v>
      </c>
      <c r="C49" s="64">
        <v>0.56999999999999995</v>
      </c>
      <c r="D49" s="64">
        <v>3.32</v>
      </c>
      <c r="E49" s="64">
        <v>1.48</v>
      </c>
      <c r="F49" s="64">
        <v>9.5</v>
      </c>
      <c r="G49" s="64">
        <v>32.299999999999997</v>
      </c>
      <c r="H49" s="64">
        <v>11.06</v>
      </c>
      <c r="I49" s="64">
        <v>3.59</v>
      </c>
      <c r="J49" s="64">
        <v>0.59</v>
      </c>
      <c r="K49" s="64">
        <v>357.11</v>
      </c>
      <c r="L49" s="64">
        <v>34.81</v>
      </c>
      <c r="M49" s="64">
        <v>40.229999999999997</v>
      </c>
      <c r="N49" s="64">
        <v>788.2</v>
      </c>
      <c r="O49" s="64">
        <v>0</v>
      </c>
      <c r="P49" s="64">
        <v>0.49</v>
      </c>
      <c r="Q49" s="64">
        <v>9.3800000000000008</v>
      </c>
      <c r="R49" s="198"/>
      <c r="S49" s="198"/>
      <c r="T49" s="198"/>
      <c r="U49" s="198"/>
    </row>
    <row r="50" spans="1:21" s="12" customFormat="1" x14ac:dyDescent="0.25">
      <c r="A50" s="214" t="s">
        <v>770</v>
      </c>
      <c r="B50" s="64">
        <v>2.39</v>
      </c>
      <c r="C50" s="64">
        <v>0.62</v>
      </c>
      <c r="D50" s="64">
        <v>3.39</v>
      </c>
      <c r="E50" s="64">
        <v>1.88</v>
      </c>
      <c r="F50" s="64">
        <v>9.8699999999999992</v>
      </c>
      <c r="G50" s="64">
        <v>34.369999999999997</v>
      </c>
      <c r="H50" s="64">
        <v>13.35</v>
      </c>
      <c r="I50" s="64">
        <v>3.87</v>
      </c>
      <c r="J50" s="64">
        <v>0.12</v>
      </c>
      <c r="K50" s="64">
        <v>22.58</v>
      </c>
      <c r="L50" s="64">
        <v>34.72</v>
      </c>
      <c r="M50" s="64">
        <v>40.61</v>
      </c>
      <c r="N50" s="64">
        <v>805.3</v>
      </c>
      <c r="O50" s="64">
        <v>0</v>
      </c>
      <c r="P50" s="64">
        <v>0.55000000000000004</v>
      </c>
      <c r="Q50" s="64">
        <v>9.4</v>
      </c>
      <c r="R50" s="198"/>
      <c r="S50" s="198"/>
      <c r="T50" s="198"/>
      <c r="U50" s="198"/>
    </row>
    <row r="51" spans="1:21" s="12" customFormat="1" x14ac:dyDescent="0.25">
      <c r="A51" s="214" t="s">
        <v>771</v>
      </c>
      <c r="B51" s="64">
        <v>2.46</v>
      </c>
      <c r="C51" s="64">
        <v>1.01</v>
      </c>
      <c r="D51" s="64">
        <v>3.65</v>
      </c>
      <c r="E51" s="64">
        <v>1.84</v>
      </c>
      <c r="F51" s="64">
        <v>10.08</v>
      </c>
      <c r="G51" s="64">
        <v>36.35</v>
      </c>
      <c r="H51" s="64">
        <v>15.45</v>
      </c>
      <c r="I51" s="64">
        <v>4.2300000000000004</v>
      </c>
      <c r="J51" s="64">
        <v>0.42</v>
      </c>
      <c r="K51" s="64">
        <v>6.95</v>
      </c>
      <c r="L51" s="64">
        <v>35.64</v>
      </c>
      <c r="M51" s="64">
        <v>38.85</v>
      </c>
      <c r="N51" s="64">
        <v>817.6</v>
      </c>
      <c r="O51" s="64">
        <v>0</v>
      </c>
      <c r="P51" s="64">
        <v>0.57999999999999996</v>
      </c>
      <c r="Q51" s="64">
        <v>9.42</v>
      </c>
      <c r="R51" s="198"/>
      <c r="S51" s="198"/>
      <c r="T51" s="198"/>
      <c r="U51" s="198"/>
    </row>
    <row r="52" spans="1:21" s="12" customFormat="1" x14ac:dyDescent="0.25">
      <c r="A52" s="214" t="s">
        <v>772</v>
      </c>
      <c r="B52" s="64">
        <v>2.42</v>
      </c>
      <c r="C52" s="64">
        <v>0.95</v>
      </c>
      <c r="D52" s="64">
        <v>3.58</v>
      </c>
      <c r="E52" s="64">
        <v>1.79</v>
      </c>
      <c r="F52" s="64">
        <v>9.6999999999999993</v>
      </c>
      <c r="G52" s="64">
        <v>36.35</v>
      </c>
      <c r="H52" s="64">
        <v>15.45</v>
      </c>
      <c r="I52" s="64">
        <v>4.6100000000000003</v>
      </c>
      <c r="J52" s="64">
        <v>1</v>
      </c>
      <c r="K52" s="64">
        <v>326.61</v>
      </c>
      <c r="L52" s="64">
        <v>36.06</v>
      </c>
      <c r="M52" s="64">
        <v>37.85</v>
      </c>
      <c r="N52" s="64">
        <v>844.9</v>
      </c>
      <c r="O52" s="64">
        <v>0</v>
      </c>
      <c r="P52" s="64">
        <v>0.59</v>
      </c>
      <c r="Q52" s="64">
        <v>9.43</v>
      </c>
      <c r="R52" s="198"/>
      <c r="S52" s="198"/>
      <c r="T52" s="198"/>
      <c r="U52" s="198"/>
    </row>
    <row r="53" spans="1:21" s="12" customFormat="1" x14ac:dyDescent="0.25">
      <c r="A53" s="214" t="s">
        <v>773</v>
      </c>
      <c r="B53" s="64">
        <v>2.2999999999999998</v>
      </c>
      <c r="C53" s="64">
        <v>0.47</v>
      </c>
      <c r="D53" s="64">
        <v>3.23</v>
      </c>
      <c r="E53" s="64">
        <v>1.87</v>
      </c>
      <c r="F53" s="64">
        <v>8.8699999999999992</v>
      </c>
      <c r="G53" s="64">
        <v>36.35</v>
      </c>
      <c r="H53" s="64">
        <v>15.45</v>
      </c>
      <c r="I53" s="64">
        <v>4.84</v>
      </c>
      <c r="J53" s="64">
        <v>0.84</v>
      </c>
      <c r="K53" s="64">
        <v>326.29000000000002</v>
      </c>
      <c r="L53" s="64">
        <v>38.549999999999997</v>
      </c>
      <c r="M53" s="64">
        <v>32.869999999999997</v>
      </c>
      <c r="N53" s="64">
        <v>841.9</v>
      </c>
      <c r="O53" s="64">
        <v>0</v>
      </c>
      <c r="P53" s="64">
        <v>0.61</v>
      </c>
      <c r="Q53" s="64">
        <v>9.39</v>
      </c>
      <c r="R53" s="198"/>
      <c r="S53" s="198"/>
      <c r="T53" s="198"/>
      <c r="U53" s="198"/>
    </row>
    <row r="54" spans="1:21" s="12" customFormat="1" x14ac:dyDescent="0.25">
      <c r="A54" s="214" t="s">
        <v>774</v>
      </c>
      <c r="B54" s="64">
        <v>2.4</v>
      </c>
      <c r="C54" s="64">
        <v>0.77</v>
      </c>
      <c r="D54" s="64">
        <v>3.47</v>
      </c>
      <c r="E54" s="64">
        <v>2.17</v>
      </c>
      <c r="F54" s="64">
        <v>8.74</v>
      </c>
      <c r="G54" s="64">
        <v>38.75</v>
      </c>
      <c r="H54" s="64">
        <v>16.39</v>
      </c>
      <c r="I54" s="64">
        <v>5.01</v>
      </c>
      <c r="J54" s="64">
        <v>1.49</v>
      </c>
      <c r="K54" s="64">
        <v>329.03</v>
      </c>
      <c r="L54" s="64">
        <v>38.82</v>
      </c>
      <c r="M54" s="64">
        <v>32.68</v>
      </c>
      <c r="N54" s="64">
        <v>847.2</v>
      </c>
      <c r="O54" s="64">
        <v>0</v>
      </c>
      <c r="P54" s="64">
        <v>0.6</v>
      </c>
      <c r="Q54" s="64">
        <v>9.3800000000000008</v>
      </c>
      <c r="R54" s="198"/>
      <c r="S54" s="198"/>
      <c r="T54" s="198"/>
      <c r="U54" s="198"/>
    </row>
    <row r="55" spans="1:21" s="12" customFormat="1" x14ac:dyDescent="0.25">
      <c r="A55" s="214" t="s">
        <v>775</v>
      </c>
      <c r="B55" s="64">
        <v>2.46</v>
      </c>
      <c r="C55" s="64">
        <v>1.06</v>
      </c>
      <c r="D55" s="64">
        <v>3.67</v>
      </c>
      <c r="E55" s="64">
        <v>2.12</v>
      </c>
      <c r="F55" s="64">
        <v>8.6300000000000008</v>
      </c>
      <c r="G55" s="64">
        <v>41.05</v>
      </c>
      <c r="H55" s="64">
        <v>17.25</v>
      </c>
      <c r="I55" s="64">
        <v>5</v>
      </c>
      <c r="J55" s="64">
        <v>1.08</v>
      </c>
      <c r="K55" s="64">
        <v>323.01</v>
      </c>
      <c r="L55" s="64">
        <v>38.979999999999997</v>
      </c>
      <c r="M55" s="64">
        <v>32.57</v>
      </c>
      <c r="N55" s="64">
        <v>839.4</v>
      </c>
      <c r="O55" s="64">
        <v>0</v>
      </c>
      <c r="P55" s="64">
        <v>0.6</v>
      </c>
      <c r="Q55" s="64">
        <v>9.41</v>
      </c>
      <c r="R55" s="198"/>
      <c r="S55" s="198"/>
      <c r="T55" s="198"/>
      <c r="U55" s="198"/>
    </row>
    <row r="56" spans="1:21" s="12" customFormat="1" x14ac:dyDescent="0.25">
      <c r="A56" s="214" t="s">
        <v>776</v>
      </c>
      <c r="B56" s="64">
        <v>2.3199999999999998</v>
      </c>
      <c r="C56" s="64">
        <v>0.57999999999999996</v>
      </c>
      <c r="D56" s="64">
        <v>3.3</v>
      </c>
      <c r="E56" s="64">
        <v>1.85</v>
      </c>
      <c r="F56" s="64">
        <v>7.61</v>
      </c>
      <c r="G56" s="64">
        <v>41.05</v>
      </c>
      <c r="H56" s="64">
        <v>17.25</v>
      </c>
      <c r="I56" s="64">
        <v>4.92</v>
      </c>
      <c r="J56" s="64">
        <v>1.32</v>
      </c>
      <c r="K56" s="64">
        <v>326.64</v>
      </c>
      <c r="L56" s="64">
        <v>38.479999999999997</v>
      </c>
      <c r="M56" s="64">
        <v>33.119999999999997</v>
      </c>
      <c r="N56" s="64">
        <v>852.2</v>
      </c>
      <c r="O56" s="64">
        <v>0</v>
      </c>
      <c r="P56" s="64">
        <v>0.6</v>
      </c>
      <c r="Q56" s="64">
        <v>9.43</v>
      </c>
      <c r="R56" s="198"/>
      <c r="S56" s="198"/>
      <c r="T56" s="198"/>
      <c r="U56" s="198"/>
    </row>
    <row r="57" spans="1:21" s="12" customFormat="1" x14ac:dyDescent="0.25">
      <c r="A57" s="214" t="s">
        <v>777</v>
      </c>
      <c r="B57" s="64">
        <v>2.27</v>
      </c>
      <c r="C57" s="64">
        <v>0.45</v>
      </c>
      <c r="D57" s="64">
        <v>3.2</v>
      </c>
      <c r="E57" s="64">
        <v>1.94</v>
      </c>
      <c r="F57" s="64">
        <v>8</v>
      </c>
      <c r="G57" s="64">
        <v>41.05</v>
      </c>
      <c r="H57" s="64">
        <v>17.25</v>
      </c>
      <c r="I57" s="64">
        <v>4.8499999999999996</v>
      </c>
      <c r="J57" s="64">
        <v>1</v>
      </c>
      <c r="K57" s="64">
        <v>336.56</v>
      </c>
      <c r="L57" s="64">
        <v>38.44</v>
      </c>
      <c r="M57" s="64">
        <v>32.31</v>
      </c>
      <c r="N57" s="64">
        <v>853.6</v>
      </c>
      <c r="O57" s="64">
        <v>0</v>
      </c>
      <c r="P57" s="64">
        <v>0.59</v>
      </c>
      <c r="Q57" s="64">
        <v>9.35</v>
      </c>
      <c r="R57" s="198"/>
      <c r="S57" s="198"/>
      <c r="T57" s="198"/>
      <c r="U57" s="198"/>
    </row>
    <row r="58" spans="1:21" s="12" customFormat="1" x14ac:dyDescent="0.25">
      <c r="A58" s="214" t="s">
        <v>778</v>
      </c>
      <c r="B58" s="64">
        <v>2.5</v>
      </c>
      <c r="C58" s="64">
        <v>1.42</v>
      </c>
      <c r="D58" s="64">
        <v>3.89</v>
      </c>
      <c r="E58" s="64">
        <v>1.99</v>
      </c>
      <c r="F58" s="64">
        <v>8.74</v>
      </c>
      <c r="G58" s="64">
        <v>39.51</v>
      </c>
      <c r="H58" s="64">
        <v>16.12</v>
      </c>
      <c r="I58" s="64">
        <v>4.72</v>
      </c>
      <c r="J58" s="64">
        <v>1.26</v>
      </c>
      <c r="K58" s="64">
        <v>337.53</v>
      </c>
      <c r="L58" s="64">
        <v>38.700000000000003</v>
      </c>
      <c r="M58" s="64">
        <v>31.97</v>
      </c>
      <c r="N58" s="64">
        <v>840.3</v>
      </c>
      <c r="O58" s="64">
        <v>0</v>
      </c>
      <c r="P58" s="64">
        <v>0.56999999999999995</v>
      </c>
      <c r="Q58" s="64">
        <v>9.35</v>
      </c>
      <c r="R58" s="198"/>
      <c r="S58" s="198"/>
      <c r="T58" s="198"/>
      <c r="U58" s="198"/>
    </row>
    <row r="59" spans="1:21" s="12" customFormat="1" x14ac:dyDescent="0.25">
      <c r="A59" s="214" t="s">
        <v>779</v>
      </c>
      <c r="B59" s="64">
        <v>2.27</v>
      </c>
      <c r="C59" s="64">
        <v>0.49</v>
      </c>
      <c r="D59" s="64">
        <v>3.22</v>
      </c>
      <c r="E59" s="64">
        <v>1.61</v>
      </c>
      <c r="F59" s="64">
        <v>8.51</v>
      </c>
      <c r="G59" s="64">
        <v>38.03</v>
      </c>
      <c r="H59" s="64">
        <v>15.04</v>
      </c>
      <c r="I59" s="64">
        <v>4.5199999999999996</v>
      </c>
      <c r="J59" s="64">
        <v>2.34</v>
      </c>
      <c r="K59" s="64">
        <v>339.88</v>
      </c>
      <c r="L59" s="64">
        <v>39.799999999999997</v>
      </c>
      <c r="M59" s="64">
        <v>29</v>
      </c>
      <c r="N59" s="64">
        <v>878</v>
      </c>
      <c r="O59" s="64">
        <v>0</v>
      </c>
      <c r="P59" s="64">
        <v>0.55000000000000004</v>
      </c>
      <c r="Q59" s="64">
        <v>9.39</v>
      </c>
      <c r="R59" s="198"/>
      <c r="S59" s="198"/>
      <c r="T59" s="198"/>
      <c r="U59" s="198"/>
    </row>
    <row r="60" spans="1:21" s="12" customFormat="1" x14ac:dyDescent="0.25">
      <c r="A60" s="214" t="s">
        <v>780</v>
      </c>
      <c r="B60" s="64">
        <v>2.27</v>
      </c>
      <c r="C60" s="64">
        <v>0.49</v>
      </c>
      <c r="D60" s="64">
        <v>3.22</v>
      </c>
      <c r="E60" s="64">
        <v>1.61</v>
      </c>
      <c r="F60" s="64">
        <v>8.51</v>
      </c>
      <c r="G60" s="64">
        <v>38.03</v>
      </c>
      <c r="H60" s="64">
        <v>15.04</v>
      </c>
      <c r="I60" s="64">
        <v>4.5199999999999996</v>
      </c>
      <c r="J60" s="64">
        <v>2.34</v>
      </c>
      <c r="K60" s="64">
        <v>339.88</v>
      </c>
      <c r="L60" s="64">
        <v>39.799999999999997</v>
      </c>
      <c r="M60" s="64">
        <v>29</v>
      </c>
      <c r="N60" s="64">
        <v>878</v>
      </c>
      <c r="O60" s="64">
        <v>0</v>
      </c>
      <c r="P60" s="64">
        <v>0.55000000000000004</v>
      </c>
      <c r="Q60" s="64">
        <v>9.39</v>
      </c>
      <c r="R60" s="198"/>
      <c r="S60" s="198"/>
      <c r="T60" s="198"/>
      <c r="U60" s="198"/>
    </row>
    <row r="61" spans="1:21" s="12" customFormat="1" x14ac:dyDescent="0.25">
      <c r="A61" s="214" t="s">
        <v>781</v>
      </c>
      <c r="B61" s="64">
        <v>2.35</v>
      </c>
      <c r="C61" s="64">
        <v>0.72</v>
      </c>
      <c r="D61" s="64">
        <v>3.4</v>
      </c>
      <c r="E61" s="64">
        <v>1.42</v>
      </c>
      <c r="F61" s="64">
        <v>8.1300000000000008</v>
      </c>
      <c r="G61" s="64">
        <v>38.03</v>
      </c>
      <c r="H61" s="64">
        <v>15.04</v>
      </c>
      <c r="I61" s="64">
        <v>3.79</v>
      </c>
      <c r="J61" s="64">
        <v>1.31</v>
      </c>
      <c r="K61" s="64">
        <v>347.15</v>
      </c>
      <c r="L61" s="64">
        <v>39.979999999999997</v>
      </c>
      <c r="M61" s="64">
        <v>27.92</v>
      </c>
      <c r="N61" s="64">
        <v>833.1</v>
      </c>
      <c r="O61" s="64">
        <v>0</v>
      </c>
      <c r="P61" s="64">
        <v>0.52</v>
      </c>
      <c r="Q61" s="6" t="s">
        <v>42</v>
      </c>
      <c r="R61" s="198"/>
      <c r="S61" s="198"/>
      <c r="T61" s="198"/>
      <c r="U61" s="198"/>
    </row>
    <row r="62" spans="1:21" s="12" customFormat="1" x14ac:dyDescent="0.25">
      <c r="A62" s="214" t="s">
        <v>782</v>
      </c>
      <c r="B62" s="64">
        <v>2.2599999999999998</v>
      </c>
      <c r="C62" s="64">
        <v>0.41</v>
      </c>
      <c r="D62" s="64">
        <v>3.17</v>
      </c>
      <c r="E62" s="64">
        <v>1.65</v>
      </c>
      <c r="F62" s="64">
        <v>7.56</v>
      </c>
      <c r="G62" s="64">
        <v>37.22</v>
      </c>
      <c r="H62" s="64">
        <v>14.94</v>
      </c>
      <c r="I62" s="64">
        <v>3.62</v>
      </c>
      <c r="J62" s="64">
        <v>1</v>
      </c>
      <c r="K62" s="64">
        <v>347.13</v>
      </c>
      <c r="L62" s="64">
        <v>40.049999999999997</v>
      </c>
      <c r="M62" s="64">
        <v>26.78</v>
      </c>
      <c r="N62" s="64">
        <v>800</v>
      </c>
      <c r="O62" s="64">
        <v>0</v>
      </c>
      <c r="P62" s="64">
        <v>0.51</v>
      </c>
      <c r="Q62" s="64">
        <v>9.4</v>
      </c>
      <c r="R62" s="198"/>
      <c r="S62" s="198"/>
      <c r="T62" s="198"/>
      <c r="U62" s="198"/>
    </row>
    <row r="63" spans="1:21" s="12" customFormat="1" x14ac:dyDescent="0.25">
      <c r="A63" s="214" t="s">
        <v>783</v>
      </c>
      <c r="B63" s="64">
        <v>2.25</v>
      </c>
      <c r="C63" s="64">
        <v>0.43</v>
      </c>
      <c r="D63" s="64">
        <v>3.18</v>
      </c>
      <c r="E63" s="64">
        <v>1.92</v>
      </c>
      <c r="F63" s="64">
        <v>7.24</v>
      </c>
      <c r="G63" s="64">
        <v>36.43</v>
      </c>
      <c r="H63" s="64">
        <v>14.85</v>
      </c>
      <c r="I63" s="64">
        <v>3.55</v>
      </c>
      <c r="J63" s="64">
        <v>0.89</v>
      </c>
      <c r="K63" s="64">
        <v>346.6</v>
      </c>
      <c r="L63" s="64">
        <v>39.29</v>
      </c>
      <c r="M63" s="64">
        <v>28.67</v>
      </c>
      <c r="N63" s="64">
        <v>493.7</v>
      </c>
      <c r="O63" s="64">
        <v>0</v>
      </c>
      <c r="P63" s="64">
        <v>0.5</v>
      </c>
      <c r="Q63" s="64">
        <v>9.39</v>
      </c>
      <c r="R63" s="198"/>
      <c r="S63" s="198"/>
      <c r="T63" s="198"/>
      <c r="U63" s="198"/>
    </row>
    <row r="64" spans="1:21" s="12" customFormat="1" x14ac:dyDescent="0.25">
      <c r="A64" s="214" t="s">
        <v>784</v>
      </c>
      <c r="B64" s="64">
        <v>2.38</v>
      </c>
      <c r="C64" s="64">
        <v>0.87</v>
      </c>
      <c r="D64" s="64">
        <v>3.51</v>
      </c>
      <c r="E64" s="64">
        <v>1.71</v>
      </c>
      <c r="F64" s="64">
        <v>7.03</v>
      </c>
      <c r="G64" s="64">
        <v>36.43</v>
      </c>
      <c r="H64" s="64">
        <v>14.85</v>
      </c>
      <c r="I64" s="64">
        <v>3.67</v>
      </c>
      <c r="J64" s="64">
        <v>1.38</v>
      </c>
      <c r="K64" s="64">
        <v>316.08</v>
      </c>
      <c r="L64" s="64">
        <v>39.590000000000003</v>
      </c>
      <c r="M64" s="64">
        <v>27.79</v>
      </c>
      <c r="N64" s="64">
        <v>734.4</v>
      </c>
      <c r="O64" s="64">
        <v>0</v>
      </c>
      <c r="P64" s="64">
        <v>0.5</v>
      </c>
      <c r="Q64" s="64">
        <v>9.3699999999999992</v>
      </c>
      <c r="R64" s="198"/>
      <c r="S64" s="198"/>
      <c r="T64" s="198"/>
      <c r="U64" s="198"/>
    </row>
    <row r="65" spans="1:21" s="12" customFormat="1" x14ac:dyDescent="0.25">
      <c r="A65" s="214" t="s">
        <v>785</v>
      </c>
      <c r="B65" s="64">
        <v>2.4300000000000002</v>
      </c>
      <c r="C65" s="64">
        <v>1.1100000000000001</v>
      </c>
      <c r="D65" s="64">
        <v>3.67</v>
      </c>
      <c r="E65" s="64">
        <v>1.65</v>
      </c>
      <c r="F65" s="64">
        <v>7.65</v>
      </c>
      <c r="G65" s="64">
        <v>36.43</v>
      </c>
      <c r="H65" s="64">
        <v>14.85</v>
      </c>
      <c r="I65" s="64">
        <v>3.83</v>
      </c>
      <c r="J65" s="64">
        <v>0.49</v>
      </c>
      <c r="K65" s="64">
        <v>146.07</v>
      </c>
      <c r="L65" s="64">
        <v>38.520000000000003</v>
      </c>
      <c r="M65" s="64">
        <v>28.21</v>
      </c>
      <c r="N65" s="64">
        <v>683.8</v>
      </c>
      <c r="O65" s="64">
        <v>0</v>
      </c>
      <c r="P65" s="64">
        <v>0.49</v>
      </c>
      <c r="Q65" s="64">
        <v>9.36</v>
      </c>
      <c r="R65" s="198"/>
      <c r="S65" s="198"/>
      <c r="T65" s="198"/>
      <c r="U65" s="198"/>
    </row>
    <row r="66" spans="1:21" s="12" customFormat="1" x14ac:dyDescent="0.25">
      <c r="A66" s="214" t="s">
        <v>786</v>
      </c>
      <c r="B66" s="64">
        <v>2.29</v>
      </c>
      <c r="C66" s="64">
        <v>0.5</v>
      </c>
      <c r="D66" s="64">
        <v>3.25</v>
      </c>
      <c r="E66" s="64">
        <v>1.52</v>
      </c>
      <c r="F66" s="64">
        <v>7.09</v>
      </c>
      <c r="G66" s="64">
        <v>35.6</v>
      </c>
      <c r="H66" s="64">
        <v>16.059999999999999</v>
      </c>
      <c r="I66" s="64">
        <v>3.81</v>
      </c>
      <c r="J66" s="64">
        <v>1.56</v>
      </c>
      <c r="K66" s="64">
        <v>340.14</v>
      </c>
      <c r="L66" s="64">
        <v>37.96</v>
      </c>
      <c r="M66" s="64">
        <v>30.09</v>
      </c>
      <c r="N66" s="64">
        <v>631.70000000000005</v>
      </c>
      <c r="O66" s="64">
        <v>0</v>
      </c>
      <c r="P66" s="64">
        <v>0.47</v>
      </c>
      <c r="Q66" s="64">
        <v>9.35</v>
      </c>
      <c r="R66" s="198"/>
      <c r="S66" s="198"/>
      <c r="T66" s="198"/>
      <c r="U66" s="198"/>
    </row>
    <row r="67" spans="1:21" s="12" customFormat="1" x14ac:dyDescent="0.25">
      <c r="A67" s="214" t="s">
        <v>787</v>
      </c>
      <c r="B67" s="64">
        <v>2.4900000000000002</v>
      </c>
      <c r="C67" s="64">
        <v>1.21</v>
      </c>
      <c r="D67" s="64">
        <v>3.78</v>
      </c>
      <c r="E67" s="64">
        <v>1.52</v>
      </c>
      <c r="F67" s="64">
        <v>6.6</v>
      </c>
      <c r="G67" s="64">
        <v>34.81</v>
      </c>
      <c r="H67" s="64">
        <v>17.22</v>
      </c>
      <c r="I67" s="64">
        <v>3.91</v>
      </c>
      <c r="J67" s="64">
        <v>1.1299999999999999</v>
      </c>
      <c r="K67" s="64">
        <v>331.77</v>
      </c>
      <c r="L67" s="64">
        <v>39.11</v>
      </c>
      <c r="M67" s="64">
        <v>27.2</v>
      </c>
      <c r="N67" s="64">
        <v>324</v>
      </c>
      <c r="O67" s="64">
        <v>0</v>
      </c>
      <c r="P67" s="64">
        <v>0.47</v>
      </c>
      <c r="Q67" s="64">
        <v>9.31</v>
      </c>
      <c r="R67" s="198"/>
      <c r="S67" s="198"/>
      <c r="T67" s="198"/>
      <c r="U67" s="198"/>
    </row>
    <row r="68" spans="1:21" s="12" customFormat="1" x14ac:dyDescent="0.25">
      <c r="A68" s="214" t="s">
        <v>788</v>
      </c>
      <c r="B68" s="64">
        <v>2.33</v>
      </c>
      <c r="C68" s="64">
        <v>0.64</v>
      </c>
      <c r="D68" s="64">
        <v>3.35</v>
      </c>
      <c r="E68" s="64">
        <v>1.49</v>
      </c>
      <c r="F68" s="64">
        <v>6.11</v>
      </c>
      <c r="G68" s="64">
        <v>34.81</v>
      </c>
      <c r="H68" s="64">
        <v>17.22</v>
      </c>
      <c r="I68" s="64">
        <v>4.3</v>
      </c>
      <c r="J68" s="64">
        <v>1.5</v>
      </c>
      <c r="K68" s="64">
        <v>338.6</v>
      </c>
      <c r="L68" s="64">
        <v>38.76</v>
      </c>
      <c r="M68" s="64">
        <v>26.95</v>
      </c>
      <c r="N68" s="64">
        <v>287.5</v>
      </c>
      <c r="O68" s="64">
        <v>0</v>
      </c>
      <c r="P68" s="64">
        <v>0.47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4" t="s">
        <v>789</v>
      </c>
      <c r="B69" s="64">
        <v>2.2599999999999998</v>
      </c>
      <c r="C69" s="64">
        <v>0.36</v>
      </c>
      <c r="D69" s="64">
        <v>3.15</v>
      </c>
      <c r="E69" s="64">
        <v>1.31</v>
      </c>
      <c r="F69" s="64">
        <v>6</v>
      </c>
      <c r="G69" s="64">
        <v>34.81</v>
      </c>
      <c r="H69" s="64">
        <v>17.22</v>
      </c>
      <c r="I69" s="64">
        <v>4.58</v>
      </c>
      <c r="J69" s="64">
        <v>1.77</v>
      </c>
      <c r="K69" s="64">
        <v>335.48</v>
      </c>
      <c r="L69" s="64">
        <v>39.130000000000003</v>
      </c>
      <c r="M69" s="64">
        <v>25.44</v>
      </c>
      <c r="N69" s="64">
        <v>439.1</v>
      </c>
      <c r="O69" s="64">
        <v>0</v>
      </c>
      <c r="P69" s="64">
        <v>0.46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4" t="s">
        <v>790</v>
      </c>
      <c r="B70" s="64">
        <v>2.2400000000000002</v>
      </c>
      <c r="C70" s="64">
        <v>0.38</v>
      </c>
      <c r="D70" s="64">
        <v>3.14</v>
      </c>
      <c r="E70" s="64">
        <v>1.48</v>
      </c>
      <c r="F70" s="64">
        <v>5.67</v>
      </c>
      <c r="G70" s="64">
        <v>34.590000000000003</v>
      </c>
      <c r="H70" s="64">
        <v>17</v>
      </c>
      <c r="I70" s="64">
        <v>4.87</v>
      </c>
      <c r="J70" s="64">
        <v>1.48</v>
      </c>
      <c r="K70" s="64">
        <v>340.86</v>
      </c>
      <c r="L70" s="64">
        <v>38.39</v>
      </c>
      <c r="M70" s="64">
        <v>26.19</v>
      </c>
      <c r="N70" s="64">
        <v>263.3</v>
      </c>
      <c r="O70" s="64">
        <v>0</v>
      </c>
      <c r="P70" s="64">
        <v>0.46</v>
      </c>
      <c r="Q70" s="64">
        <v>9.33</v>
      </c>
      <c r="R70" s="198"/>
      <c r="S70" s="198"/>
      <c r="T70" s="198"/>
      <c r="U70" s="198"/>
    </row>
    <row r="71" spans="1:21" s="12" customFormat="1" x14ac:dyDescent="0.25">
      <c r="A71" s="214" t="s">
        <v>791</v>
      </c>
      <c r="B71" s="64">
        <v>2.46</v>
      </c>
      <c r="C71" s="64">
        <v>1</v>
      </c>
      <c r="D71" s="64">
        <v>3.64</v>
      </c>
      <c r="E71" s="64">
        <v>1.54</v>
      </c>
      <c r="F71" s="64">
        <v>5.68</v>
      </c>
      <c r="G71" s="64">
        <v>34.380000000000003</v>
      </c>
      <c r="H71" s="64">
        <v>16.78</v>
      </c>
      <c r="I71" s="64">
        <v>5.04</v>
      </c>
      <c r="J71" s="64">
        <v>0.75</v>
      </c>
      <c r="K71" s="64">
        <v>355.13</v>
      </c>
      <c r="L71" s="64">
        <v>37.79</v>
      </c>
      <c r="M71" s="64">
        <v>28.06</v>
      </c>
      <c r="N71" s="64">
        <v>193.2</v>
      </c>
      <c r="O71" s="64">
        <v>0</v>
      </c>
      <c r="P71" s="64">
        <v>0.45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4" t="s">
        <v>792</v>
      </c>
      <c r="B72" s="64">
        <v>2.4300000000000002</v>
      </c>
      <c r="C72" s="64">
        <v>0.91</v>
      </c>
      <c r="D72" s="64">
        <v>3.57</v>
      </c>
      <c r="E72" s="64">
        <v>0.74</v>
      </c>
      <c r="F72" s="64">
        <v>5.75</v>
      </c>
      <c r="G72" s="64">
        <v>34.380000000000003</v>
      </c>
      <c r="H72" s="64">
        <v>16.78</v>
      </c>
      <c r="I72" s="64">
        <v>5.23</v>
      </c>
      <c r="J72" s="64">
        <v>1.1299999999999999</v>
      </c>
      <c r="K72" s="64">
        <v>346.59</v>
      </c>
      <c r="L72" s="64">
        <v>37.299999999999997</v>
      </c>
      <c r="M72" s="64">
        <v>29.02</v>
      </c>
      <c r="N72" s="64">
        <v>222.2</v>
      </c>
      <c r="O72" s="64">
        <v>0</v>
      </c>
      <c r="P72" s="64">
        <v>0.45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4" t="s">
        <v>793</v>
      </c>
      <c r="B73" s="64">
        <v>2.31</v>
      </c>
      <c r="C73" s="64">
        <v>0.51</v>
      </c>
      <c r="D73" s="64">
        <v>3.26</v>
      </c>
      <c r="E73" s="64">
        <v>1.2</v>
      </c>
      <c r="F73" s="64">
        <v>5.62</v>
      </c>
      <c r="G73" s="64">
        <v>34.380000000000003</v>
      </c>
      <c r="H73" s="64">
        <v>16.78</v>
      </c>
      <c r="I73" s="64">
        <v>5.46</v>
      </c>
      <c r="J73" s="64">
        <v>0.52</v>
      </c>
      <c r="K73" s="64">
        <v>356.17</v>
      </c>
      <c r="L73" s="64">
        <v>37.950000000000003</v>
      </c>
      <c r="M73" s="64">
        <v>27.3</v>
      </c>
      <c r="N73" s="64">
        <v>196.8</v>
      </c>
      <c r="O73" s="64">
        <v>0</v>
      </c>
      <c r="P73" s="64">
        <v>0.45</v>
      </c>
      <c r="Q73" s="64">
        <v>9.35</v>
      </c>
      <c r="R73" s="198"/>
      <c r="S73" s="198"/>
      <c r="T73" s="198"/>
      <c r="U73" s="198"/>
    </row>
    <row r="74" spans="1:21" s="12" customFormat="1" x14ac:dyDescent="0.25">
      <c r="A74" s="214" t="s">
        <v>794</v>
      </c>
      <c r="B74" s="64">
        <v>2.42</v>
      </c>
      <c r="C74" s="64">
        <v>1.05</v>
      </c>
      <c r="D74" s="64">
        <v>3.64</v>
      </c>
      <c r="E74" s="64">
        <v>1.1399999999999999</v>
      </c>
      <c r="F74" s="64">
        <v>6.78</v>
      </c>
      <c r="G74" s="64">
        <v>36.71</v>
      </c>
      <c r="H74" s="64">
        <v>16.54</v>
      </c>
      <c r="I74" s="64">
        <v>5.73</v>
      </c>
      <c r="J74" s="64">
        <v>3.23</v>
      </c>
      <c r="K74" s="64">
        <v>154.44</v>
      </c>
      <c r="L74" s="64">
        <v>34.28</v>
      </c>
      <c r="M74" s="64">
        <v>34.96</v>
      </c>
      <c r="N74" s="64">
        <v>149.30000000000001</v>
      </c>
      <c r="O74" s="64">
        <v>0</v>
      </c>
      <c r="P74" s="64">
        <v>0.45</v>
      </c>
      <c r="Q74" s="64">
        <v>9.42</v>
      </c>
      <c r="R74" s="198"/>
      <c r="S74" s="198"/>
      <c r="T74" s="198"/>
      <c r="U74" s="198"/>
    </row>
    <row r="75" spans="1:21" s="12" customFormat="1" x14ac:dyDescent="0.25">
      <c r="A75" s="214" t="s">
        <v>795</v>
      </c>
      <c r="B75" s="64">
        <v>2.41</v>
      </c>
      <c r="C75" s="64">
        <v>1.1200000000000001</v>
      </c>
      <c r="D75" s="64">
        <v>3.66</v>
      </c>
      <c r="E75" s="64">
        <v>1.27</v>
      </c>
      <c r="F75" s="64">
        <v>8.24</v>
      </c>
      <c r="G75" s="64">
        <v>38.94</v>
      </c>
      <c r="H75" s="64">
        <v>16.32</v>
      </c>
      <c r="I75" s="64">
        <v>6.36</v>
      </c>
      <c r="J75" s="64">
        <v>2.87</v>
      </c>
      <c r="K75" s="64">
        <v>157.32</v>
      </c>
      <c r="L75" s="64">
        <v>32.409999999999997</v>
      </c>
      <c r="M75" s="64">
        <v>38.68</v>
      </c>
      <c r="N75" s="64">
        <v>133.69999999999999</v>
      </c>
      <c r="O75" s="64">
        <v>0</v>
      </c>
      <c r="P75" s="64">
        <v>0.43</v>
      </c>
      <c r="Q75" s="64">
        <v>9.41</v>
      </c>
      <c r="R75" s="198"/>
      <c r="S75" s="198"/>
      <c r="T75" s="198"/>
      <c r="U75" s="198"/>
    </row>
    <row r="76" spans="1:21" s="12" customFormat="1" x14ac:dyDescent="0.25">
      <c r="A76" s="214" t="s">
        <v>796</v>
      </c>
      <c r="B76" s="64">
        <v>2.2200000000000002</v>
      </c>
      <c r="C76" s="64">
        <v>0.44</v>
      </c>
      <c r="D76" s="64">
        <v>3.15</v>
      </c>
      <c r="E76" s="64">
        <v>1.1299999999999999</v>
      </c>
      <c r="F76" s="64">
        <v>8.65</v>
      </c>
      <c r="G76" s="64">
        <v>38.94</v>
      </c>
      <c r="H76" s="64">
        <v>16.32</v>
      </c>
      <c r="I76" s="64">
        <v>6.75</v>
      </c>
      <c r="J76" s="64">
        <v>1.8</v>
      </c>
      <c r="K76" s="64">
        <v>155.28</v>
      </c>
      <c r="L76" s="64">
        <v>31.48</v>
      </c>
      <c r="M76" s="64">
        <v>41.95</v>
      </c>
      <c r="N76" s="64">
        <v>108.2</v>
      </c>
      <c r="O76" s="64">
        <v>0</v>
      </c>
      <c r="P76" s="64">
        <v>0.4</v>
      </c>
      <c r="Q76" s="64">
        <v>9.4</v>
      </c>
      <c r="R76" s="198"/>
      <c r="S76" s="198"/>
      <c r="T76" s="198"/>
      <c r="U76" s="198"/>
    </row>
    <row r="77" spans="1:21" s="12" customFormat="1" x14ac:dyDescent="0.25">
      <c r="A77" s="214" t="s">
        <v>797</v>
      </c>
      <c r="B77" s="64">
        <v>2.2400000000000002</v>
      </c>
      <c r="C77" s="64">
        <v>0.49</v>
      </c>
      <c r="D77" s="64">
        <v>3.2</v>
      </c>
      <c r="E77" s="64">
        <v>1.08</v>
      </c>
      <c r="F77" s="64">
        <v>8.82</v>
      </c>
      <c r="G77" s="64">
        <v>38.94</v>
      </c>
      <c r="H77" s="64">
        <v>16.32</v>
      </c>
      <c r="I77" s="64">
        <v>6.55</v>
      </c>
      <c r="J77" s="64">
        <v>1.26</v>
      </c>
      <c r="K77" s="64">
        <v>172.25</v>
      </c>
      <c r="L77" s="64">
        <v>30.78</v>
      </c>
      <c r="M77" s="64">
        <v>45.31</v>
      </c>
      <c r="N77" s="64">
        <v>84.8</v>
      </c>
      <c r="O77" s="64">
        <v>0</v>
      </c>
      <c r="P77" s="64">
        <v>0.39</v>
      </c>
      <c r="Q77" s="64">
        <v>9.39</v>
      </c>
      <c r="R77" s="198"/>
      <c r="S77" s="198"/>
      <c r="T77" s="198"/>
      <c r="U77" s="198"/>
    </row>
    <row r="78" spans="1:21" s="12" customFormat="1" x14ac:dyDescent="0.25">
      <c r="A78" s="214" t="s">
        <v>798</v>
      </c>
      <c r="B78" s="64">
        <v>2.48</v>
      </c>
      <c r="C78" s="64">
        <v>1.2</v>
      </c>
      <c r="D78" s="64">
        <v>3.76</v>
      </c>
      <c r="E78" s="64">
        <v>0.98</v>
      </c>
      <c r="F78" s="64">
        <v>8.42</v>
      </c>
      <c r="G78" s="64">
        <v>41.28</v>
      </c>
      <c r="H78" s="64">
        <v>16.57</v>
      </c>
      <c r="I78" s="64">
        <v>6.16</v>
      </c>
      <c r="J78" s="64">
        <v>0.88</v>
      </c>
      <c r="K78" s="64">
        <v>178.85</v>
      </c>
      <c r="L78" s="64">
        <v>30.58</v>
      </c>
      <c r="M78" s="64">
        <v>46</v>
      </c>
      <c r="N78" s="64">
        <v>69.400000000000006</v>
      </c>
      <c r="O78" s="64">
        <v>0</v>
      </c>
      <c r="P78" s="64">
        <v>0.37</v>
      </c>
      <c r="Q78" s="64">
        <v>9.39</v>
      </c>
      <c r="R78" s="198"/>
      <c r="S78" s="198"/>
      <c r="T78" s="198"/>
      <c r="U78" s="198"/>
    </row>
    <row r="79" spans="1:21" s="12" customFormat="1" x14ac:dyDescent="0.25">
      <c r="A79" s="214" t="s">
        <v>799</v>
      </c>
      <c r="B79" s="64">
        <v>2.27</v>
      </c>
      <c r="C79" s="64">
        <v>0.43</v>
      </c>
      <c r="D79" s="64">
        <v>3.19</v>
      </c>
      <c r="E79" s="64">
        <v>1.06</v>
      </c>
      <c r="F79" s="64">
        <v>7.93</v>
      </c>
      <c r="G79" s="64">
        <v>43.5</v>
      </c>
      <c r="H79" s="64">
        <v>16.8</v>
      </c>
      <c r="I79" s="64">
        <v>5.72</v>
      </c>
      <c r="J79" s="64">
        <v>0.99</v>
      </c>
      <c r="K79" s="64">
        <v>175.11</v>
      </c>
      <c r="L79" s="64">
        <v>30.72</v>
      </c>
      <c r="M79" s="64">
        <v>45.08</v>
      </c>
      <c r="N79" s="64">
        <v>54.7</v>
      </c>
      <c r="O79" s="64">
        <v>0</v>
      </c>
      <c r="P79" s="64">
        <v>0.36</v>
      </c>
      <c r="Q79" s="64">
        <v>9.3800000000000008</v>
      </c>
      <c r="R79" s="198"/>
      <c r="S79" s="198"/>
      <c r="T79" s="198"/>
      <c r="U79" s="198"/>
    </row>
    <row r="80" spans="1:21" s="12" customFormat="1" x14ac:dyDescent="0.25">
      <c r="A80" s="214" t="s">
        <v>800</v>
      </c>
      <c r="B80" s="64">
        <v>2.23</v>
      </c>
      <c r="C80" s="64">
        <v>0.4</v>
      </c>
      <c r="D80" s="64">
        <v>3.14</v>
      </c>
      <c r="E80" s="64">
        <v>1.1299999999999999</v>
      </c>
      <c r="F80" s="64">
        <v>7.9</v>
      </c>
      <c r="G80" s="64">
        <v>43.5</v>
      </c>
      <c r="H80" s="64">
        <v>16.8</v>
      </c>
      <c r="I80" s="64">
        <v>5.31</v>
      </c>
      <c r="J80" s="64">
        <v>0.77</v>
      </c>
      <c r="K80" s="64">
        <v>176.02</v>
      </c>
      <c r="L80" s="64">
        <v>30.75</v>
      </c>
      <c r="M80" s="64">
        <v>45.23</v>
      </c>
      <c r="N80" s="64">
        <v>43.7</v>
      </c>
      <c r="O80" s="64">
        <v>0</v>
      </c>
      <c r="P80" s="64">
        <v>0.35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4" t="s">
        <v>801</v>
      </c>
      <c r="B81" s="64">
        <v>2.25</v>
      </c>
      <c r="C81" s="64">
        <v>0.38</v>
      </c>
      <c r="D81" s="64">
        <v>3.15</v>
      </c>
      <c r="E81" s="64">
        <v>1.17</v>
      </c>
      <c r="F81" s="64">
        <v>6.84</v>
      </c>
      <c r="G81" s="64">
        <v>43.5</v>
      </c>
      <c r="H81" s="64">
        <v>16.8</v>
      </c>
      <c r="I81" s="64">
        <v>4.97</v>
      </c>
      <c r="J81" s="64">
        <v>0.97</v>
      </c>
      <c r="K81" s="64">
        <v>157.94</v>
      </c>
      <c r="L81" s="64">
        <v>30.95</v>
      </c>
      <c r="M81" s="64">
        <v>45.1</v>
      </c>
      <c r="N81" s="64">
        <v>38.299999999999997</v>
      </c>
      <c r="O81" s="64">
        <v>0</v>
      </c>
      <c r="P81" s="64">
        <v>0.35</v>
      </c>
      <c r="Q81" s="64">
        <v>9.36</v>
      </c>
      <c r="R81" s="198"/>
      <c r="S81" s="198"/>
      <c r="T81" s="198"/>
      <c r="U81" s="198"/>
    </row>
    <row r="82" spans="1:26" s="12" customFormat="1" x14ac:dyDescent="0.25">
      <c r="A82" s="214" t="s">
        <v>802</v>
      </c>
      <c r="B82" s="64">
        <v>2.58</v>
      </c>
      <c r="C82" s="64">
        <v>1.38</v>
      </c>
      <c r="D82" s="64">
        <v>3.94</v>
      </c>
      <c r="E82" s="64">
        <v>1.23</v>
      </c>
      <c r="F82" s="64">
        <v>6.7</v>
      </c>
      <c r="G82" s="64">
        <v>44.41</v>
      </c>
      <c r="H82" s="64">
        <v>16.760000000000002</v>
      </c>
      <c r="I82" s="64">
        <v>4.75</v>
      </c>
      <c r="J82" s="64">
        <v>0.19</v>
      </c>
      <c r="K82" s="64">
        <v>31.37</v>
      </c>
      <c r="L82" s="64">
        <v>31.15</v>
      </c>
      <c r="M82" s="64">
        <v>44.52</v>
      </c>
      <c r="N82" s="64">
        <v>28.3</v>
      </c>
      <c r="O82" s="64">
        <v>0</v>
      </c>
      <c r="P82" s="64">
        <v>0.37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4" t="s">
        <v>803</v>
      </c>
      <c r="B83" s="64">
        <v>2.2799999999999998</v>
      </c>
      <c r="C83" s="64">
        <v>0.5</v>
      </c>
      <c r="D83" s="64">
        <v>3.24</v>
      </c>
      <c r="E83" s="64">
        <v>1.34</v>
      </c>
      <c r="F83" s="64">
        <v>6.43</v>
      </c>
      <c r="G83" s="64">
        <v>45.28</v>
      </c>
      <c r="H83" s="64">
        <v>16.73</v>
      </c>
      <c r="I83" s="64">
        <v>4.5999999999999996</v>
      </c>
      <c r="J83" s="64">
        <v>0.72</v>
      </c>
      <c r="K83" s="64">
        <v>174.51</v>
      </c>
      <c r="L83" s="64">
        <v>30.71</v>
      </c>
      <c r="M83" s="64">
        <v>45.33</v>
      </c>
      <c r="N83" s="64">
        <v>20.7</v>
      </c>
      <c r="O83" s="64">
        <v>0</v>
      </c>
      <c r="P83" s="64">
        <v>0.39</v>
      </c>
      <c r="Q83" s="64">
        <v>9.3800000000000008</v>
      </c>
      <c r="R83" s="198"/>
      <c r="S83" s="198"/>
      <c r="T83" s="198"/>
      <c r="U83" s="198"/>
    </row>
    <row r="84" spans="1:26" s="12" customFormat="1" x14ac:dyDescent="0.25">
      <c r="A84" s="214" t="s">
        <v>804</v>
      </c>
      <c r="B84" s="64">
        <v>2.2200000000000002</v>
      </c>
      <c r="C84" s="64">
        <v>0.41</v>
      </c>
      <c r="D84" s="64">
        <v>3.14</v>
      </c>
      <c r="E84" s="64">
        <v>1.24</v>
      </c>
      <c r="F84" s="64">
        <v>6.11</v>
      </c>
      <c r="G84" s="64">
        <v>45.28</v>
      </c>
      <c r="H84" s="64">
        <v>16.73</v>
      </c>
      <c r="I84" s="64">
        <v>4.46</v>
      </c>
      <c r="J84" s="64">
        <v>1.58</v>
      </c>
      <c r="K84" s="64">
        <v>147.08000000000001</v>
      </c>
      <c r="L84" s="64">
        <v>30.35</v>
      </c>
      <c r="M84" s="64">
        <v>46.92</v>
      </c>
      <c r="N84" s="64">
        <v>18.899999999999999</v>
      </c>
      <c r="O84" s="64">
        <v>0</v>
      </c>
      <c r="P84" s="64">
        <v>0.41</v>
      </c>
      <c r="Q84" s="64">
        <v>9.3699999999999992</v>
      </c>
      <c r="R84" s="198"/>
      <c r="S84" s="198"/>
      <c r="T84" s="198"/>
      <c r="U84" s="198"/>
    </row>
    <row r="85" spans="1:26" s="12" customFormat="1" x14ac:dyDescent="0.25">
      <c r="A85" s="214" t="s">
        <v>805</v>
      </c>
      <c r="B85" s="64">
        <v>2.2799999999999998</v>
      </c>
      <c r="C85" s="64">
        <v>0.34</v>
      </c>
      <c r="D85" s="64">
        <v>3.15</v>
      </c>
      <c r="E85" s="64">
        <v>1.3</v>
      </c>
      <c r="F85" s="64">
        <v>4.95</v>
      </c>
      <c r="G85" s="64">
        <v>45.28</v>
      </c>
      <c r="H85" s="64">
        <v>16.73</v>
      </c>
      <c r="I85" s="64">
        <v>4.33</v>
      </c>
      <c r="J85" s="64">
        <v>1.03</v>
      </c>
      <c r="K85" s="64">
        <v>163.59</v>
      </c>
      <c r="L85" s="64">
        <v>30.33</v>
      </c>
      <c r="M85" s="64">
        <v>47.2</v>
      </c>
      <c r="N85" s="64">
        <v>18.8</v>
      </c>
      <c r="O85" s="64">
        <v>0</v>
      </c>
      <c r="P85" s="64">
        <v>0.39</v>
      </c>
      <c r="Q85" s="64">
        <v>9.34</v>
      </c>
      <c r="R85" s="198"/>
      <c r="S85" s="198"/>
      <c r="T85" s="198"/>
      <c r="U85" s="198"/>
    </row>
    <row r="86" spans="1:26" s="12" customFormat="1" x14ac:dyDescent="0.25">
      <c r="A86" s="214" t="s">
        <v>806</v>
      </c>
      <c r="B86" s="64">
        <v>2.27</v>
      </c>
      <c r="C86" s="64">
        <v>0.34</v>
      </c>
      <c r="D86" s="64">
        <v>3.14</v>
      </c>
      <c r="E86" s="64">
        <v>0.95</v>
      </c>
      <c r="F86" s="64">
        <v>4.46</v>
      </c>
      <c r="G86" s="64">
        <v>45.36</v>
      </c>
      <c r="H86" s="64">
        <v>18.45</v>
      </c>
      <c r="I86" s="64">
        <v>4.25</v>
      </c>
      <c r="J86" s="64">
        <v>1.97</v>
      </c>
      <c r="K86" s="64">
        <v>106.04</v>
      </c>
      <c r="L86" s="64">
        <v>30.17</v>
      </c>
      <c r="M86" s="64">
        <v>47.49</v>
      </c>
      <c r="N86" s="64">
        <v>18.5</v>
      </c>
      <c r="O86" s="64">
        <v>0</v>
      </c>
      <c r="P86" s="64">
        <v>0.42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4" t="s">
        <v>807</v>
      </c>
      <c r="B87" s="64">
        <v>2.33</v>
      </c>
      <c r="C87" s="64">
        <v>0.4</v>
      </c>
      <c r="D87" s="64">
        <v>3.22</v>
      </c>
      <c r="E87" s="64">
        <v>1.0900000000000001</v>
      </c>
      <c r="F87" s="64">
        <v>4.5999999999999996</v>
      </c>
      <c r="G87" s="64">
        <v>45.44</v>
      </c>
      <c r="H87" s="64">
        <v>20.100000000000001</v>
      </c>
      <c r="I87" s="64">
        <v>4.43</v>
      </c>
      <c r="J87" s="64">
        <v>2.16</v>
      </c>
      <c r="K87" s="64">
        <v>115.14</v>
      </c>
      <c r="L87" s="64">
        <v>30.42</v>
      </c>
      <c r="M87" s="64">
        <v>47.14</v>
      </c>
      <c r="N87" s="64">
        <v>18.399999999999999</v>
      </c>
      <c r="O87" s="64">
        <v>0</v>
      </c>
      <c r="P87" s="64">
        <v>0.43</v>
      </c>
      <c r="Q87" s="64">
        <v>9.36</v>
      </c>
      <c r="R87" s="198"/>
      <c r="S87" s="198"/>
      <c r="T87" s="198"/>
      <c r="U87" s="198"/>
    </row>
    <row r="88" spans="1:26" s="12" customFormat="1" x14ac:dyDescent="0.25">
      <c r="A88" s="214" t="s">
        <v>808</v>
      </c>
      <c r="B88" s="64">
        <v>2.54</v>
      </c>
      <c r="C88" s="64">
        <v>1.03</v>
      </c>
      <c r="D88" s="64">
        <v>3.72</v>
      </c>
      <c r="E88" s="64">
        <v>0.51</v>
      </c>
      <c r="F88" s="64">
        <v>4.84</v>
      </c>
      <c r="G88" s="64">
        <v>45.44</v>
      </c>
      <c r="H88" s="64">
        <v>20.100000000000001</v>
      </c>
      <c r="I88" s="64">
        <v>4.8600000000000003</v>
      </c>
      <c r="J88" s="64">
        <v>1.35</v>
      </c>
      <c r="K88" s="64">
        <v>153.07</v>
      </c>
      <c r="L88" s="64">
        <v>30.16</v>
      </c>
      <c r="M88" s="64">
        <v>48.08</v>
      </c>
      <c r="N88" s="64">
        <v>18.8</v>
      </c>
      <c r="O88" s="64">
        <v>0</v>
      </c>
      <c r="P88" s="64">
        <v>0.42</v>
      </c>
      <c r="Q88" s="64">
        <v>9.36</v>
      </c>
      <c r="R88" s="198"/>
      <c r="S88" s="198"/>
      <c r="T88" s="198"/>
      <c r="U88" s="198"/>
    </row>
    <row r="89" spans="1:26" s="12" customFormat="1" x14ac:dyDescent="0.25">
      <c r="A89" s="214" t="s">
        <v>809</v>
      </c>
      <c r="B89" s="64">
        <v>2.54</v>
      </c>
      <c r="C89" s="64">
        <v>1.1000000000000001</v>
      </c>
      <c r="D89" s="64">
        <v>3.76</v>
      </c>
      <c r="E89" s="64">
        <v>0.82</v>
      </c>
      <c r="F89" s="64">
        <v>4.71</v>
      </c>
      <c r="G89" s="64">
        <v>45.44</v>
      </c>
      <c r="H89" s="64">
        <v>20.100000000000001</v>
      </c>
      <c r="I89" s="64">
        <v>5.67</v>
      </c>
      <c r="J89" s="64">
        <v>0.75</v>
      </c>
      <c r="K89" s="64">
        <v>176.07</v>
      </c>
      <c r="L89" s="64">
        <v>30.18</v>
      </c>
      <c r="M89" s="64">
        <v>48.15</v>
      </c>
      <c r="N89" s="64">
        <v>18.7</v>
      </c>
      <c r="O89" s="64">
        <v>0</v>
      </c>
      <c r="P89" s="64">
        <v>0.42</v>
      </c>
      <c r="Q89" s="64">
        <v>9.3800000000000008</v>
      </c>
      <c r="R89" s="198"/>
      <c r="S89" s="198"/>
      <c r="T89" s="198"/>
      <c r="U89" s="198"/>
    </row>
    <row r="90" spans="1:26" s="12" customFormat="1" x14ac:dyDescent="0.25">
      <c r="A90" s="214" t="s">
        <v>810</v>
      </c>
      <c r="B90" s="64">
        <v>2.3199999999999998</v>
      </c>
      <c r="C90" s="64">
        <v>0.38</v>
      </c>
      <c r="D90" s="64">
        <v>3.21</v>
      </c>
      <c r="E90" s="64">
        <v>1.1200000000000001</v>
      </c>
      <c r="F90" s="64">
        <v>5.09</v>
      </c>
      <c r="G90" s="64">
        <v>44.05</v>
      </c>
      <c r="H90" s="64">
        <v>19.04</v>
      </c>
      <c r="I90" s="64">
        <v>5.98</v>
      </c>
      <c r="J90" s="64">
        <v>0.7</v>
      </c>
      <c r="K90" s="64">
        <v>168.75</v>
      </c>
      <c r="L90" s="64">
        <v>29.9</v>
      </c>
      <c r="M90" s="64">
        <v>49.2</v>
      </c>
      <c r="N90" s="64">
        <v>18.899999999999999</v>
      </c>
      <c r="O90" s="64">
        <v>0</v>
      </c>
      <c r="P90" s="64">
        <v>0.42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14" t="s">
        <v>811</v>
      </c>
      <c r="B91" s="64">
        <v>2.2799999999999998</v>
      </c>
      <c r="C91" s="64">
        <v>0.32</v>
      </c>
      <c r="D91" s="64">
        <v>3.14</v>
      </c>
      <c r="E91" s="64">
        <v>1.21</v>
      </c>
      <c r="F91" s="64">
        <v>4.9000000000000004</v>
      </c>
      <c r="G91" s="64">
        <v>42.73</v>
      </c>
      <c r="H91" s="64">
        <v>18.03</v>
      </c>
      <c r="I91" s="64">
        <v>5.62</v>
      </c>
      <c r="J91" s="64">
        <v>0.76</v>
      </c>
      <c r="K91" s="64">
        <v>180.56</v>
      </c>
      <c r="L91" s="64">
        <v>29.67</v>
      </c>
      <c r="M91" s="64">
        <v>50.06</v>
      </c>
      <c r="N91" s="64">
        <v>18.8</v>
      </c>
      <c r="O91" s="64">
        <v>0</v>
      </c>
      <c r="P91" s="64">
        <v>0.42</v>
      </c>
      <c r="Q91" s="64">
        <v>9.42</v>
      </c>
      <c r="R91" s="198"/>
      <c r="S91" s="198"/>
      <c r="T91" s="198"/>
      <c r="U91" s="198"/>
    </row>
    <row r="92" spans="1:26" s="12" customFormat="1" x14ac:dyDescent="0.25">
      <c r="A92" s="214" t="s">
        <v>812</v>
      </c>
      <c r="B92" s="64">
        <v>2.62</v>
      </c>
      <c r="C92" s="64">
        <v>1.37</v>
      </c>
      <c r="D92" s="64">
        <v>3.96</v>
      </c>
      <c r="E92" s="64">
        <v>0.81</v>
      </c>
      <c r="F92" s="64">
        <v>5.38</v>
      </c>
      <c r="G92" s="64">
        <v>42.73</v>
      </c>
      <c r="H92" s="64">
        <v>18.03</v>
      </c>
      <c r="I92" s="64">
        <v>5.3</v>
      </c>
      <c r="J92" s="64">
        <v>0.02</v>
      </c>
      <c r="K92" s="64">
        <v>234.64</v>
      </c>
      <c r="L92" s="64">
        <v>29.3</v>
      </c>
      <c r="M92" s="64">
        <v>51.25</v>
      </c>
      <c r="N92" s="64">
        <v>19</v>
      </c>
      <c r="O92" s="64">
        <v>0</v>
      </c>
      <c r="P92" s="64">
        <v>0.44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4" t="s">
        <v>813</v>
      </c>
      <c r="B93" s="64">
        <v>2.39</v>
      </c>
      <c r="C93" s="64">
        <v>0.87</v>
      </c>
      <c r="D93" s="64">
        <v>3.51</v>
      </c>
      <c r="E93" s="64">
        <v>1.07</v>
      </c>
      <c r="F93" s="64">
        <v>4.82</v>
      </c>
      <c r="G93" s="64">
        <v>42.73</v>
      </c>
      <c r="H93" s="64">
        <v>18.03</v>
      </c>
      <c r="I93" s="64">
        <v>5.34</v>
      </c>
      <c r="J93" s="64">
        <v>0.88</v>
      </c>
      <c r="K93" s="64">
        <v>164.65</v>
      </c>
      <c r="L93" s="64">
        <v>29.09</v>
      </c>
      <c r="M93" s="64">
        <v>51.72</v>
      </c>
      <c r="N93" s="64">
        <v>18.5</v>
      </c>
      <c r="O93" s="64">
        <v>0</v>
      </c>
      <c r="P93" s="64">
        <v>0.45</v>
      </c>
      <c r="Q93" s="64">
        <v>9.42</v>
      </c>
      <c r="R93" s="198"/>
      <c r="S93" s="198"/>
      <c r="T93" s="198"/>
      <c r="U93" s="198"/>
    </row>
    <row r="94" spans="1:26" s="12" customFormat="1" x14ac:dyDescent="0.25">
      <c r="A94" s="214" t="s">
        <v>814</v>
      </c>
      <c r="B94" s="64">
        <v>2.27</v>
      </c>
      <c r="C94" s="64">
        <v>0.44</v>
      </c>
      <c r="D94" s="64">
        <v>3.2</v>
      </c>
      <c r="E94" s="64">
        <v>1.1499999999999999</v>
      </c>
      <c r="F94" s="64">
        <v>4.08</v>
      </c>
      <c r="G94" s="64">
        <v>43.89</v>
      </c>
      <c r="H94" s="64">
        <v>18.57</v>
      </c>
      <c r="I94" s="64">
        <v>5.45</v>
      </c>
      <c r="J94" s="64">
        <v>1.01</v>
      </c>
      <c r="K94" s="64">
        <v>170.15</v>
      </c>
      <c r="L94" s="64">
        <v>29.11</v>
      </c>
      <c r="M94" s="64">
        <v>52.01</v>
      </c>
      <c r="N94" s="64">
        <v>18.399999999999999</v>
      </c>
      <c r="O94" s="64">
        <v>0</v>
      </c>
      <c r="P94" s="64">
        <v>0.45</v>
      </c>
      <c r="Q94" s="64">
        <v>9.36</v>
      </c>
      <c r="R94" s="198"/>
      <c r="S94" s="198"/>
      <c r="T94" s="198"/>
      <c r="U94" s="198"/>
    </row>
    <row r="95" spans="1:26" s="12" customFormat="1" x14ac:dyDescent="0.25">
      <c r="A95" s="214" t="s">
        <v>815</v>
      </c>
      <c r="B95" s="64">
        <v>2.7</v>
      </c>
      <c r="C95" s="64">
        <v>1.76</v>
      </c>
      <c r="D95" s="64">
        <v>4.2300000000000004</v>
      </c>
      <c r="E95" s="64">
        <v>0.73</v>
      </c>
      <c r="F95" s="64">
        <v>4.6100000000000003</v>
      </c>
      <c r="G95" s="64">
        <v>45</v>
      </c>
      <c r="H95" s="64">
        <v>19.09</v>
      </c>
      <c r="I95" s="64">
        <v>5.36</v>
      </c>
      <c r="J95" s="64">
        <v>0.56000000000000005</v>
      </c>
      <c r="K95" s="64">
        <v>186.45</v>
      </c>
      <c r="L95" s="64">
        <v>28.97</v>
      </c>
      <c r="M95" s="64">
        <v>52.21</v>
      </c>
      <c r="N95" s="64">
        <v>18.600000000000001</v>
      </c>
      <c r="O95" s="64">
        <v>0</v>
      </c>
      <c r="P95" s="64">
        <v>0.45</v>
      </c>
      <c r="Q95" s="64">
        <v>9.3800000000000008</v>
      </c>
      <c r="R95" s="198"/>
      <c r="S95" s="198"/>
      <c r="T95" s="198"/>
      <c r="U95" s="198"/>
    </row>
    <row r="96" spans="1:26" s="12" customFormat="1" x14ac:dyDescent="0.25">
      <c r="A96" s="214" t="s">
        <v>816</v>
      </c>
      <c r="B96" s="64">
        <v>2.41</v>
      </c>
      <c r="C96" s="64">
        <v>0.83</v>
      </c>
      <c r="D96" s="64">
        <v>3.51</v>
      </c>
      <c r="E96" s="64">
        <v>0.78</v>
      </c>
      <c r="F96" s="64">
        <v>4.88</v>
      </c>
      <c r="G96" s="64">
        <v>45</v>
      </c>
      <c r="H96" s="64">
        <v>19.09</v>
      </c>
      <c r="I96" s="64">
        <v>5.22</v>
      </c>
      <c r="J96" s="64">
        <v>0.39</v>
      </c>
      <c r="K96" s="64">
        <v>223.93</v>
      </c>
      <c r="L96" s="64">
        <v>28.62</v>
      </c>
      <c r="M96" s="64">
        <v>53.58</v>
      </c>
      <c r="N96" s="64">
        <v>19</v>
      </c>
      <c r="O96" s="64">
        <v>0</v>
      </c>
      <c r="P96" s="64">
        <v>0.44</v>
      </c>
      <c r="Q96" s="64">
        <v>9.41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817</v>
      </c>
      <c r="B97" s="64">
        <v>2.66</v>
      </c>
      <c r="C97" s="64">
        <v>1.71</v>
      </c>
      <c r="D97" s="64">
        <v>4.17</v>
      </c>
      <c r="E97" s="64">
        <v>0.7</v>
      </c>
      <c r="F97" s="64">
        <v>4.99</v>
      </c>
      <c r="G97" s="64">
        <v>45</v>
      </c>
      <c r="H97" s="64">
        <v>19.09</v>
      </c>
      <c r="I97" s="64">
        <v>5.04</v>
      </c>
      <c r="J97" s="64">
        <v>0.63</v>
      </c>
      <c r="K97" s="64">
        <v>194.3</v>
      </c>
      <c r="L97" s="64">
        <v>28.19</v>
      </c>
      <c r="M97" s="64">
        <v>56.18</v>
      </c>
      <c r="N97" s="64">
        <v>18.899999999999999</v>
      </c>
      <c r="O97" s="64">
        <v>0</v>
      </c>
      <c r="P97" s="64">
        <v>0.44</v>
      </c>
      <c r="Q97" s="64">
        <v>9.42</v>
      </c>
      <c r="R97" s="198"/>
      <c r="S97" s="198"/>
      <c r="T97" s="198"/>
      <c r="U97" s="198"/>
    </row>
    <row r="98" spans="1:33" s="12" customFormat="1" x14ac:dyDescent="0.25">
      <c r="A98" s="214" t="s">
        <v>818</v>
      </c>
      <c r="B98" s="64">
        <v>2.4900000000000002</v>
      </c>
      <c r="C98" s="64">
        <v>1.04</v>
      </c>
      <c r="D98" s="64">
        <v>3.68</v>
      </c>
      <c r="E98" s="64">
        <v>0.91</v>
      </c>
      <c r="F98" s="64">
        <v>4.3499999999999996</v>
      </c>
      <c r="G98" s="64">
        <v>42.85</v>
      </c>
      <c r="H98" s="64">
        <v>18.02</v>
      </c>
      <c r="I98" s="64">
        <v>4.8099999999999996</v>
      </c>
      <c r="J98" s="64">
        <v>0.53</v>
      </c>
      <c r="K98" s="64">
        <v>180.68</v>
      </c>
      <c r="L98" s="64">
        <v>27.86</v>
      </c>
      <c r="M98" s="64">
        <v>58.4</v>
      </c>
      <c r="N98" s="64">
        <v>18.8</v>
      </c>
      <c r="O98" s="64">
        <v>0</v>
      </c>
      <c r="P98" s="64">
        <v>0.44</v>
      </c>
      <c r="Q98" s="64">
        <v>9.41</v>
      </c>
      <c r="R98" s="198"/>
      <c r="S98" s="198"/>
      <c r="T98" s="198"/>
      <c r="U98" s="198"/>
    </row>
    <row r="99" spans="1:33" s="12" customFormat="1" x14ac:dyDescent="0.25">
      <c r="A99" s="214" t="s">
        <v>819</v>
      </c>
      <c r="B99" s="64">
        <v>2.2999999999999998</v>
      </c>
      <c r="C99" s="64">
        <v>0.42</v>
      </c>
      <c r="D99" s="64">
        <v>3.21</v>
      </c>
      <c r="E99" s="64">
        <v>0.63</v>
      </c>
      <c r="F99" s="64">
        <v>3.94</v>
      </c>
      <c r="G99" s="64">
        <v>40.880000000000003</v>
      </c>
      <c r="H99" s="64">
        <v>17</v>
      </c>
      <c r="I99" s="64">
        <v>4.82</v>
      </c>
      <c r="J99" s="64">
        <v>1.18</v>
      </c>
      <c r="K99" s="64">
        <v>171.01</v>
      </c>
      <c r="L99" s="64">
        <v>27.66</v>
      </c>
      <c r="M99" s="64">
        <v>60.1</v>
      </c>
      <c r="N99" s="64">
        <v>18.600000000000001</v>
      </c>
      <c r="O99" s="64">
        <v>0</v>
      </c>
      <c r="P99" s="64">
        <v>0.43</v>
      </c>
      <c r="Q99" s="64">
        <v>9.42</v>
      </c>
      <c r="R99" s="198"/>
      <c r="S99" s="198"/>
      <c r="T99" s="198"/>
      <c r="U99" s="198"/>
    </row>
    <row r="100" spans="1:33" s="12" customFormat="1" x14ac:dyDescent="0.25">
      <c r="A100" s="214" t="s">
        <v>820</v>
      </c>
      <c r="B100" s="64">
        <v>2.66</v>
      </c>
      <c r="C100" s="64">
        <v>1.79</v>
      </c>
      <c r="D100" s="64">
        <v>4.21</v>
      </c>
      <c r="E100" s="64">
        <v>0.74</v>
      </c>
      <c r="F100" s="64">
        <v>4.4400000000000004</v>
      </c>
      <c r="G100" s="64">
        <v>40.880000000000003</v>
      </c>
      <c r="H100" s="64">
        <v>17</v>
      </c>
      <c r="I100" s="64">
        <v>4.8099999999999996</v>
      </c>
      <c r="J100" s="64">
        <v>0.73</v>
      </c>
      <c r="K100" s="64">
        <v>166.9</v>
      </c>
      <c r="L100" s="64">
        <v>27.57</v>
      </c>
      <c r="M100" s="64">
        <v>60.83</v>
      </c>
      <c r="N100" s="64">
        <v>18.8</v>
      </c>
      <c r="O100" s="64">
        <v>0</v>
      </c>
      <c r="P100" s="64">
        <v>0.44</v>
      </c>
      <c r="Q100" s="64">
        <v>9.44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821</v>
      </c>
      <c r="B101" s="64">
        <v>2.42</v>
      </c>
      <c r="C101" s="64">
        <v>0.89</v>
      </c>
      <c r="D101" s="64">
        <v>3.55</v>
      </c>
      <c r="E101" s="64">
        <v>0.88</v>
      </c>
      <c r="F101" s="64">
        <v>4.38</v>
      </c>
      <c r="G101" s="64">
        <v>40.880000000000003</v>
      </c>
      <c r="H101" s="64">
        <v>17</v>
      </c>
      <c r="I101" s="64">
        <v>4.5199999999999996</v>
      </c>
      <c r="J101" s="64">
        <v>1.1200000000000001</v>
      </c>
      <c r="K101" s="64">
        <v>169.75</v>
      </c>
      <c r="L101" s="64">
        <v>27.44</v>
      </c>
      <c r="M101" s="64">
        <v>61.54</v>
      </c>
      <c r="N101" s="64">
        <v>18.5</v>
      </c>
      <c r="O101" s="64">
        <v>0</v>
      </c>
      <c r="P101" s="64">
        <v>0.43</v>
      </c>
      <c r="Q101" s="64">
        <v>9.42</v>
      </c>
      <c r="R101" s="198"/>
      <c r="S101" s="198"/>
      <c r="T101" s="198"/>
      <c r="U101" s="198"/>
    </row>
    <row r="102" spans="1:33" s="12" customFormat="1" x14ac:dyDescent="0.25">
      <c r="A102" s="214" t="s">
        <v>822</v>
      </c>
      <c r="B102" s="64">
        <v>2.68</v>
      </c>
      <c r="C102" s="64">
        <v>1.76</v>
      </c>
      <c r="D102" s="64">
        <v>4.21</v>
      </c>
      <c r="E102" s="64">
        <v>1.21</v>
      </c>
      <c r="F102" s="64">
        <v>4.42</v>
      </c>
      <c r="G102" s="64">
        <v>39.08</v>
      </c>
      <c r="H102" s="64">
        <v>17.079999999999998</v>
      </c>
      <c r="I102" s="64">
        <v>4.33</v>
      </c>
      <c r="J102" s="64">
        <v>0.38</v>
      </c>
      <c r="K102" s="64">
        <v>183.17</v>
      </c>
      <c r="L102" s="64">
        <v>27.27</v>
      </c>
      <c r="M102" s="64">
        <v>62.52</v>
      </c>
      <c r="N102" s="64">
        <v>19</v>
      </c>
      <c r="O102" s="64">
        <v>0</v>
      </c>
      <c r="P102" s="64">
        <v>0.41</v>
      </c>
      <c r="Q102" s="64">
        <v>9.3800000000000008</v>
      </c>
      <c r="R102" s="198"/>
      <c r="S102" s="198"/>
      <c r="T102" s="198"/>
      <c r="U102" s="198"/>
    </row>
    <row r="103" spans="1:33" s="12" customFormat="1" x14ac:dyDescent="0.25">
      <c r="A103" s="214" t="s">
        <v>823</v>
      </c>
      <c r="B103" s="64">
        <v>2.41</v>
      </c>
      <c r="C103" s="64">
        <v>0.88</v>
      </c>
      <c r="D103" s="64">
        <v>3.54</v>
      </c>
      <c r="E103" s="64">
        <v>0.99</v>
      </c>
      <c r="F103" s="64">
        <v>4.33</v>
      </c>
      <c r="G103" s="64">
        <v>37.36</v>
      </c>
      <c r="H103" s="64">
        <v>17.170000000000002</v>
      </c>
      <c r="I103" s="64">
        <v>4.25</v>
      </c>
      <c r="J103" s="64">
        <v>0.55000000000000004</v>
      </c>
      <c r="K103" s="64">
        <v>173.12</v>
      </c>
      <c r="L103" s="64">
        <v>27.09</v>
      </c>
      <c r="M103" s="64">
        <v>62.4</v>
      </c>
      <c r="N103" s="64">
        <v>18.7</v>
      </c>
      <c r="O103" s="64">
        <v>0</v>
      </c>
      <c r="P103" s="64">
        <v>0.4</v>
      </c>
      <c r="Q103" s="64">
        <v>9.35</v>
      </c>
      <c r="R103" s="198"/>
      <c r="S103" s="198"/>
      <c r="T103" s="198"/>
      <c r="U103" s="198"/>
    </row>
    <row r="104" spans="1:33" s="12" customFormat="1" x14ac:dyDescent="0.25">
      <c r="A104" s="214" t="s">
        <v>824</v>
      </c>
      <c r="B104" s="64">
        <v>2.61</v>
      </c>
      <c r="C104" s="64">
        <v>1.3</v>
      </c>
      <c r="D104" s="64">
        <v>3.92</v>
      </c>
      <c r="E104" s="64">
        <v>0.8</v>
      </c>
      <c r="F104" s="64">
        <v>4.3899999999999997</v>
      </c>
      <c r="G104" s="64">
        <v>37.36</v>
      </c>
      <c r="H104" s="64">
        <v>17.170000000000002</v>
      </c>
      <c r="I104" s="64">
        <v>4</v>
      </c>
      <c r="J104" s="64">
        <v>0.26</v>
      </c>
      <c r="K104" s="64">
        <v>194.06</v>
      </c>
      <c r="L104" s="64">
        <v>27.2</v>
      </c>
      <c r="M104" s="64">
        <v>60.51</v>
      </c>
      <c r="N104" s="64">
        <v>18.600000000000001</v>
      </c>
      <c r="O104" s="64">
        <v>0</v>
      </c>
      <c r="P104" s="64">
        <v>0.4</v>
      </c>
      <c r="Q104" s="64">
        <v>9.34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2.2200000000000002</v>
      </c>
      <c r="C106" s="67">
        <f>MIN(C9:C104)</f>
        <v>0.31</v>
      </c>
      <c r="D106" s="67">
        <f t="shared" ref="D106:Q106" si="0">MIN(D9:D104)</f>
        <v>3.14</v>
      </c>
      <c r="E106" s="67">
        <f t="shared" si="0"/>
        <v>0.03</v>
      </c>
      <c r="F106" s="67">
        <f t="shared" si="0"/>
        <v>3.36</v>
      </c>
      <c r="G106" s="67">
        <f t="shared" si="0"/>
        <v>26.84</v>
      </c>
      <c r="H106" s="67">
        <f t="shared" si="0"/>
        <v>10.69</v>
      </c>
      <c r="I106" s="67">
        <f t="shared" si="0"/>
        <v>3.41</v>
      </c>
      <c r="J106" s="67">
        <f t="shared" si="0"/>
        <v>0.02</v>
      </c>
      <c r="K106" s="67">
        <f t="shared" si="0"/>
        <v>3.72</v>
      </c>
      <c r="L106" s="67">
        <f t="shared" si="0"/>
        <v>26.31</v>
      </c>
      <c r="M106" s="67">
        <f t="shared" si="0"/>
        <v>25.44</v>
      </c>
      <c r="N106" s="67">
        <f t="shared" si="0"/>
        <v>18.399999999999999</v>
      </c>
      <c r="O106" s="67">
        <f t="shared" si="0"/>
        <v>0</v>
      </c>
      <c r="P106" s="67">
        <f t="shared" si="0"/>
        <v>0.35</v>
      </c>
      <c r="Q106" s="67">
        <f t="shared" si="0"/>
        <v>9.31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2.7</v>
      </c>
      <c r="C107" s="66">
        <f t="shared" ref="C107:Q107" si="1">MAX(C9:C104)</f>
        <v>1.79</v>
      </c>
      <c r="D107" s="66">
        <f t="shared" si="1"/>
        <v>4.2300000000000004</v>
      </c>
      <c r="E107" s="66">
        <f t="shared" si="1"/>
        <v>2.36</v>
      </c>
      <c r="F107" s="66">
        <f t="shared" si="1"/>
        <v>10.08</v>
      </c>
      <c r="G107" s="66">
        <f t="shared" si="1"/>
        <v>45.44</v>
      </c>
      <c r="H107" s="66">
        <f t="shared" si="1"/>
        <v>20.73</v>
      </c>
      <c r="I107" s="66">
        <f t="shared" si="1"/>
        <v>6.75</v>
      </c>
      <c r="J107" s="66">
        <f t="shared" si="1"/>
        <v>3.23</v>
      </c>
      <c r="K107" s="66">
        <f t="shared" si="1"/>
        <v>357.11</v>
      </c>
      <c r="L107" s="66">
        <f t="shared" si="1"/>
        <v>40.049999999999997</v>
      </c>
      <c r="M107" s="66">
        <f t="shared" si="1"/>
        <v>65.44</v>
      </c>
      <c r="N107" s="66">
        <f t="shared" si="1"/>
        <v>878</v>
      </c>
      <c r="O107" s="66">
        <f t="shared" si="1"/>
        <v>0</v>
      </c>
      <c r="P107" s="66">
        <f t="shared" si="1"/>
        <v>0.61</v>
      </c>
      <c r="Q107" s="66">
        <f t="shared" si="1"/>
        <v>9.52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2.4071875000000005</v>
      </c>
      <c r="C108" s="67">
        <f t="shared" ref="C108:Q108" si="2">AVERAGE(C9:C104)</f>
        <v>0.81791666666666707</v>
      </c>
      <c r="D108" s="67">
        <f t="shared" si="2"/>
        <v>3.503020833333331</v>
      </c>
      <c r="E108" s="67">
        <f t="shared" si="2"/>
        <v>1.3071874999999997</v>
      </c>
      <c r="F108" s="67">
        <f t="shared" si="2"/>
        <v>5.7693749999999993</v>
      </c>
      <c r="G108" s="67">
        <f t="shared" si="2"/>
        <v>36.199375000000011</v>
      </c>
      <c r="H108" s="67">
        <f t="shared" si="2"/>
        <v>15.547604166666661</v>
      </c>
      <c r="I108" s="67">
        <f t="shared" si="2"/>
        <v>4.8584375000000026</v>
      </c>
      <c r="J108" s="67">
        <f t="shared" si="2"/>
        <v>0.78333333333333355</v>
      </c>
      <c r="K108" s="67">
        <f t="shared" si="2"/>
        <v>196.56843749999999</v>
      </c>
      <c r="L108" s="67">
        <f t="shared" si="2"/>
        <v>31.465729166666662</v>
      </c>
      <c r="M108" s="67">
        <f t="shared" si="2"/>
        <v>47.87812499999999</v>
      </c>
      <c r="N108" s="67">
        <f t="shared" si="2"/>
        <v>256.72291666666672</v>
      </c>
      <c r="O108" s="67">
        <f t="shared" si="2"/>
        <v>0</v>
      </c>
      <c r="P108" s="67">
        <f t="shared" si="2"/>
        <v>0.43906249999999997</v>
      </c>
      <c r="Q108" s="67">
        <f t="shared" si="2"/>
        <v>9.4118279569892476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0.13434992116033967</v>
      </c>
      <c r="C109" s="67">
        <f t="shared" ref="C109:Q109" si="3">STDEV(C9:C104)</f>
        <v>0.43078610314942356</v>
      </c>
      <c r="D109" s="67">
        <f t="shared" si="3"/>
        <v>0.32927390547166263</v>
      </c>
      <c r="E109" s="67">
        <f t="shared" si="3"/>
        <v>0.60393743685217893</v>
      </c>
      <c r="F109" s="67">
        <f t="shared" si="3"/>
        <v>1.9079577466909263</v>
      </c>
      <c r="G109" s="67">
        <f t="shared" si="3"/>
        <v>5.553866327542452</v>
      </c>
      <c r="H109" s="67">
        <f t="shared" si="3"/>
        <v>2.5601816320400159</v>
      </c>
      <c r="I109" s="67">
        <f t="shared" si="3"/>
        <v>0.73336474464224399</v>
      </c>
      <c r="J109" s="67">
        <f t="shared" si="3"/>
        <v>0.62668159743318053</v>
      </c>
      <c r="K109" s="67">
        <f t="shared" si="3"/>
        <v>113.10249043121642</v>
      </c>
      <c r="L109" s="67">
        <f t="shared" si="3"/>
        <v>4.539215732119307</v>
      </c>
      <c r="M109" s="67">
        <f t="shared" si="3"/>
        <v>12.208700720775903</v>
      </c>
      <c r="N109" s="67">
        <f t="shared" si="3"/>
        <v>314.22635102712911</v>
      </c>
      <c r="O109" s="67">
        <f t="shared" si="3"/>
        <v>0</v>
      </c>
      <c r="P109" s="67">
        <f t="shared" si="3"/>
        <v>6.1833020049332471E-2</v>
      </c>
      <c r="Q109" s="67">
        <f t="shared" si="3"/>
        <v>5.0689726181406498E-2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P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COUNT(Q9:Q104)+3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825</v>
      </c>
      <c r="B9" s="64">
        <v>2.4</v>
      </c>
      <c r="C9" s="64">
        <v>0.7</v>
      </c>
      <c r="D9" s="64">
        <v>3.43</v>
      </c>
      <c r="E9" s="64">
        <v>1.19</v>
      </c>
      <c r="F9" s="64">
        <v>3.91</v>
      </c>
      <c r="G9" s="64">
        <v>37.36</v>
      </c>
      <c r="H9" s="64">
        <v>17.170000000000002</v>
      </c>
      <c r="I9" s="64">
        <v>4.07</v>
      </c>
      <c r="J9" s="64">
        <v>0.4</v>
      </c>
      <c r="K9" s="64">
        <v>186.5</v>
      </c>
      <c r="L9" s="64">
        <v>27.14</v>
      </c>
      <c r="M9" s="64">
        <v>60.68</v>
      </c>
      <c r="N9" s="64">
        <v>18.7</v>
      </c>
      <c r="O9" s="64">
        <v>0</v>
      </c>
      <c r="P9" s="64">
        <v>0.39</v>
      </c>
      <c r="Q9" s="64">
        <v>9.3699999999999992</v>
      </c>
      <c r="R9" s="198"/>
      <c r="S9" s="198"/>
      <c r="T9" s="198"/>
      <c r="U9" s="198"/>
    </row>
    <row r="10" spans="1:21" s="12" customFormat="1" x14ac:dyDescent="0.25">
      <c r="A10" s="214" t="s">
        <v>826</v>
      </c>
      <c r="B10" s="64">
        <v>2.5099999999999998</v>
      </c>
      <c r="C10" s="64">
        <v>0.94</v>
      </c>
      <c r="D10" s="64">
        <v>3.65</v>
      </c>
      <c r="E10" s="64">
        <v>1.23</v>
      </c>
      <c r="F10" s="64">
        <v>3.84</v>
      </c>
      <c r="G10" s="64">
        <v>36.65</v>
      </c>
      <c r="H10" s="64">
        <v>15.63</v>
      </c>
      <c r="I10" s="64">
        <v>4.24</v>
      </c>
      <c r="J10" s="64">
        <v>0.16</v>
      </c>
      <c r="K10" s="64">
        <v>262.56</v>
      </c>
      <c r="L10" s="64">
        <v>27.11</v>
      </c>
      <c r="M10" s="64">
        <v>59.94</v>
      </c>
      <c r="N10" s="64">
        <v>18.600000000000001</v>
      </c>
      <c r="O10" s="64">
        <v>0</v>
      </c>
      <c r="P10" s="64">
        <v>0.39</v>
      </c>
      <c r="Q10" s="64">
        <v>9.3699999999999992</v>
      </c>
      <c r="R10" s="198"/>
      <c r="S10" s="198"/>
      <c r="T10" s="198"/>
      <c r="U10" s="198"/>
    </row>
    <row r="11" spans="1:21" s="12" customFormat="1" x14ac:dyDescent="0.25">
      <c r="A11" s="214" t="s">
        <v>827</v>
      </c>
      <c r="B11" s="64">
        <v>2.57</v>
      </c>
      <c r="C11" s="64">
        <v>1.1000000000000001</v>
      </c>
      <c r="D11" s="64">
        <v>3.78</v>
      </c>
      <c r="E11" s="64">
        <v>1.25</v>
      </c>
      <c r="F11" s="64">
        <v>3.44</v>
      </c>
      <c r="G11" s="64">
        <v>35.99</v>
      </c>
      <c r="H11" s="64">
        <v>14.22</v>
      </c>
      <c r="I11" s="64">
        <v>4.37</v>
      </c>
      <c r="J11" s="64">
        <v>0.64</v>
      </c>
      <c r="K11" s="64">
        <v>195.09</v>
      </c>
      <c r="L11" s="64">
        <v>27.07</v>
      </c>
      <c r="M11" s="64">
        <v>60.38</v>
      </c>
      <c r="N11" s="64">
        <v>18.7</v>
      </c>
      <c r="O11" s="64">
        <v>0</v>
      </c>
      <c r="P11" s="64">
        <v>0.38</v>
      </c>
      <c r="Q11" s="64">
        <v>9.3800000000000008</v>
      </c>
      <c r="R11" s="198"/>
      <c r="S11" s="198"/>
      <c r="T11" s="198"/>
      <c r="U11" s="198"/>
    </row>
    <row r="12" spans="1:21" s="12" customFormat="1" x14ac:dyDescent="0.25">
      <c r="A12" s="214" t="s">
        <v>828</v>
      </c>
      <c r="B12" s="64">
        <v>2.34</v>
      </c>
      <c r="C12" s="64">
        <v>0.46</v>
      </c>
      <c r="D12" s="64">
        <v>3.27</v>
      </c>
      <c r="E12" s="64">
        <v>1.57</v>
      </c>
      <c r="F12" s="64">
        <v>3.33</v>
      </c>
      <c r="G12" s="64">
        <v>35.99</v>
      </c>
      <c r="H12" s="64">
        <v>14.22</v>
      </c>
      <c r="I12" s="64">
        <v>4.5599999999999996</v>
      </c>
      <c r="J12" s="64">
        <v>0.47</v>
      </c>
      <c r="K12" s="64">
        <v>182.37</v>
      </c>
      <c r="L12" s="64">
        <v>26.87</v>
      </c>
      <c r="M12" s="64">
        <v>61.44</v>
      </c>
      <c r="N12" s="64">
        <v>18.8</v>
      </c>
      <c r="O12" s="64">
        <v>0</v>
      </c>
      <c r="P12" s="64">
        <v>0.38</v>
      </c>
      <c r="Q12" s="64">
        <v>9.42</v>
      </c>
      <c r="R12" s="198"/>
      <c r="S12" s="198"/>
      <c r="T12" s="198"/>
      <c r="U12" s="198"/>
    </row>
    <row r="13" spans="1:21" s="12" customFormat="1" x14ac:dyDescent="0.25">
      <c r="A13" s="214" t="s">
        <v>829</v>
      </c>
      <c r="B13" s="64">
        <v>2.34</v>
      </c>
      <c r="C13" s="64">
        <v>0.37</v>
      </c>
      <c r="D13" s="64">
        <v>3.21</v>
      </c>
      <c r="E13" s="64">
        <v>1.51</v>
      </c>
      <c r="F13" s="64">
        <v>4.67</v>
      </c>
      <c r="G13" s="64">
        <v>35.99</v>
      </c>
      <c r="H13" s="64">
        <v>14.22</v>
      </c>
      <c r="I13" s="64">
        <v>4.43</v>
      </c>
      <c r="J13" s="64">
        <v>0.05</v>
      </c>
      <c r="K13" s="64">
        <v>319.35000000000002</v>
      </c>
      <c r="L13" s="64">
        <v>26.82</v>
      </c>
      <c r="M13" s="64">
        <v>61.89</v>
      </c>
      <c r="N13" s="64">
        <v>18.899999999999999</v>
      </c>
      <c r="O13" s="64">
        <v>0</v>
      </c>
      <c r="P13" s="64">
        <v>0.37</v>
      </c>
      <c r="Q13" s="64">
        <v>9.41</v>
      </c>
      <c r="R13" s="198"/>
      <c r="S13" s="198"/>
      <c r="T13" s="198"/>
      <c r="U13" s="198"/>
    </row>
    <row r="14" spans="1:21" s="12" customFormat="1" x14ac:dyDescent="0.25">
      <c r="A14" s="214" t="s">
        <v>830</v>
      </c>
      <c r="B14" s="64">
        <v>2.62</v>
      </c>
      <c r="C14" s="64">
        <v>1.1000000000000001</v>
      </c>
      <c r="D14" s="64">
        <v>3.82</v>
      </c>
      <c r="E14" s="64">
        <v>1.88</v>
      </c>
      <c r="F14" s="64">
        <v>3.52</v>
      </c>
      <c r="G14" s="64">
        <v>33</v>
      </c>
      <c r="H14" s="64">
        <v>13.48</v>
      </c>
      <c r="I14" s="64">
        <v>4.18</v>
      </c>
      <c r="J14" s="64">
        <v>0.4</v>
      </c>
      <c r="K14" s="64">
        <v>21.1</v>
      </c>
      <c r="L14" s="64">
        <v>26.84</v>
      </c>
      <c r="M14" s="64">
        <v>61.76</v>
      </c>
      <c r="N14" s="64">
        <v>18.7</v>
      </c>
      <c r="O14" s="64">
        <v>0</v>
      </c>
      <c r="P14" s="64">
        <v>0.37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14" t="s">
        <v>831</v>
      </c>
      <c r="B15" s="64">
        <v>2.38</v>
      </c>
      <c r="C15" s="64">
        <v>0.59</v>
      </c>
      <c r="D15" s="64">
        <v>3.36</v>
      </c>
      <c r="E15" s="64">
        <v>1.34</v>
      </c>
      <c r="F15" s="64">
        <v>5.78</v>
      </c>
      <c r="G15" s="64">
        <v>30.15</v>
      </c>
      <c r="H15" s="64">
        <v>12.77</v>
      </c>
      <c r="I15" s="64">
        <v>4.28</v>
      </c>
      <c r="J15" s="64">
        <v>0.25</v>
      </c>
      <c r="K15" s="64">
        <v>348.93</v>
      </c>
      <c r="L15" s="64">
        <v>26.9</v>
      </c>
      <c r="M15" s="64">
        <v>60.96</v>
      </c>
      <c r="N15" s="64">
        <v>18.600000000000001</v>
      </c>
      <c r="O15" s="64">
        <v>0</v>
      </c>
      <c r="P15" s="64">
        <v>0.38</v>
      </c>
      <c r="Q15" s="64">
        <v>9.44</v>
      </c>
      <c r="R15" s="198"/>
      <c r="S15" s="198"/>
      <c r="T15" s="198"/>
      <c r="U15" s="198"/>
    </row>
    <row r="16" spans="1:21" s="12" customFormat="1" x14ac:dyDescent="0.25">
      <c r="A16" s="214" t="s">
        <v>832</v>
      </c>
      <c r="B16" s="64">
        <v>2.62</v>
      </c>
      <c r="C16" s="64">
        <v>1.4</v>
      </c>
      <c r="D16" s="64">
        <v>3.98</v>
      </c>
      <c r="E16" s="64">
        <v>1.57</v>
      </c>
      <c r="F16" s="64">
        <v>4.3499999999999996</v>
      </c>
      <c r="G16" s="64">
        <v>30.15</v>
      </c>
      <c r="H16" s="64">
        <v>12.77</v>
      </c>
      <c r="I16" s="64">
        <v>4.6900000000000004</v>
      </c>
      <c r="J16" s="64">
        <v>7.0000000000000007E-2</v>
      </c>
      <c r="K16" s="64">
        <v>333.93</v>
      </c>
      <c r="L16" s="64">
        <v>26.93</v>
      </c>
      <c r="M16" s="64">
        <v>60.96</v>
      </c>
      <c r="N16" s="64">
        <v>18.600000000000001</v>
      </c>
      <c r="O16" s="64">
        <v>0</v>
      </c>
      <c r="P16" s="64">
        <v>0.37</v>
      </c>
      <c r="Q16" s="64">
        <v>9.35</v>
      </c>
      <c r="R16" s="198"/>
      <c r="S16" s="198"/>
      <c r="T16" s="198"/>
      <c r="U16" s="198"/>
    </row>
    <row r="17" spans="1:21" s="12" customFormat="1" x14ac:dyDescent="0.25">
      <c r="A17" s="214" t="s">
        <v>833</v>
      </c>
      <c r="B17" s="64">
        <v>2.64</v>
      </c>
      <c r="C17" s="64">
        <v>1.5</v>
      </c>
      <c r="D17" s="64">
        <v>4.04</v>
      </c>
      <c r="E17" s="64">
        <v>1.6</v>
      </c>
      <c r="F17" s="64">
        <v>4.93</v>
      </c>
      <c r="G17" s="64">
        <v>30.15</v>
      </c>
      <c r="H17" s="64">
        <v>12.77</v>
      </c>
      <c r="I17" s="64">
        <v>4.63</v>
      </c>
      <c r="J17" s="64">
        <v>0.26</v>
      </c>
      <c r="K17" s="64">
        <v>6.79</v>
      </c>
      <c r="L17" s="64">
        <v>26.87</v>
      </c>
      <c r="M17" s="64">
        <v>61.26</v>
      </c>
      <c r="N17" s="64">
        <v>18.600000000000001</v>
      </c>
      <c r="O17" s="64">
        <v>0</v>
      </c>
      <c r="P17" s="64">
        <v>0.36</v>
      </c>
      <c r="Q17" s="64">
        <v>9.3800000000000008</v>
      </c>
      <c r="R17" s="198"/>
      <c r="S17" s="198"/>
      <c r="T17" s="198"/>
      <c r="U17" s="198"/>
    </row>
    <row r="18" spans="1:21" s="12" customFormat="1" x14ac:dyDescent="0.25">
      <c r="A18" s="214" t="s">
        <v>834</v>
      </c>
      <c r="B18" s="64">
        <v>2.37</v>
      </c>
      <c r="C18" s="64">
        <v>0.59</v>
      </c>
      <c r="D18" s="64">
        <v>3.35</v>
      </c>
      <c r="E18" s="64">
        <v>1.5</v>
      </c>
      <c r="F18" s="64">
        <v>4.5599999999999996</v>
      </c>
      <c r="G18" s="64">
        <v>30.37</v>
      </c>
      <c r="H18" s="64">
        <v>13.58</v>
      </c>
      <c r="I18" s="64">
        <v>4.33</v>
      </c>
      <c r="J18" s="64">
        <v>0.13</v>
      </c>
      <c r="K18" s="64">
        <v>11.79</v>
      </c>
      <c r="L18" s="64">
        <v>26.8</v>
      </c>
      <c r="M18" s="64">
        <v>61.86</v>
      </c>
      <c r="N18" s="64">
        <v>18.7</v>
      </c>
      <c r="O18" s="64">
        <v>0</v>
      </c>
      <c r="P18" s="64">
        <v>0.35</v>
      </c>
      <c r="Q18" s="64">
        <v>9.3800000000000008</v>
      </c>
      <c r="R18" s="198"/>
      <c r="S18" s="198"/>
      <c r="T18" s="198"/>
      <c r="U18" s="198"/>
    </row>
    <row r="19" spans="1:21" s="12" customFormat="1" x14ac:dyDescent="0.25">
      <c r="A19" s="214" t="s">
        <v>835</v>
      </c>
      <c r="B19" s="64">
        <v>2.2999999999999998</v>
      </c>
      <c r="C19" s="64">
        <v>0.4</v>
      </c>
      <c r="D19" s="64">
        <v>3.2</v>
      </c>
      <c r="E19" s="64">
        <v>1.34</v>
      </c>
      <c r="F19" s="64">
        <v>4.22</v>
      </c>
      <c r="G19" s="64">
        <v>30.59</v>
      </c>
      <c r="H19" s="64">
        <v>14.36</v>
      </c>
      <c r="I19" s="64">
        <v>4.29</v>
      </c>
      <c r="J19" s="64">
        <v>0.21</v>
      </c>
      <c r="K19" s="64">
        <v>311.7</v>
      </c>
      <c r="L19" s="64">
        <v>26.72</v>
      </c>
      <c r="M19" s="64">
        <v>62.44</v>
      </c>
      <c r="N19" s="64">
        <v>18.600000000000001</v>
      </c>
      <c r="O19" s="64">
        <v>0</v>
      </c>
      <c r="P19" s="64">
        <v>0.33</v>
      </c>
      <c r="Q19" s="64">
        <v>9.3699999999999992</v>
      </c>
      <c r="R19" s="198"/>
      <c r="S19" s="198"/>
      <c r="T19" s="198"/>
      <c r="U19" s="198"/>
    </row>
    <row r="20" spans="1:21" s="12" customFormat="1" x14ac:dyDescent="0.25">
      <c r="A20" s="214" t="s">
        <v>836</v>
      </c>
      <c r="B20" s="64">
        <v>2.42</v>
      </c>
      <c r="C20" s="64">
        <v>0.73</v>
      </c>
      <c r="D20" s="64">
        <v>3.47</v>
      </c>
      <c r="E20" s="64">
        <v>1.25</v>
      </c>
      <c r="F20" s="64">
        <v>5.0199999999999996</v>
      </c>
      <c r="G20" s="64">
        <v>30.59</v>
      </c>
      <c r="H20" s="64">
        <v>14.36</v>
      </c>
      <c r="I20" s="64">
        <v>4.22</v>
      </c>
      <c r="J20" s="64">
        <v>0.23</v>
      </c>
      <c r="K20" s="64">
        <v>321.87</v>
      </c>
      <c r="L20" s="64">
        <v>26.64</v>
      </c>
      <c r="M20" s="64">
        <v>63.1</v>
      </c>
      <c r="N20" s="64">
        <v>18.8</v>
      </c>
      <c r="O20" s="64">
        <v>0</v>
      </c>
      <c r="P20" s="64">
        <v>0.33</v>
      </c>
      <c r="Q20" s="64">
        <v>9.42</v>
      </c>
      <c r="R20" s="198"/>
      <c r="S20" s="198"/>
      <c r="T20" s="198"/>
      <c r="U20" s="198"/>
    </row>
    <row r="21" spans="1:21" s="12" customFormat="1" x14ac:dyDescent="0.25">
      <c r="A21" s="214" t="s">
        <v>837</v>
      </c>
      <c r="B21" s="64">
        <v>2.4700000000000002</v>
      </c>
      <c r="C21" s="64">
        <v>0.94</v>
      </c>
      <c r="D21" s="64">
        <v>3.62</v>
      </c>
      <c r="E21" s="64">
        <v>1.69</v>
      </c>
      <c r="F21" s="64">
        <v>4.53</v>
      </c>
      <c r="G21" s="64">
        <v>30.59</v>
      </c>
      <c r="H21" s="64">
        <v>14.36</v>
      </c>
      <c r="I21" s="64">
        <v>4.05</v>
      </c>
      <c r="J21" s="64">
        <v>0.06</v>
      </c>
      <c r="K21" s="64">
        <v>255.92</v>
      </c>
      <c r="L21" s="64">
        <v>26.64</v>
      </c>
      <c r="M21" s="64">
        <v>63.37</v>
      </c>
      <c r="N21" s="64">
        <v>18.600000000000001</v>
      </c>
      <c r="O21" s="64">
        <v>0</v>
      </c>
      <c r="P21" s="64">
        <v>0.34</v>
      </c>
      <c r="Q21" s="64">
        <v>9.44</v>
      </c>
      <c r="R21" s="198"/>
      <c r="S21" s="198"/>
      <c r="T21" s="198"/>
      <c r="U21" s="198"/>
    </row>
    <row r="22" spans="1:21" s="12" customFormat="1" x14ac:dyDescent="0.25">
      <c r="A22" s="214" t="s">
        <v>838</v>
      </c>
      <c r="B22" s="64">
        <v>2.27</v>
      </c>
      <c r="C22" s="64">
        <v>0.36</v>
      </c>
      <c r="D22" s="64">
        <v>3.15</v>
      </c>
      <c r="E22" s="64">
        <v>1.36</v>
      </c>
      <c r="F22" s="64">
        <v>3.2</v>
      </c>
      <c r="G22" s="64">
        <v>30.98</v>
      </c>
      <c r="H22" s="64">
        <v>12.65</v>
      </c>
      <c r="I22" s="64">
        <v>3.94</v>
      </c>
      <c r="J22" s="64">
        <v>0.28999999999999998</v>
      </c>
      <c r="K22" s="64">
        <v>149.29</v>
      </c>
      <c r="L22" s="64">
        <v>26.56</v>
      </c>
      <c r="M22" s="64">
        <v>64.05</v>
      </c>
      <c r="N22" s="64">
        <v>18.7</v>
      </c>
      <c r="O22" s="64">
        <v>0</v>
      </c>
      <c r="P22" s="64">
        <v>0.32</v>
      </c>
      <c r="Q22" s="64">
        <v>9.3699999999999992</v>
      </c>
      <c r="R22" s="198"/>
      <c r="S22" s="198"/>
      <c r="T22" s="198"/>
      <c r="U22" s="198"/>
    </row>
    <row r="23" spans="1:21" s="12" customFormat="1" x14ac:dyDescent="0.25">
      <c r="A23" s="214" t="s">
        <v>839</v>
      </c>
      <c r="B23" s="64">
        <v>2.31</v>
      </c>
      <c r="C23" s="64">
        <v>0.35</v>
      </c>
      <c r="D23" s="64">
        <v>3.18</v>
      </c>
      <c r="E23" s="64">
        <v>1.1000000000000001</v>
      </c>
      <c r="F23" s="64">
        <v>4.4000000000000004</v>
      </c>
      <c r="G23" s="64">
        <v>31.35</v>
      </c>
      <c r="H23" s="64">
        <v>11.02</v>
      </c>
      <c r="I23" s="64">
        <v>3.88</v>
      </c>
      <c r="J23" s="64">
        <v>0.6</v>
      </c>
      <c r="K23" s="64">
        <v>171.65</v>
      </c>
      <c r="L23" s="64">
        <v>26.28</v>
      </c>
      <c r="M23" s="64">
        <v>65.319999999999993</v>
      </c>
      <c r="N23" s="64">
        <v>18.8</v>
      </c>
      <c r="O23" s="64">
        <v>0</v>
      </c>
      <c r="P23" s="64">
        <v>0.31</v>
      </c>
      <c r="Q23" s="64">
        <v>9.39</v>
      </c>
      <c r="R23" s="198"/>
      <c r="S23" s="198"/>
      <c r="T23" s="198"/>
      <c r="U23" s="198"/>
    </row>
    <row r="24" spans="1:21" s="12" customFormat="1" x14ac:dyDescent="0.25">
      <c r="A24" s="214" t="s">
        <v>840</v>
      </c>
      <c r="B24" s="64">
        <v>2.6</v>
      </c>
      <c r="C24" s="64">
        <v>1.08</v>
      </c>
      <c r="D24" s="64">
        <v>3.79</v>
      </c>
      <c r="E24" s="64">
        <v>1.75</v>
      </c>
      <c r="F24" s="64">
        <v>4.4000000000000004</v>
      </c>
      <c r="G24" s="64">
        <v>31.35</v>
      </c>
      <c r="H24" s="64">
        <v>11.02</v>
      </c>
      <c r="I24" s="64">
        <v>3.79</v>
      </c>
      <c r="J24" s="64">
        <v>0.84</v>
      </c>
      <c r="K24" s="64">
        <v>172.88</v>
      </c>
      <c r="L24" s="64">
        <v>26.17</v>
      </c>
      <c r="M24" s="64">
        <v>65.63</v>
      </c>
      <c r="N24" s="64">
        <v>18.600000000000001</v>
      </c>
      <c r="O24" s="64">
        <v>0</v>
      </c>
      <c r="P24" s="64">
        <v>0.31</v>
      </c>
      <c r="Q24" s="64">
        <v>9.39</v>
      </c>
      <c r="R24" s="198"/>
      <c r="S24" s="198"/>
      <c r="T24" s="198"/>
      <c r="U24" s="198"/>
    </row>
    <row r="25" spans="1:21" s="12" customFormat="1" x14ac:dyDescent="0.25">
      <c r="A25" s="214" t="s">
        <v>841</v>
      </c>
      <c r="B25" s="64">
        <v>2.48</v>
      </c>
      <c r="C25" s="64">
        <v>0.82</v>
      </c>
      <c r="D25" s="64">
        <v>3.56</v>
      </c>
      <c r="E25" s="64">
        <v>1.1200000000000001</v>
      </c>
      <c r="F25" s="64">
        <v>4.08</v>
      </c>
      <c r="G25" s="64">
        <v>31.35</v>
      </c>
      <c r="H25" s="64">
        <v>11.02</v>
      </c>
      <c r="I25" s="64">
        <v>3.79</v>
      </c>
      <c r="J25" s="64">
        <v>0.81</v>
      </c>
      <c r="K25" s="64">
        <v>169.83</v>
      </c>
      <c r="L25" s="64">
        <v>26.13</v>
      </c>
      <c r="M25" s="64">
        <v>66.209999999999994</v>
      </c>
      <c r="N25" s="64">
        <v>18.600000000000001</v>
      </c>
      <c r="O25" s="64">
        <v>0</v>
      </c>
      <c r="P25" s="64">
        <v>0.31</v>
      </c>
      <c r="Q25" s="64">
        <v>9.3800000000000008</v>
      </c>
      <c r="R25" s="198"/>
      <c r="S25" s="198"/>
      <c r="T25" s="198"/>
      <c r="U25" s="198"/>
    </row>
    <row r="26" spans="1:21" s="12" customFormat="1" x14ac:dyDescent="0.25">
      <c r="A26" s="214" t="s">
        <v>842</v>
      </c>
      <c r="B26" s="64">
        <v>2.39</v>
      </c>
      <c r="C26" s="64">
        <v>0.52</v>
      </c>
      <c r="D26" s="64">
        <v>3.33</v>
      </c>
      <c r="E26" s="64">
        <v>1.35</v>
      </c>
      <c r="F26" s="64">
        <v>4.49</v>
      </c>
      <c r="G26" s="64">
        <v>31.24</v>
      </c>
      <c r="H26" s="64">
        <v>10.119999999999999</v>
      </c>
      <c r="I26" s="64">
        <v>3.84</v>
      </c>
      <c r="J26" s="64">
        <v>0.57999999999999996</v>
      </c>
      <c r="K26" s="64">
        <v>184.04</v>
      </c>
      <c r="L26" s="64">
        <v>26.14</v>
      </c>
      <c r="M26" s="64">
        <v>66.27</v>
      </c>
      <c r="N26" s="64">
        <v>18.7</v>
      </c>
      <c r="O26" s="64">
        <v>0</v>
      </c>
      <c r="P26" s="64">
        <v>0.31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4" t="s">
        <v>843</v>
      </c>
      <c r="B27" s="64">
        <v>2.33</v>
      </c>
      <c r="C27" s="64">
        <v>0.37</v>
      </c>
      <c r="D27" s="64">
        <v>3.21</v>
      </c>
      <c r="E27" s="64">
        <v>1.36</v>
      </c>
      <c r="F27" s="64">
        <v>5.08</v>
      </c>
      <c r="G27" s="64">
        <v>31.13</v>
      </c>
      <c r="H27" s="64">
        <v>9.26</v>
      </c>
      <c r="I27" s="64">
        <v>3.73</v>
      </c>
      <c r="J27" s="64">
        <v>0.47</v>
      </c>
      <c r="K27" s="64">
        <v>193.51</v>
      </c>
      <c r="L27" s="64">
        <v>26.01</v>
      </c>
      <c r="M27" s="64">
        <v>66.52</v>
      </c>
      <c r="N27" s="64">
        <v>18.8</v>
      </c>
      <c r="O27" s="64">
        <v>0</v>
      </c>
      <c r="P27" s="64">
        <v>0.3</v>
      </c>
      <c r="Q27" s="64">
        <v>9.36</v>
      </c>
      <c r="R27" s="198"/>
      <c r="S27" s="198"/>
      <c r="T27" s="198"/>
      <c r="U27" s="198"/>
    </row>
    <row r="28" spans="1:21" s="12" customFormat="1" x14ac:dyDescent="0.25">
      <c r="A28" s="214" t="s">
        <v>844</v>
      </c>
      <c r="B28" s="64">
        <v>2.42</v>
      </c>
      <c r="C28" s="64">
        <v>0.61</v>
      </c>
      <c r="D28" s="64">
        <v>3.41</v>
      </c>
      <c r="E28" s="64">
        <v>1.23</v>
      </c>
      <c r="F28" s="64">
        <v>4.0999999999999996</v>
      </c>
      <c r="G28" s="64">
        <v>31.13</v>
      </c>
      <c r="H28" s="64">
        <v>9.26</v>
      </c>
      <c r="I28" s="64">
        <v>3.74</v>
      </c>
      <c r="J28" s="64">
        <v>0.86</v>
      </c>
      <c r="K28" s="64">
        <v>191.71</v>
      </c>
      <c r="L28" s="64">
        <v>25.64</v>
      </c>
      <c r="M28" s="64">
        <v>67.95</v>
      </c>
      <c r="N28" s="64">
        <v>19.100000000000001</v>
      </c>
      <c r="O28" s="64">
        <v>0</v>
      </c>
      <c r="P28" s="64">
        <v>0.3</v>
      </c>
      <c r="Q28" s="64">
        <v>9.39</v>
      </c>
      <c r="R28" s="198"/>
      <c r="S28" s="198"/>
      <c r="T28" s="198"/>
      <c r="U28" s="198"/>
    </row>
    <row r="29" spans="1:21" s="12" customFormat="1" x14ac:dyDescent="0.25">
      <c r="A29" s="214" t="s">
        <v>845</v>
      </c>
      <c r="B29" s="64">
        <v>2.64</v>
      </c>
      <c r="C29" s="64">
        <v>1.19</v>
      </c>
      <c r="D29" s="64">
        <v>3.89</v>
      </c>
      <c r="E29" s="64">
        <v>1.1499999999999999</v>
      </c>
      <c r="F29" s="64">
        <v>3.79</v>
      </c>
      <c r="G29" s="64">
        <v>31.13</v>
      </c>
      <c r="H29" s="64">
        <v>9.26</v>
      </c>
      <c r="I29" s="64">
        <v>3.98</v>
      </c>
      <c r="J29" s="64">
        <v>0.53</v>
      </c>
      <c r="K29" s="64">
        <v>205.52</v>
      </c>
      <c r="L29" s="64">
        <v>25.49</v>
      </c>
      <c r="M29" s="64">
        <v>69.3</v>
      </c>
      <c r="N29" s="64">
        <v>21.1</v>
      </c>
      <c r="O29" s="64">
        <v>0</v>
      </c>
      <c r="P29" s="64">
        <v>0.3</v>
      </c>
      <c r="Q29" s="64">
        <v>9.41</v>
      </c>
      <c r="R29" s="198"/>
      <c r="S29" s="198"/>
      <c r="T29" s="198"/>
      <c r="U29" s="198"/>
    </row>
    <row r="30" spans="1:21" s="12" customFormat="1" x14ac:dyDescent="0.25">
      <c r="A30" s="214" t="s">
        <v>846</v>
      </c>
      <c r="B30" s="64">
        <v>2.39</v>
      </c>
      <c r="C30" s="64">
        <v>0.47</v>
      </c>
      <c r="D30" s="64">
        <v>3.31</v>
      </c>
      <c r="E30" s="64">
        <v>1.62</v>
      </c>
      <c r="F30" s="64">
        <v>3.71</v>
      </c>
      <c r="G30" s="64">
        <v>29.05</v>
      </c>
      <c r="H30" s="64">
        <v>10.35</v>
      </c>
      <c r="I30" s="64">
        <v>4.3</v>
      </c>
      <c r="J30" s="64">
        <v>0.78</v>
      </c>
      <c r="K30" s="64">
        <v>188.98</v>
      </c>
      <c r="L30" s="64">
        <v>25.36</v>
      </c>
      <c r="M30" s="64">
        <v>70.709999999999994</v>
      </c>
      <c r="N30" s="64">
        <v>28.6</v>
      </c>
      <c r="O30" s="64">
        <v>0</v>
      </c>
      <c r="P30" s="64">
        <v>0.28999999999999998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4" t="s">
        <v>847</v>
      </c>
      <c r="B31" s="64">
        <v>2.37</v>
      </c>
      <c r="C31" s="64">
        <v>0.43</v>
      </c>
      <c r="D31" s="64">
        <v>3.27</v>
      </c>
      <c r="E31" s="64">
        <v>1.3</v>
      </c>
      <c r="F31" s="64">
        <v>3.51</v>
      </c>
      <c r="G31" s="64">
        <v>27.06</v>
      </c>
      <c r="H31" s="64">
        <v>11.39</v>
      </c>
      <c r="I31" s="64">
        <v>4.45</v>
      </c>
      <c r="J31" s="64">
        <v>0.57999999999999996</v>
      </c>
      <c r="K31" s="64">
        <v>188.7</v>
      </c>
      <c r="L31" s="64">
        <v>25.4</v>
      </c>
      <c r="M31" s="64">
        <v>70.69</v>
      </c>
      <c r="N31" s="64">
        <v>42.9</v>
      </c>
      <c r="O31" s="64">
        <v>0</v>
      </c>
      <c r="P31" s="64">
        <v>0.28999999999999998</v>
      </c>
      <c r="Q31" s="64">
        <v>9.42</v>
      </c>
      <c r="R31" s="198"/>
      <c r="S31" s="198"/>
      <c r="T31" s="198"/>
      <c r="U31" s="198"/>
    </row>
    <row r="32" spans="1:21" s="12" customFormat="1" x14ac:dyDescent="0.25">
      <c r="A32" s="214" t="s">
        <v>848</v>
      </c>
      <c r="B32" s="64">
        <v>2.65</v>
      </c>
      <c r="C32" s="64">
        <v>1.21</v>
      </c>
      <c r="D32" s="64">
        <v>3.9</v>
      </c>
      <c r="E32" s="64">
        <v>1.56</v>
      </c>
      <c r="F32" s="64">
        <v>3.83</v>
      </c>
      <c r="G32" s="64">
        <v>27.06</v>
      </c>
      <c r="H32" s="64">
        <v>11.39</v>
      </c>
      <c r="I32" s="64">
        <v>4.2699999999999996</v>
      </c>
      <c r="J32" s="64">
        <v>0.33</v>
      </c>
      <c r="K32" s="64">
        <v>231.62</v>
      </c>
      <c r="L32" s="64">
        <v>25.74</v>
      </c>
      <c r="M32" s="64">
        <v>69.14</v>
      </c>
      <c r="N32" s="64">
        <v>65.900000000000006</v>
      </c>
      <c r="O32" s="64">
        <v>0</v>
      </c>
      <c r="P32" s="64">
        <v>0.3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4" t="s">
        <v>849</v>
      </c>
      <c r="B33" s="64">
        <v>2.39</v>
      </c>
      <c r="C33" s="64">
        <v>0.52</v>
      </c>
      <c r="D33" s="64">
        <v>3.33</v>
      </c>
      <c r="E33" s="64">
        <v>1.48</v>
      </c>
      <c r="F33" s="64">
        <v>4.9800000000000004</v>
      </c>
      <c r="G33" s="64">
        <v>27.06</v>
      </c>
      <c r="H33" s="64">
        <v>11.39</v>
      </c>
      <c r="I33" s="64">
        <v>4.3899999999999997</v>
      </c>
      <c r="J33" s="64">
        <v>0.79</v>
      </c>
      <c r="K33" s="64">
        <v>191.62</v>
      </c>
      <c r="L33" s="64">
        <v>26.08</v>
      </c>
      <c r="M33" s="64">
        <v>67.989999999999995</v>
      </c>
      <c r="N33" s="64">
        <v>97.7</v>
      </c>
      <c r="O33" s="64">
        <v>0</v>
      </c>
      <c r="P33" s="64">
        <v>0.31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14" t="s">
        <v>850</v>
      </c>
      <c r="B34" s="64">
        <v>2.34</v>
      </c>
      <c r="C34" s="64">
        <v>0.52</v>
      </c>
      <c r="D34" s="64">
        <v>3.29</v>
      </c>
      <c r="E34" s="64">
        <v>1.76</v>
      </c>
      <c r="F34" s="64">
        <v>4.12</v>
      </c>
      <c r="G34" s="64">
        <v>27.54</v>
      </c>
      <c r="H34" s="64">
        <v>9.74</v>
      </c>
      <c r="I34" s="64">
        <v>4.7699999999999996</v>
      </c>
      <c r="J34" s="64">
        <v>0.26</v>
      </c>
      <c r="K34" s="64">
        <v>200.21</v>
      </c>
      <c r="L34" s="64">
        <v>26.48</v>
      </c>
      <c r="M34" s="64">
        <v>66.8</v>
      </c>
      <c r="N34" s="64">
        <v>133.4</v>
      </c>
      <c r="O34" s="64">
        <v>0</v>
      </c>
      <c r="P34" s="64">
        <v>0.32</v>
      </c>
      <c r="Q34" s="64">
        <v>9.36</v>
      </c>
      <c r="R34" s="198"/>
      <c r="S34" s="198"/>
      <c r="T34" s="198"/>
      <c r="U34" s="198"/>
    </row>
    <row r="35" spans="1:21" s="12" customFormat="1" x14ac:dyDescent="0.25">
      <c r="A35" s="214" t="s">
        <v>851</v>
      </c>
      <c r="B35" s="64">
        <v>2.65</v>
      </c>
      <c r="C35" s="64">
        <v>1.59</v>
      </c>
      <c r="D35" s="64">
        <v>4.0999999999999996</v>
      </c>
      <c r="E35" s="64">
        <v>1.81</v>
      </c>
      <c r="F35" s="64">
        <v>4.09</v>
      </c>
      <c r="G35" s="64">
        <v>28</v>
      </c>
      <c r="H35" s="64">
        <v>8.17</v>
      </c>
      <c r="I35" s="64">
        <v>4.9000000000000004</v>
      </c>
      <c r="J35" s="64">
        <v>0.4</v>
      </c>
      <c r="K35" s="64">
        <v>2.66</v>
      </c>
      <c r="L35" s="64">
        <v>26.98</v>
      </c>
      <c r="M35" s="64">
        <v>63.33</v>
      </c>
      <c r="N35" s="64">
        <v>174.7</v>
      </c>
      <c r="O35" s="64">
        <v>0</v>
      </c>
      <c r="P35" s="64">
        <v>0.34</v>
      </c>
      <c r="Q35" s="64">
        <v>9.33</v>
      </c>
      <c r="R35" s="198"/>
      <c r="S35" s="198"/>
      <c r="T35" s="198"/>
      <c r="U35" s="198"/>
    </row>
    <row r="36" spans="1:21" s="12" customFormat="1" x14ac:dyDescent="0.25">
      <c r="A36" s="214" t="s">
        <v>852</v>
      </c>
      <c r="B36" s="64">
        <v>2.38</v>
      </c>
      <c r="C36" s="64">
        <v>0.79</v>
      </c>
      <c r="D36" s="64">
        <v>3.47</v>
      </c>
      <c r="E36" s="64">
        <v>1.6</v>
      </c>
      <c r="F36" s="64">
        <v>5.62</v>
      </c>
      <c r="G36" s="64">
        <v>28</v>
      </c>
      <c r="H36" s="64">
        <v>8.17</v>
      </c>
      <c r="I36" s="64">
        <v>4.83</v>
      </c>
      <c r="J36" s="64">
        <v>0.49</v>
      </c>
      <c r="K36" s="64">
        <v>16.79</v>
      </c>
      <c r="L36" s="64">
        <v>27.81</v>
      </c>
      <c r="M36" s="64">
        <v>60.46</v>
      </c>
      <c r="N36" s="64">
        <v>219.4</v>
      </c>
      <c r="O36" s="64">
        <v>0</v>
      </c>
      <c r="P36" s="64">
        <v>0.36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14" t="s">
        <v>853</v>
      </c>
      <c r="B37" s="64">
        <v>2.2799999999999998</v>
      </c>
      <c r="C37" s="64">
        <v>0.39</v>
      </c>
      <c r="D37" s="64">
        <v>3.17</v>
      </c>
      <c r="E37" s="64">
        <v>1.51</v>
      </c>
      <c r="F37" s="64">
        <v>6.49</v>
      </c>
      <c r="G37" s="64">
        <v>28</v>
      </c>
      <c r="H37" s="64">
        <v>8.17</v>
      </c>
      <c r="I37" s="64">
        <v>4.75</v>
      </c>
      <c r="J37" s="64">
        <v>0.49</v>
      </c>
      <c r="K37" s="64">
        <v>7.21</v>
      </c>
      <c r="L37" s="64">
        <v>28.36</v>
      </c>
      <c r="M37" s="64">
        <v>58.32</v>
      </c>
      <c r="N37" s="64">
        <v>268.2</v>
      </c>
      <c r="O37" s="64">
        <v>0</v>
      </c>
      <c r="P37" s="64">
        <v>0.36</v>
      </c>
      <c r="Q37" s="64">
        <v>9.42</v>
      </c>
      <c r="R37" s="198"/>
      <c r="S37" s="198"/>
      <c r="T37" s="198"/>
      <c r="U37" s="198"/>
    </row>
    <row r="38" spans="1:21" s="12" customFormat="1" x14ac:dyDescent="0.25">
      <c r="A38" s="214" t="s">
        <v>854</v>
      </c>
      <c r="B38" s="64">
        <v>2.4900000000000002</v>
      </c>
      <c r="C38" s="64">
        <v>1.1399999999999999</v>
      </c>
      <c r="D38" s="64">
        <v>3.73</v>
      </c>
      <c r="E38" s="64">
        <v>1.55</v>
      </c>
      <c r="F38" s="64">
        <v>7.15</v>
      </c>
      <c r="G38" s="64">
        <v>29.84</v>
      </c>
      <c r="H38" s="64">
        <v>10.33</v>
      </c>
      <c r="I38" s="64">
        <v>4.63</v>
      </c>
      <c r="J38" s="64">
        <v>0.54</v>
      </c>
      <c r="K38" s="64">
        <v>23.69</v>
      </c>
      <c r="L38" s="64">
        <v>28.81</v>
      </c>
      <c r="M38" s="64">
        <v>56.29</v>
      </c>
      <c r="N38" s="64">
        <v>319</v>
      </c>
      <c r="O38" s="64">
        <v>0</v>
      </c>
      <c r="P38" s="64">
        <v>0.38</v>
      </c>
      <c r="Q38" s="64">
        <v>9.48</v>
      </c>
      <c r="R38" s="198"/>
      <c r="S38" s="198"/>
      <c r="T38" s="198"/>
      <c r="U38" s="198"/>
    </row>
    <row r="39" spans="1:21" s="12" customFormat="1" x14ac:dyDescent="0.25">
      <c r="A39" s="214" t="s">
        <v>855</v>
      </c>
      <c r="B39" s="64">
        <v>2.38</v>
      </c>
      <c r="C39" s="64">
        <v>0.83</v>
      </c>
      <c r="D39" s="64">
        <v>3.49</v>
      </c>
      <c r="E39" s="64">
        <v>1.73</v>
      </c>
      <c r="F39" s="64">
        <v>5.59</v>
      </c>
      <c r="G39" s="64">
        <v>31.6</v>
      </c>
      <c r="H39" s="64">
        <v>12.3</v>
      </c>
      <c r="I39" s="64">
        <v>4.42</v>
      </c>
      <c r="J39" s="64">
        <v>0.56000000000000005</v>
      </c>
      <c r="K39" s="64">
        <v>15.37</v>
      </c>
      <c r="L39" s="64">
        <v>29.92</v>
      </c>
      <c r="M39" s="64">
        <v>53.34</v>
      </c>
      <c r="N39" s="64">
        <v>372.8</v>
      </c>
      <c r="O39" s="64">
        <v>0</v>
      </c>
      <c r="P39" s="64">
        <v>0.39</v>
      </c>
      <c r="Q39" s="64">
        <v>9.42</v>
      </c>
      <c r="R39" s="198"/>
      <c r="S39" s="198"/>
      <c r="T39" s="198"/>
      <c r="U39" s="198"/>
    </row>
    <row r="40" spans="1:21" s="12" customFormat="1" x14ac:dyDescent="0.25">
      <c r="A40" s="214" t="s">
        <v>856</v>
      </c>
      <c r="B40" s="64">
        <v>2.2799999999999998</v>
      </c>
      <c r="C40" s="64">
        <v>0.44</v>
      </c>
      <c r="D40" s="64">
        <v>3.21</v>
      </c>
      <c r="E40" s="64">
        <v>2.0499999999999998</v>
      </c>
      <c r="F40" s="64">
        <v>5.87</v>
      </c>
      <c r="G40" s="64">
        <v>31.6</v>
      </c>
      <c r="H40" s="64">
        <v>12.3</v>
      </c>
      <c r="I40" s="64">
        <v>4.22</v>
      </c>
      <c r="J40" s="64">
        <v>0.63</v>
      </c>
      <c r="K40" s="64">
        <v>10.68</v>
      </c>
      <c r="L40" s="64">
        <v>29.66</v>
      </c>
      <c r="M40" s="64">
        <v>53.4</v>
      </c>
      <c r="N40" s="64">
        <v>425.3</v>
      </c>
      <c r="O40" s="64">
        <v>0</v>
      </c>
      <c r="P40" s="64">
        <v>0.38</v>
      </c>
      <c r="Q40" s="64">
        <v>9.3699999999999992</v>
      </c>
      <c r="R40" s="198"/>
      <c r="S40" s="198"/>
      <c r="T40" s="198"/>
      <c r="U40" s="198"/>
    </row>
    <row r="41" spans="1:21" s="12" customFormat="1" x14ac:dyDescent="0.25">
      <c r="A41" s="214" t="s">
        <v>857</v>
      </c>
      <c r="B41" s="64">
        <v>2.39</v>
      </c>
      <c r="C41" s="64">
        <v>0.79</v>
      </c>
      <c r="D41" s="64">
        <v>3.47</v>
      </c>
      <c r="E41" s="64">
        <v>1.72</v>
      </c>
      <c r="F41" s="64">
        <v>7.06</v>
      </c>
      <c r="G41" s="64">
        <v>31.6</v>
      </c>
      <c r="H41" s="64">
        <v>12.3</v>
      </c>
      <c r="I41" s="64">
        <v>3.98</v>
      </c>
      <c r="J41" s="64">
        <v>0.64</v>
      </c>
      <c r="K41" s="64">
        <v>30.84</v>
      </c>
      <c r="L41" s="64">
        <v>30.32</v>
      </c>
      <c r="M41" s="64">
        <v>50.97</v>
      </c>
      <c r="N41" s="64">
        <v>475.9</v>
      </c>
      <c r="O41" s="64">
        <v>0</v>
      </c>
      <c r="P41" s="64">
        <v>0.37</v>
      </c>
      <c r="Q41" s="64">
        <v>9.3800000000000008</v>
      </c>
      <c r="R41" s="198"/>
      <c r="S41" s="198"/>
      <c r="T41" s="198"/>
      <c r="U41" s="198"/>
    </row>
    <row r="42" spans="1:21" s="12" customFormat="1" x14ac:dyDescent="0.25">
      <c r="A42" s="214" t="s">
        <v>858</v>
      </c>
      <c r="B42" s="64">
        <v>2.5</v>
      </c>
      <c r="C42" s="64">
        <v>1.1299999999999999</v>
      </c>
      <c r="D42" s="64">
        <v>3.74</v>
      </c>
      <c r="E42" s="64">
        <v>1.66</v>
      </c>
      <c r="F42" s="64">
        <v>7.72</v>
      </c>
      <c r="G42" s="64">
        <v>30.81</v>
      </c>
      <c r="H42" s="64">
        <v>11.47</v>
      </c>
      <c r="I42" s="64">
        <v>3.72</v>
      </c>
      <c r="J42" s="64">
        <v>0.51</v>
      </c>
      <c r="K42" s="64">
        <v>9.09</v>
      </c>
      <c r="L42" s="64">
        <v>30.2</v>
      </c>
      <c r="M42" s="64">
        <v>51.64</v>
      </c>
      <c r="N42" s="64">
        <v>528.6</v>
      </c>
      <c r="O42" s="64">
        <v>0</v>
      </c>
      <c r="P42" s="64">
        <v>0.36</v>
      </c>
      <c r="Q42" s="64">
        <v>9.3800000000000008</v>
      </c>
      <c r="R42" s="198"/>
      <c r="S42" s="198"/>
      <c r="T42" s="198"/>
      <c r="U42" s="198"/>
    </row>
    <row r="43" spans="1:21" s="12" customFormat="1" x14ac:dyDescent="0.25">
      <c r="A43" s="214" t="s">
        <v>859</v>
      </c>
      <c r="B43" s="64">
        <v>2.2999999999999998</v>
      </c>
      <c r="C43" s="64">
        <v>0.43</v>
      </c>
      <c r="D43" s="64">
        <v>3.21</v>
      </c>
      <c r="E43" s="64">
        <v>1.83</v>
      </c>
      <c r="F43" s="64">
        <v>8.4</v>
      </c>
      <c r="G43" s="64">
        <v>30.05</v>
      </c>
      <c r="H43" s="64">
        <v>10.7</v>
      </c>
      <c r="I43" s="64">
        <v>3.43</v>
      </c>
      <c r="J43" s="64">
        <v>0.61</v>
      </c>
      <c r="K43" s="64">
        <v>12.66</v>
      </c>
      <c r="L43" s="64">
        <v>31.18</v>
      </c>
      <c r="M43" s="64">
        <v>49.06</v>
      </c>
      <c r="N43" s="64">
        <v>577.20000000000005</v>
      </c>
      <c r="O43" s="64">
        <v>0</v>
      </c>
      <c r="P43" s="64">
        <v>0.37</v>
      </c>
      <c r="Q43" s="64">
        <v>9.39</v>
      </c>
      <c r="R43" s="198"/>
      <c r="S43" s="198"/>
      <c r="T43" s="198"/>
      <c r="U43" s="198"/>
    </row>
    <row r="44" spans="1:21" s="12" customFormat="1" x14ac:dyDescent="0.25">
      <c r="A44" s="214" t="s">
        <v>860</v>
      </c>
      <c r="B44" s="64">
        <v>2.42</v>
      </c>
      <c r="C44" s="64">
        <v>0.69</v>
      </c>
      <c r="D44" s="64">
        <v>3.44</v>
      </c>
      <c r="E44" s="64">
        <v>1.65</v>
      </c>
      <c r="F44" s="64">
        <v>8.5299999999999994</v>
      </c>
      <c r="G44" s="64">
        <v>30.05</v>
      </c>
      <c r="H44" s="64">
        <v>10.7</v>
      </c>
      <c r="I44" s="64">
        <v>3.24</v>
      </c>
      <c r="J44" s="64">
        <v>0.75</v>
      </c>
      <c r="K44" s="64">
        <v>7.0000000000000007E-2</v>
      </c>
      <c r="L44" s="64">
        <v>32.46</v>
      </c>
      <c r="M44" s="64">
        <v>45.36</v>
      </c>
      <c r="N44" s="64">
        <v>625</v>
      </c>
      <c r="O44" s="64">
        <v>0</v>
      </c>
      <c r="P44" s="64">
        <v>0.36</v>
      </c>
      <c r="Q44" s="64">
        <v>9.36</v>
      </c>
      <c r="R44" s="198"/>
      <c r="S44" s="198"/>
      <c r="T44" s="198"/>
      <c r="U44" s="198"/>
    </row>
    <row r="45" spans="1:21" s="12" customFormat="1" x14ac:dyDescent="0.25">
      <c r="A45" s="214" t="s">
        <v>861</v>
      </c>
      <c r="B45" s="64">
        <v>2.5299999999999998</v>
      </c>
      <c r="C45" s="64">
        <v>1.08</v>
      </c>
      <c r="D45" s="64">
        <v>3.74</v>
      </c>
      <c r="E45" s="64">
        <v>1.68</v>
      </c>
      <c r="F45" s="64">
        <v>8.35</v>
      </c>
      <c r="G45" s="64">
        <v>30.05</v>
      </c>
      <c r="H45" s="64">
        <v>10.7</v>
      </c>
      <c r="I45" s="64">
        <v>3.12</v>
      </c>
      <c r="J45" s="64">
        <v>0.48</v>
      </c>
      <c r="K45" s="64">
        <v>353.02</v>
      </c>
      <c r="L45" s="64">
        <v>32.770000000000003</v>
      </c>
      <c r="M45" s="64">
        <v>44.47</v>
      </c>
      <c r="N45" s="64">
        <v>665.2</v>
      </c>
      <c r="O45" s="64">
        <v>0</v>
      </c>
      <c r="P45" s="64">
        <v>0.36</v>
      </c>
      <c r="Q45" s="64">
        <v>9.36</v>
      </c>
      <c r="R45" s="198"/>
      <c r="S45" s="198"/>
      <c r="T45" s="198"/>
      <c r="U45" s="198"/>
    </row>
    <row r="46" spans="1:21" s="12" customFormat="1" x14ac:dyDescent="0.25">
      <c r="A46" s="214" t="s">
        <v>862</v>
      </c>
      <c r="B46" s="64">
        <v>2.35</v>
      </c>
      <c r="C46" s="64">
        <v>0.44</v>
      </c>
      <c r="D46" s="64">
        <v>3.26</v>
      </c>
      <c r="E46" s="64">
        <v>2.2200000000000002</v>
      </c>
      <c r="F46" s="64">
        <v>8.68</v>
      </c>
      <c r="G46" s="64">
        <v>27.15</v>
      </c>
      <c r="H46" s="64">
        <v>11.41</v>
      </c>
      <c r="I46" s="64">
        <v>2.87</v>
      </c>
      <c r="J46" s="64">
        <v>0.65</v>
      </c>
      <c r="K46" s="64">
        <v>1.47</v>
      </c>
      <c r="L46" s="64">
        <v>32.81</v>
      </c>
      <c r="M46" s="64">
        <v>43.77</v>
      </c>
      <c r="N46" s="64">
        <v>708.2</v>
      </c>
      <c r="O46" s="64">
        <v>0</v>
      </c>
      <c r="P46" s="64">
        <v>0.35</v>
      </c>
      <c r="Q46" s="64">
        <v>9.35</v>
      </c>
      <c r="R46" s="198"/>
      <c r="S46" s="198"/>
      <c r="T46" s="198"/>
      <c r="U46" s="198"/>
    </row>
    <row r="47" spans="1:21" s="12" customFormat="1" x14ac:dyDescent="0.25">
      <c r="A47" s="214" t="s">
        <v>863</v>
      </c>
      <c r="B47" s="64">
        <v>2.29</v>
      </c>
      <c r="C47" s="64">
        <v>0.33</v>
      </c>
      <c r="D47" s="64">
        <v>3.15</v>
      </c>
      <c r="E47" s="64">
        <v>2.06</v>
      </c>
      <c r="F47" s="64">
        <v>8.65</v>
      </c>
      <c r="G47" s="64">
        <v>24.37</v>
      </c>
      <c r="H47" s="64">
        <v>12.08</v>
      </c>
      <c r="I47" s="64">
        <v>2.65</v>
      </c>
      <c r="J47" s="64">
        <v>0.56000000000000005</v>
      </c>
      <c r="K47" s="64">
        <v>10.69</v>
      </c>
      <c r="L47" s="64">
        <v>32.840000000000003</v>
      </c>
      <c r="M47" s="64">
        <v>42.87</v>
      </c>
      <c r="N47" s="64">
        <v>736.3</v>
      </c>
      <c r="O47" s="64">
        <v>0</v>
      </c>
      <c r="P47" s="64">
        <v>0.36</v>
      </c>
      <c r="Q47" s="64">
        <v>9.3800000000000008</v>
      </c>
      <c r="R47" s="198"/>
      <c r="S47" s="198"/>
      <c r="T47" s="198"/>
      <c r="U47" s="198"/>
    </row>
    <row r="48" spans="1:21" s="12" customFormat="1" x14ac:dyDescent="0.25">
      <c r="A48" s="214" t="s">
        <v>864</v>
      </c>
      <c r="B48" s="64">
        <v>2.2799999999999998</v>
      </c>
      <c r="C48" s="64">
        <v>0.33</v>
      </c>
      <c r="D48" s="64">
        <v>3.15</v>
      </c>
      <c r="E48" s="64">
        <v>2.0499999999999998</v>
      </c>
      <c r="F48" s="64">
        <v>8.98</v>
      </c>
      <c r="G48" s="64">
        <v>24.37</v>
      </c>
      <c r="H48" s="64">
        <v>12.08</v>
      </c>
      <c r="I48" s="64">
        <v>2.62</v>
      </c>
      <c r="J48" s="64">
        <v>0.65</v>
      </c>
      <c r="K48" s="64">
        <v>357.05</v>
      </c>
      <c r="L48" s="64">
        <v>34.06</v>
      </c>
      <c r="M48" s="64">
        <v>40.53</v>
      </c>
      <c r="N48" s="64">
        <v>771.5</v>
      </c>
      <c r="O48" s="64">
        <v>0</v>
      </c>
      <c r="P48" s="64">
        <v>0.38</v>
      </c>
      <c r="Q48" s="64">
        <v>9.3800000000000008</v>
      </c>
      <c r="R48" s="198"/>
      <c r="S48" s="198"/>
      <c r="T48" s="198"/>
      <c r="U48" s="198"/>
    </row>
    <row r="49" spans="1:21" s="12" customFormat="1" x14ac:dyDescent="0.25">
      <c r="A49" s="214" t="s">
        <v>865</v>
      </c>
      <c r="B49" s="64">
        <v>2.33</v>
      </c>
      <c r="C49" s="64">
        <v>0.43</v>
      </c>
      <c r="D49" s="64">
        <v>3.24</v>
      </c>
      <c r="E49" s="64">
        <v>2.16</v>
      </c>
      <c r="F49" s="64">
        <v>8.5500000000000007</v>
      </c>
      <c r="G49" s="64">
        <v>24.37</v>
      </c>
      <c r="H49" s="64">
        <v>12.08</v>
      </c>
      <c r="I49" s="64">
        <v>2.68</v>
      </c>
      <c r="J49" s="64">
        <v>0.63</v>
      </c>
      <c r="K49" s="64">
        <v>4.33</v>
      </c>
      <c r="L49" s="64">
        <v>33.729999999999997</v>
      </c>
      <c r="M49" s="64">
        <v>40.08</v>
      </c>
      <c r="N49" s="64">
        <v>794.8</v>
      </c>
      <c r="O49" s="64">
        <v>0</v>
      </c>
      <c r="P49" s="64">
        <v>0.39</v>
      </c>
      <c r="Q49" s="64">
        <v>9.3699999999999992</v>
      </c>
      <c r="R49" s="198"/>
      <c r="S49" s="198"/>
      <c r="T49" s="198"/>
      <c r="U49" s="198"/>
    </row>
    <row r="50" spans="1:21" s="12" customFormat="1" x14ac:dyDescent="0.25">
      <c r="A50" s="214" t="s">
        <v>866</v>
      </c>
      <c r="B50" s="64">
        <v>2.36</v>
      </c>
      <c r="C50" s="64">
        <v>0.56000000000000005</v>
      </c>
      <c r="D50" s="64">
        <v>3.33</v>
      </c>
      <c r="E50" s="64">
        <v>1.74</v>
      </c>
      <c r="F50" s="64">
        <v>8.14</v>
      </c>
      <c r="G50" s="64">
        <v>28.63</v>
      </c>
      <c r="H50" s="64">
        <v>14.17</v>
      </c>
      <c r="I50" s="64">
        <v>2.75</v>
      </c>
      <c r="J50" s="64">
        <v>0.6</v>
      </c>
      <c r="K50" s="64">
        <v>356.54</v>
      </c>
      <c r="L50" s="64">
        <v>35.049999999999997</v>
      </c>
      <c r="M50" s="64">
        <v>37.630000000000003</v>
      </c>
      <c r="N50" s="64">
        <v>815.5</v>
      </c>
      <c r="O50" s="64">
        <v>0</v>
      </c>
      <c r="P50" s="64">
        <v>0.41</v>
      </c>
      <c r="Q50" s="64">
        <v>9.3699999999999992</v>
      </c>
      <c r="R50" s="198"/>
      <c r="S50" s="198"/>
      <c r="T50" s="198"/>
      <c r="U50" s="198"/>
    </row>
    <row r="51" spans="1:21" s="12" customFormat="1" x14ac:dyDescent="0.25">
      <c r="A51" s="214" t="s">
        <v>867</v>
      </c>
      <c r="B51" s="64">
        <v>2.2799999999999998</v>
      </c>
      <c r="C51" s="64">
        <v>0.36</v>
      </c>
      <c r="D51" s="64">
        <v>3.16</v>
      </c>
      <c r="E51" s="64">
        <v>2.0299999999999998</v>
      </c>
      <c r="F51" s="64">
        <v>8.66</v>
      </c>
      <c r="G51" s="64">
        <v>32.700000000000003</v>
      </c>
      <c r="H51" s="64">
        <v>16.16</v>
      </c>
      <c r="I51" s="64">
        <v>2.86</v>
      </c>
      <c r="J51" s="64">
        <v>0.09</v>
      </c>
      <c r="K51" s="64">
        <v>296.64</v>
      </c>
      <c r="L51" s="64">
        <v>33.83</v>
      </c>
      <c r="M51" s="64">
        <v>39.6</v>
      </c>
      <c r="N51" s="64">
        <v>826.2</v>
      </c>
      <c r="O51" s="64">
        <v>0</v>
      </c>
      <c r="P51" s="64">
        <v>0.44</v>
      </c>
      <c r="Q51" s="64">
        <v>9.4</v>
      </c>
      <c r="R51" s="198"/>
      <c r="S51" s="198"/>
      <c r="T51" s="198"/>
      <c r="U51" s="198"/>
    </row>
    <row r="52" spans="1:21" s="12" customFormat="1" x14ac:dyDescent="0.25">
      <c r="A52" s="214" t="s">
        <v>868</v>
      </c>
      <c r="B52" s="64">
        <v>2.5099999999999998</v>
      </c>
      <c r="C52" s="64">
        <v>1.35</v>
      </c>
      <c r="D52" s="64">
        <v>3.86</v>
      </c>
      <c r="E52" s="64">
        <v>1.69</v>
      </c>
      <c r="F52" s="64">
        <v>7.86</v>
      </c>
      <c r="G52" s="64">
        <v>32.700000000000003</v>
      </c>
      <c r="H52" s="64">
        <v>16.16</v>
      </c>
      <c r="I52" s="64">
        <v>3.01</v>
      </c>
      <c r="J52" s="64">
        <v>0.31</v>
      </c>
      <c r="K52" s="64">
        <v>0.51</v>
      </c>
      <c r="L52" s="64">
        <v>34.14</v>
      </c>
      <c r="M52" s="64">
        <v>39.21</v>
      </c>
      <c r="N52" s="64">
        <v>835</v>
      </c>
      <c r="O52" s="64">
        <v>0</v>
      </c>
      <c r="P52" s="64">
        <v>0.49</v>
      </c>
      <c r="Q52" s="64">
        <v>9.41</v>
      </c>
      <c r="R52" s="198"/>
      <c r="S52" s="198"/>
      <c r="T52" s="198"/>
      <c r="U52" s="198"/>
    </row>
    <row r="53" spans="1:21" s="12" customFormat="1" x14ac:dyDescent="0.25">
      <c r="A53" s="214" t="s">
        <v>869</v>
      </c>
      <c r="B53" s="64">
        <v>2.54</v>
      </c>
      <c r="C53" s="64">
        <v>1.46</v>
      </c>
      <c r="D53" s="64">
        <v>3.94</v>
      </c>
      <c r="E53" s="64">
        <v>2.23</v>
      </c>
      <c r="F53" s="64">
        <v>7.85</v>
      </c>
      <c r="G53" s="64">
        <v>32.700000000000003</v>
      </c>
      <c r="H53" s="64">
        <v>16.16</v>
      </c>
      <c r="I53" s="64">
        <v>3.23</v>
      </c>
      <c r="J53" s="64">
        <v>0.26</v>
      </c>
      <c r="K53" s="64">
        <v>21.96</v>
      </c>
      <c r="L53" s="64">
        <v>34.58</v>
      </c>
      <c r="M53" s="64">
        <v>37.97</v>
      </c>
      <c r="N53" s="64">
        <v>845.6</v>
      </c>
      <c r="O53" s="64">
        <v>0</v>
      </c>
      <c r="P53" s="64">
        <v>0.51</v>
      </c>
      <c r="Q53" s="64">
        <v>9.33</v>
      </c>
      <c r="R53" s="198"/>
      <c r="S53" s="198"/>
      <c r="T53" s="198"/>
      <c r="U53" s="198"/>
    </row>
    <row r="54" spans="1:21" s="12" customFormat="1" x14ac:dyDescent="0.25">
      <c r="A54" s="214" t="s">
        <v>870</v>
      </c>
      <c r="B54" s="64">
        <v>2.29</v>
      </c>
      <c r="C54" s="64">
        <v>0.53</v>
      </c>
      <c r="D54" s="64">
        <v>3.25</v>
      </c>
      <c r="E54" s="64">
        <v>2.02</v>
      </c>
      <c r="F54" s="64">
        <v>8.98</v>
      </c>
      <c r="G54" s="64">
        <v>35.9</v>
      </c>
      <c r="H54" s="64">
        <v>16.22</v>
      </c>
      <c r="I54" s="64">
        <v>3.48</v>
      </c>
      <c r="J54" s="64">
        <v>0.49</v>
      </c>
      <c r="K54" s="64">
        <v>328.67</v>
      </c>
      <c r="L54" s="64">
        <v>35.53</v>
      </c>
      <c r="M54" s="64">
        <v>37</v>
      </c>
      <c r="N54" s="64">
        <v>847.4</v>
      </c>
      <c r="O54" s="64">
        <v>0</v>
      </c>
      <c r="P54" s="64">
        <v>0.53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14" t="s">
        <v>871</v>
      </c>
      <c r="B55" s="64">
        <v>2.2599999999999998</v>
      </c>
      <c r="C55" s="64">
        <v>0.38</v>
      </c>
      <c r="D55" s="64">
        <v>3.16</v>
      </c>
      <c r="E55" s="64">
        <v>2</v>
      </c>
      <c r="F55" s="64">
        <v>9.3699999999999992</v>
      </c>
      <c r="G55" s="64">
        <v>38.97</v>
      </c>
      <c r="H55" s="64">
        <v>16.27</v>
      </c>
      <c r="I55" s="64">
        <v>3.62</v>
      </c>
      <c r="J55" s="64">
        <v>0.14000000000000001</v>
      </c>
      <c r="K55" s="64">
        <v>25.36</v>
      </c>
      <c r="L55" s="64">
        <v>35.9</v>
      </c>
      <c r="M55" s="64">
        <v>35.380000000000003</v>
      </c>
      <c r="N55" s="64">
        <v>858</v>
      </c>
      <c r="O55" s="64">
        <v>0</v>
      </c>
      <c r="P55" s="64">
        <v>0.56999999999999995</v>
      </c>
      <c r="Q55" s="64">
        <v>9.4</v>
      </c>
      <c r="R55" s="198"/>
      <c r="S55" s="198"/>
      <c r="T55" s="198"/>
      <c r="U55" s="198"/>
    </row>
    <row r="56" spans="1:21" s="12" customFormat="1" x14ac:dyDescent="0.25">
      <c r="A56" s="214" t="s">
        <v>872</v>
      </c>
      <c r="B56" s="64">
        <v>2.2599999999999998</v>
      </c>
      <c r="C56" s="64">
        <v>0.39</v>
      </c>
      <c r="D56" s="64">
        <v>3.16</v>
      </c>
      <c r="E56" s="64">
        <v>1.92</v>
      </c>
      <c r="F56" s="64">
        <v>9.01</v>
      </c>
      <c r="G56" s="64">
        <v>38.97</v>
      </c>
      <c r="H56" s="64">
        <v>16.27</v>
      </c>
      <c r="I56" s="64">
        <v>3.81</v>
      </c>
      <c r="J56" s="64">
        <v>0.33</v>
      </c>
      <c r="K56" s="64">
        <v>137.32</v>
      </c>
      <c r="L56" s="64">
        <v>35.159999999999997</v>
      </c>
      <c r="M56" s="64">
        <v>36.159999999999997</v>
      </c>
      <c r="N56" s="64">
        <v>847.4</v>
      </c>
      <c r="O56" s="64">
        <v>0</v>
      </c>
      <c r="P56" s="64">
        <v>0.56999999999999995</v>
      </c>
      <c r="Q56" s="64">
        <v>9.42</v>
      </c>
      <c r="R56" s="198"/>
      <c r="S56" s="198"/>
      <c r="T56" s="198"/>
      <c r="U56" s="198"/>
    </row>
    <row r="57" spans="1:21" s="12" customFormat="1" x14ac:dyDescent="0.25">
      <c r="A57" s="214" t="s">
        <v>873</v>
      </c>
      <c r="B57" s="64">
        <v>2.58</v>
      </c>
      <c r="C57" s="64">
        <v>1.41</v>
      </c>
      <c r="D57" s="64">
        <v>3.95</v>
      </c>
      <c r="E57" s="64">
        <v>2.08</v>
      </c>
      <c r="F57" s="64">
        <v>8.74</v>
      </c>
      <c r="G57" s="64">
        <v>38.97</v>
      </c>
      <c r="H57" s="64">
        <v>16.27</v>
      </c>
      <c r="I57" s="64">
        <v>3.98</v>
      </c>
      <c r="J57" s="64">
        <v>0.09</v>
      </c>
      <c r="K57" s="64">
        <v>296.5</v>
      </c>
      <c r="L57" s="64">
        <v>35.74</v>
      </c>
      <c r="M57" s="64">
        <v>34.69</v>
      </c>
      <c r="N57" s="64">
        <v>850.8</v>
      </c>
      <c r="O57" s="64">
        <v>0</v>
      </c>
      <c r="P57" s="64">
        <v>0.56000000000000005</v>
      </c>
      <c r="Q57" s="64">
        <v>9.3800000000000008</v>
      </c>
      <c r="R57" s="198"/>
      <c r="S57" s="198"/>
      <c r="T57" s="198"/>
      <c r="U57" s="198"/>
    </row>
    <row r="58" spans="1:21" s="12" customFormat="1" x14ac:dyDescent="0.25">
      <c r="A58" s="214" t="s">
        <v>874</v>
      </c>
      <c r="B58" s="64">
        <v>2.38</v>
      </c>
      <c r="C58" s="64">
        <v>0.76</v>
      </c>
      <c r="D58" s="64">
        <v>3.45</v>
      </c>
      <c r="E58" s="64">
        <v>2.0099999999999998</v>
      </c>
      <c r="F58" s="64">
        <v>8.59</v>
      </c>
      <c r="G58" s="64">
        <v>39.520000000000003</v>
      </c>
      <c r="H58" s="64">
        <v>18.2</v>
      </c>
      <c r="I58" s="64">
        <v>4.1399999999999997</v>
      </c>
      <c r="J58" s="64">
        <v>0.39</v>
      </c>
      <c r="K58" s="64">
        <v>15.76</v>
      </c>
      <c r="L58" s="64">
        <v>36.799999999999997</v>
      </c>
      <c r="M58" s="64">
        <v>32.950000000000003</v>
      </c>
      <c r="N58" s="64">
        <v>840.6</v>
      </c>
      <c r="O58" s="64">
        <v>0</v>
      </c>
      <c r="P58" s="64">
        <v>0.56000000000000005</v>
      </c>
      <c r="Q58" s="64">
        <v>9.3800000000000008</v>
      </c>
      <c r="R58" s="198"/>
      <c r="S58" s="198"/>
      <c r="T58" s="198"/>
      <c r="U58" s="198"/>
    </row>
    <row r="59" spans="1:21" s="12" customFormat="1" x14ac:dyDescent="0.25">
      <c r="A59" s="214" t="s">
        <v>875</v>
      </c>
      <c r="B59" s="64">
        <v>2.25</v>
      </c>
      <c r="C59" s="64">
        <v>0.37</v>
      </c>
      <c r="D59" s="64">
        <v>3.15</v>
      </c>
      <c r="E59" s="64">
        <v>1.96</v>
      </c>
      <c r="F59" s="64">
        <v>8.5</v>
      </c>
      <c r="G59" s="64">
        <v>40.049999999999997</v>
      </c>
      <c r="H59" s="64">
        <v>20.05</v>
      </c>
      <c r="I59" s="64">
        <v>4.2</v>
      </c>
      <c r="J59" s="64">
        <v>1.07</v>
      </c>
      <c r="K59" s="64">
        <v>319.23</v>
      </c>
      <c r="L59" s="64">
        <v>38.729999999999997</v>
      </c>
      <c r="M59" s="64">
        <v>30.29</v>
      </c>
      <c r="N59" s="64">
        <v>838.9</v>
      </c>
      <c r="O59" s="64">
        <v>0</v>
      </c>
      <c r="P59" s="64">
        <v>0.56999999999999995</v>
      </c>
      <c r="Q59" s="64">
        <v>9.3800000000000008</v>
      </c>
      <c r="R59" s="198"/>
      <c r="S59" s="198"/>
      <c r="T59" s="198"/>
      <c r="U59" s="198"/>
    </row>
    <row r="60" spans="1:21" s="12" customFormat="1" x14ac:dyDescent="0.25">
      <c r="A60" s="214" t="s">
        <v>876</v>
      </c>
      <c r="B60" s="64">
        <v>2.5</v>
      </c>
      <c r="C60" s="64">
        <v>1.17</v>
      </c>
      <c r="D60" s="64">
        <v>3.76</v>
      </c>
      <c r="E60" s="64">
        <v>2.36</v>
      </c>
      <c r="F60" s="64">
        <v>7.99</v>
      </c>
      <c r="G60" s="64">
        <v>40.049999999999997</v>
      </c>
      <c r="H60" s="64">
        <v>20.05</v>
      </c>
      <c r="I60" s="64">
        <v>4.1900000000000004</v>
      </c>
      <c r="J60" s="64">
        <v>1.51</v>
      </c>
      <c r="K60" s="64">
        <v>327.60000000000002</v>
      </c>
      <c r="L60" s="64">
        <v>40.130000000000003</v>
      </c>
      <c r="M60" s="64">
        <v>28.2</v>
      </c>
      <c r="N60" s="64">
        <v>823.8</v>
      </c>
      <c r="O60" s="64">
        <v>0</v>
      </c>
      <c r="P60" s="64">
        <v>0.56000000000000005</v>
      </c>
      <c r="Q60" s="64">
        <v>9.3699999999999992</v>
      </c>
      <c r="R60" s="198"/>
      <c r="S60" s="198"/>
      <c r="T60" s="198"/>
      <c r="U60" s="198"/>
    </row>
    <row r="61" spans="1:21" s="12" customFormat="1" x14ac:dyDescent="0.25">
      <c r="A61" s="214" t="s">
        <v>877</v>
      </c>
      <c r="B61" s="64">
        <v>2.35</v>
      </c>
      <c r="C61" s="64">
        <v>0.7</v>
      </c>
      <c r="D61" s="64">
        <v>3.4</v>
      </c>
      <c r="E61" s="64">
        <v>2.2400000000000002</v>
      </c>
      <c r="F61" s="64">
        <v>7.72</v>
      </c>
      <c r="G61" s="64">
        <v>40.049999999999997</v>
      </c>
      <c r="H61" s="64">
        <v>20.05</v>
      </c>
      <c r="I61" s="64">
        <v>3.97</v>
      </c>
      <c r="J61" s="64">
        <v>0.48</v>
      </c>
      <c r="K61" s="64">
        <v>355.43</v>
      </c>
      <c r="L61" s="64">
        <v>38.94</v>
      </c>
      <c r="M61" s="64">
        <v>29.76</v>
      </c>
      <c r="N61" s="64">
        <v>799.8</v>
      </c>
      <c r="O61" s="64">
        <v>0</v>
      </c>
      <c r="P61" s="64">
        <v>0.54</v>
      </c>
      <c r="Q61" s="64">
        <v>9.36</v>
      </c>
      <c r="R61" s="198"/>
      <c r="S61" s="198"/>
      <c r="T61" s="198"/>
      <c r="U61" s="198"/>
    </row>
    <row r="62" spans="1:21" s="12" customFormat="1" x14ac:dyDescent="0.25">
      <c r="A62" s="214" t="s">
        <v>878</v>
      </c>
      <c r="B62" s="64">
        <v>2.29</v>
      </c>
      <c r="C62" s="64">
        <v>0.42</v>
      </c>
      <c r="D62" s="64">
        <v>3.2</v>
      </c>
      <c r="E62" s="64">
        <v>2.4500000000000002</v>
      </c>
      <c r="F62" s="64">
        <v>8.26</v>
      </c>
      <c r="G62" s="64">
        <v>39.71</v>
      </c>
      <c r="H62" s="64">
        <v>18.54</v>
      </c>
      <c r="I62" s="64">
        <v>3.89</v>
      </c>
      <c r="J62" s="64">
        <v>0.64</v>
      </c>
      <c r="K62" s="64">
        <v>312.12</v>
      </c>
      <c r="L62" s="64">
        <v>39.090000000000003</v>
      </c>
      <c r="M62" s="64">
        <v>29.57</v>
      </c>
      <c r="N62" s="64">
        <v>769.4</v>
      </c>
      <c r="O62" s="64">
        <v>0</v>
      </c>
      <c r="P62" s="64">
        <v>0.53</v>
      </c>
      <c r="Q62" s="64">
        <v>9.34</v>
      </c>
      <c r="R62" s="198"/>
      <c r="S62" s="198"/>
      <c r="T62" s="198"/>
      <c r="U62" s="198"/>
    </row>
    <row r="63" spans="1:21" s="12" customFormat="1" x14ac:dyDescent="0.25">
      <c r="A63" s="214" t="s">
        <v>879</v>
      </c>
      <c r="B63" s="64">
        <v>2.5099999999999998</v>
      </c>
      <c r="C63" s="64">
        <v>1.1599999999999999</v>
      </c>
      <c r="D63" s="64">
        <v>3.76</v>
      </c>
      <c r="E63" s="64">
        <v>2.5499999999999998</v>
      </c>
      <c r="F63" s="64">
        <v>8.44</v>
      </c>
      <c r="G63" s="64">
        <v>39.380000000000003</v>
      </c>
      <c r="H63" s="64">
        <v>17.16</v>
      </c>
      <c r="I63" s="64">
        <v>3.86</v>
      </c>
      <c r="J63" s="64">
        <v>0.26</v>
      </c>
      <c r="K63" s="64">
        <v>212.46</v>
      </c>
      <c r="L63" s="64">
        <v>37.299999999999997</v>
      </c>
      <c r="M63" s="64">
        <v>31.52</v>
      </c>
      <c r="N63" s="64">
        <v>748.9</v>
      </c>
      <c r="O63" s="64">
        <v>0</v>
      </c>
      <c r="P63" s="64">
        <v>0.52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4" t="s">
        <v>880</v>
      </c>
      <c r="B64" s="64">
        <v>2.38</v>
      </c>
      <c r="C64" s="64">
        <v>0.8</v>
      </c>
      <c r="D64" s="64">
        <v>3.47</v>
      </c>
      <c r="E64" s="64">
        <v>2.2000000000000002</v>
      </c>
      <c r="F64" s="64">
        <v>7.55</v>
      </c>
      <c r="G64" s="64">
        <v>39.380000000000003</v>
      </c>
      <c r="H64" s="64">
        <v>17.16</v>
      </c>
      <c r="I64" s="64">
        <v>3.72</v>
      </c>
      <c r="J64" s="64">
        <v>0.43</v>
      </c>
      <c r="K64" s="64">
        <v>138.94</v>
      </c>
      <c r="L64" s="64">
        <v>37.31</v>
      </c>
      <c r="M64" s="64">
        <v>31.32</v>
      </c>
      <c r="N64" s="64">
        <v>719</v>
      </c>
      <c r="O64" s="64">
        <v>0</v>
      </c>
      <c r="P64" s="64">
        <v>0.5</v>
      </c>
      <c r="Q64" s="64">
        <v>9.3000000000000007</v>
      </c>
      <c r="R64" s="198"/>
      <c r="S64" s="198"/>
      <c r="T64" s="198"/>
      <c r="U64" s="198"/>
    </row>
    <row r="65" spans="1:21" s="12" customFormat="1" x14ac:dyDescent="0.25">
      <c r="A65" s="214" t="s">
        <v>881</v>
      </c>
      <c r="B65" s="64">
        <v>2.27</v>
      </c>
      <c r="C65" s="64">
        <v>0.44</v>
      </c>
      <c r="D65" s="64">
        <v>3.2</v>
      </c>
      <c r="E65" s="64">
        <v>2.0299999999999998</v>
      </c>
      <c r="F65" s="64">
        <v>7.19</v>
      </c>
      <c r="G65" s="64">
        <v>39.380000000000003</v>
      </c>
      <c r="H65" s="64">
        <v>17.16</v>
      </c>
      <c r="I65" s="64">
        <v>3.66</v>
      </c>
      <c r="J65" s="64">
        <v>0.32</v>
      </c>
      <c r="K65" s="64">
        <v>324.06</v>
      </c>
      <c r="L65" s="64">
        <v>38.119999999999997</v>
      </c>
      <c r="M65" s="64">
        <v>29.37</v>
      </c>
      <c r="N65" s="64">
        <v>672.1</v>
      </c>
      <c r="O65" s="64">
        <v>0</v>
      </c>
      <c r="P65" s="64">
        <v>0.49</v>
      </c>
      <c r="Q65" s="64">
        <v>9.31</v>
      </c>
      <c r="R65" s="198"/>
      <c r="S65" s="198"/>
      <c r="T65" s="198"/>
      <c r="U65" s="198"/>
    </row>
    <row r="66" spans="1:21" s="12" customFormat="1" x14ac:dyDescent="0.25">
      <c r="A66" s="214" t="s">
        <v>882</v>
      </c>
      <c r="B66" s="64">
        <v>2.38</v>
      </c>
      <c r="C66" s="64">
        <v>0.75</v>
      </c>
      <c r="D66" s="64">
        <v>3.44</v>
      </c>
      <c r="E66" s="64">
        <v>2.38</v>
      </c>
      <c r="F66" s="64">
        <v>6.54</v>
      </c>
      <c r="G66" s="64">
        <v>39.42</v>
      </c>
      <c r="H66" s="64">
        <v>18.66</v>
      </c>
      <c r="I66" s="64">
        <v>3.87</v>
      </c>
      <c r="J66" s="64">
        <v>7.0000000000000007E-2</v>
      </c>
      <c r="K66" s="64">
        <v>109.54</v>
      </c>
      <c r="L66" s="64">
        <v>37.11</v>
      </c>
      <c r="M66" s="64">
        <v>30.78</v>
      </c>
      <c r="N66" s="64">
        <v>638.79999999999995</v>
      </c>
      <c r="O66" s="64">
        <v>0</v>
      </c>
      <c r="P66" s="64">
        <v>0.48</v>
      </c>
      <c r="Q66" s="64">
        <v>9.34</v>
      </c>
      <c r="R66" s="198"/>
      <c r="S66" s="198"/>
      <c r="T66" s="198"/>
      <c r="U66" s="198"/>
    </row>
    <row r="67" spans="1:21" s="12" customFormat="1" x14ac:dyDescent="0.25">
      <c r="A67" s="214" t="s">
        <v>883</v>
      </c>
      <c r="B67" s="64">
        <v>2.4300000000000002</v>
      </c>
      <c r="C67" s="64">
        <v>0.86</v>
      </c>
      <c r="D67" s="64">
        <v>3.54</v>
      </c>
      <c r="E67" s="64">
        <v>2.17</v>
      </c>
      <c r="F67" s="64">
        <v>6.08</v>
      </c>
      <c r="G67" s="64">
        <v>39.450000000000003</v>
      </c>
      <c r="H67" s="64">
        <v>20.04</v>
      </c>
      <c r="I67" s="64">
        <v>4.0599999999999996</v>
      </c>
      <c r="J67" s="64">
        <v>0.45</v>
      </c>
      <c r="K67" s="64">
        <v>345.59</v>
      </c>
      <c r="L67" s="64">
        <v>37.86</v>
      </c>
      <c r="M67" s="64">
        <v>29.78</v>
      </c>
      <c r="N67" s="64">
        <v>311.39999999999998</v>
      </c>
      <c r="O67" s="64">
        <v>0</v>
      </c>
      <c r="P67" s="64">
        <v>0.48</v>
      </c>
      <c r="Q67" s="64">
        <v>9.32</v>
      </c>
      <c r="R67" s="198"/>
      <c r="S67" s="198"/>
      <c r="T67" s="198"/>
      <c r="U67" s="198"/>
    </row>
    <row r="68" spans="1:21" s="12" customFormat="1" x14ac:dyDescent="0.25">
      <c r="A68" s="214" t="s">
        <v>884</v>
      </c>
      <c r="B68" s="64">
        <v>2.2799999999999998</v>
      </c>
      <c r="C68" s="64">
        <v>0.41</v>
      </c>
      <c r="D68" s="64">
        <v>3.19</v>
      </c>
      <c r="E68" s="64">
        <v>2.4</v>
      </c>
      <c r="F68" s="64">
        <v>5.42</v>
      </c>
      <c r="G68" s="64">
        <v>39.450000000000003</v>
      </c>
      <c r="H68" s="64">
        <v>20.04</v>
      </c>
      <c r="I68" s="64">
        <v>4.3</v>
      </c>
      <c r="J68" s="64">
        <v>0.6</v>
      </c>
      <c r="K68" s="64">
        <v>148.94</v>
      </c>
      <c r="L68" s="64">
        <v>37.75</v>
      </c>
      <c r="M68" s="64">
        <v>30.3</v>
      </c>
      <c r="N68" s="64">
        <v>259.89999999999998</v>
      </c>
      <c r="O68" s="64">
        <v>0</v>
      </c>
      <c r="P68" s="64">
        <v>0.47</v>
      </c>
      <c r="Q68" s="64">
        <v>9.3000000000000007</v>
      </c>
      <c r="R68" s="198"/>
      <c r="S68" s="198"/>
      <c r="T68" s="198"/>
      <c r="U68" s="198"/>
    </row>
    <row r="69" spans="1:21" s="12" customFormat="1" x14ac:dyDescent="0.25">
      <c r="A69" s="214" t="s">
        <v>885</v>
      </c>
      <c r="B69" s="64">
        <v>2.25</v>
      </c>
      <c r="C69" s="64">
        <v>0.36</v>
      </c>
      <c r="D69" s="64">
        <v>3.14</v>
      </c>
      <c r="E69" s="64">
        <v>2.34</v>
      </c>
      <c r="F69" s="64">
        <v>5.99</v>
      </c>
      <c r="G69" s="64">
        <v>39.450000000000003</v>
      </c>
      <c r="H69" s="64">
        <v>20.04</v>
      </c>
      <c r="I69" s="64">
        <v>4.5199999999999996</v>
      </c>
      <c r="J69" s="64">
        <v>0.25</v>
      </c>
      <c r="K69" s="64">
        <v>345.17</v>
      </c>
      <c r="L69" s="64">
        <v>37.29</v>
      </c>
      <c r="M69" s="64">
        <v>30.13</v>
      </c>
      <c r="N69" s="64">
        <v>338.2</v>
      </c>
      <c r="O69" s="64">
        <v>0</v>
      </c>
      <c r="P69" s="64">
        <v>0.47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4" t="s">
        <v>886</v>
      </c>
      <c r="B70" s="64">
        <v>2.36</v>
      </c>
      <c r="C70" s="64">
        <v>0.63</v>
      </c>
      <c r="D70" s="64">
        <v>3.37</v>
      </c>
      <c r="E70" s="64">
        <v>2.5</v>
      </c>
      <c r="F70" s="64">
        <v>6.22</v>
      </c>
      <c r="G70" s="64">
        <v>39.020000000000003</v>
      </c>
      <c r="H70" s="64">
        <v>19.350000000000001</v>
      </c>
      <c r="I70" s="64">
        <v>5.05</v>
      </c>
      <c r="J70" s="64">
        <v>0.14000000000000001</v>
      </c>
      <c r="K70" s="64">
        <v>72.92</v>
      </c>
      <c r="L70" s="64">
        <v>37.07</v>
      </c>
      <c r="M70" s="64">
        <v>30.21</v>
      </c>
      <c r="N70" s="64">
        <v>226</v>
      </c>
      <c r="O70" s="64">
        <v>0</v>
      </c>
      <c r="P70" s="64">
        <v>0.46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4" t="s">
        <v>887</v>
      </c>
      <c r="B71" s="64">
        <v>2.57</v>
      </c>
      <c r="C71" s="64">
        <v>1.38</v>
      </c>
      <c r="D71" s="64">
        <v>3.93</v>
      </c>
      <c r="E71" s="64">
        <v>2.27</v>
      </c>
      <c r="F71" s="64">
        <v>6.89</v>
      </c>
      <c r="G71" s="64">
        <v>38.61</v>
      </c>
      <c r="H71" s="64">
        <v>18.73</v>
      </c>
      <c r="I71" s="64">
        <v>5.57</v>
      </c>
      <c r="J71" s="64">
        <v>1.82</v>
      </c>
      <c r="K71" s="64">
        <v>149.09</v>
      </c>
      <c r="L71" s="64">
        <v>36.29</v>
      </c>
      <c r="M71" s="64">
        <v>31.19</v>
      </c>
      <c r="N71" s="64">
        <v>161.5</v>
      </c>
      <c r="O71" s="64">
        <v>0</v>
      </c>
      <c r="P71" s="64">
        <v>0.44</v>
      </c>
      <c r="Q71" s="64">
        <v>9.3699999999999992</v>
      </c>
      <c r="R71" s="198"/>
      <c r="S71" s="198"/>
      <c r="T71" s="198"/>
      <c r="U71" s="198"/>
    </row>
    <row r="72" spans="1:21" s="12" customFormat="1" x14ac:dyDescent="0.25">
      <c r="A72" s="214" t="s">
        <v>888</v>
      </c>
      <c r="B72" s="64">
        <v>2.27</v>
      </c>
      <c r="C72" s="64">
        <v>0.47</v>
      </c>
      <c r="D72" s="64">
        <v>3.21</v>
      </c>
      <c r="E72" s="64">
        <v>1.32</v>
      </c>
      <c r="F72" s="64">
        <v>6.89</v>
      </c>
      <c r="G72" s="64">
        <v>38.61</v>
      </c>
      <c r="H72" s="64">
        <v>18.73</v>
      </c>
      <c r="I72" s="64">
        <v>5.56</v>
      </c>
      <c r="J72" s="64">
        <v>0.36</v>
      </c>
      <c r="K72" s="64">
        <v>172.44</v>
      </c>
      <c r="L72" s="64">
        <v>36.54</v>
      </c>
      <c r="M72" s="64">
        <v>30</v>
      </c>
      <c r="N72" s="64">
        <v>155.19999999999999</v>
      </c>
      <c r="O72" s="64">
        <v>0</v>
      </c>
      <c r="P72" s="64">
        <v>0.43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4" t="s">
        <v>889</v>
      </c>
      <c r="B73" s="64">
        <v>2.2200000000000002</v>
      </c>
      <c r="C73" s="64">
        <v>0.42</v>
      </c>
      <c r="D73" s="64">
        <v>3.14</v>
      </c>
      <c r="E73" s="64">
        <v>1.34</v>
      </c>
      <c r="F73" s="64">
        <v>6.69</v>
      </c>
      <c r="G73" s="64">
        <v>38.61</v>
      </c>
      <c r="H73" s="64">
        <v>18.73</v>
      </c>
      <c r="I73" s="64">
        <v>5.77</v>
      </c>
      <c r="J73" s="64">
        <v>0.86</v>
      </c>
      <c r="K73" s="64">
        <v>342.06</v>
      </c>
      <c r="L73" s="64">
        <v>37.229999999999997</v>
      </c>
      <c r="M73" s="64">
        <v>29.16</v>
      </c>
      <c r="N73" s="64">
        <v>149.5</v>
      </c>
      <c r="O73" s="64">
        <v>0</v>
      </c>
      <c r="P73" s="64">
        <v>0.42</v>
      </c>
      <c r="Q73" s="64">
        <v>9.36</v>
      </c>
      <c r="R73" s="198"/>
      <c r="S73" s="198"/>
      <c r="T73" s="198"/>
      <c r="U73" s="198"/>
    </row>
    <row r="74" spans="1:21" s="12" customFormat="1" x14ac:dyDescent="0.25">
      <c r="A74" s="214" t="s">
        <v>890</v>
      </c>
      <c r="B74" s="64">
        <v>2.27</v>
      </c>
      <c r="C74" s="64">
        <v>0.35</v>
      </c>
      <c r="D74" s="64">
        <v>3.15</v>
      </c>
      <c r="E74" s="64">
        <v>1.66</v>
      </c>
      <c r="F74" s="64">
        <v>6.67</v>
      </c>
      <c r="G74" s="64">
        <v>38.229999999999997</v>
      </c>
      <c r="H74" s="64">
        <v>16.8</v>
      </c>
      <c r="I74" s="64">
        <v>6</v>
      </c>
      <c r="J74" s="64">
        <v>0.4</v>
      </c>
      <c r="K74" s="64">
        <v>349.54</v>
      </c>
      <c r="L74" s="64">
        <v>37.17</v>
      </c>
      <c r="M74" s="64">
        <v>28.2</v>
      </c>
      <c r="N74" s="64">
        <v>131.4</v>
      </c>
      <c r="O74" s="64">
        <v>0</v>
      </c>
      <c r="P74" s="64">
        <v>0.42</v>
      </c>
      <c r="Q74" s="64">
        <v>9.33</v>
      </c>
      <c r="R74" s="198"/>
      <c r="S74" s="198"/>
      <c r="T74" s="198"/>
      <c r="U74" s="198"/>
    </row>
    <row r="75" spans="1:21" s="12" customFormat="1" x14ac:dyDescent="0.25">
      <c r="A75" s="214" t="s">
        <v>891</v>
      </c>
      <c r="B75" s="64">
        <v>2.58</v>
      </c>
      <c r="C75" s="64">
        <v>1.39</v>
      </c>
      <c r="D75" s="64">
        <v>3.94</v>
      </c>
      <c r="E75" s="64">
        <v>1.42</v>
      </c>
      <c r="F75" s="64">
        <v>6.81</v>
      </c>
      <c r="G75" s="64">
        <v>37.869999999999997</v>
      </c>
      <c r="H75" s="64">
        <v>15.03</v>
      </c>
      <c r="I75" s="64">
        <v>5.86</v>
      </c>
      <c r="J75" s="64">
        <v>1.5</v>
      </c>
      <c r="K75" s="64">
        <v>339.91</v>
      </c>
      <c r="L75" s="64">
        <v>36.64</v>
      </c>
      <c r="M75" s="64">
        <v>30.23</v>
      </c>
      <c r="N75" s="64">
        <v>107.8</v>
      </c>
      <c r="O75" s="64">
        <v>0</v>
      </c>
      <c r="P75" s="64">
        <v>0.42</v>
      </c>
      <c r="Q75" s="64">
        <v>9.36</v>
      </c>
      <c r="R75" s="198"/>
      <c r="S75" s="198"/>
      <c r="T75" s="198"/>
      <c r="U75" s="198"/>
    </row>
    <row r="76" spans="1:21" s="12" customFormat="1" x14ac:dyDescent="0.25">
      <c r="A76" s="214" t="s">
        <v>892</v>
      </c>
      <c r="B76" s="64">
        <v>2.35</v>
      </c>
      <c r="C76" s="64">
        <v>0.64</v>
      </c>
      <c r="D76" s="64">
        <v>3.37</v>
      </c>
      <c r="E76" s="64">
        <v>1.48</v>
      </c>
      <c r="F76" s="64">
        <v>6.58</v>
      </c>
      <c r="G76" s="64">
        <v>37.869999999999997</v>
      </c>
      <c r="H76" s="64">
        <v>15.03</v>
      </c>
      <c r="I76" s="64">
        <v>5.53</v>
      </c>
      <c r="J76" s="64">
        <v>2.1800000000000002</v>
      </c>
      <c r="K76" s="64">
        <v>329.17</v>
      </c>
      <c r="L76" s="64">
        <v>35.159999999999997</v>
      </c>
      <c r="M76" s="64">
        <v>33.380000000000003</v>
      </c>
      <c r="N76" s="64">
        <v>91.2</v>
      </c>
      <c r="O76" s="64">
        <v>0</v>
      </c>
      <c r="P76" s="64">
        <v>0.41</v>
      </c>
      <c r="Q76" s="64">
        <v>9.32</v>
      </c>
      <c r="R76" s="198"/>
      <c r="S76" s="198"/>
      <c r="T76" s="198"/>
      <c r="U76" s="198"/>
    </row>
    <row r="77" spans="1:21" s="12" customFormat="1" x14ac:dyDescent="0.25">
      <c r="A77" s="214" t="s">
        <v>893</v>
      </c>
      <c r="B77" s="64">
        <v>2.2400000000000002</v>
      </c>
      <c r="C77" s="64">
        <v>0.38</v>
      </c>
      <c r="D77" s="64">
        <v>3.14</v>
      </c>
      <c r="E77" s="64">
        <v>1.33</v>
      </c>
      <c r="F77" s="64">
        <v>6.66</v>
      </c>
      <c r="G77" s="64">
        <v>37.869999999999997</v>
      </c>
      <c r="H77" s="64">
        <v>15.03</v>
      </c>
      <c r="I77" s="64">
        <v>5.39</v>
      </c>
      <c r="J77" s="64">
        <v>1.88</v>
      </c>
      <c r="K77" s="64">
        <v>334.08</v>
      </c>
      <c r="L77" s="64">
        <v>34.840000000000003</v>
      </c>
      <c r="M77" s="64">
        <v>34.1</v>
      </c>
      <c r="N77" s="64">
        <v>68.2</v>
      </c>
      <c r="O77" s="64">
        <v>0</v>
      </c>
      <c r="P77" s="64">
        <v>0.42</v>
      </c>
      <c r="Q77" s="64">
        <v>9.3000000000000007</v>
      </c>
      <c r="R77" s="198"/>
      <c r="S77" s="198"/>
      <c r="T77" s="198"/>
      <c r="U77" s="198"/>
    </row>
    <row r="78" spans="1:21" s="12" customFormat="1" x14ac:dyDescent="0.25">
      <c r="A78" s="214" t="s">
        <v>894</v>
      </c>
      <c r="B78" s="64">
        <v>2.25</v>
      </c>
      <c r="C78" s="64">
        <v>0.38</v>
      </c>
      <c r="D78" s="64">
        <v>3.15</v>
      </c>
      <c r="E78" s="64">
        <v>1.04</v>
      </c>
      <c r="F78" s="64">
        <v>5.99</v>
      </c>
      <c r="G78" s="64">
        <v>41.91</v>
      </c>
      <c r="H78" s="64">
        <v>16.239999999999998</v>
      </c>
      <c r="I78" s="64">
        <v>5.17</v>
      </c>
      <c r="J78" s="64">
        <v>1.88</v>
      </c>
      <c r="K78" s="64">
        <v>337.8</v>
      </c>
      <c r="L78" s="64">
        <v>34.590000000000003</v>
      </c>
      <c r="M78" s="64">
        <v>34.81</v>
      </c>
      <c r="N78" s="64">
        <v>57.4</v>
      </c>
      <c r="O78" s="64">
        <v>0</v>
      </c>
      <c r="P78" s="64">
        <v>0.43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4" t="s">
        <v>895</v>
      </c>
      <c r="B79" s="64">
        <v>2.64</v>
      </c>
      <c r="C79" s="64">
        <v>1.54</v>
      </c>
      <c r="D79" s="64">
        <v>4.0599999999999996</v>
      </c>
      <c r="E79" s="64">
        <v>1.06</v>
      </c>
      <c r="F79" s="64">
        <v>6.2</v>
      </c>
      <c r="G79" s="64">
        <v>45.6</v>
      </c>
      <c r="H79" s="64">
        <v>17.34</v>
      </c>
      <c r="I79" s="64">
        <v>4.8899999999999997</v>
      </c>
      <c r="J79" s="64">
        <v>2.4300000000000002</v>
      </c>
      <c r="K79" s="64">
        <v>326.43</v>
      </c>
      <c r="L79" s="64">
        <v>34.049999999999997</v>
      </c>
      <c r="M79" s="64">
        <v>33.04</v>
      </c>
      <c r="N79" s="64">
        <v>52</v>
      </c>
      <c r="O79" s="64">
        <v>0</v>
      </c>
      <c r="P79" s="64">
        <v>0.46</v>
      </c>
      <c r="Q79" s="64">
        <v>9.33</v>
      </c>
      <c r="R79" s="198"/>
      <c r="S79" s="198"/>
      <c r="T79" s="198"/>
      <c r="U79" s="198"/>
    </row>
    <row r="80" spans="1:21" s="12" customFormat="1" x14ac:dyDescent="0.25">
      <c r="A80" s="214" t="s">
        <v>896</v>
      </c>
      <c r="B80" s="64">
        <v>2.39</v>
      </c>
      <c r="C80" s="64">
        <v>0.75</v>
      </c>
      <c r="D80" s="64">
        <v>3.45</v>
      </c>
      <c r="E80" s="64">
        <v>1.77</v>
      </c>
      <c r="F80" s="64">
        <v>5.43</v>
      </c>
      <c r="G80" s="64">
        <v>45.6</v>
      </c>
      <c r="H80" s="64">
        <v>17.34</v>
      </c>
      <c r="I80" s="64">
        <v>4.74</v>
      </c>
      <c r="J80" s="64">
        <v>2.73</v>
      </c>
      <c r="K80" s="64">
        <v>333.93</v>
      </c>
      <c r="L80" s="64">
        <v>33.369999999999997</v>
      </c>
      <c r="M80" s="64">
        <v>31.72</v>
      </c>
      <c r="N80" s="64">
        <v>42</v>
      </c>
      <c r="O80" s="64">
        <v>0</v>
      </c>
      <c r="P80" s="64">
        <v>0.47</v>
      </c>
      <c r="Q80" s="64">
        <v>9.39</v>
      </c>
      <c r="R80" s="198"/>
      <c r="S80" s="198"/>
      <c r="T80" s="198"/>
      <c r="U80" s="198"/>
    </row>
    <row r="81" spans="1:26" s="12" customFormat="1" x14ac:dyDescent="0.25">
      <c r="A81" s="214" t="s">
        <v>897</v>
      </c>
      <c r="B81" s="64">
        <v>2.27</v>
      </c>
      <c r="C81" s="64">
        <v>0.39</v>
      </c>
      <c r="D81" s="64">
        <v>3.17</v>
      </c>
      <c r="E81" s="64">
        <v>1.49</v>
      </c>
      <c r="F81" s="64">
        <v>5.25</v>
      </c>
      <c r="G81" s="64">
        <v>45.6</v>
      </c>
      <c r="H81" s="64">
        <v>17.34</v>
      </c>
      <c r="I81" s="64">
        <v>4.59</v>
      </c>
      <c r="J81" s="64">
        <v>3.07</v>
      </c>
      <c r="K81" s="64">
        <v>346.49</v>
      </c>
      <c r="L81" s="64">
        <v>32.909999999999997</v>
      </c>
      <c r="M81" s="64">
        <v>33.22</v>
      </c>
      <c r="N81" s="64">
        <v>37.6</v>
      </c>
      <c r="O81" s="64">
        <v>0</v>
      </c>
      <c r="P81" s="64">
        <v>0.47</v>
      </c>
      <c r="Q81" s="64">
        <v>9.32</v>
      </c>
      <c r="R81" s="198"/>
      <c r="S81" s="198"/>
      <c r="T81" s="198"/>
      <c r="U81" s="198"/>
    </row>
    <row r="82" spans="1:26" s="12" customFormat="1" x14ac:dyDescent="0.25">
      <c r="A82" s="214" t="s">
        <v>898</v>
      </c>
      <c r="B82" s="64">
        <v>2.2599999999999998</v>
      </c>
      <c r="C82" s="64">
        <v>0.37</v>
      </c>
      <c r="D82" s="64">
        <v>3.15</v>
      </c>
      <c r="E82" s="64">
        <v>1.45</v>
      </c>
      <c r="F82" s="64">
        <v>5.23</v>
      </c>
      <c r="G82" s="64">
        <v>46.69</v>
      </c>
      <c r="H82" s="64">
        <v>17.940000000000001</v>
      </c>
      <c r="I82" s="64">
        <v>4.38</v>
      </c>
      <c r="J82" s="64">
        <v>2.29</v>
      </c>
      <c r="K82" s="64">
        <v>347.07</v>
      </c>
      <c r="L82" s="64">
        <v>32.35</v>
      </c>
      <c r="M82" s="64">
        <v>35.58</v>
      </c>
      <c r="N82" s="64">
        <v>27.2</v>
      </c>
      <c r="O82" s="64">
        <v>0</v>
      </c>
      <c r="P82" s="64">
        <v>0.48</v>
      </c>
      <c r="Q82" s="64">
        <v>9.33</v>
      </c>
      <c r="R82" s="198"/>
      <c r="S82" s="198"/>
      <c r="T82" s="198"/>
      <c r="U82" s="198"/>
    </row>
    <row r="83" spans="1:26" s="12" customFormat="1" x14ac:dyDescent="0.25">
      <c r="A83" s="214" t="s">
        <v>899</v>
      </c>
      <c r="B83" s="64">
        <v>2.3199999999999998</v>
      </c>
      <c r="C83" s="64">
        <v>0.45</v>
      </c>
      <c r="D83" s="64">
        <v>3.24</v>
      </c>
      <c r="E83" s="64">
        <v>1.54</v>
      </c>
      <c r="F83" s="64">
        <v>4.92</v>
      </c>
      <c r="G83" s="64">
        <v>47.73</v>
      </c>
      <c r="H83" s="64">
        <v>18.52</v>
      </c>
      <c r="I83" s="64">
        <v>4.2300000000000004</v>
      </c>
      <c r="J83" s="64">
        <v>1.1200000000000001</v>
      </c>
      <c r="K83" s="64">
        <v>106.01</v>
      </c>
      <c r="L83" s="64">
        <v>31.52</v>
      </c>
      <c r="M83" s="64">
        <v>36.93</v>
      </c>
      <c r="N83" s="64">
        <v>17.8</v>
      </c>
      <c r="O83" s="64">
        <v>0</v>
      </c>
      <c r="P83" s="64">
        <v>0.48</v>
      </c>
      <c r="Q83" s="64">
        <v>9.35</v>
      </c>
      <c r="R83" s="198"/>
      <c r="S83" s="198"/>
      <c r="T83" s="198"/>
      <c r="U83" s="198"/>
    </row>
    <row r="84" spans="1:26" s="12" customFormat="1" x14ac:dyDescent="0.25">
      <c r="A84" s="214" t="s">
        <v>900</v>
      </c>
      <c r="B84" s="64">
        <v>2.72</v>
      </c>
      <c r="C84" s="64">
        <v>1.97</v>
      </c>
      <c r="D84" s="64">
        <v>4.3600000000000003</v>
      </c>
      <c r="E84" s="64">
        <v>1.46</v>
      </c>
      <c r="F84" s="64">
        <v>4.54</v>
      </c>
      <c r="G84" s="64">
        <v>47.73</v>
      </c>
      <c r="H84" s="64">
        <v>18.52</v>
      </c>
      <c r="I84" s="64">
        <v>4.26</v>
      </c>
      <c r="J84" s="64">
        <v>2.19</v>
      </c>
      <c r="K84" s="64">
        <v>104.14</v>
      </c>
      <c r="L84" s="64">
        <v>31.01</v>
      </c>
      <c r="M84" s="64">
        <v>40.56</v>
      </c>
      <c r="N84" s="64">
        <v>17.7</v>
      </c>
      <c r="O84" s="64">
        <v>0</v>
      </c>
      <c r="P84" s="64">
        <v>0.48</v>
      </c>
      <c r="Q84" s="64">
        <v>9.3800000000000008</v>
      </c>
      <c r="R84" s="198"/>
      <c r="S84" s="198"/>
      <c r="T84" s="198"/>
      <c r="U84" s="198"/>
    </row>
    <row r="85" spans="1:26" s="12" customFormat="1" x14ac:dyDescent="0.25">
      <c r="A85" s="214" t="s">
        <v>901</v>
      </c>
      <c r="B85" s="64">
        <v>2.35</v>
      </c>
      <c r="C85" s="64">
        <v>0.63</v>
      </c>
      <c r="D85" s="64">
        <v>3.36</v>
      </c>
      <c r="E85" s="64">
        <v>1.5</v>
      </c>
      <c r="F85" s="64">
        <v>4.74</v>
      </c>
      <c r="G85" s="64">
        <v>47.73</v>
      </c>
      <c r="H85" s="64">
        <v>18.52</v>
      </c>
      <c r="I85" s="64">
        <v>3.97</v>
      </c>
      <c r="J85" s="64">
        <v>2.2599999999999998</v>
      </c>
      <c r="K85" s="64">
        <v>111.44</v>
      </c>
      <c r="L85" s="64">
        <v>28.66</v>
      </c>
      <c r="M85" s="64">
        <v>53.01</v>
      </c>
      <c r="N85" s="64">
        <v>21.7</v>
      </c>
      <c r="O85" s="64">
        <v>0</v>
      </c>
      <c r="P85" s="64">
        <v>0.46</v>
      </c>
      <c r="Q85" s="64">
        <v>9.3800000000000008</v>
      </c>
      <c r="R85" s="198"/>
      <c r="S85" s="198"/>
      <c r="T85" s="198"/>
      <c r="U85" s="198"/>
    </row>
    <row r="86" spans="1:26" s="12" customFormat="1" x14ac:dyDescent="0.25">
      <c r="A86" s="214" t="s">
        <v>902</v>
      </c>
      <c r="B86" s="64">
        <v>2.29</v>
      </c>
      <c r="C86" s="64">
        <v>0.33</v>
      </c>
      <c r="D86" s="64">
        <v>3.15</v>
      </c>
      <c r="E86" s="64">
        <v>1.01</v>
      </c>
      <c r="F86" s="64">
        <v>6.1</v>
      </c>
      <c r="G86" s="64">
        <v>50.23</v>
      </c>
      <c r="H86" s="64">
        <v>18.23</v>
      </c>
      <c r="I86" s="64">
        <v>5.16</v>
      </c>
      <c r="J86" s="64">
        <v>2.36</v>
      </c>
      <c r="K86" s="64">
        <v>166.09</v>
      </c>
      <c r="L86" s="64">
        <v>25.8</v>
      </c>
      <c r="M86" s="64">
        <v>64.89</v>
      </c>
      <c r="N86" s="64">
        <v>20.6</v>
      </c>
      <c r="O86" s="64">
        <v>0.2</v>
      </c>
      <c r="P86" s="64">
        <v>0.45</v>
      </c>
      <c r="Q86" s="64">
        <v>9.4</v>
      </c>
      <c r="R86" s="198"/>
      <c r="S86" s="198"/>
      <c r="T86" s="198"/>
      <c r="U86" s="198"/>
    </row>
    <row r="87" spans="1:26" s="12" customFormat="1" x14ac:dyDescent="0.25">
      <c r="A87" s="214" t="s">
        <v>903</v>
      </c>
      <c r="B87" s="64">
        <v>2.29</v>
      </c>
      <c r="C87" s="64">
        <v>0.31</v>
      </c>
      <c r="D87" s="64">
        <v>3.15</v>
      </c>
      <c r="E87" s="64">
        <v>1.25</v>
      </c>
      <c r="F87" s="64">
        <v>7.37</v>
      </c>
      <c r="G87" s="64">
        <v>52.51</v>
      </c>
      <c r="H87" s="64">
        <v>17.96</v>
      </c>
      <c r="I87" s="64">
        <v>6.42</v>
      </c>
      <c r="J87" s="64">
        <v>2.08</v>
      </c>
      <c r="K87" s="64">
        <v>159.06</v>
      </c>
      <c r="L87" s="64">
        <v>25.74</v>
      </c>
      <c r="M87" s="64">
        <v>65.17</v>
      </c>
      <c r="N87" s="64">
        <v>14.3</v>
      </c>
      <c r="O87" s="64">
        <v>0</v>
      </c>
      <c r="P87" s="64">
        <v>0.43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14" t="s">
        <v>904</v>
      </c>
      <c r="B88" s="64">
        <v>2.2999999999999998</v>
      </c>
      <c r="C88" s="64">
        <v>0.37</v>
      </c>
      <c r="D88" s="64">
        <v>3.18</v>
      </c>
      <c r="E88" s="64">
        <v>2.8</v>
      </c>
      <c r="F88" s="64">
        <v>6.46</v>
      </c>
      <c r="G88" s="64">
        <v>52.51</v>
      </c>
      <c r="H88" s="64">
        <v>17.96</v>
      </c>
      <c r="I88" s="64">
        <v>6.43</v>
      </c>
      <c r="J88" s="64">
        <v>2.78</v>
      </c>
      <c r="K88" s="64">
        <v>159.62</v>
      </c>
      <c r="L88" s="64">
        <v>26.07</v>
      </c>
      <c r="M88" s="64">
        <v>62.79</v>
      </c>
      <c r="N88" s="64">
        <v>15.6</v>
      </c>
      <c r="O88" s="64">
        <v>0</v>
      </c>
      <c r="P88" s="64">
        <v>0.43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4" t="s">
        <v>905</v>
      </c>
      <c r="B89" s="64">
        <v>2.2999999999999998</v>
      </c>
      <c r="C89" s="64">
        <v>0.52</v>
      </c>
      <c r="D89" s="64">
        <v>3.26</v>
      </c>
      <c r="E89" s="64">
        <v>2.58</v>
      </c>
      <c r="F89" s="64">
        <v>5.75</v>
      </c>
      <c r="G89" s="64">
        <v>52.51</v>
      </c>
      <c r="H89" s="64">
        <v>17.96</v>
      </c>
      <c r="I89" s="64">
        <v>6.2</v>
      </c>
      <c r="J89" s="64">
        <v>2.21</v>
      </c>
      <c r="K89" s="64">
        <v>158.22999999999999</v>
      </c>
      <c r="L89" s="64">
        <v>26.08</v>
      </c>
      <c r="M89" s="64">
        <v>60.01</v>
      </c>
      <c r="N89" s="64">
        <v>16.100000000000001</v>
      </c>
      <c r="O89" s="64">
        <v>0</v>
      </c>
      <c r="P89" s="64">
        <v>0.41</v>
      </c>
      <c r="Q89" s="64">
        <v>9.48</v>
      </c>
      <c r="R89" s="198"/>
      <c r="S89" s="198"/>
      <c r="T89" s="198"/>
      <c r="U89" s="198"/>
    </row>
    <row r="90" spans="1:26" s="12" customFormat="1" x14ac:dyDescent="0.25">
      <c r="A90" s="214" t="s">
        <v>906</v>
      </c>
      <c r="B90" s="64">
        <v>2.62</v>
      </c>
      <c r="C90" s="64">
        <v>1.56</v>
      </c>
      <c r="D90" s="64">
        <v>4.0599999999999996</v>
      </c>
      <c r="E90" s="64">
        <v>2.88</v>
      </c>
      <c r="F90" s="64">
        <v>5.97</v>
      </c>
      <c r="G90" s="64">
        <v>47.02</v>
      </c>
      <c r="H90" s="64">
        <v>14.91</v>
      </c>
      <c r="I90" s="64">
        <v>5.99</v>
      </c>
      <c r="J90" s="64">
        <v>3.13</v>
      </c>
      <c r="K90" s="64">
        <v>154.44</v>
      </c>
      <c r="L90" s="64">
        <v>26.02</v>
      </c>
      <c r="M90" s="64">
        <v>62.06</v>
      </c>
      <c r="N90" s="64">
        <v>16.7</v>
      </c>
      <c r="O90" s="64">
        <v>0</v>
      </c>
      <c r="P90" s="64">
        <v>0.39</v>
      </c>
      <c r="Q90" s="64">
        <v>9.4600000000000009</v>
      </c>
      <c r="R90" s="198"/>
      <c r="S90" s="198"/>
      <c r="T90" s="198"/>
      <c r="U90" s="198"/>
    </row>
    <row r="91" spans="1:26" s="12" customFormat="1" x14ac:dyDescent="0.25">
      <c r="A91" s="214" t="s">
        <v>907</v>
      </c>
      <c r="B91" s="64">
        <v>2.37</v>
      </c>
      <c r="C91" s="64">
        <v>0.68</v>
      </c>
      <c r="D91" s="64">
        <v>3.4</v>
      </c>
      <c r="E91" s="64">
        <v>2.67</v>
      </c>
      <c r="F91" s="64">
        <v>6.19</v>
      </c>
      <c r="G91" s="64">
        <v>41.77</v>
      </c>
      <c r="H91" s="64">
        <v>11.99</v>
      </c>
      <c r="I91" s="64">
        <v>5.75</v>
      </c>
      <c r="J91" s="64">
        <v>2.0299999999999998</v>
      </c>
      <c r="K91" s="64">
        <v>159.16</v>
      </c>
      <c r="L91" s="64">
        <v>25.69</v>
      </c>
      <c r="M91" s="64">
        <v>60.99</v>
      </c>
      <c r="N91" s="64">
        <v>17.100000000000001</v>
      </c>
      <c r="O91" s="64">
        <v>0</v>
      </c>
      <c r="P91" s="64">
        <v>0.37</v>
      </c>
      <c r="Q91" s="64">
        <v>9.4499999999999993</v>
      </c>
      <c r="R91" s="198"/>
      <c r="S91" s="198"/>
      <c r="T91" s="198"/>
      <c r="U91" s="198"/>
    </row>
    <row r="92" spans="1:26" s="12" customFormat="1" x14ac:dyDescent="0.25">
      <c r="A92" s="214" t="s">
        <v>908</v>
      </c>
      <c r="B92" s="64">
        <v>2.2799999999999998</v>
      </c>
      <c r="C92" s="64">
        <v>0.37</v>
      </c>
      <c r="D92" s="64">
        <v>3.17</v>
      </c>
      <c r="E92" s="64">
        <v>2.63</v>
      </c>
      <c r="F92" s="64">
        <v>6.29</v>
      </c>
      <c r="G92" s="64">
        <v>41.77</v>
      </c>
      <c r="H92" s="64">
        <v>11.99</v>
      </c>
      <c r="I92" s="64">
        <v>5.53</v>
      </c>
      <c r="J92" s="64">
        <v>2.6</v>
      </c>
      <c r="K92" s="64">
        <v>155.13999999999999</v>
      </c>
      <c r="L92" s="64">
        <v>25.73</v>
      </c>
      <c r="M92" s="64">
        <v>58.7</v>
      </c>
      <c r="N92" s="64">
        <v>16.2</v>
      </c>
      <c r="O92" s="64">
        <v>0</v>
      </c>
      <c r="P92" s="64">
        <v>0.36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4" t="s">
        <v>909</v>
      </c>
      <c r="B93" s="64">
        <v>2.2599999999999998</v>
      </c>
      <c r="C93" s="64">
        <v>0.42</v>
      </c>
      <c r="D93" s="64">
        <v>3.18</v>
      </c>
      <c r="E93" s="64">
        <v>2.48</v>
      </c>
      <c r="F93" s="64">
        <v>5.44</v>
      </c>
      <c r="G93" s="64">
        <v>41.77</v>
      </c>
      <c r="H93" s="64">
        <v>11.99</v>
      </c>
      <c r="I93" s="64">
        <v>5.26</v>
      </c>
      <c r="J93" s="64">
        <v>2.56</v>
      </c>
      <c r="K93" s="64">
        <v>152.63999999999999</v>
      </c>
      <c r="L93" s="64">
        <v>26.13</v>
      </c>
      <c r="M93" s="64">
        <v>56.23</v>
      </c>
      <c r="N93" s="64">
        <v>15.9</v>
      </c>
      <c r="O93" s="64">
        <v>0</v>
      </c>
      <c r="P93" s="64">
        <v>0.36</v>
      </c>
      <c r="Q93" s="64">
        <v>9.4700000000000006</v>
      </c>
      <c r="R93" s="198"/>
      <c r="S93" s="198"/>
      <c r="T93" s="198"/>
      <c r="U93" s="198"/>
    </row>
    <row r="94" spans="1:26" s="12" customFormat="1" x14ac:dyDescent="0.25">
      <c r="A94" s="214" t="s">
        <v>910</v>
      </c>
      <c r="B94" s="64">
        <v>2.2400000000000002</v>
      </c>
      <c r="C94" s="64">
        <v>0.38</v>
      </c>
      <c r="D94" s="64">
        <v>3.14</v>
      </c>
      <c r="E94" s="64">
        <v>2.71</v>
      </c>
      <c r="F94" s="64">
        <v>5.31</v>
      </c>
      <c r="G94" s="64">
        <v>36.97</v>
      </c>
      <c r="H94" s="64">
        <v>12.51</v>
      </c>
      <c r="I94" s="64">
        <v>5.0599999999999996</v>
      </c>
      <c r="J94" s="64">
        <v>2.41</v>
      </c>
      <c r="K94" s="64">
        <v>160.79</v>
      </c>
      <c r="L94" s="64">
        <v>25.88</v>
      </c>
      <c r="M94" s="64">
        <v>59.86</v>
      </c>
      <c r="N94" s="64">
        <v>17.2</v>
      </c>
      <c r="O94" s="64">
        <v>0</v>
      </c>
      <c r="P94" s="64">
        <v>0.34</v>
      </c>
      <c r="Q94" s="64">
        <v>9.44</v>
      </c>
      <c r="R94" s="198"/>
      <c r="S94" s="198"/>
      <c r="T94" s="198"/>
      <c r="U94" s="198"/>
    </row>
    <row r="95" spans="1:26" s="12" customFormat="1" x14ac:dyDescent="0.25">
      <c r="A95" s="214" t="s">
        <v>911</v>
      </c>
      <c r="B95" s="64">
        <v>2.61</v>
      </c>
      <c r="C95" s="64">
        <v>1.37</v>
      </c>
      <c r="D95" s="64">
        <v>3.95</v>
      </c>
      <c r="E95" s="64">
        <v>2.4900000000000002</v>
      </c>
      <c r="F95" s="64">
        <v>6.03</v>
      </c>
      <c r="G95" s="64">
        <v>32.57</v>
      </c>
      <c r="H95" s="64">
        <v>12.98</v>
      </c>
      <c r="I95" s="64">
        <v>4.8899999999999997</v>
      </c>
      <c r="J95" s="64">
        <v>2.14</v>
      </c>
      <c r="K95" s="64">
        <v>151.44</v>
      </c>
      <c r="L95" s="64">
        <v>25.41</v>
      </c>
      <c r="M95" s="64">
        <v>64.44</v>
      </c>
      <c r="N95" s="64">
        <v>16.7</v>
      </c>
      <c r="O95" s="64">
        <v>0</v>
      </c>
      <c r="P95" s="64">
        <v>0.32</v>
      </c>
      <c r="Q95" s="64">
        <v>9.42</v>
      </c>
      <c r="R95" s="198"/>
      <c r="S95" s="198"/>
      <c r="T95" s="198"/>
      <c r="U95" s="198"/>
    </row>
    <row r="96" spans="1:26" s="12" customFormat="1" x14ac:dyDescent="0.25">
      <c r="A96" s="214" t="s">
        <v>912</v>
      </c>
      <c r="B96" s="64">
        <v>2.3199999999999998</v>
      </c>
      <c r="C96" s="64">
        <v>0.52</v>
      </c>
      <c r="D96" s="64">
        <v>3.28</v>
      </c>
      <c r="E96" s="64">
        <v>2.06</v>
      </c>
      <c r="F96" s="64">
        <v>6.42</v>
      </c>
      <c r="G96" s="64">
        <v>32.57</v>
      </c>
      <c r="H96" s="64">
        <v>12.98</v>
      </c>
      <c r="I96" s="64">
        <v>4.83</v>
      </c>
      <c r="J96" s="64">
        <v>1.57</v>
      </c>
      <c r="K96" s="64">
        <v>159.63</v>
      </c>
      <c r="L96" s="64">
        <v>25.97</v>
      </c>
      <c r="M96" s="64">
        <v>61.14</v>
      </c>
      <c r="N96" s="64">
        <v>15.6</v>
      </c>
      <c r="O96" s="64">
        <v>0</v>
      </c>
      <c r="P96" s="64">
        <v>0.32</v>
      </c>
      <c r="Q96" s="64">
        <v>9.44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913</v>
      </c>
      <c r="B97" s="64">
        <v>2.2200000000000002</v>
      </c>
      <c r="C97" s="64">
        <v>0.42</v>
      </c>
      <c r="D97" s="64">
        <v>3.14</v>
      </c>
      <c r="E97" s="64">
        <v>2.76</v>
      </c>
      <c r="F97" s="64">
        <v>5.27</v>
      </c>
      <c r="G97" s="64">
        <v>32.57</v>
      </c>
      <c r="H97" s="64">
        <v>12.98</v>
      </c>
      <c r="I97" s="64">
        <v>4.72</v>
      </c>
      <c r="J97" s="64">
        <v>0.5</v>
      </c>
      <c r="K97" s="64">
        <v>177.53</v>
      </c>
      <c r="L97" s="64">
        <v>26.25</v>
      </c>
      <c r="M97" s="64">
        <v>58.7</v>
      </c>
      <c r="N97" s="64">
        <v>16.100000000000001</v>
      </c>
      <c r="O97" s="64">
        <v>0</v>
      </c>
      <c r="P97" s="64">
        <v>0.31</v>
      </c>
      <c r="Q97" s="64">
        <v>9.4700000000000006</v>
      </c>
      <c r="R97" s="198"/>
      <c r="S97" s="198"/>
      <c r="T97" s="198"/>
      <c r="U97" s="198"/>
    </row>
    <row r="98" spans="1:33" s="12" customFormat="1" x14ac:dyDescent="0.25">
      <c r="A98" s="214" t="s">
        <v>914</v>
      </c>
      <c r="B98" s="64">
        <v>2.27</v>
      </c>
      <c r="C98" s="64">
        <v>0.4</v>
      </c>
      <c r="D98" s="64">
        <v>3.17</v>
      </c>
      <c r="E98" s="64">
        <v>2.23</v>
      </c>
      <c r="F98" s="64">
        <v>5.85</v>
      </c>
      <c r="G98" s="64">
        <v>28.87</v>
      </c>
      <c r="H98" s="64">
        <v>11.81</v>
      </c>
      <c r="I98" s="64">
        <v>4.54</v>
      </c>
      <c r="J98" s="64">
        <v>0.69</v>
      </c>
      <c r="K98" s="64">
        <v>214.94</v>
      </c>
      <c r="L98" s="64">
        <v>26.35</v>
      </c>
      <c r="M98" s="64">
        <v>56.55</v>
      </c>
      <c r="N98" s="64">
        <v>16.3</v>
      </c>
      <c r="O98" s="64">
        <v>0</v>
      </c>
      <c r="P98" s="64">
        <v>0.3</v>
      </c>
      <c r="Q98" s="64">
        <v>9.43</v>
      </c>
      <c r="R98" s="198"/>
      <c r="S98" s="198"/>
      <c r="T98" s="198"/>
      <c r="U98" s="198"/>
    </row>
    <row r="99" spans="1:33" s="12" customFormat="1" x14ac:dyDescent="0.25">
      <c r="A99" s="214" t="s">
        <v>915</v>
      </c>
      <c r="B99" s="64">
        <v>2.4500000000000002</v>
      </c>
      <c r="C99" s="64">
        <v>0.78</v>
      </c>
      <c r="D99" s="64">
        <v>3.52</v>
      </c>
      <c r="E99" s="64">
        <v>2.19</v>
      </c>
      <c r="F99" s="64">
        <v>5.45</v>
      </c>
      <c r="G99" s="64">
        <v>25.49</v>
      </c>
      <c r="H99" s="64">
        <v>10.74</v>
      </c>
      <c r="I99" s="64">
        <v>4.3099999999999996</v>
      </c>
      <c r="J99" s="64">
        <v>0.49</v>
      </c>
      <c r="K99" s="64">
        <v>203.21</v>
      </c>
      <c r="L99" s="64">
        <v>26.11</v>
      </c>
      <c r="M99" s="64">
        <v>58.47</v>
      </c>
      <c r="N99" s="64">
        <v>16.600000000000001</v>
      </c>
      <c r="O99" s="64">
        <v>0</v>
      </c>
      <c r="P99" s="64">
        <v>0.28999999999999998</v>
      </c>
      <c r="Q99" s="64">
        <v>9.3699999999999992</v>
      </c>
      <c r="R99" s="198"/>
      <c r="S99" s="198"/>
      <c r="T99" s="198"/>
      <c r="U99" s="198"/>
    </row>
    <row r="100" spans="1:33" s="12" customFormat="1" x14ac:dyDescent="0.25">
      <c r="A100" s="214" t="s">
        <v>916</v>
      </c>
      <c r="B100" s="64">
        <v>2.4500000000000002</v>
      </c>
      <c r="C100" s="64">
        <v>0.75</v>
      </c>
      <c r="D100" s="64">
        <v>3.5</v>
      </c>
      <c r="E100" s="64">
        <v>2.57</v>
      </c>
      <c r="F100" s="64">
        <v>5.82</v>
      </c>
      <c r="G100" s="64">
        <v>25.49</v>
      </c>
      <c r="H100" s="64">
        <v>10.74</v>
      </c>
      <c r="I100" s="64">
        <v>4.04</v>
      </c>
      <c r="J100" s="64">
        <v>0.5</v>
      </c>
      <c r="K100" s="64">
        <v>204.62</v>
      </c>
      <c r="L100" s="64">
        <v>25.88</v>
      </c>
      <c r="M100" s="64">
        <v>58.25</v>
      </c>
      <c r="N100" s="64">
        <v>16.600000000000001</v>
      </c>
      <c r="O100" s="64">
        <v>0</v>
      </c>
      <c r="P100" s="64">
        <v>0.28000000000000003</v>
      </c>
      <c r="Q100" s="64">
        <v>9.36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917</v>
      </c>
      <c r="B101" s="64">
        <v>2.3199999999999998</v>
      </c>
      <c r="C101" s="64">
        <v>0.37</v>
      </c>
      <c r="D101" s="64">
        <v>3.19</v>
      </c>
      <c r="E101" s="64">
        <v>2.35</v>
      </c>
      <c r="F101" s="64">
        <v>6.06</v>
      </c>
      <c r="G101" s="64">
        <v>25.49</v>
      </c>
      <c r="H101" s="64">
        <v>10.74</v>
      </c>
      <c r="I101" s="64">
        <v>3.83</v>
      </c>
      <c r="J101" s="64">
        <v>0.14000000000000001</v>
      </c>
      <c r="K101" s="64">
        <v>243.4</v>
      </c>
      <c r="L101" s="64">
        <v>25.72</v>
      </c>
      <c r="M101" s="64">
        <v>59.85</v>
      </c>
      <c r="N101" s="64">
        <v>16.600000000000001</v>
      </c>
      <c r="O101" s="64">
        <v>0</v>
      </c>
      <c r="P101" s="64">
        <v>0.27</v>
      </c>
      <c r="Q101" s="64">
        <v>9.3699999999999992</v>
      </c>
      <c r="R101" s="198"/>
      <c r="S101" s="198"/>
      <c r="T101" s="198"/>
      <c r="U101" s="198"/>
    </row>
    <row r="102" spans="1:33" s="12" customFormat="1" x14ac:dyDescent="0.25">
      <c r="A102" s="214" t="s">
        <v>918</v>
      </c>
      <c r="B102" s="64">
        <v>2.2799999999999998</v>
      </c>
      <c r="C102" s="64">
        <v>0.33</v>
      </c>
      <c r="D102" s="64">
        <v>3.15</v>
      </c>
      <c r="E102" s="64">
        <v>2.64</v>
      </c>
      <c r="F102" s="64">
        <v>5.35</v>
      </c>
      <c r="G102" s="64">
        <v>22.99</v>
      </c>
      <c r="H102" s="64">
        <v>9.16</v>
      </c>
      <c r="I102" s="64">
        <v>3.61</v>
      </c>
      <c r="J102" s="64">
        <v>0.02</v>
      </c>
      <c r="K102" s="64">
        <v>245.86</v>
      </c>
      <c r="L102" s="64">
        <v>25.78</v>
      </c>
      <c r="M102" s="64">
        <v>58.97</v>
      </c>
      <c r="N102" s="64">
        <v>16.2</v>
      </c>
      <c r="O102" s="64">
        <v>0</v>
      </c>
      <c r="P102" s="64">
        <v>0.26</v>
      </c>
      <c r="Q102" s="64">
        <v>9.3800000000000008</v>
      </c>
      <c r="R102" s="198"/>
      <c r="S102" s="198"/>
      <c r="T102" s="198"/>
      <c r="U102" s="198"/>
    </row>
    <row r="103" spans="1:33" s="12" customFormat="1" x14ac:dyDescent="0.25">
      <c r="A103" s="214" t="s">
        <v>919</v>
      </c>
      <c r="B103" s="64">
        <v>2.31</v>
      </c>
      <c r="C103" s="64">
        <v>0.31</v>
      </c>
      <c r="D103" s="64">
        <v>3.16</v>
      </c>
      <c r="E103" s="64">
        <v>2.4300000000000002</v>
      </c>
      <c r="F103" s="64">
        <v>5.33</v>
      </c>
      <c r="G103" s="64">
        <v>20.71</v>
      </c>
      <c r="H103" s="64">
        <v>7.65</v>
      </c>
      <c r="I103" s="64">
        <v>3.49</v>
      </c>
      <c r="J103" s="64">
        <v>0.3</v>
      </c>
      <c r="K103" s="64">
        <v>351.16</v>
      </c>
      <c r="L103" s="64">
        <v>26.12</v>
      </c>
      <c r="M103" s="64">
        <v>55.98</v>
      </c>
      <c r="N103" s="64">
        <v>15.9</v>
      </c>
      <c r="O103" s="64">
        <v>0</v>
      </c>
      <c r="P103" s="64">
        <v>0.26</v>
      </c>
      <c r="Q103" s="64">
        <v>9.41</v>
      </c>
      <c r="R103" s="198"/>
      <c r="S103" s="198"/>
      <c r="T103" s="198"/>
      <c r="U103" s="198"/>
    </row>
    <row r="104" spans="1:33" s="12" customFormat="1" x14ac:dyDescent="0.25">
      <c r="A104" s="214" t="s">
        <v>920</v>
      </c>
      <c r="B104" s="64">
        <v>2.29</v>
      </c>
      <c r="C104" s="64">
        <v>0.32</v>
      </c>
      <c r="D104" s="64">
        <v>3.15</v>
      </c>
      <c r="E104" s="64">
        <v>2.57</v>
      </c>
      <c r="F104" s="64">
        <v>5.01</v>
      </c>
      <c r="G104" s="64">
        <v>20.71</v>
      </c>
      <c r="H104" s="64">
        <v>7.65</v>
      </c>
      <c r="I104" s="64">
        <v>3.45</v>
      </c>
      <c r="J104" s="64">
        <v>0.26</v>
      </c>
      <c r="K104" s="64">
        <v>219.94</v>
      </c>
      <c r="L104" s="64">
        <v>26.54</v>
      </c>
      <c r="M104" s="64">
        <v>52.68</v>
      </c>
      <c r="N104" s="64">
        <v>15.7</v>
      </c>
      <c r="O104" s="64">
        <v>0</v>
      </c>
      <c r="P104" s="64">
        <v>0.25</v>
      </c>
      <c r="Q104" s="64">
        <v>9.41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2.2200000000000002</v>
      </c>
      <c r="C106" s="67">
        <f>MIN(C9:C104)</f>
        <v>0.31</v>
      </c>
      <c r="D106" s="67">
        <f t="shared" ref="D106:Q106" si="0">MIN(D9:D104)</f>
        <v>3.14</v>
      </c>
      <c r="E106" s="67">
        <f t="shared" si="0"/>
        <v>1.01</v>
      </c>
      <c r="F106" s="67">
        <f t="shared" si="0"/>
        <v>3.2</v>
      </c>
      <c r="G106" s="67">
        <f t="shared" si="0"/>
        <v>20.71</v>
      </c>
      <c r="H106" s="67">
        <f t="shared" si="0"/>
        <v>7.65</v>
      </c>
      <c r="I106" s="67">
        <f t="shared" si="0"/>
        <v>2.62</v>
      </c>
      <c r="J106" s="67">
        <f t="shared" si="0"/>
        <v>0.02</v>
      </c>
      <c r="K106" s="67">
        <f t="shared" si="0"/>
        <v>7.0000000000000007E-2</v>
      </c>
      <c r="L106" s="67">
        <f t="shared" si="0"/>
        <v>25.36</v>
      </c>
      <c r="M106" s="67">
        <f t="shared" si="0"/>
        <v>28.2</v>
      </c>
      <c r="N106" s="67">
        <f t="shared" si="0"/>
        <v>14.3</v>
      </c>
      <c r="O106" s="67">
        <f t="shared" si="0"/>
        <v>0</v>
      </c>
      <c r="P106" s="67">
        <f t="shared" si="0"/>
        <v>0.25</v>
      </c>
      <c r="Q106" s="67">
        <f t="shared" si="0"/>
        <v>9.3000000000000007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2.72</v>
      </c>
      <c r="C107" s="66">
        <f t="shared" ref="C107:Q107" si="1">MAX(C9:C104)</f>
        <v>1.97</v>
      </c>
      <c r="D107" s="66">
        <f t="shared" si="1"/>
        <v>4.3600000000000003</v>
      </c>
      <c r="E107" s="66">
        <f t="shared" si="1"/>
        <v>2.88</v>
      </c>
      <c r="F107" s="66">
        <f t="shared" si="1"/>
        <v>9.3699999999999992</v>
      </c>
      <c r="G107" s="66">
        <f t="shared" si="1"/>
        <v>52.51</v>
      </c>
      <c r="H107" s="66">
        <f t="shared" si="1"/>
        <v>20.05</v>
      </c>
      <c r="I107" s="66">
        <f t="shared" si="1"/>
        <v>6.43</v>
      </c>
      <c r="J107" s="66">
        <f t="shared" si="1"/>
        <v>3.13</v>
      </c>
      <c r="K107" s="66">
        <f t="shared" si="1"/>
        <v>357.05</v>
      </c>
      <c r="L107" s="66">
        <f t="shared" si="1"/>
        <v>40.130000000000003</v>
      </c>
      <c r="M107" s="66">
        <f t="shared" si="1"/>
        <v>70.709999999999994</v>
      </c>
      <c r="N107" s="66">
        <f t="shared" si="1"/>
        <v>858</v>
      </c>
      <c r="O107" s="66">
        <f t="shared" si="1"/>
        <v>0.2</v>
      </c>
      <c r="P107" s="66">
        <f t="shared" si="1"/>
        <v>0.56999999999999995</v>
      </c>
      <c r="Q107" s="66">
        <f t="shared" si="1"/>
        <v>9.48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2.3884375000000002</v>
      </c>
      <c r="C108" s="67">
        <f t="shared" ref="C108:Q108" si="2">AVERAGE(C9:C104)</f>
        <v>0.70197916666666671</v>
      </c>
      <c r="D108" s="67">
        <f t="shared" si="2"/>
        <v>3.4267708333333311</v>
      </c>
      <c r="E108" s="67">
        <f t="shared" si="2"/>
        <v>1.844479166666666</v>
      </c>
      <c r="F108" s="67">
        <f t="shared" si="2"/>
        <v>6.0789583333333361</v>
      </c>
      <c r="G108" s="67">
        <f t="shared" si="2"/>
        <v>34.994687499999998</v>
      </c>
      <c r="H108" s="67">
        <f t="shared" si="2"/>
        <v>14.184270833333334</v>
      </c>
      <c r="I108" s="67">
        <f t="shared" si="2"/>
        <v>4.3214583333333332</v>
      </c>
      <c r="J108" s="67">
        <f t="shared" si="2"/>
        <v>0.87812499999999971</v>
      </c>
      <c r="K108" s="67">
        <f t="shared" si="2"/>
        <v>189.27958333333333</v>
      </c>
      <c r="L108" s="67">
        <f t="shared" si="2"/>
        <v>30.497604166666662</v>
      </c>
      <c r="M108" s="67">
        <f t="shared" si="2"/>
        <v>49.720729166666651</v>
      </c>
      <c r="N108" s="67">
        <f t="shared" si="2"/>
        <v>256.13333333333333</v>
      </c>
      <c r="O108" s="67">
        <f t="shared" si="2"/>
        <v>2.0833333333333333E-3</v>
      </c>
      <c r="P108" s="67">
        <f t="shared" si="2"/>
        <v>0.39604166666666663</v>
      </c>
      <c r="Q108" s="67">
        <f t="shared" si="2"/>
        <v>9.3826041666666686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0.12607707020540629</v>
      </c>
      <c r="C109" s="67">
        <f t="shared" ref="C109:Q109" si="3">STDEV(C9:C104)</f>
        <v>0.3911941765567703</v>
      </c>
      <c r="D109" s="67">
        <f t="shared" si="3"/>
        <v>0.30131813854136802</v>
      </c>
      <c r="E109" s="67">
        <f t="shared" si="3"/>
        <v>0.48975798489859451</v>
      </c>
      <c r="F109" s="67">
        <f t="shared" si="3"/>
        <v>1.6393955748620155</v>
      </c>
      <c r="G109" s="67">
        <f t="shared" si="3"/>
        <v>7.2808452304479339</v>
      </c>
      <c r="H109" s="67">
        <f t="shared" si="3"/>
        <v>3.4767888223691257</v>
      </c>
      <c r="I109" s="67">
        <f t="shared" si="3"/>
        <v>0.84296466700838768</v>
      </c>
      <c r="J109" s="67">
        <f t="shared" si="3"/>
        <v>0.82768327593540192</v>
      </c>
      <c r="K109" s="67">
        <f t="shared" si="3"/>
        <v>118.19515633424743</v>
      </c>
      <c r="L109" s="67">
        <f t="shared" si="3"/>
        <v>4.6969254769906374</v>
      </c>
      <c r="M109" s="67">
        <f t="shared" si="3"/>
        <v>14.168442713876679</v>
      </c>
      <c r="N109" s="67">
        <f t="shared" si="3"/>
        <v>318.44440468815424</v>
      </c>
      <c r="O109" s="67">
        <f t="shared" si="3"/>
        <v>2.0412414523193152E-2</v>
      </c>
      <c r="P109" s="67">
        <f t="shared" si="3"/>
        <v>8.2302128471123157E-2</v>
      </c>
      <c r="Q109" s="67">
        <f t="shared" si="3"/>
        <v>4.2357992886862643E-2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921</v>
      </c>
      <c r="B9" s="64">
        <v>2.4300000000000002</v>
      </c>
      <c r="C9" s="64">
        <v>0.56999999999999995</v>
      </c>
      <c r="D9" s="64">
        <v>3.39</v>
      </c>
      <c r="E9" s="64">
        <v>2.42</v>
      </c>
      <c r="F9" s="64">
        <v>4.88</v>
      </c>
      <c r="G9" s="64">
        <v>20.71</v>
      </c>
      <c r="H9" s="64">
        <v>7.65</v>
      </c>
      <c r="I9" s="64">
        <v>3.46</v>
      </c>
      <c r="J9" s="64">
        <v>0.17</v>
      </c>
      <c r="K9" s="64">
        <v>24.79</v>
      </c>
      <c r="L9" s="64">
        <v>26.62</v>
      </c>
      <c r="M9" s="64">
        <v>52.7</v>
      </c>
      <c r="N9" s="64">
        <v>16.3</v>
      </c>
      <c r="O9" s="64">
        <v>0</v>
      </c>
      <c r="P9" s="64">
        <v>0.25</v>
      </c>
      <c r="Q9" s="64">
        <v>9.4</v>
      </c>
      <c r="R9" s="198"/>
      <c r="S9" s="198"/>
      <c r="T9" s="198"/>
      <c r="U9" s="198"/>
    </row>
    <row r="10" spans="1:21" s="12" customFormat="1" x14ac:dyDescent="0.25">
      <c r="A10" s="214" t="s">
        <v>922</v>
      </c>
      <c r="B10" s="64">
        <v>2.66</v>
      </c>
      <c r="C10" s="64">
        <v>1.22</v>
      </c>
      <c r="D10" s="64">
        <v>3.91</v>
      </c>
      <c r="E10" s="64">
        <v>2.4</v>
      </c>
      <c r="F10" s="64">
        <v>5.07</v>
      </c>
      <c r="G10" s="64">
        <v>21.13</v>
      </c>
      <c r="H10" s="64">
        <v>8.27</v>
      </c>
      <c r="I10" s="64">
        <v>3.4</v>
      </c>
      <c r="J10" s="64">
        <v>0.23</v>
      </c>
      <c r="K10" s="64">
        <v>352</v>
      </c>
      <c r="L10" s="64">
        <v>26.79</v>
      </c>
      <c r="M10" s="64">
        <v>51.61</v>
      </c>
      <c r="N10" s="64">
        <v>16.100000000000001</v>
      </c>
      <c r="O10" s="64">
        <v>0</v>
      </c>
      <c r="P10" s="64">
        <v>0.25</v>
      </c>
      <c r="Q10" s="64">
        <v>9.41</v>
      </c>
      <c r="R10" s="198"/>
      <c r="S10" s="198"/>
      <c r="T10" s="198"/>
      <c r="U10" s="198"/>
    </row>
    <row r="11" spans="1:21" s="12" customFormat="1" x14ac:dyDescent="0.25">
      <c r="A11" s="214" t="s">
        <v>923</v>
      </c>
      <c r="B11" s="64">
        <v>2.2999999999999998</v>
      </c>
      <c r="C11" s="64">
        <v>0.42</v>
      </c>
      <c r="D11" s="64">
        <v>3.21</v>
      </c>
      <c r="E11" s="64">
        <v>2.36</v>
      </c>
      <c r="F11" s="64">
        <v>5</v>
      </c>
      <c r="G11" s="64">
        <v>21.51</v>
      </c>
      <c r="H11" s="64">
        <v>8.84</v>
      </c>
      <c r="I11" s="64">
        <v>3.22</v>
      </c>
      <c r="J11" s="64">
        <v>0.5</v>
      </c>
      <c r="K11" s="64">
        <v>14.91</v>
      </c>
      <c r="L11" s="64">
        <v>27.07</v>
      </c>
      <c r="M11" s="64">
        <v>51.27</v>
      </c>
      <c r="N11" s="64">
        <v>16</v>
      </c>
      <c r="O11" s="64">
        <v>0</v>
      </c>
      <c r="P11" s="64">
        <v>0.26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14" t="s">
        <v>924</v>
      </c>
      <c r="B12" s="64">
        <v>2.27</v>
      </c>
      <c r="C12" s="64">
        <v>0.38</v>
      </c>
      <c r="D12" s="64">
        <v>3.16</v>
      </c>
      <c r="E12" s="64">
        <v>2.8</v>
      </c>
      <c r="F12" s="64">
        <v>4.66</v>
      </c>
      <c r="G12" s="64">
        <v>21.51</v>
      </c>
      <c r="H12" s="64">
        <v>8.84</v>
      </c>
      <c r="I12" s="64">
        <v>3.46</v>
      </c>
      <c r="J12" s="64">
        <v>0.54</v>
      </c>
      <c r="K12" s="64">
        <v>22.57</v>
      </c>
      <c r="L12" s="64">
        <v>27.14</v>
      </c>
      <c r="M12" s="64">
        <v>52.83</v>
      </c>
      <c r="N12" s="64">
        <v>16</v>
      </c>
      <c r="O12" s="64">
        <v>0</v>
      </c>
      <c r="P12" s="64">
        <v>0.25</v>
      </c>
      <c r="Q12" s="64">
        <v>9.3699999999999992</v>
      </c>
      <c r="R12" s="198"/>
      <c r="S12" s="198"/>
      <c r="T12" s="198"/>
      <c r="U12" s="198"/>
    </row>
    <row r="13" spans="1:21" s="12" customFormat="1" x14ac:dyDescent="0.25">
      <c r="A13" s="214" t="s">
        <v>925</v>
      </c>
      <c r="B13" s="64">
        <v>2.2400000000000002</v>
      </c>
      <c r="C13" s="64">
        <v>0.38</v>
      </c>
      <c r="D13" s="64">
        <v>3.14</v>
      </c>
      <c r="E13" s="64">
        <v>2.37</v>
      </c>
      <c r="F13" s="64">
        <v>5.34</v>
      </c>
      <c r="G13" s="64">
        <v>21.51</v>
      </c>
      <c r="H13" s="64">
        <v>8.84</v>
      </c>
      <c r="I13" s="64">
        <v>3.63</v>
      </c>
      <c r="J13" s="64">
        <v>0.08</v>
      </c>
      <c r="K13" s="64">
        <v>52.44</v>
      </c>
      <c r="L13" s="64">
        <v>27.02</v>
      </c>
      <c r="M13" s="64">
        <v>54.61</v>
      </c>
      <c r="N13" s="64">
        <v>16</v>
      </c>
      <c r="O13" s="64">
        <v>0</v>
      </c>
      <c r="P13" s="64">
        <v>0.24</v>
      </c>
      <c r="Q13" s="64">
        <v>9.39</v>
      </c>
      <c r="R13" s="198"/>
      <c r="S13" s="198"/>
      <c r="T13" s="198"/>
      <c r="U13" s="198"/>
    </row>
    <row r="14" spans="1:21" s="12" customFormat="1" x14ac:dyDescent="0.25">
      <c r="A14" s="214" t="s">
        <v>926</v>
      </c>
      <c r="B14" s="64">
        <v>2.46</v>
      </c>
      <c r="C14" s="64">
        <v>0.86</v>
      </c>
      <c r="D14" s="64">
        <v>3.57</v>
      </c>
      <c r="E14" s="64">
        <v>2.31</v>
      </c>
      <c r="F14" s="64">
        <v>5.74</v>
      </c>
      <c r="G14" s="64">
        <v>20.97</v>
      </c>
      <c r="H14" s="64">
        <v>7.82</v>
      </c>
      <c r="I14" s="64">
        <v>3.47</v>
      </c>
      <c r="J14" s="64">
        <v>0.66</v>
      </c>
      <c r="K14" s="64">
        <v>152.63999999999999</v>
      </c>
      <c r="L14" s="64">
        <v>26.82</v>
      </c>
      <c r="M14" s="64">
        <v>56.91</v>
      </c>
      <c r="N14" s="64">
        <v>16.100000000000001</v>
      </c>
      <c r="O14" s="64">
        <v>0</v>
      </c>
      <c r="P14" s="64">
        <v>0.25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14" t="s">
        <v>927</v>
      </c>
      <c r="B15" s="64">
        <v>2.48</v>
      </c>
      <c r="C15" s="64">
        <v>1.03</v>
      </c>
      <c r="D15" s="64">
        <v>3.68</v>
      </c>
      <c r="E15" s="64">
        <v>2.4900000000000002</v>
      </c>
      <c r="F15" s="64">
        <v>4.82</v>
      </c>
      <c r="G15" s="64">
        <v>20.46</v>
      </c>
      <c r="H15" s="64">
        <v>6.85</v>
      </c>
      <c r="I15" s="64">
        <v>3.29</v>
      </c>
      <c r="J15" s="64">
        <v>0.2</v>
      </c>
      <c r="K15" s="64">
        <v>202.68</v>
      </c>
      <c r="L15" s="64">
        <v>26.69</v>
      </c>
      <c r="M15" s="64">
        <v>57.78</v>
      </c>
      <c r="N15" s="64">
        <v>16.3</v>
      </c>
      <c r="O15" s="64">
        <v>0</v>
      </c>
      <c r="P15" s="64">
        <v>0.25</v>
      </c>
      <c r="Q15" s="64">
        <v>9.43</v>
      </c>
      <c r="R15" s="198"/>
      <c r="S15" s="198"/>
      <c r="T15" s="198"/>
      <c r="U15" s="198"/>
    </row>
    <row r="16" spans="1:21" s="12" customFormat="1" x14ac:dyDescent="0.25">
      <c r="A16" s="214" t="s">
        <v>928</v>
      </c>
      <c r="B16" s="64">
        <v>2.36</v>
      </c>
      <c r="C16" s="64">
        <v>0.59</v>
      </c>
      <c r="D16" s="64">
        <v>3.35</v>
      </c>
      <c r="E16" s="64">
        <v>2.17</v>
      </c>
      <c r="F16" s="64">
        <v>4.49</v>
      </c>
      <c r="G16" s="64">
        <v>20.46</v>
      </c>
      <c r="H16" s="64">
        <v>6.85</v>
      </c>
      <c r="I16" s="64">
        <v>3.29</v>
      </c>
      <c r="J16" s="64">
        <v>0.4</v>
      </c>
      <c r="K16" s="64">
        <v>207.58</v>
      </c>
      <c r="L16" s="64">
        <v>26.68</v>
      </c>
      <c r="M16" s="64">
        <v>60.14</v>
      </c>
      <c r="N16" s="64">
        <v>16.2</v>
      </c>
      <c r="O16" s="64">
        <v>0</v>
      </c>
      <c r="P16" s="64">
        <v>0.24</v>
      </c>
      <c r="Q16" s="64">
        <v>9.3800000000000008</v>
      </c>
      <c r="R16" s="198"/>
      <c r="S16" s="198"/>
      <c r="T16" s="198"/>
      <c r="U16" s="198"/>
    </row>
    <row r="17" spans="1:21" s="12" customFormat="1" x14ac:dyDescent="0.25">
      <c r="A17" s="214" t="s">
        <v>929</v>
      </c>
      <c r="B17" s="64">
        <v>2.46</v>
      </c>
      <c r="C17" s="64">
        <v>0.84</v>
      </c>
      <c r="D17" s="64">
        <v>3.55</v>
      </c>
      <c r="E17" s="64">
        <v>1.95</v>
      </c>
      <c r="F17" s="64">
        <v>4.63</v>
      </c>
      <c r="G17" s="64">
        <v>20.46</v>
      </c>
      <c r="H17" s="64">
        <v>6.85</v>
      </c>
      <c r="I17" s="64">
        <v>3.34</v>
      </c>
      <c r="J17" s="64">
        <v>0.19</v>
      </c>
      <c r="K17" s="64">
        <v>349.76</v>
      </c>
      <c r="L17" s="64">
        <v>26.37</v>
      </c>
      <c r="M17" s="64">
        <v>63.18</v>
      </c>
      <c r="N17" s="64">
        <v>16.600000000000001</v>
      </c>
      <c r="O17" s="64">
        <v>0</v>
      </c>
      <c r="P17" s="64">
        <v>0.23</v>
      </c>
      <c r="Q17" s="64">
        <v>9.39</v>
      </c>
      <c r="R17" s="198"/>
      <c r="S17" s="198"/>
      <c r="T17" s="198"/>
      <c r="U17" s="198"/>
    </row>
    <row r="18" spans="1:21" s="12" customFormat="1" x14ac:dyDescent="0.25">
      <c r="A18" s="214" t="s">
        <v>930</v>
      </c>
      <c r="B18" s="64">
        <v>2.29</v>
      </c>
      <c r="C18" s="64">
        <v>0.36</v>
      </c>
      <c r="D18" s="64">
        <v>3.17</v>
      </c>
      <c r="E18" s="64">
        <v>2.21</v>
      </c>
      <c r="F18" s="64">
        <v>4.99</v>
      </c>
      <c r="G18" s="64">
        <v>21.3</v>
      </c>
      <c r="H18" s="64">
        <v>7.41</v>
      </c>
      <c r="I18" s="64">
        <v>3.29</v>
      </c>
      <c r="J18" s="64">
        <v>0.36</v>
      </c>
      <c r="K18" s="64">
        <v>0.9</v>
      </c>
      <c r="L18" s="64">
        <v>26.32</v>
      </c>
      <c r="M18" s="64">
        <v>64.28</v>
      </c>
      <c r="N18" s="64">
        <v>16.3</v>
      </c>
      <c r="O18" s="64">
        <v>0</v>
      </c>
      <c r="P18" s="64">
        <v>0.23</v>
      </c>
      <c r="Q18" s="64">
        <v>9.4</v>
      </c>
      <c r="R18" s="198"/>
      <c r="S18" s="198"/>
      <c r="T18" s="198"/>
      <c r="U18" s="198"/>
    </row>
    <row r="19" spans="1:21" s="12" customFormat="1" x14ac:dyDescent="0.25">
      <c r="A19" s="214" t="s">
        <v>931</v>
      </c>
      <c r="B19" s="64">
        <v>2.29</v>
      </c>
      <c r="C19" s="64">
        <v>0.36</v>
      </c>
      <c r="D19" s="64">
        <v>3.17</v>
      </c>
      <c r="E19" s="64">
        <v>2.4</v>
      </c>
      <c r="F19" s="64">
        <v>5.27</v>
      </c>
      <c r="G19" s="64">
        <v>22.1</v>
      </c>
      <c r="H19" s="64">
        <v>7.94</v>
      </c>
      <c r="I19" s="64">
        <v>3.19</v>
      </c>
      <c r="J19" s="64">
        <v>0.28000000000000003</v>
      </c>
      <c r="K19" s="64">
        <v>70.41</v>
      </c>
      <c r="L19" s="64">
        <v>26.24</v>
      </c>
      <c r="M19" s="64">
        <v>64.94</v>
      </c>
      <c r="N19" s="64">
        <v>16.3</v>
      </c>
      <c r="O19" s="64">
        <v>0</v>
      </c>
      <c r="P19" s="64">
        <v>0.24</v>
      </c>
      <c r="Q19" s="64">
        <v>9.43</v>
      </c>
      <c r="R19" s="198"/>
      <c r="S19" s="198"/>
      <c r="T19" s="198"/>
      <c r="U19" s="198"/>
    </row>
    <row r="20" spans="1:21" s="12" customFormat="1" x14ac:dyDescent="0.25">
      <c r="A20" s="214" t="s">
        <v>932</v>
      </c>
      <c r="B20" s="64">
        <v>2.34</v>
      </c>
      <c r="C20" s="64">
        <v>0.56999999999999995</v>
      </c>
      <c r="D20" s="64">
        <v>3.32</v>
      </c>
      <c r="E20" s="64">
        <v>2.44</v>
      </c>
      <c r="F20" s="64">
        <v>4.21</v>
      </c>
      <c r="G20" s="64">
        <v>22.1</v>
      </c>
      <c r="H20" s="64">
        <v>7.94</v>
      </c>
      <c r="I20" s="64">
        <v>3.09</v>
      </c>
      <c r="J20" s="64">
        <v>0.75</v>
      </c>
      <c r="K20" s="64">
        <v>143.94999999999999</v>
      </c>
      <c r="L20" s="64">
        <v>26.3</v>
      </c>
      <c r="M20" s="64">
        <v>65.52</v>
      </c>
      <c r="N20" s="64">
        <v>16.3</v>
      </c>
      <c r="O20" s="64">
        <v>0</v>
      </c>
      <c r="P20" s="64">
        <v>0.24</v>
      </c>
      <c r="Q20" s="64">
        <v>9.41</v>
      </c>
      <c r="R20" s="198"/>
      <c r="S20" s="198"/>
      <c r="T20" s="198"/>
      <c r="U20" s="198"/>
    </row>
    <row r="21" spans="1:21" s="12" customFormat="1" x14ac:dyDescent="0.25">
      <c r="A21" s="214" t="s">
        <v>933</v>
      </c>
      <c r="B21" s="64">
        <v>2.58</v>
      </c>
      <c r="C21" s="64">
        <v>1.22</v>
      </c>
      <c r="D21" s="64">
        <v>3.85</v>
      </c>
      <c r="E21" s="64">
        <v>2.17</v>
      </c>
      <c r="F21" s="64">
        <v>3.98</v>
      </c>
      <c r="G21" s="64">
        <v>22.1</v>
      </c>
      <c r="H21" s="64">
        <v>7.94</v>
      </c>
      <c r="I21" s="64">
        <v>3.1</v>
      </c>
      <c r="J21" s="64">
        <v>0.51</v>
      </c>
      <c r="K21" s="64">
        <v>210.93</v>
      </c>
      <c r="L21" s="64">
        <v>26.3</v>
      </c>
      <c r="M21" s="64">
        <v>65.099999999999994</v>
      </c>
      <c r="N21" s="64">
        <v>16.2</v>
      </c>
      <c r="O21" s="64">
        <v>0</v>
      </c>
      <c r="P21" s="64">
        <v>0.23</v>
      </c>
      <c r="Q21" s="64">
        <v>9.34</v>
      </c>
      <c r="R21" s="198"/>
      <c r="S21" s="198"/>
      <c r="T21" s="198"/>
      <c r="U21" s="198"/>
    </row>
    <row r="22" spans="1:21" s="12" customFormat="1" x14ac:dyDescent="0.25">
      <c r="A22" s="214" t="s">
        <v>934</v>
      </c>
      <c r="B22" s="64">
        <v>2.31</v>
      </c>
      <c r="C22" s="64">
        <v>0.41</v>
      </c>
      <c r="D22" s="64">
        <v>3.21</v>
      </c>
      <c r="E22" s="64">
        <v>1.96</v>
      </c>
      <c r="F22" s="64">
        <v>4.04</v>
      </c>
      <c r="G22" s="64">
        <v>21.05</v>
      </c>
      <c r="H22" s="64">
        <v>8.0299999999999994</v>
      </c>
      <c r="I22" s="64">
        <v>3.13</v>
      </c>
      <c r="J22" s="64">
        <v>1.1499999999999999</v>
      </c>
      <c r="K22" s="64">
        <v>162.49</v>
      </c>
      <c r="L22" s="64">
        <v>26.22</v>
      </c>
      <c r="M22" s="64">
        <v>67.14</v>
      </c>
      <c r="N22" s="64">
        <v>16.399999999999999</v>
      </c>
      <c r="O22" s="64">
        <v>0</v>
      </c>
      <c r="P22" s="64">
        <v>0.23</v>
      </c>
      <c r="Q22" s="64">
        <v>9.31</v>
      </c>
      <c r="R22" s="198"/>
      <c r="S22" s="198"/>
      <c r="T22" s="198"/>
      <c r="U22" s="198"/>
    </row>
    <row r="23" spans="1:21" s="12" customFormat="1" x14ac:dyDescent="0.25">
      <c r="A23" s="214" t="s">
        <v>935</v>
      </c>
      <c r="B23" s="64">
        <v>2.31</v>
      </c>
      <c r="C23" s="64">
        <v>0.36</v>
      </c>
      <c r="D23" s="64">
        <v>3.18</v>
      </c>
      <c r="E23" s="64">
        <v>1.91</v>
      </c>
      <c r="F23" s="64">
        <v>3.81</v>
      </c>
      <c r="G23" s="64">
        <v>20.03</v>
      </c>
      <c r="H23" s="64">
        <v>8.1300000000000008</v>
      </c>
      <c r="I23" s="64">
        <v>2.95</v>
      </c>
      <c r="J23" s="64">
        <v>1.26</v>
      </c>
      <c r="K23" s="64">
        <v>156.85</v>
      </c>
      <c r="L23" s="64">
        <v>26.09</v>
      </c>
      <c r="M23" s="64">
        <v>69.31</v>
      </c>
      <c r="N23" s="64">
        <v>16.399999999999999</v>
      </c>
      <c r="O23" s="64">
        <v>0</v>
      </c>
      <c r="P23" s="64">
        <v>0.23</v>
      </c>
      <c r="Q23" s="64">
        <v>9.33</v>
      </c>
      <c r="R23" s="198"/>
      <c r="S23" s="198"/>
      <c r="T23" s="198"/>
      <c r="U23" s="198"/>
    </row>
    <row r="24" spans="1:21" s="12" customFormat="1" x14ac:dyDescent="0.25">
      <c r="A24" s="214" t="s">
        <v>936</v>
      </c>
      <c r="B24" s="64">
        <v>2.31</v>
      </c>
      <c r="C24" s="64">
        <v>0.35</v>
      </c>
      <c r="D24" s="64">
        <v>3.18</v>
      </c>
      <c r="E24" s="64">
        <v>1.5</v>
      </c>
      <c r="F24" s="64">
        <v>3.67</v>
      </c>
      <c r="G24" s="64">
        <v>20.03</v>
      </c>
      <c r="H24" s="64">
        <v>8.1300000000000008</v>
      </c>
      <c r="I24" s="64">
        <v>3.1</v>
      </c>
      <c r="J24" s="64">
        <v>0.18</v>
      </c>
      <c r="K24" s="64">
        <v>203.4</v>
      </c>
      <c r="L24" s="64">
        <v>26.05</v>
      </c>
      <c r="M24" s="64">
        <v>69.849999999999994</v>
      </c>
      <c r="N24" s="64">
        <v>16.600000000000001</v>
      </c>
      <c r="O24" s="64">
        <v>0</v>
      </c>
      <c r="P24" s="64">
        <v>0.23</v>
      </c>
      <c r="Q24" s="64">
        <v>9.34</v>
      </c>
      <c r="R24" s="198"/>
      <c r="S24" s="198"/>
      <c r="T24" s="198"/>
      <c r="U24" s="198"/>
    </row>
    <row r="25" spans="1:21" s="12" customFormat="1" x14ac:dyDescent="0.25">
      <c r="A25" s="214" t="s">
        <v>937</v>
      </c>
      <c r="B25" s="64">
        <v>2.34</v>
      </c>
      <c r="C25" s="64">
        <v>0.35</v>
      </c>
      <c r="D25" s="64">
        <v>3.2</v>
      </c>
      <c r="E25" s="64">
        <v>1.31</v>
      </c>
      <c r="F25" s="64">
        <v>3.92</v>
      </c>
      <c r="G25" s="64">
        <v>20.03</v>
      </c>
      <c r="H25" s="64">
        <v>8.1300000000000008</v>
      </c>
      <c r="I25" s="64">
        <v>3.52</v>
      </c>
      <c r="J25" s="64">
        <v>0.44</v>
      </c>
      <c r="K25" s="64">
        <v>207.18</v>
      </c>
      <c r="L25" s="64">
        <v>26.13</v>
      </c>
      <c r="M25" s="64">
        <v>69.75</v>
      </c>
      <c r="N25" s="64">
        <v>16.3</v>
      </c>
      <c r="O25" s="64">
        <v>0</v>
      </c>
      <c r="P25" s="64">
        <v>0.23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14" t="s">
        <v>938</v>
      </c>
      <c r="B26" s="64">
        <v>2.57</v>
      </c>
      <c r="C26" s="64">
        <v>0.93</v>
      </c>
      <c r="D26" s="64">
        <v>3.7</v>
      </c>
      <c r="E26" s="64">
        <v>1.17</v>
      </c>
      <c r="F26" s="64">
        <v>3.9</v>
      </c>
      <c r="G26" s="64">
        <v>20.239999999999998</v>
      </c>
      <c r="H26" s="64">
        <v>6.93</v>
      </c>
      <c r="I26" s="64">
        <v>3.51</v>
      </c>
      <c r="J26" s="64">
        <v>0.88</v>
      </c>
      <c r="K26" s="64">
        <v>170.28</v>
      </c>
      <c r="L26" s="64">
        <v>25.91</v>
      </c>
      <c r="M26" s="64">
        <v>71.510000000000005</v>
      </c>
      <c r="N26" s="64">
        <v>16.600000000000001</v>
      </c>
      <c r="O26" s="64">
        <v>0</v>
      </c>
      <c r="P26" s="64">
        <v>0.23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4" t="s">
        <v>939</v>
      </c>
      <c r="B27" s="64">
        <v>2.52</v>
      </c>
      <c r="C27" s="64">
        <v>0.83</v>
      </c>
      <c r="D27" s="64">
        <v>3.6</v>
      </c>
      <c r="E27" s="64">
        <v>1.18</v>
      </c>
      <c r="F27" s="64">
        <v>4.0999999999999996</v>
      </c>
      <c r="G27" s="64">
        <v>20.43</v>
      </c>
      <c r="H27" s="64">
        <v>5.79</v>
      </c>
      <c r="I27" s="64">
        <v>3.7</v>
      </c>
      <c r="J27" s="64">
        <v>0.77</v>
      </c>
      <c r="K27" s="64">
        <v>182.53</v>
      </c>
      <c r="L27" s="64">
        <v>25.85</v>
      </c>
      <c r="M27" s="64">
        <v>72.349999999999994</v>
      </c>
      <c r="N27" s="64">
        <v>16.399999999999999</v>
      </c>
      <c r="O27" s="64">
        <v>0</v>
      </c>
      <c r="P27" s="64">
        <v>0.23</v>
      </c>
      <c r="Q27" s="64">
        <v>9.42</v>
      </c>
      <c r="R27" s="198"/>
      <c r="S27" s="198"/>
      <c r="T27" s="198"/>
      <c r="U27" s="198"/>
    </row>
    <row r="28" spans="1:21" s="12" customFormat="1" x14ac:dyDescent="0.25">
      <c r="A28" s="214" t="s">
        <v>940</v>
      </c>
      <c r="B28" s="64">
        <v>2.35</v>
      </c>
      <c r="C28" s="64">
        <v>0.39</v>
      </c>
      <c r="D28" s="64">
        <v>3.23</v>
      </c>
      <c r="E28" s="64">
        <v>1.31</v>
      </c>
      <c r="F28" s="64">
        <v>4.0599999999999996</v>
      </c>
      <c r="G28" s="64">
        <v>20.43</v>
      </c>
      <c r="H28" s="64">
        <v>5.79</v>
      </c>
      <c r="I28" s="64">
        <v>3.97</v>
      </c>
      <c r="J28" s="64">
        <v>0.45</v>
      </c>
      <c r="K28" s="64">
        <v>218.39</v>
      </c>
      <c r="L28" s="64">
        <v>25.94</v>
      </c>
      <c r="M28" s="64">
        <v>71.94</v>
      </c>
      <c r="N28" s="64">
        <v>16.399999999999999</v>
      </c>
      <c r="O28" s="64">
        <v>0</v>
      </c>
      <c r="P28" s="64">
        <v>0.24</v>
      </c>
      <c r="Q28" s="64">
        <v>9.41</v>
      </c>
      <c r="R28" s="198"/>
      <c r="S28" s="198"/>
      <c r="T28" s="198"/>
      <c r="U28" s="198"/>
    </row>
    <row r="29" spans="1:21" s="12" customFormat="1" x14ac:dyDescent="0.25">
      <c r="A29" s="214" t="s">
        <v>941</v>
      </c>
      <c r="B29" s="64">
        <v>2.29</v>
      </c>
      <c r="C29" s="64">
        <v>0.33</v>
      </c>
      <c r="D29" s="64">
        <v>3.15</v>
      </c>
      <c r="E29" s="64">
        <v>1.44</v>
      </c>
      <c r="F29" s="64">
        <v>4.51</v>
      </c>
      <c r="G29" s="64">
        <v>20.43</v>
      </c>
      <c r="H29" s="64">
        <v>5.79</v>
      </c>
      <c r="I29" s="64">
        <v>4.21</v>
      </c>
      <c r="J29" s="64">
        <v>0.18</v>
      </c>
      <c r="K29" s="64">
        <v>284.02</v>
      </c>
      <c r="L29" s="64">
        <v>25.96</v>
      </c>
      <c r="M29" s="64">
        <v>72.349999999999994</v>
      </c>
      <c r="N29" s="64">
        <v>18.899999999999999</v>
      </c>
      <c r="O29" s="64">
        <v>0</v>
      </c>
      <c r="P29" s="64">
        <v>0.25</v>
      </c>
      <c r="Q29" s="64">
        <v>9.4600000000000009</v>
      </c>
      <c r="R29" s="198"/>
      <c r="S29" s="198"/>
      <c r="T29" s="198"/>
      <c r="U29" s="198"/>
    </row>
    <row r="30" spans="1:21" s="12" customFormat="1" x14ac:dyDescent="0.25">
      <c r="A30" s="214" t="s">
        <v>942</v>
      </c>
      <c r="B30" s="64">
        <v>2.29</v>
      </c>
      <c r="C30" s="64">
        <v>0.4</v>
      </c>
      <c r="D30" s="64">
        <v>3.19</v>
      </c>
      <c r="E30" s="64">
        <v>1.62</v>
      </c>
      <c r="F30" s="64">
        <v>4.16</v>
      </c>
      <c r="G30" s="64">
        <v>21.44</v>
      </c>
      <c r="H30" s="64">
        <v>6.07</v>
      </c>
      <c r="I30" s="64">
        <v>4.47</v>
      </c>
      <c r="J30" s="64">
        <v>1.41</v>
      </c>
      <c r="K30" s="64">
        <v>151.02000000000001</v>
      </c>
      <c r="L30" s="64">
        <v>26.14</v>
      </c>
      <c r="M30" s="64">
        <v>72.319999999999993</v>
      </c>
      <c r="N30" s="64">
        <v>30.8</v>
      </c>
      <c r="O30" s="64">
        <v>0</v>
      </c>
      <c r="P30" s="64">
        <v>0.25</v>
      </c>
      <c r="Q30" s="64">
        <v>9.41</v>
      </c>
      <c r="R30" s="198"/>
      <c r="S30" s="198"/>
      <c r="T30" s="198"/>
      <c r="U30" s="198"/>
    </row>
    <row r="31" spans="1:21" s="12" customFormat="1" x14ac:dyDescent="0.25">
      <c r="A31" s="214" t="s">
        <v>943</v>
      </c>
      <c r="B31" s="64">
        <v>2.29</v>
      </c>
      <c r="C31" s="64">
        <v>0.4</v>
      </c>
      <c r="D31" s="64">
        <v>3.19</v>
      </c>
      <c r="E31" s="64">
        <v>1.54</v>
      </c>
      <c r="F31" s="64">
        <v>4.04</v>
      </c>
      <c r="G31" s="64">
        <v>22.41</v>
      </c>
      <c r="H31" s="64">
        <v>6.34</v>
      </c>
      <c r="I31" s="64">
        <v>4.53</v>
      </c>
      <c r="J31" s="64">
        <v>0.65</v>
      </c>
      <c r="K31" s="64">
        <v>176.13</v>
      </c>
      <c r="L31" s="64">
        <v>25.99</v>
      </c>
      <c r="M31" s="64">
        <v>73.739999999999995</v>
      </c>
      <c r="N31" s="64">
        <v>50</v>
      </c>
      <c r="O31" s="64">
        <v>0</v>
      </c>
      <c r="P31" s="64">
        <v>0.25</v>
      </c>
      <c r="Q31" s="64">
        <v>9.39</v>
      </c>
      <c r="R31" s="198"/>
      <c r="S31" s="198"/>
      <c r="T31" s="198"/>
      <c r="U31" s="198"/>
    </row>
    <row r="32" spans="1:21" s="12" customFormat="1" x14ac:dyDescent="0.25">
      <c r="A32" s="214" t="s">
        <v>944</v>
      </c>
      <c r="B32" s="64">
        <v>2.44</v>
      </c>
      <c r="C32" s="64">
        <v>0.78</v>
      </c>
      <c r="D32" s="64">
        <v>3.51</v>
      </c>
      <c r="E32" s="64">
        <v>1.31</v>
      </c>
      <c r="F32" s="64">
        <v>4.0599999999999996</v>
      </c>
      <c r="G32" s="64">
        <v>22.41</v>
      </c>
      <c r="H32" s="64">
        <v>6.34</v>
      </c>
      <c r="I32" s="64">
        <v>4.51</v>
      </c>
      <c r="J32" s="64">
        <v>0.62</v>
      </c>
      <c r="K32" s="64">
        <v>174.17</v>
      </c>
      <c r="L32" s="64">
        <v>26.08</v>
      </c>
      <c r="M32" s="64">
        <v>73.44</v>
      </c>
      <c r="N32" s="64">
        <v>58.1</v>
      </c>
      <c r="O32" s="64">
        <v>0</v>
      </c>
      <c r="P32" s="64">
        <v>0.25</v>
      </c>
      <c r="Q32" s="64">
        <v>9.41</v>
      </c>
      <c r="R32" s="198"/>
      <c r="S32" s="198"/>
      <c r="T32" s="198"/>
      <c r="U32" s="198"/>
    </row>
    <row r="33" spans="1:21" s="12" customFormat="1" x14ac:dyDescent="0.25">
      <c r="A33" s="214" t="s">
        <v>945</v>
      </c>
      <c r="B33" s="64">
        <v>2.5499999999999998</v>
      </c>
      <c r="C33" s="64">
        <v>1.06</v>
      </c>
      <c r="D33" s="64">
        <v>3.74</v>
      </c>
      <c r="E33" s="64">
        <v>1.19</v>
      </c>
      <c r="F33" s="64">
        <v>4.88</v>
      </c>
      <c r="G33" s="64">
        <v>22.41</v>
      </c>
      <c r="H33" s="64">
        <v>6.34</v>
      </c>
      <c r="I33" s="64">
        <v>4.4000000000000004</v>
      </c>
      <c r="J33" s="64">
        <v>0.14000000000000001</v>
      </c>
      <c r="K33" s="64">
        <v>314.63</v>
      </c>
      <c r="L33" s="64">
        <v>26.29</v>
      </c>
      <c r="M33" s="64">
        <v>72.819999999999993</v>
      </c>
      <c r="N33" s="64">
        <v>90.6</v>
      </c>
      <c r="O33" s="64">
        <v>0</v>
      </c>
      <c r="P33" s="64">
        <v>0.26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14" t="s">
        <v>946</v>
      </c>
      <c r="B34" s="64">
        <v>2.29</v>
      </c>
      <c r="C34" s="64">
        <v>0.41</v>
      </c>
      <c r="D34" s="64">
        <v>3.2</v>
      </c>
      <c r="E34" s="64">
        <v>1.29</v>
      </c>
      <c r="F34" s="64">
        <v>4.22</v>
      </c>
      <c r="G34" s="64">
        <v>22.74</v>
      </c>
      <c r="H34" s="64">
        <v>7.92</v>
      </c>
      <c r="I34" s="64">
        <v>4.28</v>
      </c>
      <c r="J34" s="64">
        <v>0.25</v>
      </c>
      <c r="K34" s="64">
        <v>26.66</v>
      </c>
      <c r="L34" s="64">
        <v>26.97</v>
      </c>
      <c r="M34" s="64">
        <v>70.55</v>
      </c>
      <c r="N34" s="64">
        <v>126.6</v>
      </c>
      <c r="O34" s="64">
        <v>0</v>
      </c>
      <c r="P34" s="64">
        <v>0.27</v>
      </c>
      <c r="Q34" s="64">
        <v>9.44</v>
      </c>
      <c r="R34" s="198"/>
      <c r="S34" s="198"/>
      <c r="T34" s="198"/>
      <c r="U34" s="198"/>
    </row>
    <row r="35" spans="1:21" s="12" customFormat="1" x14ac:dyDescent="0.25">
      <c r="A35" s="214" t="s">
        <v>947</v>
      </c>
      <c r="B35" s="64">
        <v>2.2400000000000002</v>
      </c>
      <c r="C35" s="64">
        <v>0.38</v>
      </c>
      <c r="D35" s="64">
        <v>3.14</v>
      </c>
      <c r="E35" s="64">
        <v>1.25</v>
      </c>
      <c r="F35" s="64">
        <v>3.84</v>
      </c>
      <c r="G35" s="64">
        <v>23.05</v>
      </c>
      <c r="H35" s="64">
        <v>9.3800000000000008</v>
      </c>
      <c r="I35" s="64">
        <v>4.21</v>
      </c>
      <c r="J35" s="64">
        <v>0.51</v>
      </c>
      <c r="K35" s="64">
        <v>348.86</v>
      </c>
      <c r="L35" s="64">
        <v>27.43</v>
      </c>
      <c r="M35" s="64">
        <v>69.290000000000006</v>
      </c>
      <c r="N35" s="64">
        <v>128.80000000000001</v>
      </c>
      <c r="O35" s="64">
        <v>0</v>
      </c>
      <c r="P35" s="64">
        <v>0.27</v>
      </c>
      <c r="Q35" s="64">
        <v>9.3800000000000008</v>
      </c>
      <c r="R35" s="198"/>
      <c r="S35" s="198"/>
      <c r="T35" s="198"/>
      <c r="U35" s="198"/>
    </row>
    <row r="36" spans="1:21" s="12" customFormat="1" x14ac:dyDescent="0.25">
      <c r="A36" s="214" t="s">
        <v>948</v>
      </c>
      <c r="B36" s="64">
        <v>2.2799999999999998</v>
      </c>
      <c r="C36" s="64">
        <v>0.35</v>
      </c>
      <c r="D36" s="64">
        <v>3.15</v>
      </c>
      <c r="E36" s="64">
        <v>1.02</v>
      </c>
      <c r="F36" s="64">
        <v>4.29</v>
      </c>
      <c r="G36" s="64">
        <v>23.05</v>
      </c>
      <c r="H36" s="64">
        <v>9.3800000000000008</v>
      </c>
      <c r="I36" s="64">
        <v>4.12</v>
      </c>
      <c r="J36" s="64">
        <v>0.57999999999999996</v>
      </c>
      <c r="K36" s="64">
        <v>351.09</v>
      </c>
      <c r="L36" s="64">
        <v>28.12</v>
      </c>
      <c r="M36" s="64">
        <v>65.12</v>
      </c>
      <c r="N36" s="64">
        <v>171.8</v>
      </c>
      <c r="O36" s="64">
        <v>0</v>
      </c>
      <c r="P36" s="64">
        <v>0.28000000000000003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14" t="s">
        <v>949</v>
      </c>
      <c r="B37" s="64">
        <v>2.37</v>
      </c>
      <c r="C37" s="64">
        <v>0.56000000000000005</v>
      </c>
      <c r="D37" s="64">
        <v>3.34</v>
      </c>
      <c r="E37" s="64">
        <v>0.98</v>
      </c>
      <c r="F37" s="64">
        <v>5.29</v>
      </c>
      <c r="G37" s="64">
        <v>23.05</v>
      </c>
      <c r="H37" s="64">
        <v>9.3800000000000008</v>
      </c>
      <c r="I37" s="64">
        <v>4.0199999999999996</v>
      </c>
      <c r="J37" s="64">
        <v>0.53</v>
      </c>
      <c r="K37" s="64">
        <v>30.49</v>
      </c>
      <c r="L37" s="64">
        <v>28.47</v>
      </c>
      <c r="M37" s="64">
        <v>63.18</v>
      </c>
      <c r="N37" s="64">
        <v>194.9</v>
      </c>
      <c r="O37" s="64">
        <v>0</v>
      </c>
      <c r="P37" s="64">
        <v>0.28000000000000003</v>
      </c>
      <c r="Q37" s="64">
        <v>9.36</v>
      </c>
      <c r="R37" s="198"/>
      <c r="S37" s="198"/>
      <c r="T37" s="198"/>
      <c r="U37" s="198"/>
    </row>
    <row r="38" spans="1:21" s="12" customFormat="1" x14ac:dyDescent="0.25">
      <c r="A38" s="214" t="s">
        <v>950</v>
      </c>
      <c r="B38" s="64">
        <v>2.59</v>
      </c>
      <c r="C38" s="64">
        <v>1.35</v>
      </c>
      <c r="D38" s="64">
        <v>3.93</v>
      </c>
      <c r="E38" s="64">
        <v>1.1200000000000001</v>
      </c>
      <c r="F38" s="64">
        <v>6.17</v>
      </c>
      <c r="G38" s="64">
        <v>25.05</v>
      </c>
      <c r="H38" s="64">
        <v>9.9600000000000009</v>
      </c>
      <c r="I38" s="64">
        <v>3.83</v>
      </c>
      <c r="J38" s="64">
        <v>0.55000000000000004</v>
      </c>
      <c r="K38" s="64">
        <v>18.32</v>
      </c>
      <c r="L38" s="64">
        <v>29.08</v>
      </c>
      <c r="M38" s="64">
        <v>60.95</v>
      </c>
      <c r="N38" s="64">
        <v>293.89999999999998</v>
      </c>
      <c r="O38" s="64">
        <v>0</v>
      </c>
      <c r="P38" s="64">
        <v>0.31</v>
      </c>
      <c r="Q38" s="64">
        <v>9.39</v>
      </c>
      <c r="R38" s="198"/>
      <c r="S38" s="198"/>
      <c r="T38" s="198"/>
      <c r="U38" s="198"/>
    </row>
    <row r="39" spans="1:21" s="12" customFormat="1" x14ac:dyDescent="0.25">
      <c r="A39" s="214" t="s">
        <v>951</v>
      </c>
      <c r="B39" s="64">
        <v>2.29</v>
      </c>
      <c r="C39" s="64">
        <v>0.44</v>
      </c>
      <c r="D39" s="64">
        <v>3.21</v>
      </c>
      <c r="E39" s="64">
        <v>1.04</v>
      </c>
      <c r="F39" s="64">
        <v>6.35</v>
      </c>
      <c r="G39" s="64">
        <v>26.97</v>
      </c>
      <c r="H39" s="64">
        <v>10.52</v>
      </c>
      <c r="I39" s="64">
        <v>3.56</v>
      </c>
      <c r="J39" s="64">
        <v>0.64</v>
      </c>
      <c r="K39" s="64">
        <v>14.15</v>
      </c>
      <c r="L39" s="64">
        <v>29.45</v>
      </c>
      <c r="M39" s="64">
        <v>59.99</v>
      </c>
      <c r="N39" s="64">
        <v>401.2</v>
      </c>
      <c r="O39" s="64">
        <v>0</v>
      </c>
      <c r="P39" s="64">
        <v>0.32</v>
      </c>
      <c r="Q39" s="64">
        <v>9.4</v>
      </c>
      <c r="R39" s="198"/>
      <c r="S39" s="198"/>
      <c r="T39" s="198"/>
      <c r="U39" s="198"/>
    </row>
    <row r="40" spans="1:21" s="12" customFormat="1" x14ac:dyDescent="0.25">
      <c r="A40" s="214" t="s">
        <v>952</v>
      </c>
      <c r="B40" s="64">
        <v>2.25</v>
      </c>
      <c r="C40" s="64">
        <v>0.37</v>
      </c>
      <c r="D40" s="64">
        <v>3.14</v>
      </c>
      <c r="E40" s="64">
        <v>3.03</v>
      </c>
      <c r="F40" s="64">
        <v>7.29</v>
      </c>
      <c r="G40" s="64">
        <v>26.97</v>
      </c>
      <c r="H40" s="64">
        <v>10.52</v>
      </c>
      <c r="I40" s="64">
        <v>3.32</v>
      </c>
      <c r="J40" s="64">
        <v>0.8</v>
      </c>
      <c r="K40" s="64">
        <v>16.3</v>
      </c>
      <c r="L40" s="64">
        <v>29.76</v>
      </c>
      <c r="M40" s="64">
        <v>58.67</v>
      </c>
      <c r="N40" s="64">
        <v>418.2</v>
      </c>
      <c r="O40" s="64">
        <v>0</v>
      </c>
      <c r="P40" s="64">
        <v>0.31</v>
      </c>
      <c r="Q40" s="64">
        <v>9.36</v>
      </c>
      <c r="R40" s="198"/>
      <c r="S40" s="198"/>
      <c r="T40" s="198"/>
      <c r="U40" s="198"/>
    </row>
    <row r="41" spans="1:21" s="12" customFormat="1" x14ac:dyDescent="0.25">
      <c r="A41" s="214" t="s">
        <v>953</v>
      </c>
      <c r="B41" s="64">
        <v>2.2599999999999998</v>
      </c>
      <c r="C41" s="64">
        <v>0.34</v>
      </c>
      <c r="D41" s="64">
        <v>3.14</v>
      </c>
      <c r="E41" s="64">
        <v>2.4300000000000002</v>
      </c>
      <c r="F41" s="64">
        <v>8.6999999999999993</v>
      </c>
      <c r="G41" s="64">
        <v>26.97</v>
      </c>
      <c r="H41" s="64">
        <v>10.52</v>
      </c>
      <c r="I41" s="64">
        <v>3.01</v>
      </c>
      <c r="J41" s="64">
        <v>0.59</v>
      </c>
      <c r="K41" s="64">
        <v>19.63</v>
      </c>
      <c r="L41" s="64">
        <v>30.27</v>
      </c>
      <c r="M41" s="64">
        <v>57.12</v>
      </c>
      <c r="N41" s="64">
        <v>435.6</v>
      </c>
      <c r="O41" s="64">
        <v>0</v>
      </c>
      <c r="P41" s="64">
        <v>0.31</v>
      </c>
      <c r="Q41" s="64">
        <v>9.31</v>
      </c>
      <c r="R41" s="198"/>
      <c r="S41" s="198"/>
      <c r="T41" s="198"/>
      <c r="U41" s="198"/>
    </row>
    <row r="42" spans="1:21" s="12" customFormat="1" x14ac:dyDescent="0.25">
      <c r="A42" s="214" t="s">
        <v>954</v>
      </c>
      <c r="B42" s="64">
        <v>2.33</v>
      </c>
      <c r="C42" s="64">
        <v>0.38</v>
      </c>
      <c r="D42" s="64">
        <v>3.21</v>
      </c>
      <c r="E42" s="64">
        <v>2.2400000000000002</v>
      </c>
      <c r="F42" s="64">
        <v>9.26</v>
      </c>
      <c r="G42" s="64">
        <v>26.57</v>
      </c>
      <c r="H42" s="64">
        <v>10.08</v>
      </c>
      <c r="I42" s="64">
        <v>2.68</v>
      </c>
      <c r="J42" s="64">
        <v>0.57999999999999996</v>
      </c>
      <c r="K42" s="64">
        <v>22.85</v>
      </c>
      <c r="L42" s="64">
        <v>30.19</v>
      </c>
      <c r="M42" s="64">
        <v>57.4</v>
      </c>
      <c r="N42" s="64">
        <v>473.2</v>
      </c>
      <c r="O42" s="64">
        <v>0</v>
      </c>
      <c r="P42" s="64">
        <v>0.31</v>
      </c>
      <c r="Q42" s="64">
        <v>9.31</v>
      </c>
      <c r="R42" s="198"/>
      <c r="S42" s="198"/>
      <c r="T42" s="198"/>
      <c r="U42" s="198"/>
    </row>
    <row r="43" spans="1:21" s="12" customFormat="1" x14ac:dyDescent="0.25">
      <c r="A43" s="214" t="s">
        <v>955</v>
      </c>
      <c r="B43" s="64">
        <v>2.4900000000000002</v>
      </c>
      <c r="C43" s="64">
        <v>0.85</v>
      </c>
      <c r="D43" s="64">
        <v>3.58</v>
      </c>
      <c r="E43" s="64">
        <v>2.33</v>
      </c>
      <c r="F43" s="64">
        <v>9.56</v>
      </c>
      <c r="G43" s="64">
        <v>26.2</v>
      </c>
      <c r="H43" s="64">
        <v>9.66</v>
      </c>
      <c r="I43" s="64">
        <v>2.5</v>
      </c>
      <c r="J43" s="64">
        <v>0.56999999999999995</v>
      </c>
      <c r="K43" s="64">
        <v>21.76</v>
      </c>
      <c r="L43" s="64">
        <v>30.33</v>
      </c>
      <c r="M43" s="64">
        <v>57.12</v>
      </c>
      <c r="N43" s="64">
        <v>489.4</v>
      </c>
      <c r="O43" s="64">
        <v>0</v>
      </c>
      <c r="P43" s="64">
        <v>0.31</v>
      </c>
      <c r="Q43" s="64">
        <v>9.33</v>
      </c>
      <c r="R43" s="198"/>
      <c r="S43" s="198"/>
      <c r="T43" s="198"/>
      <c r="U43" s="198"/>
    </row>
    <row r="44" spans="1:21" s="12" customFormat="1" x14ac:dyDescent="0.25">
      <c r="A44" s="214" t="s">
        <v>956</v>
      </c>
      <c r="B44" s="64">
        <v>2.48</v>
      </c>
      <c r="C44" s="64">
        <v>0.89</v>
      </c>
      <c r="D44" s="64">
        <v>3.6</v>
      </c>
      <c r="E44" s="64">
        <v>2.4700000000000002</v>
      </c>
      <c r="F44" s="64">
        <v>8.92</v>
      </c>
      <c r="G44" s="64">
        <v>26.2</v>
      </c>
      <c r="H44" s="64">
        <v>9.66</v>
      </c>
      <c r="I44" s="64">
        <v>2.21</v>
      </c>
      <c r="J44" s="64">
        <v>0.45</v>
      </c>
      <c r="K44" s="64">
        <v>5.77</v>
      </c>
      <c r="L44" s="64">
        <v>30.76</v>
      </c>
      <c r="M44" s="64">
        <v>55.53</v>
      </c>
      <c r="N44" s="64">
        <v>366</v>
      </c>
      <c r="O44" s="64">
        <v>0</v>
      </c>
      <c r="P44" s="64">
        <v>0.3</v>
      </c>
      <c r="Q44" s="64">
        <v>9.34</v>
      </c>
      <c r="R44" s="198"/>
      <c r="S44" s="198"/>
      <c r="T44" s="198"/>
      <c r="U44" s="198"/>
    </row>
    <row r="45" spans="1:21" s="12" customFormat="1" x14ac:dyDescent="0.25">
      <c r="A45" s="214" t="s">
        <v>957</v>
      </c>
      <c r="B45" s="64">
        <v>2.31</v>
      </c>
      <c r="C45" s="64">
        <v>0.41</v>
      </c>
      <c r="D45" s="64">
        <v>3.21</v>
      </c>
      <c r="E45" s="64">
        <v>2.36</v>
      </c>
      <c r="F45" s="64">
        <v>8.6999999999999993</v>
      </c>
      <c r="G45" s="64">
        <v>26.2</v>
      </c>
      <c r="H45" s="64">
        <v>9.66</v>
      </c>
      <c r="I45" s="64">
        <v>2.13</v>
      </c>
      <c r="J45" s="64">
        <v>0.28999999999999998</v>
      </c>
      <c r="K45" s="64">
        <v>349.91</v>
      </c>
      <c r="L45" s="64">
        <v>30.17</v>
      </c>
      <c r="M45" s="64">
        <v>57.27</v>
      </c>
      <c r="N45" s="64">
        <v>427.1</v>
      </c>
      <c r="O45" s="64">
        <v>0</v>
      </c>
      <c r="P45" s="64">
        <v>0.31</v>
      </c>
      <c r="Q45" s="64">
        <v>9.33</v>
      </c>
      <c r="R45" s="198"/>
      <c r="S45" s="198"/>
      <c r="T45" s="198"/>
      <c r="U45" s="198"/>
    </row>
    <row r="46" spans="1:21" s="12" customFormat="1" x14ac:dyDescent="0.25">
      <c r="A46" s="214" t="s">
        <v>958</v>
      </c>
      <c r="B46" s="64">
        <v>2.2599999999999998</v>
      </c>
      <c r="C46" s="64">
        <v>0.36</v>
      </c>
      <c r="D46" s="64">
        <v>3.14</v>
      </c>
      <c r="E46" s="64">
        <v>2.34</v>
      </c>
      <c r="F46" s="64">
        <v>8.59</v>
      </c>
      <c r="G46" s="64">
        <v>25.38</v>
      </c>
      <c r="H46" s="64">
        <v>9.6300000000000008</v>
      </c>
      <c r="I46" s="64">
        <v>2.16</v>
      </c>
      <c r="J46" s="64">
        <v>0.35</v>
      </c>
      <c r="K46" s="64">
        <v>2.16</v>
      </c>
      <c r="L46" s="64">
        <v>30.65</v>
      </c>
      <c r="M46" s="64">
        <v>55.56</v>
      </c>
      <c r="N46" s="64">
        <v>505</v>
      </c>
      <c r="O46" s="64">
        <v>0</v>
      </c>
      <c r="P46" s="64">
        <v>0.32</v>
      </c>
      <c r="Q46" s="64">
        <v>9.34</v>
      </c>
      <c r="R46" s="198"/>
      <c r="S46" s="198"/>
      <c r="T46" s="198"/>
      <c r="U46" s="198"/>
    </row>
    <row r="47" spans="1:21" s="12" customFormat="1" x14ac:dyDescent="0.25">
      <c r="A47" s="214" t="s">
        <v>959</v>
      </c>
      <c r="B47" s="64">
        <v>2.2999999999999998</v>
      </c>
      <c r="C47" s="64">
        <v>0.39</v>
      </c>
      <c r="D47" s="64">
        <v>3.19</v>
      </c>
      <c r="E47" s="64">
        <v>2.66</v>
      </c>
      <c r="F47" s="64">
        <v>8.24</v>
      </c>
      <c r="G47" s="64">
        <v>24.59</v>
      </c>
      <c r="H47" s="64">
        <v>9.6</v>
      </c>
      <c r="I47" s="64">
        <v>2.15</v>
      </c>
      <c r="J47" s="64">
        <v>0.39</v>
      </c>
      <c r="K47" s="64">
        <v>347.27</v>
      </c>
      <c r="L47" s="64">
        <v>31.35</v>
      </c>
      <c r="M47" s="64">
        <v>53.59</v>
      </c>
      <c r="N47" s="64">
        <v>624.79999999999995</v>
      </c>
      <c r="O47" s="64">
        <v>0</v>
      </c>
      <c r="P47" s="64">
        <v>0.34</v>
      </c>
      <c r="Q47" s="64">
        <v>9.35</v>
      </c>
      <c r="R47" s="198"/>
      <c r="S47" s="198"/>
      <c r="T47" s="198"/>
      <c r="U47" s="198"/>
    </row>
    <row r="48" spans="1:21" s="12" customFormat="1" x14ac:dyDescent="0.25">
      <c r="A48" s="214" t="s">
        <v>960</v>
      </c>
      <c r="B48" s="64">
        <v>2.2799999999999998</v>
      </c>
      <c r="C48" s="64">
        <v>0.43</v>
      </c>
      <c r="D48" s="64">
        <v>3.2</v>
      </c>
      <c r="E48" s="64">
        <v>2.84</v>
      </c>
      <c r="F48" s="64">
        <v>7.2</v>
      </c>
      <c r="G48" s="64">
        <v>24.59</v>
      </c>
      <c r="H48" s="64">
        <v>9.6</v>
      </c>
      <c r="I48" s="64">
        <v>2.2000000000000002</v>
      </c>
      <c r="J48" s="64">
        <v>0.32</v>
      </c>
      <c r="K48" s="64">
        <v>11.09</v>
      </c>
      <c r="L48" s="64">
        <v>32.08</v>
      </c>
      <c r="M48" s="64">
        <v>50.52</v>
      </c>
      <c r="N48" s="64">
        <v>663.1</v>
      </c>
      <c r="O48" s="64">
        <v>0</v>
      </c>
      <c r="P48" s="64">
        <v>0.38</v>
      </c>
      <c r="Q48" s="64">
        <v>9.3800000000000008</v>
      </c>
      <c r="R48" s="198"/>
      <c r="S48" s="198"/>
      <c r="T48" s="198"/>
      <c r="U48" s="198"/>
    </row>
    <row r="49" spans="1:21" s="12" customFormat="1" x14ac:dyDescent="0.25">
      <c r="A49" s="214" t="s">
        <v>961</v>
      </c>
      <c r="B49" s="64">
        <v>2.27</v>
      </c>
      <c r="C49" s="64">
        <v>0.4</v>
      </c>
      <c r="D49" s="64">
        <v>3.17</v>
      </c>
      <c r="E49" s="64">
        <v>2.4700000000000002</v>
      </c>
      <c r="F49" s="64">
        <v>7.59</v>
      </c>
      <c r="G49" s="64">
        <v>24.59</v>
      </c>
      <c r="H49" s="64">
        <v>9.6</v>
      </c>
      <c r="I49" s="64">
        <v>2.3199999999999998</v>
      </c>
      <c r="J49" s="64">
        <v>0.68</v>
      </c>
      <c r="K49" s="64">
        <v>327.56</v>
      </c>
      <c r="L49" s="64">
        <v>32.67</v>
      </c>
      <c r="M49" s="64">
        <v>48.49</v>
      </c>
      <c r="N49" s="64">
        <v>641.9</v>
      </c>
      <c r="O49" s="64">
        <v>0</v>
      </c>
      <c r="P49" s="64">
        <v>0.42</v>
      </c>
      <c r="Q49" s="64">
        <v>9.3699999999999992</v>
      </c>
      <c r="R49" s="198"/>
      <c r="S49" s="198"/>
      <c r="T49" s="198"/>
      <c r="U49" s="198"/>
    </row>
    <row r="50" spans="1:21" s="12" customFormat="1" x14ac:dyDescent="0.25">
      <c r="A50" s="214" t="s">
        <v>962</v>
      </c>
      <c r="B50" s="64">
        <v>2.48</v>
      </c>
      <c r="C50" s="64">
        <v>1.06</v>
      </c>
      <c r="D50" s="64">
        <v>3.69</v>
      </c>
      <c r="E50" s="64">
        <v>2.27</v>
      </c>
      <c r="F50" s="64">
        <v>8.08</v>
      </c>
      <c r="G50" s="64">
        <v>27.15</v>
      </c>
      <c r="H50" s="64">
        <v>10.55</v>
      </c>
      <c r="I50" s="64">
        <v>2.4700000000000002</v>
      </c>
      <c r="J50" s="64">
        <v>0.25</v>
      </c>
      <c r="K50" s="64">
        <v>16.920000000000002</v>
      </c>
      <c r="L50" s="64">
        <v>32.700000000000003</v>
      </c>
      <c r="M50" s="64">
        <v>46.62</v>
      </c>
      <c r="N50" s="64">
        <v>707.4</v>
      </c>
      <c r="O50" s="64">
        <v>0</v>
      </c>
      <c r="P50" s="64">
        <v>0.46</v>
      </c>
      <c r="Q50" s="64">
        <v>9.3800000000000008</v>
      </c>
      <c r="R50" s="198"/>
      <c r="S50" s="198"/>
      <c r="T50" s="198"/>
      <c r="U50" s="198"/>
    </row>
    <row r="51" spans="1:21" s="12" customFormat="1" x14ac:dyDescent="0.25">
      <c r="A51" s="214" t="s">
        <v>963</v>
      </c>
      <c r="B51" s="64">
        <v>2.4300000000000002</v>
      </c>
      <c r="C51" s="64">
        <v>0.9</v>
      </c>
      <c r="D51" s="64">
        <v>3.56</v>
      </c>
      <c r="E51" s="64">
        <v>2.21</v>
      </c>
      <c r="F51" s="64">
        <v>8.67</v>
      </c>
      <c r="G51" s="64">
        <v>29.59</v>
      </c>
      <c r="H51" s="64">
        <v>11.46</v>
      </c>
      <c r="I51" s="64">
        <v>2.56</v>
      </c>
      <c r="J51" s="64">
        <v>0.34</v>
      </c>
      <c r="K51" s="64">
        <v>7.45</v>
      </c>
      <c r="L51" s="64">
        <v>33.35</v>
      </c>
      <c r="M51" s="64">
        <v>43.51</v>
      </c>
      <c r="N51" s="64">
        <v>776.3</v>
      </c>
      <c r="O51" s="64">
        <v>0</v>
      </c>
      <c r="P51" s="64">
        <v>0.47</v>
      </c>
      <c r="Q51" s="64">
        <v>9.41</v>
      </c>
      <c r="R51" s="198"/>
      <c r="S51" s="198"/>
      <c r="T51" s="198"/>
      <c r="U51" s="198"/>
    </row>
    <row r="52" spans="1:21" s="12" customFormat="1" x14ac:dyDescent="0.25">
      <c r="A52" s="214" t="s">
        <v>964</v>
      </c>
      <c r="B52" s="64">
        <v>2.29</v>
      </c>
      <c r="C52" s="64">
        <v>0.36</v>
      </c>
      <c r="D52" s="64">
        <v>3.17</v>
      </c>
      <c r="E52" s="64">
        <v>2.37</v>
      </c>
      <c r="F52" s="64">
        <v>8.82</v>
      </c>
      <c r="G52" s="64">
        <v>29.59</v>
      </c>
      <c r="H52" s="64">
        <v>11.46</v>
      </c>
      <c r="I52" s="64">
        <v>2.68</v>
      </c>
      <c r="J52" s="64">
        <v>0.56000000000000005</v>
      </c>
      <c r="K52" s="64">
        <v>2.1</v>
      </c>
      <c r="L52" s="64">
        <v>34.200000000000003</v>
      </c>
      <c r="M52" s="64">
        <v>41.59</v>
      </c>
      <c r="N52" s="64">
        <v>796.2</v>
      </c>
      <c r="O52" s="64">
        <v>0</v>
      </c>
      <c r="P52" s="64">
        <v>0.47</v>
      </c>
      <c r="Q52" s="64">
        <v>9.39</v>
      </c>
      <c r="R52" s="198"/>
      <c r="S52" s="198"/>
      <c r="T52" s="198"/>
      <c r="U52" s="198"/>
    </row>
    <row r="53" spans="1:21" s="12" customFormat="1" x14ac:dyDescent="0.25">
      <c r="A53" s="214" t="s">
        <v>965</v>
      </c>
      <c r="B53" s="64">
        <v>2.2200000000000002</v>
      </c>
      <c r="C53" s="64">
        <v>0.41</v>
      </c>
      <c r="D53" s="64">
        <v>3.14</v>
      </c>
      <c r="E53" s="64">
        <v>2.54</v>
      </c>
      <c r="F53" s="64">
        <v>8.7100000000000009</v>
      </c>
      <c r="G53" s="64">
        <v>29.59</v>
      </c>
      <c r="H53" s="64">
        <v>11.46</v>
      </c>
      <c r="I53" s="64">
        <v>2.72</v>
      </c>
      <c r="J53" s="64">
        <v>0.11</v>
      </c>
      <c r="K53" s="64">
        <v>89.95</v>
      </c>
      <c r="L53" s="64">
        <v>33.630000000000003</v>
      </c>
      <c r="M53" s="64">
        <v>41.7</v>
      </c>
      <c r="N53" s="64">
        <v>818.9</v>
      </c>
      <c r="O53" s="64">
        <v>0</v>
      </c>
      <c r="P53" s="64">
        <v>0.47</v>
      </c>
      <c r="Q53" s="64">
        <v>9.39</v>
      </c>
      <c r="R53" s="198"/>
      <c r="S53" s="198"/>
      <c r="T53" s="198"/>
      <c r="U53" s="198"/>
    </row>
    <row r="54" spans="1:21" s="12" customFormat="1" x14ac:dyDescent="0.25">
      <c r="A54" s="214" t="s">
        <v>966</v>
      </c>
      <c r="B54" s="64">
        <v>2.25</v>
      </c>
      <c r="C54" s="64">
        <v>0.36</v>
      </c>
      <c r="D54" s="64">
        <v>3.14</v>
      </c>
      <c r="E54" s="64">
        <v>2.63</v>
      </c>
      <c r="F54" s="64">
        <v>8.56</v>
      </c>
      <c r="G54" s="64">
        <v>29.67</v>
      </c>
      <c r="H54" s="64">
        <v>13.34</v>
      </c>
      <c r="I54" s="64">
        <v>2.58</v>
      </c>
      <c r="J54" s="64">
        <v>0.56999999999999995</v>
      </c>
      <c r="K54" s="64">
        <v>307.79000000000002</v>
      </c>
      <c r="L54" s="64">
        <v>34.619999999999997</v>
      </c>
      <c r="M54" s="64">
        <v>40.869999999999997</v>
      </c>
      <c r="N54" s="64">
        <v>842.1</v>
      </c>
      <c r="O54" s="64">
        <v>0</v>
      </c>
      <c r="P54" s="64">
        <v>0.46</v>
      </c>
      <c r="Q54" s="64">
        <v>9.3800000000000008</v>
      </c>
      <c r="R54" s="198"/>
      <c r="S54" s="198"/>
      <c r="T54" s="198"/>
      <c r="U54" s="198"/>
    </row>
    <row r="55" spans="1:21" s="12" customFormat="1" x14ac:dyDescent="0.25">
      <c r="A55" s="214" t="s">
        <v>967</v>
      </c>
      <c r="B55" s="64">
        <v>2.2799999999999998</v>
      </c>
      <c r="C55" s="64">
        <v>0.4</v>
      </c>
      <c r="D55" s="64">
        <v>3.19</v>
      </c>
      <c r="E55" s="64">
        <v>2.46</v>
      </c>
      <c r="F55" s="64">
        <v>8.33</v>
      </c>
      <c r="G55" s="64">
        <v>29.73</v>
      </c>
      <c r="H55" s="64">
        <v>15.06</v>
      </c>
      <c r="I55" s="64">
        <v>2.4700000000000002</v>
      </c>
      <c r="J55" s="64">
        <v>0.16</v>
      </c>
      <c r="K55" s="64">
        <v>164.46</v>
      </c>
      <c r="L55" s="64">
        <v>34.979999999999997</v>
      </c>
      <c r="M55" s="64">
        <v>38.909999999999997</v>
      </c>
      <c r="N55" s="64">
        <v>829.8</v>
      </c>
      <c r="O55" s="64">
        <v>0</v>
      </c>
      <c r="P55" s="64">
        <v>0.47</v>
      </c>
      <c r="Q55" s="64">
        <v>9.34</v>
      </c>
      <c r="R55" s="198"/>
      <c r="S55" s="198"/>
      <c r="T55" s="198"/>
      <c r="U55" s="198"/>
    </row>
    <row r="56" spans="1:21" s="12" customFormat="1" x14ac:dyDescent="0.25">
      <c r="A56" s="214" t="s">
        <v>968</v>
      </c>
      <c r="B56" s="64">
        <v>2.38</v>
      </c>
      <c r="C56" s="64">
        <v>0.65</v>
      </c>
      <c r="D56" s="64">
        <v>3.39</v>
      </c>
      <c r="E56" s="64">
        <v>2.4700000000000002</v>
      </c>
      <c r="F56" s="64">
        <v>8.4499999999999993</v>
      </c>
      <c r="G56" s="64">
        <v>29.73</v>
      </c>
      <c r="H56" s="64">
        <v>15.06</v>
      </c>
      <c r="I56" s="64">
        <v>2.64</v>
      </c>
      <c r="J56" s="64">
        <v>0.69</v>
      </c>
      <c r="K56" s="64">
        <v>340.31</v>
      </c>
      <c r="L56" s="64">
        <v>35.79</v>
      </c>
      <c r="M56" s="64">
        <v>37.630000000000003</v>
      </c>
      <c r="N56" s="64">
        <v>843</v>
      </c>
      <c r="O56" s="64">
        <v>0</v>
      </c>
      <c r="P56" s="64">
        <v>0.47</v>
      </c>
      <c r="Q56" s="64">
        <v>9.34</v>
      </c>
      <c r="R56" s="198"/>
      <c r="S56" s="198"/>
      <c r="T56" s="198"/>
      <c r="U56" s="198"/>
    </row>
    <row r="57" spans="1:21" s="12" customFormat="1" x14ac:dyDescent="0.25">
      <c r="A57" s="214" t="s">
        <v>969</v>
      </c>
      <c r="B57" s="64">
        <v>2.61</v>
      </c>
      <c r="C57" s="64">
        <v>1.54</v>
      </c>
      <c r="D57" s="64">
        <v>4.04</v>
      </c>
      <c r="E57" s="64">
        <v>2.08</v>
      </c>
      <c r="F57" s="64">
        <v>7.93</v>
      </c>
      <c r="G57" s="64">
        <v>29.73</v>
      </c>
      <c r="H57" s="64">
        <v>15.06</v>
      </c>
      <c r="I57" s="64">
        <v>2.64</v>
      </c>
      <c r="J57" s="64">
        <v>0.74</v>
      </c>
      <c r="K57" s="64">
        <v>320.10000000000002</v>
      </c>
      <c r="L57" s="64">
        <v>37.159999999999997</v>
      </c>
      <c r="M57" s="64">
        <v>34.79</v>
      </c>
      <c r="N57" s="64">
        <v>821.3</v>
      </c>
      <c r="O57" s="64">
        <v>0</v>
      </c>
      <c r="P57" s="64">
        <v>0.48</v>
      </c>
      <c r="Q57" s="64">
        <v>9.3699999999999992</v>
      </c>
      <c r="R57" s="198"/>
      <c r="S57" s="198"/>
      <c r="T57" s="198"/>
      <c r="U57" s="198"/>
    </row>
    <row r="58" spans="1:21" s="12" customFormat="1" x14ac:dyDescent="0.25">
      <c r="A58" s="214" t="s">
        <v>970</v>
      </c>
      <c r="B58" s="64">
        <v>2.34</v>
      </c>
      <c r="C58" s="64">
        <v>0.6</v>
      </c>
      <c r="D58" s="64">
        <v>3.34</v>
      </c>
      <c r="E58" s="64">
        <v>2.16</v>
      </c>
      <c r="F58" s="64">
        <v>7.53</v>
      </c>
      <c r="G58" s="64">
        <v>31.32</v>
      </c>
      <c r="H58" s="64">
        <v>13.87</v>
      </c>
      <c r="I58" s="64">
        <v>2.54</v>
      </c>
      <c r="J58" s="64">
        <v>7.0000000000000007E-2</v>
      </c>
      <c r="K58" s="64">
        <v>16.350000000000001</v>
      </c>
      <c r="L58" s="64">
        <v>36.21</v>
      </c>
      <c r="M58" s="64">
        <v>36.18</v>
      </c>
      <c r="N58" s="64">
        <v>798.1</v>
      </c>
      <c r="O58" s="64">
        <v>0</v>
      </c>
      <c r="P58" s="64">
        <v>0.49</v>
      </c>
      <c r="Q58" s="64">
        <v>9.34</v>
      </c>
      <c r="R58" s="198"/>
      <c r="S58" s="198"/>
      <c r="T58" s="198"/>
      <c r="U58" s="198"/>
    </row>
    <row r="59" spans="1:21" s="12" customFormat="1" x14ac:dyDescent="0.25">
      <c r="A59" s="214" t="s">
        <v>971</v>
      </c>
      <c r="B59" s="64">
        <v>2.27</v>
      </c>
      <c r="C59" s="64">
        <v>0.34</v>
      </c>
      <c r="D59" s="64">
        <v>3.14</v>
      </c>
      <c r="E59" s="64">
        <v>2.02</v>
      </c>
      <c r="F59" s="64">
        <v>8.6300000000000008</v>
      </c>
      <c r="G59" s="64">
        <v>32.840000000000003</v>
      </c>
      <c r="H59" s="64">
        <v>12.74</v>
      </c>
      <c r="I59" s="64">
        <v>2.54</v>
      </c>
      <c r="J59" s="64">
        <v>0.1</v>
      </c>
      <c r="K59" s="64">
        <v>127.51</v>
      </c>
      <c r="L59" s="64">
        <v>35.520000000000003</v>
      </c>
      <c r="M59" s="64">
        <v>36.76</v>
      </c>
      <c r="N59" s="64">
        <v>765</v>
      </c>
      <c r="O59" s="64">
        <v>0</v>
      </c>
      <c r="P59" s="64">
        <v>0.5</v>
      </c>
      <c r="Q59" s="64">
        <v>9.2899999999999991</v>
      </c>
      <c r="R59" s="198"/>
      <c r="S59" s="198"/>
      <c r="T59" s="198"/>
      <c r="U59" s="198"/>
    </row>
    <row r="60" spans="1:21" s="12" customFormat="1" x14ac:dyDescent="0.25">
      <c r="A60" s="214" t="s">
        <v>972</v>
      </c>
      <c r="B60" s="64">
        <v>2.29</v>
      </c>
      <c r="C60" s="64">
        <v>0.35</v>
      </c>
      <c r="D60" s="64">
        <v>3.17</v>
      </c>
      <c r="E60" s="64">
        <v>2.0699999999999998</v>
      </c>
      <c r="F60" s="64">
        <v>8.74</v>
      </c>
      <c r="G60" s="64">
        <v>32.840000000000003</v>
      </c>
      <c r="H60" s="64">
        <v>12.74</v>
      </c>
      <c r="I60" s="64">
        <v>2.64</v>
      </c>
      <c r="J60" s="64">
        <v>0.81</v>
      </c>
      <c r="K60" s="64">
        <v>314.83</v>
      </c>
      <c r="L60" s="64">
        <v>37.14</v>
      </c>
      <c r="M60" s="64">
        <v>34.26</v>
      </c>
      <c r="N60" s="64">
        <v>772.6</v>
      </c>
      <c r="O60" s="64">
        <v>0</v>
      </c>
      <c r="P60" s="64">
        <v>0.5</v>
      </c>
      <c r="Q60" s="64">
        <v>9.2799999999999994</v>
      </c>
      <c r="R60" s="198"/>
      <c r="S60" s="198"/>
      <c r="T60" s="198"/>
      <c r="U60" s="198"/>
    </row>
    <row r="61" spans="1:21" s="12" customFormat="1" x14ac:dyDescent="0.25">
      <c r="A61" s="214" t="s">
        <v>973</v>
      </c>
      <c r="B61" s="64">
        <v>2.3199999999999998</v>
      </c>
      <c r="C61" s="64">
        <v>0.4</v>
      </c>
      <c r="D61" s="64">
        <v>3.21</v>
      </c>
      <c r="E61" s="64">
        <v>2.65</v>
      </c>
      <c r="F61" s="64">
        <v>8.3800000000000008</v>
      </c>
      <c r="G61" s="64">
        <v>32.840000000000003</v>
      </c>
      <c r="H61" s="64">
        <v>12.74</v>
      </c>
      <c r="I61" s="64">
        <v>2.8</v>
      </c>
      <c r="J61" s="64">
        <v>0.48</v>
      </c>
      <c r="K61" s="64">
        <v>322.89999999999998</v>
      </c>
      <c r="L61" s="64">
        <v>37.090000000000003</v>
      </c>
      <c r="M61" s="64">
        <v>34.36</v>
      </c>
      <c r="N61" s="64">
        <v>622</v>
      </c>
      <c r="O61" s="64">
        <v>0</v>
      </c>
      <c r="P61" s="64">
        <v>0.47</v>
      </c>
      <c r="Q61" s="64">
        <v>9.2899999999999991</v>
      </c>
      <c r="R61" s="198"/>
      <c r="S61" s="198"/>
      <c r="T61" s="198"/>
      <c r="U61" s="198"/>
    </row>
    <row r="62" spans="1:21" s="12" customFormat="1" x14ac:dyDescent="0.25">
      <c r="A62" s="214" t="s">
        <v>974</v>
      </c>
      <c r="B62" s="64">
        <v>2.5499999999999998</v>
      </c>
      <c r="C62" s="64">
        <v>1.23</v>
      </c>
      <c r="D62" s="64">
        <v>3.83</v>
      </c>
      <c r="E62" s="64">
        <v>2.0699999999999998</v>
      </c>
      <c r="F62" s="64">
        <v>7.72</v>
      </c>
      <c r="G62" s="64">
        <v>33.94</v>
      </c>
      <c r="H62" s="64">
        <v>14.44</v>
      </c>
      <c r="I62" s="64">
        <v>2.86</v>
      </c>
      <c r="J62" s="64">
        <v>0.3</v>
      </c>
      <c r="K62" s="64">
        <v>326.69</v>
      </c>
      <c r="L62" s="64">
        <v>36.99</v>
      </c>
      <c r="M62" s="64">
        <v>33.85</v>
      </c>
      <c r="N62" s="64">
        <v>589.20000000000005</v>
      </c>
      <c r="O62" s="64">
        <v>0</v>
      </c>
      <c r="P62" s="64">
        <v>0.49</v>
      </c>
      <c r="Q62" s="64">
        <v>9.3000000000000007</v>
      </c>
      <c r="R62" s="198"/>
      <c r="S62" s="198"/>
      <c r="T62" s="198"/>
      <c r="U62" s="198"/>
    </row>
    <row r="63" spans="1:21" s="12" customFormat="1" x14ac:dyDescent="0.25">
      <c r="A63" s="214" t="s">
        <v>975</v>
      </c>
      <c r="B63" s="64">
        <v>2.39</v>
      </c>
      <c r="C63" s="64">
        <v>0.7</v>
      </c>
      <c r="D63" s="64">
        <v>3.43</v>
      </c>
      <c r="E63" s="64">
        <v>2.61</v>
      </c>
      <c r="F63" s="64">
        <v>7.55</v>
      </c>
      <c r="G63" s="64">
        <v>34.94</v>
      </c>
      <c r="H63" s="64">
        <v>16</v>
      </c>
      <c r="I63" s="64">
        <v>2.87</v>
      </c>
      <c r="J63" s="64">
        <v>0.56999999999999995</v>
      </c>
      <c r="K63" s="64">
        <v>329.28</v>
      </c>
      <c r="L63" s="64">
        <v>37.07</v>
      </c>
      <c r="M63" s="64">
        <v>34.32</v>
      </c>
      <c r="N63" s="64">
        <v>589.20000000000005</v>
      </c>
      <c r="O63" s="64">
        <v>0</v>
      </c>
      <c r="P63" s="64">
        <v>0.51</v>
      </c>
      <c r="Q63" s="64">
        <v>9.31</v>
      </c>
      <c r="R63" s="198"/>
      <c r="S63" s="198"/>
      <c r="T63" s="198"/>
      <c r="U63" s="198"/>
    </row>
    <row r="64" spans="1:21" s="12" customFormat="1" x14ac:dyDescent="0.25">
      <c r="A64" s="214" t="s">
        <v>976</v>
      </c>
      <c r="B64" s="64">
        <v>2.2799999999999998</v>
      </c>
      <c r="C64" s="64">
        <v>0.36</v>
      </c>
      <c r="D64" s="64">
        <v>3.16</v>
      </c>
      <c r="E64" s="64">
        <v>2.0299999999999998</v>
      </c>
      <c r="F64" s="64">
        <v>7.47</v>
      </c>
      <c r="G64" s="64">
        <v>34.94</v>
      </c>
      <c r="H64" s="64">
        <v>16</v>
      </c>
      <c r="I64" s="64">
        <v>2.97</v>
      </c>
      <c r="J64" s="64">
        <v>0.37</v>
      </c>
      <c r="K64" s="64">
        <v>335.79</v>
      </c>
      <c r="L64" s="64">
        <v>36.74</v>
      </c>
      <c r="M64" s="64">
        <v>34.15</v>
      </c>
      <c r="N64" s="64">
        <v>561.29999999999995</v>
      </c>
      <c r="O64" s="64">
        <v>0</v>
      </c>
      <c r="P64" s="64">
        <v>0.51</v>
      </c>
      <c r="Q64" s="64">
        <v>9.3000000000000007</v>
      </c>
      <c r="R64" s="198"/>
      <c r="S64" s="198"/>
      <c r="T64" s="198"/>
      <c r="U64" s="198"/>
    </row>
    <row r="65" spans="1:21" s="12" customFormat="1" x14ac:dyDescent="0.25">
      <c r="A65" s="214" t="s">
        <v>977</v>
      </c>
      <c r="B65" s="64">
        <v>2.2799999999999998</v>
      </c>
      <c r="C65" s="64">
        <v>0.35</v>
      </c>
      <c r="D65" s="64">
        <v>3.16</v>
      </c>
      <c r="E65" s="64">
        <v>1.74</v>
      </c>
      <c r="F65" s="64">
        <v>8.09</v>
      </c>
      <c r="G65" s="64">
        <v>34.94</v>
      </c>
      <c r="H65" s="64">
        <v>16</v>
      </c>
      <c r="I65" s="64">
        <v>3.14</v>
      </c>
      <c r="J65" s="64">
        <v>0.67</v>
      </c>
      <c r="K65" s="64">
        <v>176.55</v>
      </c>
      <c r="L65" s="64">
        <v>35.68</v>
      </c>
      <c r="M65" s="64">
        <v>35.979999999999997</v>
      </c>
      <c r="N65" s="64">
        <v>522.20000000000005</v>
      </c>
      <c r="O65" s="64">
        <v>0</v>
      </c>
      <c r="P65" s="64">
        <v>0.51</v>
      </c>
      <c r="Q65" s="64">
        <v>9.32</v>
      </c>
      <c r="R65" s="198"/>
      <c r="S65" s="198"/>
      <c r="T65" s="198"/>
      <c r="U65" s="198"/>
    </row>
    <row r="66" spans="1:21" s="12" customFormat="1" x14ac:dyDescent="0.25">
      <c r="A66" s="214" t="s">
        <v>978</v>
      </c>
      <c r="B66" s="64">
        <v>2.25</v>
      </c>
      <c r="C66" s="64">
        <v>0.37</v>
      </c>
      <c r="D66" s="64">
        <v>3.14</v>
      </c>
      <c r="E66" s="64">
        <v>2.27</v>
      </c>
      <c r="F66" s="64">
        <v>7.91</v>
      </c>
      <c r="G66" s="64">
        <v>36.270000000000003</v>
      </c>
      <c r="H66" s="64">
        <v>17.75</v>
      </c>
      <c r="I66" s="64">
        <v>3.31</v>
      </c>
      <c r="J66" s="64">
        <v>0.7</v>
      </c>
      <c r="K66" s="64">
        <v>138.35</v>
      </c>
      <c r="L66" s="64">
        <v>35.44</v>
      </c>
      <c r="M66" s="64">
        <v>36.42</v>
      </c>
      <c r="N66" s="64">
        <v>472.8</v>
      </c>
      <c r="O66" s="64">
        <v>0</v>
      </c>
      <c r="P66" s="64">
        <v>0.52</v>
      </c>
      <c r="Q66" s="64">
        <v>9.3800000000000008</v>
      </c>
      <c r="R66" s="198"/>
      <c r="S66" s="198"/>
      <c r="T66" s="198"/>
      <c r="U66" s="198"/>
    </row>
    <row r="67" spans="1:21" s="12" customFormat="1" x14ac:dyDescent="0.25">
      <c r="A67" s="214" t="s">
        <v>979</v>
      </c>
      <c r="B67" s="64">
        <v>2.5</v>
      </c>
      <c r="C67" s="64">
        <v>1.23</v>
      </c>
      <c r="D67" s="64">
        <v>3.8</v>
      </c>
      <c r="E67" s="64">
        <v>2.1800000000000002</v>
      </c>
      <c r="F67" s="64">
        <v>7.75</v>
      </c>
      <c r="G67" s="64">
        <v>37.549999999999997</v>
      </c>
      <c r="H67" s="64">
        <v>19.350000000000001</v>
      </c>
      <c r="I67" s="64">
        <v>3.55</v>
      </c>
      <c r="J67" s="64">
        <v>0.87</v>
      </c>
      <c r="K67" s="64">
        <v>143.85</v>
      </c>
      <c r="L67" s="64">
        <v>35.19</v>
      </c>
      <c r="M67" s="64">
        <v>37.549999999999997</v>
      </c>
      <c r="N67" s="64">
        <v>292.2</v>
      </c>
      <c r="O67" s="64">
        <v>0</v>
      </c>
      <c r="P67" s="64">
        <v>0.53</v>
      </c>
      <c r="Q67" s="64">
        <v>9.3699999999999992</v>
      </c>
      <c r="R67" s="198"/>
      <c r="S67" s="198"/>
      <c r="T67" s="198"/>
      <c r="U67" s="198"/>
    </row>
    <row r="68" spans="1:21" s="12" customFormat="1" x14ac:dyDescent="0.25">
      <c r="A68" s="214" t="s">
        <v>980</v>
      </c>
      <c r="B68" s="64">
        <v>2.34</v>
      </c>
      <c r="C68" s="64">
        <v>0.59</v>
      </c>
      <c r="D68" s="64">
        <v>3.33</v>
      </c>
      <c r="E68" s="64">
        <v>2.54</v>
      </c>
      <c r="F68" s="64">
        <v>7.58</v>
      </c>
      <c r="G68" s="64">
        <v>37.549999999999997</v>
      </c>
      <c r="H68" s="64">
        <v>19.350000000000001</v>
      </c>
      <c r="I68" s="64">
        <v>3.84</v>
      </c>
      <c r="J68" s="64">
        <v>0.11</v>
      </c>
      <c r="K68" s="64">
        <v>347.21</v>
      </c>
      <c r="L68" s="64">
        <v>35.47</v>
      </c>
      <c r="M68" s="64">
        <v>36.89</v>
      </c>
      <c r="N68" s="64">
        <v>249.3</v>
      </c>
      <c r="O68" s="64">
        <v>0</v>
      </c>
      <c r="P68" s="64">
        <v>0.53</v>
      </c>
      <c r="Q68" s="64">
        <v>9.34</v>
      </c>
      <c r="R68" s="198"/>
      <c r="S68" s="198"/>
      <c r="T68" s="198"/>
      <c r="U68" s="198"/>
    </row>
    <row r="69" spans="1:21" s="12" customFormat="1" x14ac:dyDescent="0.25">
      <c r="A69" s="214" t="s">
        <v>981</v>
      </c>
      <c r="B69" s="64">
        <v>2.2200000000000002</v>
      </c>
      <c r="C69" s="64">
        <v>0.42</v>
      </c>
      <c r="D69" s="64">
        <v>3.14</v>
      </c>
      <c r="E69" s="64">
        <v>2.39</v>
      </c>
      <c r="F69" s="64">
        <v>7.19</v>
      </c>
      <c r="G69" s="64">
        <v>37.549999999999997</v>
      </c>
      <c r="H69" s="64">
        <v>19.350000000000001</v>
      </c>
      <c r="I69" s="64">
        <v>4.1100000000000003</v>
      </c>
      <c r="J69" s="64">
        <v>1.97</v>
      </c>
      <c r="K69" s="64">
        <v>154.52000000000001</v>
      </c>
      <c r="L69" s="64">
        <v>34.840000000000003</v>
      </c>
      <c r="M69" s="64">
        <v>38.67</v>
      </c>
      <c r="N69" s="64">
        <v>207.5</v>
      </c>
      <c r="O69" s="64">
        <v>0</v>
      </c>
      <c r="P69" s="64">
        <v>0.52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4" t="s">
        <v>982</v>
      </c>
      <c r="B70" s="64">
        <v>2.2999999999999998</v>
      </c>
      <c r="C70" s="64">
        <v>0.42</v>
      </c>
      <c r="D70" s="64">
        <v>3.2</v>
      </c>
      <c r="E70" s="64">
        <v>2.12</v>
      </c>
      <c r="F70" s="64">
        <v>6.87</v>
      </c>
      <c r="G70" s="64">
        <v>36.61</v>
      </c>
      <c r="H70" s="64">
        <v>17.38</v>
      </c>
      <c r="I70" s="64">
        <v>4.21</v>
      </c>
      <c r="J70" s="64">
        <v>1.92</v>
      </c>
      <c r="K70" s="64">
        <v>151.88</v>
      </c>
      <c r="L70" s="64">
        <v>34.35</v>
      </c>
      <c r="M70" s="64">
        <v>38.36</v>
      </c>
      <c r="N70" s="64">
        <v>216.5</v>
      </c>
      <c r="O70" s="64">
        <v>0</v>
      </c>
      <c r="P70" s="64">
        <v>0.5</v>
      </c>
      <c r="Q70" s="64">
        <v>9.35</v>
      </c>
      <c r="R70" s="198"/>
      <c r="S70" s="198"/>
      <c r="T70" s="198"/>
      <c r="U70" s="198"/>
    </row>
    <row r="71" spans="1:21" s="12" customFormat="1" x14ac:dyDescent="0.25">
      <c r="A71" s="214" t="s">
        <v>983</v>
      </c>
      <c r="B71" s="64">
        <v>2.27</v>
      </c>
      <c r="C71" s="64">
        <v>0.35</v>
      </c>
      <c r="D71" s="64">
        <v>3.15</v>
      </c>
      <c r="E71" s="64">
        <v>1.87</v>
      </c>
      <c r="F71" s="64">
        <v>6.92</v>
      </c>
      <c r="G71" s="64">
        <v>35.75</v>
      </c>
      <c r="H71" s="64">
        <v>15.57</v>
      </c>
      <c r="I71" s="64">
        <v>4.5</v>
      </c>
      <c r="J71" s="64">
        <v>1.52</v>
      </c>
      <c r="K71" s="64">
        <v>160.56</v>
      </c>
      <c r="L71" s="64">
        <v>34.51</v>
      </c>
      <c r="M71" s="64">
        <v>39.01</v>
      </c>
      <c r="N71" s="64">
        <v>173.4</v>
      </c>
      <c r="O71" s="64">
        <v>0</v>
      </c>
      <c r="P71" s="64">
        <v>0.49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4" t="s">
        <v>984</v>
      </c>
      <c r="B72" s="64">
        <v>2.3199999999999998</v>
      </c>
      <c r="C72" s="64">
        <v>0.5</v>
      </c>
      <c r="D72" s="64">
        <v>3.26</v>
      </c>
      <c r="E72" s="64">
        <v>0.88</v>
      </c>
      <c r="F72" s="64">
        <v>6.74</v>
      </c>
      <c r="G72" s="64">
        <v>35.75</v>
      </c>
      <c r="H72" s="64">
        <v>15.57</v>
      </c>
      <c r="I72" s="64">
        <v>5.09</v>
      </c>
      <c r="J72" s="64">
        <v>1.37</v>
      </c>
      <c r="K72" s="64">
        <v>151.11000000000001</v>
      </c>
      <c r="L72" s="64">
        <v>34.299999999999997</v>
      </c>
      <c r="M72" s="64">
        <v>39.299999999999997</v>
      </c>
      <c r="N72" s="64">
        <v>140.69999999999999</v>
      </c>
      <c r="O72" s="64">
        <v>0</v>
      </c>
      <c r="P72" s="64">
        <v>0.47</v>
      </c>
      <c r="Q72" s="64">
        <v>9.34</v>
      </c>
      <c r="R72" s="198"/>
      <c r="S72" s="198"/>
      <c r="T72" s="198"/>
      <c r="U72" s="198"/>
    </row>
    <row r="73" spans="1:21" s="12" customFormat="1" x14ac:dyDescent="0.25">
      <c r="A73" s="214" t="s">
        <v>985</v>
      </c>
      <c r="B73" s="64">
        <v>2.56</v>
      </c>
      <c r="C73" s="64">
        <v>1.18</v>
      </c>
      <c r="D73" s="64">
        <v>3.81</v>
      </c>
      <c r="E73" s="64">
        <v>1.35</v>
      </c>
      <c r="F73" s="64">
        <v>6.77</v>
      </c>
      <c r="G73" s="64">
        <v>35.75</v>
      </c>
      <c r="H73" s="64">
        <v>15.57</v>
      </c>
      <c r="I73" s="64">
        <v>5.39</v>
      </c>
      <c r="J73" s="64">
        <v>0.55000000000000004</v>
      </c>
      <c r="K73" s="64">
        <v>136.69</v>
      </c>
      <c r="L73" s="64">
        <v>34.49</v>
      </c>
      <c r="M73" s="64">
        <v>38.64</v>
      </c>
      <c r="N73" s="64">
        <v>130.30000000000001</v>
      </c>
      <c r="O73" s="64">
        <v>0</v>
      </c>
      <c r="P73" s="64">
        <v>0.45</v>
      </c>
      <c r="Q73" s="64">
        <v>9.32</v>
      </c>
      <c r="R73" s="198"/>
      <c r="S73" s="198"/>
      <c r="T73" s="198"/>
      <c r="U73" s="198"/>
    </row>
    <row r="74" spans="1:21" s="12" customFormat="1" x14ac:dyDescent="0.25">
      <c r="A74" s="214" t="s">
        <v>986</v>
      </c>
      <c r="B74" s="64">
        <v>2.2799999999999998</v>
      </c>
      <c r="C74" s="64">
        <v>0.41</v>
      </c>
      <c r="D74" s="64">
        <v>3.19</v>
      </c>
      <c r="E74" s="64">
        <v>1.08</v>
      </c>
      <c r="F74" s="64">
        <v>6.17</v>
      </c>
      <c r="G74" s="64">
        <v>35.61</v>
      </c>
      <c r="H74" s="64">
        <v>14.72</v>
      </c>
      <c r="I74" s="64">
        <v>5.44</v>
      </c>
      <c r="J74" s="64">
        <v>0.37</v>
      </c>
      <c r="K74" s="64">
        <v>323.76</v>
      </c>
      <c r="L74" s="64">
        <v>34.700000000000003</v>
      </c>
      <c r="M74" s="64">
        <v>36.94</v>
      </c>
      <c r="N74" s="64">
        <v>91.9</v>
      </c>
      <c r="O74" s="64">
        <v>0</v>
      </c>
      <c r="P74" s="64">
        <v>0.45</v>
      </c>
      <c r="Q74" s="64">
        <v>9.33</v>
      </c>
      <c r="R74" s="198"/>
      <c r="S74" s="198"/>
      <c r="T74" s="198"/>
      <c r="U74" s="198"/>
    </row>
    <row r="75" spans="1:21" s="12" customFormat="1" x14ac:dyDescent="0.25">
      <c r="A75" s="214" t="s">
        <v>987</v>
      </c>
      <c r="B75" s="64">
        <v>2.25</v>
      </c>
      <c r="C75" s="64">
        <v>0.37</v>
      </c>
      <c r="D75" s="64">
        <v>3.14</v>
      </c>
      <c r="E75" s="64">
        <v>1.1399999999999999</v>
      </c>
      <c r="F75" s="64">
        <v>6.55</v>
      </c>
      <c r="G75" s="64">
        <v>35.49</v>
      </c>
      <c r="H75" s="64">
        <v>13.93</v>
      </c>
      <c r="I75" s="64">
        <v>5.27</v>
      </c>
      <c r="J75" s="64">
        <v>0.27</v>
      </c>
      <c r="K75" s="64">
        <v>357.91</v>
      </c>
      <c r="L75" s="64">
        <v>34.32</v>
      </c>
      <c r="M75" s="64">
        <v>37.96</v>
      </c>
      <c r="N75" s="64">
        <v>62.9</v>
      </c>
      <c r="O75" s="64">
        <v>0</v>
      </c>
      <c r="P75" s="64">
        <v>0.44</v>
      </c>
      <c r="Q75" s="64">
        <v>9.34</v>
      </c>
      <c r="R75" s="198"/>
      <c r="S75" s="198"/>
      <c r="T75" s="198"/>
      <c r="U75" s="198"/>
    </row>
    <row r="76" spans="1:21" s="12" customFormat="1" x14ac:dyDescent="0.25">
      <c r="A76" s="214" t="s">
        <v>988</v>
      </c>
      <c r="B76" s="64">
        <v>2.25</v>
      </c>
      <c r="C76" s="64">
        <v>0.38</v>
      </c>
      <c r="D76" s="64">
        <v>3.14</v>
      </c>
      <c r="E76" s="64">
        <v>1.45</v>
      </c>
      <c r="F76" s="64">
        <v>6.82</v>
      </c>
      <c r="G76" s="64">
        <v>35.49</v>
      </c>
      <c r="H76" s="64">
        <v>13.93</v>
      </c>
      <c r="I76" s="64">
        <v>5.14</v>
      </c>
      <c r="J76" s="64">
        <v>0.38</v>
      </c>
      <c r="K76" s="64">
        <v>3.24</v>
      </c>
      <c r="L76" s="64">
        <v>34.25</v>
      </c>
      <c r="M76" s="64">
        <v>37.979999999999997</v>
      </c>
      <c r="N76" s="64">
        <v>54.2</v>
      </c>
      <c r="O76" s="64">
        <v>0</v>
      </c>
      <c r="P76" s="64">
        <v>0.44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4" t="s">
        <v>989</v>
      </c>
      <c r="B77" s="64">
        <v>2.2599999999999998</v>
      </c>
      <c r="C77" s="64">
        <v>0.37</v>
      </c>
      <c r="D77" s="64">
        <v>3.15</v>
      </c>
      <c r="E77" s="64">
        <v>1.57</v>
      </c>
      <c r="F77" s="64">
        <v>6.84</v>
      </c>
      <c r="G77" s="64">
        <v>35.49</v>
      </c>
      <c r="H77" s="64">
        <v>13.93</v>
      </c>
      <c r="I77" s="64">
        <v>4.99</v>
      </c>
      <c r="J77" s="64">
        <v>1.06</v>
      </c>
      <c r="K77" s="64">
        <v>321.08</v>
      </c>
      <c r="L77" s="64">
        <v>33.26</v>
      </c>
      <c r="M77" s="64">
        <v>37.380000000000003</v>
      </c>
      <c r="N77" s="64">
        <v>50.8</v>
      </c>
      <c r="O77" s="64">
        <v>0</v>
      </c>
      <c r="P77" s="64">
        <v>0.45</v>
      </c>
      <c r="Q77" s="64">
        <v>9.2899999999999991</v>
      </c>
      <c r="R77" s="198"/>
      <c r="S77" s="198"/>
      <c r="T77" s="198"/>
      <c r="U77" s="198"/>
    </row>
    <row r="78" spans="1:21" s="12" customFormat="1" x14ac:dyDescent="0.25">
      <c r="A78" s="214" t="s">
        <v>990</v>
      </c>
      <c r="B78" s="64">
        <v>2.4500000000000002</v>
      </c>
      <c r="C78" s="64">
        <v>0.93</v>
      </c>
      <c r="D78" s="64">
        <v>3.59</v>
      </c>
      <c r="E78" s="64">
        <v>1.67</v>
      </c>
      <c r="F78" s="64">
        <v>5.88</v>
      </c>
      <c r="G78" s="64">
        <v>36.42</v>
      </c>
      <c r="H78" s="64">
        <v>14.26</v>
      </c>
      <c r="I78" s="64">
        <v>4.67</v>
      </c>
      <c r="J78" s="64">
        <v>1.1000000000000001</v>
      </c>
      <c r="K78" s="64">
        <v>319.24</v>
      </c>
      <c r="L78" s="64">
        <v>32.58</v>
      </c>
      <c r="M78" s="64">
        <v>37.340000000000003</v>
      </c>
      <c r="N78" s="64">
        <v>39</v>
      </c>
      <c r="O78" s="64">
        <v>0</v>
      </c>
      <c r="P78" s="64">
        <v>0.46</v>
      </c>
      <c r="Q78" s="64">
        <v>9.2899999999999991</v>
      </c>
      <c r="R78" s="198"/>
      <c r="S78" s="198"/>
      <c r="T78" s="198"/>
      <c r="U78" s="198"/>
    </row>
    <row r="79" spans="1:21" s="12" customFormat="1" x14ac:dyDescent="0.25">
      <c r="A79" s="214" t="s">
        <v>991</v>
      </c>
      <c r="B79" s="64">
        <v>2.5099999999999998</v>
      </c>
      <c r="C79" s="64">
        <v>1.1499999999999999</v>
      </c>
      <c r="D79" s="64">
        <v>3.75</v>
      </c>
      <c r="E79" s="64">
        <v>1.32</v>
      </c>
      <c r="F79" s="64">
        <v>5.26</v>
      </c>
      <c r="G79" s="64">
        <v>37.28</v>
      </c>
      <c r="H79" s="64">
        <v>14.57</v>
      </c>
      <c r="I79" s="64">
        <v>4.55</v>
      </c>
      <c r="J79" s="64">
        <v>2.99</v>
      </c>
      <c r="K79" s="64">
        <v>330.78</v>
      </c>
      <c r="L79" s="64">
        <v>32.33</v>
      </c>
      <c r="M79" s="64">
        <v>39.03</v>
      </c>
      <c r="N79" s="64">
        <v>30.8</v>
      </c>
      <c r="O79" s="64">
        <v>0</v>
      </c>
      <c r="P79" s="64">
        <v>0.47</v>
      </c>
      <c r="Q79" s="64">
        <v>9.2899999999999991</v>
      </c>
      <c r="R79" s="198"/>
      <c r="S79" s="198"/>
      <c r="T79" s="198"/>
      <c r="U79" s="198"/>
    </row>
    <row r="80" spans="1:21" s="12" customFormat="1" x14ac:dyDescent="0.25">
      <c r="A80" s="214" t="s">
        <v>992</v>
      </c>
      <c r="B80" s="64">
        <v>2.29</v>
      </c>
      <c r="C80" s="64">
        <v>0.4</v>
      </c>
      <c r="D80" s="64">
        <v>3.19</v>
      </c>
      <c r="E80" s="64">
        <v>1.65</v>
      </c>
      <c r="F80" s="64">
        <v>6.9</v>
      </c>
      <c r="G80" s="64">
        <v>37.28</v>
      </c>
      <c r="H80" s="64">
        <v>14.57</v>
      </c>
      <c r="I80" s="64">
        <v>4.78</v>
      </c>
      <c r="J80" s="64">
        <v>3.21</v>
      </c>
      <c r="K80" s="64">
        <v>333.57</v>
      </c>
      <c r="L80" s="64">
        <v>30.84</v>
      </c>
      <c r="M80" s="64">
        <v>44.88</v>
      </c>
      <c r="N80" s="64">
        <v>29.9</v>
      </c>
      <c r="O80" s="64">
        <v>0</v>
      </c>
      <c r="P80" s="64">
        <v>0.47</v>
      </c>
      <c r="Q80" s="64">
        <v>9.31</v>
      </c>
      <c r="R80" s="198"/>
      <c r="S80" s="198"/>
      <c r="T80" s="198"/>
      <c r="U80" s="198"/>
    </row>
    <row r="81" spans="1:26" s="12" customFormat="1" x14ac:dyDescent="0.25">
      <c r="A81" s="214" t="s">
        <v>993</v>
      </c>
      <c r="B81" s="64">
        <v>2.27</v>
      </c>
      <c r="C81" s="64">
        <v>0.34</v>
      </c>
      <c r="D81" s="64">
        <v>3.14</v>
      </c>
      <c r="E81" s="64">
        <v>1.43</v>
      </c>
      <c r="F81" s="64">
        <v>7.54</v>
      </c>
      <c r="G81" s="64">
        <v>37.28</v>
      </c>
      <c r="H81" s="64">
        <v>14.57</v>
      </c>
      <c r="I81" s="64">
        <v>4.66</v>
      </c>
      <c r="J81" s="64">
        <v>3.64</v>
      </c>
      <c r="K81" s="64">
        <v>335.89</v>
      </c>
      <c r="L81" s="64">
        <v>30</v>
      </c>
      <c r="M81" s="64">
        <v>44.12</v>
      </c>
      <c r="N81" s="64">
        <v>22.1</v>
      </c>
      <c r="O81" s="64">
        <v>0</v>
      </c>
      <c r="P81" s="64">
        <v>0.48</v>
      </c>
      <c r="Q81" s="64">
        <v>9.31</v>
      </c>
      <c r="R81" s="198"/>
      <c r="S81" s="198"/>
      <c r="T81" s="198"/>
      <c r="U81" s="198"/>
    </row>
    <row r="82" spans="1:26" s="12" customFormat="1" x14ac:dyDescent="0.25">
      <c r="A82" s="214" t="s">
        <v>994</v>
      </c>
      <c r="B82" s="64">
        <v>2.2999999999999998</v>
      </c>
      <c r="C82" s="64">
        <v>0.34</v>
      </c>
      <c r="D82" s="64">
        <v>3.16</v>
      </c>
      <c r="E82" s="64">
        <v>1.34</v>
      </c>
      <c r="F82" s="64">
        <v>8.43</v>
      </c>
      <c r="G82" s="64">
        <v>41.28</v>
      </c>
      <c r="H82" s="64">
        <v>15.34</v>
      </c>
      <c r="I82" s="64">
        <v>4.2300000000000004</v>
      </c>
      <c r="J82" s="64">
        <v>3.42</v>
      </c>
      <c r="K82" s="64">
        <v>347.02</v>
      </c>
      <c r="L82" s="64">
        <v>29.02</v>
      </c>
      <c r="M82" s="64">
        <v>49.32</v>
      </c>
      <c r="N82" s="64">
        <v>20.399999999999999</v>
      </c>
      <c r="O82" s="64">
        <v>0</v>
      </c>
      <c r="P82" s="64">
        <v>0.48</v>
      </c>
      <c r="Q82" s="64">
        <v>9.31</v>
      </c>
      <c r="R82" s="198"/>
      <c r="S82" s="198"/>
      <c r="T82" s="198"/>
      <c r="U82" s="198"/>
    </row>
    <row r="83" spans="1:26" s="12" customFormat="1" x14ac:dyDescent="0.25">
      <c r="A83" s="214" t="s">
        <v>995</v>
      </c>
      <c r="B83" s="64">
        <v>2.29</v>
      </c>
      <c r="C83" s="64">
        <v>0.32</v>
      </c>
      <c r="D83" s="64">
        <v>3.15</v>
      </c>
      <c r="E83" s="64">
        <v>1.36</v>
      </c>
      <c r="F83" s="64">
        <v>8.1999999999999993</v>
      </c>
      <c r="G83" s="64">
        <v>44.94</v>
      </c>
      <c r="H83" s="64">
        <v>16.07</v>
      </c>
      <c r="I83" s="64">
        <v>4.04</v>
      </c>
      <c r="J83" s="64">
        <v>3.15</v>
      </c>
      <c r="K83" s="64">
        <v>344.18</v>
      </c>
      <c r="L83" s="64">
        <v>28.24</v>
      </c>
      <c r="M83" s="64">
        <v>54.01</v>
      </c>
      <c r="N83" s="64">
        <v>18</v>
      </c>
      <c r="O83" s="64">
        <v>0</v>
      </c>
      <c r="P83" s="64">
        <v>0.48</v>
      </c>
      <c r="Q83" s="64">
        <v>9.34</v>
      </c>
      <c r="R83" s="198"/>
      <c r="S83" s="198"/>
      <c r="T83" s="198"/>
      <c r="U83" s="198"/>
    </row>
    <row r="84" spans="1:26" s="12" customFormat="1" x14ac:dyDescent="0.25">
      <c r="A84" s="214" t="s">
        <v>996</v>
      </c>
      <c r="B84" s="64">
        <v>2.25</v>
      </c>
      <c r="C84" s="64">
        <v>0.37</v>
      </c>
      <c r="D84" s="64">
        <v>3.14</v>
      </c>
      <c r="E84" s="64">
        <v>1.68</v>
      </c>
      <c r="F84" s="64">
        <v>7.9</v>
      </c>
      <c r="G84" s="64">
        <v>44.94</v>
      </c>
      <c r="H84" s="64">
        <v>16.07</v>
      </c>
      <c r="I84" s="64">
        <v>3.74</v>
      </c>
      <c r="J84" s="64">
        <v>2.59</v>
      </c>
      <c r="K84" s="64">
        <v>345.06</v>
      </c>
      <c r="L84" s="64">
        <v>28.12</v>
      </c>
      <c r="M84" s="64">
        <v>53.7</v>
      </c>
      <c r="N84" s="64">
        <v>16.5</v>
      </c>
      <c r="O84" s="64">
        <v>0</v>
      </c>
      <c r="P84" s="64">
        <v>0.5</v>
      </c>
      <c r="Q84" s="64">
        <v>9.42</v>
      </c>
      <c r="R84" s="198"/>
      <c r="S84" s="198"/>
      <c r="T84" s="198"/>
      <c r="U84" s="198"/>
    </row>
    <row r="85" spans="1:26" s="12" customFormat="1" x14ac:dyDescent="0.25">
      <c r="A85" s="214" t="s">
        <v>997</v>
      </c>
      <c r="B85" s="64">
        <v>2.27</v>
      </c>
      <c r="C85" s="64">
        <v>0.47</v>
      </c>
      <c r="D85" s="64">
        <v>3.21</v>
      </c>
      <c r="E85" s="64">
        <v>1.74</v>
      </c>
      <c r="F85" s="64">
        <v>6.53</v>
      </c>
      <c r="G85" s="64">
        <v>44.94</v>
      </c>
      <c r="H85" s="64">
        <v>16.07</v>
      </c>
      <c r="I85" s="64">
        <v>3.67</v>
      </c>
      <c r="J85" s="64">
        <v>2.7</v>
      </c>
      <c r="K85" s="64">
        <v>347.15</v>
      </c>
      <c r="L85" s="64">
        <v>28.15</v>
      </c>
      <c r="M85" s="64">
        <v>53.32</v>
      </c>
      <c r="N85" s="64">
        <v>16.5</v>
      </c>
      <c r="O85" s="64">
        <v>0</v>
      </c>
      <c r="P85" s="64">
        <v>0.49</v>
      </c>
      <c r="Q85" s="64">
        <v>9.43</v>
      </c>
      <c r="R85" s="198"/>
      <c r="S85" s="198"/>
      <c r="T85" s="198"/>
      <c r="U85" s="198"/>
    </row>
    <row r="86" spans="1:26" s="12" customFormat="1" x14ac:dyDescent="0.25">
      <c r="A86" s="214" t="s">
        <v>998</v>
      </c>
      <c r="B86" s="64">
        <v>2.62</v>
      </c>
      <c r="C86" s="64">
        <v>1.8</v>
      </c>
      <c r="D86" s="64">
        <v>4.1900000000000004</v>
      </c>
      <c r="E86" s="64">
        <v>1.54</v>
      </c>
      <c r="F86" s="64">
        <v>5.72</v>
      </c>
      <c r="G86" s="64">
        <v>50.31</v>
      </c>
      <c r="H86" s="64">
        <v>16.63</v>
      </c>
      <c r="I86" s="64">
        <v>3.74</v>
      </c>
      <c r="J86" s="64">
        <v>2.73</v>
      </c>
      <c r="K86" s="64">
        <v>344.48</v>
      </c>
      <c r="L86" s="64">
        <v>28.26</v>
      </c>
      <c r="M86" s="64">
        <v>52.57</v>
      </c>
      <c r="N86" s="64">
        <v>16.600000000000001</v>
      </c>
      <c r="O86" s="64">
        <v>0</v>
      </c>
      <c r="P86" s="64">
        <v>0.52</v>
      </c>
      <c r="Q86" s="64">
        <v>9.41</v>
      </c>
      <c r="R86" s="198"/>
      <c r="S86" s="198"/>
      <c r="T86" s="198"/>
      <c r="U86" s="198"/>
    </row>
    <row r="87" spans="1:26" s="12" customFormat="1" x14ac:dyDescent="0.25">
      <c r="A87" s="214" t="s">
        <v>999</v>
      </c>
      <c r="B87" s="64">
        <v>2.3199999999999998</v>
      </c>
      <c r="C87" s="64">
        <v>0.56999999999999995</v>
      </c>
      <c r="D87" s="64">
        <v>3.3</v>
      </c>
      <c r="E87" s="64">
        <v>1.55</v>
      </c>
      <c r="F87" s="64">
        <v>5.51</v>
      </c>
      <c r="G87" s="64">
        <v>55.22</v>
      </c>
      <c r="H87" s="64">
        <v>17.149999999999999</v>
      </c>
      <c r="I87" s="64">
        <v>3.65</v>
      </c>
      <c r="J87" s="64">
        <v>2.2400000000000002</v>
      </c>
      <c r="K87" s="64">
        <v>347.07</v>
      </c>
      <c r="L87" s="64">
        <v>28.28</v>
      </c>
      <c r="M87" s="64">
        <v>51.81</v>
      </c>
      <c r="N87" s="64">
        <v>16.5</v>
      </c>
      <c r="O87" s="64">
        <v>0</v>
      </c>
      <c r="P87" s="64">
        <v>0.54</v>
      </c>
      <c r="Q87" s="64">
        <v>9.41</v>
      </c>
      <c r="R87" s="198"/>
      <c r="S87" s="198"/>
      <c r="T87" s="198"/>
      <c r="U87" s="198"/>
    </row>
    <row r="88" spans="1:26" s="12" customFormat="1" x14ac:dyDescent="0.25">
      <c r="A88" s="214" t="s">
        <v>1000</v>
      </c>
      <c r="B88" s="64">
        <v>2.27</v>
      </c>
      <c r="C88" s="64">
        <v>0.36</v>
      </c>
      <c r="D88" s="64">
        <v>3.15</v>
      </c>
      <c r="E88" s="64">
        <v>1.1299999999999999</v>
      </c>
      <c r="F88" s="64">
        <v>5.74</v>
      </c>
      <c r="G88" s="64">
        <v>55.22</v>
      </c>
      <c r="H88" s="64">
        <v>17.149999999999999</v>
      </c>
      <c r="I88" s="64">
        <v>3.51</v>
      </c>
      <c r="J88" s="64">
        <v>1.77</v>
      </c>
      <c r="K88" s="64">
        <v>340.34</v>
      </c>
      <c r="L88" s="64">
        <v>28.24</v>
      </c>
      <c r="M88" s="64">
        <v>51.45</v>
      </c>
      <c r="N88" s="64">
        <v>16.5</v>
      </c>
      <c r="O88" s="64">
        <v>0</v>
      </c>
      <c r="P88" s="64">
        <v>0.56000000000000005</v>
      </c>
      <c r="Q88" s="64">
        <v>9.4700000000000006</v>
      </c>
      <c r="R88" s="198"/>
      <c r="S88" s="198"/>
      <c r="T88" s="198"/>
      <c r="U88" s="198"/>
    </row>
    <row r="89" spans="1:26" s="12" customFormat="1" x14ac:dyDescent="0.25">
      <c r="A89" s="214" t="s">
        <v>1001</v>
      </c>
      <c r="B89" s="64">
        <v>2.23</v>
      </c>
      <c r="C89" s="64">
        <v>0.4</v>
      </c>
      <c r="D89" s="64">
        <v>3.14</v>
      </c>
      <c r="E89" s="64">
        <v>0.75</v>
      </c>
      <c r="F89" s="64">
        <v>4.62</v>
      </c>
      <c r="G89" s="64">
        <v>55.22</v>
      </c>
      <c r="H89" s="64">
        <v>17.149999999999999</v>
      </c>
      <c r="I89" s="64">
        <v>3.49</v>
      </c>
      <c r="J89" s="64">
        <v>0.31</v>
      </c>
      <c r="K89" s="64">
        <v>179.13</v>
      </c>
      <c r="L89" s="64">
        <v>28.27</v>
      </c>
      <c r="M89" s="64">
        <v>51.18</v>
      </c>
      <c r="N89" s="64">
        <v>16.399999999999999</v>
      </c>
      <c r="O89" s="64">
        <v>0</v>
      </c>
      <c r="P89" s="64">
        <v>0.59</v>
      </c>
      <c r="Q89" s="64">
        <v>9.49</v>
      </c>
      <c r="R89" s="198"/>
      <c r="S89" s="198"/>
      <c r="T89" s="198"/>
      <c r="U89" s="198"/>
    </row>
    <row r="90" spans="1:26" s="12" customFormat="1" x14ac:dyDescent="0.25">
      <c r="A90" s="214" t="s">
        <v>1002</v>
      </c>
      <c r="B90" s="64">
        <v>2.2400000000000002</v>
      </c>
      <c r="C90" s="64">
        <v>0.39</v>
      </c>
      <c r="D90" s="64">
        <v>3.14</v>
      </c>
      <c r="E90" s="64">
        <v>0.55000000000000004</v>
      </c>
      <c r="F90" s="64">
        <v>4.04</v>
      </c>
      <c r="G90" s="64">
        <v>58.03</v>
      </c>
      <c r="H90" s="64">
        <v>17.62</v>
      </c>
      <c r="I90" s="64">
        <v>3.6</v>
      </c>
      <c r="J90" s="64">
        <v>0.24</v>
      </c>
      <c r="K90" s="64">
        <v>314.14</v>
      </c>
      <c r="L90" s="64">
        <v>28.35</v>
      </c>
      <c r="M90" s="64">
        <v>51.13</v>
      </c>
      <c r="N90" s="64">
        <v>16.600000000000001</v>
      </c>
      <c r="O90" s="64">
        <v>0</v>
      </c>
      <c r="P90" s="64">
        <v>0.62</v>
      </c>
      <c r="Q90" s="64">
        <v>9.4700000000000006</v>
      </c>
      <c r="R90" s="198"/>
      <c r="S90" s="198"/>
      <c r="T90" s="198"/>
      <c r="U90" s="198"/>
    </row>
    <row r="91" spans="1:26" s="12" customFormat="1" x14ac:dyDescent="0.25">
      <c r="A91" s="214" t="s">
        <v>1003</v>
      </c>
      <c r="B91" s="64">
        <v>2.5</v>
      </c>
      <c r="C91" s="64">
        <v>1.24</v>
      </c>
      <c r="D91" s="64">
        <v>3.8</v>
      </c>
      <c r="E91" s="64">
        <v>0.65</v>
      </c>
      <c r="F91" s="64">
        <v>4.25</v>
      </c>
      <c r="G91" s="64">
        <v>60.72</v>
      </c>
      <c r="H91" s="64">
        <v>18.05</v>
      </c>
      <c r="I91" s="64">
        <v>3.72</v>
      </c>
      <c r="J91" s="64">
        <v>0.32</v>
      </c>
      <c r="K91" s="64">
        <v>224.05</v>
      </c>
      <c r="L91" s="64">
        <v>27.99</v>
      </c>
      <c r="M91" s="64">
        <v>54.16</v>
      </c>
      <c r="N91" s="64">
        <v>16.8</v>
      </c>
      <c r="O91" s="64">
        <v>0</v>
      </c>
      <c r="P91" s="64">
        <v>0.62</v>
      </c>
      <c r="Q91" s="64">
        <v>9.4600000000000009</v>
      </c>
      <c r="R91" s="198"/>
      <c r="S91" s="198"/>
      <c r="T91" s="198"/>
      <c r="U91" s="198"/>
    </row>
    <row r="92" spans="1:26" s="12" customFormat="1" x14ac:dyDescent="0.25">
      <c r="A92" s="214" t="s">
        <v>1004</v>
      </c>
      <c r="B92" s="64">
        <v>2.59</v>
      </c>
      <c r="C92" s="64">
        <v>1.62</v>
      </c>
      <c r="D92" s="64">
        <v>4.07</v>
      </c>
      <c r="E92" s="64">
        <v>0.79</v>
      </c>
      <c r="F92" s="64">
        <v>4.5</v>
      </c>
      <c r="G92" s="64">
        <v>60.72</v>
      </c>
      <c r="H92" s="64">
        <v>18.05</v>
      </c>
      <c r="I92" s="64">
        <v>3.84</v>
      </c>
      <c r="J92" s="64">
        <v>0.48</v>
      </c>
      <c r="K92" s="64">
        <v>22.67</v>
      </c>
      <c r="L92" s="64">
        <v>27.55</v>
      </c>
      <c r="M92" s="64">
        <v>57.21</v>
      </c>
      <c r="N92" s="64">
        <v>17</v>
      </c>
      <c r="O92" s="64">
        <v>0</v>
      </c>
      <c r="P92" s="64">
        <v>0.62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4" t="s">
        <v>1005</v>
      </c>
      <c r="B93" s="64">
        <v>2.3199999999999998</v>
      </c>
      <c r="C93" s="64">
        <v>0.55000000000000004</v>
      </c>
      <c r="D93" s="64">
        <v>3.29</v>
      </c>
      <c r="E93" s="64">
        <v>0.85</v>
      </c>
      <c r="F93" s="64">
        <v>4.82</v>
      </c>
      <c r="G93" s="64">
        <v>60.72</v>
      </c>
      <c r="H93" s="64">
        <v>18.05</v>
      </c>
      <c r="I93" s="64">
        <v>3.7</v>
      </c>
      <c r="J93" s="64">
        <v>0.56000000000000005</v>
      </c>
      <c r="K93" s="64">
        <v>20.34</v>
      </c>
      <c r="L93" s="64">
        <v>27.55</v>
      </c>
      <c r="M93" s="64">
        <v>57.3</v>
      </c>
      <c r="N93" s="64">
        <v>16.600000000000001</v>
      </c>
      <c r="O93" s="64">
        <v>0</v>
      </c>
      <c r="P93" s="64">
        <v>0.61</v>
      </c>
      <c r="Q93" s="64">
        <v>9.4600000000000009</v>
      </c>
      <c r="R93" s="198"/>
      <c r="S93" s="198"/>
      <c r="T93" s="198"/>
      <c r="U93" s="198"/>
    </row>
    <row r="94" spans="1:26" s="12" customFormat="1" x14ac:dyDescent="0.25">
      <c r="A94" s="214" t="s">
        <v>1006</v>
      </c>
      <c r="B94" s="64">
        <v>2.29</v>
      </c>
      <c r="C94" s="64">
        <v>0.42</v>
      </c>
      <c r="D94" s="64">
        <v>3.21</v>
      </c>
      <c r="E94" s="64">
        <v>0.56000000000000005</v>
      </c>
      <c r="F94" s="64">
        <v>5.15</v>
      </c>
      <c r="G94" s="64">
        <v>61.97</v>
      </c>
      <c r="H94" s="64">
        <v>19.57</v>
      </c>
      <c r="I94" s="64">
        <v>3.47</v>
      </c>
      <c r="J94" s="64">
        <v>0.64</v>
      </c>
      <c r="K94" s="64">
        <v>29.74</v>
      </c>
      <c r="L94" s="64">
        <v>27.38</v>
      </c>
      <c r="M94" s="64">
        <v>58.66</v>
      </c>
      <c r="N94" s="64">
        <v>16.8</v>
      </c>
      <c r="O94" s="64">
        <v>0</v>
      </c>
      <c r="P94" s="64">
        <v>0.62</v>
      </c>
      <c r="Q94" s="64">
        <v>9.44</v>
      </c>
      <c r="R94" s="198"/>
      <c r="S94" s="198"/>
      <c r="T94" s="198"/>
      <c r="U94" s="198"/>
    </row>
    <row r="95" spans="1:26" s="12" customFormat="1" x14ac:dyDescent="0.25">
      <c r="A95" s="214" t="s">
        <v>1007</v>
      </c>
      <c r="B95" s="64">
        <v>2.27</v>
      </c>
      <c r="C95" s="64">
        <v>0.36</v>
      </c>
      <c r="D95" s="64">
        <v>3.15</v>
      </c>
      <c r="E95" s="64">
        <v>0.55000000000000004</v>
      </c>
      <c r="F95" s="64">
        <v>5.26</v>
      </c>
      <c r="G95" s="64">
        <v>63.11</v>
      </c>
      <c r="H95" s="64">
        <v>20.95</v>
      </c>
      <c r="I95" s="64">
        <v>3.36</v>
      </c>
      <c r="J95" s="64">
        <v>0.15</v>
      </c>
      <c r="K95" s="64">
        <v>347.85</v>
      </c>
      <c r="L95" s="64">
        <v>26.95</v>
      </c>
      <c r="M95" s="64">
        <v>61.43</v>
      </c>
      <c r="N95" s="64">
        <v>16.899999999999999</v>
      </c>
      <c r="O95" s="64">
        <v>0</v>
      </c>
      <c r="P95" s="64">
        <v>0.61</v>
      </c>
      <c r="Q95" s="64">
        <v>9.42</v>
      </c>
      <c r="R95" s="198"/>
      <c r="S95" s="198"/>
      <c r="T95" s="198"/>
      <c r="U95" s="198"/>
    </row>
    <row r="96" spans="1:26" s="12" customFormat="1" x14ac:dyDescent="0.25">
      <c r="A96" s="214" t="s">
        <v>1008</v>
      </c>
      <c r="B96" s="64">
        <v>2.34</v>
      </c>
      <c r="C96" s="64">
        <v>0.46</v>
      </c>
      <c r="D96" s="64">
        <v>3.26</v>
      </c>
      <c r="E96" s="64">
        <v>0.77</v>
      </c>
      <c r="F96" s="64">
        <v>5.13</v>
      </c>
      <c r="G96" s="64">
        <v>63.11</v>
      </c>
      <c r="H96" s="64">
        <v>20.95</v>
      </c>
      <c r="I96" s="64">
        <v>3.25</v>
      </c>
      <c r="J96" s="64">
        <v>0.3</v>
      </c>
      <c r="K96" s="64">
        <v>12.43</v>
      </c>
      <c r="L96" s="64">
        <v>27.03</v>
      </c>
      <c r="M96" s="64">
        <v>59.86</v>
      </c>
      <c r="N96" s="64">
        <v>16.399999999999999</v>
      </c>
      <c r="O96" s="64">
        <v>0</v>
      </c>
      <c r="P96" s="64">
        <v>0.6</v>
      </c>
      <c r="Q96" s="64">
        <v>9.4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1009</v>
      </c>
      <c r="B97" s="64">
        <v>2.33</v>
      </c>
      <c r="C97" s="64">
        <v>0.42</v>
      </c>
      <c r="D97" s="64">
        <v>3.24</v>
      </c>
      <c r="E97" s="64">
        <v>0.63</v>
      </c>
      <c r="F97" s="64">
        <v>4.8899999999999997</v>
      </c>
      <c r="G97" s="64">
        <v>63.11</v>
      </c>
      <c r="H97" s="64">
        <v>20.95</v>
      </c>
      <c r="I97" s="64">
        <v>3.18</v>
      </c>
      <c r="J97" s="64">
        <v>0.94</v>
      </c>
      <c r="K97" s="64">
        <v>197.46</v>
      </c>
      <c r="L97" s="64">
        <v>27.02</v>
      </c>
      <c r="M97" s="64">
        <v>59.52</v>
      </c>
      <c r="N97" s="64">
        <v>16.5</v>
      </c>
      <c r="O97" s="64">
        <v>0</v>
      </c>
      <c r="P97" s="64">
        <v>0.57999999999999996</v>
      </c>
      <c r="Q97" s="64">
        <v>9.41</v>
      </c>
      <c r="R97" s="198"/>
      <c r="S97" s="198"/>
      <c r="T97" s="198"/>
      <c r="U97" s="198"/>
    </row>
    <row r="98" spans="1:33" s="12" customFormat="1" x14ac:dyDescent="0.25">
      <c r="A98" s="214" t="s">
        <v>1010</v>
      </c>
      <c r="B98" s="64">
        <v>2.64</v>
      </c>
      <c r="C98" s="64">
        <v>1.51</v>
      </c>
      <c r="D98" s="64">
        <v>4.05</v>
      </c>
      <c r="E98" s="64">
        <v>0.7</v>
      </c>
      <c r="F98" s="64">
        <v>5.74</v>
      </c>
      <c r="G98" s="64">
        <v>59.47</v>
      </c>
      <c r="H98" s="64">
        <v>19.61</v>
      </c>
      <c r="I98" s="64">
        <v>3.18</v>
      </c>
      <c r="J98" s="64">
        <v>1.71</v>
      </c>
      <c r="K98" s="64">
        <v>164.76</v>
      </c>
      <c r="L98" s="64">
        <v>26.14</v>
      </c>
      <c r="M98" s="64">
        <v>64.52</v>
      </c>
      <c r="N98" s="64">
        <v>18.100000000000001</v>
      </c>
      <c r="O98" s="64">
        <v>0</v>
      </c>
      <c r="P98" s="64">
        <v>0.55000000000000004</v>
      </c>
      <c r="Q98" s="64">
        <v>9.41</v>
      </c>
      <c r="R98" s="198"/>
      <c r="S98" s="198"/>
      <c r="T98" s="198"/>
      <c r="U98" s="198"/>
    </row>
    <row r="99" spans="1:33" s="12" customFormat="1" x14ac:dyDescent="0.25">
      <c r="A99" s="214" t="s">
        <v>1011</v>
      </c>
      <c r="B99" s="64">
        <v>2.34</v>
      </c>
      <c r="C99" s="64">
        <v>0.47</v>
      </c>
      <c r="D99" s="64">
        <v>3.26</v>
      </c>
      <c r="E99" s="64">
        <v>0.6</v>
      </c>
      <c r="F99" s="64">
        <v>6.73</v>
      </c>
      <c r="G99" s="64">
        <v>55.99</v>
      </c>
      <c r="H99" s="64">
        <v>18.38</v>
      </c>
      <c r="I99" s="64">
        <v>3.24</v>
      </c>
      <c r="J99" s="64">
        <v>0.77</v>
      </c>
      <c r="K99" s="64">
        <v>197.43</v>
      </c>
      <c r="L99" s="64">
        <v>25.37</v>
      </c>
      <c r="M99" s="64">
        <v>70.23</v>
      </c>
      <c r="N99" s="64">
        <v>17.5</v>
      </c>
      <c r="O99" s="64">
        <v>0</v>
      </c>
      <c r="P99" s="64">
        <v>0.51</v>
      </c>
      <c r="Q99" s="64">
        <v>9.43</v>
      </c>
      <c r="R99" s="198"/>
      <c r="S99" s="198"/>
      <c r="T99" s="198"/>
      <c r="U99" s="198"/>
    </row>
    <row r="100" spans="1:33" s="12" customFormat="1" x14ac:dyDescent="0.25">
      <c r="A100" s="214" t="s">
        <v>1012</v>
      </c>
      <c r="B100" s="64">
        <v>2.29</v>
      </c>
      <c r="C100" s="64">
        <v>0.33</v>
      </c>
      <c r="D100" s="64">
        <v>3.15</v>
      </c>
      <c r="E100" s="64">
        <v>0.74</v>
      </c>
      <c r="F100" s="64">
        <v>7.33</v>
      </c>
      <c r="G100" s="64">
        <v>55.99</v>
      </c>
      <c r="H100" s="64">
        <v>18.38</v>
      </c>
      <c r="I100" s="64">
        <v>3.47</v>
      </c>
      <c r="J100" s="64">
        <v>0.22</v>
      </c>
      <c r="K100" s="64">
        <v>199.27</v>
      </c>
      <c r="L100" s="64">
        <v>25.18</v>
      </c>
      <c r="M100" s="64">
        <v>71.73</v>
      </c>
      <c r="N100" s="64">
        <v>17</v>
      </c>
      <c r="O100" s="64">
        <v>0</v>
      </c>
      <c r="P100" s="64">
        <v>0.49</v>
      </c>
      <c r="Q100" s="64">
        <v>9.42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1013</v>
      </c>
      <c r="B101" s="64">
        <v>2.27</v>
      </c>
      <c r="C101" s="64">
        <v>0.33</v>
      </c>
      <c r="D101" s="64">
        <v>3.14</v>
      </c>
      <c r="E101" s="64">
        <v>0.64</v>
      </c>
      <c r="F101" s="64">
        <v>6.81</v>
      </c>
      <c r="G101" s="64">
        <v>55.99</v>
      </c>
      <c r="H101" s="64">
        <v>18.38</v>
      </c>
      <c r="I101" s="64">
        <v>3.48</v>
      </c>
      <c r="J101" s="64">
        <v>1.18</v>
      </c>
      <c r="K101" s="64">
        <v>167.38</v>
      </c>
      <c r="L101" s="64">
        <v>24.79</v>
      </c>
      <c r="M101" s="64">
        <v>74.22</v>
      </c>
      <c r="N101" s="64">
        <v>17.100000000000001</v>
      </c>
      <c r="O101" s="64">
        <v>0</v>
      </c>
      <c r="P101" s="64">
        <v>0.46</v>
      </c>
      <c r="Q101" s="64">
        <v>9.3800000000000008</v>
      </c>
      <c r="R101" s="198"/>
      <c r="S101" s="198"/>
      <c r="T101" s="198"/>
      <c r="U101" s="198"/>
    </row>
    <row r="102" spans="1:33" s="12" customFormat="1" x14ac:dyDescent="0.25">
      <c r="A102" s="214" t="s">
        <v>1014</v>
      </c>
      <c r="B102" s="64">
        <v>2.3199999999999998</v>
      </c>
      <c r="C102" s="64">
        <v>0.41</v>
      </c>
      <c r="D102" s="64">
        <v>3.22</v>
      </c>
      <c r="E102" s="64">
        <v>0.63</v>
      </c>
      <c r="F102" s="64">
        <v>6.08</v>
      </c>
      <c r="G102" s="64">
        <v>48.95</v>
      </c>
      <c r="H102" s="64">
        <v>17.21</v>
      </c>
      <c r="I102" s="64">
        <v>3.18</v>
      </c>
      <c r="J102" s="64">
        <v>1.74</v>
      </c>
      <c r="K102" s="64">
        <v>156.80000000000001</v>
      </c>
      <c r="L102" s="64">
        <v>24.6</v>
      </c>
      <c r="M102" s="64">
        <v>75.67</v>
      </c>
      <c r="N102" s="64">
        <v>16.899999999999999</v>
      </c>
      <c r="O102" s="64">
        <v>0</v>
      </c>
      <c r="P102" s="64">
        <v>0.45</v>
      </c>
      <c r="Q102" s="64">
        <v>9.4</v>
      </c>
      <c r="R102" s="198"/>
      <c r="S102" s="198"/>
      <c r="T102" s="198"/>
      <c r="U102" s="198"/>
    </row>
    <row r="103" spans="1:33" s="12" customFormat="1" x14ac:dyDescent="0.25">
      <c r="A103" s="214" t="s">
        <v>1015</v>
      </c>
      <c r="B103" s="64">
        <v>2.71</v>
      </c>
      <c r="C103" s="64">
        <v>1.94</v>
      </c>
      <c r="D103" s="64">
        <v>4.34</v>
      </c>
      <c r="E103" s="64">
        <v>0.54</v>
      </c>
      <c r="F103" s="64">
        <v>6.01</v>
      </c>
      <c r="G103" s="64">
        <v>42.22</v>
      </c>
      <c r="H103" s="64">
        <v>16.14</v>
      </c>
      <c r="I103" s="64">
        <v>3.1</v>
      </c>
      <c r="J103" s="64">
        <v>0.66</v>
      </c>
      <c r="K103" s="64">
        <v>205.85</v>
      </c>
      <c r="L103" s="64">
        <v>24.53</v>
      </c>
      <c r="M103" s="64">
        <v>75.78</v>
      </c>
      <c r="N103" s="64">
        <v>16.8</v>
      </c>
      <c r="O103" s="64">
        <v>0</v>
      </c>
      <c r="P103" s="64">
        <v>0.45</v>
      </c>
      <c r="Q103" s="64">
        <v>9.43</v>
      </c>
      <c r="R103" s="198"/>
      <c r="S103" s="198"/>
      <c r="T103" s="198"/>
      <c r="U103" s="198"/>
    </row>
    <row r="104" spans="1:33" s="12" customFormat="1" x14ac:dyDescent="0.25">
      <c r="A104" s="214" t="s">
        <v>1016</v>
      </c>
      <c r="B104" s="64">
        <v>2.6</v>
      </c>
      <c r="C104" s="64">
        <v>1.65</v>
      </c>
      <c r="D104" s="64">
        <v>4.0999999999999996</v>
      </c>
      <c r="E104" s="64">
        <v>1.26</v>
      </c>
      <c r="F104" s="64">
        <v>5.34</v>
      </c>
      <c r="G104" s="64">
        <v>42.22</v>
      </c>
      <c r="H104" s="64">
        <v>16.14</v>
      </c>
      <c r="I104" s="64">
        <v>3.21</v>
      </c>
      <c r="J104" s="64">
        <v>0.1</v>
      </c>
      <c r="K104" s="64">
        <v>230.96</v>
      </c>
      <c r="L104" s="64">
        <v>24.48</v>
      </c>
      <c r="M104" s="64">
        <v>76.61</v>
      </c>
      <c r="N104" s="64">
        <v>16.600000000000001</v>
      </c>
      <c r="O104" s="64">
        <v>0</v>
      </c>
      <c r="P104" s="64">
        <v>0.43</v>
      </c>
      <c r="Q104" s="64">
        <v>9.41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2.2200000000000002</v>
      </c>
      <c r="C106" s="67">
        <f>MIN(C9:C104)</f>
        <v>0.32</v>
      </c>
      <c r="D106" s="67">
        <f t="shared" ref="D106:Q106" si="0">MIN(D9:D104)</f>
        <v>3.14</v>
      </c>
      <c r="E106" s="67">
        <f t="shared" si="0"/>
        <v>0.54</v>
      </c>
      <c r="F106" s="67">
        <f t="shared" si="0"/>
        <v>3.67</v>
      </c>
      <c r="G106" s="67">
        <f t="shared" si="0"/>
        <v>20.03</v>
      </c>
      <c r="H106" s="67">
        <f t="shared" si="0"/>
        <v>5.79</v>
      </c>
      <c r="I106" s="67">
        <f t="shared" si="0"/>
        <v>2.13</v>
      </c>
      <c r="J106" s="67">
        <f t="shared" si="0"/>
        <v>7.0000000000000007E-2</v>
      </c>
      <c r="K106" s="67">
        <f t="shared" si="0"/>
        <v>0.9</v>
      </c>
      <c r="L106" s="67">
        <f t="shared" si="0"/>
        <v>24.48</v>
      </c>
      <c r="M106" s="67">
        <f t="shared" si="0"/>
        <v>33.85</v>
      </c>
      <c r="N106" s="67">
        <f t="shared" si="0"/>
        <v>16</v>
      </c>
      <c r="O106" s="67">
        <f t="shared" si="0"/>
        <v>0</v>
      </c>
      <c r="P106" s="67">
        <f t="shared" si="0"/>
        <v>0.23</v>
      </c>
      <c r="Q106" s="67">
        <f t="shared" si="0"/>
        <v>9.2799999999999994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2.71</v>
      </c>
      <c r="C107" s="66">
        <f t="shared" ref="C107:Q107" si="1">MAX(C9:C104)</f>
        <v>1.94</v>
      </c>
      <c r="D107" s="66">
        <f t="shared" si="1"/>
        <v>4.34</v>
      </c>
      <c r="E107" s="66">
        <f t="shared" si="1"/>
        <v>3.03</v>
      </c>
      <c r="F107" s="66">
        <f t="shared" si="1"/>
        <v>9.56</v>
      </c>
      <c r="G107" s="66">
        <f t="shared" si="1"/>
        <v>63.11</v>
      </c>
      <c r="H107" s="66">
        <f t="shared" si="1"/>
        <v>20.95</v>
      </c>
      <c r="I107" s="66">
        <f t="shared" si="1"/>
        <v>5.44</v>
      </c>
      <c r="J107" s="66">
        <f t="shared" si="1"/>
        <v>3.64</v>
      </c>
      <c r="K107" s="66">
        <f t="shared" si="1"/>
        <v>357.91</v>
      </c>
      <c r="L107" s="66">
        <f t="shared" si="1"/>
        <v>37.159999999999997</v>
      </c>
      <c r="M107" s="66">
        <f t="shared" si="1"/>
        <v>76.61</v>
      </c>
      <c r="N107" s="66">
        <f t="shared" si="1"/>
        <v>843</v>
      </c>
      <c r="O107" s="66">
        <f t="shared" si="1"/>
        <v>0</v>
      </c>
      <c r="P107" s="66">
        <f t="shared" si="1"/>
        <v>0.62</v>
      </c>
      <c r="Q107" s="66">
        <f t="shared" si="1"/>
        <v>9.49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2.3604166666666671</v>
      </c>
      <c r="C108" s="67">
        <f t="shared" ref="C108:Q108" si="2">AVERAGE(C9:C104)</f>
        <v>0.62343749999999976</v>
      </c>
      <c r="D108" s="67">
        <f t="shared" si="2"/>
        <v>3.3629166666666648</v>
      </c>
      <c r="E108" s="67">
        <f t="shared" si="2"/>
        <v>1.7149999999999996</v>
      </c>
      <c r="F108" s="67">
        <f t="shared" si="2"/>
        <v>6.2762500000000001</v>
      </c>
      <c r="G108" s="67">
        <f t="shared" si="2"/>
        <v>33.965833333333315</v>
      </c>
      <c r="H108" s="67">
        <f t="shared" si="2"/>
        <v>12.722187500000009</v>
      </c>
      <c r="I108" s="67">
        <f t="shared" si="2"/>
        <v>3.4958333333333353</v>
      </c>
      <c r="J108" s="67">
        <f t="shared" si="2"/>
        <v>0.82104166666666645</v>
      </c>
      <c r="K108" s="67">
        <f t="shared" si="2"/>
        <v>188.69479166666665</v>
      </c>
      <c r="L108" s="67">
        <f t="shared" si="2"/>
        <v>29.874895833333337</v>
      </c>
      <c r="M108" s="67">
        <f t="shared" si="2"/>
        <v>53.844583333333354</v>
      </c>
      <c r="N108" s="67">
        <f t="shared" si="2"/>
        <v>221.30833333333331</v>
      </c>
      <c r="O108" s="67">
        <f t="shared" si="2"/>
        <v>0</v>
      </c>
      <c r="P108" s="67">
        <f t="shared" si="2"/>
        <v>0.40479166666666672</v>
      </c>
      <c r="Q108" s="67">
        <f t="shared" si="2"/>
        <v>9.3749999999999947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0.12121244218458299</v>
      </c>
      <c r="C109" s="67">
        <f t="shared" ref="C109:Q109" si="3">STDEV(C9:C104)</f>
        <v>0.38905777713261108</v>
      </c>
      <c r="D109" s="67">
        <f t="shared" si="3"/>
        <v>0.29798592925688244</v>
      </c>
      <c r="E109" s="67">
        <f t="shared" si="3"/>
        <v>0.67991795170640579</v>
      </c>
      <c r="F109" s="67">
        <f t="shared" si="3"/>
        <v>1.6799143148575038</v>
      </c>
      <c r="G109" s="67">
        <f t="shared" si="3"/>
        <v>13.096399880293884</v>
      </c>
      <c r="H109" s="67">
        <f t="shared" si="3"/>
        <v>4.40656667954946</v>
      </c>
      <c r="I109" s="67">
        <f t="shared" si="3"/>
        <v>0.78240609548085893</v>
      </c>
      <c r="J109" s="67">
        <f t="shared" si="3"/>
        <v>0.81906812153770125</v>
      </c>
      <c r="K109" s="67">
        <f t="shared" si="3"/>
        <v>126.58598675233128</v>
      </c>
      <c r="L109" s="67">
        <f t="shared" si="3"/>
        <v>3.8657848647608475</v>
      </c>
      <c r="M109" s="67">
        <f t="shared" si="3"/>
        <v>13.052756588606233</v>
      </c>
      <c r="N109" s="67">
        <f t="shared" si="3"/>
        <v>281.77444494588474</v>
      </c>
      <c r="O109" s="67">
        <f t="shared" si="3"/>
        <v>0</v>
      </c>
      <c r="P109" s="67">
        <f t="shared" si="3"/>
        <v>0.12693122187909181</v>
      </c>
      <c r="Q109" s="67">
        <f t="shared" si="3"/>
        <v>5.0178628287769242E-2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1017</v>
      </c>
      <c r="B9" s="64">
        <v>2.4900000000000002</v>
      </c>
      <c r="C9" s="64">
        <v>1.0900000000000001</v>
      </c>
      <c r="D9" s="64">
        <v>3.71</v>
      </c>
      <c r="E9" s="64">
        <v>1.89</v>
      </c>
      <c r="F9" s="64">
        <v>5.28</v>
      </c>
      <c r="G9" s="64">
        <v>42.22</v>
      </c>
      <c r="H9" s="64">
        <v>16.14</v>
      </c>
      <c r="I9" s="64">
        <v>3.19</v>
      </c>
      <c r="J9" s="64">
        <v>0.06</v>
      </c>
      <c r="K9" s="64">
        <v>314.8</v>
      </c>
      <c r="L9" s="64">
        <v>24.5</v>
      </c>
      <c r="M9" s="64">
        <v>76.28</v>
      </c>
      <c r="N9" s="64">
        <v>16.5</v>
      </c>
      <c r="O9" s="64">
        <v>0</v>
      </c>
      <c r="P9" s="64">
        <v>0.41</v>
      </c>
      <c r="Q9" s="64">
        <v>9.3699999999999992</v>
      </c>
      <c r="R9" s="198"/>
      <c r="S9" s="198"/>
      <c r="T9" s="198"/>
      <c r="U9" s="198"/>
    </row>
    <row r="10" spans="1:21" s="12" customFormat="1" x14ac:dyDescent="0.25">
      <c r="A10" s="214" t="s">
        <v>1018</v>
      </c>
      <c r="B10" s="64">
        <v>2.69</v>
      </c>
      <c r="C10" s="64">
        <v>1.68</v>
      </c>
      <c r="D10" s="64">
        <v>4.18</v>
      </c>
      <c r="E10" s="64">
        <v>1.58</v>
      </c>
      <c r="F10" s="64">
        <v>5.48</v>
      </c>
      <c r="G10" s="64">
        <v>35.909999999999997</v>
      </c>
      <c r="H10" s="64">
        <v>14.69</v>
      </c>
      <c r="I10" s="64">
        <v>3.05</v>
      </c>
      <c r="J10" s="64">
        <v>0.17</v>
      </c>
      <c r="K10" s="64">
        <v>143.02000000000001</v>
      </c>
      <c r="L10" s="64">
        <v>24.46</v>
      </c>
      <c r="M10" s="64">
        <v>76.069999999999993</v>
      </c>
      <c r="N10" s="64">
        <v>16.399999999999999</v>
      </c>
      <c r="O10" s="64">
        <v>0</v>
      </c>
      <c r="P10" s="64">
        <v>0.4</v>
      </c>
      <c r="Q10" s="64">
        <v>9.4</v>
      </c>
      <c r="R10" s="198"/>
      <c r="S10" s="198"/>
      <c r="T10" s="198"/>
      <c r="U10" s="198"/>
    </row>
    <row r="11" spans="1:21" s="12" customFormat="1" x14ac:dyDescent="0.25">
      <c r="A11" s="214" t="s">
        <v>1019</v>
      </c>
      <c r="B11" s="64">
        <v>2.62</v>
      </c>
      <c r="C11" s="64">
        <v>1.59</v>
      </c>
      <c r="D11" s="64">
        <v>4.08</v>
      </c>
      <c r="E11" s="64">
        <v>1.3</v>
      </c>
      <c r="F11" s="64">
        <v>5.5</v>
      </c>
      <c r="G11" s="64">
        <v>30.13</v>
      </c>
      <c r="H11" s="64">
        <v>13.36</v>
      </c>
      <c r="I11" s="64">
        <v>2.89</v>
      </c>
      <c r="J11" s="64">
        <v>0.36</v>
      </c>
      <c r="K11" s="64">
        <v>173.56</v>
      </c>
      <c r="L11" s="64">
        <v>24.41</v>
      </c>
      <c r="M11" s="64">
        <v>76.11</v>
      </c>
      <c r="N11" s="64">
        <v>16.5</v>
      </c>
      <c r="O11" s="64">
        <v>0</v>
      </c>
      <c r="P11" s="64">
        <v>0.4</v>
      </c>
      <c r="Q11" s="64">
        <v>9.4499999999999993</v>
      </c>
      <c r="R11" s="198"/>
      <c r="S11" s="198"/>
      <c r="T11" s="198"/>
      <c r="U11" s="198"/>
    </row>
    <row r="12" spans="1:21" s="12" customFormat="1" x14ac:dyDescent="0.25">
      <c r="A12" s="214" t="s">
        <v>1020</v>
      </c>
      <c r="B12" s="64">
        <v>2.38</v>
      </c>
      <c r="C12" s="64">
        <v>0.79</v>
      </c>
      <c r="D12" s="64">
        <v>3.46</v>
      </c>
      <c r="E12" s="64">
        <v>1.52</v>
      </c>
      <c r="F12" s="64">
        <v>4.1399999999999997</v>
      </c>
      <c r="G12" s="64">
        <v>30.13</v>
      </c>
      <c r="H12" s="64">
        <v>13.36</v>
      </c>
      <c r="I12" s="64">
        <v>2.82</v>
      </c>
      <c r="J12" s="64">
        <v>0.38</v>
      </c>
      <c r="K12" s="64">
        <v>8.57</v>
      </c>
      <c r="L12" s="64">
        <v>24.61</v>
      </c>
      <c r="M12" s="64">
        <v>74.459999999999994</v>
      </c>
      <c r="N12" s="64">
        <v>16.5</v>
      </c>
      <c r="O12" s="64">
        <v>0</v>
      </c>
      <c r="P12" s="64">
        <v>0.38</v>
      </c>
      <c r="Q12" s="64">
        <v>9.4</v>
      </c>
      <c r="R12" s="198"/>
      <c r="S12" s="198"/>
      <c r="T12" s="198"/>
      <c r="U12" s="198"/>
    </row>
    <row r="13" spans="1:21" s="12" customFormat="1" x14ac:dyDescent="0.25">
      <c r="A13" s="214" t="s">
        <v>1021</v>
      </c>
      <c r="B13" s="64">
        <v>2.73</v>
      </c>
      <c r="C13" s="64">
        <v>1.83</v>
      </c>
      <c r="D13" s="64">
        <v>4.29</v>
      </c>
      <c r="E13" s="64">
        <v>1.48</v>
      </c>
      <c r="F13" s="64">
        <v>4.68</v>
      </c>
      <c r="G13" s="64">
        <v>30.13</v>
      </c>
      <c r="H13" s="64">
        <v>13.36</v>
      </c>
      <c r="I13" s="64">
        <v>2.97</v>
      </c>
      <c r="J13" s="64">
        <v>0.23</v>
      </c>
      <c r="K13" s="64">
        <v>198.99</v>
      </c>
      <c r="L13" s="64">
        <v>24.77</v>
      </c>
      <c r="M13" s="64">
        <v>72.760000000000005</v>
      </c>
      <c r="N13" s="64">
        <v>16.2</v>
      </c>
      <c r="O13" s="64">
        <v>0</v>
      </c>
      <c r="P13" s="64">
        <v>0.35</v>
      </c>
      <c r="Q13" s="64">
        <v>9.39</v>
      </c>
      <c r="R13" s="198"/>
      <c r="S13" s="198"/>
      <c r="T13" s="198"/>
      <c r="U13" s="198"/>
    </row>
    <row r="14" spans="1:21" s="12" customFormat="1" x14ac:dyDescent="0.25">
      <c r="A14" s="214" t="s">
        <v>1022</v>
      </c>
      <c r="B14" s="64">
        <v>2.78</v>
      </c>
      <c r="C14" s="64">
        <v>2.0699999999999998</v>
      </c>
      <c r="D14" s="64">
        <v>4.45</v>
      </c>
      <c r="E14" s="64">
        <v>1.62</v>
      </c>
      <c r="F14" s="64">
        <v>5.71</v>
      </c>
      <c r="G14" s="64">
        <v>27.31</v>
      </c>
      <c r="H14" s="64">
        <v>11.53</v>
      </c>
      <c r="I14" s="64">
        <v>3.02</v>
      </c>
      <c r="J14" s="64">
        <v>0.04</v>
      </c>
      <c r="K14" s="64">
        <v>1.31</v>
      </c>
      <c r="L14" s="64">
        <v>24.75</v>
      </c>
      <c r="M14" s="64">
        <v>73.760000000000005</v>
      </c>
      <c r="N14" s="64">
        <v>16.5</v>
      </c>
      <c r="O14" s="64">
        <v>0</v>
      </c>
      <c r="P14" s="64">
        <v>0.36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14" t="s">
        <v>1023</v>
      </c>
      <c r="B15" s="64">
        <v>2.88</v>
      </c>
      <c r="C15" s="64">
        <v>2.85</v>
      </c>
      <c r="D15" s="64">
        <v>4.9400000000000004</v>
      </c>
      <c r="E15" s="64">
        <v>1.87</v>
      </c>
      <c r="F15" s="64">
        <v>5.0999999999999996</v>
      </c>
      <c r="G15" s="64">
        <v>24.62</v>
      </c>
      <c r="H15" s="64">
        <v>9.7799999999999994</v>
      </c>
      <c r="I15" s="64">
        <v>2.94</v>
      </c>
      <c r="J15" s="64">
        <v>0.43</v>
      </c>
      <c r="K15" s="64">
        <v>31.21</v>
      </c>
      <c r="L15" s="64">
        <v>24.82</v>
      </c>
      <c r="M15" s="64">
        <v>74.03</v>
      </c>
      <c r="N15" s="64">
        <v>16.600000000000001</v>
      </c>
      <c r="O15" s="64">
        <v>0</v>
      </c>
      <c r="P15" s="64">
        <v>0.36</v>
      </c>
      <c r="Q15" s="64">
        <v>9.42</v>
      </c>
      <c r="R15" s="198"/>
      <c r="S15" s="198"/>
      <c r="T15" s="198"/>
      <c r="U15" s="198"/>
    </row>
    <row r="16" spans="1:21" s="12" customFormat="1" x14ac:dyDescent="0.25">
      <c r="A16" s="214" t="s">
        <v>1024</v>
      </c>
      <c r="B16" s="64">
        <v>2.81</v>
      </c>
      <c r="C16" s="64">
        <v>2.4</v>
      </c>
      <c r="D16" s="64">
        <v>4.6500000000000004</v>
      </c>
      <c r="E16" s="64">
        <v>1.77</v>
      </c>
      <c r="F16" s="64">
        <v>4.96</v>
      </c>
      <c r="G16" s="64">
        <v>24.62</v>
      </c>
      <c r="H16" s="64">
        <v>9.7799999999999994</v>
      </c>
      <c r="I16" s="64">
        <v>2.91</v>
      </c>
      <c r="J16" s="64">
        <v>0.12</v>
      </c>
      <c r="K16" s="64">
        <v>190.99</v>
      </c>
      <c r="L16" s="64">
        <v>24.75</v>
      </c>
      <c r="M16" s="64">
        <v>74.87</v>
      </c>
      <c r="N16" s="64">
        <v>16.600000000000001</v>
      </c>
      <c r="O16" s="64">
        <v>0</v>
      </c>
      <c r="P16" s="64">
        <v>0.34</v>
      </c>
      <c r="Q16" s="64">
        <v>9.3699999999999992</v>
      </c>
      <c r="R16" s="198"/>
      <c r="S16" s="198"/>
      <c r="T16" s="198"/>
      <c r="U16" s="198"/>
    </row>
    <row r="17" spans="1:21" s="12" customFormat="1" x14ac:dyDescent="0.25">
      <c r="A17" s="214" t="s">
        <v>1025</v>
      </c>
      <c r="B17" s="64">
        <v>2.77</v>
      </c>
      <c r="C17" s="64">
        <v>2</v>
      </c>
      <c r="D17" s="64">
        <v>4.41</v>
      </c>
      <c r="E17" s="64">
        <v>1.52</v>
      </c>
      <c r="F17" s="64">
        <v>5</v>
      </c>
      <c r="G17" s="64">
        <v>24.62</v>
      </c>
      <c r="H17" s="64">
        <v>9.7799999999999994</v>
      </c>
      <c r="I17" s="64">
        <v>2.87</v>
      </c>
      <c r="J17" s="64">
        <v>1.1399999999999999</v>
      </c>
      <c r="K17" s="64">
        <v>162.19999999999999</v>
      </c>
      <c r="L17" s="64">
        <v>24.59</v>
      </c>
      <c r="M17" s="64">
        <v>76.319999999999993</v>
      </c>
      <c r="N17" s="64">
        <v>16.899999999999999</v>
      </c>
      <c r="O17" s="64">
        <v>0</v>
      </c>
      <c r="P17" s="64">
        <v>0.33</v>
      </c>
      <c r="Q17" s="64">
        <v>9.35</v>
      </c>
      <c r="R17" s="198"/>
      <c r="S17" s="198"/>
      <c r="T17" s="198"/>
      <c r="U17" s="198"/>
    </row>
    <row r="18" spans="1:21" s="12" customFormat="1" x14ac:dyDescent="0.25">
      <c r="A18" s="214" t="s">
        <v>1026</v>
      </c>
      <c r="B18" s="64">
        <v>2.5299999999999998</v>
      </c>
      <c r="C18" s="64">
        <v>1.1000000000000001</v>
      </c>
      <c r="D18" s="64">
        <v>3.75</v>
      </c>
      <c r="E18" s="64">
        <v>1.35</v>
      </c>
      <c r="F18" s="64">
        <v>4.4800000000000004</v>
      </c>
      <c r="G18" s="64">
        <v>21.77</v>
      </c>
      <c r="H18" s="64">
        <v>9.4700000000000006</v>
      </c>
      <c r="I18" s="64">
        <v>2.8</v>
      </c>
      <c r="J18" s="64">
        <v>0.89</v>
      </c>
      <c r="K18" s="64">
        <v>159.63999999999999</v>
      </c>
      <c r="L18" s="64">
        <v>24.4</v>
      </c>
      <c r="M18" s="64">
        <v>78.2</v>
      </c>
      <c r="N18" s="64">
        <v>16.8</v>
      </c>
      <c r="O18" s="64">
        <v>0</v>
      </c>
      <c r="P18" s="64">
        <v>0.32</v>
      </c>
      <c r="Q18" s="64">
        <v>9.31</v>
      </c>
      <c r="R18" s="198"/>
      <c r="S18" s="198"/>
      <c r="T18" s="198"/>
      <c r="U18" s="198"/>
    </row>
    <row r="19" spans="1:21" s="12" customFormat="1" x14ac:dyDescent="0.25">
      <c r="A19" s="214" t="s">
        <v>1027</v>
      </c>
      <c r="B19" s="64">
        <v>2.38</v>
      </c>
      <c r="C19" s="64">
        <v>0.49</v>
      </c>
      <c r="D19" s="64">
        <v>3.31</v>
      </c>
      <c r="E19" s="64">
        <v>1.37</v>
      </c>
      <c r="F19" s="64">
        <v>4.22</v>
      </c>
      <c r="G19" s="64">
        <v>19.04</v>
      </c>
      <c r="H19" s="64">
        <v>9.18</v>
      </c>
      <c r="I19" s="64">
        <v>2.85</v>
      </c>
      <c r="J19" s="64">
        <v>0.56999999999999995</v>
      </c>
      <c r="K19" s="64">
        <v>190.27</v>
      </c>
      <c r="L19" s="64">
        <v>24.34</v>
      </c>
      <c r="M19" s="64">
        <v>78.77</v>
      </c>
      <c r="N19" s="64">
        <v>16.8</v>
      </c>
      <c r="O19" s="64">
        <v>0</v>
      </c>
      <c r="P19" s="64">
        <v>0.32</v>
      </c>
      <c r="Q19" s="64">
        <v>9.34</v>
      </c>
      <c r="R19" s="198"/>
      <c r="S19" s="198"/>
      <c r="T19" s="198"/>
      <c r="U19" s="198"/>
    </row>
    <row r="20" spans="1:21" s="12" customFormat="1" x14ac:dyDescent="0.25">
      <c r="A20" s="214" t="s">
        <v>1028</v>
      </c>
      <c r="B20" s="64">
        <v>2.34</v>
      </c>
      <c r="C20" s="64">
        <v>0.37</v>
      </c>
      <c r="D20" s="64">
        <v>3.22</v>
      </c>
      <c r="E20" s="64">
        <v>1.54</v>
      </c>
      <c r="F20" s="64">
        <v>4.38</v>
      </c>
      <c r="G20" s="64">
        <v>19.04</v>
      </c>
      <c r="H20" s="64">
        <v>9.18</v>
      </c>
      <c r="I20" s="64">
        <v>3.04</v>
      </c>
      <c r="J20" s="64">
        <v>0.55000000000000004</v>
      </c>
      <c r="K20" s="64">
        <v>202.57</v>
      </c>
      <c r="L20" s="64">
        <v>24.19</v>
      </c>
      <c r="M20" s="64">
        <v>80.290000000000006</v>
      </c>
      <c r="N20" s="64">
        <v>16.7</v>
      </c>
      <c r="O20" s="64">
        <v>0</v>
      </c>
      <c r="P20" s="64">
        <v>0.31</v>
      </c>
      <c r="Q20" s="64">
        <v>9.36</v>
      </c>
      <c r="R20" s="198"/>
      <c r="S20" s="198"/>
      <c r="T20" s="198"/>
      <c r="U20" s="198"/>
    </row>
    <row r="21" spans="1:21" s="12" customFormat="1" x14ac:dyDescent="0.25">
      <c r="A21" s="214" t="s">
        <v>1029</v>
      </c>
      <c r="B21" s="64">
        <v>2.63</v>
      </c>
      <c r="C21" s="64">
        <v>1.1599999999999999</v>
      </c>
      <c r="D21" s="64">
        <v>3.86</v>
      </c>
      <c r="E21" s="64">
        <v>1.65</v>
      </c>
      <c r="F21" s="64">
        <v>4.53</v>
      </c>
      <c r="G21" s="64">
        <v>19.04</v>
      </c>
      <c r="H21" s="64">
        <v>9.18</v>
      </c>
      <c r="I21" s="64">
        <v>3.21</v>
      </c>
      <c r="J21" s="64">
        <v>0.55000000000000004</v>
      </c>
      <c r="K21" s="64">
        <v>200.49</v>
      </c>
      <c r="L21" s="64">
        <v>23.97</v>
      </c>
      <c r="M21" s="64">
        <v>82.51</v>
      </c>
      <c r="N21" s="64">
        <v>16.7</v>
      </c>
      <c r="O21" s="64">
        <v>0</v>
      </c>
      <c r="P21" s="64">
        <v>0.3</v>
      </c>
      <c r="Q21" s="64">
        <v>9.3699999999999992</v>
      </c>
      <c r="R21" s="198"/>
      <c r="S21" s="198"/>
      <c r="T21" s="198"/>
      <c r="U21" s="198"/>
    </row>
    <row r="22" spans="1:21" s="12" customFormat="1" x14ac:dyDescent="0.25">
      <c r="A22" s="214" t="s">
        <v>1030</v>
      </c>
      <c r="B22" s="64">
        <v>2.39</v>
      </c>
      <c r="C22" s="64">
        <v>0.53</v>
      </c>
      <c r="D22" s="64">
        <v>3.34</v>
      </c>
      <c r="E22" s="64">
        <v>1.66</v>
      </c>
      <c r="F22" s="64">
        <v>4.5599999999999996</v>
      </c>
      <c r="G22" s="64">
        <v>20.02</v>
      </c>
      <c r="H22" s="64">
        <v>9.8800000000000008</v>
      </c>
      <c r="I22" s="64">
        <v>3.25</v>
      </c>
      <c r="J22" s="64">
        <v>1.2</v>
      </c>
      <c r="K22" s="64">
        <v>161.35</v>
      </c>
      <c r="L22" s="64">
        <v>23.85</v>
      </c>
      <c r="M22" s="64">
        <v>84.21</v>
      </c>
      <c r="N22" s="64">
        <v>16.600000000000001</v>
      </c>
      <c r="O22" s="64">
        <v>0</v>
      </c>
      <c r="P22" s="64">
        <v>0.3</v>
      </c>
      <c r="Q22" s="64">
        <v>9.39</v>
      </c>
      <c r="R22" s="198"/>
      <c r="S22" s="198"/>
      <c r="T22" s="198"/>
      <c r="U22" s="198"/>
    </row>
    <row r="23" spans="1:21" s="12" customFormat="1" x14ac:dyDescent="0.25">
      <c r="A23" s="214" t="s">
        <v>1031</v>
      </c>
      <c r="B23" s="64">
        <v>2.34</v>
      </c>
      <c r="C23" s="64">
        <v>0.44</v>
      </c>
      <c r="D23" s="64">
        <v>3.25</v>
      </c>
      <c r="E23" s="64">
        <v>1.53</v>
      </c>
      <c r="F23" s="64">
        <v>3.95</v>
      </c>
      <c r="G23" s="64">
        <v>20.96</v>
      </c>
      <c r="H23" s="64">
        <v>10.56</v>
      </c>
      <c r="I23" s="64">
        <v>3.2</v>
      </c>
      <c r="J23" s="64">
        <v>1.07</v>
      </c>
      <c r="K23" s="64">
        <v>168.95</v>
      </c>
      <c r="L23" s="64">
        <v>23.78</v>
      </c>
      <c r="M23" s="64">
        <v>85.14</v>
      </c>
      <c r="N23" s="64">
        <v>16.5</v>
      </c>
      <c r="O23" s="64">
        <v>0</v>
      </c>
      <c r="P23" s="64">
        <v>0.3</v>
      </c>
      <c r="Q23" s="64">
        <v>9.41</v>
      </c>
      <c r="R23" s="198"/>
      <c r="S23" s="198"/>
      <c r="T23" s="198"/>
      <c r="U23" s="198"/>
    </row>
    <row r="24" spans="1:21" s="12" customFormat="1" x14ac:dyDescent="0.25">
      <c r="A24" s="214" t="s">
        <v>1032</v>
      </c>
      <c r="B24" s="64">
        <v>2.65</v>
      </c>
      <c r="C24" s="64">
        <v>1.19</v>
      </c>
      <c r="D24" s="64">
        <v>3.89</v>
      </c>
      <c r="E24" s="64">
        <v>0.99</v>
      </c>
      <c r="F24" s="64">
        <v>4.05</v>
      </c>
      <c r="G24" s="64">
        <v>20.96</v>
      </c>
      <c r="H24" s="64">
        <v>10.56</v>
      </c>
      <c r="I24" s="64">
        <v>3.38</v>
      </c>
      <c r="J24" s="64">
        <v>0.56999999999999995</v>
      </c>
      <c r="K24" s="64">
        <v>200.55</v>
      </c>
      <c r="L24" s="64">
        <v>23.71</v>
      </c>
      <c r="M24" s="64">
        <v>85.88</v>
      </c>
      <c r="N24" s="64">
        <v>16.600000000000001</v>
      </c>
      <c r="O24" s="64">
        <v>0</v>
      </c>
      <c r="P24" s="64">
        <v>0.3</v>
      </c>
      <c r="Q24" s="64">
        <v>9.39</v>
      </c>
      <c r="R24" s="198"/>
      <c r="S24" s="198"/>
      <c r="T24" s="198"/>
      <c r="U24" s="198"/>
    </row>
    <row r="25" spans="1:21" s="12" customFormat="1" x14ac:dyDescent="0.25">
      <c r="A25" s="214" t="s">
        <v>1033</v>
      </c>
      <c r="B25" s="64">
        <v>2.5099999999999998</v>
      </c>
      <c r="C25" s="64">
        <v>0.97</v>
      </c>
      <c r="D25" s="64">
        <v>3.67</v>
      </c>
      <c r="E25" s="64">
        <v>0.71</v>
      </c>
      <c r="F25" s="64">
        <v>4.92</v>
      </c>
      <c r="G25" s="64">
        <v>20.96</v>
      </c>
      <c r="H25" s="64">
        <v>10.56</v>
      </c>
      <c r="I25" s="64">
        <v>3.61</v>
      </c>
      <c r="J25" s="64">
        <v>0.42</v>
      </c>
      <c r="K25" s="64">
        <v>199.27</v>
      </c>
      <c r="L25" s="64">
        <v>23.61</v>
      </c>
      <c r="M25" s="64">
        <v>86.74</v>
      </c>
      <c r="N25" s="64">
        <v>16.7</v>
      </c>
      <c r="O25" s="64">
        <v>0</v>
      </c>
      <c r="P25" s="64">
        <v>0.3</v>
      </c>
      <c r="Q25" s="64">
        <v>9.42</v>
      </c>
      <c r="R25" s="198"/>
      <c r="S25" s="198"/>
      <c r="T25" s="198"/>
      <c r="U25" s="198"/>
    </row>
    <row r="26" spans="1:21" s="12" customFormat="1" x14ac:dyDescent="0.25">
      <c r="A26" s="214" t="s">
        <v>1034</v>
      </c>
      <c r="B26" s="64">
        <v>2.72</v>
      </c>
      <c r="C26" s="64">
        <v>1.83</v>
      </c>
      <c r="D26" s="64">
        <v>4.28</v>
      </c>
      <c r="E26" s="64">
        <v>0.95</v>
      </c>
      <c r="F26" s="64">
        <v>3.93</v>
      </c>
      <c r="G26" s="64">
        <v>19.22</v>
      </c>
      <c r="H26" s="64">
        <v>10.02</v>
      </c>
      <c r="I26" s="64">
        <v>3.64</v>
      </c>
      <c r="J26" s="64">
        <v>0.11</v>
      </c>
      <c r="K26" s="64">
        <v>257.39999999999998</v>
      </c>
      <c r="L26" s="64">
        <v>23.7</v>
      </c>
      <c r="M26" s="64">
        <v>86.52</v>
      </c>
      <c r="N26" s="64">
        <v>16.600000000000001</v>
      </c>
      <c r="O26" s="64">
        <v>0</v>
      </c>
      <c r="P26" s="64">
        <v>0.3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4" t="s">
        <v>1035</v>
      </c>
      <c r="B27" s="64">
        <v>2.73</v>
      </c>
      <c r="C27" s="64">
        <v>1.73</v>
      </c>
      <c r="D27" s="64">
        <v>4.24</v>
      </c>
      <c r="E27" s="64">
        <v>0.37</v>
      </c>
      <c r="F27" s="64">
        <v>3.76</v>
      </c>
      <c r="G27" s="64">
        <v>17.559999999999999</v>
      </c>
      <c r="H27" s="64">
        <v>9.51</v>
      </c>
      <c r="I27" s="64">
        <v>3.59</v>
      </c>
      <c r="J27" s="64">
        <v>0.63</v>
      </c>
      <c r="K27" s="64">
        <v>180.51</v>
      </c>
      <c r="L27" s="64">
        <v>23.7</v>
      </c>
      <c r="M27" s="64">
        <v>86.78</v>
      </c>
      <c r="N27" s="64">
        <v>16.5</v>
      </c>
      <c r="O27" s="64">
        <v>0</v>
      </c>
      <c r="P27" s="64">
        <v>0.28999999999999998</v>
      </c>
      <c r="Q27" s="64">
        <v>9.3699999999999992</v>
      </c>
      <c r="R27" s="198"/>
      <c r="S27" s="198"/>
      <c r="T27" s="198"/>
      <c r="U27" s="198"/>
    </row>
    <row r="28" spans="1:21" s="12" customFormat="1" x14ac:dyDescent="0.25">
      <c r="A28" s="214" t="s">
        <v>1036</v>
      </c>
      <c r="B28" s="64">
        <v>2.4500000000000002</v>
      </c>
      <c r="C28" s="64">
        <v>0.81</v>
      </c>
      <c r="D28" s="64">
        <v>3.53</v>
      </c>
      <c r="E28" s="64">
        <v>0.64</v>
      </c>
      <c r="F28" s="64">
        <v>4.09</v>
      </c>
      <c r="G28" s="64">
        <v>17.559999999999999</v>
      </c>
      <c r="H28" s="64">
        <v>9.51</v>
      </c>
      <c r="I28" s="64">
        <v>3.5</v>
      </c>
      <c r="J28" s="64">
        <v>0.55000000000000004</v>
      </c>
      <c r="K28" s="64">
        <v>196.56</v>
      </c>
      <c r="L28" s="64">
        <v>23.79</v>
      </c>
      <c r="M28" s="64">
        <v>86.45</v>
      </c>
      <c r="N28" s="64">
        <v>16.7</v>
      </c>
      <c r="O28" s="64">
        <v>0</v>
      </c>
      <c r="P28" s="64">
        <v>0.28999999999999998</v>
      </c>
      <c r="Q28" s="64">
        <v>9.3800000000000008</v>
      </c>
      <c r="R28" s="198"/>
      <c r="S28" s="198"/>
      <c r="T28" s="198"/>
      <c r="U28" s="198"/>
    </row>
    <row r="29" spans="1:21" s="12" customFormat="1" x14ac:dyDescent="0.25">
      <c r="A29" s="214" t="s">
        <v>1037</v>
      </c>
      <c r="B29" s="64">
        <v>2.61</v>
      </c>
      <c r="C29" s="64">
        <v>1.27</v>
      </c>
      <c r="D29" s="64">
        <v>3.9</v>
      </c>
      <c r="E29" s="64">
        <v>0.56999999999999995</v>
      </c>
      <c r="F29" s="64">
        <v>4.96</v>
      </c>
      <c r="G29" s="64">
        <v>17.559999999999999</v>
      </c>
      <c r="H29" s="64">
        <v>9.51</v>
      </c>
      <c r="I29" s="64">
        <v>3.38</v>
      </c>
      <c r="J29" s="64">
        <v>0.62</v>
      </c>
      <c r="K29" s="64">
        <v>192.93</v>
      </c>
      <c r="L29" s="64">
        <v>23.78</v>
      </c>
      <c r="M29" s="64">
        <v>86.56</v>
      </c>
      <c r="N29" s="64">
        <v>18.399999999999999</v>
      </c>
      <c r="O29" s="64">
        <v>0</v>
      </c>
      <c r="P29" s="64">
        <v>0.28999999999999998</v>
      </c>
      <c r="Q29" s="64">
        <v>9.3800000000000008</v>
      </c>
      <c r="R29" s="198"/>
      <c r="S29" s="198"/>
      <c r="T29" s="198"/>
      <c r="U29" s="198"/>
    </row>
    <row r="30" spans="1:21" s="12" customFormat="1" x14ac:dyDescent="0.25">
      <c r="A30" s="214" t="s">
        <v>1038</v>
      </c>
      <c r="B30" s="64">
        <v>2.73</v>
      </c>
      <c r="C30" s="64">
        <v>1.91</v>
      </c>
      <c r="D30" s="64">
        <v>4.33</v>
      </c>
      <c r="E30" s="64">
        <v>0.72</v>
      </c>
      <c r="F30" s="64">
        <v>4.03</v>
      </c>
      <c r="G30" s="64">
        <v>17.760000000000002</v>
      </c>
      <c r="H30" s="64">
        <v>8.23</v>
      </c>
      <c r="I30" s="64">
        <v>3.29</v>
      </c>
      <c r="J30" s="64">
        <v>0.91</v>
      </c>
      <c r="K30" s="64">
        <v>173.92</v>
      </c>
      <c r="L30" s="64">
        <v>23.93</v>
      </c>
      <c r="M30" s="64">
        <v>86.32</v>
      </c>
      <c r="N30" s="64">
        <v>22.2</v>
      </c>
      <c r="O30" s="64">
        <v>0</v>
      </c>
      <c r="P30" s="64">
        <v>0.3</v>
      </c>
      <c r="Q30" s="64">
        <v>9.3800000000000008</v>
      </c>
      <c r="R30" s="198"/>
      <c r="S30" s="198"/>
      <c r="T30" s="198"/>
      <c r="U30" s="198"/>
    </row>
    <row r="31" spans="1:21" s="12" customFormat="1" x14ac:dyDescent="0.25">
      <c r="A31" s="214" t="s">
        <v>1039</v>
      </c>
      <c r="B31" s="64">
        <v>2.4</v>
      </c>
      <c r="C31" s="64">
        <v>0.84</v>
      </c>
      <c r="D31" s="64">
        <v>3.5</v>
      </c>
      <c r="E31" s="64">
        <v>0.83</v>
      </c>
      <c r="F31" s="64">
        <v>3.31</v>
      </c>
      <c r="G31" s="64">
        <v>17.96</v>
      </c>
      <c r="H31" s="64">
        <v>7.05</v>
      </c>
      <c r="I31" s="64">
        <v>3.26</v>
      </c>
      <c r="J31" s="64">
        <v>1.26</v>
      </c>
      <c r="K31" s="64">
        <v>158.25</v>
      </c>
      <c r="L31" s="64">
        <v>23.96</v>
      </c>
      <c r="M31" s="64">
        <v>86.79</v>
      </c>
      <c r="N31" s="64">
        <v>30.2</v>
      </c>
      <c r="O31" s="64">
        <v>0</v>
      </c>
      <c r="P31" s="64">
        <v>0.28000000000000003</v>
      </c>
      <c r="Q31" s="64">
        <v>9.34</v>
      </c>
      <c r="R31" s="198"/>
      <c r="S31" s="198"/>
      <c r="T31" s="198"/>
      <c r="U31" s="198"/>
    </row>
    <row r="32" spans="1:21" s="12" customFormat="1" x14ac:dyDescent="0.25">
      <c r="A32" s="214" t="s">
        <v>1040</v>
      </c>
      <c r="B32" s="64">
        <v>2.5299999999999998</v>
      </c>
      <c r="C32" s="64">
        <v>1.1000000000000001</v>
      </c>
      <c r="D32" s="64">
        <v>3.75</v>
      </c>
      <c r="E32" s="64">
        <v>0.64</v>
      </c>
      <c r="F32" s="64">
        <v>4.08</v>
      </c>
      <c r="G32" s="64">
        <v>17.96</v>
      </c>
      <c r="H32" s="64">
        <v>7.05</v>
      </c>
      <c r="I32" s="64">
        <v>3.26</v>
      </c>
      <c r="J32" s="64">
        <v>1.21</v>
      </c>
      <c r="K32" s="64">
        <v>157.15</v>
      </c>
      <c r="L32" s="64">
        <v>24.04</v>
      </c>
      <c r="M32" s="64">
        <v>86.47</v>
      </c>
      <c r="N32" s="64">
        <v>43.6</v>
      </c>
      <c r="O32" s="64">
        <v>0</v>
      </c>
      <c r="P32" s="64">
        <v>0.28000000000000003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14" t="s">
        <v>1041</v>
      </c>
      <c r="B33" s="64">
        <v>2.42</v>
      </c>
      <c r="C33" s="64">
        <v>0.72</v>
      </c>
      <c r="D33" s="64">
        <v>3.46</v>
      </c>
      <c r="E33" s="64">
        <v>0.44</v>
      </c>
      <c r="F33" s="64">
        <v>4.05</v>
      </c>
      <c r="G33" s="64">
        <v>17.96</v>
      </c>
      <c r="H33" s="64">
        <v>7.05</v>
      </c>
      <c r="I33" s="64">
        <v>3.22</v>
      </c>
      <c r="J33" s="64">
        <v>1.27</v>
      </c>
      <c r="K33" s="64">
        <v>157.47</v>
      </c>
      <c r="L33" s="64">
        <v>24.35</v>
      </c>
      <c r="M33" s="64">
        <v>84.77</v>
      </c>
      <c r="N33" s="64">
        <v>65.3</v>
      </c>
      <c r="O33" s="64">
        <v>0</v>
      </c>
      <c r="P33" s="64">
        <v>0.28000000000000003</v>
      </c>
      <c r="Q33" s="64">
        <v>9.3699999999999992</v>
      </c>
      <c r="R33" s="198"/>
      <c r="S33" s="198"/>
      <c r="T33" s="198"/>
      <c r="U33" s="198"/>
    </row>
    <row r="34" spans="1:21" s="12" customFormat="1" x14ac:dyDescent="0.25">
      <c r="A34" s="214" t="s">
        <v>1042</v>
      </c>
      <c r="B34" s="64">
        <v>2.38</v>
      </c>
      <c r="C34" s="64">
        <v>0.59</v>
      </c>
      <c r="D34" s="64">
        <v>3.36</v>
      </c>
      <c r="E34" s="64">
        <v>0.36</v>
      </c>
      <c r="F34" s="64">
        <v>4.8</v>
      </c>
      <c r="G34" s="64">
        <v>16.61</v>
      </c>
      <c r="H34" s="64">
        <v>7.26</v>
      </c>
      <c r="I34" s="64">
        <v>3.18</v>
      </c>
      <c r="J34" s="64">
        <v>0.88</v>
      </c>
      <c r="K34" s="64">
        <v>186.33</v>
      </c>
      <c r="L34" s="64">
        <v>24.71</v>
      </c>
      <c r="M34" s="64">
        <v>82.95</v>
      </c>
      <c r="N34" s="64">
        <v>87.5</v>
      </c>
      <c r="O34" s="64">
        <v>0</v>
      </c>
      <c r="P34" s="64">
        <v>0.28999999999999998</v>
      </c>
      <c r="Q34" s="64">
        <v>9.4</v>
      </c>
      <c r="R34" s="198"/>
      <c r="S34" s="198"/>
      <c r="T34" s="198"/>
      <c r="U34" s="198"/>
    </row>
    <row r="35" spans="1:21" s="12" customFormat="1" x14ac:dyDescent="0.25">
      <c r="A35" s="214" t="s">
        <v>1043</v>
      </c>
      <c r="B35" s="64">
        <v>2.75</v>
      </c>
      <c r="C35" s="64">
        <v>1.79</v>
      </c>
      <c r="D35" s="64">
        <v>4.28</v>
      </c>
      <c r="E35" s="64">
        <v>0.59</v>
      </c>
      <c r="F35" s="64">
        <v>3.93</v>
      </c>
      <c r="G35" s="64">
        <v>15.31</v>
      </c>
      <c r="H35" s="64">
        <v>7.45</v>
      </c>
      <c r="I35" s="64">
        <v>3.18</v>
      </c>
      <c r="J35" s="64">
        <v>0.64</v>
      </c>
      <c r="K35" s="64">
        <v>199.85</v>
      </c>
      <c r="L35" s="64">
        <v>25.2</v>
      </c>
      <c r="M35" s="64">
        <v>80.599999999999994</v>
      </c>
      <c r="N35" s="64">
        <v>111.8</v>
      </c>
      <c r="O35" s="64">
        <v>0</v>
      </c>
      <c r="P35" s="64">
        <v>0.28999999999999998</v>
      </c>
      <c r="Q35" s="64">
        <v>9.43</v>
      </c>
      <c r="R35" s="198"/>
      <c r="S35" s="198"/>
      <c r="T35" s="198"/>
      <c r="U35" s="198"/>
    </row>
    <row r="36" spans="1:21" s="12" customFormat="1" x14ac:dyDescent="0.25">
      <c r="A36" s="214" t="s">
        <v>1044</v>
      </c>
      <c r="B36" s="64">
        <v>2.5099999999999998</v>
      </c>
      <c r="C36" s="64">
        <v>1.08</v>
      </c>
      <c r="D36" s="64">
        <v>3.72</v>
      </c>
      <c r="E36" s="64">
        <v>0.44</v>
      </c>
      <c r="F36" s="64">
        <v>3.27</v>
      </c>
      <c r="G36" s="64">
        <v>15.31</v>
      </c>
      <c r="H36" s="64">
        <v>7.45</v>
      </c>
      <c r="I36" s="64">
        <v>3.17</v>
      </c>
      <c r="J36" s="64">
        <v>0.85</v>
      </c>
      <c r="K36" s="64">
        <v>157.80000000000001</v>
      </c>
      <c r="L36" s="64">
        <v>25.72</v>
      </c>
      <c r="M36" s="64">
        <v>78.739999999999995</v>
      </c>
      <c r="N36" s="64">
        <v>169.8</v>
      </c>
      <c r="O36" s="64">
        <v>0</v>
      </c>
      <c r="P36" s="64">
        <v>0.27</v>
      </c>
      <c r="Q36" s="64">
        <v>9.35</v>
      </c>
      <c r="R36" s="198"/>
      <c r="S36" s="198"/>
      <c r="T36" s="198"/>
      <c r="U36" s="198"/>
    </row>
    <row r="37" spans="1:21" s="12" customFormat="1" x14ac:dyDescent="0.25">
      <c r="A37" s="214" t="s">
        <v>1045</v>
      </c>
      <c r="B37" s="64">
        <v>2.3199999999999998</v>
      </c>
      <c r="C37" s="64">
        <v>0.46</v>
      </c>
      <c r="D37" s="64">
        <v>3.25</v>
      </c>
      <c r="E37" s="64">
        <v>0.31</v>
      </c>
      <c r="F37" s="64">
        <v>4.01</v>
      </c>
      <c r="G37" s="64">
        <v>15.31</v>
      </c>
      <c r="H37" s="64">
        <v>7.45</v>
      </c>
      <c r="I37" s="64">
        <v>3.18</v>
      </c>
      <c r="J37" s="64">
        <v>0.39</v>
      </c>
      <c r="K37" s="64">
        <v>188.65</v>
      </c>
      <c r="L37" s="64">
        <v>26.38</v>
      </c>
      <c r="M37" s="64">
        <v>75.900000000000006</v>
      </c>
      <c r="N37" s="64">
        <v>264.7</v>
      </c>
      <c r="O37" s="64">
        <v>0</v>
      </c>
      <c r="P37" s="64">
        <v>0.27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4" t="s">
        <v>1046</v>
      </c>
      <c r="B38" s="64">
        <v>2.2999999999999998</v>
      </c>
      <c r="C38" s="64">
        <v>0.34</v>
      </c>
      <c r="D38" s="64">
        <v>3.17</v>
      </c>
      <c r="E38" s="64">
        <v>0.36</v>
      </c>
      <c r="F38" s="64">
        <v>4.25</v>
      </c>
      <c r="G38" s="64">
        <v>17.09</v>
      </c>
      <c r="H38" s="64">
        <v>8.42</v>
      </c>
      <c r="I38" s="64">
        <v>3.25</v>
      </c>
      <c r="J38" s="64">
        <v>0.25</v>
      </c>
      <c r="K38" s="64">
        <v>185.02</v>
      </c>
      <c r="L38" s="64">
        <v>27.44</v>
      </c>
      <c r="M38" s="64">
        <v>71.41</v>
      </c>
      <c r="N38" s="64">
        <v>361.6</v>
      </c>
      <c r="O38" s="64">
        <v>0</v>
      </c>
      <c r="P38" s="64">
        <v>0.28000000000000003</v>
      </c>
      <c r="Q38" s="64">
        <v>9.36</v>
      </c>
      <c r="R38" s="198"/>
      <c r="S38" s="198"/>
      <c r="T38" s="198"/>
      <c r="U38" s="198"/>
    </row>
    <row r="39" spans="1:21" s="12" customFormat="1" x14ac:dyDescent="0.25">
      <c r="A39" s="214" t="s">
        <v>1047</v>
      </c>
      <c r="B39" s="64">
        <v>2.29</v>
      </c>
      <c r="C39" s="64">
        <v>0.34</v>
      </c>
      <c r="D39" s="64">
        <v>3.16</v>
      </c>
      <c r="E39" s="64">
        <v>0.16</v>
      </c>
      <c r="F39" s="64">
        <v>4.53</v>
      </c>
      <c r="G39" s="64">
        <v>18.79</v>
      </c>
      <c r="H39" s="64">
        <v>9.35</v>
      </c>
      <c r="I39" s="64">
        <v>3.39</v>
      </c>
      <c r="J39" s="64">
        <v>0.9</v>
      </c>
      <c r="K39" s="64">
        <v>185.71</v>
      </c>
      <c r="L39" s="64">
        <v>27.82</v>
      </c>
      <c r="M39" s="64">
        <v>69.92</v>
      </c>
      <c r="N39" s="64">
        <v>436.1</v>
      </c>
      <c r="O39" s="64">
        <v>0</v>
      </c>
      <c r="P39" s="64">
        <v>0.28000000000000003</v>
      </c>
      <c r="Q39" s="64">
        <v>9.4</v>
      </c>
      <c r="R39" s="198"/>
      <c r="S39" s="198"/>
      <c r="T39" s="198"/>
      <c r="U39" s="198"/>
    </row>
    <row r="40" spans="1:21" s="12" customFormat="1" x14ac:dyDescent="0.25">
      <c r="A40" s="214" t="s">
        <v>1048</v>
      </c>
      <c r="B40" s="64">
        <v>2.33</v>
      </c>
      <c r="C40" s="64">
        <v>0.39</v>
      </c>
      <c r="D40" s="64">
        <v>3.21</v>
      </c>
      <c r="E40" s="64">
        <v>1.33</v>
      </c>
      <c r="F40" s="64">
        <v>4.6900000000000004</v>
      </c>
      <c r="G40" s="64">
        <v>18.79</v>
      </c>
      <c r="H40" s="64">
        <v>9.35</v>
      </c>
      <c r="I40" s="64">
        <v>3.45</v>
      </c>
      <c r="J40" s="64">
        <v>0.28000000000000003</v>
      </c>
      <c r="K40" s="64">
        <v>172.65</v>
      </c>
      <c r="L40" s="64">
        <v>28.79</v>
      </c>
      <c r="M40" s="64">
        <v>66.27</v>
      </c>
      <c r="N40" s="64">
        <v>446.3</v>
      </c>
      <c r="O40" s="64">
        <v>0</v>
      </c>
      <c r="P40" s="64">
        <v>0.28999999999999998</v>
      </c>
      <c r="Q40" s="64">
        <v>9.39</v>
      </c>
      <c r="R40" s="198"/>
      <c r="S40" s="198"/>
      <c r="T40" s="198"/>
      <c r="U40" s="198"/>
    </row>
    <row r="41" spans="1:21" s="12" customFormat="1" x14ac:dyDescent="0.25">
      <c r="A41" s="214" t="s">
        <v>1049</v>
      </c>
      <c r="B41" s="64">
        <v>2.37</v>
      </c>
      <c r="C41" s="64">
        <v>0.51</v>
      </c>
      <c r="D41" s="64">
        <v>3.31</v>
      </c>
      <c r="E41" s="64">
        <v>1.42</v>
      </c>
      <c r="F41" s="64">
        <v>4.88</v>
      </c>
      <c r="G41" s="64">
        <v>18.79</v>
      </c>
      <c r="H41" s="64">
        <v>9.35</v>
      </c>
      <c r="I41" s="64">
        <v>3.49</v>
      </c>
      <c r="J41" s="64">
        <v>0.37</v>
      </c>
      <c r="K41" s="64">
        <v>4.67</v>
      </c>
      <c r="L41" s="64">
        <v>29.85</v>
      </c>
      <c r="M41" s="64">
        <v>61.2</v>
      </c>
      <c r="N41" s="64">
        <v>495.3</v>
      </c>
      <c r="O41" s="64">
        <v>0</v>
      </c>
      <c r="P41" s="64">
        <v>0.3</v>
      </c>
      <c r="Q41" s="64">
        <v>9.39</v>
      </c>
      <c r="R41" s="198"/>
      <c r="S41" s="198"/>
      <c r="T41" s="198"/>
      <c r="U41" s="198"/>
    </row>
    <row r="42" spans="1:21" s="12" customFormat="1" x14ac:dyDescent="0.25">
      <c r="A42" s="214" t="s">
        <v>1050</v>
      </c>
      <c r="B42" s="64">
        <v>2.69</v>
      </c>
      <c r="C42" s="64">
        <v>1.53</v>
      </c>
      <c r="D42" s="64">
        <v>4.0999999999999996</v>
      </c>
      <c r="E42" s="64">
        <v>1.67</v>
      </c>
      <c r="F42" s="64">
        <v>5.45</v>
      </c>
      <c r="G42" s="64">
        <v>21.39</v>
      </c>
      <c r="H42" s="64">
        <v>9.33</v>
      </c>
      <c r="I42" s="64">
        <v>3.57</v>
      </c>
      <c r="J42" s="64">
        <v>0.34</v>
      </c>
      <c r="K42" s="64">
        <v>357.01</v>
      </c>
      <c r="L42" s="64">
        <v>30.84</v>
      </c>
      <c r="M42" s="64">
        <v>57.27</v>
      </c>
      <c r="N42" s="64">
        <v>541.79999999999995</v>
      </c>
      <c r="O42" s="64">
        <v>0</v>
      </c>
      <c r="P42" s="64">
        <v>0.3</v>
      </c>
      <c r="Q42" s="64">
        <v>9.3699999999999992</v>
      </c>
      <c r="R42" s="198"/>
      <c r="S42" s="198"/>
      <c r="T42" s="198"/>
      <c r="U42" s="198"/>
    </row>
    <row r="43" spans="1:21" s="12" customFormat="1" x14ac:dyDescent="0.25">
      <c r="A43" s="214" t="s">
        <v>1051</v>
      </c>
      <c r="B43" s="64">
        <v>2.37</v>
      </c>
      <c r="C43" s="64">
        <v>0.57999999999999996</v>
      </c>
      <c r="D43" s="64">
        <v>3.35</v>
      </c>
      <c r="E43" s="64">
        <v>2.0699999999999998</v>
      </c>
      <c r="F43" s="64">
        <v>5.74</v>
      </c>
      <c r="G43" s="64">
        <v>23.87</v>
      </c>
      <c r="H43" s="64">
        <v>9.32</v>
      </c>
      <c r="I43" s="64">
        <v>3.56</v>
      </c>
      <c r="J43" s="64">
        <v>0.42</v>
      </c>
      <c r="K43" s="64">
        <v>12.8</v>
      </c>
      <c r="L43" s="64">
        <v>31.21</v>
      </c>
      <c r="M43" s="64">
        <v>55.35</v>
      </c>
      <c r="N43" s="64">
        <v>578.6</v>
      </c>
      <c r="O43" s="64">
        <v>0</v>
      </c>
      <c r="P43" s="64">
        <v>0.31</v>
      </c>
      <c r="Q43" s="64">
        <v>9.42</v>
      </c>
      <c r="R43" s="198"/>
      <c r="S43" s="198"/>
      <c r="T43" s="198"/>
      <c r="U43" s="198"/>
    </row>
    <row r="44" spans="1:21" s="12" customFormat="1" x14ac:dyDescent="0.25">
      <c r="A44" s="214" t="s">
        <v>1052</v>
      </c>
      <c r="B44" s="64">
        <v>2.4</v>
      </c>
      <c r="C44" s="64">
        <v>0.75</v>
      </c>
      <c r="D44" s="64">
        <v>3.46</v>
      </c>
      <c r="E44" s="64">
        <v>1.88</v>
      </c>
      <c r="F44" s="64">
        <v>5.8</v>
      </c>
      <c r="G44" s="64">
        <v>23.87</v>
      </c>
      <c r="H44" s="64">
        <v>9.32</v>
      </c>
      <c r="I44" s="64">
        <v>3.46</v>
      </c>
      <c r="J44" s="64">
        <v>0.53</v>
      </c>
      <c r="K44" s="64">
        <v>24.86</v>
      </c>
      <c r="L44" s="64">
        <v>31.04</v>
      </c>
      <c r="M44" s="64">
        <v>55.43</v>
      </c>
      <c r="N44" s="64">
        <v>619.70000000000005</v>
      </c>
      <c r="O44" s="64">
        <v>0</v>
      </c>
      <c r="P44" s="64">
        <v>0.32</v>
      </c>
      <c r="Q44" s="64">
        <v>9.44</v>
      </c>
      <c r="R44" s="198"/>
      <c r="S44" s="198"/>
      <c r="T44" s="198"/>
      <c r="U44" s="198"/>
    </row>
    <row r="45" spans="1:21" s="12" customFormat="1" x14ac:dyDescent="0.25">
      <c r="A45" s="214" t="s">
        <v>1053</v>
      </c>
      <c r="B45" s="64">
        <v>2.4</v>
      </c>
      <c r="C45" s="64">
        <v>0.87</v>
      </c>
      <c r="D45" s="64">
        <v>3.53</v>
      </c>
      <c r="E45" s="64">
        <v>1.82</v>
      </c>
      <c r="F45" s="64">
        <v>6.39</v>
      </c>
      <c r="G45" s="64">
        <v>23.87</v>
      </c>
      <c r="H45" s="64">
        <v>9.32</v>
      </c>
      <c r="I45" s="64">
        <v>3.37</v>
      </c>
      <c r="J45" s="64">
        <v>0.41</v>
      </c>
      <c r="K45" s="64">
        <v>0.68</v>
      </c>
      <c r="L45" s="64">
        <v>32.020000000000003</v>
      </c>
      <c r="M45" s="64">
        <v>52.3</v>
      </c>
      <c r="N45" s="64">
        <v>652.79999999999995</v>
      </c>
      <c r="O45" s="64">
        <v>0</v>
      </c>
      <c r="P45" s="64">
        <v>0.33</v>
      </c>
      <c r="Q45" s="64">
        <v>9.41</v>
      </c>
      <c r="R45" s="198"/>
      <c r="S45" s="198"/>
      <c r="T45" s="198"/>
      <c r="U45" s="198"/>
    </row>
    <row r="46" spans="1:21" s="12" customFormat="1" x14ac:dyDescent="0.25">
      <c r="A46" s="214" t="s">
        <v>1054</v>
      </c>
      <c r="B46" s="64">
        <v>2.4</v>
      </c>
      <c r="C46" s="64">
        <v>0.77</v>
      </c>
      <c r="D46" s="64">
        <v>3.47</v>
      </c>
      <c r="E46" s="64">
        <v>1.69</v>
      </c>
      <c r="F46" s="64">
        <v>6.67</v>
      </c>
      <c r="G46" s="64">
        <v>24.03</v>
      </c>
      <c r="H46" s="64">
        <v>8.89</v>
      </c>
      <c r="I46" s="64">
        <v>3.2</v>
      </c>
      <c r="J46" s="64">
        <v>0.67</v>
      </c>
      <c r="K46" s="64">
        <v>11.56</v>
      </c>
      <c r="L46" s="64">
        <v>33.200000000000003</v>
      </c>
      <c r="M46" s="64">
        <v>48.51</v>
      </c>
      <c r="N46" s="64">
        <v>693.2</v>
      </c>
      <c r="O46" s="64">
        <v>0</v>
      </c>
      <c r="P46" s="64">
        <v>0.33</v>
      </c>
      <c r="Q46" s="64">
        <v>9.39</v>
      </c>
      <c r="R46" s="198"/>
      <c r="S46" s="198"/>
      <c r="T46" s="198"/>
      <c r="U46" s="198"/>
    </row>
    <row r="47" spans="1:21" s="12" customFormat="1" x14ac:dyDescent="0.25">
      <c r="A47" s="214" t="s">
        <v>1055</v>
      </c>
      <c r="B47" s="64">
        <v>2.37</v>
      </c>
      <c r="C47" s="64">
        <v>0.76</v>
      </c>
      <c r="D47" s="64">
        <v>3.45</v>
      </c>
      <c r="E47" s="64">
        <v>1.7</v>
      </c>
      <c r="F47" s="64">
        <v>7.33</v>
      </c>
      <c r="G47" s="64">
        <v>24.18</v>
      </c>
      <c r="H47" s="64">
        <v>8.49</v>
      </c>
      <c r="I47" s="64">
        <v>3.01</v>
      </c>
      <c r="J47" s="64">
        <v>0.68</v>
      </c>
      <c r="K47" s="64">
        <v>329.55</v>
      </c>
      <c r="L47" s="64">
        <v>34.22</v>
      </c>
      <c r="M47" s="64">
        <v>45.58</v>
      </c>
      <c r="N47" s="64">
        <v>720.7</v>
      </c>
      <c r="O47" s="64">
        <v>0</v>
      </c>
      <c r="P47" s="64">
        <v>0.35</v>
      </c>
      <c r="Q47" s="64">
        <v>9.3800000000000008</v>
      </c>
      <c r="R47" s="198"/>
      <c r="S47" s="198"/>
      <c r="T47" s="198"/>
      <c r="U47" s="198"/>
    </row>
    <row r="48" spans="1:21" s="12" customFormat="1" x14ac:dyDescent="0.25">
      <c r="A48" s="214" t="s">
        <v>1056</v>
      </c>
      <c r="B48" s="64">
        <v>2.2599999999999998</v>
      </c>
      <c r="C48" s="64">
        <v>0.4</v>
      </c>
      <c r="D48" s="64">
        <v>3.17</v>
      </c>
      <c r="E48" s="64">
        <v>1.76</v>
      </c>
      <c r="F48" s="64">
        <v>6.99</v>
      </c>
      <c r="G48" s="64">
        <v>24.18</v>
      </c>
      <c r="H48" s="64">
        <v>8.49</v>
      </c>
      <c r="I48" s="64">
        <v>2.88</v>
      </c>
      <c r="J48" s="64">
        <v>0.71</v>
      </c>
      <c r="K48" s="64">
        <v>340.43</v>
      </c>
      <c r="L48" s="64">
        <v>36.090000000000003</v>
      </c>
      <c r="M48" s="64">
        <v>41.05</v>
      </c>
      <c r="N48" s="64">
        <v>754.6</v>
      </c>
      <c r="O48" s="64">
        <v>0</v>
      </c>
      <c r="P48" s="64">
        <v>0.38</v>
      </c>
      <c r="Q48" s="64">
        <v>9.3699999999999992</v>
      </c>
      <c r="R48" s="198"/>
      <c r="S48" s="198"/>
      <c r="T48" s="198"/>
      <c r="U48" s="198"/>
    </row>
    <row r="49" spans="1:21" s="12" customFormat="1" x14ac:dyDescent="0.25">
      <c r="A49" s="214" t="s">
        <v>1057</v>
      </c>
      <c r="B49" s="64">
        <v>2.5099999999999998</v>
      </c>
      <c r="C49" s="64">
        <v>1.21</v>
      </c>
      <c r="D49" s="64">
        <v>3.79</v>
      </c>
      <c r="E49" s="64">
        <v>1.57</v>
      </c>
      <c r="F49" s="64">
        <v>6.96</v>
      </c>
      <c r="G49" s="64">
        <v>24.18</v>
      </c>
      <c r="H49" s="64">
        <v>8.49</v>
      </c>
      <c r="I49" s="64">
        <v>2.84</v>
      </c>
      <c r="J49" s="64">
        <v>0.88</v>
      </c>
      <c r="K49" s="64">
        <v>327.13</v>
      </c>
      <c r="L49" s="64">
        <v>35.770000000000003</v>
      </c>
      <c r="M49" s="64">
        <v>41.87</v>
      </c>
      <c r="N49" s="64">
        <v>807.6</v>
      </c>
      <c r="O49" s="64">
        <v>0</v>
      </c>
      <c r="P49" s="64">
        <v>0.41</v>
      </c>
      <c r="Q49" s="64">
        <v>9.3699999999999992</v>
      </c>
      <c r="R49" s="198"/>
      <c r="S49" s="198"/>
      <c r="T49" s="198"/>
      <c r="U49" s="198"/>
    </row>
    <row r="50" spans="1:21" s="12" customFormat="1" x14ac:dyDescent="0.25">
      <c r="A50" s="214" t="s">
        <v>1058</v>
      </c>
      <c r="B50" s="64">
        <v>2.35</v>
      </c>
      <c r="C50" s="64">
        <v>0.62</v>
      </c>
      <c r="D50" s="64">
        <v>3.35</v>
      </c>
      <c r="E50" s="64">
        <v>1.26</v>
      </c>
      <c r="F50" s="64">
        <v>6.77</v>
      </c>
      <c r="G50" s="64">
        <v>25.41</v>
      </c>
      <c r="H50" s="64">
        <v>8.89</v>
      </c>
      <c r="I50" s="64">
        <v>2.93</v>
      </c>
      <c r="J50" s="64">
        <v>0.48</v>
      </c>
      <c r="K50" s="64">
        <v>340.75</v>
      </c>
      <c r="L50" s="64">
        <v>35.479999999999997</v>
      </c>
      <c r="M50" s="64">
        <v>42.6</v>
      </c>
      <c r="N50" s="64">
        <v>793.4</v>
      </c>
      <c r="O50" s="64">
        <v>0</v>
      </c>
      <c r="P50" s="64">
        <v>0.43</v>
      </c>
      <c r="Q50" s="64">
        <v>9.3699999999999992</v>
      </c>
      <c r="R50" s="198"/>
      <c r="S50" s="198"/>
      <c r="T50" s="198"/>
      <c r="U50" s="198"/>
    </row>
    <row r="51" spans="1:21" s="12" customFormat="1" x14ac:dyDescent="0.25">
      <c r="A51" s="214" t="s">
        <v>1059</v>
      </c>
      <c r="B51" s="64">
        <v>2.2599999999999998</v>
      </c>
      <c r="C51" s="64">
        <v>0.35</v>
      </c>
      <c r="D51" s="64">
        <v>3.14</v>
      </c>
      <c r="E51" s="64">
        <v>1.48</v>
      </c>
      <c r="F51" s="64">
        <v>6.87</v>
      </c>
      <c r="G51" s="64">
        <v>26.58</v>
      </c>
      <c r="H51" s="64">
        <v>9.2799999999999994</v>
      </c>
      <c r="I51" s="64">
        <v>3.02</v>
      </c>
      <c r="J51" s="64">
        <v>1.39</v>
      </c>
      <c r="K51" s="64">
        <v>316.64</v>
      </c>
      <c r="L51" s="64">
        <v>37.090000000000003</v>
      </c>
      <c r="M51" s="64">
        <v>38.729999999999997</v>
      </c>
      <c r="N51" s="64">
        <v>750.5</v>
      </c>
      <c r="O51" s="64">
        <v>0</v>
      </c>
      <c r="P51" s="64">
        <v>0.48</v>
      </c>
      <c r="Q51" s="64">
        <v>9.3699999999999992</v>
      </c>
      <c r="R51" s="198"/>
      <c r="S51" s="198"/>
      <c r="T51" s="198"/>
      <c r="U51" s="198"/>
    </row>
    <row r="52" spans="1:21" s="12" customFormat="1" x14ac:dyDescent="0.25">
      <c r="A52" s="214" t="s">
        <v>1060</v>
      </c>
      <c r="B52" s="64">
        <v>2.2599999999999998</v>
      </c>
      <c r="C52" s="64">
        <v>0.37</v>
      </c>
      <c r="D52" s="64">
        <v>3.15</v>
      </c>
      <c r="E52" s="64">
        <v>1.64</v>
      </c>
      <c r="F52" s="64">
        <v>7</v>
      </c>
      <c r="G52" s="64">
        <v>26.58</v>
      </c>
      <c r="H52" s="64">
        <v>9.2799999999999994</v>
      </c>
      <c r="I52" s="64">
        <v>3.15</v>
      </c>
      <c r="J52" s="64">
        <v>1.41</v>
      </c>
      <c r="K52" s="64">
        <v>322.42</v>
      </c>
      <c r="L52" s="64">
        <v>38.18</v>
      </c>
      <c r="M52" s="64">
        <v>36.17</v>
      </c>
      <c r="N52" s="64">
        <v>847.9</v>
      </c>
      <c r="O52" s="64">
        <v>0</v>
      </c>
      <c r="P52" s="64">
        <v>0.49</v>
      </c>
      <c r="Q52" s="64">
        <v>9.36</v>
      </c>
      <c r="R52" s="198"/>
      <c r="S52" s="198"/>
      <c r="T52" s="198"/>
      <c r="U52" s="198"/>
    </row>
    <row r="53" spans="1:21" s="12" customFormat="1" x14ac:dyDescent="0.25">
      <c r="A53" s="214" t="s">
        <v>1061</v>
      </c>
      <c r="B53" s="64">
        <v>2.25</v>
      </c>
      <c r="C53" s="64">
        <v>0.37</v>
      </c>
      <c r="D53" s="64">
        <v>3.14</v>
      </c>
      <c r="E53" s="64">
        <v>1.66</v>
      </c>
      <c r="F53" s="64">
        <v>7.03</v>
      </c>
      <c r="G53" s="64">
        <v>26.58</v>
      </c>
      <c r="H53" s="64">
        <v>9.2799999999999994</v>
      </c>
      <c r="I53" s="64">
        <v>3.19</v>
      </c>
      <c r="J53" s="64">
        <v>0.83</v>
      </c>
      <c r="K53" s="64">
        <v>335.57</v>
      </c>
      <c r="L53" s="64">
        <v>38.43</v>
      </c>
      <c r="M53" s="64">
        <v>35.619999999999997</v>
      </c>
      <c r="N53" s="64">
        <v>847.9</v>
      </c>
      <c r="O53" s="64">
        <v>0</v>
      </c>
      <c r="P53" s="64">
        <v>0.49</v>
      </c>
      <c r="Q53" s="64">
        <v>9.3699999999999992</v>
      </c>
      <c r="R53" s="198"/>
      <c r="S53" s="198"/>
      <c r="T53" s="198"/>
      <c r="U53" s="198"/>
    </row>
    <row r="54" spans="1:21" s="12" customFormat="1" x14ac:dyDescent="0.25">
      <c r="A54" s="214" t="s">
        <v>1062</v>
      </c>
      <c r="B54" s="64">
        <v>2.41</v>
      </c>
      <c r="C54" s="64">
        <v>0.95</v>
      </c>
      <c r="D54" s="64">
        <v>3.58</v>
      </c>
      <c r="E54" s="64">
        <v>1.48</v>
      </c>
      <c r="F54" s="64">
        <v>6.68</v>
      </c>
      <c r="G54" s="64">
        <v>28.55</v>
      </c>
      <c r="H54" s="64">
        <v>12.09</v>
      </c>
      <c r="I54" s="64">
        <v>3.17</v>
      </c>
      <c r="J54" s="64">
        <v>0.92</v>
      </c>
      <c r="K54" s="64">
        <v>343.91</v>
      </c>
      <c r="L54" s="64">
        <v>37.78</v>
      </c>
      <c r="M54" s="64">
        <v>36.82</v>
      </c>
      <c r="N54" s="64">
        <v>866.3</v>
      </c>
      <c r="O54" s="64">
        <v>0</v>
      </c>
      <c r="P54" s="64">
        <v>0.49</v>
      </c>
      <c r="Q54" s="64">
        <v>9.33</v>
      </c>
      <c r="R54" s="198"/>
      <c r="S54" s="198"/>
      <c r="T54" s="198"/>
      <c r="U54" s="198"/>
    </row>
    <row r="55" spans="1:21" s="12" customFormat="1" x14ac:dyDescent="0.25">
      <c r="A55" s="214" t="s">
        <v>1063</v>
      </c>
      <c r="B55" s="64">
        <v>2.44</v>
      </c>
      <c r="C55" s="64">
        <v>0.99</v>
      </c>
      <c r="D55" s="64">
        <v>3.62</v>
      </c>
      <c r="E55" s="64">
        <v>1.42</v>
      </c>
      <c r="F55" s="64">
        <v>6.53</v>
      </c>
      <c r="G55" s="64">
        <v>30.44</v>
      </c>
      <c r="H55" s="64">
        <v>14.78</v>
      </c>
      <c r="I55" s="64">
        <v>3.15</v>
      </c>
      <c r="J55" s="64">
        <v>0.73</v>
      </c>
      <c r="K55" s="64">
        <v>341.91</v>
      </c>
      <c r="L55" s="64">
        <v>37.479999999999997</v>
      </c>
      <c r="M55" s="64">
        <v>36.65</v>
      </c>
      <c r="N55" s="64">
        <v>881.4</v>
      </c>
      <c r="O55" s="64">
        <v>0</v>
      </c>
      <c r="P55" s="64">
        <v>0.48</v>
      </c>
      <c r="Q55" s="64">
        <v>9.31</v>
      </c>
      <c r="R55" s="198"/>
      <c r="S55" s="198"/>
      <c r="T55" s="198"/>
      <c r="U55" s="198"/>
    </row>
    <row r="56" spans="1:21" s="12" customFormat="1" x14ac:dyDescent="0.25">
      <c r="A56" s="214" t="s">
        <v>1064</v>
      </c>
      <c r="B56" s="64">
        <v>2.33</v>
      </c>
      <c r="C56" s="64">
        <v>0.54</v>
      </c>
      <c r="D56" s="64">
        <v>3.29</v>
      </c>
      <c r="E56" s="64">
        <v>0.92</v>
      </c>
      <c r="F56" s="64">
        <v>6.11</v>
      </c>
      <c r="G56" s="64">
        <v>30.44</v>
      </c>
      <c r="H56" s="64">
        <v>14.78</v>
      </c>
      <c r="I56" s="64">
        <v>3.02</v>
      </c>
      <c r="J56" s="64">
        <v>0.39</v>
      </c>
      <c r="K56" s="64">
        <v>11.78</v>
      </c>
      <c r="L56" s="64">
        <v>36.700000000000003</v>
      </c>
      <c r="M56" s="64">
        <v>37.94</v>
      </c>
      <c r="N56" s="64">
        <v>654.1</v>
      </c>
      <c r="O56" s="64">
        <v>0</v>
      </c>
      <c r="P56" s="64">
        <v>0.48</v>
      </c>
      <c r="Q56" s="64">
        <v>9.31</v>
      </c>
      <c r="R56" s="198"/>
      <c r="S56" s="198"/>
      <c r="T56" s="198"/>
      <c r="U56" s="198"/>
    </row>
    <row r="57" spans="1:21" s="12" customFormat="1" x14ac:dyDescent="0.25">
      <c r="A57" s="214" t="s">
        <v>1065</v>
      </c>
      <c r="B57" s="64">
        <v>2.33</v>
      </c>
      <c r="C57" s="64">
        <v>0.46</v>
      </c>
      <c r="D57" s="64">
        <v>3.25</v>
      </c>
      <c r="E57" s="64">
        <v>1.33</v>
      </c>
      <c r="F57" s="64">
        <v>5.74</v>
      </c>
      <c r="G57" s="64">
        <v>30.44</v>
      </c>
      <c r="H57" s="64">
        <v>14.78</v>
      </c>
      <c r="I57" s="64">
        <v>2.98</v>
      </c>
      <c r="J57" s="64">
        <v>1.28</v>
      </c>
      <c r="K57" s="64">
        <v>327.10000000000002</v>
      </c>
      <c r="L57" s="64">
        <v>37.53</v>
      </c>
      <c r="M57" s="64">
        <v>36.880000000000003</v>
      </c>
      <c r="N57" s="64">
        <v>802</v>
      </c>
      <c r="O57" s="64">
        <v>0</v>
      </c>
      <c r="P57" s="64">
        <v>0.48</v>
      </c>
      <c r="Q57" s="64">
        <v>9.32</v>
      </c>
      <c r="R57" s="198"/>
      <c r="S57" s="198"/>
      <c r="T57" s="198"/>
      <c r="U57" s="198"/>
    </row>
    <row r="58" spans="1:21" s="12" customFormat="1" x14ac:dyDescent="0.25">
      <c r="A58" s="214" t="s">
        <v>1066</v>
      </c>
      <c r="B58" s="64">
        <v>2.2799999999999998</v>
      </c>
      <c r="C58" s="64">
        <v>0.37</v>
      </c>
      <c r="D58" s="64">
        <v>3.17</v>
      </c>
      <c r="E58" s="64">
        <v>1.27</v>
      </c>
      <c r="F58" s="64">
        <v>5.89</v>
      </c>
      <c r="G58" s="64">
        <v>27.52</v>
      </c>
      <c r="H58" s="64">
        <v>13.77</v>
      </c>
      <c r="I58" s="64">
        <v>3.15</v>
      </c>
      <c r="J58" s="64">
        <v>1.08</v>
      </c>
      <c r="K58" s="64">
        <v>334.75</v>
      </c>
      <c r="L58" s="64">
        <v>38.909999999999997</v>
      </c>
      <c r="M58" s="64">
        <v>33.31</v>
      </c>
      <c r="N58" s="64">
        <v>850.6</v>
      </c>
      <c r="O58" s="64">
        <v>0</v>
      </c>
      <c r="P58" s="64">
        <v>0.49</v>
      </c>
      <c r="Q58" s="64">
        <v>9.34</v>
      </c>
      <c r="R58" s="198"/>
      <c r="S58" s="198"/>
      <c r="T58" s="198"/>
      <c r="U58" s="198"/>
    </row>
    <row r="59" spans="1:21" s="12" customFormat="1" x14ac:dyDescent="0.25">
      <c r="A59" s="214" t="s">
        <v>1067</v>
      </c>
      <c r="B59" s="64">
        <v>2.2799999999999998</v>
      </c>
      <c r="C59" s="64">
        <v>0.37</v>
      </c>
      <c r="D59" s="64">
        <v>3.17</v>
      </c>
      <c r="E59" s="64">
        <v>1.27</v>
      </c>
      <c r="F59" s="64">
        <v>5.89</v>
      </c>
      <c r="G59" s="64">
        <v>27.52</v>
      </c>
      <c r="H59" s="64">
        <v>13.77</v>
      </c>
      <c r="I59" s="64">
        <v>3.15</v>
      </c>
      <c r="J59" s="64">
        <v>1.08</v>
      </c>
      <c r="K59" s="64">
        <v>334.75</v>
      </c>
      <c r="L59" s="64">
        <v>38.909999999999997</v>
      </c>
      <c r="M59" s="64">
        <v>33.31</v>
      </c>
      <c r="N59" s="64">
        <v>850.6</v>
      </c>
      <c r="O59" s="64">
        <v>0</v>
      </c>
      <c r="P59" s="64">
        <v>0.49</v>
      </c>
      <c r="Q59" s="64">
        <v>9.34</v>
      </c>
      <c r="R59" s="198"/>
      <c r="S59" s="198"/>
      <c r="T59" s="198"/>
      <c r="U59" s="198"/>
    </row>
    <row r="60" spans="1:21" s="12" customFormat="1" x14ac:dyDescent="0.25">
      <c r="A60" s="214" t="s">
        <v>1068</v>
      </c>
      <c r="B60" s="64">
        <v>2.54</v>
      </c>
      <c r="C60" s="64">
        <v>1.17</v>
      </c>
      <c r="D60" s="64">
        <v>3.79</v>
      </c>
      <c r="E60" s="64">
        <v>1.28</v>
      </c>
      <c r="F60" s="64">
        <v>5.41</v>
      </c>
      <c r="G60" s="64">
        <v>24.73</v>
      </c>
      <c r="H60" s="64">
        <v>12.85</v>
      </c>
      <c r="I60" s="64">
        <v>3.25</v>
      </c>
      <c r="J60" s="64">
        <v>0.62</v>
      </c>
      <c r="K60" s="64">
        <v>349.46</v>
      </c>
      <c r="L60" s="64">
        <v>38.35</v>
      </c>
      <c r="M60" s="64">
        <v>35.5</v>
      </c>
      <c r="N60" s="64">
        <v>788.7</v>
      </c>
      <c r="O60" s="64">
        <v>0</v>
      </c>
      <c r="P60" s="64">
        <v>0.48</v>
      </c>
      <c r="Q60" s="64">
        <v>9.33</v>
      </c>
      <c r="R60" s="198"/>
      <c r="S60" s="198"/>
      <c r="T60" s="198"/>
      <c r="U60" s="198"/>
    </row>
    <row r="61" spans="1:21" s="12" customFormat="1" x14ac:dyDescent="0.25">
      <c r="A61" s="214" t="s">
        <v>1069</v>
      </c>
      <c r="B61" s="64">
        <v>2.54</v>
      </c>
      <c r="C61" s="64">
        <v>1.17</v>
      </c>
      <c r="D61" s="64">
        <v>3.79</v>
      </c>
      <c r="E61" s="64">
        <v>1.28</v>
      </c>
      <c r="F61" s="64">
        <v>5.41</v>
      </c>
      <c r="G61" s="64">
        <v>24.73</v>
      </c>
      <c r="H61" s="64">
        <v>12.85</v>
      </c>
      <c r="I61" s="64">
        <v>3.25</v>
      </c>
      <c r="J61" s="64">
        <v>0.62</v>
      </c>
      <c r="K61" s="64">
        <v>349.46</v>
      </c>
      <c r="L61" s="64">
        <v>38.35</v>
      </c>
      <c r="M61" s="64">
        <v>35.5</v>
      </c>
      <c r="N61" s="64">
        <v>788.7</v>
      </c>
      <c r="O61" s="64">
        <v>0</v>
      </c>
      <c r="P61" s="64">
        <v>0.48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4" t="s">
        <v>1070</v>
      </c>
      <c r="B62" s="64">
        <v>2.54</v>
      </c>
      <c r="C62" s="64">
        <v>1.17</v>
      </c>
      <c r="D62" s="64">
        <v>3.79</v>
      </c>
      <c r="E62" s="64">
        <v>1.28</v>
      </c>
      <c r="F62" s="64">
        <v>5.41</v>
      </c>
      <c r="G62" s="64">
        <v>24.73</v>
      </c>
      <c r="H62" s="64">
        <v>12.85</v>
      </c>
      <c r="I62" s="64">
        <v>3.25</v>
      </c>
      <c r="J62" s="64">
        <v>0.62</v>
      </c>
      <c r="K62" s="64">
        <v>349.46</v>
      </c>
      <c r="L62" s="64">
        <v>38.35</v>
      </c>
      <c r="M62" s="64">
        <v>35.5</v>
      </c>
      <c r="N62" s="64">
        <v>788.7</v>
      </c>
      <c r="O62" s="64">
        <v>0</v>
      </c>
      <c r="P62" s="64">
        <v>0.48</v>
      </c>
      <c r="Q62" s="64">
        <v>9.33</v>
      </c>
      <c r="R62" s="198"/>
      <c r="S62" s="198"/>
      <c r="T62" s="198"/>
      <c r="U62" s="198"/>
    </row>
    <row r="63" spans="1:21" s="12" customFormat="1" x14ac:dyDescent="0.25">
      <c r="A63" s="214" t="s">
        <v>1071</v>
      </c>
      <c r="B63" s="64">
        <v>2.54</v>
      </c>
      <c r="C63" s="64">
        <v>1.17</v>
      </c>
      <c r="D63" s="64">
        <v>3.79</v>
      </c>
      <c r="E63" s="64">
        <v>1.28</v>
      </c>
      <c r="F63" s="64">
        <v>5.41</v>
      </c>
      <c r="G63" s="64">
        <v>24.73</v>
      </c>
      <c r="H63" s="64">
        <v>12.85</v>
      </c>
      <c r="I63" s="64">
        <v>3.25</v>
      </c>
      <c r="J63" s="64">
        <v>0.62</v>
      </c>
      <c r="K63" s="64">
        <v>349.46</v>
      </c>
      <c r="L63" s="64">
        <v>38.35</v>
      </c>
      <c r="M63" s="64">
        <v>35.5</v>
      </c>
      <c r="N63" s="64">
        <v>788.7</v>
      </c>
      <c r="O63" s="64">
        <v>0</v>
      </c>
      <c r="P63" s="64">
        <v>0.48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4" t="s">
        <v>1072</v>
      </c>
      <c r="B64" s="64">
        <v>2.54</v>
      </c>
      <c r="C64" s="64">
        <v>1.17</v>
      </c>
      <c r="D64" s="64">
        <v>3.79</v>
      </c>
      <c r="E64" s="64">
        <v>1.28</v>
      </c>
      <c r="F64" s="64">
        <v>5.41</v>
      </c>
      <c r="G64" s="64">
        <v>24.73</v>
      </c>
      <c r="H64" s="64">
        <v>12.85</v>
      </c>
      <c r="I64" s="64">
        <v>3.25</v>
      </c>
      <c r="J64" s="64">
        <v>0.62</v>
      </c>
      <c r="K64" s="64">
        <v>349.46</v>
      </c>
      <c r="L64" s="64">
        <v>38.35</v>
      </c>
      <c r="M64" s="64">
        <v>35.5</v>
      </c>
      <c r="N64" s="64">
        <v>788.7</v>
      </c>
      <c r="O64" s="64">
        <v>0</v>
      </c>
      <c r="P64" s="64">
        <v>0.48</v>
      </c>
      <c r="Q64" s="64">
        <v>9.33</v>
      </c>
      <c r="R64" s="198"/>
      <c r="S64" s="198"/>
      <c r="T64" s="198"/>
      <c r="U64" s="198"/>
    </row>
    <row r="65" spans="1:21" s="12" customFormat="1" x14ac:dyDescent="0.25">
      <c r="A65" s="214" t="s">
        <v>1073</v>
      </c>
      <c r="B65" s="64">
        <v>2.2999999999999998</v>
      </c>
      <c r="C65" s="64">
        <v>0.48</v>
      </c>
      <c r="D65" s="64">
        <v>3.24</v>
      </c>
      <c r="E65" s="64">
        <v>1.2</v>
      </c>
      <c r="F65" s="64">
        <v>6.48</v>
      </c>
      <c r="G65" s="64">
        <v>29.38</v>
      </c>
      <c r="H65" s="64">
        <v>14.38</v>
      </c>
      <c r="I65" s="64">
        <v>3.75</v>
      </c>
      <c r="J65" s="64">
        <v>0.53</v>
      </c>
      <c r="K65" s="64">
        <v>335.65</v>
      </c>
      <c r="L65" s="64">
        <v>36.659999999999997</v>
      </c>
      <c r="M65" s="64">
        <v>37.729999999999997</v>
      </c>
      <c r="N65" s="64">
        <v>456.3</v>
      </c>
      <c r="O65" s="64">
        <v>0</v>
      </c>
      <c r="P65" s="64">
        <v>0.42</v>
      </c>
      <c r="Q65" s="64">
        <v>9.34</v>
      </c>
      <c r="R65" s="198"/>
      <c r="S65" s="198"/>
      <c r="T65" s="198"/>
      <c r="U65" s="198"/>
    </row>
    <row r="66" spans="1:21" s="12" customFormat="1" x14ac:dyDescent="0.25">
      <c r="A66" s="214" t="s">
        <v>1074</v>
      </c>
      <c r="B66" s="64">
        <v>2.56</v>
      </c>
      <c r="C66" s="64">
        <v>1.56</v>
      </c>
      <c r="D66" s="64">
        <v>4.01</v>
      </c>
      <c r="E66" s="64">
        <v>1.21</v>
      </c>
      <c r="F66" s="64">
        <v>7.3</v>
      </c>
      <c r="G66" s="64">
        <v>34.380000000000003</v>
      </c>
      <c r="H66" s="64">
        <v>16.510000000000002</v>
      </c>
      <c r="I66" s="64">
        <v>3.92</v>
      </c>
      <c r="J66" s="64">
        <v>0.31</v>
      </c>
      <c r="K66" s="64">
        <v>130.19</v>
      </c>
      <c r="L66" s="64">
        <v>35.56</v>
      </c>
      <c r="M66" s="64">
        <v>38.729999999999997</v>
      </c>
      <c r="N66" s="64">
        <v>575.9</v>
      </c>
      <c r="O66" s="64">
        <v>0</v>
      </c>
      <c r="P66" s="64">
        <v>0.43</v>
      </c>
      <c r="Q66" s="64">
        <v>9.36</v>
      </c>
      <c r="R66" s="198"/>
      <c r="S66" s="198"/>
      <c r="T66" s="198"/>
      <c r="U66" s="198"/>
    </row>
    <row r="67" spans="1:21" s="12" customFormat="1" x14ac:dyDescent="0.25">
      <c r="A67" s="214" t="s">
        <v>1075</v>
      </c>
      <c r="B67" s="64">
        <v>2.27</v>
      </c>
      <c r="C67" s="64">
        <v>0.6</v>
      </c>
      <c r="D67" s="64">
        <v>3.28</v>
      </c>
      <c r="E67" s="64">
        <v>1.49</v>
      </c>
      <c r="F67" s="64">
        <v>7.15</v>
      </c>
      <c r="G67" s="64">
        <v>35.35</v>
      </c>
      <c r="H67" s="64">
        <v>17.28</v>
      </c>
      <c r="I67" s="64">
        <v>3.8</v>
      </c>
      <c r="J67" s="64">
        <v>0.28999999999999998</v>
      </c>
      <c r="K67" s="64">
        <v>310.79000000000002</v>
      </c>
      <c r="L67" s="64">
        <v>36.31</v>
      </c>
      <c r="M67" s="64">
        <v>36.15</v>
      </c>
      <c r="N67" s="64">
        <v>328.1</v>
      </c>
      <c r="O67" s="64">
        <v>0</v>
      </c>
      <c r="P67" s="64">
        <v>0.43</v>
      </c>
      <c r="Q67" s="64">
        <v>9.3699999999999992</v>
      </c>
      <c r="R67" s="198"/>
      <c r="S67" s="198"/>
      <c r="T67" s="198"/>
      <c r="U67" s="198"/>
    </row>
    <row r="68" spans="1:21" s="12" customFormat="1" x14ac:dyDescent="0.25">
      <c r="A68" s="214" t="s">
        <v>1076</v>
      </c>
      <c r="B68" s="64">
        <v>2.2599999999999998</v>
      </c>
      <c r="C68" s="64">
        <v>0.43</v>
      </c>
      <c r="D68" s="64">
        <v>3.19</v>
      </c>
      <c r="E68" s="64">
        <v>1.1299999999999999</v>
      </c>
      <c r="F68" s="64">
        <v>7.08</v>
      </c>
      <c r="G68" s="64">
        <v>35.35</v>
      </c>
      <c r="H68" s="64">
        <v>17.28</v>
      </c>
      <c r="I68" s="64">
        <v>3.75</v>
      </c>
      <c r="J68" s="64">
        <v>1.31</v>
      </c>
      <c r="K68" s="64">
        <v>339.89</v>
      </c>
      <c r="L68" s="64">
        <v>36.700000000000003</v>
      </c>
      <c r="M68" s="64">
        <v>35.08</v>
      </c>
      <c r="N68" s="64">
        <v>243.8</v>
      </c>
      <c r="O68" s="64">
        <v>0</v>
      </c>
      <c r="P68" s="64">
        <v>0.42</v>
      </c>
      <c r="Q68" s="64">
        <v>9.36</v>
      </c>
      <c r="R68" s="198"/>
      <c r="S68" s="198"/>
      <c r="T68" s="198"/>
      <c r="U68" s="198"/>
    </row>
    <row r="69" spans="1:21" s="12" customFormat="1" x14ac:dyDescent="0.25">
      <c r="A69" s="214" t="s">
        <v>1077</v>
      </c>
      <c r="B69" s="64">
        <v>2.23</v>
      </c>
      <c r="C69" s="64">
        <v>0.41</v>
      </c>
      <c r="D69" s="64">
        <v>3.14</v>
      </c>
      <c r="E69" s="64">
        <v>1.19</v>
      </c>
      <c r="F69" s="64">
        <v>7.02</v>
      </c>
      <c r="G69" s="64">
        <v>35.35</v>
      </c>
      <c r="H69" s="64">
        <v>17.28</v>
      </c>
      <c r="I69" s="64">
        <v>3.81</v>
      </c>
      <c r="J69" s="64">
        <v>0.45</v>
      </c>
      <c r="K69" s="64">
        <v>28.56</v>
      </c>
      <c r="L69" s="64">
        <v>37.03</v>
      </c>
      <c r="M69" s="64">
        <v>34.35</v>
      </c>
      <c r="N69" s="64">
        <v>307.7</v>
      </c>
      <c r="O69" s="64">
        <v>0</v>
      </c>
      <c r="P69" s="64">
        <v>0.43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4" t="s">
        <v>1078</v>
      </c>
      <c r="B70" s="64">
        <v>2.39</v>
      </c>
      <c r="C70" s="64">
        <v>0.94</v>
      </c>
      <c r="D70" s="64">
        <v>3.55</v>
      </c>
      <c r="E70" s="64">
        <v>1.49</v>
      </c>
      <c r="F70" s="64">
        <v>6.64</v>
      </c>
      <c r="G70" s="64">
        <v>36.369999999999997</v>
      </c>
      <c r="H70" s="64">
        <v>18.11</v>
      </c>
      <c r="I70" s="64">
        <v>3.96</v>
      </c>
      <c r="J70" s="64">
        <v>0.76</v>
      </c>
      <c r="K70" s="64">
        <v>350.57</v>
      </c>
      <c r="L70" s="64">
        <v>35.869999999999997</v>
      </c>
      <c r="M70" s="64">
        <v>36.409999999999997</v>
      </c>
      <c r="N70" s="64">
        <v>286.2</v>
      </c>
      <c r="O70" s="64">
        <v>0</v>
      </c>
      <c r="P70" s="64">
        <v>0.42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4" t="s">
        <v>1079</v>
      </c>
      <c r="B71" s="64">
        <v>2.48</v>
      </c>
      <c r="C71" s="64">
        <v>1.1599999999999999</v>
      </c>
      <c r="D71" s="64">
        <v>3.74</v>
      </c>
      <c r="E71" s="64">
        <v>2.06</v>
      </c>
      <c r="F71" s="64">
        <v>6.7</v>
      </c>
      <c r="G71" s="64">
        <v>37.35</v>
      </c>
      <c r="H71" s="64">
        <v>18.899999999999999</v>
      </c>
      <c r="I71" s="64">
        <v>4.13</v>
      </c>
      <c r="J71" s="64">
        <v>1.1499999999999999</v>
      </c>
      <c r="K71" s="64">
        <v>338.4</v>
      </c>
      <c r="L71" s="64">
        <v>36.4</v>
      </c>
      <c r="M71" s="64">
        <v>35.56</v>
      </c>
      <c r="N71" s="64">
        <v>268.7</v>
      </c>
      <c r="O71" s="64">
        <v>0</v>
      </c>
      <c r="P71" s="64">
        <v>0.42</v>
      </c>
      <c r="Q71" s="64">
        <v>9.33</v>
      </c>
      <c r="R71" s="198"/>
      <c r="S71" s="198"/>
      <c r="T71" s="198"/>
      <c r="U71" s="198"/>
    </row>
    <row r="72" spans="1:21" s="12" customFormat="1" x14ac:dyDescent="0.25">
      <c r="A72" s="214" t="s">
        <v>1080</v>
      </c>
      <c r="B72" s="64">
        <v>2.27</v>
      </c>
      <c r="C72" s="64">
        <v>0.41</v>
      </c>
      <c r="D72" s="64">
        <v>3.18</v>
      </c>
      <c r="E72" s="64">
        <v>1.27</v>
      </c>
      <c r="F72" s="64">
        <v>6.69</v>
      </c>
      <c r="G72" s="64">
        <v>37.35</v>
      </c>
      <c r="H72" s="64">
        <v>18.899999999999999</v>
      </c>
      <c r="I72" s="64">
        <v>4.1100000000000003</v>
      </c>
      <c r="J72" s="64">
        <v>1.91</v>
      </c>
      <c r="K72" s="64">
        <v>110.58</v>
      </c>
      <c r="L72" s="64">
        <v>35.85</v>
      </c>
      <c r="M72" s="64">
        <v>36.85</v>
      </c>
      <c r="N72" s="64">
        <v>217.2</v>
      </c>
      <c r="O72" s="64">
        <v>0</v>
      </c>
      <c r="P72" s="64">
        <v>0.41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4" t="s">
        <v>1081</v>
      </c>
      <c r="B73" s="64">
        <v>2.2400000000000002</v>
      </c>
      <c r="C73" s="64">
        <v>0.38</v>
      </c>
      <c r="D73" s="64">
        <v>3.14</v>
      </c>
      <c r="E73" s="64">
        <v>1.63</v>
      </c>
      <c r="F73" s="64">
        <v>6.82</v>
      </c>
      <c r="G73" s="64">
        <v>37.35</v>
      </c>
      <c r="H73" s="64">
        <v>18.899999999999999</v>
      </c>
      <c r="I73" s="64">
        <v>3.93</v>
      </c>
      <c r="J73" s="64">
        <v>5.41</v>
      </c>
      <c r="K73" s="64">
        <v>107.24</v>
      </c>
      <c r="L73" s="64">
        <v>29.75</v>
      </c>
      <c r="M73" s="64">
        <v>51.52</v>
      </c>
      <c r="N73" s="64">
        <v>116</v>
      </c>
      <c r="O73" s="64">
        <v>0</v>
      </c>
      <c r="P73" s="64">
        <v>0.39</v>
      </c>
      <c r="Q73" s="64">
        <v>9.26</v>
      </c>
      <c r="R73" s="198"/>
      <c r="S73" s="198"/>
      <c r="T73" s="198"/>
      <c r="U73" s="198"/>
    </row>
    <row r="74" spans="1:21" s="12" customFormat="1" x14ac:dyDescent="0.25">
      <c r="A74" s="214" t="s">
        <v>1082</v>
      </c>
      <c r="B74" s="64">
        <v>2.27</v>
      </c>
      <c r="C74" s="64">
        <v>0.36</v>
      </c>
      <c r="D74" s="64">
        <v>3.15</v>
      </c>
      <c r="E74" s="64">
        <v>2.04</v>
      </c>
      <c r="F74" s="64">
        <v>8.58</v>
      </c>
      <c r="G74" s="64">
        <v>50.62</v>
      </c>
      <c r="H74" s="64">
        <v>17.79</v>
      </c>
      <c r="I74" s="64">
        <v>4.57</v>
      </c>
      <c r="J74" s="64">
        <v>6.41</v>
      </c>
      <c r="K74" s="64">
        <v>98.86</v>
      </c>
      <c r="L74" s="64">
        <v>25.97</v>
      </c>
      <c r="M74" s="64">
        <v>65.16</v>
      </c>
      <c r="N74" s="64">
        <v>63.3</v>
      </c>
      <c r="O74" s="64">
        <v>1.6</v>
      </c>
      <c r="P74" s="64">
        <v>0.35</v>
      </c>
      <c r="Q74" s="64">
        <v>9.25</v>
      </c>
      <c r="R74" s="198"/>
      <c r="S74" s="198"/>
      <c r="T74" s="198"/>
      <c r="U74" s="198"/>
    </row>
    <row r="75" spans="1:21" s="12" customFormat="1" x14ac:dyDescent="0.25">
      <c r="A75" s="214" t="s">
        <v>1083</v>
      </c>
      <c r="B75" s="64">
        <v>2.31</v>
      </c>
      <c r="C75" s="64">
        <v>0.38</v>
      </c>
      <c r="D75" s="64">
        <v>3.19</v>
      </c>
      <c r="E75" s="64">
        <v>1.35</v>
      </c>
      <c r="F75" s="64">
        <v>10.24</v>
      </c>
      <c r="G75" s="64">
        <v>63.3</v>
      </c>
      <c r="H75" s="64">
        <v>16.73</v>
      </c>
      <c r="I75" s="64">
        <v>7.19</v>
      </c>
      <c r="J75" s="64">
        <v>0.26</v>
      </c>
      <c r="K75" s="64">
        <v>1.7</v>
      </c>
      <c r="L75" s="64">
        <v>23.29</v>
      </c>
      <c r="M75" s="64">
        <v>90.42</v>
      </c>
      <c r="N75" s="64">
        <v>25.7</v>
      </c>
      <c r="O75" s="64">
        <v>5.2</v>
      </c>
      <c r="P75" s="64">
        <v>0.32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14" t="s">
        <v>1084</v>
      </c>
      <c r="B76" s="64">
        <v>2.61</v>
      </c>
      <c r="C76" s="64">
        <v>1.37</v>
      </c>
      <c r="D76" s="64">
        <v>3.95</v>
      </c>
      <c r="E76" s="64">
        <v>1.79</v>
      </c>
      <c r="F76" s="64">
        <v>10.77</v>
      </c>
      <c r="G76" s="64">
        <v>63.3</v>
      </c>
      <c r="H76" s="64">
        <v>16.73</v>
      </c>
      <c r="I76" s="64">
        <v>9.1</v>
      </c>
      <c r="J76" s="64">
        <v>2.19</v>
      </c>
      <c r="K76" s="64">
        <v>314.33</v>
      </c>
      <c r="L76" s="64">
        <v>22.49</v>
      </c>
      <c r="M76" s="64">
        <v>98.32</v>
      </c>
      <c r="N76" s="64">
        <v>26.4</v>
      </c>
      <c r="O76" s="64">
        <v>0.2</v>
      </c>
      <c r="P76" s="64">
        <v>0.31</v>
      </c>
      <c r="Q76" s="64">
        <v>9.2899999999999991</v>
      </c>
      <c r="R76" s="198"/>
      <c r="S76" s="198"/>
      <c r="T76" s="198"/>
      <c r="U76" s="198"/>
    </row>
    <row r="77" spans="1:21" s="12" customFormat="1" x14ac:dyDescent="0.25">
      <c r="A77" s="214" t="s">
        <v>1085</v>
      </c>
      <c r="B77" s="64">
        <v>2.39</v>
      </c>
      <c r="C77" s="64">
        <v>0.62</v>
      </c>
      <c r="D77" s="64">
        <v>3.38</v>
      </c>
      <c r="E77" s="64">
        <v>1.55</v>
      </c>
      <c r="F77" s="64">
        <v>9.23</v>
      </c>
      <c r="G77" s="64">
        <v>63.3</v>
      </c>
      <c r="H77" s="64">
        <v>16.73</v>
      </c>
      <c r="I77" s="64">
        <v>8.81</v>
      </c>
      <c r="J77" s="64">
        <v>0.47</v>
      </c>
      <c r="K77" s="64">
        <v>308</v>
      </c>
      <c r="L77" s="64">
        <v>23.36</v>
      </c>
      <c r="M77" s="64">
        <v>94.59</v>
      </c>
      <c r="N77" s="64">
        <v>25.7</v>
      </c>
      <c r="O77" s="64">
        <v>0</v>
      </c>
      <c r="P77" s="64">
        <v>0.31</v>
      </c>
      <c r="Q77" s="64">
        <v>9.35</v>
      </c>
      <c r="R77" s="198"/>
      <c r="S77" s="198"/>
      <c r="T77" s="198"/>
      <c r="U77" s="198"/>
    </row>
    <row r="78" spans="1:21" s="12" customFormat="1" x14ac:dyDescent="0.25">
      <c r="A78" s="214" t="s">
        <v>1086</v>
      </c>
      <c r="B78" s="64">
        <v>2.29</v>
      </c>
      <c r="C78" s="64">
        <v>0.34</v>
      </c>
      <c r="D78" s="64">
        <v>3.16</v>
      </c>
      <c r="E78" s="64">
        <v>1.85</v>
      </c>
      <c r="F78" s="64">
        <v>7.03</v>
      </c>
      <c r="G78" s="64">
        <v>63.87</v>
      </c>
      <c r="H78" s="64">
        <v>16.39</v>
      </c>
      <c r="I78" s="64">
        <v>7.87</v>
      </c>
      <c r="J78" s="64">
        <v>1.44</v>
      </c>
      <c r="K78" s="64">
        <v>323.42</v>
      </c>
      <c r="L78" s="64">
        <v>23.93</v>
      </c>
      <c r="M78" s="64">
        <v>87.53</v>
      </c>
      <c r="N78" s="64">
        <v>27.9</v>
      </c>
      <c r="O78" s="64">
        <v>0</v>
      </c>
      <c r="P78" s="64">
        <v>0.31</v>
      </c>
      <c r="Q78" s="64">
        <v>9.35</v>
      </c>
      <c r="R78" s="198"/>
      <c r="S78" s="198"/>
      <c r="T78" s="198"/>
      <c r="U78" s="198"/>
    </row>
    <row r="79" spans="1:21" s="12" customFormat="1" x14ac:dyDescent="0.25">
      <c r="A79" s="214" t="s">
        <v>1087</v>
      </c>
      <c r="B79" s="64">
        <v>2.29</v>
      </c>
      <c r="C79" s="64">
        <v>0.31</v>
      </c>
      <c r="D79" s="64">
        <v>3.14</v>
      </c>
      <c r="E79" s="64">
        <v>1.47</v>
      </c>
      <c r="F79" s="64">
        <v>6.55</v>
      </c>
      <c r="G79" s="64">
        <v>64.42</v>
      </c>
      <c r="H79" s="64">
        <v>16.07</v>
      </c>
      <c r="I79" s="64">
        <v>7.3</v>
      </c>
      <c r="J79" s="64">
        <v>1.44</v>
      </c>
      <c r="K79" s="64">
        <v>328.81</v>
      </c>
      <c r="L79" s="64">
        <v>23.75</v>
      </c>
      <c r="M79" s="64">
        <v>87.7</v>
      </c>
      <c r="N79" s="64">
        <v>25.2</v>
      </c>
      <c r="O79" s="64">
        <v>0</v>
      </c>
      <c r="P79" s="64">
        <v>0.31</v>
      </c>
      <c r="Q79" s="64">
        <v>9.3699999999999992</v>
      </c>
      <c r="R79" s="198"/>
      <c r="S79" s="198"/>
      <c r="T79" s="198"/>
      <c r="U79" s="198"/>
    </row>
    <row r="80" spans="1:21" s="12" customFormat="1" x14ac:dyDescent="0.25">
      <c r="A80" s="214" t="s">
        <v>1088</v>
      </c>
      <c r="B80" s="64">
        <v>2.2599999999999998</v>
      </c>
      <c r="C80" s="64">
        <v>0.36</v>
      </c>
      <c r="D80" s="64">
        <v>3.14</v>
      </c>
      <c r="E80" s="64">
        <v>1.84</v>
      </c>
      <c r="F80" s="64">
        <v>6.07</v>
      </c>
      <c r="G80" s="64">
        <v>64.42</v>
      </c>
      <c r="H80" s="64">
        <v>16.07</v>
      </c>
      <c r="I80" s="64">
        <v>7.01</v>
      </c>
      <c r="J80" s="64">
        <v>1.02</v>
      </c>
      <c r="K80" s="64">
        <v>339.91</v>
      </c>
      <c r="L80" s="64">
        <v>23.79</v>
      </c>
      <c r="M80" s="64">
        <v>88.83</v>
      </c>
      <c r="N80" s="64">
        <v>22.5</v>
      </c>
      <c r="O80" s="64">
        <v>0</v>
      </c>
      <c r="P80" s="64">
        <v>0.34</v>
      </c>
      <c r="Q80" s="64">
        <v>9.42</v>
      </c>
      <c r="R80" s="198"/>
      <c r="S80" s="198"/>
      <c r="T80" s="198"/>
      <c r="U80" s="198"/>
    </row>
    <row r="81" spans="1:26" s="12" customFormat="1" x14ac:dyDescent="0.25">
      <c r="A81" s="214" t="s">
        <v>1089</v>
      </c>
      <c r="B81" s="64">
        <v>2.2599999999999998</v>
      </c>
      <c r="C81" s="64">
        <v>0.43</v>
      </c>
      <c r="D81" s="64">
        <v>3.18</v>
      </c>
      <c r="E81" s="64">
        <v>1.99</v>
      </c>
      <c r="F81" s="64">
        <v>4.96</v>
      </c>
      <c r="G81" s="64">
        <v>64.42</v>
      </c>
      <c r="H81" s="64">
        <v>16.07</v>
      </c>
      <c r="I81" s="64">
        <v>6.71</v>
      </c>
      <c r="J81" s="64">
        <v>0.96</v>
      </c>
      <c r="K81" s="64">
        <v>346.44</v>
      </c>
      <c r="L81" s="64">
        <v>24.17</v>
      </c>
      <c r="M81" s="64">
        <v>84.92</v>
      </c>
      <c r="N81" s="64">
        <v>21.1</v>
      </c>
      <c r="O81" s="64">
        <v>0</v>
      </c>
      <c r="P81" s="64">
        <v>0.38</v>
      </c>
      <c r="Q81" s="64">
        <v>9.44</v>
      </c>
      <c r="R81" s="198"/>
      <c r="S81" s="198"/>
      <c r="T81" s="198"/>
      <c r="U81" s="198"/>
    </row>
    <row r="82" spans="1:26" s="12" customFormat="1" x14ac:dyDescent="0.25">
      <c r="A82" s="214" t="s">
        <v>1090</v>
      </c>
      <c r="B82" s="64">
        <v>2.54</v>
      </c>
      <c r="C82" s="64">
        <v>1.39</v>
      </c>
      <c r="D82" s="64">
        <v>3.91</v>
      </c>
      <c r="E82" s="64">
        <v>1.88</v>
      </c>
      <c r="F82" s="64">
        <v>4.32</v>
      </c>
      <c r="G82" s="64">
        <v>58.39</v>
      </c>
      <c r="H82" s="64">
        <v>14.95</v>
      </c>
      <c r="I82" s="64">
        <v>6.33</v>
      </c>
      <c r="J82" s="64">
        <v>0.12</v>
      </c>
      <c r="K82" s="64">
        <v>14.05</v>
      </c>
      <c r="L82" s="64">
        <v>24.28</v>
      </c>
      <c r="M82" s="64">
        <v>84.62</v>
      </c>
      <c r="N82" s="64">
        <v>18.600000000000001</v>
      </c>
      <c r="O82" s="64">
        <v>0</v>
      </c>
      <c r="P82" s="64">
        <v>0.41</v>
      </c>
      <c r="Q82" s="64">
        <v>9.41</v>
      </c>
      <c r="R82" s="198"/>
      <c r="S82" s="198"/>
      <c r="T82" s="198"/>
      <c r="U82" s="198"/>
    </row>
    <row r="83" spans="1:26" s="12" customFormat="1" x14ac:dyDescent="0.25">
      <c r="A83" s="214" t="s">
        <v>1091</v>
      </c>
      <c r="B83" s="64">
        <v>2.4700000000000002</v>
      </c>
      <c r="C83" s="64">
        <v>1.1200000000000001</v>
      </c>
      <c r="D83" s="64">
        <v>3.71</v>
      </c>
      <c r="E83" s="64">
        <v>1.47</v>
      </c>
      <c r="F83" s="64">
        <v>4.2</v>
      </c>
      <c r="G83" s="64">
        <v>52.87</v>
      </c>
      <c r="H83" s="64">
        <v>13.91</v>
      </c>
      <c r="I83" s="64">
        <v>6.05</v>
      </c>
      <c r="J83" s="64">
        <v>0.52</v>
      </c>
      <c r="K83" s="64">
        <v>173.51</v>
      </c>
      <c r="L83" s="64">
        <v>24.66</v>
      </c>
      <c r="M83" s="64">
        <v>86.96</v>
      </c>
      <c r="N83" s="64">
        <v>16.100000000000001</v>
      </c>
      <c r="O83" s="64">
        <v>0</v>
      </c>
      <c r="P83" s="64">
        <v>0.44</v>
      </c>
      <c r="Q83" s="64">
        <v>9.4499999999999993</v>
      </c>
      <c r="R83" s="198"/>
      <c r="S83" s="198"/>
      <c r="T83" s="198"/>
      <c r="U83" s="198"/>
    </row>
    <row r="84" spans="1:26" s="12" customFormat="1" x14ac:dyDescent="0.25">
      <c r="A84" s="214" t="s">
        <v>1092</v>
      </c>
      <c r="B84" s="64">
        <v>2.31</v>
      </c>
      <c r="C84" s="64">
        <v>0.54</v>
      </c>
      <c r="D84" s="64">
        <v>3.28</v>
      </c>
      <c r="E84" s="64">
        <v>1.23</v>
      </c>
      <c r="F84" s="64">
        <v>4.55</v>
      </c>
      <c r="G84" s="64">
        <v>52.87</v>
      </c>
      <c r="H84" s="64">
        <v>13.91</v>
      </c>
      <c r="I84" s="64">
        <v>5.95</v>
      </c>
      <c r="J84" s="64">
        <v>0.09</v>
      </c>
      <c r="K84" s="64">
        <v>13.46</v>
      </c>
      <c r="L84" s="64">
        <v>25.24</v>
      </c>
      <c r="M84" s="64">
        <v>85.17</v>
      </c>
      <c r="N84" s="64">
        <v>15.4</v>
      </c>
      <c r="O84" s="64">
        <v>0</v>
      </c>
      <c r="P84" s="64">
        <v>0.47</v>
      </c>
      <c r="Q84" s="64">
        <v>9.49</v>
      </c>
      <c r="R84" s="198"/>
      <c r="S84" s="198"/>
      <c r="T84" s="198"/>
      <c r="U84" s="198"/>
    </row>
    <row r="85" spans="1:26" s="12" customFormat="1" x14ac:dyDescent="0.25">
      <c r="A85" s="214" t="s">
        <v>1093</v>
      </c>
      <c r="B85" s="64">
        <v>2.5299999999999998</v>
      </c>
      <c r="C85" s="64">
        <v>1.31</v>
      </c>
      <c r="D85" s="64">
        <v>3.86</v>
      </c>
      <c r="E85" s="64">
        <v>1.7</v>
      </c>
      <c r="F85" s="64">
        <v>4.1900000000000004</v>
      </c>
      <c r="G85" s="64">
        <v>52.87</v>
      </c>
      <c r="H85" s="64">
        <v>13.91</v>
      </c>
      <c r="I85" s="64">
        <v>6.06</v>
      </c>
      <c r="J85" s="64">
        <v>0.63</v>
      </c>
      <c r="K85" s="64">
        <v>201.16</v>
      </c>
      <c r="L85" s="64">
        <v>26.06</v>
      </c>
      <c r="M85" s="64">
        <v>81.27</v>
      </c>
      <c r="N85" s="64">
        <v>14.9</v>
      </c>
      <c r="O85" s="64">
        <v>0</v>
      </c>
      <c r="P85" s="64">
        <v>0.5</v>
      </c>
      <c r="Q85" s="64">
        <v>9.5399999999999991</v>
      </c>
      <c r="R85" s="198"/>
      <c r="S85" s="198"/>
      <c r="T85" s="198"/>
      <c r="U85" s="198"/>
    </row>
    <row r="86" spans="1:26" s="12" customFormat="1" x14ac:dyDescent="0.25">
      <c r="A86" s="214" t="s">
        <v>1094</v>
      </c>
      <c r="B86" s="64">
        <v>2.52</v>
      </c>
      <c r="C86" s="64">
        <v>1.29</v>
      </c>
      <c r="D86" s="64">
        <v>3.84</v>
      </c>
      <c r="E86" s="64">
        <v>1.76</v>
      </c>
      <c r="F86" s="64">
        <v>3.12</v>
      </c>
      <c r="G86" s="64">
        <v>54.67</v>
      </c>
      <c r="H86" s="64">
        <v>15.34</v>
      </c>
      <c r="I86" s="64">
        <v>6.27</v>
      </c>
      <c r="J86" s="64">
        <v>0.32</v>
      </c>
      <c r="K86" s="64">
        <v>139.94</v>
      </c>
      <c r="L86" s="64">
        <v>26.34</v>
      </c>
      <c r="M86" s="64">
        <v>82.76</v>
      </c>
      <c r="N86" s="64">
        <v>15.9</v>
      </c>
      <c r="O86" s="64">
        <v>0</v>
      </c>
      <c r="P86" s="64">
        <v>0.61</v>
      </c>
      <c r="Q86" s="64">
        <v>9.49</v>
      </c>
      <c r="R86" s="198"/>
      <c r="S86" s="198"/>
      <c r="T86" s="198"/>
      <c r="U86" s="198"/>
    </row>
    <row r="87" spans="1:26" s="12" customFormat="1" x14ac:dyDescent="0.25">
      <c r="A87" s="214" t="s">
        <v>1095</v>
      </c>
      <c r="B87" s="64">
        <v>2.4</v>
      </c>
      <c r="C87" s="64">
        <v>0.7</v>
      </c>
      <c r="D87" s="64">
        <v>3.44</v>
      </c>
      <c r="E87" s="64">
        <v>1.76</v>
      </c>
      <c r="F87" s="64">
        <v>3.25</v>
      </c>
      <c r="G87" s="64">
        <v>56.4</v>
      </c>
      <c r="H87" s="64">
        <v>16.649999999999999</v>
      </c>
      <c r="I87" s="64">
        <v>6.47</v>
      </c>
      <c r="J87" s="64">
        <v>0.61</v>
      </c>
      <c r="K87" s="64">
        <v>169.89</v>
      </c>
      <c r="L87" s="64">
        <v>26.51</v>
      </c>
      <c r="M87" s="64">
        <v>80.150000000000006</v>
      </c>
      <c r="N87" s="64">
        <v>15.4</v>
      </c>
      <c r="O87" s="64">
        <v>0</v>
      </c>
      <c r="P87" s="64">
        <v>0.66</v>
      </c>
      <c r="Q87" s="64">
        <v>9.51</v>
      </c>
      <c r="R87" s="198"/>
      <c r="S87" s="198"/>
      <c r="T87" s="198"/>
      <c r="U87" s="198"/>
    </row>
    <row r="88" spans="1:26" s="12" customFormat="1" x14ac:dyDescent="0.25">
      <c r="A88" s="214" t="s">
        <v>1096</v>
      </c>
      <c r="B88" s="64">
        <v>2.74</v>
      </c>
      <c r="C88" s="64">
        <v>1.54</v>
      </c>
      <c r="D88" s="64">
        <v>4.1500000000000004</v>
      </c>
      <c r="E88" s="64">
        <v>1.48</v>
      </c>
      <c r="F88" s="64">
        <v>3.52</v>
      </c>
      <c r="G88" s="64">
        <v>56.4</v>
      </c>
      <c r="H88" s="64">
        <v>16.649999999999999</v>
      </c>
      <c r="I88" s="64">
        <v>6.83</v>
      </c>
      <c r="J88" s="64">
        <v>0.26</v>
      </c>
      <c r="K88" s="64">
        <v>180.38</v>
      </c>
      <c r="L88" s="64">
        <v>26.79</v>
      </c>
      <c r="M88" s="64">
        <v>79.38</v>
      </c>
      <c r="N88" s="64">
        <v>15.7</v>
      </c>
      <c r="O88" s="64">
        <v>0</v>
      </c>
      <c r="P88" s="64">
        <v>0.71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14" t="s">
        <v>1097</v>
      </c>
      <c r="B89" s="64">
        <v>2.79</v>
      </c>
      <c r="C89" s="64">
        <v>1.66</v>
      </c>
      <c r="D89" s="64">
        <v>4.25</v>
      </c>
      <c r="E89" s="64">
        <v>1.7</v>
      </c>
      <c r="F89" s="64">
        <v>3.55</v>
      </c>
      <c r="G89" s="64">
        <v>56.4</v>
      </c>
      <c r="H89" s="64">
        <v>16.649999999999999</v>
      </c>
      <c r="I89" s="64">
        <v>7.01</v>
      </c>
      <c r="J89" s="64">
        <v>0.26</v>
      </c>
      <c r="K89" s="64">
        <v>123.85</v>
      </c>
      <c r="L89" s="64">
        <v>26.8</v>
      </c>
      <c r="M89" s="64">
        <v>78.010000000000005</v>
      </c>
      <c r="N89" s="64">
        <v>15.9</v>
      </c>
      <c r="O89" s="64">
        <v>0</v>
      </c>
      <c r="P89" s="64">
        <v>0.76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14" t="s">
        <v>1098</v>
      </c>
      <c r="B90" s="64">
        <v>2.8</v>
      </c>
      <c r="C90" s="64">
        <v>1.7</v>
      </c>
      <c r="D90" s="64">
        <v>4.28</v>
      </c>
      <c r="E90" s="64">
        <v>2.04</v>
      </c>
      <c r="F90" s="64">
        <v>3.87</v>
      </c>
      <c r="G90" s="64">
        <v>58.61</v>
      </c>
      <c r="H90" s="64">
        <v>17.73</v>
      </c>
      <c r="I90" s="64">
        <v>7.18</v>
      </c>
      <c r="J90" s="64">
        <v>0.16</v>
      </c>
      <c r="K90" s="64">
        <v>46.27</v>
      </c>
      <c r="L90" s="64">
        <v>26.28</v>
      </c>
      <c r="M90" s="64">
        <v>80.77</v>
      </c>
      <c r="N90" s="64">
        <v>16.7</v>
      </c>
      <c r="O90" s="64">
        <v>0</v>
      </c>
      <c r="P90" s="64">
        <v>0.8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4" t="s">
        <v>1099</v>
      </c>
      <c r="B91" s="64">
        <v>2.57</v>
      </c>
      <c r="C91" s="64">
        <v>1.07</v>
      </c>
      <c r="D91" s="64">
        <v>3.76</v>
      </c>
      <c r="E91" s="64">
        <v>2.15</v>
      </c>
      <c r="F91" s="64">
        <v>2.46</v>
      </c>
      <c r="G91" s="64">
        <v>60.72</v>
      </c>
      <c r="H91" s="64">
        <v>18.72</v>
      </c>
      <c r="I91" s="64">
        <v>7.4</v>
      </c>
      <c r="J91" s="64">
        <v>0.28000000000000003</v>
      </c>
      <c r="K91" s="64">
        <v>279.73</v>
      </c>
      <c r="L91" s="64">
        <v>26.03</v>
      </c>
      <c r="M91" s="64">
        <v>81.02</v>
      </c>
      <c r="N91" s="64">
        <v>16.399999999999999</v>
      </c>
      <c r="O91" s="64">
        <v>0</v>
      </c>
      <c r="P91" s="64">
        <v>0.78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4" t="s">
        <v>1100</v>
      </c>
      <c r="B92" s="64">
        <v>2.37</v>
      </c>
      <c r="C92" s="64">
        <v>0.46</v>
      </c>
      <c r="D92" s="64">
        <v>3.28</v>
      </c>
      <c r="E92" s="64">
        <v>2.06</v>
      </c>
      <c r="F92" s="64">
        <v>3.47</v>
      </c>
      <c r="G92" s="64">
        <v>60.72</v>
      </c>
      <c r="H92" s="64">
        <v>18.72</v>
      </c>
      <c r="I92" s="64">
        <v>7.47</v>
      </c>
      <c r="J92" s="64">
        <v>0.6</v>
      </c>
      <c r="K92" s="64">
        <v>308.62</v>
      </c>
      <c r="L92" s="64">
        <v>25.95</v>
      </c>
      <c r="M92" s="64">
        <v>83.31</v>
      </c>
      <c r="N92" s="64">
        <v>16.2</v>
      </c>
      <c r="O92" s="64">
        <v>0</v>
      </c>
      <c r="P92" s="64">
        <v>0.78</v>
      </c>
      <c r="Q92" s="64">
        <v>9.59</v>
      </c>
      <c r="R92" s="198"/>
      <c r="S92" s="198"/>
      <c r="T92" s="198"/>
      <c r="U92" s="198"/>
    </row>
    <row r="93" spans="1:26" s="12" customFormat="1" x14ac:dyDescent="0.25">
      <c r="A93" s="214" t="s">
        <v>1101</v>
      </c>
      <c r="B93" s="64">
        <v>2.4300000000000002</v>
      </c>
      <c r="C93" s="64">
        <v>0.57999999999999996</v>
      </c>
      <c r="D93" s="64">
        <v>3.4</v>
      </c>
      <c r="E93" s="64">
        <v>1.74</v>
      </c>
      <c r="F93" s="64">
        <v>3.68</v>
      </c>
      <c r="G93" s="64">
        <v>60.72</v>
      </c>
      <c r="H93" s="64">
        <v>18.72</v>
      </c>
      <c r="I93" s="64">
        <v>7.35</v>
      </c>
      <c r="J93" s="64">
        <v>0.67</v>
      </c>
      <c r="K93" s="64">
        <v>311.26</v>
      </c>
      <c r="L93" s="64">
        <v>25.95</v>
      </c>
      <c r="M93" s="64">
        <v>83.58</v>
      </c>
      <c r="N93" s="64">
        <v>16</v>
      </c>
      <c r="O93" s="64">
        <v>0</v>
      </c>
      <c r="P93" s="64">
        <v>0.79</v>
      </c>
      <c r="Q93" s="64">
        <v>9.59</v>
      </c>
      <c r="R93" s="198"/>
      <c r="S93" s="198"/>
      <c r="T93" s="198"/>
      <c r="U93" s="198"/>
    </row>
    <row r="94" spans="1:26" s="12" customFormat="1" x14ac:dyDescent="0.25">
      <c r="A94" s="214" t="s">
        <v>1102</v>
      </c>
      <c r="B94" s="64">
        <v>2.4300000000000002</v>
      </c>
      <c r="C94" s="64">
        <v>0.59</v>
      </c>
      <c r="D94" s="64">
        <v>3.4</v>
      </c>
      <c r="E94" s="64">
        <v>1.83</v>
      </c>
      <c r="F94" s="64">
        <v>3.41</v>
      </c>
      <c r="G94" s="64">
        <v>60.36</v>
      </c>
      <c r="H94" s="64">
        <v>19.48</v>
      </c>
      <c r="I94" s="64">
        <v>7.67</v>
      </c>
      <c r="J94" s="64">
        <v>0.27</v>
      </c>
      <c r="K94" s="64">
        <v>339.86</v>
      </c>
      <c r="L94" s="64">
        <v>26.15</v>
      </c>
      <c r="M94" s="64">
        <v>78.53</v>
      </c>
      <c r="N94" s="64">
        <v>15.8</v>
      </c>
      <c r="O94" s="64">
        <v>0</v>
      </c>
      <c r="P94" s="64">
        <v>0.8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1103</v>
      </c>
      <c r="B95" s="64">
        <v>2.65</v>
      </c>
      <c r="C95" s="64">
        <v>1.04</v>
      </c>
      <c r="D95" s="64">
        <v>3.81</v>
      </c>
      <c r="E95" s="64">
        <v>1.82</v>
      </c>
      <c r="F95" s="64">
        <v>3.46</v>
      </c>
      <c r="G95" s="64">
        <v>60.01</v>
      </c>
      <c r="H95" s="64">
        <v>20.2</v>
      </c>
      <c r="I95" s="64">
        <v>7.91</v>
      </c>
      <c r="J95" s="64">
        <v>0.28000000000000003</v>
      </c>
      <c r="K95" s="64">
        <v>263.74</v>
      </c>
      <c r="L95" s="64">
        <v>26.2</v>
      </c>
      <c r="M95" s="64">
        <v>75.959999999999994</v>
      </c>
      <c r="N95" s="64">
        <v>15.7</v>
      </c>
      <c r="O95" s="64">
        <v>0</v>
      </c>
      <c r="P95" s="64">
        <v>0.78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4" t="s">
        <v>1104</v>
      </c>
      <c r="B96" s="64">
        <v>2.96</v>
      </c>
      <c r="C96" s="64">
        <v>1.84</v>
      </c>
      <c r="D96" s="64">
        <v>4.4800000000000004</v>
      </c>
      <c r="E96" s="64">
        <v>2.0499999999999998</v>
      </c>
      <c r="F96" s="64">
        <v>3.61</v>
      </c>
      <c r="G96" s="64">
        <v>60.01</v>
      </c>
      <c r="H96" s="64">
        <v>20.2</v>
      </c>
      <c r="I96" s="64">
        <v>7.57</v>
      </c>
      <c r="J96" s="64">
        <v>0.37</v>
      </c>
      <c r="K96" s="64">
        <v>255.22</v>
      </c>
      <c r="L96" s="64">
        <v>26.42</v>
      </c>
      <c r="M96" s="64">
        <v>73.849999999999994</v>
      </c>
      <c r="N96" s="64">
        <v>15.8</v>
      </c>
      <c r="O96" s="64">
        <v>0</v>
      </c>
      <c r="P96" s="64">
        <v>0.77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1105</v>
      </c>
      <c r="B97" s="64">
        <v>2.44</v>
      </c>
      <c r="C97" s="64">
        <v>0.56999999999999995</v>
      </c>
      <c r="D97" s="64">
        <v>3.4</v>
      </c>
      <c r="E97" s="64">
        <v>1.87</v>
      </c>
      <c r="F97" s="64">
        <v>3.51</v>
      </c>
      <c r="G97" s="64">
        <v>60.01</v>
      </c>
      <c r="H97" s="64">
        <v>20.2</v>
      </c>
      <c r="I97" s="64">
        <v>7.52</v>
      </c>
      <c r="J97" s="64">
        <v>0.28999999999999998</v>
      </c>
      <c r="K97" s="64">
        <v>142.86000000000001</v>
      </c>
      <c r="L97" s="64">
        <v>26.5</v>
      </c>
      <c r="M97" s="64">
        <v>73.87</v>
      </c>
      <c r="N97" s="64">
        <v>15.8</v>
      </c>
      <c r="O97" s="64">
        <v>0</v>
      </c>
      <c r="P97" s="64">
        <v>0.74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4" t="s">
        <v>1106</v>
      </c>
      <c r="B98" s="64">
        <v>2.3199999999999998</v>
      </c>
      <c r="C98" s="64">
        <v>0.37</v>
      </c>
      <c r="D98" s="64">
        <v>3.2</v>
      </c>
      <c r="E98" s="64">
        <v>1.77</v>
      </c>
      <c r="F98" s="64">
        <v>3.86</v>
      </c>
      <c r="G98" s="64">
        <v>53.38</v>
      </c>
      <c r="H98" s="64">
        <v>18.079999999999998</v>
      </c>
      <c r="I98" s="64">
        <v>7.07</v>
      </c>
      <c r="J98" s="64">
        <v>0.78</v>
      </c>
      <c r="K98" s="64">
        <v>158.69</v>
      </c>
      <c r="L98" s="64">
        <v>26.76</v>
      </c>
      <c r="M98" s="64">
        <v>72.12</v>
      </c>
      <c r="N98" s="64">
        <v>15.4</v>
      </c>
      <c r="O98" s="64">
        <v>0</v>
      </c>
      <c r="P98" s="64">
        <v>0.74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4" t="s">
        <v>1107</v>
      </c>
      <c r="B99" s="64">
        <v>2.37</v>
      </c>
      <c r="C99" s="64">
        <v>0.55000000000000004</v>
      </c>
      <c r="D99" s="64">
        <v>3.33</v>
      </c>
      <c r="E99" s="64">
        <v>2.06</v>
      </c>
      <c r="F99" s="64">
        <v>4.05</v>
      </c>
      <c r="G99" s="64">
        <v>47.32</v>
      </c>
      <c r="H99" s="64">
        <v>16.14</v>
      </c>
      <c r="I99" s="64">
        <v>6.95</v>
      </c>
      <c r="J99" s="64">
        <v>0.49</v>
      </c>
      <c r="K99" s="64">
        <v>276.61</v>
      </c>
      <c r="L99" s="64">
        <v>26.47</v>
      </c>
      <c r="M99" s="64">
        <v>76.5</v>
      </c>
      <c r="N99" s="64">
        <v>16.100000000000001</v>
      </c>
      <c r="O99" s="64">
        <v>0</v>
      </c>
      <c r="P99" s="64">
        <v>0.73</v>
      </c>
      <c r="Q99" s="64">
        <v>9.69</v>
      </c>
      <c r="R99" s="198"/>
      <c r="S99" s="198"/>
      <c r="T99" s="198"/>
      <c r="U99" s="198"/>
    </row>
    <row r="100" spans="1:33" s="12" customFormat="1" x14ac:dyDescent="0.25">
      <c r="A100" s="214" t="s">
        <v>1108</v>
      </c>
      <c r="B100" s="64">
        <v>3.89</v>
      </c>
      <c r="C100" s="64">
        <v>4.57</v>
      </c>
      <c r="D100" s="64">
        <v>6.65</v>
      </c>
      <c r="E100" s="64">
        <v>2.08</v>
      </c>
      <c r="F100" s="64">
        <v>3.7</v>
      </c>
      <c r="G100" s="64">
        <v>47.32</v>
      </c>
      <c r="H100" s="64">
        <v>16.14</v>
      </c>
      <c r="I100" s="64">
        <v>7.72</v>
      </c>
      <c r="J100" s="64">
        <v>0.53</v>
      </c>
      <c r="K100" s="64">
        <v>320.24</v>
      </c>
      <c r="L100" s="64">
        <v>26.1</v>
      </c>
      <c r="M100" s="64">
        <v>83.36</v>
      </c>
      <c r="N100" s="64">
        <v>16.100000000000001</v>
      </c>
      <c r="O100" s="64">
        <v>0</v>
      </c>
      <c r="P100" s="64">
        <v>0.73</v>
      </c>
      <c r="Q100" s="64">
        <v>9.65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1109</v>
      </c>
      <c r="B101" s="64">
        <v>4.2300000000000004</v>
      </c>
      <c r="C101" s="64">
        <v>5.39</v>
      </c>
      <c r="D101" s="64">
        <v>7.35</v>
      </c>
      <c r="E101" s="64">
        <v>1.65</v>
      </c>
      <c r="F101" s="64">
        <v>3.66</v>
      </c>
      <c r="G101" s="64">
        <v>47.32</v>
      </c>
      <c r="H101" s="64">
        <v>16.14</v>
      </c>
      <c r="I101" s="64">
        <v>7.76</v>
      </c>
      <c r="J101" s="64">
        <v>0.63</v>
      </c>
      <c r="K101" s="64">
        <v>298</v>
      </c>
      <c r="L101" s="64">
        <v>25.97</v>
      </c>
      <c r="M101" s="64">
        <v>78.67</v>
      </c>
      <c r="N101" s="64">
        <v>15.9</v>
      </c>
      <c r="O101" s="64">
        <v>0</v>
      </c>
      <c r="P101" s="64">
        <v>0.74</v>
      </c>
      <c r="Q101" s="64">
        <v>9.65</v>
      </c>
      <c r="R101" s="198"/>
      <c r="S101" s="198"/>
      <c r="T101" s="198"/>
      <c r="U101" s="198"/>
    </row>
    <row r="102" spans="1:33" s="12" customFormat="1" x14ac:dyDescent="0.25">
      <c r="A102" s="214" t="s">
        <v>1110</v>
      </c>
      <c r="B102" s="64">
        <v>4.2300000000000004</v>
      </c>
      <c r="C102" s="64">
        <v>5.63</v>
      </c>
      <c r="D102" s="64">
        <v>7.48</v>
      </c>
      <c r="E102" s="64">
        <v>1.56</v>
      </c>
      <c r="F102" s="64">
        <v>3.86</v>
      </c>
      <c r="G102" s="64">
        <v>47.71</v>
      </c>
      <c r="H102" s="64">
        <v>16.260000000000002</v>
      </c>
      <c r="I102" s="64">
        <v>7.6</v>
      </c>
      <c r="J102" s="64">
        <v>0.27</v>
      </c>
      <c r="K102" s="64">
        <v>194.77</v>
      </c>
      <c r="L102" s="64">
        <v>26.4</v>
      </c>
      <c r="M102" s="64">
        <v>74.64</v>
      </c>
      <c r="N102" s="64">
        <v>15.6</v>
      </c>
      <c r="O102" s="64">
        <v>0</v>
      </c>
      <c r="P102" s="64">
        <v>0.71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4" t="s">
        <v>1111</v>
      </c>
      <c r="B103" s="64">
        <v>4.3499999999999996</v>
      </c>
      <c r="C103" s="64">
        <v>6.09</v>
      </c>
      <c r="D103" s="64">
        <v>7.82</v>
      </c>
      <c r="E103" s="64">
        <v>1.7</v>
      </c>
      <c r="F103" s="64">
        <v>4.03</v>
      </c>
      <c r="G103" s="64">
        <v>48.09</v>
      </c>
      <c r="H103" s="64">
        <v>16.37</v>
      </c>
      <c r="I103" s="64">
        <v>7.69</v>
      </c>
      <c r="J103" s="64">
        <v>0.62</v>
      </c>
      <c r="K103" s="64">
        <v>302.38</v>
      </c>
      <c r="L103" s="64">
        <v>26.28</v>
      </c>
      <c r="M103" s="64">
        <v>77.62</v>
      </c>
      <c r="N103" s="64">
        <v>15.9</v>
      </c>
      <c r="O103" s="64">
        <v>0</v>
      </c>
      <c r="P103" s="64">
        <v>0.71</v>
      </c>
      <c r="Q103" s="64">
        <v>9.68</v>
      </c>
      <c r="R103" s="198"/>
      <c r="S103" s="198"/>
      <c r="T103" s="198"/>
      <c r="U103" s="198"/>
    </row>
    <row r="104" spans="1:33" s="12" customFormat="1" x14ac:dyDescent="0.25">
      <c r="A104" s="214" t="s">
        <v>1112</v>
      </c>
      <c r="B104" s="64">
        <v>4.47</v>
      </c>
      <c r="C104" s="64">
        <v>6.31</v>
      </c>
      <c r="D104" s="64">
        <v>8.02</v>
      </c>
      <c r="E104" s="64">
        <v>2.4500000000000002</v>
      </c>
      <c r="F104" s="64">
        <v>2.94</v>
      </c>
      <c r="G104" s="64">
        <v>48.09</v>
      </c>
      <c r="H104" s="64">
        <v>16.37</v>
      </c>
      <c r="I104" s="64">
        <v>7.66</v>
      </c>
      <c r="J104" s="64">
        <v>0.56999999999999995</v>
      </c>
      <c r="K104" s="64">
        <v>276.7</v>
      </c>
      <c r="L104" s="64">
        <v>26.27</v>
      </c>
      <c r="M104" s="64">
        <v>77.069999999999993</v>
      </c>
      <c r="N104" s="64">
        <v>15.9</v>
      </c>
      <c r="O104" s="64">
        <v>0</v>
      </c>
      <c r="P104" s="64">
        <v>0.69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2.23</v>
      </c>
      <c r="C106" s="67">
        <f>MIN(C9:C104)</f>
        <v>0.31</v>
      </c>
      <c r="D106" s="67">
        <f t="shared" ref="D106:Q106" si="0">MIN(D9:D104)</f>
        <v>3.14</v>
      </c>
      <c r="E106" s="67">
        <f t="shared" si="0"/>
        <v>0.16</v>
      </c>
      <c r="F106" s="67">
        <f t="shared" si="0"/>
        <v>2.46</v>
      </c>
      <c r="G106" s="67">
        <f t="shared" si="0"/>
        <v>15.31</v>
      </c>
      <c r="H106" s="67">
        <f t="shared" si="0"/>
        <v>7.05</v>
      </c>
      <c r="I106" s="67">
        <f t="shared" si="0"/>
        <v>2.8</v>
      </c>
      <c r="J106" s="67">
        <f t="shared" si="0"/>
        <v>0.04</v>
      </c>
      <c r="K106" s="67">
        <f t="shared" si="0"/>
        <v>0.68</v>
      </c>
      <c r="L106" s="67">
        <f t="shared" si="0"/>
        <v>22.49</v>
      </c>
      <c r="M106" s="67">
        <f t="shared" si="0"/>
        <v>33.31</v>
      </c>
      <c r="N106" s="67">
        <f t="shared" si="0"/>
        <v>14.9</v>
      </c>
      <c r="O106" s="67">
        <f t="shared" si="0"/>
        <v>0</v>
      </c>
      <c r="P106" s="67">
        <f t="shared" si="0"/>
        <v>0.27</v>
      </c>
      <c r="Q106" s="67">
        <f t="shared" si="0"/>
        <v>9.25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4.47</v>
      </c>
      <c r="C107" s="66">
        <f t="shared" ref="C107:Q107" si="1">MAX(C9:C104)</f>
        <v>6.31</v>
      </c>
      <c r="D107" s="66">
        <f t="shared" si="1"/>
        <v>8.02</v>
      </c>
      <c r="E107" s="66">
        <f t="shared" si="1"/>
        <v>2.4500000000000002</v>
      </c>
      <c r="F107" s="66">
        <f t="shared" si="1"/>
        <v>10.77</v>
      </c>
      <c r="G107" s="66">
        <f t="shared" si="1"/>
        <v>64.42</v>
      </c>
      <c r="H107" s="66">
        <f t="shared" si="1"/>
        <v>20.2</v>
      </c>
      <c r="I107" s="66">
        <f t="shared" si="1"/>
        <v>9.1</v>
      </c>
      <c r="J107" s="66">
        <f t="shared" si="1"/>
        <v>6.41</v>
      </c>
      <c r="K107" s="66">
        <f t="shared" si="1"/>
        <v>357.01</v>
      </c>
      <c r="L107" s="66">
        <f t="shared" si="1"/>
        <v>38.909999999999997</v>
      </c>
      <c r="M107" s="66">
        <f t="shared" si="1"/>
        <v>98.32</v>
      </c>
      <c r="N107" s="66">
        <f t="shared" si="1"/>
        <v>881.4</v>
      </c>
      <c r="O107" s="66">
        <f t="shared" si="1"/>
        <v>5.2</v>
      </c>
      <c r="P107" s="66">
        <f t="shared" si="1"/>
        <v>0.8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2.5577083333333328</v>
      </c>
      <c r="C108" s="67">
        <f t="shared" ref="C108:Q108" si="2">AVERAGE(C9:C104)</f>
        <v>1.1793750000000005</v>
      </c>
      <c r="D108" s="67">
        <f t="shared" si="2"/>
        <v>3.8114583333333294</v>
      </c>
      <c r="E108" s="67">
        <f t="shared" si="2"/>
        <v>1.4388541666666663</v>
      </c>
      <c r="F108" s="67">
        <f t="shared" si="2"/>
        <v>5.2081250000000008</v>
      </c>
      <c r="G108" s="67">
        <f t="shared" si="2"/>
        <v>35.223333333333336</v>
      </c>
      <c r="H108" s="67">
        <f t="shared" si="2"/>
        <v>13.151249999999999</v>
      </c>
      <c r="I108" s="67">
        <f t="shared" si="2"/>
        <v>4.5384375000000015</v>
      </c>
      <c r="J108" s="67">
        <f t="shared" si="2"/>
        <v>0.76177083333333295</v>
      </c>
      <c r="K108" s="67">
        <f t="shared" si="2"/>
        <v>213.83375000000001</v>
      </c>
      <c r="L108" s="67">
        <f t="shared" si="2"/>
        <v>28.797812500000003</v>
      </c>
      <c r="M108" s="67">
        <f t="shared" si="2"/>
        <v>66.937291666666667</v>
      </c>
      <c r="N108" s="67">
        <f t="shared" si="2"/>
        <v>247.36250000000015</v>
      </c>
      <c r="O108" s="67">
        <f t="shared" si="2"/>
        <v>7.2916666666666671E-2</v>
      </c>
      <c r="P108" s="67">
        <f t="shared" si="2"/>
        <v>0.44312499999999999</v>
      </c>
      <c r="Q108" s="67">
        <f t="shared" si="2"/>
        <v>9.4188541666666659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0.43241909292933189</v>
      </c>
      <c r="C109" s="67">
        <f t="shared" ref="C109:Q109" si="3">STDEV(C9:C104)</f>
        <v>1.1806027118204894</v>
      </c>
      <c r="D109" s="67">
        <f t="shared" si="3"/>
        <v>0.96065874237331461</v>
      </c>
      <c r="E109" s="67">
        <f t="shared" si="3"/>
        <v>0.48172468614927239</v>
      </c>
      <c r="F109" s="67">
        <f t="shared" si="3"/>
        <v>1.5804431840134976</v>
      </c>
      <c r="G109" s="67">
        <f t="shared" si="3"/>
        <v>16.23042378190879</v>
      </c>
      <c r="H109" s="67">
        <f t="shared" si="3"/>
        <v>3.9113891057835426</v>
      </c>
      <c r="I109" s="67">
        <f t="shared" si="3"/>
        <v>1.9052748541186484</v>
      </c>
      <c r="J109" s="67">
        <f t="shared" si="3"/>
        <v>0.85999264965239131</v>
      </c>
      <c r="K109" s="67">
        <f t="shared" si="3"/>
        <v>111.86299016630726</v>
      </c>
      <c r="L109" s="67">
        <f t="shared" si="3"/>
        <v>5.4679308514329836</v>
      </c>
      <c r="M109" s="67">
        <f t="shared" si="3"/>
        <v>20.222767340389115</v>
      </c>
      <c r="N109" s="67">
        <f t="shared" si="3"/>
        <v>316.24170411419908</v>
      </c>
      <c r="O109" s="67">
        <f t="shared" si="3"/>
        <v>0.55373928249895377</v>
      </c>
      <c r="P109" s="67">
        <f t="shared" si="3"/>
        <v>0.16347098567603616</v>
      </c>
      <c r="Q109" s="67">
        <f t="shared" si="3"/>
        <v>0.11202320992278124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7" sqref="H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1113</v>
      </c>
      <c r="B9" s="64">
        <v>4.5199999999999996</v>
      </c>
      <c r="C9" s="64">
        <v>6.22</v>
      </c>
      <c r="D9" s="64">
        <v>8.02</v>
      </c>
      <c r="E9" s="64">
        <v>2.87</v>
      </c>
      <c r="F9" s="64">
        <v>3.35</v>
      </c>
      <c r="G9" s="64">
        <v>48.09</v>
      </c>
      <c r="H9" s="64">
        <v>16.37</v>
      </c>
      <c r="I9" s="64">
        <v>7.58</v>
      </c>
      <c r="J9" s="64">
        <v>0.23</v>
      </c>
      <c r="K9" s="64">
        <v>133.22</v>
      </c>
      <c r="L9" s="64">
        <v>26.62</v>
      </c>
      <c r="M9" s="64">
        <v>74.86</v>
      </c>
      <c r="N9" s="64">
        <v>15.4</v>
      </c>
      <c r="O9" s="64">
        <v>0</v>
      </c>
      <c r="P9" s="64">
        <v>0.68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4" t="s">
        <v>1114</v>
      </c>
      <c r="B10" s="64">
        <v>4.42</v>
      </c>
      <c r="C10" s="64">
        <v>6.23</v>
      </c>
      <c r="D10" s="64">
        <v>7.95</v>
      </c>
      <c r="E10" s="64">
        <v>2.17</v>
      </c>
      <c r="F10" s="64">
        <v>3.62</v>
      </c>
      <c r="G10" s="64">
        <v>49.42</v>
      </c>
      <c r="H10" s="64">
        <v>17</v>
      </c>
      <c r="I10" s="64">
        <v>7.41</v>
      </c>
      <c r="J10" s="64">
        <v>0.43</v>
      </c>
      <c r="K10" s="64">
        <v>245.94</v>
      </c>
      <c r="L10" s="64">
        <v>26.54</v>
      </c>
      <c r="M10" s="64">
        <v>75.510000000000005</v>
      </c>
      <c r="N10" s="64">
        <v>15.7</v>
      </c>
      <c r="O10" s="64">
        <v>0</v>
      </c>
      <c r="P10" s="64">
        <v>0.66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4" t="s">
        <v>1115</v>
      </c>
      <c r="B11" s="64">
        <v>4.37</v>
      </c>
      <c r="C11" s="64">
        <v>6.18</v>
      </c>
      <c r="D11" s="64">
        <v>7.88</v>
      </c>
      <c r="E11" s="64">
        <v>2.33</v>
      </c>
      <c r="F11" s="64">
        <v>4.1900000000000004</v>
      </c>
      <c r="G11" s="64">
        <v>50.69</v>
      </c>
      <c r="H11" s="64">
        <v>17.600000000000001</v>
      </c>
      <c r="I11" s="64">
        <v>7.16</v>
      </c>
      <c r="J11" s="64">
        <v>0.18</v>
      </c>
      <c r="K11" s="64">
        <v>262.07</v>
      </c>
      <c r="L11" s="64">
        <v>26.47</v>
      </c>
      <c r="M11" s="64">
        <v>75.430000000000007</v>
      </c>
      <c r="N11" s="64">
        <v>15.8</v>
      </c>
      <c r="O11" s="64">
        <v>0</v>
      </c>
      <c r="P11" s="64">
        <v>0.64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4" t="s">
        <v>1116</v>
      </c>
      <c r="B12" s="64">
        <v>4.47</v>
      </c>
      <c r="C12" s="64">
        <v>6.61</v>
      </c>
      <c r="D12" s="64">
        <v>8.18</v>
      </c>
      <c r="E12" s="64">
        <v>2.36</v>
      </c>
      <c r="F12" s="64">
        <v>4.58</v>
      </c>
      <c r="G12" s="64">
        <v>50.69</v>
      </c>
      <c r="H12" s="64">
        <v>17.600000000000001</v>
      </c>
      <c r="I12" s="64">
        <v>6.93</v>
      </c>
      <c r="J12" s="64">
        <v>0.14000000000000001</v>
      </c>
      <c r="K12" s="64">
        <v>59.66</v>
      </c>
      <c r="L12" s="64">
        <v>26.55</v>
      </c>
      <c r="M12" s="64">
        <v>74.11</v>
      </c>
      <c r="N12" s="64">
        <v>15.5</v>
      </c>
      <c r="O12" s="64">
        <v>0</v>
      </c>
      <c r="P12" s="64">
        <v>0.65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4" t="s">
        <v>1117</v>
      </c>
      <c r="B13" s="64">
        <v>4.54</v>
      </c>
      <c r="C13" s="64">
        <v>6.65</v>
      </c>
      <c r="D13" s="64">
        <v>8.26</v>
      </c>
      <c r="E13" s="64">
        <v>2.29</v>
      </c>
      <c r="F13" s="64">
        <v>2.42</v>
      </c>
      <c r="G13" s="64">
        <v>50.69</v>
      </c>
      <c r="H13" s="64">
        <v>17.600000000000001</v>
      </c>
      <c r="I13" s="64">
        <v>6.79</v>
      </c>
      <c r="J13" s="64">
        <v>0.36</v>
      </c>
      <c r="K13" s="64">
        <v>233.68</v>
      </c>
      <c r="L13" s="64">
        <v>26.35</v>
      </c>
      <c r="M13" s="64">
        <v>77.260000000000005</v>
      </c>
      <c r="N13" s="64">
        <v>15.8</v>
      </c>
      <c r="O13" s="64">
        <v>0</v>
      </c>
      <c r="P13" s="64">
        <v>0.61</v>
      </c>
      <c r="Q13" s="64">
        <v>9.5299999999999994</v>
      </c>
      <c r="R13" s="198"/>
      <c r="S13" s="198"/>
      <c r="T13" s="198"/>
      <c r="U13" s="198"/>
    </row>
    <row r="14" spans="1:21" s="12" customFormat="1" x14ac:dyDescent="0.25">
      <c r="A14" s="214" t="s">
        <v>1118</v>
      </c>
      <c r="B14" s="64">
        <v>4.42</v>
      </c>
      <c r="C14" s="64">
        <v>5.73</v>
      </c>
      <c r="D14" s="64">
        <v>7.69</v>
      </c>
      <c r="E14" s="64">
        <v>2.1</v>
      </c>
      <c r="F14" s="64">
        <v>3.51</v>
      </c>
      <c r="G14" s="64">
        <v>49.91</v>
      </c>
      <c r="H14" s="64">
        <v>18.14</v>
      </c>
      <c r="I14" s="64">
        <v>6.73</v>
      </c>
      <c r="J14" s="64">
        <v>0.37</v>
      </c>
      <c r="K14" s="64">
        <v>222.07</v>
      </c>
      <c r="L14" s="64">
        <v>26.24</v>
      </c>
      <c r="M14" s="64">
        <v>77.36</v>
      </c>
      <c r="N14" s="64">
        <v>15.6</v>
      </c>
      <c r="O14" s="64">
        <v>0</v>
      </c>
      <c r="P14" s="64">
        <v>0.61</v>
      </c>
      <c r="Q14" s="64">
        <v>9.48</v>
      </c>
      <c r="R14" s="198"/>
      <c r="S14" s="198"/>
      <c r="T14" s="198"/>
      <c r="U14" s="198"/>
    </row>
    <row r="15" spans="1:21" s="12" customFormat="1" x14ac:dyDescent="0.25">
      <c r="A15" s="214" t="s">
        <v>1119</v>
      </c>
      <c r="B15" s="64">
        <v>4.3499999999999996</v>
      </c>
      <c r="C15" s="64">
        <v>5.19</v>
      </c>
      <c r="D15" s="64">
        <v>7.34</v>
      </c>
      <c r="E15" s="64">
        <v>2.46</v>
      </c>
      <c r="F15" s="64">
        <v>3.57</v>
      </c>
      <c r="G15" s="64">
        <v>49.16</v>
      </c>
      <c r="H15" s="64">
        <v>18.66</v>
      </c>
      <c r="I15" s="64">
        <v>6.64</v>
      </c>
      <c r="J15" s="64">
        <v>0.44</v>
      </c>
      <c r="K15" s="64">
        <v>189.35</v>
      </c>
      <c r="L15" s="64">
        <v>26.11</v>
      </c>
      <c r="M15" s="64">
        <v>79.37</v>
      </c>
      <c r="N15" s="64">
        <v>15.7</v>
      </c>
      <c r="O15" s="64">
        <v>0</v>
      </c>
      <c r="P15" s="64">
        <v>0.61</v>
      </c>
      <c r="Q15" s="64">
        <v>9.5</v>
      </c>
      <c r="R15" s="198"/>
      <c r="S15" s="198"/>
      <c r="T15" s="198"/>
      <c r="U15" s="198"/>
    </row>
    <row r="16" spans="1:21" s="12" customFormat="1" x14ac:dyDescent="0.25">
      <c r="A16" s="214" t="s">
        <v>1120</v>
      </c>
      <c r="B16" s="64">
        <v>4.32</v>
      </c>
      <c r="C16" s="64">
        <v>4.87</v>
      </c>
      <c r="D16" s="64">
        <v>7.15</v>
      </c>
      <c r="E16" s="64">
        <v>2.04</v>
      </c>
      <c r="F16" s="64">
        <v>3.45</v>
      </c>
      <c r="G16" s="64">
        <v>49.16</v>
      </c>
      <c r="H16" s="64">
        <v>18.66</v>
      </c>
      <c r="I16" s="64">
        <v>6.71</v>
      </c>
      <c r="J16" s="64">
        <v>0.05</v>
      </c>
      <c r="K16" s="64">
        <v>359.13</v>
      </c>
      <c r="L16" s="64">
        <v>25.83</v>
      </c>
      <c r="M16" s="64">
        <v>80.48</v>
      </c>
      <c r="N16" s="64">
        <v>16</v>
      </c>
      <c r="O16" s="64">
        <v>0</v>
      </c>
      <c r="P16" s="64">
        <v>0.6</v>
      </c>
      <c r="Q16" s="64">
        <v>9.52</v>
      </c>
      <c r="R16" s="198"/>
      <c r="S16" s="198"/>
      <c r="T16" s="198"/>
      <c r="U16" s="198"/>
    </row>
    <row r="17" spans="1:21" s="12" customFormat="1" x14ac:dyDescent="0.25">
      <c r="A17" s="214" t="s">
        <v>1121</v>
      </c>
      <c r="B17" s="64">
        <v>4.3099999999999996</v>
      </c>
      <c r="C17" s="64">
        <v>4.82</v>
      </c>
      <c r="D17" s="64">
        <v>7.12</v>
      </c>
      <c r="E17" s="64">
        <v>2.2799999999999998</v>
      </c>
      <c r="F17" s="64">
        <v>3.69</v>
      </c>
      <c r="G17" s="64">
        <v>49.16</v>
      </c>
      <c r="H17" s="64">
        <v>18.66</v>
      </c>
      <c r="I17" s="64">
        <v>6.95</v>
      </c>
      <c r="J17" s="64">
        <v>0.41</v>
      </c>
      <c r="K17" s="64">
        <v>191.7</v>
      </c>
      <c r="L17" s="64">
        <v>25.8</v>
      </c>
      <c r="M17" s="64">
        <v>80.03</v>
      </c>
      <c r="N17" s="64">
        <v>15.6</v>
      </c>
      <c r="O17" s="64">
        <v>0</v>
      </c>
      <c r="P17" s="64">
        <v>0.59</v>
      </c>
      <c r="Q17" s="64">
        <v>9.5399999999999991</v>
      </c>
      <c r="R17" s="198"/>
      <c r="S17" s="198"/>
      <c r="T17" s="198"/>
      <c r="U17" s="198"/>
    </row>
    <row r="18" spans="1:21" s="12" customFormat="1" x14ac:dyDescent="0.25">
      <c r="A18" s="214" t="s">
        <v>1122</v>
      </c>
      <c r="B18" s="64">
        <v>4.3</v>
      </c>
      <c r="C18" s="64">
        <v>4.71</v>
      </c>
      <c r="D18" s="64">
        <v>7.05</v>
      </c>
      <c r="E18" s="64">
        <v>2.3199999999999998</v>
      </c>
      <c r="F18" s="64">
        <v>3.38</v>
      </c>
      <c r="G18" s="64">
        <v>46.2</v>
      </c>
      <c r="H18" s="64">
        <v>17.760000000000002</v>
      </c>
      <c r="I18" s="64">
        <v>7.03</v>
      </c>
      <c r="J18" s="64">
        <v>0.6</v>
      </c>
      <c r="K18" s="64">
        <v>177.72</v>
      </c>
      <c r="L18" s="64">
        <v>25.71</v>
      </c>
      <c r="M18" s="64">
        <v>79.11</v>
      </c>
      <c r="N18" s="64">
        <v>15.8</v>
      </c>
      <c r="O18" s="64">
        <v>0</v>
      </c>
      <c r="P18" s="64">
        <v>0.57999999999999996</v>
      </c>
      <c r="Q18" s="64">
        <v>9.56</v>
      </c>
      <c r="R18" s="198"/>
      <c r="S18" s="198"/>
      <c r="T18" s="198"/>
      <c r="U18" s="198"/>
    </row>
    <row r="19" spans="1:21" s="12" customFormat="1" x14ac:dyDescent="0.25">
      <c r="A19" s="214" t="s">
        <v>1123</v>
      </c>
      <c r="B19" s="64">
        <v>4.26</v>
      </c>
      <c r="C19" s="64">
        <v>4.63</v>
      </c>
      <c r="D19" s="64">
        <v>6.98</v>
      </c>
      <c r="E19" s="64">
        <v>2.2599999999999998</v>
      </c>
      <c r="F19" s="64">
        <v>3.45</v>
      </c>
      <c r="G19" s="64">
        <v>43.36</v>
      </c>
      <c r="H19" s="64">
        <v>16.899999999999999</v>
      </c>
      <c r="I19" s="64">
        <v>7.13</v>
      </c>
      <c r="J19" s="64">
        <v>0.54</v>
      </c>
      <c r="K19" s="64">
        <v>182.51</v>
      </c>
      <c r="L19" s="64">
        <v>25.64</v>
      </c>
      <c r="M19" s="64">
        <v>78.28</v>
      </c>
      <c r="N19" s="64">
        <v>15.7</v>
      </c>
      <c r="O19" s="64">
        <v>0</v>
      </c>
      <c r="P19" s="64">
        <v>0.56999999999999995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4" t="s">
        <v>1124</v>
      </c>
      <c r="B20" s="64">
        <v>4.25</v>
      </c>
      <c r="C20" s="64">
        <v>4.7300000000000004</v>
      </c>
      <c r="D20" s="64">
        <v>7.02</v>
      </c>
      <c r="E20" s="64">
        <v>2.4700000000000002</v>
      </c>
      <c r="F20" s="64">
        <v>3.63</v>
      </c>
      <c r="G20" s="64">
        <v>43.36</v>
      </c>
      <c r="H20" s="64">
        <v>16.899999999999999</v>
      </c>
      <c r="I20" s="64">
        <v>7.37</v>
      </c>
      <c r="J20" s="64">
        <v>0.69</v>
      </c>
      <c r="K20" s="64">
        <v>175.77</v>
      </c>
      <c r="L20" s="64">
        <v>25.52</v>
      </c>
      <c r="M20" s="64">
        <v>78.099999999999994</v>
      </c>
      <c r="N20" s="64">
        <v>15.8</v>
      </c>
      <c r="O20" s="64">
        <v>0</v>
      </c>
      <c r="P20" s="64">
        <v>0.55000000000000004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14" t="s">
        <v>1125</v>
      </c>
      <c r="B21" s="64">
        <v>4.2</v>
      </c>
      <c r="C21" s="64">
        <v>5.14</v>
      </c>
      <c r="D21" s="64">
        <v>7.2</v>
      </c>
      <c r="E21" s="64">
        <v>2.72</v>
      </c>
      <c r="F21" s="64">
        <v>3.8</v>
      </c>
      <c r="G21" s="64">
        <v>43.36</v>
      </c>
      <c r="H21" s="64">
        <v>16.899999999999999</v>
      </c>
      <c r="I21" s="64">
        <v>7.48</v>
      </c>
      <c r="J21" s="64">
        <v>0.53</v>
      </c>
      <c r="K21" s="64">
        <v>203.79</v>
      </c>
      <c r="L21" s="64">
        <v>25.38</v>
      </c>
      <c r="M21" s="64">
        <v>77.930000000000007</v>
      </c>
      <c r="N21" s="64">
        <v>15.8</v>
      </c>
      <c r="O21" s="64">
        <v>0</v>
      </c>
      <c r="P21" s="64">
        <v>0.54</v>
      </c>
      <c r="Q21" s="64">
        <v>9.56</v>
      </c>
      <c r="R21" s="198"/>
      <c r="S21" s="198"/>
      <c r="T21" s="198"/>
      <c r="U21" s="198"/>
    </row>
    <row r="22" spans="1:21" s="12" customFormat="1" x14ac:dyDescent="0.25">
      <c r="A22" s="214" t="s">
        <v>1126</v>
      </c>
      <c r="B22" s="64">
        <v>4.18</v>
      </c>
      <c r="C22" s="64">
        <v>5.35</v>
      </c>
      <c r="D22" s="64">
        <v>7.29</v>
      </c>
      <c r="E22" s="64">
        <v>2.71</v>
      </c>
      <c r="F22" s="64">
        <v>3.71</v>
      </c>
      <c r="G22" s="64">
        <v>39.409999999999997</v>
      </c>
      <c r="H22" s="64">
        <v>16.190000000000001</v>
      </c>
      <c r="I22" s="64">
        <v>7.52</v>
      </c>
      <c r="J22" s="64">
        <v>0.18</v>
      </c>
      <c r="K22" s="64">
        <v>138.62</v>
      </c>
      <c r="L22" s="64">
        <v>25.27</v>
      </c>
      <c r="M22" s="64">
        <v>77.7</v>
      </c>
      <c r="N22" s="64">
        <v>15.9</v>
      </c>
      <c r="O22" s="64">
        <v>0</v>
      </c>
      <c r="P22" s="64">
        <v>0.51</v>
      </c>
      <c r="Q22" s="64">
        <v>9.5500000000000007</v>
      </c>
      <c r="R22" s="198"/>
      <c r="S22" s="198"/>
      <c r="T22" s="198"/>
      <c r="U22" s="198"/>
    </row>
    <row r="23" spans="1:21" s="12" customFormat="1" x14ac:dyDescent="0.25">
      <c r="A23" s="214" t="s">
        <v>1127</v>
      </c>
      <c r="B23" s="64">
        <v>4.05</v>
      </c>
      <c r="C23" s="64">
        <v>5.0199999999999996</v>
      </c>
      <c r="D23" s="64">
        <v>7.02</v>
      </c>
      <c r="E23" s="64">
        <v>2.56</v>
      </c>
      <c r="F23" s="64">
        <v>3.66</v>
      </c>
      <c r="G23" s="64">
        <v>35.619999999999997</v>
      </c>
      <c r="H23" s="64">
        <v>15.54</v>
      </c>
      <c r="I23" s="64">
        <v>7.47</v>
      </c>
      <c r="J23" s="64">
        <v>0.33</v>
      </c>
      <c r="K23" s="64">
        <v>205.86</v>
      </c>
      <c r="L23" s="64">
        <v>25.14</v>
      </c>
      <c r="M23" s="64">
        <v>78.040000000000006</v>
      </c>
      <c r="N23" s="64">
        <v>15.8</v>
      </c>
      <c r="O23" s="64">
        <v>0</v>
      </c>
      <c r="P23" s="64">
        <v>0.49</v>
      </c>
      <c r="Q23" s="64">
        <v>9.5399999999999991</v>
      </c>
      <c r="R23" s="198"/>
      <c r="S23" s="198"/>
      <c r="T23" s="198"/>
      <c r="U23" s="198"/>
    </row>
    <row r="24" spans="1:21" s="12" customFormat="1" x14ac:dyDescent="0.25">
      <c r="A24" s="214" t="s">
        <v>1128</v>
      </c>
      <c r="B24" s="64">
        <v>3.98</v>
      </c>
      <c r="C24" s="64">
        <v>5.14</v>
      </c>
      <c r="D24" s="64">
        <v>7.02</v>
      </c>
      <c r="E24" s="64">
        <v>1.1599999999999999</v>
      </c>
      <c r="F24" s="64">
        <v>3.99</v>
      </c>
      <c r="G24" s="64">
        <v>35.619999999999997</v>
      </c>
      <c r="H24" s="64">
        <v>15.54</v>
      </c>
      <c r="I24" s="64">
        <v>7.25</v>
      </c>
      <c r="J24" s="64">
        <v>0.05</v>
      </c>
      <c r="K24" s="64">
        <v>160.55000000000001</v>
      </c>
      <c r="L24" s="64">
        <v>25.01</v>
      </c>
      <c r="M24" s="64">
        <v>78.64</v>
      </c>
      <c r="N24" s="64">
        <v>15.8</v>
      </c>
      <c r="O24" s="64">
        <v>0</v>
      </c>
      <c r="P24" s="64">
        <v>0.47</v>
      </c>
      <c r="Q24" s="64">
        <v>9.5399999999999991</v>
      </c>
      <c r="R24" s="198"/>
      <c r="S24" s="198"/>
      <c r="T24" s="198"/>
      <c r="U24" s="198"/>
    </row>
    <row r="25" spans="1:21" s="12" customFormat="1" x14ac:dyDescent="0.25">
      <c r="A25" s="214" t="s">
        <v>1129</v>
      </c>
      <c r="B25" s="64">
        <v>3.97</v>
      </c>
      <c r="C25" s="64">
        <v>5.37</v>
      </c>
      <c r="D25" s="64">
        <v>7.13</v>
      </c>
      <c r="E25" s="64">
        <v>1.33</v>
      </c>
      <c r="F25" s="64">
        <v>3.63</v>
      </c>
      <c r="G25" s="64">
        <v>35.619999999999997</v>
      </c>
      <c r="H25" s="64">
        <v>15.54</v>
      </c>
      <c r="I25" s="64">
        <v>7</v>
      </c>
      <c r="J25" s="64">
        <v>0.33</v>
      </c>
      <c r="K25" s="64">
        <v>192.89</v>
      </c>
      <c r="L25" s="64">
        <v>24.94</v>
      </c>
      <c r="M25" s="64">
        <v>79.069999999999993</v>
      </c>
      <c r="N25" s="64">
        <v>15.6</v>
      </c>
      <c r="O25" s="64">
        <v>0</v>
      </c>
      <c r="P25" s="64">
        <v>0.46</v>
      </c>
      <c r="Q25" s="64">
        <v>9.5399999999999991</v>
      </c>
      <c r="R25" s="198"/>
      <c r="S25" s="198"/>
      <c r="T25" s="198"/>
      <c r="U25" s="198"/>
    </row>
    <row r="26" spans="1:21" s="12" customFormat="1" x14ac:dyDescent="0.25">
      <c r="A26" s="214" t="s">
        <v>1130</v>
      </c>
      <c r="B26" s="64">
        <v>3.9</v>
      </c>
      <c r="C26" s="64">
        <v>4.9400000000000004</v>
      </c>
      <c r="D26" s="64">
        <v>6.86</v>
      </c>
      <c r="E26" s="64">
        <v>1.53</v>
      </c>
      <c r="F26" s="64">
        <v>3.31</v>
      </c>
      <c r="G26" s="64">
        <v>30.67</v>
      </c>
      <c r="H26" s="64">
        <v>13.5</v>
      </c>
      <c r="I26" s="64">
        <v>6.79</v>
      </c>
      <c r="J26" s="64">
        <v>0.44</v>
      </c>
      <c r="K26" s="64">
        <v>161.02000000000001</v>
      </c>
      <c r="L26" s="64">
        <v>24.73</v>
      </c>
      <c r="M26" s="64">
        <v>79.73</v>
      </c>
      <c r="N26" s="64">
        <v>15.6</v>
      </c>
      <c r="O26" s="64">
        <v>0</v>
      </c>
      <c r="P26" s="64">
        <v>0.44</v>
      </c>
      <c r="Q26" s="64">
        <v>9.5</v>
      </c>
      <c r="R26" s="198"/>
      <c r="S26" s="198"/>
      <c r="T26" s="198"/>
      <c r="U26" s="198"/>
    </row>
    <row r="27" spans="1:21" s="12" customFormat="1" x14ac:dyDescent="0.25">
      <c r="A27" s="214" t="s">
        <v>1131</v>
      </c>
      <c r="B27" s="64">
        <v>3.9</v>
      </c>
      <c r="C27" s="64">
        <v>4.76</v>
      </c>
      <c r="D27" s="64">
        <v>6.76</v>
      </c>
      <c r="E27" s="64">
        <v>1.27</v>
      </c>
      <c r="F27" s="64">
        <v>3.45</v>
      </c>
      <c r="G27" s="64">
        <v>25.94</v>
      </c>
      <c r="H27" s="64">
        <v>11.55</v>
      </c>
      <c r="I27" s="64">
        <v>6.62</v>
      </c>
      <c r="J27" s="64">
        <v>0.38</v>
      </c>
      <c r="K27" s="64">
        <v>177.51</v>
      </c>
      <c r="L27" s="64">
        <v>24.74</v>
      </c>
      <c r="M27" s="64">
        <v>79.72</v>
      </c>
      <c r="N27" s="64">
        <v>15.6</v>
      </c>
      <c r="O27" s="64">
        <v>0</v>
      </c>
      <c r="P27" s="64">
        <v>0.42</v>
      </c>
      <c r="Q27" s="64">
        <v>9.5</v>
      </c>
      <c r="R27" s="198"/>
      <c r="S27" s="198"/>
      <c r="T27" s="198"/>
      <c r="U27" s="198"/>
    </row>
    <row r="28" spans="1:21" s="12" customFormat="1" x14ac:dyDescent="0.25">
      <c r="A28" s="214" t="s">
        <v>1132</v>
      </c>
      <c r="B28" s="64">
        <v>3.92</v>
      </c>
      <c r="C28" s="64">
        <v>4.9000000000000004</v>
      </c>
      <c r="D28" s="64">
        <v>6.85</v>
      </c>
      <c r="E28" s="64">
        <v>1.4</v>
      </c>
      <c r="F28" s="64">
        <v>3.89</v>
      </c>
      <c r="G28" s="64">
        <v>25.94</v>
      </c>
      <c r="H28" s="64">
        <v>11.55</v>
      </c>
      <c r="I28" s="64">
        <v>6.24</v>
      </c>
      <c r="J28" s="64">
        <v>0.36</v>
      </c>
      <c r="K28" s="64">
        <v>202.46</v>
      </c>
      <c r="L28" s="64">
        <v>24.73</v>
      </c>
      <c r="M28" s="64">
        <v>80.37</v>
      </c>
      <c r="N28" s="64">
        <v>15.8</v>
      </c>
      <c r="O28" s="64">
        <v>0</v>
      </c>
      <c r="P28" s="64">
        <v>0.41</v>
      </c>
      <c r="Q28" s="64">
        <v>9.52</v>
      </c>
      <c r="R28" s="198"/>
      <c r="S28" s="198"/>
      <c r="T28" s="198"/>
      <c r="U28" s="198"/>
    </row>
    <row r="29" spans="1:21" s="12" customFormat="1" x14ac:dyDescent="0.25">
      <c r="A29" s="214" t="s">
        <v>1133</v>
      </c>
      <c r="B29" s="64">
        <v>3.94</v>
      </c>
      <c r="C29" s="64">
        <v>5.29</v>
      </c>
      <c r="D29" s="64">
        <v>7.07</v>
      </c>
      <c r="E29" s="64">
        <v>1.64</v>
      </c>
      <c r="F29" s="64">
        <v>3.12</v>
      </c>
      <c r="G29" s="64">
        <v>25.94</v>
      </c>
      <c r="H29" s="64">
        <v>11.55</v>
      </c>
      <c r="I29" s="64">
        <v>6.16</v>
      </c>
      <c r="J29" s="64">
        <v>0.6</v>
      </c>
      <c r="K29" s="64">
        <v>198.09</v>
      </c>
      <c r="L29" s="64">
        <v>24.71</v>
      </c>
      <c r="M29" s="64">
        <v>79.91</v>
      </c>
      <c r="N29" s="64">
        <v>17.5</v>
      </c>
      <c r="O29" s="64">
        <v>0</v>
      </c>
      <c r="P29" s="64">
        <v>0.4</v>
      </c>
      <c r="Q29" s="64">
        <v>9.57</v>
      </c>
      <c r="R29" s="198"/>
      <c r="S29" s="198"/>
      <c r="T29" s="198"/>
      <c r="U29" s="198"/>
    </row>
    <row r="30" spans="1:21" s="12" customFormat="1" x14ac:dyDescent="0.25">
      <c r="A30" s="214" t="s">
        <v>1134</v>
      </c>
      <c r="B30" s="64">
        <v>3.97</v>
      </c>
      <c r="C30" s="64">
        <v>5.12</v>
      </c>
      <c r="D30" s="64">
        <v>7</v>
      </c>
      <c r="E30" s="64">
        <v>1.86</v>
      </c>
      <c r="F30" s="64">
        <v>3.02</v>
      </c>
      <c r="G30" s="64">
        <v>24.94</v>
      </c>
      <c r="H30" s="64">
        <v>10.3</v>
      </c>
      <c r="I30" s="64">
        <v>6.03</v>
      </c>
      <c r="J30" s="64">
        <v>0.53</v>
      </c>
      <c r="K30" s="64">
        <v>212.51</v>
      </c>
      <c r="L30" s="64">
        <v>24.75</v>
      </c>
      <c r="M30" s="64">
        <v>79.52</v>
      </c>
      <c r="N30" s="64">
        <v>24.9</v>
      </c>
      <c r="O30" s="64">
        <v>0</v>
      </c>
      <c r="P30" s="64">
        <v>0.38</v>
      </c>
      <c r="Q30" s="64">
        <v>9.5299999999999994</v>
      </c>
      <c r="R30" s="198"/>
      <c r="S30" s="198"/>
      <c r="T30" s="198"/>
      <c r="U30" s="198"/>
    </row>
    <row r="31" spans="1:21" s="12" customFormat="1" x14ac:dyDescent="0.25">
      <c r="A31" s="214" t="s">
        <v>1135</v>
      </c>
      <c r="B31" s="64">
        <v>3.98</v>
      </c>
      <c r="C31" s="64">
        <v>4.8099999999999996</v>
      </c>
      <c r="D31" s="64">
        <v>6.85</v>
      </c>
      <c r="E31" s="64">
        <v>1.52</v>
      </c>
      <c r="F31" s="64">
        <v>3.23</v>
      </c>
      <c r="G31" s="64">
        <v>23.98</v>
      </c>
      <c r="H31" s="64">
        <v>9.11</v>
      </c>
      <c r="I31" s="64">
        <v>5.75</v>
      </c>
      <c r="J31" s="64">
        <v>0.43</v>
      </c>
      <c r="K31" s="64">
        <v>222.18</v>
      </c>
      <c r="L31" s="64">
        <v>24.88</v>
      </c>
      <c r="M31" s="64">
        <v>79.92</v>
      </c>
      <c r="N31" s="64">
        <v>39.200000000000003</v>
      </c>
      <c r="O31" s="64">
        <v>0</v>
      </c>
      <c r="P31" s="64">
        <v>0.36</v>
      </c>
      <c r="Q31" s="64">
        <v>9.49</v>
      </c>
      <c r="R31" s="198"/>
      <c r="S31" s="198"/>
      <c r="T31" s="198"/>
      <c r="U31" s="198"/>
    </row>
    <row r="32" spans="1:21" s="12" customFormat="1" x14ac:dyDescent="0.25">
      <c r="A32" s="214" t="s">
        <v>1136</v>
      </c>
      <c r="B32" s="64">
        <v>3.96</v>
      </c>
      <c r="C32" s="64">
        <v>4.45</v>
      </c>
      <c r="D32" s="64">
        <v>6.65</v>
      </c>
      <c r="E32" s="64">
        <v>1.34</v>
      </c>
      <c r="F32" s="64">
        <v>3.27</v>
      </c>
      <c r="G32" s="64">
        <v>23.98</v>
      </c>
      <c r="H32" s="64">
        <v>9.11</v>
      </c>
      <c r="I32" s="64">
        <v>5.61</v>
      </c>
      <c r="J32" s="64">
        <v>0.23</v>
      </c>
      <c r="K32" s="64">
        <v>281.98</v>
      </c>
      <c r="L32" s="64">
        <v>25.08</v>
      </c>
      <c r="M32" s="64">
        <v>79.260000000000005</v>
      </c>
      <c r="N32" s="64">
        <v>62</v>
      </c>
      <c r="O32" s="64">
        <v>0</v>
      </c>
      <c r="P32" s="64">
        <v>0.36</v>
      </c>
      <c r="Q32" s="64">
        <v>9.4700000000000006</v>
      </c>
      <c r="R32" s="198"/>
      <c r="S32" s="198"/>
      <c r="T32" s="198"/>
      <c r="U32" s="198"/>
    </row>
    <row r="33" spans="1:21" s="12" customFormat="1" x14ac:dyDescent="0.25">
      <c r="A33" s="214" t="s">
        <v>1137</v>
      </c>
      <c r="B33" s="64">
        <v>3.96</v>
      </c>
      <c r="C33" s="64">
        <v>4.21</v>
      </c>
      <c r="D33" s="64">
        <v>6.52</v>
      </c>
      <c r="E33" s="64">
        <v>1.49</v>
      </c>
      <c r="F33" s="64">
        <v>3.63</v>
      </c>
      <c r="G33" s="64">
        <v>23.98</v>
      </c>
      <c r="H33" s="64">
        <v>9.11</v>
      </c>
      <c r="I33" s="64">
        <v>5.5</v>
      </c>
      <c r="J33" s="64">
        <v>0.24</v>
      </c>
      <c r="K33" s="64">
        <v>20.6</v>
      </c>
      <c r="L33" s="64">
        <v>25.48</v>
      </c>
      <c r="M33" s="64">
        <v>78.260000000000005</v>
      </c>
      <c r="N33" s="64">
        <v>93.4</v>
      </c>
      <c r="O33" s="64">
        <v>0</v>
      </c>
      <c r="P33" s="64">
        <v>0.35</v>
      </c>
      <c r="Q33" s="64">
        <v>9.48</v>
      </c>
      <c r="R33" s="198"/>
      <c r="S33" s="198"/>
      <c r="T33" s="198"/>
      <c r="U33" s="198"/>
    </row>
    <row r="34" spans="1:21" s="12" customFormat="1" x14ac:dyDescent="0.25">
      <c r="A34" s="214" t="s">
        <v>1138</v>
      </c>
      <c r="B34" s="64">
        <v>3.72</v>
      </c>
      <c r="C34" s="64">
        <v>3.61</v>
      </c>
      <c r="D34" s="64">
        <v>6.01</v>
      </c>
      <c r="E34" s="64">
        <v>1.41</v>
      </c>
      <c r="F34" s="64">
        <v>3.32</v>
      </c>
      <c r="G34" s="64">
        <v>24.87</v>
      </c>
      <c r="H34" s="64">
        <v>8.6</v>
      </c>
      <c r="I34" s="64">
        <v>5.55</v>
      </c>
      <c r="J34" s="64">
        <v>0.48</v>
      </c>
      <c r="K34" s="64">
        <v>16.62</v>
      </c>
      <c r="L34" s="64">
        <v>26.17</v>
      </c>
      <c r="M34" s="64">
        <v>75.05</v>
      </c>
      <c r="N34" s="64">
        <v>126.7</v>
      </c>
      <c r="O34" s="64">
        <v>0</v>
      </c>
      <c r="P34" s="64">
        <v>0.35</v>
      </c>
      <c r="Q34" s="64">
        <v>9.5399999999999991</v>
      </c>
      <c r="R34" s="198"/>
      <c r="S34" s="198"/>
      <c r="T34" s="198"/>
      <c r="U34" s="198"/>
    </row>
    <row r="35" spans="1:21" s="12" customFormat="1" x14ac:dyDescent="0.25">
      <c r="A35" s="214" t="s">
        <v>1139</v>
      </c>
      <c r="B35" s="64">
        <v>3.97</v>
      </c>
      <c r="C35" s="64">
        <v>4.17</v>
      </c>
      <c r="D35" s="64">
        <v>6.51</v>
      </c>
      <c r="E35" s="64">
        <v>1.5</v>
      </c>
      <c r="F35" s="64">
        <v>3.35</v>
      </c>
      <c r="G35" s="64">
        <v>25.72</v>
      </c>
      <c r="H35" s="64">
        <v>8.14</v>
      </c>
      <c r="I35" s="64">
        <v>5.7</v>
      </c>
      <c r="J35" s="64">
        <v>0.48</v>
      </c>
      <c r="K35" s="64">
        <v>15.96</v>
      </c>
      <c r="L35" s="64">
        <v>26.97</v>
      </c>
      <c r="M35" s="64">
        <v>72.53</v>
      </c>
      <c r="N35" s="64">
        <v>162.9</v>
      </c>
      <c r="O35" s="64">
        <v>0</v>
      </c>
      <c r="P35" s="64">
        <v>0.35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14" t="s">
        <v>1140</v>
      </c>
      <c r="B36" s="64">
        <v>3.85</v>
      </c>
      <c r="C36" s="64">
        <v>4.1500000000000004</v>
      </c>
      <c r="D36" s="64">
        <v>6.4</v>
      </c>
      <c r="E36" s="64">
        <v>1.39</v>
      </c>
      <c r="F36" s="64">
        <v>3.38</v>
      </c>
      <c r="G36" s="64">
        <v>25.72</v>
      </c>
      <c r="H36" s="64">
        <v>8.14</v>
      </c>
      <c r="I36" s="64">
        <v>5.82</v>
      </c>
      <c r="J36" s="64">
        <v>0.35</v>
      </c>
      <c r="K36" s="64">
        <v>23.73</v>
      </c>
      <c r="L36" s="64">
        <v>27.08</v>
      </c>
      <c r="M36" s="64">
        <v>72.17</v>
      </c>
      <c r="N36" s="64">
        <v>200.6</v>
      </c>
      <c r="O36" s="64">
        <v>0</v>
      </c>
      <c r="P36" s="64">
        <v>0.35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4" t="s">
        <v>1141</v>
      </c>
      <c r="B37" s="64">
        <v>3.67</v>
      </c>
      <c r="C37" s="64">
        <v>4.13</v>
      </c>
      <c r="D37" s="64">
        <v>6.24</v>
      </c>
      <c r="E37" s="64">
        <v>1.68</v>
      </c>
      <c r="F37" s="64">
        <v>3.85</v>
      </c>
      <c r="G37" s="64">
        <v>25.72</v>
      </c>
      <c r="H37" s="64">
        <v>8.14</v>
      </c>
      <c r="I37" s="64">
        <v>5.82</v>
      </c>
      <c r="J37" s="64">
        <v>0.46</v>
      </c>
      <c r="K37" s="64">
        <v>26.42</v>
      </c>
      <c r="L37" s="64">
        <v>27.72</v>
      </c>
      <c r="M37" s="64">
        <v>69.36</v>
      </c>
      <c r="N37" s="64">
        <v>241.6</v>
      </c>
      <c r="O37" s="64">
        <v>0</v>
      </c>
      <c r="P37" s="64">
        <v>0.33</v>
      </c>
      <c r="Q37" s="64">
        <v>9.57</v>
      </c>
      <c r="R37" s="198"/>
      <c r="S37" s="198"/>
      <c r="T37" s="198"/>
      <c r="U37" s="198"/>
    </row>
    <row r="38" spans="1:21" s="12" customFormat="1" x14ac:dyDescent="0.25">
      <c r="A38" s="214" t="s">
        <v>1142</v>
      </c>
      <c r="B38" s="64">
        <v>3.51</v>
      </c>
      <c r="C38" s="64">
        <v>4.08</v>
      </c>
      <c r="D38" s="64">
        <v>6.09</v>
      </c>
      <c r="E38" s="64">
        <v>1.46</v>
      </c>
      <c r="F38" s="64">
        <v>4.1100000000000003</v>
      </c>
      <c r="G38" s="64">
        <v>24.87</v>
      </c>
      <c r="H38" s="64">
        <v>9.2200000000000006</v>
      </c>
      <c r="I38" s="64">
        <v>5.61</v>
      </c>
      <c r="J38" s="64">
        <v>0.44</v>
      </c>
      <c r="K38" s="64">
        <v>11.95</v>
      </c>
      <c r="L38" s="64">
        <v>28.29</v>
      </c>
      <c r="M38" s="64">
        <v>67.06</v>
      </c>
      <c r="N38" s="64">
        <v>287.8</v>
      </c>
      <c r="O38" s="64">
        <v>0</v>
      </c>
      <c r="P38" s="64">
        <v>0.33</v>
      </c>
      <c r="Q38" s="64">
        <v>9.5399999999999991</v>
      </c>
      <c r="R38" s="198"/>
      <c r="S38" s="198"/>
      <c r="T38" s="198"/>
      <c r="U38" s="198"/>
    </row>
    <row r="39" spans="1:21" s="12" customFormat="1" x14ac:dyDescent="0.25">
      <c r="A39" s="214" t="s">
        <v>1143</v>
      </c>
      <c r="B39" s="64">
        <v>3.37</v>
      </c>
      <c r="C39" s="64">
        <v>4.38</v>
      </c>
      <c r="D39" s="64">
        <v>6.14</v>
      </c>
      <c r="E39" s="64">
        <v>1.63</v>
      </c>
      <c r="F39" s="64">
        <v>5.01</v>
      </c>
      <c r="G39" s="64">
        <v>24.06</v>
      </c>
      <c r="H39" s="64">
        <v>10.26</v>
      </c>
      <c r="I39" s="64">
        <v>5.27</v>
      </c>
      <c r="J39" s="64">
        <v>0.62</v>
      </c>
      <c r="K39" s="64">
        <v>22.65</v>
      </c>
      <c r="L39" s="64">
        <v>28.61</v>
      </c>
      <c r="M39" s="64">
        <v>64.75</v>
      </c>
      <c r="N39" s="64">
        <v>359.7</v>
      </c>
      <c r="O39" s="64">
        <v>0</v>
      </c>
      <c r="P39" s="64">
        <v>0.33</v>
      </c>
      <c r="Q39" s="64">
        <v>9.5500000000000007</v>
      </c>
      <c r="R39" s="198"/>
      <c r="S39" s="198"/>
      <c r="T39" s="198"/>
      <c r="U39" s="198"/>
    </row>
    <row r="40" spans="1:21" s="12" customFormat="1" x14ac:dyDescent="0.25">
      <c r="A40" s="214" t="s">
        <v>1144</v>
      </c>
      <c r="B40" s="64">
        <v>3.26</v>
      </c>
      <c r="C40" s="64">
        <v>4.58</v>
      </c>
      <c r="D40" s="64">
        <v>6.15</v>
      </c>
      <c r="E40" s="64">
        <v>1.63</v>
      </c>
      <c r="F40" s="64">
        <v>4.4800000000000004</v>
      </c>
      <c r="G40" s="64">
        <v>24.06</v>
      </c>
      <c r="H40" s="64">
        <v>10.26</v>
      </c>
      <c r="I40" s="64">
        <v>4.9800000000000004</v>
      </c>
      <c r="J40" s="64">
        <v>0.65</v>
      </c>
      <c r="K40" s="64">
        <v>11.99</v>
      </c>
      <c r="L40" s="64">
        <v>29.71</v>
      </c>
      <c r="M40" s="64">
        <v>60.89</v>
      </c>
      <c r="N40" s="64">
        <v>414.6</v>
      </c>
      <c r="O40" s="64">
        <v>0</v>
      </c>
      <c r="P40" s="64">
        <v>0.32</v>
      </c>
      <c r="Q40" s="64">
        <v>9.5</v>
      </c>
      <c r="R40" s="198"/>
      <c r="S40" s="198"/>
      <c r="T40" s="198"/>
      <c r="U40" s="198"/>
    </row>
    <row r="41" spans="1:21" s="12" customFormat="1" x14ac:dyDescent="0.25">
      <c r="A41" s="214" t="s">
        <v>1145</v>
      </c>
      <c r="B41" s="64">
        <v>3.19</v>
      </c>
      <c r="C41" s="64">
        <v>4.33</v>
      </c>
      <c r="D41" s="64">
        <v>5.97</v>
      </c>
      <c r="E41" s="64">
        <v>1.29</v>
      </c>
      <c r="F41" s="64">
        <v>4.7300000000000004</v>
      </c>
      <c r="G41" s="64">
        <v>24.06</v>
      </c>
      <c r="H41" s="64">
        <v>10.26</v>
      </c>
      <c r="I41" s="64">
        <v>4.6399999999999997</v>
      </c>
      <c r="J41" s="64">
        <v>0.71</v>
      </c>
      <c r="K41" s="64">
        <v>347.16</v>
      </c>
      <c r="L41" s="64">
        <v>30.82</v>
      </c>
      <c r="M41" s="64">
        <v>57.12</v>
      </c>
      <c r="N41" s="64">
        <v>473.1</v>
      </c>
      <c r="O41" s="64">
        <v>0</v>
      </c>
      <c r="P41" s="64">
        <v>0.3</v>
      </c>
      <c r="Q41" s="64">
        <v>9.42</v>
      </c>
      <c r="R41" s="198"/>
      <c r="S41" s="198"/>
      <c r="T41" s="198"/>
      <c r="U41" s="198"/>
    </row>
    <row r="42" spans="1:21" s="12" customFormat="1" x14ac:dyDescent="0.25">
      <c r="A42" s="214" t="s">
        <v>1146</v>
      </c>
      <c r="B42" s="64">
        <v>3.08</v>
      </c>
      <c r="C42" s="64">
        <v>3.84</v>
      </c>
      <c r="D42" s="64">
        <v>5.62</v>
      </c>
      <c r="E42" s="64">
        <v>1.24</v>
      </c>
      <c r="F42" s="64">
        <v>5.0999999999999996</v>
      </c>
      <c r="G42" s="64">
        <v>21.13</v>
      </c>
      <c r="H42" s="64">
        <v>9.43</v>
      </c>
      <c r="I42" s="64">
        <v>4.2300000000000004</v>
      </c>
      <c r="J42" s="64">
        <v>0.62</v>
      </c>
      <c r="K42" s="64">
        <v>11.04</v>
      </c>
      <c r="L42" s="64">
        <v>30.49</v>
      </c>
      <c r="M42" s="64">
        <v>57.34</v>
      </c>
      <c r="N42" s="64">
        <v>527.4</v>
      </c>
      <c r="O42" s="64">
        <v>0</v>
      </c>
      <c r="P42" s="64">
        <v>0.28999999999999998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4" t="s">
        <v>1147</v>
      </c>
      <c r="B43" s="64">
        <v>2.92</v>
      </c>
      <c r="C43" s="64">
        <v>3.37</v>
      </c>
      <c r="D43" s="64">
        <v>5.25</v>
      </c>
      <c r="E43" s="64">
        <v>1.05</v>
      </c>
      <c r="F43" s="64">
        <v>6.35</v>
      </c>
      <c r="G43" s="64">
        <v>18.329999999999998</v>
      </c>
      <c r="H43" s="64">
        <v>8.64</v>
      </c>
      <c r="I43" s="64">
        <v>3.84</v>
      </c>
      <c r="J43" s="64">
        <v>0.52</v>
      </c>
      <c r="K43" s="64">
        <v>10</v>
      </c>
      <c r="L43" s="64">
        <v>30.34</v>
      </c>
      <c r="M43" s="64">
        <v>57.34</v>
      </c>
      <c r="N43" s="64">
        <v>578.6</v>
      </c>
      <c r="O43" s="64">
        <v>0</v>
      </c>
      <c r="P43" s="64">
        <v>0.3</v>
      </c>
      <c r="Q43" s="64">
        <v>9.49</v>
      </c>
      <c r="R43" s="198"/>
      <c r="S43" s="198"/>
      <c r="T43" s="198"/>
      <c r="U43" s="198"/>
    </row>
    <row r="44" spans="1:21" s="12" customFormat="1" x14ac:dyDescent="0.25">
      <c r="A44" s="214" t="s">
        <v>1148</v>
      </c>
      <c r="B44" s="64">
        <v>2.81</v>
      </c>
      <c r="C44" s="64">
        <v>3.01</v>
      </c>
      <c r="D44" s="64">
        <v>4.97</v>
      </c>
      <c r="E44" s="64">
        <v>1.39</v>
      </c>
      <c r="F44" s="64">
        <v>4.5599999999999996</v>
      </c>
      <c r="G44" s="64">
        <v>18.329999999999998</v>
      </c>
      <c r="H44" s="64">
        <v>8.64</v>
      </c>
      <c r="I44" s="64">
        <v>3.5</v>
      </c>
      <c r="J44" s="64">
        <v>0.25</v>
      </c>
      <c r="K44" s="64">
        <v>17.95</v>
      </c>
      <c r="L44" s="64">
        <v>30.08</v>
      </c>
      <c r="M44" s="64">
        <v>56.82</v>
      </c>
      <c r="N44" s="64">
        <v>622</v>
      </c>
      <c r="O44" s="64">
        <v>0</v>
      </c>
      <c r="P44" s="64">
        <v>0.28999999999999998</v>
      </c>
      <c r="Q44" s="64">
        <v>9.43</v>
      </c>
      <c r="R44" s="198"/>
      <c r="S44" s="198"/>
      <c r="T44" s="198"/>
      <c r="U44" s="198"/>
    </row>
    <row r="45" spans="1:21" s="12" customFormat="1" x14ac:dyDescent="0.25">
      <c r="A45" s="214" t="s">
        <v>1149</v>
      </c>
      <c r="B45" s="64">
        <v>2.72</v>
      </c>
      <c r="C45" s="64">
        <v>2.4700000000000002</v>
      </c>
      <c r="D45" s="64">
        <v>4.62</v>
      </c>
      <c r="E45" s="64">
        <v>1.1299999999999999</v>
      </c>
      <c r="F45" s="64">
        <v>5.07</v>
      </c>
      <c r="G45" s="64">
        <v>18.329999999999998</v>
      </c>
      <c r="H45" s="64">
        <v>8.64</v>
      </c>
      <c r="I45" s="64">
        <v>3.3</v>
      </c>
      <c r="J45" s="64">
        <v>0.51</v>
      </c>
      <c r="K45" s="64">
        <v>0.71</v>
      </c>
      <c r="L45" s="64">
        <v>31.22</v>
      </c>
      <c r="M45" s="64">
        <v>53.36</v>
      </c>
      <c r="N45" s="64">
        <v>661.7</v>
      </c>
      <c r="O45" s="64">
        <v>0</v>
      </c>
      <c r="P45" s="64">
        <v>0.28999999999999998</v>
      </c>
      <c r="Q45" s="64">
        <v>9.39</v>
      </c>
      <c r="R45" s="198"/>
      <c r="S45" s="198"/>
      <c r="T45" s="198"/>
      <c r="U45" s="198"/>
    </row>
    <row r="46" spans="1:21" s="12" customFormat="1" x14ac:dyDescent="0.25">
      <c r="A46" s="214" t="s">
        <v>1150</v>
      </c>
      <c r="B46" s="64">
        <v>2.77</v>
      </c>
      <c r="C46" s="64">
        <v>2.7</v>
      </c>
      <c r="D46" s="64">
        <v>4.78</v>
      </c>
      <c r="E46" s="64">
        <v>0.91</v>
      </c>
      <c r="F46" s="64">
        <v>5.72</v>
      </c>
      <c r="G46" s="64">
        <v>19.16</v>
      </c>
      <c r="H46" s="64">
        <v>8.09</v>
      </c>
      <c r="I46" s="64">
        <v>3.13</v>
      </c>
      <c r="J46" s="64">
        <v>0.56999999999999995</v>
      </c>
      <c r="K46" s="64">
        <v>8.56</v>
      </c>
      <c r="L46" s="64">
        <v>31.59</v>
      </c>
      <c r="M46" s="64">
        <v>51.95</v>
      </c>
      <c r="N46" s="64">
        <v>693.4</v>
      </c>
      <c r="O46" s="64">
        <v>0</v>
      </c>
      <c r="P46" s="64">
        <v>0.28000000000000003</v>
      </c>
      <c r="Q46" s="64">
        <v>9.4</v>
      </c>
      <c r="R46" s="198"/>
      <c r="S46" s="198"/>
      <c r="T46" s="198"/>
      <c r="U46" s="198"/>
    </row>
    <row r="47" spans="1:21" s="12" customFormat="1" x14ac:dyDescent="0.25">
      <c r="A47" s="214" t="s">
        <v>1151</v>
      </c>
      <c r="B47" s="64">
        <v>2.62</v>
      </c>
      <c r="C47" s="64">
        <v>1.92</v>
      </c>
      <c r="D47" s="64">
        <v>4.25</v>
      </c>
      <c r="E47" s="64">
        <v>0.97</v>
      </c>
      <c r="F47" s="64">
        <v>5.95</v>
      </c>
      <c r="G47" s="64">
        <v>19.940000000000001</v>
      </c>
      <c r="H47" s="64">
        <v>7.56</v>
      </c>
      <c r="I47" s="64">
        <v>2.94</v>
      </c>
      <c r="J47" s="64">
        <v>0.4</v>
      </c>
      <c r="K47" s="64">
        <v>32.17</v>
      </c>
      <c r="L47" s="64">
        <v>32.18</v>
      </c>
      <c r="M47" s="64">
        <v>49.41</v>
      </c>
      <c r="N47" s="64">
        <v>726.8</v>
      </c>
      <c r="O47" s="64">
        <v>0</v>
      </c>
      <c r="P47" s="64">
        <v>0.28000000000000003</v>
      </c>
      <c r="Q47" s="64">
        <v>9.42</v>
      </c>
      <c r="R47" s="198"/>
      <c r="S47" s="198"/>
      <c r="T47" s="198"/>
      <c r="U47" s="198"/>
    </row>
    <row r="48" spans="1:21" s="12" customFormat="1" x14ac:dyDescent="0.25">
      <c r="A48" s="214" t="s">
        <v>1152</v>
      </c>
      <c r="B48" s="64">
        <v>2.63</v>
      </c>
      <c r="C48" s="64">
        <v>1.89</v>
      </c>
      <c r="D48" s="64">
        <v>4.24</v>
      </c>
      <c r="E48" s="64">
        <v>0.91</v>
      </c>
      <c r="F48" s="64">
        <v>6.18</v>
      </c>
      <c r="G48" s="64">
        <v>19.940000000000001</v>
      </c>
      <c r="H48" s="64">
        <v>7.56</v>
      </c>
      <c r="I48" s="64">
        <v>2.76</v>
      </c>
      <c r="J48" s="64">
        <v>0.32</v>
      </c>
      <c r="K48" s="64">
        <v>1.1000000000000001</v>
      </c>
      <c r="L48" s="64">
        <v>31.75</v>
      </c>
      <c r="M48" s="64">
        <v>49.24</v>
      </c>
      <c r="N48" s="64">
        <v>762.3</v>
      </c>
      <c r="O48" s="64">
        <v>0</v>
      </c>
      <c r="P48" s="64">
        <v>0.28999999999999998</v>
      </c>
      <c r="Q48" s="64">
        <v>9.42</v>
      </c>
      <c r="R48" s="198"/>
      <c r="S48" s="198"/>
      <c r="T48" s="198"/>
      <c r="U48" s="198"/>
    </row>
    <row r="49" spans="1:21" s="12" customFormat="1" x14ac:dyDescent="0.25">
      <c r="A49" s="214" t="s">
        <v>1153</v>
      </c>
      <c r="B49" s="64">
        <v>2.4300000000000002</v>
      </c>
      <c r="C49" s="64">
        <v>1.02</v>
      </c>
      <c r="D49" s="64">
        <v>3.63</v>
      </c>
      <c r="E49" s="64">
        <v>0.86</v>
      </c>
      <c r="F49" s="64">
        <v>6.56</v>
      </c>
      <c r="G49" s="64">
        <v>19.940000000000001</v>
      </c>
      <c r="H49" s="64">
        <v>7.56</v>
      </c>
      <c r="I49" s="64">
        <v>2.64</v>
      </c>
      <c r="J49" s="64">
        <v>0.31</v>
      </c>
      <c r="K49" s="64">
        <v>357.85</v>
      </c>
      <c r="L49" s="64">
        <v>32.57</v>
      </c>
      <c r="M49" s="64">
        <v>47.49</v>
      </c>
      <c r="N49" s="64">
        <v>788.8</v>
      </c>
      <c r="O49" s="64">
        <v>0</v>
      </c>
      <c r="P49" s="64">
        <v>0.31</v>
      </c>
      <c r="Q49" s="64">
        <v>9.41</v>
      </c>
      <c r="R49" s="198"/>
      <c r="S49" s="198"/>
      <c r="T49" s="198"/>
      <c r="U49" s="198"/>
    </row>
    <row r="50" spans="1:21" s="12" customFormat="1" x14ac:dyDescent="0.25">
      <c r="A50" s="214" t="s">
        <v>1154</v>
      </c>
      <c r="B50" s="64">
        <v>2.56</v>
      </c>
      <c r="C50" s="64">
        <v>1.52</v>
      </c>
      <c r="D50" s="64">
        <v>3.99</v>
      </c>
      <c r="E50" s="64">
        <v>1.25</v>
      </c>
      <c r="F50" s="64">
        <v>6.45</v>
      </c>
      <c r="G50" s="64">
        <v>20.82</v>
      </c>
      <c r="H50" s="64">
        <v>8.1199999999999992</v>
      </c>
      <c r="I50" s="64">
        <v>2.56</v>
      </c>
      <c r="J50" s="64">
        <v>0.39</v>
      </c>
      <c r="K50" s="64">
        <v>319.89999999999998</v>
      </c>
      <c r="L50" s="64">
        <v>32.520000000000003</v>
      </c>
      <c r="M50" s="64">
        <v>47.69</v>
      </c>
      <c r="N50" s="64">
        <v>821.7</v>
      </c>
      <c r="O50" s="64">
        <v>0</v>
      </c>
      <c r="P50" s="64">
        <v>0.34</v>
      </c>
      <c r="Q50" s="64">
        <v>9.3699999999999992</v>
      </c>
      <c r="R50" s="198"/>
      <c r="S50" s="198"/>
      <c r="T50" s="198"/>
      <c r="U50" s="198"/>
    </row>
    <row r="51" spans="1:21" s="12" customFormat="1" x14ac:dyDescent="0.25">
      <c r="A51" s="214" t="s">
        <v>1155</v>
      </c>
      <c r="B51" s="64">
        <v>2.46</v>
      </c>
      <c r="C51" s="64">
        <v>1.07</v>
      </c>
      <c r="D51" s="64">
        <v>3.68</v>
      </c>
      <c r="E51" s="64">
        <v>1.23</v>
      </c>
      <c r="F51" s="64">
        <v>6.21</v>
      </c>
      <c r="G51" s="64">
        <v>21.66</v>
      </c>
      <c r="H51" s="64">
        <v>8.66</v>
      </c>
      <c r="I51" s="64">
        <v>2.54</v>
      </c>
      <c r="J51" s="64">
        <v>0.15</v>
      </c>
      <c r="K51" s="64">
        <v>328.3</v>
      </c>
      <c r="L51" s="64">
        <v>33.81</v>
      </c>
      <c r="M51" s="64">
        <v>44.93</v>
      </c>
      <c r="N51" s="64">
        <v>842.5</v>
      </c>
      <c r="O51" s="64">
        <v>0</v>
      </c>
      <c r="P51" s="64">
        <v>0.36</v>
      </c>
      <c r="Q51" s="64">
        <v>9.36</v>
      </c>
      <c r="R51" s="198"/>
      <c r="S51" s="198"/>
      <c r="T51" s="198"/>
      <c r="U51" s="198"/>
    </row>
    <row r="52" spans="1:21" s="12" customFormat="1" x14ac:dyDescent="0.25">
      <c r="A52" s="214" t="s">
        <v>1156</v>
      </c>
      <c r="B52" s="64">
        <v>2.58</v>
      </c>
      <c r="C52" s="64">
        <v>1.53</v>
      </c>
      <c r="D52" s="64">
        <v>4.01</v>
      </c>
      <c r="E52" s="64">
        <v>0.74</v>
      </c>
      <c r="F52" s="64">
        <v>5.56</v>
      </c>
      <c r="G52" s="64">
        <v>21.66</v>
      </c>
      <c r="H52" s="64">
        <v>8.66</v>
      </c>
      <c r="I52" s="64">
        <v>2.6</v>
      </c>
      <c r="J52" s="64">
        <v>0.57999999999999996</v>
      </c>
      <c r="K52" s="64">
        <v>1.77</v>
      </c>
      <c r="L52" s="64">
        <v>34.409999999999997</v>
      </c>
      <c r="M52" s="64">
        <v>44.57</v>
      </c>
      <c r="N52" s="64">
        <v>855.5</v>
      </c>
      <c r="O52" s="64">
        <v>0</v>
      </c>
      <c r="P52" s="64">
        <v>0.36</v>
      </c>
      <c r="Q52" s="64">
        <v>9.36</v>
      </c>
      <c r="R52" s="198"/>
      <c r="S52" s="198"/>
      <c r="T52" s="198"/>
      <c r="U52" s="198"/>
    </row>
    <row r="53" spans="1:21" s="12" customFormat="1" x14ac:dyDescent="0.25">
      <c r="A53" s="214" t="s">
        <v>1157</v>
      </c>
      <c r="B53" s="64">
        <v>2.44</v>
      </c>
      <c r="C53" s="64">
        <v>0.91</v>
      </c>
      <c r="D53" s="64">
        <v>3.58</v>
      </c>
      <c r="E53" s="64">
        <v>0.94</v>
      </c>
      <c r="F53" s="64">
        <v>5.74</v>
      </c>
      <c r="G53" s="64">
        <v>21.66</v>
      </c>
      <c r="H53" s="64">
        <v>8.66</v>
      </c>
      <c r="I53" s="64">
        <v>2.98</v>
      </c>
      <c r="J53" s="64">
        <v>0.77</v>
      </c>
      <c r="K53" s="64">
        <v>346.26</v>
      </c>
      <c r="L53" s="64">
        <v>35.25</v>
      </c>
      <c r="M53" s="64">
        <v>41.88</v>
      </c>
      <c r="N53" s="64">
        <v>875</v>
      </c>
      <c r="O53" s="64">
        <v>0</v>
      </c>
      <c r="P53" s="64">
        <v>0.37</v>
      </c>
      <c r="Q53" s="64">
        <v>9.35</v>
      </c>
      <c r="R53" s="198"/>
      <c r="S53" s="198"/>
      <c r="T53" s="198"/>
      <c r="U53" s="198"/>
    </row>
    <row r="54" spans="1:21" s="12" customFormat="1" x14ac:dyDescent="0.25">
      <c r="A54" s="214" t="s">
        <v>1158</v>
      </c>
      <c r="B54" s="64">
        <v>2.65</v>
      </c>
      <c r="C54" s="64">
        <v>1.81</v>
      </c>
      <c r="D54" s="64">
        <v>4.21</v>
      </c>
      <c r="E54" s="64">
        <v>0.89</v>
      </c>
      <c r="F54" s="64">
        <v>5.49</v>
      </c>
      <c r="G54" s="64">
        <v>21.88</v>
      </c>
      <c r="H54" s="64">
        <v>9.3800000000000008</v>
      </c>
      <c r="I54" s="64">
        <v>3.2</v>
      </c>
      <c r="J54" s="64">
        <v>0.66</v>
      </c>
      <c r="K54" s="64">
        <v>337.92</v>
      </c>
      <c r="L54" s="64">
        <v>36.19</v>
      </c>
      <c r="M54" s="64">
        <v>38.51</v>
      </c>
      <c r="N54" s="64">
        <v>884.8</v>
      </c>
      <c r="O54" s="64">
        <v>0</v>
      </c>
      <c r="P54" s="64">
        <v>0.38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14" t="s">
        <v>1159</v>
      </c>
      <c r="B55" s="64">
        <v>2.46</v>
      </c>
      <c r="C55" s="64">
        <v>1.0900000000000001</v>
      </c>
      <c r="D55" s="64">
        <v>3.69</v>
      </c>
      <c r="E55" s="64">
        <v>0.63</v>
      </c>
      <c r="F55" s="64">
        <v>5.28</v>
      </c>
      <c r="G55" s="64">
        <v>22.09</v>
      </c>
      <c r="H55" s="64">
        <v>10.050000000000001</v>
      </c>
      <c r="I55" s="64">
        <v>3.26</v>
      </c>
      <c r="J55" s="64">
        <v>0.9</v>
      </c>
      <c r="K55" s="64">
        <v>333.41</v>
      </c>
      <c r="L55" s="64">
        <v>36.18</v>
      </c>
      <c r="M55" s="64">
        <v>38.49</v>
      </c>
      <c r="N55" s="64">
        <v>892.2</v>
      </c>
      <c r="O55" s="64">
        <v>0</v>
      </c>
      <c r="P55" s="64">
        <v>0.38</v>
      </c>
      <c r="Q55" s="64">
        <v>9.39</v>
      </c>
      <c r="R55" s="198"/>
      <c r="S55" s="198"/>
      <c r="T55" s="198"/>
      <c r="U55" s="198"/>
    </row>
    <row r="56" spans="1:21" s="12" customFormat="1" x14ac:dyDescent="0.25">
      <c r="A56" s="214" t="s">
        <v>1160</v>
      </c>
      <c r="B56" s="64">
        <v>2.37</v>
      </c>
      <c r="C56" s="64">
        <v>0.61</v>
      </c>
      <c r="D56" s="64">
        <v>3.37</v>
      </c>
      <c r="E56" s="64">
        <v>0.66</v>
      </c>
      <c r="F56" s="64">
        <v>5.51</v>
      </c>
      <c r="G56" s="64">
        <v>22.09</v>
      </c>
      <c r="H56" s="64">
        <v>10.050000000000001</v>
      </c>
      <c r="I56" s="64">
        <v>3.5</v>
      </c>
      <c r="J56" s="64">
        <v>0.27</v>
      </c>
      <c r="K56" s="64">
        <v>84.07</v>
      </c>
      <c r="L56" s="64">
        <v>35.68</v>
      </c>
      <c r="M56" s="64">
        <v>38.479999999999997</v>
      </c>
      <c r="N56" s="64">
        <v>891.5</v>
      </c>
      <c r="O56" s="64">
        <v>0</v>
      </c>
      <c r="P56" s="64">
        <v>0.38</v>
      </c>
      <c r="Q56" s="64">
        <v>9.39</v>
      </c>
      <c r="R56" s="198"/>
      <c r="S56" s="198"/>
      <c r="T56" s="198"/>
      <c r="U56" s="198"/>
    </row>
    <row r="57" spans="1:21" s="12" customFormat="1" x14ac:dyDescent="0.25">
      <c r="A57" s="214" t="s">
        <v>1161</v>
      </c>
      <c r="B57" s="64">
        <v>2.63</v>
      </c>
      <c r="C57" s="64">
        <v>1.86</v>
      </c>
      <c r="D57" s="64">
        <v>4.22</v>
      </c>
      <c r="E57" s="64">
        <v>0.35</v>
      </c>
      <c r="F57" s="64">
        <v>6.5</v>
      </c>
      <c r="G57" s="64">
        <v>22.09</v>
      </c>
      <c r="H57" s="64">
        <v>10.050000000000001</v>
      </c>
      <c r="I57" s="64">
        <v>3.67</v>
      </c>
      <c r="J57" s="64">
        <v>0.74</v>
      </c>
      <c r="K57" s="64">
        <v>153.62</v>
      </c>
      <c r="L57" s="64">
        <v>34.43</v>
      </c>
      <c r="M57" s="64">
        <v>40.770000000000003</v>
      </c>
      <c r="N57" s="64">
        <v>886.5</v>
      </c>
      <c r="O57" s="64">
        <v>0</v>
      </c>
      <c r="P57" s="64">
        <v>0.38</v>
      </c>
      <c r="Q57" s="64">
        <v>9.42</v>
      </c>
      <c r="R57" s="198"/>
      <c r="S57" s="198"/>
      <c r="T57" s="198"/>
      <c r="U57" s="198"/>
    </row>
    <row r="58" spans="1:21" s="12" customFormat="1" x14ac:dyDescent="0.25">
      <c r="A58" s="214" t="s">
        <v>1162</v>
      </c>
      <c r="B58" s="64">
        <v>2.4700000000000002</v>
      </c>
      <c r="C58" s="64">
        <v>1.39</v>
      </c>
      <c r="D58" s="64">
        <v>3.85</v>
      </c>
      <c r="E58" s="64">
        <v>0.66</v>
      </c>
      <c r="F58" s="64">
        <v>6.02</v>
      </c>
      <c r="G58" s="64">
        <v>23.19</v>
      </c>
      <c r="H58" s="64">
        <v>9.8800000000000008</v>
      </c>
      <c r="I58" s="64">
        <v>3.89</v>
      </c>
      <c r="J58" s="64">
        <v>0.71</v>
      </c>
      <c r="K58" s="64">
        <v>136.07</v>
      </c>
      <c r="L58" s="64">
        <v>34.94</v>
      </c>
      <c r="M58" s="64">
        <v>41.21</v>
      </c>
      <c r="N58" s="64">
        <v>885.2</v>
      </c>
      <c r="O58" s="64">
        <v>0</v>
      </c>
      <c r="P58" s="64">
        <v>0.38</v>
      </c>
      <c r="Q58" s="64">
        <v>9.39</v>
      </c>
      <c r="R58" s="198"/>
      <c r="S58" s="198"/>
      <c r="T58" s="198"/>
      <c r="U58" s="198"/>
    </row>
    <row r="59" spans="1:21" s="12" customFormat="1" x14ac:dyDescent="0.25">
      <c r="A59" s="214" t="s">
        <v>1163</v>
      </c>
      <c r="B59" s="64">
        <v>2.7</v>
      </c>
      <c r="C59" s="64">
        <v>2.4700000000000002</v>
      </c>
      <c r="D59" s="64">
        <v>4.5999999999999996</v>
      </c>
      <c r="E59" s="64">
        <v>0.98</v>
      </c>
      <c r="F59" s="64">
        <v>5.69</v>
      </c>
      <c r="G59" s="64">
        <v>24.24</v>
      </c>
      <c r="H59" s="64">
        <v>9.7200000000000006</v>
      </c>
      <c r="I59" s="64">
        <v>4.1900000000000004</v>
      </c>
      <c r="J59" s="64">
        <v>0.84</v>
      </c>
      <c r="K59" s="64">
        <v>160.78</v>
      </c>
      <c r="L59" s="64">
        <v>34.799999999999997</v>
      </c>
      <c r="M59" s="64">
        <v>40.49</v>
      </c>
      <c r="N59" s="64">
        <v>869.5</v>
      </c>
      <c r="O59" s="64">
        <v>0</v>
      </c>
      <c r="P59" s="64">
        <v>0.36</v>
      </c>
      <c r="Q59" s="64">
        <v>9.33</v>
      </c>
      <c r="R59" s="198"/>
      <c r="S59" s="198"/>
      <c r="T59" s="198"/>
      <c r="U59" s="198"/>
    </row>
    <row r="60" spans="1:21" s="12" customFormat="1" x14ac:dyDescent="0.25">
      <c r="A60" s="214" t="s">
        <v>1164</v>
      </c>
      <c r="B60" s="64">
        <v>2.48</v>
      </c>
      <c r="C60" s="64">
        <v>1.61</v>
      </c>
      <c r="D60" s="64">
        <v>3.98</v>
      </c>
      <c r="E60" s="64">
        <v>0.69</v>
      </c>
      <c r="F60" s="64">
        <v>6.87</v>
      </c>
      <c r="G60" s="64">
        <v>24.24</v>
      </c>
      <c r="H60" s="64">
        <v>9.7200000000000006</v>
      </c>
      <c r="I60" s="64">
        <v>4.45</v>
      </c>
      <c r="J60" s="64">
        <v>0.6</v>
      </c>
      <c r="K60" s="64">
        <v>179.08</v>
      </c>
      <c r="L60" s="64">
        <v>34.659999999999997</v>
      </c>
      <c r="M60" s="64">
        <v>39.549999999999997</v>
      </c>
      <c r="N60" s="64">
        <v>860.3</v>
      </c>
      <c r="O60" s="64">
        <v>0</v>
      </c>
      <c r="P60" s="64">
        <v>0.35</v>
      </c>
      <c r="Q60" s="64">
        <v>9.3699999999999992</v>
      </c>
      <c r="R60" s="198"/>
      <c r="S60" s="198"/>
      <c r="T60" s="198"/>
      <c r="U60" s="198"/>
    </row>
    <row r="61" spans="1:21" s="12" customFormat="1" x14ac:dyDescent="0.25">
      <c r="A61" s="214" t="s">
        <v>1165</v>
      </c>
      <c r="B61" s="64">
        <v>2.2599999999999998</v>
      </c>
      <c r="C61" s="64">
        <v>0.53</v>
      </c>
      <c r="D61" s="64">
        <v>3.24</v>
      </c>
      <c r="E61" s="64">
        <v>0.63</v>
      </c>
      <c r="F61" s="64">
        <v>7.46</v>
      </c>
      <c r="G61" s="64">
        <v>24.24</v>
      </c>
      <c r="H61" s="64">
        <v>9.7200000000000006</v>
      </c>
      <c r="I61" s="64">
        <v>4.6500000000000004</v>
      </c>
      <c r="J61" s="64">
        <v>0.41</v>
      </c>
      <c r="K61" s="64">
        <v>330.42</v>
      </c>
      <c r="L61" s="64">
        <v>35.47</v>
      </c>
      <c r="M61" s="64">
        <v>38.25</v>
      </c>
      <c r="N61" s="64">
        <v>836.5</v>
      </c>
      <c r="O61" s="64">
        <v>0</v>
      </c>
      <c r="P61" s="64">
        <v>0.31</v>
      </c>
      <c r="Q61" s="64">
        <v>9.39</v>
      </c>
      <c r="R61" s="198"/>
      <c r="S61" s="198"/>
      <c r="T61" s="198"/>
      <c r="U61" s="198"/>
    </row>
    <row r="62" spans="1:21" s="12" customFormat="1" x14ac:dyDescent="0.25">
      <c r="A62" s="214" t="s">
        <v>1166</v>
      </c>
      <c r="B62" s="64">
        <v>2.6</v>
      </c>
      <c r="C62" s="64">
        <v>1.67</v>
      </c>
      <c r="D62" s="64">
        <v>4.0999999999999996</v>
      </c>
      <c r="E62" s="64">
        <v>0.37</v>
      </c>
      <c r="F62" s="64">
        <v>7.07</v>
      </c>
      <c r="G62" s="64">
        <v>23.95</v>
      </c>
      <c r="H62" s="64">
        <v>10.4</v>
      </c>
      <c r="I62" s="64">
        <v>4.59</v>
      </c>
      <c r="J62" s="64">
        <v>0.55000000000000004</v>
      </c>
      <c r="K62" s="64">
        <v>160.34</v>
      </c>
      <c r="L62" s="64">
        <v>35.65</v>
      </c>
      <c r="M62" s="64">
        <v>38.19</v>
      </c>
      <c r="N62" s="64">
        <v>807.4</v>
      </c>
      <c r="O62" s="64">
        <v>0</v>
      </c>
      <c r="P62" s="64">
        <v>0.34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14" t="s">
        <v>1167</v>
      </c>
      <c r="B63" s="64">
        <v>2.54</v>
      </c>
      <c r="C63" s="64">
        <v>1.44</v>
      </c>
      <c r="D63" s="64">
        <v>3.93</v>
      </c>
      <c r="E63" s="64">
        <v>0.4</v>
      </c>
      <c r="F63" s="64">
        <v>6.85</v>
      </c>
      <c r="G63" s="64">
        <v>23.69</v>
      </c>
      <c r="H63" s="64">
        <v>11.02</v>
      </c>
      <c r="I63" s="64">
        <v>4.5</v>
      </c>
      <c r="J63" s="64">
        <v>1.58</v>
      </c>
      <c r="K63" s="64">
        <v>121.62</v>
      </c>
      <c r="L63" s="64">
        <v>34.65</v>
      </c>
      <c r="M63" s="64">
        <v>39.54</v>
      </c>
      <c r="N63" s="64">
        <v>789.1</v>
      </c>
      <c r="O63" s="64">
        <v>0</v>
      </c>
      <c r="P63" s="64">
        <v>0.32</v>
      </c>
      <c r="Q63" s="64">
        <v>9.4</v>
      </c>
      <c r="R63" s="198"/>
      <c r="S63" s="198"/>
      <c r="T63" s="198"/>
      <c r="U63" s="198"/>
    </row>
    <row r="64" spans="1:21" s="12" customFormat="1" x14ac:dyDescent="0.25">
      <c r="A64" s="214" t="s">
        <v>1168</v>
      </c>
      <c r="B64" s="64">
        <v>2.62</v>
      </c>
      <c r="C64" s="64">
        <v>1.92</v>
      </c>
      <c r="D64" s="64">
        <v>4.25</v>
      </c>
      <c r="E64" s="64">
        <v>0.4</v>
      </c>
      <c r="F64" s="64">
        <v>6.68</v>
      </c>
      <c r="G64" s="64">
        <v>23.69</v>
      </c>
      <c r="H64" s="64">
        <v>11.02</v>
      </c>
      <c r="I64" s="64">
        <v>4.78</v>
      </c>
      <c r="J64" s="64">
        <v>1.28</v>
      </c>
      <c r="K64" s="64">
        <v>113.98</v>
      </c>
      <c r="L64" s="64">
        <v>34.78</v>
      </c>
      <c r="M64" s="64">
        <v>38.4</v>
      </c>
      <c r="N64" s="64">
        <v>734.4</v>
      </c>
      <c r="O64" s="64">
        <v>0</v>
      </c>
      <c r="P64" s="64">
        <v>0.32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4" t="s">
        <v>1169</v>
      </c>
      <c r="B65" s="64">
        <v>2.4300000000000002</v>
      </c>
      <c r="C65" s="64">
        <v>1.17</v>
      </c>
      <c r="D65" s="64">
        <v>3.71</v>
      </c>
      <c r="E65" s="64">
        <v>0.75</v>
      </c>
      <c r="F65" s="64">
        <v>6.4</v>
      </c>
      <c r="G65" s="64">
        <v>23.69</v>
      </c>
      <c r="H65" s="64">
        <v>11.02</v>
      </c>
      <c r="I65" s="64">
        <v>5.25</v>
      </c>
      <c r="J65" s="64">
        <v>0.87</v>
      </c>
      <c r="K65" s="64">
        <v>143.55000000000001</v>
      </c>
      <c r="L65" s="64">
        <v>35.42</v>
      </c>
      <c r="M65" s="64">
        <v>36.479999999999997</v>
      </c>
      <c r="N65" s="64">
        <v>704.4</v>
      </c>
      <c r="O65" s="64">
        <v>0</v>
      </c>
      <c r="P65" s="64">
        <v>0.3</v>
      </c>
      <c r="Q65" s="64">
        <v>9.3800000000000008</v>
      </c>
      <c r="R65" s="198"/>
      <c r="S65" s="198"/>
      <c r="T65" s="198"/>
      <c r="U65" s="198"/>
    </row>
    <row r="66" spans="1:21" s="12" customFormat="1" x14ac:dyDescent="0.25">
      <c r="A66" s="214" t="s">
        <v>1170</v>
      </c>
      <c r="B66" s="64">
        <v>2.36</v>
      </c>
      <c r="C66" s="64">
        <v>0.85</v>
      </c>
      <c r="D66" s="64">
        <v>3.48</v>
      </c>
      <c r="E66" s="64">
        <v>0.3</v>
      </c>
      <c r="F66" s="64">
        <v>6.4</v>
      </c>
      <c r="G66" s="64">
        <v>21.53</v>
      </c>
      <c r="H66" s="64">
        <v>10.47</v>
      </c>
      <c r="I66" s="64">
        <v>5.71</v>
      </c>
      <c r="J66" s="64">
        <v>0.16</v>
      </c>
      <c r="K66" s="64">
        <v>307.18</v>
      </c>
      <c r="L66" s="64">
        <v>35.83</v>
      </c>
      <c r="M66" s="64">
        <v>34.42</v>
      </c>
      <c r="N66" s="64">
        <v>659.8</v>
      </c>
      <c r="O66" s="64">
        <v>0</v>
      </c>
      <c r="P66" s="64">
        <v>0.28999999999999998</v>
      </c>
      <c r="Q66" s="64">
        <v>9.3699999999999992</v>
      </c>
      <c r="R66" s="198"/>
      <c r="S66" s="198"/>
      <c r="T66" s="198"/>
      <c r="U66" s="198"/>
    </row>
    <row r="67" spans="1:21" s="12" customFormat="1" x14ac:dyDescent="0.25">
      <c r="A67" s="214" t="s">
        <v>1171</v>
      </c>
      <c r="B67" s="64">
        <v>2.4300000000000002</v>
      </c>
      <c r="C67" s="64">
        <v>0.94</v>
      </c>
      <c r="D67" s="64">
        <v>3.58</v>
      </c>
      <c r="E67" s="64">
        <v>0.5</v>
      </c>
      <c r="F67" s="64">
        <v>6.28</v>
      </c>
      <c r="G67" s="64">
        <v>19.559999999999999</v>
      </c>
      <c r="H67" s="64">
        <v>9.9700000000000006</v>
      </c>
      <c r="I67" s="64">
        <v>5.99</v>
      </c>
      <c r="J67" s="64">
        <v>0.77</v>
      </c>
      <c r="K67" s="64">
        <v>321.52</v>
      </c>
      <c r="L67" s="64">
        <v>36.57</v>
      </c>
      <c r="M67" s="64">
        <v>33.4</v>
      </c>
      <c r="N67" s="64">
        <v>481.4</v>
      </c>
      <c r="O67" s="64">
        <v>0</v>
      </c>
      <c r="P67" s="64">
        <v>0.28999999999999998</v>
      </c>
      <c r="Q67" s="64">
        <v>9.35</v>
      </c>
      <c r="R67" s="198"/>
      <c r="S67" s="198"/>
      <c r="T67" s="198"/>
      <c r="U67" s="198"/>
    </row>
    <row r="68" spans="1:21" s="12" customFormat="1" x14ac:dyDescent="0.25">
      <c r="A68" s="214" t="s">
        <v>1172</v>
      </c>
      <c r="B68" s="64">
        <v>2.5099999999999998</v>
      </c>
      <c r="C68" s="64">
        <v>1.43</v>
      </c>
      <c r="D68" s="64">
        <v>3.9</v>
      </c>
      <c r="E68" s="64">
        <v>0.44</v>
      </c>
      <c r="F68" s="64">
        <v>6.31</v>
      </c>
      <c r="G68" s="64">
        <v>19.559999999999999</v>
      </c>
      <c r="H68" s="64">
        <v>9.9700000000000006</v>
      </c>
      <c r="I68" s="64">
        <v>6</v>
      </c>
      <c r="J68" s="64">
        <v>0.6</v>
      </c>
      <c r="K68" s="64">
        <v>341.42</v>
      </c>
      <c r="L68" s="64">
        <v>37.06</v>
      </c>
      <c r="M68" s="64">
        <v>31.81</v>
      </c>
      <c r="N68" s="64">
        <v>248.9</v>
      </c>
      <c r="O68" s="64">
        <v>0</v>
      </c>
      <c r="P68" s="64">
        <v>0.3</v>
      </c>
      <c r="Q68" s="64">
        <v>9.36</v>
      </c>
      <c r="R68" s="198"/>
      <c r="S68" s="198"/>
      <c r="T68" s="198"/>
      <c r="U68" s="198"/>
    </row>
    <row r="69" spans="1:21" s="12" customFormat="1" x14ac:dyDescent="0.25">
      <c r="A69" s="214" t="s">
        <v>1173</v>
      </c>
      <c r="B69" s="64">
        <v>1.9</v>
      </c>
      <c r="C69" s="64">
        <v>-0.41</v>
      </c>
      <c r="D69" s="64">
        <v>2.0299999999999998</v>
      </c>
      <c r="E69" s="64">
        <v>0.39</v>
      </c>
      <c r="F69" s="64">
        <v>6.15</v>
      </c>
      <c r="G69" s="64">
        <v>19.559999999999999</v>
      </c>
      <c r="H69" s="64">
        <v>9.9700000000000006</v>
      </c>
      <c r="I69" s="64">
        <v>5.86</v>
      </c>
      <c r="J69" s="64">
        <v>0.08</v>
      </c>
      <c r="K69" s="64">
        <v>55.97</v>
      </c>
      <c r="L69" s="64">
        <v>35.99</v>
      </c>
      <c r="M69" s="64">
        <v>33.229999999999997</v>
      </c>
      <c r="N69" s="64">
        <v>299.8</v>
      </c>
      <c r="O69" s="64">
        <v>0</v>
      </c>
      <c r="P69" s="64">
        <v>0.3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4" t="s">
        <v>1174</v>
      </c>
      <c r="B70" s="64">
        <v>6.1</v>
      </c>
      <c r="C70" s="64">
        <v>1.74</v>
      </c>
      <c r="D70" s="64">
        <v>8.4499999999999993</v>
      </c>
      <c r="E70" s="64">
        <v>0.32</v>
      </c>
      <c r="F70" s="64">
        <v>5.83</v>
      </c>
      <c r="G70" s="64">
        <v>23.96</v>
      </c>
      <c r="H70" s="64">
        <v>10.84</v>
      </c>
      <c r="I70" s="64">
        <v>5.82</v>
      </c>
      <c r="J70" s="64">
        <v>0.02</v>
      </c>
      <c r="K70" s="64">
        <v>204.75</v>
      </c>
      <c r="L70" s="64">
        <v>35.79</v>
      </c>
      <c r="M70" s="64">
        <v>33.75</v>
      </c>
      <c r="N70" s="64">
        <v>298.5</v>
      </c>
      <c r="O70" s="64">
        <v>0</v>
      </c>
      <c r="P70" s="64">
        <v>0.3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4" t="s">
        <v>1175</v>
      </c>
      <c r="B71" s="64">
        <v>8.26</v>
      </c>
      <c r="C71" s="64">
        <v>3.41</v>
      </c>
      <c r="D71" s="64">
        <v>12.18</v>
      </c>
      <c r="E71" s="64">
        <v>0.31</v>
      </c>
      <c r="F71" s="64">
        <v>6.13</v>
      </c>
      <c r="G71" s="64">
        <v>28.16</v>
      </c>
      <c r="H71" s="64">
        <v>11.64</v>
      </c>
      <c r="I71" s="64">
        <v>5.87</v>
      </c>
      <c r="J71" s="64">
        <v>0.47</v>
      </c>
      <c r="K71" s="64">
        <v>320.86</v>
      </c>
      <c r="L71" s="64">
        <v>35.729999999999997</v>
      </c>
      <c r="M71" s="64">
        <v>34.96</v>
      </c>
      <c r="N71" s="64">
        <v>229</v>
      </c>
      <c r="O71" s="64">
        <v>0</v>
      </c>
      <c r="P71" s="64">
        <v>0.31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4" t="s">
        <v>1176</v>
      </c>
      <c r="B72" s="64">
        <v>8.56</v>
      </c>
      <c r="C72" s="64">
        <v>4.5</v>
      </c>
      <c r="D72" s="64">
        <v>12.98</v>
      </c>
      <c r="E72" s="64">
        <v>0.94</v>
      </c>
      <c r="F72" s="64">
        <v>6.32</v>
      </c>
      <c r="G72" s="64">
        <v>28.16</v>
      </c>
      <c r="H72" s="64">
        <v>11.64</v>
      </c>
      <c r="I72" s="64">
        <v>6</v>
      </c>
      <c r="J72" s="64">
        <v>0.49</v>
      </c>
      <c r="K72" s="64">
        <v>333.1</v>
      </c>
      <c r="L72" s="64">
        <v>35.93</v>
      </c>
      <c r="M72" s="64">
        <v>33.200000000000003</v>
      </c>
      <c r="N72" s="64">
        <v>146.1</v>
      </c>
      <c r="O72" s="64">
        <v>0</v>
      </c>
      <c r="P72" s="64">
        <v>0.32</v>
      </c>
      <c r="Q72" s="64">
        <v>9.34</v>
      </c>
      <c r="R72" s="198"/>
      <c r="S72" s="198"/>
      <c r="T72" s="198"/>
      <c r="U72" s="198"/>
    </row>
    <row r="73" spans="1:21" s="12" customFormat="1" x14ac:dyDescent="0.25">
      <c r="A73" s="214" t="s">
        <v>1177</v>
      </c>
      <c r="B73" s="64">
        <v>8.33</v>
      </c>
      <c r="C73" s="64">
        <v>3.65</v>
      </c>
      <c r="D73" s="64">
        <v>12.36</v>
      </c>
      <c r="E73" s="64">
        <v>1.58</v>
      </c>
      <c r="F73" s="64">
        <v>6.16</v>
      </c>
      <c r="G73" s="64">
        <v>28.16</v>
      </c>
      <c r="H73" s="64">
        <v>11.64</v>
      </c>
      <c r="I73" s="64">
        <v>6.12</v>
      </c>
      <c r="J73" s="64">
        <v>1.1499999999999999</v>
      </c>
      <c r="K73" s="64">
        <v>333.69</v>
      </c>
      <c r="L73" s="64">
        <v>35.78</v>
      </c>
      <c r="M73" s="64">
        <v>32.89</v>
      </c>
      <c r="N73" s="64">
        <v>133.80000000000001</v>
      </c>
      <c r="O73" s="64">
        <v>0</v>
      </c>
      <c r="P73" s="64">
        <v>0.32</v>
      </c>
      <c r="Q73" s="64">
        <v>9.3699999999999992</v>
      </c>
      <c r="R73" s="198"/>
      <c r="S73" s="198"/>
      <c r="T73" s="198"/>
      <c r="U73" s="198"/>
    </row>
    <row r="74" spans="1:21" s="12" customFormat="1" x14ac:dyDescent="0.25">
      <c r="A74" s="214" t="s">
        <v>1178</v>
      </c>
      <c r="B74" s="64">
        <v>8.33</v>
      </c>
      <c r="C74" s="64">
        <v>3.73</v>
      </c>
      <c r="D74" s="64">
        <v>12.41</v>
      </c>
      <c r="E74" s="64">
        <v>1.7</v>
      </c>
      <c r="F74" s="64">
        <v>7.25</v>
      </c>
      <c r="G74" s="64">
        <v>26.23</v>
      </c>
      <c r="H74" s="64">
        <v>11.43</v>
      </c>
      <c r="I74" s="64">
        <v>6.17</v>
      </c>
      <c r="J74" s="64">
        <v>0.53</v>
      </c>
      <c r="K74" s="64">
        <v>318.5</v>
      </c>
      <c r="L74" s="64">
        <v>35.770000000000003</v>
      </c>
      <c r="M74" s="64">
        <v>32.409999999999997</v>
      </c>
      <c r="N74" s="64">
        <v>122.1</v>
      </c>
      <c r="O74" s="64">
        <v>0</v>
      </c>
      <c r="P74" s="64">
        <v>0.33</v>
      </c>
      <c r="Q74" s="64">
        <v>9.36</v>
      </c>
      <c r="R74" s="198"/>
      <c r="S74" s="198"/>
      <c r="T74" s="198"/>
      <c r="U74" s="198"/>
    </row>
    <row r="75" spans="1:21" s="12" customFormat="1" x14ac:dyDescent="0.25">
      <c r="A75" s="214" t="s">
        <v>1179</v>
      </c>
      <c r="B75" s="64">
        <v>8.51</v>
      </c>
      <c r="C75" s="64">
        <v>4.46</v>
      </c>
      <c r="D75" s="64">
        <v>12.93</v>
      </c>
      <c r="E75" s="64">
        <v>-3.69</v>
      </c>
      <c r="F75" s="64">
        <v>7.3</v>
      </c>
      <c r="G75" s="64">
        <v>24.37</v>
      </c>
      <c r="H75" s="64">
        <v>11.23</v>
      </c>
      <c r="I75" s="64">
        <v>6.18</v>
      </c>
      <c r="J75" s="64">
        <v>0.35</v>
      </c>
      <c r="K75" s="64">
        <v>10.210000000000001</v>
      </c>
      <c r="L75" s="64">
        <v>35.61</v>
      </c>
      <c r="M75" s="64">
        <v>32.799999999999997</v>
      </c>
      <c r="N75" s="64">
        <v>115.4</v>
      </c>
      <c r="O75" s="64">
        <v>0</v>
      </c>
      <c r="P75" s="64">
        <v>0.35</v>
      </c>
      <c r="Q75" s="64">
        <v>9.36</v>
      </c>
      <c r="R75" s="198"/>
      <c r="S75" s="198"/>
      <c r="T75" s="198"/>
      <c r="U75" s="198"/>
    </row>
    <row r="76" spans="1:21" s="12" customFormat="1" x14ac:dyDescent="0.25">
      <c r="A76" s="214" t="s">
        <v>1180</v>
      </c>
      <c r="B76" s="64">
        <v>8.44</v>
      </c>
      <c r="C76" s="64">
        <v>4.32</v>
      </c>
      <c r="D76" s="64">
        <v>12.8</v>
      </c>
      <c r="E76" s="64">
        <v>0.69</v>
      </c>
      <c r="F76" s="64">
        <v>4.2300000000000004</v>
      </c>
      <c r="G76" s="64">
        <v>24.37</v>
      </c>
      <c r="H76" s="64">
        <v>11.23</v>
      </c>
      <c r="I76" s="64">
        <v>6.03</v>
      </c>
      <c r="J76" s="64">
        <v>0.38</v>
      </c>
      <c r="K76" s="64">
        <v>357.05</v>
      </c>
      <c r="L76" s="64">
        <v>35.6</v>
      </c>
      <c r="M76" s="64">
        <v>31.85</v>
      </c>
      <c r="N76" s="64">
        <v>106.1</v>
      </c>
      <c r="O76" s="64">
        <v>0</v>
      </c>
      <c r="P76" s="64">
        <v>0.38</v>
      </c>
      <c r="Q76" s="64">
        <v>9.36</v>
      </c>
      <c r="R76" s="198"/>
      <c r="S76" s="198"/>
      <c r="T76" s="198"/>
      <c r="U76" s="198"/>
    </row>
    <row r="77" spans="1:21" s="12" customFormat="1" x14ac:dyDescent="0.25">
      <c r="A77" s="214" t="s">
        <v>1181</v>
      </c>
      <c r="B77" s="64">
        <v>8.2899999999999991</v>
      </c>
      <c r="C77" s="64">
        <v>3.85</v>
      </c>
      <c r="D77" s="64">
        <v>12.43</v>
      </c>
      <c r="E77" s="64">
        <v>8.2100000000000009</v>
      </c>
      <c r="F77" s="64">
        <v>7.22</v>
      </c>
      <c r="G77" s="64">
        <v>24.37</v>
      </c>
      <c r="H77" s="64">
        <v>11.23</v>
      </c>
      <c r="I77" s="64">
        <v>6.1</v>
      </c>
      <c r="J77" s="64">
        <v>0.2</v>
      </c>
      <c r="K77" s="64">
        <v>198.29</v>
      </c>
      <c r="L77" s="64">
        <v>35.33</v>
      </c>
      <c r="M77" s="64">
        <v>30.95</v>
      </c>
      <c r="N77" s="64">
        <v>94.2</v>
      </c>
      <c r="O77" s="64">
        <v>0</v>
      </c>
      <c r="P77" s="64">
        <v>0.39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4" t="s">
        <v>1182</v>
      </c>
      <c r="B78" s="64">
        <v>8.39</v>
      </c>
      <c r="C78" s="64">
        <v>4.57</v>
      </c>
      <c r="D78" s="64">
        <v>12.89</v>
      </c>
      <c r="E78" s="64">
        <v>8.35</v>
      </c>
      <c r="F78" s="64">
        <v>12.99</v>
      </c>
      <c r="G78" s="64">
        <v>33.83</v>
      </c>
      <c r="H78" s="64">
        <v>15.76</v>
      </c>
      <c r="I78" s="64">
        <v>6.13</v>
      </c>
      <c r="J78" s="64">
        <v>0.21</v>
      </c>
      <c r="K78" s="64">
        <v>18</v>
      </c>
      <c r="L78" s="64">
        <v>35.07</v>
      </c>
      <c r="M78" s="64">
        <v>31.16</v>
      </c>
      <c r="N78" s="64">
        <v>81.900000000000006</v>
      </c>
      <c r="O78" s="64">
        <v>0</v>
      </c>
      <c r="P78" s="64">
        <v>0.35</v>
      </c>
      <c r="Q78" s="64">
        <v>9.3800000000000008</v>
      </c>
      <c r="R78" s="198"/>
      <c r="S78" s="198"/>
      <c r="T78" s="198"/>
      <c r="U78" s="198"/>
    </row>
    <row r="79" spans="1:21" s="12" customFormat="1" x14ac:dyDescent="0.25">
      <c r="A79" s="214" t="s">
        <v>1183</v>
      </c>
      <c r="B79" s="64">
        <v>8.3800000000000008</v>
      </c>
      <c r="C79" s="64">
        <v>4.4000000000000004</v>
      </c>
      <c r="D79" s="64">
        <v>12.79</v>
      </c>
      <c r="E79" s="64">
        <v>7.76</v>
      </c>
      <c r="F79" s="64">
        <v>7.38</v>
      </c>
      <c r="G79" s="64">
        <v>42.47</v>
      </c>
      <c r="H79" s="64">
        <v>19.899999999999999</v>
      </c>
      <c r="I79" s="64">
        <v>5.56</v>
      </c>
      <c r="J79" s="64">
        <v>0.99</v>
      </c>
      <c r="K79" s="64">
        <v>141.91</v>
      </c>
      <c r="L79" s="64">
        <v>34.79</v>
      </c>
      <c r="M79" s="64">
        <v>30.87</v>
      </c>
      <c r="N79" s="64">
        <v>70.400000000000006</v>
      </c>
      <c r="O79" s="64">
        <v>0</v>
      </c>
      <c r="P79" s="64">
        <v>0.35</v>
      </c>
      <c r="Q79" s="64">
        <v>9.3800000000000008</v>
      </c>
      <c r="R79" s="198"/>
      <c r="S79" s="198"/>
      <c r="T79" s="198"/>
      <c r="U79" s="198"/>
    </row>
    <row r="80" spans="1:21" s="12" customFormat="1" x14ac:dyDescent="0.25">
      <c r="A80" s="214" t="s">
        <v>1184</v>
      </c>
      <c r="B80" s="64">
        <v>8.31</v>
      </c>
      <c r="C80" s="64">
        <v>4.01</v>
      </c>
      <c r="D80" s="64">
        <v>12.53</v>
      </c>
      <c r="E80" s="64">
        <v>7.68</v>
      </c>
      <c r="F80" s="64">
        <v>6.29</v>
      </c>
      <c r="G80" s="64">
        <v>42.47</v>
      </c>
      <c r="H80" s="64">
        <v>19.899999999999999</v>
      </c>
      <c r="I80" s="64">
        <v>5.04</v>
      </c>
      <c r="J80" s="64">
        <v>0.83</v>
      </c>
      <c r="K80" s="64">
        <v>156.51</v>
      </c>
      <c r="L80" s="64">
        <v>34.549999999999997</v>
      </c>
      <c r="M80" s="64">
        <v>31.43</v>
      </c>
      <c r="N80" s="64">
        <v>56.1</v>
      </c>
      <c r="O80" s="64">
        <v>0</v>
      </c>
      <c r="P80" s="64">
        <v>0.34</v>
      </c>
      <c r="Q80" s="64">
        <v>9.36</v>
      </c>
      <c r="R80" s="198"/>
      <c r="S80" s="198"/>
      <c r="T80" s="198"/>
      <c r="U80" s="198"/>
    </row>
    <row r="81" spans="1:26" s="12" customFormat="1" x14ac:dyDescent="0.25">
      <c r="A81" s="214" t="s">
        <v>1185</v>
      </c>
      <c r="B81" s="64">
        <v>8.14</v>
      </c>
      <c r="C81" s="64">
        <v>3.27</v>
      </c>
      <c r="D81" s="64">
        <v>12.01</v>
      </c>
      <c r="E81" s="64">
        <v>7.36</v>
      </c>
      <c r="F81" s="64">
        <v>5.73</v>
      </c>
      <c r="G81" s="64">
        <v>42.47</v>
      </c>
      <c r="H81" s="64">
        <v>19.899999999999999</v>
      </c>
      <c r="I81" s="64">
        <v>5.0999999999999996</v>
      </c>
      <c r="J81" s="64">
        <v>0.62</v>
      </c>
      <c r="K81" s="64">
        <v>189.72</v>
      </c>
      <c r="L81" s="64">
        <v>34.270000000000003</v>
      </c>
      <c r="M81" s="64">
        <v>32.51</v>
      </c>
      <c r="N81" s="64">
        <v>39.1</v>
      </c>
      <c r="O81" s="64">
        <v>0</v>
      </c>
      <c r="P81" s="64">
        <v>0.33</v>
      </c>
      <c r="Q81" s="64">
        <v>9.3800000000000008</v>
      </c>
      <c r="R81" s="198"/>
      <c r="S81" s="198"/>
      <c r="T81" s="198"/>
      <c r="U81" s="198"/>
    </row>
    <row r="82" spans="1:26" s="12" customFormat="1" x14ac:dyDescent="0.25">
      <c r="A82" s="214" t="s">
        <v>1186</v>
      </c>
      <c r="B82" s="64">
        <v>8.18</v>
      </c>
      <c r="C82" s="64">
        <v>3.32</v>
      </c>
      <c r="D82" s="64">
        <v>12.06</v>
      </c>
      <c r="E82" s="64">
        <v>7.54</v>
      </c>
      <c r="F82" s="64">
        <v>5.25</v>
      </c>
      <c r="G82" s="64">
        <v>54.93</v>
      </c>
      <c r="H82" s="64">
        <v>20.46</v>
      </c>
      <c r="I82" s="64">
        <v>5.27</v>
      </c>
      <c r="J82" s="64">
        <v>0.6</v>
      </c>
      <c r="K82" s="64">
        <v>164.32</v>
      </c>
      <c r="L82" s="64">
        <v>33.92</v>
      </c>
      <c r="M82" s="64">
        <v>33.630000000000003</v>
      </c>
      <c r="N82" s="64">
        <v>23.8</v>
      </c>
      <c r="O82" s="64">
        <v>0</v>
      </c>
      <c r="P82" s="64">
        <v>0.32</v>
      </c>
      <c r="Q82" s="64">
        <v>9.3699999999999992</v>
      </c>
      <c r="R82" s="198"/>
      <c r="S82" s="198"/>
      <c r="T82" s="198"/>
      <c r="U82" s="198"/>
    </row>
    <row r="83" spans="1:26" s="12" customFormat="1" x14ac:dyDescent="0.25">
      <c r="A83" s="214" t="s">
        <v>1187</v>
      </c>
      <c r="B83" s="64">
        <v>8.4700000000000006</v>
      </c>
      <c r="C83" s="64">
        <v>4.57</v>
      </c>
      <c r="D83" s="64">
        <v>12.95</v>
      </c>
      <c r="E83" s="64">
        <v>7.46</v>
      </c>
      <c r="F83" s="64">
        <v>4.92</v>
      </c>
      <c r="G83" s="64">
        <v>66.33</v>
      </c>
      <c r="H83" s="64">
        <v>21</v>
      </c>
      <c r="I83" s="64">
        <v>5.32</v>
      </c>
      <c r="J83" s="64">
        <v>0.63</v>
      </c>
      <c r="K83" s="64">
        <v>182.17</v>
      </c>
      <c r="L83" s="64">
        <v>33.56</v>
      </c>
      <c r="M83" s="64">
        <v>35.369999999999997</v>
      </c>
      <c r="N83" s="64">
        <v>19.2</v>
      </c>
      <c r="O83" s="64">
        <v>0</v>
      </c>
      <c r="P83" s="64">
        <v>0.33</v>
      </c>
      <c r="Q83" s="64">
        <v>9.3699999999999992</v>
      </c>
      <c r="R83" s="198"/>
      <c r="S83" s="198"/>
      <c r="T83" s="198"/>
      <c r="U83" s="198"/>
    </row>
    <row r="84" spans="1:26" s="12" customFormat="1" x14ac:dyDescent="0.25">
      <c r="A84" s="214" t="s">
        <v>1188</v>
      </c>
      <c r="B84" s="64">
        <v>8.18</v>
      </c>
      <c r="C84" s="64">
        <v>3.43</v>
      </c>
      <c r="D84" s="64">
        <v>12.13</v>
      </c>
      <c r="E84" s="64">
        <v>7.13</v>
      </c>
      <c r="F84" s="64">
        <v>4.17</v>
      </c>
      <c r="G84" s="64">
        <v>66.33</v>
      </c>
      <c r="H84" s="64">
        <v>21</v>
      </c>
      <c r="I84" s="64">
        <v>5.37</v>
      </c>
      <c r="J84" s="64">
        <v>0.48</v>
      </c>
      <c r="K84" s="64">
        <v>250.11</v>
      </c>
      <c r="L84" s="64">
        <v>33.17</v>
      </c>
      <c r="M84" s="64">
        <v>38.58</v>
      </c>
      <c r="N84" s="64">
        <v>18.7</v>
      </c>
      <c r="O84" s="64">
        <v>0</v>
      </c>
      <c r="P84" s="64">
        <v>0.34</v>
      </c>
      <c r="Q84" s="64">
        <v>9.36</v>
      </c>
      <c r="R84" s="198"/>
      <c r="S84" s="198"/>
      <c r="T84" s="198"/>
      <c r="U84" s="198"/>
    </row>
    <row r="85" spans="1:26" s="12" customFormat="1" x14ac:dyDescent="0.25">
      <c r="A85" s="214" t="s">
        <v>1189</v>
      </c>
      <c r="B85" s="64">
        <v>8.19</v>
      </c>
      <c r="C85" s="64">
        <v>3.39</v>
      </c>
      <c r="D85" s="64">
        <v>12.12</v>
      </c>
      <c r="E85" s="64">
        <v>7.33</v>
      </c>
      <c r="F85" s="64">
        <v>3.88</v>
      </c>
      <c r="G85" s="64">
        <v>66.33</v>
      </c>
      <c r="H85" s="64">
        <v>21</v>
      </c>
      <c r="I85" s="64">
        <v>5.47</v>
      </c>
      <c r="J85" s="64">
        <v>0.42</v>
      </c>
      <c r="K85" s="64">
        <v>256.57</v>
      </c>
      <c r="L85" s="64">
        <v>32.78</v>
      </c>
      <c r="M85" s="64">
        <v>40.17</v>
      </c>
      <c r="N85" s="64">
        <v>18.3</v>
      </c>
      <c r="O85" s="64">
        <v>0</v>
      </c>
      <c r="P85" s="64">
        <v>0.38</v>
      </c>
      <c r="Q85" s="64">
        <v>9.43</v>
      </c>
      <c r="R85" s="198"/>
      <c r="S85" s="198"/>
      <c r="T85" s="198"/>
      <c r="U85" s="198"/>
    </row>
    <row r="86" spans="1:26" s="12" customFormat="1" x14ac:dyDescent="0.25">
      <c r="A86" s="214" t="s">
        <v>1190</v>
      </c>
      <c r="B86" s="64">
        <v>8.2200000000000006</v>
      </c>
      <c r="C86" s="64">
        <v>3.43</v>
      </c>
      <c r="D86" s="64">
        <v>12.16</v>
      </c>
      <c r="E86" s="64">
        <v>7.61</v>
      </c>
      <c r="F86" s="64">
        <v>3.84</v>
      </c>
      <c r="G86" s="64">
        <v>68.69</v>
      </c>
      <c r="H86" s="64">
        <v>22.46</v>
      </c>
      <c r="I86" s="64">
        <v>5.58</v>
      </c>
      <c r="J86" s="64">
        <v>0.4</v>
      </c>
      <c r="K86" s="64">
        <v>261.49</v>
      </c>
      <c r="L86" s="64">
        <v>32.39</v>
      </c>
      <c r="M86" s="64">
        <v>42.27</v>
      </c>
      <c r="N86" s="64">
        <v>18.2</v>
      </c>
      <c r="O86" s="64">
        <v>0</v>
      </c>
      <c r="P86" s="64">
        <v>0.44</v>
      </c>
      <c r="Q86" s="64">
        <v>9.4499999999999993</v>
      </c>
      <c r="R86" s="198"/>
      <c r="S86" s="198"/>
      <c r="T86" s="198"/>
      <c r="U86" s="198"/>
    </row>
    <row r="87" spans="1:26" s="12" customFormat="1" x14ac:dyDescent="0.25">
      <c r="A87" s="214" t="s">
        <v>1191</v>
      </c>
      <c r="B87" s="64">
        <v>9.09</v>
      </c>
      <c r="C87" s="64">
        <v>6.79</v>
      </c>
      <c r="D87" s="64">
        <v>14.61</v>
      </c>
      <c r="E87" s="64">
        <v>7.33</v>
      </c>
      <c r="F87" s="64">
        <v>3.69</v>
      </c>
      <c r="G87" s="64">
        <v>70.849999999999994</v>
      </c>
      <c r="H87" s="64">
        <v>23.79</v>
      </c>
      <c r="I87" s="64">
        <v>5.33</v>
      </c>
      <c r="J87" s="64">
        <v>0.69</v>
      </c>
      <c r="K87" s="64">
        <v>156.58000000000001</v>
      </c>
      <c r="L87" s="64">
        <v>32.21</v>
      </c>
      <c r="M87" s="64">
        <v>43.3</v>
      </c>
      <c r="N87" s="64">
        <v>17.5</v>
      </c>
      <c r="O87" s="64">
        <v>0</v>
      </c>
      <c r="P87" s="64">
        <v>0.46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14" t="s">
        <v>1192</v>
      </c>
      <c r="B88" s="64">
        <v>8.52</v>
      </c>
      <c r="C88" s="64">
        <v>4.55</v>
      </c>
      <c r="D88" s="64">
        <v>12.98</v>
      </c>
      <c r="E88" s="64">
        <v>4.03</v>
      </c>
      <c r="F88" s="64">
        <v>3.74</v>
      </c>
      <c r="G88" s="64">
        <v>70.849999999999994</v>
      </c>
      <c r="H88" s="64">
        <v>23.79</v>
      </c>
      <c r="I88" s="64">
        <v>4.96</v>
      </c>
      <c r="J88" s="64">
        <v>0.82</v>
      </c>
      <c r="K88" s="64">
        <v>152.84</v>
      </c>
      <c r="L88" s="64">
        <v>32.31</v>
      </c>
      <c r="M88" s="64">
        <v>43.87</v>
      </c>
      <c r="N88" s="64">
        <v>17.600000000000001</v>
      </c>
      <c r="O88" s="64">
        <v>0</v>
      </c>
      <c r="P88" s="64">
        <v>0.45</v>
      </c>
      <c r="Q88" s="64">
        <v>9.43</v>
      </c>
      <c r="R88" s="198"/>
      <c r="S88" s="198"/>
      <c r="T88" s="198"/>
      <c r="U88" s="198"/>
    </row>
    <row r="89" spans="1:26" s="12" customFormat="1" x14ac:dyDescent="0.25">
      <c r="A89" s="214" t="s">
        <v>1193</v>
      </c>
      <c r="B89" s="64">
        <v>8.3800000000000008</v>
      </c>
      <c r="C89" s="64">
        <v>3.94</v>
      </c>
      <c r="D89" s="64">
        <v>12.55</v>
      </c>
      <c r="E89" s="64">
        <v>3.54</v>
      </c>
      <c r="F89" s="64">
        <v>3.95</v>
      </c>
      <c r="G89" s="64">
        <v>70.849999999999994</v>
      </c>
      <c r="H89" s="64">
        <v>23.79</v>
      </c>
      <c r="I89" s="64">
        <v>5.62</v>
      </c>
      <c r="J89" s="64">
        <v>1.07</v>
      </c>
      <c r="K89" s="64">
        <v>142.97</v>
      </c>
      <c r="L89" s="64">
        <v>32.29</v>
      </c>
      <c r="M89" s="64">
        <v>42.48</v>
      </c>
      <c r="N89" s="64">
        <v>17.5</v>
      </c>
      <c r="O89" s="64">
        <v>0</v>
      </c>
      <c r="P89" s="64">
        <v>0.47</v>
      </c>
      <c r="Q89" s="64">
        <v>9.44</v>
      </c>
      <c r="R89" s="198"/>
      <c r="S89" s="198"/>
      <c r="T89" s="198"/>
      <c r="U89" s="198"/>
    </row>
    <row r="90" spans="1:26" s="12" customFormat="1" x14ac:dyDescent="0.25">
      <c r="A90" s="214" t="s">
        <v>1194</v>
      </c>
      <c r="B90" s="64">
        <v>8.27</v>
      </c>
      <c r="C90" s="64">
        <v>3.42</v>
      </c>
      <c r="D90" s="64">
        <v>12.19</v>
      </c>
      <c r="E90" s="64">
        <v>3.83</v>
      </c>
      <c r="F90" s="64">
        <v>3.69</v>
      </c>
      <c r="G90" s="64">
        <v>74.819999999999993</v>
      </c>
      <c r="H90" s="64">
        <v>24.3</v>
      </c>
      <c r="I90" s="64">
        <v>6.27</v>
      </c>
      <c r="J90" s="64">
        <v>1.39</v>
      </c>
      <c r="K90" s="64">
        <v>145.83000000000001</v>
      </c>
      <c r="L90" s="64">
        <v>32.29</v>
      </c>
      <c r="M90" s="64">
        <v>42.32</v>
      </c>
      <c r="N90" s="64">
        <v>17.7</v>
      </c>
      <c r="O90" s="64">
        <v>0</v>
      </c>
      <c r="P90" s="64">
        <v>0.48</v>
      </c>
      <c r="Q90" s="64">
        <v>9.4700000000000006</v>
      </c>
      <c r="R90" s="198"/>
      <c r="S90" s="198"/>
      <c r="T90" s="198"/>
      <c r="U90" s="198"/>
    </row>
    <row r="91" spans="1:26" s="12" customFormat="1" x14ac:dyDescent="0.25">
      <c r="A91" s="214" t="s">
        <v>1195</v>
      </c>
      <c r="B91" s="64">
        <v>8.2799999999999994</v>
      </c>
      <c r="C91" s="64">
        <v>3.46</v>
      </c>
      <c r="D91" s="64">
        <v>12.22</v>
      </c>
      <c r="E91" s="64">
        <v>3.65</v>
      </c>
      <c r="F91" s="64">
        <v>3.64</v>
      </c>
      <c r="G91" s="64">
        <v>78.62</v>
      </c>
      <c r="H91" s="64">
        <v>24.77</v>
      </c>
      <c r="I91" s="64">
        <v>6.73</v>
      </c>
      <c r="J91" s="64">
        <v>0.22</v>
      </c>
      <c r="K91" s="64">
        <v>191.07</v>
      </c>
      <c r="L91" s="64">
        <v>31.86</v>
      </c>
      <c r="M91" s="64">
        <v>44.35</v>
      </c>
      <c r="N91" s="64">
        <v>18.600000000000001</v>
      </c>
      <c r="O91" s="64">
        <v>0</v>
      </c>
      <c r="P91" s="64">
        <v>0.49</v>
      </c>
      <c r="Q91" s="64">
        <v>9.5</v>
      </c>
      <c r="R91" s="198"/>
      <c r="S91" s="198"/>
      <c r="T91" s="198"/>
      <c r="U91" s="198"/>
    </row>
    <row r="92" spans="1:26" s="12" customFormat="1" x14ac:dyDescent="0.25">
      <c r="A92" s="214" t="s">
        <v>1196</v>
      </c>
      <c r="B92" s="64">
        <v>8.3000000000000007</v>
      </c>
      <c r="C92" s="64">
        <v>3.49</v>
      </c>
      <c r="D92" s="64">
        <v>12.25</v>
      </c>
      <c r="E92" s="64">
        <v>4</v>
      </c>
      <c r="F92" s="64">
        <v>3.67</v>
      </c>
      <c r="G92" s="64">
        <v>78.62</v>
      </c>
      <c r="H92" s="64">
        <v>24.77</v>
      </c>
      <c r="I92" s="64">
        <v>7.2</v>
      </c>
      <c r="J92" s="64">
        <v>0.63</v>
      </c>
      <c r="K92" s="64">
        <v>359.03</v>
      </c>
      <c r="L92" s="64">
        <v>31.45</v>
      </c>
      <c r="M92" s="64">
        <v>46.21</v>
      </c>
      <c r="N92" s="64">
        <v>18.399999999999999</v>
      </c>
      <c r="O92" s="64">
        <v>0</v>
      </c>
      <c r="P92" s="64">
        <v>0.53</v>
      </c>
      <c r="Q92" s="64">
        <v>9.51</v>
      </c>
      <c r="R92" s="198"/>
      <c r="S92" s="198"/>
      <c r="T92" s="198"/>
      <c r="U92" s="198"/>
    </row>
    <row r="93" spans="1:26" s="12" customFormat="1" x14ac:dyDescent="0.25">
      <c r="A93" s="214" t="s">
        <v>1197</v>
      </c>
      <c r="B93" s="64">
        <v>8.6</v>
      </c>
      <c r="C93" s="64">
        <v>4.66</v>
      </c>
      <c r="D93" s="64">
        <v>13.11</v>
      </c>
      <c r="E93" s="64">
        <v>4</v>
      </c>
      <c r="F93" s="64">
        <v>3.57</v>
      </c>
      <c r="G93" s="64">
        <v>78.62</v>
      </c>
      <c r="H93" s="64">
        <v>24.77</v>
      </c>
      <c r="I93" s="64">
        <v>6.65</v>
      </c>
      <c r="J93" s="64">
        <v>1.6</v>
      </c>
      <c r="K93" s="64">
        <v>345.44</v>
      </c>
      <c r="L93" s="64">
        <v>31.11</v>
      </c>
      <c r="M93" s="64">
        <v>49.36</v>
      </c>
      <c r="N93" s="64">
        <v>17.600000000000001</v>
      </c>
      <c r="O93" s="64">
        <v>0</v>
      </c>
      <c r="P93" s="64">
        <v>0.54</v>
      </c>
      <c r="Q93" s="64">
        <v>9.52</v>
      </c>
      <c r="R93" s="198"/>
      <c r="S93" s="198"/>
      <c r="T93" s="198"/>
      <c r="U93" s="198"/>
    </row>
    <row r="94" spans="1:26" s="12" customFormat="1" x14ac:dyDescent="0.25">
      <c r="A94" s="214" t="s">
        <v>1198</v>
      </c>
      <c r="B94" s="64">
        <v>8.49</v>
      </c>
      <c r="C94" s="64">
        <v>4.29</v>
      </c>
      <c r="D94" s="64">
        <v>12.82</v>
      </c>
      <c r="E94" s="64">
        <v>4.0199999999999996</v>
      </c>
      <c r="F94" s="64">
        <v>4.1900000000000004</v>
      </c>
      <c r="G94" s="64">
        <v>82.13</v>
      </c>
      <c r="H94" s="64">
        <v>27.62</v>
      </c>
      <c r="I94" s="64">
        <v>6.68</v>
      </c>
      <c r="J94" s="64">
        <v>0.92</v>
      </c>
      <c r="K94" s="64">
        <v>338.56</v>
      </c>
      <c r="L94" s="64">
        <v>31.58</v>
      </c>
      <c r="M94" s="64">
        <v>46.21</v>
      </c>
      <c r="N94" s="64">
        <v>17.7</v>
      </c>
      <c r="O94" s="64">
        <v>0</v>
      </c>
      <c r="P94" s="64">
        <v>0.57999999999999996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4" t="s">
        <v>1199</v>
      </c>
      <c r="B95" s="64">
        <v>8.58</v>
      </c>
      <c r="C95" s="64">
        <v>4.76</v>
      </c>
      <c r="D95" s="64">
        <v>13.15</v>
      </c>
      <c r="E95" s="64">
        <v>4.12</v>
      </c>
      <c r="F95" s="64">
        <v>3.61</v>
      </c>
      <c r="G95" s="64">
        <v>85.33</v>
      </c>
      <c r="H95" s="64">
        <v>30.34</v>
      </c>
      <c r="I95" s="64">
        <v>7.53</v>
      </c>
      <c r="J95" s="64">
        <v>1.23</v>
      </c>
      <c r="K95" s="64">
        <v>335.55</v>
      </c>
      <c r="L95" s="64">
        <v>31.54</v>
      </c>
      <c r="M95" s="64">
        <v>47.52</v>
      </c>
      <c r="N95" s="64">
        <v>18.100000000000001</v>
      </c>
      <c r="O95" s="64">
        <v>0</v>
      </c>
      <c r="P95" s="64">
        <v>0.64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14" t="s">
        <v>1200</v>
      </c>
      <c r="B96" s="64">
        <v>8.32</v>
      </c>
      <c r="C96" s="64">
        <v>3.67</v>
      </c>
      <c r="D96" s="64">
        <v>12.36</v>
      </c>
      <c r="E96" s="64">
        <v>3.83</v>
      </c>
      <c r="F96" s="64">
        <v>3.69</v>
      </c>
      <c r="G96" s="64">
        <v>85.33</v>
      </c>
      <c r="H96" s="64">
        <v>30.34</v>
      </c>
      <c r="I96" s="64">
        <v>7.77</v>
      </c>
      <c r="J96" s="64">
        <v>0.61</v>
      </c>
      <c r="K96" s="64">
        <v>355.63</v>
      </c>
      <c r="L96" s="64">
        <v>31.29</v>
      </c>
      <c r="M96" s="64">
        <v>47.55</v>
      </c>
      <c r="N96" s="64">
        <v>18.5</v>
      </c>
      <c r="O96" s="64">
        <v>0</v>
      </c>
      <c r="P96" s="64">
        <v>0.69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1201</v>
      </c>
      <c r="B97" s="64">
        <v>8.75</v>
      </c>
      <c r="C97" s="64">
        <v>4.97</v>
      </c>
      <c r="D97" s="64">
        <v>13.39</v>
      </c>
      <c r="E97" s="64">
        <v>3.72</v>
      </c>
      <c r="F97" s="64">
        <v>3.78</v>
      </c>
      <c r="G97" s="64">
        <v>85.33</v>
      </c>
      <c r="H97" s="64">
        <v>30.34</v>
      </c>
      <c r="I97" s="64">
        <v>7.75</v>
      </c>
      <c r="J97" s="64">
        <v>0.94</v>
      </c>
      <c r="K97" s="64">
        <v>104.15</v>
      </c>
      <c r="L97" s="64">
        <v>31</v>
      </c>
      <c r="M97" s="64">
        <v>47.43</v>
      </c>
      <c r="N97" s="64">
        <v>18.2</v>
      </c>
      <c r="O97" s="64">
        <v>0</v>
      </c>
      <c r="P97" s="64">
        <v>0.76</v>
      </c>
      <c r="Q97" s="64">
        <v>9.6999999999999993</v>
      </c>
      <c r="R97" s="198"/>
      <c r="S97" s="198"/>
      <c r="T97" s="198"/>
      <c r="U97" s="198"/>
    </row>
    <row r="98" spans="1:33" s="12" customFormat="1" x14ac:dyDescent="0.25">
      <c r="A98" s="214" t="s">
        <v>1202</v>
      </c>
      <c r="B98" s="64">
        <v>8.64</v>
      </c>
      <c r="C98" s="64">
        <v>4.72</v>
      </c>
      <c r="D98" s="64">
        <v>13.17</v>
      </c>
      <c r="E98" s="64">
        <v>3.67</v>
      </c>
      <c r="F98" s="64">
        <v>3.51</v>
      </c>
      <c r="G98" s="64">
        <v>104.14</v>
      </c>
      <c r="H98" s="64">
        <v>32.369999999999997</v>
      </c>
      <c r="I98" s="64">
        <v>7.31</v>
      </c>
      <c r="J98" s="64">
        <v>1.24</v>
      </c>
      <c r="K98" s="64">
        <v>131.93</v>
      </c>
      <c r="L98" s="64">
        <v>31.21</v>
      </c>
      <c r="M98" s="64">
        <v>47.16</v>
      </c>
      <c r="N98" s="64">
        <v>17.600000000000001</v>
      </c>
      <c r="O98" s="64">
        <v>0</v>
      </c>
      <c r="P98" s="64">
        <v>0.75</v>
      </c>
      <c r="Q98" s="64">
        <v>9.73</v>
      </c>
      <c r="R98" s="198"/>
      <c r="S98" s="198"/>
      <c r="T98" s="198"/>
      <c r="U98" s="198"/>
    </row>
    <row r="99" spans="1:33" s="12" customFormat="1" x14ac:dyDescent="0.25">
      <c r="A99" s="214" t="s">
        <v>1203</v>
      </c>
      <c r="B99" s="64">
        <v>8.2799999999999994</v>
      </c>
      <c r="C99" s="64">
        <v>3.5</v>
      </c>
      <c r="D99" s="64">
        <v>12.24</v>
      </c>
      <c r="E99" s="64">
        <v>3.66</v>
      </c>
      <c r="F99" s="64">
        <v>3.68</v>
      </c>
      <c r="G99" s="64">
        <v>121.35</v>
      </c>
      <c r="H99" s="64">
        <v>34.229999999999997</v>
      </c>
      <c r="I99" s="64">
        <v>7.09</v>
      </c>
      <c r="J99" s="64">
        <v>0.05</v>
      </c>
      <c r="K99" s="64">
        <v>186.28</v>
      </c>
      <c r="L99" s="64">
        <v>30.94</v>
      </c>
      <c r="M99" s="64">
        <v>48.52</v>
      </c>
      <c r="N99" s="64">
        <v>18.3</v>
      </c>
      <c r="O99" s="64">
        <v>0</v>
      </c>
      <c r="P99" s="64">
        <v>0.75</v>
      </c>
      <c r="Q99" s="64">
        <v>9.7200000000000006</v>
      </c>
      <c r="R99" s="198"/>
      <c r="S99" s="198"/>
      <c r="T99" s="198"/>
      <c r="U99" s="198"/>
    </row>
    <row r="100" spans="1:33" s="12" customFormat="1" x14ac:dyDescent="0.25">
      <c r="A100" s="214" t="s">
        <v>1204</v>
      </c>
      <c r="B100" s="64">
        <v>8.3800000000000008</v>
      </c>
      <c r="C100" s="64">
        <v>3.87</v>
      </c>
      <c r="D100" s="64">
        <v>12.52</v>
      </c>
      <c r="E100" s="64">
        <v>3.63</v>
      </c>
      <c r="F100" s="64">
        <v>3.74</v>
      </c>
      <c r="G100" s="64">
        <v>121.35</v>
      </c>
      <c r="H100" s="64">
        <v>34.229999999999997</v>
      </c>
      <c r="I100" s="64">
        <v>7.54</v>
      </c>
      <c r="J100" s="64">
        <v>0.57999999999999996</v>
      </c>
      <c r="K100" s="64">
        <v>141.16</v>
      </c>
      <c r="L100" s="64">
        <v>30.73</v>
      </c>
      <c r="M100" s="64">
        <v>48.41</v>
      </c>
      <c r="N100" s="64">
        <v>17.899999999999999</v>
      </c>
      <c r="O100" s="64">
        <v>0</v>
      </c>
      <c r="P100" s="64">
        <v>0.74</v>
      </c>
      <c r="Q100" s="64">
        <v>9.73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1205</v>
      </c>
      <c r="B101" s="64">
        <v>8.65</v>
      </c>
      <c r="C101" s="64">
        <v>4.8600000000000003</v>
      </c>
      <c r="D101" s="64">
        <v>13.25</v>
      </c>
      <c r="E101" s="64">
        <v>3.94</v>
      </c>
      <c r="F101" s="64">
        <v>3.32</v>
      </c>
      <c r="G101" s="64">
        <v>121.35</v>
      </c>
      <c r="H101" s="64">
        <v>34.229999999999997</v>
      </c>
      <c r="I101" s="64">
        <v>7.6</v>
      </c>
      <c r="J101" s="64">
        <v>0.62</v>
      </c>
      <c r="K101" s="64">
        <v>334.71</v>
      </c>
      <c r="L101" s="64">
        <v>30.43</v>
      </c>
      <c r="M101" s="64">
        <v>51.26</v>
      </c>
      <c r="N101" s="64">
        <v>18.5</v>
      </c>
      <c r="O101" s="64">
        <v>0</v>
      </c>
      <c r="P101" s="64">
        <v>0.73</v>
      </c>
      <c r="Q101" s="64">
        <v>9.7200000000000006</v>
      </c>
      <c r="R101" s="198"/>
      <c r="S101" s="198"/>
      <c r="T101" s="198"/>
      <c r="U101" s="198"/>
    </row>
    <row r="102" spans="1:33" s="12" customFormat="1" x14ac:dyDescent="0.25">
      <c r="A102" s="214" t="s">
        <v>1206</v>
      </c>
      <c r="B102" s="64">
        <v>8.2799999999999994</v>
      </c>
      <c r="C102" s="64">
        <v>3.59</v>
      </c>
      <c r="D102" s="64">
        <v>12.29</v>
      </c>
      <c r="E102" s="64">
        <v>3.68</v>
      </c>
      <c r="F102" s="64">
        <v>3.59</v>
      </c>
      <c r="G102" s="64">
        <v>122.62</v>
      </c>
      <c r="H102" s="64">
        <v>36.29</v>
      </c>
      <c r="I102" s="64">
        <v>7.51</v>
      </c>
      <c r="J102" s="64">
        <v>0.28999999999999998</v>
      </c>
      <c r="K102" s="64">
        <v>20.32</v>
      </c>
      <c r="L102" s="64">
        <v>29.91</v>
      </c>
      <c r="M102" s="64">
        <v>53.97</v>
      </c>
      <c r="N102" s="64">
        <v>18.399999999999999</v>
      </c>
      <c r="O102" s="64">
        <v>0</v>
      </c>
      <c r="P102" s="64">
        <v>0.73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4" t="s">
        <v>1207</v>
      </c>
      <c r="B103" s="64">
        <v>8.32</v>
      </c>
      <c r="C103" s="64">
        <v>3.59</v>
      </c>
      <c r="D103" s="64">
        <v>12.32</v>
      </c>
      <c r="E103" s="64">
        <v>3.32</v>
      </c>
      <c r="F103" s="64">
        <v>3.63</v>
      </c>
      <c r="G103" s="64">
        <v>123.78</v>
      </c>
      <c r="H103" s="64">
        <v>38.26</v>
      </c>
      <c r="I103" s="64">
        <v>7.4</v>
      </c>
      <c r="J103" s="64">
        <v>0.33</v>
      </c>
      <c r="K103" s="64">
        <v>69.42</v>
      </c>
      <c r="L103" s="64">
        <v>29.86</v>
      </c>
      <c r="M103" s="64">
        <v>53.85</v>
      </c>
      <c r="N103" s="64">
        <v>18.2</v>
      </c>
      <c r="O103" s="64">
        <v>0</v>
      </c>
      <c r="P103" s="64">
        <v>0.72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4" t="s">
        <v>1208</v>
      </c>
      <c r="B104" s="64">
        <v>8.74</v>
      </c>
      <c r="C104" s="64">
        <v>4.8899999999999997</v>
      </c>
      <c r="D104" s="64">
        <v>13.34</v>
      </c>
      <c r="E104" s="64">
        <v>3.6</v>
      </c>
      <c r="F104" s="64">
        <v>4.04</v>
      </c>
      <c r="G104" s="64">
        <v>123.78</v>
      </c>
      <c r="H104" s="64">
        <v>38.26</v>
      </c>
      <c r="I104" s="64">
        <v>7.26</v>
      </c>
      <c r="J104" s="64">
        <v>0.22</v>
      </c>
      <c r="K104" s="64">
        <v>338.15</v>
      </c>
      <c r="L104" s="64">
        <v>29.31</v>
      </c>
      <c r="M104" s="64">
        <v>58.31</v>
      </c>
      <c r="N104" s="64">
        <v>18.600000000000001</v>
      </c>
      <c r="O104" s="64">
        <v>0</v>
      </c>
      <c r="P104" s="64">
        <v>0.73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</v>
      </c>
      <c r="C106" s="67">
        <f>MIN(C9:C104)</f>
        <v>-0.41</v>
      </c>
      <c r="D106" s="67">
        <f t="shared" ref="D106:Q106" si="0">MIN(D9:D104)</f>
        <v>2.0299999999999998</v>
      </c>
      <c r="E106" s="67">
        <f t="shared" si="0"/>
        <v>-3.69</v>
      </c>
      <c r="F106" s="67">
        <f t="shared" si="0"/>
        <v>2.42</v>
      </c>
      <c r="G106" s="67">
        <f t="shared" si="0"/>
        <v>18.329999999999998</v>
      </c>
      <c r="H106" s="67">
        <f t="shared" si="0"/>
        <v>7.56</v>
      </c>
      <c r="I106" s="67">
        <f t="shared" si="0"/>
        <v>2.54</v>
      </c>
      <c r="J106" s="67">
        <f t="shared" si="0"/>
        <v>0.02</v>
      </c>
      <c r="K106" s="67">
        <f t="shared" si="0"/>
        <v>0.71</v>
      </c>
      <c r="L106" s="67">
        <f t="shared" si="0"/>
        <v>24.71</v>
      </c>
      <c r="M106" s="67">
        <f t="shared" si="0"/>
        <v>30.87</v>
      </c>
      <c r="N106" s="67">
        <f t="shared" si="0"/>
        <v>15.4</v>
      </c>
      <c r="O106" s="67">
        <f t="shared" si="0"/>
        <v>0</v>
      </c>
      <c r="P106" s="67">
        <f t="shared" si="0"/>
        <v>0.28000000000000003</v>
      </c>
      <c r="Q106" s="67">
        <f t="shared" si="0"/>
        <v>9.33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9.09</v>
      </c>
      <c r="C107" s="66">
        <f t="shared" ref="C107:Q107" si="1">MAX(C9:C104)</f>
        <v>6.79</v>
      </c>
      <c r="D107" s="66">
        <f t="shared" si="1"/>
        <v>14.61</v>
      </c>
      <c r="E107" s="66">
        <f t="shared" si="1"/>
        <v>8.35</v>
      </c>
      <c r="F107" s="66">
        <f t="shared" si="1"/>
        <v>12.99</v>
      </c>
      <c r="G107" s="66">
        <f t="shared" si="1"/>
        <v>123.78</v>
      </c>
      <c r="H107" s="66">
        <f t="shared" si="1"/>
        <v>38.26</v>
      </c>
      <c r="I107" s="66">
        <f t="shared" si="1"/>
        <v>7.77</v>
      </c>
      <c r="J107" s="66">
        <f t="shared" si="1"/>
        <v>1.6</v>
      </c>
      <c r="K107" s="66">
        <f t="shared" si="1"/>
        <v>359.13</v>
      </c>
      <c r="L107" s="66">
        <f t="shared" si="1"/>
        <v>37.06</v>
      </c>
      <c r="M107" s="66">
        <f t="shared" si="1"/>
        <v>80.48</v>
      </c>
      <c r="N107" s="66">
        <f t="shared" si="1"/>
        <v>892.2</v>
      </c>
      <c r="O107" s="66">
        <f t="shared" si="1"/>
        <v>0</v>
      </c>
      <c r="P107" s="66">
        <f t="shared" si="1"/>
        <v>0.76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5.1724999999999994</v>
      </c>
      <c r="C108" s="67">
        <f t="shared" ref="C108:Q108" si="2">AVERAGE(C9:C104)</f>
        <v>3.6583333333333345</v>
      </c>
      <c r="D108" s="67">
        <f t="shared" si="2"/>
        <v>8.1465625000000017</v>
      </c>
      <c r="E108" s="67">
        <f t="shared" si="2"/>
        <v>2.4372916666666669</v>
      </c>
      <c r="F108" s="67">
        <f t="shared" si="2"/>
        <v>4.8209374999999994</v>
      </c>
      <c r="G108" s="67">
        <f t="shared" si="2"/>
        <v>43.390729166666652</v>
      </c>
      <c r="H108" s="67">
        <f t="shared" si="2"/>
        <v>15.851458333333326</v>
      </c>
      <c r="I108" s="67">
        <f t="shared" si="2"/>
        <v>5.6779166666666647</v>
      </c>
      <c r="J108" s="67">
        <f t="shared" si="2"/>
        <v>0.54052083333333323</v>
      </c>
      <c r="K108" s="67">
        <f t="shared" si="2"/>
        <v>182.82072916666661</v>
      </c>
      <c r="L108" s="67">
        <f t="shared" si="2"/>
        <v>30.931875000000005</v>
      </c>
      <c r="M108" s="67">
        <f t="shared" si="2"/>
        <v>53.55229166666669</v>
      </c>
      <c r="N108" s="67">
        <f t="shared" si="2"/>
        <v>262.72395833333331</v>
      </c>
      <c r="O108" s="67">
        <f t="shared" si="2"/>
        <v>0</v>
      </c>
      <c r="P108" s="67">
        <f t="shared" si="2"/>
        <v>0.43604166666666644</v>
      </c>
      <c r="Q108" s="67">
        <f t="shared" si="2"/>
        <v>9.4780208333333373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2.5131678478722743</v>
      </c>
      <c r="C109" s="67">
        <f t="shared" ref="C109:Q109" si="3">STDEV(C9:C104)</f>
        <v>1.5928145672406513</v>
      </c>
      <c r="D109" s="67">
        <f t="shared" si="3"/>
        <v>3.6241801477604603</v>
      </c>
      <c r="E109" s="67">
        <f t="shared" si="3"/>
        <v>2.2452323659686049</v>
      </c>
      <c r="F109" s="67">
        <f t="shared" si="3"/>
        <v>1.5766313710766884</v>
      </c>
      <c r="G109" s="67">
        <f t="shared" si="3"/>
        <v>28.878981876090489</v>
      </c>
      <c r="H109" s="67">
        <f t="shared" si="3"/>
        <v>8.0638657282011028</v>
      </c>
      <c r="I109" s="67">
        <f t="shared" si="3"/>
        <v>1.4507891984177577</v>
      </c>
      <c r="J109" s="67">
        <f t="shared" si="3"/>
        <v>0.32324463537427162</v>
      </c>
      <c r="K109" s="67">
        <f t="shared" si="3"/>
        <v>114.85821596756685</v>
      </c>
      <c r="L109" s="67">
        <f t="shared" si="3"/>
        <v>3.9604875596983984</v>
      </c>
      <c r="M109" s="67">
        <f t="shared" si="3"/>
        <v>17.586822128733687</v>
      </c>
      <c r="N109" s="67">
        <f t="shared" si="3"/>
        <v>327.61718762983492</v>
      </c>
      <c r="O109" s="67">
        <f t="shared" si="3"/>
        <v>0</v>
      </c>
      <c r="P109" s="67">
        <f t="shared" si="3"/>
        <v>0.14294260288415914</v>
      </c>
      <c r="Q109" s="67">
        <f t="shared" si="3"/>
        <v>0.11183276792808164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1209</v>
      </c>
      <c r="B9" s="64">
        <v>8.4</v>
      </c>
      <c r="C9" s="64">
        <v>3.77</v>
      </c>
      <c r="D9" s="64">
        <v>12.48</v>
      </c>
      <c r="E9" s="64">
        <v>4.2300000000000004</v>
      </c>
      <c r="F9" s="64">
        <v>2.64</v>
      </c>
      <c r="G9" s="64">
        <v>123.78</v>
      </c>
      <c r="H9" s="64">
        <v>38.26</v>
      </c>
      <c r="I9" s="64">
        <v>7.26</v>
      </c>
      <c r="J9" s="64">
        <v>0.71</v>
      </c>
      <c r="K9" s="64">
        <v>335.66</v>
      </c>
      <c r="L9" s="64">
        <v>29</v>
      </c>
      <c r="M9" s="64">
        <v>59.97</v>
      </c>
      <c r="N9" s="64">
        <v>18.100000000000001</v>
      </c>
      <c r="O9" s="64">
        <v>0</v>
      </c>
      <c r="P9" s="64">
        <v>0.73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4" t="s">
        <v>1210</v>
      </c>
      <c r="B10" s="64">
        <v>8.33</v>
      </c>
      <c r="C10" s="64">
        <v>3.53</v>
      </c>
      <c r="D10" s="64">
        <v>12.3</v>
      </c>
      <c r="E10" s="64">
        <v>4.3099999999999996</v>
      </c>
      <c r="F10" s="64">
        <v>3.2</v>
      </c>
      <c r="G10" s="64">
        <v>129.93</v>
      </c>
      <c r="H10" s="64">
        <v>40.19</v>
      </c>
      <c r="I10" s="64">
        <v>6.71</v>
      </c>
      <c r="J10" s="64">
        <v>1.32</v>
      </c>
      <c r="K10" s="64">
        <v>333.34</v>
      </c>
      <c r="L10" s="64">
        <v>28.79</v>
      </c>
      <c r="M10" s="64">
        <v>59.44</v>
      </c>
      <c r="N10" s="64">
        <v>17.899999999999999</v>
      </c>
      <c r="O10" s="64">
        <v>0</v>
      </c>
      <c r="P10" s="64">
        <v>0.72</v>
      </c>
      <c r="Q10" s="64">
        <v>9.6</v>
      </c>
      <c r="R10" s="198"/>
      <c r="S10" s="198"/>
      <c r="T10" s="198"/>
      <c r="U10" s="198"/>
    </row>
    <row r="11" spans="1:21" s="12" customFormat="1" x14ac:dyDescent="0.25">
      <c r="A11" s="214" t="s">
        <v>1211</v>
      </c>
      <c r="B11" s="64">
        <v>8.3000000000000007</v>
      </c>
      <c r="C11" s="64">
        <v>3.43</v>
      </c>
      <c r="D11" s="64">
        <v>12.22</v>
      </c>
      <c r="E11" s="64">
        <v>4.1500000000000004</v>
      </c>
      <c r="F11" s="64">
        <v>3.63</v>
      </c>
      <c r="G11" s="64">
        <v>135.55000000000001</v>
      </c>
      <c r="H11" s="64">
        <v>41.96</v>
      </c>
      <c r="I11" s="64">
        <v>6.76</v>
      </c>
      <c r="J11" s="64">
        <v>1.36</v>
      </c>
      <c r="K11" s="64">
        <v>339.53</v>
      </c>
      <c r="L11" s="64">
        <v>28.72</v>
      </c>
      <c r="M11" s="64">
        <v>57.96</v>
      </c>
      <c r="N11" s="64">
        <v>18.100000000000001</v>
      </c>
      <c r="O11" s="64">
        <v>0</v>
      </c>
      <c r="P11" s="64">
        <v>0.73</v>
      </c>
      <c r="Q11" s="64">
        <v>9.6</v>
      </c>
      <c r="R11" s="198"/>
      <c r="S11" s="198"/>
      <c r="T11" s="198"/>
      <c r="U11" s="198"/>
    </row>
    <row r="12" spans="1:21" s="12" customFormat="1" x14ac:dyDescent="0.25">
      <c r="A12" s="214" t="s">
        <v>1212</v>
      </c>
      <c r="B12" s="64">
        <v>8.26</v>
      </c>
      <c r="C12" s="64">
        <v>3.31</v>
      </c>
      <c r="D12" s="64">
        <v>12.13</v>
      </c>
      <c r="E12" s="64">
        <v>3.64</v>
      </c>
      <c r="F12" s="64">
        <v>3.64</v>
      </c>
      <c r="G12" s="64">
        <v>135.55000000000001</v>
      </c>
      <c r="H12" s="64">
        <v>41.96</v>
      </c>
      <c r="I12" s="64">
        <v>7.17</v>
      </c>
      <c r="J12" s="64">
        <v>0.95</v>
      </c>
      <c r="K12" s="64">
        <v>344.1</v>
      </c>
      <c r="L12" s="64">
        <v>28.54</v>
      </c>
      <c r="M12" s="64">
        <v>58.81</v>
      </c>
      <c r="N12" s="64">
        <v>18.3</v>
      </c>
      <c r="O12" s="64">
        <v>0</v>
      </c>
      <c r="P12" s="64">
        <v>0.72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4" t="s">
        <v>1213</v>
      </c>
      <c r="B13" s="64">
        <v>8.27</v>
      </c>
      <c r="C13" s="64">
        <v>3.27</v>
      </c>
      <c r="D13" s="64">
        <v>12.11</v>
      </c>
      <c r="E13" s="64">
        <v>3.94</v>
      </c>
      <c r="F13" s="64">
        <v>3.72</v>
      </c>
      <c r="G13" s="64">
        <v>135.55000000000001</v>
      </c>
      <c r="H13" s="64">
        <v>41.96</v>
      </c>
      <c r="I13" s="64">
        <v>7.2</v>
      </c>
      <c r="J13" s="64">
        <v>1.19</v>
      </c>
      <c r="K13" s="64">
        <v>326.60000000000002</v>
      </c>
      <c r="L13" s="64">
        <v>28.29</v>
      </c>
      <c r="M13" s="64">
        <v>61.14</v>
      </c>
      <c r="N13" s="64">
        <v>18.100000000000001</v>
      </c>
      <c r="O13" s="64">
        <v>0</v>
      </c>
      <c r="P13" s="64">
        <v>0.63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4" t="s">
        <v>1214</v>
      </c>
      <c r="B14" s="64">
        <v>8.85</v>
      </c>
      <c r="C14" s="64">
        <v>4.7699999999999996</v>
      </c>
      <c r="D14" s="64">
        <v>13.36</v>
      </c>
      <c r="E14" s="64">
        <v>4.0199999999999996</v>
      </c>
      <c r="F14" s="64">
        <v>3.71</v>
      </c>
      <c r="G14" s="64">
        <v>137.66</v>
      </c>
      <c r="H14" s="64">
        <v>43.78</v>
      </c>
      <c r="I14" s="64">
        <v>6.89</v>
      </c>
      <c r="J14" s="64">
        <v>0.93</v>
      </c>
      <c r="K14" s="64">
        <v>327.35000000000002</v>
      </c>
      <c r="L14" s="64">
        <v>28.07</v>
      </c>
      <c r="M14" s="64">
        <v>62.31</v>
      </c>
      <c r="N14" s="64">
        <v>18.2</v>
      </c>
      <c r="O14" s="64">
        <v>0</v>
      </c>
      <c r="P14" s="64">
        <v>0.66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4" t="s">
        <v>1215</v>
      </c>
      <c r="B15" s="64">
        <v>8.52</v>
      </c>
      <c r="C15" s="64">
        <v>3.94</v>
      </c>
      <c r="D15" s="64">
        <v>12.67</v>
      </c>
      <c r="E15" s="64">
        <v>4</v>
      </c>
      <c r="F15" s="64">
        <v>3.42</v>
      </c>
      <c r="G15" s="64">
        <v>139.68</v>
      </c>
      <c r="H15" s="64">
        <v>45.52</v>
      </c>
      <c r="I15" s="64">
        <v>6.98</v>
      </c>
      <c r="J15" s="64">
        <v>0.3</v>
      </c>
      <c r="K15" s="64">
        <v>0.16</v>
      </c>
      <c r="L15" s="64">
        <v>27.83</v>
      </c>
      <c r="M15" s="64">
        <v>63.96</v>
      </c>
      <c r="N15" s="64">
        <v>18.3</v>
      </c>
      <c r="O15" s="64">
        <v>0</v>
      </c>
      <c r="P15" s="64">
        <v>0.65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4" t="s">
        <v>1216</v>
      </c>
      <c r="B16" s="64">
        <v>8.32</v>
      </c>
      <c r="C16" s="64">
        <v>3.46</v>
      </c>
      <c r="D16" s="64">
        <v>12.25</v>
      </c>
      <c r="E16" s="64">
        <v>4.08</v>
      </c>
      <c r="F16" s="64">
        <v>3.74</v>
      </c>
      <c r="G16" s="64">
        <v>139.68</v>
      </c>
      <c r="H16" s="64">
        <v>45.52</v>
      </c>
      <c r="I16" s="64">
        <v>6.56</v>
      </c>
      <c r="J16" s="64">
        <v>0.38</v>
      </c>
      <c r="K16" s="64">
        <v>52.72</v>
      </c>
      <c r="L16" s="64">
        <v>28</v>
      </c>
      <c r="M16" s="64">
        <v>62.49</v>
      </c>
      <c r="N16" s="64">
        <v>18.100000000000001</v>
      </c>
      <c r="O16" s="64">
        <v>0</v>
      </c>
      <c r="P16" s="64">
        <v>0.66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4" t="s">
        <v>1217</v>
      </c>
      <c r="B17" s="64">
        <v>8.26</v>
      </c>
      <c r="C17" s="64">
        <v>3.42</v>
      </c>
      <c r="D17" s="64">
        <v>12.18</v>
      </c>
      <c r="E17" s="64">
        <v>4.08</v>
      </c>
      <c r="F17" s="64">
        <v>3.58</v>
      </c>
      <c r="G17" s="64">
        <v>139.68</v>
      </c>
      <c r="H17" s="64">
        <v>45.52</v>
      </c>
      <c r="I17" s="64">
        <v>6.1</v>
      </c>
      <c r="J17" s="64">
        <v>0.55000000000000004</v>
      </c>
      <c r="K17" s="64">
        <v>220.93</v>
      </c>
      <c r="L17" s="64">
        <v>27.78</v>
      </c>
      <c r="M17" s="64">
        <v>62.96</v>
      </c>
      <c r="N17" s="64">
        <v>18.2</v>
      </c>
      <c r="O17" s="64">
        <v>0</v>
      </c>
      <c r="P17" s="64">
        <v>0.65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4" t="s">
        <v>1218</v>
      </c>
      <c r="B18" s="64">
        <v>8.1999999999999993</v>
      </c>
      <c r="C18" s="64">
        <v>3.32</v>
      </c>
      <c r="D18" s="64">
        <v>12.09</v>
      </c>
      <c r="E18" s="64">
        <v>4.0199999999999996</v>
      </c>
      <c r="F18" s="64">
        <v>3.54</v>
      </c>
      <c r="G18" s="64">
        <v>140.21</v>
      </c>
      <c r="H18" s="64">
        <v>51.03</v>
      </c>
      <c r="I18" s="64">
        <v>6.65</v>
      </c>
      <c r="J18" s="64">
        <v>0.12</v>
      </c>
      <c r="K18" s="64">
        <v>344.55</v>
      </c>
      <c r="L18" s="64">
        <v>27.66</v>
      </c>
      <c r="M18" s="64">
        <v>63.08</v>
      </c>
      <c r="N18" s="64">
        <v>18.100000000000001</v>
      </c>
      <c r="O18" s="64">
        <v>0</v>
      </c>
      <c r="P18" s="64">
        <v>0.63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4" t="s">
        <v>1219</v>
      </c>
      <c r="B19" s="64">
        <v>8.35</v>
      </c>
      <c r="C19" s="64">
        <v>3.67</v>
      </c>
      <c r="D19" s="64">
        <v>12.39</v>
      </c>
      <c r="E19" s="64">
        <v>3.91</v>
      </c>
      <c r="F19" s="64">
        <v>4.3899999999999997</v>
      </c>
      <c r="G19" s="64">
        <v>140.72</v>
      </c>
      <c r="H19" s="64">
        <v>56.29</v>
      </c>
      <c r="I19" s="64">
        <v>6.72</v>
      </c>
      <c r="J19" s="64">
        <v>0.47</v>
      </c>
      <c r="K19" s="64">
        <v>232.9</v>
      </c>
      <c r="L19" s="64">
        <v>27.75</v>
      </c>
      <c r="M19" s="64">
        <v>62.95</v>
      </c>
      <c r="N19" s="64">
        <v>17.899999999999999</v>
      </c>
      <c r="O19" s="64">
        <v>0</v>
      </c>
      <c r="P19" s="64">
        <v>0.63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4" t="s">
        <v>1220</v>
      </c>
      <c r="B20" s="64">
        <v>8.56</v>
      </c>
      <c r="C20" s="64">
        <v>4.5999999999999996</v>
      </c>
      <c r="D20" s="64">
        <v>13.04</v>
      </c>
      <c r="E20" s="64">
        <v>3.79</v>
      </c>
      <c r="F20" s="64">
        <v>3.76</v>
      </c>
      <c r="G20" s="64">
        <v>140.72</v>
      </c>
      <c r="H20" s="64">
        <v>56.29</v>
      </c>
      <c r="I20" s="64">
        <v>6.73</v>
      </c>
      <c r="J20" s="64">
        <v>0.53</v>
      </c>
      <c r="K20" s="64">
        <v>12.68</v>
      </c>
      <c r="L20" s="64">
        <v>27.8</v>
      </c>
      <c r="M20" s="64">
        <v>65.02</v>
      </c>
      <c r="N20" s="64">
        <v>18.100000000000001</v>
      </c>
      <c r="O20" s="64">
        <v>0</v>
      </c>
      <c r="P20" s="64">
        <v>0.63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1221</v>
      </c>
      <c r="B21" s="64">
        <v>8.23</v>
      </c>
      <c r="C21" s="64">
        <v>3.41</v>
      </c>
      <c r="D21" s="64">
        <v>12.16</v>
      </c>
      <c r="E21" s="64">
        <v>3.89</v>
      </c>
      <c r="F21" s="64">
        <v>3.62</v>
      </c>
      <c r="G21" s="64">
        <v>140.72</v>
      </c>
      <c r="H21" s="64">
        <v>56.29</v>
      </c>
      <c r="I21" s="64">
        <v>6.89</v>
      </c>
      <c r="J21" s="64">
        <v>0.75</v>
      </c>
      <c r="K21" s="64">
        <v>326.39999999999998</v>
      </c>
      <c r="L21" s="64">
        <v>27.43</v>
      </c>
      <c r="M21" s="64">
        <v>65.959999999999994</v>
      </c>
      <c r="N21" s="64">
        <v>18.2</v>
      </c>
      <c r="O21" s="64">
        <v>0</v>
      </c>
      <c r="P21" s="64">
        <v>0.6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4" t="s">
        <v>1222</v>
      </c>
      <c r="B22" s="64">
        <v>8.2200000000000006</v>
      </c>
      <c r="C22" s="64">
        <v>3.3</v>
      </c>
      <c r="D22" s="64">
        <v>12.09</v>
      </c>
      <c r="E22" s="64">
        <v>3.94</v>
      </c>
      <c r="F22" s="64">
        <v>4.3499999999999996</v>
      </c>
      <c r="G22" s="64">
        <v>141.35</v>
      </c>
      <c r="H22" s="64">
        <v>53.42</v>
      </c>
      <c r="I22" s="64">
        <v>6.73</v>
      </c>
      <c r="J22" s="64">
        <v>0.42</v>
      </c>
      <c r="K22" s="64">
        <v>5.47</v>
      </c>
      <c r="L22" s="64">
        <v>27.32</v>
      </c>
      <c r="M22" s="64">
        <v>61.97</v>
      </c>
      <c r="N22" s="64">
        <v>18.2</v>
      </c>
      <c r="O22" s="64">
        <v>0</v>
      </c>
      <c r="P22" s="64">
        <v>0.57999999999999996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14" t="s">
        <v>1223</v>
      </c>
      <c r="B23" s="64">
        <v>8.57</v>
      </c>
      <c r="C23" s="64">
        <v>4.6100000000000003</v>
      </c>
      <c r="D23" s="64">
        <v>13.05</v>
      </c>
      <c r="E23" s="64">
        <v>3.65</v>
      </c>
      <c r="F23" s="64">
        <v>3.64</v>
      </c>
      <c r="G23" s="64">
        <v>141.94999999999999</v>
      </c>
      <c r="H23" s="64">
        <v>50.78</v>
      </c>
      <c r="I23" s="64">
        <v>6.47</v>
      </c>
      <c r="J23" s="64">
        <v>0.67</v>
      </c>
      <c r="K23" s="64">
        <v>319.49</v>
      </c>
      <c r="L23" s="64">
        <v>27.24</v>
      </c>
      <c r="M23" s="64">
        <v>60.31</v>
      </c>
      <c r="N23" s="64">
        <v>18.100000000000001</v>
      </c>
      <c r="O23" s="64">
        <v>0</v>
      </c>
      <c r="P23" s="64">
        <v>0.55000000000000004</v>
      </c>
      <c r="Q23" s="64">
        <v>9.59</v>
      </c>
      <c r="R23" s="198"/>
      <c r="S23" s="198"/>
      <c r="T23" s="198"/>
      <c r="U23" s="198"/>
    </row>
    <row r="24" spans="1:21" s="12" customFormat="1" x14ac:dyDescent="0.25">
      <c r="A24" s="214" t="s">
        <v>1224</v>
      </c>
      <c r="B24" s="64">
        <v>8.26</v>
      </c>
      <c r="C24" s="64">
        <v>3.45</v>
      </c>
      <c r="D24" s="64">
        <v>12.2</v>
      </c>
      <c r="E24" s="64">
        <v>4.47</v>
      </c>
      <c r="F24" s="64">
        <v>4.0999999999999996</v>
      </c>
      <c r="G24" s="64">
        <v>141.94999999999999</v>
      </c>
      <c r="H24" s="64">
        <v>50.78</v>
      </c>
      <c r="I24" s="64">
        <v>6.24</v>
      </c>
      <c r="J24" s="64">
        <v>0.95</v>
      </c>
      <c r="K24" s="64">
        <v>309.08999999999997</v>
      </c>
      <c r="L24" s="64">
        <v>26.92</v>
      </c>
      <c r="M24" s="64">
        <v>61.87</v>
      </c>
      <c r="N24" s="64">
        <v>17.899999999999999</v>
      </c>
      <c r="O24" s="64">
        <v>0</v>
      </c>
      <c r="P24" s="64">
        <v>0.53</v>
      </c>
      <c r="Q24" s="64">
        <v>9.5399999999999991</v>
      </c>
      <c r="R24" s="198"/>
      <c r="S24" s="198"/>
      <c r="T24" s="198"/>
      <c r="U24" s="198"/>
    </row>
    <row r="25" spans="1:21" s="12" customFormat="1" x14ac:dyDescent="0.25">
      <c r="A25" s="214" t="s">
        <v>1225</v>
      </c>
      <c r="B25" s="64">
        <v>8.2100000000000009</v>
      </c>
      <c r="C25" s="64">
        <v>3.28</v>
      </c>
      <c r="D25" s="64">
        <v>12.07</v>
      </c>
      <c r="E25" s="64">
        <v>4.79</v>
      </c>
      <c r="F25" s="64">
        <v>4.62</v>
      </c>
      <c r="G25" s="64">
        <v>141.94999999999999</v>
      </c>
      <c r="H25" s="64">
        <v>50.78</v>
      </c>
      <c r="I25" s="64">
        <v>5.97</v>
      </c>
      <c r="J25" s="64">
        <v>0.97</v>
      </c>
      <c r="K25" s="64">
        <v>302.86</v>
      </c>
      <c r="L25" s="64">
        <v>26.85</v>
      </c>
      <c r="M25" s="64">
        <v>62.11</v>
      </c>
      <c r="N25" s="64">
        <v>18</v>
      </c>
      <c r="O25" s="64">
        <v>0</v>
      </c>
      <c r="P25" s="64">
        <v>0.51</v>
      </c>
      <c r="Q25" s="64">
        <v>9.5399999999999991</v>
      </c>
      <c r="R25" s="198"/>
      <c r="S25" s="198"/>
      <c r="T25" s="198"/>
      <c r="U25" s="198"/>
    </row>
    <row r="26" spans="1:21" s="12" customFormat="1" x14ac:dyDescent="0.25">
      <c r="A26" s="214" t="s">
        <v>1226</v>
      </c>
      <c r="B26" s="64">
        <v>8.26</v>
      </c>
      <c r="C26" s="64">
        <v>3.47</v>
      </c>
      <c r="D26" s="64">
        <v>12.21</v>
      </c>
      <c r="E26" s="64">
        <v>4.95</v>
      </c>
      <c r="F26" s="64">
        <v>3.67</v>
      </c>
      <c r="G26" s="64">
        <v>128.86000000000001</v>
      </c>
      <c r="H26" s="64">
        <v>45.47</v>
      </c>
      <c r="I26" s="64">
        <v>5.69</v>
      </c>
      <c r="J26" s="64">
        <v>0.68</v>
      </c>
      <c r="K26" s="64">
        <v>324.11</v>
      </c>
      <c r="L26" s="64">
        <v>26.81</v>
      </c>
      <c r="M26" s="64">
        <v>62.11</v>
      </c>
      <c r="N26" s="64">
        <v>18.100000000000001</v>
      </c>
      <c r="O26" s="64">
        <v>0</v>
      </c>
      <c r="P26" s="64">
        <v>0.5</v>
      </c>
      <c r="Q26" s="64">
        <v>9.5399999999999991</v>
      </c>
      <c r="R26" s="198"/>
      <c r="S26" s="198"/>
      <c r="T26" s="198"/>
      <c r="U26" s="198"/>
    </row>
    <row r="27" spans="1:21" s="12" customFormat="1" x14ac:dyDescent="0.25">
      <c r="A27" s="214" t="s">
        <v>1227</v>
      </c>
      <c r="B27" s="64">
        <v>8.5299999999999994</v>
      </c>
      <c r="C27" s="64">
        <v>4.3099999999999996</v>
      </c>
      <c r="D27" s="64">
        <v>12.87</v>
      </c>
      <c r="E27" s="64">
        <v>5.44</v>
      </c>
      <c r="F27" s="64">
        <v>3.99</v>
      </c>
      <c r="G27" s="64">
        <v>116.33</v>
      </c>
      <c r="H27" s="64">
        <v>40.39</v>
      </c>
      <c r="I27" s="64">
        <v>5.61</v>
      </c>
      <c r="J27" s="64">
        <v>0.54</v>
      </c>
      <c r="K27" s="64">
        <v>332.85</v>
      </c>
      <c r="L27" s="64">
        <v>27.03</v>
      </c>
      <c r="M27" s="64">
        <v>60.45</v>
      </c>
      <c r="N27" s="64">
        <v>18.100000000000001</v>
      </c>
      <c r="O27" s="64">
        <v>0</v>
      </c>
      <c r="P27" s="64">
        <v>0.48</v>
      </c>
      <c r="Q27" s="64">
        <v>9.5</v>
      </c>
      <c r="R27" s="198"/>
      <c r="S27" s="198"/>
      <c r="T27" s="198"/>
      <c r="U27" s="198"/>
    </row>
    <row r="28" spans="1:21" s="12" customFormat="1" x14ac:dyDescent="0.25">
      <c r="A28" s="214" t="s">
        <v>1228</v>
      </c>
      <c r="B28" s="64">
        <v>8.33</v>
      </c>
      <c r="C28" s="64">
        <v>3.64</v>
      </c>
      <c r="D28" s="64">
        <v>12.36</v>
      </c>
      <c r="E28" s="64">
        <v>5.05</v>
      </c>
      <c r="F28" s="64">
        <v>4.0599999999999996</v>
      </c>
      <c r="G28" s="64">
        <v>116.33</v>
      </c>
      <c r="H28" s="64">
        <v>40.39</v>
      </c>
      <c r="I28" s="64">
        <v>5.59</v>
      </c>
      <c r="J28" s="64">
        <v>0.14000000000000001</v>
      </c>
      <c r="K28" s="64">
        <v>281.75</v>
      </c>
      <c r="L28" s="64">
        <v>27.04</v>
      </c>
      <c r="M28" s="64">
        <v>61.11</v>
      </c>
      <c r="N28" s="64">
        <v>18.2</v>
      </c>
      <c r="O28" s="64">
        <v>0</v>
      </c>
      <c r="P28" s="64">
        <v>0.47</v>
      </c>
      <c r="Q28" s="64">
        <v>9.44</v>
      </c>
      <c r="R28" s="198"/>
      <c r="S28" s="198"/>
      <c r="T28" s="198"/>
      <c r="U28" s="198"/>
    </row>
    <row r="29" spans="1:21" s="12" customFormat="1" x14ac:dyDescent="0.25">
      <c r="A29" s="214" t="s">
        <v>1229</v>
      </c>
      <c r="B29" s="64">
        <v>8.24</v>
      </c>
      <c r="C29" s="64">
        <v>3.29</v>
      </c>
      <c r="D29" s="64">
        <v>12.1</v>
      </c>
      <c r="E29" s="64">
        <v>5.01</v>
      </c>
      <c r="F29" s="64">
        <v>3.84</v>
      </c>
      <c r="G29" s="64">
        <v>116.33</v>
      </c>
      <c r="H29" s="64">
        <v>40.39</v>
      </c>
      <c r="I29" s="64">
        <v>5.61</v>
      </c>
      <c r="J29" s="64">
        <v>0.36</v>
      </c>
      <c r="K29" s="64">
        <v>231.46</v>
      </c>
      <c r="L29" s="64">
        <v>26.68</v>
      </c>
      <c r="M29" s="64">
        <v>65.17</v>
      </c>
      <c r="N29" s="64">
        <v>19.7</v>
      </c>
      <c r="O29" s="64">
        <v>0</v>
      </c>
      <c r="P29" s="64">
        <v>0.46</v>
      </c>
      <c r="Q29" s="64">
        <v>9.4600000000000009</v>
      </c>
      <c r="R29" s="198"/>
      <c r="S29" s="198"/>
      <c r="T29" s="198"/>
      <c r="U29" s="198"/>
    </row>
    <row r="30" spans="1:21" s="12" customFormat="1" x14ac:dyDescent="0.25">
      <c r="A30" s="214" t="s">
        <v>1230</v>
      </c>
      <c r="B30" s="64">
        <v>8.1999999999999993</v>
      </c>
      <c r="C30" s="64">
        <v>3.16</v>
      </c>
      <c r="D30" s="64">
        <v>12</v>
      </c>
      <c r="E30" s="64">
        <v>4.68</v>
      </c>
      <c r="F30" s="64">
        <v>3.55</v>
      </c>
      <c r="G30" s="64">
        <v>111.82</v>
      </c>
      <c r="H30" s="64">
        <v>37.4</v>
      </c>
      <c r="I30" s="64">
        <v>5.78</v>
      </c>
      <c r="J30" s="64">
        <v>0.33</v>
      </c>
      <c r="K30" s="64">
        <v>357.21</v>
      </c>
      <c r="L30" s="64">
        <v>26.69</v>
      </c>
      <c r="M30" s="64">
        <v>64.400000000000006</v>
      </c>
      <c r="N30" s="64">
        <v>24.5</v>
      </c>
      <c r="O30" s="64">
        <v>0</v>
      </c>
      <c r="P30" s="64">
        <v>0.47</v>
      </c>
      <c r="Q30" s="64">
        <v>9.5</v>
      </c>
      <c r="R30" s="198"/>
      <c r="S30" s="198"/>
      <c r="T30" s="198"/>
      <c r="U30" s="198"/>
    </row>
    <row r="31" spans="1:21" s="12" customFormat="1" x14ac:dyDescent="0.25">
      <c r="A31" s="214" t="s">
        <v>1231</v>
      </c>
      <c r="B31" s="64">
        <v>8.2200000000000006</v>
      </c>
      <c r="C31" s="64">
        <v>3.17</v>
      </c>
      <c r="D31" s="64">
        <v>12.02</v>
      </c>
      <c r="E31" s="64">
        <v>4.66</v>
      </c>
      <c r="F31" s="64">
        <v>3.62</v>
      </c>
      <c r="G31" s="64">
        <v>107.5</v>
      </c>
      <c r="H31" s="64">
        <v>34.549999999999997</v>
      </c>
      <c r="I31" s="64">
        <v>5.76</v>
      </c>
      <c r="J31" s="64">
        <v>0.3</v>
      </c>
      <c r="K31" s="64">
        <v>11.22</v>
      </c>
      <c r="L31" s="64">
        <v>26.79</v>
      </c>
      <c r="M31" s="64">
        <v>62.92</v>
      </c>
      <c r="N31" s="64">
        <v>32.5</v>
      </c>
      <c r="O31" s="64">
        <v>0</v>
      </c>
      <c r="P31" s="64">
        <v>0.46</v>
      </c>
      <c r="Q31" s="64">
        <v>9.51</v>
      </c>
      <c r="R31" s="198"/>
      <c r="S31" s="198"/>
      <c r="T31" s="198"/>
      <c r="U31" s="198"/>
    </row>
    <row r="32" spans="1:21" s="12" customFormat="1" x14ac:dyDescent="0.25">
      <c r="A32" s="214" t="s">
        <v>1232</v>
      </c>
      <c r="B32" s="64">
        <v>8.27</v>
      </c>
      <c r="C32" s="64">
        <v>3.31</v>
      </c>
      <c r="D32" s="64">
        <v>12.14</v>
      </c>
      <c r="E32" s="64">
        <v>5.24</v>
      </c>
      <c r="F32" s="64">
        <v>3.86</v>
      </c>
      <c r="G32" s="64">
        <v>107.5</v>
      </c>
      <c r="H32" s="64">
        <v>34.549999999999997</v>
      </c>
      <c r="I32" s="64">
        <v>5.73</v>
      </c>
      <c r="J32" s="64">
        <v>0.42</v>
      </c>
      <c r="K32" s="64">
        <v>7.24</v>
      </c>
      <c r="L32" s="64">
        <v>27.04</v>
      </c>
      <c r="M32" s="64">
        <v>61.11</v>
      </c>
      <c r="N32" s="64">
        <v>58.9</v>
      </c>
      <c r="O32" s="64">
        <v>0</v>
      </c>
      <c r="P32" s="64">
        <v>0.46</v>
      </c>
      <c r="Q32" s="64">
        <v>9.51</v>
      </c>
      <c r="R32" s="198"/>
      <c r="S32" s="198"/>
      <c r="T32" s="198"/>
      <c r="U32" s="198"/>
    </row>
    <row r="33" spans="1:21" s="12" customFormat="1" x14ac:dyDescent="0.25">
      <c r="A33" s="214" t="s">
        <v>1233</v>
      </c>
      <c r="B33" s="64">
        <v>8.65</v>
      </c>
      <c r="C33" s="64">
        <v>4.4400000000000004</v>
      </c>
      <c r="D33" s="64">
        <v>13.03</v>
      </c>
      <c r="E33" s="64">
        <v>5.04</v>
      </c>
      <c r="F33" s="64">
        <v>3.79</v>
      </c>
      <c r="G33" s="64">
        <v>107.5</v>
      </c>
      <c r="H33" s="64">
        <v>34.549999999999997</v>
      </c>
      <c r="I33" s="64">
        <v>5.78</v>
      </c>
      <c r="J33" s="64">
        <v>0.32</v>
      </c>
      <c r="K33" s="64">
        <v>354.51</v>
      </c>
      <c r="L33" s="64">
        <v>27.42</v>
      </c>
      <c r="M33" s="64">
        <v>60.81</v>
      </c>
      <c r="N33" s="64">
        <v>84.5</v>
      </c>
      <c r="O33" s="64">
        <v>0</v>
      </c>
      <c r="P33" s="64">
        <v>0.45</v>
      </c>
      <c r="Q33" s="64">
        <v>9.51</v>
      </c>
      <c r="R33" s="198"/>
      <c r="S33" s="198"/>
      <c r="T33" s="198"/>
      <c r="U33" s="198"/>
    </row>
    <row r="34" spans="1:21" s="12" customFormat="1" x14ac:dyDescent="0.25">
      <c r="A34" s="214" t="s">
        <v>1234</v>
      </c>
      <c r="B34" s="64">
        <v>8.2899999999999991</v>
      </c>
      <c r="C34" s="64">
        <v>3.37</v>
      </c>
      <c r="D34" s="64">
        <v>12.19</v>
      </c>
      <c r="E34" s="64">
        <v>5.04</v>
      </c>
      <c r="F34" s="64">
        <v>3.89</v>
      </c>
      <c r="G34" s="64">
        <v>100.51</v>
      </c>
      <c r="H34" s="64">
        <v>35.64</v>
      </c>
      <c r="I34" s="64">
        <v>5.78</v>
      </c>
      <c r="J34" s="64">
        <v>0.28999999999999998</v>
      </c>
      <c r="K34" s="64">
        <v>15.31</v>
      </c>
      <c r="L34" s="64">
        <v>27.79</v>
      </c>
      <c r="M34" s="64">
        <v>60.3</v>
      </c>
      <c r="N34" s="64">
        <v>106</v>
      </c>
      <c r="O34" s="64">
        <v>0</v>
      </c>
      <c r="P34" s="64">
        <v>0.45</v>
      </c>
      <c r="Q34" s="64">
        <v>9.52</v>
      </c>
      <c r="R34" s="198"/>
      <c r="S34" s="198"/>
      <c r="T34" s="198"/>
      <c r="U34" s="198"/>
    </row>
    <row r="35" spans="1:21" s="12" customFormat="1" x14ac:dyDescent="0.25">
      <c r="A35" s="214" t="s">
        <v>1235</v>
      </c>
      <c r="B35" s="64">
        <v>8.2200000000000006</v>
      </c>
      <c r="C35" s="64">
        <v>3.26</v>
      </c>
      <c r="D35" s="64">
        <v>12.07</v>
      </c>
      <c r="E35" s="64">
        <v>5.03</v>
      </c>
      <c r="F35" s="64">
        <v>4.1900000000000004</v>
      </c>
      <c r="G35" s="64">
        <v>93.83</v>
      </c>
      <c r="H35" s="64">
        <v>36.68</v>
      </c>
      <c r="I35" s="64">
        <v>5.79</v>
      </c>
      <c r="J35" s="64">
        <v>0.56000000000000005</v>
      </c>
      <c r="K35" s="64">
        <v>12.55</v>
      </c>
      <c r="L35" s="64">
        <v>28.1</v>
      </c>
      <c r="M35" s="64">
        <v>60.88</v>
      </c>
      <c r="N35" s="64">
        <v>134.6</v>
      </c>
      <c r="O35" s="64">
        <v>0</v>
      </c>
      <c r="P35" s="64">
        <v>0.45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14" t="s">
        <v>1236</v>
      </c>
      <c r="B36" s="64">
        <v>8.24</v>
      </c>
      <c r="C36" s="64">
        <v>3.34</v>
      </c>
      <c r="D36" s="64">
        <v>12.12</v>
      </c>
      <c r="E36" s="64">
        <v>5.0999999999999996</v>
      </c>
      <c r="F36" s="64">
        <v>3.68</v>
      </c>
      <c r="G36" s="64">
        <v>93.83</v>
      </c>
      <c r="H36" s="64">
        <v>36.68</v>
      </c>
      <c r="I36" s="64">
        <v>5.78</v>
      </c>
      <c r="J36" s="64">
        <v>0.39</v>
      </c>
      <c r="K36" s="64">
        <v>22.25</v>
      </c>
      <c r="L36" s="64">
        <v>28.54</v>
      </c>
      <c r="M36" s="64">
        <v>61</v>
      </c>
      <c r="N36" s="64">
        <v>181.2</v>
      </c>
      <c r="O36" s="64">
        <v>0</v>
      </c>
      <c r="P36" s="64">
        <v>0.44</v>
      </c>
      <c r="Q36" s="64">
        <v>9.56</v>
      </c>
      <c r="R36" s="198"/>
      <c r="S36" s="198"/>
      <c r="T36" s="198"/>
      <c r="U36" s="198"/>
    </row>
    <row r="37" spans="1:21" s="12" customFormat="1" x14ac:dyDescent="0.25">
      <c r="A37" s="214" t="s">
        <v>1237</v>
      </c>
      <c r="B37" s="64">
        <v>8.51</v>
      </c>
      <c r="C37" s="64">
        <v>4.17</v>
      </c>
      <c r="D37" s="64">
        <v>12.78</v>
      </c>
      <c r="E37" s="64">
        <v>5.05</v>
      </c>
      <c r="F37" s="64">
        <v>3.97</v>
      </c>
      <c r="G37" s="64">
        <v>93.83</v>
      </c>
      <c r="H37" s="64">
        <v>36.68</v>
      </c>
      <c r="I37" s="64">
        <v>5.62</v>
      </c>
      <c r="J37" s="64">
        <v>0.54</v>
      </c>
      <c r="K37" s="64">
        <v>29.06</v>
      </c>
      <c r="L37" s="64">
        <v>29.67</v>
      </c>
      <c r="M37" s="64">
        <v>58.32</v>
      </c>
      <c r="N37" s="64">
        <v>218.1</v>
      </c>
      <c r="O37" s="64">
        <v>0</v>
      </c>
      <c r="P37" s="64">
        <v>0.42</v>
      </c>
      <c r="Q37" s="64">
        <v>9.5500000000000007</v>
      </c>
      <c r="R37" s="198"/>
      <c r="S37" s="198"/>
      <c r="T37" s="198"/>
      <c r="U37" s="198"/>
    </row>
    <row r="38" spans="1:21" s="12" customFormat="1" x14ac:dyDescent="0.25">
      <c r="A38" s="214" t="s">
        <v>1238</v>
      </c>
      <c r="B38" s="64">
        <v>8.3000000000000007</v>
      </c>
      <c r="C38" s="64">
        <v>3.54</v>
      </c>
      <c r="D38" s="64">
        <v>12.28</v>
      </c>
      <c r="E38" s="64">
        <v>5.25</v>
      </c>
      <c r="F38" s="64">
        <v>4.72</v>
      </c>
      <c r="G38" s="64">
        <v>92.75</v>
      </c>
      <c r="H38" s="64">
        <v>33.369999999999997</v>
      </c>
      <c r="I38" s="64">
        <v>5.36</v>
      </c>
      <c r="J38" s="64">
        <v>0.55000000000000004</v>
      </c>
      <c r="K38" s="64">
        <v>19.079999999999998</v>
      </c>
      <c r="L38" s="64">
        <v>29.78</v>
      </c>
      <c r="M38" s="64">
        <v>57.57</v>
      </c>
      <c r="N38" s="64">
        <v>269</v>
      </c>
      <c r="O38" s="64">
        <v>0</v>
      </c>
      <c r="P38" s="64">
        <v>0.44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4" t="s">
        <v>1239</v>
      </c>
      <c r="B39" s="64">
        <v>8.1999999999999993</v>
      </c>
      <c r="C39" s="64">
        <v>3.28</v>
      </c>
      <c r="D39" s="64">
        <v>12.07</v>
      </c>
      <c r="E39" s="64">
        <v>5.01</v>
      </c>
      <c r="F39" s="64">
        <v>4.58</v>
      </c>
      <c r="G39" s="64">
        <v>91.72</v>
      </c>
      <c r="H39" s="64">
        <v>30.34</v>
      </c>
      <c r="I39" s="64">
        <v>5.1100000000000003</v>
      </c>
      <c r="J39" s="64">
        <v>0.55000000000000004</v>
      </c>
      <c r="K39" s="64">
        <v>18.78</v>
      </c>
      <c r="L39" s="64">
        <v>29.97</v>
      </c>
      <c r="M39" s="64">
        <v>56.87</v>
      </c>
      <c r="N39" s="64">
        <v>326.8</v>
      </c>
      <c r="O39" s="64">
        <v>0</v>
      </c>
      <c r="P39" s="64">
        <v>0.42</v>
      </c>
      <c r="Q39" s="64">
        <v>9.56</v>
      </c>
      <c r="R39" s="198"/>
      <c r="S39" s="198"/>
      <c r="T39" s="198"/>
      <c r="U39" s="198"/>
    </row>
    <row r="40" spans="1:21" s="12" customFormat="1" x14ac:dyDescent="0.25">
      <c r="A40" s="214" t="s">
        <v>1240</v>
      </c>
      <c r="B40" s="64">
        <v>8.1999999999999993</v>
      </c>
      <c r="C40" s="64">
        <v>3.28</v>
      </c>
      <c r="D40" s="64">
        <v>12.07</v>
      </c>
      <c r="E40" s="64">
        <v>3.32</v>
      </c>
      <c r="F40" s="64">
        <v>5.73</v>
      </c>
      <c r="G40" s="64">
        <v>91.72</v>
      </c>
      <c r="H40" s="64">
        <v>30.34</v>
      </c>
      <c r="I40" s="64">
        <v>4.78</v>
      </c>
      <c r="J40" s="64">
        <v>0.45</v>
      </c>
      <c r="K40" s="64">
        <v>23.71</v>
      </c>
      <c r="L40" s="64">
        <v>31.09</v>
      </c>
      <c r="M40" s="64">
        <v>54.06</v>
      </c>
      <c r="N40" s="64">
        <v>369.9</v>
      </c>
      <c r="O40" s="64">
        <v>0</v>
      </c>
      <c r="P40" s="64">
        <v>0.41</v>
      </c>
      <c r="Q40" s="64">
        <v>9.5399999999999991</v>
      </c>
      <c r="R40" s="198"/>
      <c r="S40" s="198"/>
      <c r="T40" s="198"/>
      <c r="U40" s="198"/>
    </row>
    <row r="41" spans="1:21" s="12" customFormat="1" x14ac:dyDescent="0.25">
      <c r="A41" s="214" t="s">
        <v>1241</v>
      </c>
      <c r="B41" s="64">
        <v>8.5</v>
      </c>
      <c r="C41" s="64">
        <v>4.38</v>
      </c>
      <c r="D41" s="64">
        <v>12.88</v>
      </c>
      <c r="E41" s="64">
        <v>3.38</v>
      </c>
      <c r="F41" s="64">
        <v>4.53</v>
      </c>
      <c r="G41" s="64">
        <v>91.72</v>
      </c>
      <c r="H41" s="64">
        <v>30.34</v>
      </c>
      <c r="I41" s="64">
        <v>4.4000000000000004</v>
      </c>
      <c r="J41" s="64">
        <v>0.6</v>
      </c>
      <c r="K41" s="64">
        <v>17.079999999999998</v>
      </c>
      <c r="L41" s="64">
        <v>31.3</v>
      </c>
      <c r="M41" s="64">
        <v>53.04</v>
      </c>
      <c r="N41" s="64">
        <v>408.3</v>
      </c>
      <c r="O41" s="64">
        <v>0</v>
      </c>
      <c r="P41" s="64">
        <v>0.42</v>
      </c>
      <c r="Q41" s="64">
        <v>9.5399999999999991</v>
      </c>
      <c r="R41" s="198"/>
      <c r="S41" s="198"/>
      <c r="T41" s="198"/>
      <c r="U41" s="198"/>
    </row>
    <row r="42" spans="1:21" s="12" customFormat="1" x14ac:dyDescent="0.25">
      <c r="A42" s="214" t="s">
        <v>1242</v>
      </c>
      <c r="B42" s="64">
        <v>8.2799999999999994</v>
      </c>
      <c r="C42" s="64">
        <v>3.56</v>
      </c>
      <c r="D42" s="64">
        <v>12.27</v>
      </c>
      <c r="E42" s="64">
        <v>3.64</v>
      </c>
      <c r="F42" s="64">
        <v>4.8600000000000003</v>
      </c>
      <c r="G42" s="64">
        <v>87.6</v>
      </c>
      <c r="H42" s="64">
        <v>26.48</v>
      </c>
      <c r="I42" s="64">
        <v>4.17</v>
      </c>
      <c r="J42" s="64">
        <v>0.53</v>
      </c>
      <c r="K42" s="64">
        <v>10.74</v>
      </c>
      <c r="L42" s="64">
        <v>32.549999999999997</v>
      </c>
      <c r="M42" s="64">
        <v>49.89</v>
      </c>
      <c r="N42" s="64">
        <v>484</v>
      </c>
      <c r="O42" s="64">
        <v>0</v>
      </c>
      <c r="P42" s="64">
        <v>0.44</v>
      </c>
      <c r="Q42" s="64">
        <v>9.51</v>
      </c>
      <c r="R42" s="198"/>
      <c r="S42" s="198"/>
      <c r="T42" s="198"/>
      <c r="U42" s="198"/>
    </row>
    <row r="43" spans="1:21" s="12" customFormat="1" x14ac:dyDescent="0.25">
      <c r="A43" s="214" t="s">
        <v>1243</v>
      </c>
      <c r="B43" s="64">
        <v>8.18</v>
      </c>
      <c r="C43" s="64">
        <v>3.17</v>
      </c>
      <c r="D43" s="64">
        <v>11.99</v>
      </c>
      <c r="E43" s="64">
        <v>3.47</v>
      </c>
      <c r="F43" s="64">
        <v>5.69</v>
      </c>
      <c r="G43" s="64">
        <v>83.66</v>
      </c>
      <c r="H43" s="64">
        <v>22.95</v>
      </c>
      <c r="I43" s="64">
        <v>4.0599999999999996</v>
      </c>
      <c r="J43" s="64">
        <v>0.61</v>
      </c>
      <c r="K43" s="64">
        <v>5.6</v>
      </c>
      <c r="L43" s="64">
        <v>33.86</v>
      </c>
      <c r="M43" s="64">
        <v>46.15</v>
      </c>
      <c r="N43" s="64">
        <v>552.9</v>
      </c>
      <c r="O43" s="64">
        <v>0</v>
      </c>
      <c r="P43" s="64">
        <v>0.49</v>
      </c>
      <c r="Q43" s="64">
        <v>9.51</v>
      </c>
      <c r="R43" s="198"/>
      <c r="S43" s="198"/>
      <c r="T43" s="198"/>
      <c r="U43" s="198"/>
    </row>
    <row r="44" spans="1:21" s="12" customFormat="1" x14ac:dyDescent="0.25">
      <c r="A44" s="214" t="s">
        <v>1244</v>
      </c>
      <c r="B44" s="64">
        <v>8.15</v>
      </c>
      <c r="C44" s="64">
        <v>3.14</v>
      </c>
      <c r="D44" s="64">
        <v>11.95</v>
      </c>
      <c r="E44" s="64">
        <v>3.58</v>
      </c>
      <c r="F44" s="64">
        <v>4.8099999999999996</v>
      </c>
      <c r="G44" s="64">
        <v>83.66</v>
      </c>
      <c r="H44" s="64">
        <v>22.95</v>
      </c>
      <c r="I44" s="64">
        <v>4.03</v>
      </c>
      <c r="J44" s="64">
        <v>1</v>
      </c>
      <c r="K44" s="64">
        <v>314.08</v>
      </c>
      <c r="L44" s="64">
        <v>35.39</v>
      </c>
      <c r="M44" s="64">
        <v>41.95</v>
      </c>
      <c r="N44" s="64">
        <v>621.1</v>
      </c>
      <c r="O44" s="64">
        <v>0</v>
      </c>
      <c r="P44" s="64">
        <v>0.51</v>
      </c>
      <c r="Q44" s="64">
        <v>9.51</v>
      </c>
      <c r="R44" s="198"/>
      <c r="S44" s="198"/>
      <c r="T44" s="198"/>
      <c r="U44" s="198"/>
    </row>
    <row r="45" spans="1:21" s="12" customFormat="1" x14ac:dyDescent="0.25">
      <c r="A45" s="214" t="s">
        <v>1245</v>
      </c>
      <c r="B45" s="64">
        <v>8.18</v>
      </c>
      <c r="C45" s="64">
        <v>3.27</v>
      </c>
      <c r="D45" s="64">
        <v>12.05</v>
      </c>
      <c r="E45" s="64">
        <v>3.93</v>
      </c>
      <c r="F45" s="64">
        <v>5.2</v>
      </c>
      <c r="G45" s="64">
        <v>83.66</v>
      </c>
      <c r="H45" s="64">
        <v>22.95</v>
      </c>
      <c r="I45" s="64">
        <v>4.0999999999999996</v>
      </c>
      <c r="J45" s="64">
        <v>1.32</v>
      </c>
      <c r="K45" s="64">
        <v>323.17</v>
      </c>
      <c r="L45" s="64">
        <v>36.97</v>
      </c>
      <c r="M45" s="64">
        <v>38.4</v>
      </c>
      <c r="N45" s="64">
        <v>653.4</v>
      </c>
      <c r="O45" s="64">
        <v>0</v>
      </c>
      <c r="P45" s="64">
        <v>0.51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14" t="s">
        <v>1246</v>
      </c>
      <c r="B46" s="64">
        <v>8.48</v>
      </c>
      <c r="C46" s="64">
        <v>4.24</v>
      </c>
      <c r="D46" s="64">
        <v>12.79</v>
      </c>
      <c r="E46" s="64">
        <v>3.67</v>
      </c>
      <c r="F46" s="64">
        <v>5.05</v>
      </c>
      <c r="G46" s="64">
        <v>84.31</v>
      </c>
      <c r="H46" s="64">
        <v>23.45</v>
      </c>
      <c r="I46" s="64">
        <v>4.26</v>
      </c>
      <c r="J46" s="64">
        <v>0.96</v>
      </c>
      <c r="K46" s="64">
        <v>327.57</v>
      </c>
      <c r="L46" s="64">
        <v>37.25</v>
      </c>
      <c r="M46" s="64">
        <v>37.4</v>
      </c>
      <c r="N46" s="64">
        <v>688.5</v>
      </c>
      <c r="O46" s="64">
        <v>0</v>
      </c>
      <c r="P46" s="64">
        <v>0.5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14" t="s">
        <v>1247</v>
      </c>
      <c r="B47" s="64">
        <v>8.34</v>
      </c>
      <c r="C47" s="64">
        <v>3.76</v>
      </c>
      <c r="D47" s="64">
        <v>12.43</v>
      </c>
      <c r="E47" s="64">
        <v>3.57</v>
      </c>
      <c r="F47" s="64">
        <v>5.16</v>
      </c>
      <c r="G47" s="64">
        <v>84.93</v>
      </c>
      <c r="H47" s="64">
        <v>23.94</v>
      </c>
      <c r="I47" s="64">
        <v>4.1100000000000003</v>
      </c>
      <c r="J47" s="64">
        <v>1.34</v>
      </c>
      <c r="K47" s="64">
        <v>318.47000000000003</v>
      </c>
      <c r="L47" s="64">
        <v>37.89</v>
      </c>
      <c r="M47" s="64">
        <v>36.01</v>
      </c>
      <c r="N47" s="64">
        <v>740.3</v>
      </c>
      <c r="O47" s="64">
        <v>0</v>
      </c>
      <c r="P47" s="64">
        <v>0.49</v>
      </c>
      <c r="Q47" s="64">
        <v>9.41</v>
      </c>
      <c r="R47" s="198"/>
      <c r="S47" s="198"/>
      <c r="T47" s="198"/>
      <c r="U47" s="198"/>
    </row>
    <row r="48" spans="1:21" s="12" customFormat="1" x14ac:dyDescent="0.25">
      <c r="A48" s="214" t="s">
        <v>1248</v>
      </c>
      <c r="B48" s="64">
        <v>8.2100000000000009</v>
      </c>
      <c r="C48" s="64">
        <v>3.28</v>
      </c>
      <c r="D48" s="64">
        <v>12.07</v>
      </c>
      <c r="E48" s="64">
        <v>3.52</v>
      </c>
      <c r="F48" s="64">
        <v>5.22</v>
      </c>
      <c r="G48" s="64">
        <v>84.93</v>
      </c>
      <c r="H48" s="64">
        <v>23.94</v>
      </c>
      <c r="I48" s="64">
        <v>3.91</v>
      </c>
      <c r="J48" s="64">
        <v>1.19</v>
      </c>
      <c r="K48" s="64">
        <v>327.08</v>
      </c>
      <c r="L48" s="64">
        <v>38.47</v>
      </c>
      <c r="M48" s="64">
        <v>34.78</v>
      </c>
      <c r="N48" s="64">
        <v>767.1</v>
      </c>
      <c r="O48" s="64">
        <v>0</v>
      </c>
      <c r="P48" s="64">
        <v>0.49</v>
      </c>
      <c r="Q48" s="64">
        <v>9.39</v>
      </c>
      <c r="R48" s="198"/>
      <c r="S48" s="198"/>
      <c r="T48" s="198"/>
      <c r="U48" s="198"/>
    </row>
    <row r="49" spans="1:21" s="12" customFormat="1" x14ac:dyDescent="0.25">
      <c r="A49" s="214" t="s">
        <v>1249</v>
      </c>
      <c r="B49" s="64">
        <v>8.1999999999999993</v>
      </c>
      <c r="C49" s="64">
        <v>3.24</v>
      </c>
      <c r="D49" s="64">
        <v>12.04</v>
      </c>
      <c r="E49" s="64">
        <v>3.69</v>
      </c>
      <c r="F49" s="64">
        <v>5.08</v>
      </c>
      <c r="G49" s="64">
        <v>84.93</v>
      </c>
      <c r="H49" s="64">
        <v>23.94</v>
      </c>
      <c r="I49" s="64">
        <v>4.0199999999999996</v>
      </c>
      <c r="J49" s="64">
        <v>1.31</v>
      </c>
      <c r="K49" s="64">
        <v>319.63</v>
      </c>
      <c r="L49" s="64">
        <v>38.950000000000003</v>
      </c>
      <c r="M49" s="64">
        <v>34.229999999999997</v>
      </c>
      <c r="N49" s="64">
        <v>786.2</v>
      </c>
      <c r="O49" s="64">
        <v>0</v>
      </c>
      <c r="P49" s="64">
        <v>0.5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4" t="s">
        <v>1250</v>
      </c>
      <c r="B50" s="64">
        <v>8.2100000000000009</v>
      </c>
      <c r="C50" s="64">
        <v>3.24</v>
      </c>
      <c r="D50" s="64">
        <v>12.05</v>
      </c>
      <c r="E50" s="64">
        <v>3.38</v>
      </c>
      <c r="F50" s="64">
        <v>5.19</v>
      </c>
      <c r="G50" s="64">
        <v>81.09</v>
      </c>
      <c r="H50" s="64">
        <v>25.29</v>
      </c>
      <c r="I50" s="64">
        <v>3.92</v>
      </c>
      <c r="J50" s="64">
        <v>1.24</v>
      </c>
      <c r="K50" s="64">
        <v>324.27</v>
      </c>
      <c r="L50" s="64">
        <v>39.22</v>
      </c>
      <c r="M50" s="64">
        <v>33.43</v>
      </c>
      <c r="N50" s="64">
        <v>809.6</v>
      </c>
      <c r="O50" s="64">
        <v>0</v>
      </c>
      <c r="P50" s="64">
        <v>0.5</v>
      </c>
      <c r="Q50" s="64">
        <v>9.41</v>
      </c>
      <c r="R50" s="198"/>
      <c r="S50" s="198"/>
      <c r="T50" s="198"/>
      <c r="U50" s="198"/>
    </row>
    <row r="51" spans="1:21" s="12" customFormat="1" x14ac:dyDescent="0.25">
      <c r="A51" s="214" t="s">
        <v>1251</v>
      </c>
      <c r="B51" s="64">
        <v>8.24</v>
      </c>
      <c r="C51" s="64">
        <v>3.3</v>
      </c>
      <c r="D51" s="64">
        <v>12.1</v>
      </c>
      <c r="E51" s="64">
        <v>3.57</v>
      </c>
      <c r="F51" s="64">
        <v>5.78</v>
      </c>
      <c r="G51" s="64">
        <v>77.42</v>
      </c>
      <c r="H51" s="64">
        <v>26.52</v>
      </c>
      <c r="I51" s="64">
        <v>3.81</v>
      </c>
      <c r="J51" s="64">
        <v>1.52</v>
      </c>
      <c r="K51" s="64">
        <v>331.29</v>
      </c>
      <c r="L51" s="64">
        <v>39.51</v>
      </c>
      <c r="M51" s="64">
        <v>32.78</v>
      </c>
      <c r="N51" s="64">
        <v>824.9</v>
      </c>
      <c r="O51" s="64">
        <v>0</v>
      </c>
      <c r="P51" s="64">
        <v>0.5</v>
      </c>
      <c r="Q51" s="64">
        <v>9.41</v>
      </c>
      <c r="R51" s="198"/>
      <c r="S51" s="198"/>
      <c r="T51" s="198"/>
      <c r="U51" s="198"/>
    </row>
    <row r="52" spans="1:21" s="12" customFormat="1" x14ac:dyDescent="0.25">
      <c r="A52" s="214" t="s">
        <v>1252</v>
      </c>
      <c r="B52" s="64">
        <v>8.39</v>
      </c>
      <c r="C52" s="64">
        <v>3.91</v>
      </c>
      <c r="D52" s="64">
        <v>12.54</v>
      </c>
      <c r="E52" s="64">
        <v>3.43</v>
      </c>
      <c r="F52" s="64">
        <v>5.91</v>
      </c>
      <c r="G52" s="64">
        <v>77.42</v>
      </c>
      <c r="H52" s="64">
        <v>26.52</v>
      </c>
      <c r="I52" s="64">
        <v>3.79</v>
      </c>
      <c r="J52" s="64">
        <v>1.59</v>
      </c>
      <c r="K52" s="64">
        <v>332.99</v>
      </c>
      <c r="L52" s="64">
        <v>40.21</v>
      </c>
      <c r="M52" s="64">
        <v>31.3</v>
      </c>
      <c r="N52" s="64">
        <v>842.8</v>
      </c>
      <c r="O52" s="64">
        <v>0</v>
      </c>
      <c r="P52" s="64">
        <v>0.51</v>
      </c>
      <c r="Q52" s="64">
        <v>9.42</v>
      </c>
      <c r="R52" s="198"/>
      <c r="S52" s="198"/>
      <c r="T52" s="198"/>
      <c r="U52" s="198"/>
    </row>
    <row r="53" spans="1:21" s="12" customFormat="1" x14ac:dyDescent="0.25">
      <c r="A53" s="214" t="s">
        <v>1253</v>
      </c>
      <c r="B53" s="64">
        <v>8.41</v>
      </c>
      <c r="C53" s="64">
        <v>4.16</v>
      </c>
      <c r="D53" s="64">
        <v>12.69</v>
      </c>
      <c r="E53" s="64">
        <v>3.48</v>
      </c>
      <c r="F53" s="64">
        <v>6.21</v>
      </c>
      <c r="G53" s="64">
        <v>77.42</v>
      </c>
      <c r="H53" s="64">
        <v>26.52</v>
      </c>
      <c r="I53" s="64">
        <v>3.8</v>
      </c>
      <c r="J53" s="64">
        <v>2.17</v>
      </c>
      <c r="K53" s="64">
        <v>340.02</v>
      </c>
      <c r="L53" s="64">
        <v>40.21</v>
      </c>
      <c r="M53" s="64">
        <v>29.42</v>
      </c>
      <c r="N53" s="64">
        <v>868.1</v>
      </c>
      <c r="O53" s="64">
        <v>0</v>
      </c>
      <c r="P53" s="64">
        <v>0.52</v>
      </c>
      <c r="Q53" s="64">
        <v>9.49</v>
      </c>
      <c r="R53" s="198"/>
      <c r="S53" s="198"/>
      <c r="T53" s="198"/>
      <c r="U53" s="198"/>
    </row>
    <row r="54" spans="1:21" s="12" customFormat="1" x14ac:dyDescent="0.25">
      <c r="A54" s="214" t="s">
        <v>1254</v>
      </c>
      <c r="B54" s="64">
        <v>8.23</v>
      </c>
      <c r="C54" s="64">
        <v>3.35</v>
      </c>
      <c r="D54" s="64">
        <v>12.12</v>
      </c>
      <c r="E54" s="64">
        <v>3.62</v>
      </c>
      <c r="F54" s="64">
        <v>6.33</v>
      </c>
      <c r="G54" s="64">
        <v>74.819999999999993</v>
      </c>
      <c r="H54" s="64">
        <v>27.83</v>
      </c>
      <c r="I54" s="64">
        <v>3.88</v>
      </c>
      <c r="J54" s="64">
        <v>1.81</v>
      </c>
      <c r="K54" s="64">
        <v>325.62</v>
      </c>
      <c r="L54" s="64">
        <v>39.85</v>
      </c>
      <c r="M54" s="64">
        <v>29.51</v>
      </c>
      <c r="N54" s="64">
        <v>860.7</v>
      </c>
      <c r="O54" s="64">
        <v>0</v>
      </c>
      <c r="P54" s="64">
        <v>0.52</v>
      </c>
      <c r="Q54" s="64">
        <v>9.48</v>
      </c>
      <c r="R54" s="198"/>
      <c r="S54" s="198"/>
      <c r="T54" s="198"/>
      <c r="U54" s="198"/>
    </row>
    <row r="55" spans="1:21" s="12" customFormat="1" x14ac:dyDescent="0.25">
      <c r="A55" s="214" t="s">
        <v>1255</v>
      </c>
      <c r="B55" s="64">
        <v>8.17</v>
      </c>
      <c r="C55" s="64">
        <v>3.22</v>
      </c>
      <c r="D55" s="64">
        <v>12.01</v>
      </c>
      <c r="E55" s="64">
        <v>3.8</v>
      </c>
      <c r="F55" s="64">
        <v>7.04</v>
      </c>
      <c r="G55" s="64">
        <v>72.319999999999993</v>
      </c>
      <c r="H55" s="64">
        <v>29.04</v>
      </c>
      <c r="I55" s="64">
        <v>3.86</v>
      </c>
      <c r="J55" s="64">
        <v>1.32</v>
      </c>
      <c r="K55" s="64">
        <v>335.67</v>
      </c>
      <c r="L55" s="64">
        <v>39.840000000000003</v>
      </c>
      <c r="M55" s="64">
        <v>29.07</v>
      </c>
      <c r="N55" s="64">
        <v>847.9</v>
      </c>
      <c r="O55" s="64">
        <v>0</v>
      </c>
      <c r="P55" s="64">
        <v>0.52</v>
      </c>
      <c r="Q55" s="64">
        <v>9.5</v>
      </c>
      <c r="R55" s="198"/>
      <c r="S55" s="198"/>
      <c r="T55" s="198"/>
      <c r="U55" s="198"/>
    </row>
    <row r="56" spans="1:21" s="12" customFormat="1" x14ac:dyDescent="0.25">
      <c r="A56" s="214" t="s">
        <v>1256</v>
      </c>
      <c r="B56" s="64">
        <v>8.24</v>
      </c>
      <c r="C56" s="64">
        <v>3.49</v>
      </c>
      <c r="D56" s="64">
        <v>12.2</v>
      </c>
      <c r="E56" s="64">
        <v>3.64</v>
      </c>
      <c r="F56" s="64">
        <v>6.87</v>
      </c>
      <c r="G56" s="64">
        <v>72.319999999999993</v>
      </c>
      <c r="H56" s="64">
        <v>29.04</v>
      </c>
      <c r="I56" s="64">
        <v>3.76</v>
      </c>
      <c r="J56" s="64">
        <v>1.53</v>
      </c>
      <c r="K56" s="64">
        <v>334.48</v>
      </c>
      <c r="L56" s="64">
        <v>40.26</v>
      </c>
      <c r="M56" s="64">
        <v>28.53</v>
      </c>
      <c r="N56" s="64">
        <v>844.3</v>
      </c>
      <c r="O56" s="64">
        <v>0</v>
      </c>
      <c r="P56" s="64">
        <v>0.52</v>
      </c>
      <c r="Q56" s="64">
        <v>9.49</v>
      </c>
      <c r="R56" s="198"/>
      <c r="S56" s="198"/>
      <c r="T56" s="198"/>
      <c r="U56" s="198"/>
    </row>
    <row r="57" spans="1:21" s="12" customFormat="1" x14ac:dyDescent="0.25">
      <c r="A57" s="214" t="s">
        <v>1257</v>
      </c>
      <c r="B57" s="64">
        <v>8.4600000000000009</v>
      </c>
      <c r="C57" s="64">
        <v>4.6100000000000003</v>
      </c>
      <c r="D57" s="64">
        <v>12.96</v>
      </c>
      <c r="E57" s="64">
        <v>3.16</v>
      </c>
      <c r="F57" s="64">
        <v>6.63</v>
      </c>
      <c r="G57" s="64">
        <v>72.319999999999993</v>
      </c>
      <c r="H57" s="64">
        <v>29.04</v>
      </c>
      <c r="I57" s="64">
        <v>3.64</v>
      </c>
      <c r="J57" s="64">
        <v>1.1100000000000001</v>
      </c>
      <c r="K57" s="64">
        <v>323.29000000000002</v>
      </c>
      <c r="L57" s="64">
        <v>40.520000000000003</v>
      </c>
      <c r="M57" s="64">
        <v>27.7</v>
      </c>
      <c r="N57" s="64">
        <v>832.4</v>
      </c>
      <c r="O57" s="64">
        <v>0</v>
      </c>
      <c r="P57" s="64">
        <v>0.52</v>
      </c>
      <c r="Q57" s="64">
        <v>9.5</v>
      </c>
      <c r="R57" s="198"/>
      <c r="S57" s="198"/>
      <c r="T57" s="198"/>
      <c r="U57" s="198"/>
    </row>
    <row r="58" spans="1:21" s="12" customFormat="1" x14ac:dyDescent="0.25">
      <c r="A58" s="214" t="s">
        <v>1258</v>
      </c>
      <c r="B58" s="64">
        <v>8.2100000000000009</v>
      </c>
      <c r="C58" s="64">
        <v>3.43</v>
      </c>
      <c r="D58" s="64">
        <v>12.15</v>
      </c>
      <c r="E58" s="64">
        <v>3.56</v>
      </c>
      <c r="F58" s="64">
        <v>7.16</v>
      </c>
      <c r="G58" s="64">
        <v>69.45</v>
      </c>
      <c r="H58" s="64">
        <v>27.31</v>
      </c>
      <c r="I58" s="64">
        <v>3.56</v>
      </c>
      <c r="J58" s="64">
        <v>1.26</v>
      </c>
      <c r="K58" s="64">
        <v>326.08999999999997</v>
      </c>
      <c r="L58" s="64">
        <v>40.24</v>
      </c>
      <c r="M58" s="64">
        <v>27.71</v>
      </c>
      <c r="N58" s="64">
        <v>822.6</v>
      </c>
      <c r="O58" s="64">
        <v>0</v>
      </c>
      <c r="P58" s="64">
        <v>0.51</v>
      </c>
      <c r="Q58" s="64">
        <v>9.51</v>
      </c>
      <c r="R58" s="198"/>
      <c r="S58" s="198"/>
      <c r="T58" s="198"/>
      <c r="U58" s="198"/>
    </row>
    <row r="59" spans="1:21" s="12" customFormat="1" x14ac:dyDescent="0.25">
      <c r="A59" s="214" t="s">
        <v>1259</v>
      </c>
      <c r="B59" s="64">
        <v>8.16</v>
      </c>
      <c r="C59" s="64">
        <v>3.27</v>
      </c>
      <c r="D59" s="64">
        <v>12.03</v>
      </c>
      <c r="E59" s="64">
        <v>3.45</v>
      </c>
      <c r="F59" s="64">
        <v>7.43</v>
      </c>
      <c r="G59" s="64">
        <v>66.7</v>
      </c>
      <c r="H59" s="64">
        <v>25.65</v>
      </c>
      <c r="I59" s="64">
        <v>3.49</v>
      </c>
      <c r="J59" s="64">
        <v>1.08</v>
      </c>
      <c r="K59" s="64">
        <v>342.78</v>
      </c>
      <c r="L59" s="64">
        <v>40.840000000000003</v>
      </c>
      <c r="M59" s="64">
        <v>26.15</v>
      </c>
      <c r="N59" s="64">
        <v>820.2</v>
      </c>
      <c r="O59" s="64">
        <v>0</v>
      </c>
      <c r="P59" s="64">
        <v>0.5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14" t="s">
        <v>1260</v>
      </c>
      <c r="B60" s="64">
        <v>8.26</v>
      </c>
      <c r="C60" s="64">
        <v>3.69</v>
      </c>
      <c r="D60" s="64">
        <v>12.33</v>
      </c>
      <c r="E60" s="64">
        <v>3.45</v>
      </c>
      <c r="F60" s="64">
        <v>7.16</v>
      </c>
      <c r="G60" s="64">
        <v>66.7</v>
      </c>
      <c r="H60" s="64">
        <v>25.65</v>
      </c>
      <c r="I60" s="64">
        <v>3.41</v>
      </c>
      <c r="J60" s="64">
        <v>0.95</v>
      </c>
      <c r="K60" s="64">
        <v>321.47000000000003</v>
      </c>
      <c r="L60" s="64">
        <v>40.75</v>
      </c>
      <c r="M60" s="64">
        <v>25.89</v>
      </c>
      <c r="N60" s="64">
        <v>799</v>
      </c>
      <c r="O60" s="64">
        <v>0</v>
      </c>
      <c r="P60" s="64">
        <v>0.49</v>
      </c>
      <c r="Q60" s="64">
        <v>9.44</v>
      </c>
      <c r="R60" s="198"/>
      <c r="S60" s="198"/>
      <c r="T60" s="198"/>
      <c r="U60" s="198"/>
    </row>
    <row r="61" spans="1:21" s="12" customFormat="1" x14ac:dyDescent="0.25">
      <c r="A61" s="214" t="s">
        <v>1261</v>
      </c>
      <c r="B61" s="64">
        <v>8.35</v>
      </c>
      <c r="C61" s="64">
        <v>4.17</v>
      </c>
      <c r="D61" s="64">
        <v>12.65</v>
      </c>
      <c r="E61" s="64">
        <v>3.35</v>
      </c>
      <c r="F61" s="64">
        <v>6.88</v>
      </c>
      <c r="G61" s="64">
        <v>66.7</v>
      </c>
      <c r="H61" s="64">
        <v>25.65</v>
      </c>
      <c r="I61" s="64">
        <v>3.55</v>
      </c>
      <c r="J61" s="64">
        <v>1.75</v>
      </c>
      <c r="K61" s="64">
        <v>328.85</v>
      </c>
      <c r="L61" s="64">
        <v>40.92</v>
      </c>
      <c r="M61" s="64">
        <v>25.43</v>
      </c>
      <c r="N61" s="64">
        <v>769.6</v>
      </c>
      <c r="O61" s="64">
        <v>0</v>
      </c>
      <c r="P61" s="64">
        <v>0.47</v>
      </c>
      <c r="Q61" s="64">
        <v>9.44</v>
      </c>
      <c r="R61" s="198"/>
      <c r="S61" s="198"/>
      <c r="T61" s="198"/>
      <c r="U61" s="198"/>
    </row>
    <row r="62" spans="1:21" s="12" customFormat="1" x14ac:dyDescent="0.25">
      <c r="A62" s="214" t="s">
        <v>1262</v>
      </c>
      <c r="B62" s="64">
        <v>8.16</v>
      </c>
      <c r="C62" s="64">
        <v>3.32</v>
      </c>
      <c r="D62" s="64">
        <v>12.05</v>
      </c>
      <c r="E62" s="64">
        <v>3.56</v>
      </c>
      <c r="F62" s="64">
        <v>6.8</v>
      </c>
      <c r="G62" s="64">
        <v>67.92</v>
      </c>
      <c r="H62" s="64">
        <v>28.28</v>
      </c>
      <c r="I62" s="64">
        <v>3.39</v>
      </c>
      <c r="J62" s="64">
        <v>1.32</v>
      </c>
      <c r="K62" s="64">
        <v>321.48</v>
      </c>
      <c r="L62" s="64">
        <v>41.17</v>
      </c>
      <c r="M62" s="64">
        <v>25.28</v>
      </c>
      <c r="N62" s="64">
        <v>719.9</v>
      </c>
      <c r="O62" s="64">
        <v>0</v>
      </c>
      <c r="P62" s="64">
        <v>0.48</v>
      </c>
      <c r="Q62" s="64">
        <v>9.44</v>
      </c>
      <c r="R62" s="198"/>
      <c r="S62" s="198"/>
      <c r="T62" s="198"/>
      <c r="U62" s="198"/>
    </row>
    <row r="63" spans="1:21" s="12" customFormat="1" x14ac:dyDescent="0.25">
      <c r="A63" s="214" t="s">
        <v>1263</v>
      </c>
      <c r="B63" s="64">
        <v>8.2100000000000009</v>
      </c>
      <c r="C63" s="64">
        <v>3.47</v>
      </c>
      <c r="D63" s="64">
        <v>12.17</v>
      </c>
      <c r="E63" s="64">
        <v>4.05</v>
      </c>
      <c r="F63" s="64">
        <v>6.95</v>
      </c>
      <c r="G63" s="64">
        <v>69.069999999999993</v>
      </c>
      <c r="H63" s="64">
        <v>30.69</v>
      </c>
      <c r="I63" s="64">
        <v>3.13</v>
      </c>
      <c r="J63" s="64">
        <v>1.1200000000000001</v>
      </c>
      <c r="K63" s="64">
        <v>320.32</v>
      </c>
      <c r="L63" s="64">
        <v>41.3</v>
      </c>
      <c r="M63" s="64">
        <v>24.81</v>
      </c>
      <c r="N63" s="64">
        <v>699.6</v>
      </c>
      <c r="O63" s="64">
        <v>0</v>
      </c>
      <c r="P63" s="64">
        <v>0.48</v>
      </c>
      <c r="Q63" s="64">
        <v>9.43</v>
      </c>
      <c r="R63" s="198"/>
      <c r="S63" s="198"/>
      <c r="T63" s="198"/>
      <c r="U63" s="198"/>
    </row>
    <row r="64" spans="1:21" s="12" customFormat="1" x14ac:dyDescent="0.25">
      <c r="A64" s="214" t="s">
        <v>1264</v>
      </c>
      <c r="B64" s="64">
        <v>8.44</v>
      </c>
      <c r="C64" s="64">
        <v>4.41</v>
      </c>
      <c r="D64" s="64">
        <v>12.84</v>
      </c>
      <c r="E64" s="64">
        <v>3.42</v>
      </c>
      <c r="F64" s="64">
        <v>6.63</v>
      </c>
      <c r="G64" s="64">
        <v>69.069999999999993</v>
      </c>
      <c r="H64" s="64">
        <v>30.69</v>
      </c>
      <c r="I64" s="64">
        <v>3.07</v>
      </c>
      <c r="J64" s="64">
        <v>0.87</v>
      </c>
      <c r="K64" s="64">
        <v>350.37</v>
      </c>
      <c r="L64" s="64">
        <v>40.99</v>
      </c>
      <c r="M64" s="64">
        <v>25.28</v>
      </c>
      <c r="N64" s="64">
        <v>648.1</v>
      </c>
      <c r="O64" s="64">
        <v>0</v>
      </c>
      <c r="P64" s="64">
        <v>0.48</v>
      </c>
      <c r="Q64" s="64">
        <v>9.41</v>
      </c>
      <c r="R64" s="198"/>
      <c r="S64" s="198"/>
      <c r="T64" s="198"/>
      <c r="U64" s="198"/>
    </row>
    <row r="65" spans="1:21" s="12" customFormat="1" x14ac:dyDescent="0.25">
      <c r="A65" s="214" t="s">
        <v>1265</v>
      </c>
      <c r="B65" s="64">
        <v>8.1999999999999993</v>
      </c>
      <c r="C65" s="64">
        <v>3.37</v>
      </c>
      <c r="D65" s="64">
        <v>12.11</v>
      </c>
      <c r="E65" s="64">
        <v>3.41</v>
      </c>
      <c r="F65" s="64">
        <v>6.27</v>
      </c>
      <c r="G65" s="64">
        <v>69.069999999999993</v>
      </c>
      <c r="H65" s="64">
        <v>30.69</v>
      </c>
      <c r="I65" s="64">
        <v>3.21</v>
      </c>
      <c r="J65" s="64">
        <v>0.48</v>
      </c>
      <c r="K65" s="64">
        <v>335.06</v>
      </c>
      <c r="L65" s="64">
        <v>40</v>
      </c>
      <c r="M65" s="64">
        <v>27.18</v>
      </c>
      <c r="N65" s="64">
        <v>636.5</v>
      </c>
      <c r="O65" s="64">
        <v>0</v>
      </c>
      <c r="P65" s="64">
        <v>0.47</v>
      </c>
      <c r="Q65" s="64">
        <v>9.3800000000000008</v>
      </c>
      <c r="R65" s="198"/>
      <c r="S65" s="198"/>
      <c r="T65" s="198"/>
      <c r="U65" s="198"/>
    </row>
    <row r="66" spans="1:21" s="12" customFormat="1" x14ac:dyDescent="0.25">
      <c r="A66" s="214" t="s">
        <v>1266</v>
      </c>
      <c r="B66" s="64">
        <v>8.17</v>
      </c>
      <c r="C66" s="64">
        <v>3.18</v>
      </c>
      <c r="D66" s="64">
        <v>11.98</v>
      </c>
      <c r="E66" s="64">
        <v>3.33</v>
      </c>
      <c r="F66" s="64">
        <v>6.1</v>
      </c>
      <c r="G66" s="64">
        <v>72.47</v>
      </c>
      <c r="H66" s="64">
        <v>33.090000000000003</v>
      </c>
      <c r="I66" s="64">
        <v>3.59</v>
      </c>
      <c r="J66" s="64">
        <v>0.99</v>
      </c>
      <c r="K66" s="64">
        <v>331.03</v>
      </c>
      <c r="L66" s="64">
        <v>40.42</v>
      </c>
      <c r="M66" s="64">
        <v>25.83</v>
      </c>
      <c r="N66" s="64">
        <v>575.6</v>
      </c>
      <c r="O66" s="64">
        <v>0</v>
      </c>
      <c r="P66" s="64">
        <v>0.47</v>
      </c>
      <c r="Q66" s="64">
        <v>9.3800000000000008</v>
      </c>
      <c r="R66" s="198"/>
      <c r="S66" s="198"/>
      <c r="T66" s="198"/>
      <c r="U66" s="198"/>
    </row>
    <row r="67" spans="1:21" s="12" customFormat="1" x14ac:dyDescent="0.25">
      <c r="A67" s="214" t="s">
        <v>1267</v>
      </c>
      <c r="B67" s="64">
        <v>8.19</v>
      </c>
      <c r="C67" s="64">
        <v>3.29</v>
      </c>
      <c r="D67" s="64">
        <v>12.06</v>
      </c>
      <c r="E67" s="64">
        <v>3.51</v>
      </c>
      <c r="F67" s="64">
        <v>5.92</v>
      </c>
      <c r="G67" s="64">
        <v>75.73</v>
      </c>
      <c r="H67" s="64">
        <v>35.39</v>
      </c>
      <c r="I67" s="64">
        <v>4.08</v>
      </c>
      <c r="J67" s="64">
        <v>0.9</v>
      </c>
      <c r="K67" s="64">
        <v>357.18</v>
      </c>
      <c r="L67" s="64">
        <v>39.31</v>
      </c>
      <c r="M67" s="64">
        <v>27.05</v>
      </c>
      <c r="N67" s="64">
        <v>426.7</v>
      </c>
      <c r="O67" s="64">
        <v>0</v>
      </c>
      <c r="P67" s="64">
        <v>0.47</v>
      </c>
      <c r="Q67" s="64">
        <v>9.3699999999999992</v>
      </c>
      <c r="R67" s="198"/>
      <c r="S67" s="198"/>
      <c r="T67" s="198"/>
      <c r="U67" s="198"/>
    </row>
    <row r="68" spans="1:21" s="12" customFormat="1" x14ac:dyDescent="0.25">
      <c r="A68" s="214" t="s">
        <v>1268</v>
      </c>
      <c r="B68" s="64">
        <v>8.16</v>
      </c>
      <c r="C68" s="64">
        <v>3.19</v>
      </c>
      <c r="D68" s="64">
        <v>11.98</v>
      </c>
      <c r="E68" s="64">
        <v>3.45</v>
      </c>
      <c r="F68" s="64">
        <v>6.12</v>
      </c>
      <c r="G68" s="64">
        <v>75.73</v>
      </c>
      <c r="H68" s="64">
        <v>35.39</v>
      </c>
      <c r="I68" s="64">
        <v>4.43</v>
      </c>
      <c r="J68" s="64">
        <v>1.08</v>
      </c>
      <c r="K68" s="64">
        <v>16.8</v>
      </c>
      <c r="L68" s="64">
        <v>38.03</v>
      </c>
      <c r="M68" s="64">
        <v>28.5</v>
      </c>
      <c r="N68" s="64">
        <v>261.89999999999998</v>
      </c>
      <c r="O68" s="64">
        <v>0</v>
      </c>
      <c r="P68" s="64">
        <v>0.47</v>
      </c>
      <c r="Q68" s="64">
        <v>9.3699999999999992</v>
      </c>
      <c r="R68" s="198"/>
      <c r="S68" s="198"/>
      <c r="T68" s="198"/>
      <c r="U68" s="198"/>
    </row>
    <row r="69" spans="1:21" s="12" customFormat="1" x14ac:dyDescent="0.25">
      <c r="A69" s="214" t="s">
        <v>1269</v>
      </c>
      <c r="B69" s="64">
        <v>8.17</v>
      </c>
      <c r="C69" s="64">
        <v>3.24</v>
      </c>
      <c r="D69" s="64">
        <v>12.02</v>
      </c>
      <c r="E69" s="64">
        <v>3.53</v>
      </c>
      <c r="F69" s="64">
        <v>6.17</v>
      </c>
      <c r="G69" s="64">
        <v>75.73</v>
      </c>
      <c r="H69" s="64">
        <v>35.39</v>
      </c>
      <c r="I69" s="64">
        <v>4.9400000000000004</v>
      </c>
      <c r="J69" s="64">
        <v>2.0299999999999998</v>
      </c>
      <c r="K69" s="64">
        <v>345.48</v>
      </c>
      <c r="L69" s="64">
        <v>38.020000000000003</v>
      </c>
      <c r="M69" s="64">
        <v>28.26</v>
      </c>
      <c r="N69" s="64">
        <v>210.1</v>
      </c>
      <c r="O69" s="64">
        <v>0</v>
      </c>
      <c r="P69" s="64">
        <v>0.47</v>
      </c>
      <c r="Q69" s="64">
        <v>9.36</v>
      </c>
      <c r="R69" s="198"/>
      <c r="S69" s="198"/>
      <c r="T69" s="198"/>
      <c r="U69" s="198"/>
    </row>
    <row r="70" spans="1:21" s="12" customFormat="1" x14ac:dyDescent="0.25">
      <c r="A70" s="214" t="s">
        <v>1270</v>
      </c>
      <c r="B70" s="64">
        <v>8.5399999999999991</v>
      </c>
      <c r="C70" s="64">
        <v>4.6399999999999997</v>
      </c>
      <c r="D70" s="64">
        <v>13.05</v>
      </c>
      <c r="E70" s="64">
        <v>3.37</v>
      </c>
      <c r="F70" s="64">
        <v>5.58</v>
      </c>
      <c r="G70" s="64">
        <v>80.03</v>
      </c>
      <c r="H70" s="64">
        <v>34.25</v>
      </c>
      <c r="I70" s="64">
        <v>5.85</v>
      </c>
      <c r="J70" s="64">
        <v>1.53</v>
      </c>
      <c r="K70" s="64">
        <v>343.3</v>
      </c>
      <c r="L70" s="64">
        <v>38.06</v>
      </c>
      <c r="M70" s="64">
        <v>28.55</v>
      </c>
      <c r="N70" s="64">
        <v>264.5</v>
      </c>
      <c r="O70" s="64">
        <v>0</v>
      </c>
      <c r="P70" s="64">
        <v>0.47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4" t="s">
        <v>1271</v>
      </c>
      <c r="B71" s="64">
        <v>8.23</v>
      </c>
      <c r="C71" s="64">
        <v>3.43</v>
      </c>
      <c r="D71" s="64">
        <v>12.17</v>
      </c>
      <c r="E71" s="64">
        <v>3.16</v>
      </c>
      <c r="F71" s="64">
        <v>6.21</v>
      </c>
      <c r="G71" s="64">
        <v>83.97</v>
      </c>
      <c r="H71" s="64">
        <v>33.21</v>
      </c>
      <c r="I71" s="64">
        <v>6.28</v>
      </c>
      <c r="J71" s="64">
        <v>3.25</v>
      </c>
      <c r="K71" s="64">
        <v>343.76</v>
      </c>
      <c r="L71" s="64">
        <v>35.28</v>
      </c>
      <c r="M71" s="64">
        <v>35.770000000000003</v>
      </c>
      <c r="N71" s="64">
        <v>219.1</v>
      </c>
      <c r="O71" s="64">
        <v>0</v>
      </c>
      <c r="P71" s="64">
        <v>0.47</v>
      </c>
      <c r="Q71" s="64">
        <v>9.43</v>
      </c>
      <c r="R71" s="198"/>
      <c r="S71" s="198"/>
      <c r="T71" s="198"/>
      <c r="U71" s="198"/>
    </row>
    <row r="72" spans="1:21" s="12" customFormat="1" x14ac:dyDescent="0.25">
      <c r="A72" s="214" t="s">
        <v>1272</v>
      </c>
      <c r="B72" s="64">
        <v>8.17</v>
      </c>
      <c r="C72" s="64">
        <v>3.32</v>
      </c>
      <c r="D72" s="64">
        <v>12.06</v>
      </c>
      <c r="E72" s="64">
        <v>4.42</v>
      </c>
      <c r="F72" s="64">
        <v>7.12</v>
      </c>
      <c r="G72" s="64">
        <v>83.97</v>
      </c>
      <c r="H72" s="64">
        <v>33.21</v>
      </c>
      <c r="I72" s="64">
        <v>6.63</v>
      </c>
      <c r="J72" s="64">
        <v>3.33</v>
      </c>
      <c r="K72" s="64">
        <v>345.55</v>
      </c>
      <c r="L72" s="64">
        <v>33.07</v>
      </c>
      <c r="M72" s="64">
        <v>35.21</v>
      </c>
      <c r="N72" s="64">
        <v>132.5</v>
      </c>
      <c r="O72" s="64">
        <v>0</v>
      </c>
      <c r="P72" s="64">
        <v>0.44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14" t="s">
        <v>1273</v>
      </c>
      <c r="B73" s="64">
        <v>8.14</v>
      </c>
      <c r="C73" s="64">
        <v>3.24</v>
      </c>
      <c r="D73" s="64">
        <v>11.99</v>
      </c>
      <c r="E73" s="64">
        <v>4.3</v>
      </c>
      <c r="F73" s="64">
        <v>7.7</v>
      </c>
      <c r="G73" s="64">
        <v>83.97</v>
      </c>
      <c r="H73" s="64">
        <v>33.21</v>
      </c>
      <c r="I73" s="64">
        <v>6.57</v>
      </c>
      <c r="J73" s="64">
        <v>2.14</v>
      </c>
      <c r="K73" s="64">
        <v>344.59</v>
      </c>
      <c r="L73" s="64">
        <v>33.119999999999997</v>
      </c>
      <c r="M73" s="64">
        <v>32.979999999999997</v>
      </c>
      <c r="N73" s="64">
        <v>108.4</v>
      </c>
      <c r="O73" s="64">
        <v>0</v>
      </c>
      <c r="P73" s="64">
        <v>0.43</v>
      </c>
      <c r="Q73" s="64">
        <v>9.49</v>
      </c>
      <c r="R73" s="198"/>
      <c r="S73" s="198"/>
      <c r="T73" s="198"/>
      <c r="U73" s="198"/>
    </row>
    <row r="74" spans="1:21" s="12" customFormat="1" x14ac:dyDescent="0.25">
      <c r="A74" s="214" t="s">
        <v>1274</v>
      </c>
      <c r="B74" s="64">
        <v>8.18</v>
      </c>
      <c r="C74" s="64">
        <v>3.36</v>
      </c>
      <c r="D74" s="64">
        <v>12.09</v>
      </c>
      <c r="E74" s="64">
        <v>4.45</v>
      </c>
      <c r="F74" s="64">
        <v>6.76</v>
      </c>
      <c r="G74" s="64">
        <v>90.63</v>
      </c>
      <c r="H74" s="64">
        <v>32.85</v>
      </c>
      <c r="I74" s="64">
        <v>5.96</v>
      </c>
      <c r="J74" s="64">
        <v>1.93</v>
      </c>
      <c r="K74" s="64">
        <v>344.94</v>
      </c>
      <c r="L74" s="64">
        <v>33.799999999999997</v>
      </c>
      <c r="M74" s="64">
        <v>32.9</v>
      </c>
      <c r="N74" s="64">
        <v>105.4</v>
      </c>
      <c r="O74" s="64">
        <v>0</v>
      </c>
      <c r="P74" s="64">
        <v>0.43</v>
      </c>
      <c r="Q74" s="64">
        <v>9.49</v>
      </c>
      <c r="R74" s="198"/>
      <c r="S74" s="198"/>
      <c r="T74" s="198"/>
      <c r="U74" s="198"/>
    </row>
    <row r="75" spans="1:21" s="12" customFormat="1" x14ac:dyDescent="0.25">
      <c r="A75" s="214" t="s">
        <v>1275</v>
      </c>
      <c r="B75" s="64">
        <v>8.48</v>
      </c>
      <c r="C75" s="64">
        <v>4.9800000000000004</v>
      </c>
      <c r="D75" s="64">
        <v>13.18</v>
      </c>
      <c r="E75" s="64">
        <v>4.3899999999999997</v>
      </c>
      <c r="F75" s="64">
        <v>6.04</v>
      </c>
      <c r="G75" s="64">
        <v>96.72</v>
      </c>
      <c r="H75" s="64">
        <v>32.520000000000003</v>
      </c>
      <c r="I75" s="64">
        <v>5.5</v>
      </c>
      <c r="J75" s="64">
        <v>1.92</v>
      </c>
      <c r="K75" s="64">
        <v>346.84</v>
      </c>
      <c r="L75" s="64">
        <v>34.119999999999997</v>
      </c>
      <c r="M75" s="64">
        <v>34.5</v>
      </c>
      <c r="N75" s="64">
        <v>116.2</v>
      </c>
      <c r="O75" s="64">
        <v>0</v>
      </c>
      <c r="P75" s="64">
        <v>0.45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4" t="s">
        <v>1276</v>
      </c>
      <c r="B76" s="64">
        <v>8.2100000000000009</v>
      </c>
      <c r="C76" s="64">
        <v>3.5</v>
      </c>
      <c r="D76" s="64">
        <v>12.18</v>
      </c>
      <c r="E76" s="64">
        <v>4.45</v>
      </c>
      <c r="F76" s="64">
        <v>6.07</v>
      </c>
      <c r="G76" s="64">
        <v>96.72</v>
      </c>
      <c r="H76" s="64">
        <v>32.520000000000003</v>
      </c>
      <c r="I76" s="64">
        <v>5.32</v>
      </c>
      <c r="J76" s="64">
        <v>2.13</v>
      </c>
      <c r="K76" s="64">
        <v>341.17</v>
      </c>
      <c r="L76" s="64">
        <v>34.78</v>
      </c>
      <c r="M76" s="64">
        <v>33.19</v>
      </c>
      <c r="N76" s="64">
        <v>137.19999999999999</v>
      </c>
      <c r="O76" s="64">
        <v>0</v>
      </c>
      <c r="P76" s="64">
        <v>0.46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14" t="s">
        <v>1277</v>
      </c>
      <c r="B77" s="64">
        <v>8.18</v>
      </c>
      <c r="C77" s="64">
        <v>3.33</v>
      </c>
      <c r="D77" s="64">
        <v>12.07</v>
      </c>
      <c r="E77" s="64">
        <v>4.21</v>
      </c>
      <c r="F77" s="64">
        <v>5.72</v>
      </c>
      <c r="G77" s="64">
        <v>96.72</v>
      </c>
      <c r="H77" s="64">
        <v>32.520000000000003</v>
      </c>
      <c r="I77" s="64">
        <v>5.27</v>
      </c>
      <c r="J77" s="64">
        <v>7.0000000000000007E-2</v>
      </c>
      <c r="K77" s="64">
        <v>169.67</v>
      </c>
      <c r="L77" s="64">
        <v>35.1</v>
      </c>
      <c r="M77" s="64">
        <v>33.03</v>
      </c>
      <c r="N77" s="64">
        <v>102.3</v>
      </c>
      <c r="O77" s="64">
        <v>0</v>
      </c>
      <c r="P77" s="64">
        <v>0.5</v>
      </c>
      <c r="Q77" s="64">
        <v>9.49</v>
      </c>
      <c r="R77" s="198"/>
      <c r="S77" s="198"/>
      <c r="T77" s="198"/>
      <c r="U77" s="198"/>
    </row>
    <row r="78" spans="1:21" s="12" customFormat="1" x14ac:dyDescent="0.25">
      <c r="A78" s="214" t="s">
        <v>1278</v>
      </c>
      <c r="B78" s="64">
        <v>8.17</v>
      </c>
      <c r="C78" s="64">
        <v>3.32</v>
      </c>
      <c r="D78" s="64">
        <v>12.06</v>
      </c>
      <c r="E78" s="64">
        <v>4.3899999999999997</v>
      </c>
      <c r="F78" s="64">
        <v>5.89</v>
      </c>
      <c r="G78" s="64">
        <v>106.63</v>
      </c>
      <c r="H78" s="64">
        <v>35.79</v>
      </c>
      <c r="I78" s="64">
        <v>5.18</v>
      </c>
      <c r="J78" s="64">
        <v>1.81</v>
      </c>
      <c r="K78" s="64">
        <v>168.2</v>
      </c>
      <c r="L78" s="64">
        <v>32.57</v>
      </c>
      <c r="M78" s="64">
        <v>39.229999999999997</v>
      </c>
      <c r="N78" s="64">
        <v>74.400000000000006</v>
      </c>
      <c r="O78" s="64">
        <v>0</v>
      </c>
      <c r="P78" s="64">
        <v>0.5</v>
      </c>
      <c r="Q78" s="64">
        <v>9.51</v>
      </c>
      <c r="R78" s="198"/>
      <c r="S78" s="198"/>
      <c r="T78" s="198"/>
      <c r="U78" s="198"/>
    </row>
    <row r="79" spans="1:21" s="12" customFormat="1" x14ac:dyDescent="0.25">
      <c r="A79" s="214" t="s">
        <v>1279</v>
      </c>
      <c r="B79" s="64">
        <v>8.24</v>
      </c>
      <c r="C79" s="64">
        <v>3.62</v>
      </c>
      <c r="D79" s="64">
        <v>12.27</v>
      </c>
      <c r="E79" s="64">
        <v>4.4800000000000004</v>
      </c>
      <c r="F79" s="64">
        <v>6.7</v>
      </c>
      <c r="G79" s="64">
        <v>115.69</v>
      </c>
      <c r="H79" s="64">
        <v>38.78</v>
      </c>
      <c r="I79" s="64">
        <v>5.35</v>
      </c>
      <c r="J79" s="64">
        <v>2.11</v>
      </c>
      <c r="K79" s="64">
        <v>148.97</v>
      </c>
      <c r="L79" s="64">
        <v>31.5</v>
      </c>
      <c r="M79" s="64">
        <v>42.25</v>
      </c>
      <c r="N79" s="64">
        <v>61.9</v>
      </c>
      <c r="O79" s="64">
        <v>0</v>
      </c>
      <c r="P79" s="64">
        <v>0.48</v>
      </c>
      <c r="Q79" s="64">
        <v>9.5</v>
      </c>
      <c r="R79" s="198"/>
      <c r="S79" s="198"/>
      <c r="T79" s="198"/>
      <c r="U79" s="198"/>
    </row>
    <row r="80" spans="1:21" s="12" customFormat="1" x14ac:dyDescent="0.25">
      <c r="A80" s="214" t="s">
        <v>1280</v>
      </c>
      <c r="B80" s="64">
        <v>8.41</v>
      </c>
      <c r="C80" s="64">
        <v>4.43</v>
      </c>
      <c r="D80" s="64">
        <v>12.83</v>
      </c>
      <c r="E80" s="64">
        <v>4.38</v>
      </c>
      <c r="F80" s="64">
        <v>7.22</v>
      </c>
      <c r="G80" s="64">
        <v>115.69</v>
      </c>
      <c r="H80" s="64">
        <v>38.78</v>
      </c>
      <c r="I80" s="64">
        <v>5.68</v>
      </c>
      <c r="J80" s="64">
        <v>1.61</v>
      </c>
      <c r="K80" s="64">
        <v>168.52</v>
      </c>
      <c r="L80" s="64">
        <v>31.07</v>
      </c>
      <c r="M80" s="64">
        <v>43.18</v>
      </c>
      <c r="N80" s="64">
        <v>53.8</v>
      </c>
      <c r="O80" s="64">
        <v>0</v>
      </c>
      <c r="P80" s="64">
        <v>0.46</v>
      </c>
      <c r="Q80" s="64">
        <v>9.49</v>
      </c>
      <c r="R80" s="198"/>
      <c r="S80" s="198"/>
      <c r="T80" s="198"/>
      <c r="U80" s="198"/>
    </row>
    <row r="81" spans="1:26" s="12" customFormat="1" x14ac:dyDescent="0.25">
      <c r="A81" s="214" t="s">
        <v>1281</v>
      </c>
      <c r="B81" s="64">
        <v>8.19</v>
      </c>
      <c r="C81" s="64">
        <v>3.38</v>
      </c>
      <c r="D81" s="64">
        <v>12.11</v>
      </c>
      <c r="E81" s="64">
        <v>4.1100000000000003</v>
      </c>
      <c r="F81" s="64">
        <v>7.32</v>
      </c>
      <c r="G81" s="64">
        <v>115.69</v>
      </c>
      <c r="H81" s="64">
        <v>38.78</v>
      </c>
      <c r="I81" s="64">
        <v>6.08</v>
      </c>
      <c r="J81" s="64">
        <v>0.56000000000000005</v>
      </c>
      <c r="K81" s="64">
        <v>200.39</v>
      </c>
      <c r="L81" s="64">
        <v>30.89</v>
      </c>
      <c r="M81" s="64">
        <v>44.22</v>
      </c>
      <c r="N81" s="64">
        <v>53.4</v>
      </c>
      <c r="O81" s="64">
        <v>0</v>
      </c>
      <c r="P81" s="64">
        <v>0.44</v>
      </c>
      <c r="Q81" s="64">
        <v>9.49</v>
      </c>
      <c r="R81" s="198"/>
      <c r="S81" s="198"/>
      <c r="T81" s="198"/>
      <c r="U81" s="198"/>
    </row>
    <row r="82" spans="1:26" s="12" customFormat="1" x14ac:dyDescent="0.25">
      <c r="A82" s="214" t="s">
        <v>1282</v>
      </c>
      <c r="B82" s="64">
        <v>8.23</v>
      </c>
      <c r="C82" s="64">
        <v>3.41</v>
      </c>
      <c r="D82" s="64">
        <v>12.16</v>
      </c>
      <c r="E82" s="64">
        <v>4.4800000000000004</v>
      </c>
      <c r="F82" s="64">
        <v>6.16</v>
      </c>
      <c r="G82" s="64">
        <v>107.76</v>
      </c>
      <c r="H82" s="64">
        <v>36.369999999999997</v>
      </c>
      <c r="I82" s="64">
        <v>6.07</v>
      </c>
      <c r="J82" s="64">
        <v>0.22</v>
      </c>
      <c r="K82" s="64">
        <v>54.64</v>
      </c>
      <c r="L82" s="64">
        <v>30.64</v>
      </c>
      <c r="M82" s="64">
        <v>46.54</v>
      </c>
      <c r="N82" s="64">
        <v>27.9</v>
      </c>
      <c r="O82" s="64">
        <v>0</v>
      </c>
      <c r="P82" s="64">
        <v>0.42</v>
      </c>
      <c r="Q82" s="64">
        <v>9.4499999999999993</v>
      </c>
      <c r="R82" s="198"/>
      <c r="S82" s="198"/>
      <c r="T82" s="198"/>
      <c r="U82" s="198"/>
    </row>
    <row r="83" spans="1:26" s="12" customFormat="1" x14ac:dyDescent="0.25">
      <c r="A83" s="214" t="s">
        <v>1283</v>
      </c>
      <c r="B83" s="64">
        <v>8.3800000000000008</v>
      </c>
      <c r="C83" s="64">
        <v>4</v>
      </c>
      <c r="D83" s="64">
        <v>12.58</v>
      </c>
      <c r="E83" s="64">
        <v>4.09</v>
      </c>
      <c r="F83" s="64">
        <v>5.63</v>
      </c>
      <c r="G83" s="64">
        <v>100.5</v>
      </c>
      <c r="H83" s="64">
        <v>34.17</v>
      </c>
      <c r="I83" s="64">
        <v>5.92</v>
      </c>
      <c r="J83" s="64">
        <v>0.26</v>
      </c>
      <c r="K83" s="64">
        <v>320.3</v>
      </c>
      <c r="L83" s="64">
        <v>30.67</v>
      </c>
      <c r="M83" s="64">
        <v>47.18</v>
      </c>
      <c r="N83" s="64">
        <v>20.399999999999999</v>
      </c>
      <c r="O83" s="64">
        <v>0</v>
      </c>
      <c r="P83" s="64">
        <v>0.46</v>
      </c>
      <c r="Q83" s="64">
        <v>9.39</v>
      </c>
      <c r="R83" s="198"/>
      <c r="S83" s="198"/>
      <c r="T83" s="198"/>
      <c r="U83" s="198"/>
    </row>
    <row r="84" spans="1:26" s="12" customFormat="1" x14ac:dyDescent="0.25">
      <c r="A84" s="214" t="s">
        <v>1284</v>
      </c>
      <c r="B84" s="64">
        <v>8.2799999999999994</v>
      </c>
      <c r="C84" s="64">
        <v>3.48</v>
      </c>
      <c r="D84" s="64">
        <v>12.23</v>
      </c>
      <c r="E84" s="64">
        <v>4.1900000000000004</v>
      </c>
      <c r="F84" s="64">
        <v>5.14</v>
      </c>
      <c r="G84" s="64">
        <v>100.5</v>
      </c>
      <c r="H84" s="64">
        <v>34.17</v>
      </c>
      <c r="I84" s="64">
        <v>5.67</v>
      </c>
      <c r="J84" s="64">
        <v>0.6</v>
      </c>
      <c r="K84" s="64">
        <v>350.31</v>
      </c>
      <c r="L84" s="64">
        <v>30.83</v>
      </c>
      <c r="M84" s="64">
        <v>47.49</v>
      </c>
      <c r="N84" s="64">
        <v>19.8</v>
      </c>
      <c r="O84" s="64">
        <v>0</v>
      </c>
      <c r="P84" s="64">
        <v>0.47</v>
      </c>
      <c r="Q84" s="64">
        <v>9.39</v>
      </c>
      <c r="R84" s="198"/>
      <c r="S84" s="198"/>
      <c r="T84" s="198"/>
      <c r="U84" s="198"/>
    </row>
    <row r="85" spans="1:26" s="12" customFormat="1" x14ac:dyDescent="0.25">
      <c r="A85" s="214" t="s">
        <v>1285</v>
      </c>
      <c r="B85" s="64">
        <v>8.19</v>
      </c>
      <c r="C85" s="64">
        <v>3.23</v>
      </c>
      <c r="D85" s="64">
        <v>12.03</v>
      </c>
      <c r="E85" s="64">
        <v>4.18</v>
      </c>
      <c r="F85" s="64">
        <v>4.75</v>
      </c>
      <c r="G85" s="64">
        <v>100.5</v>
      </c>
      <c r="H85" s="64">
        <v>34.17</v>
      </c>
      <c r="I85" s="64">
        <v>5.73</v>
      </c>
      <c r="J85" s="64">
        <v>1.04</v>
      </c>
      <c r="K85" s="64">
        <v>155.32</v>
      </c>
      <c r="L85" s="64">
        <v>30.81</v>
      </c>
      <c r="M85" s="64">
        <v>46.09</v>
      </c>
      <c r="N85" s="64">
        <v>19.7</v>
      </c>
      <c r="O85" s="64">
        <v>0</v>
      </c>
      <c r="P85" s="64">
        <v>0.46</v>
      </c>
      <c r="Q85" s="64">
        <v>9.42</v>
      </c>
      <c r="R85" s="198"/>
      <c r="S85" s="198"/>
      <c r="T85" s="198"/>
      <c r="U85" s="198"/>
    </row>
    <row r="86" spans="1:26" s="12" customFormat="1" x14ac:dyDescent="0.25">
      <c r="A86" s="214" t="s">
        <v>1286</v>
      </c>
      <c r="B86" s="64">
        <v>8.18</v>
      </c>
      <c r="C86" s="64">
        <v>3.11</v>
      </c>
      <c r="D86" s="64">
        <v>11.96</v>
      </c>
      <c r="E86" s="64">
        <v>4.53</v>
      </c>
      <c r="F86" s="64">
        <v>4.9400000000000004</v>
      </c>
      <c r="G86" s="64">
        <v>97.84</v>
      </c>
      <c r="H86" s="64">
        <v>35.96</v>
      </c>
      <c r="I86" s="64">
        <v>6</v>
      </c>
      <c r="J86" s="64">
        <v>1.27</v>
      </c>
      <c r="K86" s="64">
        <v>154.38999999999999</v>
      </c>
      <c r="L86" s="64">
        <v>30.45</v>
      </c>
      <c r="M86" s="64">
        <v>47.27</v>
      </c>
      <c r="N86" s="64">
        <v>20.100000000000001</v>
      </c>
      <c r="O86" s="64">
        <v>0</v>
      </c>
      <c r="P86" s="64">
        <v>0.49</v>
      </c>
      <c r="Q86" s="64">
        <v>9.4499999999999993</v>
      </c>
      <c r="R86" s="198"/>
      <c r="S86" s="198"/>
      <c r="T86" s="198"/>
      <c r="U86" s="198"/>
    </row>
    <row r="87" spans="1:26" s="12" customFormat="1" x14ac:dyDescent="0.25">
      <c r="A87" s="214" t="s">
        <v>1287</v>
      </c>
      <c r="B87" s="64">
        <v>8.19</v>
      </c>
      <c r="C87" s="64">
        <v>3.15</v>
      </c>
      <c r="D87" s="64">
        <v>11.99</v>
      </c>
      <c r="E87" s="64">
        <v>4.75</v>
      </c>
      <c r="F87" s="64">
        <v>4.76</v>
      </c>
      <c r="G87" s="64">
        <v>95.4</v>
      </c>
      <c r="H87" s="64">
        <v>37.67</v>
      </c>
      <c r="I87" s="64">
        <v>6.24</v>
      </c>
      <c r="J87" s="64">
        <v>0.98</v>
      </c>
      <c r="K87" s="64">
        <v>163.18</v>
      </c>
      <c r="L87" s="64">
        <v>30.12</v>
      </c>
      <c r="M87" s="64">
        <v>48.14</v>
      </c>
      <c r="N87" s="64">
        <v>20.2</v>
      </c>
      <c r="O87" s="64">
        <v>0</v>
      </c>
      <c r="P87" s="64">
        <v>0.49</v>
      </c>
      <c r="Q87" s="64">
        <v>9.49</v>
      </c>
      <c r="R87" s="198"/>
      <c r="S87" s="198"/>
      <c r="T87" s="198"/>
      <c r="U87" s="198"/>
    </row>
    <row r="88" spans="1:26" s="12" customFormat="1" x14ac:dyDescent="0.25">
      <c r="A88" s="214" t="s">
        <v>1288</v>
      </c>
      <c r="B88" s="64">
        <v>8.25</v>
      </c>
      <c r="C88" s="64">
        <v>3.29</v>
      </c>
      <c r="D88" s="64">
        <v>12.11</v>
      </c>
      <c r="E88" s="64">
        <v>4.6900000000000004</v>
      </c>
      <c r="F88" s="64">
        <v>4.91</v>
      </c>
      <c r="G88" s="64">
        <v>95.4</v>
      </c>
      <c r="H88" s="64">
        <v>37.67</v>
      </c>
      <c r="I88" s="64">
        <v>6.57</v>
      </c>
      <c r="J88" s="64">
        <v>1.64</v>
      </c>
      <c r="K88" s="64">
        <v>160.53</v>
      </c>
      <c r="L88" s="64">
        <v>29.83</v>
      </c>
      <c r="M88" s="64">
        <v>50.48</v>
      </c>
      <c r="N88" s="64">
        <v>20.100000000000001</v>
      </c>
      <c r="O88" s="64">
        <v>0</v>
      </c>
      <c r="P88" s="64">
        <v>0.48</v>
      </c>
      <c r="Q88" s="64">
        <v>9.4600000000000009</v>
      </c>
      <c r="R88" s="198"/>
      <c r="S88" s="198"/>
      <c r="T88" s="198"/>
      <c r="U88" s="198"/>
    </row>
    <row r="89" spans="1:26" s="12" customFormat="1" x14ac:dyDescent="0.25">
      <c r="A89" s="214" t="s">
        <v>1289</v>
      </c>
      <c r="B89" s="64">
        <v>8.24</v>
      </c>
      <c r="C89" s="64">
        <v>3.27</v>
      </c>
      <c r="D89" s="64">
        <v>12.09</v>
      </c>
      <c r="E89" s="64">
        <v>4.6399999999999997</v>
      </c>
      <c r="F89" s="64">
        <v>4.59</v>
      </c>
      <c r="G89" s="64">
        <v>95.4</v>
      </c>
      <c r="H89" s="64">
        <v>37.67</v>
      </c>
      <c r="I89" s="64">
        <v>6.82</v>
      </c>
      <c r="J89" s="64">
        <v>1.1200000000000001</v>
      </c>
      <c r="K89" s="64">
        <v>156.88</v>
      </c>
      <c r="L89" s="64">
        <v>29.5</v>
      </c>
      <c r="M89" s="64">
        <v>52.47</v>
      </c>
      <c r="N89" s="64">
        <v>20.3</v>
      </c>
      <c r="O89" s="64">
        <v>0</v>
      </c>
      <c r="P89" s="64">
        <v>0.48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14" t="s">
        <v>1290</v>
      </c>
      <c r="B90" s="64">
        <v>8.3000000000000007</v>
      </c>
      <c r="C90" s="64">
        <v>3.59</v>
      </c>
      <c r="D90" s="64">
        <v>12.31</v>
      </c>
      <c r="E90" s="64">
        <v>4.84</v>
      </c>
      <c r="F90" s="64">
        <v>5.04</v>
      </c>
      <c r="G90" s="64">
        <v>89.67</v>
      </c>
      <c r="H90" s="64">
        <v>35.53</v>
      </c>
      <c r="I90" s="64">
        <v>6.99</v>
      </c>
      <c r="J90" s="64">
        <v>1.21</v>
      </c>
      <c r="K90" s="64">
        <v>156.63999999999999</v>
      </c>
      <c r="L90" s="64">
        <v>29.16</v>
      </c>
      <c r="M90" s="64">
        <v>54.47</v>
      </c>
      <c r="N90" s="64">
        <v>20.399999999999999</v>
      </c>
      <c r="O90" s="64">
        <v>0</v>
      </c>
      <c r="P90" s="64">
        <v>0.47</v>
      </c>
      <c r="Q90" s="64">
        <v>9.5500000000000007</v>
      </c>
      <c r="R90" s="198"/>
      <c r="S90" s="198"/>
      <c r="T90" s="198"/>
      <c r="U90" s="198"/>
    </row>
    <row r="91" spans="1:26" s="12" customFormat="1" x14ac:dyDescent="0.25">
      <c r="A91" s="214" t="s">
        <v>1291</v>
      </c>
      <c r="B91" s="64">
        <v>8.48</v>
      </c>
      <c r="C91" s="64">
        <v>4.5599999999999996</v>
      </c>
      <c r="D91" s="64">
        <v>12.96</v>
      </c>
      <c r="E91" s="64">
        <v>5.07</v>
      </c>
      <c r="F91" s="64">
        <v>5.12</v>
      </c>
      <c r="G91" s="64">
        <v>84.43</v>
      </c>
      <c r="H91" s="64">
        <v>33.57</v>
      </c>
      <c r="I91" s="64">
        <v>7.09</v>
      </c>
      <c r="J91" s="64">
        <v>0.69</v>
      </c>
      <c r="K91" s="64">
        <v>196.85</v>
      </c>
      <c r="L91" s="64">
        <v>29.07</v>
      </c>
      <c r="M91" s="64">
        <v>55.07</v>
      </c>
      <c r="N91" s="64">
        <v>19.8</v>
      </c>
      <c r="O91" s="64">
        <v>0</v>
      </c>
      <c r="P91" s="64">
        <v>0.46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14" t="s">
        <v>1292</v>
      </c>
      <c r="B92" s="64">
        <v>8.24</v>
      </c>
      <c r="C92" s="64">
        <v>3.51</v>
      </c>
      <c r="D92" s="64">
        <v>12.22</v>
      </c>
      <c r="E92" s="64">
        <v>4.96</v>
      </c>
      <c r="F92" s="64">
        <v>5.84</v>
      </c>
      <c r="G92" s="64">
        <v>84.43</v>
      </c>
      <c r="H92" s="64">
        <v>33.57</v>
      </c>
      <c r="I92" s="64">
        <v>7.03</v>
      </c>
      <c r="J92" s="64">
        <v>1.7</v>
      </c>
      <c r="K92" s="64">
        <v>157.28</v>
      </c>
      <c r="L92" s="64">
        <v>29.13</v>
      </c>
      <c r="M92" s="64">
        <v>55.03</v>
      </c>
      <c r="N92" s="64">
        <v>19.600000000000001</v>
      </c>
      <c r="O92" s="64">
        <v>0</v>
      </c>
      <c r="P92" s="64">
        <v>0.46</v>
      </c>
      <c r="Q92" s="64">
        <v>9.57</v>
      </c>
      <c r="R92" s="198"/>
      <c r="S92" s="198"/>
      <c r="T92" s="198"/>
      <c r="U92" s="198"/>
    </row>
    <row r="93" spans="1:26" s="12" customFormat="1" x14ac:dyDescent="0.25">
      <c r="A93" s="214" t="s">
        <v>1293</v>
      </c>
      <c r="B93" s="64">
        <v>8.16</v>
      </c>
      <c r="C93" s="64">
        <v>3.24</v>
      </c>
      <c r="D93" s="64">
        <v>12.01</v>
      </c>
      <c r="E93" s="64">
        <v>4.63</v>
      </c>
      <c r="F93" s="64">
        <v>5.19</v>
      </c>
      <c r="G93" s="64">
        <v>84.43</v>
      </c>
      <c r="H93" s="64">
        <v>33.57</v>
      </c>
      <c r="I93" s="64">
        <v>6.8</v>
      </c>
      <c r="J93" s="64">
        <v>2.1</v>
      </c>
      <c r="K93" s="64">
        <v>152.68</v>
      </c>
      <c r="L93" s="64">
        <v>28.62</v>
      </c>
      <c r="M93" s="64">
        <v>60.87</v>
      </c>
      <c r="N93" s="64">
        <v>20.7</v>
      </c>
      <c r="O93" s="64">
        <v>0</v>
      </c>
      <c r="P93" s="64">
        <v>0.45</v>
      </c>
      <c r="Q93" s="64">
        <v>9.5500000000000007</v>
      </c>
      <c r="R93" s="198"/>
      <c r="S93" s="198"/>
      <c r="T93" s="198"/>
      <c r="U93" s="198"/>
    </row>
    <row r="94" spans="1:26" s="12" customFormat="1" x14ac:dyDescent="0.25">
      <c r="A94" s="214" t="s">
        <v>1294</v>
      </c>
      <c r="B94" s="64">
        <v>8.1999999999999993</v>
      </c>
      <c r="C94" s="64">
        <v>3.3</v>
      </c>
      <c r="D94" s="64">
        <v>12.07</v>
      </c>
      <c r="E94" s="64">
        <v>4.7300000000000004</v>
      </c>
      <c r="F94" s="64">
        <v>5.24</v>
      </c>
      <c r="G94" s="64">
        <v>78.58</v>
      </c>
      <c r="H94" s="64">
        <v>32.75</v>
      </c>
      <c r="I94" s="64">
        <v>6.39</v>
      </c>
      <c r="J94" s="64">
        <v>1.89</v>
      </c>
      <c r="K94" s="64">
        <v>155.88999999999999</v>
      </c>
      <c r="L94" s="64">
        <v>28.27</v>
      </c>
      <c r="M94" s="64">
        <v>61.4</v>
      </c>
      <c r="N94" s="64">
        <v>20.3</v>
      </c>
      <c r="O94" s="64">
        <v>0</v>
      </c>
      <c r="P94" s="64">
        <v>0.43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14" t="s">
        <v>1295</v>
      </c>
      <c r="B95" s="64">
        <v>8.19</v>
      </c>
      <c r="C95" s="64">
        <v>3.29</v>
      </c>
      <c r="D95" s="64">
        <v>12.06</v>
      </c>
      <c r="E95" s="64">
        <v>4.93</v>
      </c>
      <c r="F95" s="64">
        <v>5.63</v>
      </c>
      <c r="G95" s="64">
        <v>73.22</v>
      </c>
      <c r="H95" s="64">
        <v>32</v>
      </c>
      <c r="I95" s="64">
        <v>6.18</v>
      </c>
      <c r="J95" s="64">
        <v>3.03</v>
      </c>
      <c r="K95" s="64">
        <v>147.76</v>
      </c>
      <c r="L95" s="64">
        <v>27.97</v>
      </c>
      <c r="M95" s="64">
        <v>58.42</v>
      </c>
      <c r="N95" s="64">
        <v>20.3</v>
      </c>
      <c r="O95" s="64">
        <v>0</v>
      </c>
      <c r="P95" s="64">
        <v>0.42</v>
      </c>
      <c r="Q95" s="64">
        <v>9.5500000000000007</v>
      </c>
      <c r="R95" s="198"/>
      <c r="S95" s="198"/>
      <c r="T95" s="198"/>
      <c r="U95" s="198"/>
    </row>
    <row r="96" spans="1:26" s="12" customFormat="1" x14ac:dyDescent="0.25">
      <c r="A96" s="214" t="s">
        <v>1296</v>
      </c>
      <c r="B96" s="64">
        <v>8.5</v>
      </c>
      <c r="C96" s="64">
        <v>4.38</v>
      </c>
      <c r="D96" s="64">
        <v>12.87</v>
      </c>
      <c r="E96" s="64">
        <v>5.0599999999999996</v>
      </c>
      <c r="F96" s="64">
        <v>5.74</v>
      </c>
      <c r="G96" s="64">
        <v>73.22</v>
      </c>
      <c r="H96" s="64">
        <v>32</v>
      </c>
      <c r="I96" s="64">
        <v>6.13</v>
      </c>
      <c r="J96" s="64">
        <v>2.5</v>
      </c>
      <c r="K96" s="64">
        <v>149.02000000000001</v>
      </c>
      <c r="L96" s="64">
        <v>27.58</v>
      </c>
      <c r="M96" s="64">
        <v>60.06</v>
      </c>
      <c r="N96" s="64">
        <v>20.399999999999999</v>
      </c>
      <c r="O96" s="64">
        <v>0</v>
      </c>
      <c r="P96" s="64">
        <v>0.4</v>
      </c>
      <c r="Q96" s="64">
        <v>9.51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1297</v>
      </c>
      <c r="B97" s="64">
        <v>8.23</v>
      </c>
      <c r="C97" s="64">
        <v>3.37</v>
      </c>
      <c r="D97" s="64">
        <v>12.13</v>
      </c>
      <c r="E97" s="64">
        <v>4.88</v>
      </c>
      <c r="F97" s="64">
        <v>6</v>
      </c>
      <c r="G97" s="64">
        <v>73.22</v>
      </c>
      <c r="H97" s="64">
        <v>32</v>
      </c>
      <c r="I97" s="64">
        <v>6.09</v>
      </c>
      <c r="J97" s="64">
        <v>1.24</v>
      </c>
      <c r="K97" s="64">
        <v>173.01</v>
      </c>
      <c r="L97" s="64">
        <v>27.4</v>
      </c>
      <c r="M97" s="64">
        <v>61.09</v>
      </c>
      <c r="N97" s="64">
        <v>20.100000000000001</v>
      </c>
      <c r="O97" s="64">
        <v>0</v>
      </c>
      <c r="P97" s="64">
        <v>0.39</v>
      </c>
      <c r="Q97" s="64">
        <v>9.51</v>
      </c>
      <c r="R97" s="198"/>
      <c r="S97" s="198"/>
      <c r="T97" s="198"/>
      <c r="U97" s="198"/>
    </row>
    <row r="98" spans="1:33" s="12" customFormat="1" x14ac:dyDescent="0.25">
      <c r="A98" s="214" t="s">
        <v>1298</v>
      </c>
      <c r="B98" s="64">
        <v>8.17</v>
      </c>
      <c r="C98" s="64">
        <v>3.1</v>
      </c>
      <c r="D98" s="64">
        <v>11.94</v>
      </c>
      <c r="E98" s="64">
        <v>4.75</v>
      </c>
      <c r="F98" s="64">
        <v>5.15</v>
      </c>
      <c r="G98" s="64">
        <v>66.849999999999994</v>
      </c>
      <c r="H98" s="64">
        <v>32.67</v>
      </c>
      <c r="I98" s="64">
        <v>5.98</v>
      </c>
      <c r="J98" s="64">
        <v>2.0099999999999998</v>
      </c>
      <c r="K98" s="64">
        <v>149.56</v>
      </c>
      <c r="L98" s="64">
        <v>27.39</v>
      </c>
      <c r="M98" s="64">
        <v>61.12</v>
      </c>
      <c r="N98" s="64">
        <v>19.8</v>
      </c>
      <c r="O98" s="64">
        <v>0</v>
      </c>
      <c r="P98" s="64">
        <v>0.37</v>
      </c>
      <c r="Q98" s="64">
        <v>9.51</v>
      </c>
      <c r="R98" s="198"/>
      <c r="S98" s="198"/>
      <c r="T98" s="198"/>
      <c r="U98" s="198"/>
    </row>
    <row r="99" spans="1:33" s="12" customFormat="1" x14ac:dyDescent="0.25">
      <c r="A99" s="214" t="s">
        <v>1299</v>
      </c>
      <c r="B99" s="64">
        <v>8.18</v>
      </c>
      <c r="C99" s="64">
        <v>3.19</v>
      </c>
      <c r="D99" s="64">
        <v>12</v>
      </c>
      <c r="E99" s="64">
        <v>4.58</v>
      </c>
      <c r="F99" s="64">
        <v>5.33</v>
      </c>
      <c r="G99" s="64">
        <v>61.01</v>
      </c>
      <c r="H99" s="64">
        <v>33.29</v>
      </c>
      <c r="I99" s="64">
        <v>5.74</v>
      </c>
      <c r="J99" s="64">
        <v>2.23</v>
      </c>
      <c r="K99" s="64">
        <v>155.56</v>
      </c>
      <c r="L99" s="64">
        <v>27.32</v>
      </c>
      <c r="M99" s="64">
        <v>61.57</v>
      </c>
      <c r="N99" s="64">
        <v>19.8</v>
      </c>
      <c r="O99" s="64">
        <v>0</v>
      </c>
      <c r="P99" s="64">
        <v>0.35</v>
      </c>
      <c r="Q99" s="64">
        <v>9.48</v>
      </c>
      <c r="R99" s="198"/>
      <c r="S99" s="198"/>
      <c r="T99" s="198"/>
      <c r="U99" s="198"/>
    </row>
    <row r="100" spans="1:33" s="12" customFormat="1" x14ac:dyDescent="0.25">
      <c r="A100" s="214" t="s">
        <v>1300</v>
      </c>
      <c r="B100" s="64">
        <v>8.2200000000000006</v>
      </c>
      <c r="C100" s="64">
        <v>3.34</v>
      </c>
      <c r="D100" s="64">
        <v>12.11</v>
      </c>
      <c r="E100" s="64">
        <v>4.46</v>
      </c>
      <c r="F100" s="64">
        <v>5.46</v>
      </c>
      <c r="G100" s="64">
        <v>61.01</v>
      </c>
      <c r="H100" s="64">
        <v>33.29</v>
      </c>
      <c r="I100" s="64">
        <v>5.53</v>
      </c>
      <c r="J100" s="64">
        <v>2.29</v>
      </c>
      <c r="K100" s="64">
        <v>152.35</v>
      </c>
      <c r="L100" s="64">
        <v>27.17</v>
      </c>
      <c r="M100" s="64">
        <v>62.86</v>
      </c>
      <c r="N100" s="64">
        <v>20</v>
      </c>
      <c r="O100" s="64">
        <v>0</v>
      </c>
      <c r="P100" s="64">
        <v>0.34</v>
      </c>
      <c r="Q100" s="64">
        <v>9.49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1301</v>
      </c>
      <c r="B101" s="64">
        <v>8.5</v>
      </c>
      <c r="C101" s="64">
        <v>4.2300000000000004</v>
      </c>
      <c r="D101" s="64">
        <v>12.81</v>
      </c>
      <c r="E101" s="64">
        <v>4.78</v>
      </c>
      <c r="F101" s="64">
        <v>3.9</v>
      </c>
      <c r="G101" s="64">
        <v>61.01</v>
      </c>
      <c r="H101" s="64">
        <v>33.29</v>
      </c>
      <c r="I101" s="64">
        <v>5.39</v>
      </c>
      <c r="J101" s="64">
        <v>2</v>
      </c>
      <c r="K101" s="64">
        <v>146.5</v>
      </c>
      <c r="L101" s="64">
        <v>27.05</v>
      </c>
      <c r="M101" s="64">
        <v>63.63</v>
      </c>
      <c r="N101" s="64">
        <v>19.8</v>
      </c>
      <c r="O101" s="64">
        <v>0</v>
      </c>
      <c r="P101" s="64">
        <v>0.32</v>
      </c>
      <c r="Q101" s="64">
        <v>9.4600000000000009</v>
      </c>
      <c r="R101" s="198"/>
      <c r="S101" s="198"/>
      <c r="T101" s="198"/>
      <c r="U101" s="198"/>
    </row>
    <row r="102" spans="1:33" s="12" customFormat="1" x14ac:dyDescent="0.25">
      <c r="A102" s="214" t="s">
        <v>1302</v>
      </c>
      <c r="B102" s="64">
        <v>8.2899999999999991</v>
      </c>
      <c r="C102" s="64">
        <v>3.47</v>
      </c>
      <c r="D102" s="64">
        <v>12.24</v>
      </c>
      <c r="E102" s="64">
        <v>4.91</v>
      </c>
      <c r="F102" s="64">
        <v>4.92</v>
      </c>
      <c r="G102" s="64">
        <v>58.52</v>
      </c>
      <c r="H102" s="64">
        <v>29.62</v>
      </c>
      <c r="I102" s="64">
        <v>5.27</v>
      </c>
      <c r="J102" s="64">
        <v>2.09</v>
      </c>
      <c r="K102" s="64">
        <v>150.38999999999999</v>
      </c>
      <c r="L102" s="64">
        <v>26.98</v>
      </c>
      <c r="M102" s="64">
        <v>63.61</v>
      </c>
      <c r="N102" s="64">
        <v>19.7</v>
      </c>
      <c r="O102" s="64">
        <v>0</v>
      </c>
      <c r="P102" s="64">
        <v>0.32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4" t="s">
        <v>1303</v>
      </c>
      <c r="B103" s="64">
        <v>8.25</v>
      </c>
      <c r="C103" s="64">
        <v>3.22</v>
      </c>
      <c r="D103" s="64">
        <v>12.07</v>
      </c>
      <c r="E103" s="64">
        <v>4.63</v>
      </c>
      <c r="F103" s="64">
        <v>4.7300000000000004</v>
      </c>
      <c r="G103" s="64">
        <v>56.24</v>
      </c>
      <c r="H103" s="64">
        <v>26.27</v>
      </c>
      <c r="I103" s="64">
        <v>5.41</v>
      </c>
      <c r="J103" s="64">
        <v>0.81</v>
      </c>
      <c r="K103" s="64">
        <v>190.36</v>
      </c>
      <c r="L103" s="64">
        <v>27.02</v>
      </c>
      <c r="M103" s="64">
        <v>62.28</v>
      </c>
      <c r="N103" s="64">
        <v>19.600000000000001</v>
      </c>
      <c r="O103" s="64">
        <v>0</v>
      </c>
      <c r="P103" s="64">
        <v>0.31</v>
      </c>
      <c r="Q103" s="64">
        <v>9.44</v>
      </c>
      <c r="R103" s="198"/>
      <c r="S103" s="198"/>
      <c r="T103" s="198"/>
      <c r="U103" s="198"/>
    </row>
    <row r="104" spans="1:33" s="12" customFormat="1" x14ac:dyDescent="0.25">
      <c r="A104" s="214" t="s">
        <v>1304</v>
      </c>
      <c r="B104" s="64">
        <v>8.19</v>
      </c>
      <c r="C104" s="64">
        <v>3.11</v>
      </c>
      <c r="D104" s="64">
        <v>11.96</v>
      </c>
      <c r="E104" s="64">
        <v>3.58</v>
      </c>
      <c r="F104" s="64">
        <v>4.8899999999999997</v>
      </c>
      <c r="G104" s="64">
        <v>56.24</v>
      </c>
      <c r="H104" s="64">
        <v>26.27</v>
      </c>
      <c r="I104" s="64">
        <v>5.38</v>
      </c>
      <c r="J104" s="64">
        <v>0.55000000000000004</v>
      </c>
      <c r="K104" s="64">
        <v>196.62</v>
      </c>
      <c r="L104" s="64">
        <v>27.11</v>
      </c>
      <c r="M104" s="64">
        <v>60.34</v>
      </c>
      <c r="N104" s="64">
        <v>19.600000000000001</v>
      </c>
      <c r="O104" s="64">
        <v>0</v>
      </c>
      <c r="P104" s="64">
        <v>0.3</v>
      </c>
      <c r="Q104" s="64">
        <v>9.4700000000000006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8.14</v>
      </c>
      <c r="C106" s="67">
        <f>MIN(C9:C104)</f>
        <v>3.1</v>
      </c>
      <c r="D106" s="67">
        <f t="shared" ref="D106:Q106" si="0">MIN(D9:D104)</f>
        <v>11.94</v>
      </c>
      <c r="E106" s="67">
        <f t="shared" si="0"/>
        <v>3.16</v>
      </c>
      <c r="F106" s="67">
        <f t="shared" si="0"/>
        <v>2.64</v>
      </c>
      <c r="G106" s="67">
        <f t="shared" si="0"/>
        <v>56.24</v>
      </c>
      <c r="H106" s="67">
        <f t="shared" si="0"/>
        <v>22.95</v>
      </c>
      <c r="I106" s="67">
        <f t="shared" si="0"/>
        <v>3.07</v>
      </c>
      <c r="J106" s="67">
        <f t="shared" si="0"/>
        <v>7.0000000000000007E-2</v>
      </c>
      <c r="K106" s="67">
        <f t="shared" si="0"/>
        <v>0.16</v>
      </c>
      <c r="L106" s="67">
        <f t="shared" si="0"/>
        <v>26.68</v>
      </c>
      <c r="M106" s="67">
        <f t="shared" si="0"/>
        <v>24.81</v>
      </c>
      <c r="N106" s="67">
        <f t="shared" si="0"/>
        <v>17.899999999999999</v>
      </c>
      <c r="O106" s="67">
        <f t="shared" si="0"/>
        <v>0</v>
      </c>
      <c r="P106" s="67">
        <f t="shared" si="0"/>
        <v>0.3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8.85</v>
      </c>
      <c r="C107" s="66">
        <f t="shared" ref="C107:Q107" si="1">MAX(C9:C104)</f>
        <v>4.9800000000000004</v>
      </c>
      <c r="D107" s="66">
        <f t="shared" si="1"/>
        <v>13.36</v>
      </c>
      <c r="E107" s="66">
        <f t="shared" si="1"/>
        <v>5.44</v>
      </c>
      <c r="F107" s="66">
        <f t="shared" si="1"/>
        <v>7.7</v>
      </c>
      <c r="G107" s="66">
        <f t="shared" si="1"/>
        <v>141.94999999999999</v>
      </c>
      <c r="H107" s="66">
        <f t="shared" si="1"/>
        <v>56.29</v>
      </c>
      <c r="I107" s="66">
        <f t="shared" si="1"/>
        <v>7.26</v>
      </c>
      <c r="J107" s="66">
        <f t="shared" si="1"/>
        <v>3.33</v>
      </c>
      <c r="K107" s="66">
        <f t="shared" si="1"/>
        <v>357.21</v>
      </c>
      <c r="L107" s="66">
        <f t="shared" si="1"/>
        <v>41.3</v>
      </c>
      <c r="M107" s="66">
        <f t="shared" si="1"/>
        <v>65.959999999999994</v>
      </c>
      <c r="N107" s="66">
        <f t="shared" si="1"/>
        <v>868.1</v>
      </c>
      <c r="O107" s="66">
        <f t="shared" si="1"/>
        <v>0</v>
      </c>
      <c r="P107" s="66">
        <f t="shared" si="1"/>
        <v>0.73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8.2864583333333339</v>
      </c>
      <c r="C108" s="67">
        <f t="shared" ref="C108:Q108" si="2">AVERAGE(C9:C104)</f>
        <v>3.5761458333333356</v>
      </c>
      <c r="D108" s="67">
        <f t="shared" si="2"/>
        <v>12.287291666666661</v>
      </c>
      <c r="E108" s="67">
        <f t="shared" si="2"/>
        <v>4.1857291666666638</v>
      </c>
      <c r="F108" s="67">
        <f t="shared" si="2"/>
        <v>5.1768749999999999</v>
      </c>
      <c r="G108" s="67">
        <f t="shared" si="2"/>
        <v>95.392395833333296</v>
      </c>
      <c r="H108" s="67">
        <f t="shared" si="2"/>
        <v>34.857500000000009</v>
      </c>
      <c r="I108" s="67">
        <f t="shared" si="2"/>
        <v>5.4089583333333318</v>
      </c>
      <c r="J108" s="67">
        <f t="shared" si="2"/>
        <v>1.1440625000000002</v>
      </c>
      <c r="K108" s="67">
        <f t="shared" si="2"/>
        <v>225.98749999999993</v>
      </c>
      <c r="L108" s="67">
        <f t="shared" si="2"/>
        <v>32.10541666666667</v>
      </c>
      <c r="M108" s="67">
        <f t="shared" si="2"/>
        <v>48.050416666666671</v>
      </c>
      <c r="N108" s="67">
        <f t="shared" si="2"/>
        <v>249.03854166666659</v>
      </c>
      <c r="O108" s="67">
        <f t="shared" si="2"/>
        <v>0</v>
      </c>
      <c r="P108" s="67">
        <f t="shared" si="2"/>
        <v>0.48833333333333334</v>
      </c>
      <c r="Q108" s="67">
        <f t="shared" si="2"/>
        <v>9.4991666666666692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0.13248220668346111</v>
      </c>
      <c r="C109" s="67">
        <f t="shared" ref="C109:Q109" si="3">STDEV(C9:C104)</f>
        <v>0.46464331490692523</v>
      </c>
      <c r="D109" s="67">
        <f t="shared" si="3"/>
        <v>0.34289012868683921</v>
      </c>
      <c r="E109" s="67">
        <f t="shared" si="3"/>
        <v>0.61029025845201312</v>
      </c>
      <c r="F109" s="67">
        <f t="shared" si="3"/>
        <v>1.1961405589821374</v>
      </c>
      <c r="G109" s="67">
        <f t="shared" si="3"/>
        <v>25.024762462505723</v>
      </c>
      <c r="H109" s="67">
        <f t="shared" si="3"/>
        <v>7.8223248664184748</v>
      </c>
      <c r="I109" s="67">
        <f t="shared" si="3"/>
        <v>1.1761618928725859</v>
      </c>
      <c r="J109" s="67">
        <f t="shared" si="3"/>
        <v>0.71378542865338401</v>
      </c>
      <c r="K109" s="67">
        <f t="shared" si="3"/>
        <v>123.74399552046329</v>
      </c>
      <c r="L109" s="67">
        <f t="shared" si="3"/>
        <v>5.0751754787741516</v>
      </c>
      <c r="M109" s="67">
        <f t="shared" si="3"/>
        <v>14.150455742459286</v>
      </c>
      <c r="N109" s="67">
        <f t="shared" si="3"/>
        <v>310.6741482544698</v>
      </c>
      <c r="O109" s="67">
        <f t="shared" si="3"/>
        <v>0</v>
      </c>
      <c r="P109" s="67">
        <f t="shared" si="3"/>
        <v>8.6907896396935136E-2</v>
      </c>
      <c r="Q109" s="67">
        <f t="shared" si="3"/>
        <v>7.4645360368621724E-2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1305</v>
      </c>
      <c r="B9" s="64">
        <v>8.1999999999999993</v>
      </c>
      <c r="C9" s="64">
        <v>3.11</v>
      </c>
      <c r="D9" s="64">
        <v>11.97</v>
      </c>
      <c r="E9" s="64">
        <v>4.2699999999999996</v>
      </c>
      <c r="F9" s="64">
        <v>4.9400000000000004</v>
      </c>
      <c r="G9" s="64">
        <v>56.24</v>
      </c>
      <c r="H9" s="64">
        <v>26.27</v>
      </c>
      <c r="I9" s="64">
        <v>5.36</v>
      </c>
      <c r="J9" s="64">
        <v>0.34</v>
      </c>
      <c r="K9" s="64">
        <v>209.42</v>
      </c>
      <c r="L9" s="64">
        <v>27.18</v>
      </c>
      <c r="M9" s="64">
        <v>59.39</v>
      </c>
      <c r="N9" s="64">
        <v>19.600000000000001</v>
      </c>
      <c r="O9" s="64">
        <v>0</v>
      </c>
      <c r="P9" s="64">
        <v>0.28999999999999998</v>
      </c>
      <c r="Q9" s="64">
        <v>9.4600000000000009</v>
      </c>
      <c r="R9" s="198"/>
      <c r="S9" s="198"/>
      <c r="T9" s="198"/>
      <c r="U9" s="198"/>
    </row>
    <row r="10" spans="1:21" s="12" customFormat="1" x14ac:dyDescent="0.25">
      <c r="A10" s="214" t="s">
        <v>1306</v>
      </c>
      <c r="B10" s="64">
        <v>8.23</v>
      </c>
      <c r="C10" s="64">
        <v>3.17</v>
      </c>
      <c r="D10" s="64">
        <v>12.03</v>
      </c>
      <c r="E10" s="64">
        <v>4.37</v>
      </c>
      <c r="F10" s="64">
        <v>5.04</v>
      </c>
      <c r="G10" s="64">
        <v>49.89</v>
      </c>
      <c r="H10" s="64">
        <v>23.25</v>
      </c>
      <c r="I10" s="64">
        <v>5.35</v>
      </c>
      <c r="J10" s="64">
        <v>0.1</v>
      </c>
      <c r="K10" s="64">
        <v>294.92</v>
      </c>
      <c r="L10" s="64">
        <v>27.25</v>
      </c>
      <c r="M10" s="64">
        <v>58.65</v>
      </c>
      <c r="N10" s="64">
        <v>19.399999999999999</v>
      </c>
      <c r="O10" s="64">
        <v>0</v>
      </c>
      <c r="P10" s="64">
        <v>0.28000000000000003</v>
      </c>
      <c r="Q10" s="64">
        <v>9.4700000000000006</v>
      </c>
      <c r="R10" s="198"/>
      <c r="S10" s="198"/>
      <c r="T10" s="198"/>
      <c r="U10" s="198"/>
    </row>
    <row r="11" spans="1:21" s="12" customFormat="1" x14ac:dyDescent="0.25">
      <c r="A11" s="214" t="s">
        <v>1307</v>
      </c>
      <c r="B11" s="64">
        <v>8.2899999999999991</v>
      </c>
      <c r="C11" s="64">
        <v>3.27</v>
      </c>
      <c r="D11" s="64">
        <v>12.13</v>
      </c>
      <c r="E11" s="64">
        <v>4.2699999999999996</v>
      </c>
      <c r="F11" s="64">
        <v>5.91</v>
      </c>
      <c r="G11" s="64">
        <v>44.08</v>
      </c>
      <c r="H11" s="64">
        <v>20.49</v>
      </c>
      <c r="I11" s="64">
        <v>5.22</v>
      </c>
      <c r="J11" s="64">
        <v>0.42</v>
      </c>
      <c r="K11" s="64">
        <v>8.56</v>
      </c>
      <c r="L11" s="64">
        <v>27.37</v>
      </c>
      <c r="M11" s="64">
        <v>58.29</v>
      </c>
      <c r="N11" s="64">
        <v>19.5</v>
      </c>
      <c r="O11" s="64">
        <v>0</v>
      </c>
      <c r="P11" s="64">
        <v>0.27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14" t="s">
        <v>1308</v>
      </c>
      <c r="B12" s="64">
        <v>8.2799999999999994</v>
      </c>
      <c r="C12" s="64">
        <v>3.24</v>
      </c>
      <c r="D12" s="64">
        <v>12.11</v>
      </c>
      <c r="E12" s="64">
        <v>4.5999999999999996</v>
      </c>
      <c r="F12" s="64">
        <v>6.68</v>
      </c>
      <c r="G12" s="64">
        <v>44.08</v>
      </c>
      <c r="H12" s="64">
        <v>20.49</v>
      </c>
      <c r="I12" s="64">
        <v>5.0599999999999996</v>
      </c>
      <c r="J12" s="64">
        <v>0.54</v>
      </c>
      <c r="K12" s="64">
        <v>14.45</v>
      </c>
      <c r="L12" s="64">
        <v>27.22</v>
      </c>
      <c r="M12" s="64">
        <v>59.18</v>
      </c>
      <c r="N12" s="64">
        <v>19.600000000000001</v>
      </c>
      <c r="O12" s="64">
        <v>0</v>
      </c>
      <c r="P12" s="64">
        <v>0.25</v>
      </c>
      <c r="Q12" s="64">
        <v>9.4600000000000009</v>
      </c>
      <c r="R12" s="198"/>
      <c r="S12" s="198"/>
      <c r="T12" s="198"/>
      <c r="U12" s="198"/>
    </row>
    <row r="13" spans="1:21" s="12" customFormat="1" x14ac:dyDescent="0.25">
      <c r="A13" s="214" t="s">
        <v>1309</v>
      </c>
      <c r="B13" s="64">
        <v>8.5</v>
      </c>
      <c r="C13" s="64">
        <v>4.1500000000000004</v>
      </c>
      <c r="D13" s="64">
        <v>12.76</v>
      </c>
      <c r="E13" s="64">
        <v>4.47</v>
      </c>
      <c r="F13" s="64">
        <v>7.91</v>
      </c>
      <c r="G13" s="64">
        <v>44.08</v>
      </c>
      <c r="H13" s="64">
        <v>20.49</v>
      </c>
      <c r="I13" s="64">
        <v>4.75</v>
      </c>
      <c r="J13" s="64">
        <v>0.64</v>
      </c>
      <c r="K13" s="64">
        <v>31.7</v>
      </c>
      <c r="L13" s="64">
        <v>27.17</v>
      </c>
      <c r="M13" s="64">
        <v>60.23</v>
      </c>
      <c r="N13" s="64">
        <v>19.600000000000001</v>
      </c>
      <c r="O13" s="64">
        <v>0</v>
      </c>
      <c r="P13" s="64">
        <v>0.23</v>
      </c>
      <c r="Q13" s="64">
        <v>9.44</v>
      </c>
      <c r="R13" s="198"/>
      <c r="S13" s="198"/>
      <c r="T13" s="198"/>
      <c r="U13" s="198"/>
    </row>
    <row r="14" spans="1:21" s="12" customFormat="1" x14ac:dyDescent="0.25">
      <c r="A14" s="214" t="s">
        <v>1310</v>
      </c>
      <c r="B14" s="64">
        <v>8.24</v>
      </c>
      <c r="C14" s="64">
        <v>3.44</v>
      </c>
      <c r="D14" s="64">
        <v>12.18</v>
      </c>
      <c r="E14" s="64">
        <v>4.3</v>
      </c>
      <c r="F14" s="64">
        <v>9.08</v>
      </c>
      <c r="G14" s="64">
        <v>41.33</v>
      </c>
      <c r="H14" s="64">
        <v>19.18</v>
      </c>
      <c r="I14" s="64">
        <v>4.33</v>
      </c>
      <c r="J14" s="64">
        <v>0.63</v>
      </c>
      <c r="K14" s="64">
        <v>24.03</v>
      </c>
      <c r="L14" s="64">
        <v>27.07</v>
      </c>
      <c r="M14" s="64">
        <v>62.27</v>
      </c>
      <c r="N14" s="64">
        <v>19.8</v>
      </c>
      <c r="O14" s="64">
        <v>0</v>
      </c>
      <c r="P14" s="64">
        <v>0.23</v>
      </c>
      <c r="Q14" s="64">
        <v>9.4600000000000009</v>
      </c>
      <c r="R14" s="198"/>
      <c r="S14" s="198"/>
      <c r="T14" s="198"/>
      <c r="U14" s="198"/>
    </row>
    <row r="15" spans="1:21" s="12" customFormat="1" x14ac:dyDescent="0.25">
      <c r="A15" s="214" t="s">
        <v>1311</v>
      </c>
      <c r="B15" s="64">
        <v>8.16</v>
      </c>
      <c r="C15" s="64">
        <v>3.14</v>
      </c>
      <c r="D15" s="64">
        <v>11.96</v>
      </c>
      <c r="E15" s="64">
        <v>4.45</v>
      </c>
      <c r="F15" s="64">
        <v>9.36</v>
      </c>
      <c r="G15" s="64">
        <v>38.69</v>
      </c>
      <c r="H15" s="64">
        <v>17.93</v>
      </c>
      <c r="I15" s="64">
        <v>3.79</v>
      </c>
      <c r="J15" s="64">
        <v>0.67</v>
      </c>
      <c r="K15" s="64">
        <v>17.02</v>
      </c>
      <c r="L15" s="64">
        <v>27.13</v>
      </c>
      <c r="M15" s="64">
        <v>61.38</v>
      </c>
      <c r="N15" s="64">
        <v>19.7</v>
      </c>
      <c r="O15" s="64">
        <v>0</v>
      </c>
      <c r="P15" s="64">
        <v>0.22</v>
      </c>
      <c r="Q15" s="64">
        <v>9.48</v>
      </c>
      <c r="R15" s="198"/>
      <c r="S15" s="198"/>
      <c r="T15" s="198"/>
      <c r="U15" s="198"/>
    </row>
    <row r="16" spans="1:21" s="12" customFormat="1" x14ac:dyDescent="0.25">
      <c r="A16" s="214" t="s">
        <v>1312</v>
      </c>
      <c r="B16" s="64">
        <v>8.16</v>
      </c>
      <c r="C16" s="64">
        <v>3.09</v>
      </c>
      <c r="D16" s="64">
        <v>11.93</v>
      </c>
      <c r="E16" s="64">
        <v>4.55</v>
      </c>
      <c r="F16" s="64">
        <v>8.65</v>
      </c>
      <c r="G16" s="64">
        <v>38.69</v>
      </c>
      <c r="H16" s="64">
        <v>17.93</v>
      </c>
      <c r="I16" s="64">
        <v>3.26</v>
      </c>
      <c r="J16" s="64">
        <v>0.7</v>
      </c>
      <c r="K16" s="64">
        <v>14.38</v>
      </c>
      <c r="L16" s="64">
        <v>27.22</v>
      </c>
      <c r="M16" s="64">
        <v>60.08</v>
      </c>
      <c r="N16" s="64">
        <v>19.7</v>
      </c>
      <c r="O16" s="64">
        <v>0</v>
      </c>
      <c r="P16" s="64">
        <v>0.21</v>
      </c>
      <c r="Q16" s="64">
        <v>9.4600000000000009</v>
      </c>
      <c r="R16" s="198"/>
      <c r="S16" s="198"/>
      <c r="T16" s="198"/>
      <c r="U16" s="198"/>
    </row>
    <row r="17" spans="1:21" s="12" customFormat="1" x14ac:dyDescent="0.25">
      <c r="A17" s="214" t="s">
        <v>1313</v>
      </c>
      <c r="B17" s="64">
        <v>8.17</v>
      </c>
      <c r="C17" s="64">
        <v>3.19</v>
      </c>
      <c r="D17" s="64">
        <v>11.99</v>
      </c>
      <c r="E17" s="64">
        <v>4.41</v>
      </c>
      <c r="F17" s="64">
        <v>10.59</v>
      </c>
      <c r="G17" s="64">
        <v>38.69</v>
      </c>
      <c r="H17" s="64">
        <v>17.93</v>
      </c>
      <c r="I17" s="64">
        <v>2.88</v>
      </c>
      <c r="J17" s="64">
        <v>0.8</v>
      </c>
      <c r="K17" s="64">
        <v>31.73</v>
      </c>
      <c r="L17" s="64">
        <v>27.11</v>
      </c>
      <c r="M17" s="64">
        <v>60.02</v>
      </c>
      <c r="N17" s="64">
        <v>20</v>
      </c>
      <c r="O17" s="64">
        <v>0</v>
      </c>
      <c r="P17" s="64">
        <v>0.2</v>
      </c>
      <c r="Q17" s="64">
        <v>9.42</v>
      </c>
      <c r="R17" s="198"/>
      <c r="S17" s="198"/>
      <c r="T17" s="198"/>
      <c r="U17" s="198"/>
    </row>
    <row r="18" spans="1:21" s="12" customFormat="1" x14ac:dyDescent="0.25">
      <c r="A18" s="214" t="s">
        <v>1314</v>
      </c>
      <c r="B18" s="64">
        <v>8.17</v>
      </c>
      <c r="C18" s="64">
        <v>3.12</v>
      </c>
      <c r="D18" s="64">
        <v>11.96</v>
      </c>
      <c r="E18" s="64">
        <v>4.5</v>
      </c>
      <c r="F18" s="64">
        <v>10.43</v>
      </c>
      <c r="G18" s="64">
        <v>37.04</v>
      </c>
      <c r="H18" s="64">
        <v>18.04</v>
      </c>
      <c r="I18" s="64">
        <v>2.57</v>
      </c>
      <c r="J18" s="64">
        <v>0.5</v>
      </c>
      <c r="K18" s="64">
        <v>13.76</v>
      </c>
      <c r="L18" s="64">
        <v>27</v>
      </c>
      <c r="M18" s="64">
        <v>60.78</v>
      </c>
      <c r="N18" s="64">
        <v>20</v>
      </c>
      <c r="O18" s="64">
        <v>0</v>
      </c>
      <c r="P18" s="64">
        <v>0.19</v>
      </c>
      <c r="Q18" s="64">
        <v>9.4600000000000009</v>
      </c>
      <c r="R18" s="198"/>
      <c r="S18" s="198"/>
      <c r="T18" s="198"/>
      <c r="U18" s="198"/>
    </row>
    <row r="19" spans="1:21" s="12" customFormat="1" x14ac:dyDescent="0.25">
      <c r="A19" s="214" t="s">
        <v>1315</v>
      </c>
      <c r="B19" s="64">
        <v>8.1999999999999993</v>
      </c>
      <c r="C19" s="64">
        <v>3.23</v>
      </c>
      <c r="D19" s="64">
        <v>12.04</v>
      </c>
      <c r="E19" s="64">
        <v>4.74</v>
      </c>
      <c r="F19" s="64">
        <v>10.33</v>
      </c>
      <c r="G19" s="64">
        <v>35.46</v>
      </c>
      <c r="H19" s="64">
        <v>18.149999999999999</v>
      </c>
      <c r="I19" s="64">
        <v>2.2999999999999998</v>
      </c>
      <c r="J19" s="64">
        <v>0.73</v>
      </c>
      <c r="K19" s="64">
        <v>27.18</v>
      </c>
      <c r="L19" s="64">
        <v>26.86</v>
      </c>
      <c r="M19" s="64">
        <v>61.35</v>
      </c>
      <c r="N19" s="64">
        <v>20</v>
      </c>
      <c r="O19" s="64">
        <v>0</v>
      </c>
      <c r="P19" s="64">
        <v>0.18</v>
      </c>
      <c r="Q19" s="64">
        <v>9.43</v>
      </c>
      <c r="R19" s="198"/>
      <c r="S19" s="198"/>
      <c r="T19" s="198"/>
      <c r="U19" s="198"/>
    </row>
    <row r="20" spans="1:21" s="12" customFormat="1" x14ac:dyDescent="0.25">
      <c r="A20" s="214" t="s">
        <v>1316</v>
      </c>
      <c r="B20" s="64">
        <v>8.4</v>
      </c>
      <c r="C20" s="64">
        <v>3.9</v>
      </c>
      <c r="D20" s="64">
        <v>12.55</v>
      </c>
      <c r="E20" s="64">
        <v>4.26</v>
      </c>
      <c r="F20" s="64">
        <v>9.7799999999999994</v>
      </c>
      <c r="G20" s="64">
        <v>35.46</v>
      </c>
      <c r="H20" s="64">
        <v>18.149999999999999</v>
      </c>
      <c r="I20" s="64">
        <v>2</v>
      </c>
      <c r="J20" s="64">
        <v>0.7</v>
      </c>
      <c r="K20" s="64">
        <v>21.28</v>
      </c>
      <c r="L20" s="64">
        <v>26.85</v>
      </c>
      <c r="M20" s="64">
        <v>61.38</v>
      </c>
      <c r="N20" s="64">
        <v>20</v>
      </c>
      <c r="O20" s="64">
        <v>0</v>
      </c>
      <c r="P20" s="64">
        <v>0.18</v>
      </c>
      <c r="Q20" s="64">
        <v>9.4499999999999993</v>
      </c>
      <c r="R20" s="198"/>
      <c r="S20" s="198"/>
      <c r="T20" s="198"/>
      <c r="U20" s="198"/>
    </row>
    <row r="21" spans="1:21" s="12" customFormat="1" x14ac:dyDescent="0.25">
      <c r="A21" s="214" t="s">
        <v>1317</v>
      </c>
      <c r="B21" s="64">
        <v>8.27</v>
      </c>
      <c r="C21" s="64">
        <v>3.46</v>
      </c>
      <c r="D21" s="64">
        <v>12.22</v>
      </c>
      <c r="E21" s="64">
        <v>4.6100000000000003</v>
      </c>
      <c r="F21" s="64">
        <v>9.66</v>
      </c>
      <c r="G21" s="64">
        <v>35.46</v>
      </c>
      <c r="H21" s="64">
        <v>18.149999999999999</v>
      </c>
      <c r="I21" s="64">
        <v>1.82</v>
      </c>
      <c r="J21" s="64">
        <v>0.48</v>
      </c>
      <c r="K21" s="64">
        <v>26.98</v>
      </c>
      <c r="L21" s="64">
        <v>26.82</v>
      </c>
      <c r="M21" s="64">
        <v>61.52</v>
      </c>
      <c r="N21" s="64">
        <v>20</v>
      </c>
      <c r="O21" s="64">
        <v>0</v>
      </c>
      <c r="P21" s="64">
        <v>0.17</v>
      </c>
      <c r="Q21" s="64">
        <v>9.4</v>
      </c>
      <c r="R21" s="198"/>
      <c r="S21" s="198"/>
      <c r="T21" s="198"/>
      <c r="U21" s="198"/>
    </row>
    <row r="22" spans="1:21" s="12" customFormat="1" x14ac:dyDescent="0.25">
      <c r="A22" s="214" t="s">
        <v>1318</v>
      </c>
      <c r="B22" s="64">
        <v>8.16</v>
      </c>
      <c r="C22" s="64">
        <v>3.15</v>
      </c>
      <c r="D22" s="64">
        <v>11.96</v>
      </c>
      <c r="E22" s="64">
        <v>4.66</v>
      </c>
      <c r="F22" s="64">
        <v>9.48</v>
      </c>
      <c r="G22" s="64">
        <v>33.409999999999997</v>
      </c>
      <c r="H22" s="64">
        <v>17.3</v>
      </c>
      <c r="I22" s="64">
        <v>1.67</v>
      </c>
      <c r="J22" s="64">
        <v>0.6</v>
      </c>
      <c r="K22" s="64">
        <v>26.78</v>
      </c>
      <c r="L22" s="64">
        <v>26.79</v>
      </c>
      <c r="M22" s="64">
        <v>60.62</v>
      </c>
      <c r="N22" s="64">
        <v>19.899999999999999</v>
      </c>
      <c r="O22" s="64">
        <v>0</v>
      </c>
      <c r="P22" s="64">
        <v>0.17</v>
      </c>
      <c r="Q22" s="64">
        <v>9.41</v>
      </c>
      <c r="R22" s="198"/>
      <c r="S22" s="198"/>
      <c r="T22" s="198"/>
      <c r="U22" s="198"/>
    </row>
    <row r="23" spans="1:21" s="12" customFormat="1" x14ac:dyDescent="0.25">
      <c r="A23" s="214" t="s">
        <v>1319</v>
      </c>
      <c r="B23" s="64">
        <v>8.14</v>
      </c>
      <c r="C23" s="64">
        <v>3.08</v>
      </c>
      <c r="D23" s="64">
        <v>11.91</v>
      </c>
      <c r="E23" s="64">
        <v>4.7</v>
      </c>
      <c r="F23" s="64">
        <v>8.14</v>
      </c>
      <c r="G23" s="64">
        <v>31.45</v>
      </c>
      <c r="H23" s="64">
        <v>16.53</v>
      </c>
      <c r="I23" s="64">
        <v>1.57</v>
      </c>
      <c r="J23" s="64">
        <v>0.56000000000000005</v>
      </c>
      <c r="K23" s="64">
        <v>24.54</v>
      </c>
      <c r="L23" s="64">
        <v>26.84</v>
      </c>
      <c r="M23" s="64">
        <v>60.05</v>
      </c>
      <c r="N23" s="64">
        <v>19.8</v>
      </c>
      <c r="O23" s="64">
        <v>0</v>
      </c>
      <c r="P23" s="64">
        <v>0.16</v>
      </c>
      <c r="Q23" s="64">
        <v>9.4</v>
      </c>
      <c r="R23" s="198"/>
      <c r="S23" s="198"/>
      <c r="T23" s="198"/>
      <c r="U23" s="198"/>
    </row>
    <row r="24" spans="1:21" s="12" customFormat="1" x14ac:dyDescent="0.25">
      <c r="A24" s="214" t="s">
        <v>1320</v>
      </c>
      <c r="B24" s="64">
        <v>8.17</v>
      </c>
      <c r="C24" s="64">
        <v>3.08</v>
      </c>
      <c r="D24" s="64">
        <v>11.93</v>
      </c>
      <c r="E24" s="64">
        <v>4.29</v>
      </c>
      <c r="F24" s="64">
        <v>9.1999999999999993</v>
      </c>
      <c r="G24" s="64">
        <v>31.45</v>
      </c>
      <c r="H24" s="64">
        <v>16.53</v>
      </c>
      <c r="I24" s="64">
        <v>1.48</v>
      </c>
      <c r="J24" s="64">
        <v>0.75</v>
      </c>
      <c r="K24" s="64">
        <v>22.85</v>
      </c>
      <c r="L24" s="64">
        <v>26.71</v>
      </c>
      <c r="M24" s="64">
        <v>60.81</v>
      </c>
      <c r="N24" s="64">
        <v>20</v>
      </c>
      <c r="O24" s="64">
        <v>0</v>
      </c>
      <c r="P24" s="64">
        <v>0.16</v>
      </c>
      <c r="Q24" s="64">
        <v>9.35</v>
      </c>
      <c r="R24" s="198"/>
      <c r="S24" s="198"/>
      <c r="T24" s="198"/>
      <c r="U24" s="198"/>
    </row>
    <row r="25" spans="1:21" s="12" customFormat="1" x14ac:dyDescent="0.25">
      <c r="A25" s="214" t="s">
        <v>1321</v>
      </c>
      <c r="B25" s="64">
        <v>8.1999999999999993</v>
      </c>
      <c r="C25" s="64">
        <v>3.17</v>
      </c>
      <c r="D25" s="64">
        <v>12.01</v>
      </c>
      <c r="E25" s="64">
        <v>4.45</v>
      </c>
      <c r="F25" s="64">
        <v>12.31</v>
      </c>
      <c r="G25" s="64">
        <v>31.45</v>
      </c>
      <c r="H25" s="64">
        <v>16.53</v>
      </c>
      <c r="I25" s="64">
        <v>1.36</v>
      </c>
      <c r="J25" s="64">
        <v>0.7</v>
      </c>
      <c r="K25" s="64">
        <v>20.21</v>
      </c>
      <c r="L25" s="64">
        <v>26.37</v>
      </c>
      <c r="M25" s="64">
        <v>61.39</v>
      </c>
      <c r="N25" s="64">
        <v>20.3</v>
      </c>
      <c r="O25" s="64">
        <v>0</v>
      </c>
      <c r="P25" s="64">
        <v>0.16</v>
      </c>
      <c r="Q25" s="64">
        <v>9.34</v>
      </c>
      <c r="R25" s="198"/>
      <c r="S25" s="198"/>
      <c r="T25" s="198"/>
      <c r="U25" s="198"/>
    </row>
    <row r="26" spans="1:21" s="12" customFormat="1" x14ac:dyDescent="0.25">
      <c r="A26" s="214" t="s">
        <v>1322</v>
      </c>
      <c r="B26" s="64">
        <v>8.2100000000000009</v>
      </c>
      <c r="C26" s="64">
        <v>3.19</v>
      </c>
      <c r="D26" s="64">
        <v>12.02</v>
      </c>
      <c r="E26" s="64">
        <v>4.49</v>
      </c>
      <c r="F26" s="64">
        <v>13.57</v>
      </c>
      <c r="G26" s="64">
        <v>30.78</v>
      </c>
      <c r="H26" s="64">
        <v>14.02</v>
      </c>
      <c r="I26" s="64">
        <v>1.29</v>
      </c>
      <c r="J26" s="64">
        <v>0.71</v>
      </c>
      <c r="K26" s="64">
        <v>355.59</v>
      </c>
      <c r="L26" s="64">
        <v>26.14</v>
      </c>
      <c r="M26" s="64">
        <v>65.400000000000006</v>
      </c>
      <c r="N26" s="64">
        <v>20.399999999999999</v>
      </c>
      <c r="O26" s="64">
        <v>0</v>
      </c>
      <c r="P26" s="64">
        <v>0.15</v>
      </c>
      <c r="Q26" s="64">
        <v>9.32</v>
      </c>
      <c r="R26" s="198"/>
      <c r="S26" s="198"/>
      <c r="T26" s="198"/>
      <c r="U26" s="198"/>
    </row>
    <row r="27" spans="1:21" s="12" customFormat="1" x14ac:dyDescent="0.25">
      <c r="A27" s="214" t="s">
        <v>1323</v>
      </c>
      <c r="B27" s="64">
        <v>8.24</v>
      </c>
      <c r="C27" s="64">
        <v>3.28</v>
      </c>
      <c r="D27" s="64">
        <v>12.09</v>
      </c>
      <c r="E27" s="64">
        <v>4.2699999999999996</v>
      </c>
      <c r="F27" s="64">
        <v>12.37</v>
      </c>
      <c r="G27" s="64">
        <v>30.14</v>
      </c>
      <c r="H27" s="64">
        <v>11.62</v>
      </c>
      <c r="I27" s="64">
        <v>1.18</v>
      </c>
      <c r="J27" s="64">
        <v>0.84</v>
      </c>
      <c r="K27" s="64">
        <v>345.87</v>
      </c>
      <c r="L27" s="64">
        <v>25.62</v>
      </c>
      <c r="M27" s="64">
        <v>70.760000000000005</v>
      </c>
      <c r="N27" s="64">
        <v>20.5</v>
      </c>
      <c r="O27" s="64">
        <v>0</v>
      </c>
      <c r="P27" s="64">
        <v>0.16</v>
      </c>
      <c r="Q27" s="64">
        <v>9.35</v>
      </c>
      <c r="R27" s="198"/>
      <c r="S27" s="198"/>
      <c r="T27" s="198"/>
      <c r="U27" s="198"/>
    </row>
    <row r="28" spans="1:21" s="12" customFormat="1" x14ac:dyDescent="0.25">
      <c r="A28" s="214" t="s">
        <v>1324</v>
      </c>
      <c r="B28" s="64">
        <v>8.4700000000000006</v>
      </c>
      <c r="C28" s="64">
        <v>4</v>
      </c>
      <c r="D28" s="64">
        <v>12.65</v>
      </c>
      <c r="E28" s="64">
        <v>4.25</v>
      </c>
      <c r="F28" s="64">
        <v>10.75</v>
      </c>
      <c r="G28" s="64">
        <v>30.14</v>
      </c>
      <c r="H28" s="64">
        <v>11.62</v>
      </c>
      <c r="I28" s="64">
        <v>1.1000000000000001</v>
      </c>
      <c r="J28" s="64">
        <v>0.65</v>
      </c>
      <c r="K28" s="64">
        <v>0</v>
      </c>
      <c r="L28" s="64">
        <v>25.48</v>
      </c>
      <c r="M28" s="64">
        <v>72.25</v>
      </c>
      <c r="N28" s="64">
        <v>20</v>
      </c>
      <c r="O28" s="64">
        <v>0</v>
      </c>
      <c r="P28" s="64">
        <v>0.18</v>
      </c>
      <c r="Q28" s="64">
        <v>9.35</v>
      </c>
      <c r="R28" s="198"/>
      <c r="S28" s="198"/>
      <c r="T28" s="198"/>
      <c r="U28" s="198"/>
    </row>
    <row r="29" spans="1:21" s="12" customFormat="1" x14ac:dyDescent="0.25">
      <c r="A29" s="214" t="s">
        <v>1325</v>
      </c>
      <c r="B29" s="64">
        <v>8.25</v>
      </c>
      <c r="C29" s="64">
        <v>3.37</v>
      </c>
      <c r="D29" s="64">
        <v>12.15</v>
      </c>
      <c r="E29" s="64">
        <v>4.43</v>
      </c>
      <c r="F29" s="64">
        <v>8.14</v>
      </c>
      <c r="G29" s="64">
        <v>30.14</v>
      </c>
      <c r="H29" s="64">
        <v>11.62</v>
      </c>
      <c r="I29" s="64">
        <v>1.1000000000000001</v>
      </c>
      <c r="J29" s="64">
        <v>0.63</v>
      </c>
      <c r="K29" s="64">
        <v>344.15</v>
      </c>
      <c r="L29" s="64">
        <v>25.45</v>
      </c>
      <c r="M29" s="64">
        <v>73.13</v>
      </c>
      <c r="N29" s="64">
        <v>22.2</v>
      </c>
      <c r="O29" s="64">
        <v>0</v>
      </c>
      <c r="P29" s="64">
        <v>0.25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4" t="s">
        <v>1326</v>
      </c>
      <c r="B30" s="64">
        <v>8.19</v>
      </c>
      <c r="C30" s="64">
        <v>3.15</v>
      </c>
      <c r="D30" s="64">
        <v>11.99</v>
      </c>
      <c r="E30" s="64">
        <v>4.2699999999999996</v>
      </c>
      <c r="F30" s="64">
        <v>6.33</v>
      </c>
      <c r="G30" s="64">
        <v>33.799999999999997</v>
      </c>
      <c r="H30" s="64">
        <v>14.42</v>
      </c>
      <c r="I30" s="64">
        <v>1.27</v>
      </c>
      <c r="J30" s="64">
        <v>0.68</v>
      </c>
      <c r="K30" s="64">
        <v>343.34</v>
      </c>
      <c r="L30" s="64">
        <v>25.5</v>
      </c>
      <c r="M30" s="64">
        <v>72.709999999999994</v>
      </c>
      <c r="N30" s="64">
        <v>33.299999999999997</v>
      </c>
      <c r="O30" s="64">
        <v>0</v>
      </c>
      <c r="P30" s="64">
        <v>0.37</v>
      </c>
      <c r="Q30" s="64">
        <v>9.3800000000000008</v>
      </c>
      <c r="R30" s="198"/>
      <c r="S30" s="198"/>
      <c r="T30" s="198"/>
      <c r="U30" s="198"/>
    </row>
    <row r="31" spans="1:21" s="12" customFormat="1" x14ac:dyDescent="0.25">
      <c r="A31" s="214" t="s">
        <v>1327</v>
      </c>
      <c r="B31" s="64">
        <v>8.18</v>
      </c>
      <c r="C31" s="64">
        <v>3.2</v>
      </c>
      <c r="D31" s="64">
        <v>12</v>
      </c>
      <c r="E31" s="64">
        <v>4.54</v>
      </c>
      <c r="F31" s="64">
        <v>6.4</v>
      </c>
      <c r="G31" s="64">
        <v>37.299999999999997</v>
      </c>
      <c r="H31" s="64">
        <v>17.09</v>
      </c>
      <c r="I31" s="64">
        <v>1.8</v>
      </c>
      <c r="J31" s="64">
        <v>0.66</v>
      </c>
      <c r="K31" s="64">
        <v>4.2699999999999996</v>
      </c>
      <c r="L31" s="64">
        <v>25.47</v>
      </c>
      <c r="M31" s="64">
        <v>72.239999999999995</v>
      </c>
      <c r="N31" s="64">
        <v>56.5</v>
      </c>
      <c r="O31" s="64">
        <v>0</v>
      </c>
      <c r="P31" s="64">
        <v>0.39</v>
      </c>
      <c r="Q31" s="64">
        <v>9.4499999999999993</v>
      </c>
      <c r="R31" s="198"/>
      <c r="S31" s="198"/>
      <c r="T31" s="198"/>
      <c r="U31" s="198"/>
    </row>
    <row r="32" spans="1:21" s="12" customFormat="1" x14ac:dyDescent="0.25">
      <c r="A32" s="214" t="s">
        <v>1328</v>
      </c>
      <c r="B32" s="64">
        <v>8.14</v>
      </c>
      <c r="C32" s="64">
        <v>3.15</v>
      </c>
      <c r="D32" s="64">
        <v>11.95</v>
      </c>
      <c r="E32" s="64">
        <v>4.71</v>
      </c>
      <c r="F32" s="64">
        <v>7.07</v>
      </c>
      <c r="G32" s="64">
        <v>37.299999999999997</v>
      </c>
      <c r="H32" s="64">
        <v>17.09</v>
      </c>
      <c r="I32" s="64">
        <v>2.2999999999999998</v>
      </c>
      <c r="J32" s="64">
        <v>0.66</v>
      </c>
      <c r="K32" s="64">
        <v>348.68</v>
      </c>
      <c r="L32" s="64">
        <v>25.69</v>
      </c>
      <c r="M32" s="64">
        <v>70.87</v>
      </c>
      <c r="N32" s="64">
        <v>74.7</v>
      </c>
      <c r="O32" s="64">
        <v>0</v>
      </c>
      <c r="P32" s="64">
        <v>0.39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4" t="s">
        <v>1329</v>
      </c>
      <c r="B33" s="64">
        <v>8.3000000000000007</v>
      </c>
      <c r="C33" s="64">
        <v>3.67</v>
      </c>
      <c r="D33" s="64">
        <v>12.35</v>
      </c>
      <c r="E33" s="64">
        <v>4.1100000000000003</v>
      </c>
      <c r="F33" s="64">
        <v>6.92</v>
      </c>
      <c r="G33" s="64">
        <v>37.299999999999997</v>
      </c>
      <c r="H33" s="64">
        <v>17.09</v>
      </c>
      <c r="I33" s="64">
        <v>2.4</v>
      </c>
      <c r="J33" s="64">
        <v>0.56999999999999995</v>
      </c>
      <c r="K33" s="64">
        <v>357.93</v>
      </c>
      <c r="L33" s="64">
        <v>25.81</v>
      </c>
      <c r="M33" s="64">
        <v>70.13</v>
      </c>
      <c r="N33" s="64">
        <v>81</v>
      </c>
      <c r="O33" s="64">
        <v>0</v>
      </c>
      <c r="P33" s="64">
        <v>0.38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14" t="s">
        <v>1330</v>
      </c>
      <c r="B34" s="64">
        <v>8.35</v>
      </c>
      <c r="C34" s="64">
        <v>3.8</v>
      </c>
      <c r="D34" s="64">
        <v>12.45</v>
      </c>
      <c r="E34" s="64">
        <v>4.3600000000000003</v>
      </c>
      <c r="F34" s="64">
        <v>7.05</v>
      </c>
      <c r="G34" s="64">
        <v>37.6</v>
      </c>
      <c r="H34" s="64">
        <v>15.71</v>
      </c>
      <c r="I34" s="64">
        <v>2.31</v>
      </c>
      <c r="J34" s="64">
        <v>0.55000000000000004</v>
      </c>
      <c r="K34" s="64">
        <v>359.75</v>
      </c>
      <c r="L34" s="64">
        <v>25.92</v>
      </c>
      <c r="M34" s="64">
        <v>69.75</v>
      </c>
      <c r="N34" s="64">
        <v>86.3</v>
      </c>
      <c r="O34" s="64">
        <v>0</v>
      </c>
      <c r="P34" s="64">
        <v>0.39</v>
      </c>
      <c r="Q34" s="64">
        <v>9.43</v>
      </c>
      <c r="R34" s="198"/>
      <c r="S34" s="198"/>
      <c r="T34" s="198"/>
      <c r="U34" s="198"/>
    </row>
    <row r="35" spans="1:21" s="12" customFormat="1" x14ac:dyDescent="0.25">
      <c r="A35" s="214" t="s">
        <v>1331</v>
      </c>
      <c r="B35" s="64">
        <v>8.19</v>
      </c>
      <c r="C35" s="64">
        <v>3.21</v>
      </c>
      <c r="D35" s="64">
        <v>12.02</v>
      </c>
      <c r="E35" s="64">
        <v>4.07</v>
      </c>
      <c r="F35" s="64">
        <v>6.14</v>
      </c>
      <c r="G35" s="64">
        <v>37.89</v>
      </c>
      <c r="H35" s="64">
        <v>14.44</v>
      </c>
      <c r="I35" s="64">
        <v>2.23</v>
      </c>
      <c r="J35" s="64">
        <v>0.64</v>
      </c>
      <c r="K35" s="64">
        <v>13.13</v>
      </c>
      <c r="L35" s="64">
        <v>25.89</v>
      </c>
      <c r="M35" s="64">
        <v>70.12</v>
      </c>
      <c r="N35" s="64">
        <v>94</v>
      </c>
      <c r="O35" s="64">
        <v>0</v>
      </c>
      <c r="P35" s="64">
        <v>0.41</v>
      </c>
      <c r="Q35" s="64">
        <v>9.41</v>
      </c>
      <c r="R35" s="198"/>
      <c r="S35" s="198"/>
      <c r="T35" s="198"/>
      <c r="U35" s="198"/>
    </row>
    <row r="36" spans="1:21" s="12" customFormat="1" x14ac:dyDescent="0.25">
      <c r="A36" s="214" t="s">
        <v>1332</v>
      </c>
      <c r="B36" s="64">
        <v>8.15</v>
      </c>
      <c r="C36" s="64">
        <v>3.18</v>
      </c>
      <c r="D36" s="64">
        <v>11.97</v>
      </c>
      <c r="E36" s="64">
        <v>4.45</v>
      </c>
      <c r="F36" s="64">
        <v>5.0999999999999996</v>
      </c>
      <c r="G36" s="64">
        <v>37.89</v>
      </c>
      <c r="H36" s="64">
        <v>14.44</v>
      </c>
      <c r="I36" s="64">
        <v>2.2400000000000002</v>
      </c>
      <c r="J36" s="64">
        <v>0.46</v>
      </c>
      <c r="K36" s="64">
        <v>339.7</v>
      </c>
      <c r="L36" s="64">
        <v>26.43</v>
      </c>
      <c r="M36" s="64">
        <v>67.92</v>
      </c>
      <c r="N36" s="64">
        <v>132.6</v>
      </c>
      <c r="O36" s="64">
        <v>0</v>
      </c>
      <c r="P36" s="64">
        <v>0.5</v>
      </c>
      <c r="Q36" s="64">
        <v>9.4499999999999993</v>
      </c>
      <c r="R36" s="198"/>
      <c r="S36" s="198"/>
      <c r="T36" s="198"/>
      <c r="U36" s="198"/>
    </row>
    <row r="37" spans="1:21" s="12" customFormat="1" x14ac:dyDescent="0.25">
      <c r="A37" s="214" t="s">
        <v>1333</v>
      </c>
      <c r="B37" s="64">
        <v>8.17</v>
      </c>
      <c r="C37" s="64">
        <v>3.18</v>
      </c>
      <c r="D37" s="64">
        <v>11.99</v>
      </c>
      <c r="E37" s="64">
        <v>4.1100000000000003</v>
      </c>
      <c r="F37" s="64">
        <v>5.48</v>
      </c>
      <c r="G37" s="64">
        <v>37.89</v>
      </c>
      <c r="H37" s="64">
        <v>14.44</v>
      </c>
      <c r="I37" s="64">
        <v>2.57</v>
      </c>
      <c r="J37" s="64">
        <v>0.6</v>
      </c>
      <c r="K37" s="64">
        <v>350.57</v>
      </c>
      <c r="L37" s="64">
        <v>27.38</v>
      </c>
      <c r="M37" s="64">
        <v>63.34</v>
      </c>
      <c r="N37" s="64">
        <v>208.9</v>
      </c>
      <c r="O37" s="64">
        <v>0</v>
      </c>
      <c r="P37" s="64">
        <v>0.56000000000000005</v>
      </c>
      <c r="Q37" s="64">
        <v>9.42</v>
      </c>
      <c r="R37" s="198"/>
      <c r="S37" s="198"/>
      <c r="T37" s="198"/>
      <c r="U37" s="198"/>
    </row>
    <row r="38" spans="1:21" s="12" customFormat="1" x14ac:dyDescent="0.25">
      <c r="A38" s="214" t="s">
        <v>1334</v>
      </c>
      <c r="B38" s="64">
        <v>8.2200000000000006</v>
      </c>
      <c r="C38" s="64">
        <v>3.36</v>
      </c>
      <c r="D38" s="64">
        <v>12.12</v>
      </c>
      <c r="E38" s="64">
        <v>4.25</v>
      </c>
      <c r="F38" s="64">
        <v>5.4</v>
      </c>
      <c r="G38" s="64">
        <v>45.07</v>
      </c>
      <c r="H38" s="64">
        <v>17.23</v>
      </c>
      <c r="I38" s="64">
        <v>3.13</v>
      </c>
      <c r="J38" s="64">
        <v>0.98</v>
      </c>
      <c r="K38" s="64">
        <v>311.86</v>
      </c>
      <c r="L38" s="64">
        <v>28.71</v>
      </c>
      <c r="M38" s="64">
        <v>58.16</v>
      </c>
      <c r="N38" s="64">
        <v>262.39999999999998</v>
      </c>
      <c r="O38" s="64">
        <v>0</v>
      </c>
      <c r="P38" s="64">
        <v>0.6</v>
      </c>
      <c r="Q38" s="64">
        <v>9.4600000000000009</v>
      </c>
      <c r="R38" s="198"/>
      <c r="S38" s="198"/>
      <c r="T38" s="198"/>
      <c r="U38" s="198"/>
    </row>
    <row r="39" spans="1:21" s="12" customFormat="1" x14ac:dyDescent="0.25">
      <c r="A39" s="214" t="s">
        <v>1335</v>
      </c>
      <c r="B39" s="64">
        <v>8.42</v>
      </c>
      <c r="C39" s="64">
        <v>4.1500000000000004</v>
      </c>
      <c r="D39" s="64">
        <v>12.69</v>
      </c>
      <c r="E39" s="64">
        <v>3.88</v>
      </c>
      <c r="F39" s="64">
        <v>5.56</v>
      </c>
      <c r="G39" s="64">
        <v>51.94</v>
      </c>
      <c r="H39" s="64">
        <v>19.89</v>
      </c>
      <c r="I39" s="64">
        <v>3.5</v>
      </c>
      <c r="J39" s="64">
        <v>0.95</v>
      </c>
      <c r="K39" s="64">
        <v>319.63</v>
      </c>
      <c r="L39" s="64">
        <v>29.59</v>
      </c>
      <c r="M39" s="64">
        <v>54.59</v>
      </c>
      <c r="N39" s="64">
        <v>312.8</v>
      </c>
      <c r="O39" s="64">
        <v>0</v>
      </c>
      <c r="P39" s="64">
        <v>0.56000000000000005</v>
      </c>
      <c r="Q39" s="64">
        <v>9.44</v>
      </c>
      <c r="R39" s="198"/>
      <c r="S39" s="198"/>
      <c r="T39" s="198"/>
      <c r="U39" s="198"/>
    </row>
    <row r="40" spans="1:21" s="12" customFormat="1" x14ac:dyDescent="0.25">
      <c r="A40" s="214" t="s">
        <v>1336</v>
      </c>
      <c r="B40" s="64">
        <v>8.1999999999999993</v>
      </c>
      <c r="C40" s="64">
        <v>3.32</v>
      </c>
      <c r="D40" s="64">
        <v>12.09</v>
      </c>
      <c r="E40" s="64">
        <v>4.2</v>
      </c>
      <c r="F40" s="64">
        <v>7.05</v>
      </c>
      <c r="G40" s="64">
        <v>51.94</v>
      </c>
      <c r="H40" s="64">
        <v>19.89</v>
      </c>
      <c r="I40" s="64">
        <v>3.51</v>
      </c>
      <c r="J40" s="64">
        <v>1.29</v>
      </c>
      <c r="K40" s="64">
        <v>309.44</v>
      </c>
      <c r="L40" s="64">
        <v>30.17</v>
      </c>
      <c r="M40" s="64">
        <v>52.25</v>
      </c>
      <c r="N40" s="64">
        <v>356.7</v>
      </c>
      <c r="O40" s="64">
        <v>0</v>
      </c>
      <c r="P40" s="64">
        <v>0.53</v>
      </c>
      <c r="Q40" s="64">
        <v>9.4600000000000009</v>
      </c>
      <c r="R40" s="198"/>
      <c r="S40" s="198"/>
      <c r="T40" s="198"/>
      <c r="U40" s="198"/>
    </row>
    <row r="41" spans="1:21" s="12" customFormat="1" x14ac:dyDescent="0.25">
      <c r="A41" s="214" t="s">
        <v>1337</v>
      </c>
      <c r="B41" s="64">
        <v>8.16</v>
      </c>
      <c r="C41" s="64">
        <v>3.12</v>
      </c>
      <c r="D41" s="64">
        <v>11.95</v>
      </c>
      <c r="E41" s="64">
        <v>4.72</v>
      </c>
      <c r="F41" s="64">
        <v>6.79</v>
      </c>
      <c r="G41" s="64">
        <v>51.94</v>
      </c>
      <c r="H41" s="64">
        <v>19.89</v>
      </c>
      <c r="I41" s="64">
        <v>3.38</v>
      </c>
      <c r="J41" s="64">
        <v>0.94</v>
      </c>
      <c r="K41" s="64">
        <v>325.64999999999998</v>
      </c>
      <c r="L41" s="64">
        <v>30.69</v>
      </c>
      <c r="M41" s="64">
        <v>50.9</v>
      </c>
      <c r="N41" s="64">
        <v>388.5</v>
      </c>
      <c r="O41" s="64">
        <v>0</v>
      </c>
      <c r="P41" s="64">
        <v>0.5</v>
      </c>
      <c r="Q41" s="64">
        <v>9.4</v>
      </c>
      <c r="R41" s="198"/>
      <c r="S41" s="198"/>
      <c r="T41" s="198"/>
      <c r="U41" s="198"/>
    </row>
    <row r="42" spans="1:21" s="12" customFormat="1" x14ac:dyDescent="0.25">
      <c r="A42" s="214" t="s">
        <v>1338</v>
      </c>
      <c r="B42" s="64">
        <v>8.18</v>
      </c>
      <c r="C42" s="64">
        <v>3.12</v>
      </c>
      <c r="D42" s="64">
        <v>11.96</v>
      </c>
      <c r="E42" s="64">
        <v>4.66</v>
      </c>
      <c r="F42" s="64">
        <v>6.98</v>
      </c>
      <c r="G42" s="64">
        <v>48.96</v>
      </c>
      <c r="H42" s="64">
        <v>18.86</v>
      </c>
      <c r="I42" s="64">
        <v>3.23</v>
      </c>
      <c r="J42" s="64">
        <v>1.1100000000000001</v>
      </c>
      <c r="K42" s="64">
        <v>312.73</v>
      </c>
      <c r="L42" s="64">
        <v>31.63</v>
      </c>
      <c r="M42" s="64">
        <v>48.3</v>
      </c>
      <c r="N42" s="64">
        <v>450.6</v>
      </c>
      <c r="O42" s="64">
        <v>0</v>
      </c>
      <c r="P42" s="64">
        <v>0.47</v>
      </c>
      <c r="Q42" s="64">
        <v>9.33</v>
      </c>
      <c r="R42" s="198"/>
      <c r="S42" s="198"/>
      <c r="T42" s="198"/>
      <c r="U42" s="198"/>
    </row>
    <row r="43" spans="1:21" s="12" customFormat="1" x14ac:dyDescent="0.25">
      <c r="A43" s="214" t="s">
        <v>1339</v>
      </c>
      <c r="B43" s="64">
        <v>8.2100000000000009</v>
      </c>
      <c r="C43" s="64">
        <v>3.17</v>
      </c>
      <c r="D43" s="64">
        <v>12.01</v>
      </c>
      <c r="E43" s="64">
        <v>4.5999999999999996</v>
      </c>
      <c r="F43" s="64">
        <v>6.78</v>
      </c>
      <c r="G43" s="64">
        <v>46.11</v>
      </c>
      <c r="H43" s="64">
        <v>17.920000000000002</v>
      </c>
      <c r="I43" s="64">
        <v>3.03</v>
      </c>
      <c r="J43" s="64">
        <v>0.95</v>
      </c>
      <c r="K43" s="64">
        <v>319.02</v>
      </c>
      <c r="L43" s="64">
        <v>32.619999999999997</v>
      </c>
      <c r="M43" s="64">
        <v>45.75</v>
      </c>
      <c r="N43" s="64">
        <v>529.6</v>
      </c>
      <c r="O43" s="64">
        <v>0</v>
      </c>
      <c r="P43" s="64">
        <v>0.46</v>
      </c>
      <c r="Q43" s="64">
        <v>9.34</v>
      </c>
      <c r="R43" s="198"/>
      <c r="S43" s="198"/>
      <c r="T43" s="198"/>
      <c r="U43" s="198"/>
    </row>
    <row r="44" spans="1:21" s="12" customFormat="1" x14ac:dyDescent="0.25">
      <c r="A44" s="214" t="s">
        <v>1340</v>
      </c>
      <c r="B44" s="64">
        <v>8.2100000000000009</v>
      </c>
      <c r="C44" s="64">
        <v>3.24</v>
      </c>
      <c r="D44" s="64">
        <v>12.05</v>
      </c>
      <c r="E44" s="64">
        <v>4.41</v>
      </c>
      <c r="F44" s="64">
        <v>6.38</v>
      </c>
      <c r="G44" s="64">
        <v>46.11</v>
      </c>
      <c r="H44" s="64">
        <v>17.920000000000002</v>
      </c>
      <c r="I44" s="64">
        <v>2.87</v>
      </c>
      <c r="J44" s="64">
        <v>0.72</v>
      </c>
      <c r="K44" s="64">
        <v>343.9</v>
      </c>
      <c r="L44" s="64">
        <v>33.270000000000003</v>
      </c>
      <c r="M44" s="64">
        <v>43.49</v>
      </c>
      <c r="N44" s="64">
        <v>575.79999999999995</v>
      </c>
      <c r="O44" s="64">
        <v>0</v>
      </c>
      <c r="P44" s="64">
        <v>0.44</v>
      </c>
      <c r="Q44" s="64">
        <v>9.33</v>
      </c>
      <c r="R44" s="198"/>
      <c r="S44" s="198"/>
      <c r="T44" s="198"/>
      <c r="U44" s="198"/>
    </row>
    <row r="45" spans="1:21" s="12" customFormat="1" x14ac:dyDescent="0.25">
      <c r="A45" s="214" t="s">
        <v>1341</v>
      </c>
      <c r="B45" s="64">
        <v>8.4600000000000009</v>
      </c>
      <c r="C45" s="64">
        <v>4</v>
      </c>
      <c r="D45" s="64">
        <v>12.65</v>
      </c>
      <c r="E45" s="64">
        <v>4.71</v>
      </c>
      <c r="F45" s="64">
        <v>6.6</v>
      </c>
      <c r="G45" s="64">
        <v>46.11</v>
      </c>
      <c r="H45" s="64">
        <v>17.920000000000002</v>
      </c>
      <c r="I45" s="64">
        <v>2.8</v>
      </c>
      <c r="J45" s="64">
        <v>0.98</v>
      </c>
      <c r="K45" s="64">
        <v>320.79000000000002</v>
      </c>
      <c r="L45" s="64">
        <v>33.869999999999997</v>
      </c>
      <c r="M45" s="64">
        <v>41.97</v>
      </c>
      <c r="N45" s="64">
        <v>628.4</v>
      </c>
      <c r="O45" s="64">
        <v>0</v>
      </c>
      <c r="P45" s="64">
        <v>0.43</v>
      </c>
      <c r="Q45" s="64">
        <v>9.34</v>
      </c>
      <c r="R45" s="198"/>
      <c r="S45" s="198"/>
      <c r="T45" s="198"/>
      <c r="U45" s="198"/>
    </row>
    <row r="46" spans="1:21" s="12" customFormat="1" x14ac:dyDescent="0.25">
      <c r="A46" s="214" t="s">
        <v>1342</v>
      </c>
      <c r="B46" s="64">
        <v>8.32</v>
      </c>
      <c r="C46" s="64">
        <v>3.49</v>
      </c>
      <c r="D46" s="64">
        <v>12.27</v>
      </c>
      <c r="E46" s="64">
        <v>4.37</v>
      </c>
      <c r="F46" s="64">
        <v>6.36</v>
      </c>
      <c r="G46" s="64">
        <v>43.83</v>
      </c>
      <c r="H46" s="64">
        <v>20.82</v>
      </c>
      <c r="I46" s="64">
        <v>2.74</v>
      </c>
      <c r="J46" s="64">
        <v>0.67</v>
      </c>
      <c r="K46" s="64">
        <v>335.08</v>
      </c>
      <c r="L46" s="64">
        <v>34.4</v>
      </c>
      <c r="M46" s="64">
        <v>40.53</v>
      </c>
      <c r="N46" s="64">
        <v>664.4</v>
      </c>
      <c r="O46" s="64">
        <v>0</v>
      </c>
      <c r="P46" s="64">
        <v>0.42</v>
      </c>
      <c r="Q46" s="64">
        <v>9.34</v>
      </c>
      <c r="R46" s="198"/>
      <c r="S46" s="198"/>
      <c r="T46" s="198"/>
      <c r="U46" s="198"/>
    </row>
    <row r="47" spans="1:21" s="12" customFormat="1" x14ac:dyDescent="0.25">
      <c r="A47" s="214" t="s">
        <v>1343</v>
      </c>
      <c r="B47" s="64">
        <v>8.2100000000000009</v>
      </c>
      <c r="C47" s="64">
        <v>3.14</v>
      </c>
      <c r="D47" s="64">
        <v>12</v>
      </c>
      <c r="E47" s="64">
        <v>4.9400000000000004</v>
      </c>
      <c r="F47" s="64">
        <v>6.21</v>
      </c>
      <c r="G47" s="64">
        <v>41.65</v>
      </c>
      <c r="H47" s="64">
        <v>23.59</v>
      </c>
      <c r="I47" s="64">
        <v>2.7</v>
      </c>
      <c r="J47" s="64">
        <v>0.87</v>
      </c>
      <c r="K47" s="64">
        <v>324.5</v>
      </c>
      <c r="L47" s="64">
        <v>35.43</v>
      </c>
      <c r="M47" s="64">
        <v>38.409999999999997</v>
      </c>
      <c r="N47" s="64">
        <v>713.6</v>
      </c>
      <c r="O47" s="64">
        <v>0</v>
      </c>
      <c r="P47" s="64">
        <v>0.43</v>
      </c>
      <c r="Q47" s="64">
        <v>9.3800000000000008</v>
      </c>
      <c r="R47" s="198"/>
      <c r="S47" s="198"/>
      <c r="T47" s="198"/>
      <c r="U47" s="198"/>
    </row>
    <row r="48" spans="1:21" s="12" customFormat="1" x14ac:dyDescent="0.25">
      <c r="A48" s="214" t="s">
        <v>1344</v>
      </c>
      <c r="B48" s="64">
        <v>8.19</v>
      </c>
      <c r="C48" s="64">
        <v>3.11</v>
      </c>
      <c r="D48" s="64">
        <v>11.96</v>
      </c>
      <c r="E48" s="64">
        <v>4.54</v>
      </c>
      <c r="F48" s="64">
        <v>6.13</v>
      </c>
      <c r="G48" s="64">
        <v>41.65</v>
      </c>
      <c r="H48" s="64">
        <v>23.59</v>
      </c>
      <c r="I48" s="64">
        <v>2.69</v>
      </c>
      <c r="J48" s="64">
        <v>1.04</v>
      </c>
      <c r="K48" s="64">
        <v>314.68</v>
      </c>
      <c r="L48" s="64">
        <v>36.17</v>
      </c>
      <c r="M48" s="64">
        <v>36.99</v>
      </c>
      <c r="N48" s="64">
        <v>737</v>
      </c>
      <c r="O48" s="64">
        <v>0</v>
      </c>
      <c r="P48" s="64">
        <v>0.43</v>
      </c>
      <c r="Q48" s="64">
        <v>9.3699999999999992</v>
      </c>
      <c r="R48" s="198"/>
      <c r="S48" s="198"/>
      <c r="T48" s="198"/>
      <c r="U48" s="198"/>
    </row>
    <row r="49" spans="1:21" s="12" customFormat="1" x14ac:dyDescent="0.25">
      <c r="A49" s="214" t="s">
        <v>1345</v>
      </c>
      <c r="B49" s="64">
        <v>8.18</v>
      </c>
      <c r="C49" s="64">
        <v>3.16</v>
      </c>
      <c r="D49" s="64">
        <v>11.98</v>
      </c>
      <c r="E49" s="64">
        <v>4.84</v>
      </c>
      <c r="F49" s="64">
        <v>6.25</v>
      </c>
      <c r="G49" s="64">
        <v>41.65</v>
      </c>
      <c r="H49" s="64">
        <v>23.59</v>
      </c>
      <c r="I49" s="64">
        <v>2.67</v>
      </c>
      <c r="J49" s="64">
        <v>1.5</v>
      </c>
      <c r="K49" s="64">
        <v>315.68</v>
      </c>
      <c r="L49" s="64">
        <v>36.44</v>
      </c>
      <c r="M49" s="64">
        <v>37.049999999999997</v>
      </c>
      <c r="N49" s="64">
        <v>767.5</v>
      </c>
      <c r="O49" s="64">
        <v>0</v>
      </c>
      <c r="P49" s="64">
        <v>0.44</v>
      </c>
      <c r="Q49" s="64">
        <v>9.43</v>
      </c>
      <c r="R49" s="198"/>
      <c r="S49" s="198"/>
      <c r="T49" s="198"/>
      <c r="U49" s="198"/>
    </row>
    <row r="50" spans="1:21" s="12" customFormat="1" x14ac:dyDescent="0.25">
      <c r="A50" s="214" t="s">
        <v>1346</v>
      </c>
      <c r="B50" s="64">
        <v>8.15</v>
      </c>
      <c r="C50" s="64">
        <v>3.17</v>
      </c>
      <c r="D50" s="64">
        <v>11.97</v>
      </c>
      <c r="E50" s="64">
        <v>4.88</v>
      </c>
      <c r="F50" s="64">
        <v>6.86</v>
      </c>
      <c r="G50" s="64">
        <v>43.55</v>
      </c>
      <c r="H50" s="64">
        <v>23.74</v>
      </c>
      <c r="I50" s="64">
        <v>2.65</v>
      </c>
      <c r="J50" s="64">
        <v>1.66</v>
      </c>
      <c r="K50" s="64">
        <v>315.89999999999998</v>
      </c>
      <c r="L50" s="64">
        <v>37.020000000000003</v>
      </c>
      <c r="M50" s="64">
        <v>35.99</v>
      </c>
      <c r="N50" s="64">
        <v>797.4</v>
      </c>
      <c r="O50" s="64">
        <v>0</v>
      </c>
      <c r="P50" s="64">
        <v>0.44</v>
      </c>
      <c r="Q50" s="64">
        <v>9.4499999999999993</v>
      </c>
      <c r="R50" s="198"/>
      <c r="S50" s="198"/>
      <c r="T50" s="198"/>
      <c r="U50" s="198"/>
    </row>
    <row r="51" spans="1:21" s="12" customFormat="1" x14ac:dyDescent="0.25">
      <c r="A51" s="214" t="s">
        <v>1347</v>
      </c>
      <c r="B51" s="64">
        <v>8.17</v>
      </c>
      <c r="C51" s="64">
        <v>3.16</v>
      </c>
      <c r="D51" s="64">
        <v>11.97</v>
      </c>
      <c r="E51" s="64">
        <v>4.7300000000000004</v>
      </c>
      <c r="F51" s="64">
        <v>7.34</v>
      </c>
      <c r="G51" s="64">
        <v>45.37</v>
      </c>
      <c r="H51" s="64">
        <v>23.88</v>
      </c>
      <c r="I51" s="64">
        <v>2.58</v>
      </c>
      <c r="J51" s="64">
        <v>1.51</v>
      </c>
      <c r="K51" s="64">
        <v>317.45</v>
      </c>
      <c r="L51" s="64">
        <v>37.369999999999997</v>
      </c>
      <c r="M51" s="64">
        <v>35.270000000000003</v>
      </c>
      <c r="N51" s="64">
        <v>816.5</v>
      </c>
      <c r="O51" s="64">
        <v>0</v>
      </c>
      <c r="P51" s="64">
        <v>0.44</v>
      </c>
      <c r="Q51" s="64">
        <v>9.44</v>
      </c>
      <c r="R51" s="198"/>
      <c r="S51" s="198"/>
      <c r="T51" s="198"/>
      <c r="U51" s="198"/>
    </row>
    <row r="52" spans="1:21" s="12" customFormat="1" x14ac:dyDescent="0.25">
      <c r="A52" s="214" t="s">
        <v>1348</v>
      </c>
      <c r="B52" s="64">
        <v>8.1999999999999993</v>
      </c>
      <c r="C52" s="64">
        <v>3.22</v>
      </c>
      <c r="D52" s="64">
        <v>12.03</v>
      </c>
      <c r="E52" s="64">
        <v>4.62</v>
      </c>
      <c r="F52" s="64">
        <v>7.73</v>
      </c>
      <c r="G52" s="64">
        <v>45.37</v>
      </c>
      <c r="H52" s="64">
        <v>23.88</v>
      </c>
      <c r="I52" s="64">
        <v>2.52</v>
      </c>
      <c r="J52" s="64">
        <v>1.26</v>
      </c>
      <c r="K52" s="64">
        <v>311.14</v>
      </c>
      <c r="L52" s="64">
        <v>37.950000000000003</v>
      </c>
      <c r="M52" s="64">
        <v>34.54</v>
      </c>
      <c r="N52" s="64">
        <v>832.6</v>
      </c>
      <c r="O52" s="64">
        <v>0</v>
      </c>
      <c r="P52" s="64">
        <v>0.44</v>
      </c>
      <c r="Q52" s="64">
        <v>9.44</v>
      </c>
      <c r="R52" s="198"/>
      <c r="S52" s="198"/>
      <c r="T52" s="198"/>
      <c r="U52" s="198"/>
    </row>
    <row r="53" spans="1:21" s="12" customFormat="1" x14ac:dyDescent="0.25">
      <c r="A53" s="214" t="s">
        <v>1349</v>
      </c>
      <c r="B53" s="64">
        <v>8.49</v>
      </c>
      <c r="C53" s="64">
        <v>4.18</v>
      </c>
      <c r="D53" s="64">
        <v>12.77</v>
      </c>
      <c r="E53" s="64">
        <v>4.67</v>
      </c>
      <c r="F53" s="64">
        <v>7.41</v>
      </c>
      <c r="G53" s="64">
        <v>45.37</v>
      </c>
      <c r="H53" s="64">
        <v>23.88</v>
      </c>
      <c r="I53" s="64">
        <v>2.48</v>
      </c>
      <c r="J53" s="64">
        <v>1.19</v>
      </c>
      <c r="K53" s="64">
        <v>334.11</v>
      </c>
      <c r="L53" s="64">
        <v>37.94</v>
      </c>
      <c r="M53" s="64">
        <v>34.1</v>
      </c>
      <c r="N53" s="64">
        <v>841.1</v>
      </c>
      <c r="O53" s="64">
        <v>0</v>
      </c>
      <c r="P53" s="64">
        <v>0.45</v>
      </c>
      <c r="Q53" s="64">
        <v>9.42</v>
      </c>
      <c r="R53" s="198"/>
      <c r="S53" s="198"/>
      <c r="T53" s="198"/>
      <c r="U53" s="198"/>
    </row>
    <row r="54" spans="1:21" s="12" customFormat="1" x14ac:dyDescent="0.25">
      <c r="A54" s="214" t="s">
        <v>1350</v>
      </c>
      <c r="B54" s="64">
        <v>8.24</v>
      </c>
      <c r="C54" s="64">
        <v>3.43</v>
      </c>
      <c r="D54" s="64">
        <v>12.17</v>
      </c>
      <c r="E54" s="64">
        <v>4.87</v>
      </c>
      <c r="F54" s="64">
        <v>7.88</v>
      </c>
      <c r="G54" s="64">
        <v>48.07</v>
      </c>
      <c r="H54" s="64">
        <v>25.14</v>
      </c>
      <c r="I54" s="64">
        <v>2.4500000000000002</v>
      </c>
      <c r="J54" s="64">
        <v>1.27</v>
      </c>
      <c r="K54" s="64">
        <v>320.77</v>
      </c>
      <c r="L54" s="64">
        <v>37.79</v>
      </c>
      <c r="M54" s="64">
        <v>34.6</v>
      </c>
      <c r="N54" s="64">
        <v>846.4</v>
      </c>
      <c r="O54" s="64">
        <v>0</v>
      </c>
      <c r="P54" s="64">
        <v>0.44</v>
      </c>
      <c r="Q54" s="64">
        <v>9.4499999999999993</v>
      </c>
      <c r="R54" s="198"/>
      <c r="S54" s="198"/>
      <c r="T54" s="198"/>
      <c r="U54" s="198"/>
    </row>
    <row r="55" spans="1:21" s="12" customFormat="1" x14ac:dyDescent="0.25">
      <c r="A55" s="214" t="s">
        <v>1351</v>
      </c>
      <c r="B55" s="64">
        <v>8.16</v>
      </c>
      <c r="C55" s="64">
        <v>3.12</v>
      </c>
      <c r="D55" s="64">
        <v>11.95</v>
      </c>
      <c r="E55" s="64">
        <v>4.93</v>
      </c>
      <c r="F55" s="64">
        <v>7.71</v>
      </c>
      <c r="G55" s="64">
        <v>50.65</v>
      </c>
      <c r="H55" s="64">
        <v>26.35</v>
      </c>
      <c r="I55" s="64">
        <v>2.39</v>
      </c>
      <c r="J55" s="64">
        <v>1.61</v>
      </c>
      <c r="K55" s="64">
        <v>322.66000000000003</v>
      </c>
      <c r="L55" s="64">
        <v>38.54</v>
      </c>
      <c r="M55" s="64">
        <v>33.01</v>
      </c>
      <c r="N55" s="64">
        <v>847.7</v>
      </c>
      <c r="O55" s="64">
        <v>0</v>
      </c>
      <c r="P55" s="64">
        <v>0.45</v>
      </c>
      <c r="Q55" s="64">
        <v>9.44</v>
      </c>
      <c r="R55" s="198"/>
      <c r="S55" s="198"/>
      <c r="T55" s="198"/>
      <c r="U55" s="198"/>
    </row>
    <row r="56" spans="1:21" s="12" customFormat="1" x14ac:dyDescent="0.25">
      <c r="A56" s="214" t="s">
        <v>1352</v>
      </c>
      <c r="B56" s="64">
        <v>8.15</v>
      </c>
      <c r="C56" s="64">
        <v>3.16</v>
      </c>
      <c r="D56" s="64">
        <v>11.96</v>
      </c>
      <c r="E56" s="64">
        <v>4.58</v>
      </c>
      <c r="F56" s="64">
        <v>7.27</v>
      </c>
      <c r="G56" s="64">
        <v>50.65</v>
      </c>
      <c r="H56" s="64">
        <v>26.35</v>
      </c>
      <c r="I56" s="64">
        <v>2.2400000000000002</v>
      </c>
      <c r="J56" s="64">
        <v>0.64</v>
      </c>
      <c r="K56" s="64">
        <v>318.67</v>
      </c>
      <c r="L56" s="64">
        <v>38.200000000000003</v>
      </c>
      <c r="M56" s="64">
        <v>33.19</v>
      </c>
      <c r="N56" s="64">
        <v>838.4</v>
      </c>
      <c r="O56" s="64">
        <v>0</v>
      </c>
      <c r="P56" s="64">
        <v>0.45</v>
      </c>
      <c r="Q56" s="64">
        <v>9.43</v>
      </c>
      <c r="R56" s="198"/>
      <c r="S56" s="198"/>
      <c r="T56" s="198"/>
      <c r="U56" s="198"/>
    </row>
    <row r="57" spans="1:21" s="12" customFormat="1" x14ac:dyDescent="0.25">
      <c r="A57" s="214" t="s">
        <v>1353</v>
      </c>
      <c r="B57" s="64">
        <v>8.1300000000000008</v>
      </c>
      <c r="C57" s="64">
        <v>3.12</v>
      </c>
      <c r="D57" s="64">
        <v>11.92</v>
      </c>
      <c r="E57" s="64">
        <v>4.4000000000000004</v>
      </c>
      <c r="F57" s="64">
        <v>7.66</v>
      </c>
      <c r="G57" s="64">
        <v>50.65</v>
      </c>
      <c r="H57" s="64">
        <v>26.35</v>
      </c>
      <c r="I57" s="64">
        <v>2.16</v>
      </c>
      <c r="J57" s="64">
        <v>0.59</v>
      </c>
      <c r="K57" s="64">
        <v>353.82</v>
      </c>
      <c r="L57" s="64">
        <v>36.99</v>
      </c>
      <c r="M57" s="64">
        <v>34.22</v>
      </c>
      <c r="N57" s="64">
        <v>833.9</v>
      </c>
      <c r="O57" s="64">
        <v>0</v>
      </c>
      <c r="P57" s="64">
        <v>0.45</v>
      </c>
      <c r="Q57" s="64">
        <v>9.43</v>
      </c>
      <c r="R57" s="198"/>
      <c r="S57" s="198"/>
      <c r="T57" s="198"/>
      <c r="U57" s="198"/>
    </row>
    <row r="58" spans="1:21" s="12" customFormat="1" x14ac:dyDescent="0.25">
      <c r="A58" s="214" t="s">
        <v>1354</v>
      </c>
      <c r="B58" s="64">
        <v>8.15</v>
      </c>
      <c r="C58" s="64">
        <v>3.15</v>
      </c>
      <c r="D58" s="64">
        <v>11.95</v>
      </c>
      <c r="E58" s="64">
        <v>4.04</v>
      </c>
      <c r="F58" s="64">
        <v>7.57</v>
      </c>
      <c r="G58" s="64">
        <v>55.16</v>
      </c>
      <c r="H58" s="64">
        <v>25.14</v>
      </c>
      <c r="I58" s="64">
        <v>2.14</v>
      </c>
      <c r="J58" s="64">
        <v>1.19</v>
      </c>
      <c r="K58" s="64">
        <v>331.15</v>
      </c>
      <c r="L58" s="64">
        <v>38.200000000000003</v>
      </c>
      <c r="M58" s="64">
        <v>31.45</v>
      </c>
      <c r="N58" s="64">
        <v>833.7</v>
      </c>
      <c r="O58" s="64">
        <v>0</v>
      </c>
      <c r="P58" s="64">
        <v>0.44</v>
      </c>
      <c r="Q58" s="64">
        <v>9.42</v>
      </c>
      <c r="R58" s="198"/>
      <c r="S58" s="198"/>
      <c r="T58" s="198"/>
      <c r="U58" s="198"/>
    </row>
    <row r="59" spans="1:21" s="12" customFormat="1" x14ac:dyDescent="0.25">
      <c r="A59" s="214" t="s">
        <v>1355</v>
      </c>
      <c r="B59" s="64">
        <v>8.15</v>
      </c>
      <c r="C59" s="64">
        <v>3.12</v>
      </c>
      <c r="D59" s="64">
        <v>11.94</v>
      </c>
      <c r="E59" s="64">
        <v>4</v>
      </c>
      <c r="F59" s="64">
        <v>7.83</v>
      </c>
      <c r="G59" s="64">
        <v>59.47</v>
      </c>
      <c r="H59" s="64">
        <v>23.99</v>
      </c>
      <c r="I59" s="64">
        <v>2.12</v>
      </c>
      <c r="J59" s="64">
        <v>1</v>
      </c>
      <c r="K59" s="64">
        <v>324.08</v>
      </c>
      <c r="L59" s="64">
        <v>38.659999999999997</v>
      </c>
      <c r="M59" s="64">
        <v>30.7</v>
      </c>
      <c r="N59" s="64">
        <v>817</v>
      </c>
      <c r="O59" s="64">
        <v>0</v>
      </c>
      <c r="P59" s="64">
        <v>0.44</v>
      </c>
      <c r="Q59" s="64">
        <v>9.41</v>
      </c>
      <c r="R59" s="198"/>
      <c r="S59" s="198"/>
      <c r="T59" s="198"/>
      <c r="U59" s="198"/>
    </row>
    <row r="60" spans="1:21" s="12" customFormat="1" x14ac:dyDescent="0.25">
      <c r="A60" s="214" t="s">
        <v>1356</v>
      </c>
      <c r="B60" s="64">
        <v>8.4600000000000009</v>
      </c>
      <c r="C60" s="64">
        <v>4.1100000000000003</v>
      </c>
      <c r="D60" s="64">
        <v>12.71</v>
      </c>
      <c r="E60" s="64">
        <v>4.09</v>
      </c>
      <c r="F60" s="64">
        <v>7.05</v>
      </c>
      <c r="G60" s="64">
        <v>59.47</v>
      </c>
      <c r="H60" s="64">
        <v>23.99</v>
      </c>
      <c r="I60" s="64">
        <v>2.1</v>
      </c>
      <c r="J60" s="64">
        <v>1.52</v>
      </c>
      <c r="K60" s="64">
        <v>331.54</v>
      </c>
      <c r="L60" s="64">
        <v>39.729999999999997</v>
      </c>
      <c r="M60" s="64">
        <v>28.13</v>
      </c>
      <c r="N60" s="64">
        <v>804.4</v>
      </c>
      <c r="O60" s="64">
        <v>0</v>
      </c>
      <c r="P60" s="64">
        <v>0.43</v>
      </c>
      <c r="Q60" s="64">
        <v>0</v>
      </c>
      <c r="R60" s="198"/>
      <c r="S60" s="198"/>
      <c r="T60" s="198"/>
      <c r="U60" s="198"/>
    </row>
    <row r="61" spans="1:21" s="12" customFormat="1" x14ac:dyDescent="0.25">
      <c r="A61" s="214" t="s">
        <v>1357</v>
      </c>
      <c r="B61" s="64">
        <v>8.4600000000000009</v>
      </c>
      <c r="C61" s="64">
        <v>4.1100000000000003</v>
      </c>
      <c r="D61" s="64">
        <v>12.71</v>
      </c>
      <c r="E61" s="64">
        <v>4.09</v>
      </c>
      <c r="F61" s="64">
        <v>7.05</v>
      </c>
      <c r="G61" s="64">
        <v>59.47</v>
      </c>
      <c r="H61" s="64">
        <v>23.99</v>
      </c>
      <c r="I61" s="64">
        <v>2.1</v>
      </c>
      <c r="J61" s="64">
        <v>1.52</v>
      </c>
      <c r="K61" s="64">
        <v>331.54</v>
      </c>
      <c r="L61" s="64">
        <v>39.729999999999997</v>
      </c>
      <c r="M61" s="64">
        <v>28.13</v>
      </c>
      <c r="N61" s="64">
        <v>804.4</v>
      </c>
      <c r="O61" s="64">
        <v>0</v>
      </c>
      <c r="P61" s="64">
        <v>0.43</v>
      </c>
      <c r="Q61" s="64">
        <v>0</v>
      </c>
      <c r="R61" s="198"/>
      <c r="S61" s="198"/>
      <c r="T61" s="198"/>
      <c r="U61" s="198"/>
    </row>
    <row r="62" spans="1:21" s="12" customFormat="1" x14ac:dyDescent="0.25">
      <c r="A62" s="214" t="s">
        <v>1358</v>
      </c>
      <c r="B62" s="64">
        <v>8.4600000000000009</v>
      </c>
      <c r="C62" s="64">
        <v>4.1100000000000003</v>
      </c>
      <c r="D62" s="64">
        <v>12.71</v>
      </c>
      <c r="E62" s="64">
        <v>4.09</v>
      </c>
      <c r="F62" s="64">
        <v>7.05</v>
      </c>
      <c r="G62" s="64">
        <v>59.47</v>
      </c>
      <c r="H62" s="64">
        <v>23.99</v>
      </c>
      <c r="I62" s="64">
        <v>2.1</v>
      </c>
      <c r="J62" s="64">
        <v>1.52</v>
      </c>
      <c r="K62" s="64">
        <v>331.54</v>
      </c>
      <c r="L62" s="64">
        <v>39.729999999999997</v>
      </c>
      <c r="M62" s="64">
        <v>28.13</v>
      </c>
      <c r="N62" s="64">
        <v>804.4</v>
      </c>
      <c r="O62" s="64">
        <v>0</v>
      </c>
      <c r="P62" s="64">
        <v>0.43</v>
      </c>
      <c r="Q62" s="64">
        <v>0</v>
      </c>
      <c r="R62" s="198"/>
      <c r="S62" s="198"/>
      <c r="T62" s="198"/>
      <c r="U62" s="198"/>
    </row>
    <row r="63" spans="1:21" s="12" customFormat="1" x14ac:dyDescent="0.25">
      <c r="A63" s="214" t="s">
        <v>1359</v>
      </c>
      <c r="B63" s="64">
        <v>8.4600000000000009</v>
      </c>
      <c r="C63" s="64">
        <v>4.1100000000000003</v>
      </c>
      <c r="D63" s="64">
        <v>12.71</v>
      </c>
      <c r="E63" s="64">
        <v>4.09</v>
      </c>
      <c r="F63" s="64">
        <v>7.05</v>
      </c>
      <c r="G63" s="64">
        <v>59.47</v>
      </c>
      <c r="H63" s="64">
        <v>23.99</v>
      </c>
      <c r="I63" s="64">
        <v>2.1</v>
      </c>
      <c r="J63" s="64">
        <v>1.52</v>
      </c>
      <c r="K63" s="64">
        <v>331.54</v>
      </c>
      <c r="L63" s="64">
        <v>39.729999999999997</v>
      </c>
      <c r="M63" s="64">
        <v>28.13</v>
      </c>
      <c r="N63" s="64">
        <v>804.4</v>
      </c>
      <c r="O63" s="64">
        <v>0</v>
      </c>
      <c r="P63" s="64">
        <v>0.43</v>
      </c>
      <c r="Q63" s="64">
        <v>0</v>
      </c>
      <c r="R63" s="198"/>
      <c r="S63" s="198"/>
      <c r="T63" s="198"/>
      <c r="U63" s="198"/>
    </row>
    <row r="64" spans="1:21" s="12" customFormat="1" x14ac:dyDescent="0.25">
      <c r="A64" s="214" t="s">
        <v>1360</v>
      </c>
      <c r="B64" s="64">
        <v>8.4600000000000009</v>
      </c>
      <c r="C64" s="64">
        <v>4.1100000000000003</v>
      </c>
      <c r="D64" s="64">
        <v>12.71</v>
      </c>
      <c r="E64" s="64">
        <v>4.09</v>
      </c>
      <c r="F64" s="64">
        <v>7.05</v>
      </c>
      <c r="G64" s="64">
        <v>59.47</v>
      </c>
      <c r="H64" s="64">
        <v>23.99</v>
      </c>
      <c r="I64" s="64">
        <v>2.1</v>
      </c>
      <c r="J64" s="64">
        <v>1.52</v>
      </c>
      <c r="K64" s="64">
        <v>331.54</v>
      </c>
      <c r="L64" s="64">
        <v>39.729999999999997</v>
      </c>
      <c r="M64" s="64">
        <v>28.13</v>
      </c>
      <c r="N64" s="64">
        <v>804.4</v>
      </c>
      <c r="O64" s="64">
        <v>0</v>
      </c>
      <c r="P64" s="64">
        <v>0.43</v>
      </c>
      <c r="Q64" s="64">
        <v>0</v>
      </c>
      <c r="R64" s="198"/>
      <c r="S64" s="198"/>
      <c r="T64" s="198"/>
      <c r="U64" s="198"/>
    </row>
    <row r="65" spans="1:21" s="12" customFormat="1" x14ac:dyDescent="0.25">
      <c r="A65" s="214" t="s">
        <v>1361</v>
      </c>
      <c r="B65" s="64">
        <v>8.2200000000000006</v>
      </c>
      <c r="C65" s="64">
        <v>3.28</v>
      </c>
      <c r="D65" s="64">
        <v>12.08</v>
      </c>
      <c r="E65" s="64">
        <v>4.1900000000000004</v>
      </c>
      <c r="F65" s="64">
        <v>5.2</v>
      </c>
      <c r="G65" s="64">
        <v>61.15</v>
      </c>
      <c r="H65" s="64">
        <v>26.35</v>
      </c>
      <c r="I65" s="64">
        <v>2.36</v>
      </c>
      <c r="J65" s="64">
        <v>1.1000000000000001</v>
      </c>
      <c r="K65" s="64">
        <v>330.45</v>
      </c>
      <c r="L65" s="64">
        <v>40.15</v>
      </c>
      <c r="M65" s="64">
        <v>25.92</v>
      </c>
      <c r="N65" s="64">
        <v>682.4</v>
      </c>
      <c r="O65" s="64">
        <v>0</v>
      </c>
      <c r="P65" s="64">
        <v>0.46</v>
      </c>
      <c r="Q65" s="64">
        <v>9.33</v>
      </c>
      <c r="R65" s="198"/>
      <c r="S65" s="198"/>
      <c r="T65" s="198"/>
      <c r="U65" s="198"/>
    </row>
    <row r="66" spans="1:21" s="12" customFormat="1" x14ac:dyDescent="0.25">
      <c r="A66" s="214" t="s">
        <v>1362</v>
      </c>
      <c r="B66" s="64">
        <v>8.2100000000000009</v>
      </c>
      <c r="C66" s="64">
        <v>3.21</v>
      </c>
      <c r="D66" s="64">
        <v>12.03</v>
      </c>
      <c r="E66" s="64">
        <v>4.37</v>
      </c>
      <c r="F66" s="64">
        <v>4.25</v>
      </c>
      <c r="G66" s="64">
        <v>61.59</v>
      </c>
      <c r="H66" s="64">
        <v>29.29</v>
      </c>
      <c r="I66" s="64">
        <v>2.94</v>
      </c>
      <c r="J66" s="64">
        <v>1.23</v>
      </c>
      <c r="K66" s="64">
        <v>321.38</v>
      </c>
      <c r="L66" s="64">
        <v>39.81</v>
      </c>
      <c r="M66" s="64">
        <v>25.64</v>
      </c>
      <c r="N66" s="64">
        <v>576.1</v>
      </c>
      <c r="O66" s="64">
        <v>0</v>
      </c>
      <c r="P66" s="64">
        <v>0.48</v>
      </c>
      <c r="Q66" s="64">
        <v>9.32</v>
      </c>
      <c r="R66" s="198"/>
      <c r="S66" s="198"/>
      <c r="T66" s="198"/>
      <c r="U66" s="198"/>
    </row>
    <row r="67" spans="1:21" s="12" customFormat="1" x14ac:dyDescent="0.25">
      <c r="A67" s="214" t="s">
        <v>1363</v>
      </c>
      <c r="B67" s="64">
        <v>8.6999999999999993</v>
      </c>
      <c r="C67" s="64">
        <v>4.82</v>
      </c>
      <c r="D67" s="64">
        <v>13.26</v>
      </c>
      <c r="E67" s="64">
        <v>4.05</v>
      </c>
      <c r="F67" s="64">
        <v>4.7699999999999996</v>
      </c>
      <c r="G67" s="64">
        <v>61.48</v>
      </c>
      <c r="H67" s="64">
        <v>31.36</v>
      </c>
      <c r="I67" s="64">
        <v>3.36</v>
      </c>
      <c r="J67" s="64">
        <v>1.57</v>
      </c>
      <c r="K67" s="64">
        <v>343.48</v>
      </c>
      <c r="L67" s="64">
        <v>39.57</v>
      </c>
      <c r="M67" s="64">
        <v>26.09</v>
      </c>
      <c r="N67" s="64">
        <v>412.7</v>
      </c>
      <c r="O67" s="64">
        <v>0</v>
      </c>
      <c r="P67" s="64">
        <v>0.49</v>
      </c>
      <c r="Q67" s="64">
        <v>9.48</v>
      </c>
      <c r="R67" s="198"/>
      <c r="S67" s="198"/>
      <c r="T67" s="198"/>
      <c r="U67" s="198"/>
    </row>
    <row r="68" spans="1:21" s="12" customFormat="1" x14ac:dyDescent="0.25">
      <c r="A68" s="214" t="s">
        <v>1364</v>
      </c>
      <c r="B68" s="64">
        <v>8.26</v>
      </c>
      <c r="C68" s="64">
        <v>3.5</v>
      </c>
      <c r="D68" s="64">
        <v>12.23</v>
      </c>
      <c r="E68" s="64">
        <v>3.93</v>
      </c>
      <c r="F68" s="64">
        <v>4.5199999999999996</v>
      </c>
      <c r="G68" s="64">
        <v>61.48</v>
      </c>
      <c r="H68" s="64">
        <v>31.36</v>
      </c>
      <c r="I68" s="64">
        <v>3.33</v>
      </c>
      <c r="J68" s="64">
        <v>0.99</v>
      </c>
      <c r="K68" s="64">
        <v>7.66</v>
      </c>
      <c r="L68" s="64">
        <v>38.26</v>
      </c>
      <c r="M68" s="64">
        <v>27.57</v>
      </c>
      <c r="N68" s="64">
        <v>268.60000000000002</v>
      </c>
      <c r="O68" s="64">
        <v>0</v>
      </c>
      <c r="P68" s="64">
        <v>0.48</v>
      </c>
      <c r="Q68" s="64">
        <v>9.56</v>
      </c>
      <c r="R68" s="198"/>
      <c r="S68" s="198"/>
      <c r="T68" s="198"/>
      <c r="U68" s="198"/>
    </row>
    <row r="69" spans="1:21" s="12" customFormat="1" x14ac:dyDescent="0.25">
      <c r="A69" s="214" t="s">
        <v>1365</v>
      </c>
      <c r="B69" s="64">
        <v>8.17</v>
      </c>
      <c r="C69" s="64">
        <v>3.31</v>
      </c>
      <c r="D69" s="64">
        <v>12.05</v>
      </c>
      <c r="E69" s="64">
        <v>4.42</v>
      </c>
      <c r="F69" s="64">
        <v>4.9800000000000004</v>
      </c>
      <c r="G69" s="64">
        <v>61.48</v>
      </c>
      <c r="H69" s="64">
        <v>31.36</v>
      </c>
      <c r="I69" s="64">
        <v>3.42</v>
      </c>
      <c r="J69" s="64">
        <v>1.25</v>
      </c>
      <c r="K69" s="64">
        <v>320.25</v>
      </c>
      <c r="L69" s="64">
        <v>38.340000000000003</v>
      </c>
      <c r="M69" s="64">
        <v>27.05</v>
      </c>
      <c r="N69" s="64">
        <v>235.8</v>
      </c>
      <c r="O69" s="64">
        <v>0</v>
      </c>
      <c r="P69" s="64">
        <v>0.49</v>
      </c>
      <c r="Q69" s="64">
        <v>9.5299999999999994</v>
      </c>
      <c r="R69" s="198"/>
      <c r="S69" s="198"/>
      <c r="T69" s="198"/>
      <c r="U69" s="198"/>
    </row>
    <row r="70" spans="1:21" s="12" customFormat="1" x14ac:dyDescent="0.25">
      <c r="A70" s="214" t="s">
        <v>1366</v>
      </c>
      <c r="B70" s="64">
        <v>8.18</v>
      </c>
      <c r="C70" s="64">
        <v>3.42</v>
      </c>
      <c r="D70" s="64">
        <v>12.12</v>
      </c>
      <c r="E70" s="64">
        <v>4.18</v>
      </c>
      <c r="F70" s="64">
        <v>5.31</v>
      </c>
      <c r="G70" s="64">
        <v>65.59</v>
      </c>
      <c r="H70" s="64">
        <v>29.18</v>
      </c>
      <c r="I70" s="64">
        <v>3.74</v>
      </c>
      <c r="J70" s="64">
        <v>1.17</v>
      </c>
      <c r="K70" s="64">
        <v>345.8</v>
      </c>
      <c r="L70" s="64">
        <v>38.24</v>
      </c>
      <c r="M70" s="64">
        <v>27.38</v>
      </c>
      <c r="N70" s="64">
        <v>227.9</v>
      </c>
      <c r="O70" s="64">
        <v>0</v>
      </c>
      <c r="P70" s="64">
        <v>0.49</v>
      </c>
      <c r="Q70" s="64">
        <v>9.5</v>
      </c>
      <c r="R70" s="198"/>
      <c r="S70" s="198"/>
      <c r="T70" s="198"/>
      <c r="U70" s="198"/>
    </row>
    <row r="71" spans="1:21" s="12" customFormat="1" x14ac:dyDescent="0.25">
      <c r="A71" s="214" t="s">
        <v>1367</v>
      </c>
      <c r="B71" s="64">
        <v>8.36</v>
      </c>
      <c r="C71" s="64">
        <v>4.24</v>
      </c>
      <c r="D71" s="64">
        <v>12.69</v>
      </c>
      <c r="E71" s="64">
        <v>3.91</v>
      </c>
      <c r="F71" s="64">
        <v>5.21</v>
      </c>
      <c r="G71" s="64">
        <v>69.52</v>
      </c>
      <c r="H71" s="64">
        <v>27.1</v>
      </c>
      <c r="I71" s="64">
        <v>3.6</v>
      </c>
      <c r="J71" s="64">
        <v>0.46</v>
      </c>
      <c r="K71" s="64">
        <v>322.57</v>
      </c>
      <c r="L71" s="64">
        <v>37.89</v>
      </c>
      <c r="M71" s="64">
        <v>27.52</v>
      </c>
      <c r="N71" s="64">
        <v>243.9</v>
      </c>
      <c r="O71" s="64">
        <v>0</v>
      </c>
      <c r="P71" s="64">
        <v>0.49</v>
      </c>
      <c r="Q71" s="64">
        <v>9.48</v>
      </c>
      <c r="R71" s="198"/>
      <c r="S71" s="198"/>
      <c r="T71" s="198"/>
      <c r="U71" s="198"/>
    </row>
    <row r="72" spans="1:21" s="12" customFormat="1" x14ac:dyDescent="0.25">
      <c r="A72" s="214" t="s">
        <v>1368</v>
      </c>
      <c r="B72" s="64">
        <v>8.3000000000000007</v>
      </c>
      <c r="C72" s="64">
        <v>4.0599999999999996</v>
      </c>
      <c r="D72" s="64">
        <v>12.55</v>
      </c>
      <c r="E72" s="64">
        <v>4.7</v>
      </c>
      <c r="F72" s="64">
        <v>5.44</v>
      </c>
      <c r="G72" s="64">
        <v>69.52</v>
      </c>
      <c r="H72" s="64">
        <v>27.1</v>
      </c>
      <c r="I72" s="64">
        <v>3.46</v>
      </c>
      <c r="J72" s="64">
        <v>0.44</v>
      </c>
      <c r="K72" s="64">
        <v>10.63</v>
      </c>
      <c r="L72" s="64">
        <v>37.26</v>
      </c>
      <c r="M72" s="64">
        <v>27.79</v>
      </c>
      <c r="N72" s="64">
        <v>165.9</v>
      </c>
      <c r="O72" s="64">
        <v>0</v>
      </c>
      <c r="P72" s="64">
        <v>0.48</v>
      </c>
      <c r="Q72" s="64">
        <v>9.4600000000000009</v>
      </c>
      <c r="R72" s="198"/>
      <c r="S72" s="198"/>
      <c r="T72" s="198"/>
      <c r="U72" s="198"/>
    </row>
    <row r="73" spans="1:21" s="12" customFormat="1" x14ac:dyDescent="0.25">
      <c r="A73" s="214" t="s">
        <v>1369</v>
      </c>
      <c r="B73" s="64">
        <v>8.14</v>
      </c>
      <c r="C73" s="64">
        <v>3.25</v>
      </c>
      <c r="D73" s="64">
        <v>12</v>
      </c>
      <c r="E73" s="64">
        <v>4.26</v>
      </c>
      <c r="F73" s="64">
        <v>5.62</v>
      </c>
      <c r="G73" s="64">
        <v>69.52</v>
      </c>
      <c r="H73" s="64">
        <v>27.1</v>
      </c>
      <c r="I73" s="64">
        <v>3.74</v>
      </c>
      <c r="J73" s="64">
        <v>0.79</v>
      </c>
      <c r="K73" s="64">
        <v>334.95</v>
      </c>
      <c r="L73" s="64">
        <v>37.46</v>
      </c>
      <c r="M73" s="64">
        <v>28.9</v>
      </c>
      <c r="N73" s="64">
        <v>151</v>
      </c>
      <c r="O73" s="64">
        <v>0</v>
      </c>
      <c r="P73" s="64">
        <v>0.48</v>
      </c>
      <c r="Q73" s="64">
        <v>9.42</v>
      </c>
      <c r="R73" s="198"/>
      <c r="S73" s="198"/>
      <c r="T73" s="198"/>
      <c r="U73" s="198"/>
    </row>
    <row r="74" spans="1:21" s="12" customFormat="1" x14ac:dyDescent="0.25">
      <c r="A74" s="214" t="s">
        <v>1370</v>
      </c>
      <c r="B74" s="64">
        <v>8.1199999999999992</v>
      </c>
      <c r="C74" s="64">
        <v>3.16</v>
      </c>
      <c r="D74" s="64">
        <v>11.94</v>
      </c>
      <c r="E74" s="64">
        <v>4.26</v>
      </c>
      <c r="F74" s="64">
        <v>5.56</v>
      </c>
      <c r="G74" s="64">
        <v>71.319999999999993</v>
      </c>
      <c r="H74" s="64">
        <v>27.14</v>
      </c>
      <c r="I74" s="64">
        <v>3.89</v>
      </c>
      <c r="J74" s="64">
        <v>0.3</v>
      </c>
      <c r="K74" s="64">
        <v>163.21</v>
      </c>
      <c r="L74" s="64">
        <v>36.770000000000003</v>
      </c>
      <c r="M74" s="64">
        <v>26.88</v>
      </c>
      <c r="N74" s="64">
        <v>126.5</v>
      </c>
      <c r="O74" s="64">
        <v>0</v>
      </c>
      <c r="P74" s="64">
        <v>0.48</v>
      </c>
      <c r="Q74" s="64">
        <v>9.44</v>
      </c>
      <c r="R74" s="198"/>
      <c r="S74" s="198"/>
      <c r="T74" s="198"/>
      <c r="U74" s="198"/>
    </row>
    <row r="75" spans="1:21" s="12" customFormat="1" x14ac:dyDescent="0.25">
      <c r="A75" s="214" t="s">
        <v>1371</v>
      </c>
      <c r="B75" s="64">
        <v>8.16</v>
      </c>
      <c r="C75" s="64">
        <v>3.22</v>
      </c>
      <c r="D75" s="64">
        <v>12</v>
      </c>
      <c r="E75" s="64">
        <v>4.33</v>
      </c>
      <c r="F75" s="64">
        <v>6.16</v>
      </c>
      <c r="G75" s="64">
        <v>73.03</v>
      </c>
      <c r="H75" s="64">
        <v>27.17</v>
      </c>
      <c r="I75" s="64">
        <v>3.91</v>
      </c>
      <c r="J75" s="64">
        <v>0.26</v>
      </c>
      <c r="K75" s="64">
        <v>334.1</v>
      </c>
      <c r="L75" s="64">
        <v>36.4</v>
      </c>
      <c r="M75" s="64">
        <v>28.05</v>
      </c>
      <c r="N75" s="64">
        <v>85.9</v>
      </c>
      <c r="O75" s="64">
        <v>0</v>
      </c>
      <c r="P75" s="64">
        <v>0.47</v>
      </c>
      <c r="Q75" s="64">
        <v>9.41</v>
      </c>
      <c r="R75" s="198"/>
      <c r="S75" s="198"/>
      <c r="T75" s="198"/>
      <c r="U75" s="198"/>
    </row>
    <row r="76" spans="1:21" s="12" customFormat="1" x14ac:dyDescent="0.25">
      <c r="A76" s="214" t="s">
        <v>1372</v>
      </c>
      <c r="B76" s="64">
        <v>8.26</v>
      </c>
      <c r="C76" s="64">
        <v>3.59</v>
      </c>
      <c r="D76" s="64">
        <v>12.27</v>
      </c>
      <c r="E76" s="64">
        <v>4.3099999999999996</v>
      </c>
      <c r="F76" s="64">
        <v>6.13</v>
      </c>
      <c r="G76" s="64">
        <v>73.03</v>
      </c>
      <c r="H76" s="64">
        <v>27.17</v>
      </c>
      <c r="I76" s="64">
        <v>4.07</v>
      </c>
      <c r="J76" s="64">
        <v>1.76</v>
      </c>
      <c r="K76" s="64">
        <v>319.95</v>
      </c>
      <c r="L76" s="64">
        <v>35.26</v>
      </c>
      <c r="M76" s="64">
        <v>32.43</v>
      </c>
      <c r="N76" s="64">
        <v>51.9</v>
      </c>
      <c r="O76" s="64">
        <v>0</v>
      </c>
      <c r="P76" s="64">
        <v>0.46</v>
      </c>
      <c r="Q76" s="64">
        <v>9.39</v>
      </c>
      <c r="R76" s="198"/>
      <c r="S76" s="198"/>
      <c r="T76" s="198"/>
      <c r="U76" s="198"/>
    </row>
    <row r="77" spans="1:21" s="12" customFormat="1" x14ac:dyDescent="0.25">
      <c r="A77" s="214" t="s">
        <v>1373</v>
      </c>
      <c r="B77" s="64">
        <v>8.57</v>
      </c>
      <c r="C77" s="64">
        <v>4.7699999999999996</v>
      </c>
      <c r="D77" s="64">
        <v>13.14</v>
      </c>
      <c r="E77" s="64">
        <v>4.45</v>
      </c>
      <c r="F77" s="64">
        <v>6.55</v>
      </c>
      <c r="G77" s="64">
        <v>73.03</v>
      </c>
      <c r="H77" s="64">
        <v>27.17</v>
      </c>
      <c r="I77" s="64">
        <v>4.1500000000000004</v>
      </c>
      <c r="J77" s="64">
        <v>1.29</v>
      </c>
      <c r="K77" s="64">
        <v>326.64999999999998</v>
      </c>
      <c r="L77" s="64">
        <v>34</v>
      </c>
      <c r="M77" s="64">
        <v>35.979999999999997</v>
      </c>
      <c r="N77" s="64">
        <v>76.099999999999994</v>
      </c>
      <c r="O77" s="64">
        <v>0</v>
      </c>
      <c r="P77" s="64">
        <v>0.47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4" t="s">
        <v>1374</v>
      </c>
      <c r="B78" s="64">
        <v>8.25</v>
      </c>
      <c r="C78" s="64">
        <v>3.54</v>
      </c>
      <c r="D78" s="64">
        <v>12.24</v>
      </c>
      <c r="E78" s="64">
        <v>4.0999999999999996</v>
      </c>
      <c r="F78" s="64">
        <v>5.87</v>
      </c>
      <c r="G78" s="64">
        <v>77.92</v>
      </c>
      <c r="H78" s="64">
        <v>28.74</v>
      </c>
      <c r="I78" s="64">
        <v>4.04</v>
      </c>
      <c r="J78" s="64">
        <v>0.4</v>
      </c>
      <c r="K78" s="64">
        <v>327.42</v>
      </c>
      <c r="L78" s="64">
        <v>33.369999999999997</v>
      </c>
      <c r="M78" s="64">
        <v>39.270000000000003</v>
      </c>
      <c r="N78" s="64">
        <v>91.5</v>
      </c>
      <c r="O78" s="64">
        <v>0</v>
      </c>
      <c r="P78" s="64">
        <v>0.48</v>
      </c>
      <c r="Q78" s="64">
        <v>9.3699999999999992</v>
      </c>
      <c r="R78" s="198"/>
      <c r="S78" s="198"/>
      <c r="T78" s="198"/>
      <c r="U78" s="198"/>
    </row>
    <row r="79" spans="1:21" s="12" customFormat="1" x14ac:dyDescent="0.25">
      <c r="A79" s="214" t="s">
        <v>1375</v>
      </c>
      <c r="B79" s="64">
        <v>8.18</v>
      </c>
      <c r="C79" s="64">
        <v>3.26</v>
      </c>
      <c r="D79" s="64">
        <v>12.04</v>
      </c>
      <c r="E79" s="64">
        <v>3.71</v>
      </c>
      <c r="F79" s="64">
        <v>5.83</v>
      </c>
      <c r="G79" s="64">
        <v>82.59</v>
      </c>
      <c r="H79" s="64">
        <v>30.17</v>
      </c>
      <c r="I79" s="64">
        <v>3.9</v>
      </c>
      <c r="J79" s="64">
        <v>0.4</v>
      </c>
      <c r="K79" s="64">
        <v>347.15</v>
      </c>
      <c r="L79" s="64">
        <v>32.85</v>
      </c>
      <c r="M79" s="64">
        <v>40.049999999999997</v>
      </c>
      <c r="N79" s="64">
        <v>67.8</v>
      </c>
      <c r="O79" s="64">
        <v>0</v>
      </c>
      <c r="P79" s="64">
        <v>0.48</v>
      </c>
      <c r="Q79" s="64">
        <v>9.34</v>
      </c>
      <c r="R79" s="198"/>
      <c r="S79" s="198"/>
      <c r="T79" s="198"/>
      <c r="U79" s="198"/>
    </row>
    <row r="80" spans="1:21" s="12" customFormat="1" x14ac:dyDescent="0.25">
      <c r="A80" s="214" t="s">
        <v>1376</v>
      </c>
      <c r="B80" s="64">
        <v>8.17</v>
      </c>
      <c r="C80" s="64">
        <v>3.22</v>
      </c>
      <c r="D80" s="64">
        <v>12.01</v>
      </c>
      <c r="E80" s="64">
        <v>3.87</v>
      </c>
      <c r="F80" s="64">
        <v>5.51</v>
      </c>
      <c r="G80" s="64">
        <v>82.59</v>
      </c>
      <c r="H80" s="64">
        <v>30.17</v>
      </c>
      <c r="I80" s="64">
        <v>4.03</v>
      </c>
      <c r="J80" s="64">
        <v>0.62</v>
      </c>
      <c r="K80" s="64">
        <v>0.91</v>
      </c>
      <c r="L80" s="64">
        <v>32.89</v>
      </c>
      <c r="M80" s="64">
        <v>39.93</v>
      </c>
      <c r="N80" s="64">
        <v>47.4</v>
      </c>
      <c r="O80" s="64">
        <v>0</v>
      </c>
      <c r="P80" s="64">
        <v>0.5</v>
      </c>
      <c r="Q80" s="64">
        <v>9.33</v>
      </c>
      <c r="R80" s="198"/>
      <c r="S80" s="198"/>
      <c r="T80" s="198"/>
      <c r="U80" s="198"/>
    </row>
    <row r="81" spans="1:26" s="12" customFormat="1" x14ac:dyDescent="0.25">
      <c r="A81" s="214" t="s">
        <v>1377</v>
      </c>
      <c r="B81" s="64">
        <v>8.18</v>
      </c>
      <c r="C81" s="64">
        <v>3.18</v>
      </c>
      <c r="D81" s="64">
        <v>11.99</v>
      </c>
      <c r="E81" s="64">
        <v>3.84</v>
      </c>
      <c r="F81" s="64">
        <v>5.37</v>
      </c>
      <c r="G81" s="64">
        <v>82.59</v>
      </c>
      <c r="H81" s="64">
        <v>30.17</v>
      </c>
      <c r="I81" s="64">
        <v>4.33</v>
      </c>
      <c r="J81" s="64">
        <v>1</v>
      </c>
      <c r="K81" s="64">
        <v>318.52999999999997</v>
      </c>
      <c r="L81" s="64">
        <v>32.700000000000003</v>
      </c>
      <c r="M81" s="64">
        <v>38.64</v>
      </c>
      <c r="N81" s="64">
        <v>35.6</v>
      </c>
      <c r="O81" s="64">
        <v>0</v>
      </c>
      <c r="P81" s="64">
        <v>0.51</v>
      </c>
      <c r="Q81" s="64">
        <v>9.34</v>
      </c>
      <c r="R81" s="198"/>
      <c r="S81" s="198"/>
      <c r="T81" s="198"/>
      <c r="U81" s="198"/>
    </row>
    <row r="82" spans="1:26" s="12" customFormat="1" x14ac:dyDescent="0.25">
      <c r="A82" s="214" t="s">
        <v>1378</v>
      </c>
      <c r="B82" s="64">
        <v>8.2100000000000009</v>
      </c>
      <c r="C82" s="64">
        <v>3.21</v>
      </c>
      <c r="D82" s="64">
        <v>12.03</v>
      </c>
      <c r="E82" s="64">
        <v>4.01</v>
      </c>
      <c r="F82" s="64">
        <v>6.17</v>
      </c>
      <c r="G82" s="64">
        <v>80.290000000000006</v>
      </c>
      <c r="H82" s="64">
        <v>29.04</v>
      </c>
      <c r="I82" s="64">
        <v>4.42</v>
      </c>
      <c r="J82" s="64">
        <v>2.11</v>
      </c>
      <c r="K82" s="64">
        <v>329.61</v>
      </c>
      <c r="L82" s="64">
        <v>32.299999999999997</v>
      </c>
      <c r="M82" s="64">
        <v>41.42</v>
      </c>
      <c r="N82" s="64">
        <v>27.2</v>
      </c>
      <c r="O82" s="64">
        <v>0</v>
      </c>
      <c r="P82" s="64">
        <v>0.52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4" t="s">
        <v>1379</v>
      </c>
      <c r="B83" s="64">
        <v>8.3699999999999992</v>
      </c>
      <c r="C83" s="64">
        <v>3.86</v>
      </c>
      <c r="D83" s="64">
        <v>12.5</v>
      </c>
      <c r="E83" s="64">
        <v>4.01</v>
      </c>
      <c r="F83" s="64">
        <v>6.46</v>
      </c>
      <c r="G83" s="64">
        <v>78.09</v>
      </c>
      <c r="H83" s="64">
        <v>28.01</v>
      </c>
      <c r="I83" s="64">
        <v>4.32</v>
      </c>
      <c r="J83" s="64">
        <v>2.54</v>
      </c>
      <c r="K83" s="64">
        <v>331.84</v>
      </c>
      <c r="L83" s="64">
        <v>31.54</v>
      </c>
      <c r="M83" s="64">
        <v>43.02</v>
      </c>
      <c r="N83" s="64">
        <v>20.399999999999999</v>
      </c>
      <c r="O83" s="64">
        <v>0</v>
      </c>
      <c r="P83" s="64">
        <v>0.53</v>
      </c>
      <c r="Q83" s="64">
        <v>9.4</v>
      </c>
      <c r="R83" s="198"/>
      <c r="S83" s="198"/>
      <c r="T83" s="198"/>
      <c r="U83" s="198"/>
    </row>
    <row r="84" spans="1:26" s="12" customFormat="1" x14ac:dyDescent="0.25">
      <c r="A84" s="214" t="s">
        <v>1380</v>
      </c>
      <c r="B84" s="64">
        <v>8.39</v>
      </c>
      <c r="C84" s="64">
        <v>4.03</v>
      </c>
      <c r="D84" s="64">
        <v>12.61</v>
      </c>
      <c r="E84" s="64">
        <v>4.53</v>
      </c>
      <c r="F84" s="64">
        <v>6.37</v>
      </c>
      <c r="G84" s="64">
        <v>78.09</v>
      </c>
      <c r="H84" s="64">
        <v>28.01</v>
      </c>
      <c r="I84" s="64">
        <v>4.1500000000000004</v>
      </c>
      <c r="J84" s="64">
        <v>2.92</v>
      </c>
      <c r="K84" s="64">
        <v>337.17</v>
      </c>
      <c r="L84" s="64">
        <v>30.23</v>
      </c>
      <c r="M84" s="64">
        <v>46.74</v>
      </c>
      <c r="N84" s="64">
        <v>19.399999999999999</v>
      </c>
      <c r="O84" s="64">
        <v>0</v>
      </c>
      <c r="P84" s="64">
        <v>0.54</v>
      </c>
      <c r="Q84" s="64">
        <v>9.42</v>
      </c>
      <c r="R84" s="198"/>
      <c r="S84" s="198"/>
      <c r="T84" s="198"/>
      <c r="U84" s="198"/>
    </row>
    <row r="85" spans="1:26" s="12" customFormat="1" x14ac:dyDescent="0.25">
      <c r="A85" s="214" t="s">
        <v>1381</v>
      </c>
      <c r="B85" s="64">
        <v>8.2100000000000009</v>
      </c>
      <c r="C85" s="64">
        <v>3.3</v>
      </c>
      <c r="D85" s="64">
        <v>12.08</v>
      </c>
      <c r="E85" s="64">
        <v>4.3499999999999996</v>
      </c>
      <c r="F85" s="64">
        <v>6.91</v>
      </c>
      <c r="G85" s="64">
        <v>78.09</v>
      </c>
      <c r="H85" s="64">
        <v>28.01</v>
      </c>
      <c r="I85" s="64">
        <v>4.1100000000000003</v>
      </c>
      <c r="J85" s="64">
        <v>2.57</v>
      </c>
      <c r="K85" s="64">
        <v>329.43</v>
      </c>
      <c r="L85" s="64">
        <v>29.41</v>
      </c>
      <c r="M85" s="64">
        <v>49.46</v>
      </c>
      <c r="N85" s="64">
        <v>17.899999999999999</v>
      </c>
      <c r="O85" s="64">
        <v>0</v>
      </c>
      <c r="P85" s="64">
        <v>0.53</v>
      </c>
      <c r="Q85" s="64">
        <v>9.42</v>
      </c>
      <c r="R85" s="198"/>
      <c r="S85" s="198"/>
      <c r="T85" s="198"/>
      <c r="U85" s="198"/>
    </row>
    <row r="86" spans="1:26" s="12" customFormat="1" x14ac:dyDescent="0.25">
      <c r="A86" s="214" t="s">
        <v>1382</v>
      </c>
      <c r="B86" s="64">
        <v>8.18</v>
      </c>
      <c r="C86" s="64">
        <v>3.27</v>
      </c>
      <c r="D86" s="64">
        <v>12.05</v>
      </c>
      <c r="E86" s="64">
        <v>4.18</v>
      </c>
      <c r="F86" s="64">
        <v>6.3</v>
      </c>
      <c r="G86" s="64">
        <v>80.8</v>
      </c>
      <c r="H86" s="64">
        <v>29.59</v>
      </c>
      <c r="I86" s="64">
        <v>4.01</v>
      </c>
      <c r="J86" s="64">
        <v>1.62</v>
      </c>
      <c r="K86" s="64">
        <v>318.27999999999997</v>
      </c>
      <c r="L86" s="64">
        <v>29.32</v>
      </c>
      <c r="M86" s="64">
        <v>49.77</v>
      </c>
      <c r="N86" s="64">
        <v>16.600000000000001</v>
      </c>
      <c r="O86" s="64">
        <v>0</v>
      </c>
      <c r="P86" s="64">
        <v>0.55000000000000004</v>
      </c>
      <c r="Q86" s="64">
        <v>9.5399999999999991</v>
      </c>
      <c r="R86" s="198"/>
      <c r="S86" s="198"/>
      <c r="T86" s="198"/>
      <c r="U86" s="198"/>
    </row>
    <row r="87" spans="1:26" s="12" customFormat="1" x14ac:dyDescent="0.25">
      <c r="A87" s="214" t="s">
        <v>1383</v>
      </c>
      <c r="B87" s="64">
        <v>8.17</v>
      </c>
      <c r="C87" s="64">
        <v>3.26</v>
      </c>
      <c r="D87" s="64">
        <v>12.03</v>
      </c>
      <c r="E87" s="64">
        <v>4.07</v>
      </c>
      <c r="F87" s="64">
        <v>5.49</v>
      </c>
      <c r="G87" s="64">
        <v>83.4</v>
      </c>
      <c r="H87" s="64">
        <v>31.11</v>
      </c>
      <c r="I87" s="64">
        <v>3.86</v>
      </c>
      <c r="J87" s="64">
        <v>1.03</v>
      </c>
      <c r="K87" s="64">
        <v>315.98</v>
      </c>
      <c r="L87" s="64">
        <v>29.46</v>
      </c>
      <c r="M87" s="64">
        <v>49.94</v>
      </c>
      <c r="N87" s="64">
        <v>16.600000000000001</v>
      </c>
      <c r="O87" s="64">
        <v>0</v>
      </c>
      <c r="P87" s="64">
        <v>0.56999999999999995</v>
      </c>
      <c r="Q87" s="64">
        <v>9.5399999999999991</v>
      </c>
      <c r="R87" s="198"/>
      <c r="S87" s="198"/>
      <c r="T87" s="198"/>
      <c r="U87" s="198"/>
    </row>
    <row r="88" spans="1:26" s="12" customFormat="1" x14ac:dyDescent="0.25">
      <c r="A88" s="214" t="s">
        <v>1384</v>
      </c>
      <c r="B88" s="64">
        <v>8.31</v>
      </c>
      <c r="C88" s="64">
        <v>3.72</v>
      </c>
      <c r="D88" s="64">
        <v>12.39</v>
      </c>
      <c r="E88" s="64">
        <v>3.12</v>
      </c>
      <c r="F88" s="64">
        <v>5.15</v>
      </c>
      <c r="G88" s="64">
        <v>83.4</v>
      </c>
      <c r="H88" s="64">
        <v>31.11</v>
      </c>
      <c r="I88" s="64">
        <v>3.71</v>
      </c>
      <c r="J88" s="64">
        <v>0.82</v>
      </c>
      <c r="K88" s="64">
        <v>315.8</v>
      </c>
      <c r="L88" s="64">
        <v>29.6</v>
      </c>
      <c r="M88" s="64">
        <v>50.11</v>
      </c>
      <c r="N88" s="64">
        <v>16.7</v>
      </c>
      <c r="O88" s="64">
        <v>0</v>
      </c>
      <c r="P88" s="64">
        <v>0.59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14" t="s">
        <v>1385</v>
      </c>
      <c r="B89" s="64">
        <v>8.3800000000000008</v>
      </c>
      <c r="C89" s="64">
        <v>4.05</v>
      </c>
      <c r="D89" s="64">
        <v>12.61</v>
      </c>
      <c r="E89" s="64">
        <v>3.2</v>
      </c>
      <c r="F89" s="64">
        <v>4.58</v>
      </c>
      <c r="G89" s="64">
        <v>83.4</v>
      </c>
      <c r="H89" s="64">
        <v>31.11</v>
      </c>
      <c r="I89" s="64">
        <v>3.65</v>
      </c>
      <c r="J89" s="64">
        <v>0.87</v>
      </c>
      <c r="K89" s="64">
        <v>334.63</v>
      </c>
      <c r="L89" s="64">
        <v>29.72</v>
      </c>
      <c r="M89" s="64">
        <v>50.88</v>
      </c>
      <c r="N89" s="64">
        <v>16.7</v>
      </c>
      <c r="O89" s="64">
        <v>0</v>
      </c>
      <c r="P89" s="64">
        <v>0.63</v>
      </c>
      <c r="Q89" s="64">
        <v>9.56</v>
      </c>
      <c r="R89" s="198"/>
      <c r="S89" s="198"/>
      <c r="T89" s="198"/>
      <c r="U89" s="198"/>
    </row>
    <row r="90" spans="1:26" s="12" customFormat="1" x14ac:dyDescent="0.25">
      <c r="A90" s="214" t="s">
        <v>1386</v>
      </c>
      <c r="B90" s="64">
        <v>8.36</v>
      </c>
      <c r="C90" s="64">
        <v>4.04</v>
      </c>
      <c r="D90" s="64">
        <v>12.59</v>
      </c>
      <c r="E90" s="64">
        <v>3.41</v>
      </c>
      <c r="F90" s="64">
        <v>4.6100000000000003</v>
      </c>
      <c r="G90" s="64">
        <v>83.39</v>
      </c>
      <c r="H90" s="64">
        <v>29.54</v>
      </c>
      <c r="I90" s="64">
        <v>3.66</v>
      </c>
      <c r="J90" s="64">
        <v>0.71</v>
      </c>
      <c r="K90" s="64">
        <v>330.17</v>
      </c>
      <c r="L90" s="64">
        <v>29.9</v>
      </c>
      <c r="M90" s="64">
        <v>50.53</v>
      </c>
      <c r="N90" s="64">
        <v>16.8</v>
      </c>
      <c r="O90" s="64">
        <v>0</v>
      </c>
      <c r="P90" s="64">
        <v>0.65</v>
      </c>
      <c r="Q90" s="64">
        <v>9.58</v>
      </c>
      <c r="R90" s="198"/>
      <c r="S90" s="198"/>
      <c r="T90" s="198"/>
      <c r="U90" s="198"/>
    </row>
    <row r="91" spans="1:26" s="12" customFormat="1" x14ac:dyDescent="0.25">
      <c r="A91" s="214" t="s">
        <v>1387</v>
      </c>
      <c r="B91" s="64">
        <v>8.17</v>
      </c>
      <c r="C91" s="64">
        <v>3.27</v>
      </c>
      <c r="D91" s="64">
        <v>12.03</v>
      </c>
      <c r="E91" s="64">
        <v>3.35</v>
      </c>
      <c r="F91" s="64">
        <v>4.3499999999999996</v>
      </c>
      <c r="G91" s="64">
        <v>83.39</v>
      </c>
      <c r="H91" s="64">
        <v>28.05</v>
      </c>
      <c r="I91" s="64">
        <v>3.72</v>
      </c>
      <c r="J91" s="64">
        <v>1.61</v>
      </c>
      <c r="K91" s="64">
        <v>329.72</v>
      </c>
      <c r="L91" s="64">
        <v>29.86</v>
      </c>
      <c r="M91" s="64">
        <v>48.19</v>
      </c>
      <c r="N91" s="64">
        <v>16.3</v>
      </c>
      <c r="O91" s="64">
        <v>0</v>
      </c>
      <c r="P91" s="64">
        <v>0.68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4" t="s">
        <v>1388</v>
      </c>
      <c r="B92" s="64">
        <v>8.14</v>
      </c>
      <c r="C92" s="64">
        <v>3.17</v>
      </c>
      <c r="D92" s="64">
        <v>11.96</v>
      </c>
      <c r="E92" s="64">
        <v>3.3</v>
      </c>
      <c r="F92" s="64">
        <v>4.58</v>
      </c>
      <c r="G92" s="64">
        <v>83.39</v>
      </c>
      <c r="H92" s="64">
        <v>28.05</v>
      </c>
      <c r="I92" s="64">
        <v>3.63</v>
      </c>
      <c r="J92" s="64">
        <v>0.72</v>
      </c>
      <c r="K92" s="64">
        <v>318.27999999999997</v>
      </c>
      <c r="L92" s="64">
        <v>29.8</v>
      </c>
      <c r="M92" s="64">
        <v>46.73</v>
      </c>
      <c r="N92" s="64">
        <v>16.899999999999999</v>
      </c>
      <c r="O92" s="64">
        <v>0</v>
      </c>
      <c r="P92" s="64">
        <v>0.68</v>
      </c>
      <c r="Q92" s="64">
        <v>9.57</v>
      </c>
      <c r="R92" s="198"/>
      <c r="S92" s="198"/>
      <c r="T92" s="198"/>
      <c r="U92" s="198"/>
    </row>
    <row r="93" spans="1:26" s="12" customFormat="1" x14ac:dyDescent="0.25">
      <c r="A93" s="214" t="s">
        <v>1389</v>
      </c>
      <c r="B93" s="64">
        <v>8.17</v>
      </c>
      <c r="C93" s="64">
        <v>3.23</v>
      </c>
      <c r="D93" s="64">
        <v>12.01</v>
      </c>
      <c r="E93" s="64">
        <v>3.45</v>
      </c>
      <c r="F93" s="64">
        <v>4.5199999999999996</v>
      </c>
      <c r="G93" s="64">
        <v>83.39</v>
      </c>
      <c r="H93" s="64">
        <v>28.05</v>
      </c>
      <c r="I93" s="64">
        <v>3.54</v>
      </c>
      <c r="J93" s="64">
        <v>0.59</v>
      </c>
      <c r="K93" s="64">
        <v>16.559999999999999</v>
      </c>
      <c r="L93" s="64">
        <v>29.75</v>
      </c>
      <c r="M93" s="64">
        <v>48.12</v>
      </c>
      <c r="N93" s="64">
        <v>17</v>
      </c>
      <c r="O93" s="64">
        <v>0</v>
      </c>
      <c r="P93" s="64">
        <v>0.69</v>
      </c>
      <c r="Q93" s="64">
        <v>9.5399999999999991</v>
      </c>
      <c r="R93" s="198"/>
      <c r="S93" s="198"/>
      <c r="T93" s="198"/>
      <c r="U93" s="198"/>
    </row>
    <row r="94" spans="1:26" s="12" customFormat="1" x14ac:dyDescent="0.25">
      <c r="A94" s="214" t="s">
        <v>1390</v>
      </c>
      <c r="B94" s="64">
        <v>8.17</v>
      </c>
      <c r="C94" s="64">
        <v>3.19</v>
      </c>
      <c r="D94" s="64">
        <v>11.99</v>
      </c>
      <c r="E94" s="64">
        <v>3.37</v>
      </c>
      <c r="F94" s="64">
        <v>4.54</v>
      </c>
      <c r="G94" s="64">
        <v>81</v>
      </c>
      <c r="H94" s="64">
        <v>27.51</v>
      </c>
      <c r="I94" s="64">
        <v>3.54</v>
      </c>
      <c r="J94" s="64">
        <v>0.5</v>
      </c>
      <c r="K94" s="64">
        <v>22.68</v>
      </c>
      <c r="L94" s="64">
        <v>29.43</v>
      </c>
      <c r="M94" s="64">
        <v>51.98</v>
      </c>
      <c r="N94" s="64">
        <v>17.100000000000001</v>
      </c>
      <c r="O94" s="64">
        <v>0</v>
      </c>
      <c r="P94" s="64">
        <v>0.7</v>
      </c>
      <c r="Q94" s="64">
        <v>9.5500000000000007</v>
      </c>
      <c r="R94" s="198"/>
      <c r="S94" s="198"/>
      <c r="T94" s="198"/>
      <c r="U94" s="198"/>
    </row>
    <row r="95" spans="1:26" s="12" customFormat="1" x14ac:dyDescent="0.25">
      <c r="A95" s="214" t="s">
        <v>1391</v>
      </c>
      <c r="B95" s="64">
        <v>8.17</v>
      </c>
      <c r="C95" s="64">
        <v>3.21</v>
      </c>
      <c r="D95" s="64">
        <v>12</v>
      </c>
      <c r="E95" s="64">
        <v>3.57</v>
      </c>
      <c r="F95" s="64">
        <v>5.64</v>
      </c>
      <c r="G95" s="64">
        <v>78.72</v>
      </c>
      <c r="H95" s="64">
        <v>27.02</v>
      </c>
      <c r="I95" s="64">
        <v>3.52</v>
      </c>
      <c r="J95" s="64">
        <v>0.71</v>
      </c>
      <c r="K95" s="64">
        <v>355.48</v>
      </c>
      <c r="L95" s="64">
        <v>29.33</v>
      </c>
      <c r="M95" s="64">
        <v>50.36</v>
      </c>
      <c r="N95" s="64">
        <v>17.2</v>
      </c>
      <c r="O95" s="64">
        <v>0</v>
      </c>
      <c r="P95" s="64">
        <v>0.68</v>
      </c>
      <c r="Q95" s="64">
        <v>9.58</v>
      </c>
      <c r="R95" s="198"/>
      <c r="S95" s="198"/>
      <c r="T95" s="198"/>
      <c r="U95" s="198"/>
    </row>
    <row r="96" spans="1:26" s="12" customFormat="1" x14ac:dyDescent="0.25">
      <c r="A96" s="214" t="s">
        <v>1392</v>
      </c>
      <c r="B96" s="64">
        <v>8.18</v>
      </c>
      <c r="C96" s="64">
        <v>3.34</v>
      </c>
      <c r="D96" s="64">
        <v>12.08</v>
      </c>
      <c r="E96" s="64">
        <v>3.5</v>
      </c>
      <c r="F96" s="64">
        <v>4.93</v>
      </c>
      <c r="G96" s="64">
        <v>78.72</v>
      </c>
      <c r="H96" s="64">
        <v>27.02</v>
      </c>
      <c r="I96" s="64">
        <v>3.47</v>
      </c>
      <c r="J96" s="64">
        <v>0.59</v>
      </c>
      <c r="K96" s="64">
        <v>348.16</v>
      </c>
      <c r="L96" s="64">
        <v>28.98</v>
      </c>
      <c r="M96" s="64">
        <v>50.39</v>
      </c>
      <c r="N96" s="64">
        <v>17</v>
      </c>
      <c r="O96" s="64">
        <v>0</v>
      </c>
      <c r="P96" s="64">
        <v>0.67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1393</v>
      </c>
      <c r="B97" s="64">
        <v>8.44</v>
      </c>
      <c r="C97" s="64">
        <v>4.33</v>
      </c>
      <c r="D97" s="64">
        <v>12.81</v>
      </c>
      <c r="E97" s="64">
        <v>3.29</v>
      </c>
      <c r="F97" s="64">
        <v>5.15</v>
      </c>
      <c r="G97" s="64">
        <v>78.72</v>
      </c>
      <c r="H97" s="64">
        <v>27.02</v>
      </c>
      <c r="I97" s="64">
        <v>3.4</v>
      </c>
      <c r="J97" s="64">
        <v>0.57999999999999996</v>
      </c>
      <c r="K97" s="64">
        <v>19.739999999999998</v>
      </c>
      <c r="L97" s="64">
        <v>28.83</v>
      </c>
      <c r="M97" s="64">
        <v>51.1</v>
      </c>
      <c r="N97" s="64">
        <v>17</v>
      </c>
      <c r="O97" s="64">
        <v>0</v>
      </c>
      <c r="P97" s="64">
        <v>0.65</v>
      </c>
      <c r="Q97" s="64">
        <v>9.4700000000000006</v>
      </c>
      <c r="R97" s="198"/>
      <c r="S97" s="198"/>
      <c r="T97" s="198"/>
      <c r="U97" s="198"/>
    </row>
    <row r="98" spans="1:33" s="12" customFormat="1" x14ac:dyDescent="0.25">
      <c r="A98" s="214" t="s">
        <v>1394</v>
      </c>
      <c r="B98" s="64">
        <v>8.36</v>
      </c>
      <c r="C98" s="64">
        <v>3.9</v>
      </c>
      <c r="D98" s="64">
        <v>12.51</v>
      </c>
      <c r="E98" s="64">
        <v>3.33</v>
      </c>
      <c r="F98" s="64">
        <v>5.2</v>
      </c>
      <c r="G98" s="64">
        <v>76.58</v>
      </c>
      <c r="H98" s="64">
        <v>24.36</v>
      </c>
      <c r="I98" s="64">
        <v>3.35</v>
      </c>
      <c r="J98" s="64">
        <v>0.62</v>
      </c>
      <c r="K98" s="64">
        <v>349.16</v>
      </c>
      <c r="L98" s="64">
        <v>28.7</v>
      </c>
      <c r="M98" s="64">
        <v>52.59</v>
      </c>
      <c r="N98" s="64">
        <v>17.100000000000001</v>
      </c>
      <c r="O98" s="64">
        <v>0</v>
      </c>
      <c r="P98" s="64">
        <v>0.64</v>
      </c>
      <c r="Q98" s="64">
        <v>9.4600000000000009</v>
      </c>
      <c r="R98" s="198"/>
      <c r="S98" s="198"/>
      <c r="T98" s="198"/>
      <c r="U98" s="198"/>
    </row>
    <row r="99" spans="1:33" s="12" customFormat="1" x14ac:dyDescent="0.25">
      <c r="A99" s="214" t="s">
        <v>1395</v>
      </c>
      <c r="B99" s="64">
        <v>8.1999999999999993</v>
      </c>
      <c r="C99" s="64">
        <v>3.27</v>
      </c>
      <c r="D99" s="64">
        <v>12.06</v>
      </c>
      <c r="E99" s="64">
        <v>3.11</v>
      </c>
      <c r="F99" s="64">
        <v>5.28</v>
      </c>
      <c r="G99" s="64">
        <v>74.540000000000006</v>
      </c>
      <c r="H99" s="64">
        <v>21.93</v>
      </c>
      <c r="I99" s="64">
        <v>3.34</v>
      </c>
      <c r="J99" s="64">
        <v>0.55000000000000004</v>
      </c>
      <c r="K99" s="64">
        <v>20.18</v>
      </c>
      <c r="L99" s="64">
        <v>28.68</v>
      </c>
      <c r="M99" s="64">
        <v>54.05</v>
      </c>
      <c r="N99" s="64">
        <v>17</v>
      </c>
      <c r="O99" s="64">
        <v>0</v>
      </c>
      <c r="P99" s="64">
        <v>0.62</v>
      </c>
      <c r="Q99" s="64">
        <v>9.4700000000000006</v>
      </c>
      <c r="R99" s="198"/>
      <c r="S99" s="198"/>
      <c r="T99" s="198"/>
      <c r="U99" s="198"/>
    </row>
    <row r="100" spans="1:33" s="12" customFormat="1" x14ac:dyDescent="0.25">
      <c r="A100" s="214" t="s">
        <v>1396</v>
      </c>
      <c r="B100" s="64">
        <v>8.18</v>
      </c>
      <c r="C100" s="64">
        <v>3.17</v>
      </c>
      <c r="D100" s="64">
        <v>11.98</v>
      </c>
      <c r="E100" s="64">
        <v>3.11</v>
      </c>
      <c r="F100" s="64">
        <v>5.12</v>
      </c>
      <c r="G100" s="64">
        <v>74.540000000000006</v>
      </c>
      <c r="H100" s="64">
        <v>21.93</v>
      </c>
      <c r="I100" s="64">
        <v>3.33</v>
      </c>
      <c r="J100" s="64">
        <v>0.39</v>
      </c>
      <c r="K100" s="64">
        <v>18.7</v>
      </c>
      <c r="L100" s="64">
        <v>28.63</v>
      </c>
      <c r="M100" s="64">
        <v>55.84</v>
      </c>
      <c r="N100" s="64">
        <v>17</v>
      </c>
      <c r="O100" s="64">
        <v>0</v>
      </c>
      <c r="P100" s="64">
        <v>0.63</v>
      </c>
      <c r="Q100" s="64">
        <v>9.4600000000000009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1397</v>
      </c>
      <c r="B101" s="64">
        <v>8.17</v>
      </c>
      <c r="C101" s="64">
        <v>3.13</v>
      </c>
      <c r="D101" s="64">
        <v>11.96</v>
      </c>
      <c r="E101" s="64">
        <v>3.5</v>
      </c>
      <c r="F101" s="64">
        <v>4.75</v>
      </c>
      <c r="G101" s="64">
        <v>74.540000000000006</v>
      </c>
      <c r="H101" s="64">
        <v>21.93</v>
      </c>
      <c r="I101" s="64">
        <v>3.38</v>
      </c>
      <c r="J101" s="64">
        <v>0.37</v>
      </c>
      <c r="K101" s="64">
        <v>23.61</v>
      </c>
      <c r="L101" s="64">
        <v>28.43</v>
      </c>
      <c r="M101" s="64">
        <v>59.78</v>
      </c>
      <c r="N101" s="64">
        <v>17</v>
      </c>
      <c r="O101" s="64">
        <v>0</v>
      </c>
      <c r="P101" s="64">
        <v>0.64</v>
      </c>
      <c r="Q101" s="64">
        <v>9.4600000000000009</v>
      </c>
      <c r="R101" s="198"/>
      <c r="S101" s="198"/>
      <c r="T101" s="198"/>
      <c r="U101" s="198"/>
    </row>
    <row r="102" spans="1:33" s="12" customFormat="1" x14ac:dyDescent="0.25">
      <c r="A102" s="214" t="s">
        <v>1398</v>
      </c>
      <c r="B102" s="64">
        <v>8.18</v>
      </c>
      <c r="C102" s="64">
        <v>3.14</v>
      </c>
      <c r="D102" s="64">
        <v>11.98</v>
      </c>
      <c r="E102" s="64">
        <v>3.35</v>
      </c>
      <c r="F102" s="64">
        <v>4.88</v>
      </c>
      <c r="G102" s="64">
        <v>74.34</v>
      </c>
      <c r="H102" s="64">
        <v>22.68</v>
      </c>
      <c r="I102" s="64">
        <v>3.47</v>
      </c>
      <c r="J102" s="64">
        <v>0.49</v>
      </c>
      <c r="K102" s="64">
        <v>18.079999999999998</v>
      </c>
      <c r="L102" s="64">
        <v>28.21</v>
      </c>
      <c r="M102" s="64">
        <v>67.459999999999994</v>
      </c>
      <c r="N102" s="64">
        <v>17</v>
      </c>
      <c r="O102" s="64">
        <v>0</v>
      </c>
      <c r="P102" s="64">
        <v>0.63</v>
      </c>
      <c r="Q102" s="64">
        <v>9.5</v>
      </c>
      <c r="R102" s="198"/>
      <c r="S102" s="198"/>
      <c r="T102" s="198"/>
      <c r="U102" s="198"/>
    </row>
    <row r="103" spans="1:33" s="12" customFormat="1" x14ac:dyDescent="0.25">
      <c r="A103" s="214" t="s">
        <v>1399</v>
      </c>
      <c r="B103" s="64">
        <v>8.1999999999999993</v>
      </c>
      <c r="C103" s="64">
        <v>3.13</v>
      </c>
      <c r="D103" s="64">
        <v>11.99</v>
      </c>
      <c r="E103" s="64">
        <v>3.26</v>
      </c>
      <c r="F103" s="64">
        <v>5.15</v>
      </c>
      <c r="G103" s="64">
        <v>74.14</v>
      </c>
      <c r="H103" s="64">
        <v>23.36</v>
      </c>
      <c r="I103" s="64">
        <v>3.55</v>
      </c>
      <c r="J103" s="64">
        <v>0.27</v>
      </c>
      <c r="K103" s="64">
        <v>344.56</v>
      </c>
      <c r="L103" s="64">
        <v>27.93</v>
      </c>
      <c r="M103" s="64">
        <v>70.2</v>
      </c>
      <c r="N103" s="64">
        <v>17</v>
      </c>
      <c r="O103" s="64">
        <v>0</v>
      </c>
      <c r="P103" s="64">
        <v>0.61</v>
      </c>
      <c r="Q103" s="64">
        <v>9.5</v>
      </c>
      <c r="R103" s="198"/>
      <c r="S103" s="198"/>
      <c r="T103" s="198"/>
      <c r="U103" s="198"/>
    </row>
    <row r="104" spans="1:33" s="12" customFormat="1" x14ac:dyDescent="0.25">
      <c r="A104" s="214" t="s">
        <v>1400</v>
      </c>
      <c r="B104" s="64">
        <v>8.19</v>
      </c>
      <c r="C104" s="64">
        <v>3.19</v>
      </c>
      <c r="D104" s="64">
        <v>12.01</v>
      </c>
      <c r="E104" s="64">
        <v>4.21</v>
      </c>
      <c r="F104" s="64">
        <v>5.57</v>
      </c>
      <c r="G104" s="64">
        <v>74.14</v>
      </c>
      <c r="H104" s="64">
        <v>23.36</v>
      </c>
      <c r="I104" s="64">
        <v>3.56</v>
      </c>
      <c r="J104" s="64">
        <v>0.28999999999999998</v>
      </c>
      <c r="K104" s="64">
        <v>22.96</v>
      </c>
      <c r="L104" s="64">
        <v>27.77</v>
      </c>
      <c r="M104" s="64">
        <v>70.48</v>
      </c>
      <c r="N104" s="64">
        <v>17</v>
      </c>
      <c r="O104" s="64">
        <v>0</v>
      </c>
      <c r="P104" s="64">
        <v>0.59</v>
      </c>
      <c r="Q104" s="64">
        <v>9.52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8.1199999999999992</v>
      </c>
      <c r="C106" s="67">
        <f>MIN(C9:C104)</f>
        <v>3.08</v>
      </c>
      <c r="D106" s="67">
        <f t="shared" ref="D106:Q106" si="0">MIN(D9:D104)</f>
        <v>11.91</v>
      </c>
      <c r="E106" s="67">
        <f t="shared" si="0"/>
        <v>3.11</v>
      </c>
      <c r="F106" s="67">
        <f t="shared" si="0"/>
        <v>4.25</v>
      </c>
      <c r="G106" s="67">
        <f t="shared" si="0"/>
        <v>30.14</v>
      </c>
      <c r="H106" s="67">
        <f t="shared" si="0"/>
        <v>11.62</v>
      </c>
      <c r="I106" s="67">
        <f t="shared" si="0"/>
        <v>1.1000000000000001</v>
      </c>
      <c r="J106" s="67">
        <f t="shared" si="0"/>
        <v>0.1</v>
      </c>
      <c r="K106" s="67">
        <f t="shared" si="0"/>
        <v>0</v>
      </c>
      <c r="L106" s="67">
        <f t="shared" si="0"/>
        <v>25.45</v>
      </c>
      <c r="M106" s="67">
        <f t="shared" si="0"/>
        <v>25.64</v>
      </c>
      <c r="N106" s="67">
        <f t="shared" si="0"/>
        <v>16.3</v>
      </c>
      <c r="O106" s="67">
        <f t="shared" si="0"/>
        <v>0</v>
      </c>
      <c r="P106" s="67">
        <f t="shared" si="0"/>
        <v>0.15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8.6999999999999993</v>
      </c>
      <c r="C107" s="66">
        <f t="shared" ref="C107:Q107" si="1">MAX(C9:C104)</f>
        <v>4.82</v>
      </c>
      <c r="D107" s="66">
        <f t="shared" si="1"/>
        <v>13.26</v>
      </c>
      <c r="E107" s="66">
        <f t="shared" si="1"/>
        <v>4.9400000000000004</v>
      </c>
      <c r="F107" s="66">
        <f t="shared" si="1"/>
        <v>13.57</v>
      </c>
      <c r="G107" s="66">
        <f t="shared" si="1"/>
        <v>83.4</v>
      </c>
      <c r="H107" s="66">
        <f t="shared" si="1"/>
        <v>31.36</v>
      </c>
      <c r="I107" s="66">
        <f t="shared" si="1"/>
        <v>5.36</v>
      </c>
      <c r="J107" s="66">
        <f t="shared" si="1"/>
        <v>2.92</v>
      </c>
      <c r="K107" s="66">
        <f t="shared" si="1"/>
        <v>359.75</v>
      </c>
      <c r="L107" s="66">
        <f t="shared" si="1"/>
        <v>40.15</v>
      </c>
      <c r="M107" s="66">
        <f t="shared" si="1"/>
        <v>73.13</v>
      </c>
      <c r="N107" s="66">
        <f t="shared" si="1"/>
        <v>847.7</v>
      </c>
      <c r="O107" s="66">
        <f t="shared" si="1"/>
        <v>0</v>
      </c>
      <c r="P107" s="66">
        <f t="shared" si="1"/>
        <v>0.7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8.2495833333333266</v>
      </c>
      <c r="C108" s="67">
        <f t="shared" ref="C108:Q108" si="2">AVERAGE(C9:C104)</f>
        <v>3.4434375000000004</v>
      </c>
      <c r="D108" s="67">
        <f t="shared" si="2"/>
        <v>12.188333333333333</v>
      </c>
      <c r="E108" s="67">
        <f t="shared" si="2"/>
        <v>4.1844791666666667</v>
      </c>
      <c r="F108" s="67">
        <f t="shared" si="2"/>
        <v>6.7061458333333333</v>
      </c>
      <c r="G108" s="67">
        <f t="shared" si="2"/>
        <v>56.773645833333354</v>
      </c>
      <c r="H108" s="67">
        <f t="shared" si="2"/>
        <v>23.047916666666655</v>
      </c>
      <c r="I108" s="67">
        <f t="shared" si="2"/>
        <v>3.0625000000000004</v>
      </c>
      <c r="J108" s="67">
        <f t="shared" si="2"/>
        <v>0.91177083333333331</v>
      </c>
      <c r="K108" s="67">
        <f t="shared" si="2"/>
        <v>233.1151041666667</v>
      </c>
      <c r="L108" s="67">
        <f t="shared" si="2"/>
        <v>31.63614583333333</v>
      </c>
      <c r="M108" s="67">
        <f t="shared" si="2"/>
        <v>48.191145833333344</v>
      </c>
      <c r="N108" s="67">
        <f t="shared" si="2"/>
        <v>248.48125000000013</v>
      </c>
      <c r="O108" s="67">
        <f t="shared" si="2"/>
        <v>0</v>
      </c>
      <c r="P108" s="67">
        <f t="shared" si="2"/>
        <v>0.44156250000000002</v>
      </c>
      <c r="Q108" s="67">
        <f t="shared" si="2"/>
        <v>8.9453124999999982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0.1167716319792086</v>
      </c>
      <c r="C109" s="67">
        <f t="shared" ref="C109:Q109" si="3">STDEV(C9:C104)</f>
        <v>0.41084208292878549</v>
      </c>
      <c r="D109" s="67">
        <f t="shared" si="3"/>
        <v>0.30561987627104659</v>
      </c>
      <c r="E109" s="67">
        <f t="shared" si="3"/>
        <v>0.46610563472166905</v>
      </c>
      <c r="F109" s="67">
        <f t="shared" si="3"/>
        <v>1.885944336842063</v>
      </c>
      <c r="G109" s="67">
        <f t="shared" si="3"/>
        <v>17.771483492250951</v>
      </c>
      <c r="H109" s="67">
        <f t="shared" si="3"/>
        <v>5.2924744817855629</v>
      </c>
      <c r="I109" s="67">
        <f t="shared" si="3"/>
        <v>0.9817395945865397</v>
      </c>
      <c r="J109" s="67">
        <f t="shared" si="3"/>
        <v>0.51890774921269245</v>
      </c>
      <c r="K109" s="67">
        <f t="shared" si="3"/>
        <v>144.25281358558468</v>
      </c>
      <c r="L109" s="67">
        <f t="shared" si="3"/>
        <v>4.8438065435296176</v>
      </c>
      <c r="M109" s="67">
        <f t="shared" si="3"/>
        <v>14.650782186396885</v>
      </c>
      <c r="N109" s="67">
        <f t="shared" si="3"/>
        <v>313.88992247953814</v>
      </c>
      <c r="O109" s="67">
        <f t="shared" si="3"/>
        <v>0</v>
      </c>
      <c r="P109" s="67">
        <f t="shared" si="3"/>
        <v>0.14962639877550446</v>
      </c>
      <c r="Q109" s="67">
        <f t="shared" si="3"/>
        <v>2.1089138901464479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1401</v>
      </c>
      <c r="B9" s="64">
        <v>8.1999999999999993</v>
      </c>
      <c r="C9" s="64">
        <v>3.29</v>
      </c>
      <c r="D9" s="64">
        <v>12.07</v>
      </c>
      <c r="E9" s="64">
        <v>3.96</v>
      </c>
      <c r="F9" s="64">
        <v>5.5</v>
      </c>
      <c r="G9" s="64">
        <v>74.14</v>
      </c>
      <c r="H9" s="64">
        <v>23.36</v>
      </c>
      <c r="I9" s="64">
        <v>3.5</v>
      </c>
      <c r="J9" s="64">
        <v>0.36</v>
      </c>
      <c r="K9" s="64">
        <v>16.23</v>
      </c>
      <c r="L9" s="64">
        <v>27.74</v>
      </c>
      <c r="M9" s="64">
        <v>69.47</v>
      </c>
      <c r="N9" s="64">
        <v>17</v>
      </c>
      <c r="O9" s="64">
        <v>0</v>
      </c>
      <c r="P9" s="64">
        <v>0.56999999999999995</v>
      </c>
      <c r="Q9" s="64">
        <v>9.51</v>
      </c>
      <c r="R9" s="198"/>
      <c r="S9" s="198"/>
      <c r="T9" s="198"/>
      <c r="U9" s="198"/>
    </row>
    <row r="10" spans="1:21" s="12" customFormat="1" x14ac:dyDescent="0.25">
      <c r="A10" s="214" t="s">
        <v>1402</v>
      </c>
      <c r="B10" s="64">
        <v>8.4</v>
      </c>
      <c r="C10" s="64">
        <v>3.87</v>
      </c>
      <c r="D10" s="64">
        <v>12.53</v>
      </c>
      <c r="E10" s="64">
        <v>3.63</v>
      </c>
      <c r="F10" s="64">
        <v>5.86</v>
      </c>
      <c r="G10" s="64">
        <v>67.72</v>
      </c>
      <c r="H10" s="64">
        <v>41.37</v>
      </c>
      <c r="I10" s="64">
        <v>3.38</v>
      </c>
      <c r="J10" s="64">
        <v>0.31</v>
      </c>
      <c r="K10" s="64">
        <v>28.01</v>
      </c>
      <c r="L10" s="64">
        <v>27.75</v>
      </c>
      <c r="M10" s="64">
        <v>68.849999999999994</v>
      </c>
      <c r="N10" s="64">
        <v>17</v>
      </c>
      <c r="O10" s="64">
        <v>0</v>
      </c>
      <c r="P10" s="64">
        <v>0.54</v>
      </c>
      <c r="Q10" s="64">
        <v>9.51</v>
      </c>
      <c r="R10" s="198"/>
      <c r="S10" s="198"/>
      <c r="T10" s="198"/>
      <c r="U10" s="198"/>
    </row>
    <row r="11" spans="1:21" s="12" customFormat="1" x14ac:dyDescent="0.25">
      <c r="A11" s="214" t="s">
        <v>1403</v>
      </c>
      <c r="B11" s="64">
        <v>8.2899999999999991</v>
      </c>
      <c r="C11" s="64">
        <v>3.5</v>
      </c>
      <c r="D11" s="64">
        <v>12.25</v>
      </c>
      <c r="E11" s="64">
        <v>3.86</v>
      </c>
      <c r="F11" s="64">
        <v>5.43</v>
      </c>
      <c r="G11" s="64">
        <v>61.58</v>
      </c>
      <c r="H11" s="64">
        <v>57.86</v>
      </c>
      <c r="I11" s="64">
        <v>3.23</v>
      </c>
      <c r="J11" s="64">
        <v>0.11</v>
      </c>
      <c r="K11" s="64">
        <v>213.9</v>
      </c>
      <c r="L11" s="64">
        <v>27.65</v>
      </c>
      <c r="M11" s="64">
        <v>69.92</v>
      </c>
      <c r="N11" s="64">
        <v>17</v>
      </c>
      <c r="O11" s="64">
        <v>0</v>
      </c>
      <c r="P11" s="64">
        <v>0.52</v>
      </c>
      <c r="Q11" s="64">
        <v>9.51</v>
      </c>
      <c r="R11" s="198"/>
      <c r="S11" s="198"/>
      <c r="T11" s="198"/>
      <c r="U11" s="198"/>
    </row>
    <row r="12" spans="1:21" s="12" customFormat="1" x14ac:dyDescent="0.25">
      <c r="A12" s="214" t="s">
        <v>1404</v>
      </c>
      <c r="B12" s="64">
        <v>8.2100000000000009</v>
      </c>
      <c r="C12" s="64">
        <v>3.29</v>
      </c>
      <c r="D12" s="64">
        <v>12.07</v>
      </c>
      <c r="E12" s="64">
        <v>3.82</v>
      </c>
      <c r="F12" s="64">
        <v>5.08</v>
      </c>
      <c r="G12" s="64">
        <v>61.58</v>
      </c>
      <c r="H12" s="64">
        <v>57.86</v>
      </c>
      <c r="I12" s="64">
        <v>3.12</v>
      </c>
      <c r="J12" s="64">
        <v>0.5</v>
      </c>
      <c r="K12" s="64">
        <v>34.56</v>
      </c>
      <c r="L12" s="64">
        <v>27.6</v>
      </c>
      <c r="M12" s="64">
        <v>70.05</v>
      </c>
      <c r="N12" s="64">
        <v>17</v>
      </c>
      <c r="O12" s="64">
        <v>0</v>
      </c>
      <c r="P12" s="64">
        <v>0.51</v>
      </c>
      <c r="Q12" s="64">
        <v>9.43</v>
      </c>
      <c r="R12" s="198"/>
      <c r="S12" s="198"/>
      <c r="T12" s="198"/>
      <c r="U12" s="198"/>
    </row>
    <row r="13" spans="1:21" s="12" customFormat="1" x14ac:dyDescent="0.25">
      <c r="A13" s="214" t="s">
        <v>1405</v>
      </c>
      <c r="B13" s="64">
        <v>8.19</v>
      </c>
      <c r="C13" s="64">
        <v>3.26</v>
      </c>
      <c r="D13" s="64">
        <v>12.04</v>
      </c>
      <c r="E13" s="64">
        <v>3.59</v>
      </c>
      <c r="F13" s="64">
        <v>5.49</v>
      </c>
      <c r="G13" s="64">
        <v>61.58</v>
      </c>
      <c r="H13" s="64">
        <v>57.86</v>
      </c>
      <c r="I13" s="64">
        <v>3.06</v>
      </c>
      <c r="J13" s="64">
        <v>0.57999999999999996</v>
      </c>
      <c r="K13" s="64">
        <v>8.09</v>
      </c>
      <c r="L13" s="64">
        <v>27.5</v>
      </c>
      <c r="M13" s="64">
        <v>68.55</v>
      </c>
      <c r="N13" s="64">
        <v>16.899999999999999</v>
      </c>
      <c r="O13" s="64">
        <v>0</v>
      </c>
      <c r="P13" s="64">
        <v>0.41</v>
      </c>
      <c r="Q13" s="64">
        <v>9.4700000000000006</v>
      </c>
      <c r="R13" s="198"/>
      <c r="S13" s="198"/>
      <c r="T13" s="198"/>
      <c r="U13" s="198"/>
    </row>
    <row r="14" spans="1:21" s="12" customFormat="1" x14ac:dyDescent="0.25">
      <c r="A14" s="214" t="s">
        <v>1406</v>
      </c>
      <c r="B14" s="64">
        <v>8.17</v>
      </c>
      <c r="C14" s="64">
        <v>3.17</v>
      </c>
      <c r="D14" s="64">
        <v>11.98</v>
      </c>
      <c r="E14" s="64">
        <v>3.68</v>
      </c>
      <c r="F14" s="64">
        <v>5.23</v>
      </c>
      <c r="G14" s="64">
        <v>61.47</v>
      </c>
      <c r="H14" s="64">
        <v>55.96</v>
      </c>
      <c r="I14" s="64">
        <v>2.97</v>
      </c>
      <c r="J14" s="64">
        <v>0.53</v>
      </c>
      <c r="K14" s="64">
        <v>10.72</v>
      </c>
      <c r="L14" s="64">
        <v>27.73</v>
      </c>
      <c r="M14" s="64">
        <v>65.52</v>
      </c>
      <c r="N14" s="64">
        <v>16.899999999999999</v>
      </c>
      <c r="O14" s="64">
        <v>0</v>
      </c>
      <c r="P14" s="64">
        <v>0.41</v>
      </c>
      <c r="Q14" s="64">
        <v>9.4700000000000006</v>
      </c>
      <c r="R14" s="198"/>
      <c r="S14" s="198"/>
      <c r="T14" s="198"/>
      <c r="U14" s="198"/>
    </row>
    <row r="15" spans="1:21" s="12" customFormat="1" x14ac:dyDescent="0.25">
      <c r="A15" s="214" t="s">
        <v>1407</v>
      </c>
      <c r="B15" s="64">
        <v>8.3699999999999992</v>
      </c>
      <c r="C15" s="64">
        <v>3.7</v>
      </c>
      <c r="D15" s="64">
        <v>12.42</v>
      </c>
      <c r="E15" s="64">
        <v>3.6</v>
      </c>
      <c r="F15" s="64">
        <v>6.06</v>
      </c>
      <c r="G15" s="64">
        <v>61.36</v>
      </c>
      <c r="H15" s="64">
        <v>54.14</v>
      </c>
      <c r="I15" s="64">
        <v>2.86</v>
      </c>
      <c r="J15" s="64">
        <v>0.31</v>
      </c>
      <c r="K15" s="64">
        <v>10.33</v>
      </c>
      <c r="L15" s="64">
        <v>27.81</v>
      </c>
      <c r="M15" s="64">
        <v>63.6</v>
      </c>
      <c r="N15" s="64">
        <v>16.899999999999999</v>
      </c>
      <c r="O15" s="64">
        <v>0</v>
      </c>
      <c r="P15" s="64">
        <v>0.39</v>
      </c>
      <c r="Q15" s="64">
        <v>9.42</v>
      </c>
      <c r="R15" s="198"/>
      <c r="S15" s="198"/>
      <c r="T15" s="198"/>
      <c r="U15" s="198"/>
    </row>
    <row r="16" spans="1:21" s="12" customFormat="1" x14ac:dyDescent="0.25">
      <c r="A16" s="214" t="s">
        <v>1408</v>
      </c>
      <c r="B16" s="64">
        <v>8.3000000000000007</v>
      </c>
      <c r="C16" s="64">
        <v>3.51</v>
      </c>
      <c r="D16" s="64">
        <v>12.26</v>
      </c>
      <c r="E16" s="64">
        <v>3.82</v>
      </c>
      <c r="F16" s="64">
        <v>5.93</v>
      </c>
      <c r="G16" s="64">
        <v>61.36</v>
      </c>
      <c r="H16" s="64">
        <v>54.14</v>
      </c>
      <c r="I16" s="64">
        <v>2.79</v>
      </c>
      <c r="J16" s="64">
        <v>0.67</v>
      </c>
      <c r="K16" s="64">
        <v>13.67</v>
      </c>
      <c r="L16" s="64">
        <v>27.82</v>
      </c>
      <c r="M16" s="64">
        <v>63.07</v>
      </c>
      <c r="N16" s="64">
        <v>17</v>
      </c>
      <c r="O16" s="64">
        <v>0</v>
      </c>
      <c r="P16" s="64">
        <v>0.38</v>
      </c>
      <c r="Q16" s="64">
        <v>9.44</v>
      </c>
      <c r="R16" s="198"/>
      <c r="S16" s="198"/>
      <c r="T16" s="198"/>
      <c r="U16" s="198"/>
    </row>
    <row r="17" spans="1:21" s="12" customFormat="1" x14ac:dyDescent="0.25">
      <c r="A17" s="214" t="s">
        <v>1409</v>
      </c>
      <c r="B17" s="64">
        <v>8.17</v>
      </c>
      <c r="C17" s="64">
        <v>3.12</v>
      </c>
      <c r="D17" s="64">
        <v>11.96</v>
      </c>
      <c r="E17" s="64">
        <v>4.2</v>
      </c>
      <c r="F17" s="64">
        <v>5.43</v>
      </c>
      <c r="G17" s="64">
        <v>61.36</v>
      </c>
      <c r="H17" s="64">
        <v>54.14</v>
      </c>
      <c r="I17" s="64">
        <v>2.61</v>
      </c>
      <c r="J17" s="64">
        <v>0.43</v>
      </c>
      <c r="K17" s="64">
        <v>10.07</v>
      </c>
      <c r="L17" s="64">
        <v>27.84</v>
      </c>
      <c r="M17" s="64">
        <v>62.58</v>
      </c>
      <c r="N17" s="64">
        <v>17</v>
      </c>
      <c r="O17" s="64">
        <v>0</v>
      </c>
      <c r="P17" s="64">
        <v>0.35</v>
      </c>
      <c r="Q17" s="64">
        <v>9.43</v>
      </c>
      <c r="R17" s="198"/>
      <c r="S17" s="198"/>
      <c r="T17" s="198"/>
      <c r="U17" s="198"/>
    </row>
    <row r="18" spans="1:21" s="12" customFormat="1" x14ac:dyDescent="0.25">
      <c r="A18" s="214" t="s">
        <v>1410</v>
      </c>
      <c r="B18" s="64">
        <v>8.15</v>
      </c>
      <c r="C18" s="64">
        <v>3.06</v>
      </c>
      <c r="D18" s="64">
        <v>11.91</v>
      </c>
      <c r="E18" s="64">
        <v>3.94</v>
      </c>
      <c r="F18" s="64">
        <v>6.69</v>
      </c>
      <c r="G18" s="64">
        <v>58.91</v>
      </c>
      <c r="H18" s="64">
        <v>44.46</v>
      </c>
      <c r="I18" s="64">
        <v>2.4300000000000002</v>
      </c>
      <c r="J18" s="64">
        <v>0.57999999999999996</v>
      </c>
      <c r="K18" s="64">
        <v>9.76</v>
      </c>
      <c r="L18" s="64">
        <v>27.81</v>
      </c>
      <c r="M18" s="64">
        <v>62.77</v>
      </c>
      <c r="N18" s="64">
        <v>17</v>
      </c>
      <c r="O18" s="64">
        <v>0</v>
      </c>
      <c r="P18" s="64">
        <v>0.34</v>
      </c>
      <c r="Q18" s="64">
        <v>9.39</v>
      </c>
      <c r="R18" s="198"/>
      <c r="S18" s="198"/>
      <c r="T18" s="198"/>
      <c r="U18" s="198"/>
    </row>
    <row r="19" spans="1:21" s="12" customFormat="1" x14ac:dyDescent="0.25">
      <c r="A19" s="214" t="s">
        <v>1411</v>
      </c>
      <c r="B19" s="64">
        <v>8.16</v>
      </c>
      <c r="C19" s="64">
        <v>3.08</v>
      </c>
      <c r="D19" s="64">
        <v>11.92</v>
      </c>
      <c r="E19" s="64">
        <v>3.77</v>
      </c>
      <c r="F19" s="64">
        <v>7.22</v>
      </c>
      <c r="G19" s="64">
        <v>56.56</v>
      </c>
      <c r="H19" s="64">
        <v>35.19</v>
      </c>
      <c r="I19" s="64">
        <v>2.4300000000000002</v>
      </c>
      <c r="J19" s="64">
        <v>0.53</v>
      </c>
      <c r="K19" s="64">
        <v>7.16</v>
      </c>
      <c r="L19" s="64">
        <v>27.92</v>
      </c>
      <c r="M19" s="64">
        <v>62.23</v>
      </c>
      <c r="N19" s="64">
        <v>16.899999999999999</v>
      </c>
      <c r="O19" s="64">
        <v>0</v>
      </c>
      <c r="P19" s="64">
        <v>0.32</v>
      </c>
      <c r="Q19" s="64">
        <v>9.3800000000000008</v>
      </c>
      <c r="R19" s="198"/>
      <c r="S19" s="198"/>
      <c r="T19" s="198"/>
      <c r="U19" s="198"/>
    </row>
    <row r="20" spans="1:21" s="12" customFormat="1" x14ac:dyDescent="0.25">
      <c r="A20" s="214" t="s">
        <v>1412</v>
      </c>
      <c r="B20" s="64">
        <v>8.19</v>
      </c>
      <c r="C20" s="64">
        <v>3.15</v>
      </c>
      <c r="D20" s="64">
        <v>11.99</v>
      </c>
      <c r="E20" s="64">
        <v>3.83</v>
      </c>
      <c r="F20" s="64">
        <v>9.02</v>
      </c>
      <c r="G20" s="64">
        <v>56.56</v>
      </c>
      <c r="H20" s="64">
        <v>35.19</v>
      </c>
      <c r="I20" s="64">
        <v>2.39</v>
      </c>
      <c r="J20" s="64">
        <v>0.7</v>
      </c>
      <c r="K20" s="64">
        <v>26.17</v>
      </c>
      <c r="L20" s="64">
        <v>27.87</v>
      </c>
      <c r="M20" s="64">
        <v>63.21</v>
      </c>
      <c r="N20" s="64">
        <v>17</v>
      </c>
      <c r="O20" s="64">
        <v>0</v>
      </c>
      <c r="P20" s="64">
        <v>0.28999999999999998</v>
      </c>
      <c r="Q20" s="64">
        <v>9.33</v>
      </c>
      <c r="R20" s="198"/>
      <c r="S20" s="198"/>
      <c r="T20" s="198"/>
      <c r="U20" s="198"/>
    </row>
    <row r="21" spans="1:21" s="12" customFormat="1" x14ac:dyDescent="0.25">
      <c r="A21" s="214" t="s">
        <v>1413</v>
      </c>
      <c r="B21" s="64">
        <v>8.1999999999999993</v>
      </c>
      <c r="C21" s="64">
        <v>3.14</v>
      </c>
      <c r="D21" s="64">
        <v>11.99</v>
      </c>
      <c r="E21" s="64">
        <v>3.76</v>
      </c>
      <c r="F21" s="64">
        <v>10.32</v>
      </c>
      <c r="G21" s="64">
        <v>56.56</v>
      </c>
      <c r="H21" s="64">
        <v>35.19</v>
      </c>
      <c r="I21" s="64">
        <v>2.16</v>
      </c>
      <c r="J21" s="64">
        <v>0.64</v>
      </c>
      <c r="K21" s="64">
        <v>23.15</v>
      </c>
      <c r="L21" s="64">
        <v>27.78</v>
      </c>
      <c r="M21" s="64">
        <v>64.45</v>
      </c>
      <c r="N21" s="64">
        <v>17</v>
      </c>
      <c r="O21" s="64">
        <v>0</v>
      </c>
      <c r="P21" s="64">
        <v>0.27</v>
      </c>
      <c r="Q21" s="64">
        <v>9.33</v>
      </c>
      <c r="R21" s="198"/>
      <c r="S21" s="198"/>
      <c r="T21" s="198"/>
      <c r="U21" s="198"/>
    </row>
    <row r="22" spans="1:21" s="12" customFormat="1" x14ac:dyDescent="0.25">
      <c r="A22" s="214" t="s">
        <v>1414</v>
      </c>
      <c r="B22" s="64">
        <v>8.24</v>
      </c>
      <c r="C22" s="64">
        <v>3.28</v>
      </c>
      <c r="D22" s="64">
        <v>12.09</v>
      </c>
      <c r="E22" s="64">
        <v>4</v>
      </c>
      <c r="F22" s="64">
        <v>9.89</v>
      </c>
      <c r="G22" s="64">
        <v>54.63</v>
      </c>
      <c r="H22" s="64">
        <v>35.58</v>
      </c>
      <c r="I22" s="64">
        <v>1.97</v>
      </c>
      <c r="J22" s="64">
        <v>0.55000000000000004</v>
      </c>
      <c r="K22" s="64">
        <v>15.07</v>
      </c>
      <c r="L22" s="64">
        <v>27.65</v>
      </c>
      <c r="M22" s="64">
        <v>65.87</v>
      </c>
      <c r="N22" s="64">
        <v>17.100000000000001</v>
      </c>
      <c r="O22" s="64">
        <v>0</v>
      </c>
      <c r="P22" s="64">
        <v>0.25</v>
      </c>
      <c r="Q22" s="64">
        <v>9.34</v>
      </c>
      <c r="R22" s="198"/>
      <c r="S22" s="198"/>
      <c r="T22" s="198"/>
      <c r="U22" s="198"/>
    </row>
    <row r="23" spans="1:21" s="12" customFormat="1" x14ac:dyDescent="0.25">
      <c r="A23" s="214" t="s">
        <v>1415</v>
      </c>
      <c r="B23" s="64">
        <v>8.25</v>
      </c>
      <c r="C23" s="64">
        <v>3.29</v>
      </c>
      <c r="D23" s="64">
        <v>12.11</v>
      </c>
      <c r="E23" s="64">
        <v>4.09</v>
      </c>
      <c r="F23" s="64">
        <v>9.31</v>
      </c>
      <c r="G23" s="64">
        <v>52.79</v>
      </c>
      <c r="H23" s="64">
        <v>35.96</v>
      </c>
      <c r="I23" s="64">
        <v>1.81</v>
      </c>
      <c r="J23" s="64">
        <v>0.69</v>
      </c>
      <c r="K23" s="64">
        <v>19.61</v>
      </c>
      <c r="L23" s="64">
        <v>27.53</v>
      </c>
      <c r="M23" s="64">
        <v>67.12</v>
      </c>
      <c r="N23" s="64">
        <v>17</v>
      </c>
      <c r="O23" s="64">
        <v>0</v>
      </c>
      <c r="P23" s="64">
        <v>0.24</v>
      </c>
      <c r="Q23" s="64">
        <v>9.3699999999999992</v>
      </c>
      <c r="R23" s="198"/>
      <c r="S23" s="198"/>
      <c r="T23" s="198"/>
      <c r="U23" s="198"/>
    </row>
    <row r="24" spans="1:21" s="12" customFormat="1" x14ac:dyDescent="0.25">
      <c r="A24" s="214" t="s">
        <v>1416</v>
      </c>
      <c r="B24" s="64">
        <v>8.25</v>
      </c>
      <c r="C24" s="64">
        <v>3.2</v>
      </c>
      <c r="D24" s="64">
        <v>12.06</v>
      </c>
      <c r="E24" s="64">
        <v>3.88</v>
      </c>
      <c r="F24" s="64">
        <v>9.0299999999999994</v>
      </c>
      <c r="G24" s="64">
        <v>52.79</v>
      </c>
      <c r="H24" s="64">
        <v>35.96</v>
      </c>
      <c r="I24" s="64">
        <v>1.7</v>
      </c>
      <c r="J24" s="64">
        <v>0.56999999999999995</v>
      </c>
      <c r="K24" s="64">
        <v>24</v>
      </c>
      <c r="L24" s="64">
        <v>27.47</v>
      </c>
      <c r="M24" s="64">
        <v>68.099999999999994</v>
      </c>
      <c r="N24" s="64">
        <v>17</v>
      </c>
      <c r="O24" s="64">
        <v>0</v>
      </c>
      <c r="P24" s="64">
        <v>0.24</v>
      </c>
      <c r="Q24" s="64">
        <v>9.3699999999999992</v>
      </c>
      <c r="R24" s="198"/>
      <c r="S24" s="198"/>
      <c r="T24" s="198"/>
      <c r="U24" s="198"/>
    </row>
    <row r="25" spans="1:21" s="12" customFormat="1" x14ac:dyDescent="0.25">
      <c r="A25" s="214" t="s">
        <v>1417</v>
      </c>
      <c r="B25" s="64">
        <v>8.4600000000000009</v>
      </c>
      <c r="C25" s="64">
        <v>3.87</v>
      </c>
      <c r="D25" s="64">
        <v>12.58</v>
      </c>
      <c r="E25" s="64">
        <v>4.3499999999999996</v>
      </c>
      <c r="F25" s="64">
        <v>8.43</v>
      </c>
      <c r="G25" s="64">
        <v>52.79</v>
      </c>
      <c r="H25" s="64">
        <v>35.96</v>
      </c>
      <c r="I25" s="64">
        <v>1.63</v>
      </c>
      <c r="J25" s="64">
        <v>0.65</v>
      </c>
      <c r="K25" s="64">
        <v>10.65</v>
      </c>
      <c r="L25" s="64">
        <v>27.38</v>
      </c>
      <c r="M25" s="64">
        <v>69.099999999999994</v>
      </c>
      <c r="N25" s="64">
        <v>17.100000000000001</v>
      </c>
      <c r="O25" s="64">
        <v>0</v>
      </c>
      <c r="P25" s="64">
        <v>0.23</v>
      </c>
      <c r="Q25" s="64">
        <v>9.36</v>
      </c>
      <c r="R25" s="198"/>
      <c r="S25" s="198"/>
      <c r="T25" s="198"/>
      <c r="U25" s="198"/>
    </row>
    <row r="26" spans="1:21" s="12" customFormat="1" x14ac:dyDescent="0.25">
      <c r="A26" s="214" t="s">
        <v>1418</v>
      </c>
      <c r="B26" s="64">
        <v>8.26</v>
      </c>
      <c r="C26" s="64">
        <v>3.31</v>
      </c>
      <c r="D26" s="64">
        <v>12.13</v>
      </c>
      <c r="E26" s="64">
        <v>4.38</v>
      </c>
      <c r="F26" s="64">
        <v>7.71</v>
      </c>
      <c r="G26" s="64">
        <v>56.56</v>
      </c>
      <c r="H26" s="64">
        <v>29.38</v>
      </c>
      <c r="I26" s="64">
        <v>1.57</v>
      </c>
      <c r="J26" s="64">
        <v>0.6</v>
      </c>
      <c r="K26" s="64">
        <v>7.86</v>
      </c>
      <c r="L26" s="64">
        <v>27.37</v>
      </c>
      <c r="M26" s="64">
        <v>69.62</v>
      </c>
      <c r="N26" s="64">
        <v>17</v>
      </c>
      <c r="O26" s="64">
        <v>0</v>
      </c>
      <c r="P26" s="64">
        <v>0.23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4" t="s">
        <v>1419</v>
      </c>
      <c r="B27" s="64">
        <v>8.18</v>
      </c>
      <c r="C27" s="64">
        <v>3.16</v>
      </c>
      <c r="D27" s="64">
        <v>11.98</v>
      </c>
      <c r="E27" s="64">
        <v>4.5599999999999996</v>
      </c>
      <c r="F27" s="64">
        <v>6.47</v>
      </c>
      <c r="G27" s="64">
        <v>60.17</v>
      </c>
      <c r="H27" s="64">
        <v>23.37</v>
      </c>
      <c r="I27" s="64">
        <v>1.53</v>
      </c>
      <c r="J27" s="64">
        <v>0.54</v>
      </c>
      <c r="K27" s="64">
        <v>12.28</v>
      </c>
      <c r="L27" s="64">
        <v>27.31</v>
      </c>
      <c r="M27" s="64">
        <v>70.55</v>
      </c>
      <c r="N27" s="64">
        <v>17</v>
      </c>
      <c r="O27" s="64">
        <v>0</v>
      </c>
      <c r="P27" s="64">
        <v>0.24</v>
      </c>
      <c r="Q27" s="64">
        <v>9.43</v>
      </c>
      <c r="R27" s="198"/>
      <c r="S27" s="198"/>
      <c r="T27" s="198"/>
      <c r="U27" s="198"/>
    </row>
    <row r="28" spans="1:21" s="12" customFormat="1" x14ac:dyDescent="0.25">
      <c r="A28" s="214" t="s">
        <v>1420</v>
      </c>
      <c r="B28" s="64">
        <v>8.16</v>
      </c>
      <c r="C28" s="64">
        <v>3.12</v>
      </c>
      <c r="D28" s="64">
        <v>11.94</v>
      </c>
      <c r="E28" s="64">
        <v>4.6900000000000004</v>
      </c>
      <c r="F28" s="64">
        <v>6.21</v>
      </c>
      <c r="G28" s="64">
        <v>60.17</v>
      </c>
      <c r="H28" s="64">
        <v>23.37</v>
      </c>
      <c r="I28" s="64">
        <v>1.54</v>
      </c>
      <c r="J28" s="64">
        <v>0.59</v>
      </c>
      <c r="K28" s="64">
        <v>21.06</v>
      </c>
      <c r="L28" s="64">
        <v>27.26</v>
      </c>
      <c r="M28" s="64">
        <v>71.19</v>
      </c>
      <c r="N28" s="64">
        <v>17</v>
      </c>
      <c r="O28" s="64">
        <v>0</v>
      </c>
      <c r="P28" s="64">
        <v>0.25</v>
      </c>
      <c r="Q28" s="64">
        <v>9.42</v>
      </c>
      <c r="R28" s="198"/>
      <c r="S28" s="198"/>
      <c r="T28" s="198"/>
      <c r="U28" s="198"/>
    </row>
    <row r="29" spans="1:21" s="12" customFormat="1" x14ac:dyDescent="0.25">
      <c r="A29" s="214" t="s">
        <v>1421</v>
      </c>
      <c r="B29" s="64">
        <v>8.16</v>
      </c>
      <c r="C29" s="64">
        <v>3.15</v>
      </c>
      <c r="D29" s="64">
        <v>11.96</v>
      </c>
      <c r="E29" s="64">
        <v>4.38</v>
      </c>
      <c r="F29" s="64">
        <v>5.03</v>
      </c>
      <c r="G29" s="64">
        <v>60.17</v>
      </c>
      <c r="H29" s="64">
        <v>23.37</v>
      </c>
      <c r="I29" s="64">
        <v>1.57</v>
      </c>
      <c r="J29" s="64">
        <v>0.56999999999999995</v>
      </c>
      <c r="K29" s="64">
        <v>9.84</v>
      </c>
      <c r="L29" s="64">
        <v>27.14</v>
      </c>
      <c r="M29" s="64">
        <v>71.930000000000007</v>
      </c>
      <c r="N29" s="64">
        <v>17.5</v>
      </c>
      <c r="O29" s="64">
        <v>0</v>
      </c>
      <c r="P29" s="64">
        <v>0.25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4" t="s">
        <v>1422</v>
      </c>
      <c r="B30" s="64">
        <v>8.19</v>
      </c>
      <c r="C30" s="64">
        <v>3.24</v>
      </c>
      <c r="D30" s="64">
        <v>12.04</v>
      </c>
      <c r="E30" s="64">
        <v>4.49</v>
      </c>
      <c r="F30" s="64">
        <v>5.21</v>
      </c>
      <c r="G30" s="64">
        <v>55.6</v>
      </c>
      <c r="H30" s="64">
        <v>24.31</v>
      </c>
      <c r="I30" s="64">
        <v>1.58</v>
      </c>
      <c r="J30" s="64">
        <v>0.65</v>
      </c>
      <c r="K30" s="64">
        <v>17.23</v>
      </c>
      <c r="L30" s="64">
        <v>27.09</v>
      </c>
      <c r="M30" s="64">
        <v>72.44</v>
      </c>
      <c r="N30" s="64">
        <v>19.8</v>
      </c>
      <c r="O30" s="64">
        <v>0</v>
      </c>
      <c r="P30" s="64">
        <v>0.25</v>
      </c>
      <c r="Q30" s="64">
        <v>9.41</v>
      </c>
      <c r="R30" s="198"/>
      <c r="S30" s="198"/>
      <c r="T30" s="198"/>
      <c r="U30" s="198"/>
    </row>
    <row r="31" spans="1:21" s="12" customFormat="1" x14ac:dyDescent="0.25">
      <c r="A31" s="214" t="s">
        <v>1423</v>
      </c>
      <c r="B31" s="64">
        <v>8.42</v>
      </c>
      <c r="C31" s="64">
        <v>4.0599999999999996</v>
      </c>
      <c r="D31" s="64">
        <v>12.64</v>
      </c>
      <c r="E31" s="64">
        <v>4.55</v>
      </c>
      <c r="F31" s="64">
        <v>5.48</v>
      </c>
      <c r="G31" s="64">
        <v>51.22</v>
      </c>
      <c r="H31" s="64">
        <v>25.21</v>
      </c>
      <c r="I31" s="64">
        <v>1.55</v>
      </c>
      <c r="J31" s="64">
        <v>0.56000000000000005</v>
      </c>
      <c r="K31" s="64">
        <v>18.22</v>
      </c>
      <c r="L31" s="64">
        <v>27.17</v>
      </c>
      <c r="M31" s="64">
        <v>72.42</v>
      </c>
      <c r="N31" s="64">
        <v>24.9</v>
      </c>
      <c r="O31" s="64">
        <v>0</v>
      </c>
      <c r="P31" s="64">
        <v>0.25</v>
      </c>
      <c r="Q31" s="64">
        <v>9.41</v>
      </c>
      <c r="R31" s="198"/>
      <c r="S31" s="198"/>
      <c r="T31" s="198"/>
      <c r="U31" s="198"/>
    </row>
    <row r="32" spans="1:21" s="12" customFormat="1" x14ac:dyDescent="0.25">
      <c r="A32" s="214" t="s">
        <v>1424</v>
      </c>
      <c r="B32" s="64">
        <v>8.3000000000000007</v>
      </c>
      <c r="C32" s="64">
        <v>3.72</v>
      </c>
      <c r="D32" s="64">
        <v>12.38</v>
      </c>
      <c r="E32" s="64">
        <v>4.34</v>
      </c>
      <c r="F32" s="64">
        <v>4.6500000000000004</v>
      </c>
      <c r="G32" s="64">
        <v>51.22</v>
      </c>
      <c r="H32" s="64">
        <v>25.21</v>
      </c>
      <c r="I32" s="64">
        <v>1.55</v>
      </c>
      <c r="J32" s="64">
        <v>0.47</v>
      </c>
      <c r="K32" s="64">
        <v>20.14</v>
      </c>
      <c r="L32" s="64">
        <v>27.16</v>
      </c>
      <c r="M32" s="64">
        <v>72.64</v>
      </c>
      <c r="N32" s="64">
        <v>33</v>
      </c>
      <c r="O32" s="64">
        <v>0</v>
      </c>
      <c r="P32" s="64">
        <v>0.26</v>
      </c>
      <c r="Q32" s="64">
        <v>9.4</v>
      </c>
      <c r="R32" s="198"/>
      <c r="S32" s="198"/>
      <c r="T32" s="198"/>
      <c r="U32" s="198"/>
    </row>
    <row r="33" spans="1:21" s="12" customFormat="1" x14ac:dyDescent="0.25">
      <c r="A33" s="214" t="s">
        <v>1425</v>
      </c>
      <c r="B33" s="64">
        <v>8.16</v>
      </c>
      <c r="C33" s="64">
        <v>3.21</v>
      </c>
      <c r="D33" s="64">
        <v>11.99</v>
      </c>
      <c r="E33" s="64">
        <v>4.13</v>
      </c>
      <c r="F33" s="64">
        <v>4.8</v>
      </c>
      <c r="G33" s="64">
        <v>51.22</v>
      </c>
      <c r="H33" s="64">
        <v>25.21</v>
      </c>
      <c r="I33" s="64">
        <v>1.61</v>
      </c>
      <c r="J33" s="64">
        <v>0.56999999999999995</v>
      </c>
      <c r="K33" s="64">
        <v>22.65</v>
      </c>
      <c r="L33" s="64">
        <v>27.19</v>
      </c>
      <c r="M33" s="64">
        <v>72.97</v>
      </c>
      <c r="N33" s="64">
        <v>47.4</v>
      </c>
      <c r="O33" s="64">
        <v>0</v>
      </c>
      <c r="P33" s="64">
        <v>0.26</v>
      </c>
      <c r="Q33" s="64">
        <v>9.3699999999999992</v>
      </c>
      <c r="R33" s="198"/>
      <c r="S33" s="198"/>
      <c r="T33" s="198"/>
      <c r="U33" s="198"/>
    </row>
    <row r="34" spans="1:21" s="12" customFormat="1" x14ac:dyDescent="0.25">
      <c r="A34" s="214" t="s">
        <v>1426</v>
      </c>
      <c r="B34" s="64">
        <v>8.14</v>
      </c>
      <c r="C34" s="64">
        <v>3.1</v>
      </c>
      <c r="D34" s="64">
        <v>11.93</v>
      </c>
      <c r="E34" s="64">
        <v>4.25</v>
      </c>
      <c r="F34" s="64">
        <v>5.0999999999999996</v>
      </c>
      <c r="G34" s="64">
        <v>53.22</v>
      </c>
      <c r="H34" s="64">
        <v>27.03</v>
      </c>
      <c r="I34" s="64">
        <v>1.63</v>
      </c>
      <c r="J34" s="64">
        <v>0.51</v>
      </c>
      <c r="K34" s="64">
        <v>12.86</v>
      </c>
      <c r="L34" s="64">
        <v>27.4</v>
      </c>
      <c r="M34" s="64">
        <v>72.48</v>
      </c>
      <c r="N34" s="64">
        <v>71.099999999999994</v>
      </c>
      <c r="O34" s="64">
        <v>0</v>
      </c>
      <c r="P34" s="64">
        <v>0.27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14" t="s">
        <v>1427</v>
      </c>
      <c r="B35" s="64">
        <v>8.15</v>
      </c>
      <c r="C35" s="64">
        <v>3.07</v>
      </c>
      <c r="D35" s="64">
        <v>11.91</v>
      </c>
      <c r="E35" s="64">
        <v>4.3099999999999996</v>
      </c>
      <c r="F35" s="64">
        <v>4.51</v>
      </c>
      <c r="G35" s="64">
        <v>55.12</v>
      </c>
      <c r="H35" s="64">
        <v>28.77</v>
      </c>
      <c r="I35" s="64">
        <v>1.66</v>
      </c>
      <c r="J35" s="64">
        <v>0.5</v>
      </c>
      <c r="K35" s="64">
        <v>17.100000000000001</v>
      </c>
      <c r="L35" s="64">
        <v>27.58</v>
      </c>
      <c r="M35" s="64">
        <v>71.790000000000006</v>
      </c>
      <c r="N35" s="64">
        <v>102.9</v>
      </c>
      <c r="O35" s="64">
        <v>0</v>
      </c>
      <c r="P35" s="64">
        <v>0.26</v>
      </c>
      <c r="Q35" s="64">
        <v>9.3800000000000008</v>
      </c>
      <c r="R35" s="198"/>
      <c r="S35" s="198"/>
      <c r="T35" s="198"/>
      <c r="U35" s="198"/>
    </row>
    <row r="36" spans="1:21" s="12" customFormat="1" x14ac:dyDescent="0.25">
      <c r="A36" s="214" t="s">
        <v>1428</v>
      </c>
      <c r="B36" s="64">
        <v>8.15</v>
      </c>
      <c r="C36" s="64">
        <v>3.1</v>
      </c>
      <c r="D36" s="64">
        <v>11.93</v>
      </c>
      <c r="E36" s="64">
        <v>4.45</v>
      </c>
      <c r="F36" s="64">
        <v>4.93</v>
      </c>
      <c r="G36" s="64">
        <v>55.12</v>
      </c>
      <c r="H36" s="64">
        <v>28.77</v>
      </c>
      <c r="I36" s="64">
        <v>1.71</v>
      </c>
      <c r="J36" s="64">
        <v>0.52</v>
      </c>
      <c r="K36" s="64">
        <v>12.87</v>
      </c>
      <c r="L36" s="64">
        <v>28</v>
      </c>
      <c r="M36" s="64">
        <v>70.430000000000007</v>
      </c>
      <c r="N36" s="64">
        <v>158.5</v>
      </c>
      <c r="O36" s="64">
        <v>0</v>
      </c>
      <c r="P36" s="64">
        <v>0.28000000000000003</v>
      </c>
      <c r="Q36" s="64">
        <v>9.36</v>
      </c>
      <c r="R36" s="198"/>
      <c r="S36" s="198"/>
      <c r="T36" s="198"/>
      <c r="U36" s="198"/>
    </row>
    <row r="37" spans="1:21" s="12" customFormat="1" x14ac:dyDescent="0.25">
      <c r="A37" s="214" t="s">
        <v>1429</v>
      </c>
      <c r="B37" s="64">
        <v>8.19</v>
      </c>
      <c r="C37" s="64">
        <v>3.15</v>
      </c>
      <c r="D37" s="64">
        <v>11.98</v>
      </c>
      <c r="E37" s="64">
        <v>4.47</v>
      </c>
      <c r="F37" s="64">
        <v>3.75</v>
      </c>
      <c r="G37" s="64">
        <v>55.12</v>
      </c>
      <c r="H37" s="64">
        <v>28.77</v>
      </c>
      <c r="I37" s="64">
        <v>1.75</v>
      </c>
      <c r="J37" s="64">
        <v>0.49</v>
      </c>
      <c r="K37" s="64">
        <v>3.69</v>
      </c>
      <c r="L37" s="64">
        <v>28.23</v>
      </c>
      <c r="M37" s="64">
        <v>69.66</v>
      </c>
      <c r="N37" s="64">
        <v>158.4</v>
      </c>
      <c r="O37" s="64">
        <v>0</v>
      </c>
      <c r="P37" s="64">
        <v>0.34</v>
      </c>
      <c r="Q37" s="64">
        <v>9.3800000000000008</v>
      </c>
      <c r="R37" s="198"/>
      <c r="S37" s="198"/>
      <c r="T37" s="198"/>
      <c r="U37" s="198"/>
    </row>
    <row r="38" spans="1:21" s="12" customFormat="1" x14ac:dyDescent="0.25">
      <c r="A38" s="214" t="s">
        <v>1430</v>
      </c>
      <c r="B38" s="64">
        <v>8.19</v>
      </c>
      <c r="C38" s="64">
        <v>3.15</v>
      </c>
      <c r="D38" s="64">
        <v>11.98</v>
      </c>
      <c r="E38" s="64">
        <v>4.47</v>
      </c>
      <c r="F38" s="64">
        <v>3.75</v>
      </c>
      <c r="G38" s="64">
        <v>55.12</v>
      </c>
      <c r="H38" s="64">
        <v>28.77</v>
      </c>
      <c r="I38" s="64">
        <v>1.75</v>
      </c>
      <c r="J38" s="64">
        <v>0.49</v>
      </c>
      <c r="K38" s="64">
        <v>3.69</v>
      </c>
      <c r="L38" s="64">
        <v>28.23</v>
      </c>
      <c r="M38" s="64">
        <v>69.66</v>
      </c>
      <c r="N38" s="64">
        <v>158.4</v>
      </c>
      <c r="O38" s="64">
        <v>0</v>
      </c>
      <c r="P38" s="64">
        <v>0.34</v>
      </c>
      <c r="Q38" s="64">
        <v>9.3800000000000008</v>
      </c>
      <c r="R38" s="198"/>
      <c r="S38" s="198"/>
      <c r="T38" s="198"/>
      <c r="U38" s="198"/>
    </row>
    <row r="39" spans="1:21" s="12" customFormat="1" x14ac:dyDescent="0.25">
      <c r="A39" s="214" t="s">
        <v>1431</v>
      </c>
      <c r="B39" s="64">
        <v>8.3000000000000007</v>
      </c>
      <c r="C39" s="64">
        <v>3.5</v>
      </c>
      <c r="D39" s="64">
        <v>12.26</v>
      </c>
      <c r="E39" s="64">
        <v>4.03</v>
      </c>
      <c r="F39" s="64">
        <v>4.3099999999999996</v>
      </c>
      <c r="G39" s="64">
        <v>58.81</v>
      </c>
      <c r="H39" s="64">
        <v>27.78</v>
      </c>
      <c r="I39" s="64">
        <v>1.86</v>
      </c>
      <c r="J39" s="64">
        <v>0.64</v>
      </c>
      <c r="K39" s="64">
        <v>5.58</v>
      </c>
      <c r="L39" s="64">
        <v>28.64</v>
      </c>
      <c r="M39" s="64">
        <v>68.319999999999993</v>
      </c>
      <c r="N39" s="64">
        <v>168</v>
      </c>
      <c r="O39" s="64">
        <v>0</v>
      </c>
      <c r="P39" s="64">
        <v>0.4</v>
      </c>
      <c r="Q39" s="64">
        <v>9.35</v>
      </c>
      <c r="R39" s="198"/>
      <c r="S39" s="198"/>
      <c r="T39" s="198"/>
      <c r="U39" s="198"/>
    </row>
    <row r="40" spans="1:21" s="12" customFormat="1" x14ac:dyDescent="0.25">
      <c r="A40" s="214" t="s">
        <v>1432</v>
      </c>
      <c r="B40" s="64">
        <v>8.2100000000000009</v>
      </c>
      <c r="C40" s="64">
        <v>3.24</v>
      </c>
      <c r="D40" s="64">
        <v>12.05</v>
      </c>
      <c r="E40" s="64">
        <v>4.3600000000000003</v>
      </c>
      <c r="F40" s="64">
        <v>4.32</v>
      </c>
      <c r="G40" s="64">
        <v>59.79</v>
      </c>
      <c r="H40" s="64">
        <v>27.51</v>
      </c>
      <c r="I40" s="64">
        <v>2.12</v>
      </c>
      <c r="J40" s="64">
        <v>0.56000000000000005</v>
      </c>
      <c r="K40" s="64">
        <v>338.86</v>
      </c>
      <c r="L40" s="64">
        <v>29.39</v>
      </c>
      <c r="M40" s="64">
        <v>66.069999999999993</v>
      </c>
      <c r="N40" s="64">
        <v>184.8</v>
      </c>
      <c r="O40" s="64">
        <v>0</v>
      </c>
      <c r="P40" s="64">
        <v>0.46</v>
      </c>
      <c r="Q40" s="64">
        <v>9.3699999999999992</v>
      </c>
      <c r="R40" s="198"/>
      <c r="S40" s="198"/>
      <c r="T40" s="198"/>
      <c r="U40" s="198"/>
    </row>
    <row r="41" spans="1:21" s="12" customFormat="1" x14ac:dyDescent="0.25">
      <c r="A41" s="214" t="s">
        <v>1433</v>
      </c>
      <c r="B41" s="64">
        <v>8.1999999999999993</v>
      </c>
      <c r="C41" s="64">
        <v>3.16</v>
      </c>
      <c r="D41" s="64">
        <v>12.01</v>
      </c>
      <c r="E41" s="64">
        <v>3.65</v>
      </c>
      <c r="F41" s="64">
        <v>4.33</v>
      </c>
      <c r="G41" s="64">
        <v>59.79</v>
      </c>
      <c r="H41" s="64">
        <v>27.51</v>
      </c>
      <c r="I41" s="64">
        <v>2.4900000000000002</v>
      </c>
      <c r="J41" s="64">
        <v>0.52</v>
      </c>
      <c r="K41" s="64">
        <v>352.17</v>
      </c>
      <c r="L41" s="64">
        <v>29.51</v>
      </c>
      <c r="M41" s="64">
        <v>65.09</v>
      </c>
      <c r="N41" s="64">
        <v>166.3</v>
      </c>
      <c r="O41" s="64">
        <v>0</v>
      </c>
      <c r="P41" s="64">
        <v>0.51</v>
      </c>
      <c r="Q41" s="64">
        <v>9.3699999999999992</v>
      </c>
      <c r="R41" s="198"/>
      <c r="S41" s="198"/>
      <c r="T41" s="198"/>
      <c r="U41" s="198"/>
    </row>
    <row r="42" spans="1:21" s="12" customFormat="1" x14ac:dyDescent="0.25">
      <c r="A42" s="214" t="s">
        <v>1434</v>
      </c>
      <c r="B42" s="64">
        <v>8.19</v>
      </c>
      <c r="C42" s="64">
        <v>3.16</v>
      </c>
      <c r="D42" s="64">
        <v>11.99</v>
      </c>
      <c r="E42" s="64">
        <v>4.0999999999999996</v>
      </c>
      <c r="F42" s="64">
        <v>4.1100000000000003</v>
      </c>
      <c r="G42" s="64">
        <v>68.23</v>
      </c>
      <c r="H42" s="64">
        <v>34.630000000000003</v>
      </c>
      <c r="I42" s="64">
        <v>2.97</v>
      </c>
      <c r="J42" s="64">
        <v>0.6</v>
      </c>
      <c r="K42" s="64">
        <v>340.5</v>
      </c>
      <c r="L42" s="64">
        <v>29.72</v>
      </c>
      <c r="M42" s="64">
        <v>64.92</v>
      </c>
      <c r="N42" s="64">
        <v>184</v>
      </c>
      <c r="O42" s="64">
        <v>0</v>
      </c>
      <c r="P42" s="64">
        <v>0.56000000000000005</v>
      </c>
      <c r="Q42" s="64">
        <v>9.42</v>
      </c>
      <c r="R42" s="198"/>
      <c r="S42" s="198"/>
      <c r="T42" s="198"/>
      <c r="U42" s="198"/>
    </row>
    <row r="43" spans="1:21" s="12" customFormat="1" x14ac:dyDescent="0.25">
      <c r="A43" s="214" t="s">
        <v>1435</v>
      </c>
      <c r="B43" s="64">
        <v>8.2200000000000006</v>
      </c>
      <c r="C43" s="64">
        <v>3.24</v>
      </c>
      <c r="D43" s="64">
        <v>12.06</v>
      </c>
      <c r="E43" s="64">
        <v>3.69</v>
      </c>
      <c r="F43" s="64">
        <v>4.3</v>
      </c>
      <c r="G43" s="64">
        <v>76.3</v>
      </c>
      <c r="H43" s="64">
        <v>41.44</v>
      </c>
      <c r="I43" s="64">
        <v>3.41</v>
      </c>
      <c r="J43" s="64">
        <v>0.54</v>
      </c>
      <c r="K43" s="64">
        <v>346.2</v>
      </c>
      <c r="L43" s="64">
        <v>30.23</v>
      </c>
      <c r="M43" s="64">
        <v>61.87</v>
      </c>
      <c r="N43" s="64">
        <v>251.3</v>
      </c>
      <c r="O43" s="64">
        <v>0</v>
      </c>
      <c r="P43" s="64">
        <v>0.6</v>
      </c>
      <c r="Q43" s="64">
        <v>9.42</v>
      </c>
      <c r="R43" s="198"/>
      <c r="S43" s="198"/>
      <c r="T43" s="198"/>
      <c r="U43" s="198"/>
    </row>
    <row r="44" spans="1:21" s="12" customFormat="1" x14ac:dyDescent="0.25">
      <c r="A44" s="214" t="s">
        <v>1436</v>
      </c>
      <c r="B44" s="64">
        <v>8.2100000000000009</v>
      </c>
      <c r="C44" s="64">
        <v>3.19</v>
      </c>
      <c r="D44" s="64">
        <v>12.02</v>
      </c>
      <c r="E44" s="64">
        <v>3.55</v>
      </c>
      <c r="F44" s="64">
        <v>4.49</v>
      </c>
      <c r="G44" s="64">
        <v>76.3</v>
      </c>
      <c r="H44" s="64">
        <v>41.44</v>
      </c>
      <c r="I44" s="64">
        <v>3.74</v>
      </c>
      <c r="J44" s="64">
        <v>0.48</v>
      </c>
      <c r="K44" s="64">
        <v>5.23</v>
      </c>
      <c r="L44" s="64">
        <v>30.45</v>
      </c>
      <c r="M44" s="64">
        <v>61.17</v>
      </c>
      <c r="N44" s="64">
        <v>347.7</v>
      </c>
      <c r="O44" s="64">
        <v>0</v>
      </c>
      <c r="P44" s="64">
        <v>0.66</v>
      </c>
      <c r="Q44" s="64">
        <v>9.4</v>
      </c>
      <c r="R44" s="198"/>
      <c r="S44" s="198"/>
      <c r="T44" s="198"/>
      <c r="U44" s="198"/>
    </row>
    <row r="45" spans="1:21" s="12" customFormat="1" x14ac:dyDescent="0.25">
      <c r="A45" s="214" t="s">
        <v>1437</v>
      </c>
      <c r="B45" s="64">
        <v>8.18</v>
      </c>
      <c r="C45" s="64">
        <v>3.21</v>
      </c>
      <c r="D45" s="64">
        <v>12.01</v>
      </c>
      <c r="E45" s="64">
        <v>4.01</v>
      </c>
      <c r="F45" s="64">
        <v>4.91</v>
      </c>
      <c r="G45" s="64">
        <v>76.3</v>
      </c>
      <c r="H45" s="64">
        <v>41.44</v>
      </c>
      <c r="I45" s="64">
        <v>4.03</v>
      </c>
      <c r="J45" s="64">
        <v>0.63</v>
      </c>
      <c r="K45" s="64">
        <v>21.5</v>
      </c>
      <c r="L45" s="64">
        <v>31.16</v>
      </c>
      <c r="M45" s="64">
        <v>57.98</v>
      </c>
      <c r="N45" s="64">
        <v>434.2</v>
      </c>
      <c r="O45" s="64">
        <v>0</v>
      </c>
      <c r="P45" s="64">
        <v>0.72</v>
      </c>
      <c r="Q45" s="64">
        <v>9.5</v>
      </c>
      <c r="R45" s="198"/>
      <c r="S45" s="198"/>
      <c r="T45" s="198"/>
      <c r="U45" s="198"/>
    </row>
    <row r="46" spans="1:21" s="12" customFormat="1" x14ac:dyDescent="0.25">
      <c r="A46" s="214" t="s">
        <v>1438</v>
      </c>
      <c r="B46" s="64">
        <v>8.23</v>
      </c>
      <c r="C46" s="64">
        <v>3.45</v>
      </c>
      <c r="D46" s="64">
        <v>12.18</v>
      </c>
      <c r="E46" s="64">
        <v>4.0599999999999996</v>
      </c>
      <c r="F46" s="64">
        <v>5.42</v>
      </c>
      <c r="G46" s="64">
        <v>81.069999999999993</v>
      </c>
      <c r="H46" s="64">
        <v>41.66</v>
      </c>
      <c r="I46" s="64">
        <v>4.32</v>
      </c>
      <c r="J46" s="64">
        <v>0.59</v>
      </c>
      <c r="K46" s="64">
        <v>346.56</v>
      </c>
      <c r="L46" s="64">
        <v>32.299999999999997</v>
      </c>
      <c r="M46" s="64">
        <v>53.63</v>
      </c>
      <c r="N46" s="64">
        <v>526.20000000000005</v>
      </c>
      <c r="O46" s="64">
        <v>0</v>
      </c>
      <c r="P46" s="64">
        <v>0.73</v>
      </c>
      <c r="Q46" s="64">
        <v>9.48</v>
      </c>
      <c r="R46" s="198"/>
      <c r="S46" s="198"/>
      <c r="T46" s="198"/>
      <c r="U46" s="198"/>
    </row>
    <row r="47" spans="1:21" s="12" customFormat="1" x14ac:dyDescent="0.25">
      <c r="A47" s="214" t="s">
        <v>1439</v>
      </c>
      <c r="B47" s="64">
        <v>8.4700000000000006</v>
      </c>
      <c r="C47" s="64">
        <v>4.4000000000000004</v>
      </c>
      <c r="D47" s="64">
        <v>12.86</v>
      </c>
      <c r="E47" s="64">
        <v>3.95</v>
      </c>
      <c r="F47" s="64">
        <v>5.98</v>
      </c>
      <c r="G47" s="64">
        <v>85.63</v>
      </c>
      <c r="H47" s="64">
        <v>41.87</v>
      </c>
      <c r="I47" s="64">
        <v>4.53</v>
      </c>
      <c r="J47" s="64">
        <v>0.79</v>
      </c>
      <c r="K47" s="64">
        <v>336.33</v>
      </c>
      <c r="L47" s="64">
        <v>34.130000000000003</v>
      </c>
      <c r="M47" s="64">
        <v>47.54</v>
      </c>
      <c r="N47" s="64">
        <v>747.2</v>
      </c>
      <c r="O47" s="64">
        <v>0</v>
      </c>
      <c r="P47" s="64">
        <v>0.72</v>
      </c>
      <c r="Q47" s="64">
        <v>9.4700000000000006</v>
      </c>
      <c r="R47" s="198"/>
      <c r="S47" s="198"/>
      <c r="T47" s="198"/>
      <c r="U47" s="198"/>
    </row>
    <row r="48" spans="1:21" s="12" customFormat="1" x14ac:dyDescent="0.25">
      <c r="A48" s="214" t="s">
        <v>1440</v>
      </c>
      <c r="B48" s="64">
        <v>8.23</v>
      </c>
      <c r="C48" s="64">
        <v>3.37</v>
      </c>
      <c r="D48" s="64">
        <v>12.13</v>
      </c>
      <c r="E48" s="64">
        <v>4.09</v>
      </c>
      <c r="F48" s="64">
        <v>6.46</v>
      </c>
      <c r="G48" s="64">
        <v>85.63</v>
      </c>
      <c r="H48" s="64">
        <v>41.87</v>
      </c>
      <c r="I48" s="64">
        <v>4.5999999999999996</v>
      </c>
      <c r="J48" s="64">
        <v>0.4</v>
      </c>
      <c r="K48" s="64">
        <v>10.76</v>
      </c>
      <c r="L48" s="64">
        <v>33.72</v>
      </c>
      <c r="M48" s="64">
        <v>46.82</v>
      </c>
      <c r="N48" s="64">
        <v>588.20000000000005</v>
      </c>
      <c r="O48" s="64">
        <v>0</v>
      </c>
      <c r="P48" s="64">
        <v>0.7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14" t="s">
        <v>1441</v>
      </c>
      <c r="B49" s="64">
        <v>8.17</v>
      </c>
      <c r="C49" s="64">
        <v>3.13</v>
      </c>
      <c r="D49" s="64">
        <v>11.97</v>
      </c>
      <c r="E49" s="64">
        <v>4.18</v>
      </c>
      <c r="F49" s="64">
        <v>7.04</v>
      </c>
      <c r="G49" s="64">
        <v>85.63</v>
      </c>
      <c r="H49" s="64">
        <v>41.87</v>
      </c>
      <c r="I49" s="64">
        <v>4.5199999999999996</v>
      </c>
      <c r="J49" s="64">
        <v>0.59</v>
      </c>
      <c r="K49" s="64">
        <v>22.28</v>
      </c>
      <c r="L49" s="64">
        <v>33.68</v>
      </c>
      <c r="M49" s="64">
        <v>46.07</v>
      </c>
      <c r="N49" s="64">
        <v>792.8</v>
      </c>
      <c r="O49" s="64">
        <v>0</v>
      </c>
      <c r="P49" s="64">
        <v>0.68</v>
      </c>
      <c r="Q49" s="64">
        <v>9.4499999999999993</v>
      </c>
      <c r="R49" s="198"/>
      <c r="S49" s="198"/>
      <c r="T49" s="198"/>
      <c r="U49" s="198"/>
    </row>
    <row r="50" spans="1:21" s="12" customFormat="1" x14ac:dyDescent="0.25">
      <c r="A50" s="214" t="s">
        <v>1442</v>
      </c>
      <c r="B50" s="64">
        <v>8.18</v>
      </c>
      <c r="C50" s="64">
        <v>3.24</v>
      </c>
      <c r="D50" s="64">
        <v>12.03</v>
      </c>
      <c r="E50" s="64">
        <v>3.71</v>
      </c>
      <c r="F50" s="64">
        <v>8.1999999999999993</v>
      </c>
      <c r="G50" s="64">
        <v>81.27</v>
      </c>
      <c r="H50" s="64">
        <v>39.450000000000003</v>
      </c>
      <c r="I50" s="64">
        <v>4.3499999999999996</v>
      </c>
      <c r="J50" s="64">
        <v>0.43</v>
      </c>
      <c r="K50" s="64">
        <v>17.88</v>
      </c>
      <c r="L50" s="64">
        <v>33.44</v>
      </c>
      <c r="M50" s="64">
        <v>46.56</v>
      </c>
      <c r="N50" s="64">
        <v>833.4</v>
      </c>
      <c r="O50" s="64">
        <v>0</v>
      </c>
      <c r="P50" s="64">
        <v>0.65</v>
      </c>
      <c r="Q50" s="64">
        <v>9.4600000000000009</v>
      </c>
      <c r="R50" s="198"/>
      <c r="S50" s="198"/>
      <c r="T50" s="198"/>
      <c r="U50" s="198"/>
    </row>
    <row r="51" spans="1:21" s="12" customFormat="1" x14ac:dyDescent="0.25">
      <c r="A51" s="214" t="s">
        <v>1443</v>
      </c>
      <c r="B51" s="64">
        <v>8.2100000000000009</v>
      </c>
      <c r="C51" s="64">
        <v>3.4</v>
      </c>
      <c r="D51" s="64">
        <v>12.14</v>
      </c>
      <c r="E51" s="64">
        <v>4.01</v>
      </c>
      <c r="F51" s="64">
        <v>8.7100000000000009</v>
      </c>
      <c r="G51" s="64">
        <v>77.099999999999994</v>
      </c>
      <c r="H51" s="64">
        <v>37.130000000000003</v>
      </c>
      <c r="I51" s="64">
        <v>4.1500000000000004</v>
      </c>
      <c r="J51" s="64">
        <v>0.61</v>
      </c>
      <c r="K51" s="64">
        <v>5.27</v>
      </c>
      <c r="L51" s="64">
        <v>34.33</v>
      </c>
      <c r="M51" s="64">
        <v>44.08</v>
      </c>
      <c r="N51" s="64">
        <v>772.4</v>
      </c>
      <c r="O51" s="64">
        <v>0</v>
      </c>
      <c r="P51" s="64">
        <v>0.63</v>
      </c>
      <c r="Q51" s="64">
        <v>9.43</v>
      </c>
      <c r="R51" s="198"/>
      <c r="S51" s="198"/>
      <c r="T51" s="198"/>
      <c r="U51" s="198"/>
    </row>
    <row r="52" spans="1:21" s="12" customFormat="1" x14ac:dyDescent="0.25">
      <c r="A52" s="214" t="s">
        <v>1444</v>
      </c>
      <c r="B52" s="64">
        <v>8.24</v>
      </c>
      <c r="C52" s="64">
        <v>3.45</v>
      </c>
      <c r="D52" s="64">
        <v>12.18</v>
      </c>
      <c r="E52" s="64">
        <v>3.93</v>
      </c>
      <c r="F52" s="64">
        <v>8.92</v>
      </c>
      <c r="G52" s="64">
        <v>77.099999999999994</v>
      </c>
      <c r="H52" s="64">
        <v>37.130000000000003</v>
      </c>
      <c r="I52" s="64">
        <v>3.95</v>
      </c>
      <c r="J52" s="64">
        <v>0.54</v>
      </c>
      <c r="K52" s="64">
        <v>16.399999999999999</v>
      </c>
      <c r="L52" s="64">
        <v>34.24</v>
      </c>
      <c r="M52" s="64">
        <v>44.25</v>
      </c>
      <c r="N52" s="64">
        <v>536</v>
      </c>
      <c r="O52" s="64">
        <v>0</v>
      </c>
      <c r="P52" s="64">
        <v>0.61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4" t="s">
        <v>1445</v>
      </c>
      <c r="B53" s="64">
        <v>8.17</v>
      </c>
      <c r="C53" s="64">
        <v>3.2</v>
      </c>
      <c r="D53" s="64">
        <v>11.99</v>
      </c>
      <c r="E53" s="64">
        <v>3.74</v>
      </c>
      <c r="F53" s="64">
        <v>9.3800000000000008</v>
      </c>
      <c r="G53" s="64">
        <v>77.099999999999994</v>
      </c>
      <c r="H53" s="64">
        <v>37.130000000000003</v>
      </c>
      <c r="I53" s="64">
        <v>3.73</v>
      </c>
      <c r="J53" s="64">
        <v>0.55000000000000004</v>
      </c>
      <c r="K53" s="64">
        <v>353.52</v>
      </c>
      <c r="L53" s="64">
        <v>34.35</v>
      </c>
      <c r="M53" s="64">
        <v>42.87</v>
      </c>
      <c r="N53" s="64">
        <v>596.20000000000005</v>
      </c>
      <c r="O53" s="64">
        <v>0</v>
      </c>
      <c r="P53" s="64">
        <v>0.6</v>
      </c>
      <c r="Q53" s="64">
        <v>9.39</v>
      </c>
      <c r="R53" s="198"/>
      <c r="S53" s="198"/>
      <c r="T53" s="198"/>
      <c r="U53" s="198"/>
    </row>
    <row r="54" spans="1:21" s="12" customFormat="1" x14ac:dyDescent="0.25">
      <c r="A54" s="214" t="s">
        <v>1446</v>
      </c>
      <c r="B54" s="64">
        <v>8.39</v>
      </c>
      <c r="C54" s="64">
        <v>4.16</v>
      </c>
      <c r="D54" s="64">
        <v>12.68</v>
      </c>
      <c r="E54" s="64">
        <v>3.85</v>
      </c>
      <c r="F54" s="64">
        <v>9.77</v>
      </c>
      <c r="G54" s="64">
        <v>76.349999999999994</v>
      </c>
      <c r="H54" s="64">
        <v>37.11</v>
      </c>
      <c r="I54" s="64">
        <v>3.57</v>
      </c>
      <c r="J54" s="64">
        <v>0.64</v>
      </c>
      <c r="K54" s="64">
        <v>340.92</v>
      </c>
      <c r="L54" s="64">
        <v>34.840000000000003</v>
      </c>
      <c r="M54" s="64">
        <v>41.31</v>
      </c>
      <c r="N54" s="64">
        <v>637.6</v>
      </c>
      <c r="O54" s="64">
        <v>0</v>
      </c>
      <c r="P54" s="64">
        <v>0.59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14" t="s">
        <v>1447</v>
      </c>
      <c r="B55" s="64">
        <v>8.2100000000000009</v>
      </c>
      <c r="C55" s="64">
        <v>3.41</v>
      </c>
      <c r="D55" s="64">
        <v>12.13</v>
      </c>
      <c r="E55" s="64">
        <v>3.75</v>
      </c>
      <c r="F55" s="64">
        <v>9.48</v>
      </c>
      <c r="G55" s="64">
        <v>75.63</v>
      </c>
      <c r="H55" s="64">
        <v>37.1</v>
      </c>
      <c r="I55" s="64">
        <v>3.46</v>
      </c>
      <c r="J55" s="64">
        <v>0.72</v>
      </c>
      <c r="K55" s="64">
        <v>355.02</v>
      </c>
      <c r="L55" s="64">
        <v>35.24</v>
      </c>
      <c r="M55" s="64">
        <v>40.090000000000003</v>
      </c>
      <c r="N55" s="64">
        <v>581.1</v>
      </c>
      <c r="O55" s="64">
        <v>0</v>
      </c>
      <c r="P55" s="64">
        <v>0.59</v>
      </c>
      <c r="Q55" s="64">
        <v>9.3800000000000008</v>
      </c>
      <c r="R55" s="198"/>
      <c r="S55" s="198"/>
      <c r="T55" s="198"/>
      <c r="U55" s="198"/>
    </row>
    <row r="56" spans="1:21" s="12" customFormat="1" x14ac:dyDescent="0.25">
      <c r="A56" s="214" t="s">
        <v>1448</v>
      </c>
      <c r="B56" s="64">
        <v>8.15</v>
      </c>
      <c r="C56" s="64">
        <v>3.08</v>
      </c>
      <c r="D56" s="64">
        <v>11.92</v>
      </c>
      <c r="E56" s="64">
        <v>4.54</v>
      </c>
      <c r="F56" s="64">
        <v>9.11</v>
      </c>
      <c r="G56" s="64">
        <v>75.63</v>
      </c>
      <c r="H56" s="64">
        <v>37.1</v>
      </c>
      <c r="I56" s="64">
        <v>3.37</v>
      </c>
      <c r="J56" s="64">
        <v>0.59</v>
      </c>
      <c r="K56" s="64">
        <v>347.72</v>
      </c>
      <c r="L56" s="64">
        <v>35.86</v>
      </c>
      <c r="M56" s="64">
        <v>38</v>
      </c>
      <c r="N56" s="64">
        <v>379.3</v>
      </c>
      <c r="O56" s="64">
        <v>0</v>
      </c>
      <c r="P56" s="64">
        <v>0.57999999999999996</v>
      </c>
      <c r="Q56" s="64">
        <v>9.33</v>
      </c>
      <c r="R56" s="198"/>
      <c r="S56" s="198"/>
      <c r="T56" s="198"/>
      <c r="U56" s="198"/>
    </row>
    <row r="57" spans="1:21" s="12" customFormat="1" x14ac:dyDescent="0.25">
      <c r="A57" s="214" t="s">
        <v>1449</v>
      </c>
      <c r="B57" s="64">
        <v>8.19</v>
      </c>
      <c r="C57" s="64">
        <v>3.14</v>
      </c>
      <c r="D57" s="64">
        <v>11.98</v>
      </c>
      <c r="E57" s="64">
        <v>3.95</v>
      </c>
      <c r="F57" s="64">
        <v>8.4499999999999993</v>
      </c>
      <c r="G57" s="64">
        <v>75.63</v>
      </c>
      <c r="H57" s="64">
        <v>37.1</v>
      </c>
      <c r="I57" s="64">
        <v>3.3</v>
      </c>
      <c r="J57" s="64">
        <v>0.68</v>
      </c>
      <c r="K57" s="64">
        <v>335.96</v>
      </c>
      <c r="L57" s="64">
        <v>35.380000000000003</v>
      </c>
      <c r="M57" s="64">
        <v>38.64</v>
      </c>
      <c r="N57" s="64">
        <v>317.8</v>
      </c>
      <c r="O57" s="64">
        <v>0</v>
      </c>
      <c r="P57" s="64">
        <v>0.57999999999999996</v>
      </c>
      <c r="Q57" s="64">
        <v>9.31</v>
      </c>
      <c r="R57" s="198"/>
      <c r="S57" s="198"/>
      <c r="T57" s="198"/>
      <c r="U57" s="198"/>
    </row>
    <row r="58" spans="1:21" s="12" customFormat="1" x14ac:dyDescent="0.25">
      <c r="A58" s="214" t="s">
        <v>1450</v>
      </c>
      <c r="B58" s="64">
        <v>8.19</v>
      </c>
      <c r="C58" s="64">
        <v>3.21</v>
      </c>
      <c r="D58" s="64">
        <v>12.01</v>
      </c>
      <c r="E58" s="64">
        <v>4.18</v>
      </c>
      <c r="F58" s="64">
        <v>8.08</v>
      </c>
      <c r="G58" s="64">
        <v>76.36</v>
      </c>
      <c r="H58" s="64">
        <v>36.99</v>
      </c>
      <c r="I58" s="64">
        <v>3.15</v>
      </c>
      <c r="J58" s="64">
        <v>0.96</v>
      </c>
      <c r="K58" s="64">
        <v>317.64999999999998</v>
      </c>
      <c r="L58" s="64">
        <v>35.53</v>
      </c>
      <c r="M58" s="64">
        <v>37.93</v>
      </c>
      <c r="N58" s="64">
        <v>312.89999999999998</v>
      </c>
      <c r="O58" s="64">
        <v>0</v>
      </c>
      <c r="P58" s="64">
        <v>0.56999999999999995</v>
      </c>
      <c r="Q58" s="64">
        <v>9.33</v>
      </c>
      <c r="R58" s="198"/>
      <c r="S58" s="198"/>
      <c r="T58" s="198"/>
      <c r="U58" s="198"/>
    </row>
    <row r="59" spans="1:21" s="12" customFormat="1" x14ac:dyDescent="0.25">
      <c r="A59" s="214" t="s">
        <v>1451</v>
      </c>
      <c r="B59" s="64">
        <v>8.1999999999999993</v>
      </c>
      <c r="C59" s="64">
        <v>3.24</v>
      </c>
      <c r="D59" s="64">
        <v>12.05</v>
      </c>
      <c r="E59" s="64">
        <v>4.1900000000000004</v>
      </c>
      <c r="F59" s="64">
        <v>8.1199999999999992</v>
      </c>
      <c r="G59" s="64">
        <v>77.05</v>
      </c>
      <c r="H59" s="64">
        <v>36.880000000000003</v>
      </c>
      <c r="I59" s="64">
        <v>3.04</v>
      </c>
      <c r="J59" s="64">
        <v>0.77</v>
      </c>
      <c r="K59" s="64">
        <v>320.14</v>
      </c>
      <c r="L59" s="64">
        <v>35.72</v>
      </c>
      <c r="M59" s="64">
        <v>37.67</v>
      </c>
      <c r="N59" s="64">
        <v>283</v>
      </c>
      <c r="O59" s="64">
        <v>0</v>
      </c>
      <c r="P59" s="64">
        <v>0.57999999999999996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4" t="s">
        <v>1452</v>
      </c>
      <c r="B60" s="64">
        <v>8.1999999999999993</v>
      </c>
      <c r="C60" s="64">
        <v>3.19</v>
      </c>
      <c r="D60" s="64">
        <v>12.02</v>
      </c>
      <c r="E60" s="64">
        <v>4.54</v>
      </c>
      <c r="F60" s="64">
        <v>7.73</v>
      </c>
      <c r="G60" s="64">
        <v>77.05</v>
      </c>
      <c r="H60" s="64">
        <v>36.880000000000003</v>
      </c>
      <c r="I60" s="64">
        <v>3</v>
      </c>
      <c r="J60" s="64">
        <v>0.42</v>
      </c>
      <c r="K60" s="64">
        <v>335.87</v>
      </c>
      <c r="L60" s="64">
        <v>35.75</v>
      </c>
      <c r="M60" s="64">
        <v>37.44</v>
      </c>
      <c r="N60" s="64">
        <v>294.39999999999998</v>
      </c>
      <c r="O60" s="64">
        <v>0</v>
      </c>
      <c r="P60" s="64">
        <v>0.59</v>
      </c>
      <c r="Q60" s="64">
        <v>9.36</v>
      </c>
      <c r="R60" s="198"/>
      <c r="S60" s="198"/>
      <c r="T60" s="198"/>
      <c r="U60" s="198"/>
    </row>
    <row r="61" spans="1:21" s="12" customFormat="1" x14ac:dyDescent="0.25">
      <c r="A61" s="214" t="s">
        <v>1453</v>
      </c>
      <c r="B61" s="64">
        <v>8.26</v>
      </c>
      <c r="C61" s="64">
        <v>3.36</v>
      </c>
      <c r="D61" s="64">
        <v>12.16</v>
      </c>
      <c r="E61" s="64">
        <v>4.34</v>
      </c>
      <c r="F61" s="64">
        <v>7.91</v>
      </c>
      <c r="G61" s="64">
        <v>77.05</v>
      </c>
      <c r="H61" s="64">
        <v>36.880000000000003</v>
      </c>
      <c r="I61" s="64">
        <v>2.99</v>
      </c>
      <c r="J61" s="64">
        <v>0.5</v>
      </c>
      <c r="K61" s="64">
        <v>354.74</v>
      </c>
      <c r="L61" s="64">
        <v>35.020000000000003</v>
      </c>
      <c r="M61" s="64">
        <v>38.01</v>
      </c>
      <c r="N61" s="64">
        <v>312</v>
      </c>
      <c r="O61" s="64">
        <v>0</v>
      </c>
      <c r="P61" s="64">
        <v>0.49</v>
      </c>
      <c r="Q61" s="64">
        <v>9.35</v>
      </c>
      <c r="R61" s="198"/>
      <c r="S61" s="198"/>
      <c r="T61" s="198"/>
      <c r="U61" s="198"/>
    </row>
    <row r="62" spans="1:21" s="12" customFormat="1" x14ac:dyDescent="0.25">
      <c r="A62" s="214" t="s">
        <v>1454</v>
      </c>
      <c r="B62" s="64">
        <v>8.3699999999999992</v>
      </c>
      <c r="C62" s="64">
        <v>3.74</v>
      </c>
      <c r="D62" s="64">
        <v>12.44</v>
      </c>
      <c r="E62" s="64">
        <v>3.97</v>
      </c>
      <c r="F62" s="64">
        <v>7.77</v>
      </c>
      <c r="G62" s="64">
        <v>74.89</v>
      </c>
      <c r="H62" s="64">
        <v>36.020000000000003</v>
      </c>
      <c r="I62" s="64">
        <v>3.01</v>
      </c>
      <c r="J62" s="64">
        <v>0.71</v>
      </c>
      <c r="K62" s="64">
        <v>318.60000000000002</v>
      </c>
      <c r="L62" s="64">
        <v>36.08</v>
      </c>
      <c r="M62" s="64">
        <v>36.85</v>
      </c>
      <c r="N62" s="64">
        <v>386.6</v>
      </c>
      <c r="O62" s="64">
        <v>0</v>
      </c>
      <c r="P62" s="64">
        <v>0.52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4" t="s">
        <v>1455</v>
      </c>
      <c r="B63" s="64">
        <v>8.2100000000000009</v>
      </c>
      <c r="C63" s="64">
        <v>3.22</v>
      </c>
      <c r="D63" s="64">
        <v>12.04</v>
      </c>
      <c r="E63" s="64">
        <v>4.37</v>
      </c>
      <c r="F63" s="64">
        <v>7.04</v>
      </c>
      <c r="G63" s="64">
        <v>72.83</v>
      </c>
      <c r="H63" s="64">
        <v>35.229999999999997</v>
      </c>
      <c r="I63" s="64">
        <v>3.03</v>
      </c>
      <c r="J63" s="64">
        <v>0.81</v>
      </c>
      <c r="K63" s="64">
        <v>307.79000000000002</v>
      </c>
      <c r="L63" s="64">
        <v>36.81</v>
      </c>
      <c r="M63" s="64">
        <v>34.83</v>
      </c>
      <c r="N63" s="64">
        <v>380.5</v>
      </c>
      <c r="O63" s="64">
        <v>0</v>
      </c>
      <c r="P63" s="64">
        <v>0.53</v>
      </c>
      <c r="Q63" s="64">
        <v>9.42</v>
      </c>
      <c r="R63" s="198"/>
      <c r="S63" s="198"/>
      <c r="T63" s="198"/>
      <c r="U63" s="198"/>
    </row>
    <row r="64" spans="1:21" s="12" customFormat="1" x14ac:dyDescent="0.25">
      <c r="A64" s="214" t="s">
        <v>1456</v>
      </c>
      <c r="B64" s="64">
        <v>8.23</v>
      </c>
      <c r="C64" s="64">
        <v>3.44</v>
      </c>
      <c r="D64" s="64">
        <v>12.17</v>
      </c>
      <c r="E64" s="64">
        <v>4.3600000000000003</v>
      </c>
      <c r="F64" s="64">
        <v>6.47</v>
      </c>
      <c r="G64" s="64">
        <v>72.83</v>
      </c>
      <c r="H64" s="64">
        <v>35.229999999999997</v>
      </c>
      <c r="I64" s="64">
        <v>3.08</v>
      </c>
      <c r="J64" s="64">
        <v>0.52</v>
      </c>
      <c r="K64" s="64">
        <v>336.64</v>
      </c>
      <c r="L64" s="64">
        <v>37.39</v>
      </c>
      <c r="M64" s="64">
        <v>32.5</v>
      </c>
      <c r="N64" s="64">
        <v>395</v>
      </c>
      <c r="O64" s="64">
        <v>0</v>
      </c>
      <c r="P64" s="64">
        <v>0.52</v>
      </c>
      <c r="Q64" s="64">
        <v>9.4499999999999993</v>
      </c>
      <c r="R64" s="198"/>
      <c r="S64" s="198"/>
      <c r="T64" s="198"/>
      <c r="U64" s="198"/>
    </row>
    <row r="65" spans="1:21" s="12" customFormat="1" x14ac:dyDescent="0.25">
      <c r="A65" s="214" t="s">
        <v>1457</v>
      </c>
      <c r="B65" s="64">
        <v>8.25</v>
      </c>
      <c r="C65" s="64">
        <v>3.61</v>
      </c>
      <c r="D65" s="64">
        <v>12.28</v>
      </c>
      <c r="E65" s="64">
        <v>4.37</v>
      </c>
      <c r="F65" s="64">
        <v>6.78</v>
      </c>
      <c r="G65" s="64">
        <v>72.83</v>
      </c>
      <c r="H65" s="64">
        <v>35.229999999999997</v>
      </c>
      <c r="I65" s="64">
        <v>3.14</v>
      </c>
      <c r="J65" s="64">
        <v>0.4</v>
      </c>
      <c r="K65" s="64">
        <v>314.55</v>
      </c>
      <c r="L65" s="64">
        <v>37.03</v>
      </c>
      <c r="M65" s="64">
        <v>32.520000000000003</v>
      </c>
      <c r="N65" s="64">
        <v>297.5</v>
      </c>
      <c r="O65" s="64">
        <v>0</v>
      </c>
      <c r="P65" s="64">
        <v>0.51</v>
      </c>
      <c r="Q65" s="64">
        <v>9.44</v>
      </c>
      <c r="R65" s="198"/>
      <c r="S65" s="198"/>
      <c r="T65" s="198"/>
      <c r="U65" s="198"/>
    </row>
    <row r="66" spans="1:21" s="12" customFormat="1" x14ac:dyDescent="0.25">
      <c r="A66" s="214" t="s">
        <v>1458</v>
      </c>
      <c r="B66" s="64">
        <v>8.19</v>
      </c>
      <c r="C66" s="64">
        <v>3.39</v>
      </c>
      <c r="D66" s="64">
        <v>12.11</v>
      </c>
      <c r="E66" s="64">
        <v>4.6100000000000003</v>
      </c>
      <c r="F66" s="64">
        <v>6.8</v>
      </c>
      <c r="G66" s="64">
        <v>73.31</v>
      </c>
      <c r="H66" s="64">
        <v>37.11</v>
      </c>
      <c r="I66" s="64">
        <v>3.12</v>
      </c>
      <c r="J66" s="64">
        <v>0.41</v>
      </c>
      <c r="K66" s="64">
        <v>323.08999999999997</v>
      </c>
      <c r="L66" s="64">
        <v>36.33</v>
      </c>
      <c r="M66" s="64">
        <v>32.94</v>
      </c>
      <c r="N66" s="64">
        <v>299</v>
      </c>
      <c r="O66" s="64">
        <v>0</v>
      </c>
      <c r="P66" s="64">
        <v>0.51</v>
      </c>
      <c r="Q66" s="64">
        <v>9.4</v>
      </c>
      <c r="R66" s="198"/>
      <c r="S66" s="198"/>
      <c r="T66" s="198"/>
      <c r="U66" s="198"/>
    </row>
    <row r="67" spans="1:21" s="12" customFormat="1" x14ac:dyDescent="0.25">
      <c r="A67" s="214" t="s">
        <v>1459</v>
      </c>
      <c r="B67" s="64">
        <v>8.2200000000000006</v>
      </c>
      <c r="C67" s="64">
        <v>3.49</v>
      </c>
      <c r="D67" s="64">
        <v>12.19</v>
      </c>
      <c r="E67" s="64">
        <v>4.3499999999999996</v>
      </c>
      <c r="F67" s="64">
        <v>6.94</v>
      </c>
      <c r="G67" s="64">
        <v>73.760000000000005</v>
      </c>
      <c r="H67" s="64">
        <v>38.909999999999997</v>
      </c>
      <c r="I67" s="64">
        <v>3.04</v>
      </c>
      <c r="J67" s="64">
        <v>0.62</v>
      </c>
      <c r="K67" s="64">
        <v>330.44</v>
      </c>
      <c r="L67" s="64">
        <v>37.119999999999997</v>
      </c>
      <c r="M67" s="64">
        <v>32.69</v>
      </c>
      <c r="N67" s="64">
        <v>382.9</v>
      </c>
      <c r="O67" s="64">
        <v>0</v>
      </c>
      <c r="P67" s="64">
        <v>0.49</v>
      </c>
      <c r="Q67" s="64">
        <v>9.39</v>
      </c>
      <c r="R67" s="198"/>
      <c r="S67" s="198"/>
      <c r="T67" s="198"/>
      <c r="U67" s="198"/>
    </row>
    <row r="68" spans="1:21" s="12" customFormat="1" x14ac:dyDescent="0.25">
      <c r="A68" s="214" t="s">
        <v>1460</v>
      </c>
      <c r="B68" s="64">
        <v>8.3800000000000008</v>
      </c>
      <c r="C68" s="64">
        <v>4.13</v>
      </c>
      <c r="D68" s="64">
        <v>12.65</v>
      </c>
      <c r="E68" s="64">
        <v>4.3099999999999996</v>
      </c>
      <c r="F68" s="64">
        <v>7.54</v>
      </c>
      <c r="G68" s="64">
        <v>73.760000000000005</v>
      </c>
      <c r="H68" s="64">
        <v>38.909999999999997</v>
      </c>
      <c r="I68" s="64">
        <v>2.99</v>
      </c>
      <c r="J68" s="64">
        <v>0.32</v>
      </c>
      <c r="K68" s="64">
        <v>0.2</v>
      </c>
      <c r="L68" s="64">
        <v>37.29</v>
      </c>
      <c r="M68" s="64">
        <v>32.08</v>
      </c>
      <c r="N68" s="64">
        <v>318.39999999999998</v>
      </c>
      <c r="O68" s="64">
        <v>0</v>
      </c>
      <c r="P68" s="64">
        <v>0.48</v>
      </c>
      <c r="Q68" s="64">
        <v>9.4</v>
      </c>
      <c r="R68" s="198"/>
      <c r="S68" s="198"/>
      <c r="T68" s="198"/>
      <c r="U68" s="198"/>
    </row>
    <row r="69" spans="1:21" s="12" customFormat="1" x14ac:dyDescent="0.25">
      <c r="A69" s="214" t="s">
        <v>1461</v>
      </c>
      <c r="B69" s="64">
        <v>8.15</v>
      </c>
      <c r="C69" s="64">
        <v>3.23</v>
      </c>
      <c r="D69" s="64">
        <v>12</v>
      </c>
      <c r="E69" s="64">
        <v>4.2300000000000004</v>
      </c>
      <c r="F69" s="64">
        <v>7.73</v>
      </c>
      <c r="G69" s="64">
        <v>73.760000000000005</v>
      </c>
      <c r="H69" s="64">
        <v>38.909999999999997</v>
      </c>
      <c r="I69" s="64">
        <v>2.94</v>
      </c>
      <c r="J69" s="64">
        <v>0.42</v>
      </c>
      <c r="K69" s="64">
        <v>349.6</v>
      </c>
      <c r="L69" s="64">
        <v>36.79</v>
      </c>
      <c r="M69" s="64">
        <v>31.77</v>
      </c>
      <c r="N69" s="64">
        <v>304</v>
      </c>
      <c r="O69" s="64">
        <v>0</v>
      </c>
      <c r="P69" s="64">
        <v>0.47</v>
      </c>
      <c r="Q69" s="64">
        <v>9.4</v>
      </c>
      <c r="R69" s="198"/>
      <c r="S69" s="198"/>
      <c r="T69" s="198"/>
      <c r="U69" s="198"/>
    </row>
    <row r="70" spans="1:21" s="12" customFormat="1" x14ac:dyDescent="0.25">
      <c r="A70" s="214" t="s">
        <v>1462</v>
      </c>
      <c r="B70" s="64">
        <v>8.17</v>
      </c>
      <c r="C70" s="64">
        <v>3.21</v>
      </c>
      <c r="D70" s="64">
        <v>12</v>
      </c>
      <c r="E70" s="64">
        <v>4.3099999999999996</v>
      </c>
      <c r="F70" s="64">
        <v>8.6199999999999992</v>
      </c>
      <c r="G70" s="64">
        <v>71.84</v>
      </c>
      <c r="H70" s="64">
        <v>38.409999999999997</v>
      </c>
      <c r="I70" s="64">
        <v>2.88</v>
      </c>
      <c r="J70" s="64">
        <v>0.42</v>
      </c>
      <c r="K70" s="64">
        <v>6.66</v>
      </c>
      <c r="L70" s="64">
        <v>36.58</v>
      </c>
      <c r="M70" s="64">
        <v>31.41</v>
      </c>
      <c r="N70" s="64">
        <v>261.10000000000002</v>
      </c>
      <c r="O70" s="64">
        <v>0</v>
      </c>
      <c r="P70" s="64">
        <v>0.45</v>
      </c>
      <c r="Q70" s="64">
        <v>9.4</v>
      </c>
      <c r="R70" s="198"/>
      <c r="S70" s="198"/>
      <c r="T70" s="198"/>
      <c r="U70" s="198"/>
    </row>
    <row r="71" spans="1:21" s="12" customFormat="1" x14ac:dyDescent="0.25">
      <c r="A71" s="214" t="s">
        <v>1463</v>
      </c>
      <c r="B71" s="64">
        <v>8.17</v>
      </c>
      <c r="C71" s="64">
        <v>3.26</v>
      </c>
      <c r="D71" s="64">
        <v>12.03</v>
      </c>
      <c r="E71" s="64">
        <v>4.42</v>
      </c>
      <c r="F71" s="64">
        <v>8.9499999999999993</v>
      </c>
      <c r="G71" s="64">
        <v>70.09</v>
      </c>
      <c r="H71" s="64">
        <v>37.94</v>
      </c>
      <c r="I71" s="64">
        <v>2.79</v>
      </c>
      <c r="J71" s="64">
        <v>0.53</v>
      </c>
      <c r="K71" s="64">
        <v>326.49</v>
      </c>
      <c r="L71" s="64">
        <v>36.9</v>
      </c>
      <c r="M71" s="64">
        <v>31.43</v>
      </c>
      <c r="N71" s="64">
        <v>226.7</v>
      </c>
      <c r="O71" s="64">
        <v>0</v>
      </c>
      <c r="P71" s="64">
        <v>0.44</v>
      </c>
      <c r="Q71" s="64">
        <v>9.39</v>
      </c>
      <c r="R71" s="198"/>
      <c r="S71" s="198"/>
      <c r="T71" s="198"/>
      <c r="U71" s="198"/>
    </row>
    <row r="72" spans="1:21" s="12" customFormat="1" x14ac:dyDescent="0.25">
      <c r="A72" s="214" t="s">
        <v>1464</v>
      </c>
      <c r="B72" s="64">
        <v>8.1300000000000008</v>
      </c>
      <c r="C72" s="64">
        <v>3.18</v>
      </c>
      <c r="D72" s="64">
        <v>11.96</v>
      </c>
      <c r="E72" s="64">
        <v>3.94</v>
      </c>
      <c r="F72" s="64">
        <v>7.82</v>
      </c>
      <c r="G72" s="64">
        <v>70.09</v>
      </c>
      <c r="H72" s="64">
        <v>37.94</v>
      </c>
      <c r="I72" s="64">
        <v>2.68</v>
      </c>
      <c r="J72" s="64">
        <v>0.64</v>
      </c>
      <c r="K72" s="64">
        <v>333.37</v>
      </c>
      <c r="L72" s="64">
        <v>37.03</v>
      </c>
      <c r="M72" s="64">
        <v>31.57</v>
      </c>
      <c r="N72" s="64">
        <v>155.4</v>
      </c>
      <c r="O72" s="64">
        <v>0</v>
      </c>
      <c r="P72" s="64">
        <v>0.43</v>
      </c>
      <c r="Q72" s="64">
        <v>9.39</v>
      </c>
      <c r="R72" s="198"/>
      <c r="S72" s="198"/>
      <c r="T72" s="198"/>
      <c r="U72" s="198"/>
    </row>
    <row r="73" spans="1:21" s="12" customFormat="1" x14ac:dyDescent="0.25">
      <c r="A73" s="214" t="s">
        <v>1465</v>
      </c>
      <c r="B73" s="64">
        <v>8.15</v>
      </c>
      <c r="C73" s="64">
        <v>3.26</v>
      </c>
      <c r="D73" s="64">
        <v>12.01</v>
      </c>
      <c r="E73" s="64">
        <v>3.8</v>
      </c>
      <c r="F73" s="64">
        <v>7.44</v>
      </c>
      <c r="G73" s="64">
        <v>70.09</v>
      </c>
      <c r="H73" s="64">
        <v>37.94</v>
      </c>
      <c r="I73" s="64">
        <v>2.61</v>
      </c>
      <c r="J73" s="64">
        <v>0.74</v>
      </c>
      <c r="K73" s="64">
        <v>332</v>
      </c>
      <c r="L73" s="64">
        <v>36.770000000000003</v>
      </c>
      <c r="M73" s="64">
        <v>31.6</v>
      </c>
      <c r="N73" s="64">
        <v>144.4</v>
      </c>
      <c r="O73" s="64">
        <v>0</v>
      </c>
      <c r="P73" s="64">
        <v>0.43</v>
      </c>
      <c r="Q73" s="64">
        <v>9.39</v>
      </c>
      <c r="R73" s="198"/>
      <c r="S73" s="198"/>
      <c r="T73" s="198"/>
      <c r="U73" s="198"/>
    </row>
    <row r="74" spans="1:21" s="12" customFormat="1" x14ac:dyDescent="0.25">
      <c r="A74" s="214" t="s">
        <v>1466</v>
      </c>
      <c r="B74" s="64">
        <v>8.41</v>
      </c>
      <c r="C74" s="64">
        <v>4.25</v>
      </c>
      <c r="D74" s="64">
        <v>12.74</v>
      </c>
      <c r="E74" s="64">
        <v>4.22</v>
      </c>
      <c r="F74" s="64">
        <v>8.8000000000000007</v>
      </c>
      <c r="G74" s="64">
        <v>67.44</v>
      </c>
      <c r="H74" s="64">
        <v>39.18</v>
      </c>
      <c r="I74" s="64">
        <v>2.5499999999999998</v>
      </c>
      <c r="J74" s="64">
        <v>0.62</v>
      </c>
      <c r="K74" s="64">
        <v>4.04</v>
      </c>
      <c r="L74" s="64">
        <v>36.369999999999997</v>
      </c>
      <c r="M74" s="64">
        <v>31.87</v>
      </c>
      <c r="N74" s="64">
        <v>129.30000000000001</v>
      </c>
      <c r="O74" s="64">
        <v>0</v>
      </c>
      <c r="P74" s="64">
        <v>0.41</v>
      </c>
      <c r="Q74" s="64">
        <v>9.33</v>
      </c>
      <c r="R74" s="198"/>
      <c r="S74" s="198"/>
      <c r="T74" s="198"/>
      <c r="U74" s="198"/>
    </row>
    <row r="75" spans="1:21" s="12" customFormat="1" x14ac:dyDescent="0.25">
      <c r="A75" s="214" t="s">
        <v>1467</v>
      </c>
      <c r="B75" s="64">
        <v>8.1999999999999993</v>
      </c>
      <c r="C75" s="64">
        <v>3.41</v>
      </c>
      <c r="D75" s="64">
        <v>12.13</v>
      </c>
      <c r="E75" s="64">
        <v>3.66</v>
      </c>
      <c r="F75" s="64">
        <v>9.73</v>
      </c>
      <c r="G75" s="64">
        <v>64.91</v>
      </c>
      <c r="H75" s="64">
        <v>40.369999999999997</v>
      </c>
      <c r="I75" s="64">
        <v>2.46</v>
      </c>
      <c r="J75" s="64">
        <v>0.54</v>
      </c>
      <c r="K75" s="64">
        <v>10.42</v>
      </c>
      <c r="L75" s="64">
        <v>36.21</v>
      </c>
      <c r="M75" s="64">
        <v>32.42</v>
      </c>
      <c r="N75" s="64">
        <v>116.4</v>
      </c>
      <c r="O75" s="64">
        <v>0</v>
      </c>
      <c r="P75" s="64">
        <v>0.41</v>
      </c>
      <c r="Q75" s="64">
        <v>9.31</v>
      </c>
      <c r="R75" s="198"/>
      <c r="S75" s="198"/>
      <c r="T75" s="198"/>
      <c r="U75" s="198"/>
    </row>
    <row r="76" spans="1:21" s="12" customFormat="1" x14ac:dyDescent="0.25">
      <c r="A76" s="214" t="s">
        <v>1468</v>
      </c>
      <c r="B76" s="64">
        <v>8.1300000000000008</v>
      </c>
      <c r="C76" s="64">
        <v>3.13</v>
      </c>
      <c r="D76" s="64">
        <v>11.93</v>
      </c>
      <c r="E76" s="64">
        <v>3.84</v>
      </c>
      <c r="F76" s="64">
        <v>8.9600000000000009</v>
      </c>
      <c r="G76" s="64">
        <v>64.91</v>
      </c>
      <c r="H76" s="64">
        <v>40.369999999999997</v>
      </c>
      <c r="I76" s="64">
        <v>2.37</v>
      </c>
      <c r="J76" s="64">
        <v>0.57999999999999996</v>
      </c>
      <c r="K76" s="64">
        <v>12.66</v>
      </c>
      <c r="L76" s="64">
        <v>35.950000000000003</v>
      </c>
      <c r="M76" s="64">
        <v>33.020000000000003</v>
      </c>
      <c r="N76" s="64">
        <v>105.3</v>
      </c>
      <c r="O76" s="64">
        <v>0</v>
      </c>
      <c r="P76" s="64">
        <v>0.41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4" t="s">
        <v>1469</v>
      </c>
      <c r="B77" s="64">
        <v>8.1300000000000008</v>
      </c>
      <c r="C77" s="64">
        <v>3.1</v>
      </c>
      <c r="D77" s="64">
        <v>11.91</v>
      </c>
      <c r="E77" s="64">
        <v>3.77</v>
      </c>
      <c r="F77" s="64">
        <v>8.3000000000000007</v>
      </c>
      <c r="G77" s="64">
        <v>64.91</v>
      </c>
      <c r="H77" s="64">
        <v>40.369999999999997</v>
      </c>
      <c r="I77" s="64">
        <v>2.33</v>
      </c>
      <c r="J77" s="64">
        <v>0.64</v>
      </c>
      <c r="K77" s="64">
        <v>11.72</v>
      </c>
      <c r="L77" s="64">
        <v>35.659999999999997</v>
      </c>
      <c r="M77" s="64">
        <v>33.549999999999997</v>
      </c>
      <c r="N77" s="64">
        <v>92.5</v>
      </c>
      <c r="O77" s="64">
        <v>0</v>
      </c>
      <c r="P77" s="64">
        <v>0.4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4" t="s">
        <v>1470</v>
      </c>
      <c r="B78" s="64">
        <v>8.1300000000000008</v>
      </c>
      <c r="C78" s="64">
        <v>3.08</v>
      </c>
      <c r="D78" s="64">
        <v>11.9</v>
      </c>
      <c r="E78" s="64">
        <v>3.83</v>
      </c>
      <c r="F78" s="64">
        <v>8</v>
      </c>
      <c r="G78" s="64">
        <v>65.77</v>
      </c>
      <c r="H78" s="64">
        <v>37.54</v>
      </c>
      <c r="I78" s="64">
        <v>2.34</v>
      </c>
      <c r="J78" s="64">
        <v>0.67</v>
      </c>
      <c r="K78" s="64">
        <v>17.27</v>
      </c>
      <c r="L78" s="64">
        <v>35.47</v>
      </c>
      <c r="M78" s="64">
        <v>32.85</v>
      </c>
      <c r="N78" s="64">
        <v>73.2</v>
      </c>
      <c r="O78" s="64">
        <v>0</v>
      </c>
      <c r="P78" s="64">
        <v>0.41</v>
      </c>
      <c r="Q78" s="64">
        <v>9.35</v>
      </c>
      <c r="R78" s="198"/>
      <c r="S78" s="198"/>
      <c r="T78" s="198"/>
      <c r="U78" s="198"/>
    </row>
    <row r="79" spans="1:21" s="12" customFormat="1" x14ac:dyDescent="0.25">
      <c r="A79" s="214" t="s">
        <v>1471</v>
      </c>
      <c r="B79" s="64">
        <v>8.14</v>
      </c>
      <c r="C79" s="64">
        <v>3.1</v>
      </c>
      <c r="D79" s="64">
        <v>11.92</v>
      </c>
      <c r="E79" s="64">
        <v>4.04</v>
      </c>
      <c r="F79" s="64">
        <v>8.6199999999999992</v>
      </c>
      <c r="G79" s="64">
        <v>66.59</v>
      </c>
      <c r="H79" s="64">
        <v>34.82</v>
      </c>
      <c r="I79" s="64">
        <v>2.38</v>
      </c>
      <c r="J79" s="64">
        <v>0.56000000000000005</v>
      </c>
      <c r="K79" s="64">
        <v>3.67</v>
      </c>
      <c r="L79" s="64">
        <v>35.19</v>
      </c>
      <c r="M79" s="64">
        <v>33.630000000000003</v>
      </c>
      <c r="N79" s="64">
        <v>58.6</v>
      </c>
      <c r="O79" s="64">
        <v>0</v>
      </c>
      <c r="P79" s="64">
        <v>0.42</v>
      </c>
      <c r="Q79" s="64">
        <v>9.34</v>
      </c>
      <c r="R79" s="198"/>
      <c r="S79" s="198"/>
      <c r="T79" s="198"/>
      <c r="U79" s="198"/>
    </row>
    <row r="80" spans="1:21" s="12" customFormat="1" x14ac:dyDescent="0.25">
      <c r="A80" s="214" t="s">
        <v>1472</v>
      </c>
      <c r="B80" s="64">
        <v>8.15</v>
      </c>
      <c r="C80" s="64">
        <v>3.18</v>
      </c>
      <c r="D80" s="64">
        <v>11.97</v>
      </c>
      <c r="E80" s="64">
        <v>3.95</v>
      </c>
      <c r="F80" s="64">
        <v>8.74</v>
      </c>
      <c r="G80" s="64">
        <v>66.59</v>
      </c>
      <c r="H80" s="64">
        <v>34.82</v>
      </c>
      <c r="I80" s="64">
        <v>2.42</v>
      </c>
      <c r="J80" s="64">
        <v>0.72</v>
      </c>
      <c r="K80" s="64">
        <v>4.2300000000000004</v>
      </c>
      <c r="L80" s="64">
        <v>34.9</v>
      </c>
      <c r="M80" s="64">
        <v>33.43</v>
      </c>
      <c r="N80" s="64">
        <v>44.8</v>
      </c>
      <c r="O80" s="64">
        <v>0</v>
      </c>
      <c r="P80" s="64">
        <v>0.42</v>
      </c>
      <c r="Q80" s="64">
        <v>9.35</v>
      </c>
      <c r="R80" s="198"/>
      <c r="S80" s="198"/>
      <c r="T80" s="198"/>
      <c r="U80" s="198"/>
    </row>
    <row r="81" spans="1:26" s="12" customFormat="1" x14ac:dyDescent="0.25">
      <c r="A81" s="214" t="s">
        <v>1473</v>
      </c>
      <c r="B81" s="64">
        <v>8.19</v>
      </c>
      <c r="C81" s="64">
        <v>3.29</v>
      </c>
      <c r="D81" s="64">
        <v>12.06</v>
      </c>
      <c r="E81" s="64">
        <v>4</v>
      </c>
      <c r="F81" s="64">
        <v>7.55</v>
      </c>
      <c r="G81" s="64">
        <v>66.59</v>
      </c>
      <c r="H81" s="64">
        <v>34.82</v>
      </c>
      <c r="I81" s="64">
        <v>2.42</v>
      </c>
      <c r="J81" s="64">
        <v>0.6</v>
      </c>
      <c r="K81" s="64">
        <v>0.46</v>
      </c>
      <c r="L81" s="64">
        <v>34.71</v>
      </c>
      <c r="M81" s="64">
        <v>33.9</v>
      </c>
      <c r="N81" s="64">
        <v>38.5</v>
      </c>
      <c r="O81" s="64">
        <v>0</v>
      </c>
      <c r="P81" s="64">
        <v>0.43</v>
      </c>
      <c r="Q81" s="64">
        <v>9.35</v>
      </c>
      <c r="R81" s="198"/>
      <c r="S81" s="198"/>
      <c r="T81" s="198"/>
      <c r="U81" s="198"/>
    </row>
    <row r="82" spans="1:26" s="12" customFormat="1" x14ac:dyDescent="0.25">
      <c r="A82" s="214" t="s">
        <v>1474</v>
      </c>
      <c r="B82" s="64">
        <v>8.3699999999999992</v>
      </c>
      <c r="C82" s="64">
        <v>4.18</v>
      </c>
      <c r="D82" s="64">
        <v>12.67</v>
      </c>
      <c r="E82" s="64">
        <v>4.1500000000000004</v>
      </c>
      <c r="F82" s="64">
        <v>6.92</v>
      </c>
      <c r="G82" s="64">
        <v>67.650000000000006</v>
      </c>
      <c r="H82" s="64">
        <v>35.950000000000003</v>
      </c>
      <c r="I82" s="64">
        <v>2.4300000000000002</v>
      </c>
      <c r="J82" s="64">
        <v>0.62</v>
      </c>
      <c r="K82" s="64">
        <v>16.350000000000001</v>
      </c>
      <c r="L82" s="64">
        <v>34.47</v>
      </c>
      <c r="M82" s="64">
        <v>34.840000000000003</v>
      </c>
      <c r="N82" s="64">
        <v>26.9</v>
      </c>
      <c r="O82" s="64">
        <v>0</v>
      </c>
      <c r="P82" s="64">
        <v>0.45</v>
      </c>
      <c r="Q82" s="64">
        <v>9.41</v>
      </c>
      <c r="R82" s="198"/>
      <c r="S82" s="198"/>
      <c r="T82" s="198"/>
      <c r="U82" s="198"/>
    </row>
    <row r="83" spans="1:26" s="12" customFormat="1" x14ac:dyDescent="0.25">
      <c r="A83" s="214" t="s">
        <v>1475</v>
      </c>
      <c r="B83" s="64">
        <v>8.27</v>
      </c>
      <c r="C83" s="64">
        <v>3.82</v>
      </c>
      <c r="D83" s="64">
        <v>12.4</v>
      </c>
      <c r="E83" s="64">
        <v>3.97</v>
      </c>
      <c r="F83" s="64">
        <v>6.5</v>
      </c>
      <c r="G83" s="64">
        <v>68.67</v>
      </c>
      <c r="H83" s="64">
        <v>36.979999999999997</v>
      </c>
      <c r="I83" s="64">
        <v>2.46</v>
      </c>
      <c r="J83" s="64">
        <v>0.68</v>
      </c>
      <c r="K83" s="64">
        <v>339.36</v>
      </c>
      <c r="L83" s="64">
        <v>34.08</v>
      </c>
      <c r="M83" s="64">
        <v>36.4</v>
      </c>
      <c r="N83" s="64">
        <v>22</v>
      </c>
      <c r="O83" s="64">
        <v>0</v>
      </c>
      <c r="P83" s="64">
        <v>0.47</v>
      </c>
      <c r="Q83" s="64">
        <v>9.4700000000000006</v>
      </c>
      <c r="R83" s="198"/>
      <c r="S83" s="198"/>
      <c r="T83" s="198"/>
      <c r="U83" s="198"/>
    </row>
    <row r="84" spans="1:26" s="12" customFormat="1" x14ac:dyDescent="0.25">
      <c r="A84" s="214" t="s">
        <v>1476</v>
      </c>
      <c r="B84" s="64">
        <v>8.1300000000000008</v>
      </c>
      <c r="C84" s="64">
        <v>3.17</v>
      </c>
      <c r="D84" s="64">
        <v>11.95</v>
      </c>
      <c r="E84" s="64">
        <v>3.94</v>
      </c>
      <c r="F84" s="64">
        <v>5.9</v>
      </c>
      <c r="G84" s="64">
        <v>68.67</v>
      </c>
      <c r="H84" s="64">
        <v>36.979999999999997</v>
      </c>
      <c r="I84" s="64">
        <v>2.48</v>
      </c>
      <c r="J84" s="64">
        <v>0.63</v>
      </c>
      <c r="K84" s="64">
        <v>13.44</v>
      </c>
      <c r="L84" s="64">
        <v>33.79</v>
      </c>
      <c r="M84" s="64">
        <v>36.409999999999997</v>
      </c>
      <c r="N84" s="64">
        <v>17.8</v>
      </c>
      <c r="O84" s="64">
        <v>0</v>
      </c>
      <c r="P84" s="64">
        <v>0.49</v>
      </c>
      <c r="Q84" s="64">
        <v>9.4700000000000006</v>
      </c>
      <c r="R84" s="198"/>
      <c r="S84" s="198"/>
      <c r="T84" s="198"/>
      <c r="U84" s="198"/>
    </row>
    <row r="85" spans="1:26" s="12" customFormat="1" x14ac:dyDescent="0.25">
      <c r="A85" s="214" t="s">
        <v>1477</v>
      </c>
      <c r="B85" s="64">
        <v>8.1300000000000008</v>
      </c>
      <c r="C85" s="64">
        <v>3.1</v>
      </c>
      <c r="D85" s="64">
        <v>11.91</v>
      </c>
      <c r="E85" s="64">
        <v>3.66</v>
      </c>
      <c r="F85" s="64">
        <v>5.64</v>
      </c>
      <c r="G85" s="64">
        <v>68.67</v>
      </c>
      <c r="H85" s="64">
        <v>36.979999999999997</v>
      </c>
      <c r="I85" s="64">
        <v>2.5</v>
      </c>
      <c r="J85" s="64">
        <v>0.63</v>
      </c>
      <c r="K85" s="64">
        <v>16.28</v>
      </c>
      <c r="L85" s="64">
        <v>33.58</v>
      </c>
      <c r="M85" s="64">
        <v>36.6</v>
      </c>
      <c r="N85" s="64">
        <v>17.600000000000001</v>
      </c>
      <c r="O85" s="64">
        <v>0</v>
      </c>
      <c r="P85" s="64">
        <v>0.5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14" t="s">
        <v>1478</v>
      </c>
      <c r="B86" s="64">
        <v>8.1199999999999992</v>
      </c>
      <c r="C86" s="64">
        <v>3.06</v>
      </c>
      <c r="D86" s="64">
        <v>11.89</v>
      </c>
      <c r="E86" s="64">
        <v>3.72</v>
      </c>
      <c r="F86" s="64">
        <v>5.32</v>
      </c>
      <c r="G86" s="64">
        <v>69.569999999999993</v>
      </c>
      <c r="H86" s="64">
        <v>36.07</v>
      </c>
      <c r="I86" s="64">
        <v>2.54</v>
      </c>
      <c r="J86" s="64">
        <v>0.64</v>
      </c>
      <c r="K86" s="64">
        <v>343.39</v>
      </c>
      <c r="L86" s="64">
        <v>32.81</v>
      </c>
      <c r="M86" s="64">
        <v>40.74</v>
      </c>
      <c r="N86" s="64">
        <v>17.7</v>
      </c>
      <c r="O86" s="64">
        <v>0</v>
      </c>
      <c r="P86" s="64">
        <v>0.54</v>
      </c>
      <c r="Q86" s="64">
        <v>9.51</v>
      </c>
      <c r="R86" s="198"/>
      <c r="S86" s="198"/>
      <c r="T86" s="198"/>
      <c r="U86" s="198"/>
    </row>
    <row r="87" spans="1:26" s="12" customFormat="1" x14ac:dyDescent="0.25">
      <c r="A87" s="214" t="s">
        <v>1479</v>
      </c>
      <c r="B87" s="64">
        <v>8.3000000000000007</v>
      </c>
      <c r="C87" s="64">
        <v>3.79</v>
      </c>
      <c r="D87" s="64">
        <v>12.41</v>
      </c>
      <c r="E87" s="64">
        <v>3.67</v>
      </c>
      <c r="F87" s="64">
        <v>4.82</v>
      </c>
      <c r="G87" s="64">
        <v>70.44</v>
      </c>
      <c r="H87" s="64">
        <v>35.200000000000003</v>
      </c>
      <c r="I87" s="64">
        <v>2.61</v>
      </c>
      <c r="J87" s="64">
        <v>0.35</v>
      </c>
      <c r="K87" s="64">
        <v>1.73</v>
      </c>
      <c r="L87" s="64">
        <v>31.96</v>
      </c>
      <c r="M87" s="64">
        <v>42.53</v>
      </c>
      <c r="N87" s="64">
        <v>17.7</v>
      </c>
      <c r="O87" s="64">
        <v>0</v>
      </c>
      <c r="P87" s="64">
        <v>0.6</v>
      </c>
      <c r="Q87" s="64">
        <v>9.49</v>
      </c>
      <c r="R87" s="198"/>
      <c r="S87" s="198"/>
      <c r="T87" s="198"/>
      <c r="U87" s="198"/>
    </row>
    <row r="88" spans="1:26" s="12" customFormat="1" x14ac:dyDescent="0.25">
      <c r="A88" s="214" t="s">
        <v>1480</v>
      </c>
      <c r="B88" s="64">
        <v>8.4</v>
      </c>
      <c r="C88" s="64">
        <v>4.2300000000000004</v>
      </c>
      <c r="D88" s="64">
        <v>12.72</v>
      </c>
      <c r="E88" s="64">
        <v>3.65</v>
      </c>
      <c r="F88" s="64">
        <v>4.37</v>
      </c>
      <c r="G88" s="64">
        <v>70.44</v>
      </c>
      <c r="H88" s="64">
        <v>35.200000000000003</v>
      </c>
      <c r="I88" s="64">
        <v>2.77</v>
      </c>
      <c r="J88" s="64">
        <v>0.52</v>
      </c>
      <c r="K88" s="64">
        <v>22.58</v>
      </c>
      <c r="L88" s="64">
        <v>32.76</v>
      </c>
      <c r="M88" s="64">
        <v>37.369999999999997</v>
      </c>
      <c r="N88" s="64">
        <v>17.100000000000001</v>
      </c>
      <c r="O88" s="64">
        <v>0</v>
      </c>
      <c r="P88" s="64">
        <v>0.69</v>
      </c>
      <c r="Q88" s="64">
        <v>9.5399999999999991</v>
      </c>
      <c r="R88" s="198"/>
      <c r="S88" s="198"/>
      <c r="T88" s="198"/>
      <c r="U88" s="198"/>
    </row>
    <row r="89" spans="1:26" s="12" customFormat="1" x14ac:dyDescent="0.25">
      <c r="A89" s="214" t="s">
        <v>1481</v>
      </c>
      <c r="B89" s="64">
        <v>8.2899999999999991</v>
      </c>
      <c r="C89" s="64">
        <v>3.75</v>
      </c>
      <c r="D89" s="64">
        <v>12.38</v>
      </c>
      <c r="E89" s="64">
        <v>3.84</v>
      </c>
      <c r="F89" s="64">
        <v>4.42</v>
      </c>
      <c r="G89" s="64">
        <v>70.44</v>
      </c>
      <c r="H89" s="64">
        <v>35.200000000000003</v>
      </c>
      <c r="I89" s="64">
        <v>3.25</v>
      </c>
      <c r="J89" s="64">
        <v>0.55000000000000004</v>
      </c>
      <c r="K89" s="64">
        <v>26.83</v>
      </c>
      <c r="L89" s="64">
        <v>32.840000000000003</v>
      </c>
      <c r="M89" s="64">
        <v>37.54</v>
      </c>
      <c r="N89" s="64">
        <v>17.100000000000001</v>
      </c>
      <c r="O89" s="64">
        <v>0</v>
      </c>
      <c r="P89" s="64">
        <v>0.72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14" t="s">
        <v>1482</v>
      </c>
      <c r="B90" s="64">
        <v>8.16</v>
      </c>
      <c r="C90" s="64">
        <v>3.25</v>
      </c>
      <c r="D90" s="64">
        <v>12.02</v>
      </c>
      <c r="E90" s="64">
        <v>3.45</v>
      </c>
      <c r="F90" s="64">
        <v>4.1399999999999997</v>
      </c>
      <c r="G90" s="64">
        <v>80.72</v>
      </c>
      <c r="H90" s="64">
        <v>33.549999999999997</v>
      </c>
      <c r="I90" s="64">
        <v>3.6</v>
      </c>
      <c r="J90" s="64">
        <v>0.17</v>
      </c>
      <c r="K90" s="64">
        <v>29.38</v>
      </c>
      <c r="L90" s="64">
        <v>32.630000000000003</v>
      </c>
      <c r="M90" s="64">
        <v>38.18</v>
      </c>
      <c r="N90" s="64">
        <v>17.2</v>
      </c>
      <c r="O90" s="64">
        <v>0</v>
      </c>
      <c r="P90" s="64">
        <v>0.74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14" t="s">
        <v>1483</v>
      </c>
      <c r="B91" s="64">
        <v>8.15</v>
      </c>
      <c r="C91" s="64">
        <v>3.19</v>
      </c>
      <c r="D91" s="64">
        <v>11.98</v>
      </c>
      <c r="E91" s="64">
        <v>3.78</v>
      </c>
      <c r="F91" s="64">
        <v>4.38</v>
      </c>
      <c r="G91" s="64">
        <v>90.57</v>
      </c>
      <c r="H91" s="64">
        <v>32.03</v>
      </c>
      <c r="I91" s="64">
        <v>3.73</v>
      </c>
      <c r="J91" s="64">
        <v>0.31</v>
      </c>
      <c r="K91" s="64">
        <v>216.13</v>
      </c>
      <c r="L91" s="64">
        <v>32.409999999999997</v>
      </c>
      <c r="M91" s="64">
        <v>38.700000000000003</v>
      </c>
      <c r="N91" s="64">
        <v>17.100000000000001</v>
      </c>
      <c r="O91" s="64">
        <v>0</v>
      </c>
      <c r="P91" s="64">
        <v>0.75</v>
      </c>
      <c r="Q91" s="64">
        <v>9.5500000000000007</v>
      </c>
      <c r="R91" s="198"/>
      <c r="S91" s="198"/>
      <c r="T91" s="198"/>
      <c r="U91" s="198"/>
    </row>
    <row r="92" spans="1:26" s="12" customFormat="1" x14ac:dyDescent="0.25">
      <c r="A92" s="214" t="s">
        <v>1484</v>
      </c>
      <c r="B92" s="64">
        <v>8.15</v>
      </c>
      <c r="C92" s="64">
        <v>3.16</v>
      </c>
      <c r="D92" s="64">
        <v>11.97</v>
      </c>
      <c r="E92" s="64">
        <v>3.77</v>
      </c>
      <c r="F92" s="64">
        <v>4.5</v>
      </c>
      <c r="G92" s="64">
        <v>90.57</v>
      </c>
      <c r="H92" s="64">
        <v>32.03</v>
      </c>
      <c r="I92" s="64">
        <v>3.84</v>
      </c>
      <c r="J92" s="64">
        <v>0.77</v>
      </c>
      <c r="K92" s="64">
        <v>176.74</v>
      </c>
      <c r="L92" s="64">
        <v>32</v>
      </c>
      <c r="M92" s="64">
        <v>40.79</v>
      </c>
      <c r="N92" s="64">
        <v>17.399999999999999</v>
      </c>
      <c r="O92" s="64">
        <v>0</v>
      </c>
      <c r="P92" s="64">
        <v>0.72</v>
      </c>
      <c r="Q92" s="64">
        <v>9.5399999999999991</v>
      </c>
      <c r="R92" s="198"/>
      <c r="S92" s="198"/>
      <c r="T92" s="198"/>
      <c r="U92" s="198"/>
    </row>
    <row r="93" spans="1:26" s="12" customFormat="1" x14ac:dyDescent="0.25">
      <c r="A93" s="214" t="s">
        <v>1485</v>
      </c>
      <c r="B93" s="64">
        <v>8.1300000000000008</v>
      </c>
      <c r="C93" s="64">
        <v>3.1</v>
      </c>
      <c r="D93" s="64">
        <v>11.91</v>
      </c>
      <c r="E93" s="64">
        <v>3.65</v>
      </c>
      <c r="F93" s="64">
        <v>4.1900000000000004</v>
      </c>
      <c r="G93" s="64">
        <v>90.57</v>
      </c>
      <c r="H93" s="64">
        <v>32.03</v>
      </c>
      <c r="I93" s="64">
        <v>3.86</v>
      </c>
      <c r="J93" s="64">
        <v>0.75</v>
      </c>
      <c r="K93" s="64">
        <v>168.01</v>
      </c>
      <c r="L93" s="64">
        <v>31.72</v>
      </c>
      <c r="M93" s="64">
        <v>42.99</v>
      </c>
      <c r="N93" s="64">
        <v>17.399999999999999</v>
      </c>
      <c r="O93" s="64">
        <v>0</v>
      </c>
      <c r="P93" s="64">
        <v>0.71</v>
      </c>
      <c r="Q93" s="64">
        <v>9.4499999999999993</v>
      </c>
      <c r="R93" s="198"/>
      <c r="S93" s="198"/>
      <c r="T93" s="198"/>
      <c r="U93" s="198"/>
    </row>
    <row r="94" spans="1:26" s="12" customFormat="1" x14ac:dyDescent="0.25">
      <c r="A94" s="214" t="s">
        <v>1486</v>
      </c>
      <c r="B94" s="64">
        <v>8.17</v>
      </c>
      <c r="C94" s="64">
        <v>3.13</v>
      </c>
      <c r="D94" s="64">
        <v>11.96</v>
      </c>
      <c r="E94" s="64">
        <v>3.54</v>
      </c>
      <c r="F94" s="64">
        <v>4.08</v>
      </c>
      <c r="G94" s="64">
        <v>86.46</v>
      </c>
      <c r="H94" s="64">
        <v>33.28</v>
      </c>
      <c r="I94" s="64">
        <v>4.1100000000000003</v>
      </c>
      <c r="J94" s="64">
        <v>0.24</v>
      </c>
      <c r="K94" s="64">
        <v>191.87</v>
      </c>
      <c r="L94" s="64">
        <v>31.7</v>
      </c>
      <c r="M94" s="64">
        <v>43.4</v>
      </c>
      <c r="N94" s="64">
        <v>17.5</v>
      </c>
      <c r="O94" s="64">
        <v>0</v>
      </c>
      <c r="P94" s="64">
        <v>0.7</v>
      </c>
      <c r="Q94" s="64">
        <v>9.43</v>
      </c>
      <c r="R94" s="198"/>
      <c r="S94" s="198"/>
      <c r="T94" s="198"/>
      <c r="U94" s="198"/>
    </row>
    <row r="95" spans="1:26" s="12" customFormat="1" x14ac:dyDescent="0.25">
      <c r="A95" s="214" t="s">
        <v>1487</v>
      </c>
      <c r="B95" s="64">
        <v>8.2799999999999994</v>
      </c>
      <c r="C95" s="64">
        <v>3.45</v>
      </c>
      <c r="D95" s="64">
        <v>12.22</v>
      </c>
      <c r="E95" s="64">
        <v>3.5</v>
      </c>
      <c r="F95" s="64">
        <v>4.66</v>
      </c>
      <c r="G95" s="64">
        <v>82.53</v>
      </c>
      <c r="H95" s="64">
        <v>34.47</v>
      </c>
      <c r="I95" s="64">
        <v>4.66</v>
      </c>
      <c r="J95" s="64">
        <v>0.68</v>
      </c>
      <c r="K95" s="64">
        <v>155.49</v>
      </c>
      <c r="L95" s="64">
        <v>31.52</v>
      </c>
      <c r="M95" s="64">
        <v>44.7</v>
      </c>
      <c r="N95" s="64">
        <v>17.5</v>
      </c>
      <c r="O95" s="64">
        <v>0</v>
      </c>
      <c r="P95" s="64">
        <v>0.69</v>
      </c>
      <c r="Q95" s="64">
        <v>9.4600000000000009</v>
      </c>
      <c r="R95" s="198"/>
      <c r="S95" s="198"/>
      <c r="T95" s="198"/>
      <c r="U95" s="198"/>
    </row>
    <row r="96" spans="1:26" s="12" customFormat="1" x14ac:dyDescent="0.25">
      <c r="A96" s="214" t="s">
        <v>1488</v>
      </c>
      <c r="B96" s="64">
        <v>8.4</v>
      </c>
      <c r="C96" s="64">
        <v>3.94</v>
      </c>
      <c r="D96" s="64">
        <v>12.56</v>
      </c>
      <c r="E96" s="64">
        <v>3.41</v>
      </c>
      <c r="F96" s="64">
        <v>4.45</v>
      </c>
      <c r="G96" s="64">
        <v>82.53</v>
      </c>
      <c r="H96" s="64">
        <v>34.47</v>
      </c>
      <c r="I96" s="64">
        <v>5.1100000000000003</v>
      </c>
      <c r="J96" s="64">
        <v>1.28</v>
      </c>
      <c r="K96" s="64">
        <v>148.38</v>
      </c>
      <c r="L96" s="64">
        <v>31.29</v>
      </c>
      <c r="M96" s="64">
        <v>46.84</v>
      </c>
      <c r="N96" s="64">
        <v>17.5</v>
      </c>
      <c r="O96" s="64">
        <v>0</v>
      </c>
      <c r="P96" s="64">
        <v>0.67</v>
      </c>
      <c r="Q96" s="64">
        <v>9.4600000000000009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1489</v>
      </c>
      <c r="B97" s="64">
        <v>8.43</v>
      </c>
      <c r="C97" s="64">
        <v>4.09</v>
      </c>
      <c r="D97" s="64">
        <v>12.67</v>
      </c>
      <c r="E97" s="64">
        <v>3.53</v>
      </c>
      <c r="F97" s="64">
        <v>4.43</v>
      </c>
      <c r="G97" s="64">
        <v>82.53</v>
      </c>
      <c r="H97" s="64">
        <v>34.47</v>
      </c>
      <c r="I97" s="64">
        <v>5.49</v>
      </c>
      <c r="J97" s="64">
        <v>0.84</v>
      </c>
      <c r="K97" s="64">
        <v>114.77</v>
      </c>
      <c r="L97" s="64">
        <v>30.64</v>
      </c>
      <c r="M97" s="64">
        <v>50.08</v>
      </c>
      <c r="N97" s="64">
        <v>18.5</v>
      </c>
      <c r="O97" s="64">
        <v>0</v>
      </c>
      <c r="P97" s="64">
        <v>0.65</v>
      </c>
      <c r="Q97" s="64">
        <v>9.4700000000000006</v>
      </c>
      <c r="R97" s="198"/>
      <c r="S97" s="198"/>
      <c r="T97" s="198"/>
      <c r="U97" s="198"/>
    </row>
    <row r="98" spans="1:33" s="12" customFormat="1" x14ac:dyDescent="0.25">
      <c r="A98" s="214" t="s">
        <v>1490</v>
      </c>
      <c r="B98" s="64">
        <v>8.23</v>
      </c>
      <c r="C98" s="64">
        <v>3.29</v>
      </c>
      <c r="D98" s="64">
        <v>12.09</v>
      </c>
      <c r="E98" s="64">
        <v>3.31</v>
      </c>
      <c r="F98" s="64">
        <v>4.07</v>
      </c>
      <c r="G98" s="64">
        <v>81.66</v>
      </c>
      <c r="H98" s="64">
        <v>32.57</v>
      </c>
      <c r="I98" s="64">
        <v>5.97</v>
      </c>
      <c r="J98" s="64">
        <v>0.62</v>
      </c>
      <c r="K98" s="64">
        <v>158.72999999999999</v>
      </c>
      <c r="L98" s="64">
        <v>30.28</v>
      </c>
      <c r="M98" s="64">
        <v>51.61</v>
      </c>
      <c r="N98" s="64">
        <v>17.8</v>
      </c>
      <c r="O98" s="64">
        <v>0</v>
      </c>
      <c r="P98" s="64">
        <v>0.63</v>
      </c>
      <c r="Q98" s="64">
        <v>9.48</v>
      </c>
      <c r="R98" s="198"/>
      <c r="S98" s="198"/>
      <c r="T98" s="198"/>
      <c r="U98" s="198"/>
    </row>
    <row r="99" spans="1:33" s="12" customFormat="1" x14ac:dyDescent="0.25">
      <c r="A99" s="214" t="s">
        <v>1491</v>
      </c>
      <c r="B99" s="64">
        <v>8.17</v>
      </c>
      <c r="C99" s="64">
        <v>3.11</v>
      </c>
      <c r="D99" s="64">
        <v>11.95</v>
      </c>
      <c r="E99" s="64">
        <v>3.36</v>
      </c>
      <c r="F99" s="64">
        <v>4.0999999999999996</v>
      </c>
      <c r="G99" s="64">
        <v>80.86</v>
      </c>
      <c r="H99" s="64">
        <v>30.83</v>
      </c>
      <c r="I99" s="64">
        <v>6.52</v>
      </c>
      <c r="J99" s="64">
        <v>0.41</v>
      </c>
      <c r="K99" s="64">
        <v>197.32</v>
      </c>
      <c r="L99" s="64">
        <v>30.45</v>
      </c>
      <c r="M99" s="64">
        <v>50.77</v>
      </c>
      <c r="N99" s="64">
        <v>17.3</v>
      </c>
      <c r="O99" s="64">
        <v>0</v>
      </c>
      <c r="P99" s="64">
        <v>0.62</v>
      </c>
      <c r="Q99" s="64">
        <v>9.5</v>
      </c>
      <c r="R99" s="198"/>
      <c r="S99" s="198"/>
      <c r="T99" s="198"/>
      <c r="U99" s="198"/>
    </row>
    <row r="100" spans="1:33" s="12" customFormat="1" x14ac:dyDescent="0.25">
      <c r="A100" s="214" t="s">
        <v>1492</v>
      </c>
      <c r="B100" s="64">
        <v>8.16</v>
      </c>
      <c r="C100" s="64">
        <v>3.13</v>
      </c>
      <c r="D100" s="64">
        <v>11.95</v>
      </c>
      <c r="E100" s="64">
        <v>3.5</v>
      </c>
      <c r="F100" s="64">
        <v>4.37</v>
      </c>
      <c r="G100" s="64">
        <v>80.86</v>
      </c>
      <c r="H100" s="64">
        <v>30.83</v>
      </c>
      <c r="I100" s="64">
        <v>6.73</v>
      </c>
      <c r="J100" s="64">
        <v>0.59</v>
      </c>
      <c r="K100" s="64">
        <v>173.96</v>
      </c>
      <c r="L100" s="64">
        <v>30.43</v>
      </c>
      <c r="M100" s="64">
        <v>49.98</v>
      </c>
      <c r="N100" s="64">
        <v>17.3</v>
      </c>
      <c r="O100" s="64">
        <v>0</v>
      </c>
      <c r="P100" s="64">
        <v>0.6</v>
      </c>
      <c r="Q100" s="64">
        <v>9.49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1493</v>
      </c>
      <c r="B101" s="64">
        <v>8.14</v>
      </c>
      <c r="C101" s="64">
        <v>3.11</v>
      </c>
      <c r="D101" s="64">
        <v>11.93</v>
      </c>
      <c r="E101" s="64">
        <v>3.61</v>
      </c>
      <c r="F101" s="64">
        <v>4.76</v>
      </c>
      <c r="G101" s="64">
        <v>80.86</v>
      </c>
      <c r="H101" s="64">
        <v>30.83</v>
      </c>
      <c r="I101" s="64">
        <v>6.72</v>
      </c>
      <c r="J101" s="64">
        <v>0.82</v>
      </c>
      <c r="K101" s="64">
        <v>159.69</v>
      </c>
      <c r="L101" s="64">
        <v>30.33</v>
      </c>
      <c r="M101" s="64">
        <v>50.49</v>
      </c>
      <c r="N101" s="64">
        <v>17.399999999999999</v>
      </c>
      <c r="O101" s="64">
        <v>0</v>
      </c>
      <c r="P101" s="64">
        <v>0.56999999999999995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14" t="s">
        <v>1494</v>
      </c>
      <c r="B102" s="64">
        <v>8.15</v>
      </c>
      <c r="C102" s="64">
        <v>3.1</v>
      </c>
      <c r="D102" s="64">
        <v>11.93</v>
      </c>
      <c r="E102" s="64">
        <v>3.39</v>
      </c>
      <c r="F102" s="64">
        <v>4.4800000000000004</v>
      </c>
      <c r="G102" s="64">
        <v>77.91</v>
      </c>
      <c r="H102" s="64">
        <v>32.03</v>
      </c>
      <c r="I102" s="64">
        <v>6.63</v>
      </c>
      <c r="J102" s="64">
        <v>1.32</v>
      </c>
      <c r="K102" s="64">
        <v>146.55000000000001</v>
      </c>
      <c r="L102" s="64">
        <v>30.03</v>
      </c>
      <c r="M102" s="64">
        <v>53.11</v>
      </c>
      <c r="N102" s="64">
        <v>17.5</v>
      </c>
      <c r="O102" s="64">
        <v>0</v>
      </c>
      <c r="P102" s="64">
        <v>0.55000000000000004</v>
      </c>
      <c r="Q102" s="64">
        <v>9.5299999999999994</v>
      </c>
      <c r="R102" s="198"/>
      <c r="S102" s="198"/>
      <c r="T102" s="198"/>
      <c r="U102" s="198"/>
    </row>
    <row r="103" spans="1:33" s="12" customFormat="1" x14ac:dyDescent="0.25">
      <c r="A103" s="214" t="s">
        <v>1495</v>
      </c>
      <c r="B103" s="64">
        <v>8.18</v>
      </c>
      <c r="C103" s="64">
        <v>3.16</v>
      </c>
      <c r="D103" s="64">
        <v>11.99</v>
      </c>
      <c r="E103" s="64">
        <v>3.27</v>
      </c>
      <c r="F103" s="64">
        <v>4.46</v>
      </c>
      <c r="G103" s="64">
        <v>75.09</v>
      </c>
      <c r="H103" s="64">
        <v>33.17</v>
      </c>
      <c r="I103" s="64">
        <v>6.46</v>
      </c>
      <c r="J103" s="64">
        <v>1.62</v>
      </c>
      <c r="K103" s="64">
        <v>148.38</v>
      </c>
      <c r="L103" s="64">
        <v>29.69</v>
      </c>
      <c r="M103" s="64">
        <v>54.79</v>
      </c>
      <c r="N103" s="64">
        <v>17.600000000000001</v>
      </c>
      <c r="O103" s="64">
        <v>0</v>
      </c>
      <c r="P103" s="64">
        <v>0.52</v>
      </c>
      <c r="Q103" s="64">
        <v>9.5399999999999991</v>
      </c>
      <c r="R103" s="198"/>
      <c r="S103" s="198"/>
      <c r="T103" s="198"/>
      <c r="U103" s="198"/>
    </row>
    <row r="104" spans="1:33" s="12" customFormat="1" x14ac:dyDescent="0.25">
      <c r="A104" s="214" t="s">
        <v>1496</v>
      </c>
      <c r="B104" s="64">
        <v>8.2200000000000006</v>
      </c>
      <c r="C104" s="64">
        <v>3.27</v>
      </c>
      <c r="D104" s="64">
        <v>12.07</v>
      </c>
      <c r="E104" s="64">
        <v>3.54</v>
      </c>
      <c r="F104" s="64">
        <v>4.5599999999999996</v>
      </c>
      <c r="G104" s="64">
        <v>75.09</v>
      </c>
      <c r="H104" s="64">
        <v>33.17</v>
      </c>
      <c r="I104" s="64">
        <v>6.41</v>
      </c>
      <c r="J104" s="64">
        <v>1.06</v>
      </c>
      <c r="K104" s="64">
        <v>154.77000000000001</v>
      </c>
      <c r="L104" s="64">
        <v>29.54</v>
      </c>
      <c r="M104" s="64">
        <v>54.87</v>
      </c>
      <c r="N104" s="64">
        <v>17.399999999999999</v>
      </c>
      <c r="O104" s="64">
        <v>0</v>
      </c>
      <c r="P104" s="64">
        <v>0.5</v>
      </c>
      <c r="Q104" s="64">
        <v>9.5500000000000007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8.1199999999999992</v>
      </c>
      <c r="C106" s="67">
        <f>MIN(C9:C104)</f>
        <v>3.06</v>
      </c>
      <c r="D106" s="67">
        <f t="shared" ref="D106:Q106" si="0">MIN(D9:D104)</f>
        <v>11.89</v>
      </c>
      <c r="E106" s="67">
        <f t="shared" si="0"/>
        <v>3.27</v>
      </c>
      <c r="F106" s="67">
        <f t="shared" si="0"/>
        <v>3.75</v>
      </c>
      <c r="G106" s="67">
        <f t="shared" si="0"/>
        <v>51.22</v>
      </c>
      <c r="H106" s="67">
        <f t="shared" si="0"/>
        <v>23.36</v>
      </c>
      <c r="I106" s="67">
        <f t="shared" si="0"/>
        <v>1.53</v>
      </c>
      <c r="J106" s="67">
        <f t="shared" si="0"/>
        <v>0.11</v>
      </c>
      <c r="K106" s="67">
        <f t="shared" si="0"/>
        <v>0.2</v>
      </c>
      <c r="L106" s="67">
        <f t="shared" si="0"/>
        <v>27.09</v>
      </c>
      <c r="M106" s="67">
        <f t="shared" si="0"/>
        <v>31.41</v>
      </c>
      <c r="N106" s="67">
        <f t="shared" si="0"/>
        <v>16.899999999999999</v>
      </c>
      <c r="O106" s="67">
        <f t="shared" si="0"/>
        <v>0</v>
      </c>
      <c r="P106" s="67">
        <f t="shared" si="0"/>
        <v>0.23</v>
      </c>
      <c r="Q106" s="67">
        <f t="shared" si="0"/>
        <v>9.31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8.4700000000000006</v>
      </c>
      <c r="C107" s="66">
        <f t="shared" ref="C107:Q107" si="1">MAX(C9:C104)</f>
        <v>4.4000000000000004</v>
      </c>
      <c r="D107" s="66">
        <f t="shared" si="1"/>
        <v>12.86</v>
      </c>
      <c r="E107" s="66">
        <f t="shared" si="1"/>
        <v>4.6900000000000004</v>
      </c>
      <c r="F107" s="66">
        <f t="shared" si="1"/>
        <v>10.32</v>
      </c>
      <c r="G107" s="66">
        <f t="shared" si="1"/>
        <v>90.57</v>
      </c>
      <c r="H107" s="66">
        <f t="shared" si="1"/>
        <v>57.86</v>
      </c>
      <c r="I107" s="66">
        <f t="shared" si="1"/>
        <v>6.73</v>
      </c>
      <c r="J107" s="66">
        <f t="shared" si="1"/>
        <v>1.62</v>
      </c>
      <c r="K107" s="66">
        <f t="shared" si="1"/>
        <v>355.02</v>
      </c>
      <c r="L107" s="66">
        <f t="shared" si="1"/>
        <v>37.39</v>
      </c>
      <c r="M107" s="66">
        <f t="shared" si="1"/>
        <v>72.97</v>
      </c>
      <c r="N107" s="66">
        <f t="shared" si="1"/>
        <v>833.4</v>
      </c>
      <c r="O107" s="66">
        <f t="shared" si="1"/>
        <v>0</v>
      </c>
      <c r="P107" s="66">
        <f t="shared" si="1"/>
        <v>0.75</v>
      </c>
      <c r="Q107" s="66">
        <f t="shared" si="1"/>
        <v>9.57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8.2216666666666622</v>
      </c>
      <c r="C108" s="67">
        <f t="shared" ref="C108:Q108" si="2">AVERAGE(C9:C104)</f>
        <v>3.3617708333333343</v>
      </c>
      <c r="D108" s="67">
        <f t="shared" si="2"/>
        <v>12.123125</v>
      </c>
      <c r="E108" s="67">
        <f t="shared" si="2"/>
        <v>3.9709374999999998</v>
      </c>
      <c r="F108" s="67">
        <f t="shared" si="2"/>
        <v>6.4080208333333362</v>
      </c>
      <c r="G108" s="67">
        <f t="shared" si="2"/>
        <v>69.392916666666636</v>
      </c>
      <c r="H108" s="67">
        <f t="shared" si="2"/>
        <v>36.208437500000002</v>
      </c>
      <c r="I108" s="67">
        <f t="shared" si="2"/>
        <v>3.1369791666666678</v>
      </c>
      <c r="J108" s="67">
        <f t="shared" si="2"/>
        <v>0.59468750000000015</v>
      </c>
      <c r="K108" s="67">
        <f t="shared" si="2"/>
        <v>128.66385416666665</v>
      </c>
      <c r="L108" s="67">
        <f t="shared" si="2"/>
        <v>31.751458333333318</v>
      </c>
      <c r="M108" s="67">
        <f t="shared" si="2"/>
        <v>50.512083333333322</v>
      </c>
      <c r="N108" s="67">
        <f t="shared" si="2"/>
        <v>166.71770833333329</v>
      </c>
      <c r="O108" s="67">
        <f t="shared" si="2"/>
        <v>0</v>
      </c>
      <c r="P108" s="67">
        <f t="shared" si="2"/>
        <v>0.48656250000000001</v>
      </c>
      <c r="Q108" s="67">
        <f t="shared" si="2"/>
        <v>9.420416666666668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8.600693566484123E-2</v>
      </c>
      <c r="C109" s="67">
        <f t="shared" ref="C109:Q109" si="3">STDEV(C9:C104)</f>
        <v>0.32423511544513384</v>
      </c>
      <c r="D109" s="67">
        <f t="shared" si="3"/>
        <v>0.23476892334468172</v>
      </c>
      <c r="E109" s="67">
        <f t="shared" si="3"/>
        <v>0.34267393777697613</v>
      </c>
      <c r="F109" s="67">
        <f t="shared" si="3"/>
        <v>1.8573555733561447</v>
      </c>
      <c r="G109" s="67">
        <f t="shared" si="3"/>
        <v>10.304580168844554</v>
      </c>
      <c r="H109" s="67">
        <f t="shared" si="3"/>
        <v>7.3646200213731454</v>
      </c>
      <c r="I109" s="67">
        <f t="shared" si="3"/>
        <v>1.288035729965074</v>
      </c>
      <c r="J109" s="67">
        <f t="shared" si="3"/>
        <v>0.21102233917663499</v>
      </c>
      <c r="K109" s="67">
        <f t="shared" si="3"/>
        <v>142.02639296879255</v>
      </c>
      <c r="L109" s="67">
        <f t="shared" si="3"/>
        <v>3.510202866882147</v>
      </c>
      <c r="M109" s="67">
        <f t="shared" si="3"/>
        <v>14.792582345761714</v>
      </c>
      <c r="N109" s="67">
        <f t="shared" si="3"/>
        <v>210.94309184920829</v>
      </c>
      <c r="O109" s="67">
        <f t="shared" si="3"/>
        <v>0</v>
      </c>
      <c r="P109" s="67">
        <f t="shared" si="3"/>
        <v>0.15034576377208095</v>
      </c>
      <c r="Q109" s="67">
        <f t="shared" si="3"/>
        <v>6.5789403508734551E-2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6" sqref="G1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1497</v>
      </c>
      <c r="B9" s="64">
        <v>8.2200000000000006</v>
      </c>
      <c r="C9" s="64">
        <v>3.28</v>
      </c>
      <c r="D9" s="64">
        <v>12.08</v>
      </c>
      <c r="E9" s="64">
        <v>4.08</v>
      </c>
      <c r="F9" s="64">
        <v>4.76</v>
      </c>
      <c r="G9" s="64">
        <v>75.09</v>
      </c>
      <c r="H9" s="64">
        <v>33.17</v>
      </c>
      <c r="I9" s="64">
        <v>6.47</v>
      </c>
      <c r="J9" s="64">
        <v>0.24</v>
      </c>
      <c r="K9" s="64">
        <v>280.97000000000003</v>
      </c>
      <c r="L9" s="64">
        <v>29.61</v>
      </c>
      <c r="M9" s="64">
        <v>53.71</v>
      </c>
      <c r="N9" s="64">
        <v>17.5</v>
      </c>
      <c r="O9" s="64">
        <v>0</v>
      </c>
      <c r="P9" s="64">
        <v>0.5</v>
      </c>
      <c r="Q9" s="64">
        <v>9.5500000000000007</v>
      </c>
      <c r="R9" s="198"/>
      <c r="S9" s="198"/>
      <c r="T9" s="198"/>
      <c r="U9" s="198"/>
    </row>
    <row r="10" spans="1:21" s="12" customFormat="1" x14ac:dyDescent="0.25">
      <c r="A10" s="214" t="s">
        <v>1498</v>
      </c>
      <c r="B10" s="64">
        <v>8.23</v>
      </c>
      <c r="C10" s="64">
        <v>3.35</v>
      </c>
      <c r="D10" s="64">
        <v>12.13</v>
      </c>
      <c r="E10" s="64">
        <v>3.84</v>
      </c>
      <c r="F10" s="64">
        <v>5</v>
      </c>
      <c r="G10" s="64">
        <v>70.599999999999994</v>
      </c>
      <c r="H10" s="64">
        <v>30.72</v>
      </c>
      <c r="I10" s="64">
        <v>6.48</v>
      </c>
      <c r="J10" s="64">
        <v>0.09</v>
      </c>
      <c r="K10" s="64">
        <v>61.06</v>
      </c>
      <c r="L10" s="64">
        <v>29.71</v>
      </c>
      <c r="M10" s="64">
        <v>53.08</v>
      </c>
      <c r="N10" s="64">
        <v>17.100000000000001</v>
      </c>
      <c r="O10" s="64">
        <v>0</v>
      </c>
      <c r="P10" s="64">
        <v>0.48</v>
      </c>
      <c r="Q10" s="64">
        <v>9.5399999999999991</v>
      </c>
      <c r="R10" s="198"/>
      <c r="S10" s="198"/>
      <c r="T10" s="198"/>
      <c r="U10" s="198"/>
    </row>
    <row r="11" spans="1:21" s="12" customFormat="1" x14ac:dyDescent="0.25">
      <c r="A11" s="214" t="s">
        <v>1499</v>
      </c>
      <c r="B11" s="64">
        <v>8.32</v>
      </c>
      <c r="C11" s="64">
        <v>3.61</v>
      </c>
      <c r="D11" s="64">
        <v>12.33</v>
      </c>
      <c r="E11" s="64">
        <v>3.55</v>
      </c>
      <c r="F11" s="64">
        <v>5.17</v>
      </c>
      <c r="G11" s="64">
        <v>66.3</v>
      </c>
      <c r="H11" s="64">
        <v>28.38</v>
      </c>
      <c r="I11" s="64">
        <v>6.3</v>
      </c>
      <c r="J11" s="64">
        <v>0.26</v>
      </c>
      <c r="K11" s="64">
        <v>25.39</v>
      </c>
      <c r="L11" s="64">
        <v>29.82</v>
      </c>
      <c r="M11" s="64">
        <v>55.45</v>
      </c>
      <c r="N11" s="64">
        <v>17.2</v>
      </c>
      <c r="O11" s="64">
        <v>0</v>
      </c>
      <c r="P11" s="64">
        <v>0.46</v>
      </c>
      <c r="Q11" s="64">
        <v>9.5500000000000007</v>
      </c>
      <c r="R11" s="198"/>
      <c r="S11" s="198"/>
      <c r="T11" s="198"/>
      <c r="U11" s="198"/>
    </row>
    <row r="12" spans="1:21" s="12" customFormat="1" x14ac:dyDescent="0.25">
      <c r="A12" s="214" t="s">
        <v>1500</v>
      </c>
      <c r="B12" s="64">
        <v>8.4700000000000006</v>
      </c>
      <c r="C12" s="64">
        <v>4.18</v>
      </c>
      <c r="D12" s="64">
        <v>12.75</v>
      </c>
      <c r="E12" s="64">
        <v>4.04</v>
      </c>
      <c r="F12" s="64">
        <v>5.3</v>
      </c>
      <c r="G12" s="64">
        <v>66.3</v>
      </c>
      <c r="H12" s="64">
        <v>28.38</v>
      </c>
      <c r="I12" s="64">
        <v>5.99</v>
      </c>
      <c r="J12" s="64">
        <v>0.38</v>
      </c>
      <c r="K12" s="64">
        <v>3.33</v>
      </c>
      <c r="L12" s="64">
        <v>29.89</v>
      </c>
      <c r="M12" s="64">
        <v>58.33</v>
      </c>
      <c r="N12" s="64">
        <v>17.3</v>
      </c>
      <c r="O12" s="64">
        <v>0</v>
      </c>
      <c r="P12" s="64">
        <v>0.43</v>
      </c>
      <c r="Q12" s="64">
        <v>9.52</v>
      </c>
      <c r="R12" s="198"/>
      <c r="S12" s="198"/>
      <c r="T12" s="198"/>
      <c r="U12" s="198"/>
    </row>
    <row r="13" spans="1:21" s="12" customFormat="1" x14ac:dyDescent="0.25">
      <c r="A13" s="214" t="s">
        <v>1501</v>
      </c>
      <c r="B13" s="64">
        <v>8.2200000000000006</v>
      </c>
      <c r="C13" s="64">
        <v>3.37</v>
      </c>
      <c r="D13" s="64">
        <v>12.13</v>
      </c>
      <c r="E13" s="64">
        <v>3.62</v>
      </c>
      <c r="F13" s="64">
        <v>5.73</v>
      </c>
      <c r="G13" s="64">
        <v>66.3</v>
      </c>
      <c r="H13" s="64">
        <v>28.38</v>
      </c>
      <c r="I13" s="64">
        <v>5.46</v>
      </c>
      <c r="J13" s="64">
        <v>0.42</v>
      </c>
      <c r="K13" s="64">
        <v>25.48</v>
      </c>
      <c r="L13" s="64">
        <v>29.95</v>
      </c>
      <c r="M13" s="64">
        <v>59.87</v>
      </c>
      <c r="N13" s="64">
        <v>17.3</v>
      </c>
      <c r="O13" s="64">
        <v>0</v>
      </c>
      <c r="P13" s="64">
        <v>0.39</v>
      </c>
      <c r="Q13" s="64">
        <v>9.51</v>
      </c>
      <c r="R13" s="198"/>
      <c r="S13" s="198"/>
      <c r="T13" s="198"/>
      <c r="U13" s="198"/>
    </row>
    <row r="14" spans="1:21" s="12" customFormat="1" x14ac:dyDescent="0.25">
      <c r="A14" s="214" t="s">
        <v>1502</v>
      </c>
      <c r="B14" s="64">
        <v>8.17</v>
      </c>
      <c r="C14" s="64">
        <v>3.18</v>
      </c>
      <c r="D14" s="64">
        <v>11.99</v>
      </c>
      <c r="E14" s="64">
        <v>4.0599999999999996</v>
      </c>
      <c r="F14" s="64">
        <v>5.85</v>
      </c>
      <c r="G14" s="64">
        <v>63.88</v>
      </c>
      <c r="H14" s="64">
        <v>26.35</v>
      </c>
      <c r="I14" s="64">
        <v>4.95</v>
      </c>
      <c r="J14" s="64">
        <v>0.3</v>
      </c>
      <c r="K14" s="64">
        <v>3.38</v>
      </c>
      <c r="L14" s="64">
        <v>29.88</v>
      </c>
      <c r="M14" s="64">
        <v>60.49</v>
      </c>
      <c r="N14" s="64">
        <v>17.3</v>
      </c>
      <c r="O14" s="64">
        <v>0</v>
      </c>
      <c r="P14" s="64">
        <v>0.39</v>
      </c>
      <c r="Q14" s="64">
        <v>9.49</v>
      </c>
      <c r="R14" s="198"/>
      <c r="S14" s="198"/>
      <c r="T14" s="198"/>
      <c r="U14" s="198"/>
    </row>
    <row r="15" spans="1:21" s="12" customFormat="1" x14ac:dyDescent="0.25">
      <c r="A15" s="214" t="s">
        <v>1503</v>
      </c>
      <c r="B15" s="64">
        <v>8.17</v>
      </c>
      <c r="C15" s="64">
        <v>3.13</v>
      </c>
      <c r="D15" s="64">
        <v>11.96</v>
      </c>
      <c r="E15" s="64">
        <v>4.38</v>
      </c>
      <c r="F15" s="64">
        <v>5.99</v>
      </c>
      <c r="G15" s="64">
        <v>61.66</v>
      </c>
      <c r="H15" s="64">
        <v>24.42</v>
      </c>
      <c r="I15" s="64">
        <v>4.58</v>
      </c>
      <c r="J15" s="64">
        <v>0.48</v>
      </c>
      <c r="K15" s="64">
        <v>16.23</v>
      </c>
      <c r="L15" s="64">
        <v>29.91</v>
      </c>
      <c r="M15" s="64">
        <v>59.62</v>
      </c>
      <c r="N15" s="64">
        <v>17.3</v>
      </c>
      <c r="O15" s="64">
        <v>0</v>
      </c>
      <c r="P15" s="64">
        <v>0.37</v>
      </c>
      <c r="Q15" s="64">
        <v>9.43</v>
      </c>
      <c r="R15" s="198"/>
      <c r="S15" s="198"/>
      <c r="T15" s="198"/>
      <c r="U15" s="198"/>
    </row>
    <row r="16" spans="1:21" s="12" customFormat="1" x14ac:dyDescent="0.25">
      <c r="A16" s="214" t="s">
        <v>1504</v>
      </c>
      <c r="B16" s="64">
        <v>8.17</v>
      </c>
      <c r="C16" s="64">
        <v>3.1</v>
      </c>
      <c r="D16" s="64">
        <v>11.94</v>
      </c>
      <c r="E16" s="64">
        <v>3.74</v>
      </c>
      <c r="F16" s="64">
        <v>6.61</v>
      </c>
      <c r="G16" s="64">
        <v>61.66</v>
      </c>
      <c r="H16" s="64">
        <v>24.42</v>
      </c>
      <c r="I16" s="64">
        <v>4.2699999999999996</v>
      </c>
      <c r="J16" s="64">
        <v>0.31</v>
      </c>
      <c r="K16" s="64">
        <v>29.2</v>
      </c>
      <c r="L16" s="64">
        <v>29.97</v>
      </c>
      <c r="M16" s="64">
        <v>58.17</v>
      </c>
      <c r="N16" s="64">
        <v>17.2</v>
      </c>
      <c r="O16" s="64">
        <v>0</v>
      </c>
      <c r="P16" s="64">
        <v>0.35</v>
      </c>
      <c r="Q16" s="64">
        <v>9.41</v>
      </c>
      <c r="R16" s="198"/>
      <c r="S16" s="198"/>
      <c r="T16" s="198"/>
      <c r="U16" s="198"/>
    </row>
    <row r="17" spans="1:21" s="12" customFormat="1" x14ac:dyDescent="0.25">
      <c r="A17" s="214" t="s">
        <v>1505</v>
      </c>
      <c r="B17" s="64">
        <v>8.17</v>
      </c>
      <c r="C17" s="64">
        <v>3.07</v>
      </c>
      <c r="D17" s="64">
        <v>11.93</v>
      </c>
      <c r="E17" s="64">
        <v>3.86</v>
      </c>
      <c r="F17" s="64">
        <v>8.26</v>
      </c>
      <c r="G17" s="64">
        <v>61.66</v>
      </c>
      <c r="H17" s="64">
        <v>24.42</v>
      </c>
      <c r="I17" s="64">
        <v>4.0199999999999996</v>
      </c>
      <c r="J17" s="64">
        <v>0.52</v>
      </c>
      <c r="K17" s="64">
        <v>6.92</v>
      </c>
      <c r="L17" s="64">
        <v>29.89</v>
      </c>
      <c r="M17" s="64">
        <v>57.41</v>
      </c>
      <c r="N17" s="64">
        <v>17.399999999999999</v>
      </c>
      <c r="O17" s="64">
        <v>0</v>
      </c>
      <c r="P17" s="64">
        <v>0.32</v>
      </c>
      <c r="Q17" s="64">
        <v>9.41</v>
      </c>
      <c r="R17" s="198"/>
      <c r="S17" s="198"/>
      <c r="T17" s="198"/>
      <c r="U17" s="198"/>
    </row>
    <row r="18" spans="1:21" s="12" customFormat="1" x14ac:dyDescent="0.25">
      <c r="A18" s="214" t="s">
        <v>1506</v>
      </c>
      <c r="B18" s="64">
        <v>8.1999999999999993</v>
      </c>
      <c r="C18" s="64">
        <v>3.13</v>
      </c>
      <c r="D18" s="64">
        <v>11.98</v>
      </c>
      <c r="E18" s="64">
        <v>4.03</v>
      </c>
      <c r="F18" s="64">
        <v>10.25</v>
      </c>
      <c r="G18" s="64">
        <v>60.47</v>
      </c>
      <c r="H18" s="64">
        <v>25.25</v>
      </c>
      <c r="I18" s="64">
        <v>3.88</v>
      </c>
      <c r="J18" s="64">
        <v>0.56000000000000005</v>
      </c>
      <c r="K18" s="64">
        <v>11.87</v>
      </c>
      <c r="L18" s="64">
        <v>29.69</v>
      </c>
      <c r="M18" s="64">
        <v>55.99</v>
      </c>
      <c r="N18" s="64">
        <v>17.7</v>
      </c>
      <c r="O18" s="64">
        <v>0</v>
      </c>
      <c r="P18" s="64">
        <v>0.28999999999999998</v>
      </c>
      <c r="Q18" s="64">
        <v>9.41</v>
      </c>
      <c r="R18" s="198"/>
      <c r="S18" s="198"/>
      <c r="T18" s="198"/>
      <c r="U18" s="198"/>
    </row>
    <row r="19" spans="1:21" s="12" customFormat="1" x14ac:dyDescent="0.25">
      <c r="A19" s="214" t="s">
        <v>1507</v>
      </c>
      <c r="B19" s="64">
        <v>8.2100000000000009</v>
      </c>
      <c r="C19" s="64">
        <v>3.17</v>
      </c>
      <c r="D19" s="64">
        <v>12.01</v>
      </c>
      <c r="E19" s="64">
        <v>4.1399999999999997</v>
      </c>
      <c r="F19" s="64">
        <v>11.39</v>
      </c>
      <c r="G19" s="64">
        <v>59.38</v>
      </c>
      <c r="H19" s="64">
        <v>26.04</v>
      </c>
      <c r="I19" s="64">
        <v>3.56</v>
      </c>
      <c r="J19" s="64">
        <v>0.57999999999999996</v>
      </c>
      <c r="K19" s="64">
        <v>17.7</v>
      </c>
      <c r="L19" s="64">
        <v>29.46</v>
      </c>
      <c r="M19" s="64">
        <v>54.74</v>
      </c>
      <c r="N19" s="64">
        <v>17.7</v>
      </c>
      <c r="O19" s="64">
        <v>0</v>
      </c>
      <c r="P19" s="64">
        <v>0.27</v>
      </c>
      <c r="Q19" s="64">
        <v>9.43</v>
      </c>
      <c r="R19" s="198"/>
      <c r="S19" s="198"/>
      <c r="T19" s="198"/>
      <c r="U19" s="198"/>
    </row>
    <row r="20" spans="1:21" s="12" customFormat="1" x14ac:dyDescent="0.25">
      <c r="A20" s="214" t="s">
        <v>1508</v>
      </c>
      <c r="B20" s="64">
        <v>8.2200000000000006</v>
      </c>
      <c r="C20" s="64">
        <v>3.19</v>
      </c>
      <c r="D20" s="64">
        <v>12.03</v>
      </c>
      <c r="E20" s="64">
        <v>4.08</v>
      </c>
      <c r="F20" s="64">
        <v>10.54</v>
      </c>
      <c r="G20" s="64">
        <v>59.38</v>
      </c>
      <c r="H20" s="64">
        <v>26.04</v>
      </c>
      <c r="I20" s="64">
        <v>3.14</v>
      </c>
      <c r="J20" s="64">
        <v>0.54</v>
      </c>
      <c r="K20" s="64">
        <v>20.67</v>
      </c>
      <c r="L20" s="64">
        <v>29.21</v>
      </c>
      <c r="M20" s="64">
        <v>54.23</v>
      </c>
      <c r="N20" s="64">
        <v>17.8</v>
      </c>
      <c r="O20" s="64">
        <v>0</v>
      </c>
      <c r="P20" s="64">
        <v>0.25</v>
      </c>
      <c r="Q20" s="64">
        <v>9.39</v>
      </c>
      <c r="R20" s="198"/>
      <c r="S20" s="198"/>
      <c r="T20" s="198"/>
      <c r="U20" s="198"/>
    </row>
    <row r="21" spans="1:21" s="12" customFormat="1" x14ac:dyDescent="0.25">
      <c r="A21" s="214" t="s">
        <v>1509</v>
      </c>
      <c r="B21" s="64">
        <v>8.2200000000000006</v>
      </c>
      <c r="C21" s="64">
        <v>3.18</v>
      </c>
      <c r="D21" s="64">
        <v>12.03</v>
      </c>
      <c r="E21" s="64">
        <v>3.73</v>
      </c>
      <c r="F21" s="64">
        <v>9.6</v>
      </c>
      <c r="G21" s="64">
        <v>59.38</v>
      </c>
      <c r="H21" s="64">
        <v>26.04</v>
      </c>
      <c r="I21" s="64">
        <v>2.72</v>
      </c>
      <c r="J21" s="64">
        <v>0.47</v>
      </c>
      <c r="K21" s="64">
        <v>10.57</v>
      </c>
      <c r="L21" s="64">
        <v>28.95</v>
      </c>
      <c r="M21" s="64">
        <v>54.14</v>
      </c>
      <c r="N21" s="64">
        <v>17.7</v>
      </c>
      <c r="O21" s="64">
        <v>0</v>
      </c>
      <c r="P21" s="64">
        <v>0.23</v>
      </c>
      <c r="Q21" s="64">
        <v>9.4</v>
      </c>
      <c r="R21" s="198"/>
      <c r="S21" s="198"/>
      <c r="T21" s="198"/>
      <c r="U21" s="198"/>
    </row>
    <row r="22" spans="1:21" s="12" customFormat="1" x14ac:dyDescent="0.25">
      <c r="A22" s="214" t="s">
        <v>1510</v>
      </c>
      <c r="B22" s="64">
        <v>8.2799999999999994</v>
      </c>
      <c r="C22" s="64">
        <v>3.32</v>
      </c>
      <c r="D22" s="64">
        <v>12.15</v>
      </c>
      <c r="E22" s="64">
        <v>4.05</v>
      </c>
      <c r="F22" s="64">
        <v>8.5399999999999991</v>
      </c>
      <c r="G22" s="64">
        <v>56.28</v>
      </c>
      <c r="H22" s="64">
        <v>25.24</v>
      </c>
      <c r="I22" s="64">
        <v>2.4</v>
      </c>
      <c r="J22" s="64">
        <v>0.6</v>
      </c>
      <c r="K22" s="64">
        <v>24.74</v>
      </c>
      <c r="L22" s="64">
        <v>28.79</v>
      </c>
      <c r="M22" s="64">
        <v>54.81</v>
      </c>
      <c r="N22" s="64">
        <v>17.7</v>
      </c>
      <c r="O22" s="64">
        <v>0</v>
      </c>
      <c r="P22" s="64">
        <v>0.22</v>
      </c>
      <c r="Q22" s="64">
        <v>9.43</v>
      </c>
      <c r="R22" s="198"/>
      <c r="S22" s="198"/>
      <c r="T22" s="198"/>
      <c r="U22" s="198"/>
    </row>
    <row r="23" spans="1:21" s="12" customFormat="1" x14ac:dyDescent="0.25">
      <c r="A23" s="214" t="s">
        <v>1511</v>
      </c>
      <c r="B23" s="64">
        <v>8.2200000000000006</v>
      </c>
      <c r="C23" s="64">
        <v>3.2</v>
      </c>
      <c r="D23" s="64">
        <v>12.04</v>
      </c>
      <c r="E23" s="64">
        <v>3.86</v>
      </c>
      <c r="F23" s="64">
        <v>6.74</v>
      </c>
      <c r="G23" s="64">
        <v>53.32</v>
      </c>
      <c r="H23" s="64">
        <v>24.47</v>
      </c>
      <c r="I23" s="64">
        <v>2.29</v>
      </c>
      <c r="J23" s="64">
        <v>0.64</v>
      </c>
      <c r="K23" s="64">
        <v>16.170000000000002</v>
      </c>
      <c r="L23" s="64">
        <v>28.62</v>
      </c>
      <c r="M23" s="64">
        <v>55.01</v>
      </c>
      <c r="N23" s="64">
        <v>17.600000000000001</v>
      </c>
      <c r="O23" s="64">
        <v>0</v>
      </c>
      <c r="P23" s="64">
        <v>0.22</v>
      </c>
      <c r="Q23" s="64">
        <v>9.44</v>
      </c>
      <c r="R23" s="198"/>
      <c r="S23" s="198"/>
      <c r="T23" s="198"/>
      <c r="U23" s="198"/>
    </row>
    <row r="24" spans="1:21" s="12" customFormat="1" x14ac:dyDescent="0.25">
      <c r="A24" s="214" t="s">
        <v>1512</v>
      </c>
      <c r="B24" s="64">
        <v>8.41</v>
      </c>
      <c r="C24" s="64">
        <v>3.79</v>
      </c>
      <c r="D24" s="64">
        <v>12.5</v>
      </c>
      <c r="E24" s="64">
        <v>3.34</v>
      </c>
      <c r="F24" s="64">
        <v>6.66</v>
      </c>
      <c r="G24" s="64">
        <v>53.32</v>
      </c>
      <c r="H24" s="64">
        <v>24.47</v>
      </c>
      <c r="I24" s="64">
        <v>2.25</v>
      </c>
      <c r="J24" s="64">
        <v>0.39</v>
      </c>
      <c r="K24" s="64">
        <v>10.36</v>
      </c>
      <c r="L24" s="64">
        <v>28.51</v>
      </c>
      <c r="M24" s="64">
        <v>55.43</v>
      </c>
      <c r="N24" s="64">
        <v>17.5</v>
      </c>
      <c r="O24" s="64">
        <v>0</v>
      </c>
      <c r="P24" s="64">
        <v>0.21</v>
      </c>
      <c r="Q24" s="64">
        <v>9.42</v>
      </c>
      <c r="R24" s="198"/>
      <c r="S24" s="198"/>
      <c r="T24" s="198"/>
      <c r="U24" s="198"/>
    </row>
    <row r="25" spans="1:21" s="12" customFormat="1" x14ac:dyDescent="0.25">
      <c r="A25" s="214" t="s">
        <v>1513</v>
      </c>
      <c r="B25" s="64">
        <v>8.25</v>
      </c>
      <c r="C25" s="64">
        <v>3.42</v>
      </c>
      <c r="D25" s="64">
        <v>12.18</v>
      </c>
      <c r="E25" s="64">
        <v>3.5</v>
      </c>
      <c r="F25" s="64">
        <v>6.52</v>
      </c>
      <c r="G25" s="64">
        <v>53.32</v>
      </c>
      <c r="H25" s="64">
        <v>24.47</v>
      </c>
      <c r="I25" s="64">
        <v>2.13</v>
      </c>
      <c r="J25" s="64">
        <v>0.41</v>
      </c>
      <c r="K25" s="64">
        <v>9.17</v>
      </c>
      <c r="L25" s="64">
        <v>28.27</v>
      </c>
      <c r="M25" s="64">
        <v>55.64</v>
      </c>
      <c r="N25" s="64">
        <v>17.7</v>
      </c>
      <c r="O25" s="64">
        <v>0</v>
      </c>
      <c r="P25" s="64">
        <v>0.21</v>
      </c>
      <c r="Q25" s="64">
        <v>9.44</v>
      </c>
      <c r="R25" s="198"/>
      <c r="S25" s="198"/>
      <c r="T25" s="198"/>
      <c r="U25" s="198"/>
    </row>
    <row r="26" spans="1:21" s="12" customFormat="1" x14ac:dyDescent="0.25">
      <c r="A26" s="214" t="s">
        <v>1514</v>
      </c>
      <c r="B26" s="64">
        <v>8.15</v>
      </c>
      <c r="C26" s="64">
        <v>3.08</v>
      </c>
      <c r="D26" s="64">
        <v>11.92</v>
      </c>
      <c r="E26" s="64">
        <v>3.47</v>
      </c>
      <c r="F26" s="64">
        <v>6.35</v>
      </c>
      <c r="G26" s="64">
        <v>49.67</v>
      </c>
      <c r="H26" s="64">
        <v>22.01</v>
      </c>
      <c r="I26" s="64">
        <v>2.0099999999999998</v>
      </c>
      <c r="J26" s="64">
        <v>0.53</v>
      </c>
      <c r="K26" s="64">
        <v>9.85</v>
      </c>
      <c r="L26" s="64">
        <v>28.13</v>
      </c>
      <c r="M26" s="64">
        <v>55.11</v>
      </c>
      <c r="N26" s="64">
        <v>17.5</v>
      </c>
      <c r="O26" s="64">
        <v>0</v>
      </c>
      <c r="P26" s="64">
        <v>0.2</v>
      </c>
      <c r="Q26" s="64">
        <v>9.44</v>
      </c>
      <c r="R26" s="198"/>
      <c r="S26" s="198"/>
      <c r="T26" s="198"/>
      <c r="U26" s="198"/>
    </row>
    <row r="27" spans="1:21" s="12" customFormat="1" x14ac:dyDescent="0.25">
      <c r="A27" s="214" t="s">
        <v>1515</v>
      </c>
      <c r="B27" s="64">
        <v>8.1300000000000008</v>
      </c>
      <c r="C27" s="64">
        <v>3.03</v>
      </c>
      <c r="D27" s="64">
        <v>11.88</v>
      </c>
      <c r="E27" s="64">
        <v>3.47</v>
      </c>
      <c r="F27" s="64">
        <v>6.73</v>
      </c>
      <c r="G27" s="64">
        <v>46.18</v>
      </c>
      <c r="H27" s="64">
        <v>19.66</v>
      </c>
      <c r="I27" s="64">
        <v>1.91</v>
      </c>
      <c r="J27" s="64">
        <v>0.53</v>
      </c>
      <c r="K27" s="64">
        <v>16.98</v>
      </c>
      <c r="L27" s="64">
        <v>28.03</v>
      </c>
      <c r="M27" s="64">
        <v>54.52</v>
      </c>
      <c r="N27" s="64">
        <v>17.399999999999999</v>
      </c>
      <c r="O27" s="64">
        <v>0</v>
      </c>
      <c r="P27" s="64">
        <v>0.2</v>
      </c>
      <c r="Q27" s="64">
        <v>9.44</v>
      </c>
      <c r="R27" s="198"/>
      <c r="S27" s="198"/>
      <c r="T27" s="198"/>
      <c r="U27" s="198"/>
    </row>
    <row r="28" spans="1:21" s="12" customFormat="1" x14ac:dyDescent="0.25">
      <c r="A28" s="214" t="s">
        <v>1516</v>
      </c>
      <c r="B28" s="64">
        <v>8.18</v>
      </c>
      <c r="C28" s="64">
        <v>3.24</v>
      </c>
      <c r="D28" s="64">
        <v>12.03</v>
      </c>
      <c r="E28" s="64">
        <v>3.24</v>
      </c>
      <c r="F28" s="64">
        <v>6.65</v>
      </c>
      <c r="G28" s="64">
        <v>46.18</v>
      </c>
      <c r="H28" s="64">
        <v>19.66</v>
      </c>
      <c r="I28" s="64">
        <v>1.81</v>
      </c>
      <c r="J28" s="64">
        <v>0.57999999999999996</v>
      </c>
      <c r="K28" s="64">
        <v>6.65</v>
      </c>
      <c r="L28" s="64">
        <v>27.9</v>
      </c>
      <c r="M28" s="64">
        <v>53.76</v>
      </c>
      <c r="N28" s="64">
        <v>17.5</v>
      </c>
      <c r="O28" s="64">
        <v>0</v>
      </c>
      <c r="P28" s="64">
        <v>0.18</v>
      </c>
      <c r="Q28" s="64">
        <v>9.42</v>
      </c>
      <c r="R28" s="198"/>
      <c r="S28" s="198"/>
      <c r="T28" s="198"/>
      <c r="U28" s="198"/>
    </row>
    <row r="29" spans="1:21" s="12" customFormat="1" x14ac:dyDescent="0.25">
      <c r="A29" s="214" t="s">
        <v>1517</v>
      </c>
      <c r="B29" s="64">
        <v>8.15</v>
      </c>
      <c r="C29" s="64">
        <v>3.13</v>
      </c>
      <c r="D29" s="64">
        <v>11.95</v>
      </c>
      <c r="E29" s="64">
        <v>3.2</v>
      </c>
      <c r="F29" s="64">
        <v>7.62</v>
      </c>
      <c r="G29" s="64">
        <v>46.18</v>
      </c>
      <c r="H29" s="64">
        <v>19.66</v>
      </c>
      <c r="I29" s="64">
        <v>1.72</v>
      </c>
      <c r="J29" s="64">
        <v>0.62</v>
      </c>
      <c r="K29" s="64">
        <v>11.89</v>
      </c>
      <c r="L29" s="64">
        <v>27.83</v>
      </c>
      <c r="M29" s="64">
        <v>53.41</v>
      </c>
      <c r="N29" s="64">
        <v>18.600000000000001</v>
      </c>
      <c r="O29" s="64">
        <v>0</v>
      </c>
      <c r="P29" s="64">
        <v>0.19</v>
      </c>
      <c r="Q29" s="64">
        <v>9.39</v>
      </c>
      <c r="R29" s="198"/>
      <c r="S29" s="198"/>
      <c r="T29" s="198"/>
      <c r="U29" s="198"/>
    </row>
    <row r="30" spans="1:21" s="12" customFormat="1" x14ac:dyDescent="0.25">
      <c r="A30" s="214" t="s">
        <v>1518</v>
      </c>
      <c r="B30" s="64">
        <v>8.15</v>
      </c>
      <c r="C30" s="64">
        <v>3.1</v>
      </c>
      <c r="D30" s="64">
        <v>11.93</v>
      </c>
      <c r="E30" s="64">
        <v>3.45</v>
      </c>
      <c r="F30" s="64">
        <v>7.07</v>
      </c>
      <c r="G30" s="64">
        <v>44.1</v>
      </c>
      <c r="H30" s="64">
        <v>18.11</v>
      </c>
      <c r="I30" s="64">
        <v>1.58</v>
      </c>
      <c r="J30" s="64">
        <v>0.64</v>
      </c>
      <c r="K30" s="64">
        <v>18.09</v>
      </c>
      <c r="L30" s="64">
        <v>27.76</v>
      </c>
      <c r="M30" s="64">
        <v>52.98</v>
      </c>
      <c r="N30" s="64">
        <v>23.2</v>
      </c>
      <c r="O30" s="64">
        <v>0</v>
      </c>
      <c r="P30" s="64">
        <v>0.17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4" t="s">
        <v>1519</v>
      </c>
      <c r="B31" s="64">
        <v>8.17</v>
      </c>
      <c r="C31" s="64">
        <v>3.19</v>
      </c>
      <c r="D31" s="64">
        <v>12</v>
      </c>
      <c r="E31" s="64">
        <v>3.64</v>
      </c>
      <c r="F31" s="64">
        <v>7.09</v>
      </c>
      <c r="G31" s="64">
        <v>42.11</v>
      </c>
      <c r="H31" s="64">
        <v>16.690000000000001</v>
      </c>
      <c r="I31" s="64">
        <v>1.47</v>
      </c>
      <c r="J31" s="64">
        <v>0.55000000000000004</v>
      </c>
      <c r="K31" s="64">
        <v>12.33</v>
      </c>
      <c r="L31" s="64">
        <v>27.73</v>
      </c>
      <c r="M31" s="64">
        <v>53.56</v>
      </c>
      <c r="N31" s="64">
        <v>30.7</v>
      </c>
      <c r="O31" s="64">
        <v>0</v>
      </c>
      <c r="P31" s="64">
        <v>0.18</v>
      </c>
      <c r="Q31" s="64">
        <v>9.3800000000000008</v>
      </c>
      <c r="R31" s="198"/>
      <c r="S31" s="198"/>
      <c r="T31" s="198"/>
      <c r="U31" s="198"/>
    </row>
    <row r="32" spans="1:21" s="12" customFormat="1" x14ac:dyDescent="0.25">
      <c r="A32" s="214" t="s">
        <v>1520</v>
      </c>
      <c r="B32" s="64">
        <v>8.1999999999999993</v>
      </c>
      <c r="C32" s="64">
        <v>3.27</v>
      </c>
      <c r="D32" s="64">
        <v>12.06</v>
      </c>
      <c r="E32" s="64">
        <v>3.39</v>
      </c>
      <c r="F32" s="64">
        <v>5.79</v>
      </c>
      <c r="G32" s="64">
        <v>42.11</v>
      </c>
      <c r="H32" s="64">
        <v>16.690000000000001</v>
      </c>
      <c r="I32" s="64">
        <v>1.42</v>
      </c>
      <c r="J32" s="64">
        <v>0.63</v>
      </c>
      <c r="K32" s="64">
        <v>12.29</v>
      </c>
      <c r="L32" s="64">
        <v>27.75</v>
      </c>
      <c r="M32" s="64">
        <v>53.88</v>
      </c>
      <c r="N32" s="64">
        <v>50.9</v>
      </c>
      <c r="O32" s="64">
        <v>0</v>
      </c>
      <c r="P32" s="64">
        <v>0.17</v>
      </c>
      <c r="Q32" s="64">
        <v>9.39</v>
      </c>
      <c r="R32" s="198"/>
      <c r="S32" s="198"/>
      <c r="T32" s="198"/>
      <c r="U32" s="198"/>
    </row>
    <row r="33" spans="1:21" s="12" customFormat="1" x14ac:dyDescent="0.25">
      <c r="A33" s="214" t="s">
        <v>1521</v>
      </c>
      <c r="B33" s="64">
        <v>8.24</v>
      </c>
      <c r="C33" s="64">
        <v>3.34</v>
      </c>
      <c r="D33" s="64">
        <v>12.13</v>
      </c>
      <c r="E33" s="64">
        <v>3.83</v>
      </c>
      <c r="F33" s="64">
        <v>6</v>
      </c>
      <c r="G33" s="64">
        <v>42.11</v>
      </c>
      <c r="H33" s="64">
        <v>16.690000000000001</v>
      </c>
      <c r="I33" s="64">
        <v>1.44</v>
      </c>
      <c r="J33" s="64">
        <v>0.71</v>
      </c>
      <c r="K33" s="64">
        <v>29.25</v>
      </c>
      <c r="L33" s="64">
        <v>27.9</v>
      </c>
      <c r="M33" s="64">
        <v>54.08</v>
      </c>
      <c r="N33" s="64">
        <v>79.5</v>
      </c>
      <c r="O33" s="64">
        <v>0</v>
      </c>
      <c r="P33" s="64">
        <v>0.18</v>
      </c>
      <c r="Q33" s="64">
        <v>9.35</v>
      </c>
      <c r="R33" s="198"/>
      <c r="S33" s="198"/>
      <c r="T33" s="198"/>
      <c r="U33" s="198"/>
    </row>
    <row r="34" spans="1:21" s="12" customFormat="1" x14ac:dyDescent="0.25">
      <c r="A34" s="214" t="s">
        <v>1522</v>
      </c>
      <c r="B34" s="64">
        <v>8.36</v>
      </c>
      <c r="C34" s="64">
        <v>3.71</v>
      </c>
      <c r="D34" s="64">
        <v>12.42</v>
      </c>
      <c r="E34" s="64">
        <v>3.33</v>
      </c>
      <c r="F34" s="64">
        <v>6.35</v>
      </c>
      <c r="G34" s="64">
        <v>42.68</v>
      </c>
      <c r="H34" s="64">
        <v>18.059999999999999</v>
      </c>
      <c r="I34" s="64">
        <v>1.43</v>
      </c>
      <c r="J34" s="64">
        <v>0.41</v>
      </c>
      <c r="K34" s="64">
        <v>2.0699999999999998</v>
      </c>
      <c r="L34" s="64">
        <v>28.01</v>
      </c>
      <c r="M34" s="64">
        <v>54.75</v>
      </c>
      <c r="N34" s="64">
        <v>91.9</v>
      </c>
      <c r="O34" s="64">
        <v>0</v>
      </c>
      <c r="P34" s="64">
        <v>0.18</v>
      </c>
      <c r="Q34" s="64">
        <v>9.33</v>
      </c>
      <c r="R34" s="198"/>
      <c r="S34" s="198"/>
      <c r="T34" s="198"/>
      <c r="U34" s="198"/>
    </row>
    <row r="35" spans="1:21" s="12" customFormat="1" x14ac:dyDescent="0.25">
      <c r="A35" s="214" t="s">
        <v>1523</v>
      </c>
      <c r="B35" s="64">
        <v>8.33</v>
      </c>
      <c r="C35" s="64">
        <v>3.59</v>
      </c>
      <c r="D35" s="64">
        <v>12.33</v>
      </c>
      <c r="E35" s="64">
        <v>3.5</v>
      </c>
      <c r="F35" s="64">
        <v>5.72</v>
      </c>
      <c r="G35" s="64">
        <v>43.23</v>
      </c>
      <c r="H35" s="64">
        <v>19.32</v>
      </c>
      <c r="I35" s="64">
        <v>1.38</v>
      </c>
      <c r="J35" s="64">
        <v>0.43</v>
      </c>
      <c r="K35" s="64">
        <v>25.17</v>
      </c>
      <c r="L35" s="64">
        <v>28.15</v>
      </c>
      <c r="M35" s="64">
        <v>55.33</v>
      </c>
      <c r="N35" s="64">
        <v>111.7</v>
      </c>
      <c r="O35" s="64">
        <v>0</v>
      </c>
      <c r="P35" s="64">
        <v>0.2</v>
      </c>
      <c r="Q35" s="64">
        <v>9.34</v>
      </c>
      <c r="R35" s="198"/>
      <c r="S35" s="198"/>
      <c r="T35" s="198"/>
      <c r="U35" s="198"/>
    </row>
    <row r="36" spans="1:21" s="12" customFormat="1" x14ac:dyDescent="0.25">
      <c r="A36" s="214" t="s">
        <v>1524</v>
      </c>
      <c r="B36" s="64">
        <v>8.2100000000000009</v>
      </c>
      <c r="C36" s="64">
        <v>3.17</v>
      </c>
      <c r="D36" s="64">
        <v>12.01</v>
      </c>
      <c r="E36" s="64">
        <v>3.44</v>
      </c>
      <c r="F36" s="64">
        <v>5.6</v>
      </c>
      <c r="G36" s="64">
        <v>43.23</v>
      </c>
      <c r="H36" s="64">
        <v>19.32</v>
      </c>
      <c r="I36" s="64">
        <v>1.43</v>
      </c>
      <c r="J36" s="64">
        <v>0.51</v>
      </c>
      <c r="K36" s="64">
        <v>1.52</v>
      </c>
      <c r="L36" s="64">
        <v>28.45</v>
      </c>
      <c r="M36" s="64">
        <v>55.2</v>
      </c>
      <c r="N36" s="64">
        <v>161.19999999999999</v>
      </c>
      <c r="O36" s="64">
        <v>0</v>
      </c>
      <c r="P36" s="64">
        <v>0.21</v>
      </c>
      <c r="Q36" s="64">
        <v>9.35</v>
      </c>
      <c r="R36" s="198"/>
      <c r="S36" s="198"/>
      <c r="T36" s="198"/>
      <c r="U36" s="198"/>
    </row>
    <row r="37" spans="1:21" s="12" customFormat="1" x14ac:dyDescent="0.25">
      <c r="A37" s="214" t="s">
        <v>1525</v>
      </c>
      <c r="B37" s="64">
        <v>8.19</v>
      </c>
      <c r="C37" s="64">
        <v>3.1</v>
      </c>
      <c r="D37" s="64">
        <v>11.96</v>
      </c>
      <c r="E37" s="64">
        <v>3.33</v>
      </c>
      <c r="F37" s="64">
        <v>6.18</v>
      </c>
      <c r="G37" s="64">
        <v>43.23</v>
      </c>
      <c r="H37" s="64">
        <v>19.32</v>
      </c>
      <c r="I37" s="64">
        <v>1.5</v>
      </c>
      <c r="J37" s="64">
        <v>0.5</v>
      </c>
      <c r="K37" s="64">
        <v>3.05</v>
      </c>
      <c r="L37" s="64">
        <v>28.72</v>
      </c>
      <c r="M37" s="64">
        <v>54.72</v>
      </c>
      <c r="N37" s="64">
        <v>199.6</v>
      </c>
      <c r="O37" s="64">
        <v>0</v>
      </c>
      <c r="P37" s="64">
        <v>0.22</v>
      </c>
      <c r="Q37" s="64">
        <v>9.34</v>
      </c>
      <c r="R37" s="198"/>
      <c r="S37" s="198"/>
      <c r="T37" s="198"/>
      <c r="U37" s="198"/>
    </row>
    <row r="38" spans="1:21" s="12" customFormat="1" x14ac:dyDescent="0.25">
      <c r="A38" s="214" t="s">
        <v>1526</v>
      </c>
      <c r="B38" s="64">
        <v>8.1999999999999993</v>
      </c>
      <c r="C38" s="64">
        <v>3.13</v>
      </c>
      <c r="D38" s="64">
        <v>11.98</v>
      </c>
      <c r="E38" s="64">
        <v>3.56</v>
      </c>
      <c r="F38" s="64">
        <v>6.89</v>
      </c>
      <c r="G38" s="64">
        <v>43.91</v>
      </c>
      <c r="H38" s="64">
        <v>22.03</v>
      </c>
      <c r="I38" s="64">
        <v>1.56</v>
      </c>
      <c r="J38" s="64">
        <v>0.51</v>
      </c>
      <c r="K38" s="64">
        <v>3.32</v>
      </c>
      <c r="L38" s="64">
        <v>28.65</v>
      </c>
      <c r="M38" s="64">
        <v>55.32</v>
      </c>
      <c r="N38" s="64">
        <v>196</v>
      </c>
      <c r="O38" s="64">
        <v>0</v>
      </c>
      <c r="P38" s="64">
        <v>0.24</v>
      </c>
      <c r="Q38" s="64">
        <v>9.3699999999999992</v>
      </c>
      <c r="R38" s="198"/>
      <c r="S38" s="198"/>
      <c r="T38" s="198"/>
      <c r="U38" s="198"/>
    </row>
    <row r="39" spans="1:21" s="12" customFormat="1" x14ac:dyDescent="0.25">
      <c r="A39" s="214" t="s">
        <v>1527</v>
      </c>
      <c r="B39" s="64">
        <v>8.2100000000000009</v>
      </c>
      <c r="C39" s="64">
        <v>3.12</v>
      </c>
      <c r="D39" s="64">
        <v>11.99</v>
      </c>
      <c r="E39" s="64">
        <v>3.5</v>
      </c>
      <c r="F39" s="64">
        <v>6.94</v>
      </c>
      <c r="G39" s="64">
        <v>44.54</v>
      </c>
      <c r="H39" s="64">
        <v>24.63</v>
      </c>
      <c r="I39" s="64">
        <v>1.58</v>
      </c>
      <c r="J39" s="64">
        <v>0.56000000000000005</v>
      </c>
      <c r="K39" s="64">
        <v>0.81</v>
      </c>
      <c r="L39" s="64">
        <v>29.02</v>
      </c>
      <c r="M39" s="64">
        <v>54.66</v>
      </c>
      <c r="N39" s="64">
        <v>178</v>
      </c>
      <c r="O39" s="64">
        <v>0</v>
      </c>
      <c r="P39" s="64">
        <v>0.25</v>
      </c>
      <c r="Q39" s="64">
        <v>9.3800000000000008</v>
      </c>
      <c r="R39" s="198"/>
      <c r="S39" s="198"/>
      <c r="T39" s="198"/>
      <c r="U39" s="198"/>
    </row>
    <row r="40" spans="1:21" s="12" customFormat="1" x14ac:dyDescent="0.25">
      <c r="A40" s="214" t="s">
        <v>1528</v>
      </c>
      <c r="B40" s="64">
        <v>8.1999999999999993</v>
      </c>
      <c r="C40" s="64">
        <v>3.17</v>
      </c>
      <c r="D40" s="64">
        <v>12.01</v>
      </c>
      <c r="E40" s="64">
        <v>4.17</v>
      </c>
      <c r="F40" s="64">
        <v>6.38</v>
      </c>
      <c r="G40" s="64">
        <v>44.54</v>
      </c>
      <c r="H40" s="64">
        <v>24.63</v>
      </c>
      <c r="I40" s="64">
        <v>1.56</v>
      </c>
      <c r="J40" s="64">
        <v>0.49</v>
      </c>
      <c r="K40" s="64">
        <v>4.38</v>
      </c>
      <c r="L40" s="64">
        <v>29.07</v>
      </c>
      <c r="M40" s="64">
        <v>54.85</v>
      </c>
      <c r="N40" s="64">
        <v>177.5</v>
      </c>
      <c r="O40" s="64">
        <v>0</v>
      </c>
      <c r="P40" s="64">
        <v>0.26</v>
      </c>
      <c r="Q40" s="64">
        <v>9.4</v>
      </c>
      <c r="R40" s="198"/>
      <c r="S40" s="198"/>
      <c r="T40" s="198"/>
      <c r="U40" s="198"/>
    </row>
    <row r="41" spans="1:21" s="12" customFormat="1" x14ac:dyDescent="0.25">
      <c r="A41" s="214" t="s">
        <v>1529</v>
      </c>
      <c r="B41" s="64">
        <v>8.16</v>
      </c>
      <c r="C41" s="64">
        <v>3.14</v>
      </c>
      <c r="D41" s="64">
        <v>11.96</v>
      </c>
      <c r="E41" s="64">
        <v>4.09</v>
      </c>
      <c r="F41" s="64">
        <v>5.58</v>
      </c>
      <c r="G41" s="64">
        <v>44.54</v>
      </c>
      <c r="H41" s="64">
        <v>24.63</v>
      </c>
      <c r="I41" s="64">
        <v>1.56</v>
      </c>
      <c r="J41" s="64">
        <v>0.56999999999999995</v>
      </c>
      <c r="K41" s="64">
        <v>6.65</v>
      </c>
      <c r="L41" s="64">
        <v>29.27</v>
      </c>
      <c r="M41" s="64">
        <v>54.91</v>
      </c>
      <c r="N41" s="64">
        <v>184.5</v>
      </c>
      <c r="O41" s="64">
        <v>0</v>
      </c>
      <c r="P41" s="64">
        <v>0.26</v>
      </c>
      <c r="Q41" s="64">
        <v>9.4499999999999993</v>
      </c>
      <c r="R41" s="198"/>
      <c r="S41" s="198"/>
      <c r="T41" s="198"/>
      <c r="U41" s="198"/>
    </row>
    <row r="42" spans="1:21" s="12" customFormat="1" x14ac:dyDescent="0.25">
      <c r="A42" s="214" t="s">
        <v>1530</v>
      </c>
      <c r="B42" s="64">
        <v>8.15</v>
      </c>
      <c r="C42" s="64">
        <v>3.11</v>
      </c>
      <c r="D42" s="64">
        <v>11.93</v>
      </c>
      <c r="E42" s="64">
        <v>4.0599999999999996</v>
      </c>
      <c r="F42" s="64">
        <v>5.22</v>
      </c>
      <c r="G42" s="64">
        <v>44.79</v>
      </c>
      <c r="H42" s="64">
        <v>22.68</v>
      </c>
      <c r="I42" s="64">
        <v>1.63</v>
      </c>
      <c r="J42" s="64">
        <v>0.56000000000000005</v>
      </c>
      <c r="K42" s="64">
        <v>4.47</v>
      </c>
      <c r="L42" s="64">
        <v>29.46</v>
      </c>
      <c r="M42" s="64">
        <v>54.5</v>
      </c>
      <c r="N42" s="64">
        <v>225</v>
      </c>
      <c r="O42" s="64">
        <v>0</v>
      </c>
      <c r="P42" s="64">
        <v>0.28000000000000003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4" t="s">
        <v>1531</v>
      </c>
      <c r="B43" s="64">
        <v>8.15</v>
      </c>
      <c r="C43" s="64">
        <v>3.12</v>
      </c>
      <c r="D43" s="64">
        <v>11.94</v>
      </c>
      <c r="E43" s="64">
        <v>3.76</v>
      </c>
      <c r="F43" s="64">
        <v>5.63</v>
      </c>
      <c r="G43" s="64">
        <v>45.02</v>
      </c>
      <c r="H43" s="64">
        <v>20.81</v>
      </c>
      <c r="I43" s="64">
        <v>1.69</v>
      </c>
      <c r="J43" s="64">
        <v>0.45</v>
      </c>
      <c r="K43" s="64">
        <v>354.18</v>
      </c>
      <c r="L43" s="64">
        <v>29.89</v>
      </c>
      <c r="M43" s="64">
        <v>53.48</v>
      </c>
      <c r="N43" s="64">
        <v>230.5</v>
      </c>
      <c r="O43" s="64">
        <v>0</v>
      </c>
      <c r="P43" s="64">
        <v>0.31</v>
      </c>
      <c r="Q43" s="64">
        <v>9.4499999999999993</v>
      </c>
      <c r="R43" s="198"/>
      <c r="S43" s="198"/>
      <c r="T43" s="198"/>
      <c r="U43" s="198"/>
    </row>
    <row r="44" spans="1:21" s="12" customFormat="1" x14ac:dyDescent="0.25">
      <c r="A44" s="214" t="s">
        <v>1532</v>
      </c>
      <c r="B44" s="64">
        <v>8.24</v>
      </c>
      <c r="C44" s="64">
        <v>3.43</v>
      </c>
      <c r="D44" s="64">
        <v>12.18</v>
      </c>
      <c r="E44" s="64">
        <v>3.96</v>
      </c>
      <c r="F44" s="64">
        <v>5.09</v>
      </c>
      <c r="G44" s="64">
        <v>45.02</v>
      </c>
      <c r="H44" s="64">
        <v>20.81</v>
      </c>
      <c r="I44" s="64">
        <v>1.75</v>
      </c>
      <c r="J44" s="64">
        <v>0.5</v>
      </c>
      <c r="K44" s="64">
        <v>359.68</v>
      </c>
      <c r="L44" s="64">
        <v>30</v>
      </c>
      <c r="M44" s="64">
        <v>53.1</v>
      </c>
      <c r="N44" s="64">
        <v>272.39999999999998</v>
      </c>
      <c r="O44" s="64">
        <v>0</v>
      </c>
      <c r="P44" s="64">
        <v>0.34</v>
      </c>
      <c r="Q44" s="64">
        <v>9.4600000000000009</v>
      </c>
      <c r="R44" s="198"/>
      <c r="S44" s="198"/>
      <c r="T44" s="198"/>
      <c r="U44" s="198"/>
    </row>
    <row r="45" spans="1:21" s="12" customFormat="1" x14ac:dyDescent="0.25">
      <c r="A45" s="214" t="s">
        <v>1533</v>
      </c>
      <c r="B45" s="64">
        <v>8.48</v>
      </c>
      <c r="C45" s="64">
        <v>4.3899999999999997</v>
      </c>
      <c r="D45" s="64">
        <v>12.87</v>
      </c>
      <c r="E45" s="64">
        <v>3.8</v>
      </c>
      <c r="F45" s="64">
        <v>4.93</v>
      </c>
      <c r="G45" s="64">
        <v>45.02</v>
      </c>
      <c r="H45" s="64">
        <v>20.81</v>
      </c>
      <c r="I45" s="64">
        <v>1.89</v>
      </c>
      <c r="J45" s="64">
        <v>0.46</v>
      </c>
      <c r="K45" s="64">
        <v>2.36</v>
      </c>
      <c r="L45" s="64">
        <v>31.28</v>
      </c>
      <c r="M45" s="64">
        <v>49.74</v>
      </c>
      <c r="N45" s="64">
        <v>392.8</v>
      </c>
      <c r="O45" s="64">
        <v>0</v>
      </c>
      <c r="P45" s="64">
        <v>0.4</v>
      </c>
      <c r="Q45" s="64">
        <v>9.44</v>
      </c>
      <c r="R45" s="198"/>
      <c r="S45" s="198"/>
      <c r="T45" s="198"/>
      <c r="U45" s="198"/>
    </row>
    <row r="46" spans="1:21" s="12" customFormat="1" x14ac:dyDescent="0.25">
      <c r="A46" s="214" t="s">
        <v>1534</v>
      </c>
      <c r="B46" s="64">
        <v>8.23</v>
      </c>
      <c r="C46" s="64">
        <v>3.44</v>
      </c>
      <c r="D46" s="64">
        <v>12.17</v>
      </c>
      <c r="E46" s="64">
        <v>4.17</v>
      </c>
      <c r="F46" s="64">
        <v>5.45</v>
      </c>
      <c r="G46" s="64">
        <v>49.3</v>
      </c>
      <c r="H46" s="64">
        <v>22.51</v>
      </c>
      <c r="I46" s="64">
        <v>2.06</v>
      </c>
      <c r="J46" s="64">
        <v>0.55000000000000004</v>
      </c>
      <c r="K46" s="64">
        <v>337.23</v>
      </c>
      <c r="L46" s="64">
        <v>32.26</v>
      </c>
      <c r="M46" s="64">
        <v>47.05</v>
      </c>
      <c r="N46" s="64">
        <v>588.6</v>
      </c>
      <c r="O46" s="64">
        <v>0</v>
      </c>
      <c r="P46" s="64">
        <v>0.44</v>
      </c>
      <c r="Q46" s="64">
        <v>9.49</v>
      </c>
      <c r="R46" s="198"/>
      <c r="S46" s="198"/>
      <c r="T46" s="198"/>
      <c r="U46" s="198"/>
    </row>
    <row r="47" spans="1:21" s="12" customFormat="1" x14ac:dyDescent="0.25">
      <c r="A47" s="214" t="s">
        <v>1535</v>
      </c>
      <c r="B47" s="64">
        <v>8.17</v>
      </c>
      <c r="C47" s="64">
        <v>3.18</v>
      </c>
      <c r="D47" s="64">
        <v>11.99</v>
      </c>
      <c r="E47" s="64">
        <v>3.67</v>
      </c>
      <c r="F47" s="64">
        <v>4.9800000000000004</v>
      </c>
      <c r="G47" s="64">
        <v>53.22</v>
      </c>
      <c r="H47" s="64">
        <v>24.13</v>
      </c>
      <c r="I47" s="64">
        <v>2.2400000000000002</v>
      </c>
      <c r="J47" s="64">
        <v>0.34</v>
      </c>
      <c r="K47" s="64">
        <v>13.89</v>
      </c>
      <c r="L47" s="64">
        <v>33.07</v>
      </c>
      <c r="M47" s="64">
        <v>44.88</v>
      </c>
      <c r="N47" s="64">
        <v>652.4</v>
      </c>
      <c r="O47" s="64">
        <v>0</v>
      </c>
      <c r="P47" s="64">
        <v>0.46</v>
      </c>
      <c r="Q47" s="64">
        <v>9.4499999999999993</v>
      </c>
      <c r="R47" s="198"/>
      <c r="S47" s="198"/>
      <c r="T47" s="198"/>
      <c r="U47" s="198"/>
    </row>
    <row r="48" spans="1:21" s="12" customFormat="1" x14ac:dyDescent="0.25">
      <c r="A48" s="214" t="s">
        <v>1536</v>
      </c>
      <c r="B48" s="64">
        <v>8.15</v>
      </c>
      <c r="C48" s="64">
        <v>3.21</v>
      </c>
      <c r="D48" s="64">
        <v>11.99</v>
      </c>
      <c r="E48" s="64">
        <v>3.41</v>
      </c>
      <c r="F48" s="64">
        <v>5.82</v>
      </c>
      <c r="G48" s="64">
        <v>53.22</v>
      </c>
      <c r="H48" s="64">
        <v>24.13</v>
      </c>
      <c r="I48" s="64">
        <v>2.4700000000000002</v>
      </c>
      <c r="J48" s="64">
        <v>0.37</v>
      </c>
      <c r="K48" s="64">
        <v>7.09</v>
      </c>
      <c r="L48" s="64">
        <v>33.46</v>
      </c>
      <c r="M48" s="64">
        <v>43.39</v>
      </c>
      <c r="N48" s="64">
        <v>698.4</v>
      </c>
      <c r="O48" s="64">
        <v>0</v>
      </c>
      <c r="P48" s="64">
        <v>0.46</v>
      </c>
      <c r="Q48" s="64">
        <v>9.42</v>
      </c>
      <c r="R48" s="198"/>
      <c r="S48" s="198"/>
      <c r="T48" s="198"/>
      <c r="U48" s="198"/>
    </row>
    <row r="49" spans="1:21" s="12" customFormat="1" x14ac:dyDescent="0.25">
      <c r="A49" s="214" t="s">
        <v>1537</v>
      </c>
      <c r="B49" s="64">
        <v>8.14</v>
      </c>
      <c r="C49" s="64">
        <v>3.16</v>
      </c>
      <c r="D49" s="64">
        <v>11.95</v>
      </c>
      <c r="E49" s="64">
        <v>3.72</v>
      </c>
      <c r="F49" s="64">
        <v>6.77</v>
      </c>
      <c r="G49" s="64">
        <v>53.22</v>
      </c>
      <c r="H49" s="64">
        <v>24.13</v>
      </c>
      <c r="I49" s="64">
        <v>2.65</v>
      </c>
      <c r="J49" s="64">
        <v>0.99</v>
      </c>
      <c r="K49" s="64">
        <v>337.33</v>
      </c>
      <c r="L49" s="64">
        <v>35.630000000000003</v>
      </c>
      <c r="M49" s="64">
        <v>38.89</v>
      </c>
      <c r="N49" s="64">
        <v>718.3</v>
      </c>
      <c r="O49" s="64">
        <v>0</v>
      </c>
      <c r="P49" s="64">
        <v>0.45</v>
      </c>
      <c r="Q49" s="64">
        <v>9.41</v>
      </c>
      <c r="R49" s="198"/>
      <c r="S49" s="198"/>
      <c r="T49" s="198"/>
      <c r="U49" s="198"/>
    </row>
    <row r="50" spans="1:21" s="12" customFormat="1" x14ac:dyDescent="0.25">
      <c r="A50" s="214" t="s">
        <v>1538</v>
      </c>
      <c r="B50" s="64">
        <v>8.15</v>
      </c>
      <c r="C50" s="64">
        <v>3.15</v>
      </c>
      <c r="D50" s="64">
        <v>11.95</v>
      </c>
      <c r="E50" s="64">
        <v>3.54</v>
      </c>
      <c r="F50" s="64">
        <v>6.7</v>
      </c>
      <c r="G50" s="64">
        <v>54.44</v>
      </c>
      <c r="H50" s="64">
        <v>24.9</v>
      </c>
      <c r="I50" s="64">
        <v>2.71</v>
      </c>
      <c r="J50" s="64">
        <v>1.04</v>
      </c>
      <c r="K50" s="64">
        <v>339.14</v>
      </c>
      <c r="L50" s="64">
        <v>37.049999999999997</v>
      </c>
      <c r="M50" s="64">
        <v>36.25</v>
      </c>
      <c r="N50" s="64">
        <v>759.5</v>
      </c>
      <c r="O50" s="64">
        <v>0</v>
      </c>
      <c r="P50" s="64">
        <v>0.46</v>
      </c>
      <c r="Q50" s="64">
        <v>9.42</v>
      </c>
      <c r="R50" s="198"/>
      <c r="S50" s="198"/>
      <c r="T50" s="198"/>
      <c r="U50" s="198"/>
    </row>
    <row r="51" spans="1:21" s="12" customFormat="1" x14ac:dyDescent="0.25">
      <c r="A51" s="214" t="s">
        <v>1539</v>
      </c>
      <c r="B51" s="64">
        <v>8.18</v>
      </c>
      <c r="C51" s="64">
        <v>3.27</v>
      </c>
      <c r="D51" s="64">
        <v>12.04</v>
      </c>
      <c r="E51" s="64">
        <v>3.65</v>
      </c>
      <c r="F51" s="64">
        <v>6.85</v>
      </c>
      <c r="G51" s="64">
        <v>55.56</v>
      </c>
      <c r="H51" s="64">
        <v>25.63</v>
      </c>
      <c r="I51" s="64">
        <v>2.7</v>
      </c>
      <c r="J51" s="64">
        <v>1.24</v>
      </c>
      <c r="K51" s="64">
        <v>326.39</v>
      </c>
      <c r="L51" s="64">
        <v>37.770000000000003</v>
      </c>
      <c r="M51" s="64">
        <v>33.99</v>
      </c>
      <c r="N51" s="64">
        <v>793.8</v>
      </c>
      <c r="O51" s="64">
        <v>0</v>
      </c>
      <c r="P51" s="64">
        <v>0.46</v>
      </c>
      <c r="Q51" s="64">
        <v>9.42</v>
      </c>
      <c r="R51" s="198"/>
      <c r="S51" s="198"/>
      <c r="T51" s="198"/>
      <c r="U51" s="198"/>
    </row>
    <row r="52" spans="1:21" s="12" customFormat="1" x14ac:dyDescent="0.25">
      <c r="A52" s="214" t="s">
        <v>1540</v>
      </c>
      <c r="B52" s="64">
        <v>8.1999999999999993</v>
      </c>
      <c r="C52" s="64">
        <v>3.28</v>
      </c>
      <c r="D52" s="64">
        <v>12.07</v>
      </c>
      <c r="E52" s="64">
        <v>3.57</v>
      </c>
      <c r="F52" s="64">
        <v>6.67</v>
      </c>
      <c r="G52" s="64">
        <v>55.56</v>
      </c>
      <c r="H52" s="64">
        <v>25.63</v>
      </c>
      <c r="I52" s="64">
        <v>2.7</v>
      </c>
      <c r="J52" s="64">
        <v>1.36</v>
      </c>
      <c r="K52" s="64">
        <v>333.27</v>
      </c>
      <c r="L52" s="64">
        <v>38.54</v>
      </c>
      <c r="M52" s="64">
        <v>32.67</v>
      </c>
      <c r="N52" s="64">
        <v>811.9</v>
      </c>
      <c r="O52" s="64">
        <v>0</v>
      </c>
      <c r="P52" s="64">
        <v>0.46</v>
      </c>
      <c r="Q52" s="64">
        <v>9.36</v>
      </c>
      <c r="R52" s="198"/>
      <c r="S52" s="198"/>
      <c r="T52" s="198"/>
      <c r="U52" s="198"/>
    </row>
    <row r="53" spans="1:21" s="12" customFormat="1" x14ac:dyDescent="0.25">
      <c r="A53" s="214" t="s">
        <v>1541</v>
      </c>
      <c r="B53" s="64">
        <v>8.24</v>
      </c>
      <c r="C53" s="64">
        <v>3.36</v>
      </c>
      <c r="D53" s="64">
        <v>12.14</v>
      </c>
      <c r="E53" s="64">
        <v>3.89</v>
      </c>
      <c r="F53" s="64">
        <v>6.33</v>
      </c>
      <c r="G53" s="64">
        <v>55.56</v>
      </c>
      <c r="H53" s="64">
        <v>25.63</v>
      </c>
      <c r="I53" s="64">
        <v>2.69</v>
      </c>
      <c r="J53" s="64">
        <v>1.18</v>
      </c>
      <c r="K53" s="64">
        <v>311.45999999999998</v>
      </c>
      <c r="L53" s="64">
        <v>39.22</v>
      </c>
      <c r="M53" s="64">
        <v>31.06</v>
      </c>
      <c r="N53" s="64">
        <v>832.4</v>
      </c>
      <c r="O53" s="64">
        <v>0</v>
      </c>
      <c r="P53" s="64">
        <v>0.45</v>
      </c>
      <c r="Q53" s="64">
        <v>9.36</v>
      </c>
      <c r="R53" s="198"/>
      <c r="S53" s="198"/>
      <c r="T53" s="198"/>
      <c r="U53" s="198"/>
    </row>
    <row r="54" spans="1:21" s="12" customFormat="1" x14ac:dyDescent="0.25">
      <c r="A54" s="214" t="s">
        <v>1542</v>
      </c>
      <c r="B54" s="64">
        <v>8.51</v>
      </c>
      <c r="C54" s="64">
        <v>4.3099999999999996</v>
      </c>
      <c r="D54" s="64">
        <v>12.85</v>
      </c>
      <c r="E54" s="64">
        <v>3.93</v>
      </c>
      <c r="F54" s="64">
        <v>6.2</v>
      </c>
      <c r="G54" s="64">
        <v>59.34</v>
      </c>
      <c r="H54" s="64">
        <v>25.18</v>
      </c>
      <c r="I54" s="64">
        <v>2.58</v>
      </c>
      <c r="J54" s="64">
        <v>1.04</v>
      </c>
      <c r="K54" s="64">
        <v>319.06</v>
      </c>
      <c r="L54" s="64">
        <v>38.56</v>
      </c>
      <c r="M54" s="64">
        <v>31.75</v>
      </c>
      <c r="N54" s="64">
        <v>532.29999999999995</v>
      </c>
      <c r="O54" s="64">
        <v>0</v>
      </c>
      <c r="P54" s="64">
        <v>0.45</v>
      </c>
      <c r="Q54" s="64">
        <v>9.33</v>
      </c>
      <c r="R54" s="198"/>
      <c r="S54" s="198"/>
      <c r="T54" s="198"/>
      <c r="U54" s="198"/>
    </row>
    <row r="55" spans="1:21" s="12" customFormat="1" x14ac:dyDescent="0.25">
      <c r="A55" s="214" t="s">
        <v>1543</v>
      </c>
      <c r="B55" s="64">
        <v>8.24</v>
      </c>
      <c r="C55" s="64">
        <v>3.31</v>
      </c>
      <c r="D55" s="64">
        <v>12.11</v>
      </c>
      <c r="E55" s="64">
        <v>3.78</v>
      </c>
      <c r="F55" s="64">
        <v>6.03</v>
      </c>
      <c r="G55" s="64">
        <v>62.81</v>
      </c>
      <c r="H55" s="64">
        <v>24.75</v>
      </c>
      <c r="I55" s="64">
        <v>2.4900000000000002</v>
      </c>
      <c r="J55" s="64">
        <v>2.09</v>
      </c>
      <c r="K55" s="64">
        <v>331.32</v>
      </c>
      <c r="L55" s="64">
        <v>38.270000000000003</v>
      </c>
      <c r="M55" s="64">
        <v>31.73</v>
      </c>
      <c r="N55" s="64">
        <v>516.70000000000005</v>
      </c>
      <c r="O55" s="64">
        <v>0</v>
      </c>
      <c r="P55" s="64">
        <v>0.45</v>
      </c>
      <c r="Q55" s="64">
        <v>9.34</v>
      </c>
      <c r="R55" s="198"/>
      <c r="S55" s="198"/>
      <c r="T55" s="198"/>
      <c r="U55" s="198"/>
    </row>
    <row r="56" spans="1:21" s="12" customFormat="1" x14ac:dyDescent="0.25">
      <c r="A56" s="214" t="s">
        <v>1544</v>
      </c>
      <c r="B56" s="64">
        <v>8.19</v>
      </c>
      <c r="C56" s="64">
        <v>3.15</v>
      </c>
      <c r="D56" s="64">
        <v>11.99</v>
      </c>
      <c r="E56" s="64">
        <v>4.59</v>
      </c>
      <c r="F56" s="64">
        <v>5.95</v>
      </c>
      <c r="G56" s="64">
        <v>62.81</v>
      </c>
      <c r="H56" s="64">
        <v>24.75</v>
      </c>
      <c r="I56" s="64">
        <v>2.5</v>
      </c>
      <c r="J56" s="64">
        <v>1.2</v>
      </c>
      <c r="K56" s="64">
        <v>334.92</v>
      </c>
      <c r="L56" s="64">
        <v>38.42</v>
      </c>
      <c r="M56" s="64">
        <v>31.19</v>
      </c>
      <c r="N56" s="64">
        <v>649.5</v>
      </c>
      <c r="O56" s="64">
        <v>0</v>
      </c>
      <c r="P56" s="64">
        <v>0.45</v>
      </c>
      <c r="Q56" s="64">
        <v>9.36</v>
      </c>
      <c r="R56" s="198"/>
      <c r="S56" s="198"/>
      <c r="T56" s="198"/>
      <c r="U56" s="198"/>
    </row>
    <row r="57" spans="1:21" s="12" customFormat="1" x14ac:dyDescent="0.25">
      <c r="A57" s="214" t="s">
        <v>1545</v>
      </c>
      <c r="B57" s="64">
        <v>8.18</v>
      </c>
      <c r="C57" s="64">
        <v>3.13</v>
      </c>
      <c r="D57" s="64">
        <v>11.97</v>
      </c>
      <c r="E57" s="64">
        <v>4.0599999999999996</v>
      </c>
      <c r="F57" s="64">
        <v>5.72</v>
      </c>
      <c r="G57" s="64">
        <v>62.81</v>
      </c>
      <c r="H57" s="64">
        <v>24.75</v>
      </c>
      <c r="I57" s="64">
        <v>2.5099999999999998</v>
      </c>
      <c r="J57" s="64">
        <v>0.86</v>
      </c>
      <c r="K57" s="64">
        <v>325.27</v>
      </c>
      <c r="L57" s="64">
        <v>38.549999999999997</v>
      </c>
      <c r="M57" s="64">
        <v>30.56</v>
      </c>
      <c r="N57" s="64">
        <v>900.4</v>
      </c>
      <c r="O57" s="64">
        <v>0</v>
      </c>
      <c r="P57" s="64">
        <v>0.45</v>
      </c>
      <c r="Q57" s="64">
        <v>9.3699999999999992</v>
      </c>
      <c r="R57" s="198"/>
      <c r="S57" s="198"/>
      <c r="T57" s="198"/>
      <c r="U57" s="198"/>
    </row>
    <row r="58" spans="1:21" s="12" customFormat="1" x14ac:dyDescent="0.25">
      <c r="A58" s="214" t="s">
        <v>1546</v>
      </c>
      <c r="B58" s="64">
        <v>8.17</v>
      </c>
      <c r="C58" s="64">
        <v>3.05</v>
      </c>
      <c r="D58" s="64">
        <v>11.92</v>
      </c>
      <c r="E58" s="64">
        <v>4.46</v>
      </c>
      <c r="F58" s="64">
        <v>6.62</v>
      </c>
      <c r="G58" s="64">
        <v>64.39</v>
      </c>
      <c r="H58" s="64">
        <v>25.02</v>
      </c>
      <c r="I58" s="64">
        <v>2.6</v>
      </c>
      <c r="J58" s="64">
        <v>0.87</v>
      </c>
      <c r="K58" s="64">
        <v>329.3</v>
      </c>
      <c r="L58" s="64">
        <v>38.65</v>
      </c>
      <c r="M58" s="64">
        <v>30.04</v>
      </c>
      <c r="N58" s="64">
        <v>874.7</v>
      </c>
      <c r="O58" s="64">
        <v>0</v>
      </c>
      <c r="P58" s="64">
        <v>0.43</v>
      </c>
      <c r="Q58" s="64">
        <v>9.3699999999999992</v>
      </c>
      <c r="R58" s="198"/>
      <c r="S58" s="198"/>
      <c r="T58" s="198"/>
      <c r="U58" s="198"/>
    </row>
    <row r="59" spans="1:21" s="12" customFormat="1" x14ac:dyDescent="0.25">
      <c r="A59" s="214" t="s">
        <v>1547</v>
      </c>
      <c r="B59" s="64">
        <v>8.17</v>
      </c>
      <c r="C59" s="64">
        <v>3.13</v>
      </c>
      <c r="D59" s="64">
        <v>11.96</v>
      </c>
      <c r="E59" s="64">
        <v>4.42</v>
      </c>
      <c r="F59" s="64">
        <v>7.37</v>
      </c>
      <c r="G59" s="64">
        <v>65.83</v>
      </c>
      <c r="H59" s="64">
        <v>25.28</v>
      </c>
      <c r="I59" s="64">
        <v>2.69</v>
      </c>
      <c r="J59" s="64">
        <v>0.55000000000000004</v>
      </c>
      <c r="K59" s="64">
        <v>326.3</v>
      </c>
      <c r="L59" s="64">
        <v>38.479999999999997</v>
      </c>
      <c r="M59" s="64">
        <v>29.91</v>
      </c>
      <c r="N59" s="64">
        <v>758.8</v>
      </c>
      <c r="O59" s="64">
        <v>0</v>
      </c>
      <c r="P59" s="64">
        <v>0.44</v>
      </c>
      <c r="Q59" s="64">
        <v>9.44</v>
      </c>
      <c r="R59" s="198"/>
      <c r="S59" s="198"/>
      <c r="T59" s="198"/>
      <c r="U59" s="198"/>
    </row>
    <row r="60" spans="1:21" s="12" customFormat="1" x14ac:dyDescent="0.25">
      <c r="A60" s="214" t="s">
        <v>1548</v>
      </c>
      <c r="B60" s="64">
        <v>8.16</v>
      </c>
      <c r="C60" s="64">
        <v>3.15</v>
      </c>
      <c r="D60" s="64">
        <v>11.97</v>
      </c>
      <c r="E60" s="64">
        <v>4.7699999999999996</v>
      </c>
      <c r="F60" s="64">
        <v>7.96</v>
      </c>
      <c r="G60" s="64">
        <v>65.83</v>
      </c>
      <c r="H60" s="64">
        <v>25.28</v>
      </c>
      <c r="I60" s="64">
        <v>2.7</v>
      </c>
      <c r="J60" s="64">
        <v>0.51</v>
      </c>
      <c r="K60" s="64">
        <v>0.57999999999999996</v>
      </c>
      <c r="L60" s="64">
        <v>37.159999999999997</v>
      </c>
      <c r="M60" s="64">
        <v>32.5</v>
      </c>
      <c r="N60" s="64">
        <v>813.7</v>
      </c>
      <c r="O60" s="64">
        <v>0</v>
      </c>
      <c r="P60" s="64">
        <v>0.43</v>
      </c>
      <c r="Q60" s="64">
        <v>9.4499999999999993</v>
      </c>
      <c r="R60" s="198"/>
      <c r="S60" s="198"/>
      <c r="T60" s="198"/>
      <c r="U60" s="198"/>
    </row>
    <row r="61" spans="1:21" s="12" customFormat="1" x14ac:dyDescent="0.25">
      <c r="A61" s="214" t="s">
        <v>1549</v>
      </c>
      <c r="B61" s="64">
        <v>8.15</v>
      </c>
      <c r="C61" s="64">
        <v>3.21</v>
      </c>
      <c r="D61" s="64">
        <v>11.99</v>
      </c>
      <c r="E61" s="64">
        <v>4.8600000000000003</v>
      </c>
      <c r="F61" s="64">
        <v>9.1199999999999992</v>
      </c>
      <c r="G61" s="64">
        <v>65.83</v>
      </c>
      <c r="H61" s="64">
        <v>25.28</v>
      </c>
      <c r="I61" s="64">
        <v>2.63</v>
      </c>
      <c r="J61" s="64">
        <v>0.54</v>
      </c>
      <c r="K61" s="64">
        <v>2.72</v>
      </c>
      <c r="L61" s="64">
        <v>36.31</v>
      </c>
      <c r="M61" s="64">
        <v>34.29</v>
      </c>
      <c r="N61" s="64">
        <v>341.2</v>
      </c>
      <c r="O61" s="64">
        <v>0</v>
      </c>
      <c r="P61" s="64">
        <v>0.37</v>
      </c>
      <c r="Q61" s="64">
        <v>9.43</v>
      </c>
      <c r="R61" s="198"/>
      <c r="S61" s="198"/>
      <c r="T61" s="198"/>
      <c r="U61" s="198"/>
    </row>
    <row r="62" spans="1:21" s="12" customFormat="1" x14ac:dyDescent="0.25">
      <c r="A62" s="214" t="s">
        <v>1550</v>
      </c>
      <c r="B62" s="64">
        <v>8.3800000000000008</v>
      </c>
      <c r="C62" s="64">
        <v>4.13</v>
      </c>
      <c r="D62" s="64">
        <v>12.65</v>
      </c>
      <c r="E62" s="64">
        <v>4.82</v>
      </c>
      <c r="F62" s="64">
        <v>8.94</v>
      </c>
      <c r="G62" s="64">
        <v>66.78</v>
      </c>
      <c r="H62" s="64">
        <v>29.96</v>
      </c>
      <c r="I62" s="64">
        <v>2.5299999999999998</v>
      </c>
      <c r="J62" s="64">
        <v>0.31</v>
      </c>
      <c r="K62" s="64">
        <v>156.19999999999999</v>
      </c>
      <c r="L62" s="64">
        <v>35.159999999999997</v>
      </c>
      <c r="M62" s="64">
        <v>35.909999999999997</v>
      </c>
      <c r="N62" s="64">
        <v>267.10000000000002</v>
      </c>
      <c r="O62" s="64">
        <v>0</v>
      </c>
      <c r="P62" s="64">
        <v>0.4</v>
      </c>
      <c r="Q62" s="64">
        <v>9.41</v>
      </c>
      <c r="R62" s="198"/>
      <c r="S62" s="198"/>
      <c r="T62" s="198"/>
      <c r="U62" s="198"/>
    </row>
    <row r="63" spans="1:21" s="12" customFormat="1" x14ac:dyDescent="0.25">
      <c r="A63" s="214" t="s">
        <v>1551</v>
      </c>
      <c r="B63" s="64">
        <v>8.2100000000000009</v>
      </c>
      <c r="C63" s="64">
        <v>3.47</v>
      </c>
      <c r="D63" s="64">
        <v>12.17</v>
      </c>
      <c r="E63" s="64">
        <v>5.21</v>
      </c>
      <c r="F63" s="64">
        <v>7.94</v>
      </c>
      <c r="G63" s="64">
        <v>67.64</v>
      </c>
      <c r="H63" s="64">
        <v>34.24</v>
      </c>
      <c r="I63" s="64">
        <v>2.48</v>
      </c>
      <c r="J63" s="64">
        <v>0.22</v>
      </c>
      <c r="K63" s="64">
        <v>329.51</v>
      </c>
      <c r="L63" s="64">
        <v>35.04</v>
      </c>
      <c r="M63" s="64">
        <v>36.33</v>
      </c>
      <c r="N63" s="64">
        <v>286.89999999999998</v>
      </c>
      <c r="O63" s="64">
        <v>0</v>
      </c>
      <c r="P63" s="64">
        <v>0.4</v>
      </c>
      <c r="Q63" s="64">
        <v>9.43</v>
      </c>
      <c r="R63" s="198"/>
      <c r="S63" s="198"/>
      <c r="T63" s="198"/>
      <c r="U63" s="198"/>
    </row>
    <row r="64" spans="1:21" s="12" customFormat="1" x14ac:dyDescent="0.25">
      <c r="A64" s="214" t="s">
        <v>1552</v>
      </c>
      <c r="B64" s="64">
        <v>8.1199999999999992</v>
      </c>
      <c r="C64" s="64">
        <v>3.18</v>
      </c>
      <c r="D64" s="64">
        <v>11.95</v>
      </c>
      <c r="E64" s="64">
        <v>4.7</v>
      </c>
      <c r="F64" s="64">
        <v>7.41</v>
      </c>
      <c r="G64" s="64">
        <v>67.64</v>
      </c>
      <c r="H64" s="64">
        <v>34.24</v>
      </c>
      <c r="I64" s="64">
        <v>2.5099999999999998</v>
      </c>
      <c r="J64" s="64">
        <v>0.49</v>
      </c>
      <c r="K64" s="64">
        <v>160.1</v>
      </c>
      <c r="L64" s="64">
        <v>35.299999999999997</v>
      </c>
      <c r="M64" s="64">
        <v>35.32</v>
      </c>
      <c r="N64" s="64">
        <v>265.5</v>
      </c>
      <c r="O64" s="64">
        <v>0</v>
      </c>
      <c r="P64" s="64">
        <v>0.42</v>
      </c>
      <c r="Q64" s="64">
        <v>9.41</v>
      </c>
      <c r="R64" s="198"/>
      <c r="S64" s="198"/>
      <c r="T64" s="198"/>
      <c r="U64" s="198"/>
    </row>
    <row r="65" spans="1:21" s="12" customFormat="1" x14ac:dyDescent="0.25">
      <c r="A65" s="214" t="s">
        <v>1553</v>
      </c>
      <c r="B65" s="64">
        <v>8.11</v>
      </c>
      <c r="C65" s="64">
        <v>3.14</v>
      </c>
      <c r="D65" s="64">
        <v>11.92</v>
      </c>
      <c r="E65" s="64">
        <v>4.5199999999999996</v>
      </c>
      <c r="F65" s="64">
        <v>6.73</v>
      </c>
      <c r="G65" s="64">
        <v>67.64</v>
      </c>
      <c r="H65" s="64">
        <v>34.24</v>
      </c>
      <c r="I65" s="64">
        <v>2.61</v>
      </c>
      <c r="J65" s="64">
        <v>0.47</v>
      </c>
      <c r="K65" s="64">
        <v>135.59</v>
      </c>
      <c r="L65" s="64">
        <v>34.869999999999997</v>
      </c>
      <c r="M65" s="64">
        <v>36.58</v>
      </c>
      <c r="N65" s="64">
        <v>242.8</v>
      </c>
      <c r="O65" s="64">
        <v>0</v>
      </c>
      <c r="P65" s="64">
        <v>0.41</v>
      </c>
      <c r="Q65" s="64">
        <v>9.42</v>
      </c>
      <c r="R65" s="198"/>
      <c r="S65" s="198"/>
      <c r="T65" s="198"/>
      <c r="U65" s="198"/>
    </row>
    <row r="66" spans="1:21" s="12" customFormat="1" x14ac:dyDescent="0.25">
      <c r="A66" s="214" t="s">
        <v>1554</v>
      </c>
      <c r="B66" s="64">
        <v>8.16</v>
      </c>
      <c r="C66" s="64">
        <v>3.28</v>
      </c>
      <c r="D66" s="64">
        <v>12.04</v>
      </c>
      <c r="E66" s="64">
        <v>4.5599999999999996</v>
      </c>
      <c r="F66" s="64">
        <v>6.75</v>
      </c>
      <c r="G66" s="64">
        <v>70.88</v>
      </c>
      <c r="H66" s="64">
        <v>32.799999999999997</v>
      </c>
      <c r="I66" s="64">
        <v>2.82</v>
      </c>
      <c r="J66" s="64">
        <v>1.45</v>
      </c>
      <c r="K66" s="64">
        <v>153.81</v>
      </c>
      <c r="L66" s="64">
        <v>35.020000000000003</v>
      </c>
      <c r="M66" s="64">
        <v>35.5</v>
      </c>
      <c r="N66" s="64">
        <v>390.7</v>
      </c>
      <c r="O66" s="64">
        <v>0</v>
      </c>
      <c r="P66" s="64">
        <v>0.42</v>
      </c>
      <c r="Q66" s="64">
        <v>9.4</v>
      </c>
      <c r="R66" s="198"/>
      <c r="S66" s="198"/>
      <c r="T66" s="198"/>
      <c r="U66" s="198"/>
    </row>
    <row r="67" spans="1:21" s="12" customFormat="1" x14ac:dyDescent="0.25">
      <c r="A67" s="214" t="s">
        <v>1555</v>
      </c>
      <c r="B67" s="64">
        <v>8.2100000000000009</v>
      </c>
      <c r="C67" s="64">
        <v>3.4</v>
      </c>
      <c r="D67" s="64">
        <v>12.14</v>
      </c>
      <c r="E67" s="64">
        <v>4.96</v>
      </c>
      <c r="F67" s="64">
        <v>6.54</v>
      </c>
      <c r="G67" s="64">
        <v>73.83</v>
      </c>
      <c r="H67" s="64">
        <v>31.49</v>
      </c>
      <c r="I67" s="64">
        <v>3.17</v>
      </c>
      <c r="J67" s="64">
        <v>0.96</v>
      </c>
      <c r="K67" s="64">
        <v>148.33000000000001</v>
      </c>
      <c r="L67" s="64">
        <v>35.31</v>
      </c>
      <c r="M67" s="64">
        <v>34.47</v>
      </c>
      <c r="N67" s="64">
        <v>339.4</v>
      </c>
      <c r="O67" s="64">
        <v>0</v>
      </c>
      <c r="P67" s="64">
        <v>0.41</v>
      </c>
      <c r="Q67" s="64">
        <v>9.41</v>
      </c>
      <c r="R67" s="198"/>
      <c r="S67" s="198"/>
      <c r="T67" s="198"/>
      <c r="U67" s="198"/>
    </row>
    <row r="68" spans="1:21" s="12" customFormat="1" x14ac:dyDescent="0.25">
      <c r="A68" s="214" t="s">
        <v>1556</v>
      </c>
      <c r="B68" s="64">
        <v>8.27</v>
      </c>
      <c r="C68" s="64">
        <v>3.66</v>
      </c>
      <c r="D68" s="64">
        <v>12.32</v>
      </c>
      <c r="E68" s="64">
        <v>4.49</v>
      </c>
      <c r="F68" s="64">
        <v>6.4</v>
      </c>
      <c r="G68" s="64">
        <v>73.83</v>
      </c>
      <c r="H68" s="64">
        <v>31.49</v>
      </c>
      <c r="I68" s="64">
        <v>3.8</v>
      </c>
      <c r="J68" s="64">
        <v>1</v>
      </c>
      <c r="K68" s="64">
        <v>156.52000000000001</v>
      </c>
      <c r="L68" s="64">
        <v>35.950000000000003</v>
      </c>
      <c r="M68" s="64">
        <v>31.47</v>
      </c>
      <c r="N68" s="64">
        <v>288.2</v>
      </c>
      <c r="O68" s="64">
        <v>0</v>
      </c>
      <c r="P68" s="64">
        <v>0.41</v>
      </c>
      <c r="Q68" s="64">
        <v>9.4</v>
      </c>
      <c r="R68" s="198"/>
      <c r="S68" s="198"/>
      <c r="T68" s="198"/>
      <c r="U68" s="198"/>
    </row>
    <row r="69" spans="1:21" s="12" customFormat="1" x14ac:dyDescent="0.25">
      <c r="A69" s="214" t="s">
        <v>1557</v>
      </c>
      <c r="B69" s="64">
        <v>8.2200000000000006</v>
      </c>
      <c r="C69" s="64">
        <v>3.55</v>
      </c>
      <c r="D69" s="64">
        <v>12.22</v>
      </c>
      <c r="E69" s="64">
        <v>4.54</v>
      </c>
      <c r="F69" s="64">
        <v>6.6</v>
      </c>
      <c r="G69" s="64">
        <v>73.83</v>
      </c>
      <c r="H69" s="64">
        <v>31.49</v>
      </c>
      <c r="I69" s="64">
        <v>4.46</v>
      </c>
      <c r="J69" s="64">
        <v>0.26</v>
      </c>
      <c r="K69" s="64">
        <v>15.89</v>
      </c>
      <c r="L69" s="64">
        <v>36.380000000000003</v>
      </c>
      <c r="M69" s="64">
        <v>30.56</v>
      </c>
      <c r="N69" s="64">
        <v>235.1</v>
      </c>
      <c r="O69" s="64">
        <v>0</v>
      </c>
      <c r="P69" s="64">
        <v>0.43</v>
      </c>
      <c r="Q69" s="64">
        <v>9.3800000000000008</v>
      </c>
      <c r="R69" s="198"/>
      <c r="S69" s="198"/>
      <c r="T69" s="198"/>
      <c r="U69" s="198"/>
    </row>
    <row r="70" spans="1:21" s="12" customFormat="1" x14ac:dyDescent="0.25">
      <c r="A70" s="214" t="s">
        <v>1558</v>
      </c>
      <c r="B70" s="64">
        <v>8.31</v>
      </c>
      <c r="C70" s="64">
        <v>3.85</v>
      </c>
      <c r="D70" s="64">
        <v>12.45</v>
      </c>
      <c r="E70" s="64">
        <v>4.91</v>
      </c>
      <c r="F70" s="64">
        <v>6.46</v>
      </c>
      <c r="G70" s="64">
        <v>71.44</v>
      </c>
      <c r="H70" s="64">
        <v>31.4</v>
      </c>
      <c r="I70" s="64">
        <v>4.91</v>
      </c>
      <c r="J70" s="64">
        <v>0.28000000000000003</v>
      </c>
      <c r="K70" s="64">
        <v>346.06</v>
      </c>
      <c r="L70" s="64">
        <v>36.450000000000003</v>
      </c>
      <c r="M70" s="64">
        <v>29.78</v>
      </c>
      <c r="N70" s="64">
        <v>236.6</v>
      </c>
      <c r="O70" s="64">
        <v>0</v>
      </c>
      <c r="P70" s="64">
        <v>0.41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4" t="s">
        <v>1559</v>
      </c>
      <c r="B71" s="64">
        <v>8.17</v>
      </c>
      <c r="C71" s="64">
        <v>3.31</v>
      </c>
      <c r="D71" s="64">
        <v>12.05</v>
      </c>
      <c r="E71" s="64">
        <v>4.7</v>
      </c>
      <c r="F71" s="64">
        <v>6.52</v>
      </c>
      <c r="G71" s="64">
        <v>69.260000000000005</v>
      </c>
      <c r="H71" s="64">
        <v>31.32</v>
      </c>
      <c r="I71" s="64">
        <v>5</v>
      </c>
      <c r="J71" s="64">
        <v>0.85</v>
      </c>
      <c r="K71" s="64">
        <v>333.83</v>
      </c>
      <c r="L71" s="64">
        <v>36.76</v>
      </c>
      <c r="M71" s="64">
        <v>29.53</v>
      </c>
      <c r="N71" s="64">
        <v>183.7</v>
      </c>
      <c r="O71" s="64">
        <v>0</v>
      </c>
      <c r="P71" s="64">
        <v>0.41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14" t="s">
        <v>1560</v>
      </c>
      <c r="B72" s="64">
        <v>8.17</v>
      </c>
      <c r="C72" s="64">
        <v>3.12</v>
      </c>
      <c r="D72" s="64">
        <v>11.95</v>
      </c>
      <c r="E72" s="64">
        <v>5.31</v>
      </c>
      <c r="F72" s="64">
        <v>6.58</v>
      </c>
      <c r="G72" s="64">
        <v>69.260000000000005</v>
      </c>
      <c r="H72" s="64">
        <v>31.32</v>
      </c>
      <c r="I72" s="64">
        <v>4.9400000000000004</v>
      </c>
      <c r="J72" s="64">
        <v>2.37</v>
      </c>
      <c r="K72" s="64">
        <v>343.19</v>
      </c>
      <c r="L72" s="64">
        <v>35.17</v>
      </c>
      <c r="M72" s="64">
        <v>35.020000000000003</v>
      </c>
      <c r="N72" s="64">
        <v>157.69999999999999</v>
      </c>
      <c r="O72" s="64">
        <v>0</v>
      </c>
      <c r="P72" s="64">
        <v>0.42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4" t="s">
        <v>1561</v>
      </c>
      <c r="B73" s="64">
        <v>8.15</v>
      </c>
      <c r="C73" s="64">
        <v>3.1</v>
      </c>
      <c r="D73" s="64">
        <v>11.93</v>
      </c>
      <c r="E73" s="64">
        <v>4.66</v>
      </c>
      <c r="F73" s="64">
        <v>5.78</v>
      </c>
      <c r="G73" s="64">
        <v>69.260000000000005</v>
      </c>
      <c r="H73" s="64">
        <v>31.32</v>
      </c>
      <c r="I73" s="64">
        <v>4.8600000000000003</v>
      </c>
      <c r="J73" s="64">
        <v>2.09</v>
      </c>
      <c r="K73" s="64">
        <v>344.35</v>
      </c>
      <c r="L73" s="64">
        <v>34.65</v>
      </c>
      <c r="M73" s="64">
        <v>35.65</v>
      </c>
      <c r="N73" s="64">
        <v>106</v>
      </c>
      <c r="O73" s="64">
        <v>0</v>
      </c>
      <c r="P73" s="64">
        <v>0.42</v>
      </c>
      <c r="Q73" s="64">
        <v>9.34</v>
      </c>
      <c r="R73" s="198"/>
      <c r="S73" s="198"/>
      <c r="T73" s="198"/>
      <c r="U73" s="198"/>
    </row>
    <row r="74" spans="1:21" s="12" customFormat="1" x14ac:dyDescent="0.25">
      <c r="A74" s="214" t="s">
        <v>1562</v>
      </c>
      <c r="B74" s="64">
        <v>8.14</v>
      </c>
      <c r="C74" s="64">
        <v>3.09</v>
      </c>
      <c r="D74" s="64">
        <v>11.91</v>
      </c>
      <c r="E74" s="64">
        <v>4.6500000000000004</v>
      </c>
      <c r="F74" s="64">
        <v>5.32</v>
      </c>
      <c r="G74" s="64">
        <v>137.96</v>
      </c>
      <c r="H74" s="64">
        <v>40.65</v>
      </c>
      <c r="I74" s="64">
        <v>4.79</v>
      </c>
      <c r="J74" s="64">
        <v>1.5</v>
      </c>
      <c r="K74" s="64">
        <v>341.73</v>
      </c>
      <c r="L74" s="64">
        <v>33.799999999999997</v>
      </c>
      <c r="M74" s="64">
        <v>37.57</v>
      </c>
      <c r="N74" s="64">
        <v>94.9</v>
      </c>
      <c r="O74" s="64">
        <v>0</v>
      </c>
      <c r="P74" s="64">
        <v>0.44</v>
      </c>
      <c r="Q74" s="64">
        <v>9.33</v>
      </c>
      <c r="R74" s="198"/>
      <c r="S74" s="198"/>
      <c r="T74" s="198"/>
      <c r="U74" s="198"/>
    </row>
    <row r="75" spans="1:21" s="12" customFormat="1" x14ac:dyDescent="0.25">
      <c r="A75" s="214" t="s">
        <v>1563</v>
      </c>
      <c r="B75" s="64">
        <v>8.17</v>
      </c>
      <c r="C75" s="64">
        <v>3.14</v>
      </c>
      <c r="D75" s="64">
        <v>11.96</v>
      </c>
      <c r="E75" s="64">
        <v>4.79</v>
      </c>
      <c r="F75" s="64">
        <v>4.82</v>
      </c>
      <c r="G75" s="64">
        <v>200.83</v>
      </c>
      <c r="H75" s="64">
        <v>49.58</v>
      </c>
      <c r="I75" s="64">
        <v>4.75</v>
      </c>
      <c r="J75" s="64">
        <v>1.48</v>
      </c>
      <c r="K75" s="64">
        <v>344.61</v>
      </c>
      <c r="L75" s="64">
        <v>33.450000000000003</v>
      </c>
      <c r="M75" s="64">
        <v>36.9</v>
      </c>
      <c r="N75" s="64">
        <v>106.5</v>
      </c>
      <c r="O75" s="64">
        <v>0</v>
      </c>
      <c r="P75" s="64">
        <v>0.44</v>
      </c>
      <c r="Q75" s="64">
        <v>9.34</v>
      </c>
      <c r="R75" s="198"/>
      <c r="S75" s="198"/>
      <c r="T75" s="198"/>
      <c r="U75" s="198"/>
    </row>
    <row r="76" spans="1:21" s="12" customFormat="1" x14ac:dyDescent="0.25">
      <c r="A76" s="214" t="s">
        <v>1564</v>
      </c>
      <c r="B76" s="64">
        <v>8.19</v>
      </c>
      <c r="C76" s="64">
        <v>3.18</v>
      </c>
      <c r="D76" s="64">
        <v>12.01</v>
      </c>
      <c r="E76" s="64">
        <v>4.53</v>
      </c>
      <c r="F76" s="64">
        <v>4.53</v>
      </c>
      <c r="G76" s="64">
        <v>200.83</v>
      </c>
      <c r="H76" s="64">
        <v>49.58</v>
      </c>
      <c r="I76" s="64">
        <v>4.9800000000000004</v>
      </c>
      <c r="J76" s="64">
        <v>0.64</v>
      </c>
      <c r="K76" s="64">
        <v>90.29</v>
      </c>
      <c r="L76" s="64">
        <v>32.96</v>
      </c>
      <c r="M76" s="64">
        <v>37.78</v>
      </c>
      <c r="N76" s="64">
        <v>105</v>
      </c>
      <c r="O76" s="64">
        <v>0</v>
      </c>
      <c r="P76" s="64">
        <v>0.46</v>
      </c>
      <c r="Q76" s="64">
        <v>9.39</v>
      </c>
      <c r="R76" s="198"/>
      <c r="S76" s="198"/>
      <c r="T76" s="198"/>
      <c r="U76" s="198"/>
    </row>
    <row r="77" spans="1:21" s="12" customFormat="1" x14ac:dyDescent="0.25">
      <c r="A77" s="214" t="s">
        <v>1565</v>
      </c>
      <c r="B77" s="64">
        <v>8.19</v>
      </c>
      <c r="C77" s="64">
        <v>3.24</v>
      </c>
      <c r="D77" s="64">
        <v>12.04</v>
      </c>
      <c r="E77" s="64">
        <v>4.49</v>
      </c>
      <c r="F77" s="64">
        <v>4.6500000000000004</v>
      </c>
      <c r="G77" s="64">
        <v>200.83</v>
      </c>
      <c r="H77" s="64">
        <v>49.58</v>
      </c>
      <c r="I77" s="64">
        <v>5.33</v>
      </c>
      <c r="J77" s="64">
        <v>1.01</v>
      </c>
      <c r="K77" s="64">
        <v>98.29</v>
      </c>
      <c r="L77" s="64">
        <v>32.96</v>
      </c>
      <c r="M77" s="64">
        <v>37.65</v>
      </c>
      <c r="N77" s="64">
        <v>101.2</v>
      </c>
      <c r="O77" s="64">
        <v>0</v>
      </c>
      <c r="P77" s="64">
        <v>0.45</v>
      </c>
      <c r="Q77" s="64">
        <v>9.44</v>
      </c>
      <c r="R77" s="198"/>
      <c r="S77" s="198"/>
      <c r="T77" s="198"/>
      <c r="U77" s="198"/>
    </row>
    <row r="78" spans="1:21" s="12" customFormat="1" x14ac:dyDescent="0.25">
      <c r="A78" s="214" t="s">
        <v>1566</v>
      </c>
      <c r="B78" s="64">
        <v>8.18</v>
      </c>
      <c r="C78" s="64">
        <v>3.28</v>
      </c>
      <c r="D78" s="64">
        <v>12.05</v>
      </c>
      <c r="E78" s="64">
        <v>4.5</v>
      </c>
      <c r="F78" s="64">
        <v>5.04</v>
      </c>
      <c r="G78" s="64">
        <v>123.95</v>
      </c>
      <c r="H78" s="64">
        <v>46.3</v>
      </c>
      <c r="I78" s="64">
        <v>5.54</v>
      </c>
      <c r="J78" s="64">
        <v>1</v>
      </c>
      <c r="K78" s="64">
        <v>100.68</v>
      </c>
      <c r="L78" s="64">
        <v>33.32</v>
      </c>
      <c r="M78" s="64">
        <v>36.19</v>
      </c>
      <c r="N78" s="64">
        <v>69.5</v>
      </c>
      <c r="O78" s="64">
        <v>0</v>
      </c>
      <c r="P78" s="64">
        <v>0.44</v>
      </c>
      <c r="Q78" s="64">
        <v>9.5</v>
      </c>
      <c r="R78" s="198"/>
      <c r="S78" s="198"/>
      <c r="T78" s="198"/>
      <c r="U78" s="198"/>
    </row>
    <row r="79" spans="1:21" s="12" customFormat="1" x14ac:dyDescent="0.25">
      <c r="A79" s="214" t="s">
        <v>1567</v>
      </c>
      <c r="B79" s="64">
        <v>8.43</v>
      </c>
      <c r="C79" s="64">
        <v>4.28</v>
      </c>
      <c r="D79" s="64">
        <v>12.77</v>
      </c>
      <c r="E79" s="64">
        <v>4.7</v>
      </c>
      <c r="F79" s="64">
        <v>4.97</v>
      </c>
      <c r="G79" s="64">
        <v>53.61</v>
      </c>
      <c r="H79" s="64">
        <v>43.3</v>
      </c>
      <c r="I79" s="64">
        <v>5.77</v>
      </c>
      <c r="J79" s="64">
        <v>0.98</v>
      </c>
      <c r="K79" s="64">
        <v>158.13</v>
      </c>
      <c r="L79" s="64">
        <v>33.72</v>
      </c>
      <c r="M79" s="64">
        <v>35.61</v>
      </c>
      <c r="N79" s="64">
        <v>52.4</v>
      </c>
      <c r="O79" s="64">
        <v>0</v>
      </c>
      <c r="P79" s="64">
        <v>0.44</v>
      </c>
      <c r="Q79" s="64">
        <v>9.51</v>
      </c>
      <c r="R79" s="198"/>
      <c r="S79" s="198"/>
      <c r="T79" s="198"/>
      <c r="U79" s="198"/>
    </row>
    <row r="80" spans="1:21" s="12" customFormat="1" x14ac:dyDescent="0.25">
      <c r="A80" s="214" t="s">
        <v>1568</v>
      </c>
      <c r="B80" s="64">
        <v>8.24</v>
      </c>
      <c r="C80" s="64">
        <v>3.59</v>
      </c>
      <c r="D80" s="64">
        <v>12.26</v>
      </c>
      <c r="E80" s="64">
        <v>4.63</v>
      </c>
      <c r="F80" s="64">
        <v>4.5199999999999996</v>
      </c>
      <c r="G80" s="64">
        <v>53.61</v>
      </c>
      <c r="H80" s="64">
        <v>43.3</v>
      </c>
      <c r="I80" s="64">
        <v>6.22</v>
      </c>
      <c r="J80" s="64">
        <v>0.76</v>
      </c>
      <c r="K80" s="64">
        <v>163.75</v>
      </c>
      <c r="L80" s="64">
        <v>33.6</v>
      </c>
      <c r="M80" s="64">
        <v>36.28</v>
      </c>
      <c r="N80" s="64">
        <v>42.3</v>
      </c>
      <c r="O80" s="64">
        <v>0</v>
      </c>
      <c r="P80" s="64">
        <v>0.44</v>
      </c>
      <c r="Q80" s="64">
        <v>9.5299999999999994</v>
      </c>
      <c r="R80" s="198"/>
      <c r="S80" s="198"/>
      <c r="T80" s="198"/>
      <c r="U80" s="198"/>
    </row>
    <row r="81" spans="1:26" s="12" customFormat="1" x14ac:dyDescent="0.25">
      <c r="A81" s="214" t="s">
        <v>1569</v>
      </c>
      <c r="B81" s="64">
        <v>8.15</v>
      </c>
      <c r="C81" s="64">
        <v>3.29</v>
      </c>
      <c r="D81" s="64">
        <v>12.03</v>
      </c>
      <c r="E81" s="64">
        <v>4.4400000000000004</v>
      </c>
      <c r="F81" s="64">
        <v>4.28</v>
      </c>
      <c r="G81" s="64">
        <v>53.61</v>
      </c>
      <c r="H81" s="64">
        <v>43.3</v>
      </c>
      <c r="I81" s="64">
        <v>6.71</v>
      </c>
      <c r="J81" s="64">
        <v>0.43</v>
      </c>
      <c r="K81" s="64">
        <v>190.82</v>
      </c>
      <c r="L81" s="64">
        <v>33.47</v>
      </c>
      <c r="M81" s="64">
        <v>37.39</v>
      </c>
      <c r="N81" s="64">
        <v>32.200000000000003</v>
      </c>
      <c r="O81" s="64">
        <v>0</v>
      </c>
      <c r="P81" s="64">
        <v>0.46</v>
      </c>
      <c r="Q81" s="64">
        <v>9.5299999999999994</v>
      </c>
      <c r="R81" s="198"/>
      <c r="S81" s="198"/>
      <c r="T81" s="198"/>
      <c r="U81" s="198"/>
    </row>
    <row r="82" spans="1:26" s="12" customFormat="1" x14ac:dyDescent="0.25">
      <c r="A82" s="214" t="s">
        <v>1570</v>
      </c>
      <c r="B82" s="64">
        <v>8.19</v>
      </c>
      <c r="C82" s="64">
        <v>3.45</v>
      </c>
      <c r="D82" s="64">
        <v>12.14</v>
      </c>
      <c r="E82" s="64">
        <v>4.76</v>
      </c>
      <c r="F82" s="64">
        <v>4.1399999999999997</v>
      </c>
      <c r="G82" s="64">
        <v>75.59</v>
      </c>
      <c r="H82" s="64">
        <v>42.59</v>
      </c>
      <c r="I82" s="64">
        <v>6.77</v>
      </c>
      <c r="J82" s="64">
        <v>0.91</v>
      </c>
      <c r="K82" s="64">
        <v>148.32</v>
      </c>
      <c r="L82" s="64">
        <v>33.32</v>
      </c>
      <c r="M82" s="64">
        <v>37.840000000000003</v>
      </c>
      <c r="N82" s="64">
        <v>25.3</v>
      </c>
      <c r="O82" s="64">
        <v>0</v>
      </c>
      <c r="P82" s="64">
        <v>0.47</v>
      </c>
      <c r="Q82" s="64">
        <v>9.56</v>
      </c>
      <c r="R82" s="198"/>
      <c r="S82" s="198"/>
      <c r="T82" s="198"/>
      <c r="U82" s="198"/>
    </row>
    <row r="83" spans="1:26" s="12" customFormat="1" x14ac:dyDescent="0.25">
      <c r="A83" s="214" t="s">
        <v>1571</v>
      </c>
      <c r="B83" s="64">
        <v>8.4600000000000009</v>
      </c>
      <c r="C83" s="64">
        <v>4.6500000000000004</v>
      </c>
      <c r="D83" s="64">
        <v>12.98</v>
      </c>
      <c r="E83" s="64">
        <v>4.9800000000000004</v>
      </c>
      <c r="F83" s="64">
        <v>4.16</v>
      </c>
      <c r="G83" s="64">
        <v>95.7</v>
      </c>
      <c r="H83" s="64">
        <v>41.93</v>
      </c>
      <c r="I83" s="64">
        <v>6.71</v>
      </c>
      <c r="J83" s="64">
        <v>1.04</v>
      </c>
      <c r="K83" s="64">
        <v>152.86000000000001</v>
      </c>
      <c r="L83" s="64">
        <v>33.03</v>
      </c>
      <c r="M83" s="64">
        <v>39.31</v>
      </c>
      <c r="N83" s="64">
        <v>19.5</v>
      </c>
      <c r="O83" s="64">
        <v>0</v>
      </c>
      <c r="P83" s="64">
        <v>0.49</v>
      </c>
      <c r="Q83" s="64">
        <v>9.58</v>
      </c>
      <c r="R83" s="198"/>
      <c r="S83" s="198"/>
      <c r="T83" s="198"/>
      <c r="U83" s="198"/>
    </row>
    <row r="84" spans="1:26" s="12" customFormat="1" x14ac:dyDescent="0.25">
      <c r="A84" s="214" t="s">
        <v>1572</v>
      </c>
      <c r="B84" s="64">
        <v>8.2100000000000009</v>
      </c>
      <c r="C84" s="64">
        <v>3.41</v>
      </c>
      <c r="D84" s="64">
        <v>12.14</v>
      </c>
      <c r="E84" s="64">
        <v>4.82</v>
      </c>
      <c r="F84" s="64">
        <v>4.0999999999999996</v>
      </c>
      <c r="G84" s="64">
        <v>95.7</v>
      </c>
      <c r="H84" s="64">
        <v>41.93</v>
      </c>
      <c r="I84" s="64">
        <v>6.93</v>
      </c>
      <c r="J84" s="64">
        <v>0.8</v>
      </c>
      <c r="K84" s="64">
        <v>146.27000000000001</v>
      </c>
      <c r="L84" s="64">
        <v>32.880000000000003</v>
      </c>
      <c r="M84" s="64">
        <v>39.6</v>
      </c>
      <c r="N84" s="64">
        <v>17.100000000000001</v>
      </c>
      <c r="O84" s="64">
        <v>0</v>
      </c>
      <c r="P84" s="64">
        <v>0.5</v>
      </c>
      <c r="Q84" s="64">
        <v>9.59</v>
      </c>
      <c r="R84" s="198"/>
      <c r="S84" s="198"/>
      <c r="T84" s="198"/>
      <c r="U84" s="198"/>
    </row>
    <row r="85" spans="1:26" s="12" customFormat="1" x14ac:dyDescent="0.25">
      <c r="A85" s="214" t="s">
        <v>1573</v>
      </c>
      <c r="B85" s="64">
        <v>8.15</v>
      </c>
      <c r="C85" s="64">
        <v>3.27</v>
      </c>
      <c r="D85" s="64">
        <v>12.02</v>
      </c>
      <c r="E85" s="64">
        <v>4.9000000000000004</v>
      </c>
      <c r="F85" s="64">
        <v>3.87</v>
      </c>
      <c r="G85" s="64">
        <v>95.7</v>
      </c>
      <c r="H85" s="64">
        <v>41.93</v>
      </c>
      <c r="I85" s="64">
        <v>7.09</v>
      </c>
      <c r="J85" s="64">
        <v>1</v>
      </c>
      <c r="K85" s="64">
        <v>143.58000000000001</v>
      </c>
      <c r="L85" s="64">
        <v>32.83</v>
      </c>
      <c r="M85" s="64">
        <v>39.74</v>
      </c>
      <c r="N85" s="64">
        <v>17</v>
      </c>
      <c r="O85" s="64">
        <v>0</v>
      </c>
      <c r="P85" s="64">
        <v>0.51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4" t="s">
        <v>1574</v>
      </c>
      <c r="B86" s="64">
        <v>8.16</v>
      </c>
      <c r="C86" s="64">
        <v>3.18</v>
      </c>
      <c r="D86" s="64">
        <v>11.98</v>
      </c>
      <c r="E86" s="64">
        <v>4.74</v>
      </c>
      <c r="F86" s="64">
        <v>3.88</v>
      </c>
      <c r="G86" s="64">
        <v>118.33</v>
      </c>
      <c r="H86" s="64">
        <v>41.37</v>
      </c>
      <c r="I86" s="64">
        <v>7.15</v>
      </c>
      <c r="J86" s="64">
        <v>0.37</v>
      </c>
      <c r="K86" s="64">
        <v>156.97999999999999</v>
      </c>
      <c r="L86" s="64">
        <v>32.64</v>
      </c>
      <c r="M86" s="64">
        <v>40.340000000000003</v>
      </c>
      <c r="N86" s="64">
        <v>17.100000000000001</v>
      </c>
      <c r="O86" s="64">
        <v>0</v>
      </c>
      <c r="P86" s="64">
        <v>0.56000000000000005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4" t="s">
        <v>1575</v>
      </c>
      <c r="B87" s="64">
        <v>8.18</v>
      </c>
      <c r="C87" s="64">
        <v>3.31</v>
      </c>
      <c r="D87" s="64">
        <v>12.06</v>
      </c>
      <c r="E87" s="64">
        <v>4.45</v>
      </c>
      <c r="F87" s="64">
        <v>3.82</v>
      </c>
      <c r="G87" s="64">
        <v>139.04</v>
      </c>
      <c r="H87" s="64">
        <v>40.85</v>
      </c>
      <c r="I87" s="64">
        <v>7.15</v>
      </c>
      <c r="J87" s="64">
        <v>1.38</v>
      </c>
      <c r="K87" s="64">
        <v>169.22</v>
      </c>
      <c r="L87" s="64">
        <v>32.65</v>
      </c>
      <c r="M87" s="64">
        <v>39.78</v>
      </c>
      <c r="N87" s="64">
        <v>16.600000000000001</v>
      </c>
      <c r="O87" s="64">
        <v>0</v>
      </c>
      <c r="P87" s="64">
        <v>0.56999999999999995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4" t="s">
        <v>1576</v>
      </c>
      <c r="B88" s="64">
        <v>8.2200000000000006</v>
      </c>
      <c r="C88" s="64">
        <v>3.44</v>
      </c>
      <c r="D88" s="64">
        <v>12.17</v>
      </c>
      <c r="E88" s="64">
        <v>4.67</v>
      </c>
      <c r="F88" s="64">
        <v>3.83</v>
      </c>
      <c r="G88" s="64">
        <v>139.04</v>
      </c>
      <c r="H88" s="64">
        <v>40.85</v>
      </c>
      <c r="I88" s="64">
        <v>7.1</v>
      </c>
      <c r="J88" s="64">
        <v>0.14000000000000001</v>
      </c>
      <c r="K88" s="64">
        <v>87.44</v>
      </c>
      <c r="L88" s="64">
        <v>32.44</v>
      </c>
      <c r="M88" s="64">
        <v>40.56</v>
      </c>
      <c r="N88" s="64">
        <v>17</v>
      </c>
      <c r="O88" s="64">
        <v>0</v>
      </c>
      <c r="P88" s="64">
        <v>0.57999999999999996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4" t="s">
        <v>1577</v>
      </c>
      <c r="B89" s="64">
        <v>8.6</v>
      </c>
      <c r="C89" s="64">
        <v>4.91</v>
      </c>
      <c r="D89" s="64">
        <v>13.24</v>
      </c>
      <c r="E89" s="64">
        <v>4.59</v>
      </c>
      <c r="F89" s="64">
        <v>5.38</v>
      </c>
      <c r="G89" s="64">
        <v>139.04</v>
      </c>
      <c r="H89" s="64">
        <v>40.85</v>
      </c>
      <c r="I89" s="64">
        <v>7.37</v>
      </c>
      <c r="J89" s="64">
        <v>0.82</v>
      </c>
      <c r="K89" s="64">
        <v>23.53</v>
      </c>
      <c r="L89" s="64">
        <v>31.63</v>
      </c>
      <c r="M89" s="64">
        <v>42.52</v>
      </c>
      <c r="N89" s="64">
        <v>17.899999999999999</v>
      </c>
      <c r="O89" s="64">
        <v>0</v>
      </c>
      <c r="P89" s="64">
        <v>0.56000000000000005</v>
      </c>
      <c r="Q89" s="64">
        <v>9.58</v>
      </c>
      <c r="R89" s="198"/>
      <c r="S89" s="198"/>
      <c r="T89" s="198"/>
      <c r="U89" s="198"/>
    </row>
    <row r="90" spans="1:26" s="12" customFormat="1" x14ac:dyDescent="0.25">
      <c r="A90" s="214" t="s">
        <v>1578</v>
      </c>
      <c r="B90" s="64">
        <v>8.2899999999999991</v>
      </c>
      <c r="C90" s="64">
        <v>3.59</v>
      </c>
      <c r="D90" s="64">
        <v>12.3</v>
      </c>
      <c r="E90" s="64">
        <v>4.74</v>
      </c>
      <c r="F90" s="64">
        <v>6.54</v>
      </c>
      <c r="G90" s="64">
        <v>119.97</v>
      </c>
      <c r="H90" s="64">
        <v>37.880000000000003</v>
      </c>
      <c r="I90" s="64">
        <v>7.46</v>
      </c>
      <c r="J90" s="64">
        <v>0.49</v>
      </c>
      <c r="K90" s="64">
        <v>7.59</v>
      </c>
      <c r="L90" s="64">
        <v>30.78</v>
      </c>
      <c r="M90" s="64">
        <v>45.77</v>
      </c>
      <c r="N90" s="64">
        <v>17.7</v>
      </c>
      <c r="O90" s="64">
        <v>0</v>
      </c>
      <c r="P90" s="64">
        <v>0.54</v>
      </c>
      <c r="Q90" s="64">
        <v>9.59</v>
      </c>
      <c r="R90" s="198"/>
      <c r="S90" s="198"/>
      <c r="T90" s="198"/>
      <c r="U90" s="198"/>
    </row>
    <row r="91" spans="1:26" s="12" customFormat="1" x14ac:dyDescent="0.25">
      <c r="A91" s="214" t="s">
        <v>1579</v>
      </c>
      <c r="B91" s="64">
        <v>8.18</v>
      </c>
      <c r="C91" s="64">
        <v>3.23</v>
      </c>
      <c r="D91" s="64">
        <v>12.02</v>
      </c>
      <c r="E91" s="64">
        <v>4.75</v>
      </c>
      <c r="F91" s="64">
        <v>6.17</v>
      </c>
      <c r="G91" s="64">
        <v>102.52</v>
      </c>
      <c r="H91" s="64">
        <v>35.15</v>
      </c>
      <c r="I91" s="64">
        <v>6.93</v>
      </c>
      <c r="J91" s="64">
        <v>0.31</v>
      </c>
      <c r="K91" s="64">
        <v>29.5</v>
      </c>
      <c r="L91" s="64">
        <v>30.37</v>
      </c>
      <c r="M91" s="64">
        <v>47</v>
      </c>
      <c r="N91" s="64">
        <v>17.2</v>
      </c>
      <c r="O91" s="64">
        <v>0</v>
      </c>
      <c r="P91" s="64">
        <v>0.53</v>
      </c>
      <c r="Q91" s="64">
        <v>9.5399999999999991</v>
      </c>
      <c r="R91" s="198"/>
      <c r="S91" s="198"/>
      <c r="T91" s="198"/>
      <c r="U91" s="198"/>
    </row>
    <row r="92" spans="1:26" s="12" customFormat="1" x14ac:dyDescent="0.25">
      <c r="A92" s="214" t="s">
        <v>1580</v>
      </c>
      <c r="B92" s="64">
        <v>8.18</v>
      </c>
      <c r="C92" s="64">
        <v>3.11</v>
      </c>
      <c r="D92" s="64">
        <v>11.96</v>
      </c>
      <c r="E92" s="64">
        <v>4.8</v>
      </c>
      <c r="F92" s="64">
        <v>8.59</v>
      </c>
      <c r="G92" s="64">
        <v>102.52</v>
      </c>
      <c r="H92" s="64">
        <v>35.15</v>
      </c>
      <c r="I92" s="64">
        <v>6.42</v>
      </c>
      <c r="J92" s="64">
        <v>0.66</v>
      </c>
      <c r="K92" s="64">
        <v>22.46</v>
      </c>
      <c r="L92" s="64">
        <v>30.06</v>
      </c>
      <c r="M92" s="64">
        <v>45.7</v>
      </c>
      <c r="N92" s="64">
        <v>17.5</v>
      </c>
      <c r="O92" s="64">
        <v>0</v>
      </c>
      <c r="P92" s="64">
        <v>0.5</v>
      </c>
      <c r="Q92" s="64">
        <v>9.51</v>
      </c>
      <c r="R92" s="198"/>
      <c r="S92" s="198"/>
      <c r="T92" s="198"/>
      <c r="U92" s="198"/>
    </row>
    <row r="93" spans="1:26" s="12" customFormat="1" x14ac:dyDescent="0.25">
      <c r="A93" s="214" t="s">
        <v>1581</v>
      </c>
      <c r="B93" s="64">
        <v>8.2200000000000006</v>
      </c>
      <c r="C93" s="64">
        <v>3.24</v>
      </c>
      <c r="D93" s="64">
        <v>12.06</v>
      </c>
      <c r="E93" s="64">
        <v>4.7300000000000004</v>
      </c>
      <c r="F93" s="64">
        <v>10.32</v>
      </c>
      <c r="G93" s="64">
        <v>102.52</v>
      </c>
      <c r="H93" s="64">
        <v>35.15</v>
      </c>
      <c r="I93" s="64">
        <v>6.04</v>
      </c>
      <c r="J93" s="64">
        <v>0.21</v>
      </c>
      <c r="K93" s="64">
        <v>16.82</v>
      </c>
      <c r="L93" s="64">
        <v>29.15</v>
      </c>
      <c r="M93" s="64">
        <v>53.18</v>
      </c>
      <c r="N93" s="64">
        <v>17.8</v>
      </c>
      <c r="O93" s="64">
        <v>0</v>
      </c>
      <c r="P93" s="64">
        <v>0.46</v>
      </c>
      <c r="Q93" s="64">
        <v>9.5</v>
      </c>
      <c r="R93" s="198"/>
      <c r="S93" s="198"/>
      <c r="T93" s="198"/>
      <c r="U93" s="198"/>
    </row>
    <row r="94" spans="1:26" s="12" customFormat="1" x14ac:dyDescent="0.25">
      <c r="A94" s="214" t="s">
        <v>1582</v>
      </c>
      <c r="B94" s="64">
        <v>8.19</v>
      </c>
      <c r="C94" s="64">
        <v>3.18</v>
      </c>
      <c r="D94" s="64">
        <v>12.01</v>
      </c>
      <c r="E94" s="64">
        <v>4.6100000000000003</v>
      </c>
      <c r="F94" s="64">
        <v>8.7799999999999994</v>
      </c>
      <c r="G94" s="64">
        <v>83.32</v>
      </c>
      <c r="H94" s="64">
        <v>34.630000000000003</v>
      </c>
      <c r="I94" s="64">
        <v>5.44</v>
      </c>
      <c r="J94" s="64">
        <v>0.38</v>
      </c>
      <c r="K94" s="64">
        <v>17.18</v>
      </c>
      <c r="L94" s="64">
        <v>28.95</v>
      </c>
      <c r="M94" s="64">
        <v>55.15</v>
      </c>
      <c r="N94" s="64">
        <v>17.100000000000001</v>
      </c>
      <c r="O94" s="64">
        <v>0</v>
      </c>
      <c r="P94" s="64">
        <v>0.45</v>
      </c>
      <c r="Q94" s="64">
        <v>9.51</v>
      </c>
      <c r="R94" s="198"/>
      <c r="S94" s="198"/>
      <c r="T94" s="198"/>
      <c r="U94" s="198"/>
    </row>
    <row r="95" spans="1:26" s="12" customFormat="1" x14ac:dyDescent="0.25">
      <c r="A95" s="214" t="s">
        <v>1583</v>
      </c>
      <c r="B95" s="64">
        <v>8.19</v>
      </c>
      <c r="C95" s="64">
        <v>3.13</v>
      </c>
      <c r="D95" s="64">
        <v>11.98</v>
      </c>
      <c r="E95" s="64">
        <v>4.9000000000000004</v>
      </c>
      <c r="F95" s="64">
        <v>7.08</v>
      </c>
      <c r="G95" s="64">
        <v>65.75</v>
      </c>
      <c r="H95" s="64">
        <v>34.15</v>
      </c>
      <c r="I95" s="64">
        <v>4.87</v>
      </c>
      <c r="J95" s="64">
        <v>0.25</v>
      </c>
      <c r="K95" s="64">
        <v>74.88</v>
      </c>
      <c r="L95" s="64">
        <v>28.92</v>
      </c>
      <c r="M95" s="64">
        <v>54.68</v>
      </c>
      <c r="N95" s="64">
        <v>17</v>
      </c>
      <c r="O95" s="64">
        <v>0</v>
      </c>
      <c r="P95" s="64">
        <v>0.44</v>
      </c>
      <c r="Q95" s="64">
        <v>9.51</v>
      </c>
      <c r="R95" s="198"/>
      <c r="S95" s="198"/>
      <c r="T95" s="198"/>
      <c r="U95" s="198"/>
    </row>
    <row r="96" spans="1:26" s="12" customFormat="1" x14ac:dyDescent="0.25">
      <c r="A96" s="214" t="s">
        <v>1584</v>
      </c>
      <c r="B96" s="64">
        <v>8.17</v>
      </c>
      <c r="C96" s="64">
        <v>3.15</v>
      </c>
      <c r="D96" s="64">
        <v>11.97</v>
      </c>
      <c r="E96" s="64">
        <v>4.75</v>
      </c>
      <c r="F96" s="64">
        <v>6.18</v>
      </c>
      <c r="G96" s="64">
        <v>65.75</v>
      </c>
      <c r="H96" s="64">
        <v>34.15</v>
      </c>
      <c r="I96" s="64">
        <v>4.6500000000000004</v>
      </c>
      <c r="J96" s="64">
        <v>0.09</v>
      </c>
      <c r="K96" s="64">
        <v>197.71</v>
      </c>
      <c r="L96" s="64">
        <v>28.83</v>
      </c>
      <c r="M96" s="64">
        <v>51.82</v>
      </c>
      <c r="N96" s="64">
        <v>17</v>
      </c>
      <c r="O96" s="64">
        <v>0</v>
      </c>
      <c r="P96" s="64">
        <v>0.43</v>
      </c>
      <c r="Q96" s="64">
        <v>9.51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1585</v>
      </c>
      <c r="B97" s="64">
        <v>8.33</v>
      </c>
      <c r="C97" s="64">
        <v>3.96</v>
      </c>
      <c r="D97" s="64">
        <v>12.53</v>
      </c>
      <c r="E97" s="64">
        <v>4.4800000000000004</v>
      </c>
      <c r="F97" s="64">
        <v>6.43</v>
      </c>
      <c r="G97" s="64">
        <v>65.75</v>
      </c>
      <c r="H97" s="64">
        <v>34.15</v>
      </c>
      <c r="I97" s="64">
        <v>4.6399999999999997</v>
      </c>
      <c r="J97" s="64">
        <v>0.44</v>
      </c>
      <c r="K97" s="64">
        <v>196.34</v>
      </c>
      <c r="L97" s="64">
        <v>28.47</v>
      </c>
      <c r="M97" s="64">
        <v>53.27</v>
      </c>
      <c r="N97" s="64">
        <v>17</v>
      </c>
      <c r="O97" s="64">
        <v>0</v>
      </c>
      <c r="P97" s="64">
        <v>0.41</v>
      </c>
      <c r="Q97" s="64">
        <v>9.51</v>
      </c>
      <c r="R97" s="198"/>
      <c r="S97" s="198"/>
      <c r="T97" s="198"/>
      <c r="U97" s="198"/>
    </row>
    <row r="98" spans="1:33" s="12" customFormat="1" x14ac:dyDescent="0.25">
      <c r="A98" s="214" t="s">
        <v>1586</v>
      </c>
      <c r="B98" s="64">
        <v>8.26</v>
      </c>
      <c r="C98" s="64">
        <v>3.65</v>
      </c>
      <c r="D98" s="64">
        <v>12.3</v>
      </c>
      <c r="E98" s="64">
        <v>4.63</v>
      </c>
      <c r="F98" s="64">
        <v>6.1</v>
      </c>
      <c r="G98" s="64">
        <v>58.08</v>
      </c>
      <c r="H98" s="64">
        <v>32.369999999999997</v>
      </c>
      <c r="I98" s="64">
        <v>4.54</v>
      </c>
      <c r="J98" s="64">
        <v>0.28000000000000003</v>
      </c>
      <c r="K98" s="64">
        <v>219.1</v>
      </c>
      <c r="L98" s="64">
        <v>28.14</v>
      </c>
      <c r="M98" s="64">
        <v>54.33</v>
      </c>
      <c r="N98" s="64">
        <v>17</v>
      </c>
      <c r="O98" s="64">
        <v>0</v>
      </c>
      <c r="P98" s="64">
        <v>0.39</v>
      </c>
      <c r="Q98" s="64">
        <v>9.4700000000000006</v>
      </c>
      <c r="R98" s="198"/>
      <c r="S98" s="198"/>
      <c r="T98" s="198"/>
      <c r="U98" s="198"/>
    </row>
    <row r="99" spans="1:33" s="12" customFormat="1" x14ac:dyDescent="0.25">
      <c r="A99" s="214" t="s">
        <v>1587</v>
      </c>
      <c r="B99" s="64">
        <v>8.17</v>
      </c>
      <c r="C99" s="64">
        <v>3.25</v>
      </c>
      <c r="D99" s="64">
        <v>12.02</v>
      </c>
      <c r="E99" s="64">
        <v>4.71</v>
      </c>
      <c r="F99" s="64">
        <v>6.22</v>
      </c>
      <c r="G99" s="64">
        <v>51.07</v>
      </c>
      <c r="H99" s="64">
        <v>30.66</v>
      </c>
      <c r="I99" s="64">
        <v>4.3</v>
      </c>
      <c r="J99" s="64">
        <v>0.56000000000000005</v>
      </c>
      <c r="K99" s="64">
        <v>24.9</v>
      </c>
      <c r="L99" s="64">
        <v>28.06</v>
      </c>
      <c r="M99" s="64">
        <v>53.1</v>
      </c>
      <c r="N99" s="64">
        <v>16.8</v>
      </c>
      <c r="O99" s="64">
        <v>0</v>
      </c>
      <c r="P99" s="64">
        <v>0.36</v>
      </c>
      <c r="Q99" s="64">
        <v>9.52</v>
      </c>
      <c r="R99" s="198"/>
      <c r="S99" s="198"/>
      <c r="T99" s="198"/>
      <c r="U99" s="198"/>
    </row>
    <row r="100" spans="1:33" s="12" customFormat="1" x14ac:dyDescent="0.25">
      <c r="A100" s="214" t="s">
        <v>1588</v>
      </c>
      <c r="B100" s="64">
        <v>8.18</v>
      </c>
      <c r="C100" s="64">
        <v>3.21</v>
      </c>
      <c r="D100" s="64">
        <v>12.01</v>
      </c>
      <c r="E100" s="64">
        <v>4.4000000000000004</v>
      </c>
      <c r="F100" s="64">
        <v>8.0299999999999994</v>
      </c>
      <c r="G100" s="64">
        <v>51.07</v>
      </c>
      <c r="H100" s="64">
        <v>30.66</v>
      </c>
      <c r="I100" s="64">
        <v>4.12</v>
      </c>
      <c r="J100" s="64">
        <v>0.73</v>
      </c>
      <c r="K100" s="64">
        <v>17.739999999999998</v>
      </c>
      <c r="L100" s="64">
        <v>27.76</v>
      </c>
      <c r="M100" s="64">
        <v>54.4</v>
      </c>
      <c r="N100" s="64">
        <v>17.3</v>
      </c>
      <c r="O100" s="64">
        <v>0</v>
      </c>
      <c r="P100" s="64">
        <v>0.33</v>
      </c>
      <c r="Q100" s="64">
        <v>9.5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1589</v>
      </c>
      <c r="B101" s="64">
        <v>8.18</v>
      </c>
      <c r="C101" s="64">
        <v>3.23</v>
      </c>
      <c r="D101" s="64">
        <v>12.02</v>
      </c>
      <c r="E101" s="64">
        <v>4.76</v>
      </c>
      <c r="F101" s="64">
        <v>11</v>
      </c>
      <c r="G101" s="64">
        <v>51.07</v>
      </c>
      <c r="H101" s="64">
        <v>30.66</v>
      </c>
      <c r="I101" s="64">
        <v>3.85</v>
      </c>
      <c r="J101" s="64">
        <v>0.84</v>
      </c>
      <c r="K101" s="64">
        <v>26.07</v>
      </c>
      <c r="L101" s="64">
        <v>27.18</v>
      </c>
      <c r="M101" s="64">
        <v>58.88</v>
      </c>
      <c r="N101" s="64">
        <v>17.600000000000001</v>
      </c>
      <c r="O101" s="64">
        <v>0</v>
      </c>
      <c r="P101" s="64">
        <v>0.28999999999999998</v>
      </c>
      <c r="Q101" s="64">
        <v>9.51</v>
      </c>
      <c r="R101" s="198"/>
      <c r="S101" s="198"/>
      <c r="T101" s="198"/>
      <c r="U101" s="198"/>
    </row>
    <row r="102" spans="1:33" s="12" customFormat="1" x14ac:dyDescent="0.25">
      <c r="A102" s="214" t="s">
        <v>1590</v>
      </c>
      <c r="B102" s="64">
        <v>8.18</v>
      </c>
      <c r="C102" s="64">
        <v>3.3</v>
      </c>
      <c r="D102" s="64">
        <v>12.06</v>
      </c>
      <c r="E102" s="64">
        <v>4.7</v>
      </c>
      <c r="F102" s="64">
        <v>11.85</v>
      </c>
      <c r="G102" s="64">
        <v>47.16</v>
      </c>
      <c r="H102" s="64">
        <v>29.92</v>
      </c>
      <c r="I102" s="64">
        <v>3.22</v>
      </c>
      <c r="J102" s="64">
        <v>0.7</v>
      </c>
      <c r="K102" s="64">
        <v>20.62</v>
      </c>
      <c r="L102" s="64">
        <v>26.83</v>
      </c>
      <c r="M102" s="64">
        <v>64</v>
      </c>
      <c r="N102" s="64">
        <v>17.2</v>
      </c>
      <c r="O102" s="64">
        <v>0</v>
      </c>
      <c r="P102" s="64">
        <v>0.26</v>
      </c>
      <c r="Q102" s="64">
        <v>9.5</v>
      </c>
      <c r="R102" s="198"/>
      <c r="S102" s="198"/>
      <c r="T102" s="198"/>
      <c r="U102" s="198"/>
    </row>
    <row r="103" spans="1:33" s="12" customFormat="1" x14ac:dyDescent="0.25">
      <c r="A103" s="214" t="s">
        <v>1591</v>
      </c>
      <c r="B103" s="64">
        <v>8.2100000000000009</v>
      </c>
      <c r="C103" s="64">
        <v>3.43</v>
      </c>
      <c r="D103" s="64">
        <v>12.15</v>
      </c>
      <c r="E103" s="64">
        <v>4.95</v>
      </c>
      <c r="F103" s="64">
        <v>10.56</v>
      </c>
      <c r="G103" s="64">
        <v>43.58</v>
      </c>
      <c r="H103" s="64">
        <v>29.25</v>
      </c>
      <c r="I103" s="64">
        <v>2.58</v>
      </c>
      <c r="J103" s="64">
        <v>0.65</v>
      </c>
      <c r="K103" s="64">
        <v>16.96</v>
      </c>
      <c r="L103" s="64">
        <v>26.53</v>
      </c>
      <c r="M103" s="64">
        <v>66.34</v>
      </c>
      <c r="N103" s="64">
        <v>17</v>
      </c>
      <c r="O103" s="64">
        <v>0</v>
      </c>
      <c r="P103" s="64">
        <v>0.24</v>
      </c>
      <c r="Q103" s="64">
        <v>9.52</v>
      </c>
      <c r="R103" s="198"/>
      <c r="S103" s="198"/>
      <c r="T103" s="198"/>
      <c r="U103" s="198"/>
    </row>
    <row r="104" spans="1:33" s="12" customFormat="1" x14ac:dyDescent="0.25">
      <c r="A104" s="214" t="s">
        <v>1592</v>
      </c>
      <c r="B104" s="64">
        <v>8.36</v>
      </c>
      <c r="C104" s="64">
        <v>3.88</v>
      </c>
      <c r="D104" s="64">
        <v>12.5</v>
      </c>
      <c r="E104" s="64">
        <v>4.6500000000000004</v>
      </c>
      <c r="F104" s="64">
        <v>10.49</v>
      </c>
      <c r="G104" s="64">
        <v>43.58</v>
      </c>
      <c r="H104" s="64">
        <v>29.25</v>
      </c>
      <c r="I104" s="64">
        <v>2.2400000000000002</v>
      </c>
      <c r="J104" s="64">
        <v>0.61</v>
      </c>
      <c r="K104" s="64">
        <v>9.9600000000000009</v>
      </c>
      <c r="L104" s="64">
        <v>26.52</v>
      </c>
      <c r="M104" s="64">
        <v>65.540000000000006</v>
      </c>
      <c r="N104" s="64">
        <v>16.7</v>
      </c>
      <c r="O104" s="64">
        <v>0</v>
      </c>
      <c r="P104" s="64">
        <v>0.22</v>
      </c>
      <c r="Q104" s="64">
        <v>9.48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3.03</v>
      </c>
      <c r="D106" s="67">
        <f t="shared" ref="D106:Q106" si="0">MIN(D9:D104)</f>
        <v>11.88</v>
      </c>
      <c r="E106" s="67">
        <f t="shared" si="0"/>
        <v>3.2</v>
      </c>
      <c r="F106" s="67">
        <f t="shared" si="0"/>
        <v>3.82</v>
      </c>
      <c r="G106" s="67">
        <f t="shared" si="0"/>
        <v>42.11</v>
      </c>
      <c r="H106" s="67">
        <f t="shared" si="0"/>
        <v>16.690000000000001</v>
      </c>
      <c r="I106" s="67">
        <f t="shared" si="0"/>
        <v>1.38</v>
      </c>
      <c r="J106" s="67">
        <f t="shared" si="0"/>
        <v>0.09</v>
      </c>
      <c r="K106" s="67">
        <f t="shared" si="0"/>
        <v>0.57999999999999996</v>
      </c>
      <c r="L106" s="67">
        <f t="shared" si="0"/>
        <v>26.52</v>
      </c>
      <c r="M106" s="67">
        <f t="shared" si="0"/>
        <v>29.53</v>
      </c>
      <c r="N106" s="67">
        <f t="shared" si="0"/>
        <v>16.600000000000001</v>
      </c>
      <c r="O106" s="67">
        <f t="shared" si="0"/>
        <v>0</v>
      </c>
      <c r="P106" s="67">
        <f t="shared" si="0"/>
        <v>0.17</v>
      </c>
      <c r="Q106" s="67">
        <f t="shared" si="0"/>
        <v>9.31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8.6</v>
      </c>
      <c r="C107" s="66">
        <f t="shared" ref="C107:Q107" si="1">MAX(C9:C104)</f>
        <v>4.91</v>
      </c>
      <c r="D107" s="66">
        <f t="shared" si="1"/>
        <v>13.24</v>
      </c>
      <c r="E107" s="66">
        <f t="shared" si="1"/>
        <v>5.31</v>
      </c>
      <c r="F107" s="66">
        <f t="shared" si="1"/>
        <v>11.85</v>
      </c>
      <c r="G107" s="66">
        <f t="shared" si="1"/>
        <v>200.83</v>
      </c>
      <c r="H107" s="66">
        <f t="shared" si="1"/>
        <v>49.58</v>
      </c>
      <c r="I107" s="66">
        <f t="shared" si="1"/>
        <v>7.46</v>
      </c>
      <c r="J107" s="66">
        <f t="shared" si="1"/>
        <v>2.37</v>
      </c>
      <c r="K107" s="66">
        <f t="shared" si="1"/>
        <v>359.68</v>
      </c>
      <c r="L107" s="66">
        <f t="shared" si="1"/>
        <v>39.22</v>
      </c>
      <c r="M107" s="66">
        <f t="shared" si="1"/>
        <v>66.34</v>
      </c>
      <c r="N107" s="66">
        <f t="shared" si="1"/>
        <v>900.4</v>
      </c>
      <c r="O107" s="66">
        <f t="shared" si="1"/>
        <v>0</v>
      </c>
      <c r="P107" s="66">
        <f t="shared" si="1"/>
        <v>0.57999999999999996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8.2214583333333326</v>
      </c>
      <c r="C108" s="67">
        <f t="shared" ref="C108:Q108" si="2">AVERAGE(C9:C104)</f>
        <v>3.3662500000000004</v>
      </c>
      <c r="D108" s="67">
        <f t="shared" si="2"/>
        <v>12.126458333333332</v>
      </c>
      <c r="E108" s="67">
        <f t="shared" si="2"/>
        <v>4.2204166666666652</v>
      </c>
      <c r="F108" s="67">
        <f t="shared" si="2"/>
        <v>6.5579166666666646</v>
      </c>
      <c r="G108" s="67">
        <f t="shared" si="2"/>
        <v>69.737395833333309</v>
      </c>
      <c r="H108" s="67">
        <f t="shared" si="2"/>
        <v>29.481666666666658</v>
      </c>
      <c r="I108" s="67">
        <f t="shared" si="2"/>
        <v>3.7487500000000007</v>
      </c>
      <c r="J108" s="67">
        <f t="shared" si="2"/>
        <v>0.6757291666666666</v>
      </c>
      <c r="K108" s="67">
        <f t="shared" si="2"/>
        <v>119.49145833333334</v>
      </c>
      <c r="L108" s="67">
        <f t="shared" si="2"/>
        <v>31.727500000000003</v>
      </c>
      <c r="M108" s="67">
        <f t="shared" si="2"/>
        <v>46.275729166666672</v>
      </c>
      <c r="N108" s="67">
        <f t="shared" si="2"/>
        <v>189.84479166666665</v>
      </c>
      <c r="O108" s="67">
        <f t="shared" si="2"/>
        <v>0</v>
      </c>
      <c r="P108" s="67">
        <f t="shared" si="2"/>
        <v>0.37437499999999996</v>
      </c>
      <c r="Q108" s="67">
        <f t="shared" si="2"/>
        <v>9.4452083333333334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9.1063646529766465E-2</v>
      </c>
      <c r="C109" s="67">
        <f t="shared" ref="C109:Q109" si="3">STDEV(C9:C104)</f>
        <v>0.358086287748759</v>
      </c>
      <c r="D109" s="67">
        <f t="shared" si="3"/>
        <v>0.2569496332651357</v>
      </c>
      <c r="E109" s="67">
        <f t="shared" si="3"/>
        <v>0.54239414037098521</v>
      </c>
      <c r="F109" s="67">
        <f t="shared" si="3"/>
        <v>1.7690782117527424</v>
      </c>
      <c r="G109" s="67">
        <f t="shared" si="3"/>
        <v>33.221012350137443</v>
      </c>
      <c r="H109" s="67">
        <f t="shared" si="3"/>
        <v>8.0453694647643275</v>
      </c>
      <c r="I109" s="67">
        <f t="shared" si="3"/>
        <v>1.8695579269188902</v>
      </c>
      <c r="J109" s="67">
        <f t="shared" si="3"/>
        <v>0.41762926090182362</v>
      </c>
      <c r="K109" s="67">
        <f t="shared" si="3"/>
        <v>130.87484791509112</v>
      </c>
      <c r="L109" s="67">
        <f t="shared" si="3"/>
        <v>3.5711967624018661</v>
      </c>
      <c r="M109" s="67">
        <f t="shared" si="3"/>
        <v>10.358479033321947</v>
      </c>
      <c r="N109" s="67">
        <f t="shared" si="3"/>
        <v>255.93980701464343</v>
      </c>
      <c r="O109" s="67">
        <f t="shared" si="3"/>
        <v>0</v>
      </c>
      <c r="P109" s="67">
        <f t="shared" si="3"/>
        <v>0.11189104192542819</v>
      </c>
      <c r="Q109" s="67">
        <f t="shared" si="3"/>
        <v>7.7391406658371284E-2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1593</v>
      </c>
      <c r="B9" s="64">
        <v>8.23</v>
      </c>
      <c r="C9" s="64">
        <v>3.44</v>
      </c>
      <c r="D9" s="64">
        <v>12.17</v>
      </c>
      <c r="E9" s="64">
        <v>5.43</v>
      </c>
      <c r="F9" s="64">
        <v>9.9499999999999993</v>
      </c>
      <c r="G9" s="64">
        <v>43.58</v>
      </c>
      <c r="H9" s="64">
        <v>29.25</v>
      </c>
      <c r="I9" s="64">
        <v>2.1</v>
      </c>
      <c r="J9" s="64">
        <v>0.73</v>
      </c>
      <c r="K9" s="64">
        <v>20.010000000000002</v>
      </c>
      <c r="L9" s="64">
        <v>26.49</v>
      </c>
      <c r="M9" s="64">
        <v>64.569999999999993</v>
      </c>
      <c r="N9" s="64">
        <v>16.5</v>
      </c>
      <c r="O9" s="64">
        <v>0</v>
      </c>
      <c r="P9" s="64">
        <v>0.21</v>
      </c>
      <c r="Q9" s="64">
        <v>9.4700000000000006</v>
      </c>
      <c r="R9" s="198"/>
      <c r="S9" s="198"/>
      <c r="T9" s="198"/>
      <c r="U9" s="198"/>
    </row>
    <row r="10" spans="1:21" s="12" customFormat="1" x14ac:dyDescent="0.25">
      <c r="A10" s="214" t="s">
        <v>1594</v>
      </c>
      <c r="B10" s="64">
        <v>8.16</v>
      </c>
      <c r="C10" s="64">
        <v>3.19</v>
      </c>
      <c r="D10" s="64">
        <v>11.98</v>
      </c>
      <c r="E10" s="64">
        <v>5.52</v>
      </c>
      <c r="F10" s="64">
        <v>8.68</v>
      </c>
      <c r="G10" s="64">
        <v>36.130000000000003</v>
      </c>
      <c r="H10" s="64">
        <v>26.54</v>
      </c>
      <c r="I10" s="64">
        <v>1.97</v>
      </c>
      <c r="J10" s="64">
        <v>0.67</v>
      </c>
      <c r="K10" s="64">
        <v>26</v>
      </c>
      <c r="L10" s="64">
        <v>26.59</v>
      </c>
      <c r="M10" s="64">
        <v>62.9</v>
      </c>
      <c r="N10" s="64">
        <v>16.399999999999999</v>
      </c>
      <c r="O10" s="64">
        <v>0</v>
      </c>
      <c r="P10" s="64">
        <v>0.2</v>
      </c>
      <c r="Q10" s="64">
        <v>9.4499999999999993</v>
      </c>
      <c r="R10" s="198"/>
      <c r="S10" s="198"/>
      <c r="T10" s="198"/>
      <c r="U10" s="198"/>
    </row>
    <row r="11" spans="1:21" s="12" customFormat="1" x14ac:dyDescent="0.25">
      <c r="A11" s="214" t="s">
        <v>1595</v>
      </c>
      <c r="B11" s="64">
        <v>8.18</v>
      </c>
      <c r="C11" s="64">
        <v>3.16</v>
      </c>
      <c r="D11" s="64">
        <v>11.99</v>
      </c>
      <c r="E11" s="64">
        <v>5.12</v>
      </c>
      <c r="F11" s="64">
        <v>9.73</v>
      </c>
      <c r="G11" s="64">
        <v>29.32</v>
      </c>
      <c r="H11" s="64">
        <v>24.06</v>
      </c>
      <c r="I11" s="64">
        <v>1.83</v>
      </c>
      <c r="J11" s="64">
        <v>0.62</v>
      </c>
      <c r="K11" s="64">
        <v>13.91</v>
      </c>
      <c r="L11" s="64">
        <v>26.73</v>
      </c>
      <c r="M11" s="64">
        <v>59.49</v>
      </c>
      <c r="N11" s="64">
        <v>16.5</v>
      </c>
      <c r="O11" s="64">
        <v>0</v>
      </c>
      <c r="P11" s="64">
        <v>0.18</v>
      </c>
      <c r="Q11" s="64">
        <v>9.4</v>
      </c>
      <c r="R11" s="198"/>
      <c r="S11" s="198"/>
      <c r="T11" s="198"/>
      <c r="U11" s="198"/>
    </row>
    <row r="12" spans="1:21" s="12" customFormat="1" x14ac:dyDescent="0.25">
      <c r="A12" s="214" t="s">
        <v>1596</v>
      </c>
      <c r="B12" s="64">
        <v>8.18</v>
      </c>
      <c r="C12" s="64">
        <v>3.12</v>
      </c>
      <c r="D12" s="64">
        <v>11.97</v>
      </c>
      <c r="E12" s="64">
        <v>5.03</v>
      </c>
      <c r="F12" s="64">
        <v>10.37</v>
      </c>
      <c r="G12" s="64">
        <v>29.32</v>
      </c>
      <c r="H12" s="64">
        <v>24.06</v>
      </c>
      <c r="I12" s="64">
        <v>1.65</v>
      </c>
      <c r="J12" s="64">
        <v>0.52</v>
      </c>
      <c r="K12" s="64">
        <v>23.36</v>
      </c>
      <c r="L12" s="64">
        <v>26.54</v>
      </c>
      <c r="M12" s="64">
        <v>58.92</v>
      </c>
      <c r="N12" s="64">
        <v>16.8</v>
      </c>
      <c r="O12" s="64">
        <v>0</v>
      </c>
      <c r="P12" s="64">
        <v>0.17</v>
      </c>
      <c r="Q12" s="64">
        <v>9.4</v>
      </c>
      <c r="R12" s="198"/>
      <c r="S12" s="198"/>
      <c r="T12" s="198"/>
      <c r="U12" s="198"/>
    </row>
    <row r="13" spans="1:21" s="12" customFormat="1" x14ac:dyDescent="0.25">
      <c r="A13" s="214" t="s">
        <v>1597</v>
      </c>
      <c r="B13" s="64">
        <v>8.2200000000000006</v>
      </c>
      <c r="C13" s="64">
        <v>3.15</v>
      </c>
      <c r="D13" s="64">
        <v>12.01</v>
      </c>
      <c r="E13" s="64">
        <v>5.35</v>
      </c>
      <c r="F13" s="64">
        <v>9.31</v>
      </c>
      <c r="G13" s="64">
        <v>29.32</v>
      </c>
      <c r="H13" s="64">
        <v>24.06</v>
      </c>
      <c r="I13" s="64">
        <v>1.51</v>
      </c>
      <c r="J13" s="64">
        <v>0.5</v>
      </c>
      <c r="K13" s="64">
        <v>8.2100000000000009</v>
      </c>
      <c r="L13" s="64">
        <v>26.22</v>
      </c>
      <c r="M13" s="64">
        <v>59.32</v>
      </c>
      <c r="N13" s="64">
        <v>16.899999999999999</v>
      </c>
      <c r="O13" s="64">
        <v>0</v>
      </c>
      <c r="P13" s="64">
        <v>0.21</v>
      </c>
      <c r="Q13" s="64">
        <v>9.39</v>
      </c>
      <c r="R13" s="198"/>
      <c r="S13" s="198"/>
      <c r="T13" s="198"/>
      <c r="U13" s="198"/>
    </row>
    <row r="14" spans="1:21" s="12" customFormat="1" x14ac:dyDescent="0.25">
      <c r="A14" s="214" t="s">
        <v>1598</v>
      </c>
      <c r="B14" s="64">
        <v>8.23</v>
      </c>
      <c r="C14" s="64">
        <v>3.24</v>
      </c>
      <c r="D14" s="64">
        <v>12.07</v>
      </c>
      <c r="E14" s="64">
        <v>5.51</v>
      </c>
      <c r="F14" s="64">
        <v>7.94</v>
      </c>
      <c r="G14" s="64">
        <v>29.16</v>
      </c>
      <c r="H14" s="64">
        <v>23.47</v>
      </c>
      <c r="I14" s="64">
        <v>1.41</v>
      </c>
      <c r="J14" s="64">
        <v>0.5</v>
      </c>
      <c r="K14" s="64">
        <v>20.010000000000002</v>
      </c>
      <c r="L14" s="64">
        <v>25.91</v>
      </c>
      <c r="M14" s="64">
        <v>61.79</v>
      </c>
      <c r="N14" s="64">
        <v>16.8</v>
      </c>
      <c r="O14" s="64">
        <v>0</v>
      </c>
      <c r="P14" s="64">
        <v>0.22</v>
      </c>
      <c r="Q14" s="64">
        <v>9.36</v>
      </c>
      <c r="R14" s="198"/>
      <c r="S14" s="198"/>
      <c r="T14" s="198"/>
      <c r="U14" s="198"/>
    </row>
    <row r="15" spans="1:21" s="12" customFormat="1" x14ac:dyDescent="0.25">
      <c r="A15" s="214" t="s">
        <v>1599</v>
      </c>
      <c r="B15" s="64">
        <v>8.2100000000000009</v>
      </c>
      <c r="C15" s="64">
        <v>3.2</v>
      </c>
      <c r="D15" s="64">
        <v>12.03</v>
      </c>
      <c r="E15" s="64">
        <v>5.3</v>
      </c>
      <c r="F15" s="64">
        <v>6.64</v>
      </c>
      <c r="G15" s="64">
        <v>29.01</v>
      </c>
      <c r="H15" s="64">
        <v>22.91</v>
      </c>
      <c r="I15" s="64">
        <v>1.36</v>
      </c>
      <c r="J15" s="64">
        <v>0.6</v>
      </c>
      <c r="K15" s="64">
        <v>337.52</v>
      </c>
      <c r="L15" s="64">
        <v>25.79</v>
      </c>
      <c r="M15" s="64">
        <v>61.94</v>
      </c>
      <c r="N15" s="64">
        <v>16.899999999999999</v>
      </c>
      <c r="O15" s="64">
        <v>0</v>
      </c>
      <c r="P15" s="64">
        <v>0.22</v>
      </c>
      <c r="Q15" s="64">
        <v>9.3800000000000008</v>
      </c>
      <c r="R15" s="198"/>
      <c r="S15" s="198"/>
      <c r="T15" s="198"/>
      <c r="U15" s="198"/>
    </row>
    <row r="16" spans="1:21" s="12" customFormat="1" x14ac:dyDescent="0.25">
      <c r="A16" s="214" t="s">
        <v>1600</v>
      </c>
      <c r="B16" s="64">
        <v>8.2200000000000006</v>
      </c>
      <c r="C16" s="64">
        <v>3.24</v>
      </c>
      <c r="D16" s="64">
        <v>12.06</v>
      </c>
      <c r="E16" s="64">
        <v>5.5</v>
      </c>
      <c r="F16" s="64">
        <v>5.54</v>
      </c>
      <c r="G16" s="64">
        <v>29.01</v>
      </c>
      <c r="H16" s="64">
        <v>22.91</v>
      </c>
      <c r="I16" s="64">
        <v>1.36</v>
      </c>
      <c r="J16" s="64">
        <v>0.54</v>
      </c>
      <c r="K16" s="64">
        <v>3.85</v>
      </c>
      <c r="L16" s="64">
        <v>25.89</v>
      </c>
      <c r="M16" s="64">
        <v>60.55</v>
      </c>
      <c r="N16" s="64">
        <v>16.7</v>
      </c>
      <c r="O16" s="64">
        <v>0</v>
      </c>
      <c r="P16" s="64">
        <v>0.22</v>
      </c>
      <c r="Q16" s="64">
        <v>9.39</v>
      </c>
      <c r="R16" s="198"/>
      <c r="S16" s="198"/>
      <c r="T16" s="198"/>
      <c r="U16" s="198"/>
    </row>
    <row r="17" spans="1:21" s="12" customFormat="1" x14ac:dyDescent="0.25">
      <c r="A17" s="214" t="s">
        <v>1601</v>
      </c>
      <c r="B17" s="64">
        <v>8.23</v>
      </c>
      <c r="C17" s="64">
        <v>3.25</v>
      </c>
      <c r="D17" s="64">
        <v>12.08</v>
      </c>
      <c r="E17" s="64">
        <v>5.48</v>
      </c>
      <c r="F17" s="64">
        <v>5.05</v>
      </c>
      <c r="G17" s="64">
        <v>29.01</v>
      </c>
      <c r="H17" s="64">
        <v>22.91</v>
      </c>
      <c r="I17" s="64">
        <v>1.4</v>
      </c>
      <c r="J17" s="64">
        <v>0.06</v>
      </c>
      <c r="K17" s="64">
        <v>185.92</v>
      </c>
      <c r="L17" s="64">
        <v>26.02</v>
      </c>
      <c r="M17" s="64">
        <v>59.46</v>
      </c>
      <c r="N17" s="64">
        <v>16.399999999999999</v>
      </c>
      <c r="O17" s="64">
        <v>0</v>
      </c>
      <c r="P17" s="64">
        <v>0.23</v>
      </c>
      <c r="Q17" s="64">
        <v>9.3800000000000008</v>
      </c>
      <c r="R17" s="198"/>
      <c r="S17" s="198"/>
      <c r="T17" s="198"/>
      <c r="U17" s="198"/>
    </row>
    <row r="18" spans="1:21" s="12" customFormat="1" x14ac:dyDescent="0.25">
      <c r="A18" s="214" t="s">
        <v>1602</v>
      </c>
      <c r="B18" s="64">
        <v>8.19</v>
      </c>
      <c r="C18" s="64">
        <v>3.15</v>
      </c>
      <c r="D18" s="64">
        <v>11.99</v>
      </c>
      <c r="E18" s="64">
        <v>5.36</v>
      </c>
      <c r="F18" s="64">
        <v>5.44</v>
      </c>
      <c r="G18" s="64">
        <v>30.68</v>
      </c>
      <c r="H18" s="64">
        <v>20.22</v>
      </c>
      <c r="I18" s="64">
        <v>1.57</v>
      </c>
      <c r="J18" s="64">
        <v>0.39</v>
      </c>
      <c r="K18" s="64">
        <v>356.98</v>
      </c>
      <c r="L18" s="64">
        <v>25.92</v>
      </c>
      <c r="M18" s="64">
        <v>60.7</v>
      </c>
      <c r="N18" s="64">
        <v>16.899999999999999</v>
      </c>
      <c r="O18" s="64">
        <v>0</v>
      </c>
      <c r="P18" s="64">
        <v>0.24</v>
      </c>
      <c r="Q18" s="64">
        <v>9.43</v>
      </c>
      <c r="R18" s="198"/>
      <c r="S18" s="198"/>
      <c r="T18" s="198"/>
      <c r="U18" s="198"/>
    </row>
    <row r="19" spans="1:21" s="12" customFormat="1" x14ac:dyDescent="0.25">
      <c r="A19" s="214" t="s">
        <v>1603</v>
      </c>
      <c r="B19" s="64">
        <v>8.2799999999999994</v>
      </c>
      <c r="C19" s="64">
        <v>3.5</v>
      </c>
      <c r="D19" s="64">
        <v>12.25</v>
      </c>
      <c r="E19" s="64">
        <v>5.49</v>
      </c>
      <c r="F19" s="64">
        <v>4.5599999999999996</v>
      </c>
      <c r="G19" s="64">
        <v>32.28</v>
      </c>
      <c r="H19" s="64">
        <v>17.649999999999999</v>
      </c>
      <c r="I19" s="64">
        <v>1.81</v>
      </c>
      <c r="J19" s="64">
        <v>0.16</v>
      </c>
      <c r="K19" s="64">
        <v>282.33999999999997</v>
      </c>
      <c r="L19" s="64">
        <v>25.71</v>
      </c>
      <c r="M19" s="64">
        <v>61.41</v>
      </c>
      <c r="N19" s="64">
        <v>16.8</v>
      </c>
      <c r="O19" s="64">
        <v>0</v>
      </c>
      <c r="P19" s="64">
        <v>0.24</v>
      </c>
      <c r="Q19" s="64">
        <v>9.42</v>
      </c>
      <c r="R19" s="198"/>
      <c r="S19" s="198"/>
      <c r="T19" s="198"/>
      <c r="U19" s="198"/>
    </row>
    <row r="20" spans="1:21" s="12" customFormat="1" x14ac:dyDescent="0.25">
      <c r="A20" s="214" t="s">
        <v>1604</v>
      </c>
      <c r="B20" s="64">
        <v>8.2799999999999994</v>
      </c>
      <c r="C20" s="64">
        <v>3.44</v>
      </c>
      <c r="D20" s="64">
        <v>12.21</v>
      </c>
      <c r="E20" s="64">
        <v>5.37</v>
      </c>
      <c r="F20" s="64">
        <v>4.83</v>
      </c>
      <c r="G20" s="64">
        <v>32.28</v>
      </c>
      <c r="H20" s="64">
        <v>17.649999999999999</v>
      </c>
      <c r="I20" s="64">
        <v>1.97</v>
      </c>
      <c r="J20" s="64">
        <v>0.49</v>
      </c>
      <c r="K20" s="64">
        <v>208.53</v>
      </c>
      <c r="L20" s="64">
        <v>25.41</v>
      </c>
      <c r="M20" s="64">
        <v>62.74</v>
      </c>
      <c r="N20" s="64">
        <v>16.899999999999999</v>
      </c>
      <c r="O20" s="64">
        <v>0</v>
      </c>
      <c r="P20" s="64">
        <v>0.24</v>
      </c>
      <c r="Q20" s="64">
        <v>9.41</v>
      </c>
      <c r="R20" s="198"/>
      <c r="S20" s="198"/>
      <c r="T20" s="198"/>
      <c r="U20" s="198"/>
    </row>
    <row r="21" spans="1:21" s="12" customFormat="1" x14ac:dyDescent="0.25">
      <c r="A21" s="214" t="s">
        <v>1605</v>
      </c>
      <c r="B21" s="64">
        <v>8.18</v>
      </c>
      <c r="C21" s="64">
        <v>3.2</v>
      </c>
      <c r="D21" s="64">
        <v>12.01</v>
      </c>
      <c r="E21" s="64">
        <v>5.43</v>
      </c>
      <c r="F21" s="64">
        <v>4.53</v>
      </c>
      <c r="G21" s="64">
        <v>32.28</v>
      </c>
      <c r="H21" s="64">
        <v>17.649999999999999</v>
      </c>
      <c r="I21" s="64">
        <v>2.0499999999999998</v>
      </c>
      <c r="J21" s="64">
        <v>0.16</v>
      </c>
      <c r="K21" s="64">
        <v>350.52</v>
      </c>
      <c r="L21" s="64">
        <v>25.19</v>
      </c>
      <c r="M21" s="64">
        <v>63.99</v>
      </c>
      <c r="N21" s="64">
        <v>16.899999999999999</v>
      </c>
      <c r="O21" s="64">
        <v>0</v>
      </c>
      <c r="P21" s="64">
        <v>0.24</v>
      </c>
      <c r="Q21" s="64">
        <v>9.4</v>
      </c>
      <c r="R21" s="198"/>
      <c r="S21" s="198"/>
      <c r="T21" s="198"/>
      <c r="U21" s="198"/>
    </row>
    <row r="22" spans="1:21" s="12" customFormat="1" x14ac:dyDescent="0.25">
      <c r="A22" s="214" t="s">
        <v>1606</v>
      </c>
      <c r="B22" s="64">
        <v>8.17</v>
      </c>
      <c r="C22" s="64">
        <v>3.18</v>
      </c>
      <c r="D22" s="64">
        <v>11.99</v>
      </c>
      <c r="E22" s="64">
        <v>5.45</v>
      </c>
      <c r="F22" s="64">
        <v>5.42</v>
      </c>
      <c r="G22" s="64">
        <v>30.78</v>
      </c>
      <c r="H22" s="64">
        <v>18.329999999999998</v>
      </c>
      <c r="I22" s="64">
        <v>2.08</v>
      </c>
      <c r="J22" s="64">
        <v>0.13</v>
      </c>
      <c r="K22" s="64">
        <v>357.55</v>
      </c>
      <c r="L22" s="64">
        <v>25.19</v>
      </c>
      <c r="M22" s="64">
        <v>64.569999999999993</v>
      </c>
      <c r="N22" s="64">
        <v>16.8</v>
      </c>
      <c r="O22" s="64">
        <v>0</v>
      </c>
      <c r="P22" s="64">
        <v>0.24</v>
      </c>
      <c r="Q22" s="64">
        <v>9.42</v>
      </c>
      <c r="R22" s="198"/>
      <c r="S22" s="198"/>
      <c r="T22" s="198"/>
      <c r="U22" s="198"/>
    </row>
    <row r="23" spans="1:21" s="12" customFormat="1" x14ac:dyDescent="0.25">
      <c r="A23" s="214" t="s">
        <v>1607</v>
      </c>
      <c r="B23" s="64">
        <v>8.19</v>
      </c>
      <c r="C23" s="64">
        <v>3.22</v>
      </c>
      <c r="D23" s="64">
        <v>12.03</v>
      </c>
      <c r="E23" s="64">
        <v>5.19</v>
      </c>
      <c r="F23" s="64">
        <v>4.1900000000000004</v>
      </c>
      <c r="G23" s="64">
        <v>29.34</v>
      </c>
      <c r="H23" s="64">
        <v>18.98</v>
      </c>
      <c r="I23" s="64">
        <v>2.02</v>
      </c>
      <c r="J23" s="64">
        <v>1.48</v>
      </c>
      <c r="K23" s="64">
        <v>146.1</v>
      </c>
      <c r="L23" s="64">
        <v>25</v>
      </c>
      <c r="M23" s="64">
        <v>66.41</v>
      </c>
      <c r="N23" s="64">
        <v>17</v>
      </c>
      <c r="O23" s="64">
        <v>0</v>
      </c>
      <c r="P23" s="64">
        <v>0.23</v>
      </c>
      <c r="Q23" s="64">
        <v>9.42</v>
      </c>
      <c r="R23" s="198"/>
      <c r="S23" s="198"/>
      <c r="T23" s="198"/>
      <c r="U23" s="198"/>
    </row>
    <row r="24" spans="1:21" s="12" customFormat="1" x14ac:dyDescent="0.25">
      <c r="A24" s="214" t="s">
        <v>1608</v>
      </c>
      <c r="B24" s="64">
        <v>8.26</v>
      </c>
      <c r="C24" s="64">
        <v>3.37</v>
      </c>
      <c r="D24" s="64">
        <v>12.16</v>
      </c>
      <c r="E24" s="64">
        <v>3.18</v>
      </c>
      <c r="F24" s="64">
        <v>4.5999999999999996</v>
      </c>
      <c r="G24" s="64">
        <v>29.34</v>
      </c>
      <c r="H24" s="64">
        <v>18.98</v>
      </c>
      <c r="I24" s="64">
        <v>2.0299999999999998</v>
      </c>
      <c r="J24" s="64">
        <v>0.96</v>
      </c>
      <c r="K24" s="64">
        <v>161.05000000000001</v>
      </c>
      <c r="L24" s="64">
        <v>24.82</v>
      </c>
      <c r="M24" s="64">
        <v>67.459999999999994</v>
      </c>
      <c r="N24" s="64">
        <v>16.899999999999999</v>
      </c>
      <c r="O24" s="64">
        <v>0</v>
      </c>
      <c r="P24" s="64">
        <v>0.23</v>
      </c>
      <c r="Q24" s="64">
        <v>9.42</v>
      </c>
      <c r="R24" s="198"/>
      <c r="S24" s="198"/>
      <c r="T24" s="198"/>
      <c r="U24" s="198"/>
    </row>
    <row r="25" spans="1:21" s="12" customFormat="1" x14ac:dyDescent="0.25">
      <c r="A25" s="214" t="s">
        <v>1609</v>
      </c>
      <c r="B25" s="64">
        <v>8.23</v>
      </c>
      <c r="C25" s="64">
        <v>3.34</v>
      </c>
      <c r="D25" s="64">
        <v>12.11</v>
      </c>
      <c r="E25" s="64">
        <v>3.17</v>
      </c>
      <c r="F25" s="64">
        <v>4.51</v>
      </c>
      <c r="G25" s="64">
        <v>29.34</v>
      </c>
      <c r="H25" s="64">
        <v>18.98</v>
      </c>
      <c r="I25" s="64">
        <v>2.37</v>
      </c>
      <c r="J25" s="64">
        <v>0.42</v>
      </c>
      <c r="K25" s="64">
        <v>189.12</v>
      </c>
      <c r="L25" s="64">
        <v>24.87</v>
      </c>
      <c r="M25" s="64">
        <v>67.48</v>
      </c>
      <c r="N25" s="64">
        <v>17</v>
      </c>
      <c r="O25" s="64">
        <v>0</v>
      </c>
      <c r="P25" s="64">
        <v>0.23</v>
      </c>
      <c r="Q25" s="64">
        <v>9.43</v>
      </c>
      <c r="R25" s="198"/>
      <c r="S25" s="198"/>
      <c r="T25" s="198"/>
      <c r="U25" s="198"/>
    </row>
    <row r="26" spans="1:21" s="12" customFormat="1" x14ac:dyDescent="0.25">
      <c r="A26" s="214" t="s">
        <v>1610</v>
      </c>
      <c r="B26" s="64">
        <v>8.16</v>
      </c>
      <c r="C26" s="64">
        <v>3.15</v>
      </c>
      <c r="D26" s="64">
        <v>11.96</v>
      </c>
      <c r="E26" s="64">
        <v>2.95</v>
      </c>
      <c r="F26" s="64">
        <v>4.3899999999999997</v>
      </c>
      <c r="G26" s="64">
        <v>30.27</v>
      </c>
      <c r="H26" s="64">
        <v>16.36</v>
      </c>
      <c r="I26" s="64">
        <v>2.85</v>
      </c>
      <c r="J26" s="64">
        <v>0.35</v>
      </c>
      <c r="K26" s="64">
        <v>154.05000000000001</v>
      </c>
      <c r="L26" s="64">
        <v>24.81</v>
      </c>
      <c r="M26" s="64">
        <v>68.38</v>
      </c>
      <c r="N26" s="64">
        <v>17</v>
      </c>
      <c r="O26" s="64">
        <v>0</v>
      </c>
      <c r="P26" s="64">
        <v>0.23</v>
      </c>
      <c r="Q26" s="64">
        <v>9.4</v>
      </c>
      <c r="R26" s="198"/>
      <c r="S26" s="198"/>
      <c r="T26" s="198"/>
      <c r="U26" s="198"/>
    </row>
    <row r="27" spans="1:21" s="12" customFormat="1" x14ac:dyDescent="0.25">
      <c r="A27" s="214" t="s">
        <v>1611</v>
      </c>
      <c r="B27" s="64">
        <v>8.18</v>
      </c>
      <c r="C27" s="64">
        <v>3.23</v>
      </c>
      <c r="D27" s="64">
        <v>12.03</v>
      </c>
      <c r="E27" s="64">
        <v>2.85</v>
      </c>
      <c r="F27" s="64">
        <v>3.99</v>
      </c>
      <c r="G27" s="64">
        <v>31.17</v>
      </c>
      <c r="H27" s="64">
        <v>13.86</v>
      </c>
      <c r="I27" s="64">
        <v>3</v>
      </c>
      <c r="J27" s="64">
        <v>0.05</v>
      </c>
      <c r="K27" s="64">
        <v>349.92</v>
      </c>
      <c r="L27" s="64">
        <v>24.88</v>
      </c>
      <c r="M27" s="64">
        <v>68.3</v>
      </c>
      <c r="N27" s="64">
        <v>16.8</v>
      </c>
      <c r="O27" s="64">
        <v>0</v>
      </c>
      <c r="P27" s="64">
        <v>0.23</v>
      </c>
      <c r="Q27" s="64">
        <v>9.43</v>
      </c>
      <c r="R27" s="198"/>
      <c r="S27" s="198"/>
      <c r="T27" s="198"/>
      <c r="U27" s="198"/>
    </row>
    <row r="28" spans="1:21" s="12" customFormat="1" x14ac:dyDescent="0.25">
      <c r="A28" s="214" t="s">
        <v>1612</v>
      </c>
      <c r="B28" s="64">
        <v>8.16</v>
      </c>
      <c r="C28" s="64">
        <v>3.16</v>
      </c>
      <c r="D28" s="64">
        <v>11.97</v>
      </c>
      <c r="E28" s="64">
        <v>3.19</v>
      </c>
      <c r="F28" s="64">
        <v>4.26</v>
      </c>
      <c r="G28" s="64">
        <v>31.17</v>
      </c>
      <c r="H28" s="64">
        <v>13.86</v>
      </c>
      <c r="I28" s="64">
        <v>3.05</v>
      </c>
      <c r="J28" s="64">
        <v>0.62</v>
      </c>
      <c r="K28" s="64">
        <v>194.96</v>
      </c>
      <c r="L28" s="64">
        <v>24.93</v>
      </c>
      <c r="M28" s="64">
        <v>68.95</v>
      </c>
      <c r="N28" s="64">
        <v>16.8</v>
      </c>
      <c r="O28" s="64">
        <v>0</v>
      </c>
      <c r="P28" s="64">
        <v>0.22</v>
      </c>
      <c r="Q28" s="64">
        <v>9.4</v>
      </c>
      <c r="R28" s="198"/>
      <c r="S28" s="198"/>
      <c r="T28" s="198"/>
      <c r="U28" s="198"/>
    </row>
    <row r="29" spans="1:21" s="12" customFormat="1" x14ac:dyDescent="0.25">
      <c r="A29" s="214" t="s">
        <v>1613</v>
      </c>
      <c r="B29" s="64">
        <v>8.19</v>
      </c>
      <c r="C29" s="64">
        <v>3.18</v>
      </c>
      <c r="D29" s="64">
        <v>12</v>
      </c>
      <c r="E29" s="64">
        <v>3.09</v>
      </c>
      <c r="F29" s="64">
        <v>4.13</v>
      </c>
      <c r="G29" s="64">
        <v>31.17</v>
      </c>
      <c r="H29" s="64">
        <v>13.86</v>
      </c>
      <c r="I29" s="64">
        <v>3.11</v>
      </c>
      <c r="J29" s="64">
        <v>0.73</v>
      </c>
      <c r="K29" s="64">
        <v>196.98</v>
      </c>
      <c r="L29" s="64">
        <v>24.85</v>
      </c>
      <c r="M29" s="64">
        <v>70.22</v>
      </c>
      <c r="N29" s="64">
        <v>17.2</v>
      </c>
      <c r="O29" s="64">
        <v>0</v>
      </c>
      <c r="P29" s="64">
        <v>0.22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4" t="s">
        <v>1614</v>
      </c>
      <c r="B30" s="64">
        <v>8.23</v>
      </c>
      <c r="C30" s="64">
        <v>3.2</v>
      </c>
      <c r="D30" s="64">
        <v>12.05</v>
      </c>
      <c r="E30" s="64">
        <v>2.92</v>
      </c>
      <c r="F30" s="64">
        <v>3.94</v>
      </c>
      <c r="G30" s="64">
        <v>26.9</v>
      </c>
      <c r="H30" s="64">
        <v>12.78</v>
      </c>
      <c r="I30" s="64">
        <v>3.13</v>
      </c>
      <c r="J30" s="64">
        <v>0.04</v>
      </c>
      <c r="K30" s="64">
        <v>164.29</v>
      </c>
      <c r="L30" s="64">
        <v>24.93</v>
      </c>
      <c r="M30" s="64">
        <v>70.64</v>
      </c>
      <c r="N30" s="64">
        <v>19.399999999999999</v>
      </c>
      <c r="O30" s="64">
        <v>0</v>
      </c>
      <c r="P30" s="64">
        <v>0.22</v>
      </c>
      <c r="Q30" s="64">
        <v>9.34</v>
      </c>
      <c r="R30" s="198"/>
      <c r="S30" s="198"/>
      <c r="T30" s="198"/>
      <c r="U30" s="198"/>
    </row>
    <row r="31" spans="1:21" s="12" customFormat="1" x14ac:dyDescent="0.25">
      <c r="A31" s="214" t="s">
        <v>1615</v>
      </c>
      <c r="B31" s="64">
        <v>8.3800000000000008</v>
      </c>
      <c r="C31" s="64">
        <v>3.6</v>
      </c>
      <c r="D31" s="64">
        <v>12.37</v>
      </c>
      <c r="E31" s="64">
        <v>3.18</v>
      </c>
      <c r="F31" s="64">
        <v>3.89</v>
      </c>
      <c r="G31" s="64">
        <v>23.01</v>
      </c>
      <c r="H31" s="64">
        <v>11.84</v>
      </c>
      <c r="I31" s="64">
        <v>3.3</v>
      </c>
      <c r="J31" s="64">
        <v>0.38</v>
      </c>
      <c r="K31" s="64">
        <v>349.75</v>
      </c>
      <c r="L31" s="64">
        <v>25.3</v>
      </c>
      <c r="M31" s="64">
        <v>69.41</v>
      </c>
      <c r="N31" s="64">
        <v>27.8</v>
      </c>
      <c r="O31" s="64">
        <v>0</v>
      </c>
      <c r="P31" s="64">
        <v>0.23</v>
      </c>
      <c r="Q31" s="64">
        <v>9.34</v>
      </c>
      <c r="R31" s="198"/>
      <c r="S31" s="198"/>
      <c r="T31" s="198"/>
      <c r="U31" s="198"/>
    </row>
    <row r="32" spans="1:21" s="12" customFormat="1" x14ac:dyDescent="0.25">
      <c r="A32" s="214" t="s">
        <v>1616</v>
      </c>
      <c r="B32" s="64">
        <v>8.34</v>
      </c>
      <c r="C32" s="64">
        <v>3.56</v>
      </c>
      <c r="D32" s="64">
        <v>12.32</v>
      </c>
      <c r="E32" s="64">
        <v>2.91</v>
      </c>
      <c r="F32" s="64">
        <v>4.55</v>
      </c>
      <c r="G32" s="64">
        <v>23.01</v>
      </c>
      <c r="H32" s="64">
        <v>11.84</v>
      </c>
      <c r="I32" s="64">
        <v>3.51</v>
      </c>
      <c r="J32" s="64">
        <v>0.31</v>
      </c>
      <c r="K32" s="64">
        <v>342.66</v>
      </c>
      <c r="L32" s="64">
        <v>25.59</v>
      </c>
      <c r="M32" s="64">
        <v>67.94</v>
      </c>
      <c r="N32" s="64">
        <v>47.3</v>
      </c>
      <c r="O32" s="64">
        <v>0</v>
      </c>
      <c r="P32" s="64">
        <v>0.23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14" t="s">
        <v>1617</v>
      </c>
      <c r="B33" s="64">
        <v>8.2100000000000009</v>
      </c>
      <c r="C33" s="64">
        <v>3.22</v>
      </c>
      <c r="D33" s="64">
        <v>12.04</v>
      </c>
      <c r="E33" s="64">
        <v>3.13</v>
      </c>
      <c r="F33" s="64">
        <v>4.78</v>
      </c>
      <c r="G33" s="64">
        <v>23.01</v>
      </c>
      <c r="H33" s="64">
        <v>11.84</v>
      </c>
      <c r="I33" s="64">
        <v>3.57</v>
      </c>
      <c r="J33" s="64">
        <v>0.55000000000000004</v>
      </c>
      <c r="K33" s="64">
        <v>25.1</v>
      </c>
      <c r="L33" s="64">
        <v>25.74</v>
      </c>
      <c r="M33" s="64">
        <v>67.540000000000006</v>
      </c>
      <c r="N33" s="64">
        <v>63.6</v>
      </c>
      <c r="O33" s="64">
        <v>0</v>
      </c>
      <c r="P33" s="64">
        <v>0.23</v>
      </c>
      <c r="Q33" s="64">
        <v>9.3699999999999992</v>
      </c>
      <c r="R33" s="198"/>
      <c r="S33" s="198"/>
      <c r="T33" s="198"/>
      <c r="U33" s="198"/>
    </row>
    <row r="34" spans="1:21" s="12" customFormat="1" x14ac:dyDescent="0.25">
      <c r="A34" s="214" t="s">
        <v>1618</v>
      </c>
      <c r="B34" s="64">
        <v>8.1999999999999993</v>
      </c>
      <c r="C34" s="64">
        <v>3.12</v>
      </c>
      <c r="D34" s="64">
        <v>11.98</v>
      </c>
      <c r="E34" s="64">
        <v>3.06</v>
      </c>
      <c r="F34" s="64">
        <v>4.8899999999999997</v>
      </c>
      <c r="G34" s="64">
        <v>33.049999999999997</v>
      </c>
      <c r="H34" s="64">
        <v>13.01</v>
      </c>
      <c r="I34" s="64">
        <v>3.54</v>
      </c>
      <c r="J34" s="64">
        <v>0.54</v>
      </c>
      <c r="K34" s="64">
        <v>14.8</v>
      </c>
      <c r="L34" s="64">
        <v>25.8</v>
      </c>
      <c r="M34" s="64">
        <v>67</v>
      </c>
      <c r="N34" s="64">
        <v>72.7</v>
      </c>
      <c r="O34" s="64">
        <v>0</v>
      </c>
      <c r="P34" s="64">
        <v>0.25</v>
      </c>
      <c r="Q34" s="64">
        <v>9.3699999999999992</v>
      </c>
      <c r="R34" s="198"/>
      <c r="S34" s="198"/>
      <c r="T34" s="198"/>
      <c r="U34" s="198"/>
    </row>
    <row r="35" spans="1:21" s="12" customFormat="1" x14ac:dyDescent="0.25">
      <c r="A35" s="214" t="s">
        <v>1619</v>
      </c>
      <c r="B35" s="64">
        <v>8.18</v>
      </c>
      <c r="C35" s="64">
        <v>3.13</v>
      </c>
      <c r="D35" s="64">
        <v>11.97</v>
      </c>
      <c r="E35" s="64">
        <v>3.16</v>
      </c>
      <c r="F35" s="64">
        <v>4.84</v>
      </c>
      <c r="G35" s="64">
        <v>42.65</v>
      </c>
      <c r="H35" s="64">
        <v>14.14</v>
      </c>
      <c r="I35" s="64">
        <v>3.4</v>
      </c>
      <c r="J35" s="64">
        <v>0.52</v>
      </c>
      <c r="K35" s="64">
        <v>1.25</v>
      </c>
      <c r="L35" s="64">
        <v>25.96</v>
      </c>
      <c r="M35" s="64">
        <v>66.209999999999994</v>
      </c>
      <c r="N35" s="64">
        <v>105</v>
      </c>
      <c r="O35" s="64">
        <v>0</v>
      </c>
      <c r="P35" s="64">
        <v>0.26</v>
      </c>
      <c r="Q35" s="64">
        <v>9.3800000000000008</v>
      </c>
      <c r="R35" s="198"/>
      <c r="S35" s="198"/>
      <c r="T35" s="198"/>
      <c r="U35" s="198"/>
    </row>
    <row r="36" spans="1:21" s="12" customFormat="1" x14ac:dyDescent="0.25">
      <c r="A36" s="214" t="s">
        <v>1620</v>
      </c>
      <c r="B36" s="64">
        <v>8.16</v>
      </c>
      <c r="C36" s="64">
        <v>3.11</v>
      </c>
      <c r="D36" s="64">
        <v>11.94</v>
      </c>
      <c r="E36" s="64">
        <v>3.32</v>
      </c>
      <c r="F36" s="64">
        <v>5.47</v>
      </c>
      <c r="G36" s="64">
        <v>42.65</v>
      </c>
      <c r="H36" s="64">
        <v>14.14</v>
      </c>
      <c r="I36" s="64">
        <v>3.2</v>
      </c>
      <c r="J36" s="64">
        <v>0.57999999999999996</v>
      </c>
      <c r="K36" s="64">
        <v>16.72</v>
      </c>
      <c r="L36" s="64">
        <v>26.32</v>
      </c>
      <c r="M36" s="64">
        <v>65.25</v>
      </c>
      <c r="N36" s="64">
        <v>149.9</v>
      </c>
      <c r="O36" s="64">
        <v>0</v>
      </c>
      <c r="P36" s="64">
        <v>0.27</v>
      </c>
      <c r="Q36" s="64">
        <v>9.42</v>
      </c>
      <c r="R36" s="198"/>
      <c r="S36" s="198"/>
      <c r="T36" s="198"/>
      <c r="U36" s="198"/>
    </row>
    <row r="37" spans="1:21" s="12" customFormat="1" x14ac:dyDescent="0.25">
      <c r="A37" s="214" t="s">
        <v>1621</v>
      </c>
      <c r="B37" s="64">
        <v>8.1199999999999992</v>
      </c>
      <c r="C37" s="64">
        <v>3.11</v>
      </c>
      <c r="D37" s="64">
        <v>11.91</v>
      </c>
      <c r="E37" s="64">
        <v>3.54</v>
      </c>
      <c r="F37" s="64">
        <v>4.88</v>
      </c>
      <c r="G37" s="64">
        <v>42.65</v>
      </c>
      <c r="H37" s="64">
        <v>14.14</v>
      </c>
      <c r="I37" s="64">
        <v>3.07</v>
      </c>
      <c r="J37" s="64">
        <v>0.57999999999999996</v>
      </c>
      <c r="K37" s="64">
        <v>6.98</v>
      </c>
      <c r="L37" s="64">
        <v>26.83</v>
      </c>
      <c r="M37" s="64">
        <v>63.85</v>
      </c>
      <c r="N37" s="64">
        <v>220.4</v>
      </c>
      <c r="O37" s="64">
        <v>0</v>
      </c>
      <c r="P37" s="64">
        <v>0.28000000000000003</v>
      </c>
      <c r="Q37" s="64">
        <v>9.4600000000000009</v>
      </c>
      <c r="R37" s="198"/>
      <c r="S37" s="198"/>
      <c r="T37" s="198"/>
      <c r="U37" s="198"/>
    </row>
    <row r="38" spans="1:21" s="12" customFormat="1" x14ac:dyDescent="0.25">
      <c r="A38" s="214" t="s">
        <v>1622</v>
      </c>
      <c r="B38" s="64">
        <v>8.17</v>
      </c>
      <c r="C38" s="64">
        <v>3.21</v>
      </c>
      <c r="D38" s="64">
        <v>12</v>
      </c>
      <c r="E38" s="64">
        <v>2.98</v>
      </c>
      <c r="F38" s="64">
        <v>4.8099999999999996</v>
      </c>
      <c r="G38" s="64">
        <v>45.55</v>
      </c>
      <c r="H38" s="64">
        <v>14.1</v>
      </c>
      <c r="I38" s="64">
        <v>3.04</v>
      </c>
      <c r="J38" s="64">
        <v>0.67</v>
      </c>
      <c r="K38" s="64">
        <v>10.63</v>
      </c>
      <c r="L38" s="64">
        <v>27.73</v>
      </c>
      <c r="M38" s="64">
        <v>60.88</v>
      </c>
      <c r="N38" s="64">
        <v>270.10000000000002</v>
      </c>
      <c r="O38" s="64">
        <v>0</v>
      </c>
      <c r="P38" s="64">
        <v>0.3</v>
      </c>
      <c r="Q38" s="64">
        <v>9.42</v>
      </c>
      <c r="R38" s="198"/>
      <c r="S38" s="198"/>
      <c r="T38" s="198"/>
      <c r="U38" s="198"/>
    </row>
    <row r="39" spans="1:21" s="12" customFormat="1" x14ac:dyDescent="0.25">
      <c r="A39" s="214" t="s">
        <v>1623</v>
      </c>
      <c r="B39" s="64">
        <v>8.19</v>
      </c>
      <c r="C39" s="64">
        <v>3.29</v>
      </c>
      <c r="D39" s="64">
        <v>12.06</v>
      </c>
      <c r="E39" s="64">
        <v>3.35</v>
      </c>
      <c r="F39" s="64">
        <v>4.6399999999999997</v>
      </c>
      <c r="G39" s="64">
        <v>48.33</v>
      </c>
      <c r="H39" s="64">
        <v>14.06</v>
      </c>
      <c r="I39" s="64">
        <v>2.99</v>
      </c>
      <c r="J39" s="64">
        <v>0.59</v>
      </c>
      <c r="K39" s="64">
        <v>359.55</v>
      </c>
      <c r="L39" s="64">
        <v>28.45</v>
      </c>
      <c r="M39" s="64">
        <v>58.6</v>
      </c>
      <c r="N39" s="64">
        <v>345</v>
      </c>
      <c r="O39" s="64">
        <v>0</v>
      </c>
      <c r="P39" s="64">
        <v>0.35</v>
      </c>
      <c r="Q39" s="64">
        <v>9.48</v>
      </c>
      <c r="R39" s="198"/>
      <c r="S39" s="198"/>
      <c r="T39" s="198"/>
      <c r="U39" s="198"/>
    </row>
    <row r="40" spans="1:21" s="12" customFormat="1" x14ac:dyDescent="0.25">
      <c r="A40" s="214" t="s">
        <v>1624</v>
      </c>
      <c r="B40" s="64">
        <v>8.4700000000000006</v>
      </c>
      <c r="C40" s="64">
        <v>4.3499999999999996</v>
      </c>
      <c r="D40" s="64">
        <v>12.84</v>
      </c>
      <c r="E40" s="64">
        <v>3.69</v>
      </c>
      <c r="F40" s="64">
        <v>4.55</v>
      </c>
      <c r="G40" s="64">
        <v>48.33</v>
      </c>
      <c r="H40" s="64">
        <v>14.06</v>
      </c>
      <c r="I40" s="64">
        <v>2.93</v>
      </c>
      <c r="J40" s="64">
        <v>0.65</v>
      </c>
      <c r="K40" s="64">
        <v>2.5099999999999998</v>
      </c>
      <c r="L40" s="64">
        <v>29</v>
      </c>
      <c r="M40" s="64">
        <v>56.04</v>
      </c>
      <c r="N40" s="64">
        <v>394.1</v>
      </c>
      <c r="O40" s="64">
        <v>0</v>
      </c>
      <c r="P40" s="64">
        <v>0.39</v>
      </c>
      <c r="Q40" s="64">
        <v>9.4499999999999993</v>
      </c>
      <c r="R40" s="198"/>
      <c r="S40" s="198"/>
      <c r="T40" s="198"/>
      <c r="U40" s="198"/>
    </row>
    <row r="41" spans="1:21" s="12" customFormat="1" x14ac:dyDescent="0.25">
      <c r="A41" s="214" t="s">
        <v>1625</v>
      </c>
      <c r="B41" s="64">
        <v>8.25</v>
      </c>
      <c r="C41" s="64">
        <v>3.54</v>
      </c>
      <c r="D41" s="64">
        <v>12.24</v>
      </c>
      <c r="E41" s="64">
        <v>4.33</v>
      </c>
      <c r="F41" s="64">
        <v>5.24</v>
      </c>
      <c r="G41" s="64">
        <v>48.33</v>
      </c>
      <c r="H41" s="64">
        <v>14.06</v>
      </c>
      <c r="I41" s="64">
        <v>2.97</v>
      </c>
      <c r="J41" s="64">
        <v>0.45</v>
      </c>
      <c r="K41" s="64">
        <v>355.49</v>
      </c>
      <c r="L41" s="64">
        <v>30.02</v>
      </c>
      <c r="M41" s="64">
        <v>52.58</v>
      </c>
      <c r="N41" s="64">
        <v>316.7</v>
      </c>
      <c r="O41" s="64">
        <v>0</v>
      </c>
      <c r="P41" s="64">
        <v>0.45</v>
      </c>
      <c r="Q41" s="64">
        <v>9.4499999999999993</v>
      </c>
      <c r="R41" s="198"/>
      <c r="S41" s="198"/>
      <c r="T41" s="198"/>
      <c r="U41" s="198"/>
    </row>
    <row r="42" spans="1:21" s="12" customFormat="1" x14ac:dyDescent="0.25">
      <c r="A42" s="214" t="s">
        <v>1626</v>
      </c>
      <c r="B42" s="64">
        <v>8.16</v>
      </c>
      <c r="C42" s="64">
        <v>3.19</v>
      </c>
      <c r="D42" s="64">
        <v>11.99</v>
      </c>
      <c r="E42" s="64">
        <v>4.1399999999999997</v>
      </c>
      <c r="F42" s="64">
        <v>5.18</v>
      </c>
      <c r="G42" s="64">
        <v>55.97</v>
      </c>
      <c r="H42" s="64">
        <v>16.21</v>
      </c>
      <c r="I42" s="64">
        <v>3.1</v>
      </c>
      <c r="J42" s="64">
        <v>0.68</v>
      </c>
      <c r="K42" s="64">
        <v>16.46</v>
      </c>
      <c r="L42" s="64">
        <v>29.54</v>
      </c>
      <c r="M42" s="64">
        <v>52.39</v>
      </c>
      <c r="N42" s="64">
        <v>300.8</v>
      </c>
      <c r="O42" s="64">
        <v>0</v>
      </c>
      <c r="P42" s="64">
        <v>0.51</v>
      </c>
      <c r="Q42" s="64">
        <v>9.49</v>
      </c>
      <c r="R42" s="198"/>
      <c r="S42" s="198"/>
      <c r="T42" s="198"/>
      <c r="U42" s="198"/>
    </row>
    <row r="43" spans="1:21" s="12" customFormat="1" x14ac:dyDescent="0.25">
      <c r="A43" s="214" t="s">
        <v>1627</v>
      </c>
      <c r="B43" s="64">
        <v>8.17</v>
      </c>
      <c r="C43" s="64">
        <v>3.17</v>
      </c>
      <c r="D43" s="64">
        <v>11.98</v>
      </c>
      <c r="E43" s="64">
        <v>3.86</v>
      </c>
      <c r="F43" s="64">
        <v>4.7</v>
      </c>
      <c r="G43" s="64">
        <v>63.29</v>
      </c>
      <c r="H43" s="64">
        <v>18.27</v>
      </c>
      <c r="I43" s="64">
        <v>3.31</v>
      </c>
      <c r="J43" s="64">
        <v>0.55000000000000004</v>
      </c>
      <c r="K43" s="64">
        <v>9.07</v>
      </c>
      <c r="L43" s="64">
        <v>29.13</v>
      </c>
      <c r="M43" s="64">
        <v>53.27</v>
      </c>
      <c r="N43" s="64">
        <v>313.89999999999998</v>
      </c>
      <c r="O43" s="64">
        <v>0</v>
      </c>
      <c r="P43" s="64">
        <v>0.55000000000000004</v>
      </c>
      <c r="Q43" s="64">
        <v>9.4700000000000006</v>
      </c>
      <c r="R43" s="198"/>
      <c r="S43" s="198"/>
      <c r="T43" s="198"/>
      <c r="U43" s="198"/>
    </row>
    <row r="44" spans="1:21" s="12" customFormat="1" x14ac:dyDescent="0.25">
      <c r="A44" s="214" t="s">
        <v>1628</v>
      </c>
      <c r="B44" s="64">
        <v>8.16</v>
      </c>
      <c r="C44" s="64">
        <v>3.11</v>
      </c>
      <c r="D44" s="64">
        <v>11.94</v>
      </c>
      <c r="E44" s="64">
        <v>3.93</v>
      </c>
      <c r="F44" s="64">
        <v>5.5</v>
      </c>
      <c r="G44" s="64">
        <v>63.29</v>
      </c>
      <c r="H44" s="64">
        <v>18.27</v>
      </c>
      <c r="I44" s="64">
        <v>3.55</v>
      </c>
      <c r="J44" s="64">
        <v>0.56999999999999995</v>
      </c>
      <c r="K44" s="64">
        <v>26.41</v>
      </c>
      <c r="L44" s="64">
        <v>29.95</v>
      </c>
      <c r="M44" s="64">
        <v>50.93</v>
      </c>
      <c r="N44" s="64">
        <v>333.3</v>
      </c>
      <c r="O44" s="64">
        <v>0</v>
      </c>
      <c r="P44" s="64">
        <v>0.56999999999999995</v>
      </c>
      <c r="Q44" s="64">
        <v>9.48</v>
      </c>
      <c r="R44" s="198"/>
      <c r="S44" s="198"/>
      <c r="T44" s="198"/>
      <c r="U44" s="198"/>
    </row>
    <row r="45" spans="1:21" s="12" customFormat="1" x14ac:dyDescent="0.25">
      <c r="A45" s="214" t="s">
        <v>1629</v>
      </c>
      <c r="B45" s="64">
        <v>8.16</v>
      </c>
      <c r="C45" s="64">
        <v>3.18</v>
      </c>
      <c r="D45" s="64">
        <v>11.98</v>
      </c>
      <c r="E45" s="64">
        <v>4.1900000000000004</v>
      </c>
      <c r="F45" s="64">
        <v>4.7699999999999996</v>
      </c>
      <c r="G45" s="64">
        <v>63.29</v>
      </c>
      <c r="H45" s="64">
        <v>18.27</v>
      </c>
      <c r="I45" s="64">
        <v>3.81</v>
      </c>
      <c r="J45" s="64">
        <v>0.53</v>
      </c>
      <c r="K45" s="64">
        <v>26.99</v>
      </c>
      <c r="L45" s="64">
        <v>30.02</v>
      </c>
      <c r="M45" s="64">
        <v>50.16</v>
      </c>
      <c r="N45" s="64">
        <v>337.4</v>
      </c>
      <c r="O45" s="64">
        <v>0</v>
      </c>
      <c r="P45" s="64">
        <v>0.6</v>
      </c>
      <c r="Q45" s="64">
        <v>9.51</v>
      </c>
      <c r="R45" s="198"/>
      <c r="S45" s="198"/>
      <c r="T45" s="198"/>
      <c r="U45" s="198"/>
    </row>
    <row r="46" spans="1:21" s="12" customFormat="1" x14ac:dyDescent="0.25">
      <c r="A46" s="214" t="s">
        <v>1630</v>
      </c>
      <c r="B46" s="64">
        <v>8.17</v>
      </c>
      <c r="C46" s="64">
        <v>3.23</v>
      </c>
      <c r="D46" s="64">
        <v>12.01</v>
      </c>
      <c r="E46" s="64">
        <v>4.21</v>
      </c>
      <c r="F46" s="64">
        <v>4.84</v>
      </c>
      <c r="G46" s="64">
        <v>63.91</v>
      </c>
      <c r="H46" s="64">
        <v>18.3</v>
      </c>
      <c r="I46" s="64">
        <v>3.98</v>
      </c>
      <c r="J46" s="64">
        <v>0.56999999999999995</v>
      </c>
      <c r="K46" s="64">
        <v>15.96</v>
      </c>
      <c r="L46" s="64">
        <v>30.23</v>
      </c>
      <c r="M46" s="64">
        <v>49.74</v>
      </c>
      <c r="N46" s="64">
        <v>380.1</v>
      </c>
      <c r="O46" s="64">
        <v>0</v>
      </c>
      <c r="P46" s="64">
        <v>0.62</v>
      </c>
      <c r="Q46" s="64">
        <v>9.44</v>
      </c>
      <c r="R46" s="198"/>
      <c r="S46" s="198"/>
      <c r="T46" s="198"/>
      <c r="U46" s="198"/>
    </row>
    <row r="47" spans="1:21" s="12" customFormat="1" x14ac:dyDescent="0.25">
      <c r="A47" s="214" t="s">
        <v>1631</v>
      </c>
      <c r="B47" s="64">
        <v>8.25</v>
      </c>
      <c r="C47" s="64">
        <v>3.56</v>
      </c>
      <c r="D47" s="64">
        <v>12.25</v>
      </c>
      <c r="E47" s="64">
        <v>4.46</v>
      </c>
      <c r="F47" s="64">
        <v>5.21</v>
      </c>
      <c r="G47" s="64">
        <v>64.5</v>
      </c>
      <c r="H47" s="64">
        <v>18.329999999999998</v>
      </c>
      <c r="I47" s="64">
        <v>4.0199999999999996</v>
      </c>
      <c r="J47" s="64">
        <v>0.54</v>
      </c>
      <c r="K47" s="64">
        <v>8.34</v>
      </c>
      <c r="L47" s="64">
        <v>31.02</v>
      </c>
      <c r="M47" s="64">
        <v>47.76</v>
      </c>
      <c r="N47" s="64">
        <v>476.6</v>
      </c>
      <c r="O47" s="64">
        <v>0</v>
      </c>
      <c r="P47" s="64">
        <v>0.67</v>
      </c>
      <c r="Q47" s="64">
        <v>9.43</v>
      </c>
      <c r="R47" s="198"/>
      <c r="S47" s="198"/>
      <c r="T47" s="198"/>
      <c r="U47" s="198"/>
    </row>
    <row r="48" spans="1:21" s="12" customFormat="1" x14ac:dyDescent="0.25">
      <c r="A48" s="214" t="s">
        <v>1632</v>
      </c>
      <c r="B48" s="64">
        <v>8.42</v>
      </c>
      <c r="C48" s="64">
        <v>4.22</v>
      </c>
      <c r="D48" s="64">
        <v>12.74</v>
      </c>
      <c r="E48" s="64">
        <v>4.17</v>
      </c>
      <c r="F48" s="64">
        <v>5.8</v>
      </c>
      <c r="G48" s="64">
        <v>64.5</v>
      </c>
      <c r="H48" s="64">
        <v>18.329999999999998</v>
      </c>
      <c r="I48" s="64">
        <v>4.08</v>
      </c>
      <c r="J48" s="64">
        <v>0.48</v>
      </c>
      <c r="K48" s="64">
        <v>2.98</v>
      </c>
      <c r="L48" s="64">
        <v>31.33</v>
      </c>
      <c r="M48" s="64">
        <v>47.25</v>
      </c>
      <c r="N48" s="64">
        <v>696.9</v>
      </c>
      <c r="O48" s="64">
        <v>0</v>
      </c>
      <c r="P48" s="64">
        <v>0.71</v>
      </c>
      <c r="Q48" s="64">
        <v>9.4</v>
      </c>
      <c r="R48" s="198"/>
      <c r="S48" s="198"/>
      <c r="T48" s="198"/>
      <c r="U48" s="198"/>
    </row>
    <row r="49" spans="1:21" s="12" customFormat="1" x14ac:dyDescent="0.25">
      <c r="A49" s="214" t="s">
        <v>1633</v>
      </c>
      <c r="B49" s="64">
        <v>8.1999999999999993</v>
      </c>
      <c r="C49" s="64">
        <v>3.3</v>
      </c>
      <c r="D49" s="64">
        <v>12.08</v>
      </c>
      <c r="E49" s="64">
        <v>4.47</v>
      </c>
      <c r="F49" s="64">
        <v>6.79</v>
      </c>
      <c r="G49" s="64">
        <v>64.5</v>
      </c>
      <c r="H49" s="64">
        <v>18.329999999999998</v>
      </c>
      <c r="I49" s="64">
        <v>4.2300000000000004</v>
      </c>
      <c r="J49" s="64">
        <v>0.52</v>
      </c>
      <c r="K49" s="64">
        <v>21.05</v>
      </c>
      <c r="L49" s="64">
        <v>32.340000000000003</v>
      </c>
      <c r="M49" s="64">
        <v>44.87</v>
      </c>
      <c r="N49" s="64">
        <v>804.4</v>
      </c>
      <c r="O49" s="64">
        <v>0</v>
      </c>
      <c r="P49" s="64">
        <v>0.76</v>
      </c>
      <c r="Q49" s="64">
        <v>9.4</v>
      </c>
      <c r="R49" s="198"/>
      <c r="S49" s="198"/>
      <c r="T49" s="198"/>
      <c r="U49" s="198"/>
    </row>
    <row r="50" spans="1:21" s="12" customFormat="1" x14ac:dyDescent="0.25">
      <c r="A50" s="214" t="s">
        <v>1634</v>
      </c>
      <c r="B50" s="64">
        <v>8.17</v>
      </c>
      <c r="C50" s="64">
        <v>3.19</v>
      </c>
      <c r="D50" s="64">
        <v>11.99</v>
      </c>
      <c r="E50" s="64">
        <v>4.72</v>
      </c>
      <c r="F50" s="64">
        <v>7.42</v>
      </c>
      <c r="G50" s="64">
        <v>72.39</v>
      </c>
      <c r="H50" s="64">
        <v>23.75</v>
      </c>
      <c r="I50" s="64">
        <v>4.41</v>
      </c>
      <c r="J50" s="64">
        <v>0.16</v>
      </c>
      <c r="K50" s="64">
        <v>171.33</v>
      </c>
      <c r="L50" s="64">
        <v>32.57</v>
      </c>
      <c r="M50" s="64">
        <v>43.86</v>
      </c>
      <c r="N50" s="64">
        <v>608.29999999999995</v>
      </c>
      <c r="O50" s="64">
        <v>0</v>
      </c>
      <c r="P50" s="64">
        <v>0.79</v>
      </c>
      <c r="Q50" s="64">
        <v>9.4</v>
      </c>
      <c r="R50" s="198"/>
      <c r="S50" s="198"/>
      <c r="T50" s="198"/>
      <c r="U50" s="198"/>
    </row>
    <row r="51" spans="1:21" s="12" customFormat="1" x14ac:dyDescent="0.25">
      <c r="A51" s="214" t="s">
        <v>1635</v>
      </c>
      <c r="B51" s="64">
        <v>8.17</v>
      </c>
      <c r="C51" s="64">
        <v>3.12</v>
      </c>
      <c r="D51" s="64">
        <v>11.95</v>
      </c>
      <c r="E51" s="64">
        <v>4.46</v>
      </c>
      <c r="F51" s="64">
        <v>7.69</v>
      </c>
      <c r="G51" s="64">
        <v>79.92</v>
      </c>
      <c r="H51" s="64">
        <v>28.93</v>
      </c>
      <c r="I51" s="64">
        <v>4.55</v>
      </c>
      <c r="J51" s="64">
        <v>0.62</v>
      </c>
      <c r="K51" s="64">
        <v>343.94</v>
      </c>
      <c r="L51" s="64">
        <v>33.380000000000003</v>
      </c>
      <c r="M51" s="64">
        <v>41.07</v>
      </c>
      <c r="N51" s="64">
        <v>567.79999999999995</v>
      </c>
      <c r="O51" s="64">
        <v>0</v>
      </c>
      <c r="P51" s="64">
        <v>0.78</v>
      </c>
      <c r="Q51" s="64">
        <v>9.41</v>
      </c>
      <c r="R51" s="198"/>
      <c r="S51" s="198"/>
      <c r="T51" s="198"/>
      <c r="U51" s="198"/>
    </row>
    <row r="52" spans="1:21" s="12" customFormat="1" x14ac:dyDescent="0.25">
      <c r="A52" s="214" t="s">
        <v>1636</v>
      </c>
      <c r="B52" s="64">
        <v>8.17</v>
      </c>
      <c r="C52" s="64">
        <v>3.12</v>
      </c>
      <c r="D52" s="64">
        <v>11.96</v>
      </c>
      <c r="E52" s="64">
        <v>4.54</v>
      </c>
      <c r="F52" s="64">
        <v>7.57</v>
      </c>
      <c r="G52" s="64">
        <v>79.92</v>
      </c>
      <c r="H52" s="64">
        <v>28.93</v>
      </c>
      <c r="I52" s="64">
        <v>4.74</v>
      </c>
      <c r="J52" s="64">
        <v>0.45</v>
      </c>
      <c r="K52" s="64">
        <v>340.34</v>
      </c>
      <c r="L52" s="64">
        <v>34.71</v>
      </c>
      <c r="M52" s="64">
        <v>38.14</v>
      </c>
      <c r="N52" s="64">
        <v>766.6</v>
      </c>
      <c r="O52" s="64">
        <v>0</v>
      </c>
      <c r="P52" s="64">
        <v>0.76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4" t="s">
        <v>1637</v>
      </c>
      <c r="B53" s="64">
        <v>8.2100000000000009</v>
      </c>
      <c r="C53" s="64">
        <v>3.19</v>
      </c>
      <c r="D53" s="64">
        <v>12.02</v>
      </c>
      <c r="E53" s="64">
        <v>4.21</v>
      </c>
      <c r="F53" s="64">
        <v>7.84</v>
      </c>
      <c r="G53" s="64">
        <v>79.92</v>
      </c>
      <c r="H53" s="64">
        <v>28.93</v>
      </c>
      <c r="I53" s="64">
        <v>4.8099999999999996</v>
      </c>
      <c r="J53" s="64">
        <v>1.01</v>
      </c>
      <c r="K53" s="64">
        <v>321.27999999999997</v>
      </c>
      <c r="L53" s="64">
        <v>35.770000000000003</v>
      </c>
      <c r="M53" s="64">
        <v>36.1</v>
      </c>
      <c r="N53" s="64">
        <v>670.1</v>
      </c>
      <c r="O53" s="64">
        <v>0</v>
      </c>
      <c r="P53" s="64">
        <v>0.72</v>
      </c>
      <c r="Q53" s="64">
        <v>9.3699999999999992</v>
      </c>
      <c r="R53" s="198"/>
      <c r="S53" s="198"/>
      <c r="T53" s="198"/>
      <c r="U53" s="198"/>
    </row>
    <row r="54" spans="1:21" s="12" customFormat="1" x14ac:dyDescent="0.25">
      <c r="A54" s="214" t="s">
        <v>1638</v>
      </c>
      <c r="B54" s="64">
        <v>8.19</v>
      </c>
      <c r="C54" s="64">
        <v>3.23</v>
      </c>
      <c r="D54" s="64">
        <v>12.03</v>
      </c>
      <c r="E54" s="64">
        <v>4.26</v>
      </c>
      <c r="F54" s="64">
        <v>8.11</v>
      </c>
      <c r="G54" s="64">
        <v>70.31</v>
      </c>
      <c r="H54" s="64">
        <v>27.94</v>
      </c>
      <c r="I54" s="64">
        <v>4.67</v>
      </c>
      <c r="J54" s="64">
        <v>0.51</v>
      </c>
      <c r="K54" s="64">
        <v>352.49</v>
      </c>
      <c r="L54" s="64">
        <v>36.53</v>
      </c>
      <c r="M54" s="64">
        <v>35.21</v>
      </c>
      <c r="N54" s="64">
        <v>660.6</v>
      </c>
      <c r="O54" s="64">
        <v>0</v>
      </c>
      <c r="P54" s="64">
        <v>0.72</v>
      </c>
      <c r="Q54" s="64">
        <v>9.4</v>
      </c>
      <c r="R54" s="198"/>
      <c r="S54" s="198"/>
      <c r="T54" s="198"/>
      <c r="U54" s="198"/>
    </row>
    <row r="55" spans="1:21" s="12" customFormat="1" x14ac:dyDescent="0.25">
      <c r="A55" s="214" t="s">
        <v>1639</v>
      </c>
      <c r="B55" s="64">
        <v>8.16</v>
      </c>
      <c r="C55" s="64">
        <v>3.25</v>
      </c>
      <c r="D55" s="64">
        <v>12.02</v>
      </c>
      <c r="E55" s="64">
        <v>4.4400000000000004</v>
      </c>
      <c r="F55" s="64">
        <v>8.33</v>
      </c>
      <c r="G55" s="64">
        <v>61.11</v>
      </c>
      <c r="H55" s="64">
        <v>27.03</v>
      </c>
      <c r="I55" s="64">
        <v>4.51</v>
      </c>
      <c r="J55" s="64">
        <v>0.28999999999999998</v>
      </c>
      <c r="K55" s="64">
        <v>0.93</v>
      </c>
      <c r="L55" s="64">
        <v>35.29</v>
      </c>
      <c r="M55" s="64">
        <v>36.76</v>
      </c>
      <c r="N55" s="64">
        <v>779.3</v>
      </c>
      <c r="O55" s="64">
        <v>0</v>
      </c>
      <c r="P55" s="64">
        <v>0.71</v>
      </c>
      <c r="Q55" s="64">
        <v>9.5</v>
      </c>
      <c r="R55" s="198"/>
      <c r="S55" s="198"/>
      <c r="T55" s="198"/>
      <c r="U55" s="198"/>
    </row>
    <row r="56" spans="1:21" s="12" customFormat="1" x14ac:dyDescent="0.25">
      <c r="A56" s="214" t="s">
        <v>1640</v>
      </c>
      <c r="B56" s="64">
        <v>8.32</v>
      </c>
      <c r="C56" s="64">
        <v>3.82</v>
      </c>
      <c r="D56" s="64">
        <v>12.44</v>
      </c>
      <c r="E56" s="64">
        <v>2.8</v>
      </c>
      <c r="F56" s="64">
        <v>8.74</v>
      </c>
      <c r="G56" s="64">
        <v>61.11</v>
      </c>
      <c r="H56" s="64">
        <v>27.03</v>
      </c>
      <c r="I56" s="64">
        <v>4.47</v>
      </c>
      <c r="J56" s="64">
        <v>0.11</v>
      </c>
      <c r="K56" s="64">
        <v>147.86000000000001</v>
      </c>
      <c r="L56" s="64">
        <v>35.29</v>
      </c>
      <c r="M56" s="64">
        <v>37.56</v>
      </c>
      <c r="N56" s="64">
        <v>856.8</v>
      </c>
      <c r="O56" s="64">
        <v>0</v>
      </c>
      <c r="P56" s="64">
        <v>0.69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4" t="s">
        <v>1641</v>
      </c>
      <c r="B57" s="64">
        <v>8.27</v>
      </c>
      <c r="C57" s="64">
        <v>3.74</v>
      </c>
      <c r="D57" s="64">
        <v>12.37</v>
      </c>
      <c r="E57" s="64">
        <v>3.56</v>
      </c>
      <c r="F57" s="64">
        <v>8.69</v>
      </c>
      <c r="G57" s="64">
        <v>61.11</v>
      </c>
      <c r="H57" s="64">
        <v>27.03</v>
      </c>
      <c r="I57" s="64">
        <v>4.3899999999999997</v>
      </c>
      <c r="J57" s="64">
        <v>0.43</v>
      </c>
      <c r="K57" s="64">
        <v>178.9</v>
      </c>
      <c r="L57" s="64">
        <v>35.33</v>
      </c>
      <c r="M57" s="64">
        <v>37.090000000000003</v>
      </c>
      <c r="N57" s="64">
        <v>841.3</v>
      </c>
      <c r="O57" s="64">
        <v>0</v>
      </c>
      <c r="P57" s="64">
        <v>0.67</v>
      </c>
      <c r="Q57" s="64">
        <v>9.4499999999999993</v>
      </c>
      <c r="R57" s="198"/>
      <c r="S57" s="198"/>
      <c r="T57" s="198"/>
      <c r="U57" s="198"/>
    </row>
    <row r="58" spans="1:21" s="12" customFormat="1" x14ac:dyDescent="0.25">
      <c r="A58" s="214" t="s">
        <v>1642</v>
      </c>
      <c r="B58" s="64">
        <v>8.14</v>
      </c>
      <c r="C58" s="64">
        <v>3.15</v>
      </c>
      <c r="D58" s="64">
        <v>11.95</v>
      </c>
      <c r="E58" s="64">
        <v>3.81</v>
      </c>
      <c r="F58" s="64">
        <v>9</v>
      </c>
      <c r="G58" s="64">
        <v>64.75</v>
      </c>
      <c r="H58" s="64">
        <v>30.09</v>
      </c>
      <c r="I58" s="64">
        <v>4.3</v>
      </c>
      <c r="J58" s="64">
        <v>0.09</v>
      </c>
      <c r="K58" s="64">
        <v>23.65</v>
      </c>
      <c r="L58" s="64">
        <v>35.83</v>
      </c>
      <c r="M58" s="64">
        <v>36.72</v>
      </c>
      <c r="N58" s="64">
        <v>830.8</v>
      </c>
      <c r="O58" s="64">
        <v>0</v>
      </c>
      <c r="P58" s="64">
        <v>0.64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4" t="s">
        <v>1643</v>
      </c>
      <c r="B59" s="64">
        <v>8.15</v>
      </c>
      <c r="C59" s="64">
        <v>3.18</v>
      </c>
      <c r="D59" s="64">
        <v>11.97</v>
      </c>
      <c r="E59" s="64">
        <v>3.93</v>
      </c>
      <c r="F59" s="64">
        <v>9.07</v>
      </c>
      <c r="G59" s="64">
        <v>68.23</v>
      </c>
      <c r="H59" s="64">
        <v>32.89</v>
      </c>
      <c r="I59" s="64">
        <v>4.17</v>
      </c>
      <c r="J59" s="64">
        <v>0.13</v>
      </c>
      <c r="K59" s="64">
        <v>22.06</v>
      </c>
      <c r="L59" s="64">
        <v>35.79</v>
      </c>
      <c r="M59" s="64">
        <v>37.49</v>
      </c>
      <c r="N59" s="64">
        <v>804</v>
      </c>
      <c r="O59" s="64">
        <v>0</v>
      </c>
      <c r="P59" s="64">
        <v>0.61</v>
      </c>
      <c r="Q59" s="64">
        <v>9.43</v>
      </c>
      <c r="R59" s="198"/>
      <c r="S59" s="198"/>
      <c r="T59" s="198"/>
      <c r="U59" s="198"/>
    </row>
    <row r="60" spans="1:21" s="12" customFormat="1" x14ac:dyDescent="0.25">
      <c r="A60" s="214" t="s">
        <v>1644</v>
      </c>
      <c r="B60" s="64">
        <v>8.15</v>
      </c>
      <c r="C60" s="64">
        <v>3.18</v>
      </c>
      <c r="D60" s="64">
        <v>11.97</v>
      </c>
      <c r="E60" s="64">
        <v>3.93</v>
      </c>
      <c r="F60" s="64">
        <v>9.07</v>
      </c>
      <c r="G60" s="64">
        <v>68.23</v>
      </c>
      <c r="H60" s="64">
        <v>32.89</v>
      </c>
      <c r="I60" s="64">
        <v>4.17</v>
      </c>
      <c r="J60" s="64">
        <v>0.13</v>
      </c>
      <c r="K60" s="64">
        <v>22.06</v>
      </c>
      <c r="L60" s="64">
        <v>35.79</v>
      </c>
      <c r="M60" s="64">
        <v>37.49</v>
      </c>
      <c r="N60" s="64">
        <v>804</v>
      </c>
      <c r="O60" s="64">
        <v>0</v>
      </c>
      <c r="P60" s="64">
        <v>0.61</v>
      </c>
      <c r="Q60" s="64">
        <v>9.43</v>
      </c>
      <c r="R60" s="198"/>
      <c r="S60" s="198"/>
      <c r="T60" s="198"/>
      <c r="U60" s="198"/>
    </row>
    <row r="61" spans="1:21" s="12" customFormat="1" x14ac:dyDescent="0.25">
      <c r="A61" s="214" t="s">
        <v>1645</v>
      </c>
      <c r="B61" s="64">
        <v>8.16</v>
      </c>
      <c r="C61" s="64">
        <v>3.25</v>
      </c>
      <c r="D61" s="64">
        <v>12.02</v>
      </c>
      <c r="E61" s="64">
        <v>3.91</v>
      </c>
      <c r="F61" s="64">
        <v>10.32</v>
      </c>
      <c r="G61" s="64">
        <v>68.23</v>
      </c>
      <c r="H61" s="64">
        <v>32.89</v>
      </c>
      <c r="I61" s="64">
        <v>3.91</v>
      </c>
      <c r="J61" s="64">
        <v>0.5</v>
      </c>
      <c r="K61" s="64">
        <v>138.85</v>
      </c>
      <c r="L61" s="64">
        <v>35.78</v>
      </c>
      <c r="M61" s="64">
        <v>37.71</v>
      </c>
      <c r="N61" s="64">
        <v>729.2</v>
      </c>
      <c r="O61" s="64">
        <v>0</v>
      </c>
      <c r="P61" s="64">
        <v>0.52</v>
      </c>
      <c r="Q61" s="6" t="s">
        <v>42</v>
      </c>
      <c r="R61" s="198"/>
      <c r="S61" s="198"/>
      <c r="T61" s="198"/>
      <c r="U61" s="198"/>
    </row>
    <row r="62" spans="1:21" s="12" customFormat="1" x14ac:dyDescent="0.25">
      <c r="A62" s="214" t="s">
        <v>1646</v>
      </c>
      <c r="B62" s="210" t="s">
        <v>32</v>
      </c>
      <c r="C62" s="210" t="s">
        <v>32</v>
      </c>
      <c r="D62" s="210" t="s">
        <v>32</v>
      </c>
      <c r="E62" s="210" t="s">
        <v>32</v>
      </c>
      <c r="F62" s="210" t="s">
        <v>32</v>
      </c>
      <c r="G62" s="210" t="s">
        <v>32</v>
      </c>
      <c r="H62" s="210" t="s">
        <v>32</v>
      </c>
      <c r="I62" s="210" t="s">
        <v>32</v>
      </c>
      <c r="J62" s="210" t="s">
        <v>32</v>
      </c>
      <c r="K62" s="210" t="s">
        <v>32</v>
      </c>
      <c r="L62" s="210" t="s">
        <v>32</v>
      </c>
      <c r="M62" s="210" t="s">
        <v>32</v>
      </c>
      <c r="N62" s="210" t="s">
        <v>32</v>
      </c>
      <c r="O62" s="210" t="s">
        <v>32</v>
      </c>
      <c r="P62" s="210" t="s">
        <v>32</v>
      </c>
      <c r="Q62" s="210" t="s">
        <v>32</v>
      </c>
      <c r="R62" s="198"/>
      <c r="S62" s="198"/>
      <c r="T62" s="198"/>
      <c r="U62" s="198"/>
    </row>
    <row r="63" spans="1:21" s="12" customFormat="1" x14ac:dyDescent="0.25">
      <c r="A63" s="214" t="s">
        <v>1647</v>
      </c>
      <c r="B63" s="64">
        <v>8.16</v>
      </c>
      <c r="C63" s="64">
        <v>3.25</v>
      </c>
      <c r="D63" s="64">
        <v>12.02</v>
      </c>
      <c r="E63" s="64">
        <v>3.91</v>
      </c>
      <c r="F63" s="64">
        <v>10.32</v>
      </c>
      <c r="G63" s="64">
        <v>68.23</v>
      </c>
      <c r="H63" s="64">
        <v>32.89</v>
      </c>
      <c r="I63" s="64">
        <v>3.91</v>
      </c>
      <c r="J63" s="64">
        <v>0.5</v>
      </c>
      <c r="K63" s="64">
        <v>138.85</v>
      </c>
      <c r="L63" s="64">
        <v>35.78</v>
      </c>
      <c r="M63" s="64">
        <v>37.71</v>
      </c>
      <c r="N63" s="64">
        <v>729.2</v>
      </c>
      <c r="O63" s="64">
        <v>0</v>
      </c>
      <c r="P63" s="64">
        <v>0.52</v>
      </c>
      <c r="Q63" s="7" t="s">
        <v>49</v>
      </c>
      <c r="R63" s="198"/>
      <c r="S63" s="198"/>
      <c r="T63" s="198"/>
      <c r="U63" s="198"/>
    </row>
    <row r="64" spans="1:21" s="12" customFormat="1" x14ac:dyDescent="0.25">
      <c r="A64" s="214" t="s">
        <v>1648</v>
      </c>
      <c r="B64" s="64">
        <v>8.27</v>
      </c>
      <c r="C64" s="64">
        <v>3.65</v>
      </c>
      <c r="D64" s="64">
        <v>12.31</v>
      </c>
      <c r="E64" s="64">
        <v>4.03</v>
      </c>
      <c r="F64" s="64">
        <v>10.050000000000001</v>
      </c>
      <c r="G64" s="64">
        <v>67.319999999999993</v>
      </c>
      <c r="H64" s="64">
        <v>30.97</v>
      </c>
      <c r="I64" s="64">
        <v>3.49</v>
      </c>
      <c r="J64" s="64">
        <v>0.14000000000000001</v>
      </c>
      <c r="K64" s="64">
        <v>108.4</v>
      </c>
      <c r="L64" s="64">
        <v>36.26</v>
      </c>
      <c r="M64" s="64">
        <v>35.94</v>
      </c>
      <c r="N64" s="64">
        <v>721.3</v>
      </c>
      <c r="O64" s="64">
        <v>0</v>
      </c>
      <c r="P64" s="64">
        <v>0.43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14" t="s">
        <v>1649</v>
      </c>
      <c r="B65" s="64">
        <v>8.16</v>
      </c>
      <c r="C65" s="64">
        <v>3.27</v>
      </c>
      <c r="D65" s="64">
        <v>12.03</v>
      </c>
      <c r="E65" s="64">
        <v>4.1500000000000004</v>
      </c>
      <c r="F65" s="64">
        <v>9.76</v>
      </c>
      <c r="G65" s="64">
        <v>67.11</v>
      </c>
      <c r="H65" s="64">
        <v>30.58</v>
      </c>
      <c r="I65" s="64">
        <v>3.42</v>
      </c>
      <c r="J65" s="64">
        <v>0.16</v>
      </c>
      <c r="K65" s="64">
        <v>148.12</v>
      </c>
      <c r="L65" s="64">
        <v>36.4</v>
      </c>
      <c r="M65" s="64">
        <v>35.93</v>
      </c>
      <c r="N65" s="64">
        <v>651.5</v>
      </c>
      <c r="O65" s="64">
        <v>0</v>
      </c>
      <c r="P65" s="64">
        <v>0.4</v>
      </c>
      <c r="Q65" s="64">
        <v>9.39</v>
      </c>
      <c r="R65" s="198"/>
      <c r="S65" s="198"/>
      <c r="T65" s="198"/>
      <c r="U65" s="198"/>
    </row>
    <row r="66" spans="1:21" s="12" customFormat="1" x14ac:dyDescent="0.25">
      <c r="A66" s="214" t="s">
        <v>1650</v>
      </c>
      <c r="B66" s="64">
        <v>8.1199999999999992</v>
      </c>
      <c r="C66" s="64">
        <v>3.11</v>
      </c>
      <c r="D66" s="64">
        <v>11.92</v>
      </c>
      <c r="E66" s="64">
        <v>3.98</v>
      </c>
      <c r="F66" s="64">
        <v>10.28</v>
      </c>
      <c r="G66" s="64">
        <v>62.24</v>
      </c>
      <c r="H66" s="64">
        <v>29.86</v>
      </c>
      <c r="I66" s="64">
        <v>3.46</v>
      </c>
      <c r="J66" s="64">
        <v>0.63</v>
      </c>
      <c r="K66" s="64">
        <v>189.87</v>
      </c>
      <c r="L66" s="64">
        <v>35.97</v>
      </c>
      <c r="M66" s="64">
        <v>36.17</v>
      </c>
      <c r="N66" s="64">
        <v>608</v>
      </c>
      <c r="O66" s="64">
        <v>0</v>
      </c>
      <c r="P66" s="64">
        <v>0.37</v>
      </c>
      <c r="Q66" s="64">
        <v>9.32</v>
      </c>
      <c r="R66" s="198"/>
      <c r="S66" s="198"/>
      <c r="T66" s="198"/>
      <c r="U66" s="198"/>
    </row>
    <row r="67" spans="1:21" s="12" customFormat="1" x14ac:dyDescent="0.25">
      <c r="A67" s="214" t="s">
        <v>1651</v>
      </c>
      <c r="B67" s="64">
        <v>8.14</v>
      </c>
      <c r="C67" s="64">
        <v>3.11</v>
      </c>
      <c r="D67" s="64">
        <v>11.92</v>
      </c>
      <c r="E67" s="64">
        <v>3.8</v>
      </c>
      <c r="F67" s="64">
        <v>10.220000000000001</v>
      </c>
      <c r="G67" s="64">
        <v>57.59</v>
      </c>
      <c r="H67" s="64">
        <v>29.17</v>
      </c>
      <c r="I67" s="64">
        <v>3.34</v>
      </c>
      <c r="J67" s="64">
        <v>0.18</v>
      </c>
      <c r="K67" s="64">
        <v>205.53</v>
      </c>
      <c r="L67" s="64">
        <v>36.19</v>
      </c>
      <c r="M67" s="64">
        <v>35.520000000000003</v>
      </c>
      <c r="N67" s="64">
        <v>462.3</v>
      </c>
      <c r="O67" s="64">
        <v>0</v>
      </c>
      <c r="P67" s="64">
        <v>0.35</v>
      </c>
      <c r="Q67" s="64">
        <v>9.3000000000000007</v>
      </c>
      <c r="R67" s="198"/>
      <c r="S67" s="198"/>
      <c r="T67" s="198"/>
      <c r="U67" s="198"/>
    </row>
    <row r="68" spans="1:21" s="12" customFormat="1" x14ac:dyDescent="0.25">
      <c r="A68" s="214" t="s">
        <v>1652</v>
      </c>
      <c r="B68" s="64">
        <v>8.16</v>
      </c>
      <c r="C68" s="64">
        <v>3.1</v>
      </c>
      <c r="D68" s="64">
        <v>11.94</v>
      </c>
      <c r="E68" s="64">
        <v>3.94</v>
      </c>
      <c r="F68" s="64">
        <v>9.6999999999999993</v>
      </c>
      <c r="G68" s="64">
        <v>57.59</v>
      </c>
      <c r="H68" s="64">
        <v>29.17</v>
      </c>
      <c r="I68" s="64">
        <v>3.37</v>
      </c>
      <c r="J68" s="64">
        <v>0.31</v>
      </c>
      <c r="K68" s="64">
        <v>19.989999999999998</v>
      </c>
      <c r="L68" s="64">
        <v>36.43</v>
      </c>
      <c r="M68" s="64">
        <v>35.08</v>
      </c>
      <c r="N68" s="64">
        <v>234.1</v>
      </c>
      <c r="O68" s="64">
        <v>0</v>
      </c>
      <c r="P68" s="64">
        <v>0.33</v>
      </c>
      <c r="Q68" s="64">
        <v>9.31</v>
      </c>
      <c r="R68" s="198"/>
      <c r="S68" s="198"/>
      <c r="T68" s="198"/>
      <c r="U68" s="198"/>
    </row>
    <row r="69" spans="1:21" s="12" customFormat="1" x14ac:dyDescent="0.25">
      <c r="A69" s="214" t="s">
        <v>1653</v>
      </c>
      <c r="B69" s="64">
        <v>8.14</v>
      </c>
      <c r="C69" s="64">
        <v>3.08</v>
      </c>
      <c r="D69" s="64">
        <v>11.91</v>
      </c>
      <c r="E69" s="64">
        <v>3.98</v>
      </c>
      <c r="F69" s="64">
        <v>9.7899999999999991</v>
      </c>
      <c r="G69" s="64">
        <v>57.59</v>
      </c>
      <c r="H69" s="64">
        <v>29.17</v>
      </c>
      <c r="I69" s="64">
        <v>3.45</v>
      </c>
      <c r="J69" s="64">
        <v>0.43</v>
      </c>
      <c r="K69" s="64">
        <v>3.05</v>
      </c>
      <c r="L69" s="64">
        <v>36.5</v>
      </c>
      <c r="M69" s="64">
        <v>34.229999999999997</v>
      </c>
      <c r="N69" s="64">
        <v>215.3</v>
      </c>
      <c r="O69" s="64">
        <v>0</v>
      </c>
      <c r="P69" s="64">
        <v>0.32</v>
      </c>
      <c r="Q69" s="64">
        <v>9.33</v>
      </c>
      <c r="R69" s="198"/>
      <c r="S69" s="198"/>
      <c r="T69" s="198"/>
      <c r="U69" s="198"/>
    </row>
    <row r="70" spans="1:21" s="12" customFormat="1" x14ac:dyDescent="0.25">
      <c r="A70" s="214" t="s">
        <v>1654</v>
      </c>
      <c r="B70" s="64">
        <v>8.15</v>
      </c>
      <c r="C70" s="64">
        <v>3.08</v>
      </c>
      <c r="D70" s="64">
        <v>11.92</v>
      </c>
      <c r="E70" s="64">
        <v>4.2</v>
      </c>
      <c r="F70" s="64">
        <v>11.08</v>
      </c>
      <c r="G70" s="64">
        <v>58.76</v>
      </c>
      <c r="H70" s="64">
        <v>28.52</v>
      </c>
      <c r="I70" s="64">
        <v>3.49</v>
      </c>
      <c r="J70" s="64">
        <v>7.0000000000000007E-2</v>
      </c>
      <c r="K70" s="64">
        <v>357.04</v>
      </c>
      <c r="L70" s="64">
        <v>35.85</v>
      </c>
      <c r="M70" s="64">
        <v>35.72</v>
      </c>
      <c r="N70" s="64">
        <v>229.5</v>
      </c>
      <c r="O70" s="64">
        <v>0</v>
      </c>
      <c r="P70" s="64">
        <v>0.3</v>
      </c>
      <c r="Q70" s="64">
        <v>9.32</v>
      </c>
      <c r="R70" s="198"/>
      <c r="S70" s="198"/>
      <c r="T70" s="198"/>
      <c r="U70" s="198"/>
    </row>
    <row r="71" spans="1:21" s="12" customFormat="1" x14ac:dyDescent="0.25">
      <c r="A71" s="214" t="s">
        <v>1655</v>
      </c>
      <c r="B71" s="64">
        <v>8.1199999999999992</v>
      </c>
      <c r="C71" s="64">
        <v>3.05</v>
      </c>
      <c r="D71" s="64">
        <v>11.88</v>
      </c>
      <c r="E71" s="64">
        <v>4.2</v>
      </c>
      <c r="F71" s="64">
        <v>11.07</v>
      </c>
      <c r="G71" s="64">
        <v>59.89</v>
      </c>
      <c r="H71" s="64">
        <v>27.93</v>
      </c>
      <c r="I71" s="64">
        <v>3.39</v>
      </c>
      <c r="J71" s="64">
        <v>1.21</v>
      </c>
      <c r="K71" s="64">
        <v>318.33999999999997</v>
      </c>
      <c r="L71" s="64">
        <v>34.97</v>
      </c>
      <c r="M71" s="64">
        <v>37.11</v>
      </c>
      <c r="N71" s="64">
        <v>126.8</v>
      </c>
      <c r="O71" s="64">
        <v>0</v>
      </c>
      <c r="P71" s="64">
        <v>0.28999999999999998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4" t="s">
        <v>1656</v>
      </c>
      <c r="B72" s="64">
        <v>8.3000000000000007</v>
      </c>
      <c r="C72" s="64">
        <v>3.57</v>
      </c>
      <c r="D72" s="64">
        <v>12.3</v>
      </c>
      <c r="E72" s="64">
        <v>3.68</v>
      </c>
      <c r="F72" s="64">
        <v>8.75</v>
      </c>
      <c r="G72" s="64">
        <v>59.89</v>
      </c>
      <c r="H72" s="64">
        <v>27.93</v>
      </c>
      <c r="I72" s="64">
        <v>3.25</v>
      </c>
      <c r="J72" s="64">
        <v>1.97</v>
      </c>
      <c r="K72" s="64">
        <v>319.5</v>
      </c>
      <c r="L72" s="64">
        <v>34.15</v>
      </c>
      <c r="M72" s="64">
        <v>37.82</v>
      </c>
      <c r="N72" s="64">
        <v>142</v>
      </c>
      <c r="O72" s="64">
        <v>0</v>
      </c>
      <c r="P72" s="64">
        <v>0.28999999999999998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4" t="s">
        <v>1657</v>
      </c>
      <c r="B73" s="64">
        <v>8.33</v>
      </c>
      <c r="C73" s="64">
        <v>3.76</v>
      </c>
      <c r="D73" s="64">
        <v>12.42</v>
      </c>
      <c r="E73" s="64">
        <v>3.42</v>
      </c>
      <c r="F73" s="64">
        <v>7.75</v>
      </c>
      <c r="G73" s="64">
        <v>59.89</v>
      </c>
      <c r="H73" s="64">
        <v>27.93</v>
      </c>
      <c r="I73" s="64">
        <v>3.1</v>
      </c>
      <c r="J73" s="64">
        <v>2.15</v>
      </c>
      <c r="K73" s="64">
        <v>310.88</v>
      </c>
      <c r="L73" s="64">
        <v>33.9</v>
      </c>
      <c r="M73" s="64">
        <v>37.299999999999997</v>
      </c>
      <c r="N73" s="64">
        <v>117.4</v>
      </c>
      <c r="O73" s="64">
        <v>0</v>
      </c>
      <c r="P73" s="64">
        <v>0.28999999999999998</v>
      </c>
      <c r="Q73" s="64">
        <v>9.3800000000000008</v>
      </c>
      <c r="R73" s="198"/>
      <c r="S73" s="198"/>
      <c r="T73" s="198"/>
      <c r="U73" s="198"/>
    </row>
    <row r="74" spans="1:21" s="12" customFormat="1" x14ac:dyDescent="0.25">
      <c r="A74" s="214" t="s">
        <v>1658</v>
      </c>
      <c r="B74" s="64">
        <v>8.15</v>
      </c>
      <c r="C74" s="64">
        <v>3.2</v>
      </c>
      <c r="D74" s="64">
        <v>11.98</v>
      </c>
      <c r="E74" s="64">
        <v>3.58</v>
      </c>
      <c r="F74" s="64">
        <v>7.46</v>
      </c>
      <c r="G74" s="64">
        <v>63.86</v>
      </c>
      <c r="H74" s="64">
        <v>23.13</v>
      </c>
      <c r="I74" s="64">
        <v>2.9</v>
      </c>
      <c r="J74" s="64">
        <v>1.78</v>
      </c>
      <c r="K74" s="64">
        <v>308.41000000000003</v>
      </c>
      <c r="L74" s="64">
        <v>33.14</v>
      </c>
      <c r="M74" s="64">
        <v>38.909999999999997</v>
      </c>
      <c r="N74" s="64">
        <v>98.4</v>
      </c>
      <c r="O74" s="64">
        <v>0</v>
      </c>
      <c r="P74" s="64">
        <v>0.28999999999999998</v>
      </c>
      <c r="Q74" s="64">
        <v>9.41</v>
      </c>
      <c r="R74" s="198"/>
      <c r="S74" s="198"/>
      <c r="T74" s="198"/>
      <c r="U74" s="198"/>
    </row>
    <row r="75" spans="1:21" s="12" customFormat="1" x14ac:dyDescent="0.25">
      <c r="A75" s="214" t="s">
        <v>1659</v>
      </c>
      <c r="B75" s="64">
        <v>8.1199999999999992</v>
      </c>
      <c r="C75" s="64">
        <v>3.09</v>
      </c>
      <c r="D75" s="64">
        <v>11.9</v>
      </c>
      <c r="E75" s="64">
        <v>3.85</v>
      </c>
      <c r="F75" s="64">
        <v>7.32</v>
      </c>
      <c r="G75" s="64">
        <v>67.66</v>
      </c>
      <c r="H75" s="64">
        <v>18.54</v>
      </c>
      <c r="I75" s="64">
        <v>2.7</v>
      </c>
      <c r="J75" s="64">
        <v>1.84</v>
      </c>
      <c r="K75" s="64">
        <v>312.81</v>
      </c>
      <c r="L75" s="64">
        <v>32.47</v>
      </c>
      <c r="M75" s="64">
        <v>40.74</v>
      </c>
      <c r="N75" s="64">
        <v>83.7</v>
      </c>
      <c r="O75" s="64">
        <v>0</v>
      </c>
      <c r="P75" s="64">
        <v>0.28000000000000003</v>
      </c>
      <c r="Q75" s="64">
        <v>9.3800000000000008</v>
      </c>
      <c r="R75" s="198"/>
      <c r="S75" s="198"/>
      <c r="T75" s="198"/>
      <c r="U75" s="198"/>
    </row>
    <row r="76" spans="1:21" s="12" customFormat="1" x14ac:dyDescent="0.25">
      <c r="A76" s="214" t="s">
        <v>1660</v>
      </c>
      <c r="B76" s="64">
        <v>8.1300000000000008</v>
      </c>
      <c r="C76" s="64">
        <v>3.14</v>
      </c>
      <c r="D76" s="64">
        <v>11.93</v>
      </c>
      <c r="E76" s="64">
        <v>3.69</v>
      </c>
      <c r="F76" s="64">
        <v>7</v>
      </c>
      <c r="G76" s="64">
        <v>67.66</v>
      </c>
      <c r="H76" s="64">
        <v>18.54</v>
      </c>
      <c r="I76" s="64">
        <v>2.4</v>
      </c>
      <c r="J76" s="64">
        <v>1.02</v>
      </c>
      <c r="K76" s="64">
        <v>314.08</v>
      </c>
      <c r="L76" s="64">
        <v>32.4</v>
      </c>
      <c r="M76" s="64">
        <v>40.479999999999997</v>
      </c>
      <c r="N76" s="64">
        <v>85.4</v>
      </c>
      <c r="O76" s="64">
        <v>0</v>
      </c>
      <c r="P76" s="64">
        <v>0.28000000000000003</v>
      </c>
      <c r="Q76" s="64">
        <v>9.43</v>
      </c>
      <c r="R76" s="198"/>
      <c r="S76" s="198"/>
      <c r="T76" s="198"/>
      <c r="U76" s="198"/>
    </row>
    <row r="77" spans="1:21" s="12" customFormat="1" x14ac:dyDescent="0.25">
      <c r="A77" s="214" t="s">
        <v>1661</v>
      </c>
      <c r="B77" s="64">
        <v>8.18</v>
      </c>
      <c r="C77" s="64">
        <v>3.26</v>
      </c>
      <c r="D77" s="64">
        <v>12.04</v>
      </c>
      <c r="E77" s="64">
        <v>3.94</v>
      </c>
      <c r="F77" s="64">
        <v>6.44</v>
      </c>
      <c r="G77" s="64">
        <v>67.66</v>
      </c>
      <c r="H77" s="64">
        <v>18.54</v>
      </c>
      <c r="I77" s="64">
        <v>2.31</v>
      </c>
      <c r="J77" s="64">
        <v>0.95</v>
      </c>
      <c r="K77" s="64">
        <v>311.05</v>
      </c>
      <c r="L77" s="64">
        <v>32.65</v>
      </c>
      <c r="M77" s="64">
        <v>39.94</v>
      </c>
      <c r="N77" s="64">
        <v>84</v>
      </c>
      <c r="O77" s="64">
        <v>0</v>
      </c>
      <c r="P77" s="64">
        <v>0.28999999999999998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4" t="s">
        <v>1662</v>
      </c>
      <c r="B78" s="64">
        <v>8.25</v>
      </c>
      <c r="C78" s="64">
        <v>3.55</v>
      </c>
      <c r="D78" s="64">
        <v>12.24</v>
      </c>
      <c r="E78" s="64">
        <v>3.58</v>
      </c>
      <c r="F78" s="64">
        <v>5.76</v>
      </c>
      <c r="G78" s="64">
        <v>70.37</v>
      </c>
      <c r="H78" s="64">
        <v>16.55</v>
      </c>
      <c r="I78" s="64">
        <v>2.29</v>
      </c>
      <c r="J78" s="64">
        <v>0.64</v>
      </c>
      <c r="K78" s="64">
        <v>320.36</v>
      </c>
      <c r="L78" s="64">
        <v>32.85</v>
      </c>
      <c r="M78" s="64">
        <v>39.729999999999997</v>
      </c>
      <c r="N78" s="64">
        <v>66.5</v>
      </c>
      <c r="O78" s="64">
        <v>0</v>
      </c>
      <c r="P78" s="64">
        <v>0.31</v>
      </c>
      <c r="Q78" s="64">
        <v>9.42</v>
      </c>
      <c r="R78" s="198"/>
      <c r="S78" s="198"/>
      <c r="T78" s="198"/>
      <c r="U78" s="198"/>
    </row>
    <row r="79" spans="1:21" s="12" customFormat="1" x14ac:dyDescent="0.25">
      <c r="A79" s="214" t="s">
        <v>1663</v>
      </c>
      <c r="B79" s="64">
        <v>8.34</v>
      </c>
      <c r="C79" s="64">
        <v>4.0199999999999996</v>
      </c>
      <c r="D79" s="64">
        <v>12.57</v>
      </c>
      <c r="E79" s="64">
        <v>3.75</v>
      </c>
      <c r="F79" s="64">
        <v>5.12</v>
      </c>
      <c r="G79" s="64">
        <v>72.97</v>
      </c>
      <c r="H79" s="64">
        <v>14.65</v>
      </c>
      <c r="I79" s="64">
        <v>2.12</v>
      </c>
      <c r="J79" s="64">
        <v>0.46</v>
      </c>
      <c r="K79" s="64">
        <v>342.56</v>
      </c>
      <c r="L79" s="64">
        <v>33.04</v>
      </c>
      <c r="M79" s="64">
        <v>39.22</v>
      </c>
      <c r="N79" s="64">
        <v>51.3</v>
      </c>
      <c r="O79" s="64">
        <v>0</v>
      </c>
      <c r="P79" s="64">
        <v>0.33</v>
      </c>
      <c r="Q79" s="64">
        <v>9.42</v>
      </c>
      <c r="R79" s="198"/>
      <c r="S79" s="198"/>
      <c r="T79" s="198"/>
      <c r="U79" s="198"/>
    </row>
    <row r="80" spans="1:21" s="12" customFormat="1" x14ac:dyDescent="0.25">
      <c r="A80" s="214" t="s">
        <v>1664</v>
      </c>
      <c r="B80" s="64">
        <v>8.17</v>
      </c>
      <c r="C80" s="64">
        <v>3.26</v>
      </c>
      <c r="D80" s="64">
        <v>12.03</v>
      </c>
      <c r="E80" s="64">
        <v>4.3099999999999996</v>
      </c>
      <c r="F80" s="64">
        <v>4.66</v>
      </c>
      <c r="G80" s="64">
        <v>72.97</v>
      </c>
      <c r="H80" s="64">
        <v>14.65</v>
      </c>
      <c r="I80" s="64">
        <v>2.08</v>
      </c>
      <c r="J80" s="64">
        <v>1.59</v>
      </c>
      <c r="K80" s="64">
        <v>334.5</v>
      </c>
      <c r="L80" s="64">
        <v>32.54</v>
      </c>
      <c r="M80" s="64">
        <v>41.02</v>
      </c>
      <c r="N80" s="64">
        <v>44.2</v>
      </c>
      <c r="O80" s="64">
        <v>0</v>
      </c>
      <c r="P80" s="64">
        <v>0.36</v>
      </c>
      <c r="Q80" s="64">
        <v>9.44</v>
      </c>
      <c r="R80" s="198"/>
      <c r="S80" s="198"/>
      <c r="T80" s="198"/>
      <c r="U80" s="198"/>
    </row>
    <row r="81" spans="1:26" s="12" customFormat="1" x14ac:dyDescent="0.25">
      <c r="A81" s="214" t="s">
        <v>1665</v>
      </c>
      <c r="B81" s="64">
        <v>8.17</v>
      </c>
      <c r="C81" s="64">
        <v>3.24</v>
      </c>
      <c r="D81" s="64">
        <v>12.02</v>
      </c>
      <c r="E81" s="64">
        <v>3.83</v>
      </c>
      <c r="F81" s="64">
        <v>4.51</v>
      </c>
      <c r="G81" s="64">
        <v>72.97</v>
      </c>
      <c r="H81" s="64">
        <v>14.65</v>
      </c>
      <c r="I81" s="64">
        <v>2.23</v>
      </c>
      <c r="J81" s="64">
        <v>1.87</v>
      </c>
      <c r="K81" s="64">
        <v>336.01</v>
      </c>
      <c r="L81" s="64">
        <v>31.75</v>
      </c>
      <c r="M81" s="64">
        <v>43.53</v>
      </c>
      <c r="N81" s="64">
        <v>36.4</v>
      </c>
      <c r="O81" s="64">
        <v>0</v>
      </c>
      <c r="P81" s="64">
        <v>0.38</v>
      </c>
      <c r="Q81" s="64">
        <v>9.43</v>
      </c>
      <c r="R81" s="198"/>
      <c r="S81" s="198"/>
      <c r="T81" s="198"/>
      <c r="U81" s="198"/>
    </row>
    <row r="82" spans="1:26" s="12" customFormat="1" x14ac:dyDescent="0.25">
      <c r="A82" s="214" t="s">
        <v>1666</v>
      </c>
      <c r="B82" s="64">
        <v>8.15</v>
      </c>
      <c r="C82" s="64">
        <v>3.1</v>
      </c>
      <c r="D82" s="64">
        <v>11.93</v>
      </c>
      <c r="E82" s="64">
        <v>3.44</v>
      </c>
      <c r="F82" s="64">
        <v>4.29</v>
      </c>
      <c r="G82" s="64">
        <v>76.03</v>
      </c>
      <c r="H82" s="64">
        <v>21</v>
      </c>
      <c r="I82" s="64">
        <v>2.38</v>
      </c>
      <c r="J82" s="64">
        <v>1.47</v>
      </c>
      <c r="K82" s="64">
        <v>337.43</v>
      </c>
      <c r="L82" s="64">
        <v>31.21</v>
      </c>
      <c r="M82" s="64">
        <v>45.07</v>
      </c>
      <c r="N82" s="64">
        <v>24.1</v>
      </c>
      <c r="O82" s="64">
        <v>0</v>
      </c>
      <c r="P82" s="64">
        <v>0.42</v>
      </c>
      <c r="Q82" s="64">
        <v>9.43</v>
      </c>
      <c r="R82" s="198"/>
      <c r="S82" s="198"/>
      <c r="T82" s="198"/>
      <c r="U82" s="198"/>
    </row>
    <row r="83" spans="1:26" s="12" customFormat="1" x14ac:dyDescent="0.25">
      <c r="A83" s="214" t="s">
        <v>1667</v>
      </c>
      <c r="B83" s="64">
        <v>8.14</v>
      </c>
      <c r="C83" s="64">
        <v>3.09</v>
      </c>
      <c r="D83" s="64">
        <v>11.92</v>
      </c>
      <c r="E83" s="64">
        <v>3.75</v>
      </c>
      <c r="F83" s="64">
        <v>4.3600000000000003</v>
      </c>
      <c r="G83" s="64">
        <v>78.97</v>
      </c>
      <c r="H83" s="64">
        <v>26.81</v>
      </c>
      <c r="I83" s="64">
        <v>2.5</v>
      </c>
      <c r="J83" s="64">
        <v>1.93</v>
      </c>
      <c r="K83" s="64">
        <v>341.35</v>
      </c>
      <c r="L83" s="64">
        <v>30.99</v>
      </c>
      <c r="M83" s="64">
        <v>45.59</v>
      </c>
      <c r="N83" s="64">
        <v>19.899999999999999</v>
      </c>
      <c r="O83" s="64">
        <v>0</v>
      </c>
      <c r="P83" s="64">
        <v>0.45</v>
      </c>
      <c r="Q83" s="64">
        <v>9.4499999999999993</v>
      </c>
      <c r="R83" s="198"/>
      <c r="S83" s="198"/>
      <c r="T83" s="198"/>
      <c r="U83" s="198"/>
    </row>
    <row r="84" spans="1:26" s="12" customFormat="1" x14ac:dyDescent="0.25">
      <c r="A84" s="214" t="s">
        <v>1668</v>
      </c>
      <c r="B84" s="64">
        <v>8.17</v>
      </c>
      <c r="C84" s="64">
        <v>3.23</v>
      </c>
      <c r="D84" s="64">
        <v>12.02</v>
      </c>
      <c r="E84" s="64">
        <v>3.59</v>
      </c>
      <c r="F84" s="64">
        <v>3.89</v>
      </c>
      <c r="G84" s="64">
        <v>78.97</v>
      </c>
      <c r="H84" s="64">
        <v>26.81</v>
      </c>
      <c r="I84" s="64">
        <v>2.67</v>
      </c>
      <c r="J84" s="64">
        <v>1.53</v>
      </c>
      <c r="K84" s="64">
        <v>337.97</v>
      </c>
      <c r="L84" s="64">
        <v>30.52</v>
      </c>
      <c r="M84" s="64">
        <v>47.26</v>
      </c>
      <c r="N84" s="64">
        <v>18.5</v>
      </c>
      <c r="O84" s="64">
        <v>0</v>
      </c>
      <c r="P84" s="64">
        <v>0.47</v>
      </c>
      <c r="Q84" s="64">
        <v>9.44</v>
      </c>
      <c r="R84" s="198"/>
      <c r="S84" s="198"/>
      <c r="T84" s="198"/>
      <c r="U84" s="198"/>
    </row>
    <row r="85" spans="1:26" s="12" customFormat="1" x14ac:dyDescent="0.25">
      <c r="A85" s="214" t="s">
        <v>1669</v>
      </c>
      <c r="B85" s="64">
        <v>8.2200000000000006</v>
      </c>
      <c r="C85" s="64">
        <v>3.29</v>
      </c>
      <c r="D85" s="64">
        <v>12.09</v>
      </c>
      <c r="E85" s="64">
        <v>3.66</v>
      </c>
      <c r="F85" s="64">
        <v>3.88</v>
      </c>
      <c r="G85" s="64">
        <v>78.97</v>
      </c>
      <c r="H85" s="64">
        <v>26.81</v>
      </c>
      <c r="I85" s="64">
        <v>2.81</v>
      </c>
      <c r="J85" s="64">
        <v>1.22</v>
      </c>
      <c r="K85" s="64">
        <v>338.28</v>
      </c>
      <c r="L85" s="64">
        <v>30.37</v>
      </c>
      <c r="M85" s="64">
        <v>47.97</v>
      </c>
      <c r="N85" s="64">
        <v>18.100000000000001</v>
      </c>
      <c r="O85" s="64">
        <v>0</v>
      </c>
      <c r="P85" s="64">
        <v>0.48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14" t="s">
        <v>1670</v>
      </c>
      <c r="B86" s="64">
        <v>8.33</v>
      </c>
      <c r="C86" s="64">
        <v>3.6</v>
      </c>
      <c r="D86" s="64">
        <v>12.33</v>
      </c>
      <c r="E86" s="64">
        <v>3.59</v>
      </c>
      <c r="F86" s="64">
        <v>3.64</v>
      </c>
      <c r="G86" s="64">
        <v>86.8</v>
      </c>
      <c r="H86" s="64">
        <v>29.43</v>
      </c>
      <c r="I86" s="64">
        <v>3.23</v>
      </c>
      <c r="J86" s="64">
        <v>1.06</v>
      </c>
      <c r="K86" s="64">
        <v>338.78</v>
      </c>
      <c r="L86" s="64">
        <v>30.49</v>
      </c>
      <c r="M86" s="64">
        <v>48.73</v>
      </c>
      <c r="N86" s="64">
        <v>18.3</v>
      </c>
      <c r="O86" s="64">
        <v>0</v>
      </c>
      <c r="P86" s="64">
        <v>0.56000000000000005</v>
      </c>
      <c r="Q86" s="64">
        <v>9.44</v>
      </c>
      <c r="R86" s="198"/>
      <c r="S86" s="198"/>
      <c r="T86" s="198"/>
      <c r="U86" s="198"/>
    </row>
    <row r="87" spans="1:26" s="12" customFormat="1" x14ac:dyDescent="0.25">
      <c r="A87" s="214" t="s">
        <v>1671</v>
      </c>
      <c r="B87" s="64">
        <v>8.25</v>
      </c>
      <c r="C87" s="64">
        <v>3.34</v>
      </c>
      <c r="D87" s="64">
        <v>12.14</v>
      </c>
      <c r="E87" s="64">
        <v>3.37</v>
      </c>
      <c r="F87" s="64">
        <v>3.33</v>
      </c>
      <c r="G87" s="64">
        <v>94.29</v>
      </c>
      <c r="H87" s="64">
        <v>31.94</v>
      </c>
      <c r="I87" s="64">
        <v>3.7</v>
      </c>
      <c r="J87" s="64">
        <v>0.64</v>
      </c>
      <c r="K87" s="64">
        <v>319.93</v>
      </c>
      <c r="L87" s="64">
        <v>30.26</v>
      </c>
      <c r="M87" s="64">
        <v>50.27</v>
      </c>
      <c r="N87" s="64">
        <v>18.5</v>
      </c>
      <c r="O87" s="64">
        <v>0</v>
      </c>
      <c r="P87" s="64">
        <v>0.59</v>
      </c>
      <c r="Q87" s="64">
        <v>9.48</v>
      </c>
      <c r="R87" s="198"/>
      <c r="S87" s="198"/>
      <c r="T87" s="198"/>
      <c r="U87" s="198"/>
    </row>
    <row r="88" spans="1:26" s="12" customFormat="1" x14ac:dyDescent="0.25">
      <c r="A88" s="214" t="s">
        <v>1672</v>
      </c>
      <c r="B88" s="64">
        <v>8.2200000000000006</v>
      </c>
      <c r="C88" s="64">
        <v>3.17</v>
      </c>
      <c r="D88" s="64">
        <v>12.02</v>
      </c>
      <c r="E88" s="64">
        <v>5.26</v>
      </c>
      <c r="F88" s="64">
        <v>3.42</v>
      </c>
      <c r="G88" s="64">
        <v>94.29</v>
      </c>
      <c r="H88" s="64">
        <v>31.94</v>
      </c>
      <c r="I88" s="64">
        <v>4.1100000000000003</v>
      </c>
      <c r="J88" s="64">
        <v>0.85</v>
      </c>
      <c r="K88" s="64">
        <v>317.7</v>
      </c>
      <c r="L88" s="64">
        <v>30.28</v>
      </c>
      <c r="M88" s="64">
        <v>48.81</v>
      </c>
      <c r="N88" s="64">
        <v>18.2</v>
      </c>
      <c r="O88" s="64">
        <v>0</v>
      </c>
      <c r="P88" s="64">
        <v>0.62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14" t="s">
        <v>1673</v>
      </c>
      <c r="B89" s="64">
        <v>8.33</v>
      </c>
      <c r="C89" s="64">
        <v>3.46</v>
      </c>
      <c r="D89" s="64">
        <v>12.26</v>
      </c>
      <c r="E89" s="64">
        <v>4.3899999999999997</v>
      </c>
      <c r="F89" s="64">
        <v>3.77</v>
      </c>
      <c r="G89" s="64">
        <v>94.29</v>
      </c>
      <c r="H89" s="64">
        <v>31.94</v>
      </c>
      <c r="I89" s="64">
        <v>4.54</v>
      </c>
      <c r="J89" s="64">
        <v>0.72</v>
      </c>
      <c r="K89" s="64">
        <v>319.14</v>
      </c>
      <c r="L89" s="64">
        <v>30.36</v>
      </c>
      <c r="M89" s="64">
        <v>48.92</v>
      </c>
      <c r="N89" s="64">
        <v>18.399999999999999</v>
      </c>
      <c r="O89" s="64">
        <v>0</v>
      </c>
      <c r="P89" s="64">
        <v>0.64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14" t="s">
        <v>1674</v>
      </c>
      <c r="B90" s="64">
        <v>8.31</v>
      </c>
      <c r="C90" s="64">
        <v>3.48</v>
      </c>
      <c r="D90" s="64">
        <v>12.26</v>
      </c>
      <c r="E90" s="64">
        <v>4.38</v>
      </c>
      <c r="F90" s="64">
        <v>3.67</v>
      </c>
      <c r="G90" s="64">
        <v>96.13</v>
      </c>
      <c r="H90" s="64">
        <v>32.840000000000003</v>
      </c>
      <c r="I90" s="64">
        <v>4.82</v>
      </c>
      <c r="J90" s="64">
        <v>0.3</v>
      </c>
      <c r="K90" s="64">
        <v>311.75</v>
      </c>
      <c r="L90" s="64">
        <v>30.27</v>
      </c>
      <c r="M90" s="64">
        <v>49.24</v>
      </c>
      <c r="N90" s="64">
        <v>18.399999999999999</v>
      </c>
      <c r="O90" s="64">
        <v>0</v>
      </c>
      <c r="P90" s="64">
        <v>0.66</v>
      </c>
      <c r="Q90" s="64">
        <v>9.59</v>
      </c>
      <c r="R90" s="198"/>
      <c r="S90" s="198"/>
      <c r="T90" s="198"/>
      <c r="U90" s="198"/>
    </row>
    <row r="91" spans="1:26" s="12" customFormat="1" x14ac:dyDescent="0.25">
      <c r="A91" s="214" t="s">
        <v>1675</v>
      </c>
      <c r="B91" s="64">
        <v>8.57</v>
      </c>
      <c r="C91" s="64">
        <v>4.22</v>
      </c>
      <c r="D91" s="64">
        <v>12.85</v>
      </c>
      <c r="E91" s="64">
        <v>4.46</v>
      </c>
      <c r="F91" s="64">
        <v>3.98</v>
      </c>
      <c r="G91" s="64">
        <v>97.89</v>
      </c>
      <c r="H91" s="64">
        <v>33.71</v>
      </c>
      <c r="I91" s="64">
        <v>4.9400000000000004</v>
      </c>
      <c r="J91" s="64">
        <v>0.28000000000000003</v>
      </c>
      <c r="K91" s="64">
        <v>337.29</v>
      </c>
      <c r="L91" s="64">
        <v>30.26</v>
      </c>
      <c r="M91" s="64">
        <v>49.55</v>
      </c>
      <c r="N91" s="64">
        <v>18.5</v>
      </c>
      <c r="O91" s="64">
        <v>0</v>
      </c>
      <c r="P91" s="64">
        <v>0.66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4" t="s">
        <v>1676</v>
      </c>
      <c r="B92" s="64">
        <v>8.25</v>
      </c>
      <c r="C92" s="64">
        <v>3.38</v>
      </c>
      <c r="D92" s="64">
        <v>12.15</v>
      </c>
      <c r="E92" s="64">
        <v>4.58</v>
      </c>
      <c r="F92" s="64">
        <v>3.59</v>
      </c>
      <c r="G92" s="64">
        <v>97.89</v>
      </c>
      <c r="H92" s="64">
        <v>33.71</v>
      </c>
      <c r="I92" s="64">
        <v>4.76</v>
      </c>
      <c r="J92" s="64">
        <v>0.27</v>
      </c>
      <c r="K92" s="64">
        <v>61.18</v>
      </c>
      <c r="L92" s="64">
        <v>30.27</v>
      </c>
      <c r="M92" s="64">
        <v>50.54</v>
      </c>
      <c r="N92" s="64">
        <v>18.399999999999999</v>
      </c>
      <c r="O92" s="64">
        <v>0</v>
      </c>
      <c r="P92" s="64">
        <v>0.69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4" t="s">
        <v>1677</v>
      </c>
      <c r="B93" s="64">
        <v>8.17</v>
      </c>
      <c r="C93" s="64">
        <v>3.18</v>
      </c>
      <c r="D93" s="64">
        <v>11.99</v>
      </c>
      <c r="E93" s="64">
        <v>4.25</v>
      </c>
      <c r="F93" s="64">
        <v>3.56</v>
      </c>
      <c r="G93" s="64">
        <v>97.89</v>
      </c>
      <c r="H93" s="64">
        <v>33.71</v>
      </c>
      <c r="I93" s="64">
        <v>4.96</v>
      </c>
      <c r="J93" s="64">
        <v>0.3</v>
      </c>
      <c r="K93" s="64">
        <v>324.95999999999998</v>
      </c>
      <c r="L93" s="64">
        <v>30.15</v>
      </c>
      <c r="M93" s="64">
        <v>51.19</v>
      </c>
      <c r="N93" s="64">
        <v>18.399999999999999</v>
      </c>
      <c r="O93" s="64">
        <v>0</v>
      </c>
      <c r="P93" s="64">
        <v>0.71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4" t="s">
        <v>1678</v>
      </c>
      <c r="B94" s="64">
        <v>8.18</v>
      </c>
      <c r="C94" s="64">
        <v>3.26</v>
      </c>
      <c r="D94" s="64">
        <v>12.04</v>
      </c>
      <c r="E94" s="64">
        <v>4.78</v>
      </c>
      <c r="F94" s="64">
        <v>3.52</v>
      </c>
      <c r="G94" s="64">
        <v>92</v>
      </c>
      <c r="H94" s="64">
        <v>30.41</v>
      </c>
      <c r="I94" s="64">
        <v>5.21</v>
      </c>
      <c r="J94" s="64">
        <v>0.31</v>
      </c>
      <c r="K94" s="64">
        <v>29.25</v>
      </c>
      <c r="L94" s="64">
        <v>30.03</v>
      </c>
      <c r="M94" s="64">
        <v>52.99</v>
      </c>
      <c r="N94" s="64">
        <v>18.399999999999999</v>
      </c>
      <c r="O94" s="64">
        <v>0</v>
      </c>
      <c r="P94" s="64">
        <v>0.72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4" t="s">
        <v>1679</v>
      </c>
      <c r="B95" s="64">
        <v>8.2200000000000006</v>
      </c>
      <c r="C95" s="64">
        <v>3.29</v>
      </c>
      <c r="D95" s="64">
        <v>12.08</v>
      </c>
      <c r="E95" s="64">
        <v>4.0599999999999996</v>
      </c>
      <c r="F95" s="64">
        <v>3.61</v>
      </c>
      <c r="G95" s="64">
        <v>86.36</v>
      </c>
      <c r="H95" s="64">
        <v>27.25</v>
      </c>
      <c r="I95" s="64">
        <v>5.2</v>
      </c>
      <c r="J95" s="64">
        <v>0.56000000000000005</v>
      </c>
      <c r="K95" s="64">
        <v>18.97</v>
      </c>
      <c r="L95" s="64">
        <v>30.14</v>
      </c>
      <c r="M95" s="64">
        <v>52.06</v>
      </c>
      <c r="N95" s="64">
        <v>18.3</v>
      </c>
      <c r="O95" s="64">
        <v>0</v>
      </c>
      <c r="P95" s="64">
        <v>0.71</v>
      </c>
      <c r="Q95" s="64">
        <v>9.6999999999999993</v>
      </c>
      <c r="R95" s="198"/>
      <c r="S95" s="198"/>
      <c r="T95" s="198"/>
      <c r="U95" s="198"/>
    </row>
    <row r="96" spans="1:26" s="12" customFormat="1" x14ac:dyDescent="0.25">
      <c r="A96" s="214" t="s">
        <v>1680</v>
      </c>
      <c r="B96" s="64">
        <v>8.32</v>
      </c>
      <c r="C96" s="64">
        <v>3.6</v>
      </c>
      <c r="D96" s="64">
        <v>12.33</v>
      </c>
      <c r="E96" s="64">
        <v>4.2300000000000004</v>
      </c>
      <c r="F96" s="64">
        <v>3.53</v>
      </c>
      <c r="G96" s="64">
        <v>86.36</v>
      </c>
      <c r="H96" s="64">
        <v>27.25</v>
      </c>
      <c r="I96" s="64">
        <v>5.19</v>
      </c>
      <c r="J96" s="64">
        <v>0.62</v>
      </c>
      <c r="K96" s="64">
        <v>29.62</v>
      </c>
      <c r="L96" s="64">
        <v>30.05</v>
      </c>
      <c r="M96" s="64">
        <v>52.32</v>
      </c>
      <c r="N96" s="64">
        <v>18.399999999999999</v>
      </c>
      <c r="O96" s="64">
        <v>0</v>
      </c>
      <c r="P96" s="64">
        <v>0.71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1681</v>
      </c>
      <c r="B97" s="64">
        <v>8.5299999999999994</v>
      </c>
      <c r="C97" s="64">
        <v>4.2300000000000004</v>
      </c>
      <c r="D97" s="64">
        <v>12.83</v>
      </c>
      <c r="E97" s="64">
        <v>4.3099999999999996</v>
      </c>
      <c r="F97" s="64">
        <v>3.69</v>
      </c>
      <c r="G97" s="64">
        <v>86.36</v>
      </c>
      <c r="H97" s="64">
        <v>27.25</v>
      </c>
      <c r="I97" s="64">
        <v>5.13</v>
      </c>
      <c r="J97" s="64">
        <v>0.49</v>
      </c>
      <c r="K97" s="64">
        <v>16.510000000000002</v>
      </c>
      <c r="L97" s="64">
        <v>29.84</v>
      </c>
      <c r="M97" s="64">
        <v>53.34</v>
      </c>
      <c r="N97" s="64">
        <v>18.600000000000001</v>
      </c>
      <c r="O97" s="64">
        <v>0</v>
      </c>
      <c r="P97" s="64">
        <v>0.68</v>
      </c>
      <c r="Q97" s="64">
        <v>9.6999999999999993</v>
      </c>
      <c r="R97" s="198"/>
      <c r="S97" s="198"/>
      <c r="T97" s="198"/>
      <c r="U97" s="198"/>
    </row>
    <row r="98" spans="1:33" s="12" customFormat="1" x14ac:dyDescent="0.25">
      <c r="A98" s="214" t="s">
        <v>1682</v>
      </c>
      <c r="B98" s="64">
        <v>8.26</v>
      </c>
      <c r="C98" s="64">
        <v>3.49</v>
      </c>
      <c r="D98" s="64">
        <v>12.22</v>
      </c>
      <c r="E98" s="64">
        <v>4.21</v>
      </c>
      <c r="F98" s="64">
        <v>4.0599999999999996</v>
      </c>
      <c r="G98" s="64">
        <v>81.23</v>
      </c>
      <c r="H98" s="64">
        <v>27.5</v>
      </c>
      <c r="I98" s="64">
        <v>4.9400000000000004</v>
      </c>
      <c r="J98" s="64">
        <v>0.53</v>
      </c>
      <c r="K98" s="64">
        <v>6.7</v>
      </c>
      <c r="L98" s="64">
        <v>29.85</v>
      </c>
      <c r="M98" s="64">
        <v>52.32</v>
      </c>
      <c r="N98" s="64">
        <v>18.100000000000001</v>
      </c>
      <c r="O98" s="64">
        <v>0</v>
      </c>
      <c r="P98" s="64">
        <v>0.65</v>
      </c>
      <c r="Q98" s="64">
        <v>9.69</v>
      </c>
      <c r="R98" s="198"/>
      <c r="S98" s="198"/>
      <c r="T98" s="198"/>
      <c r="U98" s="198"/>
    </row>
    <row r="99" spans="1:33" s="12" customFormat="1" x14ac:dyDescent="0.25">
      <c r="A99" s="214" t="s">
        <v>1683</v>
      </c>
      <c r="B99" s="64">
        <v>8.16</v>
      </c>
      <c r="C99" s="64">
        <v>3.22</v>
      </c>
      <c r="D99" s="64">
        <v>12</v>
      </c>
      <c r="E99" s="64">
        <v>4.45</v>
      </c>
      <c r="F99" s="64">
        <v>4.05</v>
      </c>
      <c r="G99" s="64">
        <v>76.33</v>
      </c>
      <c r="H99" s="64">
        <v>27.73</v>
      </c>
      <c r="I99" s="64">
        <v>4.76</v>
      </c>
      <c r="J99" s="64">
        <v>0.51</v>
      </c>
      <c r="K99" s="64">
        <v>19.84</v>
      </c>
      <c r="L99" s="64">
        <v>29.86</v>
      </c>
      <c r="M99" s="64">
        <v>51.63</v>
      </c>
      <c r="N99" s="64">
        <v>18.2</v>
      </c>
      <c r="O99" s="64">
        <v>0</v>
      </c>
      <c r="P99" s="64">
        <v>0.63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4" t="s">
        <v>1684</v>
      </c>
      <c r="B100" s="64">
        <v>8.1300000000000008</v>
      </c>
      <c r="C100" s="64">
        <v>3.11</v>
      </c>
      <c r="D100" s="64">
        <v>11.92</v>
      </c>
      <c r="E100" s="64">
        <v>4.28</v>
      </c>
      <c r="F100" s="64">
        <v>4.22</v>
      </c>
      <c r="G100" s="64">
        <v>76.33</v>
      </c>
      <c r="H100" s="64">
        <v>27.73</v>
      </c>
      <c r="I100" s="64">
        <v>4.59</v>
      </c>
      <c r="J100" s="64">
        <v>0.6</v>
      </c>
      <c r="K100" s="64">
        <v>20.21</v>
      </c>
      <c r="L100" s="64">
        <v>29.9</v>
      </c>
      <c r="M100" s="64">
        <v>49.69</v>
      </c>
      <c r="N100" s="64">
        <v>18.3</v>
      </c>
      <c r="O100" s="64">
        <v>0</v>
      </c>
      <c r="P100" s="64">
        <v>0.57999999999999996</v>
      </c>
      <c r="Q100" s="64">
        <v>9.58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1685</v>
      </c>
      <c r="B101" s="64">
        <v>8.14</v>
      </c>
      <c r="C101" s="64">
        <v>3.11</v>
      </c>
      <c r="D101" s="64">
        <v>11.93</v>
      </c>
      <c r="E101" s="64">
        <v>4.01</v>
      </c>
      <c r="F101" s="64">
        <v>4.53</v>
      </c>
      <c r="G101" s="64">
        <v>76.33</v>
      </c>
      <c r="H101" s="64">
        <v>27.73</v>
      </c>
      <c r="I101" s="64">
        <v>4.3499999999999996</v>
      </c>
      <c r="J101" s="64">
        <v>0.41</v>
      </c>
      <c r="K101" s="64">
        <v>17.27</v>
      </c>
      <c r="L101" s="64">
        <v>29.87</v>
      </c>
      <c r="M101" s="64">
        <v>49.36</v>
      </c>
      <c r="N101" s="64">
        <v>18.3</v>
      </c>
      <c r="O101" s="64">
        <v>0</v>
      </c>
      <c r="P101" s="64">
        <v>0.56000000000000005</v>
      </c>
      <c r="Q101" s="64">
        <v>9.5399999999999991</v>
      </c>
      <c r="R101" s="198"/>
      <c r="S101" s="198"/>
      <c r="T101" s="198"/>
      <c r="U101" s="198"/>
    </row>
    <row r="102" spans="1:33" s="12" customFormat="1" x14ac:dyDescent="0.25">
      <c r="A102" s="214" t="s">
        <v>1686</v>
      </c>
      <c r="B102" s="64">
        <v>8.1999999999999993</v>
      </c>
      <c r="C102" s="64">
        <v>3.28</v>
      </c>
      <c r="D102" s="64">
        <v>12.06</v>
      </c>
      <c r="E102" s="64">
        <v>4.3600000000000003</v>
      </c>
      <c r="F102" s="64">
        <v>4.55</v>
      </c>
      <c r="G102" s="64">
        <v>74.08</v>
      </c>
      <c r="H102" s="64">
        <v>27.36</v>
      </c>
      <c r="I102" s="64">
        <v>3.96</v>
      </c>
      <c r="J102" s="64">
        <v>0.55000000000000004</v>
      </c>
      <c r="K102" s="64">
        <v>25.3</v>
      </c>
      <c r="L102" s="64">
        <v>29.82</v>
      </c>
      <c r="M102" s="64">
        <v>50.71</v>
      </c>
      <c r="N102" s="64">
        <v>18.399999999999999</v>
      </c>
      <c r="O102" s="64">
        <v>0</v>
      </c>
      <c r="P102" s="64">
        <v>0.53</v>
      </c>
      <c r="Q102" s="64">
        <v>9.5</v>
      </c>
      <c r="R102" s="198"/>
      <c r="S102" s="198"/>
      <c r="T102" s="198"/>
      <c r="U102" s="198"/>
    </row>
    <row r="103" spans="1:33" s="12" customFormat="1" x14ac:dyDescent="0.25">
      <c r="A103" s="214" t="s">
        <v>1687</v>
      </c>
      <c r="B103" s="64">
        <v>8.2200000000000006</v>
      </c>
      <c r="C103" s="64">
        <v>3.26</v>
      </c>
      <c r="D103" s="64">
        <v>12.07</v>
      </c>
      <c r="E103" s="64">
        <v>3.92</v>
      </c>
      <c r="F103" s="64">
        <v>4.8899999999999997</v>
      </c>
      <c r="G103" s="64">
        <v>71.92</v>
      </c>
      <c r="H103" s="64">
        <v>27</v>
      </c>
      <c r="I103" s="64">
        <v>3.64</v>
      </c>
      <c r="J103" s="64">
        <v>0.5</v>
      </c>
      <c r="K103" s="64">
        <v>24.63</v>
      </c>
      <c r="L103" s="64">
        <v>29.83</v>
      </c>
      <c r="M103" s="64">
        <v>51.65</v>
      </c>
      <c r="N103" s="64">
        <v>18.3</v>
      </c>
      <c r="O103" s="64">
        <v>0</v>
      </c>
      <c r="P103" s="64">
        <v>0.52</v>
      </c>
      <c r="Q103" s="64">
        <v>9.4600000000000009</v>
      </c>
      <c r="R103" s="198"/>
      <c r="S103" s="198"/>
      <c r="T103" s="198"/>
      <c r="U103" s="198"/>
    </row>
    <row r="104" spans="1:33" s="12" customFormat="1" x14ac:dyDescent="0.25">
      <c r="A104" s="214" t="s">
        <v>1688</v>
      </c>
      <c r="B104" s="64">
        <v>8.25</v>
      </c>
      <c r="C104" s="64">
        <v>3.35</v>
      </c>
      <c r="D104" s="64">
        <v>12.14</v>
      </c>
      <c r="E104" s="64">
        <v>3.65</v>
      </c>
      <c r="F104" s="64">
        <v>4.71</v>
      </c>
      <c r="G104" s="64">
        <v>71.92</v>
      </c>
      <c r="H104" s="64">
        <v>27</v>
      </c>
      <c r="I104" s="64">
        <v>3.77</v>
      </c>
      <c r="J104" s="64">
        <v>0.18</v>
      </c>
      <c r="K104" s="64">
        <v>1.55</v>
      </c>
      <c r="L104" s="64">
        <v>29.74</v>
      </c>
      <c r="M104" s="64">
        <v>52.43</v>
      </c>
      <c r="N104" s="64">
        <v>18.5</v>
      </c>
      <c r="O104" s="64">
        <v>0</v>
      </c>
      <c r="P104" s="64">
        <v>0.51</v>
      </c>
      <c r="Q104" s="64">
        <v>9.4499999999999993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8.1199999999999992</v>
      </c>
      <c r="C106" s="67">
        <f>MIN(C9:C104)</f>
        <v>3.05</v>
      </c>
      <c r="D106" s="67">
        <f t="shared" ref="D106:Q106" si="0">MIN(D9:D104)</f>
        <v>11.88</v>
      </c>
      <c r="E106" s="67">
        <f t="shared" si="0"/>
        <v>2.8</v>
      </c>
      <c r="F106" s="67">
        <f t="shared" si="0"/>
        <v>3.33</v>
      </c>
      <c r="G106" s="67">
        <f t="shared" si="0"/>
        <v>23.01</v>
      </c>
      <c r="H106" s="67">
        <f t="shared" si="0"/>
        <v>11.84</v>
      </c>
      <c r="I106" s="67">
        <f t="shared" si="0"/>
        <v>1.36</v>
      </c>
      <c r="J106" s="67">
        <f t="shared" si="0"/>
        <v>0.04</v>
      </c>
      <c r="K106" s="67">
        <f t="shared" si="0"/>
        <v>0.93</v>
      </c>
      <c r="L106" s="67">
        <f t="shared" si="0"/>
        <v>24.81</v>
      </c>
      <c r="M106" s="67">
        <f t="shared" si="0"/>
        <v>34.229999999999997</v>
      </c>
      <c r="N106" s="67">
        <f t="shared" si="0"/>
        <v>16.399999999999999</v>
      </c>
      <c r="O106" s="67">
        <f t="shared" si="0"/>
        <v>0</v>
      </c>
      <c r="P106" s="67">
        <f t="shared" si="0"/>
        <v>0.17</v>
      </c>
      <c r="Q106" s="67">
        <f t="shared" si="0"/>
        <v>9.3000000000000007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8.57</v>
      </c>
      <c r="C107" s="66">
        <f t="shared" ref="C107:Q107" si="1">MAX(C9:C104)</f>
        <v>4.3499999999999996</v>
      </c>
      <c r="D107" s="66">
        <f t="shared" si="1"/>
        <v>12.85</v>
      </c>
      <c r="E107" s="66">
        <f t="shared" si="1"/>
        <v>5.52</v>
      </c>
      <c r="F107" s="66">
        <f t="shared" si="1"/>
        <v>11.08</v>
      </c>
      <c r="G107" s="66">
        <f t="shared" si="1"/>
        <v>97.89</v>
      </c>
      <c r="H107" s="66">
        <f t="shared" si="1"/>
        <v>33.71</v>
      </c>
      <c r="I107" s="66">
        <f t="shared" si="1"/>
        <v>5.21</v>
      </c>
      <c r="J107" s="66">
        <f t="shared" si="1"/>
        <v>2.15</v>
      </c>
      <c r="K107" s="66">
        <f t="shared" si="1"/>
        <v>359.55</v>
      </c>
      <c r="L107" s="66">
        <f t="shared" si="1"/>
        <v>36.53</v>
      </c>
      <c r="M107" s="66">
        <f t="shared" si="1"/>
        <v>70.64</v>
      </c>
      <c r="N107" s="66">
        <f t="shared" si="1"/>
        <v>856.8</v>
      </c>
      <c r="O107" s="66">
        <f t="shared" si="1"/>
        <v>0</v>
      </c>
      <c r="P107" s="66">
        <f t="shared" si="1"/>
        <v>0.79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8.2153684210526325</v>
      </c>
      <c r="C108" s="67">
        <f t="shared" ref="C108:Q108" si="2">AVERAGE(C9:C104)</f>
        <v>3.3206315789473706</v>
      </c>
      <c r="D108" s="67">
        <f t="shared" si="2"/>
        <v>12.097999999999997</v>
      </c>
      <c r="E108" s="67">
        <f t="shared" si="2"/>
        <v>4.0982105263157882</v>
      </c>
      <c r="F108" s="67">
        <f t="shared" si="2"/>
        <v>6.0732631578947336</v>
      </c>
      <c r="G108" s="67">
        <f t="shared" si="2"/>
        <v>59.197473684210507</v>
      </c>
      <c r="H108" s="67">
        <f t="shared" si="2"/>
        <v>23.236105263157903</v>
      </c>
      <c r="I108" s="67">
        <f t="shared" si="2"/>
        <v>3.3388421052631556</v>
      </c>
      <c r="J108" s="67">
        <f t="shared" si="2"/>
        <v>0.62252631578947382</v>
      </c>
      <c r="K108" s="67">
        <f t="shared" si="2"/>
        <v>168.65821052631577</v>
      </c>
      <c r="L108" s="67">
        <f t="shared" si="2"/>
        <v>30.238421052631583</v>
      </c>
      <c r="M108" s="67">
        <f t="shared" si="2"/>
        <v>50.850526315789459</v>
      </c>
      <c r="N108" s="67">
        <f t="shared" si="2"/>
        <v>212.25157894736847</v>
      </c>
      <c r="O108" s="67">
        <f t="shared" si="2"/>
        <v>0</v>
      </c>
      <c r="P108" s="67">
        <f t="shared" si="2"/>
        <v>0.43663157894736832</v>
      </c>
      <c r="Q108" s="67">
        <f t="shared" si="2"/>
        <v>9.4444086021505385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8.4410477900526651E-2</v>
      </c>
      <c r="C109" s="67">
        <f t="shared" ref="C109:Q109" si="3">STDEV(C9:C104)</f>
        <v>0.27098249345320941</v>
      </c>
      <c r="D109" s="67">
        <f t="shared" si="3"/>
        <v>0.20629765729221292</v>
      </c>
      <c r="E109" s="67">
        <f t="shared" si="3"/>
        <v>0.73226692457340892</v>
      </c>
      <c r="F109" s="67">
        <f t="shared" si="3"/>
        <v>2.2974233680666898</v>
      </c>
      <c r="G109" s="67">
        <f t="shared" si="3"/>
        <v>21.619825858354666</v>
      </c>
      <c r="H109" s="67">
        <f t="shared" si="3"/>
        <v>6.6648324897525502</v>
      </c>
      <c r="I109" s="67">
        <f t="shared" si="3"/>
        <v>1.0552068095753855</v>
      </c>
      <c r="J109" s="67">
        <f t="shared" si="3"/>
        <v>0.46758084616926632</v>
      </c>
      <c r="K109" s="67">
        <f t="shared" si="3"/>
        <v>143.81015587179539</v>
      </c>
      <c r="L109" s="67">
        <f t="shared" si="3"/>
        <v>3.7562946647011652</v>
      </c>
      <c r="M109" s="67">
        <f t="shared" si="3"/>
        <v>11.129994013534906</v>
      </c>
      <c r="N109" s="67">
        <f t="shared" si="3"/>
        <v>277.32436414712669</v>
      </c>
      <c r="O109" s="67">
        <f t="shared" si="3"/>
        <v>0</v>
      </c>
      <c r="P109" s="67">
        <f t="shared" si="3"/>
        <v>0.1924954297678857</v>
      </c>
      <c r="Q109" s="67">
        <f t="shared" si="3"/>
        <v>9.2636061688732591E-2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96</v>
      </c>
      <c r="C110" s="66">
        <f t="shared" ref="C110:P110" si="4">COUNT(C9:C104)+1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COUNT(Q9:Q104)+3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1689</v>
      </c>
      <c r="B9" s="64">
        <v>8.36</v>
      </c>
      <c r="C9" s="64">
        <v>3.72</v>
      </c>
      <c r="D9" s="64">
        <v>12.42</v>
      </c>
      <c r="E9" s="64">
        <v>3.25</v>
      </c>
      <c r="F9" s="64">
        <v>4.51</v>
      </c>
      <c r="G9" s="64">
        <v>71.92</v>
      </c>
      <c r="H9" s="64">
        <v>27</v>
      </c>
      <c r="I9" s="64">
        <v>3.9</v>
      </c>
      <c r="J9" s="64">
        <v>0.21</v>
      </c>
      <c r="K9" s="64">
        <v>8.6199999999999992</v>
      </c>
      <c r="L9" s="64">
        <v>29.65</v>
      </c>
      <c r="M9" s="64">
        <v>52.86</v>
      </c>
      <c r="N9" s="64">
        <v>18.399999999999999</v>
      </c>
      <c r="O9" s="64">
        <v>0</v>
      </c>
      <c r="P9" s="64">
        <v>0.49</v>
      </c>
      <c r="Q9" s="64">
        <v>9.43</v>
      </c>
      <c r="R9" s="198"/>
      <c r="S9" s="198"/>
      <c r="T9" s="198"/>
      <c r="U9" s="198"/>
    </row>
    <row r="10" spans="1:21" s="12" customFormat="1" x14ac:dyDescent="0.25">
      <c r="A10" s="214" t="s">
        <v>1690</v>
      </c>
      <c r="B10" s="64">
        <v>8.24</v>
      </c>
      <c r="C10" s="64">
        <v>3.33</v>
      </c>
      <c r="D10" s="64">
        <v>12.12</v>
      </c>
      <c r="E10" s="64">
        <v>2.9</v>
      </c>
      <c r="F10" s="64">
        <v>4.33</v>
      </c>
      <c r="G10" s="64">
        <v>66.489999999999995</v>
      </c>
      <c r="H10" s="64">
        <v>25.4</v>
      </c>
      <c r="I10" s="64">
        <v>3.88</v>
      </c>
      <c r="J10" s="64">
        <v>0.01</v>
      </c>
      <c r="K10" s="64">
        <v>63.4</v>
      </c>
      <c r="L10" s="64">
        <v>29.57</v>
      </c>
      <c r="M10" s="64">
        <v>53.45</v>
      </c>
      <c r="N10" s="64">
        <v>18.5</v>
      </c>
      <c r="O10" s="64">
        <v>0</v>
      </c>
      <c r="P10" s="64">
        <v>0.47</v>
      </c>
      <c r="Q10" s="64">
        <v>9.42</v>
      </c>
      <c r="R10" s="198"/>
      <c r="S10" s="198"/>
      <c r="T10" s="198"/>
      <c r="U10" s="198"/>
    </row>
    <row r="11" spans="1:21" s="12" customFormat="1" x14ac:dyDescent="0.25">
      <c r="A11" s="214" t="s">
        <v>1691</v>
      </c>
      <c r="B11" s="64">
        <v>8.1999999999999993</v>
      </c>
      <c r="C11" s="64">
        <v>3.16</v>
      </c>
      <c r="D11" s="64">
        <v>12</v>
      </c>
      <c r="E11" s="64">
        <v>3.26</v>
      </c>
      <c r="F11" s="64">
        <v>4.22</v>
      </c>
      <c r="G11" s="64">
        <v>61.29</v>
      </c>
      <c r="H11" s="64">
        <v>23.87</v>
      </c>
      <c r="I11" s="64">
        <v>3.72</v>
      </c>
      <c r="J11" s="64">
        <v>0.15</v>
      </c>
      <c r="K11" s="64">
        <v>18</v>
      </c>
      <c r="L11" s="64">
        <v>29.47</v>
      </c>
      <c r="M11" s="64">
        <v>54.24</v>
      </c>
      <c r="N11" s="64">
        <v>18.5</v>
      </c>
      <c r="O11" s="64">
        <v>0</v>
      </c>
      <c r="P11" s="64">
        <v>0.45</v>
      </c>
      <c r="Q11" s="64">
        <v>9.41</v>
      </c>
      <c r="R11" s="198"/>
      <c r="S11" s="198"/>
      <c r="T11" s="198"/>
      <c r="U11" s="198"/>
    </row>
    <row r="12" spans="1:21" s="12" customFormat="1" x14ac:dyDescent="0.25">
      <c r="A12" s="214" t="s">
        <v>1692</v>
      </c>
      <c r="B12" s="64">
        <v>8.2100000000000009</v>
      </c>
      <c r="C12" s="64">
        <v>3.22</v>
      </c>
      <c r="D12" s="64">
        <v>12.05</v>
      </c>
      <c r="E12" s="64">
        <v>3.61</v>
      </c>
      <c r="F12" s="64">
        <v>4.22</v>
      </c>
      <c r="G12" s="64">
        <v>61.29</v>
      </c>
      <c r="H12" s="64">
        <v>23.87</v>
      </c>
      <c r="I12" s="64">
        <v>3.37</v>
      </c>
      <c r="J12" s="64">
        <v>0.41</v>
      </c>
      <c r="K12" s="64">
        <v>16.22</v>
      </c>
      <c r="L12" s="64">
        <v>29.55</v>
      </c>
      <c r="M12" s="64">
        <v>54.11</v>
      </c>
      <c r="N12" s="64">
        <v>18.3</v>
      </c>
      <c r="O12" s="64">
        <v>0</v>
      </c>
      <c r="P12" s="64">
        <v>0.45</v>
      </c>
      <c r="Q12" s="64">
        <v>9.44</v>
      </c>
      <c r="R12" s="198"/>
      <c r="S12" s="198"/>
      <c r="T12" s="198"/>
      <c r="U12" s="198"/>
    </row>
    <row r="13" spans="1:21" s="12" customFormat="1" x14ac:dyDescent="0.25">
      <c r="A13" s="214" t="s">
        <v>1693</v>
      </c>
      <c r="B13" s="64">
        <v>8.19</v>
      </c>
      <c r="C13" s="64">
        <v>3.18</v>
      </c>
      <c r="D13" s="64">
        <v>12</v>
      </c>
      <c r="E13" s="64">
        <v>3.27</v>
      </c>
      <c r="F13" s="64">
        <v>4.3099999999999996</v>
      </c>
      <c r="G13" s="64">
        <v>61.29</v>
      </c>
      <c r="H13" s="64">
        <v>23.87</v>
      </c>
      <c r="I13" s="64">
        <v>3.6</v>
      </c>
      <c r="J13" s="64">
        <v>0.4</v>
      </c>
      <c r="K13" s="64">
        <v>18.38</v>
      </c>
      <c r="L13" s="64">
        <v>29.67</v>
      </c>
      <c r="M13" s="64">
        <v>53.68</v>
      </c>
      <c r="N13" s="64">
        <v>18.2</v>
      </c>
      <c r="O13" s="64">
        <v>0</v>
      </c>
      <c r="P13" s="64">
        <v>0.42</v>
      </c>
      <c r="Q13" s="64">
        <v>9.44</v>
      </c>
      <c r="R13" s="198"/>
      <c r="S13" s="198"/>
      <c r="T13" s="198"/>
      <c r="U13" s="198"/>
    </row>
    <row r="14" spans="1:21" s="12" customFormat="1" x14ac:dyDescent="0.25">
      <c r="A14" s="214" t="s">
        <v>1694</v>
      </c>
      <c r="B14" s="64">
        <v>8.16</v>
      </c>
      <c r="C14" s="64">
        <v>3.2</v>
      </c>
      <c r="D14" s="64">
        <v>11.99</v>
      </c>
      <c r="E14" s="64">
        <v>3.42</v>
      </c>
      <c r="F14" s="64">
        <v>4.6900000000000004</v>
      </c>
      <c r="G14" s="64">
        <v>60.12</v>
      </c>
      <c r="H14" s="64">
        <v>22.08</v>
      </c>
      <c r="I14" s="64">
        <v>4.09</v>
      </c>
      <c r="J14" s="64">
        <v>0.43</v>
      </c>
      <c r="K14" s="64">
        <v>16.39</v>
      </c>
      <c r="L14" s="64">
        <v>29.67</v>
      </c>
      <c r="M14" s="64">
        <v>54.3</v>
      </c>
      <c r="N14" s="64">
        <v>18.2</v>
      </c>
      <c r="O14" s="64">
        <v>0</v>
      </c>
      <c r="P14" s="64">
        <v>0.42</v>
      </c>
      <c r="Q14" s="64">
        <v>9.48</v>
      </c>
      <c r="R14" s="198"/>
      <c r="S14" s="198"/>
      <c r="T14" s="198"/>
      <c r="U14" s="198"/>
    </row>
    <row r="15" spans="1:21" s="12" customFormat="1" x14ac:dyDescent="0.25">
      <c r="A15" s="214" t="s">
        <v>1695</v>
      </c>
      <c r="B15" s="64">
        <v>8.26</v>
      </c>
      <c r="C15" s="64">
        <v>3.46</v>
      </c>
      <c r="D15" s="64">
        <v>12.21</v>
      </c>
      <c r="E15" s="64">
        <v>3.37</v>
      </c>
      <c r="F15" s="64">
        <v>4.76</v>
      </c>
      <c r="G15" s="64">
        <v>59</v>
      </c>
      <c r="H15" s="64">
        <v>20.45</v>
      </c>
      <c r="I15" s="64">
        <v>4.18</v>
      </c>
      <c r="J15" s="64">
        <v>0.35</v>
      </c>
      <c r="K15" s="64">
        <v>10.15</v>
      </c>
      <c r="L15" s="64">
        <v>29.49</v>
      </c>
      <c r="M15" s="64">
        <v>55.97</v>
      </c>
      <c r="N15" s="64">
        <v>18.600000000000001</v>
      </c>
      <c r="O15" s="64">
        <v>0</v>
      </c>
      <c r="P15" s="64">
        <v>0.4</v>
      </c>
      <c r="Q15" s="64">
        <v>9.48</v>
      </c>
      <c r="R15" s="198"/>
      <c r="S15" s="198"/>
      <c r="T15" s="198"/>
      <c r="U15" s="198"/>
    </row>
    <row r="16" spans="1:21" s="12" customFormat="1" x14ac:dyDescent="0.25">
      <c r="A16" s="214" t="s">
        <v>1696</v>
      </c>
      <c r="B16" s="64">
        <v>8.33</v>
      </c>
      <c r="C16" s="64">
        <v>3.68</v>
      </c>
      <c r="D16" s="64">
        <v>12.37</v>
      </c>
      <c r="E16" s="64">
        <v>3.49</v>
      </c>
      <c r="F16" s="64">
        <v>4.7699999999999996</v>
      </c>
      <c r="G16" s="64">
        <v>59</v>
      </c>
      <c r="H16" s="64">
        <v>20.45</v>
      </c>
      <c r="I16" s="64">
        <v>4.05</v>
      </c>
      <c r="J16" s="64">
        <v>0.19</v>
      </c>
      <c r="K16" s="64">
        <v>1.81</v>
      </c>
      <c r="L16" s="64">
        <v>29.13</v>
      </c>
      <c r="M16" s="64">
        <v>58.19</v>
      </c>
      <c r="N16" s="64">
        <v>18.7</v>
      </c>
      <c r="O16" s="64">
        <v>0</v>
      </c>
      <c r="P16" s="64">
        <v>0.38</v>
      </c>
      <c r="Q16" s="64">
        <v>9.48</v>
      </c>
      <c r="R16" s="198"/>
      <c r="S16" s="198"/>
      <c r="T16" s="198"/>
      <c r="U16" s="198"/>
    </row>
    <row r="17" spans="1:21" s="12" customFormat="1" x14ac:dyDescent="0.25">
      <c r="A17" s="214" t="s">
        <v>1697</v>
      </c>
      <c r="B17" s="64">
        <v>8.18</v>
      </c>
      <c r="C17" s="64">
        <v>3.22</v>
      </c>
      <c r="D17" s="64">
        <v>12.01</v>
      </c>
      <c r="E17" s="64">
        <v>3.44</v>
      </c>
      <c r="F17" s="64">
        <v>4.9000000000000004</v>
      </c>
      <c r="G17" s="64">
        <v>59</v>
      </c>
      <c r="H17" s="64">
        <v>20.45</v>
      </c>
      <c r="I17" s="64">
        <v>3.78</v>
      </c>
      <c r="J17" s="64">
        <v>0.04</v>
      </c>
      <c r="K17" s="64">
        <v>79.23</v>
      </c>
      <c r="L17" s="64">
        <v>28.87</v>
      </c>
      <c r="M17" s="64">
        <v>59.36</v>
      </c>
      <c r="N17" s="64">
        <v>18.600000000000001</v>
      </c>
      <c r="O17" s="64">
        <v>0</v>
      </c>
      <c r="P17" s="64">
        <v>0.37</v>
      </c>
      <c r="Q17" s="64">
        <v>9.49</v>
      </c>
      <c r="R17" s="198"/>
      <c r="S17" s="198"/>
      <c r="T17" s="198"/>
      <c r="U17" s="198"/>
    </row>
    <row r="18" spans="1:21" s="12" customFormat="1" x14ac:dyDescent="0.25">
      <c r="A18" s="214" t="s">
        <v>1698</v>
      </c>
      <c r="B18" s="64">
        <v>8.18</v>
      </c>
      <c r="C18" s="64">
        <v>3.21</v>
      </c>
      <c r="D18" s="64">
        <v>12.01</v>
      </c>
      <c r="E18" s="64">
        <v>3.4</v>
      </c>
      <c r="F18" s="64">
        <v>4.67</v>
      </c>
      <c r="G18" s="64">
        <v>53.56</v>
      </c>
      <c r="H18" s="64">
        <v>20.66</v>
      </c>
      <c r="I18" s="64">
        <v>3.58</v>
      </c>
      <c r="J18" s="64">
        <v>0.08</v>
      </c>
      <c r="K18" s="64">
        <v>33.54</v>
      </c>
      <c r="L18" s="64">
        <v>28.78</v>
      </c>
      <c r="M18" s="64">
        <v>59.68</v>
      </c>
      <c r="N18" s="64">
        <v>18.399999999999999</v>
      </c>
      <c r="O18" s="64">
        <v>0</v>
      </c>
      <c r="P18" s="64">
        <v>0.35</v>
      </c>
      <c r="Q18" s="64">
        <v>9.4700000000000006</v>
      </c>
      <c r="R18" s="198"/>
      <c r="S18" s="198"/>
      <c r="T18" s="198"/>
      <c r="U18" s="198"/>
    </row>
    <row r="19" spans="1:21" s="12" customFormat="1" x14ac:dyDescent="0.25">
      <c r="A19" s="214" t="s">
        <v>1699</v>
      </c>
      <c r="B19" s="64">
        <v>8.2100000000000009</v>
      </c>
      <c r="C19" s="64">
        <v>3.32</v>
      </c>
      <c r="D19" s="64">
        <v>12.09</v>
      </c>
      <c r="E19" s="64">
        <v>3.42</v>
      </c>
      <c r="F19" s="64">
        <v>4.71</v>
      </c>
      <c r="G19" s="64">
        <v>48.36</v>
      </c>
      <c r="H19" s="64">
        <v>20.86</v>
      </c>
      <c r="I19" s="64">
        <v>3.51</v>
      </c>
      <c r="J19" s="64">
        <v>0.19</v>
      </c>
      <c r="K19" s="64">
        <v>18.48</v>
      </c>
      <c r="L19" s="64">
        <v>28.91</v>
      </c>
      <c r="M19" s="64">
        <v>58.54</v>
      </c>
      <c r="N19" s="64">
        <v>18.2</v>
      </c>
      <c r="O19" s="64">
        <v>0</v>
      </c>
      <c r="P19" s="64">
        <v>0.33</v>
      </c>
      <c r="Q19" s="64">
        <v>9.4499999999999993</v>
      </c>
      <c r="R19" s="198"/>
      <c r="S19" s="198"/>
      <c r="T19" s="198"/>
      <c r="U19" s="198"/>
    </row>
    <row r="20" spans="1:21" s="12" customFormat="1" x14ac:dyDescent="0.25">
      <c r="A20" s="214" t="s">
        <v>1700</v>
      </c>
      <c r="B20" s="64">
        <v>8.19</v>
      </c>
      <c r="C20" s="64">
        <v>3.23</v>
      </c>
      <c r="D20" s="64">
        <v>12.03</v>
      </c>
      <c r="E20" s="64">
        <v>3.16</v>
      </c>
      <c r="F20" s="64">
        <v>4.6900000000000004</v>
      </c>
      <c r="G20" s="64">
        <v>48.36</v>
      </c>
      <c r="H20" s="64">
        <v>20.86</v>
      </c>
      <c r="I20" s="64">
        <v>3.61</v>
      </c>
      <c r="J20" s="64">
        <v>0.32</v>
      </c>
      <c r="K20" s="64">
        <v>2.5</v>
      </c>
      <c r="L20" s="64">
        <v>29.3</v>
      </c>
      <c r="M20" s="64">
        <v>56.74</v>
      </c>
      <c r="N20" s="64">
        <v>18.2</v>
      </c>
      <c r="O20" s="64">
        <v>0</v>
      </c>
      <c r="P20" s="64">
        <v>0.32</v>
      </c>
      <c r="Q20" s="64">
        <v>9.4600000000000009</v>
      </c>
      <c r="R20" s="198"/>
      <c r="S20" s="198"/>
      <c r="T20" s="198"/>
      <c r="U20" s="198"/>
    </row>
    <row r="21" spans="1:21" s="12" customFormat="1" x14ac:dyDescent="0.25">
      <c r="A21" s="214" t="s">
        <v>1701</v>
      </c>
      <c r="B21" s="64">
        <v>8.3000000000000007</v>
      </c>
      <c r="C21" s="64">
        <v>3.53</v>
      </c>
      <c r="D21" s="64">
        <v>12.27</v>
      </c>
      <c r="E21" s="64">
        <v>3.27</v>
      </c>
      <c r="F21" s="64">
        <v>5.31</v>
      </c>
      <c r="G21" s="64">
        <v>48.36</v>
      </c>
      <c r="H21" s="64">
        <v>20.86</v>
      </c>
      <c r="I21" s="64">
        <v>3.7</v>
      </c>
      <c r="J21" s="64">
        <v>0.41</v>
      </c>
      <c r="K21" s="64">
        <v>5.1100000000000003</v>
      </c>
      <c r="L21" s="64">
        <v>29.22</v>
      </c>
      <c r="M21" s="64">
        <v>57.04</v>
      </c>
      <c r="N21" s="64">
        <v>18.3</v>
      </c>
      <c r="O21" s="64">
        <v>0</v>
      </c>
      <c r="P21" s="64">
        <v>0.3</v>
      </c>
      <c r="Q21" s="64">
        <v>9.4600000000000009</v>
      </c>
      <c r="R21" s="198"/>
      <c r="S21" s="198"/>
      <c r="T21" s="198"/>
      <c r="U21" s="198"/>
    </row>
    <row r="22" spans="1:21" s="12" customFormat="1" x14ac:dyDescent="0.25">
      <c r="A22" s="214" t="s">
        <v>1702</v>
      </c>
      <c r="B22" s="64">
        <v>8.24</v>
      </c>
      <c r="C22" s="64">
        <v>3.4</v>
      </c>
      <c r="D22" s="64">
        <v>12.16</v>
      </c>
      <c r="E22" s="64">
        <v>3.5</v>
      </c>
      <c r="F22" s="64">
        <v>4.4000000000000004</v>
      </c>
      <c r="G22" s="64">
        <v>47.15</v>
      </c>
      <c r="H22" s="64">
        <v>20.11</v>
      </c>
      <c r="I22" s="64">
        <v>3.62</v>
      </c>
      <c r="J22" s="64">
        <v>0.52</v>
      </c>
      <c r="K22" s="64">
        <v>352.76</v>
      </c>
      <c r="L22" s="64">
        <v>29.23</v>
      </c>
      <c r="M22" s="64">
        <v>56.94</v>
      </c>
      <c r="N22" s="64">
        <v>18.399999999999999</v>
      </c>
      <c r="O22" s="64">
        <v>0</v>
      </c>
      <c r="P22" s="64">
        <v>0.3</v>
      </c>
      <c r="Q22" s="64">
        <v>9.49</v>
      </c>
      <c r="R22" s="198"/>
      <c r="S22" s="198"/>
      <c r="T22" s="198"/>
      <c r="U22" s="198"/>
    </row>
    <row r="23" spans="1:21" s="12" customFormat="1" x14ac:dyDescent="0.25">
      <c r="A23" s="214" t="s">
        <v>1703</v>
      </c>
      <c r="B23" s="64">
        <v>8.18</v>
      </c>
      <c r="C23" s="64">
        <v>3.2</v>
      </c>
      <c r="D23" s="64">
        <v>12</v>
      </c>
      <c r="E23" s="64">
        <v>3.28</v>
      </c>
      <c r="F23" s="64">
        <v>4.22</v>
      </c>
      <c r="G23" s="64">
        <v>46</v>
      </c>
      <c r="H23" s="64">
        <v>19.399999999999999</v>
      </c>
      <c r="I23" s="64">
        <v>3.5</v>
      </c>
      <c r="J23" s="64">
        <v>0.46</v>
      </c>
      <c r="K23" s="64">
        <v>318.8</v>
      </c>
      <c r="L23" s="64">
        <v>28.96</v>
      </c>
      <c r="M23" s="64">
        <v>58.54</v>
      </c>
      <c r="N23" s="64">
        <v>18.5</v>
      </c>
      <c r="O23" s="64">
        <v>0</v>
      </c>
      <c r="P23" s="64">
        <v>0.28000000000000003</v>
      </c>
      <c r="Q23" s="64">
        <v>9.44</v>
      </c>
      <c r="R23" s="198"/>
      <c r="S23" s="198"/>
      <c r="T23" s="198"/>
      <c r="U23" s="198"/>
    </row>
    <row r="24" spans="1:21" s="12" customFormat="1" x14ac:dyDescent="0.25">
      <c r="A24" s="214" t="s">
        <v>1704</v>
      </c>
      <c r="B24" s="64">
        <v>8.17</v>
      </c>
      <c r="C24" s="64">
        <v>3.19</v>
      </c>
      <c r="D24" s="64">
        <v>12</v>
      </c>
      <c r="E24" s="64">
        <v>4.26</v>
      </c>
      <c r="F24" s="64">
        <v>4.03</v>
      </c>
      <c r="G24" s="64">
        <v>46</v>
      </c>
      <c r="H24" s="64">
        <v>19.399999999999999</v>
      </c>
      <c r="I24" s="64">
        <v>3.56</v>
      </c>
      <c r="J24" s="64">
        <v>0.39</v>
      </c>
      <c r="K24" s="64">
        <v>353.97</v>
      </c>
      <c r="L24" s="64">
        <v>28.88</v>
      </c>
      <c r="M24" s="64">
        <v>59.03</v>
      </c>
      <c r="N24" s="64">
        <v>18.399999999999999</v>
      </c>
      <c r="O24" s="64">
        <v>0</v>
      </c>
      <c r="P24" s="64">
        <v>0.28000000000000003</v>
      </c>
      <c r="Q24" s="64">
        <v>9.43</v>
      </c>
      <c r="R24" s="198"/>
      <c r="S24" s="198"/>
      <c r="T24" s="198"/>
      <c r="U24" s="198"/>
    </row>
    <row r="25" spans="1:21" s="12" customFormat="1" x14ac:dyDescent="0.25">
      <c r="A25" s="214" t="s">
        <v>1705</v>
      </c>
      <c r="B25" s="64">
        <v>8.18</v>
      </c>
      <c r="C25" s="64">
        <v>3.21</v>
      </c>
      <c r="D25" s="64">
        <v>12.02</v>
      </c>
      <c r="E25" s="64">
        <v>4.6399999999999997</v>
      </c>
      <c r="F25" s="64">
        <v>4.1100000000000003</v>
      </c>
      <c r="G25" s="64">
        <v>46</v>
      </c>
      <c r="H25" s="64">
        <v>19.399999999999999</v>
      </c>
      <c r="I25" s="64">
        <v>3.65</v>
      </c>
      <c r="J25" s="64">
        <v>0.38</v>
      </c>
      <c r="K25" s="64">
        <v>339.09</v>
      </c>
      <c r="L25" s="64">
        <v>28.8</v>
      </c>
      <c r="M25" s="64">
        <v>59.3</v>
      </c>
      <c r="N25" s="64">
        <v>18.399999999999999</v>
      </c>
      <c r="O25" s="64">
        <v>0</v>
      </c>
      <c r="P25" s="64">
        <v>0.27</v>
      </c>
      <c r="Q25" s="64">
        <v>9.4</v>
      </c>
      <c r="R25" s="198"/>
      <c r="S25" s="198"/>
      <c r="T25" s="198"/>
      <c r="U25" s="198"/>
    </row>
    <row r="26" spans="1:21" s="12" customFormat="1" x14ac:dyDescent="0.25">
      <c r="A26" s="214" t="s">
        <v>1706</v>
      </c>
      <c r="B26" s="64">
        <v>8.24</v>
      </c>
      <c r="C26" s="64">
        <v>3.32</v>
      </c>
      <c r="D26" s="64">
        <v>12.11</v>
      </c>
      <c r="E26" s="64">
        <v>4.29</v>
      </c>
      <c r="F26" s="64">
        <v>3.92</v>
      </c>
      <c r="G26" s="64">
        <v>46.07</v>
      </c>
      <c r="H26" s="64">
        <v>18.27</v>
      </c>
      <c r="I26" s="64">
        <v>3.64</v>
      </c>
      <c r="J26" s="64">
        <v>0.54</v>
      </c>
      <c r="K26" s="64">
        <v>188.94</v>
      </c>
      <c r="L26" s="64">
        <v>28.7</v>
      </c>
      <c r="M26" s="64">
        <v>59.88</v>
      </c>
      <c r="N26" s="64">
        <v>18.399999999999999</v>
      </c>
      <c r="O26" s="64">
        <v>0</v>
      </c>
      <c r="P26" s="64">
        <v>0.27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4" t="s">
        <v>1707</v>
      </c>
      <c r="B27" s="64">
        <v>8.35</v>
      </c>
      <c r="C27" s="64">
        <v>3.6</v>
      </c>
      <c r="D27" s="64">
        <v>12.35</v>
      </c>
      <c r="E27" s="64">
        <v>4.37</v>
      </c>
      <c r="F27" s="64">
        <v>3.68</v>
      </c>
      <c r="G27" s="64">
        <v>46.13</v>
      </c>
      <c r="H27" s="64">
        <v>17.2</v>
      </c>
      <c r="I27" s="64">
        <v>3.51</v>
      </c>
      <c r="J27" s="64">
        <v>0.33</v>
      </c>
      <c r="K27" s="64">
        <v>221.93</v>
      </c>
      <c r="L27" s="64">
        <v>28.58</v>
      </c>
      <c r="M27" s="64">
        <v>60.47</v>
      </c>
      <c r="N27" s="64">
        <v>18.5</v>
      </c>
      <c r="O27" s="64">
        <v>0</v>
      </c>
      <c r="P27" s="64">
        <v>0.26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14" t="s">
        <v>1708</v>
      </c>
      <c r="B28" s="64">
        <v>8.43</v>
      </c>
      <c r="C28" s="64">
        <v>3.85</v>
      </c>
      <c r="D28" s="64">
        <v>12.55</v>
      </c>
      <c r="E28" s="64">
        <v>4.37</v>
      </c>
      <c r="F28" s="64">
        <v>3.44</v>
      </c>
      <c r="G28" s="64">
        <v>46.13</v>
      </c>
      <c r="H28" s="64">
        <v>17.2</v>
      </c>
      <c r="I28" s="64">
        <v>3.6</v>
      </c>
      <c r="J28" s="64">
        <v>0.52</v>
      </c>
      <c r="K28" s="64">
        <v>206.11</v>
      </c>
      <c r="L28" s="64">
        <v>28.49</v>
      </c>
      <c r="M28" s="64">
        <v>60.49</v>
      </c>
      <c r="N28" s="64">
        <v>18.5</v>
      </c>
      <c r="O28" s="64">
        <v>0</v>
      </c>
      <c r="P28" s="64">
        <v>0.26</v>
      </c>
      <c r="Q28" s="64">
        <v>9.42</v>
      </c>
      <c r="R28" s="198"/>
      <c r="S28" s="198"/>
      <c r="T28" s="198"/>
      <c r="U28" s="198"/>
    </row>
    <row r="29" spans="1:21" s="12" customFormat="1" x14ac:dyDescent="0.25">
      <c r="A29" s="214" t="s">
        <v>1709</v>
      </c>
      <c r="B29" s="64">
        <v>8.2200000000000006</v>
      </c>
      <c r="C29" s="64">
        <v>3.21</v>
      </c>
      <c r="D29" s="64">
        <v>12.05</v>
      </c>
      <c r="E29" s="64">
        <v>4.41</v>
      </c>
      <c r="F29" s="64">
        <v>3.72</v>
      </c>
      <c r="G29" s="64">
        <v>46.13</v>
      </c>
      <c r="H29" s="64">
        <v>17.2</v>
      </c>
      <c r="I29" s="64">
        <v>3.73</v>
      </c>
      <c r="J29" s="64">
        <v>0.61</v>
      </c>
      <c r="K29" s="64">
        <v>184.83</v>
      </c>
      <c r="L29" s="64">
        <v>28.46</v>
      </c>
      <c r="M29" s="64">
        <v>60.16</v>
      </c>
      <c r="N29" s="64">
        <v>18.5</v>
      </c>
      <c r="O29" s="64">
        <v>0</v>
      </c>
      <c r="P29" s="64">
        <v>0.25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4" t="s">
        <v>1710</v>
      </c>
      <c r="B30" s="64">
        <v>8.18</v>
      </c>
      <c r="C30" s="64">
        <v>3.11</v>
      </c>
      <c r="D30" s="64">
        <v>11.96</v>
      </c>
      <c r="E30" s="64">
        <v>4.58</v>
      </c>
      <c r="F30" s="64">
        <v>3.69</v>
      </c>
      <c r="G30" s="64">
        <v>44.86</v>
      </c>
      <c r="H30" s="64">
        <v>14.81</v>
      </c>
      <c r="I30" s="64">
        <v>3.86</v>
      </c>
      <c r="J30" s="64">
        <v>1.46</v>
      </c>
      <c r="K30" s="64">
        <v>152.37</v>
      </c>
      <c r="L30" s="64">
        <v>28.4</v>
      </c>
      <c r="M30" s="64">
        <v>60.79</v>
      </c>
      <c r="N30" s="64">
        <v>19.7</v>
      </c>
      <c r="O30" s="64">
        <v>0</v>
      </c>
      <c r="P30" s="64">
        <v>0.24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4" t="s">
        <v>1711</v>
      </c>
      <c r="B31" s="64">
        <v>8.17</v>
      </c>
      <c r="C31" s="64">
        <v>3.08</v>
      </c>
      <c r="D31" s="64">
        <v>11.94</v>
      </c>
      <c r="E31" s="64">
        <v>4.6900000000000004</v>
      </c>
      <c r="F31" s="64">
        <v>3.87</v>
      </c>
      <c r="G31" s="64">
        <v>43.64</v>
      </c>
      <c r="H31" s="64">
        <v>12.52</v>
      </c>
      <c r="I31" s="64">
        <v>4.29</v>
      </c>
      <c r="J31" s="64">
        <v>0.91</v>
      </c>
      <c r="K31" s="64">
        <v>159.72999999999999</v>
      </c>
      <c r="L31" s="64">
        <v>28.38</v>
      </c>
      <c r="M31" s="64">
        <v>60.74</v>
      </c>
      <c r="N31" s="64">
        <v>23.5</v>
      </c>
      <c r="O31" s="64">
        <v>0</v>
      </c>
      <c r="P31" s="64">
        <v>0.25</v>
      </c>
      <c r="Q31" s="64">
        <v>9.43</v>
      </c>
      <c r="R31" s="198"/>
      <c r="S31" s="198"/>
      <c r="T31" s="198"/>
      <c r="U31" s="198"/>
    </row>
    <row r="32" spans="1:21" s="12" customFormat="1" x14ac:dyDescent="0.25">
      <c r="A32" s="214" t="s">
        <v>1712</v>
      </c>
      <c r="B32" s="64">
        <v>8.16</v>
      </c>
      <c r="C32" s="64">
        <v>3.09</v>
      </c>
      <c r="D32" s="64">
        <v>11.94</v>
      </c>
      <c r="E32" s="64">
        <v>4.75</v>
      </c>
      <c r="F32" s="64">
        <v>4.42</v>
      </c>
      <c r="G32" s="64">
        <v>43.64</v>
      </c>
      <c r="H32" s="64">
        <v>12.52</v>
      </c>
      <c r="I32" s="64">
        <v>4.8</v>
      </c>
      <c r="J32" s="64">
        <v>0.48</v>
      </c>
      <c r="K32" s="64">
        <v>183.31</v>
      </c>
      <c r="L32" s="64">
        <v>28.41</v>
      </c>
      <c r="M32" s="64">
        <v>60.91</v>
      </c>
      <c r="N32" s="64">
        <v>29.7</v>
      </c>
      <c r="O32" s="64">
        <v>0</v>
      </c>
      <c r="P32" s="64">
        <v>0.25</v>
      </c>
      <c r="Q32" s="64">
        <v>9.4700000000000006</v>
      </c>
      <c r="R32" s="198"/>
      <c r="S32" s="198"/>
      <c r="T32" s="198"/>
      <c r="U32" s="198"/>
    </row>
    <row r="33" spans="1:21" s="12" customFormat="1" x14ac:dyDescent="0.25">
      <c r="A33" s="214" t="s">
        <v>1713</v>
      </c>
      <c r="B33" s="64">
        <v>8.16</v>
      </c>
      <c r="C33" s="64">
        <v>3.06</v>
      </c>
      <c r="D33" s="64">
        <v>11.91</v>
      </c>
      <c r="E33" s="64">
        <v>4.79</v>
      </c>
      <c r="F33" s="64">
        <v>3.75</v>
      </c>
      <c r="G33" s="64">
        <v>43.64</v>
      </c>
      <c r="H33" s="64">
        <v>12.52</v>
      </c>
      <c r="I33" s="64">
        <v>5.15</v>
      </c>
      <c r="J33" s="64">
        <v>0.74</v>
      </c>
      <c r="K33" s="64">
        <v>86.22</v>
      </c>
      <c r="L33" s="64">
        <v>28.36</v>
      </c>
      <c r="M33" s="64">
        <v>61.81</v>
      </c>
      <c r="N33" s="64">
        <v>36.6</v>
      </c>
      <c r="O33" s="64">
        <v>0</v>
      </c>
      <c r="P33" s="64">
        <v>0.25</v>
      </c>
      <c r="Q33" s="64">
        <v>9.4700000000000006</v>
      </c>
      <c r="R33" s="198"/>
      <c r="S33" s="198"/>
      <c r="T33" s="198"/>
      <c r="U33" s="198"/>
    </row>
    <row r="34" spans="1:21" s="12" customFormat="1" x14ac:dyDescent="0.25">
      <c r="A34" s="214" t="s">
        <v>1714</v>
      </c>
      <c r="B34" s="64">
        <v>8.17</v>
      </c>
      <c r="C34" s="64">
        <v>3.14</v>
      </c>
      <c r="D34" s="64">
        <v>11.97</v>
      </c>
      <c r="E34" s="64">
        <v>4.59</v>
      </c>
      <c r="F34" s="64">
        <v>3.72</v>
      </c>
      <c r="G34" s="64">
        <v>41.35</v>
      </c>
      <c r="H34" s="64">
        <v>14.11</v>
      </c>
      <c r="I34" s="64">
        <v>5.04</v>
      </c>
      <c r="J34" s="64">
        <v>2.87</v>
      </c>
      <c r="K34" s="64">
        <v>110.25</v>
      </c>
      <c r="L34" s="64">
        <v>27.74</v>
      </c>
      <c r="M34" s="64">
        <v>66.540000000000006</v>
      </c>
      <c r="N34" s="64">
        <v>50.4</v>
      </c>
      <c r="O34" s="64">
        <v>0</v>
      </c>
      <c r="P34" s="64">
        <v>0.25</v>
      </c>
      <c r="Q34" s="64">
        <v>9.4700000000000006</v>
      </c>
      <c r="R34" s="198"/>
      <c r="S34" s="198"/>
      <c r="T34" s="198"/>
      <c r="U34" s="198"/>
    </row>
    <row r="35" spans="1:21" s="12" customFormat="1" x14ac:dyDescent="0.25">
      <c r="A35" s="214" t="s">
        <v>1715</v>
      </c>
      <c r="B35" s="64">
        <v>8.1999999999999993</v>
      </c>
      <c r="C35" s="64">
        <v>3.25</v>
      </c>
      <c r="D35" s="64">
        <v>12.05</v>
      </c>
      <c r="E35" s="64">
        <v>4.6399999999999997</v>
      </c>
      <c r="F35" s="64">
        <v>4.3600000000000003</v>
      </c>
      <c r="G35" s="64">
        <v>39.159999999999997</v>
      </c>
      <c r="H35" s="64">
        <v>15.57</v>
      </c>
      <c r="I35" s="64">
        <v>5.1100000000000003</v>
      </c>
      <c r="J35" s="64">
        <v>2.72</v>
      </c>
      <c r="K35" s="64">
        <v>108.33</v>
      </c>
      <c r="L35" s="64">
        <v>27.11</v>
      </c>
      <c r="M35" s="64">
        <v>70.599999999999994</v>
      </c>
      <c r="N35" s="64">
        <v>53.3</v>
      </c>
      <c r="O35" s="64">
        <v>0</v>
      </c>
      <c r="P35" s="64">
        <v>0.25</v>
      </c>
      <c r="Q35" s="64">
        <v>9.5</v>
      </c>
      <c r="R35" s="198"/>
      <c r="S35" s="198"/>
      <c r="T35" s="198"/>
      <c r="U35" s="198"/>
    </row>
    <row r="36" spans="1:21" s="12" customFormat="1" x14ac:dyDescent="0.25">
      <c r="A36" s="214" t="s">
        <v>1716</v>
      </c>
      <c r="B36" s="64">
        <v>8.2799999999999994</v>
      </c>
      <c r="C36" s="64">
        <v>3.51</v>
      </c>
      <c r="D36" s="64">
        <v>12.24</v>
      </c>
      <c r="E36" s="64">
        <v>4.53</v>
      </c>
      <c r="F36" s="64">
        <v>3.92</v>
      </c>
      <c r="G36" s="64">
        <v>39.159999999999997</v>
      </c>
      <c r="H36" s="64">
        <v>15.57</v>
      </c>
      <c r="I36" s="64">
        <v>5.8</v>
      </c>
      <c r="J36" s="64">
        <v>3.43</v>
      </c>
      <c r="K36" s="64">
        <v>105.75</v>
      </c>
      <c r="L36" s="64">
        <v>26.06</v>
      </c>
      <c r="M36" s="64">
        <v>76.39</v>
      </c>
      <c r="N36" s="64">
        <v>52</v>
      </c>
      <c r="O36" s="64">
        <v>0</v>
      </c>
      <c r="P36" s="64">
        <v>0.24</v>
      </c>
      <c r="Q36" s="64">
        <v>9.5</v>
      </c>
      <c r="R36" s="198"/>
      <c r="S36" s="198"/>
      <c r="T36" s="198"/>
      <c r="U36" s="198"/>
    </row>
    <row r="37" spans="1:21" s="12" customFormat="1" x14ac:dyDescent="0.25">
      <c r="A37" s="214" t="s">
        <v>1717</v>
      </c>
      <c r="B37" s="64">
        <v>8.32</v>
      </c>
      <c r="C37" s="64">
        <v>3.66</v>
      </c>
      <c r="D37" s="64">
        <v>12.36</v>
      </c>
      <c r="E37" s="64">
        <v>4.62</v>
      </c>
      <c r="F37" s="64">
        <v>4.62</v>
      </c>
      <c r="G37" s="64">
        <v>39.159999999999997</v>
      </c>
      <c r="H37" s="64">
        <v>15.57</v>
      </c>
      <c r="I37" s="64">
        <v>6.54</v>
      </c>
      <c r="J37" s="64">
        <v>2.16</v>
      </c>
      <c r="K37" s="64">
        <v>97.82</v>
      </c>
      <c r="L37" s="64">
        <v>25.84</v>
      </c>
      <c r="M37" s="64">
        <v>76.709999999999994</v>
      </c>
      <c r="N37" s="64">
        <v>47.8</v>
      </c>
      <c r="O37" s="64">
        <v>0</v>
      </c>
      <c r="P37" s="64">
        <v>0.26</v>
      </c>
      <c r="Q37" s="64">
        <v>9.48</v>
      </c>
      <c r="R37" s="198"/>
      <c r="S37" s="198"/>
      <c r="T37" s="198"/>
      <c r="U37" s="198"/>
    </row>
    <row r="38" spans="1:21" s="12" customFormat="1" x14ac:dyDescent="0.25">
      <c r="A38" s="214" t="s">
        <v>1718</v>
      </c>
      <c r="B38" s="64">
        <v>8.1999999999999993</v>
      </c>
      <c r="C38" s="64">
        <v>3.31</v>
      </c>
      <c r="D38" s="64">
        <v>12.08</v>
      </c>
      <c r="E38" s="64">
        <v>4.66</v>
      </c>
      <c r="F38" s="64">
        <v>3.87</v>
      </c>
      <c r="G38" s="64">
        <v>47.06</v>
      </c>
      <c r="H38" s="64">
        <v>15.47</v>
      </c>
      <c r="I38" s="64">
        <v>7.12</v>
      </c>
      <c r="J38" s="64">
        <v>1.42</v>
      </c>
      <c r="K38" s="64">
        <v>90.22</v>
      </c>
      <c r="L38" s="64">
        <v>26</v>
      </c>
      <c r="M38" s="64">
        <v>75.040000000000006</v>
      </c>
      <c r="N38" s="64">
        <v>47.6</v>
      </c>
      <c r="O38" s="64">
        <v>0</v>
      </c>
      <c r="P38" s="64">
        <v>0.28000000000000003</v>
      </c>
      <c r="Q38" s="64">
        <v>9.51</v>
      </c>
      <c r="R38" s="198"/>
      <c r="S38" s="198"/>
      <c r="T38" s="198"/>
      <c r="U38" s="198"/>
    </row>
    <row r="39" spans="1:21" s="12" customFormat="1" x14ac:dyDescent="0.25">
      <c r="A39" s="214" t="s">
        <v>1719</v>
      </c>
      <c r="B39" s="64">
        <v>8.16</v>
      </c>
      <c r="C39" s="64">
        <v>3.16</v>
      </c>
      <c r="D39" s="64">
        <v>11.97</v>
      </c>
      <c r="E39" s="64">
        <v>4.43</v>
      </c>
      <c r="F39" s="64">
        <v>4.78</v>
      </c>
      <c r="G39" s="64">
        <v>54.62</v>
      </c>
      <c r="H39" s="64">
        <v>15.38</v>
      </c>
      <c r="I39" s="64">
        <v>7.35</v>
      </c>
      <c r="J39" s="64">
        <v>0.97</v>
      </c>
      <c r="K39" s="64">
        <v>103.56</v>
      </c>
      <c r="L39" s="64">
        <v>26.18</v>
      </c>
      <c r="M39" s="64">
        <v>73.34</v>
      </c>
      <c r="N39" s="64">
        <v>61.1</v>
      </c>
      <c r="O39" s="64">
        <v>0</v>
      </c>
      <c r="P39" s="64">
        <v>0.28000000000000003</v>
      </c>
      <c r="Q39" s="64">
        <v>9.51</v>
      </c>
      <c r="R39" s="198"/>
      <c r="S39" s="198"/>
      <c r="T39" s="198"/>
      <c r="U39" s="198"/>
    </row>
    <row r="40" spans="1:21" s="12" customFormat="1" x14ac:dyDescent="0.25">
      <c r="A40" s="214" t="s">
        <v>1720</v>
      </c>
      <c r="B40" s="64">
        <v>8.18</v>
      </c>
      <c r="C40" s="64">
        <v>3.25</v>
      </c>
      <c r="D40" s="64">
        <v>12.03</v>
      </c>
      <c r="E40" s="64">
        <v>4.6500000000000004</v>
      </c>
      <c r="F40" s="64">
        <v>4.1100000000000003</v>
      </c>
      <c r="G40" s="64">
        <v>54.62</v>
      </c>
      <c r="H40" s="64">
        <v>15.38</v>
      </c>
      <c r="I40" s="64">
        <v>7.29</v>
      </c>
      <c r="J40" s="64">
        <v>0.49</v>
      </c>
      <c r="K40" s="64">
        <v>112.13</v>
      </c>
      <c r="L40" s="64">
        <v>26.28</v>
      </c>
      <c r="M40" s="64">
        <v>73.180000000000007</v>
      </c>
      <c r="N40" s="64">
        <v>91.1</v>
      </c>
      <c r="O40" s="64">
        <v>0</v>
      </c>
      <c r="P40" s="64">
        <v>0.27</v>
      </c>
      <c r="Q40" s="64">
        <v>9.49</v>
      </c>
      <c r="R40" s="198"/>
      <c r="S40" s="198"/>
      <c r="T40" s="198"/>
      <c r="U40" s="198"/>
    </row>
    <row r="41" spans="1:21" s="12" customFormat="1" x14ac:dyDescent="0.25">
      <c r="A41" s="214" t="s">
        <v>1721</v>
      </c>
      <c r="B41" s="64">
        <v>8.1999999999999993</v>
      </c>
      <c r="C41" s="64">
        <v>3.36</v>
      </c>
      <c r="D41" s="64">
        <v>12.11</v>
      </c>
      <c r="E41" s="64">
        <v>4.63</v>
      </c>
      <c r="F41" s="64">
        <v>4.87</v>
      </c>
      <c r="G41" s="64">
        <v>54.62</v>
      </c>
      <c r="H41" s="64">
        <v>15.38</v>
      </c>
      <c r="I41" s="64">
        <v>7.12</v>
      </c>
      <c r="J41" s="64">
        <v>1.01</v>
      </c>
      <c r="K41" s="64">
        <v>143.84</v>
      </c>
      <c r="L41" s="64">
        <v>26.52</v>
      </c>
      <c r="M41" s="64">
        <v>73.099999999999994</v>
      </c>
      <c r="N41" s="64">
        <v>141.69999999999999</v>
      </c>
      <c r="O41" s="64">
        <v>0</v>
      </c>
      <c r="P41" s="64">
        <v>0.28000000000000003</v>
      </c>
      <c r="Q41" s="64">
        <v>9.4600000000000009</v>
      </c>
      <c r="R41" s="198"/>
      <c r="S41" s="198"/>
      <c r="T41" s="198"/>
      <c r="U41" s="198"/>
    </row>
    <row r="42" spans="1:21" s="12" customFormat="1" x14ac:dyDescent="0.25">
      <c r="A42" s="214" t="s">
        <v>1722</v>
      </c>
      <c r="B42" s="64">
        <v>8.3000000000000007</v>
      </c>
      <c r="C42" s="64">
        <v>3.68</v>
      </c>
      <c r="D42" s="64">
        <v>12.36</v>
      </c>
      <c r="E42" s="64">
        <v>4.54</v>
      </c>
      <c r="F42" s="64">
        <v>4.29</v>
      </c>
      <c r="G42" s="64">
        <v>52.34</v>
      </c>
      <c r="H42" s="64">
        <v>13.71</v>
      </c>
      <c r="I42" s="64">
        <v>6.82</v>
      </c>
      <c r="J42" s="64">
        <v>0.28999999999999998</v>
      </c>
      <c r="K42" s="64">
        <v>144.77000000000001</v>
      </c>
      <c r="L42" s="64">
        <v>26.87</v>
      </c>
      <c r="M42" s="64">
        <v>72.459999999999994</v>
      </c>
      <c r="N42" s="64">
        <v>165.7</v>
      </c>
      <c r="O42" s="64">
        <v>0</v>
      </c>
      <c r="P42" s="64">
        <v>0.28000000000000003</v>
      </c>
      <c r="Q42" s="64">
        <v>9.49</v>
      </c>
      <c r="R42" s="198"/>
      <c r="S42" s="198"/>
      <c r="T42" s="198"/>
      <c r="U42" s="198"/>
    </row>
    <row r="43" spans="1:21" s="12" customFormat="1" x14ac:dyDescent="0.25">
      <c r="A43" s="214" t="s">
        <v>1723</v>
      </c>
      <c r="B43" s="64">
        <v>8.35</v>
      </c>
      <c r="C43" s="64">
        <v>3.73</v>
      </c>
      <c r="D43" s="64">
        <v>12.42</v>
      </c>
      <c r="E43" s="64">
        <v>4.4000000000000004</v>
      </c>
      <c r="F43" s="64">
        <v>3.81</v>
      </c>
      <c r="G43" s="64">
        <v>50.15</v>
      </c>
      <c r="H43" s="64">
        <v>12.11</v>
      </c>
      <c r="I43" s="64">
        <v>6.59</v>
      </c>
      <c r="J43" s="64">
        <v>0.4</v>
      </c>
      <c r="K43" s="64">
        <v>105</v>
      </c>
      <c r="L43" s="64">
        <v>27.29</v>
      </c>
      <c r="M43" s="64">
        <v>70.19</v>
      </c>
      <c r="N43" s="64">
        <v>213.5</v>
      </c>
      <c r="O43" s="64">
        <v>0</v>
      </c>
      <c r="P43" s="64">
        <v>0.28000000000000003</v>
      </c>
      <c r="Q43" s="64">
        <v>9.4600000000000009</v>
      </c>
      <c r="R43" s="198"/>
      <c r="S43" s="198"/>
      <c r="T43" s="198"/>
      <c r="U43" s="198"/>
    </row>
    <row r="44" spans="1:21" s="12" customFormat="1" x14ac:dyDescent="0.25">
      <c r="A44" s="214" t="s">
        <v>1724</v>
      </c>
      <c r="B44" s="64">
        <v>8.23</v>
      </c>
      <c r="C44" s="64">
        <v>3.31</v>
      </c>
      <c r="D44" s="64">
        <v>12.1</v>
      </c>
      <c r="E44" s="64">
        <v>4.74</v>
      </c>
      <c r="F44" s="64">
        <v>4.0599999999999996</v>
      </c>
      <c r="G44" s="64">
        <v>50.15</v>
      </c>
      <c r="H44" s="64">
        <v>12.11</v>
      </c>
      <c r="I44" s="64">
        <v>6.41</v>
      </c>
      <c r="J44" s="64">
        <v>0.54</v>
      </c>
      <c r="K44" s="64">
        <v>126.36</v>
      </c>
      <c r="L44" s="64">
        <v>27.86</v>
      </c>
      <c r="M44" s="64">
        <v>67.73</v>
      </c>
      <c r="N44" s="64">
        <v>251.8</v>
      </c>
      <c r="O44" s="64">
        <v>0</v>
      </c>
      <c r="P44" s="64">
        <v>0.28000000000000003</v>
      </c>
      <c r="Q44" s="64">
        <v>9.41</v>
      </c>
      <c r="R44" s="198"/>
      <c r="S44" s="198"/>
      <c r="T44" s="198"/>
      <c r="U44" s="198"/>
    </row>
    <row r="45" spans="1:21" s="12" customFormat="1" x14ac:dyDescent="0.25">
      <c r="A45" s="214" t="s">
        <v>1725</v>
      </c>
      <c r="B45" s="64">
        <v>8.2200000000000006</v>
      </c>
      <c r="C45" s="64">
        <v>3.24</v>
      </c>
      <c r="D45" s="64">
        <v>12.06</v>
      </c>
      <c r="E45" s="64">
        <v>4.66</v>
      </c>
      <c r="F45" s="64">
        <v>3.67</v>
      </c>
      <c r="G45" s="64">
        <v>50.15</v>
      </c>
      <c r="H45" s="64">
        <v>12.11</v>
      </c>
      <c r="I45" s="64">
        <v>6.31</v>
      </c>
      <c r="J45" s="64">
        <v>0.6</v>
      </c>
      <c r="K45" s="64">
        <v>107.8</v>
      </c>
      <c r="L45" s="64">
        <v>28.22</v>
      </c>
      <c r="M45" s="64">
        <v>66.900000000000006</v>
      </c>
      <c r="N45" s="64">
        <v>259.2</v>
      </c>
      <c r="O45" s="64">
        <v>0</v>
      </c>
      <c r="P45" s="64">
        <v>0.28000000000000003</v>
      </c>
      <c r="Q45" s="64">
        <v>9.4</v>
      </c>
      <c r="R45" s="198"/>
      <c r="S45" s="198"/>
      <c r="T45" s="198"/>
      <c r="U45" s="198"/>
    </row>
    <row r="46" spans="1:21" s="12" customFormat="1" x14ac:dyDescent="0.25">
      <c r="A46" s="214" t="s">
        <v>1726</v>
      </c>
      <c r="B46" s="64">
        <v>8.19</v>
      </c>
      <c r="C46" s="64">
        <v>3.15</v>
      </c>
      <c r="D46" s="64">
        <v>11.98</v>
      </c>
      <c r="E46" s="64">
        <v>4.72</v>
      </c>
      <c r="F46" s="64">
        <v>3.87</v>
      </c>
      <c r="G46" s="64">
        <v>47.72</v>
      </c>
      <c r="H46" s="64">
        <v>13.86</v>
      </c>
      <c r="I46" s="64">
        <v>6.35</v>
      </c>
      <c r="J46" s="64">
        <v>0.59</v>
      </c>
      <c r="K46" s="64">
        <v>152.74</v>
      </c>
      <c r="L46" s="64">
        <v>28.47</v>
      </c>
      <c r="M46" s="64">
        <v>65</v>
      </c>
      <c r="N46" s="64">
        <v>266.39999999999998</v>
      </c>
      <c r="O46" s="64">
        <v>0</v>
      </c>
      <c r="P46" s="64">
        <v>0.28000000000000003</v>
      </c>
      <c r="Q46" s="64">
        <v>9.43</v>
      </c>
      <c r="R46" s="198"/>
      <c r="S46" s="198"/>
      <c r="T46" s="198"/>
      <c r="U46" s="198"/>
    </row>
    <row r="47" spans="1:21" s="12" customFormat="1" x14ac:dyDescent="0.25">
      <c r="A47" s="214" t="s">
        <v>1727</v>
      </c>
      <c r="B47" s="64">
        <v>8.16</v>
      </c>
      <c r="C47" s="64">
        <v>3.11</v>
      </c>
      <c r="D47" s="64">
        <v>11.94</v>
      </c>
      <c r="E47" s="64">
        <v>4.7699999999999996</v>
      </c>
      <c r="F47" s="64">
        <v>3.79</v>
      </c>
      <c r="G47" s="64">
        <v>45.4</v>
      </c>
      <c r="H47" s="64">
        <v>15.46</v>
      </c>
      <c r="I47" s="64">
        <v>6.4</v>
      </c>
      <c r="J47" s="64">
        <v>0.37</v>
      </c>
      <c r="K47" s="64">
        <v>95.34</v>
      </c>
      <c r="L47" s="64">
        <v>28.97</v>
      </c>
      <c r="M47" s="64">
        <v>63.3</v>
      </c>
      <c r="N47" s="64">
        <v>320.60000000000002</v>
      </c>
      <c r="O47" s="64">
        <v>0</v>
      </c>
      <c r="P47" s="64">
        <v>0.28000000000000003</v>
      </c>
      <c r="Q47" s="64">
        <v>9.4499999999999993</v>
      </c>
      <c r="R47" s="198"/>
      <c r="S47" s="198"/>
      <c r="T47" s="198"/>
      <c r="U47" s="198"/>
    </row>
    <row r="48" spans="1:21" s="12" customFormat="1" x14ac:dyDescent="0.25">
      <c r="A48" s="214" t="s">
        <v>1728</v>
      </c>
      <c r="B48" s="64">
        <v>8.19</v>
      </c>
      <c r="C48" s="64">
        <v>3.1</v>
      </c>
      <c r="D48" s="64">
        <v>11.96</v>
      </c>
      <c r="E48" s="64">
        <v>4.63</v>
      </c>
      <c r="F48" s="64">
        <v>3.98</v>
      </c>
      <c r="G48" s="64">
        <v>45.4</v>
      </c>
      <c r="H48" s="64">
        <v>15.46</v>
      </c>
      <c r="I48" s="64">
        <v>6.54</v>
      </c>
      <c r="J48" s="64">
        <v>1.31</v>
      </c>
      <c r="K48" s="64">
        <v>95</v>
      </c>
      <c r="L48" s="64">
        <v>28.99</v>
      </c>
      <c r="M48" s="64">
        <v>63.11</v>
      </c>
      <c r="N48" s="64">
        <v>395.7</v>
      </c>
      <c r="O48" s="64">
        <v>0</v>
      </c>
      <c r="P48" s="64">
        <v>0.28000000000000003</v>
      </c>
      <c r="Q48" s="64">
        <v>9.44</v>
      </c>
      <c r="R48" s="198"/>
      <c r="S48" s="198"/>
      <c r="T48" s="198"/>
      <c r="U48" s="198"/>
    </row>
    <row r="49" spans="1:21" s="12" customFormat="1" x14ac:dyDescent="0.25">
      <c r="A49" s="214" t="s">
        <v>1729</v>
      </c>
      <c r="B49" s="64">
        <v>8.1999999999999993</v>
      </c>
      <c r="C49" s="64">
        <v>3.13</v>
      </c>
      <c r="D49" s="64">
        <v>11.99</v>
      </c>
      <c r="E49" s="64">
        <v>4.7699999999999996</v>
      </c>
      <c r="F49" s="64">
        <v>4.22</v>
      </c>
      <c r="G49" s="64">
        <v>45.4</v>
      </c>
      <c r="H49" s="64">
        <v>15.46</v>
      </c>
      <c r="I49" s="64">
        <v>6.64</v>
      </c>
      <c r="J49" s="64">
        <v>1.1000000000000001</v>
      </c>
      <c r="K49" s="64">
        <v>98.58</v>
      </c>
      <c r="L49" s="64">
        <v>29.54</v>
      </c>
      <c r="M49" s="64">
        <v>61.82</v>
      </c>
      <c r="N49" s="64">
        <v>462.7</v>
      </c>
      <c r="O49" s="64">
        <v>0</v>
      </c>
      <c r="P49" s="64">
        <v>0.28000000000000003</v>
      </c>
      <c r="Q49" s="64">
        <v>9.44</v>
      </c>
      <c r="R49" s="198"/>
      <c r="S49" s="198"/>
      <c r="T49" s="198"/>
      <c r="U49" s="198"/>
    </row>
    <row r="50" spans="1:21" s="12" customFormat="1" x14ac:dyDescent="0.25">
      <c r="A50" s="214" t="s">
        <v>1730</v>
      </c>
      <c r="B50" s="64">
        <v>8.19</v>
      </c>
      <c r="C50" s="64">
        <v>3.16</v>
      </c>
      <c r="D50" s="64">
        <v>11.99</v>
      </c>
      <c r="E50" s="64">
        <v>4.7699999999999996</v>
      </c>
      <c r="F50" s="64">
        <v>4.78</v>
      </c>
      <c r="G50" s="64">
        <v>46.65</v>
      </c>
      <c r="H50" s="64">
        <v>14.75</v>
      </c>
      <c r="I50" s="64">
        <v>6.8</v>
      </c>
      <c r="J50" s="64">
        <v>0.41</v>
      </c>
      <c r="K50" s="64">
        <v>120.12</v>
      </c>
      <c r="L50" s="64">
        <v>30.83</v>
      </c>
      <c r="M50" s="64">
        <v>57.37</v>
      </c>
      <c r="N50" s="64">
        <v>498.9</v>
      </c>
      <c r="O50" s="64">
        <v>0</v>
      </c>
      <c r="P50" s="64">
        <v>0.28000000000000003</v>
      </c>
      <c r="Q50" s="64">
        <v>9.4700000000000006</v>
      </c>
      <c r="R50" s="198"/>
      <c r="S50" s="198"/>
      <c r="T50" s="198"/>
      <c r="U50" s="198"/>
    </row>
    <row r="51" spans="1:21" s="12" customFormat="1" x14ac:dyDescent="0.25">
      <c r="A51" s="214" t="s">
        <v>1731</v>
      </c>
      <c r="B51" s="64">
        <v>8.24</v>
      </c>
      <c r="C51" s="64">
        <v>3.4</v>
      </c>
      <c r="D51" s="64">
        <v>12.16</v>
      </c>
      <c r="E51" s="64">
        <v>4.71</v>
      </c>
      <c r="F51" s="64">
        <v>4.6399999999999997</v>
      </c>
      <c r="G51" s="64">
        <v>47.85</v>
      </c>
      <c r="H51" s="64">
        <v>14.07</v>
      </c>
      <c r="I51" s="64">
        <v>6.88</v>
      </c>
      <c r="J51" s="64">
        <v>1.39</v>
      </c>
      <c r="K51" s="64">
        <v>344.56</v>
      </c>
      <c r="L51" s="64">
        <v>32.96</v>
      </c>
      <c r="M51" s="64">
        <v>49.9</v>
      </c>
      <c r="N51" s="64">
        <v>480.8</v>
      </c>
      <c r="O51" s="64">
        <v>0</v>
      </c>
      <c r="P51" s="64">
        <v>0.31</v>
      </c>
      <c r="Q51" s="64">
        <v>9.49</v>
      </c>
      <c r="R51" s="198"/>
      <c r="S51" s="198"/>
      <c r="T51" s="198"/>
      <c r="U51" s="198"/>
    </row>
    <row r="52" spans="1:21" s="12" customFormat="1" x14ac:dyDescent="0.25">
      <c r="A52" s="214" t="s">
        <v>1732</v>
      </c>
      <c r="B52" s="64">
        <v>8.3000000000000007</v>
      </c>
      <c r="C52" s="64">
        <v>3.55</v>
      </c>
      <c r="D52" s="64">
        <v>12.29</v>
      </c>
      <c r="E52" s="64">
        <v>4.9000000000000004</v>
      </c>
      <c r="F52" s="64">
        <v>4.63</v>
      </c>
      <c r="G52" s="64">
        <v>47.85</v>
      </c>
      <c r="H52" s="64">
        <v>14.07</v>
      </c>
      <c r="I52" s="64">
        <v>6.93</v>
      </c>
      <c r="J52" s="64">
        <v>1.1000000000000001</v>
      </c>
      <c r="K52" s="64">
        <v>343.79</v>
      </c>
      <c r="L52" s="64">
        <v>34.01</v>
      </c>
      <c r="M52" s="64">
        <v>47.05</v>
      </c>
      <c r="N52" s="64">
        <v>430.1</v>
      </c>
      <c r="O52" s="64">
        <v>0</v>
      </c>
      <c r="P52" s="64">
        <v>0.32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14" t="s">
        <v>1733</v>
      </c>
      <c r="B53" s="64">
        <v>8.3699999999999992</v>
      </c>
      <c r="C53" s="64">
        <v>3.82</v>
      </c>
      <c r="D53" s="64">
        <v>12.48</v>
      </c>
      <c r="E53" s="64">
        <v>4.6100000000000003</v>
      </c>
      <c r="F53" s="64">
        <v>4.6100000000000003</v>
      </c>
      <c r="G53" s="64">
        <v>47.85</v>
      </c>
      <c r="H53" s="64">
        <v>14.07</v>
      </c>
      <c r="I53" s="64">
        <v>6.85</v>
      </c>
      <c r="J53" s="64">
        <v>1.27</v>
      </c>
      <c r="K53" s="64">
        <v>345.11</v>
      </c>
      <c r="L53" s="64">
        <v>34.01</v>
      </c>
      <c r="M53" s="64">
        <v>47.18</v>
      </c>
      <c r="N53" s="64">
        <v>400.9</v>
      </c>
      <c r="O53" s="64">
        <v>0</v>
      </c>
      <c r="P53" s="64">
        <v>0.35</v>
      </c>
      <c r="Q53" s="64">
        <v>9.5</v>
      </c>
      <c r="R53" s="198"/>
      <c r="S53" s="198"/>
      <c r="T53" s="198"/>
      <c r="U53" s="198"/>
    </row>
    <row r="54" spans="1:21" s="12" customFormat="1" x14ac:dyDescent="0.25">
      <c r="A54" s="214" t="s">
        <v>1734</v>
      </c>
      <c r="B54" s="64">
        <v>8.3000000000000007</v>
      </c>
      <c r="C54" s="64">
        <v>3.7</v>
      </c>
      <c r="D54" s="64">
        <v>12.37</v>
      </c>
      <c r="E54" s="64">
        <v>4.5999999999999996</v>
      </c>
      <c r="F54" s="64">
        <v>4.6100000000000003</v>
      </c>
      <c r="G54" s="64">
        <v>49.43</v>
      </c>
      <c r="H54" s="64">
        <v>16.829999999999998</v>
      </c>
      <c r="I54" s="64">
        <v>6.59</v>
      </c>
      <c r="J54" s="64">
        <v>1.06</v>
      </c>
      <c r="K54" s="64">
        <v>339.55</v>
      </c>
      <c r="L54" s="64">
        <v>33.979999999999997</v>
      </c>
      <c r="M54" s="64">
        <v>46.91</v>
      </c>
      <c r="N54" s="64">
        <v>381.8</v>
      </c>
      <c r="O54" s="64">
        <v>0</v>
      </c>
      <c r="P54" s="64">
        <v>0.36</v>
      </c>
      <c r="Q54" s="64">
        <v>9.4700000000000006</v>
      </c>
      <c r="R54" s="198"/>
      <c r="S54" s="198"/>
      <c r="T54" s="198"/>
      <c r="U54" s="198"/>
    </row>
    <row r="55" spans="1:21" s="12" customFormat="1" x14ac:dyDescent="0.25">
      <c r="A55" s="214" t="s">
        <v>1735</v>
      </c>
      <c r="B55" s="64">
        <v>8.18</v>
      </c>
      <c r="C55" s="64">
        <v>3.21</v>
      </c>
      <c r="D55" s="64">
        <v>12.01</v>
      </c>
      <c r="E55" s="64">
        <v>4.41</v>
      </c>
      <c r="F55" s="64">
        <v>5.26</v>
      </c>
      <c r="G55" s="64">
        <v>50.96</v>
      </c>
      <c r="H55" s="64">
        <v>19.47</v>
      </c>
      <c r="I55" s="64">
        <v>6.31</v>
      </c>
      <c r="J55" s="64">
        <v>0.54</v>
      </c>
      <c r="K55" s="64">
        <v>7.28</v>
      </c>
      <c r="L55" s="64">
        <v>33.44</v>
      </c>
      <c r="M55" s="64">
        <v>48.84</v>
      </c>
      <c r="N55" s="64">
        <v>402.2</v>
      </c>
      <c r="O55" s="64">
        <v>0</v>
      </c>
      <c r="P55" s="64">
        <v>0.4</v>
      </c>
      <c r="Q55" s="64">
        <v>9.5</v>
      </c>
      <c r="R55" s="198"/>
      <c r="S55" s="198"/>
      <c r="T55" s="198"/>
      <c r="U55" s="198"/>
    </row>
    <row r="56" spans="1:21" s="12" customFormat="1" x14ac:dyDescent="0.25">
      <c r="A56" s="214" t="s">
        <v>1736</v>
      </c>
      <c r="B56" s="64">
        <v>8.15</v>
      </c>
      <c r="C56" s="64">
        <v>3.16</v>
      </c>
      <c r="D56" s="64">
        <v>11.96</v>
      </c>
      <c r="E56" s="64">
        <v>4.46</v>
      </c>
      <c r="F56" s="64">
        <v>5.16</v>
      </c>
      <c r="G56" s="64">
        <v>50.96</v>
      </c>
      <c r="H56" s="64">
        <v>19.47</v>
      </c>
      <c r="I56" s="64">
        <v>6.16</v>
      </c>
      <c r="J56" s="64">
        <v>0.62</v>
      </c>
      <c r="K56" s="64">
        <v>66.67</v>
      </c>
      <c r="L56" s="64">
        <v>32.450000000000003</v>
      </c>
      <c r="M56" s="64">
        <v>52.65</v>
      </c>
      <c r="N56" s="64">
        <v>434.4</v>
      </c>
      <c r="O56" s="64">
        <v>0</v>
      </c>
      <c r="P56" s="64">
        <v>0.43</v>
      </c>
      <c r="Q56" s="64">
        <v>9.5299999999999994</v>
      </c>
      <c r="R56" s="198"/>
      <c r="S56" s="198"/>
      <c r="T56" s="198"/>
      <c r="U56" s="198"/>
    </row>
    <row r="57" spans="1:21" s="12" customFormat="1" x14ac:dyDescent="0.25">
      <c r="A57" s="214" t="s">
        <v>1737</v>
      </c>
      <c r="B57" s="64">
        <v>8.15</v>
      </c>
      <c r="C57" s="64">
        <v>3.15</v>
      </c>
      <c r="D57" s="64">
        <v>11.95</v>
      </c>
      <c r="E57" s="64">
        <v>3.8</v>
      </c>
      <c r="F57" s="64">
        <v>5.43</v>
      </c>
      <c r="G57" s="64">
        <v>50.96</v>
      </c>
      <c r="H57" s="64">
        <v>19.47</v>
      </c>
      <c r="I57" s="64">
        <v>6.14</v>
      </c>
      <c r="J57" s="64">
        <v>0.72</v>
      </c>
      <c r="K57" s="64">
        <v>146.81</v>
      </c>
      <c r="L57" s="64">
        <v>31.87</v>
      </c>
      <c r="M57" s="64">
        <v>53.01</v>
      </c>
      <c r="N57" s="64">
        <v>376.2</v>
      </c>
      <c r="O57" s="64">
        <v>0</v>
      </c>
      <c r="P57" s="64">
        <v>0.44</v>
      </c>
      <c r="Q57" s="64">
        <v>9.51</v>
      </c>
      <c r="R57" s="198"/>
      <c r="S57" s="198"/>
      <c r="T57" s="198"/>
      <c r="U57" s="198"/>
    </row>
    <row r="58" spans="1:21" s="12" customFormat="1" x14ac:dyDescent="0.25">
      <c r="A58" s="214" t="s">
        <v>1738</v>
      </c>
      <c r="B58" s="64">
        <v>8.14</v>
      </c>
      <c r="C58" s="64">
        <v>3.11</v>
      </c>
      <c r="D58" s="64">
        <v>11.93</v>
      </c>
      <c r="E58" s="64">
        <v>4.08</v>
      </c>
      <c r="F58" s="64">
        <v>5.88</v>
      </c>
      <c r="G58" s="64">
        <v>65.180000000000007</v>
      </c>
      <c r="H58" s="64">
        <v>24.59</v>
      </c>
      <c r="I58" s="64">
        <v>6.01</v>
      </c>
      <c r="J58" s="64">
        <v>1.22</v>
      </c>
      <c r="K58" s="64">
        <v>339.75</v>
      </c>
      <c r="L58" s="64">
        <v>33.799999999999997</v>
      </c>
      <c r="M58" s="64">
        <v>47.75</v>
      </c>
      <c r="N58" s="64">
        <v>551</v>
      </c>
      <c r="O58" s="64">
        <v>0</v>
      </c>
      <c r="P58" s="64">
        <v>0.45</v>
      </c>
      <c r="Q58" s="64">
        <v>9.4700000000000006</v>
      </c>
      <c r="R58" s="198"/>
      <c r="S58" s="198"/>
      <c r="T58" s="198"/>
      <c r="U58" s="198"/>
    </row>
    <row r="59" spans="1:21" s="12" customFormat="1" x14ac:dyDescent="0.25">
      <c r="A59" s="214" t="s">
        <v>1739</v>
      </c>
      <c r="B59" s="64">
        <v>8.17</v>
      </c>
      <c r="C59" s="64">
        <v>3.18</v>
      </c>
      <c r="D59" s="64">
        <v>11.98</v>
      </c>
      <c r="E59" s="64">
        <v>4.09</v>
      </c>
      <c r="F59" s="64">
        <v>6.36</v>
      </c>
      <c r="G59" s="64">
        <v>78.78</v>
      </c>
      <c r="H59" s="64">
        <v>29.49</v>
      </c>
      <c r="I59" s="64">
        <v>5.95</v>
      </c>
      <c r="J59" s="64">
        <v>0.55000000000000004</v>
      </c>
      <c r="K59" s="64">
        <v>355.95</v>
      </c>
      <c r="L59" s="64">
        <v>34.94</v>
      </c>
      <c r="M59" s="64">
        <v>43.78</v>
      </c>
      <c r="N59" s="64">
        <v>601.9</v>
      </c>
      <c r="O59" s="64">
        <v>0</v>
      </c>
      <c r="P59" s="64">
        <v>0.48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14" t="s">
        <v>1740</v>
      </c>
      <c r="B60" s="64">
        <v>8.19</v>
      </c>
      <c r="C60" s="64">
        <v>3.32</v>
      </c>
      <c r="D60" s="64">
        <v>12.08</v>
      </c>
      <c r="E60" s="64">
        <v>4.1399999999999997</v>
      </c>
      <c r="F60" s="64">
        <v>6.51</v>
      </c>
      <c r="G60" s="64">
        <v>78.78</v>
      </c>
      <c r="H60" s="64">
        <v>29.49</v>
      </c>
      <c r="I60" s="64">
        <v>5.91</v>
      </c>
      <c r="J60" s="64">
        <v>1.1100000000000001</v>
      </c>
      <c r="K60" s="64">
        <v>340.34</v>
      </c>
      <c r="L60" s="64">
        <v>36.06</v>
      </c>
      <c r="M60" s="64">
        <v>40.549999999999997</v>
      </c>
      <c r="N60" s="64">
        <v>636.29999999999995</v>
      </c>
      <c r="O60" s="64">
        <v>0</v>
      </c>
      <c r="P60" s="64">
        <v>0.49</v>
      </c>
      <c r="Q60" s="64">
        <v>9.4700000000000006</v>
      </c>
      <c r="R60" s="198"/>
      <c r="S60" s="198"/>
      <c r="T60" s="198"/>
      <c r="U60" s="198"/>
    </row>
    <row r="61" spans="1:21" s="12" customFormat="1" x14ac:dyDescent="0.25">
      <c r="A61" s="214" t="s">
        <v>1741</v>
      </c>
      <c r="B61" s="64">
        <v>8.44</v>
      </c>
      <c r="C61" s="64">
        <v>4.28</v>
      </c>
      <c r="D61" s="64">
        <v>12.78</v>
      </c>
      <c r="E61" s="64">
        <v>3.93</v>
      </c>
      <c r="F61" s="64">
        <v>6.5</v>
      </c>
      <c r="G61" s="64">
        <v>78.78</v>
      </c>
      <c r="H61" s="64">
        <v>29.49</v>
      </c>
      <c r="I61" s="64">
        <v>5.83</v>
      </c>
      <c r="J61" s="64">
        <v>0.69</v>
      </c>
      <c r="K61" s="64">
        <v>343.99</v>
      </c>
      <c r="L61" s="64">
        <v>36.380000000000003</v>
      </c>
      <c r="M61" s="64">
        <v>39.72</v>
      </c>
      <c r="N61" s="64">
        <v>504.8</v>
      </c>
      <c r="O61" s="64">
        <v>0</v>
      </c>
      <c r="P61" s="64">
        <v>0.49</v>
      </c>
      <c r="Q61" s="64">
        <v>9.43</v>
      </c>
      <c r="R61" s="198"/>
      <c r="S61" s="198"/>
      <c r="T61" s="198"/>
      <c r="U61" s="198"/>
    </row>
    <row r="62" spans="1:21" s="12" customFormat="1" x14ac:dyDescent="0.25">
      <c r="A62" s="214" t="s">
        <v>1742</v>
      </c>
      <c r="B62" s="64">
        <v>8.26</v>
      </c>
      <c r="C62" s="64">
        <v>3.48</v>
      </c>
      <c r="D62" s="64">
        <v>12.22</v>
      </c>
      <c r="E62" s="64">
        <v>3.85</v>
      </c>
      <c r="F62" s="64">
        <v>6.47</v>
      </c>
      <c r="G62" s="64">
        <v>84.07</v>
      </c>
      <c r="H62" s="64">
        <v>31.71</v>
      </c>
      <c r="I62" s="64">
        <v>5.73</v>
      </c>
      <c r="J62" s="64">
        <v>0.27</v>
      </c>
      <c r="K62" s="64">
        <v>33.97</v>
      </c>
      <c r="L62" s="64">
        <v>35.630000000000003</v>
      </c>
      <c r="M62" s="64">
        <v>41.19</v>
      </c>
      <c r="N62" s="64">
        <v>750.1</v>
      </c>
      <c r="O62" s="64">
        <v>0</v>
      </c>
      <c r="P62" s="64">
        <v>0.5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14" t="s">
        <v>1743</v>
      </c>
      <c r="B63" s="64">
        <v>8.19</v>
      </c>
      <c r="C63" s="64">
        <v>3.26</v>
      </c>
      <c r="D63" s="64">
        <v>12.05</v>
      </c>
      <c r="E63" s="64">
        <v>4.6100000000000003</v>
      </c>
      <c r="F63" s="64">
        <v>6.29</v>
      </c>
      <c r="G63" s="64">
        <v>89.13</v>
      </c>
      <c r="H63" s="64">
        <v>33.840000000000003</v>
      </c>
      <c r="I63" s="64">
        <v>5.69</v>
      </c>
      <c r="J63" s="64">
        <v>0.63</v>
      </c>
      <c r="K63" s="64">
        <v>14.71</v>
      </c>
      <c r="L63" s="64">
        <v>36.020000000000003</v>
      </c>
      <c r="M63" s="64">
        <v>39.01</v>
      </c>
      <c r="N63" s="64">
        <v>519.70000000000005</v>
      </c>
      <c r="O63" s="64">
        <v>0</v>
      </c>
      <c r="P63" s="64">
        <v>0.51</v>
      </c>
      <c r="Q63" s="64">
        <v>9.4</v>
      </c>
      <c r="R63" s="198"/>
      <c r="S63" s="198"/>
      <c r="T63" s="198"/>
      <c r="U63" s="198"/>
    </row>
    <row r="64" spans="1:21" s="12" customFormat="1" x14ac:dyDescent="0.25">
      <c r="A64" s="214" t="s">
        <v>1744</v>
      </c>
      <c r="B64" s="64">
        <v>8.18</v>
      </c>
      <c r="C64" s="64">
        <v>3.16</v>
      </c>
      <c r="D64" s="64">
        <v>11.99</v>
      </c>
      <c r="E64" s="64">
        <v>4.0199999999999996</v>
      </c>
      <c r="F64" s="64">
        <v>6.16</v>
      </c>
      <c r="G64" s="64">
        <v>89.13</v>
      </c>
      <c r="H64" s="64">
        <v>33.840000000000003</v>
      </c>
      <c r="I64" s="64">
        <v>5.84</v>
      </c>
      <c r="J64" s="64">
        <v>0.48</v>
      </c>
      <c r="K64" s="64">
        <v>27.25</v>
      </c>
      <c r="L64" s="64">
        <v>34.67</v>
      </c>
      <c r="M64" s="64">
        <v>41.19</v>
      </c>
      <c r="N64" s="64">
        <v>602.1</v>
      </c>
      <c r="O64" s="64">
        <v>0</v>
      </c>
      <c r="P64" s="64">
        <v>0.52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4" t="s">
        <v>1745</v>
      </c>
      <c r="B65" s="64">
        <v>8.17</v>
      </c>
      <c r="C65" s="64">
        <v>3.2</v>
      </c>
      <c r="D65" s="64">
        <v>11.99</v>
      </c>
      <c r="E65" s="64">
        <v>3.98</v>
      </c>
      <c r="F65" s="64">
        <v>6.31</v>
      </c>
      <c r="G65" s="64">
        <v>89.13</v>
      </c>
      <c r="H65" s="64">
        <v>33.840000000000003</v>
      </c>
      <c r="I65" s="64">
        <v>5.97</v>
      </c>
      <c r="J65" s="64">
        <v>1.85</v>
      </c>
      <c r="K65" s="64">
        <v>341.59</v>
      </c>
      <c r="L65" s="64">
        <v>36.479999999999997</v>
      </c>
      <c r="M65" s="64">
        <v>35.32</v>
      </c>
      <c r="N65" s="64">
        <v>489.8</v>
      </c>
      <c r="O65" s="64">
        <v>0</v>
      </c>
      <c r="P65" s="64">
        <v>0.51</v>
      </c>
      <c r="Q65" s="64">
        <v>9.39</v>
      </c>
      <c r="R65" s="198"/>
      <c r="S65" s="198"/>
      <c r="T65" s="198"/>
      <c r="U65" s="198"/>
    </row>
    <row r="66" spans="1:21" s="12" customFormat="1" x14ac:dyDescent="0.25">
      <c r="A66" s="214" t="s">
        <v>1746</v>
      </c>
      <c r="B66" s="64">
        <v>8.18</v>
      </c>
      <c r="C66" s="64">
        <v>3.2</v>
      </c>
      <c r="D66" s="64">
        <v>12.01</v>
      </c>
      <c r="E66" s="64">
        <v>4.46</v>
      </c>
      <c r="F66" s="64">
        <v>6.21</v>
      </c>
      <c r="G66" s="64">
        <v>87.51</v>
      </c>
      <c r="H66" s="64">
        <v>35.200000000000003</v>
      </c>
      <c r="I66" s="64">
        <v>6.25</v>
      </c>
      <c r="J66" s="64">
        <v>1.78</v>
      </c>
      <c r="K66" s="64">
        <v>346.14</v>
      </c>
      <c r="L66" s="64">
        <v>36.520000000000003</v>
      </c>
      <c r="M66" s="64">
        <v>36.79</v>
      </c>
      <c r="N66" s="64">
        <v>451.7</v>
      </c>
      <c r="O66" s="64">
        <v>0</v>
      </c>
      <c r="P66" s="64">
        <v>0.51</v>
      </c>
      <c r="Q66" s="64">
        <v>9.41</v>
      </c>
      <c r="R66" s="198"/>
      <c r="S66" s="198"/>
      <c r="T66" s="198"/>
      <c r="U66" s="198"/>
    </row>
    <row r="67" spans="1:21" s="12" customFormat="1" x14ac:dyDescent="0.25">
      <c r="A67" s="214" t="s">
        <v>1747</v>
      </c>
      <c r="B67" s="64">
        <v>8.1999999999999993</v>
      </c>
      <c r="C67" s="64">
        <v>3.19</v>
      </c>
      <c r="D67" s="64">
        <v>12.01</v>
      </c>
      <c r="E67" s="64">
        <v>3.66</v>
      </c>
      <c r="F67" s="64">
        <v>5.38</v>
      </c>
      <c r="G67" s="64">
        <v>85.97</v>
      </c>
      <c r="H67" s="64">
        <v>36.5</v>
      </c>
      <c r="I67" s="64">
        <v>6.4</v>
      </c>
      <c r="J67" s="64">
        <v>1.58</v>
      </c>
      <c r="K67" s="64">
        <v>343.66</v>
      </c>
      <c r="L67" s="64">
        <v>35.96</v>
      </c>
      <c r="M67" s="64">
        <v>38.200000000000003</v>
      </c>
      <c r="N67" s="64">
        <v>372.9</v>
      </c>
      <c r="O67" s="64">
        <v>0</v>
      </c>
      <c r="P67" s="64">
        <v>0.52</v>
      </c>
      <c r="Q67" s="64">
        <v>9.41</v>
      </c>
      <c r="R67" s="198"/>
      <c r="S67" s="198"/>
      <c r="T67" s="198"/>
      <c r="U67" s="198"/>
    </row>
    <row r="68" spans="1:21" s="12" customFormat="1" x14ac:dyDescent="0.25">
      <c r="A68" s="214" t="s">
        <v>1748</v>
      </c>
      <c r="B68" s="64">
        <v>8.18</v>
      </c>
      <c r="C68" s="64">
        <v>3.2</v>
      </c>
      <c r="D68" s="64">
        <v>12.01</v>
      </c>
      <c r="E68" s="64">
        <v>4.17</v>
      </c>
      <c r="F68" s="64">
        <v>5.29</v>
      </c>
      <c r="G68" s="64">
        <v>85.97</v>
      </c>
      <c r="H68" s="64">
        <v>36.5</v>
      </c>
      <c r="I68" s="64">
        <v>6.44</v>
      </c>
      <c r="J68" s="64">
        <v>2.0099999999999998</v>
      </c>
      <c r="K68" s="64">
        <v>340.8</v>
      </c>
      <c r="L68" s="64">
        <v>36.14</v>
      </c>
      <c r="M68" s="64">
        <v>38.409999999999997</v>
      </c>
      <c r="N68" s="64">
        <v>402.1</v>
      </c>
      <c r="O68" s="64">
        <v>0</v>
      </c>
      <c r="P68" s="64">
        <v>0.53</v>
      </c>
      <c r="Q68" s="64">
        <v>9.43</v>
      </c>
      <c r="R68" s="198"/>
      <c r="S68" s="198"/>
      <c r="T68" s="198"/>
      <c r="U68" s="198"/>
    </row>
    <row r="69" spans="1:21" s="12" customFormat="1" x14ac:dyDescent="0.25">
      <c r="A69" s="214" t="s">
        <v>1749</v>
      </c>
      <c r="B69" s="64">
        <v>8.18</v>
      </c>
      <c r="C69" s="64">
        <v>3.25</v>
      </c>
      <c r="D69" s="64">
        <v>12.04</v>
      </c>
      <c r="E69" s="64">
        <v>4.16</v>
      </c>
      <c r="F69" s="64">
        <v>5.31</v>
      </c>
      <c r="G69" s="64">
        <v>85.97</v>
      </c>
      <c r="H69" s="64">
        <v>36.5</v>
      </c>
      <c r="I69" s="64">
        <v>6.52</v>
      </c>
      <c r="J69" s="64">
        <v>1.63</v>
      </c>
      <c r="K69" s="64">
        <v>336.4</v>
      </c>
      <c r="L69" s="64">
        <v>36.159999999999997</v>
      </c>
      <c r="M69" s="64">
        <v>38.229999999999997</v>
      </c>
      <c r="N69" s="64">
        <v>283.5</v>
      </c>
      <c r="O69" s="64">
        <v>0</v>
      </c>
      <c r="P69" s="64">
        <v>0.54</v>
      </c>
      <c r="Q69" s="64">
        <v>9.52</v>
      </c>
      <c r="R69" s="198"/>
      <c r="S69" s="198"/>
      <c r="T69" s="198"/>
      <c r="U69" s="198"/>
    </row>
    <row r="70" spans="1:21" s="12" customFormat="1" x14ac:dyDescent="0.25">
      <c r="A70" s="214" t="s">
        <v>1750</v>
      </c>
      <c r="B70" s="64">
        <v>8.2200000000000006</v>
      </c>
      <c r="C70" s="64">
        <v>3.45</v>
      </c>
      <c r="D70" s="64">
        <v>12.17</v>
      </c>
      <c r="E70" s="64">
        <v>4.17</v>
      </c>
      <c r="F70" s="64">
        <v>5.48</v>
      </c>
      <c r="G70" s="64">
        <v>88.24</v>
      </c>
      <c r="H70" s="64">
        <v>35.26</v>
      </c>
      <c r="I70" s="64">
        <v>6.49</v>
      </c>
      <c r="J70" s="64">
        <v>1.9</v>
      </c>
      <c r="K70" s="64">
        <v>337.36</v>
      </c>
      <c r="L70" s="64">
        <v>35.5</v>
      </c>
      <c r="M70" s="64">
        <v>40.79</v>
      </c>
      <c r="N70" s="64">
        <v>346.4</v>
      </c>
      <c r="O70" s="64">
        <v>0</v>
      </c>
      <c r="P70" s="64">
        <v>0.55000000000000004</v>
      </c>
      <c r="Q70" s="64">
        <v>9.52</v>
      </c>
      <c r="R70" s="198"/>
      <c r="S70" s="198"/>
      <c r="T70" s="198"/>
      <c r="U70" s="198"/>
    </row>
    <row r="71" spans="1:21" s="12" customFormat="1" x14ac:dyDescent="0.25">
      <c r="A71" s="214" t="s">
        <v>1751</v>
      </c>
      <c r="B71" s="64">
        <v>8.32</v>
      </c>
      <c r="C71" s="64">
        <v>3.85</v>
      </c>
      <c r="D71" s="64">
        <v>12.46</v>
      </c>
      <c r="E71" s="64">
        <v>4.12</v>
      </c>
      <c r="F71" s="64">
        <v>5.92</v>
      </c>
      <c r="G71" s="64">
        <v>90.31</v>
      </c>
      <c r="H71" s="64">
        <v>34.06</v>
      </c>
      <c r="I71" s="64">
        <v>6.27</v>
      </c>
      <c r="J71" s="64">
        <v>1.82</v>
      </c>
      <c r="K71" s="64">
        <v>332.17</v>
      </c>
      <c r="L71" s="64">
        <v>35.619999999999997</v>
      </c>
      <c r="M71" s="64">
        <v>41.13</v>
      </c>
      <c r="N71" s="64">
        <v>289.3</v>
      </c>
      <c r="O71" s="64">
        <v>0</v>
      </c>
      <c r="P71" s="64">
        <v>0.55000000000000004</v>
      </c>
      <c r="Q71" s="64">
        <v>9.5299999999999994</v>
      </c>
      <c r="R71" s="198"/>
      <c r="S71" s="198"/>
      <c r="T71" s="198"/>
      <c r="U71" s="198"/>
    </row>
    <row r="72" spans="1:21" s="12" customFormat="1" x14ac:dyDescent="0.25">
      <c r="A72" s="214" t="s">
        <v>1752</v>
      </c>
      <c r="B72" s="64">
        <v>8.27</v>
      </c>
      <c r="C72" s="64">
        <v>3.73</v>
      </c>
      <c r="D72" s="64">
        <v>12.36</v>
      </c>
      <c r="E72" s="64">
        <v>4.7699999999999996</v>
      </c>
      <c r="F72" s="64">
        <v>6.19</v>
      </c>
      <c r="G72" s="64">
        <v>90.31</v>
      </c>
      <c r="H72" s="64">
        <v>34.06</v>
      </c>
      <c r="I72" s="64">
        <v>5.96</v>
      </c>
      <c r="J72" s="64">
        <v>2.16</v>
      </c>
      <c r="K72" s="64">
        <v>339.61</v>
      </c>
      <c r="L72" s="64">
        <v>34.869999999999997</v>
      </c>
      <c r="M72" s="64">
        <v>43.62</v>
      </c>
      <c r="N72" s="64">
        <v>214.3</v>
      </c>
      <c r="O72" s="64">
        <v>0</v>
      </c>
      <c r="P72" s="64">
        <v>0.56000000000000005</v>
      </c>
      <c r="Q72" s="64">
        <v>9.5299999999999994</v>
      </c>
      <c r="R72" s="198"/>
      <c r="S72" s="198"/>
      <c r="T72" s="198"/>
      <c r="U72" s="198"/>
    </row>
    <row r="73" spans="1:21" s="12" customFormat="1" x14ac:dyDescent="0.25">
      <c r="A73" s="214" t="s">
        <v>1753</v>
      </c>
      <c r="B73" s="64">
        <v>8.1999999999999993</v>
      </c>
      <c r="C73" s="64">
        <v>3.42</v>
      </c>
      <c r="D73" s="64">
        <v>12.14</v>
      </c>
      <c r="E73" s="64">
        <v>5.25</v>
      </c>
      <c r="F73" s="64">
        <v>6.14</v>
      </c>
      <c r="G73" s="64">
        <v>90.31</v>
      </c>
      <c r="H73" s="64">
        <v>34.06</v>
      </c>
      <c r="I73" s="64">
        <v>5.64</v>
      </c>
      <c r="J73" s="64">
        <v>1.87</v>
      </c>
      <c r="K73" s="64">
        <v>328.69</v>
      </c>
      <c r="L73" s="64">
        <v>34.17</v>
      </c>
      <c r="M73" s="64">
        <v>45.2</v>
      </c>
      <c r="N73" s="64">
        <v>177.9</v>
      </c>
      <c r="O73" s="64">
        <v>0</v>
      </c>
      <c r="P73" s="64">
        <v>0.56000000000000005</v>
      </c>
      <c r="Q73" s="64">
        <v>9.51</v>
      </c>
      <c r="R73" s="198"/>
      <c r="S73" s="198"/>
      <c r="T73" s="198"/>
      <c r="U73" s="198"/>
    </row>
    <row r="74" spans="1:21" s="12" customFormat="1" x14ac:dyDescent="0.25">
      <c r="A74" s="214" t="s">
        <v>1754</v>
      </c>
      <c r="B74" s="64">
        <v>8.18</v>
      </c>
      <c r="C74" s="64">
        <v>3.36</v>
      </c>
      <c r="D74" s="64">
        <v>12.09</v>
      </c>
      <c r="E74" s="64">
        <v>5.42</v>
      </c>
      <c r="F74" s="64">
        <v>6.21</v>
      </c>
      <c r="G74" s="64">
        <v>92.26</v>
      </c>
      <c r="H74" s="64">
        <v>34.869999999999997</v>
      </c>
      <c r="I74" s="64">
        <v>5.32</v>
      </c>
      <c r="J74" s="64">
        <v>2.08</v>
      </c>
      <c r="K74" s="64">
        <v>339.33</v>
      </c>
      <c r="L74" s="64">
        <v>33.43</v>
      </c>
      <c r="M74" s="64">
        <v>46.4</v>
      </c>
      <c r="N74" s="64">
        <v>125.6</v>
      </c>
      <c r="O74" s="64">
        <v>0</v>
      </c>
      <c r="P74" s="64">
        <v>0.56999999999999995</v>
      </c>
      <c r="Q74" s="64">
        <v>9.48</v>
      </c>
      <c r="R74" s="198"/>
      <c r="S74" s="198"/>
      <c r="T74" s="198"/>
      <c r="U74" s="198"/>
    </row>
    <row r="75" spans="1:21" s="12" customFormat="1" x14ac:dyDescent="0.25">
      <c r="A75" s="214" t="s">
        <v>1755</v>
      </c>
      <c r="B75" s="64">
        <v>8.18</v>
      </c>
      <c r="C75" s="64">
        <v>3.35</v>
      </c>
      <c r="D75" s="64">
        <v>12.08</v>
      </c>
      <c r="E75" s="64">
        <v>5.19</v>
      </c>
      <c r="F75" s="64">
        <v>6.09</v>
      </c>
      <c r="G75" s="64">
        <v>94.04</v>
      </c>
      <c r="H75" s="64">
        <v>35.64</v>
      </c>
      <c r="I75" s="64">
        <v>5.04</v>
      </c>
      <c r="J75" s="64">
        <v>1.76</v>
      </c>
      <c r="K75" s="64">
        <v>339.04</v>
      </c>
      <c r="L75" s="64">
        <v>32.76</v>
      </c>
      <c r="M75" s="64">
        <v>47.44</v>
      </c>
      <c r="N75" s="64">
        <v>96.8</v>
      </c>
      <c r="O75" s="64">
        <v>0</v>
      </c>
      <c r="P75" s="64">
        <v>0.56999999999999995</v>
      </c>
      <c r="Q75" s="64">
        <v>9.5</v>
      </c>
      <c r="R75" s="198"/>
      <c r="S75" s="198"/>
      <c r="T75" s="198"/>
      <c r="U75" s="198"/>
    </row>
    <row r="76" spans="1:21" s="12" customFormat="1" x14ac:dyDescent="0.25">
      <c r="A76" s="214" t="s">
        <v>1756</v>
      </c>
      <c r="B76" s="64">
        <v>8.19</v>
      </c>
      <c r="C76" s="64">
        <v>3.36</v>
      </c>
      <c r="D76" s="64">
        <v>12.1</v>
      </c>
      <c r="E76" s="64">
        <v>4.92</v>
      </c>
      <c r="F76" s="64">
        <v>5.31</v>
      </c>
      <c r="G76" s="64">
        <v>94.04</v>
      </c>
      <c r="H76" s="64">
        <v>35.64</v>
      </c>
      <c r="I76" s="64">
        <v>4.8099999999999996</v>
      </c>
      <c r="J76" s="64">
        <v>1.69</v>
      </c>
      <c r="K76" s="64">
        <v>346.31</v>
      </c>
      <c r="L76" s="64">
        <v>32.380000000000003</v>
      </c>
      <c r="M76" s="64">
        <v>48.97</v>
      </c>
      <c r="N76" s="64">
        <v>64.900000000000006</v>
      </c>
      <c r="O76" s="64">
        <v>0</v>
      </c>
      <c r="P76" s="64">
        <v>0.59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14" t="s">
        <v>1757</v>
      </c>
      <c r="B77" s="64">
        <v>8.14</v>
      </c>
      <c r="C77" s="64">
        <v>3.14</v>
      </c>
      <c r="D77" s="64">
        <v>11.94</v>
      </c>
      <c r="E77" s="64">
        <v>5.1100000000000003</v>
      </c>
      <c r="F77" s="64">
        <v>4.9800000000000004</v>
      </c>
      <c r="G77" s="64">
        <v>94.04</v>
      </c>
      <c r="H77" s="64">
        <v>35.64</v>
      </c>
      <c r="I77" s="64">
        <v>4.67</v>
      </c>
      <c r="J77" s="64">
        <v>1.7</v>
      </c>
      <c r="K77" s="64">
        <v>347.79</v>
      </c>
      <c r="L77" s="64">
        <v>32.21</v>
      </c>
      <c r="M77" s="64">
        <v>48.98</v>
      </c>
      <c r="N77" s="64">
        <v>57.7</v>
      </c>
      <c r="O77" s="64">
        <v>0</v>
      </c>
      <c r="P77" s="64">
        <v>0.61</v>
      </c>
      <c r="Q77" s="64">
        <v>9.4700000000000006</v>
      </c>
      <c r="R77" s="198"/>
      <c r="S77" s="198"/>
      <c r="T77" s="198"/>
      <c r="U77" s="198"/>
    </row>
    <row r="78" spans="1:21" s="12" customFormat="1" x14ac:dyDescent="0.25">
      <c r="A78" s="214" t="s">
        <v>1758</v>
      </c>
      <c r="B78" s="64">
        <v>8.17</v>
      </c>
      <c r="C78" s="64">
        <v>3.21</v>
      </c>
      <c r="D78" s="64">
        <v>12.01</v>
      </c>
      <c r="E78" s="64">
        <v>5.0999999999999996</v>
      </c>
      <c r="F78" s="64">
        <v>4.9800000000000004</v>
      </c>
      <c r="G78" s="64">
        <v>98.7</v>
      </c>
      <c r="H78" s="64">
        <v>35.1</v>
      </c>
      <c r="I78" s="64">
        <v>4.59</v>
      </c>
      <c r="J78" s="64">
        <v>1.91</v>
      </c>
      <c r="K78" s="64">
        <v>342.25</v>
      </c>
      <c r="L78" s="64">
        <v>32.049999999999997</v>
      </c>
      <c r="M78" s="64">
        <v>49.53</v>
      </c>
      <c r="N78" s="64">
        <v>57</v>
      </c>
      <c r="O78" s="64">
        <v>0</v>
      </c>
      <c r="P78" s="64">
        <v>0.63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14" t="s">
        <v>1759</v>
      </c>
      <c r="B79" s="64">
        <v>8.43</v>
      </c>
      <c r="C79" s="64">
        <v>4.34</v>
      </c>
      <c r="D79" s="64">
        <v>12.8</v>
      </c>
      <c r="E79" s="64">
        <v>5.21</v>
      </c>
      <c r="F79" s="64">
        <v>4.6399999999999997</v>
      </c>
      <c r="G79" s="64">
        <v>102.96</v>
      </c>
      <c r="H79" s="64">
        <v>34.61</v>
      </c>
      <c r="I79" s="64">
        <v>4.5999999999999996</v>
      </c>
      <c r="J79" s="64">
        <v>1.4</v>
      </c>
      <c r="K79" s="64">
        <v>343.45</v>
      </c>
      <c r="L79" s="64">
        <v>31.85</v>
      </c>
      <c r="M79" s="64">
        <v>49.39</v>
      </c>
      <c r="N79" s="64">
        <v>55.7</v>
      </c>
      <c r="O79" s="64">
        <v>0</v>
      </c>
      <c r="P79" s="64">
        <v>0.65</v>
      </c>
      <c r="Q79" s="64">
        <v>9.4700000000000006</v>
      </c>
      <c r="R79" s="198"/>
      <c r="S79" s="198"/>
      <c r="T79" s="198"/>
      <c r="U79" s="198"/>
    </row>
    <row r="80" spans="1:21" s="12" customFormat="1" x14ac:dyDescent="0.25">
      <c r="A80" s="214" t="s">
        <v>1760</v>
      </c>
      <c r="B80" s="64">
        <v>8.27</v>
      </c>
      <c r="C80" s="64">
        <v>3.66</v>
      </c>
      <c r="D80" s="64">
        <v>12.32</v>
      </c>
      <c r="E80" s="64">
        <v>5.3</v>
      </c>
      <c r="F80" s="64">
        <v>4.26</v>
      </c>
      <c r="G80" s="64">
        <v>102.96</v>
      </c>
      <c r="H80" s="64">
        <v>34.61</v>
      </c>
      <c r="I80" s="64">
        <v>4.5999999999999996</v>
      </c>
      <c r="J80" s="64">
        <v>1.29</v>
      </c>
      <c r="K80" s="64">
        <v>343.65</v>
      </c>
      <c r="L80" s="64">
        <v>31.71</v>
      </c>
      <c r="M80" s="64">
        <v>49.61</v>
      </c>
      <c r="N80" s="64">
        <v>45.6</v>
      </c>
      <c r="O80" s="64">
        <v>0</v>
      </c>
      <c r="P80" s="64">
        <v>0.67</v>
      </c>
      <c r="Q80" s="64">
        <v>9.43</v>
      </c>
      <c r="R80" s="198"/>
      <c r="S80" s="198"/>
      <c r="T80" s="198"/>
      <c r="U80" s="198"/>
    </row>
    <row r="81" spans="1:26" s="12" customFormat="1" x14ac:dyDescent="0.25">
      <c r="A81" s="214" t="s">
        <v>1761</v>
      </c>
      <c r="B81" s="64">
        <v>8.19</v>
      </c>
      <c r="C81" s="64">
        <v>3.23</v>
      </c>
      <c r="D81" s="64">
        <v>12.02</v>
      </c>
      <c r="E81" s="64">
        <v>4.93</v>
      </c>
      <c r="F81" s="64">
        <v>4.34</v>
      </c>
      <c r="G81" s="64">
        <v>102.96</v>
      </c>
      <c r="H81" s="64">
        <v>34.61</v>
      </c>
      <c r="I81" s="64">
        <v>4.6399999999999997</v>
      </c>
      <c r="J81" s="64">
        <v>0.98</v>
      </c>
      <c r="K81" s="64">
        <v>349.13</v>
      </c>
      <c r="L81" s="64">
        <v>31.51</v>
      </c>
      <c r="M81" s="64">
        <v>50.62</v>
      </c>
      <c r="N81" s="64">
        <v>36.6</v>
      </c>
      <c r="O81" s="64">
        <v>0</v>
      </c>
      <c r="P81" s="64">
        <v>0.7</v>
      </c>
      <c r="Q81" s="64">
        <v>9.4600000000000009</v>
      </c>
      <c r="R81" s="198"/>
      <c r="S81" s="198"/>
      <c r="T81" s="198"/>
      <c r="U81" s="198"/>
    </row>
    <row r="82" spans="1:26" s="12" customFormat="1" x14ac:dyDescent="0.25">
      <c r="A82" s="214" t="s">
        <v>1762</v>
      </c>
      <c r="B82" s="64">
        <v>8.17</v>
      </c>
      <c r="C82" s="64">
        <v>3.13</v>
      </c>
      <c r="D82" s="64">
        <v>11.96</v>
      </c>
      <c r="E82" s="64">
        <v>5.21</v>
      </c>
      <c r="F82" s="64">
        <v>4.21</v>
      </c>
      <c r="G82" s="64">
        <v>111</v>
      </c>
      <c r="H82" s="64">
        <v>38.119999999999997</v>
      </c>
      <c r="I82" s="64">
        <v>4.9800000000000004</v>
      </c>
      <c r="J82" s="64">
        <v>0.5</v>
      </c>
      <c r="K82" s="64">
        <v>56.93</v>
      </c>
      <c r="L82" s="64">
        <v>31.03</v>
      </c>
      <c r="M82" s="64">
        <v>53.19</v>
      </c>
      <c r="N82" s="64">
        <v>28</v>
      </c>
      <c r="O82" s="64">
        <v>0</v>
      </c>
      <c r="P82" s="64">
        <v>0.75</v>
      </c>
      <c r="Q82" s="64">
        <v>9.48</v>
      </c>
      <c r="R82" s="198"/>
      <c r="S82" s="198"/>
      <c r="T82" s="198"/>
      <c r="U82" s="198"/>
    </row>
    <row r="83" spans="1:26" s="12" customFormat="1" x14ac:dyDescent="0.25">
      <c r="A83" s="214" t="s">
        <v>1763</v>
      </c>
      <c r="B83" s="64">
        <v>8.18</v>
      </c>
      <c r="C83" s="64">
        <v>3.17</v>
      </c>
      <c r="D83" s="64">
        <v>11.99</v>
      </c>
      <c r="E83" s="64">
        <v>5.0599999999999996</v>
      </c>
      <c r="F83" s="64">
        <v>4.03</v>
      </c>
      <c r="G83" s="64">
        <v>118.36</v>
      </c>
      <c r="H83" s="64">
        <v>41.47</v>
      </c>
      <c r="I83" s="64">
        <v>5.4</v>
      </c>
      <c r="J83" s="64">
        <v>0.67</v>
      </c>
      <c r="K83" s="64">
        <v>85.53</v>
      </c>
      <c r="L83" s="64">
        <v>30.58</v>
      </c>
      <c r="M83" s="64">
        <v>55.09</v>
      </c>
      <c r="N83" s="64">
        <v>22.6</v>
      </c>
      <c r="O83" s="64">
        <v>0</v>
      </c>
      <c r="P83" s="64">
        <v>0.73</v>
      </c>
      <c r="Q83" s="64">
        <v>9.51</v>
      </c>
      <c r="R83" s="198"/>
      <c r="S83" s="198"/>
      <c r="T83" s="198"/>
      <c r="U83" s="198"/>
    </row>
    <row r="84" spans="1:26" s="12" customFormat="1" x14ac:dyDescent="0.25">
      <c r="A84" s="214" t="s">
        <v>1764</v>
      </c>
      <c r="B84" s="64">
        <v>8.19</v>
      </c>
      <c r="C84" s="64">
        <v>3.26</v>
      </c>
      <c r="D84" s="64">
        <v>12.05</v>
      </c>
      <c r="E84" s="64">
        <v>5.26</v>
      </c>
      <c r="F84" s="64">
        <v>4.1100000000000003</v>
      </c>
      <c r="G84" s="64">
        <v>118.36</v>
      </c>
      <c r="H84" s="64">
        <v>41.47</v>
      </c>
      <c r="I84" s="64">
        <v>5.42</v>
      </c>
      <c r="J84" s="64">
        <v>0.41</v>
      </c>
      <c r="K84" s="64">
        <v>95.38</v>
      </c>
      <c r="L84" s="64">
        <v>30.47</v>
      </c>
      <c r="M84" s="64">
        <v>55.6</v>
      </c>
      <c r="N84" s="64">
        <v>20.7</v>
      </c>
      <c r="O84" s="64">
        <v>0</v>
      </c>
      <c r="P84" s="64">
        <v>0.76</v>
      </c>
      <c r="Q84" s="64">
        <v>9.52</v>
      </c>
      <c r="R84" s="198"/>
      <c r="S84" s="198"/>
      <c r="T84" s="198"/>
      <c r="U84" s="198"/>
    </row>
    <row r="85" spans="1:26" s="12" customFormat="1" x14ac:dyDescent="0.25">
      <c r="A85" s="214" t="s">
        <v>1765</v>
      </c>
      <c r="B85" s="64">
        <v>8.1999999999999993</v>
      </c>
      <c r="C85" s="64">
        <v>3.25</v>
      </c>
      <c r="D85" s="64">
        <v>12.05</v>
      </c>
      <c r="E85" s="64">
        <v>5.56</v>
      </c>
      <c r="F85" s="64">
        <v>4.05</v>
      </c>
      <c r="G85" s="64">
        <v>118.36</v>
      </c>
      <c r="H85" s="64">
        <v>41.47</v>
      </c>
      <c r="I85" s="64">
        <v>5.56</v>
      </c>
      <c r="J85" s="64">
        <v>0.33</v>
      </c>
      <c r="K85" s="64">
        <v>70.91</v>
      </c>
      <c r="L85" s="64">
        <v>30.42</v>
      </c>
      <c r="M85" s="64">
        <v>56.05</v>
      </c>
      <c r="N85" s="64">
        <v>20.5</v>
      </c>
      <c r="O85" s="64">
        <v>0</v>
      </c>
      <c r="P85" s="64">
        <v>0.72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14" t="s">
        <v>1766</v>
      </c>
      <c r="B86" s="64">
        <v>8.2200000000000006</v>
      </c>
      <c r="C86" s="64">
        <v>3.3</v>
      </c>
      <c r="D86" s="64">
        <v>12.09</v>
      </c>
      <c r="E86" s="64">
        <v>5.07</v>
      </c>
      <c r="F86" s="64">
        <v>3.95</v>
      </c>
      <c r="G86" s="64">
        <v>118.35</v>
      </c>
      <c r="H86" s="64">
        <v>42.35</v>
      </c>
      <c r="I86" s="64">
        <v>6.04</v>
      </c>
      <c r="J86" s="64">
        <v>0.62</v>
      </c>
      <c r="K86" s="64">
        <v>349.08</v>
      </c>
      <c r="L86" s="64">
        <v>30.33</v>
      </c>
      <c r="M86" s="64">
        <v>57.5</v>
      </c>
      <c r="N86" s="64">
        <v>20.6</v>
      </c>
      <c r="O86" s="64">
        <v>0</v>
      </c>
      <c r="P86" s="64">
        <v>0.85</v>
      </c>
      <c r="Q86" s="64">
        <v>9.52</v>
      </c>
      <c r="R86" s="198"/>
      <c r="S86" s="198"/>
      <c r="T86" s="198"/>
      <c r="U86" s="198"/>
    </row>
    <row r="87" spans="1:26" s="12" customFormat="1" x14ac:dyDescent="0.25">
      <c r="A87" s="214" t="s">
        <v>1767</v>
      </c>
      <c r="B87" s="64">
        <v>8.23</v>
      </c>
      <c r="C87" s="64">
        <v>3.37</v>
      </c>
      <c r="D87" s="64">
        <v>12.13</v>
      </c>
      <c r="E87" s="64">
        <v>5.22</v>
      </c>
      <c r="F87" s="64">
        <v>4.03</v>
      </c>
      <c r="G87" s="64">
        <v>118.34</v>
      </c>
      <c r="H87" s="64">
        <v>43.15</v>
      </c>
      <c r="I87" s="64">
        <v>6.47</v>
      </c>
      <c r="J87" s="64">
        <v>0.13</v>
      </c>
      <c r="K87" s="64">
        <v>28.79</v>
      </c>
      <c r="L87" s="64">
        <v>30.15</v>
      </c>
      <c r="M87" s="64">
        <v>58.91</v>
      </c>
      <c r="N87" s="64">
        <v>20.7</v>
      </c>
      <c r="O87" s="64">
        <v>0</v>
      </c>
      <c r="P87" s="64">
        <v>0.84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4" t="s">
        <v>1768</v>
      </c>
      <c r="B88" s="64">
        <v>8.2200000000000006</v>
      </c>
      <c r="C88" s="64">
        <v>3.43</v>
      </c>
      <c r="D88" s="64">
        <v>12.16</v>
      </c>
      <c r="E88" s="64">
        <v>5.55</v>
      </c>
      <c r="F88" s="64">
        <v>3.86</v>
      </c>
      <c r="G88" s="64">
        <v>118.34</v>
      </c>
      <c r="H88" s="64">
        <v>43.15</v>
      </c>
      <c r="I88" s="64">
        <v>6.91</v>
      </c>
      <c r="J88" s="64">
        <v>0.47</v>
      </c>
      <c r="K88" s="64">
        <v>110.64</v>
      </c>
      <c r="L88" s="64">
        <v>30.11</v>
      </c>
      <c r="M88" s="64">
        <v>57.28</v>
      </c>
      <c r="N88" s="64">
        <v>20.5</v>
      </c>
      <c r="O88" s="64">
        <v>0</v>
      </c>
      <c r="P88" s="64">
        <v>0.9</v>
      </c>
      <c r="Q88" s="64">
        <v>9.69</v>
      </c>
      <c r="R88" s="198"/>
      <c r="S88" s="198"/>
      <c r="T88" s="198"/>
      <c r="U88" s="198"/>
    </row>
    <row r="89" spans="1:26" s="12" customFormat="1" x14ac:dyDescent="0.25">
      <c r="A89" s="214" t="s">
        <v>1769</v>
      </c>
      <c r="B89" s="64">
        <v>8.19</v>
      </c>
      <c r="C89" s="64">
        <v>3.28</v>
      </c>
      <c r="D89" s="64">
        <v>12.06</v>
      </c>
      <c r="E89" s="64">
        <v>4.46</v>
      </c>
      <c r="F89" s="64">
        <v>3.96</v>
      </c>
      <c r="G89" s="64">
        <v>118.34</v>
      </c>
      <c r="H89" s="64">
        <v>43.15</v>
      </c>
      <c r="I89" s="64">
        <v>7.2</v>
      </c>
      <c r="J89" s="64">
        <v>0.57999999999999996</v>
      </c>
      <c r="K89" s="64">
        <v>78.319999999999993</v>
      </c>
      <c r="L89" s="64">
        <v>30.31</v>
      </c>
      <c r="M89" s="64">
        <v>58.02</v>
      </c>
      <c r="N89" s="64">
        <v>20.399999999999999</v>
      </c>
      <c r="O89" s="64">
        <v>0</v>
      </c>
      <c r="P89" s="64">
        <v>0.9</v>
      </c>
      <c r="Q89" s="64">
        <v>9.6999999999999993</v>
      </c>
      <c r="R89" s="198"/>
      <c r="S89" s="198"/>
      <c r="T89" s="198"/>
      <c r="U89" s="198"/>
    </row>
    <row r="90" spans="1:26" s="12" customFormat="1" x14ac:dyDescent="0.25">
      <c r="A90" s="214" t="s">
        <v>1770</v>
      </c>
      <c r="B90" s="64">
        <v>8.16</v>
      </c>
      <c r="C90" s="64">
        <v>3.2</v>
      </c>
      <c r="D90" s="64">
        <v>11.99</v>
      </c>
      <c r="E90" s="64">
        <v>4.5999999999999996</v>
      </c>
      <c r="F90" s="64">
        <v>3.88</v>
      </c>
      <c r="G90" s="64">
        <v>127.79</v>
      </c>
      <c r="H90" s="64">
        <v>43.94</v>
      </c>
      <c r="I90" s="64">
        <v>7.04</v>
      </c>
      <c r="J90" s="64">
        <v>0.67</v>
      </c>
      <c r="K90" s="64">
        <v>49.85</v>
      </c>
      <c r="L90" s="64">
        <v>30.22</v>
      </c>
      <c r="M90" s="64">
        <v>58.24</v>
      </c>
      <c r="N90" s="64">
        <v>20.399999999999999</v>
      </c>
      <c r="O90" s="64">
        <v>0</v>
      </c>
      <c r="P90" s="64">
        <v>0.9</v>
      </c>
      <c r="Q90" s="64">
        <v>9.69</v>
      </c>
      <c r="R90" s="198"/>
      <c r="S90" s="198"/>
      <c r="T90" s="198"/>
      <c r="U90" s="198"/>
    </row>
    <row r="91" spans="1:26" s="12" customFormat="1" x14ac:dyDescent="0.25">
      <c r="A91" s="214" t="s">
        <v>1771</v>
      </c>
      <c r="B91" s="64">
        <v>8.25</v>
      </c>
      <c r="C91" s="64">
        <v>3.55</v>
      </c>
      <c r="D91" s="64">
        <v>12.24</v>
      </c>
      <c r="E91" s="64">
        <v>4.76</v>
      </c>
      <c r="F91" s="64">
        <v>3.7</v>
      </c>
      <c r="G91" s="64">
        <v>136.44</v>
      </c>
      <c r="H91" s="64">
        <v>44.66</v>
      </c>
      <c r="I91" s="64">
        <v>6.61</v>
      </c>
      <c r="J91" s="64">
        <v>0.09</v>
      </c>
      <c r="K91" s="64">
        <v>207.83</v>
      </c>
      <c r="L91" s="64">
        <v>30.05</v>
      </c>
      <c r="M91" s="64">
        <v>61.88</v>
      </c>
      <c r="N91" s="64">
        <v>20.5</v>
      </c>
      <c r="O91" s="64">
        <v>0</v>
      </c>
      <c r="P91" s="64">
        <v>0.99</v>
      </c>
      <c r="Q91" s="64">
        <v>9.68</v>
      </c>
      <c r="R91" s="198"/>
      <c r="S91" s="198"/>
      <c r="T91" s="198"/>
      <c r="U91" s="198"/>
    </row>
    <row r="92" spans="1:26" s="12" customFormat="1" x14ac:dyDescent="0.25">
      <c r="A92" s="214" t="s">
        <v>1772</v>
      </c>
      <c r="B92" s="64">
        <v>8.91</v>
      </c>
      <c r="C92" s="64">
        <v>5.64</v>
      </c>
      <c r="D92" s="64">
        <v>13.87</v>
      </c>
      <c r="E92" s="64">
        <v>4.57</v>
      </c>
      <c r="F92" s="64">
        <v>3.43</v>
      </c>
      <c r="G92" s="64">
        <v>136.44</v>
      </c>
      <c r="H92" s="64">
        <v>44.66</v>
      </c>
      <c r="I92" s="64">
        <v>6.47</v>
      </c>
      <c r="J92" s="64">
        <v>0.89</v>
      </c>
      <c r="K92" s="64">
        <v>183.01</v>
      </c>
      <c r="L92" s="64">
        <v>30.36</v>
      </c>
      <c r="M92" s="64">
        <v>55.25</v>
      </c>
      <c r="N92" s="64">
        <v>20</v>
      </c>
      <c r="O92" s="64">
        <v>0</v>
      </c>
      <c r="P92" s="64">
        <v>1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4" t="s">
        <v>1773</v>
      </c>
      <c r="B93" s="64">
        <v>8.3699999999999992</v>
      </c>
      <c r="C93" s="64">
        <v>3.83</v>
      </c>
      <c r="D93" s="64">
        <v>12.48</v>
      </c>
      <c r="E93" s="64">
        <v>4.8499999999999996</v>
      </c>
      <c r="F93" s="64">
        <v>3.73</v>
      </c>
      <c r="G93" s="64">
        <v>136.44</v>
      </c>
      <c r="H93" s="64">
        <v>44.66</v>
      </c>
      <c r="I93" s="64">
        <v>7.1</v>
      </c>
      <c r="J93" s="64">
        <v>0.98</v>
      </c>
      <c r="K93" s="64">
        <v>148.21</v>
      </c>
      <c r="L93" s="64">
        <v>30.44</v>
      </c>
      <c r="M93" s="64">
        <v>53.51</v>
      </c>
      <c r="N93" s="64">
        <v>20.3</v>
      </c>
      <c r="O93" s="64">
        <v>0</v>
      </c>
      <c r="P93" s="64">
        <v>1</v>
      </c>
      <c r="Q93" s="64">
        <v>9.73</v>
      </c>
      <c r="R93" s="198"/>
      <c r="S93" s="198"/>
      <c r="T93" s="198"/>
      <c r="U93" s="198"/>
    </row>
    <row r="94" spans="1:26" s="12" customFormat="1" x14ac:dyDescent="0.25">
      <c r="A94" s="214" t="s">
        <v>1774</v>
      </c>
      <c r="B94" s="64">
        <v>8.1999999999999993</v>
      </c>
      <c r="C94" s="64">
        <v>3.35</v>
      </c>
      <c r="D94" s="64">
        <v>12.1</v>
      </c>
      <c r="E94" s="64">
        <v>4.83</v>
      </c>
      <c r="F94" s="64">
        <v>3.33</v>
      </c>
      <c r="G94" s="64">
        <v>140.78</v>
      </c>
      <c r="H94" s="64">
        <v>47.3</v>
      </c>
      <c r="I94" s="64">
        <v>7.5</v>
      </c>
      <c r="J94" s="64">
        <v>1.1299999999999999</v>
      </c>
      <c r="K94" s="64">
        <v>152.9</v>
      </c>
      <c r="L94" s="64">
        <v>30.5</v>
      </c>
      <c r="M94" s="64">
        <v>51.21</v>
      </c>
      <c r="N94" s="64">
        <v>20.399999999999999</v>
      </c>
      <c r="O94" s="64">
        <v>0</v>
      </c>
      <c r="P94" s="64">
        <v>0.97</v>
      </c>
      <c r="Q94" s="64">
        <v>9.7100000000000009</v>
      </c>
      <c r="R94" s="198"/>
      <c r="S94" s="198"/>
      <c r="T94" s="198"/>
      <c r="U94" s="198"/>
    </row>
    <row r="95" spans="1:26" s="12" customFormat="1" x14ac:dyDescent="0.25">
      <c r="A95" s="214" t="s">
        <v>1775</v>
      </c>
      <c r="B95" s="64">
        <v>8.14</v>
      </c>
      <c r="C95" s="64">
        <v>3.1</v>
      </c>
      <c r="D95" s="64">
        <v>11.93</v>
      </c>
      <c r="E95" s="64">
        <v>5</v>
      </c>
      <c r="F95" s="64">
        <v>3.62</v>
      </c>
      <c r="G95" s="64">
        <v>144.76</v>
      </c>
      <c r="H95" s="64">
        <v>49.71</v>
      </c>
      <c r="I95" s="64">
        <v>7.52</v>
      </c>
      <c r="J95" s="64">
        <v>1.1499999999999999</v>
      </c>
      <c r="K95" s="64">
        <v>148.59</v>
      </c>
      <c r="L95" s="64">
        <v>30.47</v>
      </c>
      <c r="M95" s="64">
        <v>50.84</v>
      </c>
      <c r="N95" s="64">
        <v>20.5</v>
      </c>
      <c r="O95" s="64">
        <v>0</v>
      </c>
      <c r="P95" s="64">
        <v>0.95</v>
      </c>
      <c r="Q95" s="64">
        <v>9.75</v>
      </c>
      <c r="R95" s="198"/>
      <c r="S95" s="198"/>
      <c r="T95" s="198"/>
      <c r="U95" s="198"/>
    </row>
    <row r="96" spans="1:26" s="12" customFormat="1" x14ac:dyDescent="0.25">
      <c r="A96" s="214" t="s">
        <v>1776</v>
      </c>
      <c r="B96" s="64">
        <v>8.23</v>
      </c>
      <c r="C96" s="64">
        <v>3.34</v>
      </c>
      <c r="D96" s="64">
        <v>12.12</v>
      </c>
      <c r="E96" s="64">
        <v>4.42</v>
      </c>
      <c r="F96" s="64">
        <v>3.77</v>
      </c>
      <c r="G96" s="64">
        <v>144.76</v>
      </c>
      <c r="H96" s="64">
        <v>49.71</v>
      </c>
      <c r="I96" s="64">
        <v>7.57</v>
      </c>
      <c r="J96" s="64">
        <v>0.96</v>
      </c>
      <c r="K96" s="64">
        <v>171.6</v>
      </c>
      <c r="L96" s="64">
        <v>30.43</v>
      </c>
      <c r="M96" s="64">
        <v>51.29</v>
      </c>
      <c r="N96" s="64">
        <v>20.5</v>
      </c>
      <c r="O96" s="64">
        <v>0</v>
      </c>
      <c r="P96" s="64">
        <v>0.92</v>
      </c>
      <c r="Q96" s="64">
        <v>9.75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1777</v>
      </c>
      <c r="B97" s="64">
        <v>8.1999999999999993</v>
      </c>
      <c r="C97" s="64">
        <v>3.33</v>
      </c>
      <c r="D97" s="64">
        <v>12.09</v>
      </c>
      <c r="E97" s="64">
        <v>4.8600000000000003</v>
      </c>
      <c r="F97" s="64">
        <v>3.55</v>
      </c>
      <c r="G97" s="64">
        <v>144.76</v>
      </c>
      <c r="H97" s="64">
        <v>49.71</v>
      </c>
      <c r="I97" s="64">
        <v>7.58</v>
      </c>
      <c r="J97" s="64">
        <v>0.5</v>
      </c>
      <c r="K97" s="64">
        <v>201.78</v>
      </c>
      <c r="L97" s="64">
        <v>30.45</v>
      </c>
      <c r="M97" s="64">
        <v>51.55</v>
      </c>
      <c r="N97" s="64">
        <v>20.7</v>
      </c>
      <c r="O97" s="64">
        <v>0</v>
      </c>
      <c r="P97" s="64">
        <v>0.89</v>
      </c>
      <c r="Q97" s="64">
        <v>9.7100000000000009</v>
      </c>
      <c r="R97" s="198"/>
      <c r="S97" s="198"/>
      <c r="T97" s="198"/>
      <c r="U97" s="198"/>
    </row>
    <row r="98" spans="1:33" s="12" customFormat="1" x14ac:dyDescent="0.25">
      <c r="A98" s="214" t="s">
        <v>1778</v>
      </c>
      <c r="B98" s="64">
        <v>8.1999999999999993</v>
      </c>
      <c r="C98" s="64">
        <v>3.32</v>
      </c>
      <c r="D98" s="64">
        <v>12.09</v>
      </c>
      <c r="E98" s="64">
        <v>4.5</v>
      </c>
      <c r="F98" s="64">
        <v>3.53</v>
      </c>
      <c r="G98" s="64">
        <v>140.62</v>
      </c>
      <c r="H98" s="64">
        <v>50.01</v>
      </c>
      <c r="I98" s="64">
        <v>7.55</v>
      </c>
      <c r="J98" s="64">
        <v>0.09</v>
      </c>
      <c r="K98" s="64">
        <v>227.68</v>
      </c>
      <c r="L98" s="64">
        <v>30.1</v>
      </c>
      <c r="M98" s="64">
        <v>54.1</v>
      </c>
      <c r="N98" s="64">
        <v>20.9</v>
      </c>
      <c r="O98" s="64">
        <v>0</v>
      </c>
      <c r="P98" s="64">
        <v>0.86</v>
      </c>
      <c r="Q98" s="64">
        <v>9.65</v>
      </c>
      <c r="R98" s="198"/>
      <c r="S98" s="198"/>
      <c r="T98" s="198"/>
      <c r="U98" s="198"/>
    </row>
    <row r="99" spans="1:33" s="12" customFormat="1" x14ac:dyDescent="0.25">
      <c r="A99" s="214" t="s">
        <v>1779</v>
      </c>
      <c r="B99" s="64">
        <v>8.33</v>
      </c>
      <c r="C99" s="64">
        <v>3.56</v>
      </c>
      <c r="D99" s="64">
        <v>12.31</v>
      </c>
      <c r="E99" s="64">
        <v>4.12</v>
      </c>
      <c r="F99" s="64">
        <v>3.69</v>
      </c>
      <c r="G99" s="64">
        <v>136.66999999999999</v>
      </c>
      <c r="H99" s="64">
        <v>50.31</v>
      </c>
      <c r="I99" s="64">
        <v>7.34</v>
      </c>
      <c r="J99" s="64">
        <v>0.76</v>
      </c>
      <c r="K99" s="64">
        <v>159.05000000000001</v>
      </c>
      <c r="L99" s="64">
        <v>29.82</v>
      </c>
      <c r="M99" s="64">
        <v>56.25</v>
      </c>
      <c r="N99" s="64">
        <v>20.8</v>
      </c>
      <c r="O99" s="64">
        <v>0</v>
      </c>
      <c r="P99" s="64">
        <v>0.86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4" t="s">
        <v>1780</v>
      </c>
      <c r="B100" s="64">
        <v>8.32</v>
      </c>
      <c r="C100" s="64">
        <v>3.56</v>
      </c>
      <c r="D100" s="64">
        <v>12.3</v>
      </c>
      <c r="E100" s="64">
        <v>4.25</v>
      </c>
      <c r="F100" s="64">
        <v>3.58</v>
      </c>
      <c r="G100" s="64">
        <v>136.66999999999999</v>
      </c>
      <c r="H100" s="64">
        <v>50.31</v>
      </c>
      <c r="I100" s="64">
        <v>7.28</v>
      </c>
      <c r="J100" s="64">
        <v>0.48</v>
      </c>
      <c r="K100" s="64">
        <v>194.38</v>
      </c>
      <c r="L100" s="64">
        <v>29.78</v>
      </c>
      <c r="M100" s="64">
        <v>55.47</v>
      </c>
      <c r="N100" s="64">
        <v>20.6</v>
      </c>
      <c r="O100" s="64">
        <v>0</v>
      </c>
      <c r="P100" s="64">
        <v>0.83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1781</v>
      </c>
      <c r="B101" s="64">
        <v>8.2899999999999991</v>
      </c>
      <c r="C101" s="64">
        <v>3.45</v>
      </c>
      <c r="D101" s="64">
        <v>12.23</v>
      </c>
      <c r="E101" s="64">
        <v>4.2699999999999996</v>
      </c>
      <c r="F101" s="64">
        <v>3.89</v>
      </c>
      <c r="G101" s="64">
        <v>136.66999999999999</v>
      </c>
      <c r="H101" s="64">
        <v>50.31</v>
      </c>
      <c r="I101" s="64">
        <v>7.45</v>
      </c>
      <c r="J101" s="64">
        <v>0.37</v>
      </c>
      <c r="K101" s="64">
        <v>203.99</v>
      </c>
      <c r="L101" s="64">
        <v>29.82</v>
      </c>
      <c r="M101" s="64">
        <v>54.59</v>
      </c>
      <c r="N101" s="64">
        <v>20.5</v>
      </c>
      <c r="O101" s="64">
        <v>0</v>
      </c>
      <c r="P101" s="64">
        <v>0.8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4" t="s">
        <v>1782</v>
      </c>
      <c r="B102" s="64">
        <v>8.25</v>
      </c>
      <c r="C102" s="64">
        <v>3.34</v>
      </c>
      <c r="D102" s="64">
        <v>12.14</v>
      </c>
      <c r="E102" s="64">
        <v>4.57</v>
      </c>
      <c r="F102" s="64">
        <v>3.82</v>
      </c>
      <c r="G102" s="64">
        <v>127.14</v>
      </c>
      <c r="H102" s="64">
        <v>47.13</v>
      </c>
      <c r="I102" s="64">
        <v>7.28</v>
      </c>
      <c r="J102" s="64">
        <v>0</v>
      </c>
      <c r="K102" s="64">
        <v>197.95</v>
      </c>
      <c r="L102" s="64">
        <v>29.9</v>
      </c>
      <c r="M102" s="64">
        <v>52.21</v>
      </c>
      <c r="N102" s="64">
        <v>20.399999999999999</v>
      </c>
      <c r="O102" s="64">
        <v>0</v>
      </c>
      <c r="P102" s="64">
        <v>0.78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4" t="s">
        <v>1783</v>
      </c>
      <c r="B103" s="64">
        <v>8.27</v>
      </c>
      <c r="C103" s="64">
        <v>3.34</v>
      </c>
      <c r="D103" s="64">
        <v>12.15</v>
      </c>
      <c r="E103" s="64">
        <v>4.43</v>
      </c>
      <c r="F103" s="64">
        <v>3.77</v>
      </c>
      <c r="G103" s="64">
        <v>118.43</v>
      </c>
      <c r="H103" s="64">
        <v>44.22</v>
      </c>
      <c r="I103" s="64">
        <v>7.19</v>
      </c>
      <c r="J103" s="64">
        <v>0.26</v>
      </c>
      <c r="K103" s="64">
        <v>12.04</v>
      </c>
      <c r="L103" s="64">
        <v>29.86</v>
      </c>
      <c r="M103" s="64">
        <v>51.3</v>
      </c>
      <c r="N103" s="64">
        <v>20.5</v>
      </c>
      <c r="O103" s="64">
        <v>0</v>
      </c>
      <c r="P103" s="64">
        <v>0.74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4" t="s">
        <v>1784</v>
      </c>
      <c r="B104" s="64">
        <v>8.27</v>
      </c>
      <c r="C104" s="64">
        <v>3.34</v>
      </c>
      <c r="D104" s="64">
        <v>12.15</v>
      </c>
      <c r="E104" s="64">
        <v>3.79</v>
      </c>
      <c r="F104" s="64">
        <v>4.29</v>
      </c>
      <c r="G104" s="64">
        <v>118.43</v>
      </c>
      <c r="H104" s="64">
        <v>44.22</v>
      </c>
      <c r="I104" s="64">
        <v>7.36</v>
      </c>
      <c r="J104" s="64">
        <v>0.57999999999999996</v>
      </c>
      <c r="K104" s="64">
        <v>21.2</v>
      </c>
      <c r="L104" s="64">
        <v>29.7</v>
      </c>
      <c r="M104" s="64">
        <v>52.22</v>
      </c>
      <c r="N104" s="64">
        <v>20.7</v>
      </c>
      <c r="O104" s="64">
        <v>0</v>
      </c>
      <c r="P104" s="64">
        <v>0.69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8.14</v>
      </c>
      <c r="C106" s="67">
        <f>MIN(C9:C104)</f>
        <v>3.06</v>
      </c>
      <c r="D106" s="67">
        <f t="shared" ref="D106:Q106" si="0">MIN(D9:D104)</f>
        <v>11.91</v>
      </c>
      <c r="E106" s="67">
        <f t="shared" si="0"/>
        <v>2.9</v>
      </c>
      <c r="F106" s="67">
        <f t="shared" si="0"/>
        <v>3.33</v>
      </c>
      <c r="G106" s="67">
        <f t="shared" si="0"/>
        <v>39.159999999999997</v>
      </c>
      <c r="H106" s="67">
        <f t="shared" si="0"/>
        <v>12.11</v>
      </c>
      <c r="I106" s="67">
        <f t="shared" si="0"/>
        <v>3.37</v>
      </c>
      <c r="J106" s="67">
        <f t="shared" si="0"/>
        <v>0</v>
      </c>
      <c r="K106" s="67">
        <f t="shared" si="0"/>
        <v>1.81</v>
      </c>
      <c r="L106" s="67">
        <f t="shared" si="0"/>
        <v>25.84</v>
      </c>
      <c r="M106" s="67">
        <f t="shared" si="0"/>
        <v>35.32</v>
      </c>
      <c r="N106" s="67">
        <f t="shared" si="0"/>
        <v>18.2</v>
      </c>
      <c r="O106" s="67">
        <f t="shared" si="0"/>
        <v>0</v>
      </c>
      <c r="P106" s="67">
        <f t="shared" si="0"/>
        <v>0.24</v>
      </c>
      <c r="Q106" s="67">
        <f t="shared" si="0"/>
        <v>9.39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8.91</v>
      </c>
      <c r="C107" s="66">
        <f t="shared" ref="C107:Q107" si="1">MAX(C9:C104)</f>
        <v>5.64</v>
      </c>
      <c r="D107" s="66">
        <f t="shared" si="1"/>
        <v>13.87</v>
      </c>
      <c r="E107" s="66">
        <f t="shared" si="1"/>
        <v>5.56</v>
      </c>
      <c r="F107" s="66">
        <f t="shared" si="1"/>
        <v>6.51</v>
      </c>
      <c r="G107" s="66">
        <f t="shared" si="1"/>
        <v>144.76</v>
      </c>
      <c r="H107" s="66">
        <f t="shared" si="1"/>
        <v>50.31</v>
      </c>
      <c r="I107" s="66">
        <f t="shared" si="1"/>
        <v>7.58</v>
      </c>
      <c r="J107" s="66">
        <f t="shared" si="1"/>
        <v>3.43</v>
      </c>
      <c r="K107" s="66">
        <f t="shared" si="1"/>
        <v>355.95</v>
      </c>
      <c r="L107" s="66">
        <f t="shared" si="1"/>
        <v>36.520000000000003</v>
      </c>
      <c r="M107" s="66">
        <f t="shared" si="1"/>
        <v>76.709999999999994</v>
      </c>
      <c r="N107" s="66">
        <f t="shared" si="1"/>
        <v>750.1</v>
      </c>
      <c r="O107" s="66">
        <f t="shared" si="1"/>
        <v>0</v>
      </c>
      <c r="P107" s="66">
        <f t="shared" si="1"/>
        <v>1</v>
      </c>
      <c r="Q107" s="66">
        <f t="shared" si="1"/>
        <v>9.75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8.2328125000000032</v>
      </c>
      <c r="C108" s="67">
        <f t="shared" ref="C108:Q108" si="2">AVERAGE(C9:C104)</f>
        <v>3.3790624999999976</v>
      </c>
      <c r="D108" s="67">
        <f t="shared" si="2"/>
        <v>12.1421875</v>
      </c>
      <c r="E108" s="67">
        <f t="shared" si="2"/>
        <v>4.4091666666666685</v>
      </c>
      <c r="F108" s="67">
        <f t="shared" si="2"/>
        <v>4.5561458333333311</v>
      </c>
      <c r="G108" s="67">
        <f t="shared" si="2"/>
        <v>78.731041666666684</v>
      </c>
      <c r="H108" s="67">
        <f t="shared" si="2"/>
        <v>28.234166666666667</v>
      </c>
      <c r="I108" s="67">
        <f t="shared" si="2"/>
        <v>5.6662500000000016</v>
      </c>
      <c r="J108" s="67">
        <f t="shared" si="2"/>
        <v>0.88427083333333367</v>
      </c>
      <c r="K108" s="67">
        <f t="shared" si="2"/>
        <v>176.66916666666671</v>
      </c>
      <c r="L108" s="67">
        <f t="shared" si="2"/>
        <v>30.713958333333348</v>
      </c>
      <c r="M108" s="67">
        <f t="shared" si="2"/>
        <v>54.884479166666694</v>
      </c>
      <c r="N108" s="67">
        <f t="shared" si="2"/>
        <v>156.22395833333331</v>
      </c>
      <c r="O108" s="67">
        <f t="shared" si="2"/>
        <v>0</v>
      </c>
      <c r="P108" s="67">
        <f t="shared" si="2"/>
        <v>0.50458333333333327</v>
      </c>
      <c r="Q108" s="67">
        <f t="shared" si="2"/>
        <v>9.5008333333333344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9.7631995672255778E-2</v>
      </c>
      <c r="C109" s="67">
        <f t="shared" ref="C109:Q109" si="3">STDEV(C9:C104)</f>
        <v>0.3365586775304607</v>
      </c>
      <c r="D109" s="67">
        <f t="shared" si="3"/>
        <v>0.25224133441899182</v>
      </c>
      <c r="E109" s="67">
        <f t="shared" si="3"/>
        <v>0.60313159368269154</v>
      </c>
      <c r="F109" s="67">
        <f t="shared" si="3"/>
        <v>0.86469875471375768</v>
      </c>
      <c r="G109" s="67">
        <f t="shared" si="3"/>
        <v>33.676486986406559</v>
      </c>
      <c r="H109" s="67">
        <f t="shared" si="3"/>
        <v>12.297771870646176</v>
      </c>
      <c r="I109" s="67">
        <f t="shared" si="3"/>
        <v>1.3287859516352289</v>
      </c>
      <c r="J109" s="67">
        <f t="shared" si="3"/>
        <v>0.68916997336867614</v>
      </c>
      <c r="K109" s="67">
        <f t="shared" si="3"/>
        <v>125.17456277380809</v>
      </c>
      <c r="L109" s="67">
        <f t="shared" si="3"/>
        <v>2.7971859841320104</v>
      </c>
      <c r="M109" s="67">
        <f t="shared" si="3"/>
        <v>9.4143039958286803</v>
      </c>
      <c r="N109" s="67">
        <f t="shared" si="3"/>
        <v>194.75794679809295</v>
      </c>
      <c r="O109" s="67">
        <f t="shared" si="3"/>
        <v>0</v>
      </c>
      <c r="P109" s="67">
        <f t="shared" si="3"/>
        <v>0.23167998194727077</v>
      </c>
      <c r="Q109" s="67">
        <f t="shared" si="3"/>
        <v>9.1417684188870849E-2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1785</v>
      </c>
      <c r="B9" s="64">
        <v>8.27</v>
      </c>
      <c r="C9" s="64">
        <v>3.44</v>
      </c>
      <c r="D9" s="64">
        <v>12.21</v>
      </c>
      <c r="E9" s="64">
        <v>3.69</v>
      </c>
      <c r="F9" s="64">
        <v>5.27</v>
      </c>
      <c r="G9" s="64">
        <v>118.43</v>
      </c>
      <c r="H9" s="64">
        <v>44.22</v>
      </c>
      <c r="I9" s="64">
        <v>7.18</v>
      </c>
      <c r="J9" s="64">
        <v>0.5</v>
      </c>
      <c r="K9" s="64">
        <v>24.68</v>
      </c>
      <c r="L9" s="64">
        <v>29.39</v>
      </c>
      <c r="M9" s="64">
        <v>53</v>
      </c>
      <c r="N9" s="64">
        <v>20.9</v>
      </c>
      <c r="O9" s="64">
        <v>0</v>
      </c>
      <c r="P9" s="64">
        <v>0.63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1786</v>
      </c>
      <c r="B10" s="64">
        <v>8.18</v>
      </c>
      <c r="C10" s="64">
        <v>3.25</v>
      </c>
      <c r="D10" s="64">
        <v>12.03</v>
      </c>
      <c r="E10" s="64">
        <v>3.7</v>
      </c>
      <c r="F10" s="64">
        <v>5.23</v>
      </c>
      <c r="G10" s="64">
        <v>100.4</v>
      </c>
      <c r="H10" s="64">
        <v>36.159999999999997</v>
      </c>
      <c r="I10" s="64">
        <v>6.69</v>
      </c>
      <c r="J10" s="64">
        <v>0.52</v>
      </c>
      <c r="K10" s="64">
        <v>19.239999999999998</v>
      </c>
      <c r="L10" s="64">
        <v>29.09</v>
      </c>
      <c r="M10" s="64">
        <v>53.06</v>
      </c>
      <c r="N10" s="64">
        <v>20.9</v>
      </c>
      <c r="O10" s="64">
        <v>0</v>
      </c>
      <c r="P10" s="64">
        <v>0.56999999999999995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4" t="s">
        <v>1787</v>
      </c>
      <c r="B11" s="64">
        <v>8.2200000000000006</v>
      </c>
      <c r="C11" s="64">
        <v>3.39</v>
      </c>
      <c r="D11" s="64">
        <v>12.14</v>
      </c>
      <c r="E11" s="64">
        <v>3.61</v>
      </c>
      <c r="F11" s="64">
        <v>6.24</v>
      </c>
      <c r="G11" s="64">
        <v>83.9</v>
      </c>
      <c r="H11" s="64">
        <v>28.78</v>
      </c>
      <c r="I11" s="64">
        <v>6.14</v>
      </c>
      <c r="J11" s="64">
        <v>0.56000000000000005</v>
      </c>
      <c r="K11" s="64">
        <v>17.59</v>
      </c>
      <c r="L11" s="64">
        <v>28.77</v>
      </c>
      <c r="M11" s="64">
        <v>54.9</v>
      </c>
      <c r="N11" s="64">
        <v>21</v>
      </c>
      <c r="O11" s="64">
        <v>0</v>
      </c>
      <c r="P11" s="64">
        <v>0.5</v>
      </c>
      <c r="Q11" s="64">
        <v>9.5299999999999994</v>
      </c>
      <c r="R11" s="198"/>
      <c r="S11" s="198"/>
      <c r="T11" s="198"/>
      <c r="U11" s="198"/>
    </row>
    <row r="12" spans="1:21" s="12" customFormat="1" x14ac:dyDescent="0.25">
      <c r="A12" s="214" t="s">
        <v>1788</v>
      </c>
      <c r="B12" s="64">
        <v>8.36</v>
      </c>
      <c r="C12" s="64">
        <v>3.87</v>
      </c>
      <c r="D12" s="64">
        <v>12.5</v>
      </c>
      <c r="E12" s="64">
        <v>3.34</v>
      </c>
      <c r="F12" s="64">
        <v>6.89</v>
      </c>
      <c r="G12" s="64">
        <v>83.9</v>
      </c>
      <c r="H12" s="64">
        <v>28.78</v>
      </c>
      <c r="I12" s="64">
        <v>5.46</v>
      </c>
      <c r="J12" s="64">
        <v>0.2</v>
      </c>
      <c r="K12" s="64">
        <v>22.01</v>
      </c>
      <c r="L12" s="64">
        <v>28.33</v>
      </c>
      <c r="M12" s="64">
        <v>56.61</v>
      </c>
      <c r="N12" s="64">
        <v>21</v>
      </c>
      <c r="O12" s="64">
        <v>0</v>
      </c>
      <c r="P12" s="64">
        <v>0.45</v>
      </c>
      <c r="Q12" s="64">
        <v>9.52</v>
      </c>
      <c r="R12" s="198"/>
      <c r="S12" s="198"/>
      <c r="T12" s="198"/>
      <c r="U12" s="198"/>
    </row>
    <row r="13" spans="1:21" s="12" customFormat="1" x14ac:dyDescent="0.25">
      <c r="A13" s="214" t="s">
        <v>1789</v>
      </c>
      <c r="B13" s="64">
        <v>8.18</v>
      </c>
      <c r="C13" s="64">
        <v>3.18</v>
      </c>
      <c r="D13" s="64">
        <v>11.99</v>
      </c>
      <c r="E13" s="64">
        <v>3.5</v>
      </c>
      <c r="F13" s="64">
        <v>5.42</v>
      </c>
      <c r="G13" s="64">
        <v>83.9</v>
      </c>
      <c r="H13" s="64">
        <v>28.78</v>
      </c>
      <c r="I13" s="64">
        <v>4.6399999999999997</v>
      </c>
      <c r="J13" s="64">
        <v>0.27</v>
      </c>
      <c r="K13" s="64">
        <v>344.75</v>
      </c>
      <c r="L13" s="64">
        <v>28.01</v>
      </c>
      <c r="M13" s="64">
        <v>58.21</v>
      </c>
      <c r="N13" s="64">
        <v>20.8</v>
      </c>
      <c r="O13" s="64">
        <v>0</v>
      </c>
      <c r="P13" s="64">
        <v>0.4</v>
      </c>
      <c r="Q13" s="64">
        <v>9.49</v>
      </c>
      <c r="R13" s="198"/>
      <c r="S13" s="198"/>
      <c r="T13" s="198"/>
      <c r="U13" s="198"/>
    </row>
    <row r="14" spans="1:21" s="12" customFormat="1" x14ac:dyDescent="0.25">
      <c r="A14" s="214" t="s">
        <v>1790</v>
      </c>
      <c r="B14" s="64">
        <v>8.1300000000000008</v>
      </c>
      <c r="C14" s="64">
        <v>3.05</v>
      </c>
      <c r="D14" s="64">
        <v>11.89</v>
      </c>
      <c r="E14" s="64">
        <v>3.26</v>
      </c>
      <c r="F14" s="64">
        <v>5.32</v>
      </c>
      <c r="G14" s="64">
        <v>74.209999999999994</v>
      </c>
      <c r="H14" s="64">
        <v>29.05</v>
      </c>
      <c r="I14" s="64">
        <v>4.13</v>
      </c>
      <c r="J14" s="64">
        <v>0.43</v>
      </c>
      <c r="K14" s="64">
        <v>18.62</v>
      </c>
      <c r="L14" s="64">
        <v>27.86</v>
      </c>
      <c r="M14" s="64">
        <v>59.28</v>
      </c>
      <c r="N14" s="64">
        <v>20.5</v>
      </c>
      <c r="O14" s="64">
        <v>0</v>
      </c>
      <c r="P14" s="64">
        <v>0.39</v>
      </c>
      <c r="Q14" s="64">
        <v>9.4700000000000006</v>
      </c>
      <c r="R14" s="198"/>
      <c r="S14" s="198"/>
      <c r="T14" s="198"/>
      <c r="U14" s="198"/>
    </row>
    <row r="15" spans="1:21" s="12" customFormat="1" x14ac:dyDescent="0.25">
      <c r="A15" s="214" t="s">
        <v>1791</v>
      </c>
      <c r="B15" s="64">
        <v>8.17</v>
      </c>
      <c r="C15" s="64">
        <v>3.22</v>
      </c>
      <c r="D15" s="64">
        <v>12.01</v>
      </c>
      <c r="E15" s="64">
        <v>3.21</v>
      </c>
      <c r="F15" s="64">
        <v>6.09</v>
      </c>
      <c r="G15" s="64">
        <v>64.94</v>
      </c>
      <c r="H15" s="64">
        <v>29.3</v>
      </c>
      <c r="I15" s="64">
        <v>3.81</v>
      </c>
      <c r="J15" s="64">
        <v>0.63</v>
      </c>
      <c r="K15" s="64">
        <v>15.7</v>
      </c>
      <c r="L15" s="64">
        <v>27.75</v>
      </c>
      <c r="M15" s="64">
        <v>59.88</v>
      </c>
      <c r="N15" s="64">
        <v>20.399999999999999</v>
      </c>
      <c r="O15" s="64">
        <v>0</v>
      </c>
      <c r="P15" s="64">
        <v>0.36</v>
      </c>
      <c r="Q15" s="64">
        <v>9.4600000000000009</v>
      </c>
      <c r="R15" s="198"/>
      <c r="S15" s="198"/>
      <c r="T15" s="198"/>
      <c r="U15" s="198"/>
    </row>
    <row r="16" spans="1:21" s="12" customFormat="1" x14ac:dyDescent="0.25">
      <c r="A16" s="214" t="s">
        <v>1792</v>
      </c>
      <c r="B16" s="64">
        <v>8.17</v>
      </c>
      <c r="C16" s="64">
        <v>3.15</v>
      </c>
      <c r="D16" s="64">
        <v>11.97</v>
      </c>
      <c r="E16" s="64">
        <v>3.5</v>
      </c>
      <c r="F16" s="64">
        <v>5.3</v>
      </c>
      <c r="G16" s="64">
        <v>64.94</v>
      </c>
      <c r="H16" s="64">
        <v>29.3</v>
      </c>
      <c r="I16" s="64">
        <v>3.51</v>
      </c>
      <c r="J16" s="64">
        <v>0.62</v>
      </c>
      <c r="K16" s="64">
        <v>28.87</v>
      </c>
      <c r="L16" s="64">
        <v>27.7</v>
      </c>
      <c r="M16" s="64">
        <v>60.13</v>
      </c>
      <c r="N16" s="64">
        <v>20.399999999999999</v>
      </c>
      <c r="O16" s="64">
        <v>0</v>
      </c>
      <c r="P16" s="64">
        <v>0.33</v>
      </c>
      <c r="Q16" s="64">
        <v>9.4600000000000009</v>
      </c>
      <c r="R16" s="198"/>
      <c r="S16" s="198"/>
      <c r="T16" s="198"/>
      <c r="U16" s="198"/>
    </row>
    <row r="17" spans="1:21" s="12" customFormat="1" x14ac:dyDescent="0.25">
      <c r="A17" s="214" t="s">
        <v>1793</v>
      </c>
      <c r="B17" s="64">
        <v>8.2100000000000009</v>
      </c>
      <c r="C17" s="64">
        <v>3.23</v>
      </c>
      <c r="D17" s="64">
        <v>12.04</v>
      </c>
      <c r="E17" s="64">
        <v>3.5</v>
      </c>
      <c r="F17" s="64">
        <v>6.05</v>
      </c>
      <c r="G17" s="64">
        <v>64.94</v>
      </c>
      <c r="H17" s="64">
        <v>29.3</v>
      </c>
      <c r="I17" s="64">
        <v>3.28</v>
      </c>
      <c r="J17" s="64">
        <v>0.52</v>
      </c>
      <c r="K17" s="64">
        <v>17.829999999999998</v>
      </c>
      <c r="L17" s="64">
        <v>27.64</v>
      </c>
      <c r="M17" s="64">
        <v>60.38</v>
      </c>
      <c r="N17" s="64">
        <v>20.399999999999999</v>
      </c>
      <c r="O17" s="64">
        <v>0</v>
      </c>
      <c r="P17" s="64">
        <v>0.28999999999999998</v>
      </c>
      <c r="Q17" s="64">
        <v>9.43</v>
      </c>
      <c r="R17" s="198"/>
      <c r="S17" s="198"/>
      <c r="T17" s="198"/>
      <c r="U17" s="198"/>
    </row>
    <row r="18" spans="1:21" s="12" customFormat="1" x14ac:dyDescent="0.25">
      <c r="A18" s="214" t="s">
        <v>1794</v>
      </c>
      <c r="B18" s="64">
        <v>8.1999999999999993</v>
      </c>
      <c r="C18" s="64">
        <v>3.26</v>
      </c>
      <c r="D18" s="64">
        <v>12.06</v>
      </c>
      <c r="E18" s="64">
        <v>3.49</v>
      </c>
      <c r="F18" s="64">
        <v>6.36</v>
      </c>
      <c r="G18" s="64">
        <v>56.04</v>
      </c>
      <c r="H18" s="64">
        <v>24.23</v>
      </c>
      <c r="I18" s="64">
        <v>3.15</v>
      </c>
      <c r="J18" s="64">
        <v>0.39</v>
      </c>
      <c r="K18" s="64">
        <v>30.56</v>
      </c>
      <c r="L18" s="64">
        <v>27.57</v>
      </c>
      <c r="M18" s="64">
        <v>60.88</v>
      </c>
      <c r="N18" s="64">
        <v>20.399999999999999</v>
      </c>
      <c r="O18" s="64">
        <v>0</v>
      </c>
      <c r="P18" s="64">
        <v>0.28000000000000003</v>
      </c>
      <c r="Q18" s="64">
        <v>9.4499999999999993</v>
      </c>
      <c r="R18" s="198"/>
      <c r="S18" s="198"/>
      <c r="T18" s="198"/>
      <c r="U18" s="198"/>
    </row>
    <row r="19" spans="1:21" s="12" customFormat="1" x14ac:dyDescent="0.25">
      <c r="A19" s="214" t="s">
        <v>1795</v>
      </c>
      <c r="B19" s="64">
        <v>8.1999999999999993</v>
      </c>
      <c r="C19" s="64">
        <v>3.27</v>
      </c>
      <c r="D19" s="64">
        <v>12.06</v>
      </c>
      <c r="E19" s="64">
        <v>3.31</v>
      </c>
      <c r="F19" s="64">
        <v>4.7699999999999996</v>
      </c>
      <c r="G19" s="64">
        <v>47.52</v>
      </c>
      <c r="H19" s="64">
        <v>19.579999999999998</v>
      </c>
      <c r="I19" s="64">
        <v>2.83</v>
      </c>
      <c r="J19" s="64">
        <v>0.46</v>
      </c>
      <c r="K19" s="64">
        <v>21.34</v>
      </c>
      <c r="L19" s="64">
        <v>27.43</v>
      </c>
      <c r="M19" s="64">
        <v>61.54</v>
      </c>
      <c r="N19" s="64">
        <v>20.399999999999999</v>
      </c>
      <c r="O19" s="64">
        <v>0</v>
      </c>
      <c r="P19" s="64">
        <v>0.26</v>
      </c>
      <c r="Q19" s="64">
        <v>9.43</v>
      </c>
      <c r="R19" s="198"/>
      <c r="S19" s="198"/>
      <c r="T19" s="198"/>
      <c r="U19" s="198"/>
    </row>
    <row r="20" spans="1:21" s="12" customFormat="1" x14ac:dyDescent="0.25">
      <c r="A20" s="214" t="s">
        <v>1796</v>
      </c>
      <c r="B20" s="64">
        <v>8.2799999999999994</v>
      </c>
      <c r="C20" s="64">
        <v>3.47</v>
      </c>
      <c r="D20" s="64">
        <v>12.23</v>
      </c>
      <c r="E20" s="64">
        <v>3.44</v>
      </c>
      <c r="F20" s="64">
        <v>5.31</v>
      </c>
      <c r="G20" s="64">
        <v>47.52</v>
      </c>
      <c r="H20" s="64">
        <v>19.579999999999998</v>
      </c>
      <c r="I20" s="64">
        <v>2.72</v>
      </c>
      <c r="J20" s="64">
        <v>0.52</v>
      </c>
      <c r="K20" s="64">
        <v>26.02</v>
      </c>
      <c r="L20" s="64">
        <v>27.47</v>
      </c>
      <c r="M20" s="64">
        <v>61.25</v>
      </c>
      <c r="N20" s="64">
        <v>20.3</v>
      </c>
      <c r="O20" s="64">
        <v>0</v>
      </c>
      <c r="P20" s="64">
        <v>0.24</v>
      </c>
      <c r="Q20" s="64">
        <v>9.4</v>
      </c>
      <c r="R20" s="198"/>
      <c r="S20" s="198"/>
      <c r="T20" s="198"/>
      <c r="U20" s="198"/>
    </row>
    <row r="21" spans="1:21" s="12" customFormat="1" x14ac:dyDescent="0.25">
      <c r="A21" s="214" t="s">
        <v>1797</v>
      </c>
      <c r="B21" s="64">
        <v>8.24</v>
      </c>
      <c r="C21" s="64">
        <v>3.29</v>
      </c>
      <c r="D21" s="64">
        <v>12.1</v>
      </c>
      <c r="E21" s="64">
        <v>3.45</v>
      </c>
      <c r="F21" s="64">
        <v>6.07</v>
      </c>
      <c r="G21" s="64">
        <v>47.52</v>
      </c>
      <c r="H21" s="64">
        <v>19.579999999999998</v>
      </c>
      <c r="I21" s="64">
        <v>2.66</v>
      </c>
      <c r="J21" s="64">
        <v>0.64</v>
      </c>
      <c r="K21" s="64">
        <v>23.61</v>
      </c>
      <c r="L21" s="64">
        <v>27.61</v>
      </c>
      <c r="M21" s="64">
        <v>59.64</v>
      </c>
      <c r="N21" s="64">
        <v>20.399999999999999</v>
      </c>
      <c r="O21" s="64">
        <v>0</v>
      </c>
      <c r="P21" s="64">
        <v>0.22</v>
      </c>
      <c r="Q21" s="64">
        <v>9.36</v>
      </c>
      <c r="R21" s="198"/>
      <c r="S21" s="198"/>
      <c r="T21" s="198"/>
      <c r="U21" s="198"/>
    </row>
    <row r="22" spans="1:21" s="12" customFormat="1" x14ac:dyDescent="0.25">
      <c r="A22" s="214" t="s">
        <v>1798</v>
      </c>
      <c r="B22" s="64">
        <v>8.1999999999999993</v>
      </c>
      <c r="C22" s="64">
        <v>3.2</v>
      </c>
      <c r="D22" s="64">
        <v>12.03</v>
      </c>
      <c r="E22" s="64">
        <v>3.78</v>
      </c>
      <c r="F22" s="64">
        <v>6.06</v>
      </c>
      <c r="G22" s="64">
        <v>44.3</v>
      </c>
      <c r="H22" s="64">
        <v>18.82</v>
      </c>
      <c r="I22" s="64">
        <v>2.46</v>
      </c>
      <c r="J22" s="64">
        <v>0.52</v>
      </c>
      <c r="K22" s="64">
        <v>6.09</v>
      </c>
      <c r="L22" s="64">
        <v>27.58</v>
      </c>
      <c r="M22" s="64">
        <v>58.96</v>
      </c>
      <c r="N22" s="64">
        <v>20.5</v>
      </c>
      <c r="O22" s="64">
        <v>0</v>
      </c>
      <c r="P22" s="64">
        <v>0.21</v>
      </c>
      <c r="Q22" s="64">
        <v>9.36</v>
      </c>
      <c r="R22" s="198"/>
      <c r="S22" s="198"/>
      <c r="T22" s="198"/>
      <c r="U22" s="198"/>
    </row>
    <row r="23" spans="1:21" s="12" customFormat="1" x14ac:dyDescent="0.25">
      <c r="A23" s="214" t="s">
        <v>1799</v>
      </c>
      <c r="B23" s="64">
        <v>8.2100000000000009</v>
      </c>
      <c r="C23" s="64">
        <v>3.15</v>
      </c>
      <c r="D23" s="64">
        <v>12</v>
      </c>
      <c r="E23" s="64">
        <v>3.31</v>
      </c>
      <c r="F23" s="64">
        <v>5.98</v>
      </c>
      <c r="G23" s="64">
        <v>41.23</v>
      </c>
      <c r="H23" s="64">
        <v>18.079999999999998</v>
      </c>
      <c r="I23" s="64">
        <v>2.34</v>
      </c>
      <c r="J23" s="64">
        <v>0.45</v>
      </c>
      <c r="K23" s="64">
        <v>7.44</v>
      </c>
      <c r="L23" s="64">
        <v>27.62</v>
      </c>
      <c r="M23" s="64">
        <v>58</v>
      </c>
      <c r="N23" s="64">
        <v>20.399999999999999</v>
      </c>
      <c r="O23" s="64">
        <v>0</v>
      </c>
      <c r="P23" s="64">
        <v>0.2</v>
      </c>
      <c r="Q23" s="64">
        <v>9.39</v>
      </c>
      <c r="R23" s="198"/>
      <c r="S23" s="198"/>
      <c r="T23" s="198"/>
      <c r="U23" s="198"/>
    </row>
    <row r="24" spans="1:21" s="12" customFormat="1" x14ac:dyDescent="0.25">
      <c r="A24" s="214" t="s">
        <v>1800</v>
      </c>
      <c r="B24" s="64">
        <v>8.1999999999999993</v>
      </c>
      <c r="C24" s="64">
        <v>3.15</v>
      </c>
      <c r="D24" s="64">
        <v>12</v>
      </c>
      <c r="E24" s="64">
        <v>3.81</v>
      </c>
      <c r="F24" s="64">
        <v>5.86</v>
      </c>
      <c r="G24" s="64">
        <v>41.23</v>
      </c>
      <c r="H24" s="64">
        <v>18.079999999999998</v>
      </c>
      <c r="I24" s="64">
        <v>2.25</v>
      </c>
      <c r="J24" s="64">
        <v>0.61</v>
      </c>
      <c r="K24" s="64">
        <v>4.4800000000000004</v>
      </c>
      <c r="L24" s="64">
        <v>27.55</v>
      </c>
      <c r="M24" s="64">
        <v>58.02</v>
      </c>
      <c r="N24" s="64">
        <v>20.7</v>
      </c>
      <c r="O24" s="64">
        <v>0</v>
      </c>
      <c r="P24" s="64">
        <v>0.19</v>
      </c>
      <c r="Q24" s="64">
        <v>9.39</v>
      </c>
      <c r="R24" s="198"/>
      <c r="S24" s="198"/>
      <c r="T24" s="198"/>
      <c r="U24" s="198"/>
    </row>
    <row r="25" spans="1:21" s="12" customFormat="1" x14ac:dyDescent="0.25">
      <c r="A25" s="214" t="s">
        <v>1801</v>
      </c>
      <c r="B25" s="64">
        <v>8.19</v>
      </c>
      <c r="C25" s="64">
        <v>3.1</v>
      </c>
      <c r="D25" s="64">
        <v>11.96</v>
      </c>
      <c r="E25" s="64">
        <v>4.3099999999999996</v>
      </c>
      <c r="F25" s="64">
        <v>5.36</v>
      </c>
      <c r="G25" s="64">
        <v>41.23</v>
      </c>
      <c r="H25" s="64">
        <v>18.079999999999998</v>
      </c>
      <c r="I25" s="64">
        <v>2.17</v>
      </c>
      <c r="J25" s="64">
        <v>0.62</v>
      </c>
      <c r="K25" s="64">
        <v>31.63</v>
      </c>
      <c r="L25" s="64">
        <v>27.54</v>
      </c>
      <c r="M25" s="64">
        <v>57.79</v>
      </c>
      <c r="N25" s="64">
        <v>20.6</v>
      </c>
      <c r="O25" s="64">
        <v>0</v>
      </c>
      <c r="P25" s="64">
        <v>0.19</v>
      </c>
      <c r="Q25" s="64">
        <v>9.39</v>
      </c>
      <c r="R25" s="198"/>
      <c r="S25" s="198"/>
      <c r="T25" s="198"/>
      <c r="U25" s="198"/>
    </row>
    <row r="26" spans="1:21" s="12" customFormat="1" x14ac:dyDescent="0.25">
      <c r="A26" s="214" t="s">
        <v>1802</v>
      </c>
      <c r="B26" s="64">
        <v>8.1999999999999993</v>
      </c>
      <c r="C26" s="64">
        <v>3.14</v>
      </c>
      <c r="D26" s="64">
        <v>11.99</v>
      </c>
      <c r="E26" s="64">
        <v>4.2699999999999996</v>
      </c>
      <c r="F26" s="64">
        <v>5.87</v>
      </c>
      <c r="G26" s="64">
        <v>40.450000000000003</v>
      </c>
      <c r="H26" s="64">
        <v>15.68</v>
      </c>
      <c r="I26" s="64">
        <v>2.12</v>
      </c>
      <c r="J26" s="64">
        <v>0.46</v>
      </c>
      <c r="K26" s="64">
        <v>6.43</v>
      </c>
      <c r="L26" s="64">
        <v>27.37</v>
      </c>
      <c r="M26" s="64">
        <v>58.52</v>
      </c>
      <c r="N26" s="64">
        <v>20.8</v>
      </c>
      <c r="O26" s="64">
        <v>0</v>
      </c>
      <c r="P26" s="64">
        <v>0.17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4" t="s">
        <v>1803</v>
      </c>
      <c r="B27" s="64">
        <v>8.1999999999999993</v>
      </c>
      <c r="C27" s="64">
        <v>3.13</v>
      </c>
      <c r="D27" s="64">
        <v>11.98</v>
      </c>
      <c r="E27" s="64">
        <v>4.18</v>
      </c>
      <c r="F27" s="64">
        <v>5.92</v>
      </c>
      <c r="G27" s="64">
        <v>39.71</v>
      </c>
      <c r="H27" s="64">
        <v>13.38</v>
      </c>
      <c r="I27" s="64">
        <v>2.1</v>
      </c>
      <c r="J27" s="64">
        <v>0.57999999999999996</v>
      </c>
      <c r="K27" s="64">
        <v>26.8</v>
      </c>
      <c r="L27" s="64">
        <v>27.21</v>
      </c>
      <c r="M27" s="64">
        <v>59.22</v>
      </c>
      <c r="N27" s="64">
        <v>20.8</v>
      </c>
      <c r="O27" s="64">
        <v>0</v>
      </c>
      <c r="P27" s="64">
        <v>0.17</v>
      </c>
      <c r="Q27" s="64">
        <v>9.41</v>
      </c>
      <c r="R27" s="198"/>
      <c r="S27" s="198"/>
      <c r="T27" s="198"/>
      <c r="U27" s="198"/>
    </row>
    <row r="28" spans="1:21" s="12" customFormat="1" x14ac:dyDescent="0.25">
      <c r="A28" s="214" t="s">
        <v>1804</v>
      </c>
      <c r="B28" s="64">
        <v>8.27</v>
      </c>
      <c r="C28" s="64">
        <v>3.41</v>
      </c>
      <c r="D28" s="64">
        <v>12.19</v>
      </c>
      <c r="E28" s="64">
        <v>4.2699999999999996</v>
      </c>
      <c r="F28" s="64">
        <v>5.78</v>
      </c>
      <c r="G28" s="64">
        <v>39.71</v>
      </c>
      <c r="H28" s="64">
        <v>13.38</v>
      </c>
      <c r="I28" s="64">
        <v>2.06</v>
      </c>
      <c r="J28" s="64">
        <v>0.65</v>
      </c>
      <c r="K28" s="64">
        <v>27.39</v>
      </c>
      <c r="L28" s="64">
        <v>27.16</v>
      </c>
      <c r="M28" s="64">
        <v>59.61</v>
      </c>
      <c r="N28" s="64">
        <v>20.8</v>
      </c>
      <c r="O28" s="64">
        <v>0</v>
      </c>
      <c r="P28" s="64">
        <v>0.17</v>
      </c>
      <c r="Q28" s="64">
        <v>9.43</v>
      </c>
      <c r="R28" s="198"/>
      <c r="S28" s="198"/>
      <c r="T28" s="198"/>
      <c r="U28" s="198"/>
    </row>
    <row r="29" spans="1:21" s="12" customFormat="1" x14ac:dyDescent="0.25">
      <c r="A29" s="214" t="s">
        <v>1805</v>
      </c>
      <c r="B29" s="64">
        <v>8.3000000000000007</v>
      </c>
      <c r="C29" s="64">
        <v>3.58</v>
      </c>
      <c r="D29" s="64">
        <v>12.3</v>
      </c>
      <c r="E29" s="64">
        <v>4.38</v>
      </c>
      <c r="F29" s="64">
        <v>5.33</v>
      </c>
      <c r="G29" s="64">
        <v>39.71</v>
      </c>
      <c r="H29" s="64">
        <v>13.38</v>
      </c>
      <c r="I29" s="64">
        <v>2.0099999999999998</v>
      </c>
      <c r="J29" s="64">
        <v>0.5</v>
      </c>
      <c r="K29" s="64">
        <v>19.89</v>
      </c>
      <c r="L29" s="64">
        <v>27.05</v>
      </c>
      <c r="M29" s="64">
        <v>59.9</v>
      </c>
      <c r="N29" s="64">
        <v>22</v>
      </c>
      <c r="O29" s="64">
        <v>0</v>
      </c>
      <c r="P29" s="64">
        <v>0.16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4" t="s">
        <v>1806</v>
      </c>
      <c r="B30" s="64">
        <v>8.17</v>
      </c>
      <c r="C30" s="64">
        <v>3.14</v>
      </c>
      <c r="D30" s="64">
        <v>11.96</v>
      </c>
      <c r="E30" s="64">
        <v>4.1100000000000003</v>
      </c>
      <c r="F30" s="64">
        <v>5.66</v>
      </c>
      <c r="G30" s="64">
        <v>35.69</v>
      </c>
      <c r="H30" s="64">
        <v>12.78</v>
      </c>
      <c r="I30" s="64">
        <v>1.95</v>
      </c>
      <c r="J30" s="64">
        <v>0.47</v>
      </c>
      <c r="K30" s="64">
        <v>16.510000000000002</v>
      </c>
      <c r="L30" s="64">
        <v>26.88</v>
      </c>
      <c r="M30" s="64">
        <v>60.02</v>
      </c>
      <c r="N30" s="64">
        <v>26.6</v>
      </c>
      <c r="O30" s="64">
        <v>0</v>
      </c>
      <c r="P30" s="64">
        <v>0.16</v>
      </c>
      <c r="Q30" s="64">
        <v>9.44</v>
      </c>
      <c r="R30" s="198"/>
      <c r="S30" s="198"/>
      <c r="T30" s="198"/>
      <c r="U30" s="198"/>
    </row>
    <row r="31" spans="1:21" s="12" customFormat="1" x14ac:dyDescent="0.25">
      <c r="A31" s="214" t="s">
        <v>1807</v>
      </c>
      <c r="B31" s="64">
        <v>8.15</v>
      </c>
      <c r="C31" s="64">
        <v>3.07</v>
      </c>
      <c r="D31" s="64">
        <v>11.91</v>
      </c>
      <c r="E31" s="64">
        <v>4.04</v>
      </c>
      <c r="F31" s="64">
        <v>5.27</v>
      </c>
      <c r="G31" s="64">
        <v>31.85</v>
      </c>
      <c r="H31" s="64">
        <v>12.23</v>
      </c>
      <c r="I31" s="64">
        <v>1.86</v>
      </c>
      <c r="J31" s="64">
        <v>0.56000000000000005</v>
      </c>
      <c r="K31" s="64">
        <v>10.17</v>
      </c>
      <c r="L31" s="64">
        <v>26.82</v>
      </c>
      <c r="M31" s="64">
        <v>60.1</v>
      </c>
      <c r="N31" s="64">
        <v>34.6</v>
      </c>
      <c r="O31" s="64">
        <v>0</v>
      </c>
      <c r="P31" s="64">
        <v>0.16</v>
      </c>
      <c r="Q31" s="64">
        <v>9.4499999999999993</v>
      </c>
      <c r="R31" s="198"/>
      <c r="S31" s="198"/>
      <c r="T31" s="198"/>
      <c r="U31" s="198"/>
    </row>
    <row r="32" spans="1:21" s="12" customFormat="1" x14ac:dyDescent="0.25">
      <c r="A32" s="214" t="s">
        <v>1808</v>
      </c>
      <c r="B32" s="64">
        <v>8.19</v>
      </c>
      <c r="C32" s="64">
        <v>3.17</v>
      </c>
      <c r="D32" s="64">
        <v>11.99</v>
      </c>
      <c r="E32" s="64">
        <v>3.97</v>
      </c>
      <c r="F32" s="64">
        <v>5.43</v>
      </c>
      <c r="G32" s="64">
        <v>31.85</v>
      </c>
      <c r="H32" s="64">
        <v>12.23</v>
      </c>
      <c r="I32" s="64">
        <v>1.83</v>
      </c>
      <c r="J32" s="64">
        <v>0.46</v>
      </c>
      <c r="K32" s="64">
        <v>0.49</v>
      </c>
      <c r="L32" s="64">
        <v>26.83</v>
      </c>
      <c r="M32" s="64">
        <v>60.48</v>
      </c>
      <c r="N32" s="64">
        <v>46.4</v>
      </c>
      <c r="O32" s="64">
        <v>0</v>
      </c>
      <c r="P32" s="64">
        <v>0.15</v>
      </c>
      <c r="Q32" s="64">
        <v>9.43</v>
      </c>
      <c r="R32" s="198"/>
      <c r="S32" s="198"/>
      <c r="T32" s="198"/>
      <c r="U32" s="198"/>
    </row>
    <row r="33" spans="1:21" s="12" customFormat="1" x14ac:dyDescent="0.25">
      <c r="A33" s="214" t="s">
        <v>1809</v>
      </c>
      <c r="B33" s="64">
        <v>8.14</v>
      </c>
      <c r="C33" s="64">
        <v>3.14</v>
      </c>
      <c r="D33" s="64">
        <v>11.95</v>
      </c>
      <c r="E33" s="64">
        <v>4.33</v>
      </c>
      <c r="F33" s="64">
        <v>5.83</v>
      </c>
      <c r="G33" s="64">
        <v>31.85</v>
      </c>
      <c r="H33" s="64">
        <v>12.23</v>
      </c>
      <c r="I33" s="64">
        <v>1.75</v>
      </c>
      <c r="J33" s="64">
        <v>0.55000000000000004</v>
      </c>
      <c r="K33" s="64">
        <v>17.29</v>
      </c>
      <c r="L33" s="64">
        <v>26.88</v>
      </c>
      <c r="M33" s="64">
        <v>60.99</v>
      </c>
      <c r="N33" s="64">
        <v>52.7</v>
      </c>
      <c r="O33" s="64">
        <v>0</v>
      </c>
      <c r="P33" s="64">
        <v>0.16</v>
      </c>
      <c r="Q33" s="64">
        <v>9.44</v>
      </c>
      <c r="R33" s="198"/>
      <c r="S33" s="198"/>
      <c r="T33" s="198"/>
      <c r="U33" s="198"/>
    </row>
    <row r="34" spans="1:21" s="12" customFormat="1" x14ac:dyDescent="0.25">
      <c r="A34" s="214" t="s">
        <v>1810</v>
      </c>
      <c r="B34" s="64">
        <v>8.18</v>
      </c>
      <c r="C34" s="64">
        <v>3.2</v>
      </c>
      <c r="D34" s="64">
        <v>12</v>
      </c>
      <c r="E34" s="64">
        <v>4.08</v>
      </c>
      <c r="F34" s="64">
        <v>5.12</v>
      </c>
      <c r="G34" s="64">
        <v>31.2</v>
      </c>
      <c r="H34" s="64">
        <v>12.43</v>
      </c>
      <c r="I34" s="64">
        <v>1.69</v>
      </c>
      <c r="J34" s="64">
        <v>0.51</v>
      </c>
      <c r="K34" s="64">
        <v>359.13</v>
      </c>
      <c r="L34" s="64">
        <v>26.74</v>
      </c>
      <c r="M34" s="64">
        <v>63.5</v>
      </c>
      <c r="N34" s="64">
        <v>55.7</v>
      </c>
      <c r="O34" s="64">
        <v>0</v>
      </c>
      <c r="P34" s="64">
        <v>0.15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4" t="s">
        <v>1811</v>
      </c>
      <c r="B35" s="64">
        <v>8.19</v>
      </c>
      <c r="C35" s="64">
        <v>3.24</v>
      </c>
      <c r="D35" s="64">
        <v>12.04</v>
      </c>
      <c r="E35" s="64">
        <v>3.96</v>
      </c>
      <c r="F35" s="64">
        <v>5.6</v>
      </c>
      <c r="G35" s="64">
        <v>30.6</v>
      </c>
      <c r="H35" s="64">
        <v>12.62</v>
      </c>
      <c r="I35" s="64">
        <v>1.64</v>
      </c>
      <c r="J35" s="64">
        <v>0.46</v>
      </c>
      <c r="K35" s="64">
        <v>14.98</v>
      </c>
      <c r="L35" s="64">
        <v>26.75</v>
      </c>
      <c r="M35" s="64">
        <v>64.209999999999994</v>
      </c>
      <c r="N35" s="64">
        <v>62.8</v>
      </c>
      <c r="O35" s="64">
        <v>0</v>
      </c>
      <c r="P35" s="64">
        <v>0.16</v>
      </c>
      <c r="Q35" s="64">
        <v>9.42</v>
      </c>
      <c r="R35" s="198"/>
      <c r="S35" s="198"/>
      <c r="T35" s="198"/>
      <c r="U35" s="198"/>
    </row>
    <row r="36" spans="1:21" s="12" customFormat="1" x14ac:dyDescent="0.25">
      <c r="A36" s="214" t="s">
        <v>1812</v>
      </c>
      <c r="B36" s="64">
        <v>8.1999999999999993</v>
      </c>
      <c r="C36" s="64">
        <v>3.32</v>
      </c>
      <c r="D36" s="64">
        <v>12.09</v>
      </c>
      <c r="E36" s="64">
        <v>4.3099999999999996</v>
      </c>
      <c r="F36" s="64">
        <v>4.45</v>
      </c>
      <c r="G36" s="64">
        <v>30.6</v>
      </c>
      <c r="H36" s="64">
        <v>12.62</v>
      </c>
      <c r="I36" s="64">
        <v>1.64</v>
      </c>
      <c r="J36" s="64">
        <v>0.51</v>
      </c>
      <c r="K36" s="64">
        <v>17.09</v>
      </c>
      <c r="L36" s="64">
        <v>26.9</v>
      </c>
      <c r="M36" s="64">
        <v>63.83</v>
      </c>
      <c r="N36" s="64">
        <v>80.5</v>
      </c>
      <c r="O36" s="64">
        <v>0</v>
      </c>
      <c r="P36" s="64">
        <v>0.16</v>
      </c>
      <c r="Q36" s="64">
        <v>9.43</v>
      </c>
      <c r="R36" s="198"/>
      <c r="S36" s="198"/>
      <c r="T36" s="198"/>
      <c r="U36" s="198"/>
    </row>
    <row r="37" spans="1:21" s="12" customFormat="1" x14ac:dyDescent="0.25">
      <c r="A37" s="214" t="s">
        <v>1813</v>
      </c>
      <c r="B37" s="64">
        <v>8.25</v>
      </c>
      <c r="C37" s="64">
        <v>3.42</v>
      </c>
      <c r="D37" s="64">
        <v>12.17</v>
      </c>
      <c r="E37" s="64">
        <v>4.1399999999999997</v>
      </c>
      <c r="F37" s="64">
        <v>5.01</v>
      </c>
      <c r="G37" s="64">
        <v>30.6</v>
      </c>
      <c r="H37" s="64">
        <v>12.62</v>
      </c>
      <c r="I37" s="64">
        <v>1.66</v>
      </c>
      <c r="J37" s="64">
        <v>0.59</v>
      </c>
      <c r="K37" s="64">
        <v>10.81</v>
      </c>
      <c r="L37" s="64">
        <v>26.98</v>
      </c>
      <c r="M37" s="64">
        <v>63.79</v>
      </c>
      <c r="N37" s="64">
        <v>130.6</v>
      </c>
      <c r="O37" s="64">
        <v>0</v>
      </c>
      <c r="P37" s="64">
        <v>0.18</v>
      </c>
      <c r="Q37" s="64">
        <v>9.41</v>
      </c>
      <c r="R37" s="198"/>
      <c r="S37" s="198"/>
      <c r="T37" s="198"/>
      <c r="U37" s="198"/>
    </row>
    <row r="38" spans="1:21" s="12" customFormat="1" x14ac:dyDescent="0.25">
      <c r="A38" s="214" t="s">
        <v>1814</v>
      </c>
      <c r="B38" s="64">
        <v>8.3699999999999992</v>
      </c>
      <c r="C38" s="64">
        <v>3.77</v>
      </c>
      <c r="D38" s="64">
        <v>12.45</v>
      </c>
      <c r="E38" s="64">
        <v>4.1100000000000003</v>
      </c>
      <c r="F38" s="64">
        <v>5</v>
      </c>
      <c r="G38" s="64">
        <v>33.53</v>
      </c>
      <c r="H38" s="64">
        <v>13.48</v>
      </c>
      <c r="I38" s="64">
        <v>1.64</v>
      </c>
      <c r="J38" s="64">
        <v>0.51</v>
      </c>
      <c r="K38" s="64">
        <v>24.51</v>
      </c>
      <c r="L38" s="64">
        <v>27.46</v>
      </c>
      <c r="M38" s="64">
        <v>62.51</v>
      </c>
      <c r="N38" s="64">
        <v>158.6</v>
      </c>
      <c r="O38" s="64">
        <v>0</v>
      </c>
      <c r="P38" s="64">
        <v>0.2</v>
      </c>
      <c r="Q38" s="64">
        <v>9.4499999999999993</v>
      </c>
      <c r="R38" s="198"/>
      <c r="S38" s="198"/>
      <c r="T38" s="198"/>
      <c r="U38" s="198"/>
    </row>
    <row r="39" spans="1:21" s="12" customFormat="1" x14ac:dyDescent="0.25">
      <c r="A39" s="214" t="s">
        <v>1815</v>
      </c>
      <c r="B39" s="64">
        <v>8.1999999999999993</v>
      </c>
      <c r="C39" s="64">
        <v>3.23</v>
      </c>
      <c r="D39" s="64">
        <v>12.03</v>
      </c>
      <c r="E39" s="64">
        <v>4.41</v>
      </c>
      <c r="F39" s="64">
        <v>5.38</v>
      </c>
      <c r="G39" s="64">
        <v>36.33</v>
      </c>
      <c r="H39" s="64">
        <v>14.3</v>
      </c>
      <c r="I39" s="64">
        <v>1.63</v>
      </c>
      <c r="J39" s="64">
        <v>0.49</v>
      </c>
      <c r="K39" s="64">
        <v>12.86</v>
      </c>
      <c r="L39" s="64">
        <v>27.79</v>
      </c>
      <c r="M39" s="64">
        <v>61.5</v>
      </c>
      <c r="N39" s="64">
        <v>182.6</v>
      </c>
      <c r="O39" s="64">
        <v>0</v>
      </c>
      <c r="P39" s="64">
        <v>0.21</v>
      </c>
      <c r="Q39" s="64">
        <v>9.4</v>
      </c>
      <c r="R39" s="198"/>
      <c r="S39" s="198"/>
      <c r="T39" s="198"/>
      <c r="U39" s="198"/>
    </row>
    <row r="40" spans="1:21" s="12" customFormat="1" x14ac:dyDescent="0.25">
      <c r="A40" s="214" t="s">
        <v>1816</v>
      </c>
      <c r="B40" s="64">
        <v>8.16</v>
      </c>
      <c r="C40" s="64">
        <v>3.15</v>
      </c>
      <c r="D40" s="64">
        <v>11.97</v>
      </c>
      <c r="E40" s="64">
        <v>4.8</v>
      </c>
      <c r="F40" s="64">
        <v>6.22</v>
      </c>
      <c r="G40" s="64">
        <v>36.33</v>
      </c>
      <c r="H40" s="64">
        <v>14.3</v>
      </c>
      <c r="I40" s="64">
        <v>1.64</v>
      </c>
      <c r="J40" s="64">
        <v>0.65</v>
      </c>
      <c r="K40" s="64">
        <v>5.12</v>
      </c>
      <c r="L40" s="64">
        <v>27.91</v>
      </c>
      <c r="M40" s="64">
        <v>61.03</v>
      </c>
      <c r="N40" s="64">
        <v>193.2</v>
      </c>
      <c r="O40" s="64">
        <v>0</v>
      </c>
      <c r="P40" s="64">
        <v>0.22</v>
      </c>
      <c r="Q40" s="64">
        <v>9.3800000000000008</v>
      </c>
      <c r="R40" s="198"/>
      <c r="S40" s="198"/>
      <c r="T40" s="198"/>
      <c r="U40" s="198"/>
    </row>
    <row r="41" spans="1:21" s="12" customFormat="1" x14ac:dyDescent="0.25">
      <c r="A41" s="214" t="s">
        <v>1817</v>
      </c>
      <c r="B41" s="64">
        <v>8.17</v>
      </c>
      <c r="C41" s="64">
        <v>3.21</v>
      </c>
      <c r="D41" s="64">
        <v>12.01</v>
      </c>
      <c r="E41" s="64">
        <v>5.19</v>
      </c>
      <c r="F41" s="64">
        <v>6.89</v>
      </c>
      <c r="G41" s="64">
        <v>36.33</v>
      </c>
      <c r="H41" s="64">
        <v>14.3</v>
      </c>
      <c r="I41" s="64">
        <v>1.67</v>
      </c>
      <c r="J41" s="64">
        <v>0.51</v>
      </c>
      <c r="K41" s="64">
        <v>9.8000000000000007</v>
      </c>
      <c r="L41" s="64">
        <v>28.46</v>
      </c>
      <c r="M41" s="64">
        <v>59.58</v>
      </c>
      <c r="N41" s="64">
        <v>293.10000000000002</v>
      </c>
      <c r="O41" s="64">
        <v>0</v>
      </c>
      <c r="P41" s="64">
        <v>0.23</v>
      </c>
      <c r="Q41" s="64">
        <v>9.3800000000000008</v>
      </c>
      <c r="R41" s="198"/>
      <c r="S41" s="198"/>
      <c r="T41" s="198"/>
      <c r="U41" s="198"/>
    </row>
    <row r="42" spans="1:21" s="12" customFormat="1" x14ac:dyDescent="0.25">
      <c r="A42" s="214" t="s">
        <v>1818</v>
      </c>
      <c r="B42" s="64">
        <v>8.1999999999999993</v>
      </c>
      <c r="C42" s="64">
        <v>3.24</v>
      </c>
      <c r="D42" s="64">
        <v>12.04</v>
      </c>
      <c r="E42" s="64">
        <v>5.14</v>
      </c>
      <c r="F42" s="64">
        <v>6.56</v>
      </c>
      <c r="G42" s="64">
        <v>38.14</v>
      </c>
      <c r="H42" s="64">
        <v>12.73</v>
      </c>
      <c r="I42" s="64">
        <v>1.68</v>
      </c>
      <c r="J42" s="64">
        <v>0.68</v>
      </c>
      <c r="K42" s="64">
        <v>358.7</v>
      </c>
      <c r="L42" s="64">
        <v>29.56</v>
      </c>
      <c r="M42" s="64">
        <v>56.05</v>
      </c>
      <c r="N42" s="64">
        <v>279.60000000000002</v>
      </c>
      <c r="O42" s="64">
        <v>0</v>
      </c>
      <c r="P42" s="64">
        <v>0.24</v>
      </c>
      <c r="Q42" s="64">
        <v>9.39</v>
      </c>
      <c r="R42" s="198"/>
      <c r="S42" s="198"/>
      <c r="T42" s="198"/>
      <c r="U42" s="198"/>
    </row>
    <row r="43" spans="1:21" s="12" customFormat="1" x14ac:dyDescent="0.25">
      <c r="A43" s="214" t="s">
        <v>1819</v>
      </c>
      <c r="B43" s="64">
        <v>8.1999999999999993</v>
      </c>
      <c r="C43" s="64">
        <v>3.25</v>
      </c>
      <c r="D43" s="64">
        <v>12.05</v>
      </c>
      <c r="E43" s="64">
        <v>5.33</v>
      </c>
      <c r="F43" s="64">
        <v>6.84</v>
      </c>
      <c r="G43" s="64">
        <v>39.86</v>
      </c>
      <c r="H43" s="64">
        <v>11.23</v>
      </c>
      <c r="I43" s="64">
        <v>1.7</v>
      </c>
      <c r="J43" s="64">
        <v>0.68</v>
      </c>
      <c r="K43" s="64">
        <v>11.89</v>
      </c>
      <c r="L43" s="64">
        <v>29.27</v>
      </c>
      <c r="M43" s="64">
        <v>56.44</v>
      </c>
      <c r="N43" s="64">
        <v>204.4</v>
      </c>
      <c r="O43" s="64">
        <v>0</v>
      </c>
      <c r="P43" s="64">
        <v>0.26</v>
      </c>
      <c r="Q43" s="64">
        <v>9.4</v>
      </c>
      <c r="R43" s="198"/>
      <c r="S43" s="198"/>
      <c r="T43" s="198"/>
      <c r="U43" s="198"/>
    </row>
    <row r="44" spans="1:21" s="12" customFormat="1" x14ac:dyDescent="0.25">
      <c r="A44" s="214" t="s">
        <v>1820</v>
      </c>
      <c r="B44" s="64">
        <v>8.27</v>
      </c>
      <c r="C44" s="64">
        <v>3.44</v>
      </c>
      <c r="D44" s="64">
        <v>12.2</v>
      </c>
      <c r="E44" s="64">
        <v>5.73</v>
      </c>
      <c r="F44" s="64">
        <v>7.22</v>
      </c>
      <c r="G44" s="64">
        <v>39.86</v>
      </c>
      <c r="H44" s="64">
        <v>11.23</v>
      </c>
      <c r="I44" s="64">
        <v>1.71</v>
      </c>
      <c r="J44" s="64">
        <v>0.54</v>
      </c>
      <c r="K44" s="64">
        <v>11.38</v>
      </c>
      <c r="L44" s="64">
        <v>29.11</v>
      </c>
      <c r="M44" s="64">
        <v>57.06</v>
      </c>
      <c r="N44" s="64">
        <v>164.3</v>
      </c>
      <c r="O44" s="64">
        <v>0</v>
      </c>
      <c r="P44" s="64">
        <v>0.28000000000000003</v>
      </c>
      <c r="Q44" s="64">
        <v>9.39</v>
      </c>
      <c r="R44" s="198"/>
      <c r="S44" s="198"/>
      <c r="T44" s="198"/>
      <c r="U44" s="198"/>
    </row>
    <row r="45" spans="1:21" s="12" customFormat="1" x14ac:dyDescent="0.25">
      <c r="A45" s="214" t="s">
        <v>1821</v>
      </c>
      <c r="B45" s="64">
        <v>8.2200000000000006</v>
      </c>
      <c r="C45" s="64">
        <v>3.23</v>
      </c>
      <c r="D45" s="64">
        <v>12.05</v>
      </c>
      <c r="E45" s="64">
        <v>5.44</v>
      </c>
      <c r="F45" s="64">
        <v>7</v>
      </c>
      <c r="G45" s="64">
        <v>39.86</v>
      </c>
      <c r="H45" s="64">
        <v>11.23</v>
      </c>
      <c r="I45" s="64">
        <v>1.68</v>
      </c>
      <c r="J45" s="64">
        <v>0.52</v>
      </c>
      <c r="K45" s="64">
        <v>6.72</v>
      </c>
      <c r="L45" s="64">
        <v>29.29</v>
      </c>
      <c r="M45" s="64">
        <v>56.12</v>
      </c>
      <c r="N45" s="64">
        <v>148.1</v>
      </c>
      <c r="O45" s="64">
        <v>0</v>
      </c>
      <c r="P45" s="64">
        <v>0.28000000000000003</v>
      </c>
      <c r="Q45" s="64">
        <v>9.39</v>
      </c>
      <c r="R45" s="198"/>
      <c r="S45" s="198"/>
      <c r="T45" s="198"/>
      <c r="U45" s="198"/>
    </row>
    <row r="46" spans="1:21" s="12" customFormat="1" x14ac:dyDescent="0.25">
      <c r="A46" s="214" t="s">
        <v>1822</v>
      </c>
      <c r="B46" s="64">
        <v>8.18</v>
      </c>
      <c r="C46" s="64">
        <v>3.19</v>
      </c>
      <c r="D46" s="64">
        <v>12</v>
      </c>
      <c r="E46" s="64">
        <v>5.37</v>
      </c>
      <c r="F46" s="64">
        <v>6.68</v>
      </c>
      <c r="G46" s="64">
        <v>40.76</v>
      </c>
      <c r="H46" s="64">
        <v>10.01</v>
      </c>
      <c r="I46" s="64">
        <v>1.67</v>
      </c>
      <c r="J46" s="64">
        <v>0.49</v>
      </c>
      <c r="K46" s="64">
        <v>20.14</v>
      </c>
      <c r="L46" s="64">
        <v>28.12</v>
      </c>
      <c r="M46" s="64">
        <v>68.260000000000005</v>
      </c>
      <c r="N46" s="64">
        <v>201</v>
      </c>
      <c r="O46" s="64">
        <v>0.4</v>
      </c>
      <c r="P46" s="64">
        <v>0.28000000000000003</v>
      </c>
      <c r="Q46" s="64">
        <v>9.4499999999999993</v>
      </c>
      <c r="R46" s="198"/>
      <c r="S46" s="198"/>
      <c r="T46" s="198"/>
      <c r="U46" s="198"/>
    </row>
    <row r="47" spans="1:21" s="12" customFormat="1" x14ac:dyDescent="0.25">
      <c r="A47" s="214" t="s">
        <v>1823</v>
      </c>
      <c r="B47" s="64">
        <v>8.15</v>
      </c>
      <c r="C47" s="64">
        <v>3.15</v>
      </c>
      <c r="D47" s="64">
        <v>11.95</v>
      </c>
      <c r="E47" s="64">
        <v>5.59</v>
      </c>
      <c r="F47" s="64">
        <v>5.93</v>
      </c>
      <c r="G47" s="64">
        <v>41.61</v>
      </c>
      <c r="H47" s="64">
        <v>8.84</v>
      </c>
      <c r="I47" s="64">
        <v>1.68</v>
      </c>
      <c r="J47" s="64">
        <v>0.55000000000000004</v>
      </c>
      <c r="K47" s="64">
        <v>15.65</v>
      </c>
      <c r="L47" s="64">
        <v>27.83</v>
      </c>
      <c r="M47" s="64">
        <v>70</v>
      </c>
      <c r="N47" s="64">
        <v>204.9</v>
      </c>
      <c r="O47" s="64">
        <v>0</v>
      </c>
      <c r="P47" s="64">
        <v>0.28999999999999998</v>
      </c>
      <c r="Q47" s="64">
        <v>9.48</v>
      </c>
      <c r="R47" s="198"/>
      <c r="S47" s="198"/>
      <c r="T47" s="198"/>
      <c r="U47" s="198"/>
    </row>
    <row r="48" spans="1:21" s="12" customFormat="1" x14ac:dyDescent="0.25">
      <c r="A48" s="214" t="s">
        <v>1824</v>
      </c>
      <c r="B48" s="64">
        <v>8.15</v>
      </c>
      <c r="C48" s="64">
        <v>3.2</v>
      </c>
      <c r="D48" s="64">
        <v>11.98</v>
      </c>
      <c r="E48" s="64">
        <v>5.22</v>
      </c>
      <c r="F48" s="64">
        <v>5.48</v>
      </c>
      <c r="G48" s="64">
        <v>41.61</v>
      </c>
      <c r="H48" s="64">
        <v>8.84</v>
      </c>
      <c r="I48" s="64">
        <v>1.7</v>
      </c>
      <c r="J48" s="64">
        <v>0.45</v>
      </c>
      <c r="K48" s="64">
        <v>8.3000000000000007</v>
      </c>
      <c r="L48" s="64">
        <v>28.41</v>
      </c>
      <c r="M48" s="64">
        <v>67.010000000000005</v>
      </c>
      <c r="N48" s="64">
        <v>197.5</v>
      </c>
      <c r="O48" s="64">
        <v>0</v>
      </c>
      <c r="P48" s="64">
        <v>0.31</v>
      </c>
      <c r="Q48" s="64">
        <v>9.4499999999999993</v>
      </c>
      <c r="R48" s="198"/>
      <c r="S48" s="198"/>
      <c r="T48" s="198"/>
      <c r="U48" s="198"/>
    </row>
    <row r="49" spans="1:21" s="12" customFormat="1" x14ac:dyDescent="0.25">
      <c r="A49" s="214" t="s">
        <v>1825</v>
      </c>
      <c r="B49" s="64">
        <v>8.23</v>
      </c>
      <c r="C49" s="64">
        <v>3.43</v>
      </c>
      <c r="D49" s="64">
        <v>12.17</v>
      </c>
      <c r="E49" s="64">
        <v>5.46</v>
      </c>
      <c r="F49" s="64">
        <v>5.27</v>
      </c>
      <c r="G49" s="64">
        <v>41.61</v>
      </c>
      <c r="H49" s="64">
        <v>8.84</v>
      </c>
      <c r="I49" s="64">
        <v>1.71</v>
      </c>
      <c r="J49" s="64">
        <v>0.52</v>
      </c>
      <c r="K49" s="64">
        <v>19.45</v>
      </c>
      <c r="L49" s="64">
        <v>29.13</v>
      </c>
      <c r="M49" s="64">
        <v>64.2</v>
      </c>
      <c r="N49" s="64">
        <v>215.5</v>
      </c>
      <c r="O49" s="64">
        <v>0</v>
      </c>
      <c r="P49" s="64">
        <v>0.32</v>
      </c>
      <c r="Q49" s="64">
        <v>9.44</v>
      </c>
      <c r="R49" s="198"/>
      <c r="S49" s="198"/>
      <c r="T49" s="198"/>
      <c r="U49" s="198"/>
    </row>
    <row r="50" spans="1:21" s="12" customFormat="1" x14ac:dyDescent="0.25">
      <c r="A50" s="214" t="s">
        <v>1826</v>
      </c>
      <c r="B50" s="64">
        <v>8.26</v>
      </c>
      <c r="C50" s="64">
        <v>3.53</v>
      </c>
      <c r="D50" s="64">
        <v>12.24</v>
      </c>
      <c r="E50" s="64">
        <v>5.21</v>
      </c>
      <c r="F50" s="64">
        <v>5.54</v>
      </c>
      <c r="G50" s="64">
        <v>46.41</v>
      </c>
      <c r="H50" s="64">
        <v>14.63</v>
      </c>
      <c r="I50" s="64">
        <v>1.8</v>
      </c>
      <c r="J50" s="64">
        <v>0.55000000000000004</v>
      </c>
      <c r="K50" s="64">
        <v>0.03</v>
      </c>
      <c r="L50" s="64">
        <v>29.76</v>
      </c>
      <c r="M50" s="64">
        <v>60.37</v>
      </c>
      <c r="N50" s="64">
        <v>256</v>
      </c>
      <c r="O50" s="64">
        <v>0</v>
      </c>
      <c r="P50" s="64">
        <v>0.35</v>
      </c>
      <c r="Q50" s="64">
        <v>9.4700000000000006</v>
      </c>
      <c r="R50" s="198"/>
      <c r="S50" s="198"/>
      <c r="T50" s="198"/>
      <c r="U50" s="198"/>
    </row>
    <row r="51" spans="1:21" s="12" customFormat="1" x14ac:dyDescent="0.25">
      <c r="A51" s="214" t="s">
        <v>1827</v>
      </c>
      <c r="B51" s="64">
        <v>8.2100000000000009</v>
      </c>
      <c r="C51" s="64">
        <v>3.28</v>
      </c>
      <c r="D51" s="64">
        <v>12.07</v>
      </c>
      <c r="E51" s="64">
        <v>5.19</v>
      </c>
      <c r="F51" s="64">
        <v>4.88</v>
      </c>
      <c r="G51" s="64">
        <v>51</v>
      </c>
      <c r="H51" s="64">
        <v>20.16</v>
      </c>
      <c r="I51" s="64">
        <v>2.0299999999999998</v>
      </c>
      <c r="J51" s="64">
        <v>0.57999999999999996</v>
      </c>
      <c r="K51" s="64">
        <v>11.71</v>
      </c>
      <c r="L51" s="64">
        <v>30.28</v>
      </c>
      <c r="M51" s="64">
        <v>57.39</v>
      </c>
      <c r="N51" s="64">
        <v>252.1</v>
      </c>
      <c r="O51" s="64">
        <v>0</v>
      </c>
      <c r="P51" s="64">
        <v>0.36</v>
      </c>
      <c r="Q51" s="64">
        <v>9.4499999999999993</v>
      </c>
      <c r="R51" s="198"/>
      <c r="S51" s="198"/>
      <c r="T51" s="198"/>
      <c r="U51" s="198"/>
    </row>
    <row r="52" spans="1:21" s="12" customFormat="1" x14ac:dyDescent="0.25">
      <c r="A52" s="214" t="s">
        <v>1828</v>
      </c>
      <c r="B52" s="64">
        <v>8.2100000000000009</v>
      </c>
      <c r="C52" s="64">
        <v>3.38</v>
      </c>
      <c r="D52" s="64">
        <v>12.12</v>
      </c>
      <c r="E52" s="64">
        <v>5.19</v>
      </c>
      <c r="F52" s="64">
        <v>5.01</v>
      </c>
      <c r="G52" s="64">
        <v>51</v>
      </c>
      <c r="H52" s="64">
        <v>20.16</v>
      </c>
      <c r="I52" s="64">
        <v>2.31</v>
      </c>
      <c r="J52" s="64">
        <v>0.59</v>
      </c>
      <c r="K52" s="64">
        <v>21.82</v>
      </c>
      <c r="L52" s="64">
        <v>30.49</v>
      </c>
      <c r="M52" s="64">
        <v>56.42</v>
      </c>
      <c r="N52" s="64">
        <v>221.5</v>
      </c>
      <c r="O52" s="64">
        <v>0</v>
      </c>
      <c r="P52" s="64">
        <v>0.37</v>
      </c>
      <c r="Q52" s="64">
        <v>9.4499999999999993</v>
      </c>
      <c r="R52" s="198"/>
      <c r="S52" s="198"/>
      <c r="T52" s="198"/>
      <c r="U52" s="198"/>
    </row>
    <row r="53" spans="1:21" s="12" customFormat="1" x14ac:dyDescent="0.25">
      <c r="A53" s="214" t="s">
        <v>1829</v>
      </c>
      <c r="B53" s="64">
        <v>8.27</v>
      </c>
      <c r="C53" s="64">
        <v>3.51</v>
      </c>
      <c r="D53" s="64">
        <v>12.24</v>
      </c>
      <c r="E53" s="64">
        <v>5.22</v>
      </c>
      <c r="F53" s="64">
        <v>5.45</v>
      </c>
      <c r="G53" s="64">
        <v>51</v>
      </c>
      <c r="H53" s="64">
        <v>20.16</v>
      </c>
      <c r="I53" s="64">
        <v>2.52</v>
      </c>
      <c r="J53" s="64">
        <v>0.44</v>
      </c>
      <c r="K53" s="64">
        <v>15.78</v>
      </c>
      <c r="L53" s="64">
        <v>30.57</v>
      </c>
      <c r="M53" s="64">
        <v>54.86</v>
      </c>
      <c r="N53" s="64">
        <v>204.9</v>
      </c>
      <c r="O53" s="64">
        <v>0</v>
      </c>
      <c r="P53" s="64">
        <v>0.38</v>
      </c>
      <c r="Q53" s="64">
        <v>9.4499999999999993</v>
      </c>
      <c r="R53" s="198"/>
      <c r="S53" s="198"/>
      <c r="T53" s="198"/>
      <c r="U53" s="198"/>
    </row>
    <row r="54" spans="1:21" s="12" customFormat="1" x14ac:dyDescent="0.25">
      <c r="A54" s="214" t="s">
        <v>1830</v>
      </c>
      <c r="B54" s="64">
        <v>8.19</v>
      </c>
      <c r="C54" s="64">
        <v>3.25</v>
      </c>
      <c r="D54" s="64">
        <v>12.04</v>
      </c>
      <c r="E54" s="64">
        <v>5.36</v>
      </c>
      <c r="F54" s="64">
        <v>5.71</v>
      </c>
      <c r="G54" s="64">
        <v>52.16</v>
      </c>
      <c r="H54" s="64">
        <v>20.46</v>
      </c>
      <c r="I54" s="64">
        <v>2.71</v>
      </c>
      <c r="J54" s="64">
        <v>0.36</v>
      </c>
      <c r="K54" s="64">
        <v>5.22</v>
      </c>
      <c r="L54" s="64">
        <v>30.93</v>
      </c>
      <c r="M54" s="64">
        <v>53.84</v>
      </c>
      <c r="N54" s="64">
        <v>248.7</v>
      </c>
      <c r="O54" s="64">
        <v>0</v>
      </c>
      <c r="P54" s="64">
        <v>0.39</v>
      </c>
      <c r="Q54" s="64">
        <v>9.4600000000000009</v>
      </c>
      <c r="R54" s="198"/>
      <c r="S54" s="198"/>
      <c r="T54" s="198"/>
      <c r="U54" s="198"/>
    </row>
    <row r="55" spans="1:21" s="12" customFormat="1" x14ac:dyDescent="0.25">
      <c r="A55" s="214" t="s">
        <v>1831</v>
      </c>
      <c r="B55" s="64">
        <v>8.17</v>
      </c>
      <c r="C55" s="64">
        <v>3.23</v>
      </c>
      <c r="D55" s="64">
        <v>12.02</v>
      </c>
      <c r="E55" s="64">
        <v>5.52</v>
      </c>
      <c r="F55" s="64">
        <v>4.49</v>
      </c>
      <c r="G55" s="64">
        <v>53.28</v>
      </c>
      <c r="H55" s="64">
        <v>20.74</v>
      </c>
      <c r="I55" s="64">
        <v>2.83</v>
      </c>
      <c r="J55" s="64">
        <v>0.32</v>
      </c>
      <c r="K55" s="64">
        <v>9.17</v>
      </c>
      <c r="L55" s="64">
        <v>31.42</v>
      </c>
      <c r="M55" s="64">
        <v>51.55</v>
      </c>
      <c r="N55" s="64">
        <v>323.89999999999998</v>
      </c>
      <c r="O55" s="64">
        <v>0</v>
      </c>
      <c r="P55" s="64">
        <v>0.4</v>
      </c>
      <c r="Q55" s="64">
        <v>9.4700000000000006</v>
      </c>
      <c r="R55" s="198"/>
      <c r="S55" s="198"/>
      <c r="T55" s="198"/>
      <c r="U55" s="198"/>
    </row>
    <row r="56" spans="1:21" s="12" customFormat="1" x14ac:dyDescent="0.25">
      <c r="A56" s="214" t="s">
        <v>1832</v>
      </c>
      <c r="B56" s="64">
        <v>8.18</v>
      </c>
      <c r="C56" s="64">
        <v>3.26</v>
      </c>
      <c r="D56" s="64">
        <v>12.04</v>
      </c>
      <c r="E56" s="64">
        <v>3.4</v>
      </c>
      <c r="F56" s="64">
        <v>5.15</v>
      </c>
      <c r="G56" s="64">
        <v>53.28</v>
      </c>
      <c r="H56" s="64">
        <v>20.74</v>
      </c>
      <c r="I56" s="64">
        <v>2.76</v>
      </c>
      <c r="J56" s="64">
        <v>0.32</v>
      </c>
      <c r="K56" s="64">
        <v>196.35</v>
      </c>
      <c r="L56" s="64">
        <v>31.79</v>
      </c>
      <c r="M56" s="64">
        <v>50.18</v>
      </c>
      <c r="N56" s="64">
        <v>346</v>
      </c>
      <c r="O56" s="64">
        <v>0</v>
      </c>
      <c r="P56" s="64">
        <v>0.39</v>
      </c>
      <c r="Q56" s="64">
        <v>9.41</v>
      </c>
      <c r="R56" s="198"/>
      <c r="S56" s="198"/>
      <c r="T56" s="198"/>
      <c r="U56" s="198"/>
    </row>
    <row r="57" spans="1:21" s="12" customFormat="1" x14ac:dyDescent="0.25">
      <c r="A57" s="214" t="s">
        <v>1833</v>
      </c>
      <c r="B57" s="64">
        <v>8.19</v>
      </c>
      <c r="C57" s="64">
        <v>3.3</v>
      </c>
      <c r="D57" s="64">
        <v>12.07</v>
      </c>
      <c r="E57" s="64">
        <v>3.15</v>
      </c>
      <c r="F57" s="64">
        <v>5.4</v>
      </c>
      <c r="G57" s="64">
        <v>53.28</v>
      </c>
      <c r="H57" s="64">
        <v>20.74</v>
      </c>
      <c r="I57" s="64">
        <v>2.68</v>
      </c>
      <c r="J57" s="64">
        <v>0.98</v>
      </c>
      <c r="K57" s="64">
        <v>160.53</v>
      </c>
      <c r="L57" s="64">
        <v>32.04</v>
      </c>
      <c r="M57" s="64">
        <v>49.78</v>
      </c>
      <c r="N57" s="64">
        <v>386.8</v>
      </c>
      <c r="O57" s="64">
        <v>0</v>
      </c>
      <c r="P57" s="64">
        <v>0.37</v>
      </c>
      <c r="Q57" s="64">
        <v>9.39</v>
      </c>
      <c r="R57" s="198"/>
      <c r="S57" s="198"/>
      <c r="T57" s="198"/>
      <c r="U57" s="198"/>
    </row>
    <row r="58" spans="1:21" s="12" customFormat="1" x14ac:dyDescent="0.25">
      <c r="A58" s="214" t="s">
        <v>1834</v>
      </c>
      <c r="B58" s="64">
        <v>8.27</v>
      </c>
      <c r="C58" s="64">
        <v>3.48</v>
      </c>
      <c r="D58" s="64">
        <v>12.22</v>
      </c>
      <c r="E58" s="64">
        <v>2.73</v>
      </c>
      <c r="F58" s="64">
        <v>5.65</v>
      </c>
      <c r="G58" s="64">
        <v>52.27</v>
      </c>
      <c r="H58" s="64">
        <v>18.93</v>
      </c>
      <c r="I58" s="64">
        <v>2.65</v>
      </c>
      <c r="J58" s="64">
        <v>0.78</v>
      </c>
      <c r="K58" s="64">
        <v>157.65</v>
      </c>
      <c r="L58" s="64">
        <v>32.04</v>
      </c>
      <c r="M58" s="64">
        <v>49.86</v>
      </c>
      <c r="N58" s="64">
        <v>376.8</v>
      </c>
      <c r="O58" s="64">
        <v>0</v>
      </c>
      <c r="P58" s="64">
        <v>0.36</v>
      </c>
      <c r="Q58" s="64">
        <v>9.36</v>
      </c>
      <c r="R58" s="198"/>
      <c r="S58" s="198"/>
      <c r="T58" s="198"/>
      <c r="U58" s="198"/>
    </row>
    <row r="59" spans="1:21" s="12" customFormat="1" x14ac:dyDescent="0.25">
      <c r="A59" s="214" t="s">
        <v>1835</v>
      </c>
      <c r="B59" s="64">
        <v>8.23</v>
      </c>
      <c r="C59" s="64">
        <v>3.24</v>
      </c>
      <c r="D59" s="64">
        <v>12.06</v>
      </c>
      <c r="E59" s="64">
        <v>3.06</v>
      </c>
      <c r="F59" s="64">
        <v>6</v>
      </c>
      <c r="G59" s="64">
        <v>51.31</v>
      </c>
      <c r="H59" s="64">
        <v>17.2</v>
      </c>
      <c r="I59" s="64">
        <v>2.84</v>
      </c>
      <c r="J59" s="64">
        <v>0.46</v>
      </c>
      <c r="K59" s="64">
        <v>180.35</v>
      </c>
      <c r="L59" s="64">
        <v>32.49</v>
      </c>
      <c r="M59" s="64">
        <v>48.66</v>
      </c>
      <c r="N59" s="64">
        <v>436.5</v>
      </c>
      <c r="O59" s="64">
        <v>0</v>
      </c>
      <c r="P59" s="64">
        <v>0.35</v>
      </c>
      <c r="Q59" s="64">
        <v>9.3699999999999992</v>
      </c>
      <c r="R59" s="198"/>
      <c r="S59" s="198"/>
      <c r="T59" s="198"/>
      <c r="U59" s="198"/>
    </row>
    <row r="60" spans="1:21" s="12" customFormat="1" x14ac:dyDescent="0.25">
      <c r="A60" s="214" t="s">
        <v>1836</v>
      </c>
      <c r="B60" s="64">
        <v>8.2200000000000006</v>
      </c>
      <c r="C60" s="64">
        <v>3.27</v>
      </c>
      <c r="D60" s="64">
        <v>12.07</v>
      </c>
      <c r="E60" s="64">
        <v>2.78</v>
      </c>
      <c r="F60" s="64">
        <v>6.3</v>
      </c>
      <c r="G60" s="64">
        <v>51.31</v>
      </c>
      <c r="H60" s="64">
        <v>17.2</v>
      </c>
      <c r="I60" s="64">
        <v>3.18</v>
      </c>
      <c r="J60" s="64">
        <v>0.77</v>
      </c>
      <c r="K60" s="64">
        <v>168.06</v>
      </c>
      <c r="L60" s="64">
        <v>32.76</v>
      </c>
      <c r="M60" s="64">
        <v>48.3</v>
      </c>
      <c r="N60" s="64">
        <v>418.6</v>
      </c>
      <c r="O60" s="64">
        <v>0</v>
      </c>
      <c r="P60" s="64">
        <v>0.33</v>
      </c>
      <c r="Q60" s="64">
        <v>9.35</v>
      </c>
      <c r="R60" s="198"/>
      <c r="S60" s="198"/>
      <c r="T60" s="198"/>
      <c r="U60" s="198"/>
    </row>
    <row r="61" spans="1:21" s="12" customFormat="1" x14ac:dyDescent="0.25">
      <c r="A61" s="214" t="s">
        <v>1837</v>
      </c>
      <c r="B61" s="64">
        <v>8.26</v>
      </c>
      <c r="C61" s="64">
        <v>3.44</v>
      </c>
      <c r="D61" s="64">
        <v>12.2</v>
      </c>
      <c r="E61" s="64">
        <v>2.4500000000000002</v>
      </c>
      <c r="F61" s="64">
        <v>5.83</v>
      </c>
      <c r="G61" s="64">
        <v>51.31</v>
      </c>
      <c r="H61" s="64">
        <v>17.2</v>
      </c>
      <c r="I61" s="64">
        <v>3.39</v>
      </c>
      <c r="J61" s="64">
        <v>2.15</v>
      </c>
      <c r="K61" s="64">
        <v>153.1</v>
      </c>
      <c r="L61" s="64">
        <v>32.57</v>
      </c>
      <c r="M61" s="64">
        <v>49.7</v>
      </c>
      <c r="N61" s="64">
        <v>463.3</v>
      </c>
      <c r="O61" s="64">
        <v>0</v>
      </c>
      <c r="P61" s="64">
        <v>0.34</v>
      </c>
      <c r="Q61" s="64">
        <v>9.3699999999999992</v>
      </c>
      <c r="R61" s="198"/>
      <c r="S61" s="198"/>
      <c r="T61" s="198"/>
      <c r="U61" s="198"/>
    </row>
    <row r="62" spans="1:21" s="12" customFormat="1" x14ac:dyDescent="0.25">
      <c r="A62" s="214" t="s">
        <v>1838</v>
      </c>
      <c r="B62" s="64">
        <v>8.2100000000000009</v>
      </c>
      <c r="C62" s="64">
        <v>3.24</v>
      </c>
      <c r="D62" s="64">
        <v>12.05</v>
      </c>
      <c r="E62" s="64">
        <v>3.08</v>
      </c>
      <c r="F62" s="64">
        <v>5.52</v>
      </c>
      <c r="G62" s="64">
        <v>46.98</v>
      </c>
      <c r="H62" s="64">
        <v>17.54</v>
      </c>
      <c r="I62" s="64">
        <v>3.58</v>
      </c>
      <c r="J62" s="64">
        <v>1.79</v>
      </c>
      <c r="K62" s="64">
        <v>152.66999999999999</v>
      </c>
      <c r="L62" s="64">
        <v>32.57</v>
      </c>
      <c r="M62" s="64">
        <v>49.42</v>
      </c>
      <c r="N62" s="64">
        <v>504.5</v>
      </c>
      <c r="O62" s="64">
        <v>0</v>
      </c>
      <c r="P62" s="64">
        <v>0.35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4" t="s">
        <v>1839</v>
      </c>
      <c r="B63" s="64">
        <v>8.18</v>
      </c>
      <c r="C63" s="64">
        <v>3.19</v>
      </c>
      <c r="D63" s="64">
        <v>12</v>
      </c>
      <c r="E63" s="64">
        <v>3.31</v>
      </c>
      <c r="F63" s="64">
        <v>5.67</v>
      </c>
      <c r="G63" s="64">
        <v>42.83</v>
      </c>
      <c r="H63" s="64">
        <v>17.86</v>
      </c>
      <c r="I63" s="64">
        <v>4.1500000000000004</v>
      </c>
      <c r="J63" s="64">
        <v>1.23</v>
      </c>
      <c r="K63" s="64">
        <v>167.78</v>
      </c>
      <c r="L63" s="64">
        <v>32.46</v>
      </c>
      <c r="M63" s="64">
        <v>49.76</v>
      </c>
      <c r="N63" s="64">
        <v>351.7</v>
      </c>
      <c r="O63" s="64">
        <v>0</v>
      </c>
      <c r="P63" s="64">
        <v>0.34</v>
      </c>
      <c r="Q63" s="64">
        <v>9.3800000000000008</v>
      </c>
      <c r="R63" s="198"/>
      <c r="S63" s="198"/>
      <c r="T63" s="198"/>
      <c r="U63" s="198"/>
    </row>
    <row r="64" spans="1:21" s="12" customFormat="1" x14ac:dyDescent="0.25">
      <c r="A64" s="214" t="s">
        <v>1840</v>
      </c>
      <c r="B64" s="64">
        <v>8.18</v>
      </c>
      <c r="C64" s="64">
        <v>3.19</v>
      </c>
      <c r="D64" s="64">
        <v>12</v>
      </c>
      <c r="E64" s="64">
        <v>2.64</v>
      </c>
      <c r="F64" s="64">
        <v>6.2</v>
      </c>
      <c r="G64" s="64">
        <v>42.83</v>
      </c>
      <c r="H64" s="64">
        <v>17.86</v>
      </c>
      <c r="I64" s="64">
        <v>4.96</v>
      </c>
      <c r="J64" s="64">
        <v>0.99</v>
      </c>
      <c r="K64" s="64">
        <v>164</v>
      </c>
      <c r="L64" s="64">
        <v>32.25</v>
      </c>
      <c r="M64" s="64">
        <v>49.63</v>
      </c>
      <c r="N64" s="64">
        <v>271.7</v>
      </c>
      <c r="O64" s="64">
        <v>0</v>
      </c>
      <c r="P64" s="64">
        <v>0.33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4" t="s">
        <v>1841</v>
      </c>
      <c r="B65" s="64">
        <v>8.19</v>
      </c>
      <c r="C65" s="64">
        <v>3.25</v>
      </c>
      <c r="D65" s="64">
        <v>12.04</v>
      </c>
      <c r="E65" s="64">
        <v>3.03</v>
      </c>
      <c r="F65" s="64">
        <v>5.98</v>
      </c>
      <c r="G65" s="64">
        <v>42.83</v>
      </c>
      <c r="H65" s="64">
        <v>17.86</v>
      </c>
      <c r="I65" s="64">
        <v>5.21</v>
      </c>
      <c r="J65" s="64">
        <v>1.2</v>
      </c>
      <c r="K65" s="64">
        <v>157.88999999999999</v>
      </c>
      <c r="L65" s="64">
        <v>32.36</v>
      </c>
      <c r="M65" s="64">
        <v>49.7</v>
      </c>
      <c r="N65" s="64">
        <v>397.2</v>
      </c>
      <c r="O65" s="64">
        <v>0</v>
      </c>
      <c r="P65" s="64">
        <v>0.33</v>
      </c>
      <c r="Q65" s="64">
        <v>9.43</v>
      </c>
      <c r="R65" s="198"/>
      <c r="S65" s="198"/>
      <c r="T65" s="198"/>
      <c r="U65" s="198"/>
    </row>
    <row r="66" spans="1:21" s="12" customFormat="1" x14ac:dyDescent="0.25">
      <c r="A66" s="214" t="s">
        <v>1842</v>
      </c>
      <c r="B66" s="64">
        <v>8.2200000000000006</v>
      </c>
      <c r="C66" s="64">
        <v>3.38</v>
      </c>
      <c r="D66" s="64">
        <v>12.13</v>
      </c>
      <c r="E66" s="64">
        <v>3.06</v>
      </c>
      <c r="F66" s="64">
        <v>5.81</v>
      </c>
      <c r="G66" s="64">
        <v>43.74</v>
      </c>
      <c r="H66" s="64">
        <v>18.7</v>
      </c>
      <c r="I66" s="64">
        <v>5.23</v>
      </c>
      <c r="J66" s="64">
        <v>0.21</v>
      </c>
      <c r="K66" s="64">
        <v>139.47999999999999</v>
      </c>
      <c r="L66" s="64">
        <v>32.83</v>
      </c>
      <c r="M66" s="64">
        <v>49.09</v>
      </c>
      <c r="N66" s="64">
        <v>384.8</v>
      </c>
      <c r="O66" s="64">
        <v>0</v>
      </c>
      <c r="P66" s="64">
        <v>0.32</v>
      </c>
      <c r="Q66" s="64">
        <v>9.44</v>
      </c>
      <c r="R66" s="198"/>
      <c r="S66" s="198"/>
      <c r="T66" s="198"/>
      <c r="U66" s="198"/>
    </row>
    <row r="67" spans="1:21" s="12" customFormat="1" x14ac:dyDescent="0.25">
      <c r="A67" s="214" t="s">
        <v>1843</v>
      </c>
      <c r="B67" s="64">
        <v>8.18</v>
      </c>
      <c r="C67" s="64">
        <v>3.22</v>
      </c>
      <c r="D67" s="64">
        <v>12.02</v>
      </c>
      <c r="E67" s="64">
        <v>3.21</v>
      </c>
      <c r="F67" s="64">
        <v>5.99</v>
      </c>
      <c r="G67" s="64">
        <v>44.57</v>
      </c>
      <c r="H67" s="64">
        <v>19.47</v>
      </c>
      <c r="I67" s="64">
        <v>5.04</v>
      </c>
      <c r="J67" s="64">
        <v>0.53</v>
      </c>
      <c r="K67" s="64">
        <v>21.61</v>
      </c>
      <c r="L67" s="64">
        <v>33.229999999999997</v>
      </c>
      <c r="M67" s="64">
        <v>47.78</v>
      </c>
      <c r="N67" s="64">
        <v>263.7</v>
      </c>
      <c r="O67" s="64">
        <v>0</v>
      </c>
      <c r="P67" s="64">
        <v>0.32</v>
      </c>
      <c r="Q67" s="64">
        <v>9.42</v>
      </c>
      <c r="R67" s="198"/>
      <c r="S67" s="198"/>
      <c r="T67" s="198"/>
      <c r="U67" s="198"/>
    </row>
    <row r="68" spans="1:21" s="12" customFormat="1" x14ac:dyDescent="0.25">
      <c r="A68" s="214" t="s">
        <v>1844</v>
      </c>
      <c r="B68" s="64">
        <v>8.16</v>
      </c>
      <c r="C68" s="64">
        <v>3.26</v>
      </c>
      <c r="D68" s="64">
        <v>12.02</v>
      </c>
      <c r="E68" s="64">
        <v>3.27</v>
      </c>
      <c r="F68" s="64">
        <v>6.97</v>
      </c>
      <c r="G68" s="64">
        <v>44.57</v>
      </c>
      <c r="H68" s="64">
        <v>19.47</v>
      </c>
      <c r="I68" s="64">
        <v>4.7699999999999996</v>
      </c>
      <c r="J68" s="64">
        <v>0.52</v>
      </c>
      <c r="K68" s="64">
        <v>7.78</v>
      </c>
      <c r="L68" s="64">
        <v>33.32</v>
      </c>
      <c r="M68" s="64">
        <v>48.23</v>
      </c>
      <c r="N68" s="64">
        <v>354.2</v>
      </c>
      <c r="O68" s="64">
        <v>0</v>
      </c>
      <c r="P68" s="64">
        <v>0.33</v>
      </c>
      <c r="Q68" s="64">
        <v>9.43</v>
      </c>
      <c r="R68" s="198"/>
      <c r="S68" s="198"/>
      <c r="T68" s="198"/>
      <c r="U68" s="198"/>
    </row>
    <row r="69" spans="1:21" s="12" customFormat="1" x14ac:dyDescent="0.25">
      <c r="A69" s="214" t="s">
        <v>1845</v>
      </c>
      <c r="B69" s="64">
        <v>8.15</v>
      </c>
      <c r="C69" s="64">
        <v>3.22</v>
      </c>
      <c r="D69" s="64">
        <v>12</v>
      </c>
      <c r="E69" s="64">
        <v>3.33</v>
      </c>
      <c r="F69" s="64">
        <v>7.51</v>
      </c>
      <c r="G69" s="64">
        <v>44.57</v>
      </c>
      <c r="H69" s="64">
        <v>19.47</v>
      </c>
      <c r="I69" s="64">
        <v>4.4800000000000004</v>
      </c>
      <c r="J69" s="64">
        <v>0.54</v>
      </c>
      <c r="K69" s="64">
        <v>9.81</v>
      </c>
      <c r="L69" s="64">
        <v>33.65</v>
      </c>
      <c r="M69" s="64">
        <v>46.58</v>
      </c>
      <c r="N69" s="64">
        <v>321.5</v>
      </c>
      <c r="O69" s="64">
        <v>0</v>
      </c>
      <c r="P69" s="64">
        <v>0.34</v>
      </c>
      <c r="Q69" s="64">
        <v>9.43</v>
      </c>
      <c r="R69" s="198"/>
      <c r="S69" s="198"/>
      <c r="T69" s="198"/>
      <c r="U69" s="198"/>
    </row>
    <row r="70" spans="1:21" s="12" customFormat="1" x14ac:dyDescent="0.25">
      <c r="A70" s="214" t="s">
        <v>1846</v>
      </c>
      <c r="B70" s="64">
        <v>8.36</v>
      </c>
      <c r="C70" s="64">
        <v>3.91</v>
      </c>
      <c r="D70" s="64">
        <v>12.52</v>
      </c>
      <c r="E70" s="64">
        <v>2.79</v>
      </c>
      <c r="F70" s="64">
        <v>7.82</v>
      </c>
      <c r="G70" s="64">
        <v>47.56</v>
      </c>
      <c r="H70" s="64">
        <v>20.49</v>
      </c>
      <c r="I70" s="64">
        <v>4.1100000000000003</v>
      </c>
      <c r="J70" s="64">
        <v>0.53</v>
      </c>
      <c r="K70" s="64">
        <v>12.98</v>
      </c>
      <c r="L70" s="64">
        <v>33.32</v>
      </c>
      <c r="M70" s="64">
        <v>47.35</v>
      </c>
      <c r="N70" s="64">
        <v>343.9</v>
      </c>
      <c r="O70" s="64">
        <v>0</v>
      </c>
      <c r="P70" s="64">
        <v>0.33</v>
      </c>
      <c r="Q70" s="64">
        <v>9.41</v>
      </c>
      <c r="R70" s="198"/>
      <c r="S70" s="198"/>
      <c r="T70" s="198"/>
      <c r="U70" s="198"/>
    </row>
    <row r="71" spans="1:21" s="12" customFormat="1" x14ac:dyDescent="0.25">
      <c r="A71" s="214" t="s">
        <v>1847</v>
      </c>
      <c r="B71" s="64">
        <v>8.17</v>
      </c>
      <c r="C71" s="64">
        <v>3.23</v>
      </c>
      <c r="D71" s="64">
        <v>12.02</v>
      </c>
      <c r="E71" s="64">
        <v>2.59</v>
      </c>
      <c r="F71" s="64">
        <v>7.81</v>
      </c>
      <c r="G71" s="64">
        <v>50.41</v>
      </c>
      <c r="H71" s="64">
        <v>21.43</v>
      </c>
      <c r="I71" s="64">
        <v>3.76</v>
      </c>
      <c r="J71" s="64">
        <v>0.56000000000000005</v>
      </c>
      <c r="K71" s="64">
        <v>354.85</v>
      </c>
      <c r="L71" s="64">
        <v>33.75</v>
      </c>
      <c r="M71" s="64">
        <v>46.09</v>
      </c>
      <c r="N71" s="64">
        <v>206.4</v>
      </c>
      <c r="O71" s="64">
        <v>0</v>
      </c>
      <c r="P71" s="64">
        <v>0.33</v>
      </c>
      <c r="Q71" s="64">
        <v>9.39</v>
      </c>
      <c r="R71" s="198"/>
      <c r="S71" s="198"/>
      <c r="T71" s="198"/>
      <c r="U71" s="198"/>
    </row>
    <row r="72" spans="1:21" s="12" customFormat="1" x14ac:dyDescent="0.25">
      <c r="A72" s="214" t="s">
        <v>1848</v>
      </c>
      <c r="B72" s="64">
        <v>8.1199999999999992</v>
      </c>
      <c r="C72" s="64">
        <v>3.14</v>
      </c>
      <c r="D72" s="64">
        <v>11.93</v>
      </c>
      <c r="E72" s="64">
        <v>3.09</v>
      </c>
      <c r="F72" s="64">
        <v>7.55</v>
      </c>
      <c r="G72" s="64">
        <v>50.41</v>
      </c>
      <c r="H72" s="64">
        <v>21.43</v>
      </c>
      <c r="I72" s="64">
        <v>3.46</v>
      </c>
      <c r="J72" s="64">
        <v>0.22</v>
      </c>
      <c r="K72" s="64">
        <v>323.76</v>
      </c>
      <c r="L72" s="64">
        <v>33.54</v>
      </c>
      <c r="M72" s="64">
        <v>45.08</v>
      </c>
      <c r="N72" s="64">
        <v>173.3</v>
      </c>
      <c r="O72" s="64">
        <v>0</v>
      </c>
      <c r="P72" s="64">
        <v>0.32</v>
      </c>
      <c r="Q72" s="64">
        <v>9.42</v>
      </c>
      <c r="R72" s="198"/>
      <c r="S72" s="198"/>
      <c r="T72" s="198"/>
      <c r="U72" s="198"/>
    </row>
    <row r="73" spans="1:21" s="12" customFormat="1" x14ac:dyDescent="0.25">
      <c r="A73" s="214" t="s">
        <v>1849</v>
      </c>
      <c r="B73" s="64">
        <v>8.11</v>
      </c>
      <c r="C73" s="64">
        <v>3.03</v>
      </c>
      <c r="D73" s="64">
        <v>11.86</v>
      </c>
      <c r="E73" s="64">
        <v>4.2699999999999996</v>
      </c>
      <c r="F73" s="64">
        <v>7.12</v>
      </c>
      <c r="G73" s="64">
        <v>50.41</v>
      </c>
      <c r="H73" s="64">
        <v>21.43</v>
      </c>
      <c r="I73" s="64">
        <v>3.35</v>
      </c>
      <c r="J73" s="64">
        <v>0.54</v>
      </c>
      <c r="K73" s="64">
        <v>320.38</v>
      </c>
      <c r="L73" s="64">
        <v>33.72</v>
      </c>
      <c r="M73" s="64">
        <v>44.13</v>
      </c>
      <c r="N73" s="64">
        <v>170.8</v>
      </c>
      <c r="O73" s="64">
        <v>0</v>
      </c>
      <c r="P73" s="64">
        <v>0.33</v>
      </c>
      <c r="Q73" s="64">
        <v>9.39</v>
      </c>
      <c r="R73" s="198"/>
      <c r="S73" s="198"/>
      <c r="T73" s="198"/>
      <c r="U73" s="198"/>
    </row>
    <row r="74" spans="1:21" s="12" customFormat="1" x14ac:dyDescent="0.25">
      <c r="A74" s="214" t="s">
        <v>1850</v>
      </c>
      <c r="B74" s="64">
        <v>8.1199999999999992</v>
      </c>
      <c r="C74" s="64">
        <v>3.11</v>
      </c>
      <c r="D74" s="64">
        <v>11.92</v>
      </c>
      <c r="E74" s="64">
        <v>4.21</v>
      </c>
      <c r="F74" s="64">
        <v>6.5</v>
      </c>
      <c r="G74" s="64">
        <v>50.77</v>
      </c>
      <c r="H74" s="64">
        <v>18.52</v>
      </c>
      <c r="I74" s="64">
        <v>3.13</v>
      </c>
      <c r="J74" s="64">
        <v>0.73</v>
      </c>
      <c r="K74" s="64">
        <v>319.14999999999998</v>
      </c>
      <c r="L74" s="64">
        <v>34.22</v>
      </c>
      <c r="M74" s="64">
        <v>42.13</v>
      </c>
      <c r="N74" s="64">
        <v>155.30000000000001</v>
      </c>
      <c r="O74" s="64">
        <v>0</v>
      </c>
      <c r="P74" s="64">
        <v>0.35</v>
      </c>
      <c r="Q74" s="64">
        <v>9.3800000000000008</v>
      </c>
      <c r="R74" s="198"/>
      <c r="S74" s="198"/>
      <c r="T74" s="198"/>
      <c r="U74" s="198"/>
    </row>
    <row r="75" spans="1:21" s="12" customFormat="1" x14ac:dyDescent="0.25">
      <c r="A75" s="214" t="s">
        <v>1851</v>
      </c>
      <c r="B75" s="64">
        <v>8.15</v>
      </c>
      <c r="C75" s="64">
        <v>3.19</v>
      </c>
      <c r="D75" s="64">
        <v>11.97</v>
      </c>
      <c r="E75" s="64">
        <v>4.1500000000000004</v>
      </c>
      <c r="F75" s="64">
        <v>5.4</v>
      </c>
      <c r="G75" s="64">
        <v>51.11</v>
      </c>
      <c r="H75" s="64">
        <v>15.74</v>
      </c>
      <c r="I75" s="64">
        <v>2.96</v>
      </c>
      <c r="J75" s="64">
        <v>0.78</v>
      </c>
      <c r="K75" s="64">
        <v>315.8</v>
      </c>
      <c r="L75" s="64">
        <v>34.28</v>
      </c>
      <c r="M75" s="64">
        <v>41.75</v>
      </c>
      <c r="N75" s="64">
        <v>137.69999999999999</v>
      </c>
      <c r="O75" s="64">
        <v>0</v>
      </c>
      <c r="P75" s="64">
        <v>0.37</v>
      </c>
      <c r="Q75" s="64">
        <v>9.3699999999999992</v>
      </c>
      <c r="R75" s="198"/>
      <c r="S75" s="198"/>
      <c r="T75" s="198"/>
      <c r="U75" s="198"/>
    </row>
    <row r="76" spans="1:21" s="12" customFormat="1" x14ac:dyDescent="0.25">
      <c r="A76" s="214" t="s">
        <v>1852</v>
      </c>
      <c r="B76" s="64">
        <v>8.1999999999999993</v>
      </c>
      <c r="C76" s="64">
        <v>3.3</v>
      </c>
      <c r="D76" s="64">
        <v>12.07</v>
      </c>
      <c r="E76" s="64">
        <v>4.17</v>
      </c>
      <c r="F76" s="64">
        <v>5.53</v>
      </c>
      <c r="G76" s="64">
        <v>51.11</v>
      </c>
      <c r="H76" s="64">
        <v>15.74</v>
      </c>
      <c r="I76" s="64">
        <v>3.12</v>
      </c>
      <c r="J76" s="64">
        <v>0.61</v>
      </c>
      <c r="K76" s="64">
        <v>324.02</v>
      </c>
      <c r="L76" s="64">
        <v>34.049999999999997</v>
      </c>
      <c r="M76" s="64">
        <v>41.29</v>
      </c>
      <c r="N76" s="64">
        <v>119.6</v>
      </c>
      <c r="O76" s="64">
        <v>0</v>
      </c>
      <c r="P76" s="64">
        <v>0.4</v>
      </c>
      <c r="Q76" s="64">
        <v>9.36</v>
      </c>
      <c r="R76" s="198"/>
      <c r="S76" s="198"/>
      <c r="T76" s="198"/>
      <c r="U76" s="198"/>
    </row>
    <row r="77" spans="1:21" s="12" customFormat="1" x14ac:dyDescent="0.25">
      <c r="A77" s="214" t="s">
        <v>1853</v>
      </c>
      <c r="B77" s="64">
        <v>8.2100000000000009</v>
      </c>
      <c r="C77" s="64">
        <v>3.29</v>
      </c>
      <c r="D77" s="64">
        <v>12.08</v>
      </c>
      <c r="E77" s="64">
        <v>4.42</v>
      </c>
      <c r="F77" s="64">
        <v>4.88</v>
      </c>
      <c r="G77" s="64">
        <v>51.11</v>
      </c>
      <c r="H77" s="64">
        <v>15.74</v>
      </c>
      <c r="I77" s="64">
        <v>3.12</v>
      </c>
      <c r="J77" s="64">
        <v>0.64</v>
      </c>
      <c r="K77" s="64">
        <v>340.98</v>
      </c>
      <c r="L77" s="64">
        <v>33.71</v>
      </c>
      <c r="M77" s="64">
        <v>41.54</v>
      </c>
      <c r="N77" s="64">
        <v>101.5</v>
      </c>
      <c r="O77" s="64">
        <v>0</v>
      </c>
      <c r="P77" s="64">
        <v>0.42</v>
      </c>
      <c r="Q77" s="64">
        <v>9.34</v>
      </c>
      <c r="R77" s="198"/>
      <c r="S77" s="198"/>
      <c r="T77" s="198"/>
      <c r="U77" s="198"/>
    </row>
    <row r="78" spans="1:21" s="12" customFormat="1" x14ac:dyDescent="0.25">
      <c r="A78" s="214" t="s">
        <v>1854</v>
      </c>
      <c r="B78" s="64">
        <v>8.31</v>
      </c>
      <c r="C78" s="64">
        <v>3.66</v>
      </c>
      <c r="D78" s="64">
        <v>12.34</v>
      </c>
      <c r="E78" s="64">
        <v>4.04</v>
      </c>
      <c r="F78" s="64">
        <v>5.14</v>
      </c>
      <c r="G78" s="64">
        <v>52.34</v>
      </c>
      <c r="H78" s="64">
        <v>19.45</v>
      </c>
      <c r="I78" s="64">
        <v>3.29</v>
      </c>
      <c r="J78" s="64">
        <v>0.5</v>
      </c>
      <c r="K78" s="64">
        <v>352.35</v>
      </c>
      <c r="L78" s="64">
        <v>33.28</v>
      </c>
      <c r="M78" s="64">
        <v>41.77</v>
      </c>
      <c r="N78" s="64">
        <v>91</v>
      </c>
      <c r="O78" s="64">
        <v>0</v>
      </c>
      <c r="P78" s="64">
        <v>0.42</v>
      </c>
      <c r="Q78" s="64">
        <v>9.36</v>
      </c>
      <c r="R78" s="198"/>
      <c r="S78" s="198"/>
      <c r="T78" s="198"/>
      <c r="U78" s="198"/>
    </row>
    <row r="79" spans="1:21" s="12" customFormat="1" x14ac:dyDescent="0.25">
      <c r="A79" s="214" t="s">
        <v>1855</v>
      </c>
      <c r="B79" s="64">
        <v>8.27</v>
      </c>
      <c r="C79" s="64">
        <v>3.5</v>
      </c>
      <c r="D79" s="64">
        <v>12.23</v>
      </c>
      <c r="E79" s="64">
        <v>4.42</v>
      </c>
      <c r="F79" s="64">
        <v>4.6900000000000004</v>
      </c>
      <c r="G79" s="64">
        <v>53.47</v>
      </c>
      <c r="H79" s="64">
        <v>22.84</v>
      </c>
      <c r="I79" s="64">
        <v>3.37</v>
      </c>
      <c r="J79" s="64">
        <v>0.39</v>
      </c>
      <c r="K79" s="64">
        <v>344.35</v>
      </c>
      <c r="L79" s="64">
        <v>33.07</v>
      </c>
      <c r="M79" s="64">
        <v>42.28</v>
      </c>
      <c r="N79" s="64">
        <v>81.900000000000006</v>
      </c>
      <c r="O79" s="64">
        <v>0</v>
      </c>
      <c r="P79" s="64">
        <v>0.45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4" t="s">
        <v>1856</v>
      </c>
      <c r="B80" s="64">
        <v>8.2100000000000009</v>
      </c>
      <c r="C80" s="64">
        <v>3.19</v>
      </c>
      <c r="D80" s="64">
        <v>12.02</v>
      </c>
      <c r="E80" s="64">
        <v>4.21</v>
      </c>
      <c r="F80" s="64">
        <v>4.46</v>
      </c>
      <c r="G80" s="64">
        <v>53.47</v>
      </c>
      <c r="H80" s="64">
        <v>22.84</v>
      </c>
      <c r="I80" s="64">
        <v>3.36</v>
      </c>
      <c r="J80" s="64">
        <v>0.32</v>
      </c>
      <c r="K80" s="64">
        <v>348.21</v>
      </c>
      <c r="L80" s="64">
        <v>32.79</v>
      </c>
      <c r="M80" s="64">
        <v>42.79</v>
      </c>
      <c r="N80" s="64">
        <v>64.3</v>
      </c>
      <c r="O80" s="64">
        <v>0</v>
      </c>
      <c r="P80" s="64">
        <v>0.46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14" t="s">
        <v>1857</v>
      </c>
      <c r="B81" s="64">
        <v>8.18</v>
      </c>
      <c r="C81" s="64">
        <v>3.08</v>
      </c>
      <c r="D81" s="64">
        <v>11.94</v>
      </c>
      <c r="E81" s="64">
        <v>4.17</v>
      </c>
      <c r="F81" s="64">
        <v>4.51</v>
      </c>
      <c r="G81" s="64">
        <v>53.47</v>
      </c>
      <c r="H81" s="64">
        <v>22.84</v>
      </c>
      <c r="I81" s="64">
        <v>3.53</v>
      </c>
      <c r="J81" s="64">
        <v>0.21</v>
      </c>
      <c r="K81" s="64">
        <v>317.26</v>
      </c>
      <c r="L81" s="64">
        <v>32.61</v>
      </c>
      <c r="M81" s="64">
        <v>43.07</v>
      </c>
      <c r="N81" s="64">
        <v>43.4</v>
      </c>
      <c r="O81" s="64">
        <v>0</v>
      </c>
      <c r="P81" s="64">
        <v>0.52</v>
      </c>
      <c r="Q81" s="64">
        <v>9.39</v>
      </c>
      <c r="R81" s="198"/>
      <c r="S81" s="198"/>
      <c r="T81" s="198"/>
      <c r="U81" s="198"/>
    </row>
    <row r="82" spans="1:26" s="12" customFormat="1" x14ac:dyDescent="0.25">
      <c r="A82" s="214" t="s">
        <v>1858</v>
      </c>
      <c r="B82" s="64">
        <v>8.15</v>
      </c>
      <c r="C82" s="64">
        <v>3.06</v>
      </c>
      <c r="D82" s="64">
        <v>11.91</v>
      </c>
      <c r="E82" s="64">
        <v>4.3</v>
      </c>
      <c r="F82" s="64">
        <v>4.4400000000000004</v>
      </c>
      <c r="G82" s="64">
        <v>56.59</v>
      </c>
      <c r="H82" s="64">
        <v>23.13</v>
      </c>
      <c r="I82" s="64">
        <v>3.77</v>
      </c>
      <c r="J82" s="64">
        <v>0.24</v>
      </c>
      <c r="K82" s="64">
        <v>14.72</v>
      </c>
      <c r="L82" s="64">
        <v>32.33</v>
      </c>
      <c r="M82" s="64">
        <v>44.19</v>
      </c>
      <c r="N82" s="64">
        <v>30</v>
      </c>
      <c r="O82" s="64">
        <v>0</v>
      </c>
      <c r="P82" s="64">
        <v>0.56999999999999995</v>
      </c>
      <c r="Q82" s="64">
        <v>9.41</v>
      </c>
      <c r="R82" s="198"/>
      <c r="S82" s="198"/>
      <c r="T82" s="198"/>
      <c r="U82" s="198"/>
    </row>
    <row r="83" spans="1:26" s="12" customFormat="1" x14ac:dyDescent="0.25">
      <c r="A83" s="214" t="s">
        <v>1859</v>
      </c>
      <c r="B83" s="64">
        <v>8.19</v>
      </c>
      <c r="C83" s="64">
        <v>3.3</v>
      </c>
      <c r="D83" s="64">
        <v>12.06</v>
      </c>
      <c r="E83" s="64">
        <v>4.12</v>
      </c>
      <c r="F83" s="64">
        <v>4.51</v>
      </c>
      <c r="G83" s="64">
        <v>59.57</v>
      </c>
      <c r="H83" s="64">
        <v>23.39</v>
      </c>
      <c r="I83" s="64">
        <v>4.03</v>
      </c>
      <c r="J83" s="64">
        <v>0.57999999999999996</v>
      </c>
      <c r="K83" s="64">
        <v>23.65</v>
      </c>
      <c r="L83" s="64">
        <v>32.21</v>
      </c>
      <c r="M83" s="64">
        <v>44.45</v>
      </c>
      <c r="N83" s="64">
        <v>22.2</v>
      </c>
      <c r="O83" s="64">
        <v>0</v>
      </c>
      <c r="P83" s="64">
        <v>0.61</v>
      </c>
      <c r="Q83" s="64">
        <v>9.5299999999999994</v>
      </c>
      <c r="R83" s="198"/>
      <c r="S83" s="198"/>
      <c r="T83" s="198"/>
      <c r="U83" s="198"/>
    </row>
    <row r="84" spans="1:26" s="12" customFormat="1" x14ac:dyDescent="0.25">
      <c r="A84" s="214" t="s">
        <v>1860</v>
      </c>
      <c r="B84" s="64">
        <v>8.2799999999999994</v>
      </c>
      <c r="C84" s="64">
        <v>3.62</v>
      </c>
      <c r="D84" s="64">
        <v>12.3</v>
      </c>
      <c r="E84" s="64">
        <v>4.46</v>
      </c>
      <c r="F84" s="64">
        <v>4.3600000000000003</v>
      </c>
      <c r="G84" s="64">
        <v>59.57</v>
      </c>
      <c r="H84" s="64">
        <v>23.39</v>
      </c>
      <c r="I84" s="64">
        <v>4.3499999999999996</v>
      </c>
      <c r="J84" s="64">
        <v>7.0000000000000007E-2</v>
      </c>
      <c r="K84" s="64">
        <v>25.89</v>
      </c>
      <c r="L84" s="64">
        <v>32.04</v>
      </c>
      <c r="M84" s="64">
        <v>44.21</v>
      </c>
      <c r="N84" s="64">
        <v>21</v>
      </c>
      <c r="O84" s="64">
        <v>0</v>
      </c>
      <c r="P84" s="64">
        <v>0.66</v>
      </c>
      <c r="Q84" s="64">
        <v>9.5500000000000007</v>
      </c>
      <c r="R84" s="198"/>
      <c r="S84" s="198"/>
      <c r="T84" s="198"/>
      <c r="U84" s="198"/>
    </row>
    <row r="85" spans="1:26" s="12" customFormat="1" x14ac:dyDescent="0.25">
      <c r="A85" s="214" t="s">
        <v>1861</v>
      </c>
      <c r="B85" s="64">
        <v>8.23</v>
      </c>
      <c r="C85" s="64">
        <v>3.47</v>
      </c>
      <c r="D85" s="64">
        <v>12.19</v>
      </c>
      <c r="E85" s="64">
        <v>4.37</v>
      </c>
      <c r="F85" s="64">
        <v>4.47</v>
      </c>
      <c r="G85" s="64">
        <v>59.57</v>
      </c>
      <c r="H85" s="64">
        <v>23.39</v>
      </c>
      <c r="I85" s="64">
        <v>4.55</v>
      </c>
      <c r="J85" s="64">
        <v>0.14000000000000001</v>
      </c>
      <c r="K85" s="64">
        <v>344.41</v>
      </c>
      <c r="L85" s="64">
        <v>31.78</v>
      </c>
      <c r="M85" s="64">
        <v>44.72</v>
      </c>
      <c r="N85" s="64">
        <v>20.9</v>
      </c>
      <c r="O85" s="64">
        <v>0</v>
      </c>
      <c r="P85" s="64">
        <v>0.56999999999999995</v>
      </c>
      <c r="Q85" s="64">
        <v>9.5299999999999994</v>
      </c>
      <c r="R85" s="198"/>
      <c r="S85" s="198"/>
      <c r="T85" s="198"/>
      <c r="U85" s="198"/>
    </row>
    <row r="86" spans="1:26" s="12" customFormat="1" x14ac:dyDescent="0.25">
      <c r="A86" s="214" t="s">
        <v>1862</v>
      </c>
      <c r="B86" s="64">
        <v>8.1999999999999993</v>
      </c>
      <c r="C86" s="64">
        <v>3.32</v>
      </c>
      <c r="D86" s="64">
        <v>12.08</v>
      </c>
      <c r="E86" s="64">
        <v>4.51</v>
      </c>
      <c r="F86" s="64">
        <v>4.6100000000000003</v>
      </c>
      <c r="G86" s="64">
        <v>64.03</v>
      </c>
      <c r="H86" s="64">
        <v>24.03</v>
      </c>
      <c r="I86" s="64">
        <v>4.63</v>
      </c>
      <c r="J86" s="64">
        <v>0.04</v>
      </c>
      <c r="K86" s="64">
        <v>63.61</v>
      </c>
      <c r="L86" s="64">
        <v>31.46</v>
      </c>
      <c r="M86" s="64">
        <v>45.12</v>
      </c>
      <c r="N86" s="64">
        <v>21.1</v>
      </c>
      <c r="O86" s="64">
        <v>0</v>
      </c>
      <c r="P86" s="64">
        <v>0.6</v>
      </c>
      <c r="Q86" s="64">
        <v>9.5</v>
      </c>
      <c r="R86" s="198"/>
      <c r="S86" s="198"/>
      <c r="T86" s="198"/>
      <c r="U86" s="198"/>
    </row>
    <row r="87" spans="1:26" s="12" customFormat="1" x14ac:dyDescent="0.25">
      <c r="A87" s="214" t="s">
        <v>1863</v>
      </c>
      <c r="B87" s="64">
        <v>8.18</v>
      </c>
      <c r="C87" s="64">
        <v>3.25</v>
      </c>
      <c r="D87" s="64">
        <v>12.03</v>
      </c>
      <c r="E87" s="64">
        <v>4.1500000000000004</v>
      </c>
      <c r="F87" s="64">
        <v>4.55</v>
      </c>
      <c r="G87" s="64">
        <v>68.099999999999994</v>
      </c>
      <c r="H87" s="64">
        <v>24.61</v>
      </c>
      <c r="I87" s="64">
        <v>4.8600000000000003</v>
      </c>
      <c r="J87" s="64">
        <v>0.08</v>
      </c>
      <c r="K87" s="64">
        <v>279.01</v>
      </c>
      <c r="L87" s="64">
        <v>31.21</v>
      </c>
      <c r="M87" s="64">
        <v>45.15</v>
      </c>
      <c r="N87" s="64">
        <v>20.8</v>
      </c>
      <c r="O87" s="64">
        <v>0</v>
      </c>
      <c r="P87" s="64">
        <v>0.57999999999999996</v>
      </c>
      <c r="Q87" s="64">
        <v>9.49</v>
      </c>
      <c r="R87" s="198"/>
      <c r="S87" s="198"/>
      <c r="T87" s="198"/>
      <c r="U87" s="198"/>
    </row>
    <row r="88" spans="1:26" s="12" customFormat="1" x14ac:dyDescent="0.25">
      <c r="A88" s="214" t="s">
        <v>1864</v>
      </c>
      <c r="B88" s="64">
        <v>8.26</v>
      </c>
      <c r="C88" s="64">
        <v>3.56</v>
      </c>
      <c r="D88" s="64">
        <v>12.25</v>
      </c>
      <c r="E88" s="64">
        <v>4.43</v>
      </c>
      <c r="F88" s="64">
        <v>4.67</v>
      </c>
      <c r="G88" s="64">
        <v>68.099999999999994</v>
      </c>
      <c r="H88" s="64">
        <v>24.61</v>
      </c>
      <c r="I88" s="64">
        <v>4.91</v>
      </c>
      <c r="J88" s="64">
        <v>0.16</v>
      </c>
      <c r="K88" s="64">
        <v>53.49</v>
      </c>
      <c r="L88" s="64">
        <v>31</v>
      </c>
      <c r="M88" s="64">
        <v>45.75</v>
      </c>
      <c r="N88" s="64">
        <v>20.7</v>
      </c>
      <c r="O88" s="64">
        <v>0</v>
      </c>
      <c r="P88" s="64">
        <v>0.56000000000000005</v>
      </c>
      <c r="Q88" s="64">
        <v>9.4700000000000006</v>
      </c>
      <c r="R88" s="198"/>
      <c r="S88" s="198"/>
      <c r="T88" s="198"/>
      <c r="U88" s="198"/>
    </row>
    <row r="89" spans="1:26" s="12" customFormat="1" x14ac:dyDescent="0.25">
      <c r="A89" s="214" t="s">
        <v>1865</v>
      </c>
      <c r="B89" s="64">
        <v>8.39</v>
      </c>
      <c r="C89" s="64">
        <v>4.1100000000000003</v>
      </c>
      <c r="D89" s="64">
        <v>12.64</v>
      </c>
      <c r="E89" s="64">
        <v>4.32</v>
      </c>
      <c r="F89" s="64">
        <v>4.47</v>
      </c>
      <c r="G89" s="64">
        <v>68.099999999999994</v>
      </c>
      <c r="H89" s="64">
        <v>24.61</v>
      </c>
      <c r="I89" s="64">
        <v>4.68</v>
      </c>
      <c r="J89" s="64">
        <v>0.26</v>
      </c>
      <c r="K89" s="64">
        <v>20.85</v>
      </c>
      <c r="L89" s="64">
        <v>30.86</v>
      </c>
      <c r="M89" s="64">
        <v>46.16</v>
      </c>
      <c r="N89" s="64">
        <v>20.8</v>
      </c>
      <c r="O89" s="64">
        <v>0</v>
      </c>
      <c r="P89" s="64">
        <v>0.54</v>
      </c>
      <c r="Q89" s="64">
        <v>9.4600000000000009</v>
      </c>
      <c r="R89" s="198"/>
      <c r="S89" s="198"/>
      <c r="T89" s="198"/>
      <c r="U89" s="198"/>
    </row>
    <row r="90" spans="1:26" s="12" customFormat="1" x14ac:dyDescent="0.25">
      <c r="A90" s="214" t="s">
        <v>1866</v>
      </c>
      <c r="B90" s="64">
        <v>8.17</v>
      </c>
      <c r="C90" s="64">
        <v>3.25</v>
      </c>
      <c r="D90" s="64">
        <v>12.03</v>
      </c>
      <c r="E90" s="64">
        <v>4.5</v>
      </c>
      <c r="F90" s="64">
        <v>4.57</v>
      </c>
      <c r="G90" s="64">
        <v>69.27</v>
      </c>
      <c r="H90" s="64">
        <v>21.75</v>
      </c>
      <c r="I90" s="64">
        <v>4.66</v>
      </c>
      <c r="J90" s="64">
        <v>0.42</v>
      </c>
      <c r="K90" s="64">
        <v>16.61</v>
      </c>
      <c r="L90" s="64">
        <v>30.73</v>
      </c>
      <c r="M90" s="64">
        <v>47.59</v>
      </c>
      <c r="N90" s="64">
        <v>20.8</v>
      </c>
      <c r="O90" s="64">
        <v>0</v>
      </c>
      <c r="P90" s="64">
        <v>0.55000000000000004</v>
      </c>
      <c r="Q90" s="64">
        <v>9.4700000000000006</v>
      </c>
      <c r="R90" s="198"/>
      <c r="S90" s="198"/>
      <c r="T90" s="198"/>
      <c r="U90" s="198"/>
    </row>
    <row r="91" spans="1:26" s="12" customFormat="1" x14ac:dyDescent="0.25">
      <c r="A91" s="214" t="s">
        <v>1867</v>
      </c>
      <c r="B91" s="64">
        <v>8.1300000000000008</v>
      </c>
      <c r="C91" s="64">
        <v>3.07</v>
      </c>
      <c r="D91" s="64">
        <v>11.9</v>
      </c>
      <c r="E91" s="64">
        <v>4.63</v>
      </c>
      <c r="F91" s="64">
        <v>4.24</v>
      </c>
      <c r="G91" s="64">
        <v>70.39</v>
      </c>
      <c r="H91" s="64">
        <v>19.14</v>
      </c>
      <c r="I91" s="64">
        <v>4.72</v>
      </c>
      <c r="J91" s="64">
        <v>0.12</v>
      </c>
      <c r="K91" s="64">
        <v>54.77</v>
      </c>
      <c r="L91" s="64">
        <v>30.55</v>
      </c>
      <c r="M91" s="64">
        <v>48.69</v>
      </c>
      <c r="N91" s="64">
        <v>20.7</v>
      </c>
      <c r="O91" s="64">
        <v>0</v>
      </c>
      <c r="P91" s="64">
        <v>0.56000000000000005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14" t="s">
        <v>1868</v>
      </c>
      <c r="B92" s="64">
        <v>8.11</v>
      </c>
      <c r="C92" s="64">
        <v>3.06</v>
      </c>
      <c r="D92" s="64">
        <v>11.88</v>
      </c>
      <c r="E92" s="64">
        <v>4.3600000000000003</v>
      </c>
      <c r="F92" s="64">
        <v>4.3</v>
      </c>
      <c r="G92" s="64">
        <v>70.39</v>
      </c>
      <c r="H92" s="64">
        <v>19.14</v>
      </c>
      <c r="I92" s="64">
        <v>4.75</v>
      </c>
      <c r="J92" s="64">
        <v>0.04</v>
      </c>
      <c r="K92" s="64">
        <v>125.8</v>
      </c>
      <c r="L92" s="64">
        <v>30.29</v>
      </c>
      <c r="M92" s="64">
        <v>50.3</v>
      </c>
      <c r="N92" s="64">
        <v>20.8</v>
      </c>
      <c r="O92" s="64">
        <v>0</v>
      </c>
      <c r="P92" s="64">
        <v>0.56000000000000005</v>
      </c>
      <c r="Q92" s="64">
        <v>9.4700000000000006</v>
      </c>
      <c r="R92" s="198"/>
      <c r="S92" s="198"/>
      <c r="T92" s="198"/>
      <c r="U92" s="198"/>
    </row>
    <row r="93" spans="1:26" s="12" customFormat="1" x14ac:dyDescent="0.25">
      <c r="A93" s="214" t="s">
        <v>1869</v>
      </c>
      <c r="B93" s="64">
        <v>8.15</v>
      </c>
      <c r="C93" s="64">
        <v>3.06</v>
      </c>
      <c r="D93" s="64">
        <v>11.9</v>
      </c>
      <c r="E93" s="64">
        <v>4.28</v>
      </c>
      <c r="F93" s="64">
        <v>4.0599999999999996</v>
      </c>
      <c r="G93" s="64">
        <v>70.39</v>
      </c>
      <c r="H93" s="64">
        <v>19.14</v>
      </c>
      <c r="I93" s="64">
        <v>4.7699999999999996</v>
      </c>
      <c r="J93" s="64">
        <v>0.35</v>
      </c>
      <c r="K93" s="64">
        <v>189.69</v>
      </c>
      <c r="L93" s="64">
        <v>30.15</v>
      </c>
      <c r="M93" s="64">
        <v>51.37</v>
      </c>
      <c r="N93" s="64">
        <v>20.6</v>
      </c>
      <c r="O93" s="64">
        <v>0</v>
      </c>
      <c r="P93" s="64">
        <v>0.55000000000000004</v>
      </c>
      <c r="Q93" s="64">
        <v>9.4499999999999993</v>
      </c>
      <c r="R93" s="198"/>
      <c r="S93" s="198"/>
      <c r="T93" s="198"/>
      <c r="U93" s="198"/>
    </row>
    <row r="94" spans="1:26" s="12" customFormat="1" x14ac:dyDescent="0.25">
      <c r="A94" s="214" t="s">
        <v>1870</v>
      </c>
      <c r="B94" s="64">
        <v>8.17</v>
      </c>
      <c r="C94" s="64">
        <v>3.14</v>
      </c>
      <c r="D94" s="64">
        <v>11.96</v>
      </c>
      <c r="E94" s="64">
        <v>4.57</v>
      </c>
      <c r="F94" s="64">
        <v>3.6</v>
      </c>
      <c r="G94" s="64">
        <v>66.430000000000007</v>
      </c>
      <c r="H94" s="64">
        <v>19.670000000000002</v>
      </c>
      <c r="I94" s="64">
        <v>4.7300000000000004</v>
      </c>
      <c r="J94" s="64">
        <v>0.76</v>
      </c>
      <c r="K94" s="64">
        <v>174.59</v>
      </c>
      <c r="L94" s="64">
        <v>29.86</v>
      </c>
      <c r="M94" s="64">
        <v>53.72</v>
      </c>
      <c r="N94" s="64">
        <v>20.6</v>
      </c>
      <c r="O94" s="64">
        <v>0</v>
      </c>
      <c r="P94" s="64">
        <v>0.54</v>
      </c>
      <c r="Q94" s="64">
        <v>9.41</v>
      </c>
      <c r="R94" s="198"/>
      <c r="S94" s="198"/>
      <c r="T94" s="198"/>
      <c r="U94" s="198"/>
    </row>
    <row r="95" spans="1:26" s="12" customFormat="1" x14ac:dyDescent="0.25">
      <c r="A95" s="214" t="s">
        <v>1871</v>
      </c>
      <c r="B95" s="64">
        <v>8.18</v>
      </c>
      <c r="C95" s="64">
        <v>3.14</v>
      </c>
      <c r="D95" s="64">
        <v>11.98</v>
      </c>
      <c r="E95" s="64">
        <v>4.2699999999999996</v>
      </c>
      <c r="F95" s="64">
        <v>3.8</v>
      </c>
      <c r="G95" s="64">
        <v>62.81</v>
      </c>
      <c r="H95" s="64">
        <v>20.149999999999999</v>
      </c>
      <c r="I95" s="64">
        <v>4.6100000000000003</v>
      </c>
      <c r="J95" s="64">
        <v>0.32</v>
      </c>
      <c r="K95" s="64">
        <v>310.02999999999997</v>
      </c>
      <c r="L95" s="64">
        <v>29.71</v>
      </c>
      <c r="M95" s="64">
        <v>55.85</v>
      </c>
      <c r="N95" s="64">
        <v>20.9</v>
      </c>
      <c r="O95" s="64">
        <v>0</v>
      </c>
      <c r="P95" s="64">
        <v>0.53</v>
      </c>
      <c r="Q95" s="64">
        <v>9.3699999999999992</v>
      </c>
      <c r="R95" s="198"/>
      <c r="S95" s="198"/>
      <c r="T95" s="198"/>
      <c r="U95" s="198"/>
    </row>
    <row r="96" spans="1:26" s="12" customFormat="1" x14ac:dyDescent="0.25">
      <c r="A96" s="214" t="s">
        <v>1872</v>
      </c>
      <c r="B96" s="64">
        <v>8.19</v>
      </c>
      <c r="C96" s="64">
        <v>3.14</v>
      </c>
      <c r="D96" s="64">
        <v>11.99</v>
      </c>
      <c r="E96" s="64">
        <v>4.55</v>
      </c>
      <c r="F96" s="64">
        <v>3.78</v>
      </c>
      <c r="G96" s="64">
        <v>62.81</v>
      </c>
      <c r="H96" s="64">
        <v>20.149999999999999</v>
      </c>
      <c r="I96" s="64">
        <v>4.79</v>
      </c>
      <c r="J96" s="64">
        <v>0.26</v>
      </c>
      <c r="K96" s="64">
        <v>9.9700000000000006</v>
      </c>
      <c r="L96" s="64">
        <v>29.47</v>
      </c>
      <c r="M96" s="64">
        <v>58.48</v>
      </c>
      <c r="N96" s="64">
        <v>20.8</v>
      </c>
      <c r="O96" s="64">
        <v>0</v>
      </c>
      <c r="P96" s="64">
        <v>0.53</v>
      </c>
      <c r="Q96" s="64">
        <v>9.42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1873</v>
      </c>
      <c r="B97" s="64">
        <v>8.23</v>
      </c>
      <c r="C97" s="64">
        <v>3.22</v>
      </c>
      <c r="D97" s="64">
        <v>12.06</v>
      </c>
      <c r="E97" s="64">
        <v>4.25</v>
      </c>
      <c r="F97" s="64">
        <v>3.61</v>
      </c>
      <c r="G97" s="64">
        <v>62.81</v>
      </c>
      <c r="H97" s="64">
        <v>20.149999999999999</v>
      </c>
      <c r="I97" s="64">
        <v>4.71</v>
      </c>
      <c r="J97" s="64">
        <v>0.54</v>
      </c>
      <c r="K97" s="64">
        <v>23.75</v>
      </c>
      <c r="L97" s="64">
        <v>29.51</v>
      </c>
      <c r="M97" s="64">
        <v>59.27</v>
      </c>
      <c r="N97" s="64">
        <v>20.5</v>
      </c>
      <c r="O97" s="64">
        <v>0</v>
      </c>
      <c r="P97" s="64">
        <v>0.53</v>
      </c>
      <c r="Q97" s="64">
        <v>9.43</v>
      </c>
      <c r="R97" s="198"/>
      <c r="S97" s="198"/>
      <c r="T97" s="198"/>
      <c r="U97" s="198"/>
    </row>
    <row r="98" spans="1:33" s="12" customFormat="1" x14ac:dyDescent="0.25">
      <c r="A98" s="214" t="s">
        <v>1874</v>
      </c>
      <c r="B98" s="64">
        <v>8.1999999999999993</v>
      </c>
      <c r="C98" s="64">
        <v>3.18</v>
      </c>
      <c r="D98" s="64">
        <v>12.01</v>
      </c>
      <c r="E98" s="64">
        <v>4.59</v>
      </c>
      <c r="F98" s="64">
        <v>3.54</v>
      </c>
      <c r="G98" s="64">
        <v>63.79</v>
      </c>
      <c r="H98" s="64">
        <v>20.010000000000002</v>
      </c>
      <c r="I98" s="64">
        <v>4.8600000000000003</v>
      </c>
      <c r="J98" s="64">
        <v>0.28000000000000003</v>
      </c>
      <c r="K98" s="64">
        <v>7.53</v>
      </c>
      <c r="L98" s="64">
        <v>29.5</v>
      </c>
      <c r="M98" s="64">
        <v>58.4</v>
      </c>
      <c r="N98" s="64">
        <v>20.5</v>
      </c>
      <c r="O98" s="64">
        <v>0</v>
      </c>
      <c r="P98" s="64">
        <v>0.53</v>
      </c>
      <c r="Q98" s="64">
        <v>9.4600000000000009</v>
      </c>
      <c r="R98" s="198"/>
      <c r="S98" s="198"/>
      <c r="T98" s="198"/>
      <c r="U98" s="198"/>
    </row>
    <row r="99" spans="1:33" s="12" customFormat="1" x14ac:dyDescent="0.25">
      <c r="A99" s="214" t="s">
        <v>1875</v>
      </c>
      <c r="B99" s="64">
        <v>8.2200000000000006</v>
      </c>
      <c r="C99" s="64">
        <v>3.26</v>
      </c>
      <c r="D99" s="64">
        <v>12.07</v>
      </c>
      <c r="E99" s="64">
        <v>4.63</v>
      </c>
      <c r="F99" s="64">
        <v>3.81</v>
      </c>
      <c r="G99" s="64">
        <v>64.680000000000007</v>
      </c>
      <c r="H99" s="64">
        <v>19.88</v>
      </c>
      <c r="I99" s="64">
        <v>5.0599999999999996</v>
      </c>
      <c r="J99" s="64">
        <v>0.38</v>
      </c>
      <c r="K99" s="64">
        <v>350.79</v>
      </c>
      <c r="L99" s="64">
        <v>29.49</v>
      </c>
      <c r="M99" s="64">
        <v>59.88</v>
      </c>
      <c r="N99" s="64">
        <v>20.7</v>
      </c>
      <c r="O99" s="64">
        <v>0</v>
      </c>
      <c r="P99" s="64">
        <v>0.53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14" t="s">
        <v>1876</v>
      </c>
      <c r="B100" s="64">
        <v>8.23</v>
      </c>
      <c r="C100" s="64">
        <v>3.31</v>
      </c>
      <c r="D100" s="64">
        <v>12.11</v>
      </c>
      <c r="E100" s="64">
        <v>4.24</v>
      </c>
      <c r="F100" s="64">
        <v>3.85</v>
      </c>
      <c r="G100" s="64">
        <v>64.680000000000007</v>
      </c>
      <c r="H100" s="64">
        <v>19.88</v>
      </c>
      <c r="I100" s="64">
        <v>5.0999999999999996</v>
      </c>
      <c r="J100" s="64">
        <v>0.42</v>
      </c>
      <c r="K100" s="64">
        <v>355.79</v>
      </c>
      <c r="L100" s="64">
        <v>29.28</v>
      </c>
      <c r="M100" s="64">
        <v>62.33</v>
      </c>
      <c r="N100" s="64">
        <v>20.7</v>
      </c>
      <c r="O100" s="64">
        <v>0</v>
      </c>
      <c r="P100" s="64">
        <v>0.53</v>
      </c>
      <c r="Q100" s="64">
        <v>9.4700000000000006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1877</v>
      </c>
      <c r="B101" s="64">
        <v>8.4</v>
      </c>
      <c r="C101" s="64">
        <v>3.96</v>
      </c>
      <c r="D101" s="64">
        <v>12.58</v>
      </c>
      <c r="E101" s="64">
        <v>4.6100000000000003</v>
      </c>
      <c r="F101" s="64">
        <v>4.6100000000000003</v>
      </c>
      <c r="G101" s="64">
        <v>64.680000000000007</v>
      </c>
      <c r="H101" s="64">
        <v>19.88</v>
      </c>
      <c r="I101" s="64">
        <v>5.24</v>
      </c>
      <c r="J101" s="64">
        <v>0.53</v>
      </c>
      <c r="K101" s="64">
        <v>15.56</v>
      </c>
      <c r="L101" s="64">
        <v>29.38</v>
      </c>
      <c r="M101" s="64">
        <v>62.64</v>
      </c>
      <c r="N101" s="64">
        <v>20.5</v>
      </c>
      <c r="O101" s="64">
        <v>0</v>
      </c>
      <c r="P101" s="64">
        <v>0.51</v>
      </c>
      <c r="Q101" s="64">
        <v>9.52</v>
      </c>
      <c r="R101" s="198"/>
      <c r="S101" s="198"/>
      <c r="T101" s="198"/>
      <c r="U101" s="198"/>
    </row>
    <row r="102" spans="1:33" s="12" customFormat="1" x14ac:dyDescent="0.25">
      <c r="A102" s="214" t="s">
        <v>1878</v>
      </c>
      <c r="B102" s="64">
        <v>8.27</v>
      </c>
      <c r="C102" s="64">
        <v>3.54</v>
      </c>
      <c r="D102" s="64">
        <v>12.25</v>
      </c>
      <c r="E102" s="64">
        <v>4.4000000000000004</v>
      </c>
      <c r="F102" s="64">
        <v>4.08</v>
      </c>
      <c r="G102" s="64">
        <v>66.010000000000005</v>
      </c>
      <c r="H102" s="64">
        <v>21.06</v>
      </c>
      <c r="I102" s="64">
        <v>5.33</v>
      </c>
      <c r="J102" s="64">
        <v>0.14000000000000001</v>
      </c>
      <c r="K102" s="64">
        <v>15.97</v>
      </c>
      <c r="L102" s="64">
        <v>29.19</v>
      </c>
      <c r="M102" s="64">
        <v>64.06</v>
      </c>
      <c r="N102" s="64">
        <v>20.7</v>
      </c>
      <c r="O102" s="64">
        <v>0</v>
      </c>
      <c r="P102" s="64">
        <v>0.5</v>
      </c>
      <c r="Q102" s="64">
        <v>9.5299999999999994</v>
      </c>
      <c r="R102" s="198"/>
      <c r="S102" s="198"/>
      <c r="T102" s="198"/>
      <c r="U102" s="198"/>
    </row>
    <row r="103" spans="1:33" s="12" customFormat="1" x14ac:dyDescent="0.25">
      <c r="A103" s="214" t="s">
        <v>1879</v>
      </c>
      <c r="B103" s="64">
        <v>8.18</v>
      </c>
      <c r="C103" s="64">
        <v>3.16</v>
      </c>
      <c r="D103" s="64">
        <v>11.98</v>
      </c>
      <c r="E103" s="64">
        <v>4.45</v>
      </c>
      <c r="F103" s="64">
        <v>4.26</v>
      </c>
      <c r="G103" s="64">
        <v>67.22</v>
      </c>
      <c r="H103" s="64">
        <v>22.2</v>
      </c>
      <c r="I103" s="64">
        <v>5.22</v>
      </c>
      <c r="J103" s="64">
        <v>0.43</v>
      </c>
      <c r="K103" s="64">
        <v>16.8</v>
      </c>
      <c r="L103" s="64">
        <v>29.11</v>
      </c>
      <c r="M103" s="64">
        <v>63.86</v>
      </c>
      <c r="N103" s="64">
        <v>20.7</v>
      </c>
      <c r="O103" s="64">
        <v>0</v>
      </c>
      <c r="P103" s="64">
        <v>0.47</v>
      </c>
      <c r="Q103" s="64">
        <v>9.49</v>
      </c>
      <c r="R103" s="198"/>
      <c r="S103" s="198"/>
      <c r="T103" s="198"/>
      <c r="U103" s="198"/>
    </row>
    <row r="104" spans="1:33" s="12" customFormat="1" x14ac:dyDescent="0.25">
      <c r="A104" s="214" t="s">
        <v>1880</v>
      </c>
      <c r="B104" s="64">
        <v>8.1300000000000008</v>
      </c>
      <c r="C104" s="64">
        <v>3.1</v>
      </c>
      <c r="D104" s="64">
        <v>11.92</v>
      </c>
      <c r="E104" s="64">
        <v>4.08</v>
      </c>
      <c r="F104" s="64">
        <v>4.6399999999999997</v>
      </c>
      <c r="G104" s="64">
        <v>67.22</v>
      </c>
      <c r="H104" s="64">
        <v>22.2</v>
      </c>
      <c r="I104" s="64">
        <v>4.9800000000000004</v>
      </c>
      <c r="J104" s="64">
        <v>0.28999999999999998</v>
      </c>
      <c r="K104" s="64">
        <v>5.17</v>
      </c>
      <c r="L104" s="64">
        <v>29.07</v>
      </c>
      <c r="M104" s="64">
        <v>63.57</v>
      </c>
      <c r="N104" s="64">
        <v>20.7</v>
      </c>
      <c r="O104" s="64">
        <v>0</v>
      </c>
      <c r="P104" s="64">
        <v>0.46</v>
      </c>
      <c r="Q104" s="64">
        <v>9.52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3.03</v>
      </c>
      <c r="D106" s="67">
        <f t="shared" ref="D106:Q106" si="0">MIN(D9:D104)</f>
        <v>11.86</v>
      </c>
      <c r="E106" s="67">
        <f t="shared" si="0"/>
        <v>2.4500000000000002</v>
      </c>
      <c r="F106" s="67">
        <f t="shared" si="0"/>
        <v>3.54</v>
      </c>
      <c r="G106" s="67">
        <f t="shared" si="0"/>
        <v>30.6</v>
      </c>
      <c r="H106" s="67">
        <f t="shared" si="0"/>
        <v>8.84</v>
      </c>
      <c r="I106" s="67">
        <f t="shared" si="0"/>
        <v>1.63</v>
      </c>
      <c r="J106" s="67">
        <f t="shared" si="0"/>
        <v>0.04</v>
      </c>
      <c r="K106" s="67">
        <f t="shared" si="0"/>
        <v>0.03</v>
      </c>
      <c r="L106" s="67">
        <f t="shared" si="0"/>
        <v>26.74</v>
      </c>
      <c r="M106" s="67">
        <f t="shared" si="0"/>
        <v>41.29</v>
      </c>
      <c r="N106" s="67">
        <f t="shared" si="0"/>
        <v>20.3</v>
      </c>
      <c r="O106" s="67">
        <f t="shared" si="0"/>
        <v>0</v>
      </c>
      <c r="P106" s="67">
        <f t="shared" si="0"/>
        <v>0.15</v>
      </c>
      <c r="Q106" s="67">
        <f t="shared" si="0"/>
        <v>9.34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</v>
      </c>
      <c r="C107" s="66">
        <f t="shared" ref="C107:Q107" si="1">MAX(C9:C104)</f>
        <v>4.1100000000000003</v>
      </c>
      <c r="D107" s="66">
        <f t="shared" si="1"/>
        <v>12.64</v>
      </c>
      <c r="E107" s="66">
        <f t="shared" si="1"/>
        <v>5.73</v>
      </c>
      <c r="F107" s="66">
        <f t="shared" si="1"/>
        <v>7.82</v>
      </c>
      <c r="G107" s="66">
        <f t="shared" si="1"/>
        <v>118.43</v>
      </c>
      <c r="H107" s="66">
        <f t="shared" si="1"/>
        <v>44.22</v>
      </c>
      <c r="I107" s="66">
        <f t="shared" si="1"/>
        <v>7.18</v>
      </c>
      <c r="J107" s="66">
        <f t="shared" si="1"/>
        <v>2.15</v>
      </c>
      <c r="K107" s="66">
        <f t="shared" si="1"/>
        <v>359.13</v>
      </c>
      <c r="L107" s="66">
        <f t="shared" si="1"/>
        <v>34.28</v>
      </c>
      <c r="M107" s="66">
        <f t="shared" si="1"/>
        <v>70</v>
      </c>
      <c r="N107" s="66">
        <f t="shared" si="1"/>
        <v>504.5</v>
      </c>
      <c r="O107" s="66">
        <f t="shared" si="1"/>
        <v>0.4</v>
      </c>
      <c r="P107" s="66">
        <f t="shared" si="1"/>
        <v>0.66</v>
      </c>
      <c r="Q107" s="66">
        <f t="shared" si="1"/>
        <v>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8.2076041666666661</v>
      </c>
      <c r="C108" s="67">
        <f t="shared" ref="C108:Q108" si="2">AVERAGE(C9:C104)</f>
        <v>3.2932291666666669</v>
      </c>
      <c r="D108" s="67">
        <f t="shared" si="2"/>
        <v>12.07625</v>
      </c>
      <c r="E108" s="67">
        <f t="shared" si="2"/>
        <v>4.1023958333333335</v>
      </c>
      <c r="F108" s="67">
        <f t="shared" si="2"/>
        <v>5.4231249999999998</v>
      </c>
      <c r="G108" s="67">
        <f t="shared" si="2"/>
        <v>52.803958333333377</v>
      </c>
      <c r="H108" s="67">
        <f t="shared" si="2"/>
        <v>19.220937500000012</v>
      </c>
      <c r="I108" s="67">
        <f t="shared" si="2"/>
        <v>3.4044791666666687</v>
      </c>
      <c r="J108" s="67">
        <f t="shared" si="2"/>
        <v>0.51604166666666673</v>
      </c>
      <c r="K108" s="67">
        <f t="shared" si="2"/>
        <v>101.72177083333337</v>
      </c>
      <c r="L108" s="67">
        <f t="shared" si="2"/>
        <v>30.011979166666677</v>
      </c>
      <c r="M108" s="67">
        <f t="shared" si="2"/>
        <v>54.433229166666671</v>
      </c>
      <c r="N108" s="67">
        <f t="shared" si="2"/>
        <v>128.41979166666667</v>
      </c>
      <c r="O108" s="67">
        <f t="shared" si="2"/>
        <v>4.1666666666666666E-3</v>
      </c>
      <c r="P108" s="67">
        <f t="shared" si="2"/>
        <v>0.36562499999999992</v>
      </c>
      <c r="Q108" s="67">
        <f t="shared" si="2"/>
        <v>9.4337499999999963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5.8286854917213964E-2</v>
      </c>
      <c r="C109" s="67">
        <f t="shared" ref="C109:Q109" si="3">STDEV(C9:C104)</f>
        <v>0.20373612857743059</v>
      </c>
      <c r="D109" s="67">
        <f t="shared" si="3"/>
        <v>0.14985080299382697</v>
      </c>
      <c r="E109" s="67">
        <f t="shared" si="3"/>
        <v>0.76599676348315138</v>
      </c>
      <c r="F109" s="67">
        <f t="shared" si="3"/>
        <v>0.98947121710218267</v>
      </c>
      <c r="G109" s="67">
        <f t="shared" si="3"/>
        <v>15.260105985640404</v>
      </c>
      <c r="H109" s="67">
        <f t="shared" si="3"/>
        <v>5.8037441777065348</v>
      </c>
      <c r="I109" s="67">
        <f t="shared" si="3"/>
        <v>1.3779296978412814</v>
      </c>
      <c r="J109" s="67">
        <f t="shared" si="3"/>
        <v>0.30278524321500866</v>
      </c>
      <c r="K109" s="67">
        <f t="shared" si="3"/>
        <v>127.84741546073204</v>
      </c>
      <c r="L109" s="67">
        <f t="shared" si="3"/>
        <v>2.3014872170159273</v>
      </c>
      <c r="M109" s="67">
        <f t="shared" si="3"/>
        <v>7.3778300182715268</v>
      </c>
      <c r="N109" s="67">
        <f t="shared" si="3"/>
        <v>135.16808998996439</v>
      </c>
      <c r="O109" s="67">
        <f t="shared" si="3"/>
        <v>4.0824829046386304E-2</v>
      </c>
      <c r="P109" s="67">
        <f t="shared" si="3"/>
        <v>0.13852465104582826</v>
      </c>
      <c r="Q109" s="67">
        <f t="shared" si="3"/>
        <v>5.3611664088291329E-2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1881</v>
      </c>
      <c r="B9" s="64">
        <v>8.1300000000000008</v>
      </c>
      <c r="C9" s="64">
        <v>3.09</v>
      </c>
      <c r="D9" s="64">
        <v>11.91</v>
      </c>
      <c r="E9" s="64">
        <v>3.73</v>
      </c>
      <c r="F9" s="64">
        <v>4.01</v>
      </c>
      <c r="G9" s="64">
        <v>67.22</v>
      </c>
      <c r="H9" s="64">
        <v>22.2</v>
      </c>
      <c r="I9" s="64">
        <v>4.75</v>
      </c>
      <c r="J9" s="64">
        <v>0.44</v>
      </c>
      <c r="K9" s="64">
        <v>22.7</v>
      </c>
      <c r="L9" s="64">
        <v>28.99</v>
      </c>
      <c r="M9" s="64">
        <v>62.8</v>
      </c>
      <c r="N9" s="64">
        <v>20.7</v>
      </c>
      <c r="O9" s="64">
        <v>0</v>
      </c>
      <c r="P9" s="64">
        <v>0.46</v>
      </c>
      <c r="Q9" s="64">
        <v>9.51</v>
      </c>
      <c r="R9" s="198"/>
      <c r="S9" s="198"/>
      <c r="T9" s="198"/>
      <c r="U9" s="198"/>
    </row>
    <row r="10" spans="1:21" s="12" customFormat="1" x14ac:dyDescent="0.25">
      <c r="A10" s="214" t="s">
        <v>1882</v>
      </c>
      <c r="B10" s="64">
        <v>8.14</v>
      </c>
      <c r="C10" s="64">
        <v>3.15</v>
      </c>
      <c r="D10" s="64">
        <v>11.95</v>
      </c>
      <c r="E10" s="64">
        <v>3.54</v>
      </c>
      <c r="F10" s="64">
        <v>4.3899999999999997</v>
      </c>
      <c r="G10" s="64">
        <v>66.2</v>
      </c>
      <c r="H10" s="64">
        <v>21.8</v>
      </c>
      <c r="I10" s="64">
        <v>4.42</v>
      </c>
      <c r="J10" s="64">
        <v>0.55000000000000004</v>
      </c>
      <c r="K10" s="64">
        <v>349.98</v>
      </c>
      <c r="L10" s="64">
        <v>28.97</v>
      </c>
      <c r="M10" s="64">
        <v>60.49</v>
      </c>
      <c r="N10" s="64">
        <v>20.7</v>
      </c>
      <c r="O10" s="64">
        <v>0</v>
      </c>
      <c r="P10" s="64">
        <v>0.45</v>
      </c>
      <c r="Q10" s="64">
        <v>9.4600000000000009</v>
      </c>
      <c r="R10" s="198"/>
      <c r="S10" s="198"/>
      <c r="T10" s="198"/>
      <c r="U10" s="198"/>
    </row>
    <row r="11" spans="1:21" s="12" customFormat="1" x14ac:dyDescent="0.25">
      <c r="A11" s="214" t="s">
        <v>1883</v>
      </c>
      <c r="B11" s="64">
        <v>8.35</v>
      </c>
      <c r="C11" s="64">
        <v>3.77</v>
      </c>
      <c r="D11" s="64">
        <v>12.44</v>
      </c>
      <c r="E11" s="64">
        <v>3.83</v>
      </c>
      <c r="F11" s="64">
        <v>4.97</v>
      </c>
      <c r="G11" s="64">
        <v>65.28</v>
      </c>
      <c r="H11" s="64">
        <v>21.43</v>
      </c>
      <c r="I11" s="64">
        <v>4.1900000000000004</v>
      </c>
      <c r="J11" s="64">
        <v>0.46</v>
      </c>
      <c r="K11" s="64">
        <v>17.420000000000002</v>
      </c>
      <c r="L11" s="64">
        <v>28.94</v>
      </c>
      <c r="M11" s="64">
        <v>58.7</v>
      </c>
      <c r="N11" s="64">
        <v>20.5</v>
      </c>
      <c r="O11" s="64">
        <v>0</v>
      </c>
      <c r="P11" s="64">
        <v>0.44</v>
      </c>
      <c r="Q11" s="64">
        <v>9.4499999999999993</v>
      </c>
      <c r="R11" s="198"/>
      <c r="S11" s="198"/>
      <c r="T11" s="198"/>
      <c r="U11" s="198"/>
    </row>
    <row r="12" spans="1:21" s="12" customFormat="1" x14ac:dyDescent="0.25">
      <c r="A12" s="214" t="s">
        <v>1884</v>
      </c>
      <c r="B12" s="64">
        <v>8.2899999999999991</v>
      </c>
      <c r="C12" s="64">
        <v>3.6</v>
      </c>
      <c r="D12" s="64">
        <v>12.3</v>
      </c>
      <c r="E12" s="64">
        <v>3.91</v>
      </c>
      <c r="F12" s="64">
        <v>5.64</v>
      </c>
      <c r="G12" s="64">
        <v>65.28</v>
      </c>
      <c r="H12" s="64">
        <v>21.43</v>
      </c>
      <c r="I12" s="64">
        <v>4.0599999999999996</v>
      </c>
      <c r="J12" s="64">
        <v>0.56000000000000005</v>
      </c>
      <c r="K12" s="64">
        <v>27.96</v>
      </c>
      <c r="L12" s="64">
        <v>28.86</v>
      </c>
      <c r="M12" s="64">
        <v>56.45</v>
      </c>
      <c r="N12" s="64">
        <v>20.7</v>
      </c>
      <c r="O12" s="64">
        <v>0</v>
      </c>
      <c r="P12" s="64">
        <v>0.42</v>
      </c>
      <c r="Q12" s="64">
        <v>9.4600000000000009</v>
      </c>
      <c r="R12" s="198"/>
      <c r="S12" s="198"/>
      <c r="T12" s="198"/>
      <c r="U12" s="198"/>
    </row>
    <row r="13" spans="1:21" s="12" customFormat="1" x14ac:dyDescent="0.25">
      <c r="A13" s="214" t="s">
        <v>1885</v>
      </c>
      <c r="B13" s="64">
        <v>8.14</v>
      </c>
      <c r="C13" s="64">
        <v>3.1</v>
      </c>
      <c r="D13" s="64">
        <v>11.92</v>
      </c>
      <c r="E13" s="64">
        <v>3.76</v>
      </c>
      <c r="F13" s="64">
        <v>4.92</v>
      </c>
      <c r="G13" s="64">
        <v>65.28</v>
      </c>
      <c r="H13" s="64">
        <v>21.43</v>
      </c>
      <c r="I13" s="64">
        <v>3.84</v>
      </c>
      <c r="J13" s="64">
        <v>0.63</v>
      </c>
      <c r="K13" s="64">
        <v>11.74</v>
      </c>
      <c r="L13" s="64">
        <v>28.58</v>
      </c>
      <c r="M13" s="64">
        <v>56.04</v>
      </c>
      <c r="N13" s="64">
        <v>20.7</v>
      </c>
      <c r="O13" s="64">
        <v>0</v>
      </c>
      <c r="P13" s="64">
        <v>0.43</v>
      </c>
      <c r="Q13" s="64">
        <v>9.48</v>
      </c>
      <c r="R13" s="198"/>
      <c r="S13" s="198"/>
      <c r="T13" s="198"/>
      <c r="U13" s="198"/>
    </row>
    <row r="14" spans="1:21" s="12" customFormat="1" x14ac:dyDescent="0.25">
      <c r="A14" s="214" t="s">
        <v>1886</v>
      </c>
      <c r="B14" s="64">
        <v>8.14</v>
      </c>
      <c r="C14" s="64">
        <v>3.11</v>
      </c>
      <c r="D14" s="64">
        <v>11.93</v>
      </c>
      <c r="E14" s="64">
        <v>3.92</v>
      </c>
      <c r="F14" s="64">
        <v>6.69</v>
      </c>
      <c r="G14" s="64">
        <v>61.06</v>
      </c>
      <c r="H14" s="64">
        <v>18.690000000000001</v>
      </c>
      <c r="I14" s="64">
        <v>3.64</v>
      </c>
      <c r="J14" s="64">
        <v>0.79</v>
      </c>
      <c r="K14" s="64">
        <v>21.59</v>
      </c>
      <c r="L14" s="64">
        <v>28.35</v>
      </c>
      <c r="M14" s="64">
        <v>56.13</v>
      </c>
      <c r="N14" s="64">
        <v>20.8</v>
      </c>
      <c r="O14" s="64">
        <v>0</v>
      </c>
      <c r="P14" s="64">
        <v>0.42</v>
      </c>
      <c r="Q14" s="64">
        <v>9.4499999999999993</v>
      </c>
      <c r="R14" s="198"/>
      <c r="S14" s="198"/>
      <c r="T14" s="198"/>
      <c r="U14" s="198"/>
    </row>
    <row r="15" spans="1:21" s="12" customFormat="1" x14ac:dyDescent="0.25">
      <c r="A15" s="214" t="s">
        <v>1887</v>
      </c>
      <c r="B15" s="64">
        <v>8.1300000000000008</v>
      </c>
      <c r="C15" s="64">
        <v>3.06</v>
      </c>
      <c r="D15" s="64">
        <v>11.9</v>
      </c>
      <c r="E15" s="64">
        <v>3.97</v>
      </c>
      <c r="F15" s="64">
        <v>6.36</v>
      </c>
      <c r="G15" s="64">
        <v>57.03</v>
      </c>
      <c r="H15" s="64">
        <v>16.07</v>
      </c>
      <c r="I15" s="64">
        <v>3.33</v>
      </c>
      <c r="J15" s="64">
        <v>0.71</v>
      </c>
      <c r="K15" s="64">
        <v>23.36</v>
      </c>
      <c r="L15" s="64">
        <v>28.05</v>
      </c>
      <c r="M15" s="64">
        <v>57.36</v>
      </c>
      <c r="N15" s="64">
        <v>20.9</v>
      </c>
      <c r="O15" s="64">
        <v>0</v>
      </c>
      <c r="P15" s="64">
        <v>0.39</v>
      </c>
      <c r="Q15" s="64">
        <v>9.4700000000000006</v>
      </c>
      <c r="R15" s="198"/>
      <c r="S15" s="198"/>
      <c r="T15" s="198"/>
      <c r="U15" s="198"/>
    </row>
    <row r="16" spans="1:21" s="12" customFormat="1" x14ac:dyDescent="0.25">
      <c r="A16" s="214" t="s">
        <v>1888</v>
      </c>
      <c r="B16" s="64">
        <v>8.14</v>
      </c>
      <c r="C16" s="64">
        <v>3.04</v>
      </c>
      <c r="D16" s="64">
        <v>11.89</v>
      </c>
      <c r="E16" s="64">
        <v>3.72</v>
      </c>
      <c r="F16" s="64">
        <v>6.4</v>
      </c>
      <c r="G16" s="64">
        <v>57.03</v>
      </c>
      <c r="H16" s="64">
        <v>16.07</v>
      </c>
      <c r="I16" s="64">
        <v>2.95</v>
      </c>
      <c r="J16" s="64">
        <v>0.72</v>
      </c>
      <c r="K16" s="64">
        <v>5.28</v>
      </c>
      <c r="L16" s="64">
        <v>27.87</v>
      </c>
      <c r="M16" s="64">
        <v>58.18</v>
      </c>
      <c r="N16" s="64">
        <v>20.8</v>
      </c>
      <c r="O16" s="64">
        <v>0</v>
      </c>
      <c r="P16" s="64">
        <v>0.34</v>
      </c>
      <c r="Q16" s="64">
        <v>9.41</v>
      </c>
      <c r="R16" s="198"/>
      <c r="S16" s="198"/>
      <c r="T16" s="198"/>
      <c r="U16" s="198"/>
    </row>
    <row r="17" spans="1:21" s="12" customFormat="1" x14ac:dyDescent="0.25">
      <c r="A17" s="214" t="s">
        <v>1889</v>
      </c>
      <c r="B17" s="64">
        <v>8.16</v>
      </c>
      <c r="C17" s="64">
        <v>3.08</v>
      </c>
      <c r="D17" s="64">
        <v>11.93</v>
      </c>
      <c r="E17" s="64">
        <v>3.62</v>
      </c>
      <c r="F17" s="64">
        <v>7.24</v>
      </c>
      <c r="G17" s="64">
        <v>57.03</v>
      </c>
      <c r="H17" s="64">
        <v>16.07</v>
      </c>
      <c r="I17" s="64">
        <v>2.72</v>
      </c>
      <c r="J17" s="64">
        <v>0.7</v>
      </c>
      <c r="K17" s="64">
        <v>9.25</v>
      </c>
      <c r="L17" s="64">
        <v>27.73</v>
      </c>
      <c r="M17" s="64">
        <v>59.08</v>
      </c>
      <c r="N17" s="64">
        <v>20.8</v>
      </c>
      <c r="O17" s="64">
        <v>0</v>
      </c>
      <c r="P17" s="64">
        <v>0.32</v>
      </c>
      <c r="Q17" s="64">
        <v>9.36</v>
      </c>
      <c r="R17" s="198"/>
      <c r="S17" s="198"/>
      <c r="T17" s="198"/>
      <c r="U17" s="198"/>
    </row>
    <row r="18" spans="1:21" s="12" customFormat="1" x14ac:dyDescent="0.25">
      <c r="A18" s="214" t="s">
        <v>1890</v>
      </c>
      <c r="B18" s="64">
        <v>8.1999999999999993</v>
      </c>
      <c r="C18" s="64">
        <v>3.12</v>
      </c>
      <c r="D18" s="64">
        <v>11.98</v>
      </c>
      <c r="E18" s="64">
        <v>3.59</v>
      </c>
      <c r="F18" s="64">
        <v>7.17</v>
      </c>
      <c r="G18" s="64">
        <v>54.34</v>
      </c>
      <c r="H18" s="64">
        <v>16.829999999999998</v>
      </c>
      <c r="I18" s="64">
        <v>2.5299999999999998</v>
      </c>
      <c r="J18" s="64">
        <v>0.67</v>
      </c>
      <c r="K18" s="64">
        <v>12.57</v>
      </c>
      <c r="L18" s="64">
        <v>27.51</v>
      </c>
      <c r="M18" s="64">
        <v>60.38</v>
      </c>
      <c r="N18" s="64">
        <v>20.7</v>
      </c>
      <c r="O18" s="64">
        <v>0</v>
      </c>
      <c r="P18" s="64">
        <v>0.31</v>
      </c>
      <c r="Q18" s="64">
        <v>9.34</v>
      </c>
      <c r="R18" s="198"/>
      <c r="S18" s="198"/>
      <c r="T18" s="198"/>
      <c r="U18" s="198"/>
    </row>
    <row r="19" spans="1:21" s="12" customFormat="1" x14ac:dyDescent="0.25">
      <c r="A19" s="214" t="s">
        <v>1891</v>
      </c>
      <c r="B19" s="64">
        <v>8.23</v>
      </c>
      <c r="C19" s="64">
        <v>3.26</v>
      </c>
      <c r="D19" s="64">
        <v>12.08</v>
      </c>
      <c r="E19" s="64">
        <v>3.82</v>
      </c>
      <c r="F19" s="64">
        <v>7.14</v>
      </c>
      <c r="G19" s="64">
        <v>51.77</v>
      </c>
      <c r="H19" s="64">
        <v>17.57</v>
      </c>
      <c r="I19" s="64">
        <v>2.2999999999999998</v>
      </c>
      <c r="J19" s="64">
        <v>0.62</v>
      </c>
      <c r="K19" s="64">
        <v>10.56</v>
      </c>
      <c r="L19" s="64">
        <v>27.3</v>
      </c>
      <c r="M19" s="64">
        <v>61.63</v>
      </c>
      <c r="N19" s="64">
        <v>20.8</v>
      </c>
      <c r="O19" s="64">
        <v>0</v>
      </c>
      <c r="P19" s="64">
        <v>0.31</v>
      </c>
      <c r="Q19" s="64">
        <v>9.36</v>
      </c>
      <c r="R19" s="198"/>
      <c r="S19" s="198"/>
      <c r="T19" s="198"/>
      <c r="U19" s="198"/>
    </row>
    <row r="20" spans="1:21" s="12" customFormat="1" x14ac:dyDescent="0.25">
      <c r="A20" s="214" t="s">
        <v>1892</v>
      </c>
      <c r="B20" s="64">
        <v>8.1999999999999993</v>
      </c>
      <c r="C20" s="64">
        <v>3.2</v>
      </c>
      <c r="D20" s="64">
        <v>12.03</v>
      </c>
      <c r="E20" s="64">
        <v>3.61</v>
      </c>
      <c r="F20" s="64">
        <v>6.82</v>
      </c>
      <c r="G20" s="64">
        <v>51.77</v>
      </c>
      <c r="H20" s="64">
        <v>17.57</v>
      </c>
      <c r="I20" s="64">
        <v>2.19</v>
      </c>
      <c r="J20" s="64">
        <v>0.47</v>
      </c>
      <c r="K20" s="64">
        <v>14.93</v>
      </c>
      <c r="L20" s="64">
        <v>27</v>
      </c>
      <c r="M20" s="64">
        <v>63.03</v>
      </c>
      <c r="N20" s="64">
        <v>20.8</v>
      </c>
      <c r="O20" s="64">
        <v>0</v>
      </c>
      <c r="P20" s="64">
        <v>0.3</v>
      </c>
      <c r="Q20" s="64">
        <v>9.3699999999999992</v>
      </c>
      <c r="R20" s="198"/>
      <c r="S20" s="198"/>
      <c r="T20" s="198"/>
      <c r="U20" s="198"/>
    </row>
    <row r="21" spans="1:21" s="12" customFormat="1" x14ac:dyDescent="0.25">
      <c r="A21" s="214" t="s">
        <v>1893</v>
      </c>
      <c r="B21" s="64">
        <v>8.23</v>
      </c>
      <c r="C21" s="64">
        <v>3.24</v>
      </c>
      <c r="D21" s="64">
        <v>12.07</v>
      </c>
      <c r="E21" s="64">
        <v>3.78</v>
      </c>
      <c r="F21" s="64">
        <v>7.09</v>
      </c>
      <c r="G21" s="64">
        <v>51.77</v>
      </c>
      <c r="H21" s="64">
        <v>17.57</v>
      </c>
      <c r="I21" s="64">
        <v>2.1</v>
      </c>
      <c r="J21" s="64">
        <v>0.71</v>
      </c>
      <c r="K21" s="64">
        <v>10.46</v>
      </c>
      <c r="L21" s="64">
        <v>26.88</v>
      </c>
      <c r="M21" s="64">
        <v>63.43</v>
      </c>
      <c r="N21" s="64">
        <v>20.7</v>
      </c>
      <c r="O21" s="64">
        <v>0</v>
      </c>
      <c r="P21" s="64">
        <v>0.27</v>
      </c>
      <c r="Q21" s="64">
        <v>9.3699999999999992</v>
      </c>
      <c r="R21" s="198"/>
      <c r="S21" s="198"/>
      <c r="T21" s="198"/>
      <c r="U21" s="198"/>
    </row>
    <row r="22" spans="1:21" s="12" customFormat="1" x14ac:dyDescent="0.25">
      <c r="A22" s="214" t="s">
        <v>1894</v>
      </c>
      <c r="B22" s="64">
        <v>8.2899999999999991</v>
      </c>
      <c r="C22" s="64">
        <v>3.42</v>
      </c>
      <c r="D22" s="64">
        <v>12.2</v>
      </c>
      <c r="E22" s="64">
        <v>3.99</v>
      </c>
      <c r="F22" s="64">
        <v>6.83</v>
      </c>
      <c r="G22" s="64">
        <v>44.93</v>
      </c>
      <c r="H22" s="64">
        <v>16.190000000000001</v>
      </c>
      <c r="I22" s="64">
        <v>1.99</v>
      </c>
      <c r="J22" s="64">
        <v>0.6</v>
      </c>
      <c r="K22" s="64">
        <v>4.67</v>
      </c>
      <c r="L22" s="64">
        <v>26.85</v>
      </c>
      <c r="M22" s="64">
        <v>63.78</v>
      </c>
      <c r="N22" s="64">
        <v>20.7</v>
      </c>
      <c r="O22" s="64">
        <v>0</v>
      </c>
      <c r="P22" s="64">
        <v>0.26</v>
      </c>
      <c r="Q22" s="64">
        <v>9.3699999999999992</v>
      </c>
      <c r="R22" s="198"/>
      <c r="S22" s="198"/>
      <c r="T22" s="198"/>
      <c r="U22" s="198"/>
    </row>
    <row r="23" spans="1:21" s="12" customFormat="1" x14ac:dyDescent="0.25">
      <c r="A23" s="214" t="s">
        <v>1895</v>
      </c>
      <c r="B23" s="64">
        <v>8.2100000000000009</v>
      </c>
      <c r="C23" s="64">
        <v>3.21</v>
      </c>
      <c r="D23" s="64">
        <v>12.04</v>
      </c>
      <c r="E23" s="64">
        <v>4</v>
      </c>
      <c r="F23" s="64">
        <v>6.59</v>
      </c>
      <c r="G23" s="64">
        <v>38.39</v>
      </c>
      <c r="H23" s="64">
        <v>14.92</v>
      </c>
      <c r="I23" s="64">
        <v>1.83</v>
      </c>
      <c r="J23" s="64">
        <v>0.59</v>
      </c>
      <c r="K23" s="64">
        <v>353.48</v>
      </c>
      <c r="L23" s="64">
        <v>26.73</v>
      </c>
      <c r="M23" s="64">
        <v>64.45</v>
      </c>
      <c r="N23" s="64">
        <v>20.7</v>
      </c>
      <c r="O23" s="64">
        <v>0</v>
      </c>
      <c r="P23" s="64">
        <v>0.25</v>
      </c>
      <c r="Q23" s="64">
        <v>9.39</v>
      </c>
      <c r="R23" s="198"/>
      <c r="S23" s="198"/>
      <c r="T23" s="198"/>
      <c r="U23" s="198"/>
    </row>
    <row r="24" spans="1:21" s="12" customFormat="1" x14ac:dyDescent="0.25">
      <c r="A24" s="214" t="s">
        <v>1896</v>
      </c>
      <c r="B24" s="64">
        <v>8.2200000000000006</v>
      </c>
      <c r="C24" s="64">
        <v>3.32</v>
      </c>
      <c r="D24" s="64">
        <v>12.1</v>
      </c>
      <c r="E24" s="64">
        <v>2.95</v>
      </c>
      <c r="F24" s="64">
        <v>5.46</v>
      </c>
      <c r="G24" s="64">
        <v>38.39</v>
      </c>
      <c r="H24" s="64">
        <v>14.92</v>
      </c>
      <c r="I24" s="64">
        <v>1.77</v>
      </c>
      <c r="J24" s="64">
        <v>0.57999999999999996</v>
      </c>
      <c r="K24" s="64">
        <v>6.73</v>
      </c>
      <c r="L24" s="64">
        <v>26.77</v>
      </c>
      <c r="M24" s="64">
        <v>64.67</v>
      </c>
      <c r="N24" s="64">
        <v>20.7</v>
      </c>
      <c r="O24" s="64">
        <v>0</v>
      </c>
      <c r="P24" s="64">
        <v>0.26</v>
      </c>
      <c r="Q24" s="64">
        <v>9.4</v>
      </c>
      <c r="R24" s="198"/>
      <c r="S24" s="198"/>
      <c r="T24" s="198"/>
      <c r="U24" s="198"/>
    </row>
    <row r="25" spans="1:21" s="12" customFormat="1" x14ac:dyDescent="0.25">
      <c r="A25" s="214" t="s">
        <v>1897</v>
      </c>
      <c r="B25" s="64">
        <v>8.2200000000000006</v>
      </c>
      <c r="C25" s="64">
        <v>3.3</v>
      </c>
      <c r="D25" s="64">
        <v>12.09</v>
      </c>
      <c r="E25" s="64">
        <v>2.83</v>
      </c>
      <c r="F25" s="64">
        <v>4.8600000000000003</v>
      </c>
      <c r="G25" s="64">
        <v>38.39</v>
      </c>
      <c r="H25" s="64">
        <v>14.92</v>
      </c>
      <c r="I25" s="64">
        <v>1.82</v>
      </c>
      <c r="J25" s="64">
        <v>0.57999999999999996</v>
      </c>
      <c r="K25" s="64">
        <v>15.32</v>
      </c>
      <c r="L25" s="64">
        <v>26.66</v>
      </c>
      <c r="M25" s="64">
        <v>65.17</v>
      </c>
      <c r="N25" s="64">
        <v>20.8</v>
      </c>
      <c r="O25" s="64">
        <v>0</v>
      </c>
      <c r="P25" s="64">
        <v>0.25</v>
      </c>
      <c r="Q25" s="64">
        <v>9.3800000000000008</v>
      </c>
      <c r="R25" s="198"/>
      <c r="S25" s="198"/>
      <c r="T25" s="198"/>
      <c r="U25" s="198"/>
    </row>
    <row r="26" spans="1:21" s="12" customFormat="1" x14ac:dyDescent="0.25">
      <c r="A26" s="214" t="s">
        <v>1898</v>
      </c>
      <c r="B26" s="64">
        <v>8.17</v>
      </c>
      <c r="C26" s="64">
        <v>3.15</v>
      </c>
      <c r="D26" s="64">
        <v>11.97</v>
      </c>
      <c r="E26" s="64">
        <v>3.05</v>
      </c>
      <c r="F26" s="64">
        <v>5.21</v>
      </c>
      <c r="G26" s="64">
        <v>36.92</v>
      </c>
      <c r="H26" s="64">
        <v>13.64</v>
      </c>
      <c r="I26" s="64">
        <v>1.77</v>
      </c>
      <c r="J26" s="64">
        <v>0.62</v>
      </c>
      <c r="K26" s="64">
        <v>12.2</v>
      </c>
      <c r="L26" s="64">
        <v>26.47</v>
      </c>
      <c r="M26" s="64">
        <v>66.319999999999993</v>
      </c>
      <c r="N26" s="64">
        <v>20.8</v>
      </c>
      <c r="O26" s="64">
        <v>0</v>
      </c>
      <c r="P26" s="64">
        <v>0.25</v>
      </c>
      <c r="Q26" s="64">
        <v>9.3800000000000008</v>
      </c>
      <c r="R26" s="198"/>
      <c r="S26" s="198"/>
      <c r="T26" s="198"/>
      <c r="U26" s="198"/>
    </row>
    <row r="27" spans="1:21" s="12" customFormat="1" x14ac:dyDescent="0.25">
      <c r="A27" s="214" t="s">
        <v>1899</v>
      </c>
      <c r="B27" s="64">
        <v>8.19</v>
      </c>
      <c r="C27" s="64">
        <v>3.19</v>
      </c>
      <c r="D27" s="64">
        <v>12.01</v>
      </c>
      <c r="E27" s="64">
        <v>3.22</v>
      </c>
      <c r="F27" s="64">
        <v>4.5999999999999996</v>
      </c>
      <c r="G27" s="64">
        <v>35.51</v>
      </c>
      <c r="H27" s="64">
        <v>12.46</v>
      </c>
      <c r="I27" s="64">
        <v>1.7</v>
      </c>
      <c r="J27" s="64">
        <v>0.55000000000000004</v>
      </c>
      <c r="K27" s="64">
        <v>22.4</v>
      </c>
      <c r="L27" s="64">
        <v>26.38</v>
      </c>
      <c r="M27" s="64">
        <v>66.89</v>
      </c>
      <c r="N27" s="64">
        <v>20.8</v>
      </c>
      <c r="O27" s="64">
        <v>0</v>
      </c>
      <c r="P27" s="64">
        <v>0.25</v>
      </c>
      <c r="Q27" s="64">
        <v>9.39</v>
      </c>
      <c r="R27" s="198"/>
      <c r="S27" s="198"/>
      <c r="T27" s="198"/>
      <c r="U27" s="198"/>
    </row>
    <row r="28" spans="1:21" s="12" customFormat="1" x14ac:dyDescent="0.25">
      <c r="A28" s="214" t="s">
        <v>1900</v>
      </c>
      <c r="B28" s="64">
        <v>8.18</v>
      </c>
      <c r="C28" s="64">
        <v>3.22</v>
      </c>
      <c r="D28" s="64">
        <v>12.02</v>
      </c>
      <c r="E28" s="64">
        <v>3.01</v>
      </c>
      <c r="F28" s="64">
        <v>5.48</v>
      </c>
      <c r="G28" s="64">
        <v>35.51</v>
      </c>
      <c r="H28" s="64">
        <v>12.46</v>
      </c>
      <c r="I28" s="64">
        <v>1.69</v>
      </c>
      <c r="J28" s="64">
        <v>0.62</v>
      </c>
      <c r="K28" s="64">
        <v>10.1</v>
      </c>
      <c r="L28" s="64">
        <v>26.23</v>
      </c>
      <c r="M28" s="64">
        <v>67.69</v>
      </c>
      <c r="N28" s="64">
        <v>20.8</v>
      </c>
      <c r="O28" s="64">
        <v>0</v>
      </c>
      <c r="P28" s="64">
        <v>0.23</v>
      </c>
      <c r="Q28" s="64">
        <v>9.35</v>
      </c>
      <c r="R28" s="198"/>
      <c r="S28" s="198"/>
      <c r="T28" s="198"/>
      <c r="U28" s="198"/>
    </row>
    <row r="29" spans="1:21" s="12" customFormat="1" x14ac:dyDescent="0.25">
      <c r="A29" s="214" t="s">
        <v>1901</v>
      </c>
      <c r="B29" s="64">
        <v>8.39</v>
      </c>
      <c r="C29" s="64">
        <v>3.79</v>
      </c>
      <c r="D29" s="64">
        <v>12.48</v>
      </c>
      <c r="E29" s="64">
        <v>2.84</v>
      </c>
      <c r="F29" s="64">
        <v>6.28</v>
      </c>
      <c r="G29" s="64">
        <v>35.51</v>
      </c>
      <c r="H29" s="64">
        <v>12.46</v>
      </c>
      <c r="I29" s="64">
        <v>1.63</v>
      </c>
      <c r="J29" s="64">
        <v>0.63</v>
      </c>
      <c r="K29" s="64">
        <v>16.78</v>
      </c>
      <c r="L29" s="64">
        <v>26.18</v>
      </c>
      <c r="M29" s="64">
        <v>67.72</v>
      </c>
      <c r="N29" s="64">
        <v>21.5</v>
      </c>
      <c r="O29" s="64">
        <v>0</v>
      </c>
      <c r="P29" s="64">
        <v>0.22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4" t="s">
        <v>1902</v>
      </c>
      <c r="B30" s="64">
        <v>8.1999999999999993</v>
      </c>
      <c r="C30" s="64">
        <v>3.25</v>
      </c>
      <c r="D30" s="64">
        <v>12.05</v>
      </c>
      <c r="E30" s="64">
        <v>3.2</v>
      </c>
      <c r="F30" s="64">
        <v>4.63</v>
      </c>
      <c r="G30" s="64">
        <v>33.53</v>
      </c>
      <c r="H30" s="64">
        <v>12.79</v>
      </c>
      <c r="I30" s="64">
        <v>1.51</v>
      </c>
      <c r="J30" s="64">
        <v>0.48</v>
      </c>
      <c r="K30" s="64">
        <v>5.44</v>
      </c>
      <c r="L30" s="64">
        <v>26.13</v>
      </c>
      <c r="M30" s="64">
        <v>67.930000000000007</v>
      </c>
      <c r="N30" s="64">
        <v>27</v>
      </c>
      <c r="O30" s="64">
        <v>0</v>
      </c>
      <c r="P30" s="64">
        <v>0.23</v>
      </c>
      <c r="Q30" s="64">
        <v>9.3800000000000008</v>
      </c>
      <c r="R30" s="198"/>
      <c r="S30" s="198"/>
      <c r="T30" s="198"/>
      <c r="U30" s="198"/>
    </row>
    <row r="31" spans="1:21" s="12" customFormat="1" x14ac:dyDescent="0.25">
      <c r="A31" s="214" t="s">
        <v>1903</v>
      </c>
      <c r="B31" s="64">
        <v>8.17</v>
      </c>
      <c r="C31" s="64">
        <v>3.17</v>
      </c>
      <c r="D31" s="64">
        <v>11.99</v>
      </c>
      <c r="E31" s="64">
        <v>3.23</v>
      </c>
      <c r="F31" s="64">
        <v>4.1399999999999997</v>
      </c>
      <c r="G31" s="64">
        <v>31.64</v>
      </c>
      <c r="H31" s="64">
        <v>13.1</v>
      </c>
      <c r="I31" s="64">
        <v>1.46</v>
      </c>
      <c r="J31" s="64">
        <v>0.19</v>
      </c>
      <c r="K31" s="64">
        <v>355.16</v>
      </c>
      <c r="L31" s="64">
        <v>26.14</v>
      </c>
      <c r="M31" s="64">
        <v>67.47</v>
      </c>
      <c r="N31" s="64">
        <v>40.6</v>
      </c>
      <c r="O31" s="64">
        <v>0</v>
      </c>
      <c r="P31" s="64">
        <v>0.22</v>
      </c>
      <c r="Q31" s="64">
        <v>9.36</v>
      </c>
      <c r="R31" s="198"/>
      <c r="S31" s="198"/>
      <c r="T31" s="198"/>
      <c r="U31" s="198"/>
    </row>
    <row r="32" spans="1:21" s="12" customFormat="1" x14ac:dyDescent="0.25">
      <c r="A32" s="214" t="s">
        <v>1904</v>
      </c>
      <c r="B32" s="64">
        <v>8.14</v>
      </c>
      <c r="C32" s="64">
        <v>3.08</v>
      </c>
      <c r="D32" s="64">
        <v>11.91</v>
      </c>
      <c r="E32" s="64">
        <v>2.78</v>
      </c>
      <c r="F32" s="64">
        <v>5.08</v>
      </c>
      <c r="G32" s="64">
        <v>31.64</v>
      </c>
      <c r="H32" s="64">
        <v>13.1</v>
      </c>
      <c r="I32" s="64">
        <v>1.47</v>
      </c>
      <c r="J32" s="64">
        <v>0.37</v>
      </c>
      <c r="K32" s="64">
        <v>12.95</v>
      </c>
      <c r="L32" s="64">
        <v>26.31</v>
      </c>
      <c r="M32" s="64">
        <v>66.459999999999994</v>
      </c>
      <c r="N32" s="64">
        <v>59.5</v>
      </c>
      <c r="O32" s="64">
        <v>0</v>
      </c>
      <c r="P32" s="64">
        <v>0.23</v>
      </c>
      <c r="Q32" s="64">
        <v>9.3800000000000008</v>
      </c>
      <c r="R32" s="198"/>
      <c r="S32" s="198"/>
      <c r="T32" s="198"/>
      <c r="U32" s="198"/>
    </row>
    <row r="33" spans="1:21" s="12" customFormat="1" x14ac:dyDescent="0.25">
      <c r="A33" s="214" t="s">
        <v>1905</v>
      </c>
      <c r="B33" s="64">
        <v>8.14</v>
      </c>
      <c r="C33" s="64">
        <v>3.09</v>
      </c>
      <c r="D33" s="64">
        <v>11.92</v>
      </c>
      <c r="E33" s="64">
        <v>3.11</v>
      </c>
      <c r="F33" s="64">
        <v>3.64</v>
      </c>
      <c r="G33" s="64">
        <v>31.64</v>
      </c>
      <c r="H33" s="64">
        <v>13.1</v>
      </c>
      <c r="I33" s="64">
        <v>1.49</v>
      </c>
      <c r="J33" s="64">
        <v>0.45</v>
      </c>
      <c r="K33" s="64">
        <v>28.93</v>
      </c>
      <c r="L33" s="64">
        <v>26.33</v>
      </c>
      <c r="M33" s="64">
        <v>67.22</v>
      </c>
      <c r="N33" s="64">
        <v>77.400000000000006</v>
      </c>
      <c r="O33" s="64">
        <v>0</v>
      </c>
      <c r="P33" s="64">
        <v>0.23</v>
      </c>
      <c r="Q33" s="64">
        <v>9.3800000000000008</v>
      </c>
      <c r="R33" s="198"/>
      <c r="S33" s="198"/>
      <c r="T33" s="198"/>
      <c r="U33" s="198"/>
    </row>
    <row r="34" spans="1:21" s="12" customFormat="1" x14ac:dyDescent="0.25">
      <c r="A34" s="214" t="s">
        <v>1906</v>
      </c>
      <c r="B34" s="64">
        <v>8.17</v>
      </c>
      <c r="C34" s="64">
        <v>3.09</v>
      </c>
      <c r="D34" s="64">
        <v>11.94</v>
      </c>
      <c r="E34" s="64">
        <v>2.92</v>
      </c>
      <c r="F34" s="64">
        <v>3.9</v>
      </c>
      <c r="G34" s="64">
        <v>32.549999999999997</v>
      </c>
      <c r="H34" s="64">
        <v>13.36</v>
      </c>
      <c r="I34" s="64">
        <v>1.59</v>
      </c>
      <c r="J34" s="64">
        <v>0.28999999999999998</v>
      </c>
      <c r="K34" s="64">
        <v>326.58999999999997</v>
      </c>
      <c r="L34" s="64">
        <v>26.4</v>
      </c>
      <c r="M34" s="64">
        <v>67.91</v>
      </c>
      <c r="N34" s="64">
        <v>99.7</v>
      </c>
      <c r="O34" s="64">
        <v>0</v>
      </c>
      <c r="P34" s="64">
        <v>0.23</v>
      </c>
      <c r="Q34" s="64">
        <v>9.36</v>
      </c>
      <c r="R34" s="198"/>
      <c r="S34" s="198"/>
      <c r="T34" s="198"/>
      <c r="U34" s="198"/>
    </row>
    <row r="35" spans="1:21" s="12" customFormat="1" x14ac:dyDescent="0.25">
      <c r="A35" s="214" t="s">
        <v>1907</v>
      </c>
      <c r="B35" s="64">
        <v>8.17</v>
      </c>
      <c r="C35" s="64">
        <v>3.13</v>
      </c>
      <c r="D35" s="64">
        <v>11.96</v>
      </c>
      <c r="E35" s="64">
        <v>2.85</v>
      </c>
      <c r="F35" s="64">
        <v>4.2</v>
      </c>
      <c r="G35" s="64">
        <v>33.380000000000003</v>
      </c>
      <c r="H35" s="64">
        <v>13.61</v>
      </c>
      <c r="I35" s="64">
        <v>1.6</v>
      </c>
      <c r="J35" s="64">
        <v>0.3</v>
      </c>
      <c r="K35" s="64">
        <v>5.58</v>
      </c>
      <c r="L35" s="64">
        <v>26.64</v>
      </c>
      <c r="M35" s="64">
        <v>67.3</v>
      </c>
      <c r="N35" s="64">
        <v>129</v>
      </c>
      <c r="O35" s="64">
        <v>0</v>
      </c>
      <c r="P35" s="64">
        <v>0.22</v>
      </c>
      <c r="Q35" s="64">
        <v>9.34</v>
      </c>
      <c r="R35" s="198"/>
      <c r="S35" s="198"/>
      <c r="T35" s="198"/>
      <c r="U35" s="198"/>
    </row>
    <row r="36" spans="1:21" s="12" customFormat="1" x14ac:dyDescent="0.25">
      <c r="A36" s="214" t="s">
        <v>1908</v>
      </c>
      <c r="B36" s="64">
        <v>8.17</v>
      </c>
      <c r="C36" s="64">
        <v>3.13</v>
      </c>
      <c r="D36" s="64">
        <v>11.96</v>
      </c>
      <c r="E36" s="64">
        <v>3.08</v>
      </c>
      <c r="F36" s="64">
        <v>4.54</v>
      </c>
      <c r="G36" s="64">
        <v>33.380000000000003</v>
      </c>
      <c r="H36" s="64">
        <v>13.61</v>
      </c>
      <c r="I36" s="64">
        <v>1.72</v>
      </c>
      <c r="J36" s="64">
        <v>0.27</v>
      </c>
      <c r="K36" s="64">
        <v>346.97</v>
      </c>
      <c r="L36" s="64">
        <v>26.81</v>
      </c>
      <c r="M36" s="64">
        <v>65.73</v>
      </c>
      <c r="N36" s="64">
        <v>175.9</v>
      </c>
      <c r="O36" s="64">
        <v>0</v>
      </c>
      <c r="P36" s="64">
        <v>0.23</v>
      </c>
      <c r="Q36" s="64">
        <v>9.34</v>
      </c>
      <c r="R36" s="198"/>
      <c r="S36" s="198"/>
      <c r="T36" s="198"/>
      <c r="U36" s="198"/>
    </row>
    <row r="37" spans="1:21" s="12" customFormat="1" x14ac:dyDescent="0.25">
      <c r="A37" s="214" t="s">
        <v>1909</v>
      </c>
      <c r="B37" s="64">
        <v>8.18</v>
      </c>
      <c r="C37" s="64">
        <v>3.12</v>
      </c>
      <c r="D37" s="64">
        <v>11.96</v>
      </c>
      <c r="E37" s="64">
        <v>3.14</v>
      </c>
      <c r="F37" s="64">
        <v>5.0199999999999996</v>
      </c>
      <c r="G37" s="64">
        <v>33.380000000000003</v>
      </c>
      <c r="H37" s="64">
        <v>13.61</v>
      </c>
      <c r="I37" s="64">
        <v>1.89</v>
      </c>
      <c r="J37" s="64">
        <v>0.41</v>
      </c>
      <c r="K37" s="64">
        <v>358.94</v>
      </c>
      <c r="L37" s="64">
        <v>27.24</v>
      </c>
      <c r="M37" s="64">
        <v>63.88</v>
      </c>
      <c r="N37" s="64">
        <v>229.6</v>
      </c>
      <c r="O37" s="64">
        <v>0</v>
      </c>
      <c r="P37" s="64">
        <v>0.24</v>
      </c>
      <c r="Q37" s="64">
        <v>9.35</v>
      </c>
      <c r="R37" s="198"/>
      <c r="S37" s="198"/>
      <c r="T37" s="198"/>
      <c r="U37" s="198"/>
    </row>
    <row r="38" spans="1:21" s="12" customFormat="1" x14ac:dyDescent="0.25">
      <c r="A38" s="214" t="s">
        <v>1910</v>
      </c>
      <c r="B38" s="64">
        <v>8.1999999999999993</v>
      </c>
      <c r="C38" s="64">
        <v>3.19</v>
      </c>
      <c r="D38" s="64">
        <v>12.02</v>
      </c>
      <c r="E38" s="64">
        <v>3.19</v>
      </c>
      <c r="F38" s="64">
        <v>5.64</v>
      </c>
      <c r="G38" s="64">
        <v>33.44</v>
      </c>
      <c r="H38" s="64">
        <v>12.8</v>
      </c>
      <c r="I38" s="64">
        <v>1.95</v>
      </c>
      <c r="J38" s="64">
        <v>0.56000000000000005</v>
      </c>
      <c r="K38" s="64">
        <v>9.08</v>
      </c>
      <c r="L38" s="64">
        <v>28.28</v>
      </c>
      <c r="M38" s="64">
        <v>59.79</v>
      </c>
      <c r="N38" s="64">
        <v>293.3</v>
      </c>
      <c r="O38" s="64">
        <v>0</v>
      </c>
      <c r="P38" s="64">
        <v>0.25</v>
      </c>
      <c r="Q38" s="64">
        <v>9.35</v>
      </c>
      <c r="R38" s="198"/>
      <c r="S38" s="198"/>
      <c r="T38" s="198"/>
      <c r="U38" s="198"/>
    </row>
    <row r="39" spans="1:21" s="12" customFormat="1" x14ac:dyDescent="0.25">
      <c r="A39" s="214" t="s">
        <v>1911</v>
      </c>
      <c r="B39" s="64">
        <v>8.2200000000000006</v>
      </c>
      <c r="C39" s="64">
        <v>3.3</v>
      </c>
      <c r="D39" s="64">
        <v>12.09</v>
      </c>
      <c r="E39" s="64">
        <v>3.25</v>
      </c>
      <c r="F39" s="64">
        <v>5.96</v>
      </c>
      <c r="G39" s="64">
        <v>33.49</v>
      </c>
      <c r="H39" s="64">
        <v>12.06</v>
      </c>
      <c r="I39" s="64">
        <v>1.95</v>
      </c>
      <c r="J39" s="64">
        <v>0.72</v>
      </c>
      <c r="K39" s="64">
        <v>18.920000000000002</v>
      </c>
      <c r="L39" s="64">
        <v>28.74</v>
      </c>
      <c r="M39" s="64">
        <v>58.17</v>
      </c>
      <c r="N39" s="64">
        <v>350.1</v>
      </c>
      <c r="O39" s="64">
        <v>0</v>
      </c>
      <c r="P39" s="64">
        <v>0.26</v>
      </c>
      <c r="Q39" s="64">
        <v>9.3699999999999992</v>
      </c>
      <c r="R39" s="198"/>
      <c r="S39" s="198"/>
      <c r="T39" s="198"/>
      <c r="U39" s="198"/>
    </row>
    <row r="40" spans="1:21" s="12" customFormat="1" x14ac:dyDescent="0.25">
      <c r="A40" s="214" t="s">
        <v>1912</v>
      </c>
      <c r="B40" s="64">
        <v>8.2200000000000006</v>
      </c>
      <c r="C40" s="64">
        <v>3.24</v>
      </c>
      <c r="D40" s="64">
        <v>12.06</v>
      </c>
      <c r="E40" s="64">
        <v>3.49</v>
      </c>
      <c r="F40" s="64">
        <v>6.52</v>
      </c>
      <c r="G40" s="64">
        <v>33.49</v>
      </c>
      <c r="H40" s="64">
        <v>12.06</v>
      </c>
      <c r="I40" s="64">
        <v>1.93</v>
      </c>
      <c r="J40" s="64">
        <v>0.68</v>
      </c>
      <c r="K40" s="64">
        <v>15.3</v>
      </c>
      <c r="L40" s="64">
        <v>28.89</v>
      </c>
      <c r="M40" s="64">
        <v>57.69</v>
      </c>
      <c r="N40" s="64">
        <v>368.3</v>
      </c>
      <c r="O40" s="64">
        <v>0</v>
      </c>
      <c r="P40" s="64">
        <v>0.26</v>
      </c>
      <c r="Q40" s="64">
        <v>9.3699999999999992</v>
      </c>
      <c r="R40" s="198"/>
      <c r="S40" s="198"/>
      <c r="T40" s="198"/>
      <c r="U40" s="198"/>
    </row>
    <row r="41" spans="1:21" s="12" customFormat="1" x14ac:dyDescent="0.25">
      <c r="A41" s="214" t="s">
        <v>1913</v>
      </c>
      <c r="B41" s="64">
        <v>8.23</v>
      </c>
      <c r="C41" s="64">
        <v>3.28</v>
      </c>
      <c r="D41" s="64">
        <v>12.09</v>
      </c>
      <c r="E41" s="64">
        <v>3.55</v>
      </c>
      <c r="F41" s="64">
        <v>6.41</v>
      </c>
      <c r="G41" s="64">
        <v>33.49</v>
      </c>
      <c r="H41" s="64">
        <v>12.06</v>
      </c>
      <c r="I41" s="64">
        <v>1.85</v>
      </c>
      <c r="J41" s="64">
        <v>0.44</v>
      </c>
      <c r="K41" s="64">
        <v>3.34</v>
      </c>
      <c r="L41" s="64">
        <v>29.34</v>
      </c>
      <c r="M41" s="64">
        <v>55.98</v>
      </c>
      <c r="N41" s="64">
        <v>401.7</v>
      </c>
      <c r="O41" s="64">
        <v>0</v>
      </c>
      <c r="P41" s="64">
        <v>0.26</v>
      </c>
      <c r="Q41" s="64">
        <v>9.3699999999999992</v>
      </c>
      <c r="R41" s="198"/>
      <c r="S41" s="198"/>
      <c r="T41" s="198"/>
      <c r="U41" s="198"/>
    </row>
    <row r="42" spans="1:21" s="12" customFormat="1" x14ac:dyDescent="0.25">
      <c r="A42" s="214" t="s">
        <v>1914</v>
      </c>
      <c r="B42" s="64">
        <v>8.23</v>
      </c>
      <c r="C42" s="64">
        <v>3.42</v>
      </c>
      <c r="D42" s="64">
        <v>12.16</v>
      </c>
      <c r="E42" s="64">
        <v>4.29</v>
      </c>
      <c r="F42" s="64">
        <v>6.37</v>
      </c>
      <c r="G42" s="64">
        <v>33.89</v>
      </c>
      <c r="H42" s="64">
        <v>11.13</v>
      </c>
      <c r="I42" s="64">
        <v>1.81</v>
      </c>
      <c r="J42" s="64">
        <v>0.56999999999999995</v>
      </c>
      <c r="K42" s="64">
        <v>18.38</v>
      </c>
      <c r="L42" s="64">
        <v>29.82</v>
      </c>
      <c r="M42" s="64">
        <v>54.23</v>
      </c>
      <c r="N42" s="64">
        <v>462</v>
      </c>
      <c r="O42" s="64">
        <v>0</v>
      </c>
      <c r="P42" s="64">
        <v>0.28000000000000003</v>
      </c>
      <c r="Q42" s="64">
        <v>9.4499999999999993</v>
      </c>
      <c r="R42" s="198"/>
      <c r="S42" s="198"/>
      <c r="T42" s="198"/>
      <c r="U42" s="198"/>
    </row>
    <row r="43" spans="1:21" s="12" customFormat="1" x14ac:dyDescent="0.25">
      <c r="A43" s="214" t="s">
        <v>1915</v>
      </c>
      <c r="B43" s="64">
        <v>8.18</v>
      </c>
      <c r="C43" s="64">
        <v>3.31</v>
      </c>
      <c r="D43" s="64">
        <v>12.06</v>
      </c>
      <c r="E43" s="64">
        <v>3.84</v>
      </c>
      <c r="F43" s="64">
        <v>6.02</v>
      </c>
      <c r="G43" s="64">
        <v>34.270000000000003</v>
      </c>
      <c r="H43" s="64">
        <v>10.27</v>
      </c>
      <c r="I43" s="64">
        <v>1.82</v>
      </c>
      <c r="J43" s="64">
        <v>0.67</v>
      </c>
      <c r="K43" s="64">
        <v>24.47</v>
      </c>
      <c r="L43" s="64">
        <v>30.31</v>
      </c>
      <c r="M43" s="64">
        <v>52.54</v>
      </c>
      <c r="N43" s="64">
        <v>530.1</v>
      </c>
      <c r="O43" s="64">
        <v>0</v>
      </c>
      <c r="P43" s="64">
        <v>0.28000000000000003</v>
      </c>
      <c r="Q43" s="64">
        <v>9.43</v>
      </c>
      <c r="R43" s="198"/>
      <c r="S43" s="198"/>
      <c r="T43" s="198"/>
      <c r="U43" s="198"/>
    </row>
    <row r="44" spans="1:21" s="12" customFormat="1" x14ac:dyDescent="0.25">
      <c r="A44" s="214" t="s">
        <v>1916</v>
      </c>
      <c r="B44" s="64">
        <v>8.18</v>
      </c>
      <c r="C44" s="64">
        <v>3.22</v>
      </c>
      <c r="D44" s="64">
        <v>12.02</v>
      </c>
      <c r="E44" s="64">
        <v>3.49</v>
      </c>
      <c r="F44" s="64">
        <v>6.51</v>
      </c>
      <c r="G44" s="64">
        <v>34.270000000000003</v>
      </c>
      <c r="H44" s="64">
        <v>10.27</v>
      </c>
      <c r="I44" s="64">
        <v>1.78</v>
      </c>
      <c r="J44" s="64">
        <v>0.62</v>
      </c>
      <c r="K44" s="64">
        <v>24.32</v>
      </c>
      <c r="L44" s="64">
        <v>30.6</v>
      </c>
      <c r="M44" s="64">
        <v>51.12</v>
      </c>
      <c r="N44" s="64">
        <v>582.29999999999995</v>
      </c>
      <c r="O44" s="64">
        <v>0</v>
      </c>
      <c r="P44" s="64">
        <v>0.28000000000000003</v>
      </c>
      <c r="Q44" s="64">
        <v>9.41</v>
      </c>
      <c r="R44" s="198"/>
      <c r="S44" s="198"/>
      <c r="T44" s="198"/>
      <c r="U44" s="198"/>
    </row>
    <row r="45" spans="1:21" s="12" customFormat="1" x14ac:dyDescent="0.25">
      <c r="A45" s="214" t="s">
        <v>1917</v>
      </c>
      <c r="B45" s="64">
        <v>8.1999999999999993</v>
      </c>
      <c r="C45" s="64">
        <v>3.32</v>
      </c>
      <c r="D45" s="64">
        <v>12.08</v>
      </c>
      <c r="E45" s="64">
        <v>3.71</v>
      </c>
      <c r="F45" s="64">
        <v>7.08</v>
      </c>
      <c r="G45" s="64">
        <v>34.270000000000003</v>
      </c>
      <c r="H45" s="64">
        <v>10.27</v>
      </c>
      <c r="I45" s="64">
        <v>1.73</v>
      </c>
      <c r="J45" s="64">
        <v>0.72</v>
      </c>
      <c r="K45" s="64">
        <v>351.36</v>
      </c>
      <c r="L45" s="64">
        <v>31.27</v>
      </c>
      <c r="M45" s="64">
        <v>48.71</v>
      </c>
      <c r="N45" s="64">
        <v>630.70000000000005</v>
      </c>
      <c r="O45" s="64">
        <v>0</v>
      </c>
      <c r="P45" s="64">
        <v>0.31</v>
      </c>
      <c r="Q45" s="64">
        <v>9.4499999999999993</v>
      </c>
      <c r="R45" s="198"/>
      <c r="S45" s="198"/>
      <c r="T45" s="198"/>
      <c r="U45" s="198"/>
    </row>
    <row r="46" spans="1:21" s="12" customFormat="1" x14ac:dyDescent="0.25">
      <c r="A46" s="214" t="s">
        <v>1918</v>
      </c>
      <c r="B46" s="64">
        <v>8.18</v>
      </c>
      <c r="C46" s="64">
        <v>3.29</v>
      </c>
      <c r="D46" s="64">
        <v>12.06</v>
      </c>
      <c r="E46" s="64">
        <v>3.73</v>
      </c>
      <c r="F46" s="64">
        <v>6.81</v>
      </c>
      <c r="G46" s="64">
        <v>36.119999999999997</v>
      </c>
      <c r="H46" s="64">
        <v>11.23</v>
      </c>
      <c r="I46" s="64">
        <v>1.72</v>
      </c>
      <c r="J46" s="64">
        <v>0.67</v>
      </c>
      <c r="K46" s="64">
        <v>14.08</v>
      </c>
      <c r="L46" s="64">
        <v>32.67</v>
      </c>
      <c r="M46" s="64">
        <v>44.96</v>
      </c>
      <c r="N46" s="64">
        <v>642.1</v>
      </c>
      <c r="O46" s="64">
        <v>0</v>
      </c>
      <c r="P46" s="64">
        <v>0.35</v>
      </c>
      <c r="Q46" s="64">
        <v>9.42</v>
      </c>
      <c r="R46" s="198"/>
      <c r="S46" s="198"/>
      <c r="T46" s="198"/>
      <c r="U46" s="198"/>
    </row>
    <row r="47" spans="1:21" s="12" customFormat="1" x14ac:dyDescent="0.25">
      <c r="A47" s="214" t="s">
        <v>1919</v>
      </c>
      <c r="B47" s="64">
        <v>8.34</v>
      </c>
      <c r="C47" s="64">
        <v>3.9</v>
      </c>
      <c r="D47" s="64">
        <v>12.5</v>
      </c>
      <c r="E47" s="64">
        <v>3.47</v>
      </c>
      <c r="F47" s="64">
        <v>7.26</v>
      </c>
      <c r="G47" s="64">
        <v>37.9</v>
      </c>
      <c r="H47" s="64">
        <v>12.12</v>
      </c>
      <c r="I47" s="64">
        <v>1.93</v>
      </c>
      <c r="J47" s="64">
        <v>0.77</v>
      </c>
      <c r="K47" s="64">
        <v>9.6</v>
      </c>
      <c r="L47" s="64">
        <v>32</v>
      </c>
      <c r="M47" s="64">
        <v>46.52</v>
      </c>
      <c r="N47" s="64">
        <v>541.4</v>
      </c>
      <c r="O47" s="64">
        <v>0</v>
      </c>
      <c r="P47" s="64">
        <v>0.39</v>
      </c>
      <c r="Q47" s="64">
        <v>9.41</v>
      </c>
      <c r="R47" s="198"/>
      <c r="S47" s="198"/>
      <c r="T47" s="198"/>
      <c r="U47" s="198"/>
    </row>
    <row r="48" spans="1:21" s="12" customFormat="1" x14ac:dyDescent="0.25">
      <c r="A48" s="214" t="s">
        <v>1920</v>
      </c>
      <c r="B48" s="64">
        <v>8.25</v>
      </c>
      <c r="C48" s="64">
        <v>3.57</v>
      </c>
      <c r="D48" s="64">
        <v>12.26</v>
      </c>
      <c r="E48" s="64">
        <v>3.41</v>
      </c>
      <c r="F48" s="64">
        <v>8.2799999999999994</v>
      </c>
      <c r="G48" s="64">
        <v>37.9</v>
      </c>
      <c r="H48" s="64">
        <v>12.12</v>
      </c>
      <c r="I48" s="64">
        <v>2.3199999999999998</v>
      </c>
      <c r="J48" s="64">
        <v>0.71</v>
      </c>
      <c r="K48" s="64">
        <v>8.3699999999999992</v>
      </c>
      <c r="L48" s="64">
        <v>31.48</v>
      </c>
      <c r="M48" s="64">
        <v>48.28</v>
      </c>
      <c r="N48" s="64">
        <v>686.8</v>
      </c>
      <c r="O48" s="64">
        <v>0</v>
      </c>
      <c r="P48" s="64">
        <v>0.41</v>
      </c>
      <c r="Q48" s="64">
        <v>9.43</v>
      </c>
      <c r="R48" s="198"/>
      <c r="S48" s="198"/>
      <c r="T48" s="198"/>
      <c r="U48" s="198"/>
    </row>
    <row r="49" spans="1:21" s="12" customFormat="1" x14ac:dyDescent="0.25">
      <c r="A49" s="214" t="s">
        <v>1921</v>
      </c>
      <c r="B49" s="64">
        <v>8.17</v>
      </c>
      <c r="C49" s="64">
        <v>3.26</v>
      </c>
      <c r="D49" s="64">
        <v>12.03</v>
      </c>
      <c r="E49" s="64">
        <v>3.46</v>
      </c>
      <c r="F49" s="64">
        <v>8.6999999999999993</v>
      </c>
      <c r="G49" s="64">
        <v>37.9</v>
      </c>
      <c r="H49" s="64">
        <v>12.12</v>
      </c>
      <c r="I49" s="64">
        <v>2.5299999999999998</v>
      </c>
      <c r="J49" s="64">
        <v>0.62</v>
      </c>
      <c r="K49" s="64">
        <v>17.34</v>
      </c>
      <c r="L49" s="64">
        <v>32.33</v>
      </c>
      <c r="M49" s="64">
        <v>46.23</v>
      </c>
      <c r="N49" s="64">
        <v>787.9</v>
      </c>
      <c r="O49" s="64">
        <v>0</v>
      </c>
      <c r="P49" s="64">
        <v>0.44</v>
      </c>
      <c r="Q49" s="64">
        <v>9.4499999999999993</v>
      </c>
      <c r="R49" s="198"/>
      <c r="S49" s="198"/>
      <c r="T49" s="198"/>
      <c r="U49" s="198"/>
    </row>
    <row r="50" spans="1:21" s="12" customFormat="1" x14ac:dyDescent="0.25">
      <c r="A50" s="214" t="s">
        <v>1922</v>
      </c>
      <c r="B50" s="64">
        <v>8.15</v>
      </c>
      <c r="C50" s="64">
        <v>3.17</v>
      </c>
      <c r="D50" s="64">
        <v>11.97</v>
      </c>
      <c r="E50" s="64">
        <v>3.82</v>
      </c>
      <c r="F50" s="64">
        <v>7.45</v>
      </c>
      <c r="G50" s="64">
        <v>40.71</v>
      </c>
      <c r="H50" s="64">
        <v>15.7</v>
      </c>
      <c r="I50" s="64">
        <v>2.54</v>
      </c>
      <c r="J50" s="64">
        <v>0.75</v>
      </c>
      <c r="K50" s="64">
        <v>352.8</v>
      </c>
      <c r="L50" s="64">
        <v>33.04</v>
      </c>
      <c r="M50" s="64">
        <v>44.86</v>
      </c>
      <c r="N50" s="64">
        <v>849.2</v>
      </c>
      <c r="O50" s="64">
        <v>0</v>
      </c>
      <c r="P50" s="64">
        <v>0.46</v>
      </c>
      <c r="Q50" s="64">
        <v>9.4600000000000009</v>
      </c>
      <c r="R50" s="198"/>
      <c r="S50" s="198"/>
      <c r="T50" s="198"/>
      <c r="U50" s="198"/>
    </row>
    <row r="51" spans="1:21" s="12" customFormat="1" x14ac:dyDescent="0.25">
      <c r="A51" s="214" t="s">
        <v>1923</v>
      </c>
      <c r="B51" s="64">
        <v>8.15</v>
      </c>
      <c r="C51" s="64">
        <v>3.2</v>
      </c>
      <c r="D51" s="64">
        <v>11.98</v>
      </c>
      <c r="E51" s="64">
        <v>3.58</v>
      </c>
      <c r="F51" s="64">
        <v>8.15</v>
      </c>
      <c r="G51" s="64">
        <v>43.28</v>
      </c>
      <c r="H51" s="64">
        <v>18.97</v>
      </c>
      <c r="I51" s="64">
        <v>2.57</v>
      </c>
      <c r="J51" s="64">
        <v>0.7</v>
      </c>
      <c r="K51" s="64">
        <v>356.8</v>
      </c>
      <c r="L51" s="64">
        <v>34.47</v>
      </c>
      <c r="M51" s="64">
        <v>41.37</v>
      </c>
      <c r="N51" s="64">
        <v>869.7</v>
      </c>
      <c r="O51" s="64">
        <v>0</v>
      </c>
      <c r="P51" s="64">
        <v>0.5</v>
      </c>
      <c r="Q51" s="64">
        <v>9.42</v>
      </c>
      <c r="R51" s="198"/>
      <c r="S51" s="198"/>
      <c r="T51" s="198"/>
      <c r="U51" s="198"/>
    </row>
    <row r="52" spans="1:21" s="12" customFormat="1" x14ac:dyDescent="0.25">
      <c r="A52" s="214" t="s">
        <v>1924</v>
      </c>
      <c r="B52" s="64">
        <v>8.14</v>
      </c>
      <c r="C52" s="64">
        <v>3.16</v>
      </c>
      <c r="D52" s="64">
        <v>11.96</v>
      </c>
      <c r="E52" s="64">
        <v>3.71</v>
      </c>
      <c r="F52" s="64">
        <v>8.35</v>
      </c>
      <c r="G52" s="64">
        <v>43.28</v>
      </c>
      <c r="H52" s="64">
        <v>18.97</v>
      </c>
      <c r="I52" s="64">
        <v>2.7</v>
      </c>
      <c r="J52" s="64">
        <v>0.48</v>
      </c>
      <c r="K52" s="64">
        <v>12.07</v>
      </c>
      <c r="L52" s="64">
        <v>34.24</v>
      </c>
      <c r="M52" s="64">
        <v>41.37</v>
      </c>
      <c r="N52" s="64">
        <v>867.5</v>
      </c>
      <c r="O52" s="64">
        <v>0</v>
      </c>
      <c r="P52" s="64">
        <v>0.54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4" t="s">
        <v>1925</v>
      </c>
      <c r="B53" s="64">
        <v>8.16</v>
      </c>
      <c r="C53" s="64">
        <v>3.16</v>
      </c>
      <c r="D53" s="64">
        <v>11.97</v>
      </c>
      <c r="E53" s="64">
        <v>3.9</v>
      </c>
      <c r="F53" s="64">
        <v>8.73</v>
      </c>
      <c r="G53" s="64">
        <v>43.28</v>
      </c>
      <c r="H53" s="64">
        <v>18.97</v>
      </c>
      <c r="I53" s="64">
        <v>2.94</v>
      </c>
      <c r="J53" s="64">
        <v>0.87</v>
      </c>
      <c r="K53" s="64">
        <v>336.14</v>
      </c>
      <c r="L53" s="64">
        <v>35.07</v>
      </c>
      <c r="M53" s="64">
        <v>39.020000000000003</v>
      </c>
      <c r="N53" s="64">
        <v>831.4</v>
      </c>
      <c r="O53" s="64">
        <v>0</v>
      </c>
      <c r="P53" s="64">
        <v>0.56999999999999995</v>
      </c>
      <c r="Q53" s="64">
        <v>9.36</v>
      </c>
      <c r="R53" s="198"/>
      <c r="S53" s="198"/>
      <c r="T53" s="198"/>
      <c r="U53" s="198"/>
    </row>
    <row r="54" spans="1:21" s="12" customFormat="1" x14ac:dyDescent="0.25">
      <c r="A54" s="214" t="s">
        <v>1926</v>
      </c>
      <c r="B54" s="64">
        <v>8.18</v>
      </c>
      <c r="C54" s="64">
        <v>3.24</v>
      </c>
      <c r="D54" s="64">
        <v>12.03</v>
      </c>
      <c r="E54" s="64">
        <v>3.74</v>
      </c>
      <c r="F54" s="64">
        <v>8.73</v>
      </c>
      <c r="G54" s="64">
        <v>47.43</v>
      </c>
      <c r="H54" s="64">
        <v>19.78</v>
      </c>
      <c r="I54" s="64">
        <v>3.18</v>
      </c>
      <c r="J54" s="64">
        <v>1.01</v>
      </c>
      <c r="K54" s="64">
        <v>329.8</v>
      </c>
      <c r="L54" s="64">
        <v>36.03</v>
      </c>
      <c r="M54" s="64">
        <v>36.42</v>
      </c>
      <c r="N54" s="64">
        <v>866.2</v>
      </c>
      <c r="O54" s="64">
        <v>0</v>
      </c>
      <c r="P54" s="64">
        <v>0.56999999999999995</v>
      </c>
      <c r="Q54" s="64">
        <v>9.35</v>
      </c>
      <c r="R54" s="198"/>
      <c r="S54" s="198"/>
      <c r="T54" s="198"/>
      <c r="U54" s="198"/>
    </row>
    <row r="55" spans="1:21" s="12" customFormat="1" x14ac:dyDescent="0.25">
      <c r="A55" s="214" t="s">
        <v>1927</v>
      </c>
      <c r="B55" s="64">
        <v>8.19</v>
      </c>
      <c r="C55" s="64">
        <v>3.23</v>
      </c>
      <c r="D55" s="64">
        <v>12.03</v>
      </c>
      <c r="E55" s="64">
        <v>3.84</v>
      </c>
      <c r="F55" s="64">
        <v>8.74</v>
      </c>
      <c r="G55" s="64">
        <v>51.22</v>
      </c>
      <c r="H55" s="64">
        <v>20.53</v>
      </c>
      <c r="I55" s="64">
        <v>3.29</v>
      </c>
      <c r="J55" s="64">
        <v>0.95</v>
      </c>
      <c r="K55" s="64">
        <v>325.75</v>
      </c>
      <c r="L55" s="64">
        <v>36.369999999999997</v>
      </c>
      <c r="M55" s="64">
        <v>35.25</v>
      </c>
      <c r="N55" s="64">
        <v>885</v>
      </c>
      <c r="O55" s="64">
        <v>0</v>
      </c>
      <c r="P55" s="64">
        <v>0.56000000000000005</v>
      </c>
      <c r="Q55" s="64">
        <v>9.36</v>
      </c>
      <c r="R55" s="198"/>
      <c r="S55" s="198"/>
      <c r="T55" s="198"/>
      <c r="U55" s="198"/>
    </row>
    <row r="56" spans="1:21" s="12" customFormat="1" x14ac:dyDescent="0.25">
      <c r="A56" s="214" t="s">
        <v>1928</v>
      </c>
      <c r="B56" s="64">
        <v>8.2200000000000006</v>
      </c>
      <c r="C56" s="64">
        <v>3.31</v>
      </c>
      <c r="D56" s="64">
        <v>12.09</v>
      </c>
      <c r="E56" s="64">
        <v>4.4800000000000004</v>
      </c>
      <c r="F56" s="64">
        <v>8.58</v>
      </c>
      <c r="G56" s="64">
        <v>51.22</v>
      </c>
      <c r="H56" s="64">
        <v>20.53</v>
      </c>
      <c r="I56" s="64">
        <v>3.25</v>
      </c>
      <c r="J56" s="64">
        <v>1.1200000000000001</v>
      </c>
      <c r="K56" s="64">
        <v>312.04000000000002</v>
      </c>
      <c r="L56" s="64">
        <v>36.880000000000003</v>
      </c>
      <c r="M56" s="64">
        <v>34.58</v>
      </c>
      <c r="N56" s="64">
        <v>787.1</v>
      </c>
      <c r="O56" s="64">
        <v>0</v>
      </c>
      <c r="P56" s="64">
        <v>0.54</v>
      </c>
      <c r="Q56" s="64">
        <v>9.35</v>
      </c>
      <c r="R56" s="198"/>
      <c r="S56" s="198"/>
      <c r="T56" s="198"/>
      <c r="U56" s="198"/>
    </row>
    <row r="57" spans="1:21" s="12" customFormat="1" x14ac:dyDescent="0.25">
      <c r="A57" s="214" t="s">
        <v>1929</v>
      </c>
      <c r="B57" s="64">
        <v>8.2799999999999994</v>
      </c>
      <c r="C57" s="64">
        <v>3.54</v>
      </c>
      <c r="D57" s="64">
        <v>12.26</v>
      </c>
      <c r="E57" s="64">
        <v>4.49</v>
      </c>
      <c r="F57" s="64">
        <v>7.94</v>
      </c>
      <c r="G57" s="64">
        <v>51.22</v>
      </c>
      <c r="H57" s="64">
        <v>20.53</v>
      </c>
      <c r="I57" s="64">
        <v>3.1</v>
      </c>
      <c r="J57" s="64">
        <v>0.82</v>
      </c>
      <c r="K57" s="64">
        <v>331.38</v>
      </c>
      <c r="L57" s="64">
        <v>36.56</v>
      </c>
      <c r="M57" s="64">
        <v>35.07</v>
      </c>
      <c r="N57" s="64">
        <v>864.6</v>
      </c>
      <c r="O57" s="64">
        <v>0</v>
      </c>
      <c r="P57" s="64">
        <v>0.51</v>
      </c>
      <c r="Q57" s="64">
        <v>9.34</v>
      </c>
      <c r="R57" s="198"/>
      <c r="S57" s="198"/>
      <c r="T57" s="198"/>
      <c r="U57" s="198"/>
    </row>
    <row r="58" spans="1:21" s="12" customFormat="1" x14ac:dyDescent="0.25">
      <c r="A58" s="214" t="s">
        <v>1930</v>
      </c>
      <c r="B58" s="64">
        <v>8.2200000000000006</v>
      </c>
      <c r="C58" s="64">
        <v>3.28</v>
      </c>
      <c r="D58" s="64">
        <v>12.08</v>
      </c>
      <c r="E58" s="64">
        <v>4.4000000000000004</v>
      </c>
      <c r="F58" s="64">
        <v>7.76</v>
      </c>
      <c r="G58" s="64">
        <v>49.15</v>
      </c>
      <c r="H58" s="64">
        <v>25.98</v>
      </c>
      <c r="I58" s="64">
        <v>2.95</v>
      </c>
      <c r="J58" s="64">
        <v>0.71</v>
      </c>
      <c r="K58" s="64">
        <v>328.97</v>
      </c>
      <c r="L58" s="64">
        <v>36.950000000000003</v>
      </c>
      <c r="M58" s="64">
        <v>33.700000000000003</v>
      </c>
      <c r="N58" s="64">
        <v>840.3</v>
      </c>
      <c r="O58" s="64">
        <v>0</v>
      </c>
      <c r="P58" s="64">
        <v>0.5</v>
      </c>
      <c r="Q58" s="64">
        <v>9.35</v>
      </c>
      <c r="R58" s="198"/>
      <c r="S58" s="198"/>
      <c r="T58" s="198"/>
      <c r="U58" s="198"/>
    </row>
    <row r="59" spans="1:21" s="12" customFormat="1" x14ac:dyDescent="0.25">
      <c r="A59" s="214" t="s">
        <v>1931</v>
      </c>
      <c r="B59" s="64">
        <v>8.25</v>
      </c>
      <c r="C59" s="64">
        <v>3.32</v>
      </c>
      <c r="D59" s="64">
        <v>12.12</v>
      </c>
      <c r="E59" s="64">
        <v>4.43</v>
      </c>
      <c r="F59" s="64">
        <v>8.42</v>
      </c>
      <c r="G59" s="64">
        <v>47.26</v>
      </c>
      <c r="H59" s="64">
        <v>30.96</v>
      </c>
      <c r="I59" s="64">
        <v>2.81</v>
      </c>
      <c r="J59" s="64">
        <v>0.51</v>
      </c>
      <c r="K59" s="64">
        <v>353.9</v>
      </c>
      <c r="L59" s="64">
        <v>35.979999999999997</v>
      </c>
      <c r="M59" s="64">
        <v>34.54</v>
      </c>
      <c r="N59" s="64">
        <v>846.2</v>
      </c>
      <c r="O59" s="64">
        <v>0</v>
      </c>
      <c r="P59" s="64">
        <v>0.47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4" t="s">
        <v>1932</v>
      </c>
      <c r="B60" s="64">
        <v>8.25</v>
      </c>
      <c r="C60" s="64">
        <v>3.32</v>
      </c>
      <c r="D60" s="64">
        <v>12.12</v>
      </c>
      <c r="E60" s="64">
        <v>4.43</v>
      </c>
      <c r="F60" s="64">
        <v>8.42</v>
      </c>
      <c r="G60" s="64">
        <v>47.26</v>
      </c>
      <c r="H60" s="64">
        <v>30.96</v>
      </c>
      <c r="I60" s="64">
        <v>2.81</v>
      </c>
      <c r="J60" s="64">
        <v>0.51</v>
      </c>
      <c r="K60" s="64">
        <v>353.9</v>
      </c>
      <c r="L60" s="64">
        <v>35.979999999999997</v>
      </c>
      <c r="M60" s="64">
        <v>34.54</v>
      </c>
      <c r="N60" s="64">
        <v>846.2</v>
      </c>
      <c r="O60" s="64">
        <v>0</v>
      </c>
      <c r="P60" s="64">
        <v>0.47</v>
      </c>
      <c r="Q60" s="64">
        <v>9.35</v>
      </c>
      <c r="R60" s="198"/>
      <c r="S60" s="198"/>
      <c r="T60" s="198"/>
      <c r="U60" s="198"/>
    </row>
    <row r="61" spans="1:21" s="12" customFormat="1" x14ac:dyDescent="0.25">
      <c r="A61" s="214" t="s">
        <v>1933</v>
      </c>
      <c r="B61" s="210" t="s">
        <v>32</v>
      </c>
      <c r="C61" s="210" t="s">
        <v>32</v>
      </c>
      <c r="D61" s="210" t="s">
        <v>32</v>
      </c>
      <c r="E61" s="210" t="s">
        <v>32</v>
      </c>
      <c r="F61" s="210" t="s">
        <v>32</v>
      </c>
      <c r="G61" s="210" t="s">
        <v>32</v>
      </c>
      <c r="H61" s="210" t="s">
        <v>32</v>
      </c>
      <c r="I61" s="210" t="s">
        <v>32</v>
      </c>
      <c r="J61" s="210" t="s">
        <v>32</v>
      </c>
      <c r="K61" s="210" t="s">
        <v>32</v>
      </c>
      <c r="L61" s="210" t="s">
        <v>32</v>
      </c>
      <c r="M61" s="210" t="s">
        <v>32</v>
      </c>
      <c r="N61" s="210" t="s">
        <v>32</v>
      </c>
      <c r="O61" s="210" t="s">
        <v>32</v>
      </c>
      <c r="P61" s="210" t="s">
        <v>32</v>
      </c>
      <c r="Q61" s="210" t="s">
        <v>32</v>
      </c>
      <c r="R61" s="198"/>
      <c r="S61" s="198"/>
      <c r="T61" s="198"/>
      <c r="U61" s="198"/>
    </row>
    <row r="62" spans="1:21" s="12" customFormat="1" x14ac:dyDescent="0.25">
      <c r="A62" s="214" t="s">
        <v>1934</v>
      </c>
      <c r="B62" s="64">
        <v>8.25</v>
      </c>
      <c r="C62" s="64">
        <v>3.32</v>
      </c>
      <c r="D62" s="64">
        <v>12.12</v>
      </c>
      <c r="E62" s="64">
        <v>4.43</v>
      </c>
      <c r="F62" s="64">
        <v>8.42</v>
      </c>
      <c r="G62" s="64">
        <v>47.26</v>
      </c>
      <c r="H62" s="64">
        <v>30.96</v>
      </c>
      <c r="I62" s="64">
        <v>2.81</v>
      </c>
      <c r="J62" s="64">
        <v>0.51</v>
      </c>
      <c r="K62" s="64">
        <v>353.9</v>
      </c>
      <c r="L62" s="64">
        <v>35.979999999999997</v>
      </c>
      <c r="M62" s="64">
        <v>34.54</v>
      </c>
      <c r="N62" s="64">
        <v>846.2</v>
      </c>
      <c r="O62" s="64">
        <v>0</v>
      </c>
      <c r="P62" s="64">
        <v>0.47</v>
      </c>
      <c r="Q62" s="64">
        <v>9.35</v>
      </c>
      <c r="R62" s="198"/>
      <c r="S62" s="198"/>
      <c r="T62" s="198"/>
      <c r="U62" s="198"/>
    </row>
    <row r="63" spans="1:21" s="12" customFormat="1" x14ac:dyDescent="0.25">
      <c r="A63" s="214" t="s">
        <v>1935</v>
      </c>
      <c r="B63" s="64">
        <v>8.25</v>
      </c>
      <c r="C63" s="64">
        <v>3.32</v>
      </c>
      <c r="D63" s="64">
        <v>12.12</v>
      </c>
      <c r="E63" s="64">
        <v>4.43</v>
      </c>
      <c r="F63" s="64">
        <v>8.42</v>
      </c>
      <c r="G63" s="64">
        <v>47.26</v>
      </c>
      <c r="H63" s="64">
        <v>30.96</v>
      </c>
      <c r="I63" s="64">
        <v>2.81</v>
      </c>
      <c r="J63" s="64">
        <v>0.51</v>
      </c>
      <c r="K63" s="64">
        <v>353.9</v>
      </c>
      <c r="L63" s="64">
        <v>35.979999999999997</v>
      </c>
      <c r="M63" s="64">
        <v>34.54</v>
      </c>
      <c r="N63" s="64">
        <v>846.2</v>
      </c>
      <c r="O63" s="64">
        <v>0</v>
      </c>
      <c r="P63" s="64">
        <v>0.47</v>
      </c>
      <c r="Q63" s="64">
        <v>9.35</v>
      </c>
      <c r="R63" s="198"/>
      <c r="S63" s="198"/>
      <c r="T63" s="198"/>
      <c r="U63" s="198"/>
    </row>
    <row r="64" spans="1:21" s="12" customFormat="1" x14ac:dyDescent="0.25">
      <c r="A64" s="214" t="s">
        <v>1936</v>
      </c>
      <c r="B64" s="64">
        <v>8.1999999999999993</v>
      </c>
      <c r="C64" s="64">
        <v>3.36</v>
      </c>
      <c r="D64" s="64">
        <v>12.11</v>
      </c>
      <c r="E64" s="64">
        <v>4.5599999999999996</v>
      </c>
      <c r="F64" s="64">
        <v>8.65</v>
      </c>
      <c r="G64" s="64">
        <v>49.2</v>
      </c>
      <c r="H64" s="64">
        <v>32.11</v>
      </c>
      <c r="I64" s="64">
        <v>2.48</v>
      </c>
      <c r="J64" s="64">
        <v>0.66</v>
      </c>
      <c r="K64" s="64">
        <v>346.4</v>
      </c>
      <c r="L64" s="64">
        <v>37.049999999999997</v>
      </c>
      <c r="M64" s="64">
        <v>33.17</v>
      </c>
      <c r="N64" s="64">
        <v>795.8</v>
      </c>
      <c r="O64" s="64">
        <v>0</v>
      </c>
      <c r="P64" s="64">
        <v>0.39</v>
      </c>
      <c r="Q64" s="64">
        <v>9.42</v>
      </c>
      <c r="R64" s="198"/>
      <c r="S64" s="198"/>
      <c r="T64" s="198"/>
      <c r="U64" s="198"/>
    </row>
    <row r="65" spans="1:21" s="12" customFormat="1" x14ac:dyDescent="0.25">
      <c r="A65" s="214" t="s">
        <v>1937</v>
      </c>
      <c r="B65" s="64">
        <v>8.18</v>
      </c>
      <c r="C65" s="64">
        <v>3.32</v>
      </c>
      <c r="D65" s="64">
        <v>12.06</v>
      </c>
      <c r="E65" s="64">
        <v>4.66</v>
      </c>
      <c r="F65" s="64">
        <v>9.33</v>
      </c>
      <c r="G65" s="64">
        <v>51.36</v>
      </c>
      <c r="H65" s="64">
        <v>33.39</v>
      </c>
      <c r="I65" s="64">
        <v>2.2400000000000002</v>
      </c>
      <c r="J65" s="64">
        <v>0.63</v>
      </c>
      <c r="K65" s="64">
        <v>345.77</v>
      </c>
      <c r="L65" s="64">
        <v>36.909999999999997</v>
      </c>
      <c r="M65" s="64">
        <v>32.75</v>
      </c>
      <c r="N65" s="64">
        <v>532.9</v>
      </c>
      <c r="O65" s="64">
        <v>0</v>
      </c>
      <c r="P65" s="64">
        <v>0.4</v>
      </c>
      <c r="Q65" s="64">
        <v>9.41</v>
      </c>
      <c r="R65" s="198"/>
      <c r="S65" s="198"/>
      <c r="T65" s="198"/>
      <c r="U65" s="198"/>
    </row>
    <row r="66" spans="1:21" s="12" customFormat="1" x14ac:dyDescent="0.25">
      <c r="A66" s="214" t="s">
        <v>1938</v>
      </c>
      <c r="B66" s="64">
        <v>8.36</v>
      </c>
      <c r="C66" s="64">
        <v>4.03</v>
      </c>
      <c r="D66" s="64">
        <v>12.59</v>
      </c>
      <c r="E66" s="64">
        <v>4.5</v>
      </c>
      <c r="F66" s="64">
        <v>8.75</v>
      </c>
      <c r="G66" s="64">
        <v>52.52</v>
      </c>
      <c r="H66" s="64">
        <v>32.770000000000003</v>
      </c>
      <c r="I66" s="64">
        <v>2.23</v>
      </c>
      <c r="J66" s="64">
        <v>0.25</v>
      </c>
      <c r="K66" s="64">
        <v>263.10000000000002</v>
      </c>
      <c r="L66" s="64">
        <v>35.909999999999997</v>
      </c>
      <c r="M66" s="64">
        <v>34.21</v>
      </c>
      <c r="N66" s="64">
        <v>561.5</v>
      </c>
      <c r="O66" s="64">
        <v>0</v>
      </c>
      <c r="P66" s="64">
        <v>0.4</v>
      </c>
      <c r="Q66" s="64">
        <v>9.4</v>
      </c>
      <c r="R66" s="198"/>
      <c r="S66" s="198"/>
      <c r="T66" s="198"/>
      <c r="U66" s="198"/>
    </row>
    <row r="67" spans="1:21" s="12" customFormat="1" x14ac:dyDescent="0.25">
      <c r="A67" s="214" t="s">
        <v>1939</v>
      </c>
      <c r="B67" s="64">
        <v>8.17</v>
      </c>
      <c r="C67" s="64">
        <v>3.28</v>
      </c>
      <c r="D67" s="64">
        <v>12.04</v>
      </c>
      <c r="E67" s="64">
        <v>4.5599999999999996</v>
      </c>
      <c r="F67" s="64">
        <v>8.6300000000000008</v>
      </c>
      <c r="G67" s="64">
        <v>53.64</v>
      </c>
      <c r="H67" s="64">
        <v>32.18</v>
      </c>
      <c r="I67" s="64">
        <v>2.19</v>
      </c>
      <c r="J67" s="64">
        <v>0.64</v>
      </c>
      <c r="K67" s="64">
        <v>19.510000000000002</v>
      </c>
      <c r="L67" s="64">
        <v>36.44</v>
      </c>
      <c r="M67" s="64">
        <v>32.93</v>
      </c>
      <c r="N67" s="64">
        <v>417.1</v>
      </c>
      <c r="O67" s="64">
        <v>0</v>
      </c>
      <c r="P67" s="64">
        <v>0.39</v>
      </c>
      <c r="Q67" s="64">
        <v>9.39</v>
      </c>
      <c r="R67" s="198"/>
      <c r="S67" s="198"/>
      <c r="T67" s="198"/>
      <c r="U67" s="198"/>
    </row>
    <row r="68" spans="1:21" s="12" customFormat="1" x14ac:dyDescent="0.25">
      <c r="A68" s="214" t="s">
        <v>1940</v>
      </c>
      <c r="B68" s="64">
        <v>8.1199999999999992</v>
      </c>
      <c r="C68" s="64">
        <v>3.12</v>
      </c>
      <c r="D68" s="64">
        <v>11.92</v>
      </c>
      <c r="E68" s="64">
        <v>4.3499999999999996</v>
      </c>
      <c r="F68" s="64">
        <v>8.7799999999999994</v>
      </c>
      <c r="G68" s="64">
        <v>53.64</v>
      </c>
      <c r="H68" s="64">
        <v>32.18</v>
      </c>
      <c r="I68" s="64">
        <v>2.17</v>
      </c>
      <c r="J68" s="64">
        <v>0.48</v>
      </c>
      <c r="K68" s="64">
        <v>6.91</v>
      </c>
      <c r="L68" s="64">
        <v>36.65</v>
      </c>
      <c r="M68" s="64">
        <v>33.22</v>
      </c>
      <c r="N68" s="64">
        <v>254.2</v>
      </c>
      <c r="O68" s="64">
        <v>0</v>
      </c>
      <c r="P68" s="64">
        <v>0.38</v>
      </c>
      <c r="Q68" s="64">
        <v>9.39</v>
      </c>
      <c r="R68" s="198"/>
      <c r="S68" s="198"/>
      <c r="T68" s="198"/>
      <c r="U68" s="198"/>
    </row>
    <row r="69" spans="1:21" s="12" customFormat="1" x14ac:dyDescent="0.25">
      <c r="A69" s="214" t="s">
        <v>1941</v>
      </c>
      <c r="B69" s="64">
        <v>8.11</v>
      </c>
      <c r="C69" s="64">
        <v>3.12</v>
      </c>
      <c r="D69" s="64">
        <v>11.91</v>
      </c>
      <c r="E69" s="64">
        <v>4.59</v>
      </c>
      <c r="F69" s="64">
        <v>8.49</v>
      </c>
      <c r="G69" s="64">
        <v>53.64</v>
      </c>
      <c r="H69" s="64">
        <v>32.18</v>
      </c>
      <c r="I69" s="64">
        <v>2.14</v>
      </c>
      <c r="J69" s="64">
        <v>0.53</v>
      </c>
      <c r="K69" s="64">
        <v>345.6</v>
      </c>
      <c r="L69" s="64">
        <v>36.82</v>
      </c>
      <c r="M69" s="64">
        <v>31.83</v>
      </c>
      <c r="N69" s="64">
        <v>324.60000000000002</v>
      </c>
      <c r="O69" s="64">
        <v>0</v>
      </c>
      <c r="P69" s="64">
        <v>0.38</v>
      </c>
      <c r="Q69" s="64">
        <v>9.39</v>
      </c>
      <c r="R69" s="198"/>
      <c r="S69" s="198"/>
      <c r="T69" s="198"/>
      <c r="U69" s="198"/>
    </row>
    <row r="70" spans="1:21" s="12" customFormat="1" x14ac:dyDescent="0.25">
      <c r="A70" s="214" t="s">
        <v>1942</v>
      </c>
      <c r="B70" s="64">
        <v>8.14</v>
      </c>
      <c r="C70" s="64">
        <v>3.19</v>
      </c>
      <c r="D70" s="64">
        <v>11.97</v>
      </c>
      <c r="E70" s="64">
        <v>4.71</v>
      </c>
      <c r="F70" s="64">
        <v>8.67</v>
      </c>
      <c r="G70" s="64">
        <v>52.36</v>
      </c>
      <c r="H70" s="64">
        <v>31.17</v>
      </c>
      <c r="I70" s="64">
        <v>2.11</v>
      </c>
      <c r="J70" s="64">
        <v>0.62</v>
      </c>
      <c r="K70" s="64">
        <v>358.1</v>
      </c>
      <c r="L70" s="64">
        <v>36.26</v>
      </c>
      <c r="M70" s="64">
        <v>32.43</v>
      </c>
      <c r="N70" s="64">
        <v>308.89999999999998</v>
      </c>
      <c r="O70" s="64">
        <v>0</v>
      </c>
      <c r="P70" s="64">
        <v>0.37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4" t="s">
        <v>1943</v>
      </c>
      <c r="B71" s="64">
        <v>8.18</v>
      </c>
      <c r="C71" s="64">
        <v>3.26</v>
      </c>
      <c r="D71" s="64">
        <v>12.04</v>
      </c>
      <c r="E71" s="64">
        <v>4.47</v>
      </c>
      <c r="F71" s="64">
        <v>8.58</v>
      </c>
      <c r="G71" s="64">
        <v>51.14</v>
      </c>
      <c r="H71" s="64">
        <v>30.21</v>
      </c>
      <c r="I71" s="64">
        <v>2.04</v>
      </c>
      <c r="J71" s="64">
        <v>0.56000000000000005</v>
      </c>
      <c r="K71" s="64">
        <v>17.21</v>
      </c>
      <c r="L71" s="64">
        <v>36.270000000000003</v>
      </c>
      <c r="M71" s="64">
        <v>32.479999999999997</v>
      </c>
      <c r="N71" s="64">
        <v>188.3</v>
      </c>
      <c r="O71" s="64">
        <v>0</v>
      </c>
      <c r="P71" s="64">
        <v>0.34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4" t="s">
        <v>1944</v>
      </c>
      <c r="B72" s="64">
        <v>8.19</v>
      </c>
      <c r="C72" s="64">
        <v>3.27</v>
      </c>
      <c r="D72" s="64">
        <v>12.05</v>
      </c>
      <c r="E72" s="64">
        <v>2.89</v>
      </c>
      <c r="F72" s="64">
        <v>8.51</v>
      </c>
      <c r="G72" s="64">
        <v>51.14</v>
      </c>
      <c r="H72" s="64">
        <v>30.21</v>
      </c>
      <c r="I72" s="64">
        <v>1.98</v>
      </c>
      <c r="J72" s="64">
        <v>0.49</v>
      </c>
      <c r="K72" s="64">
        <v>309.14</v>
      </c>
      <c r="L72" s="64">
        <v>36.18</v>
      </c>
      <c r="M72" s="64">
        <v>31.93</v>
      </c>
      <c r="N72" s="64">
        <v>159.69999999999999</v>
      </c>
      <c r="O72" s="64">
        <v>0</v>
      </c>
      <c r="P72" s="64">
        <v>0.33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4" t="s">
        <v>1945</v>
      </c>
      <c r="B73" s="64">
        <v>8.16</v>
      </c>
      <c r="C73" s="64">
        <v>3.16</v>
      </c>
      <c r="D73" s="64">
        <v>11.96</v>
      </c>
      <c r="E73" s="64">
        <v>3.64</v>
      </c>
      <c r="F73" s="64">
        <v>7.68</v>
      </c>
      <c r="G73" s="64">
        <v>51.14</v>
      </c>
      <c r="H73" s="64">
        <v>30.21</v>
      </c>
      <c r="I73" s="64">
        <v>1.94</v>
      </c>
      <c r="J73" s="64">
        <v>1.02</v>
      </c>
      <c r="K73" s="64">
        <v>315.77999999999997</v>
      </c>
      <c r="L73" s="64">
        <v>36.380000000000003</v>
      </c>
      <c r="M73" s="64">
        <v>32.25</v>
      </c>
      <c r="N73" s="64">
        <v>132.19999999999999</v>
      </c>
      <c r="O73" s="64">
        <v>0</v>
      </c>
      <c r="P73" s="64">
        <v>0.32</v>
      </c>
      <c r="Q73" s="64">
        <v>9.31</v>
      </c>
      <c r="R73" s="198"/>
      <c r="S73" s="198"/>
      <c r="T73" s="198"/>
      <c r="U73" s="198"/>
    </row>
    <row r="74" spans="1:21" s="12" customFormat="1" x14ac:dyDescent="0.25">
      <c r="A74" s="214" t="s">
        <v>1946</v>
      </c>
      <c r="B74" s="64">
        <v>8.17</v>
      </c>
      <c r="C74" s="64">
        <v>3.23</v>
      </c>
      <c r="D74" s="64">
        <v>12.02</v>
      </c>
      <c r="E74" s="64">
        <v>3.15</v>
      </c>
      <c r="F74" s="64">
        <v>7.16</v>
      </c>
      <c r="G74" s="64">
        <v>51.43</v>
      </c>
      <c r="H74" s="64">
        <v>26.99</v>
      </c>
      <c r="I74" s="64">
        <v>1.95</v>
      </c>
      <c r="J74" s="64">
        <v>1.0900000000000001</v>
      </c>
      <c r="K74" s="64">
        <v>323.2</v>
      </c>
      <c r="L74" s="64">
        <v>35.979999999999997</v>
      </c>
      <c r="M74" s="64">
        <v>32.07</v>
      </c>
      <c r="N74" s="64">
        <v>105.3</v>
      </c>
      <c r="O74" s="64">
        <v>0</v>
      </c>
      <c r="P74" s="64">
        <v>0.32</v>
      </c>
      <c r="Q74" s="64">
        <v>9.31</v>
      </c>
      <c r="R74" s="198"/>
      <c r="S74" s="198"/>
      <c r="T74" s="198"/>
      <c r="U74" s="198"/>
    </row>
    <row r="75" spans="1:21" s="12" customFormat="1" x14ac:dyDescent="0.25">
      <c r="A75" s="214" t="s">
        <v>1947</v>
      </c>
      <c r="B75" s="64">
        <v>8.25</v>
      </c>
      <c r="C75" s="64">
        <v>3.41</v>
      </c>
      <c r="D75" s="64">
        <v>12.17</v>
      </c>
      <c r="E75" s="64">
        <v>3.31</v>
      </c>
      <c r="F75" s="64">
        <v>6.03</v>
      </c>
      <c r="G75" s="64">
        <v>51.7</v>
      </c>
      <c r="H75" s="64">
        <v>23.91</v>
      </c>
      <c r="I75" s="64">
        <v>1.95</v>
      </c>
      <c r="J75" s="64">
        <v>2.39</v>
      </c>
      <c r="K75" s="64">
        <v>342.9</v>
      </c>
      <c r="L75" s="64">
        <v>34.07</v>
      </c>
      <c r="M75" s="64">
        <v>41.21</v>
      </c>
      <c r="N75" s="64">
        <v>77.7</v>
      </c>
      <c r="O75" s="64">
        <v>0</v>
      </c>
      <c r="P75" s="64">
        <v>0.33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4" t="s">
        <v>1948</v>
      </c>
      <c r="B76" s="64">
        <v>8.25</v>
      </c>
      <c r="C76" s="64">
        <v>3.52</v>
      </c>
      <c r="D76" s="64">
        <v>12.23</v>
      </c>
      <c r="E76" s="64">
        <v>3.1</v>
      </c>
      <c r="F76" s="64">
        <v>5.44</v>
      </c>
      <c r="G76" s="64">
        <v>51.7</v>
      </c>
      <c r="H76" s="64">
        <v>23.91</v>
      </c>
      <c r="I76" s="64">
        <v>1.93</v>
      </c>
      <c r="J76" s="64">
        <v>2.59</v>
      </c>
      <c r="K76" s="64">
        <v>345.62</v>
      </c>
      <c r="L76" s="64">
        <v>32.32</v>
      </c>
      <c r="M76" s="64">
        <v>46.25</v>
      </c>
      <c r="N76" s="64">
        <v>55.1</v>
      </c>
      <c r="O76" s="64">
        <v>0</v>
      </c>
      <c r="P76" s="64">
        <v>0.34</v>
      </c>
      <c r="Q76" s="64">
        <v>9.2899999999999991</v>
      </c>
      <c r="R76" s="198"/>
      <c r="S76" s="198"/>
      <c r="T76" s="198"/>
      <c r="U76" s="198"/>
    </row>
    <row r="77" spans="1:21" s="12" customFormat="1" x14ac:dyDescent="0.25">
      <c r="A77" s="214" t="s">
        <v>1949</v>
      </c>
      <c r="B77" s="64">
        <v>8.3800000000000008</v>
      </c>
      <c r="C77" s="64">
        <v>4.0599999999999996</v>
      </c>
      <c r="D77" s="64">
        <v>12.62</v>
      </c>
      <c r="E77" s="64">
        <v>3.05</v>
      </c>
      <c r="F77" s="64">
        <v>4.95</v>
      </c>
      <c r="G77" s="64">
        <v>51.7</v>
      </c>
      <c r="H77" s="64">
        <v>23.91</v>
      </c>
      <c r="I77" s="64">
        <v>2.1</v>
      </c>
      <c r="J77" s="64">
        <v>2.5299999999999998</v>
      </c>
      <c r="K77" s="64">
        <v>344.31</v>
      </c>
      <c r="L77" s="64">
        <v>31.69</v>
      </c>
      <c r="M77" s="64">
        <v>48.95</v>
      </c>
      <c r="N77" s="64">
        <v>43.6</v>
      </c>
      <c r="O77" s="64">
        <v>0</v>
      </c>
      <c r="P77" s="64">
        <v>0.36</v>
      </c>
      <c r="Q77" s="64">
        <v>9.31</v>
      </c>
      <c r="R77" s="198"/>
      <c r="S77" s="198"/>
      <c r="T77" s="198"/>
      <c r="U77" s="198"/>
    </row>
    <row r="78" spans="1:21" s="12" customFormat="1" x14ac:dyDescent="0.25">
      <c r="A78" s="214" t="s">
        <v>1950</v>
      </c>
      <c r="B78" s="64">
        <v>8.19</v>
      </c>
      <c r="C78" s="64">
        <v>3.25</v>
      </c>
      <c r="D78" s="64">
        <v>12.04</v>
      </c>
      <c r="E78" s="64">
        <v>3.58</v>
      </c>
      <c r="F78" s="64">
        <v>5.64</v>
      </c>
      <c r="G78" s="64">
        <v>64.16</v>
      </c>
      <c r="H78" s="64">
        <v>26.29</v>
      </c>
      <c r="I78" s="64">
        <v>2.42</v>
      </c>
      <c r="J78" s="64">
        <v>3.96</v>
      </c>
      <c r="K78" s="64">
        <v>339.55</v>
      </c>
      <c r="L78" s="64">
        <v>30.83</v>
      </c>
      <c r="M78" s="64">
        <v>51.08</v>
      </c>
      <c r="N78" s="64">
        <v>45.7</v>
      </c>
      <c r="O78" s="64">
        <v>0</v>
      </c>
      <c r="P78" s="64">
        <v>0.36</v>
      </c>
      <c r="Q78" s="64">
        <v>9.3699999999999992</v>
      </c>
      <c r="R78" s="198"/>
      <c r="S78" s="198"/>
      <c r="T78" s="198"/>
      <c r="U78" s="198"/>
    </row>
    <row r="79" spans="1:21" s="12" customFormat="1" x14ac:dyDescent="0.25">
      <c r="A79" s="214" t="s">
        <v>1951</v>
      </c>
      <c r="B79" s="64">
        <v>8.14</v>
      </c>
      <c r="C79" s="64">
        <v>3.13</v>
      </c>
      <c r="D79" s="64">
        <v>11.94</v>
      </c>
      <c r="E79" s="64">
        <v>3.08</v>
      </c>
      <c r="F79" s="64">
        <v>6.39</v>
      </c>
      <c r="G79" s="64">
        <v>76.08</v>
      </c>
      <c r="H79" s="64">
        <v>28.58</v>
      </c>
      <c r="I79" s="64">
        <v>2.58</v>
      </c>
      <c r="J79" s="64">
        <v>3.32</v>
      </c>
      <c r="K79" s="64">
        <v>322.98</v>
      </c>
      <c r="L79" s="64">
        <v>29.32</v>
      </c>
      <c r="M79" s="64">
        <v>55.85</v>
      </c>
      <c r="N79" s="64">
        <v>32.700000000000003</v>
      </c>
      <c r="O79" s="64">
        <v>0</v>
      </c>
      <c r="P79" s="64">
        <v>0.37</v>
      </c>
      <c r="Q79" s="64">
        <v>9.48</v>
      </c>
      <c r="R79" s="198"/>
      <c r="S79" s="198"/>
      <c r="T79" s="198"/>
      <c r="U79" s="198"/>
    </row>
    <row r="80" spans="1:21" s="12" customFormat="1" x14ac:dyDescent="0.25">
      <c r="A80" s="214" t="s">
        <v>1952</v>
      </c>
      <c r="B80" s="64">
        <v>8.1300000000000008</v>
      </c>
      <c r="C80" s="64">
        <v>3.12</v>
      </c>
      <c r="D80" s="64">
        <v>11.93</v>
      </c>
      <c r="E80" s="64">
        <v>3.47</v>
      </c>
      <c r="F80" s="64">
        <v>8.32</v>
      </c>
      <c r="G80" s="64">
        <v>76.08</v>
      </c>
      <c r="H80" s="64">
        <v>28.58</v>
      </c>
      <c r="I80" s="64">
        <v>2.52</v>
      </c>
      <c r="J80" s="64">
        <v>3.99</v>
      </c>
      <c r="K80" s="64">
        <v>322.47000000000003</v>
      </c>
      <c r="L80" s="64">
        <v>28.43</v>
      </c>
      <c r="M80" s="64">
        <v>57.17</v>
      </c>
      <c r="N80" s="64">
        <v>27.2</v>
      </c>
      <c r="O80" s="64">
        <v>0</v>
      </c>
      <c r="P80" s="64">
        <v>0.35</v>
      </c>
      <c r="Q80" s="64">
        <v>9.49</v>
      </c>
      <c r="R80" s="198"/>
      <c r="S80" s="198"/>
      <c r="T80" s="198"/>
      <c r="U80" s="198"/>
    </row>
    <row r="81" spans="1:26" s="12" customFormat="1" x14ac:dyDescent="0.25">
      <c r="A81" s="214" t="s">
        <v>1953</v>
      </c>
      <c r="B81" s="64">
        <v>8.1300000000000008</v>
      </c>
      <c r="C81" s="64">
        <v>3.09</v>
      </c>
      <c r="D81" s="64">
        <v>11.9</v>
      </c>
      <c r="E81" s="64">
        <v>3.45</v>
      </c>
      <c r="F81" s="64">
        <v>9.42</v>
      </c>
      <c r="G81" s="64">
        <v>76.08</v>
      </c>
      <c r="H81" s="64">
        <v>28.58</v>
      </c>
      <c r="I81" s="64">
        <v>2.4500000000000002</v>
      </c>
      <c r="J81" s="64">
        <v>4.38</v>
      </c>
      <c r="K81" s="64">
        <v>329.42</v>
      </c>
      <c r="L81" s="64">
        <v>26.96</v>
      </c>
      <c r="M81" s="64">
        <v>65.88</v>
      </c>
      <c r="N81" s="64">
        <v>27.5</v>
      </c>
      <c r="O81" s="64">
        <v>0</v>
      </c>
      <c r="P81" s="64">
        <v>0.33</v>
      </c>
      <c r="Q81" s="64">
        <v>9.4700000000000006</v>
      </c>
      <c r="R81" s="198"/>
      <c r="S81" s="198"/>
      <c r="T81" s="198"/>
      <c r="U81" s="198"/>
    </row>
    <row r="82" spans="1:26" s="12" customFormat="1" x14ac:dyDescent="0.25">
      <c r="A82" s="214" t="s">
        <v>1954</v>
      </c>
      <c r="B82" s="64">
        <v>8.17</v>
      </c>
      <c r="C82" s="64">
        <v>3.2</v>
      </c>
      <c r="D82" s="64">
        <v>12</v>
      </c>
      <c r="E82" s="64">
        <v>3.7</v>
      </c>
      <c r="F82" s="64">
        <v>9.66</v>
      </c>
      <c r="G82" s="64">
        <v>80.36</v>
      </c>
      <c r="H82" s="64">
        <v>26.6</v>
      </c>
      <c r="I82" s="64">
        <v>2.19</v>
      </c>
      <c r="J82" s="64">
        <v>3.82</v>
      </c>
      <c r="K82" s="64">
        <v>333.71</v>
      </c>
      <c r="L82" s="64">
        <v>26.18</v>
      </c>
      <c r="M82" s="64">
        <v>67.5</v>
      </c>
      <c r="N82" s="64">
        <v>23.3</v>
      </c>
      <c r="O82" s="64">
        <v>0</v>
      </c>
      <c r="P82" s="64">
        <v>0.31</v>
      </c>
      <c r="Q82" s="64">
        <v>9.4499999999999993</v>
      </c>
      <c r="R82" s="198"/>
      <c r="S82" s="198"/>
      <c r="T82" s="198"/>
      <c r="U82" s="198"/>
    </row>
    <row r="83" spans="1:26" s="12" customFormat="1" x14ac:dyDescent="0.25">
      <c r="A83" s="214" t="s">
        <v>1955</v>
      </c>
      <c r="B83" s="64">
        <v>8.18</v>
      </c>
      <c r="C83" s="64">
        <v>3.18</v>
      </c>
      <c r="D83" s="64">
        <v>11.99</v>
      </c>
      <c r="E83" s="64">
        <v>3.62</v>
      </c>
      <c r="F83" s="64">
        <v>7.93</v>
      </c>
      <c r="G83" s="64">
        <v>84.46</v>
      </c>
      <c r="H83" s="64">
        <v>24.71</v>
      </c>
      <c r="I83" s="64">
        <v>1.98</v>
      </c>
      <c r="J83" s="64">
        <v>2.4</v>
      </c>
      <c r="K83" s="64">
        <v>338.52</v>
      </c>
      <c r="L83" s="64">
        <v>24.98</v>
      </c>
      <c r="M83" s="64">
        <v>82.38</v>
      </c>
      <c r="N83" s="64">
        <v>26.1</v>
      </c>
      <c r="O83" s="64">
        <v>0.8</v>
      </c>
      <c r="P83" s="64">
        <v>0.31</v>
      </c>
      <c r="Q83" s="64">
        <v>9.48</v>
      </c>
      <c r="R83" s="198"/>
      <c r="S83" s="198"/>
      <c r="T83" s="198"/>
      <c r="U83" s="198"/>
    </row>
    <row r="84" spans="1:26" s="12" customFormat="1" x14ac:dyDescent="0.25">
      <c r="A84" s="214" t="s">
        <v>1956</v>
      </c>
      <c r="B84" s="64">
        <v>8.16</v>
      </c>
      <c r="C84" s="64">
        <v>3.18</v>
      </c>
      <c r="D84" s="64">
        <v>11.98</v>
      </c>
      <c r="E84" s="64">
        <v>3.47</v>
      </c>
      <c r="F84" s="64">
        <v>6.85</v>
      </c>
      <c r="G84" s="64">
        <v>84.46</v>
      </c>
      <c r="H84" s="64">
        <v>24.71</v>
      </c>
      <c r="I84" s="64">
        <v>1.89</v>
      </c>
      <c r="J84" s="64">
        <v>2.2200000000000002</v>
      </c>
      <c r="K84" s="64">
        <v>332.37</v>
      </c>
      <c r="L84" s="64">
        <v>23.4</v>
      </c>
      <c r="M84" s="64">
        <v>93.24</v>
      </c>
      <c r="N84" s="64">
        <v>22.8</v>
      </c>
      <c r="O84" s="64">
        <v>0.4</v>
      </c>
      <c r="P84" s="64">
        <v>0.3</v>
      </c>
      <c r="Q84" s="64">
        <v>9.4499999999999993</v>
      </c>
      <c r="R84" s="198"/>
      <c r="S84" s="198"/>
      <c r="T84" s="198"/>
      <c r="U84" s="198"/>
    </row>
    <row r="85" spans="1:26" s="12" customFormat="1" x14ac:dyDescent="0.25">
      <c r="A85" s="214" t="s">
        <v>1957</v>
      </c>
      <c r="B85" s="64">
        <v>8.2100000000000009</v>
      </c>
      <c r="C85" s="64">
        <v>3.32</v>
      </c>
      <c r="D85" s="64">
        <v>12.09</v>
      </c>
      <c r="E85" s="64">
        <v>3.42</v>
      </c>
      <c r="F85" s="64">
        <v>5.18</v>
      </c>
      <c r="G85" s="64">
        <v>84.46</v>
      </c>
      <c r="H85" s="64">
        <v>24.71</v>
      </c>
      <c r="I85" s="64">
        <v>1.8</v>
      </c>
      <c r="J85" s="64">
        <v>2.0499999999999998</v>
      </c>
      <c r="K85" s="64">
        <v>323.08</v>
      </c>
      <c r="L85" s="64">
        <v>22.53</v>
      </c>
      <c r="M85" s="64">
        <v>97.4</v>
      </c>
      <c r="N85" s="64">
        <v>23.1</v>
      </c>
      <c r="O85" s="64">
        <v>6</v>
      </c>
      <c r="P85" s="64">
        <v>0.34</v>
      </c>
      <c r="Q85" s="64">
        <v>9.4700000000000006</v>
      </c>
      <c r="R85" s="198"/>
      <c r="S85" s="198"/>
      <c r="T85" s="198"/>
      <c r="U85" s="198"/>
    </row>
    <row r="86" spans="1:26" s="12" customFormat="1" x14ac:dyDescent="0.25">
      <c r="A86" s="214" t="s">
        <v>1958</v>
      </c>
      <c r="B86" s="64">
        <v>8.26</v>
      </c>
      <c r="C86" s="64">
        <v>3.52</v>
      </c>
      <c r="D86" s="64">
        <v>12.24</v>
      </c>
      <c r="E86" s="64">
        <v>3.66</v>
      </c>
      <c r="F86" s="64">
        <v>10.81</v>
      </c>
      <c r="G86" s="64">
        <v>80.19</v>
      </c>
      <c r="H86" s="64">
        <v>22.8</v>
      </c>
      <c r="I86" s="64">
        <v>1.82</v>
      </c>
      <c r="J86" s="64">
        <v>1.24</v>
      </c>
      <c r="K86" s="64">
        <v>337.25</v>
      </c>
      <c r="L86" s="64">
        <v>21.32</v>
      </c>
      <c r="M86" s="64">
        <v>98.32</v>
      </c>
      <c r="N86" s="64">
        <v>23</v>
      </c>
      <c r="O86" s="64">
        <v>9.4</v>
      </c>
      <c r="P86" s="64">
        <v>0.36</v>
      </c>
      <c r="Q86" s="64">
        <v>9.4700000000000006</v>
      </c>
      <c r="R86" s="198"/>
      <c r="S86" s="198"/>
      <c r="T86" s="198"/>
      <c r="U86" s="198"/>
    </row>
    <row r="87" spans="1:26" s="12" customFormat="1" x14ac:dyDescent="0.25">
      <c r="A87" s="214" t="s">
        <v>1959</v>
      </c>
      <c r="B87" s="64">
        <v>8.24</v>
      </c>
      <c r="C87" s="64">
        <v>3.37</v>
      </c>
      <c r="D87" s="64">
        <v>12.14</v>
      </c>
      <c r="E87" s="64">
        <v>3.46</v>
      </c>
      <c r="F87" s="64">
        <v>3.02</v>
      </c>
      <c r="G87" s="64">
        <v>76.12</v>
      </c>
      <c r="H87" s="64">
        <v>20.99</v>
      </c>
      <c r="I87" s="64">
        <v>1.78</v>
      </c>
      <c r="J87" s="64">
        <v>0.81</v>
      </c>
      <c r="K87" s="64">
        <v>107.3</v>
      </c>
      <c r="L87" s="64">
        <v>21.02</v>
      </c>
      <c r="M87" s="64">
        <v>98.35</v>
      </c>
      <c r="N87" s="64">
        <v>22.6</v>
      </c>
      <c r="O87" s="64">
        <v>1.4</v>
      </c>
      <c r="P87" s="64">
        <v>0.36</v>
      </c>
      <c r="Q87" s="64">
        <v>9.48</v>
      </c>
      <c r="R87" s="198"/>
      <c r="S87" s="198"/>
      <c r="T87" s="198"/>
      <c r="U87" s="198"/>
    </row>
    <row r="88" spans="1:26" s="12" customFormat="1" x14ac:dyDescent="0.25">
      <c r="A88" s="214" t="s">
        <v>1960</v>
      </c>
      <c r="B88" s="64">
        <v>8.2200000000000006</v>
      </c>
      <c r="C88" s="64">
        <v>3.29</v>
      </c>
      <c r="D88" s="64">
        <v>12.08</v>
      </c>
      <c r="E88" s="64">
        <v>4.09</v>
      </c>
      <c r="F88" s="64">
        <v>5.39</v>
      </c>
      <c r="G88" s="64">
        <v>76.12</v>
      </c>
      <c r="H88" s="64">
        <v>20.99</v>
      </c>
      <c r="I88" s="64">
        <v>1.75</v>
      </c>
      <c r="J88" s="64">
        <v>0.22</v>
      </c>
      <c r="K88" s="64">
        <v>196.17</v>
      </c>
      <c r="L88" s="64">
        <v>21.27</v>
      </c>
      <c r="M88" s="64">
        <v>98.35</v>
      </c>
      <c r="N88" s="64">
        <v>22.1</v>
      </c>
      <c r="O88" s="64">
        <v>0.4</v>
      </c>
      <c r="P88" s="64">
        <v>0.36</v>
      </c>
      <c r="Q88" s="64">
        <v>9.4700000000000006</v>
      </c>
      <c r="R88" s="198"/>
      <c r="S88" s="198"/>
      <c r="T88" s="198"/>
      <c r="U88" s="198"/>
    </row>
    <row r="89" spans="1:26" s="12" customFormat="1" x14ac:dyDescent="0.25">
      <c r="A89" s="214" t="s">
        <v>1961</v>
      </c>
      <c r="B89" s="64">
        <v>8.17</v>
      </c>
      <c r="C89" s="64">
        <v>3.17</v>
      </c>
      <c r="D89" s="64">
        <v>11.98</v>
      </c>
      <c r="E89" s="64">
        <v>3.96</v>
      </c>
      <c r="F89" s="64">
        <v>4</v>
      </c>
      <c r="G89" s="64">
        <v>76.12</v>
      </c>
      <c r="H89" s="64">
        <v>20.99</v>
      </c>
      <c r="I89" s="64">
        <v>1.91</v>
      </c>
      <c r="J89" s="64">
        <v>0.4</v>
      </c>
      <c r="K89" s="64">
        <v>227.49</v>
      </c>
      <c r="L89" s="64">
        <v>21.65</v>
      </c>
      <c r="M89" s="64">
        <v>98.35</v>
      </c>
      <c r="N89" s="64">
        <v>21.9</v>
      </c>
      <c r="O89" s="64">
        <v>0</v>
      </c>
      <c r="P89" s="64">
        <v>0.36</v>
      </c>
      <c r="Q89" s="64">
        <v>9.41</v>
      </c>
      <c r="R89" s="198"/>
      <c r="S89" s="198"/>
      <c r="T89" s="198"/>
      <c r="U89" s="198"/>
    </row>
    <row r="90" spans="1:26" s="12" customFormat="1" x14ac:dyDescent="0.25">
      <c r="A90" s="214" t="s">
        <v>1962</v>
      </c>
      <c r="B90" s="64">
        <v>8.24</v>
      </c>
      <c r="C90" s="64">
        <v>3.26</v>
      </c>
      <c r="D90" s="64">
        <v>12.08</v>
      </c>
      <c r="E90" s="64">
        <v>4.05</v>
      </c>
      <c r="F90" s="64">
        <v>4.84</v>
      </c>
      <c r="G90" s="64">
        <v>63.65</v>
      </c>
      <c r="H90" s="64">
        <v>17.78</v>
      </c>
      <c r="I90" s="64">
        <v>2.0699999999999998</v>
      </c>
      <c r="J90" s="64">
        <v>0.28000000000000003</v>
      </c>
      <c r="K90" s="64">
        <v>325.91000000000003</v>
      </c>
      <c r="L90" s="64">
        <v>21.97</v>
      </c>
      <c r="M90" s="64">
        <v>98.35</v>
      </c>
      <c r="N90" s="64">
        <v>21.9</v>
      </c>
      <c r="O90" s="64">
        <v>0</v>
      </c>
      <c r="P90" s="64">
        <v>0.35</v>
      </c>
      <c r="Q90" s="64">
        <v>9.36</v>
      </c>
      <c r="R90" s="198"/>
      <c r="S90" s="198"/>
      <c r="T90" s="198"/>
      <c r="U90" s="198"/>
    </row>
    <row r="91" spans="1:26" s="12" customFormat="1" x14ac:dyDescent="0.25">
      <c r="A91" s="214" t="s">
        <v>1963</v>
      </c>
      <c r="B91" s="64">
        <v>8.24</v>
      </c>
      <c r="C91" s="64">
        <v>3.25</v>
      </c>
      <c r="D91" s="64">
        <v>12.08</v>
      </c>
      <c r="E91" s="64">
        <v>4.1399999999999997</v>
      </c>
      <c r="F91" s="64">
        <v>3.86</v>
      </c>
      <c r="G91" s="64">
        <v>51.71</v>
      </c>
      <c r="H91" s="64">
        <v>14.72</v>
      </c>
      <c r="I91" s="64">
        <v>2.19</v>
      </c>
      <c r="J91" s="64">
        <v>0.63</v>
      </c>
      <c r="K91" s="64">
        <v>338.84</v>
      </c>
      <c r="L91" s="64">
        <v>22.3</v>
      </c>
      <c r="M91" s="64">
        <v>98.36</v>
      </c>
      <c r="N91" s="64">
        <v>22.4</v>
      </c>
      <c r="O91" s="64">
        <v>0.4</v>
      </c>
      <c r="P91" s="64">
        <v>0.36</v>
      </c>
      <c r="Q91" s="64">
        <v>9.3800000000000008</v>
      </c>
      <c r="R91" s="198"/>
      <c r="S91" s="198"/>
      <c r="T91" s="198"/>
      <c r="U91" s="198"/>
    </row>
    <row r="92" spans="1:26" s="12" customFormat="1" x14ac:dyDescent="0.25">
      <c r="A92" s="214" t="s">
        <v>1964</v>
      </c>
      <c r="B92" s="64">
        <v>8.4</v>
      </c>
      <c r="C92" s="64">
        <v>3.71</v>
      </c>
      <c r="D92" s="64">
        <v>12.45</v>
      </c>
      <c r="E92" s="64">
        <v>4.22</v>
      </c>
      <c r="F92" s="64">
        <v>3.69</v>
      </c>
      <c r="G92" s="64">
        <v>51.71</v>
      </c>
      <c r="H92" s="64">
        <v>14.72</v>
      </c>
      <c r="I92" s="64">
        <v>2.41</v>
      </c>
      <c r="J92" s="64">
        <v>0.71</v>
      </c>
      <c r="K92" s="64">
        <v>318.63</v>
      </c>
      <c r="L92" s="64">
        <v>22.28</v>
      </c>
      <c r="M92" s="64">
        <v>98.38</v>
      </c>
      <c r="N92" s="64">
        <v>22.6</v>
      </c>
      <c r="O92" s="64">
        <v>0.4</v>
      </c>
      <c r="P92" s="64">
        <v>0.38</v>
      </c>
      <c r="Q92" s="64">
        <v>9.41</v>
      </c>
      <c r="R92" s="198"/>
      <c r="S92" s="198"/>
      <c r="T92" s="198"/>
      <c r="U92" s="198"/>
    </row>
    <row r="93" spans="1:26" s="12" customFormat="1" x14ac:dyDescent="0.25">
      <c r="A93" s="214" t="s">
        <v>1965</v>
      </c>
      <c r="B93" s="64">
        <v>8.35</v>
      </c>
      <c r="C93" s="64">
        <v>3.57</v>
      </c>
      <c r="D93" s="64">
        <v>12.33</v>
      </c>
      <c r="E93" s="64">
        <v>4.13</v>
      </c>
      <c r="F93" s="64">
        <v>3.67</v>
      </c>
      <c r="G93" s="64">
        <v>51.71</v>
      </c>
      <c r="H93" s="64">
        <v>14.72</v>
      </c>
      <c r="I93" s="64">
        <v>2.57</v>
      </c>
      <c r="J93" s="64">
        <v>0.55000000000000004</v>
      </c>
      <c r="K93" s="64">
        <v>301.83</v>
      </c>
      <c r="L93" s="64">
        <v>22.21</v>
      </c>
      <c r="M93" s="64">
        <v>98.38</v>
      </c>
      <c r="N93" s="64">
        <v>22.3</v>
      </c>
      <c r="O93" s="64">
        <v>0.2</v>
      </c>
      <c r="P93" s="64">
        <v>0.38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4" t="s">
        <v>1966</v>
      </c>
      <c r="B94" s="64">
        <v>8.23</v>
      </c>
      <c r="C94" s="64">
        <v>3.23</v>
      </c>
      <c r="D94" s="64">
        <v>12.06</v>
      </c>
      <c r="E94" s="64">
        <v>4.2699999999999996</v>
      </c>
      <c r="F94" s="64">
        <v>3.74</v>
      </c>
      <c r="G94" s="64">
        <v>44.82</v>
      </c>
      <c r="H94" s="64">
        <v>14.43</v>
      </c>
      <c r="I94" s="64">
        <v>2.63</v>
      </c>
      <c r="J94" s="64">
        <v>1.04</v>
      </c>
      <c r="K94" s="64">
        <v>310.83999999999997</v>
      </c>
      <c r="L94" s="64">
        <v>22.28</v>
      </c>
      <c r="M94" s="64">
        <v>98.38</v>
      </c>
      <c r="N94" s="64">
        <v>22.9</v>
      </c>
      <c r="O94" s="64">
        <v>0</v>
      </c>
      <c r="P94" s="64">
        <v>0.39</v>
      </c>
      <c r="Q94" s="64">
        <v>9.41</v>
      </c>
      <c r="R94" s="198"/>
      <c r="S94" s="198"/>
      <c r="T94" s="198"/>
      <c r="U94" s="198"/>
    </row>
    <row r="95" spans="1:26" s="12" customFormat="1" x14ac:dyDescent="0.25">
      <c r="A95" s="214" t="s">
        <v>1967</v>
      </c>
      <c r="B95" s="64">
        <v>8.23</v>
      </c>
      <c r="C95" s="64">
        <v>3.18</v>
      </c>
      <c r="D95" s="64">
        <v>12.03</v>
      </c>
      <c r="E95" s="64">
        <v>4</v>
      </c>
      <c r="F95" s="64">
        <v>3.66</v>
      </c>
      <c r="G95" s="64">
        <v>38.229999999999997</v>
      </c>
      <c r="H95" s="64">
        <v>14.16</v>
      </c>
      <c r="I95" s="64">
        <v>2.78</v>
      </c>
      <c r="J95" s="64">
        <v>1.1499999999999999</v>
      </c>
      <c r="K95" s="64">
        <v>327.94</v>
      </c>
      <c r="L95" s="64">
        <v>22.17</v>
      </c>
      <c r="M95" s="64">
        <v>98.38</v>
      </c>
      <c r="N95" s="64">
        <v>22.8</v>
      </c>
      <c r="O95" s="64">
        <v>0</v>
      </c>
      <c r="P95" s="64">
        <v>0.4</v>
      </c>
      <c r="Q95" s="64">
        <v>9.4600000000000009</v>
      </c>
      <c r="R95" s="198"/>
      <c r="S95" s="198"/>
      <c r="T95" s="198"/>
      <c r="U95" s="198"/>
    </row>
    <row r="96" spans="1:26" s="12" customFormat="1" x14ac:dyDescent="0.25">
      <c r="A96" s="214" t="s">
        <v>1968</v>
      </c>
      <c r="B96" s="64">
        <v>8.1999999999999993</v>
      </c>
      <c r="C96" s="64">
        <v>3.12</v>
      </c>
      <c r="D96" s="64">
        <v>11.99</v>
      </c>
      <c r="E96" s="64">
        <v>4.08</v>
      </c>
      <c r="F96" s="64">
        <v>3.64</v>
      </c>
      <c r="G96" s="64">
        <v>38.229999999999997</v>
      </c>
      <c r="H96" s="64">
        <v>14.16</v>
      </c>
      <c r="I96" s="64">
        <v>2.83</v>
      </c>
      <c r="J96" s="64">
        <v>0.6</v>
      </c>
      <c r="K96" s="64">
        <v>2.86</v>
      </c>
      <c r="L96" s="64">
        <v>22.15</v>
      </c>
      <c r="M96" s="64">
        <v>98.38</v>
      </c>
      <c r="N96" s="64">
        <v>23</v>
      </c>
      <c r="O96" s="64">
        <v>0</v>
      </c>
      <c r="P96" s="64">
        <v>0.41</v>
      </c>
      <c r="Q96" s="64">
        <v>9.49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1969</v>
      </c>
      <c r="B97" s="64">
        <v>8.17</v>
      </c>
      <c r="C97" s="64">
        <v>3.15</v>
      </c>
      <c r="D97" s="64">
        <v>11.97</v>
      </c>
      <c r="E97" s="64">
        <v>4.09</v>
      </c>
      <c r="F97" s="64">
        <v>4.07</v>
      </c>
      <c r="G97" s="64">
        <v>38.229999999999997</v>
      </c>
      <c r="H97" s="64">
        <v>14.16</v>
      </c>
      <c r="I97" s="64">
        <v>2.99</v>
      </c>
      <c r="J97" s="64">
        <v>0.47</v>
      </c>
      <c r="K97" s="64">
        <v>99.76</v>
      </c>
      <c r="L97" s="64">
        <v>22.03</v>
      </c>
      <c r="M97" s="64">
        <v>98.39</v>
      </c>
      <c r="N97" s="64">
        <v>23.5</v>
      </c>
      <c r="O97" s="64">
        <v>0</v>
      </c>
      <c r="P97" s="64">
        <v>0.42</v>
      </c>
      <c r="Q97" s="64">
        <v>9.5500000000000007</v>
      </c>
      <c r="R97" s="198"/>
      <c r="S97" s="198"/>
      <c r="T97" s="198"/>
      <c r="U97" s="198"/>
    </row>
    <row r="98" spans="1:33" s="12" customFormat="1" x14ac:dyDescent="0.25">
      <c r="A98" s="214" t="s">
        <v>1970</v>
      </c>
      <c r="B98" s="64">
        <v>8.17</v>
      </c>
      <c r="C98" s="64">
        <v>3.19</v>
      </c>
      <c r="D98" s="64">
        <v>12</v>
      </c>
      <c r="E98" s="64">
        <v>4.0999999999999996</v>
      </c>
      <c r="F98" s="64">
        <v>3.86</v>
      </c>
      <c r="G98" s="64">
        <v>34.43</v>
      </c>
      <c r="H98" s="64">
        <v>14.06</v>
      </c>
      <c r="I98" s="64">
        <v>3.05</v>
      </c>
      <c r="J98" s="64">
        <v>0.39</v>
      </c>
      <c r="K98" s="64">
        <v>260.12</v>
      </c>
      <c r="L98" s="64">
        <v>22.38</v>
      </c>
      <c r="M98" s="64">
        <v>98.39</v>
      </c>
      <c r="N98" s="64">
        <v>22.8</v>
      </c>
      <c r="O98" s="64">
        <v>0</v>
      </c>
      <c r="P98" s="64">
        <v>0.41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4" t="s">
        <v>1971</v>
      </c>
      <c r="B99" s="64">
        <v>8.19</v>
      </c>
      <c r="C99" s="64">
        <v>3.17</v>
      </c>
      <c r="D99" s="64">
        <v>12</v>
      </c>
      <c r="E99" s="64">
        <v>4.04</v>
      </c>
      <c r="F99" s="64">
        <v>3.65</v>
      </c>
      <c r="G99" s="64">
        <v>30.95</v>
      </c>
      <c r="H99" s="64">
        <v>13.97</v>
      </c>
      <c r="I99" s="64">
        <v>3.05</v>
      </c>
      <c r="J99" s="64">
        <v>0.32</v>
      </c>
      <c r="K99" s="64">
        <v>297.7</v>
      </c>
      <c r="L99" s="64">
        <v>22.74</v>
      </c>
      <c r="M99" s="64">
        <v>98.42</v>
      </c>
      <c r="N99" s="64">
        <v>22.3</v>
      </c>
      <c r="O99" s="64">
        <v>0</v>
      </c>
      <c r="P99" s="64">
        <v>0.42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14" t="s">
        <v>1972</v>
      </c>
      <c r="B100" s="64">
        <v>8.2200000000000006</v>
      </c>
      <c r="C100" s="64">
        <v>3.25</v>
      </c>
      <c r="D100" s="64">
        <v>12.06</v>
      </c>
      <c r="E100" s="64">
        <v>4.4000000000000004</v>
      </c>
      <c r="F100" s="64">
        <v>3.53</v>
      </c>
      <c r="G100" s="64">
        <v>30.95</v>
      </c>
      <c r="H100" s="64">
        <v>13.97</v>
      </c>
      <c r="I100" s="64">
        <v>3.14</v>
      </c>
      <c r="J100" s="64">
        <v>0.26</v>
      </c>
      <c r="K100" s="64">
        <v>260.98</v>
      </c>
      <c r="L100" s="64">
        <v>22.89</v>
      </c>
      <c r="M100" s="64">
        <v>98.43</v>
      </c>
      <c r="N100" s="64">
        <v>22.8</v>
      </c>
      <c r="O100" s="64">
        <v>0</v>
      </c>
      <c r="P100" s="64">
        <v>0.43</v>
      </c>
      <c r="Q100" s="64">
        <v>9.56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1973</v>
      </c>
      <c r="B101" s="64">
        <v>8.34</v>
      </c>
      <c r="C101" s="64">
        <v>3.67</v>
      </c>
      <c r="D101" s="64">
        <v>12.38</v>
      </c>
      <c r="E101" s="64">
        <v>4.09</v>
      </c>
      <c r="F101" s="64">
        <v>3.89</v>
      </c>
      <c r="G101" s="64">
        <v>30.95</v>
      </c>
      <c r="H101" s="64">
        <v>13.97</v>
      </c>
      <c r="I101" s="64">
        <v>3.22</v>
      </c>
      <c r="J101" s="64">
        <v>0.85</v>
      </c>
      <c r="K101" s="64">
        <v>192.17</v>
      </c>
      <c r="L101" s="64">
        <v>23.06</v>
      </c>
      <c r="M101" s="64">
        <v>98.4</v>
      </c>
      <c r="N101" s="64">
        <v>23.8</v>
      </c>
      <c r="O101" s="64">
        <v>0</v>
      </c>
      <c r="P101" s="64">
        <v>0.43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4" t="s">
        <v>1974</v>
      </c>
      <c r="B102" s="64">
        <v>8.24</v>
      </c>
      <c r="C102" s="64">
        <v>3.45</v>
      </c>
      <c r="D102" s="64">
        <v>12.18</v>
      </c>
      <c r="E102" s="64">
        <v>4.05</v>
      </c>
      <c r="F102" s="64">
        <v>4.07</v>
      </c>
      <c r="G102" s="64">
        <v>28.4</v>
      </c>
      <c r="H102" s="64">
        <v>14.83</v>
      </c>
      <c r="I102" s="64">
        <v>3.28</v>
      </c>
      <c r="J102" s="64">
        <v>0.94</v>
      </c>
      <c r="K102" s="64">
        <v>171.11</v>
      </c>
      <c r="L102" s="64">
        <v>22.89</v>
      </c>
      <c r="M102" s="64">
        <v>98.36</v>
      </c>
      <c r="N102" s="64">
        <v>23.8</v>
      </c>
      <c r="O102" s="64">
        <v>0</v>
      </c>
      <c r="P102" s="64">
        <v>0.42</v>
      </c>
      <c r="Q102" s="64">
        <v>9.59</v>
      </c>
      <c r="R102" s="198"/>
      <c r="S102" s="198"/>
      <c r="T102" s="198"/>
      <c r="U102" s="198"/>
    </row>
    <row r="103" spans="1:33" s="12" customFormat="1" x14ac:dyDescent="0.25">
      <c r="A103" s="214" t="s">
        <v>1975</v>
      </c>
      <c r="B103" s="64">
        <v>8.4600000000000009</v>
      </c>
      <c r="C103" s="64">
        <v>4.16</v>
      </c>
      <c r="D103" s="64">
        <v>12.73</v>
      </c>
      <c r="E103" s="64">
        <v>4.3</v>
      </c>
      <c r="F103" s="64">
        <v>3.94</v>
      </c>
      <c r="G103" s="64">
        <v>25.96</v>
      </c>
      <c r="H103" s="64">
        <v>15.66</v>
      </c>
      <c r="I103" s="64">
        <v>3.28</v>
      </c>
      <c r="J103" s="64">
        <v>0.81</v>
      </c>
      <c r="K103" s="64">
        <v>167.38</v>
      </c>
      <c r="L103" s="64">
        <v>22.97</v>
      </c>
      <c r="M103" s="64">
        <v>98.35</v>
      </c>
      <c r="N103" s="64">
        <v>23.4</v>
      </c>
      <c r="O103" s="64">
        <v>0</v>
      </c>
      <c r="P103" s="64">
        <v>0.41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4" t="s">
        <v>1976</v>
      </c>
      <c r="B104" s="64">
        <v>8.2100000000000009</v>
      </c>
      <c r="C104" s="64">
        <v>3.4</v>
      </c>
      <c r="D104" s="64">
        <v>12.13</v>
      </c>
      <c r="E104" s="64">
        <v>3.94</v>
      </c>
      <c r="F104" s="64">
        <v>3.67</v>
      </c>
      <c r="G104" s="64">
        <v>25.96</v>
      </c>
      <c r="H104" s="64">
        <v>15.66</v>
      </c>
      <c r="I104" s="64">
        <v>3.31</v>
      </c>
      <c r="J104" s="64">
        <v>0.21</v>
      </c>
      <c r="K104" s="64">
        <v>229</v>
      </c>
      <c r="L104" s="64">
        <v>23.02</v>
      </c>
      <c r="M104" s="64">
        <v>98.35</v>
      </c>
      <c r="N104" s="64">
        <v>23.2</v>
      </c>
      <c r="O104" s="64">
        <v>0</v>
      </c>
      <c r="P104" s="64">
        <v>0.41</v>
      </c>
      <c r="Q104" s="64">
        <v>9.5399999999999991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3.04</v>
      </c>
      <c r="D106" s="67">
        <f t="shared" ref="D106:Q106" si="0">MIN(D9:D104)</f>
        <v>11.89</v>
      </c>
      <c r="E106" s="67">
        <f t="shared" si="0"/>
        <v>2.78</v>
      </c>
      <c r="F106" s="67">
        <f t="shared" si="0"/>
        <v>3.02</v>
      </c>
      <c r="G106" s="67">
        <f t="shared" si="0"/>
        <v>25.96</v>
      </c>
      <c r="H106" s="67">
        <f t="shared" si="0"/>
        <v>10.27</v>
      </c>
      <c r="I106" s="67">
        <f t="shared" si="0"/>
        <v>1.46</v>
      </c>
      <c r="J106" s="67">
        <f t="shared" si="0"/>
        <v>0.19</v>
      </c>
      <c r="K106" s="67">
        <f t="shared" si="0"/>
        <v>2.86</v>
      </c>
      <c r="L106" s="67">
        <f t="shared" si="0"/>
        <v>21.02</v>
      </c>
      <c r="M106" s="67">
        <f t="shared" si="0"/>
        <v>31.83</v>
      </c>
      <c r="N106" s="67">
        <f t="shared" si="0"/>
        <v>20.5</v>
      </c>
      <c r="O106" s="67">
        <f t="shared" si="0"/>
        <v>0</v>
      </c>
      <c r="P106" s="67">
        <f t="shared" si="0"/>
        <v>0.22</v>
      </c>
      <c r="Q106" s="67">
        <f t="shared" si="0"/>
        <v>9.2899999999999991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8.4600000000000009</v>
      </c>
      <c r="C107" s="66">
        <f t="shared" ref="C107:Q107" si="1">MAX(C9:C104)</f>
        <v>4.16</v>
      </c>
      <c r="D107" s="66">
        <f t="shared" si="1"/>
        <v>12.73</v>
      </c>
      <c r="E107" s="66">
        <f t="shared" si="1"/>
        <v>4.71</v>
      </c>
      <c r="F107" s="66">
        <f t="shared" si="1"/>
        <v>10.81</v>
      </c>
      <c r="G107" s="66">
        <f t="shared" si="1"/>
        <v>84.46</v>
      </c>
      <c r="H107" s="66">
        <f t="shared" si="1"/>
        <v>33.39</v>
      </c>
      <c r="I107" s="66">
        <f t="shared" si="1"/>
        <v>4.75</v>
      </c>
      <c r="J107" s="66">
        <f t="shared" si="1"/>
        <v>4.38</v>
      </c>
      <c r="K107" s="66">
        <f t="shared" si="1"/>
        <v>358.94</v>
      </c>
      <c r="L107" s="66">
        <f t="shared" si="1"/>
        <v>37.049999999999997</v>
      </c>
      <c r="M107" s="66">
        <f t="shared" si="1"/>
        <v>98.43</v>
      </c>
      <c r="N107" s="66">
        <f t="shared" si="1"/>
        <v>885</v>
      </c>
      <c r="O107" s="66">
        <f t="shared" si="1"/>
        <v>9.4</v>
      </c>
      <c r="P107" s="66">
        <f t="shared" si="1"/>
        <v>0.56999999999999995</v>
      </c>
      <c r="Q107" s="66">
        <f t="shared" si="1"/>
        <v>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8.2097894736842125</v>
      </c>
      <c r="C108" s="67">
        <f t="shared" ref="C108:Q108" si="2">AVERAGE(C9:C104)</f>
        <v>3.2974736842105261</v>
      </c>
      <c r="D108" s="67">
        <f t="shared" si="2"/>
        <v>12.08084210526316</v>
      </c>
      <c r="E108" s="67">
        <f t="shared" si="2"/>
        <v>3.7469473684210528</v>
      </c>
      <c r="F108" s="67">
        <f t="shared" si="2"/>
        <v>6.3053684210526315</v>
      </c>
      <c r="G108" s="67">
        <f t="shared" si="2"/>
        <v>48.556842105263136</v>
      </c>
      <c r="H108" s="67">
        <f t="shared" si="2"/>
        <v>19.369684210526326</v>
      </c>
      <c r="I108" s="67">
        <f t="shared" si="2"/>
        <v>2.4038947368421049</v>
      </c>
      <c r="J108" s="67">
        <f t="shared" si="2"/>
        <v>0.8974736842105262</v>
      </c>
      <c r="K108" s="67">
        <f t="shared" si="2"/>
        <v>187.7355789473684</v>
      </c>
      <c r="L108" s="67">
        <f t="shared" si="2"/>
        <v>28.976000000000013</v>
      </c>
      <c r="M108" s="67">
        <f t="shared" si="2"/>
        <v>61.826947368421074</v>
      </c>
      <c r="N108" s="67">
        <f t="shared" si="2"/>
        <v>244.37894736842102</v>
      </c>
      <c r="O108" s="67">
        <f t="shared" si="2"/>
        <v>0.20421052631578943</v>
      </c>
      <c r="P108" s="67">
        <f t="shared" si="2"/>
        <v>0.36042105263157875</v>
      </c>
      <c r="Q108" s="67">
        <f t="shared" si="2"/>
        <v>9.410842105263157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6.7524289520527039E-2</v>
      </c>
      <c r="C109" s="67">
        <f t="shared" ref="C109:Q109" si="3">STDEV(C9:C104)</f>
        <v>0.22090706826797163</v>
      </c>
      <c r="D109" s="67">
        <f t="shared" si="3"/>
        <v>0.16600860755621905</v>
      </c>
      <c r="E109" s="67">
        <f t="shared" si="3"/>
        <v>0.50344150431234491</v>
      </c>
      <c r="F109" s="67">
        <f t="shared" si="3"/>
        <v>1.8975980396988104</v>
      </c>
      <c r="G109" s="67">
        <f t="shared" si="3"/>
        <v>15.067103115881103</v>
      </c>
      <c r="H109" s="67">
        <f t="shared" si="3"/>
        <v>6.8421224237014089</v>
      </c>
      <c r="I109" s="67">
        <f t="shared" si="3"/>
        <v>0.69605620758739439</v>
      </c>
      <c r="J109" s="67">
        <f t="shared" si="3"/>
        <v>0.85915590493283744</v>
      </c>
      <c r="K109" s="67">
        <f t="shared" si="3"/>
        <v>153.30889079654719</v>
      </c>
      <c r="L109" s="67">
        <f t="shared" si="3"/>
        <v>5.0469138242034468</v>
      </c>
      <c r="M109" s="67">
        <f t="shared" si="3"/>
        <v>22.747962128679436</v>
      </c>
      <c r="N109" s="67">
        <f t="shared" si="3"/>
        <v>312.40260129639199</v>
      </c>
      <c r="O109" s="67">
        <f t="shared" si="3"/>
        <v>1.1470513343864803</v>
      </c>
      <c r="P109" s="67">
        <f t="shared" si="3"/>
        <v>8.883304672457043E-2</v>
      </c>
      <c r="Q109" s="67">
        <f t="shared" si="3"/>
        <v>7.044936551810603E-2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96</v>
      </c>
      <c r="C110" s="66">
        <f t="shared" ref="C110:Q110" si="4">COUNT(C9:C104)+1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1977</v>
      </c>
      <c r="B9" s="64">
        <v>8.1999999999999993</v>
      </c>
      <c r="C9" s="64">
        <v>3.31</v>
      </c>
      <c r="D9" s="64">
        <v>12.08</v>
      </c>
      <c r="E9" s="64">
        <v>3.99</v>
      </c>
      <c r="F9" s="64">
        <v>4.0999999999999996</v>
      </c>
      <c r="G9" s="64">
        <v>25.96</v>
      </c>
      <c r="H9" s="64">
        <v>15.66</v>
      </c>
      <c r="I9" s="64">
        <v>3.41</v>
      </c>
      <c r="J9" s="64">
        <v>0.15</v>
      </c>
      <c r="K9" s="64">
        <v>93.97</v>
      </c>
      <c r="L9" s="64">
        <v>23.16</v>
      </c>
      <c r="M9" s="64">
        <v>98.33</v>
      </c>
      <c r="N9" s="64">
        <v>23.7</v>
      </c>
      <c r="O9" s="64">
        <v>0</v>
      </c>
      <c r="P9" s="64">
        <v>0.44</v>
      </c>
      <c r="Q9" s="64">
        <v>9.57</v>
      </c>
      <c r="R9" s="198"/>
      <c r="S9" s="198"/>
      <c r="T9" s="198"/>
      <c r="U9" s="198"/>
    </row>
    <row r="10" spans="1:21" s="12" customFormat="1" x14ac:dyDescent="0.25">
      <c r="A10" s="214" t="s">
        <v>1978</v>
      </c>
      <c r="B10" s="64">
        <v>8.19</v>
      </c>
      <c r="C10" s="64">
        <v>3.25</v>
      </c>
      <c r="D10" s="64">
        <v>12.04</v>
      </c>
      <c r="E10" s="64">
        <v>3.88</v>
      </c>
      <c r="F10" s="64">
        <v>3.89</v>
      </c>
      <c r="G10" s="64">
        <v>26.54</v>
      </c>
      <c r="H10" s="64">
        <v>15.23</v>
      </c>
      <c r="I10" s="64">
        <v>3.49</v>
      </c>
      <c r="J10" s="64">
        <v>0.24</v>
      </c>
      <c r="K10" s="64">
        <v>28.98</v>
      </c>
      <c r="L10" s="64">
        <v>23.21</v>
      </c>
      <c r="M10" s="64">
        <v>98.3</v>
      </c>
      <c r="N10" s="64">
        <v>23.9</v>
      </c>
      <c r="O10" s="64">
        <v>0</v>
      </c>
      <c r="P10" s="64">
        <v>0.44</v>
      </c>
      <c r="Q10" s="64">
        <v>9.5299999999999994</v>
      </c>
      <c r="R10" s="198"/>
      <c r="S10" s="198"/>
      <c r="T10" s="198"/>
      <c r="U10" s="198"/>
    </row>
    <row r="11" spans="1:21" s="12" customFormat="1" x14ac:dyDescent="0.25">
      <c r="A11" s="214" t="s">
        <v>1979</v>
      </c>
      <c r="B11" s="64">
        <v>8.18</v>
      </c>
      <c r="C11" s="64">
        <v>3.19</v>
      </c>
      <c r="D11" s="64">
        <v>12</v>
      </c>
      <c r="E11" s="64">
        <v>4.0599999999999996</v>
      </c>
      <c r="F11" s="64">
        <v>4.04</v>
      </c>
      <c r="G11" s="64">
        <v>27.09</v>
      </c>
      <c r="H11" s="64">
        <v>14.84</v>
      </c>
      <c r="I11" s="64">
        <v>3.66</v>
      </c>
      <c r="J11" s="64">
        <v>0.55000000000000004</v>
      </c>
      <c r="K11" s="64">
        <v>14.91</v>
      </c>
      <c r="L11" s="64">
        <v>23.38</v>
      </c>
      <c r="M11" s="64">
        <v>98.26</v>
      </c>
      <c r="N11" s="64">
        <v>23.6</v>
      </c>
      <c r="O11" s="64">
        <v>0</v>
      </c>
      <c r="P11" s="64">
        <v>0.44</v>
      </c>
      <c r="Q11" s="64">
        <v>9.5500000000000007</v>
      </c>
      <c r="R11" s="198"/>
      <c r="S11" s="198"/>
      <c r="T11" s="198"/>
      <c r="U11" s="198"/>
    </row>
    <row r="12" spans="1:21" s="12" customFormat="1" x14ac:dyDescent="0.25">
      <c r="A12" s="214" t="s">
        <v>1980</v>
      </c>
      <c r="B12" s="64">
        <v>8.18</v>
      </c>
      <c r="C12" s="64">
        <v>3.25</v>
      </c>
      <c r="D12" s="64">
        <v>12.04</v>
      </c>
      <c r="E12" s="64">
        <v>3.93</v>
      </c>
      <c r="F12" s="64">
        <v>3.69</v>
      </c>
      <c r="G12" s="64">
        <v>27.09</v>
      </c>
      <c r="H12" s="64">
        <v>14.84</v>
      </c>
      <c r="I12" s="64">
        <v>3.7</v>
      </c>
      <c r="J12" s="64">
        <v>0.57999999999999996</v>
      </c>
      <c r="K12" s="64">
        <v>11.71</v>
      </c>
      <c r="L12" s="64">
        <v>23.61</v>
      </c>
      <c r="M12" s="64">
        <v>97.99</v>
      </c>
      <c r="N12" s="64">
        <v>23.4</v>
      </c>
      <c r="O12" s="64">
        <v>0</v>
      </c>
      <c r="P12" s="64">
        <v>0.41</v>
      </c>
      <c r="Q12" s="64">
        <v>9.43</v>
      </c>
      <c r="R12" s="198"/>
      <c r="S12" s="198"/>
      <c r="T12" s="198"/>
      <c r="U12" s="198"/>
    </row>
    <row r="13" spans="1:21" s="12" customFormat="1" x14ac:dyDescent="0.25">
      <c r="A13" s="214" t="s">
        <v>1981</v>
      </c>
      <c r="B13" s="64">
        <v>8.16</v>
      </c>
      <c r="C13" s="64">
        <v>3.13</v>
      </c>
      <c r="D13" s="64">
        <v>11.96</v>
      </c>
      <c r="E13" s="64">
        <v>3.84</v>
      </c>
      <c r="F13" s="64">
        <v>4.2699999999999996</v>
      </c>
      <c r="G13" s="64">
        <v>27.09</v>
      </c>
      <c r="H13" s="64">
        <v>14.84</v>
      </c>
      <c r="I13" s="64">
        <v>3.55</v>
      </c>
      <c r="J13" s="64">
        <v>0.46</v>
      </c>
      <c r="K13" s="64">
        <v>354.69</v>
      </c>
      <c r="L13" s="64">
        <v>23.7</v>
      </c>
      <c r="M13" s="64">
        <v>97.14</v>
      </c>
      <c r="N13" s="64">
        <v>23.2</v>
      </c>
      <c r="O13" s="64">
        <v>0</v>
      </c>
      <c r="P13" s="64">
        <v>0.37</v>
      </c>
      <c r="Q13" s="64">
        <v>9.4</v>
      </c>
      <c r="R13" s="198"/>
      <c r="S13" s="198"/>
      <c r="T13" s="198"/>
      <c r="U13" s="198"/>
    </row>
    <row r="14" spans="1:21" s="12" customFormat="1" x14ac:dyDescent="0.25">
      <c r="A14" s="214" t="s">
        <v>1982</v>
      </c>
      <c r="B14" s="64">
        <v>8.19</v>
      </c>
      <c r="C14" s="64">
        <v>3.16</v>
      </c>
      <c r="D14" s="64">
        <v>11.99</v>
      </c>
      <c r="E14" s="64">
        <v>3.69</v>
      </c>
      <c r="F14" s="64">
        <v>4.05</v>
      </c>
      <c r="G14" s="64">
        <v>25.02</v>
      </c>
      <c r="H14" s="64">
        <v>12.71</v>
      </c>
      <c r="I14" s="64">
        <v>3.38</v>
      </c>
      <c r="J14" s="64">
        <v>0.49</v>
      </c>
      <c r="K14" s="64">
        <v>16.920000000000002</v>
      </c>
      <c r="L14" s="64">
        <v>23.89</v>
      </c>
      <c r="M14" s="64">
        <v>95.16</v>
      </c>
      <c r="N14" s="64">
        <v>22.2</v>
      </c>
      <c r="O14" s="64">
        <v>0</v>
      </c>
      <c r="P14" s="64">
        <v>0.38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14" t="s">
        <v>1983</v>
      </c>
      <c r="B15" s="64">
        <v>8.19</v>
      </c>
      <c r="C15" s="64">
        <v>3.18</v>
      </c>
      <c r="D15" s="64">
        <v>12</v>
      </c>
      <c r="E15" s="64">
        <v>3.78</v>
      </c>
      <c r="F15" s="64">
        <v>3.89</v>
      </c>
      <c r="G15" s="64">
        <v>23.03</v>
      </c>
      <c r="H15" s="64">
        <v>10.68</v>
      </c>
      <c r="I15" s="64">
        <v>3.26</v>
      </c>
      <c r="J15" s="64">
        <v>0.51</v>
      </c>
      <c r="K15" s="64">
        <v>1.95</v>
      </c>
      <c r="L15" s="64">
        <v>23.9</v>
      </c>
      <c r="M15" s="64">
        <v>94.8</v>
      </c>
      <c r="N15" s="64">
        <v>21.8</v>
      </c>
      <c r="O15" s="64">
        <v>0</v>
      </c>
      <c r="P15" s="64">
        <v>0.37</v>
      </c>
      <c r="Q15" s="64">
        <v>9.43</v>
      </c>
      <c r="R15" s="198"/>
      <c r="S15" s="198"/>
      <c r="T15" s="198"/>
      <c r="U15" s="198"/>
    </row>
    <row r="16" spans="1:21" s="12" customFormat="1" x14ac:dyDescent="0.25">
      <c r="A16" s="214" t="s">
        <v>1984</v>
      </c>
      <c r="B16" s="64">
        <v>8.3000000000000007</v>
      </c>
      <c r="C16" s="64">
        <v>3.5</v>
      </c>
      <c r="D16" s="64">
        <v>12.26</v>
      </c>
      <c r="E16" s="64">
        <v>3.82</v>
      </c>
      <c r="F16" s="64">
        <v>4.12</v>
      </c>
      <c r="G16" s="64">
        <v>23.03</v>
      </c>
      <c r="H16" s="64">
        <v>10.68</v>
      </c>
      <c r="I16" s="64">
        <v>3.2</v>
      </c>
      <c r="J16" s="64">
        <v>0.35</v>
      </c>
      <c r="K16" s="64">
        <v>20.59</v>
      </c>
      <c r="L16" s="64">
        <v>24.01</v>
      </c>
      <c r="M16" s="64">
        <v>93.83</v>
      </c>
      <c r="N16" s="64">
        <v>22.3</v>
      </c>
      <c r="O16" s="64">
        <v>0</v>
      </c>
      <c r="P16" s="64">
        <v>0.36</v>
      </c>
      <c r="Q16" s="64">
        <v>9.42</v>
      </c>
      <c r="R16" s="198"/>
      <c r="S16" s="198"/>
      <c r="T16" s="198"/>
      <c r="U16" s="198"/>
    </row>
    <row r="17" spans="1:21" s="12" customFormat="1" x14ac:dyDescent="0.25">
      <c r="A17" s="214" t="s">
        <v>1985</v>
      </c>
      <c r="B17" s="64">
        <v>8.32</v>
      </c>
      <c r="C17" s="64">
        <v>3.59</v>
      </c>
      <c r="D17" s="64">
        <v>12.32</v>
      </c>
      <c r="E17" s="64">
        <v>3.77</v>
      </c>
      <c r="F17" s="64">
        <v>4.0999999999999996</v>
      </c>
      <c r="G17" s="64">
        <v>23.03</v>
      </c>
      <c r="H17" s="64">
        <v>10.68</v>
      </c>
      <c r="I17" s="64">
        <v>3.16</v>
      </c>
      <c r="J17" s="64">
        <v>0.43</v>
      </c>
      <c r="K17" s="64">
        <v>18.75</v>
      </c>
      <c r="L17" s="64">
        <v>24.26</v>
      </c>
      <c r="M17" s="64">
        <v>91.68</v>
      </c>
      <c r="N17" s="64">
        <v>22.5</v>
      </c>
      <c r="O17" s="64">
        <v>0</v>
      </c>
      <c r="P17" s="64">
        <v>0.35</v>
      </c>
      <c r="Q17" s="64">
        <v>9.4</v>
      </c>
      <c r="R17" s="198"/>
      <c r="S17" s="198"/>
      <c r="T17" s="198"/>
      <c r="U17" s="198"/>
    </row>
    <row r="18" spans="1:21" s="12" customFormat="1" x14ac:dyDescent="0.25">
      <c r="A18" s="214" t="s">
        <v>1986</v>
      </c>
      <c r="B18" s="64">
        <v>8.1999999999999993</v>
      </c>
      <c r="C18" s="64">
        <v>3.17</v>
      </c>
      <c r="D18" s="64">
        <v>12.01</v>
      </c>
      <c r="E18" s="64">
        <v>3.61</v>
      </c>
      <c r="F18" s="64">
        <v>3.85</v>
      </c>
      <c r="G18" s="64">
        <v>21.78</v>
      </c>
      <c r="H18" s="64">
        <v>10.33</v>
      </c>
      <c r="I18" s="64">
        <v>3.12</v>
      </c>
      <c r="J18" s="64">
        <v>0.62</v>
      </c>
      <c r="K18" s="64">
        <v>345.23</v>
      </c>
      <c r="L18" s="64">
        <v>24.31</v>
      </c>
      <c r="M18" s="64">
        <v>91.06</v>
      </c>
      <c r="N18" s="64">
        <v>22.7</v>
      </c>
      <c r="O18" s="64">
        <v>0</v>
      </c>
      <c r="P18" s="64">
        <v>0.33</v>
      </c>
      <c r="Q18" s="64">
        <v>9.41</v>
      </c>
      <c r="R18" s="198"/>
      <c r="S18" s="198"/>
      <c r="T18" s="198"/>
      <c r="U18" s="198"/>
    </row>
    <row r="19" spans="1:21" s="12" customFormat="1" x14ac:dyDescent="0.25">
      <c r="A19" s="214" t="s">
        <v>1987</v>
      </c>
      <c r="B19" s="64">
        <v>8.16</v>
      </c>
      <c r="C19" s="64">
        <v>3.08</v>
      </c>
      <c r="D19" s="64">
        <v>11.93</v>
      </c>
      <c r="E19" s="64">
        <v>4.09</v>
      </c>
      <c r="F19" s="64">
        <v>4.28</v>
      </c>
      <c r="G19" s="64">
        <v>20.59</v>
      </c>
      <c r="H19" s="64">
        <v>10</v>
      </c>
      <c r="I19" s="64">
        <v>3.08</v>
      </c>
      <c r="J19" s="64">
        <v>0.51</v>
      </c>
      <c r="K19" s="64">
        <v>10.46</v>
      </c>
      <c r="L19" s="64">
        <v>24.39</v>
      </c>
      <c r="M19" s="64">
        <v>90.32</v>
      </c>
      <c r="N19" s="64">
        <v>22.6</v>
      </c>
      <c r="O19" s="64">
        <v>0</v>
      </c>
      <c r="P19" s="64">
        <v>0.33</v>
      </c>
      <c r="Q19" s="64">
        <v>9.4700000000000006</v>
      </c>
      <c r="R19" s="198"/>
      <c r="S19" s="198"/>
      <c r="T19" s="198"/>
      <c r="U19" s="198"/>
    </row>
    <row r="20" spans="1:21" s="12" customFormat="1" x14ac:dyDescent="0.25">
      <c r="A20" s="214" t="s">
        <v>1988</v>
      </c>
      <c r="B20" s="64">
        <v>8.18</v>
      </c>
      <c r="C20" s="64">
        <v>3.18</v>
      </c>
      <c r="D20" s="64">
        <v>11.99</v>
      </c>
      <c r="E20" s="64">
        <v>3.97</v>
      </c>
      <c r="F20" s="64">
        <v>3.73</v>
      </c>
      <c r="G20" s="64">
        <v>20.59</v>
      </c>
      <c r="H20" s="64">
        <v>10</v>
      </c>
      <c r="I20" s="64">
        <v>3.06</v>
      </c>
      <c r="J20" s="64">
        <v>0.32</v>
      </c>
      <c r="K20" s="64">
        <v>23.36</v>
      </c>
      <c r="L20" s="64">
        <v>24.37</v>
      </c>
      <c r="M20" s="64">
        <v>90.4</v>
      </c>
      <c r="N20" s="64">
        <v>22.7</v>
      </c>
      <c r="O20" s="64">
        <v>0</v>
      </c>
      <c r="P20" s="64">
        <v>0.33</v>
      </c>
      <c r="Q20" s="64">
        <v>9.4700000000000006</v>
      </c>
      <c r="R20" s="198"/>
      <c r="S20" s="198"/>
      <c r="T20" s="198"/>
      <c r="U20" s="198"/>
    </row>
    <row r="21" spans="1:21" s="12" customFormat="1" x14ac:dyDescent="0.25">
      <c r="A21" s="214" t="s">
        <v>1989</v>
      </c>
      <c r="B21" s="64">
        <v>8.16</v>
      </c>
      <c r="C21" s="64">
        <v>3.18</v>
      </c>
      <c r="D21" s="64">
        <v>11.98</v>
      </c>
      <c r="E21" s="64">
        <v>3.76</v>
      </c>
      <c r="F21" s="64">
        <v>4.33</v>
      </c>
      <c r="G21" s="64">
        <v>20.59</v>
      </c>
      <c r="H21" s="64">
        <v>10</v>
      </c>
      <c r="I21" s="64">
        <v>3.05</v>
      </c>
      <c r="J21" s="64">
        <v>0.47</v>
      </c>
      <c r="K21" s="64">
        <v>339.7</v>
      </c>
      <c r="L21" s="64">
        <v>24.29</v>
      </c>
      <c r="M21" s="64">
        <v>91.25</v>
      </c>
      <c r="N21" s="64">
        <v>22.7</v>
      </c>
      <c r="O21" s="64">
        <v>0</v>
      </c>
      <c r="P21" s="64">
        <v>0.32</v>
      </c>
      <c r="Q21" s="64">
        <v>9.4700000000000006</v>
      </c>
      <c r="R21" s="198"/>
      <c r="S21" s="198"/>
      <c r="T21" s="198"/>
      <c r="U21" s="198"/>
    </row>
    <row r="22" spans="1:21" s="12" customFormat="1" x14ac:dyDescent="0.25">
      <c r="A22" s="214" t="s">
        <v>1990</v>
      </c>
      <c r="B22" s="64">
        <v>8.26</v>
      </c>
      <c r="C22" s="64">
        <v>3.51</v>
      </c>
      <c r="D22" s="64">
        <v>12.23</v>
      </c>
      <c r="E22" s="64">
        <v>3.76</v>
      </c>
      <c r="F22" s="64">
        <v>3.79</v>
      </c>
      <c r="G22" s="64">
        <v>23.08</v>
      </c>
      <c r="H22" s="64">
        <v>11.63</v>
      </c>
      <c r="I22" s="64">
        <v>3.04</v>
      </c>
      <c r="J22" s="64">
        <v>0.67</v>
      </c>
      <c r="K22" s="64">
        <v>302.56</v>
      </c>
      <c r="L22" s="64">
        <v>24.22</v>
      </c>
      <c r="M22" s="64">
        <v>92.03</v>
      </c>
      <c r="N22" s="64">
        <v>22.5</v>
      </c>
      <c r="O22" s="64">
        <v>0</v>
      </c>
      <c r="P22" s="64">
        <v>0.32</v>
      </c>
      <c r="Q22" s="64">
        <v>9.4499999999999993</v>
      </c>
      <c r="R22" s="198"/>
      <c r="S22" s="198"/>
      <c r="T22" s="198"/>
      <c r="U22" s="198"/>
    </row>
    <row r="23" spans="1:21" s="12" customFormat="1" x14ac:dyDescent="0.25">
      <c r="A23" s="214" t="s">
        <v>1991</v>
      </c>
      <c r="B23" s="64">
        <v>8.27</v>
      </c>
      <c r="C23" s="64">
        <v>3.51</v>
      </c>
      <c r="D23" s="64">
        <v>12.24</v>
      </c>
      <c r="E23" s="64">
        <v>3.62</v>
      </c>
      <c r="F23" s="64">
        <v>3.8</v>
      </c>
      <c r="G23" s="64">
        <v>25.47</v>
      </c>
      <c r="H23" s="64">
        <v>13.19</v>
      </c>
      <c r="I23" s="64">
        <v>3.06</v>
      </c>
      <c r="J23" s="64">
        <v>0.46</v>
      </c>
      <c r="K23" s="64">
        <v>318.47000000000003</v>
      </c>
      <c r="L23" s="64">
        <v>24.13</v>
      </c>
      <c r="M23" s="64">
        <v>92.48</v>
      </c>
      <c r="N23" s="64">
        <v>22.5</v>
      </c>
      <c r="O23" s="64">
        <v>0</v>
      </c>
      <c r="P23" s="64">
        <v>0.32</v>
      </c>
      <c r="Q23" s="64">
        <v>9.4700000000000006</v>
      </c>
      <c r="R23" s="198"/>
      <c r="S23" s="198"/>
      <c r="T23" s="198"/>
      <c r="U23" s="198"/>
    </row>
    <row r="24" spans="1:21" s="12" customFormat="1" x14ac:dyDescent="0.25">
      <c r="A24" s="214" t="s">
        <v>1992</v>
      </c>
      <c r="B24" s="64">
        <v>8.1999999999999993</v>
      </c>
      <c r="C24" s="64">
        <v>3.24</v>
      </c>
      <c r="D24" s="64">
        <v>12.04</v>
      </c>
      <c r="E24" s="64">
        <v>4.8600000000000003</v>
      </c>
      <c r="F24" s="64">
        <v>3.54</v>
      </c>
      <c r="G24" s="64">
        <v>25.47</v>
      </c>
      <c r="H24" s="64">
        <v>13.19</v>
      </c>
      <c r="I24" s="64">
        <v>3.12</v>
      </c>
      <c r="J24" s="64">
        <v>0.3</v>
      </c>
      <c r="K24" s="64">
        <v>309.73</v>
      </c>
      <c r="L24" s="64">
        <v>24.36</v>
      </c>
      <c r="M24" s="64">
        <v>90.22</v>
      </c>
      <c r="N24" s="64">
        <v>22.4</v>
      </c>
      <c r="O24" s="64">
        <v>0</v>
      </c>
      <c r="P24" s="64">
        <v>0.35</v>
      </c>
      <c r="Q24" s="64">
        <v>9.44</v>
      </c>
      <c r="R24" s="198"/>
      <c r="S24" s="198"/>
      <c r="T24" s="198"/>
      <c r="U24" s="198"/>
    </row>
    <row r="25" spans="1:21" s="12" customFormat="1" x14ac:dyDescent="0.25">
      <c r="A25" s="214" t="s">
        <v>1993</v>
      </c>
      <c r="B25" s="64">
        <v>8.14</v>
      </c>
      <c r="C25" s="64">
        <v>3.13</v>
      </c>
      <c r="D25" s="64">
        <v>11.94</v>
      </c>
      <c r="E25" s="64">
        <v>4.68</v>
      </c>
      <c r="F25" s="64">
        <v>4.03</v>
      </c>
      <c r="G25" s="64">
        <v>25.47</v>
      </c>
      <c r="H25" s="64">
        <v>13.19</v>
      </c>
      <c r="I25" s="64">
        <v>3.28</v>
      </c>
      <c r="J25" s="64">
        <v>0.31</v>
      </c>
      <c r="K25" s="64">
        <v>148.13</v>
      </c>
      <c r="L25" s="64">
        <v>24.49</v>
      </c>
      <c r="M25" s="64">
        <v>89.31</v>
      </c>
      <c r="N25" s="64">
        <v>22.4</v>
      </c>
      <c r="O25" s="64">
        <v>0</v>
      </c>
      <c r="P25" s="64">
        <v>0.39</v>
      </c>
      <c r="Q25" s="64">
        <v>9.5</v>
      </c>
      <c r="R25" s="198"/>
      <c r="S25" s="198"/>
      <c r="T25" s="198"/>
      <c r="U25" s="198"/>
    </row>
    <row r="26" spans="1:21" s="12" customFormat="1" x14ac:dyDescent="0.25">
      <c r="A26" s="214" t="s">
        <v>1994</v>
      </c>
      <c r="B26" s="64">
        <v>8.14</v>
      </c>
      <c r="C26" s="64">
        <v>3.08</v>
      </c>
      <c r="D26" s="64">
        <v>11.91</v>
      </c>
      <c r="E26" s="64">
        <v>5.14</v>
      </c>
      <c r="F26" s="64">
        <v>3.3</v>
      </c>
      <c r="G26" s="64">
        <v>31.9</v>
      </c>
      <c r="H26" s="64">
        <v>12.12</v>
      </c>
      <c r="I26" s="64">
        <v>3.53</v>
      </c>
      <c r="J26" s="64">
        <v>0.42</v>
      </c>
      <c r="K26" s="64">
        <v>219.18</v>
      </c>
      <c r="L26" s="64">
        <v>24.19</v>
      </c>
      <c r="M26" s="64">
        <v>92.46</v>
      </c>
      <c r="N26" s="64">
        <v>22.6</v>
      </c>
      <c r="O26" s="64">
        <v>0</v>
      </c>
      <c r="P26" s="64">
        <v>0.4</v>
      </c>
      <c r="Q26" s="64">
        <v>9.5</v>
      </c>
      <c r="R26" s="198"/>
      <c r="S26" s="198"/>
      <c r="T26" s="198"/>
      <c r="U26" s="198"/>
    </row>
    <row r="27" spans="1:21" s="12" customFormat="1" x14ac:dyDescent="0.25">
      <c r="A27" s="214" t="s">
        <v>1995</v>
      </c>
      <c r="B27" s="64">
        <v>8.17</v>
      </c>
      <c r="C27" s="64">
        <v>3.21</v>
      </c>
      <c r="D27" s="64">
        <v>12.01</v>
      </c>
      <c r="E27" s="64">
        <v>4.6500000000000004</v>
      </c>
      <c r="F27" s="64">
        <v>4.12</v>
      </c>
      <c r="G27" s="64">
        <v>38.04</v>
      </c>
      <c r="H27" s="64">
        <v>11.09</v>
      </c>
      <c r="I27" s="64">
        <v>3.78</v>
      </c>
      <c r="J27" s="64">
        <v>0.47</v>
      </c>
      <c r="K27" s="64">
        <v>182.68</v>
      </c>
      <c r="L27" s="64">
        <v>23.97</v>
      </c>
      <c r="M27" s="64">
        <v>93.92</v>
      </c>
      <c r="N27" s="64">
        <v>22.4</v>
      </c>
      <c r="O27" s="64">
        <v>0</v>
      </c>
      <c r="P27" s="64">
        <v>0.4</v>
      </c>
      <c r="Q27" s="64">
        <v>9.52</v>
      </c>
      <c r="R27" s="198"/>
      <c r="S27" s="198"/>
      <c r="T27" s="198"/>
      <c r="U27" s="198"/>
    </row>
    <row r="28" spans="1:21" s="12" customFormat="1" x14ac:dyDescent="0.25">
      <c r="A28" s="214" t="s">
        <v>1996</v>
      </c>
      <c r="B28" s="64">
        <v>8.41</v>
      </c>
      <c r="C28" s="64">
        <v>3.96</v>
      </c>
      <c r="D28" s="64">
        <v>12.59</v>
      </c>
      <c r="E28" s="64">
        <v>4.68</v>
      </c>
      <c r="F28" s="64">
        <v>3.19</v>
      </c>
      <c r="G28" s="64">
        <v>38.04</v>
      </c>
      <c r="H28" s="64">
        <v>11.09</v>
      </c>
      <c r="I28" s="64">
        <v>3.94</v>
      </c>
      <c r="J28" s="64">
        <v>0.5</v>
      </c>
      <c r="K28" s="64">
        <v>164.16</v>
      </c>
      <c r="L28" s="64">
        <v>23.84</v>
      </c>
      <c r="M28" s="64">
        <v>94.66</v>
      </c>
      <c r="N28" s="64">
        <v>22.5</v>
      </c>
      <c r="O28" s="64">
        <v>0</v>
      </c>
      <c r="P28" s="64">
        <v>0.39</v>
      </c>
      <c r="Q28" s="64">
        <v>9.5</v>
      </c>
      <c r="R28" s="198"/>
      <c r="S28" s="198"/>
      <c r="T28" s="198"/>
      <c r="U28" s="198"/>
    </row>
    <row r="29" spans="1:21" s="12" customFormat="1" x14ac:dyDescent="0.25">
      <c r="A29" s="214" t="s">
        <v>1997</v>
      </c>
      <c r="B29" s="64">
        <v>8.36</v>
      </c>
      <c r="C29" s="64">
        <v>3.74</v>
      </c>
      <c r="D29" s="64">
        <v>12.44</v>
      </c>
      <c r="E29" s="64">
        <v>4.5999999999999996</v>
      </c>
      <c r="F29" s="64">
        <v>4.0199999999999996</v>
      </c>
      <c r="G29" s="64">
        <v>38.04</v>
      </c>
      <c r="H29" s="64">
        <v>11.09</v>
      </c>
      <c r="I29" s="64">
        <v>4.03</v>
      </c>
      <c r="J29" s="64">
        <v>0.09</v>
      </c>
      <c r="K29" s="64">
        <v>264.24</v>
      </c>
      <c r="L29" s="64">
        <v>23.8</v>
      </c>
      <c r="M29" s="64">
        <v>94.04</v>
      </c>
      <c r="N29" s="64">
        <v>23.1</v>
      </c>
      <c r="O29" s="64">
        <v>0</v>
      </c>
      <c r="P29" s="64">
        <v>0.38</v>
      </c>
      <c r="Q29" s="64">
        <v>9.48</v>
      </c>
      <c r="R29" s="198"/>
      <c r="S29" s="198"/>
      <c r="T29" s="198"/>
      <c r="U29" s="198"/>
    </row>
    <row r="30" spans="1:21" s="12" customFormat="1" x14ac:dyDescent="0.25">
      <c r="A30" s="214" t="s">
        <v>1998</v>
      </c>
      <c r="B30" s="64">
        <v>8.1999999999999993</v>
      </c>
      <c r="C30" s="64">
        <v>3.2</v>
      </c>
      <c r="D30" s="64">
        <v>12.02</v>
      </c>
      <c r="E30" s="64">
        <v>4.3600000000000003</v>
      </c>
      <c r="F30" s="64">
        <v>2.87</v>
      </c>
      <c r="G30" s="64">
        <v>35.82</v>
      </c>
      <c r="H30" s="64">
        <v>12.25</v>
      </c>
      <c r="I30" s="64">
        <v>4.08</v>
      </c>
      <c r="J30" s="64">
        <v>0.23</v>
      </c>
      <c r="K30" s="64">
        <v>350.18</v>
      </c>
      <c r="L30" s="64">
        <v>23.82</v>
      </c>
      <c r="M30" s="64">
        <v>93.01</v>
      </c>
      <c r="N30" s="64">
        <v>27.6</v>
      </c>
      <c r="O30" s="64">
        <v>0</v>
      </c>
      <c r="P30" s="64">
        <v>0.37</v>
      </c>
      <c r="Q30" s="64">
        <v>9.44</v>
      </c>
      <c r="R30" s="198"/>
      <c r="S30" s="198"/>
      <c r="T30" s="198"/>
      <c r="U30" s="198"/>
    </row>
    <row r="31" spans="1:21" s="12" customFormat="1" x14ac:dyDescent="0.25">
      <c r="A31" s="214" t="s">
        <v>1999</v>
      </c>
      <c r="B31" s="64">
        <v>8.1999999999999993</v>
      </c>
      <c r="C31" s="64">
        <v>3.17</v>
      </c>
      <c r="D31" s="64">
        <v>12.01</v>
      </c>
      <c r="E31" s="64">
        <v>4.66</v>
      </c>
      <c r="F31" s="64">
        <v>3.78</v>
      </c>
      <c r="G31" s="64">
        <v>33.69</v>
      </c>
      <c r="H31" s="64">
        <v>13.36</v>
      </c>
      <c r="I31" s="64">
        <v>4.0599999999999996</v>
      </c>
      <c r="J31" s="64">
        <v>0.06</v>
      </c>
      <c r="K31" s="64">
        <v>3.89</v>
      </c>
      <c r="L31" s="64">
        <v>23.85</v>
      </c>
      <c r="M31" s="64">
        <v>92.26</v>
      </c>
      <c r="N31" s="64">
        <v>38.4</v>
      </c>
      <c r="O31" s="64">
        <v>0</v>
      </c>
      <c r="P31" s="64">
        <v>0.36</v>
      </c>
      <c r="Q31" s="64">
        <v>9.4</v>
      </c>
      <c r="R31" s="198"/>
      <c r="S31" s="198"/>
      <c r="T31" s="198"/>
      <c r="U31" s="198"/>
    </row>
    <row r="32" spans="1:21" s="12" customFormat="1" x14ac:dyDescent="0.25">
      <c r="A32" s="214" t="s">
        <v>2000</v>
      </c>
      <c r="B32" s="64">
        <v>8.18</v>
      </c>
      <c r="C32" s="64">
        <v>3.15</v>
      </c>
      <c r="D32" s="64">
        <v>11.98</v>
      </c>
      <c r="E32" s="64">
        <v>4.59</v>
      </c>
      <c r="F32" s="64">
        <v>3.56</v>
      </c>
      <c r="G32" s="64">
        <v>33.69</v>
      </c>
      <c r="H32" s="64">
        <v>13.36</v>
      </c>
      <c r="I32" s="64">
        <v>4.08</v>
      </c>
      <c r="J32" s="64">
        <v>0.15</v>
      </c>
      <c r="K32" s="64">
        <v>243.97</v>
      </c>
      <c r="L32" s="64">
        <v>23.95</v>
      </c>
      <c r="M32" s="64">
        <v>91.12</v>
      </c>
      <c r="N32" s="64">
        <v>52.5</v>
      </c>
      <c r="O32" s="64">
        <v>0</v>
      </c>
      <c r="P32" s="64">
        <v>0.36</v>
      </c>
      <c r="Q32" s="64">
        <v>9.4499999999999993</v>
      </c>
      <c r="R32" s="198"/>
      <c r="S32" s="198"/>
      <c r="T32" s="198"/>
      <c r="U32" s="198"/>
    </row>
    <row r="33" spans="1:21" s="12" customFormat="1" x14ac:dyDescent="0.25">
      <c r="A33" s="214" t="s">
        <v>2001</v>
      </c>
      <c r="B33" s="64">
        <v>8.18</v>
      </c>
      <c r="C33" s="64">
        <v>3.1</v>
      </c>
      <c r="D33" s="64">
        <v>11.95</v>
      </c>
      <c r="E33" s="64">
        <v>4.76</v>
      </c>
      <c r="F33" s="64">
        <v>3.59</v>
      </c>
      <c r="G33" s="64">
        <v>33.69</v>
      </c>
      <c r="H33" s="64">
        <v>13.36</v>
      </c>
      <c r="I33" s="64">
        <v>4.17</v>
      </c>
      <c r="J33" s="64">
        <v>0.41</v>
      </c>
      <c r="K33" s="64">
        <v>23.09</v>
      </c>
      <c r="L33" s="64">
        <v>24.08</v>
      </c>
      <c r="M33" s="64">
        <v>89.73</v>
      </c>
      <c r="N33" s="64">
        <v>72.400000000000006</v>
      </c>
      <c r="O33" s="64">
        <v>0</v>
      </c>
      <c r="P33" s="64">
        <v>0.35</v>
      </c>
      <c r="Q33" s="64">
        <v>9.44</v>
      </c>
      <c r="R33" s="198"/>
      <c r="S33" s="198"/>
      <c r="T33" s="198"/>
      <c r="U33" s="198"/>
    </row>
    <row r="34" spans="1:21" s="12" customFormat="1" x14ac:dyDescent="0.25">
      <c r="A34" s="214" t="s">
        <v>2002</v>
      </c>
      <c r="B34" s="64">
        <v>8.18</v>
      </c>
      <c r="C34" s="64">
        <v>3.09</v>
      </c>
      <c r="D34" s="64">
        <v>11.95</v>
      </c>
      <c r="E34" s="64">
        <v>4.3</v>
      </c>
      <c r="F34" s="64">
        <v>3.57</v>
      </c>
      <c r="G34" s="64">
        <v>30.92</v>
      </c>
      <c r="H34" s="64">
        <v>11.39</v>
      </c>
      <c r="I34" s="64">
        <v>4.3</v>
      </c>
      <c r="J34" s="64">
        <v>0.05</v>
      </c>
      <c r="K34" s="64">
        <v>286.04000000000002</v>
      </c>
      <c r="L34" s="64">
        <v>24.28</v>
      </c>
      <c r="M34" s="64">
        <v>87.86</v>
      </c>
      <c r="N34" s="64">
        <v>96.5</v>
      </c>
      <c r="O34" s="64">
        <v>0</v>
      </c>
      <c r="P34" s="64">
        <v>0.34</v>
      </c>
      <c r="Q34" s="64">
        <v>9.4499999999999993</v>
      </c>
      <c r="R34" s="198"/>
      <c r="S34" s="198"/>
      <c r="T34" s="198"/>
      <c r="U34" s="198"/>
    </row>
    <row r="35" spans="1:21" s="12" customFormat="1" x14ac:dyDescent="0.25">
      <c r="A35" s="214" t="s">
        <v>2003</v>
      </c>
      <c r="B35" s="64">
        <v>8.18</v>
      </c>
      <c r="C35" s="64">
        <v>3.14</v>
      </c>
      <c r="D35" s="64">
        <v>11.98</v>
      </c>
      <c r="E35" s="64">
        <v>4.53</v>
      </c>
      <c r="F35" s="64">
        <v>3.47</v>
      </c>
      <c r="G35" s="64">
        <v>28.27</v>
      </c>
      <c r="H35" s="64">
        <v>9.51</v>
      </c>
      <c r="I35" s="64">
        <v>4.42</v>
      </c>
      <c r="J35" s="64">
        <v>0.22</v>
      </c>
      <c r="K35" s="64">
        <v>219.42</v>
      </c>
      <c r="L35" s="64">
        <v>24.44</v>
      </c>
      <c r="M35" s="64">
        <v>87.71</v>
      </c>
      <c r="N35" s="64">
        <v>112.5</v>
      </c>
      <c r="O35" s="64">
        <v>0</v>
      </c>
      <c r="P35" s="64">
        <v>0.34</v>
      </c>
      <c r="Q35" s="64">
        <v>9.4600000000000009</v>
      </c>
      <c r="R35" s="198"/>
      <c r="S35" s="198"/>
      <c r="T35" s="198"/>
      <c r="U35" s="198"/>
    </row>
    <row r="36" spans="1:21" s="12" customFormat="1" x14ac:dyDescent="0.25">
      <c r="A36" s="214" t="s">
        <v>2004</v>
      </c>
      <c r="B36" s="64">
        <v>8.1999999999999993</v>
      </c>
      <c r="C36" s="64">
        <v>3.17</v>
      </c>
      <c r="D36" s="64">
        <v>12</v>
      </c>
      <c r="E36" s="64">
        <v>4.93</v>
      </c>
      <c r="F36" s="64">
        <v>3.64</v>
      </c>
      <c r="G36" s="64">
        <v>28.27</v>
      </c>
      <c r="H36" s="64">
        <v>9.51</v>
      </c>
      <c r="I36" s="64">
        <v>4.45</v>
      </c>
      <c r="J36" s="64">
        <v>0.18</v>
      </c>
      <c r="K36" s="64">
        <v>328.99</v>
      </c>
      <c r="L36" s="64">
        <v>24.61</v>
      </c>
      <c r="M36" s="64">
        <v>86.81</v>
      </c>
      <c r="N36" s="64">
        <v>139.9</v>
      </c>
      <c r="O36" s="64">
        <v>0</v>
      </c>
      <c r="P36" s="64">
        <v>0.34</v>
      </c>
      <c r="Q36" s="64">
        <v>9.4700000000000006</v>
      </c>
      <c r="R36" s="198"/>
      <c r="S36" s="198"/>
      <c r="T36" s="198"/>
      <c r="U36" s="198"/>
    </row>
    <row r="37" spans="1:21" s="12" customFormat="1" x14ac:dyDescent="0.25">
      <c r="A37" s="214" t="s">
        <v>2005</v>
      </c>
      <c r="B37" s="64">
        <v>8.19</v>
      </c>
      <c r="C37" s="64">
        <v>3.16</v>
      </c>
      <c r="D37" s="64">
        <v>11.99</v>
      </c>
      <c r="E37" s="64">
        <v>4.92</v>
      </c>
      <c r="F37" s="64">
        <v>3.94</v>
      </c>
      <c r="G37" s="64">
        <v>28.27</v>
      </c>
      <c r="H37" s="64">
        <v>9.51</v>
      </c>
      <c r="I37" s="64">
        <v>4.5199999999999996</v>
      </c>
      <c r="J37" s="64">
        <v>0.44</v>
      </c>
      <c r="K37" s="64">
        <v>10.95</v>
      </c>
      <c r="L37" s="64">
        <v>24.87</v>
      </c>
      <c r="M37" s="64">
        <v>84.97</v>
      </c>
      <c r="N37" s="64">
        <v>166.9</v>
      </c>
      <c r="O37" s="64">
        <v>0</v>
      </c>
      <c r="P37" s="64">
        <v>0.28999999999999998</v>
      </c>
      <c r="Q37" s="64">
        <v>9.4700000000000006</v>
      </c>
      <c r="R37" s="198"/>
      <c r="S37" s="198"/>
      <c r="T37" s="198"/>
      <c r="U37" s="198"/>
    </row>
    <row r="38" spans="1:21" s="12" customFormat="1" x14ac:dyDescent="0.25">
      <c r="A38" s="214" t="s">
        <v>2006</v>
      </c>
      <c r="B38" s="64">
        <v>8.2100000000000009</v>
      </c>
      <c r="C38" s="64">
        <v>3.29</v>
      </c>
      <c r="D38" s="64">
        <v>12.07</v>
      </c>
      <c r="E38" s="64">
        <v>4.53</v>
      </c>
      <c r="F38" s="64">
        <v>4.18</v>
      </c>
      <c r="G38" s="64">
        <v>28.73</v>
      </c>
      <c r="H38" s="64">
        <v>10.63</v>
      </c>
      <c r="I38" s="64">
        <v>4.57</v>
      </c>
      <c r="J38" s="64">
        <v>0.37</v>
      </c>
      <c r="K38" s="64">
        <v>2.17</v>
      </c>
      <c r="L38" s="64">
        <v>25.09</v>
      </c>
      <c r="M38" s="64">
        <v>82.84</v>
      </c>
      <c r="N38" s="64">
        <v>181.2</v>
      </c>
      <c r="O38" s="64">
        <v>0</v>
      </c>
      <c r="P38" s="64">
        <v>0.3</v>
      </c>
      <c r="Q38" s="64">
        <v>9.52</v>
      </c>
      <c r="R38" s="198"/>
      <c r="S38" s="198"/>
      <c r="T38" s="198"/>
      <c r="U38" s="198"/>
    </row>
    <row r="39" spans="1:21" s="12" customFormat="1" x14ac:dyDescent="0.25">
      <c r="A39" s="214" t="s">
        <v>2007</v>
      </c>
      <c r="B39" s="64">
        <v>8.2200000000000006</v>
      </c>
      <c r="C39" s="64">
        <v>3.4</v>
      </c>
      <c r="D39" s="64">
        <v>12.14</v>
      </c>
      <c r="E39" s="64">
        <v>4.57</v>
      </c>
      <c r="F39" s="64">
        <v>4.72</v>
      </c>
      <c r="G39" s="64">
        <v>29.16</v>
      </c>
      <c r="H39" s="64">
        <v>11.65</v>
      </c>
      <c r="I39" s="64">
        <v>4.3600000000000003</v>
      </c>
      <c r="J39" s="64">
        <v>0.32</v>
      </c>
      <c r="K39" s="64">
        <v>343.64</v>
      </c>
      <c r="L39" s="64">
        <v>25.07</v>
      </c>
      <c r="M39" s="64">
        <v>81.5</v>
      </c>
      <c r="N39" s="64">
        <v>199.3</v>
      </c>
      <c r="O39" s="64">
        <v>0</v>
      </c>
      <c r="P39" s="64">
        <v>0.28999999999999998</v>
      </c>
      <c r="Q39" s="64">
        <v>9.5399999999999991</v>
      </c>
      <c r="R39" s="198"/>
      <c r="S39" s="198"/>
      <c r="T39" s="198"/>
      <c r="U39" s="198"/>
    </row>
    <row r="40" spans="1:21" s="12" customFormat="1" x14ac:dyDescent="0.25">
      <c r="A40" s="214" t="s">
        <v>2008</v>
      </c>
      <c r="B40" s="64">
        <v>8.39</v>
      </c>
      <c r="C40" s="64">
        <v>4.09</v>
      </c>
      <c r="D40" s="64">
        <v>12.64</v>
      </c>
      <c r="E40" s="64">
        <v>5.52</v>
      </c>
      <c r="F40" s="64">
        <v>5.3</v>
      </c>
      <c r="G40" s="64">
        <v>29.16</v>
      </c>
      <c r="H40" s="64">
        <v>11.65</v>
      </c>
      <c r="I40" s="64">
        <v>4.05</v>
      </c>
      <c r="J40" s="64">
        <v>0.47</v>
      </c>
      <c r="K40" s="64">
        <v>8.41</v>
      </c>
      <c r="L40" s="64">
        <v>25.46</v>
      </c>
      <c r="M40" s="64">
        <v>80.03</v>
      </c>
      <c r="N40" s="64">
        <v>217.2</v>
      </c>
      <c r="O40" s="64">
        <v>0</v>
      </c>
      <c r="P40" s="64">
        <v>0.28000000000000003</v>
      </c>
      <c r="Q40" s="64">
        <v>9.5399999999999991</v>
      </c>
      <c r="R40" s="198"/>
      <c r="S40" s="198"/>
      <c r="T40" s="198"/>
      <c r="U40" s="198"/>
    </row>
    <row r="41" spans="1:21" s="12" customFormat="1" x14ac:dyDescent="0.25">
      <c r="A41" s="214" t="s">
        <v>2009</v>
      </c>
      <c r="B41" s="64">
        <v>8.1999999999999993</v>
      </c>
      <c r="C41" s="64">
        <v>3.41</v>
      </c>
      <c r="D41" s="64">
        <v>12.13</v>
      </c>
      <c r="E41" s="64">
        <v>5.68</v>
      </c>
      <c r="F41" s="64">
        <v>4.8499999999999996</v>
      </c>
      <c r="G41" s="64">
        <v>29.16</v>
      </c>
      <c r="H41" s="64">
        <v>11.65</v>
      </c>
      <c r="I41" s="64">
        <v>3.71</v>
      </c>
      <c r="J41" s="64">
        <v>0.36</v>
      </c>
      <c r="K41" s="64">
        <v>359.55</v>
      </c>
      <c r="L41" s="64">
        <v>25.54</v>
      </c>
      <c r="M41" s="64">
        <v>79.41</v>
      </c>
      <c r="N41" s="64">
        <v>227.5</v>
      </c>
      <c r="O41" s="64">
        <v>0</v>
      </c>
      <c r="P41" s="64">
        <v>0.27</v>
      </c>
      <c r="Q41" s="64">
        <v>9.52</v>
      </c>
      <c r="R41" s="198"/>
      <c r="S41" s="198"/>
      <c r="T41" s="198"/>
      <c r="U41" s="198"/>
    </row>
    <row r="42" spans="1:21" s="12" customFormat="1" x14ac:dyDescent="0.25">
      <c r="A42" s="214" t="s">
        <v>2010</v>
      </c>
      <c r="B42" s="64">
        <v>8.17</v>
      </c>
      <c r="C42" s="64">
        <v>3.23</v>
      </c>
      <c r="D42" s="64">
        <v>12.01</v>
      </c>
      <c r="E42" s="64">
        <v>5.4</v>
      </c>
      <c r="F42" s="64">
        <v>5.44</v>
      </c>
      <c r="G42" s="64">
        <v>26.99</v>
      </c>
      <c r="H42" s="64">
        <v>10.59</v>
      </c>
      <c r="I42" s="64">
        <v>3.44</v>
      </c>
      <c r="J42" s="64">
        <v>0.61</v>
      </c>
      <c r="K42" s="64">
        <v>18.36</v>
      </c>
      <c r="L42" s="64">
        <v>25.72</v>
      </c>
      <c r="M42" s="64">
        <v>78.5</v>
      </c>
      <c r="N42" s="64">
        <v>219.5</v>
      </c>
      <c r="O42" s="64">
        <v>0</v>
      </c>
      <c r="P42" s="64">
        <v>0.28000000000000003</v>
      </c>
      <c r="Q42" s="64">
        <v>9.51</v>
      </c>
      <c r="R42" s="198"/>
      <c r="S42" s="198"/>
      <c r="T42" s="198"/>
      <c r="U42" s="198"/>
    </row>
    <row r="43" spans="1:21" s="12" customFormat="1" x14ac:dyDescent="0.25">
      <c r="A43" s="214" t="s">
        <v>2011</v>
      </c>
      <c r="B43" s="64">
        <v>8.15</v>
      </c>
      <c r="C43" s="64">
        <v>3.18</v>
      </c>
      <c r="D43" s="64">
        <v>11.98</v>
      </c>
      <c r="E43" s="64">
        <v>5.5</v>
      </c>
      <c r="F43" s="64">
        <v>4.38</v>
      </c>
      <c r="G43" s="64">
        <v>24.91</v>
      </c>
      <c r="H43" s="64">
        <v>9.59</v>
      </c>
      <c r="I43" s="64">
        <v>3.2</v>
      </c>
      <c r="J43" s="64">
        <v>0.47</v>
      </c>
      <c r="K43" s="64">
        <v>5.05</v>
      </c>
      <c r="L43" s="64">
        <v>25.76</v>
      </c>
      <c r="M43" s="64">
        <v>78.44</v>
      </c>
      <c r="N43" s="64">
        <v>180.3</v>
      </c>
      <c r="O43" s="64">
        <v>0</v>
      </c>
      <c r="P43" s="64">
        <v>0.28000000000000003</v>
      </c>
      <c r="Q43" s="64">
        <v>9.5299999999999994</v>
      </c>
      <c r="R43" s="198"/>
      <c r="S43" s="198"/>
      <c r="T43" s="198"/>
      <c r="U43" s="198"/>
    </row>
    <row r="44" spans="1:21" s="12" customFormat="1" x14ac:dyDescent="0.25">
      <c r="A44" s="214" t="s">
        <v>2012</v>
      </c>
      <c r="B44" s="64">
        <v>8.15</v>
      </c>
      <c r="C44" s="64">
        <v>3.18</v>
      </c>
      <c r="D44" s="64">
        <v>11.98</v>
      </c>
      <c r="E44" s="64">
        <v>5.36</v>
      </c>
      <c r="F44" s="64">
        <v>5.5</v>
      </c>
      <c r="G44" s="64">
        <v>24.91</v>
      </c>
      <c r="H44" s="64">
        <v>9.59</v>
      </c>
      <c r="I44" s="64">
        <v>3.01</v>
      </c>
      <c r="J44" s="64">
        <v>0.54</v>
      </c>
      <c r="K44" s="64">
        <v>24.47</v>
      </c>
      <c r="L44" s="64">
        <v>25.58</v>
      </c>
      <c r="M44" s="64">
        <v>80</v>
      </c>
      <c r="N44" s="64">
        <v>162.4</v>
      </c>
      <c r="O44" s="64">
        <v>0</v>
      </c>
      <c r="P44" s="64">
        <v>0.28000000000000003</v>
      </c>
      <c r="Q44" s="64">
        <v>9.49</v>
      </c>
      <c r="R44" s="198"/>
      <c r="S44" s="198"/>
      <c r="T44" s="198"/>
      <c r="U44" s="198"/>
    </row>
    <row r="45" spans="1:21" s="12" customFormat="1" x14ac:dyDescent="0.25">
      <c r="A45" s="214" t="s">
        <v>2013</v>
      </c>
      <c r="B45" s="64">
        <v>8.2100000000000009</v>
      </c>
      <c r="C45" s="64">
        <v>3.4</v>
      </c>
      <c r="D45" s="64">
        <v>12.14</v>
      </c>
      <c r="E45" s="64">
        <v>5.73</v>
      </c>
      <c r="F45" s="64">
        <v>4.51</v>
      </c>
      <c r="G45" s="64">
        <v>24.91</v>
      </c>
      <c r="H45" s="64">
        <v>9.59</v>
      </c>
      <c r="I45" s="64">
        <v>2.77</v>
      </c>
      <c r="J45" s="64">
        <v>0.51</v>
      </c>
      <c r="K45" s="64">
        <v>11.71</v>
      </c>
      <c r="L45" s="64">
        <v>25.74</v>
      </c>
      <c r="M45" s="64">
        <v>79.239999999999995</v>
      </c>
      <c r="N45" s="64">
        <v>165.5</v>
      </c>
      <c r="O45" s="64">
        <v>0</v>
      </c>
      <c r="P45" s="64">
        <v>0.28999999999999998</v>
      </c>
      <c r="Q45" s="64">
        <v>9.49</v>
      </c>
      <c r="R45" s="198"/>
      <c r="S45" s="198"/>
      <c r="T45" s="198"/>
      <c r="U45" s="198"/>
    </row>
    <row r="46" spans="1:21" s="12" customFormat="1" x14ac:dyDescent="0.25">
      <c r="A46" s="214" t="s">
        <v>2014</v>
      </c>
      <c r="B46" s="64">
        <v>8.1999999999999993</v>
      </c>
      <c r="C46" s="64">
        <v>3.32</v>
      </c>
      <c r="D46" s="64">
        <v>12.08</v>
      </c>
      <c r="E46" s="64">
        <v>5.38</v>
      </c>
      <c r="F46" s="64">
        <v>5.36</v>
      </c>
      <c r="G46" s="64">
        <v>27.93</v>
      </c>
      <c r="H46" s="64">
        <v>9.15</v>
      </c>
      <c r="I46" s="64">
        <v>2.61</v>
      </c>
      <c r="J46" s="64">
        <v>0.52</v>
      </c>
      <c r="K46" s="64">
        <v>10.210000000000001</v>
      </c>
      <c r="L46" s="64">
        <v>25.69</v>
      </c>
      <c r="M46" s="64">
        <v>78.81</v>
      </c>
      <c r="N46" s="64">
        <v>200.4</v>
      </c>
      <c r="O46" s="64">
        <v>0</v>
      </c>
      <c r="P46" s="64">
        <v>0.28999999999999998</v>
      </c>
      <c r="Q46" s="64">
        <v>9.4700000000000006</v>
      </c>
      <c r="R46" s="198"/>
      <c r="S46" s="198"/>
      <c r="T46" s="198"/>
      <c r="U46" s="198"/>
    </row>
    <row r="47" spans="1:21" s="12" customFormat="1" x14ac:dyDescent="0.25">
      <c r="A47" s="214" t="s">
        <v>2015</v>
      </c>
      <c r="B47" s="64">
        <v>8.2100000000000009</v>
      </c>
      <c r="C47" s="64">
        <v>3.38</v>
      </c>
      <c r="D47" s="64">
        <v>12.13</v>
      </c>
      <c r="E47" s="64">
        <v>5.19</v>
      </c>
      <c r="F47" s="64">
        <v>5.1100000000000003</v>
      </c>
      <c r="G47" s="64">
        <v>30.82</v>
      </c>
      <c r="H47" s="64">
        <v>8.76</v>
      </c>
      <c r="I47" s="64">
        <v>2.5</v>
      </c>
      <c r="J47" s="64">
        <v>0.5</v>
      </c>
      <c r="K47" s="64">
        <v>359.05</v>
      </c>
      <c r="L47" s="64">
        <v>25.85</v>
      </c>
      <c r="M47" s="64">
        <v>78.86</v>
      </c>
      <c r="N47" s="64">
        <v>239.3</v>
      </c>
      <c r="O47" s="64">
        <v>0</v>
      </c>
      <c r="P47" s="64">
        <v>0.3</v>
      </c>
      <c r="Q47" s="64">
        <v>9.5299999999999994</v>
      </c>
      <c r="R47" s="198"/>
      <c r="S47" s="198"/>
      <c r="T47" s="198"/>
      <c r="U47" s="198"/>
    </row>
    <row r="48" spans="1:21" s="12" customFormat="1" x14ac:dyDescent="0.25">
      <c r="A48" s="214" t="s">
        <v>2016</v>
      </c>
      <c r="B48" s="64">
        <v>8.35</v>
      </c>
      <c r="C48" s="64">
        <v>3.89</v>
      </c>
      <c r="D48" s="64">
        <v>12.51</v>
      </c>
      <c r="E48" s="64">
        <v>5.46</v>
      </c>
      <c r="F48" s="64">
        <v>4.88</v>
      </c>
      <c r="G48" s="64">
        <v>30.82</v>
      </c>
      <c r="H48" s="64">
        <v>8.76</v>
      </c>
      <c r="I48" s="64">
        <v>2.44</v>
      </c>
      <c r="J48" s="64">
        <v>0.48</v>
      </c>
      <c r="K48" s="64">
        <v>8.34</v>
      </c>
      <c r="L48" s="64">
        <v>26.5</v>
      </c>
      <c r="M48" s="64">
        <v>76.760000000000005</v>
      </c>
      <c r="N48" s="64">
        <v>290.8</v>
      </c>
      <c r="O48" s="64">
        <v>0</v>
      </c>
      <c r="P48" s="64">
        <v>0.28999999999999998</v>
      </c>
      <c r="Q48" s="64">
        <v>9.4600000000000009</v>
      </c>
      <c r="R48" s="198"/>
      <c r="S48" s="198"/>
      <c r="T48" s="198"/>
      <c r="U48" s="198"/>
    </row>
    <row r="49" spans="1:21" s="12" customFormat="1" x14ac:dyDescent="0.25">
      <c r="A49" s="214" t="s">
        <v>2017</v>
      </c>
      <c r="B49" s="64">
        <v>8.23</v>
      </c>
      <c r="C49" s="64">
        <v>3.37</v>
      </c>
      <c r="D49" s="64">
        <v>12.14</v>
      </c>
      <c r="E49" s="64">
        <v>5.4</v>
      </c>
      <c r="F49" s="64">
        <v>5.1100000000000003</v>
      </c>
      <c r="G49" s="64">
        <v>30.82</v>
      </c>
      <c r="H49" s="64">
        <v>8.76</v>
      </c>
      <c r="I49" s="64">
        <v>2.4</v>
      </c>
      <c r="J49" s="64">
        <v>0.42</v>
      </c>
      <c r="K49" s="64">
        <v>348.27</v>
      </c>
      <c r="L49" s="64">
        <v>27.05</v>
      </c>
      <c r="M49" s="64">
        <v>74.33</v>
      </c>
      <c r="N49" s="64">
        <v>322.10000000000002</v>
      </c>
      <c r="O49" s="64">
        <v>0</v>
      </c>
      <c r="P49" s="64">
        <v>0.3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4" t="s">
        <v>2018</v>
      </c>
      <c r="B50" s="64">
        <v>8.19</v>
      </c>
      <c r="C50" s="64">
        <v>3.2</v>
      </c>
      <c r="D50" s="64">
        <v>12.02</v>
      </c>
      <c r="E50" s="64">
        <v>5.24</v>
      </c>
      <c r="F50" s="64">
        <v>4.96</v>
      </c>
      <c r="G50" s="64">
        <v>28.96</v>
      </c>
      <c r="H50" s="64">
        <v>11.07</v>
      </c>
      <c r="I50" s="64">
        <v>2.34</v>
      </c>
      <c r="J50" s="64">
        <v>0.54</v>
      </c>
      <c r="K50" s="64">
        <v>16.41</v>
      </c>
      <c r="L50" s="64">
        <v>27.57</v>
      </c>
      <c r="M50" s="64">
        <v>71.95</v>
      </c>
      <c r="N50" s="64">
        <v>342.6</v>
      </c>
      <c r="O50" s="64">
        <v>0</v>
      </c>
      <c r="P50" s="64">
        <v>0.31</v>
      </c>
      <c r="Q50" s="64">
        <v>9.3800000000000008</v>
      </c>
      <c r="R50" s="198"/>
      <c r="S50" s="198"/>
      <c r="T50" s="198"/>
      <c r="U50" s="198"/>
    </row>
    <row r="51" spans="1:21" s="12" customFormat="1" x14ac:dyDescent="0.25">
      <c r="A51" s="214" t="s">
        <v>2019</v>
      </c>
      <c r="B51" s="64">
        <v>8.1999999999999993</v>
      </c>
      <c r="C51" s="64">
        <v>3.16</v>
      </c>
      <c r="D51" s="64">
        <v>12</v>
      </c>
      <c r="E51" s="64">
        <v>5.41</v>
      </c>
      <c r="F51" s="64">
        <v>5.95</v>
      </c>
      <c r="G51" s="64">
        <v>27.19</v>
      </c>
      <c r="H51" s="64">
        <v>13.18</v>
      </c>
      <c r="I51" s="64">
        <v>2.38</v>
      </c>
      <c r="J51" s="64">
        <v>0.49</v>
      </c>
      <c r="K51" s="64">
        <v>10.53</v>
      </c>
      <c r="L51" s="64">
        <v>27.87</v>
      </c>
      <c r="M51" s="64">
        <v>69.540000000000006</v>
      </c>
      <c r="N51" s="64">
        <v>367.5</v>
      </c>
      <c r="O51" s="64">
        <v>0</v>
      </c>
      <c r="P51" s="64">
        <v>0.32</v>
      </c>
      <c r="Q51" s="64">
        <v>9.39</v>
      </c>
      <c r="R51" s="198"/>
      <c r="S51" s="198"/>
      <c r="T51" s="198"/>
      <c r="U51" s="198"/>
    </row>
    <row r="52" spans="1:21" s="12" customFormat="1" x14ac:dyDescent="0.25">
      <c r="A52" s="214" t="s">
        <v>2020</v>
      </c>
      <c r="B52" s="64">
        <v>8.2100000000000009</v>
      </c>
      <c r="C52" s="64">
        <v>3.22</v>
      </c>
      <c r="D52" s="64">
        <v>12.04</v>
      </c>
      <c r="E52" s="64">
        <v>5.42</v>
      </c>
      <c r="F52" s="64">
        <v>6.62</v>
      </c>
      <c r="G52" s="64">
        <v>27.19</v>
      </c>
      <c r="H52" s="64">
        <v>13.18</v>
      </c>
      <c r="I52" s="64">
        <v>2.42</v>
      </c>
      <c r="J52" s="64">
        <v>0.63</v>
      </c>
      <c r="K52" s="64">
        <v>326.33</v>
      </c>
      <c r="L52" s="64">
        <v>28.59</v>
      </c>
      <c r="M52" s="64">
        <v>67.98</v>
      </c>
      <c r="N52" s="64">
        <v>379.9</v>
      </c>
      <c r="O52" s="64">
        <v>0</v>
      </c>
      <c r="P52" s="64">
        <v>0.31</v>
      </c>
      <c r="Q52" s="64">
        <v>9.41</v>
      </c>
      <c r="R52" s="198"/>
      <c r="S52" s="198"/>
      <c r="T52" s="198"/>
      <c r="U52" s="198"/>
    </row>
    <row r="53" spans="1:21" s="12" customFormat="1" x14ac:dyDescent="0.25">
      <c r="A53" s="214" t="s">
        <v>2021</v>
      </c>
      <c r="B53" s="64">
        <v>8.24</v>
      </c>
      <c r="C53" s="64">
        <v>3.46</v>
      </c>
      <c r="D53" s="64">
        <v>12.19</v>
      </c>
      <c r="E53" s="64">
        <v>5.66</v>
      </c>
      <c r="F53" s="64">
        <v>6.21</v>
      </c>
      <c r="G53" s="64">
        <v>27.19</v>
      </c>
      <c r="H53" s="64">
        <v>13.18</v>
      </c>
      <c r="I53" s="64">
        <v>2.33</v>
      </c>
      <c r="J53" s="64">
        <v>0.62</v>
      </c>
      <c r="K53" s="64">
        <v>352.42</v>
      </c>
      <c r="L53" s="64">
        <v>29.25</v>
      </c>
      <c r="M53" s="64">
        <v>65.290000000000006</v>
      </c>
      <c r="N53" s="64">
        <v>363.6</v>
      </c>
      <c r="O53" s="64">
        <v>0</v>
      </c>
      <c r="P53" s="64">
        <v>0.32</v>
      </c>
      <c r="Q53" s="64">
        <v>9.42</v>
      </c>
      <c r="R53" s="198"/>
      <c r="S53" s="198"/>
      <c r="T53" s="198"/>
      <c r="U53" s="198"/>
    </row>
    <row r="54" spans="1:21" s="12" customFormat="1" x14ac:dyDescent="0.25">
      <c r="A54" s="214" t="s">
        <v>2022</v>
      </c>
      <c r="B54" s="64">
        <v>8.24</v>
      </c>
      <c r="C54" s="64">
        <v>3.43</v>
      </c>
      <c r="D54" s="64">
        <v>12.17</v>
      </c>
      <c r="E54" s="64">
        <v>5.8</v>
      </c>
      <c r="F54" s="64">
        <v>5.26</v>
      </c>
      <c r="G54" s="64">
        <v>33.630000000000003</v>
      </c>
      <c r="H54" s="64">
        <v>12.29</v>
      </c>
      <c r="I54" s="64">
        <v>2.13</v>
      </c>
      <c r="J54" s="64">
        <v>0.59</v>
      </c>
      <c r="K54" s="64">
        <v>323.81</v>
      </c>
      <c r="L54" s="64">
        <v>30.36</v>
      </c>
      <c r="M54" s="64">
        <v>63.57</v>
      </c>
      <c r="N54" s="64">
        <v>396.6</v>
      </c>
      <c r="O54" s="64">
        <v>0</v>
      </c>
      <c r="P54" s="64">
        <v>0.33</v>
      </c>
      <c r="Q54" s="64">
        <v>9.44</v>
      </c>
      <c r="R54" s="198"/>
      <c r="S54" s="198"/>
      <c r="T54" s="198"/>
      <c r="U54" s="198"/>
    </row>
    <row r="55" spans="1:21" s="12" customFormat="1" x14ac:dyDescent="0.25">
      <c r="A55" s="214" t="s">
        <v>2023</v>
      </c>
      <c r="B55" s="64">
        <v>8.18</v>
      </c>
      <c r="C55" s="64">
        <v>3.22</v>
      </c>
      <c r="D55" s="64">
        <v>12.02</v>
      </c>
      <c r="E55" s="64">
        <v>5.58</v>
      </c>
      <c r="F55" s="64">
        <v>4.97</v>
      </c>
      <c r="G55" s="64">
        <v>39.799999999999997</v>
      </c>
      <c r="H55" s="64">
        <v>11.47</v>
      </c>
      <c r="I55" s="64">
        <v>2.16</v>
      </c>
      <c r="J55" s="64">
        <v>0.66</v>
      </c>
      <c r="K55" s="64">
        <v>331.13</v>
      </c>
      <c r="L55" s="64">
        <v>30.65</v>
      </c>
      <c r="M55" s="64">
        <v>63.16</v>
      </c>
      <c r="N55" s="64">
        <v>433.9</v>
      </c>
      <c r="O55" s="64">
        <v>0</v>
      </c>
      <c r="P55" s="64">
        <v>0.36</v>
      </c>
      <c r="Q55" s="64">
        <v>9.4499999999999993</v>
      </c>
      <c r="R55" s="198"/>
      <c r="S55" s="198"/>
      <c r="T55" s="198"/>
      <c r="U55" s="198"/>
    </row>
    <row r="56" spans="1:21" s="12" customFormat="1" x14ac:dyDescent="0.25">
      <c r="A56" s="214" t="s">
        <v>2024</v>
      </c>
      <c r="B56" s="64">
        <v>8.23</v>
      </c>
      <c r="C56" s="64">
        <v>3.45</v>
      </c>
      <c r="D56" s="64">
        <v>12.17</v>
      </c>
      <c r="E56" s="64">
        <v>3.81</v>
      </c>
      <c r="F56" s="64">
        <v>5.13</v>
      </c>
      <c r="G56" s="64">
        <v>39.799999999999997</v>
      </c>
      <c r="H56" s="64">
        <v>11.47</v>
      </c>
      <c r="I56" s="64">
        <v>2.2400000000000002</v>
      </c>
      <c r="J56" s="64">
        <v>0.67</v>
      </c>
      <c r="K56" s="64">
        <v>344.65</v>
      </c>
      <c r="L56" s="64">
        <v>31.02</v>
      </c>
      <c r="M56" s="64">
        <v>59.91</v>
      </c>
      <c r="N56" s="64">
        <v>473.6</v>
      </c>
      <c r="O56" s="64">
        <v>0</v>
      </c>
      <c r="P56" s="64">
        <v>0.39</v>
      </c>
      <c r="Q56" s="64">
        <v>9.5500000000000007</v>
      </c>
      <c r="R56" s="198"/>
      <c r="S56" s="198"/>
      <c r="T56" s="198"/>
      <c r="U56" s="198"/>
    </row>
    <row r="57" spans="1:21" s="12" customFormat="1" x14ac:dyDescent="0.25">
      <c r="A57" s="214" t="s">
        <v>2025</v>
      </c>
      <c r="B57" s="64">
        <v>8.31</v>
      </c>
      <c r="C57" s="64">
        <v>3.89</v>
      </c>
      <c r="D57" s="64">
        <v>12.47</v>
      </c>
      <c r="E57" s="64">
        <v>3.38</v>
      </c>
      <c r="F57" s="64">
        <v>5.73</v>
      </c>
      <c r="G57" s="64">
        <v>39.799999999999997</v>
      </c>
      <c r="H57" s="64">
        <v>11.47</v>
      </c>
      <c r="I57" s="64">
        <v>2.29</v>
      </c>
      <c r="J57" s="64">
        <v>0.76</v>
      </c>
      <c r="K57" s="64">
        <v>331.97</v>
      </c>
      <c r="L57" s="64">
        <v>31.25</v>
      </c>
      <c r="M57" s="64">
        <v>59.98</v>
      </c>
      <c r="N57" s="64">
        <v>541.9</v>
      </c>
      <c r="O57" s="64">
        <v>0</v>
      </c>
      <c r="P57" s="64">
        <v>0.42</v>
      </c>
      <c r="Q57" s="64">
        <v>9.52</v>
      </c>
      <c r="R57" s="198"/>
      <c r="S57" s="198"/>
      <c r="T57" s="198"/>
      <c r="U57" s="198"/>
    </row>
    <row r="58" spans="1:21" s="12" customFormat="1" x14ac:dyDescent="0.25">
      <c r="A58" s="214" t="s">
        <v>2026</v>
      </c>
      <c r="B58" s="64">
        <v>8.2200000000000006</v>
      </c>
      <c r="C58" s="64">
        <v>3.54</v>
      </c>
      <c r="D58" s="64">
        <v>12.21</v>
      </c>
      <c r="E58" s="64">
        <v>3.6</v>
      </c>
      <c r="F58" s="64">
        <v>6.07</v>
      </c>
      <c r="G58" s="64">
        <v>49.07</v>
      </c>
      <c r="H58" s="64">
        <v>12.62</v>
      </c>
      <c r="I58" s="64">
        <v>2.38</v>
      </c>
      <c r="J58" s="64">
        <v>0.85</v>
      </c>
      <c r="K58" s="64">
        <v>333.5</v>
      </c>
      <c r="L58" s="64">
        <v>32.64</v>
      </c>
      <c r="M58" s="64">
        <v>55.62</v>
      </c>
      <c r="N58" s="64">
        <v>611.5</v>
      </c>
      <c r="O58" s="64">
        <v>0</v>
      </c>
      <c r="P58" s="64">
        <v>0.46</v>
      </c>
      <c r="Q58" s="64">
        <v>9.5500000000000007</v>
      </c>
      <c r="R58" s="198"/>
      <c r="S58" s="198"/>
      <c r="T58" s="198"/>
      <c r="U58" s="198"/>
    </row>
    <row r="59" spans="1:21" s="12" customFormat="1" x14ac:dyDescent="0.25">
      <c r="A59" s="214" t="s">
        <v>2027</v>
      </c>
      <c r="B59" s="64">
        <v>8.19</v>
      </c>
      <c r="C59" s="64">
        <v>3.35</v>
      </c>
      <c r="D59" s="64">
        <v>12.1</v>
      </c>
      <c r="E59" s="64">
        <v>3.28</v>
      </c>
      <c r="F59" s="64">
        <v>6.46</v>
      </c>
      <c r="G59" s="64">
        <v>57.56</v>
      </c>
      <c r="H59" s="64">
        <v>13.68</v>
      </c>
      <c r="I59" s="64">
        <v>2.5499999999999998</v>
      </c>
      <c r="J59" s="64">
        <v>0.62</v>
      </c>
      <c r="K59" s="64">
        <v>338.9</v>
      </c>
      <c r="L59" s="64">
        <v>32.340000000000003</v>
      </c>
      <c r="M59" s="64">
        <v>54.9</v>
      </c>
      <c r="N59" s="64">
        <v>832.4</v>
      </c>
      <c r="O59" s="64">
        <v>0</v>
      </c>
      <c r="P59" s="64">
        <v>0.47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4" t="s">
        <v>2028</v>
      </c>
      <c r="B60" s="64">
        <v>8.18</v>
      </c>
      <c r="C60" s="64">
        <v>3.35</v>
      </c>
      <c r="D60" s="64">
        <v>12.08</v>
      </c>
      <c r="E60" s="64">
        <v>3.71</v>
      </c>
      <c r="F60" s="64">
        <v>6.77</v>
      </c>
      <c r="G60" s="64">
        <v>57.56</v>
      </c>
      <c r="H60" s="64">
        <v>13.68</v>
      </c>
      <c r="I60" s="64">
        <v>2.56</v>
      </c>
      <c r="J60" s="64">
        <v>0.69</v>
      </c>
      <c r="K60" s="64">
        <v>333.57</v>
      </c>
      <c r="L60" s="64">
        <v>34.14</v>
      </c>
      <c r="M60" s="64">
        <v>51.59</v>
      </c>
      <c r="N60" s="64">
        <v>752.1</v>
      </c>
      <c r="O60" s="64">
        <v>0</v>
      </c>
      <c r="P60" s="64">
        <v>0.47</v>
      </c>
      <c r="Q60" s="64">
        <v>9.5500000000000007</v>
      </c>
      <c r="R60" s="198"/>
      <c r="S60" s="198"/>
      <c r="T60" s="198"/>
      <c r="U60" s="198"/>
    </row>
    <row r="61" spans="1:21" s="12" customFormat="1" x14ac:dyDescent="0.25">
      <c r="A61" s="214" t="s">
        <v>2029</v>
      </c>
      <c r="B61" s="64">
        <v>8.17</v>
      </c>
      <c r="C61" s="64">
        <v>3.31</v>
      </c>
      <c r="D61" s="64">
        <v>12.05</v>
      </c>
      <c r="E61" s="64">
        <v>3.6</v>
      </c>
      <c r="F61" s="64">
        <v>6.99</v>
      </c>
      <c r="G61" s="64">
        <v>57.56</v>
      </c>
      <c r="H61" s="64">
        <v>13.68</v>
      </c>
      <c r="I61" s="64">
        <v>2.4700000000000002</v>
      </c>
      <c r="J61" s="64">
        <v>0.85</v>
      </c>
      <c r="K61" s="64">
        <v>328.09</v>
      </c>
      <c r="L61" s="64">
        <v>34.44</v>
      </c>
      <c r="M61" s="64">
        <v>49.92</v>
      </c>
      <c r="N61" s="64">
        <v>794.3</v>
      </c>
      <c r="O61" s="64">
        <v>0</v>
      </c>
      <c r="P61" s="64">
        <v>0.45</v>
      </c>
      <c r="Q61" s="64">
        <v>9.52</v>
      </c>
      <c r="R61" s="198"/>
      <c r="S61" s="198"/>
      <c r="T61" s="198"/>
      <c r="U61" s="198"/>
    </row>
    <row r="62" spans="1:21" s="12" customFormat="1" x14ac:dyDescent="0.25">
      <c r="A62" s="214" t="s">
        <v>2030</v>
      </c>
      <c r="B62" s="64">
        <v>8.16</v>
      </c>
      <c r="C62" s="64">
        <v>3.17</v>
      </c>
      <c r="D62" s="64">
        <v>11.97</v>
      </c>
      <c r="E62" s="64">
        <v>3.55</v>
      </c>
      <c r="F62" s="64">
        <v>7.24</v>
      </c>
      <c r="G62" s="64">
        <v>55.5</v>
      </c>
      <c r="H62" s="64">
        <v>13.95</v>
      </c>
      <c r="I62" s="64">
        <v>2.44</v>
      </c>
      <c r="J62" s="64">
        <v>1.1299999999999999</v>
      </c>
      <c r="K62" s="64">
        <v>317.42</v>
      </c>
      <c r="L62" s="64">
        <v>34.630000000000003</v>
      </c>
      <c r="M62" s="64">
        <v>49.28</v>
      </c>
      <c r="N62" s="64">
        <v>637.9</v>
      </c>
      <c r="O62" s="64">
        <v>0</v>
      </c>
      <c r="P62" s="64">
        <v>0.46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4" t="s">
        <v>2031</v>
      </c>
      <c r="B63" s="64">
        <v>8.19</v>
      </c>
      <c r="C63" s="64">
        <v>3.35</v>
      </c>
      <c r="D63" s="64">
        <v>12.09</v>
      </c>
      <c r="E63" s="64">
        <v>3.66</v>
      </c>
      <c r="F63" s="64">
        <v>7.05</v>
      </c>
      <c r="G63" s="64">
        <v>53.62</v>
      </c>
      <c r="H63" s="64">
        <v>14.2</v>
      </c>
      <c r="I63" s="64">
        <v>2.38</v>
      </c>
      <c r="J63" s="64">
        <v>0.9</v>
      </c>
      <c r="K63" s="64">
        <v>325.67</v>
      </c>
      <c r="L63" s="64">
        <v>34.75</v>
      </c>
      <c r="M63" s="64">
        <v>49.13</v>
      </c>
      <c r="N63" s="64">
        <v>749</v>
      </c>
      <c r="O63" s="64">
        <v>0</v>
      </c>
      <c r="P63" s="64">
        <v>0.46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4" t="s">
        <v>2032</v>
      </c>
      <c r="B64" s="64">
        <v>8.3000000000000007</v>
      </c>
      <c r="C64" s="64">
        <v>3.9</v>
      </c>
      <c r="D64" s="64">
        <v>12.47</v>
      </c>
      <c r="E64" s="64">
        <v>3.51</v>
      </c>
      <c r="F64" s="64">
        <v>7.7</v>
      </c>
      <c r="G64" s="64">
        <v>53.62</v>
      </c>
      <c r="H64" s="64">
        <v>14.2</v>
      </c>
      <c r="I64" s="64">
        <v>2.3199999999999998</v>
      </c>
      <c r="J64" s="64">
        <v>0.86</v>
      </c>
      <c r="K64" s="64">
        <v>326.22000000000003</v>
      </c>
      <c r="L64" s="64">
        <v>34.92</v>
      </c>
      <c r="M64" s="64">
        <v>48.75</v>
      </c>
      <c r="N64" s="64">
        <v>747.6</v>
      </c>
      <c r="O64" s="64">
        <v>0</v>
      </c>
      <c r="P64" s="64">
        <v>0.46</v>
      </c>
      <c r="Q64" s="64">
        <v>9.5399999999999991</v>
      </c>
      <c r="R64" s="198"/>
      <c r="S64" s="198"/>
      <c r="T64" s="198"/>
      <c r="U64" s="198"/>
    </row>
    <row r="65" spans="1:21" s="12" customFormat="1" x14ac:dyDescent="0.25">
      <c r="A65" s="214" t="s">
        <v>2033</v>
      </c>
      <c r="B65" s="64">
        <v>8.2200000000000006</v>
      </c>
      <c r="C65" s="64">
        <v>3.55</v>
      </c>
      <c r="D65" s="64">
        <v>12.22</v>
      </c>
      <c r="E65" s="64">
        <v>3.31</v>
      </c>
      <c r="F65" s="64">
        <v>7.17</v>
      </c>
      <c r="G65" s="64">
        <v>53.62</v>
      </c>
      <c r="H65" s="64">
        <v>14.2</v>
      </c>
      <c r="I65" s="64">
        <v>2.29</v>
      </c>
      <c r="J65" s="64">
        <v>0.92</v>
      </c>
      <c r="K65" s="64">
        <v>327.86</v>
      </c>
      <c r="L65" s="64">
        <v>34.94</v>
      </c>
      <c r="M65" s="64">
        <v>47.79</v>
      </c>
      <c r="N65" s="64">
        <v>685.6</v>
      </c>
      <c r="O65" s="64">
        <v>0</v>
      </c>
      <c r="P65" s="64">
        <v>0.47</v>
      </c>
      <c r="Q65" s="64">
        <v>9.51</v>
      </c>
      <c r="R65" s="198"/>
      <c r="S65" s="198"/>
      <c r="T65" s="198"/>
      <c r="U65" s="198"/>
    </row>
    <row r="66" spans="1:21" s="12" customFormat="1" x14ac:dyDescent="0.25">
      <c r="A66" s="214" t="s">
        <v>2034</v>
      </c>
      <c r="B66" s="64">
        <v>8.16</v>
      </c>
      <c r="C66" s="64">
        <v>3.25</v>
      </c>
      <c r="D66" s="64">
        <v>12.01</v>
      </c>
      <c r="E66" s="64">
        <v>3.47</v>
      </c>
      <c r="F66" s="64">
        <v>7.35</v>
      </c>
      <c r="G66" s="64">
        <v>59.34</v>
      </c>
      <c r="H66" s="64">
        <v>17.690000000000001</v>
      </c>
      <c r="I66" s="64">
        <v>2.2599999999999998</v>
      </c>
      <c r="J66" s="64">
        <v>0.94</v>
      </c>
      <c r="K66" s="64">
        <v>323.33</v>
      </c>
      <c r="L66" s="64">
        <v>34.11</v>
      </c>
      <c r="M66" s="64">
        <v>49.27</v>
      </c>
      <c r="N66" s="64">
        <v>697.1</v>
      </c>
      <c r="O66" s="64">
        <v>0</v>
      </c>
      <c r="P66" s="64">
        <v>0.48</v>
      </c>
      <c r="Q66" s="64">
        <v>9.49</v>
      </c>
      <c r="R66" s="198"/>
      <c r="S66" s="198"/>
      <c r="T66" s="198"/>
      <c r="U66" s="198"/>
    </row>
    <row r="67" spans="1:21" s="12" customFormat="1" x14ac:dyDescent="0.25">
      <c r="A67" s="214" t="s">
        <v>2035</v>
      </c>
      <c r="B67" s="64">
        <v>8.18</v>
      </c>
      <c r="C67" s="64">
        <v>3.29</v>
      </c>
      <c r="D67" s="64">
        <v>12.05</v>
      </c>
      <c r="E67" s="64">
        <v>3.48</v>
      </c>
      <c r="F67" s="64">
        <v>6.78</v>
      </c>
      <c r="G67" s="64">
        <v>64.819999999999993</v>
      </c>
      <c r="H67" s="64">
        <v>21.02</v>
      </c>
      <c r="I67" s="64">
        <v>2.27</v>
      </c>
      <c r="J67" s="64">
        <v>1.06</v>
      </c>
      <c r="K67" s="64">
        <v>314</v>
      </c>
      <c r="L67" s="64">
        <v>34.43</v>
      </c>
      <c r="M67" s="64">
        <v>48.6</v>
      </c>
      <c r="N67" s="64">
        <v>534.9</v>
      </c>
      <c r="O67" s="64">
        <v>0</v>
      </c>
      <c r="P67" s="64">
        <v>0.47</v>
      </c>
      <c r="Q67" s="64">
        <v>9.44</v>
      </c>
      <c r="R67" s="198"/>
      <c r="S67" s="198"/>
      <c r="T67" s="198"/>
      <c r="U67" s="198"/>
    </row>
    <row r="68" spans="1:21" s="12" customFormat="1" x14ac:dyDescent="0.25">
      <c r="A68" s="214" t="s">
        <v>2036</v>
      </c>
      <c r="B68" s="64">
        <v>8.1999999999999993</v>
      </c>
      <c r="C68" s="64">
        <v>3.24</v>
      </c>
      <c r="D68" s="64">
        <v>12.04</v>
      </c>
      <c r="E68" s="64">
        <v>3.49</v>
      </c>
      <c r="F68" s="64">
        <v>6.98</v>
      </c>
      <c r="G68" s="64">
        <v>64.819999999999993</v>
      </c>
      <c r="H68" s="64">
        <v>21.02</v>
      </c>
      <c r="I68" s="64">
        <v>2.27</v>
      </c>
      <c r="J68" s="64">
        <v>1.31</v>
      </c>
      <c r="K68" s="64">
        <v>310.72000000000003</v>
      </c>
      <c r="L68" s="64">
        <v>34.74</v>
      </c>
      <c r="M68" s="64">
        <v>46.97</v>
      </c>
      <c r="N68" s="64">
        <v>267.8</v>
      </c>
      <c r="O68" s="64">
        <v>0</v>
      </c>
      <c r="P68" s="64">
        <v>0.46</v>
      </c>
      <c r="Q68" s="64">
        <v>9.4</v>
      </c>
      <c r="R68" s="198"/>
      <c r="S68" s="198"/>
      <c r="T68" s="198"/>
      <c r="U68" s="198"/>
    </row>
    <row r="69" spans="1:21" s="12" customFormat="1" x14ac:dyDescent="0.25">
      <c r="A69" s="214" t="s">
        <v>2037</v>
      </c>
      <c r="B69" s="64">
        <v>8.16</v>
      </c>
      <c r="C69" s="64">
        <v>3.1</v>
      </c>
      <c r="D69" s="64">
        <v>11.94</v>
      </c>
      <c r="E69" s="64">
        <v>3.39</v>
      </c>
      <c r="F69" s="64">
        <v>6.7</v>
      </c>
      <c r="G69" s="64">
        <v>64.819999999999993</v>
      </c>
      <c r="H69" s="64">
        <v>21.02</v>
      </c>
      <c r="I69" s="64">
        <v>2.25</v>
      </c>
      <c r="J69" s="64">
        <v>1.19</v>
      </c>
      <c r="K69" s="64">
        <v>314.79000000000002</v>
      </c>
      <c r="L69" s="64">
        <v>34.82</v>
      </c>
      <c r="M69" s="64">
        <v>46.21</v>
      </c>
      <c r="N69" s="64">
        <v>282.3</v>
      </c>
      <c r="O69" s="64">
        <v>0</v>
      </c>
      <c r="P69" s="64">
        <v>0.45</v>
      </c>
      <c r="Q69" s="64">
        <v>9.41</v>
      </c>
      <c r="R69" s="198"/>
      <c r="S69" s="198"/>
      <c r="T69" s="198"/>
      <c r="U69" s="198"/>
    </row>
    <row r="70" spans="1:21" s="12" customFormat="1" x14ac:dyDescent="0.25">
      <c r="A70" s="214" t="s">
        <v>2038</v>
      </c>
      <c r="B70" s="64">
        <v>8.1999999999999993</v>
      </c>
      <c r="C70" s="64">
        <v>3.24</v>
      </c>
      <c r="D70" s="64">
        <v>12.04</v>
      </c>
      <c r="E70" s="64">
        <v>3.32</v>
      </c>
      <c r="F70" s="64">
        <v>6.3</v>
      </c>
      <c r="G70" s="64">
        <v>59.06</v>
      </c>
      <c r="H70" s="64">
        <v>19.46</v>
      </c>
      <c r="I70" s="64">
        <v>2.23</v>
      </c>
      <c r="J70" s="64">
        <v>0.88</v>
      </c>
      <c r="K70" s="64">
        <v>315.8</v>
      </c>
      <c r="L70" s="64">
        <v>34.14</v>
      </c>
      <c r="M70" s="64">
        <v>47.77</v>
      </c>
      <c r="N70" s="64">
        <v>288.3</v>
      </c>
      <c r="O70" s="64">
        <v>0</v>
      </c>
      <c r="P70" s="64">
        <v>0.45</v>
      </c>
      <c r="Q70" s="64">
        <v>9.4</v>
      </c>
      <c r="R70" s="198"/>
      <c r="S70" s="198"/>
      <c r="T70" s="198"/>
      <c r="U70" s="198"/>
    </row>
    <row r="71" spans="1:21" s="12" customFormat="1" x14ac:dyDescent="0.25">
      <c r="A71" s="214" t="s">
        <v>2039</v>
      </c>
      <c r="B71" s="64">
        <v>8.1999999999999993</v>
      </c>
      <c r="C71" s="64">
        <v>3.26</v>
      </c>
      <c r="D71" s="64">
        <v>12.05</v>
      </c>
      <c r="E71" s="64">
        <v>3.34</v>
      </c>
      <c r="F71" s="64">
        <v>5.96</v>
      </c>
      <c r="G71" s="64">
        <v>53.78</v>
      </c>
      <c r="H71" s="64">
        <v>18.03</v>
      </c>
      <c r="I71" s="64">
        <v>2.2400000000000002</v>
      </c>
      <c r="J71" s="64">
        <v>1.18</v>
      </c>
      <c r="K71" s="64">
        <v>317.93</v>
      </c>
      <c r="L71" s="64">
        <v>33.96</v>
      </c>
      <c r="M71" s="64">
        <v>47.84</v>
      </c>
      <c r="N71" s="64">
        <v>204.5</v>
      </c>
      <c r="O71" s="64">
        <v>0</v>
      </c>
      <c r="P71" s="64">
        <v>0.44</v>
      </c>
      <c r="Q71" s="64">
        <v>9.44</v>
      </c>
      <c r="R71" s="198"/>
      <c r="S71" s="198"/>
      <c r="T71" s="198"/>
      <c r="U71" s="198"/>
    </row>
    <row r="72" spans="1:21" s="12" customFormat="1" x14ac:dyDescent="0.25">
      <c r="A72" s="214" t="s">
        <v>2040</v>
      </c>
      <c r="B72" s="64">
        <v>8.24</v>
      </c>
      <c r="C72" s="64">
        <v>3.37</v>
      </c>
      <c r="D72" s="64">
        <v>12.14</v>
      </c>
      <c r="E72" s="64">
        <v>4.67</v>
      </c>
      <c r="F72" s="64">
        <v>5.68</v>
      </c>
      <c r="G72" s="64">
        <v>53.78</v>
      </c>
      <c r="H72" s="64">
        <v>18.03</v>
      </c>
      <c r="I72" s="64">
        <v>2.27</v>
      </c>
      <c r="J72" s="64">
        <v>1.26</v>
      </c>
      <c r="K72" s="64">
        <v>316.42</v>
      </c>
      <c r="L72" s="64">
        <v>33.770000000000003</v>
      </c>
      <c r="M72" s="64">
        <v>48.49</v>
      </c>
      <c r="N72" s="64">
        <v>167.8</v>
      </c>
      <c r="O72" s="64">
        <v>0</v>
      </c>
      <c r="P72" s="64">
        <v>0.44</v>
      </c>
      <c r="Q72" s="64">
        <v>9.44</v>
      </c>
      <c r="R72" s="198"/>
      <c r="S72" s="198"/>
      <c r="T72" s="198"/>
      <c r="U72" s="198"/>
    </row>
    <row r="73" spans="1:21" s="12" customFormat="1" x14ac:dyDescent="0.25">
      <c r="A73" s="214" t="s">
        <v>2041</v>
      </c>
      <c r="B73" s="64">
        <v>8.2799999999999994</v>
      </c>
      <c r="C73" s="64">
        <v>3.56</v>
      </c>
      <c r="D73" s="64">
        <v>12.27</v>
      </c>
      <c r="E73" s="64">
        <v>3.9</v>
      </c>
      <c r="F73" s="64">
        <v>5.47</v>
      </c>
      <c r="G73" s="64">
        <v>53.78</v>
      </c>
      <c r="H73" s="64">
        <v>18.03</v>
      </c>
      <c r="I73" s="64">
        <v>2.27</v>
      </c>
      <c r="J73" s="64">
        <v>0.59</v>
      </c>
      <c r="K73" s="64">
        <v>320.79000000000002</v>
      </c>
      <c r="L73" s="64">
        <v>33.479999999999997</v>
      </c>
      <c r="M73" s="64">
        <v>48.41</v>
      </c>
      <c r="N73" s="64">
        <v>151.4</v>
      </c>
      <c r="O73" s="64">
        <v>0</v>
      </c>
      <c r="P73" s="64">
        <v>0.44</v>
      </c>
      <c r="Q73" s="64">
        <v>9.4600000000000009</v>
      </c>
      <c r="R73" s="198"/>
      <c r="S73" s="198"/>
      <c r="T73" s="198"/>
      <c r="U73" s="198"/>
    </row>
    <row r="74" spans="1:21" s="12" customFormat="1" x14ac:dyDescent="0.25">
      <c r="A74" s="214" t="s">
        <v>2042</v>
      </c>
      <c r="B74" s="64">
        <v>8.2899999999999991</v>
      </c>
      <c r="C74" s="64">
        <v>3.74</v>
      </c>
      <c r="D74" s="64">
        <v>12.38</v>
      </c>
      <c r="E74" s="64">
        <v>3.9</v>
      </c>
      <c r="F74" s="64">
        <v>5.45</v>
      </c>
      <c r="G74" s="64">
        <v>53.77</v>
      </c>
      <c r="H74" s="64">
        <v>15.89</v>
      </c>
      <c r="I74" s="64">
        <v>2.2799999999999998</v>
      </c>
      <c r="J74" s="64">
        <v>0.93</v>
      </c>
      <c r="K74" s="64">
        <v>316.62</v>
      </c>
      <c r="L74" s="64">
        <v>33.409999999999997</v>
      </c>
      <c r="M74" s="64">
        <v>48.8</v>
      </c>
      <c r="N74" s="64">
        <v>133.5</v>
      </c>
      <c r="O74" s="64">
        <v>0</v>
      </c>
      <c r="P74" s="64">
        <v>0.45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14" t="s">
        <v>2043</v>
      </c>
      <c r="B75" s="64">
        <v>8.2100000000000009</v>
      </c>
      <c r="C75" s="64">
        <v>3.49</v>
      </c>
      <c r="D75" s="64">
        <v>12.18</v>
      </c>
      <c r="E75" s="64">
        <v>3.96</v>
      </c>
      <c r="F75" s="64">
        <v>4.9800000000000004</v>
      </c>
      <c r="G75" s="64">
        <v>53.75</v>
      </c>
      <c r="H75" s="64">
        <v>13.93</v>
      </c>
      <c r="I75" s="64">
        <v>2.35</v>
      </c>
      <c r="J75" s="64">
        <v>0.74</v>
      </c>
      <c r="K75" s="64">
        <v>311.99</v>
      </c>
      <c r="L75" s="64">
        <v>33.11</v>
      </c>
      <c r="M75" s="64">
        <v>49.29</v>
      </c>
      <c r="N75" s="64">
        <v>110.5</v>
      </c>
      <c r="O75" s="64">
        <v>0</v>
      </c>
      <c r="P75" s="64">
        <v>0.46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2044</v>
      </c>
      <c r="B76" s="64">
        <v>8.16</v>
      </c>
      <c r="C76" s="64">
        <v>3.24</v>
      </c>
      <c r="D76" s="64">
        <v>12.01</v>
      </c>
      <c r="E76" s="64">
        <v>3.84</v>
      </c>
      <c r="F76" s="64">
        <v>5.04</v>
      </c>
      <c r="G76" s="64">
        <v>53.75</v>
      </c>
      <c r="H76" s="64">
        <v>13.93</v>
      </c>
      <c r="I76" s="64">
        <v>2.46</v>
      </c>
      <c r="J76" s="64">
        <v>0.61</v>
      </c>
      <c r="K76" s="64">
        <v>327.33999999999997</v>
      </c>
      <c r="L76" s="64">
        <v>32.79</v>
      </c>
      <c r="M76" s="64">
        <v>49.95</v>
      </c>
      <c r="N76" s="64">
        <v>104.4</v>
      </c>
      <c r="O76" s="64">
        <v>0</v>
      </c>
      <c r="P76" s="64">
        <v>0.47</v>
      </c>
      <c r="Q76" s="64">
        <v>9.57</v>
      </c>
      <c r="R76" s="198"/>
      <c r="S76" s="198"/>
      <c r="T76" s="198"/>
      <c r="U76" s="198"/>
    </row>
    <row r="77" spans="1:21" s="12" customFormat="1" x14ac:dyDescent="0.25">
      <c r="A77" s="214" t="s">
        <v>2045</v>
      </c>
      <c r="B77" s="64">
        <v>8.18</v>
      </c>
      <c r="C77" s="64">
        <v>3.3</v>
      </c>
      <c r="D77" s="64">
        <v>12.05</v>
      </c>
      <c r="E77" s="64">
        <v>3.75</v>
      </c>
      <c r="F77" s="64">
        <v>4.8499999999999996</v>
      </c>
      <c r="G77" s="64">
        <v>53.75</v>
      </c>
      <c r="H77" s="64">
        <v>13.93</v>
      </c>
      <c r="I77" s="64">
        <v>2.5099999999999998</v>
      </c>
      <c r="J77" s="64">
        <v>0.86</v>
      </c>
      <c r="K77" s="64">
        <v>318.8</v>
      </c>
      <c r="L77" s="64">
        <v>32.58</v>
      </c>
      <c r="M77" s="64">
        <v>50.7</v>
      </c>
      <c r="N77" s="64">
        <v>105.8</v>
      </c>
      <c r="O77" s="64">
        <v>0</v>
      </c>
      <c r="P77" s="64">
        <v>0.48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4" t="s">
        <v>2046</v>
      </c>
      <c r="B78" s="64">
        <v>8.2100000000000009</v>
      </c>
      <c r="C78" s="64">
        <v>3.43</v>
      </c>
      <c r="D78" s="64">
        <v>12.15</v>
      </c>
      <c r="E78" s="64">
        <v>3.66</v>
      </c>
      <c r="F78" s="64">
        <v>4.6399999999999997</v>
      </c>
      <c r="G78" s="64">
        <v>53.25</v>
      </c>
      <c r="H78" s="64">
        <v>14.03</v>
      </c>
      <c r="I78" s="64">
        <v>2.54</v>
      </c>
      <c r="J78" s="64">
        <v>1.07</v>
      </c>
      <c r="K78" s="64">
        <v>313.02</v>
      </c>
      <c r="L78" s="64">
        <v>32.33</v>
      </c>
      <c r="M78" s="64">
        <v>50.88</v>
      </c>
      <c r="N78" s="64">
        <v>93.8</v>
      </c>
      <c r="O78" s="64">
        <v>0</v>
      </c>
      <c r="P78" s="64">
        <v>0.49</v>
      </c>
      <c r="Q78" s="64">
        <v>9.5500000000000007</v>
      </c>
      <c r="R78" s="198"/>
      <c r="S78" s="198"/>
      <c r="T78" s="198"/>
      <c r="U78" s="198"/>
    </row>
    <row r="79" spans="1:21" s="12" customFormat="1" x14ac:dyDescent="0.25">
      <c r="A79" s="214" t="s">
        <v>2047</v>
      </c>
      <c r="B79" s="64">
        <v>8.2100000000000009</v>
      </c>
      <c r="C79" s="64">
        <v>3.41</v>
      </c>
      <c r="D79" s="64">
        <v>12.14</v>
      </c>
      <c r="E79" s="64">
        <v>3.6</v>
      </c>
      <c r="F79" s="64">
        <v>4.5599999999999996</v>
      </c>
      <c r="G79" s="64">
        <v>52.8</v>
      </c>
      <c r="H79" s="64">
        <v>14.12</v>
      </c>
      <c r="I79" s="64">
        <v>2.57</v>
      </c>
      <c r="J79" s="64">
        <v>1.07</v>
      </c>
      <c r="K79" s="64">
        <v>313.56</v>
      </c>
      <c r="L79" s="64">
        <v>31.99</v>
      </c>
      <c r="M79" s="64">
        <v>51.46</v>
      </c>
      <c r="N79" s="64">
        <v>76.7</v>
      </c>
      <c r="O79" s="64">
        <v>0</v>
      </c>
      <c r="P79" s="64">
        <v>0.5</v>
      </c>
      <c r="Q79" s="64">
        <v>9.58</v>
      </c>
      <c r="R79" s="198"/>
      <c r="S79" s="198"/>
      <c r="T79" s="198"/>
      <c r="U79" s="198"/>
    </row>
    <row r="80" spans="1:21" s="12" customFormat="1" x14ac:dyDescent="0.25">
      <c r="A80" s="214" t="s">
        <v>2048</v>
      </c>
      <c r="B80" s="64">
        <v>8.41</v>
      </c>
      <c r="C80" s="64">
        <v>4.38</v>
      </c>
      <c r="D80" s="64">
        <v>12.81</v>
      </c>
      <c r="E80" s="64">
        <v>3.91</v>
      </c>
      <c r="F80" s="64">
        <v>4.59</v>
      </c>
      <c r="G80" s="64">
        <v>52.8</v>
      </c>
      <c r="H80" s="64">
        <v>14.12</v>
      </c>
      <c r="I80" s="64">
        <v>2.57</v>
      </c>
      <c r="J80" s="64">
        <v>0.69</v>
      </c>
      <c r="K80" s="64">
        <v>335.29</v>
      </c>
      <c r="L80" s="64">
        <v>31.75</v>
      </c>
      <c r="M80" s="64">
        <v>50.79</v>
      </c>
      <c r="N80" s="64">
        <v>59</v>
      </c>
      <c r="O80" s="64">
        <v>0</v>
      </c>
      <c r="P80" s="64">
        <v>0.5</v>
      </c>
      <c r="Q80" s="64">
        <v>9.59</v>
      </c>
      <c r="R80" s="198"/>
      <c r="S80" s="198"/>
      <c r="T80" s="198"/>
      <c r="U80" s="198"/>
    </row>
    <row r="81" spans="1:26" s="12" customFormat="1" x14ac:dyDescent="0.25">
      <c r="A81" s="214" t="s">
        <v>2049</v>
      </c>
      <c r="B81" s="64">
        <v>8.2200000000000006</v>
      </c>
      <c r="C81" s="64">
        <v>3.45</v>
      </c>
      <c r="D81" s="64">
        <v>12.17</v>
      </c>
      <c r="E81" s="64">
        <v>3.81</v>
      </c>
      <c r="F81" s="64">
        <v>5.84</v>
      </c>
      <c r="G81" s="64">
        <v>52.8</v>
      </c>
      <c r="H81" s="64">
        <v>14.12</v>
      </c>
      <c r="I81" s="64">
        <v>2.56</v>
      </c>
      <c r="J81" s="64">
        <v>1.1299999999999999</v>
      </c>
      <c r="K81" s="64">
        <v>9.91</v>
      </c>
      <c r="L81" s="64">
        <v>29.16</v>
      </c>
      <c r="M81" s="64">
        <v>62.99</v>
      </c>
      <c r="N81" s="64">
        <v>42.9</v>
      </c>
      <c r="O81" s="64">
        <v>0</v>
      </c>
      <c r="P81" s="64">
        <v>0.48</v>
      </c>
      <c r="Q81" s="64">
        <v>9.59</v>
      </c>
      <c r="R81" s="198"/>
      <c r="S81" s="198"/>
      <c r="T81" s="198"/>
      <c r="U81" s="198"/>
    </row>
    <row r="82" spans="1:26" s="12" customFormat="1" x14ac:dyDescent="0.25">
      <c r="A82" s="214" t="s">
        <v>2050</v>
      </c>
      <c r="B82" s="64">
        <v>8.14</v>
      </c>
      <c r="C82" s="64">
        <v>3.2</v>
      </c>
      <c r="D82" s="64">
        <v>11.97</v>
      </c>
      <c r="E82" s="64">
        <v>3.65</v>
      </c>
      <c r="F82" s="64">
        <v>8.33</v>
      </c>
      <c r="G82" s="64">
        <v>60.61</v>
      </c>
      <c r="H82" s="64">
        <v>15.56</v>
      </c>
      <c r="I82" s="64">
        <v>2.57</v>
      </c>
      <c r="J82" s="64">
        <v>1.05</v>
      </c>
      <c r="K82" s="64">
        <v>1.98</v>
      </c>
      <c r="L82" s="64">
        <v>27.16</v>
      </c>
      <c r="M82" s="64">
        <v>70.97</v>
      </c>
      <c r="N82" s="64">
        <v>33.5</v>
      </c>
      <c r="O82" s="64">
        <v>0</v>
      </c>
      <c r="P82" s="64">
        <v>0.45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2051</v>
      </c>
      <c r="B83" s="64">
        <v>8.15</v>
      </c>
      <c r="C83" s="64">
        <v>3.19</v>
      </c>
      <c r="D83" s="64">
        <v>11.98</v>
      </c>
      <c r="E83" s="64">
        <v>3.87</v>
      </c>
      <c r="F83" s="64">
        <v>7.87</v>
      </c>
      <c r="G83" s="64">
        <v>68.069999999999993</v>
      </c>
      <c r="H83" s="64">
        <v>16.93</v>
      </c>
      <c r="I83" s="64">
        <v>2.5299999999999998</v>
      </c>
      <c r="J83" s="64">
        <v>0.6</v>
      </c>
      <c r="K83" s="64">
        <v>4.1900000000000004</v>
      </c>
      <c r="L83" s="64">
        <v>26.02</v>
      </c>
      <c r="M83" s="64">
        <v>77.11</v>
      </c>
      <c r="N83" s="64">
        <v>26.7</v>
      </c>
      <c r="O83" s="64">
        <v>0</v>
      </c>
      <c r="P83" s="64">
        <v>0.44</v>
      </c>
      <c r="Q83" s="64">
        <v>9.58</v>
      </c>
      <c r="R83" s="198"/>
      <c r="S83" s="198"/>
      <c r="T83" s="198"/>
      <c r="U83" s="198"/>
    </row>
    <row r="84" spans="1:26" s="12" customFormat="1" x14ac:dyDescent="0.25">
      <c r="A84" s="214" t="s">
        <v>2052</v>
      </c>
      <c r="B84" s="64">
        <v>8.17</v>
      </c>
      <c r="C84" s="64">
        <v>3.29</v>
      </c>
      <c r="D84" s="64">
        <v>12.04</v>
      </c>
      <c r="E84" s="64">
        <v>3.89</v>
      </c>
      <c r="F84" s="64">
        <v>7.98</v>
      </c>
      <c r="G84" s="64">
        <v>68.069999999999993</v>
      </c>
      <c r="H84" s="64">
        <v>16.93</v>
      </c>
      <c r="I84" s="64">
        <v>2.36</v>
      </c>
      <c r="J84" s="64">
        <v>0.77</v>
      </c>
      <c r="K84" s="64">
        <v>17.350000000000001</v>
      </c>
      <c r="L84" s="64">
        <v>25.11</v>
      </c>
      <c r="M84" s="64">
        <v>83.02</v>
      </c>
      <c r="N84" s="64">
        <v>25.2</v>
      </c>
      <c r="O84" s="64">
        <v>0</v>
      </c>
      <c r="P84" s="64">
        <v>0.44</v>
      </c>
      <c r="Q84" s="64">
        <v>9.5399999999999991</v>
      </c>
      <c r="R84" s="198"/>
      <c r="S84" s="198"/>
      <c r="T84" s="198"/>
      <c r="U84" s="198"/>
    </row>
    <row r="85" spans="1:26" s="12" customFormat="1" x14ac:dyDescent="0.25">
      <c r="A85" s="214" t="s">
        <v>2053</v>
      </c>
      <c r="B85" s="64">
        <v>8.16</v>
      </c>
      <c r="C85" s="64">
        <v>3.22</v>
      </c>
      <c r="D85" s="64">
        <v>12.01</v>
      </c>
      <c r="E85" s="64">
        <v>3.86</v>
      </c>
      <c r="F85" s="64">
        <v>6.37</v>
      </c>
      <c r="G85" s="64">
        <v>68.069999999999993</v>
      </c>
      <c r="H85" s="64">
        <v>16.93</v>
      </c>
      <c r="I85" s="64">
        <v>2.36</v>
      </c>
      <c r="J85" s="64">
        <v>0.59</v>
      </c>
      <c r="K85" s="64">
        <v>13.25</v>
      </c>
      <c r="L85" s="64">
        <v>24.95</v>
      </c>
      <c r="M85" s="64">
        <v>83.33</v>
      </c>
      <c r="N85" s="64">
        <v>24.2</v>
      </c>
      <c r="O85" s="64">
        <v>0</v>
      </c>
      <c r="P85" s="64">
        <v>0.46</v>
      </c>
      <c r="Q85" s="64">
        <v>9.52</v>
      </c>
      <c r="R85" s="198"/>
      <c r="S85" s="198"/>
      <c r="T85" s="198"/>
      <c r="U85" s="198"/>
    </row>
    <row r="86" spans="1:26" s="12" customFormat="1" x14ac:dyDescent="0.25">
      <c r="A86" s="214" t="s">
        <v>2054</v>
      </c>
      <c r="B86" s="64">
        <v>8.18</v>
      </c>
      <c r="C86" s="64">
        <v>3.25</v>
      </c>
      <c r="D86" s="64">
        <v>12.03</v>
      </c>
      <c r="E86" s="64">
        <v>4.2699999999999996</v>
      </c>
      <c r="F86" s="64">
        <v>5.79</v>
      </c>
      <c r="G86" s="64">
        <v>67.930000000000007</v>
      </c>
      <c r="H86" s="64">
        <v>17.149999999999999</v>
      </c>
      <c r="I86" s="64">
        <v>2.5</v>
      </c>
      <c r="J86" s="64">
        <v>0.4</v>
      </c>
      <c r="K86" s="64">
        <v>10.83</v>
      </c>
      <c r="L86" s="64">
        <v>24.95</v>
      </c>
      <c r="M86" s="64">
        <v>83.45</v>
      </c>
      <c r="N86" s="64">
        <v>23.9</v>
      </c>
      <c r="O86" s="64">
        <v>0</v>
      </c>
      <c r="P86" s="64">
        <v>0.54</v>
      </c>
      <c r="Q86" s="64">
        <v>9.44</v>
      </c>
      <c r="R86" s="198"/>
      <c r="S86" s="198"/>
      <c r="T86" s="198"/>
      <c r="U86" s="198"/>
    </row>
    <row r="87" spans="1:26" s="12" customFormat="1" x14ac:dyDescent="0.25">
      <c r="A87" s="214" t="s">
        <v>2055</v>
      </c>
      <c r="B87" s="64">
        <v>8.2200000000000006</v>
      </c>
      <c r="C87" s="64">
        <v>3.43</v>
      </c>
      <c r="D87" s="64">
        <v>12.16</v>
      </c>
      <c r="E87" s="64">
        <v>3.74</v>
      </c>
      <c r="F87" s="64">
        <v>4.75</v>
      </c>
      <c r="G87" s="64">
        <v>67.8</v>
      </c>
      <c r="H87" s="64">
        <v>17.350000000000001</v>
      </c>
      <c r="I87" s="64">
        <v>2.7</v>
      </c>
      <c r="J87" s="64">
        <v>0.09</v>
      </c>
      <c r="K87" s="64">
        <v>129.47</v>
      </c>
      <c r="L87" s="64">
        <v>24.86</v>
      </c>
      <c r="M87" s="64">
        <v>85.29</v>
      </c>
      <c r="N87" s="64">
        <v>24.1</v>
      </c>
      <c r="O87" s="64">
        <v>0</v>
      </c>
      <c r="P87" s="64">
        <v>0.56999999999999995</v>
      </c>
      <c r="Q87" s="64">
        <v>9.49</v>
      </c>
      <c r="R87" s="198"/>
      <c r="S87" s="198"/>
      <c r="T87" s="198"/>
      <c r="U87" s="198"/>
    </row>
    <row r="88" spans="1:26" s="12" customFormat="1" x14ac:dyDescent="0.25">
      <c r="A88" s="214" t="s">
        <v>2056</v>
      </c>
      <c r="B88" s="64">
        <v>8.2100000000000009</v>
      </c>
      <c r="C88" s="64">
        <v>3.37</v>
      </c>
      <c r="D88" s="64">
        <v>12.12</v>
      </c>
      <c r="E88" s="64">
        <v>4.09</v>
      </c>
      <c r="F88" s="64">
        <v>4.54</v>
      </c>
      <c r="G88" s="64">
        <v>67.8</v>
      </c>
      <c r="H88" s="64">
        <v>17.350000000000001</v>
      </c>
      <c r="I88" s="64">
        <v>3.02</v>
      </c>
      <c r="J88" s="64">
        <v>0.81</v>
      </c>
      <c r="K88" s="64">
        <v>169.65</v>
      </c>
      <c r="L88" s="64">
        <v>24.56</v>
      </c>
      <c r="M88" s="64">
        <v>87.17</v>
      </c>
      <c r="N88" s="64">
        <v>24.1</v>
      </c>
      <c r="O88" s="64">
        <v>0</v>
      </c>
      <c r="P88" s="64">
        <v>0.56000000000000005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4" t="s">
        <v>2057</v>
      </c>
      <c r="B89" s="64">
        <v>8.2100000000000009</v>
      </c>
      <c r="C89" s="64">
        <v>3.32</v>
      </c>
      <c r="D89" s="64">
        <v>12.09</v>
      </c>
      <c r="E89" s="64">
        <v>4.49</v>
      </c>
      <c r="F89" s="64">
        <v>4.0199999999999996</v>
      </c>
      <c r="G89" s="64">
        <v>67.8</v>
      </c>
      <c r="H89" s="64">
        <v>17.350000000000001</v>
      </c>
      <c r="I89" s="64">
        <v>3.36</v>
      </c>
      <c r="J89" s="64">
        <v>0.26</v>
      </c>
      <c r="K89" s="64">
        <v>183.98</v>
      </c>
      <c r="L89" s="64">
        <v>24.59</v>
      </c>
      <c r="M89" s="64">
        <v>87.41</v>
      </c>
      <c r="N89" s="64">
        <v>23.8</v>
      </c>
      <c r="O89" s="64">
        <v>0</v>
      </c>
      <c r="P89" s="64">
        <v>0.54</v>
      </c>
      <c r="Q89" s="64">
        <v>9.48</v>
      </c>
      <c r="R89" s="198"/>
      <c r="S89" s="198"/>
      <c r="T89" s="198"/>
      <c r="U89" s="198"/>
    </row>
    <row r="90" spans="1:26" s="12" customFormat="1" x14ac:dyDescent="0.25">
      <c r="A90" s="214" t="s">
        <v>2058</v>
      </c>
      <c r="B90" s="64">
        <v>8.2100000000000009</v>
      </c>
      <c r="C90" s="64">
        <v>3.24</v>
      </c>
      <c r="D90" s="64">
        <v>12.05</v>
      </c>
      <c r="E90" s="64">
        <v>4.7699999999999996</v>
      </c>
      <c r="F90" s="64">
        <v>3.58</v>
      </c>
      <c r="G90" s="64">
        <v>63.26</v>
      </c>
      <c r="H90" s="64">
        <v>15.91</v>
      </c>
      <c r="I90" s="64">
        <v>3.59</v>
      </c>
      <c r="J90" s="64">
        <v>0.41</v>
      </c>
      <c r="K90" s="64">
        <v>12.46</v>
      </c>
      <c r="L90" s="64">
        <v>24.7</v>
      </c>
      <c r="M90" s="64">
        <v>87.11</v>
      </c>
      <c r="N90" s="64">
        <v>24</v>
      </c>
      <c r="O90" s="64">
        <v>0</v>
      </c>
      <c r="P90" s="64">
        <v>0.54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14" t="s">
        <v>2059</v>
      </c>
      <c r="B91" s="64">
        <v>8.23</v>
      </c>
      <c r="C91" s="64">
        <v>3.42</v>
      </c>
      <c r="D91" s="64">
        <v>12.16</v>
      </c>
      <c r="E91" s="64">
        <v>4.37</v>
      </c>
      <c r="F91" s="64">
        <v>3.88</v>
      </c>
      <c r="G91" s="64">
        <v>59.11</v>
      </c>
      <c r="H91" s="64">
        <v>14.59</v>
      </c>
      <c r="I91" s="64">
        <v>3.72</v>
      </c>
      <c r="J91" s="64">
        <v>0.08</v>
      </c>
      <c r="K91" s="64">
        <v>236.06</v>
      </c>
      <c r="L91" s="64">
        <v>24.66</v>
      </c>
      <c r="M91" s="64">
        <v>86.97</v>
      </c>
      <c r="N91" s="64">
        <v>24.1</v>
      </c>
      <c r="O91" s="64">
        <v>0</v>
      </c>
      <c r="P91" s="64">
        <v>0.54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14" t="s">
        <v>2060</v>
      </c>
      <c r="B92" s="64">
        <v>8.25</v>
      </c>
      <c r="C92" s="64">
        <v>3.53</v>
      </c>
      <c r="D92" s="64">
        <v>12.23</v>
      </c>
      <c r="E92" s="64">
        <v>4.45</v>
      </c>
      <c r="F92" s="64">
        <v>4.28</v>
      </c>
      <c r="G92" s="64">
        <v>59.11</v>
      </c>
      <c r="H92" s="64">
        <v>14.59</v>
      </c>
      <c r="I92" s="64">
        <v>3.91</v>
      </c>
      <c r="J92" s="64">
        <v>0.31</v>
      </c>
      <c r="K92" s="64">
        <v>199.99</v>
      </c>
      <c r="L92" s="64">
        <v>24.66</v>
      </c>
      <c r="M92" s="64">
        <v>86.68</v>
      </c>
      <c r="N92" s="64">
        <v>24.2</v>
      </c>
      <c r="O92" s="64">
        <v>0</v>
      </c>
      <c r="P92" s="64">
        <v>0.54</v>
      </c>
      <c r="Q92" s="64">
        <v>9.5</v>
      </c>
      <c r="R92" s="198"/>
      <c r="S92" s="198"/>
      <c r="T92" s="198"/>
      <c r="U92" s="198"/>
    </row>
    <row r="93" spans="1:26" s="12" customFormat="1" x14ac:dyDescent="0.25">
      <c r="A93" s="214" t="s">
        <v>2061</v>
      </c>
      <c r="B93" s="64">
        <v>8.32</v>
      </c>
      <c r="C93" s="64">
        <v>3.98</v>
      </c>
      <c r="D93" s="64">
        <v>12.53</v>
      </c>
      <c r="E93" s="64">
        <v>4.55</v>
      </c>
      <c r="F93" s="64">
        <v>4.2699999999999996</v>
      </c>
      <c r="G93" s="64">
        <v>59.11</v>
      </c>
      <c r="H93" s="64">
        <v>14.59</v>
      </c>
      <c r="I93" s="64">
        <v>4.0599999999999996</v>
      </c>
      <c r="J93" s="64">
        <v>0.36</v>
      </c>
      <c r="K93" s="64">
        <v>25.71</v>
      </c>
      <c r="L93" s="64">
        <v>24.51</v>
      </c>
      <c r="M93" s="64">
        <v>86.83</v>
      </c>
      <c r="N93" s="64">
        <v>24.3</v>
      </c>
      <c r="O93" s="64">
        <v>0</v>
      </c>
      <c r="P93" s="64">
        <v>0.52</v>
      </c>
      <c r="Q93" s="64">
        <v>9.5500000000000007</v>
      </c>
      <c r="R93" s="198"/>
      <c r="S93" s="198"/>
      <c r="T93" s="198"/>
      <c r="U93" s="198"/>
    </row>
    <row r="94" spans="1:26" s="12" customFormat="1" x14ac:dyDescent="0.25">
      <c r="A94" s="214" t="s">
        <v>2062</v>
      </c>
      <c r="B94" s="64">
        <v>8.2100000000000009</v>
      </c>
      <c r="C94" s="64">
        <v>3.49</v>
      </c>
      <c r="D94" s="64">
        <v>12.18</v>
      </c>
      <c r="E94" s="64">
        <v>4.53</v>
      </c>
      <c r="F94" s="64">
        <v>4.9800000000000004</v>
      </c>
      <c r="G94" s="64">
        <v>54.19</v>
      </c>
      <c r="H94" s="64">
        <v>15.16</v>
      </c>
      <c r="I94" s="64">
        <v>4.07</v>
      </c>
      <c r="J94" s="64">
        <v>0.18</v>
      </c>
      <c r="K94" s="64">
        <v>38.770000000000003</v>
      </c>
      <c r="L94" s="64">
        <v>24.51</v>
      </c>
      <c r="M94" s="64">
        <v>86.39</v>
      </c>
      <c r="N94" s="64">
        <v>24.3</v>
      </c>
      <c r="O94" s="64">
        <v>0</v>
      </c>
      <c r="P94" s="64">
        <v>0.5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14" t="s">
        <v>2063</v>
      </c>
      <c r="B95" s="64">
        <v>8.16</v>
      </c>
      <c r="C95" s="64">
        <v>3.19</v>
      </c>
      <c r="D95" s="64">
        <v>11.98</v>
      </c>
      <c r="E95" s="64">
        <v>4.5599999999999996</v>
      </c>
      <c r="F95" s="64">
        <v>4.09</v>
      </c>
      <c r="G95" s="64">
        <v>49.48</v>
      </c>
      <c r="H95" s="64">
        <v>15.7</v>
      </c>
      <c r="I95" s="64">
        <v>3.9</v>
      </c>
      <c r="J95" s="64">
        <v>0.64</v>
      </c>
      <c r="K95" s="64">
        <v>22.35</v>
      </c>
      <c r="L95" s="64">
        <v>24.43</v>
      </c>
      <c r="M95" s="64">
        <v>87.25</v>
      </c>
      <c r="N95" s="64">
        <v>24.4</v>
      </c>
      <c r="O95" s="64">
        <v>0</v>
      </c>
      <c r="P95" s="64">
        <v>0.49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4" t="s">
        <v>2064</v>
      </c>
      <c r="B96" s="64">
        <v>8.15</v>
      </c>
      <c r="C96" s="64">
        <v>3.16</v>
      </c>
      <c r="D96" s="64">
        <v>11.96</v>
      </c>
      <c r="E96" s="64">
        <v>4.3</v>
      </c>
      <c r="F96" s="64">
        <v>4.58</v>
      </c>
      <c r="G96" s="64">
        <v>49.48</v>
      </c>
      <c r="H96" s="64">
        <v>15.7</v>
      </c>
      <c r="I96" s="64">
        <v>3.73</v>
      </c>
      <c r="J96" s="64">
        <v>0.12</v>
      </c>
      <c r="K96" s="64">
        <v>179.03</v>
      </c>
      <c r="L96" s="64">
        <v>24.38</v>
      </c>
      <c r="M96" s="64">
        <v>87.34</v>
      </c>
      <c r="N96" s="64">
        <v>24.5</v>
      </c>
      <c r="O96" s="64">
        <v>0</v>
      </c>
      <c r="P96" s="64">
        <v>0.47</v>
      </c>
      <c r="Q96" s="64">
        <v>9.48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2065</v>
      </c>
      <c r="B97" s="64">
        <v>8.15</v>
      </c>
      <c r="C97" s="64">
        <v>3.21</v>
      </c>
      <c r="D97" s="64">
        <v>11.99</v>
      </c>
      <c r="E97" s="64">
        <v>4.8499999999999996</v>
      </c>
      <c r="F97" s="64">
        <v>4.82</v>
      </c>
      <c r="G97" s="64">
        <v>49.48</v>
      </c>
      <c r="H97" s="64">
        <v>15.7</v>
      </c>
      <c r="I97" s="64">
        <v>3.58</v>
      </c>
      <c r="J97" s="64">
        <v>0.19</v>
      </c>
      <c r="K97" s="64">
        <v>353.82</v>
      </c>
      <c r="L97" s="64">
        <v>24.32</v>
      </c>
      <c r="M97" s="64">
        <v>86.98</v>
      </c>
      <c r="N97" s="64">
        <v>24.5</v>
      </c>
      <c r="O97" s="64">
        <v>0</v>
      </c>
      <c r="P97" s="64">
        <v>0.46</v>
      </c>
      <c r="Q97" s="64">
        <v>9.5500000000000007</v>
      </c>
      <c r="R97" s="198"/>
      <c r="S97" s="198"/>
      <c r="T97" s="198"/>
      <c r="U97" s="198"/>
    </row>
    <row r="98" spans="1:33" s="12" customFormat="1" x14ac:dyDescent="0.25">
      <c r="A98" s="214" t="s">
        <v>2066</v>
      </c>
      <c r="B98" s="64">
        <v>8.15</v>
      </c>
      <c r="C98" s="64">
        <v>3.18</v>
      </c>
      <c r="D98" s="64">
        <v>11.97</v>
      </c>
      <c r="E98" s="64">
        <v>5</v>
      </c>
      <c r="F98" s="64">
        <v>4.0199999999999996</v>
      </c>
      <c r="G98" s="64">
        <v>44.49</v>
      </c>
      <c r="H98" s="64">
        <v>15.31</v>
      </c>
      <c r="I98" s="64">
        <v>3.29</v>
      </c>
      <c r="J98" s="64">
        <v>0.09</v>
      </c>
      <c r="K98" s="64">
        <v>47.07</v>
      </c>
      <c r="L98" s="64">
        <v>24.28</v>
      </c>
      <c r="M98" s="64">
        <v>85.88</v>
      </c>
      <c r="N98" s="64">
        <v>24.5</v>
      </c>
      <c r="O98" s="64">
        <v>0</v>
      </c>
      <c r="P98" s="64">
        <v>0.42</v>
      </c>
      <c r="Q98" s="64">
        <v>9.5</v>
      </c>
      <c r="R98" s="198"/>
      <c r="S98" s="198"/>
      <c r="T98" s="198"/>
      <c r="U98" s="198"/>
    </row>
    <row r="99" spans="1:33" s="12" customFormat="1" x14ac:dyDescent="0.25">
      <c r="A99" s="214" t="s">
        <v>2067</v>
      </c>
      <c r="B99" s="64">
        <v>8.2799999999999994</v>
      </c>
      <c r="C99" s="64">
        <v>3.65</v>
      </c>
      <c r="D99" s="64">
        <v>12.33</v>
      </c>
      <c r="E99" s="64">
        <v>5.07</v>
      </c>
      <c r="F99" s="64">
        <v>4.68</v>
      </c>
      <c r="G99" s="64">
        <v>39.94</v>
      </c>
      <c r="H99" s="64">
        <v>14.95</v>
      </c>
      <c r="I99" s="64">
        <v>3.18</v>
      </c>
      <c r="J99" s="64">
        <v>0.22</v>
      </c>
      <c r="K99" s="64">
        <v>201.38</v>
      </c>
      <c r="L99" s="64">
        <v>24.25</v>
      </c>
      <c r="M99" s="64">
        <v>84.9</v>
      </c>
      <c r="N99" s="64">
        <v>24.5</v>
      </c>
      <c r="O99" s="64">
        <v>0</v>
      </c>
      <c r="P99" s="64">
        <v>0.42</v>
      </c>
      <c r="Q99" s="64">
        <v>9.51</v>
      </c>
      <c r="R99" s="198"/>
      <c r="S99" s="198"/>
      <c r="T99" s="198"/>
      <c r="U99" s="198"/>
    </row>
    <row r="100" spans="1:33" s="12" customFormat="1" x14ac:dyDescent="0.25">
      <c r="A100" s="214" t="s">
        <v>2068</v>
      </c>
      <c r="B100" s="64">
        <v>8.25</v>
      </c>
      <c r="C100" s="64">
        <v>3.53</v>
      </c>
      <c r="D100" s="64">
        <v>12.23</v>
      </c>
      <c r="E100" s="64">
        <v>4.68</v>
      </c>
      <c r="F100" s="64">
        <v>3.81</v>
      </c>
      <c r="G100" s="64">
        <v>39.94</v>
      </c>
      <c r="H100" s="64">
        <v>14.95</v>
      </c>
      <c r="I100" s="64">
        <v>3.15</v>
      </c>
      <c r="J100" s="64">
        <v>0.47</v>
      </c>
      <c r="K100" s="64">
        <v>198.9</v>
      </c>
      <c r="L100" s="64">
        <v>24.2</v>
      </c>
      <c r="M100" s="64">
        <v>85.4</v>
      </c>
      <c r="N100" s="64">
        <v>24.6</v>
      </c>
      <c r="O100" s="64">
        <v>0</v>
      </c>
      <c r="P100" s="64">
        <v>0.39</v>
      </c>
      <c r="Q100" s="64">
        <v>9.48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2069</v>
      </c>
      <c r="B101" s="64">
        <v>8.18</v>
      </c>
      <c r="C101" s="64">
        <v>3.3</v>
      </c>
      <c r="D101" s="64">
        <v>12.06</v>
      </c>
      <c r="E101" s="64">
        <v>4.49</v>
      </c>
      <c r="F101" s="64">
        <v>4.7</v>
      </c>
      <c r="G101" s="64">
        <v>39.94</v>
      </c>
      <c r="H101" s="64">
        <v>14.95</v>
      </c>
      <c r="I101" s="64">
        <v>3.09</v>
      </c>
      <c r="J101" s="64">
        <v>0.52</v>
      </c>
      <c r="K101" s="64">
        <v>201.66</v>
      </c>
      <c r="L101" s="64">
        <v>24.12</v>
      </c>
      <c r="M101" s="64">
        <v>86.37</v>
      </c>
      <c r="N101" s="64">
        <v>24.8</v>
      </c>
      <c r="O101" s="64">
        <v>0</v>
      </c>
      <c r="P101" s="64">
        <v>0.37</v>
      </c>
      <c r="Q101" s="64">
        <v>9.5</v>
      </c>
      <c r="R101" s="198"/>
      <c r="S101" s="198"/>
      <c r="T101" s="198"/>
      <c r="U101" s="198"/>
    </row>
    <row r="102" spans="1:33" s="12" customFormat="1" x14ac:dyDescent="0.25">
      <c r="A102" s="214" t="s">
        <v>2070</v>
      </c>
      <c r="B102" s="64">
        <v>8.15</v>
      </c>
      <c r="C102" s="64">
        <v>3.25</v>
      </c>
      <c r="D102" s="64">
        <v>12.01</v>
      </c>
      <c r="E102" s="64">
        <v>4.49</v>
      </c>
      <c r="F102" s="64">
        <v>3.48</v>
      </c>
      <c r="G102" s="64">
        <v>37.28</v>
      </c>
      <c r="H102" s="64">
        <v>13.65</v>
      </c>
      <c r="I102" s="64">
        <v>2.99</v>
      </c>
      <c r="J102" s="64">
        <v>0.37</v>
      </c>
      <c r="K102" s="64">
        <v>190.48</v>
      </c>
      <c r="L102" s="64">
        <v>24.08</v>
      </c>
      <c r="M102" s="64">
        <v>88.08</v>
      </c>
      <c r="N102" s="64">
        <v>24.9</v>
      </c>
      <c r="O102" s="64">
        <v>0</v>
      </c>
      <c r="P102" s="64">
        <v>0.36</v>
      </c>
      <c r="Q102" s="64">
        <v>9.51</v>
      </c>
      <c r="R102" s="198"/>
      <c r="S102" s="198"/>
      <c r="T102" s="198"/>
      <c r="U102" s="198"/>
    </row>
    <row r="103" spans="1:33" s="12" customFormat="1" x14ac:dyDescent="0.25">
      <c r="A103" s="214" t="s">
        <v>2071</v>
      </c>
      <c r="B103" s="64">
        <v>8.15</v>
      </c>
      <c r="C103" s="64">
        <v>3.19</v>
      </c>
      <c r="D103" s="64">
        <v>11.98</v>
      </c>
      <c r="E103" s="64">
        <v>4.59</v>
      </c>
      <c r="F103" s="64">
        <v>3.77</v>
      </c>
      <c r="G103" s="64">
        <v>34.86</v>
      </c>
      <c r="H103" s="64">
        <v>12.41</v>
      </c>
      <c r="I103" s="64">
        <v>2.95</v>
      </c>
      <c r="J103" s="64">
        <v>0.22</v>
      </c>
      <c r="K103" s="64">
        <v>211.59</v>
      </c>
      <c r="L103" s="64">
        <v>24.1</v>
      </c>
      <c r="M103" s="64">
        <v>87.58</v>
      </c>
      <c r="N103" s="64">
        <v>24.8</v>
      </c>
      <c r="O103" s="64">
        <v>0</v>
      </c>
      <c r="P103" s="64">
        <v>0.34</v>
      </c>
      <c r="Q103" s="64">
        <v>9.4600000000000009</v>
      </c>
      <c r="R103" s="198"/>
      <c r="S103" s="198"/>
      <c r="T103" s="198"/>
      <c r="U103" s="198"/>
    </row>
    <row r="104" spans="1:33" s="12" customFormat="1" x14ac:dyDescent="0.25">
      <c r="A104" s="214" t="s">
        <v>2072</v>
      </c>
      <c r="B104" s="64">
        <v>8.17</v>
      </c>
      <c r="C104" s="64">
        <v>3.19</v>
      </c>
      <c r="D104" s="64">
        <v>11.99</v>
      </c>
      <c r="E104" s="64">
        <v>3.96</v>
      </c>
      <c r="F104" s="64">
        <v>3.95</v>
      </c>
      <c r="G104" s="64">
        <v>34.86</v>
      </c>
      <c r="H104" s="64">
        <v>12.41</v>
      </c>
      <c r="I104" s="64">
        <v>2.94</v>
      </c>
      <c r="J104" s="64">
        <v>0.2</v>
      </c>
      <c r="K104" s="64">
        <v>219.34</v>
      </c>
      <c r="L104" s="64">
        <v>24.25</v>
      </c>
      <c r="M104" s="64">
        <v>85.78</v>
      </c>
      <c r="N104" s="64">
        <v>24.8</v>
      </c>
      <c r="O104" s="64">
        <v>0</v>
      </c>
      <c r="P104" s="64">
        <v>0.33</v>
      </c>
      <c r="Q104" s="64">
        <v>9.43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8.14</v>
      </c>
      <c r="C106" s="67">
        <f>MIN(C9:C104)</f>
        <v>3.08</v>
      </c>
      <c r="D106" s="67">
        <f t="shared" ref="D106:Q106" si="0">MIN(D9:D104)</f>
        <v>11.91</v>
      </c>
      <c r="E106" s="67">
        <f t="shared" si="0"/>
        <v>3.28</v>
      </c>
      <c r="F106" s="67">
        <f t="shared" si="0"/>
        <v>2.87</v>
      </c>
      <c r="G106" s="67">
        <f t="shared" si="0"/>
        <v>20.59</v>
      </c>
      <c r="H106" s="67">
        <f t="shared" si="0"/>
        <v>8.76</v>
      </c>
      <c r="I106" s="67">
        <f t="shared" si="0"/>
        <v>2.13</v>
      </c>
      <c r="J106" s="67">
        <f t="shared" si="0"/>
        <v>0.05</v>
      </c>
      <c r="K106" s="67">
        <f t="shared" si="0"/>
        <v>1.95</v>
      </c>
      <c r="L106" s="67">
        <f t="shared" si="0"/>
        <v>23.16</v>
      </c>
      <c r="M106" s="67">
        <f t="shared" si="0"/>
        <v>46.21</v>
      </c>
      <c r="N106" s="67">
        <f t="shared" si="0"/>
        <v>21.8</v>
      </c>
      <c r="O106" s="67">
        <f t="shared" si="0"/>
        <v>0</v>
      </c>
      <c r="P106" s="67">
        <f t="shared" si="0"/>
        <v>0.27</v>
      </c>
      <c r="Q106" s="67">
        <f t="shared" si="0"/>
        <v>9.3800000000000008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8.41</v>
      </c>
      <c r="C107" s="66">
        <f t="shared" ref="C107:Q107" si="1">MAX(C9:C104)</f>
        <v>4.38</v>
      </c>
      <c r="D107" s="66">
        <f t="shared" si="1"/>
        <v>12.81</v>
      </c>
      <c r="E107" s="66">
        <f t="shared" si="1"/>
        <v>5.8</v>
      </c>
      <c r="F107" s="66">
        <f t="shared" si="1"/>
        <v>8.33</v>
      </c>
      <c r="G107" s="66">
        <f t="shared" si="1"/>
        <v>68.069999999999993</v>
      </c>
      <c r="H107" s="66">
        <f t="shared" si="1"/>
        <v>21.02</v>
      </c>
      <c r="I107" s="66">
        <f t="shared" si="1"/>
        <v>4.57</v>
      </c>
      <c r="J107" s="66">
        <f t="shared" si="1"/>
        <v>1.31</v>
      </c>
      <c r="K107" s="66">
        <f t="shared" si="1"/>
        <v>359.55</v>
      </c>
      <c r="L107" s="66">
        <f t="shared" si="1"/>
        <v>34.94</v>
      </c>
      <c r="M107" s="66">
        <f t="shared" si="1"/>
        <v>98.33</v>
      </c>
      <c r="N107" s="66">
        <f t="shared" si="1"/>
        <v>832.4</v>
      </c>
      <c r="O107" s="66">
        <f t="shared" si="1"/>
        <v>0</v>
      </c>
      <c r="P107" s="66">
        <f t="shared" si="1"/>
        <v>0.56999999999999995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8.2098958333333325</v>
      </c>
      <c r="C108" s="67">
        <f t="shared" ref="C108:Q108" si="2">AVERAGE(C9:C104)</f>
        <v>3.3536458333333332</v>
      </c>
      <c r="D108" s="67">
        <f t="shared" si="2"/>
        <v>12.110208333333331</v>
      </c>
      <c r="E108" s="67">
        <f t="shared" si="2"/>
        <v>4.327916666666666</v>
      </c>
      <c r="F108" s="67">
        <f t="shared" si="2"/>
        <v>4.9362500000000002</v>
      </c>
      <c r="G108" s="67">
        <f t="shared" si="2"/>
        <v>41.67812500000003</v>
      </c>
      <c r="H108" s="67">
        <f t="shared" si="2"/>
        <v>13.559479166666662</v>
      </c>
      <c r="I108" s="67">
        <f t="shared" si="2"/>
        <v>3.0538541666666661</v>
      </c>
      <c r="J108" s="67">
        <f t="shared" si="2"/>
        <v>0.54635416666666681</v>
      </c>
      <c r="K108" s="67">
        <f t="shared" si="2"/>
        <v>192.43989583333334</v>
      </c>
      <c r="L108" s="67">
        <f t="shared" si="2"/>
        <v>27.229270833333334</v>
      </c>
      <c r="M108" s="67">
        <f t="shared" si="2"/>
        <v>76.186458333333334</v>
      </c>
      <c r="N108" s="67">
        <f t="shared" si="2"/>
        <v>174.9302083333333</v>
      </c>
      <c r="O108" s="67">
        <f t="shared" si="2"/>
        <v>0</v>
      </c>
      <c r="P108" s="67">
        <f t="shared" si="2"/>
        <v>0.40239583333333334</v>
      </c>
      <c r="Q108" s="67">
        <f t="shared" si="2"/>
        <v>9.4894791666666674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5.8444661935645868E-2</v>
      </c>
      <c r="C109" s="67">
        <f t="shared" ref="C109:Q109" si="3">STDEV(C9:C104)</f>
        <v>0.24035114571312954</v>
      </c>
      <c r="D109" s="67">
        <f t="shared" si="3"/>
        <v>0.1702009905757968</v>
      </c>
      <c r="E109" s="67">
        <f t="shared" si="3"/>
        <v>0.69516513247106759</v>
      </c>
      <c r="F109" s="67">
        <f t="shared" si="3"/>
        <v>1.2485050007277174</v>
      </c>
      <c r="G109" s="67">
        <f t="shared" si="3"/>
        <v>15.089524028104243</v>
      </c>
      <c r="H109" s="67">
        <f t="shared" si="3"/>
        <v>2.8481382172964644</v>
      </c>
      <c r="I109" s="67">
        <f t="shared" si="3"/>
        <v>0.69470231381835024</v>
      </c>
      <c r="J109" s="67">
        <f t="shared" si="3"/>
        <v>0.30103372705489539</v>
      </c>
      <c r="K109" s="67">
        <f t="shared" si="3"/>
        <v>140.37328001473176</v>
      </c>
      <c r="L109" s="67">
        <f t="shared" si="3"/>
        <v>4.0055551543198167</v>
      </c>
      <c r="M109" s="67">
        <f t="shared" si="3"/>
        <v>17.133243093574279</v>
      </c>
      <c r="N109" s="67">
        <f t="shared" si="3"/>
        <v>219.6461753389045</v>
      </c>
      <c r="O109" s="67">
        <f t="shared" si="3"/>
        <v>0</v>
      </c>
      <c r="P109" s="67">
        <f t="shared" si="3"/>
        <v>7.8736666930333654E-2</v>
      </c>
      <c r="Q109" s="67">
        <f t="shared" si="3"/>
        <v>5.6946323603282896E-2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4" sqref="G13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2073</v>
      </c>
      <c r="B9" s="64">
        <v>8.18</v>
      </c>
      <c r="C9" s="64">
        <v>3.17</v>
      </c>
      <c r="D9" s="64">
        <v>11.99</v>
      </c>
      <c r="E9" s="64">
        <v>4.74</v>
      </c>
      <c r="F9" s="64">
        <v>3.83</v>
      </c>
      <c r="G9" s="64">
        <v>34.86</v>
      </c>
      <c r="H9" s="64">
        <v>12.41</v>
      </c>
      <c r="I9" s="64">
        <v>2.89</v>
      </c>
      <c r="J9" s="64">
        <v>0.11</v>
      </c>
      <c r="K9" s="64">
        <v>207.19</v>
      </c>
      <c r="L9" s="64">
        <v>24.29</v>
      </c>
      <c r="M9" s="64">
        <v>84.98</v>
      </c>
      <c r="N9" s="64">
        <v>24.9</v>
      </c>
      <c r="O9" s="64">
        <v>0</v>
      </c>
      <c r="P9" s="64">
        <v>0.31</v>
      </c>
      <c r="Q9" s="64">
        <v>9.42</v>
      </c>
      <c r="R9" s="198"/>
      <c r="S9" s="198"/>
      <c r="T9" s="198"/>
      <c r="U9" s="198"/>
    </row>
    <row r="10" spans="1:21" s="12" customFormat="1" x14ac:dyDescent="0.25">
      <c r="A10" s="214" t="s">
        <v>2074</v>
      </c>
      <c r="B10" s="64">
        <v>8.3699999999999992</v>
      </c>
      <c r="C10" s="64">
        <v>3.81</v>
      </c>
      <c r="D10" s="64">
        <v>12.48</v>
      </c>
      <c r="E10" s="64">
        <v>4.34</v>
      </c>
      <c r="F10" s="64">
        <v>3.53</v>
      </c>
      <c r="G10" s="64">
        <v>29.78</v>
      </c>
      <c r="H10" s="64">
        <v>12.09</v>
      </c>
      <c r="I10" s="64">
        <v>2.93</v>
      </c>
      <c r="J10" s="64">
        <v>0.32</v>
      </c>
      <c r="K10" s="64">
        <v>212.06</v>
      </c>
      <c r="L10" s="64">
        <v>24.32</v>
      </c>
      <c r="M10" s="64">
        <v>84.45</v>
      </c>
      <c r="N10" s="64">
        <v>24.9</v>
      </c>
      <c r="O10" s="64">
        <v>0</v>
      </c>
      <c r="P10" s="64">
        <v>0.31</v>
      </c>
      <c r="Q10" s="64">
        <v>9.43</v>
      </c>
      <c r="R10" s="198"/>
      <c r="S10" s="198"/>
      <c r="T10" s="198"/>
      <c r="U10" s="198"/>
    </row>
    <row r="11" spans="1:21" s="12" customFormat="1" x14ac:dyDescent="0.25">
      <c r="A11" s="214" t="s">
        <v>2075</v>
      </c>
      <c r="B11" s="64">
        <v>8.31</v>
      </c>
      <c r="C11" s="64">
        <v>3.57</v>
      </c>
      <c r="D11" s="64">
        <v>12.3</v>
      </c>
      <c r="E11" s="64">
        <v>4.41</v>
      </c>
      <c r="F11" s="64">
        <v>3.76</v>
      </c>
      <c r="G11" s="64">
        <v>25.14</v>
      </c>
      <c r="H11" s="64">
        <v>11.8</v>
      </c>
      <c r="I11" s="64">
        <v>3.02</v>
      </c>
      <c r="J11" s="64">
        <v>0.38</v>
      </c>
      <c r="K11" s="64">
        <v>177.87</v>
      </c>
      <c r="L11" s="64">
        <v>24.24</v>
      </c>
      <c r="M11" s="64">
        <v>85.25</v>
      </c>
      <c r="N11" s="64">
        <v>25.1</v>
      </c>
      <c r="O11" s="64">
        <v>0</v>
      </c>
      <c r="P11" s="64">
        <v>0.3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14" t="s">
        <v>2076</v>
      </c>
      <c r="B12" s="64">
        <v>8.2100000000000009</v>
      </c>
      <c r="C12" s="64">
        <v>3.21</v>
      </c>
      <c r="D12" s="64">
        <v>12.03</v>
      </c>
      <c r="E12" s="64">
        <v>4.63</v>
      </c>
      <c r="F12" s="64">
        <v>3.5</v>
      </c>
      <c r="G12" s="64">
        <v>25.14</v>
      </c>
      <c r="H12" s="64">
        <v>11.8</v>
      </c>
      <c r="I12" s="64">
        <v>3.14</v>
      </c>
      <c r="J12" s="64">
        <v>0.27</v>
      </c>
      <c r="K12" s="64">
        <v>222.1</v>
      </c>
      <c r="L12" s="64">
        <v>24.19</v>
      </c>
      <c r="M12" s="64">
        <v>85.78</v>
      </c>
      <c r="N12" s="64">
        <v>25.2</v>
      </c>
      <c r="O12" s="64">
        <v>0</v>
      </c>
      <c r="P12" s="64">
        <v>0.3</v>
      </c>
      <c r="Q12" s="64">
        <v>9.44</v>
      </c>
      <c r="R12" s="198"/>
      <c r="S12" s="198"/>
      <c r="T12" s="198"/>
      <c r="U12" s="198"/>
    </row>
    <row r="13" spans="1:21" s="12" customFormat="1" x14ac:dyDescent="0.25">
      <c r="A13" s="214" t="s">
        <v>2077</v>
      </c>
      <c r="B13" s="64">
        <v>8.16</v>
      </c>
      <c r="C13" s="64">
        <v>3.13</v>
      </c>
      <c r="D13" s="64">
        <v>11.96</v>
      </c>
      <c r="E13" s="64">
        <v>4.7300000000000004</v>
      </c>
      <c r="F13" s="64">
        <v>3.77</v>
      </c>
      <c r="G13" s="64">
        <v>25.14</v>
      </c>
      <c r="H13" s="64">
        <v>11.8</v>
      </c>
      <c r="I13" s="64">
        <v>3.36</v>
      </c>
      <c r="J13" s="64">
        <v>0.32</v>
      </c>
      <c r="K13" s="64">
        <v>214.22</v>
      </c>
      <c r="L13" s="64">
        <v>24.18</v>
      </c>
      <c r="M13" s="64">
        <v>86.83</v>
      </c>
      <c r="N13" s="64">
        <v>25.2</v>
      </c>
      <c r="O13" s="64">
        <v>0</v>
      </c>
      <c r="P13" s="64">
        <v>0.28000000000000003</v>
      </c>
      <c r="Q13" s="64">
        <v>9.43</v>
      </c>
      <c r="R13" s="198"/>
      <c r="S13" s="198"/>
      <c r="T13" s="198"/>
      <c r="U13" s="198"/>
    </row>
    <row r="14" spans="1:21" s="12" customFormat="1" x14ac:dyDescent="0.25">
      <c r="A14" s="214" t="s">
        <v>2078</v>
      </c>
      <c r="B14" s="64">
        <v>8.17</v>
      </c>
      <c r="C14" s="64">
        <v>3.11</v>
      </c>
      <c r="D14" s="64">
        <v>11.95</v>
      </c>
      <c r="E14" s="64">
        <v>4.68</v>
      </c>
      <c r="F14" s="64">
        <v>3.8</v>
      </c>
      <c r="G14" s="64">
        <v>22.61</v>
      </c>
      <c r="H14" s="64">
        <v>10.09</v>
      </c>
      <c r="I14" s="64">
        <v>3.59</v>
      </c>
      <c r="J14" s="64">
        <v>0.24</v>
      </c>
      <c r="K14" s="64">
        <v>214.41</v>
      </c>
      <c r="L14" s="64">
        <v>24.19</v>
      </c>
      <c r="M14" s="64">
        <v>87.21</v>
      </c>
      <c r="N14" s="64">
        <v>25.4</v>
      </c>
      <c r="O14" s="64">
        <v>0</v>
      </c>
      <c r="P14" s="64">
        <v>0.28000000000000003</v>
      </c>
      <c r="Q14" s="64">
        <v>9.4600000000000009</v>
      </c>
      <c r="R14" s="198"/>
      <c r="S14" s="198"/>
      <c r="T14" s="198"/>
      <c r="U14" s="198"/>
    </row>
    <row r="15" spans="1:21" s="12" customFormat="1" x14ac:dyDescent="0.25">
      <c r="A15" s="214" t="s">
        <v>2079</v>
      </c>
      <c r="B15" s="64">
        <v>8.14</v>
      </c>
      <c r="C15" s="64">
        <v>3.12</v>
      </c>
      <c r="D15" s="64">
        <v>11.93</v>
      </c>
      <c r="E15" s="64">
        <v>4.87</v>
      </c>
      <c r="F15" s="64">
        <v>4.5999999999999996</v>
      </c>
      <c r="G15" s="64">
        <v>20.190000000000001</v>
      </c>
      <c r="H15" s="64">
        <v>8.4600000000000009</v>
      </c>
      <c r="I15" s="64">
        <v>3.76</v>
      </c>
      <c r="J15" s="64">
        <v>0.15</v>
      </c>
      <c r="K15" s="64">
        <v>237.14</v>
      </c>
      <c r="L15" s="64">
        <v>24.21</v>
      </c>
      <c r="M15" s="64">
        <v>86.97</v>
      </c>
      <c r="N15" s="64">
        <v>25.5</v>
      </c>
      <c r="O15" s="64">
        <v>0</v>
      </c>
      <c r="P15" s="64">
        <v>0.28999999999999998</v>
      </c>
      <c r="Q15" s="64">
        <v>9.51</v>
      </c>
      <c r="R15" s="198"/>
      <c r="S15" s="198"/>
      <c r="T15" s="198"/>
      <c r="U15" s="198"/>
    </row>
    <row r="16" spans="1:21" s="12" customFormat="1" x14ac:dyDescent="0.25">
      <c r="A16" s="214" t="s">
        <v>2080</v>
      </c>
      <c r="B16" s="64">
        <v>8.1300000000000008</v>
      </c>
      <c r="C16" s="64">
        <v>3.1</v>
      </c>
      <c r="D16" s="64">
        <v>11.91</v>
      </c>
      <c r="E16" s="64">
        <v>5.04</v>
      </c>
      <c r="F16" s="64">
        <v>2.96</v>
      </c>
      <c r="G16" s="64">
        <v>20.190000000000001</v>
      </c>
      <c r="H16" s="64">
        <v>8.4600000000000009</v>
      </c>
      <c r="I16" s="64">
        <v>3.88</v>
      </c>
      <c r="J16" s="64">
        <v>0.69</v>
      </c>
      <c r="K16" s="64">
        <v>180</v>
      </c>
      <c r="L16" s="64">
        <v>24.19</v>
      </c>
      <c r="M16" s="64">
        <v>87.33</v>
      </c>
      <c r="N16" s="64">
        <v>25.7</v>
      </c>
      <c r="O16" s="64">
        <v>0</v>
      </c>
      <c r="P16" s="64">
        <v>0.28000000000000003</v>
      </c>
      <c r="Q16" s="64">
        <v>9.49</v>
      </c>
      <c r="R16" s="198"/>
      <c r="S16" s="198"/>
      <c r="T16" s="198"/>
      <c r="U16" s="198"/>
    </row>
    <row r="17" spans="1:21" s="12" customFormat="1" x14ac:dyDescent="0.25">
      <c r="A17" s="214" t="s">
        <v>2081</v>
      </c>
      <c r="B17" s="64">
        <v>8.15</v>
      </c>
      <c r="C17" s="64">
        <v>3.12</v>
      </c>
      <c r="D17" s="64">
        <v>11.94</v>
      </c>
      <c r="E17" s="64">
        <v>4.57</v>
      </c>
      <c r="F17" s="64">
        <v>4.09</v>
      </c>
      <c r="G17" s="64">
        <v>20.190000000000001</v>
      </c>
      <c r="H17" s="64">
        <v>8.4600000000000009</v>
      </c>
      <c r="I17" s="64">
        <v>3.87</v>
      </c>
      <c r="J17" s="64">
        <v>0.64</v>
      </c>
      <c r="K17" s="64">
        <v>204.66</v>
      </c>
      <c r="L17" s="64">
        <v>24.13</v>
      </c>
      <c r="M17" s="64">
        <v>88.2</v>
      </c>
      <c r="N17" s="64">
        <v>25.7</v>
      </c>
      <c r="O17" s="64">
        <v>0</v>
      </c>
      <c r="P17" s="64">
        <v>0.26</v>
      </c>
      <c r="Q17" s="64">
        <v>9.48</v>
      </c>
      <c r="R17" s="198"/>
      <c r="S17" s="198"/>
      <c r="T17" s="198"/>
      <c r="U17" s="198"/>
    </row>
    <row r="18" spans="1:21" s="12" customFormat="1" x14ac:dyDescent="0.25">
      <c r="A18" s="214" t="s">
        <v>2082</v>
      </c>
      <c r="B18" s="64">
        <v>8.16</v>
      </c>
      <c r="C18" s="64">
        <v>3.18</v>
      </c>
      <c r="D18" s="64">
        <v>11.98</v>
      </c>
      <c r="E18" s="64">
        <v>4.74</v>
      </c>
      <c r="F18" s="64">
        <v>2.96</v>
      </c>
      <c r="G18" s="64">
        <v>21.86</v>
      </c>
      <c r="H18" s="64">
        <v>8.74</v>
      </c>
      <c r="I18" s="64">
        <v>3.81</v>
      </c>
      <c r="J18" s="64">
        <v>0.57999999999999996</v>
      </c>
      <c r="K18" s="64">
        <v>181.82</v>
      </c>
      <c r="L18" s="64">
        <v>24.08</v>
      </c>
      <c r="M18" s="64">
        <v>89.67</v>
      </c>
      <c r="N18" s="64">
        <v>25.8</v>
      </c>
      <c r="O18" s="64">
        <v>0</v>
      </c>
      <c r="P18" s="64">
        <v>0.26</v>
      </c>
      <c r="Q18" s="64">
        <v>9.51</v>
      </c>
      <c r="R18" s="198"/>
      <c r="S18" s="198"/>
      <c r="T18" s="198"/>
      <c r="U18" s="198"/>
    </row>
    <row r="19" spans="1:21" s="12" customFormat="1" x14ac:dyDescent="0.25">
      <c r="A19" s="214" t="s">
        <v>2083</v>
      </c>
      <c r="B19" s="64">
        <v>8.18</v>
      </c>
      <c r="C19" s="64">
        <v>3.26</v>
      </c>
      <c r="D19" s="64">
        <v>12.04</v>
      </c>
      <c r="E19" s="64">
        <v>4.53</v>
      </c>
      <c r="F19" s="64">
        <v>4.46</v>
      </c>
      <c r="G19" s="64">
        <v>23.45</v>
      </c>
      <c r="H19" s="64">
        <v>9.01</v>
      </c>
      <c r="I19" s="64">
        <v>3.74</v>
      </c>
      <c r="J19" s="64">
        <v>0.15</v>
      </c>
      <c r="K19" s="64">
        <v>338.87</v>
      </c>
      <c r="L19" s="64">
        <v>24.07</v>
      </c>
      <c r="M19" s="64">
        <v>89.97</v>
      </c>
      <c r="N19" s="64">
        <v>25.9</v>
      </c>
      <c r="O19" s="64">
        <v>0</v>
      </c>
      <c r="P19" s="64">
        <v>0.26</v>
      </c>
      <c r="Q19" s="64">
        <v>9.51</v>
      </c>
      <c r="R19" s="198"/>
      <c r="S19" s="198"/>
      <c r="T19" s="198"/>
      <c r="U19" s="198"/>
    </row>
    <row r="20" spans="1:21" s="12" customFormat="1" x14ac:dyDescent="0.25">
      <c r="A20" s="214" t="s">
        <v>2084</v>
      </c>
      <c r="B20" s="64">
        <v>8.1300000000000008</v>
      </c>
      <c r="C20" s="64">
        <v>3.13</v>
      </c>
      <c r="D20" s="64">
        <v>11.93</v>
      </c>
      <c r="E20" s="64">
        <v>4.38</v>
      </c>
      <c r="F20" s="64">
        <v>3.63</v>
      </c>
      <c r="G20" s="64">
        <v>23.45</v>
      </c>
      <c r="H20" s="64">
        <v>9.01</v>
      </c>
      <c r="I20" s="64">
        <v>3.71</v>
      </c>
      <c r="J20" s="64">
        <v>0.27</v>
      </c>
      <c r="K20" s="64">
        <v>238.31</v>
      </c>
      <c r="L20" s="64">
        <v>24.05</v>
      </c>
      <c r="M20" s="64">
        <v>89.68</v>
      </c>
      <c r="N20" s="64">
        <v>25.9</v>
      </c>
      <c r="O20" s="64">
        <v>0</v>
      </c>
      <c r="P20" s="64">
        <v>0.25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14" t="s">
        <v>2085</v>
      </c>
      <c r="B21" s="64">
        <v>8.16</v>
      </c>
      <c r="C21" s="64">
        <v>3.16</v>
      </c>
      <c r="D21" s="64">
        <v>11.97</v>
      </c>
      <c r="E21" s="64">
        <v>4.42</v>
      </c>
      <c r="F21" s="64">
        <v>4.32</v>
      </c>
      <c r="G21" s="64">
        <v>23.45</v>
      </c>
      <c r="H21" s="64">
        <v>9.01</v>
      </c>
      <c r="I21" s="64">
        <v>3.68</v>
      </c>
      <c r="J21" s="64">
        <v>0.12</v>
      </c>
      <c r="K21" s="64">
        <v>194.4</v>
      </c>
      <c r="L21" s="64">
        <v>24.15</v>
      </c>
      <c r="M21" s="64">
        <v>88.91</v>
      </c>
      <c r="N21" s="64">
        <v>25.9</v>
      </c>
      <c r="O21" s="64">
        <v>0</v>
      </c>
      <c r="P21" s="64">
        <v>0.25</v>
      </c>
      <c r="Q21" s="64">
        <v>9.5399999999999991</v>
      </c>
      <c r="R21" s="198"/>
      <c r="S21" s="198"/>
      <c r="T21" s="198"/>
      <c r="U21" s="198"/>
    </row>
    <row r="22" spans="1:21" s="12" customFormat="1" x14ac:dyDescent="0.25">
      <c r="A22" s="214" t="s">
        <v>2086</v>
      </c>
      <c r="B22" s="64">
        <v>8.2899999999999991</v>
      </c>
      <c r="C22" s="64">
        <v>3.57</v>
      </c>
      <c r="D22" s="64">
        <v>12.28</v>
      </c>
      <c r="E22" s="64">
        <v>4.95</v>
      </c>
      <c r="F22" s="64">
        <v>3.51</v>
      </c>
      <c r="G22" s="64">
        <v>21.16</v>
      </c>
      <c r="H22" s="64">
        <v>9.56</v>
      </c>
      <c r="I22" s="64">
        <v>3.59</v>
      </c>
      <c r="J22" s="64">
        <v>0.39</v>
      </c>
      <c r="K22" s="64">
        <v>227.02</v>
      </c>
      <c r="L22" s="64">
        <v>24.15</v>
      </c>
      <c r="M22" s="64">
        <v>88.7</v>
      </c>
      <c r="N22" s="64">
        <v>26</v>
      </c>
      <c r="O22" s="64">
        <v>0</v>
      </c>
      <c r="P22" s="64">
        <v>0.24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14" t="s">
        <v>2087</v>
      </c>
      <c r="B23" s="64">
        <v>8.42</v>
      </c>
      <c r="C23" s="64">
        <v>3.93</v>
      </c>
      <c r="D23" s="64">
        <v>12.58</v>
      </c>
      <c r="E23" s="64">
        <v>4.1900000000000004</v>
      </c>
      <c r="F23" s="64">
        <v>3.67</v>
      </c>
      <c r="G23" s="64">
        <v>18.96</v>
      </c>
      <c r="H23" s="64">
        <v>10.08</v>
      </c>
      <c r="I23" s="64">
        <v>3.5</v>
      </c>
      <c r="J23" s="64">
        <v>0.2</v>
      </c>
      <c r="K23" s="64">
        <v>26.95</v>
      </c>
      <c r="L23" s="64">
        <v>24.2</v>
      </c>
      <c r="M23" s="64">
        <v>88.8</v>
      </c>
      <c r="N23" s="64">
        <v>26</v>
      </c>
      <c r="O23" s="64">
        <v>0</v>
      </c>
      <c r="P23" s="64">
        <v>0.24</v>
      </c>
      <c r="Q23" s="64">
        <v>9.5500000000000007</v>
      </c>
      <c r="R23" s="198"/>
      <c r="S23" s="198"/>
      <c r="T23" s="198"/>
      <c r="U23" s="198"/>
    </row>
    <row r="24" spans="1:21" s="12" customFormat="1" x14ac:dyDescent="0.25">
      <c r="A24" s="214" t="s">
        <v>2088</v>
      </c>
      <c r="B24" s="64">
        <v>8.18</v>
      </c>
      <c r="C24" s="64">
        <v>3.24</v>
      </c>
      <c r="D24" s="64">
        <v>12.03</v>
      </c>
      <c r="E24" s="64">
        <v>4.16</v>
      </c>
      <c r="F24" s="64">
        <v>3.47</v>
      </c>
      <c r="G24" s="64">
        <v>18.96</v>
      </c>
      <c r="H24" s="64">
        <v>10.08</v>
      </c>
      <c r="I24" s="64">
        <v>3.44</v>
      </c>
      <c r="J24" s="64">
        <v>0.56000000000000005</v>
      </c>
      <c r="K24" s="64">
        <v>19.36</v>
      </c>
      <c r="L24" s="64">
        <v>24.21</v>
      </c>
      <c r="M24" s="64">
        <v>88.02</v>
      </c>
      <c r="N24" s="64">
        <v>26.1</v>
      </c>
      <c r="O24" s="64">
        <v>0</v>
      </c>
      <c r="P24" s="64">
        <v>0.22</v>
      </c>
      <c r="Q24" s="64">
        <v>9.5299999999999994</v>
      </c>
      <c r="R24" s="198"/>
      <c r="S24" s="198"/>
      <c r="T24" s="198"/>
      <c r="U24" s="198"/>
    </row>
    <row r="25" spans="1:21" s="12" customFormat="1" x14ac:dyDescent="0.25">
      <c r="A25" s="214" t="s">
        <v>2089</v>
      </c>
      <c r="B25" s="64">
        <v>8.14</v>
      </c>
      <c r="C25" s="64">
        <v>3.12</v>
      </c>
      <c r="D25" s="64">
        <v>11.94</v>
      </c>
      <c r="E25" s="64">
        <v>3.83</v>
      </c>
      <c r="F25" s="64">
        <v>3.99</v>
      </c>
      <c r="G25" s="64">
        <v>18.96</v>
      </c>
      <c r="H25" s="64">
        <v>10.08</v>
      </c>
      <c r="I25" s="64">
        <v>3.35</v>
      </c>
      <c r="J25" s="64">
        <v>0.36</v>
      </c>
      <c r="K25" s="64">
        <v>358.24</v>
      </c>
      <c r="L25" s="64">
        <v>24.22</v>
      </c>
      <c r="M25" s="64">
        <v>87.7</v>
      </c>
      <c r="N25" s="64">
        <v>26.2</v>
      </c>
      <c r="O25" s="64">
        <v>0</v>
      </c>
      <c r="P25" s="64">
        <v>0.23</v>
      </c>
      <c r="Q25" s="64">
        <v>9.51</v>
      </c>
      <c r="R25" s="198"/>
      <c r="S25" s="198"/>
      <c r="T25" s="198"/>
      <c r="U25" s="198"/>
    </row>
    <row r="26" spans="1:21" s="12" customFormat="1" x14ac:dyDescent="0.25">
      <c r="A26" s="214" t="s">
        <v>2090</v>
      </c>
      <c r="B26" s="64">
        <v>8.15</v>
      </c>
      <c r="C26" s="64">
        <v>3.13</v>
      </c>
      <c r="D26" s="64">
        <v>11.94</v>
      </c>
      <c r="E26" s="64">
        <v>3.91</v>
      </c>
      <c r="F26" s="64">
        <v>3.27</v>
      </c>
      <c r="G26" s="64">
        <v>19.88</v>
      </c>
      <c r="H26" s="64">
        <v>8.73</v>
      </c>
      <c r="I26" s="64">
        <v>3.19</v>
      </c>
      <c r="J26" s="64">
        <v>0.24</v>
      </c>
      <c r="K26" s="64">
        <v>353.8</v>
      </c>
      <c r="L26" s="64">
        <v>24.19</v>
      </c>
      <c r="M26" s="64">
        <v>88.72</v>
      </c>
      <c r="N26" s="64">
        <v>26.4</v>
      </c>
      <c r="O26" s="64">
        <v>0</v>
      </c>
      <c r="P26" s="64">
        <v>0.21</v>
      </c>
      <c r="Q26" s="64">
        <v>9.4499999999999993</v>
      </c>
      <c r="R26" s="198"/>
      <c r="S26" s="198"/>
      <c r="T26" s="198"/>
      <c r="U26" s="198"/>
    </row>
    <row r="27" spans="1:21" s="12" customFormat="1" x14ac:dyDescent="0.25">
      <c r="A27" s="214" t="s">
        <v>2091</v>
      </c>
      <c r="B27" s="64">
        <v>8.19</v>
      </c>
      <c r="C27" s="64">
        <v>3.23</v>
      </c>
      <c r="D27" s="64">
        <v>12.03</v>
      </c>
      <c r="E27" s="64">
        <v>3.88</v>
      </c>
      <c r="F27" s="64">
        <v>3.57</v>
      </c>
      <c r="G27" s="64">
        <v>20.76</v>
      </c>
      <c r="H27" s="64">
        <v>7.5</v>
      </c>
      <c r="I27" s="64">
        <v>3.08</v>
      </c>
      <c r="J27" s="64">
        <v>0.52</v>
      </c>
      <c r="K27" s="64">
        <v>10.33</v>
      </c>
      <c r="L27" s="64">
        <v>24.18</v>
      </c>
      <c r="M27" s="64">
        <v>88.93</v>
      </c>
      <c r="N27" s="64">
        <v>26.4</v>
      </c>
      <c r="O27" s="64">
        <v>0</v>
      </c>
      <c r="P27" s="64">
        <v>0.22</v>
      </c>
      <c r="Q27" s="64">
        <v>9.43</v>
      </c>
      <c r="R27" s="198"/>
      <c r="S27" s="198"/>
      <c r="T27" s="198"/>
      <c r="U27" s="198"/>
    </row>
    <row r="28" spans="1:21" s="12" customFormat="1" x14ac:dyDescent="0.25">
      <c r="A28" s="214" t="s">
        <v>2092</v>
      </c>
      <c r="B28" s="64">
        <v>8.1999999999999993</v>
      </c>
      <c r="C28" s="64">
        <v>3.18</v>
      </c>
      <c r="D28" s="64">
        <v>12.01</v>
      </c>
      <c r="E28" s="64">
        <v>3.92</v>
      </c>
      <c r="F28" s="64">
        <v>3.35</v>
      </c>
      <c r="G28" s="64">
        <v>20.76</v>
      </c>
      <c r="H28" s="64">
        <v>7.5</v>
      </c>
      <c r="I28" s="64">
        <v>3.16</v>
      </c>
      <c r="J28" s="64">
        <v>0.14000000000000001</v>
      </c>
      <c r="K28" s="64">
        <v>236.8</v>
      </c>
      <c r="L28" s="64">
        <v>24.11</v>
      </c>
      <c r="M28" s="64">
        <v>89.44</v>
      </c>
      <c r="N28" s="64">
        <v>26.5</v>
      </c>
      <c r="O28" s="64">
        <v>0</v>
      </c>
      <c r="P28" s="64">
        <v>0.22</v>
      </c>
      <c r="Q28" s="64">
        <v>9.43</v>
      </c>
      <c r="R28" s="198"/>
      <c r="S28" s="198"/>
      <c r="T28" s="198"/>
      <c r="U28" s="198"/>
    </row>
    <row r="29" spans="1:21" s="12" customFormat="1" x14ac:dyDescent="0.25">
      <c r="A29" s="214" t="s">
        <v>2093</v>
      </c>
      <c r="B29" s="64">
        <v>8.23</v>
      </c>
      <c r="C29" s="64">
        <v>3.24</v>
      </c>
      <c r="D29" s="64">
        <v>12.07</v>
      </c>
      <c r="E29" s="64">
        <v>4.01</v>
      </c>
      <c r="F29" s="64">
        <v>3.24</v>
      </c>
      <c r="G29" s="64">
        <v>20.76</v>
      </c>
      <c r="H29" s="64">
        <v>7.5</v>
      </c>
      <c r="I29" s="64">
        <v>3.26</v>
      </c>
      <c r="J29" s="64">
        <v>0.31</v>
      </c>
      <c r="K29" s="64">
        <v>213.97</v>
      </c>
      <c r="L29" s="64">
        <v>23.97</v>
      </c>
      <c r="M29" s="64">
        <v>90.86</v>
      </c>
      <c r="N29" s="64">
        <v>28</v>
      </c>
      <c r="O29" s="64">
        <v>0</v>
      </c>
      <c r="P29" s="64">
        <v>0.22</v>
      </c>
      <c r="Q29" s="64">
        <v>9.4499999999999993</v>
      </c>
      <c r="R29" s="198"/>
      <c r="S29" s="198"/>
      <c r="T29" s="198"/>
      <c r="U29" s="198"/>
    </row>
    <row r="30" spans="1:21" s="12" customFormat="1" x14ac:dyDescent="0.25">
      <c r="A30" s="214" t="s">
        <v>2094</v>
      </c>
      <c r="B30" s="64">
        <v>8.1999999999999993</v>
      </c>
      <c r="C30" s="64">
        <v>3.17</v>
      </c>
      <c r="D30" s="64">
        <v>12</v>
      </c>
      <c r="E30" s="64">
        <v>4.01</v>
      </c>
      <c r="F30" s="64">
        <v>3.24</v>
      </c>
      <c r="G30" s="64">
        <v>18.23</v>
      </c>
      <c r="H30" s="64">
        <v>6.42</v>
      </c>
      <c r="I30" s="64">
        <v>3.32</v>
      </c>
      <c r="J30" s="64">
        <v>0.13</v>
      </c>
      <c r="K30" s="64">
        <v>218.57</v>
      </c>
      <c r="L30" s="64">
        <v>23.95</v>
      </c>
      <c r="M30" s="64">
        <v>91.87</v>
      </c>
      <c r="N30" s="64">
        <v>33.4</v>
      </c>
      <c r="O30" s="64">
        <v>0</v>
      </c>
      <c r="P30" s="64">
        <v>0.22</v>
      </c>
      <c r="Q30" s="64">
        <v>9.4700000000000006</v>
      </c>
      <c r="R30" s="198"/>
      <c r="S30" s="198"/>
      <c r="T30" s="198"/>
      <c r="U30" s="198"/>
    </row>
    <row r="31" spans="1:21" s="12" customFormat="1" x14ac:dyDescent="0.25">
      <c r="A31" s="214" t="s">
        <v>2095</v>
      </c>
      <c r="B31" s="64">
        <v>8.23</v>
      </c>
      <c r="C31" s="64">
        <v>3.25</v>
      </c>
      <c r="D31" s="64">
        <v>12.07</v>
      </c>
      <c r="E31" s="64">
        <v>4.47</v>
      </c>
      <c r="F31" s="64">
        <v>3.45</v>
      </c>
      <c r="G31" s="64">
        <v>15.82</v>
      </c>
      <c r="H31" s="64">
        <v>5.38</v>
      </c>
      <c r="I31" s="64">
        <v>3.5</v>
      </c>
      <c r="J31" s="64">
        <v>0.34</v>
      </c>
      <c r="K31" s="64">
        <v>344.53</v>
      </c>
      <c r="L31" s="64">
        <v>24.12</v>
      </c>
      <c r="M31" s="64">
        <v>89.72</v>
      </c>
      <c r="N31" s="64">
        <v>45.1</v>
      </c>
      <c r="O31" s="64">
        <v>0</v>
      </c>
      <c r="P31" s="64">
        <v>0.21</v>
      </c>
      <c r="Q31" s="64">
        <v>9.49</v>
      </c>
      <c r="R31" s="198"/>
      <c r="S31" s="198"/>
      <c r="T31" s="198"/>
      <c r="U31" s="198"/>
    </row>
    <row r="32" spans="1:21" s="12" customFormat="1" x14ac:dyDescent="0.25">
      <c r="A32" s="214" t="s">
        <v>2096</v>
      </c>
      <c r="B32" s="64">
        <v>8.26</v>
      </c>
      <c r="C32" s="64">
        <v>3.36</v>
      </c>
      <c r="D32" s="64">
        <v>12.15</v>
      </c>
      <c r="E32" s="64">
        <v>3.88</v>
      </c>
      <c r="F32" s="64">
        <v>3.52</v>
      </c>
      <c r="G32" s="64">
        <v>15.82</v>
      </c>
      <c r="H32" s="64">
        <v>5.38</v>
      </c>
      <c r="I32" s="64">
        <v>3.75</v>
      </c>
      <c r="J32" s="64">
        <v>0.46</v>
      </c>
      <c r="K32" s="64">
        <v>353.76</v>
      </c>
      <c r="L32" s="64">
        <v>24.36</v>
      </c>
      <c r="M32" s="64">
        <v>88.97</v>
      </c>
      <c r="N32" s="64">
        <v>82</v>
      </c>
      <c r="O32" s="64">
        <v>0</v>
      </c>
      <c r="P32" s="64">
        <v>0.21</v>
      </c>
      <c r="Q32" s="64">
        <v>9.48</v>
      </c>
      <c r="R32" s="198"/>
      <c r="S32" s="198"/>
      <c r="T32" s="198"/>
      <c r="U32" s="198"/>
    </row>
    <row r="33" spans="1:21" s="12" customFormat="1" x14ac:dyDescent="0.25">
      <c r="A33" s="214" t="s">
        <v>2097</v>
      </c>
      <c r="B33" s="64">
        <v>8.2200000000000006</v>
      </c>
      <c r="C33" s="64">
        <v>3.3</v>
      </c>
      <c r="D33" s="64">
        <v>12.09</v>
      </c>
      <c r="E33" s="64">
        <v>4.0599999999999996</v>
      </c>
      <c r="F33" s="64">
        <v>3.72</v>
      </c>
      <c r="G33" s="64">
        <v>15.82</v>
      </c>
      <c r="H33" s="64">
        <v>5.38</v>
      </c>
      <c r="I33" s="64">
        <v>3.9</v>
      </c>
      <c r="J33" s="64">
        <v>0.12</v>
      </c>
      <c r="K33" s="64">
        <v>264.52</v>
      </c>
      <c r="L33" s="64">
        <v>24.75</v>
      </c>
      <c r="M33" s="64">
        <v>86.74</v>
      </c>
      <c r="N33" s="64">
        <v>91.8</v>
      </c>
      <c r="O33" s="64">
        <v>0</v>
      </c>
      <c r="P33" s="64">
        <v>0.22</v>
      </c>
      <c r="Q33" s="64">
        <v>9.51</v>
      </c>
      <c r="R33" s="198"/>
      <c r="S33" s="198"/>
      <c r="T33" s="198"/>
      <c r="U33" s="198"/>
    </row>
    <row r="34" spans="1:21" s="12" customFormat="1" x14ac:dyDescent="0.25">
      <c r="A34" s="214" t="s">
        <v>2098</v>
      </c>
      <c r="B34" s="64">
        <v>8.16</v>
      </c>
      <c r="C34" s="64">
        <v>3.18</v>
      </c>
      <c r="D34" s="64">
        <v>11.98</v>
      </c>
      <c r="E34" s="64">
        <v>4.09</v>
      </c>
      <c r="F34" s="64">
        <v>3.59</v>
      </c>
      <c r="G34" s="64">
        <v>18.8</v>
      </c>
      <c r="H34" s="64">
        <v>6.83</v>
      </c>
      <c r="I34" s="64">
        <v>3.93</v>
      </c>
      <c r="J34" s="64">
        <v>0.28999999999999998</v>
      </c>
      <c r="K34" s="64">
        <v>356.43</v>
      </c>
      <c r="L34" s="64">
        <v>24.89</v>
      </c>
      <c r="M34" s="64">
        <v>85.78</v>
      </c>
      <c r="N34" s="64">
        <v>104.3</v>
      </c>
      <c r="O34" s="64">
        <v>0</v>
      </c>
      <c r="P34" s="64">
        <v>0.22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14" t="s">
        <v>2099</v>
      </c>
      <c r="B35" s="64">
        <v>8.16</v>
      </c>
      <c r="C35" s="64">
        <v>3.16</v>
      </c>
      <c r="D35" s="64">
        <v>11.97</v>
      </c>
      <c r="E35" s="64">
        <v>4.2699999999999996</v>
      </c>
      <c r="F35" s="64">
        <v>4</v>
      </c>
      <c r="G35" s="64">
        <v>21.65</v>
      </c>
      <c r="H35" s="64">
        <v>8.15</v>
      </c>
      <c r="I35" s="64">
        <v>3.89</v>
      </c>
      <c r="J35" s="64">
        <v>0.44</v>
      </c>
      <c r="K35" s="64">
        <v>3.45</v>
      </c>
      <c r="L35" s="64">
        <v>25.35</v>
      </c>
      <c r="M35" s="64">
        <v>82.13</v>
      </c>
      <c r="N35" s="64">
        <v>165.2</v>
      </c>
      <c r="O35" s="64">
        <v>0</v>
      </c>
      <c r="P35" s="64">
        <v>0.23</v>
      </c>
      <c r="Q35" s="64">
        <v>9.57</v>
      </c>
      <c r="R35" s="198"/>
      <c r="S35" s="198"/>
      <c r="T35" s="198"/>
      <c r="U35" s="198"/>
    </row>
    <row r="36" spans="1:21" s="12" customFormat="1" x14ac:dyDescent="0.25">
      <c r="A36" s="214" t="s">
        <v>2100</v>
      </c>
      <c r="B36" s="64">
        <v>8.25</v>
      </c>
      <c r="C36" s="64">
        <v>3.39</v>
      </c>
      <c r="D36" s="64">
        <v>12.16</v>
      </c>
      <c r="E36" s="64">
        <v>4.43</v>
      </c>
      <c r="F36" s="64">
        <v>3.88</v>
      </c>
      <c r="G36" s="64">
        <v>21.65</v>
      </c>
      <c r="H36" s="64">
        <v>8.15</v>
      </c>
      <c r="I36" s="64">
        <v>3.77</v>
      </c>
      <c r="J36" s="64">
        <v>0.4</v>
      </c>
      <c r="K36" s="64">
        <v>13.69</v>
      </c>
      <c r="L36" s="64">
        <v>26.29</v>
      </c>
      <c r="M36" s="64">
        <v>77.39</v>
      </c>
      <c r="N36" s="64">
        <v>213.4</v>
      </c>
      <c r="O36" s="64">
        <v>0</v>
      </c>
      <c r="P36" s="64">
        <v>0.22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4" t="s">
        <v>2101</v>
      </c>
      <c r="B37" s="64">
        <v>8.4700000000000006</v>
      </c>
      <c r="C37" s="64">
        <v>4.1900000000000004</v>
      </c>
      <c r="D37" s="64">
        <v>12.75</v>
      </c>
      <c r="E37" s="64">
        <v>4.28</v>
      </c>
      <c r="F37" s="64">
        <v>4.28</v>
      </c>
      <c r="G37" s="64">
        <v>21.65</v>
      </c>
      <c r="H37" s="64">
        <v>8.15</v>
      </c>
      <c r="I37" s="64">
        <v>3.56</v>
      </c>
      <c r="J37" s="64">
        <v>0.3</v>
      </c>
      <c r="K37" s="64">
        <v>25.65</v>
      </c>
      <c r="L37" s="64">
        <v>26.73</v>
      </c>
      <c r="M37" s="64">
        <v>74.92</v>
      </c>
      <c r="N37" s="64">
        <v>230.1</v>
      </c>
      <c r="O37" s="64">
        <v>0</v>
      </c>
      <c r="P37" s="64">
        <v>0.21</v>
      </c>
      <c r="Q37" s="64">
        <v>9.58</v>
      </c>
      <c r="R37" s="198"/>
      <c r="S37" s="198"/>
      <c r="T37" s="198"/>
      <c r="U37" s="198"/>
    </row>
    <row r="38" spans="1:21" s="12" customFormat="1" x14ac:dyDescent="0.25">
      <c r="A38" s="214" t="s">
        <v>2102</v>
      </c>
      <c r="B38" s="64">
        <v>8.4700000000000006</v>
      </c>
      <c r="C38" s="64">
        <v>4.1900000000000004</v>
      </c>
      <c r="D38" s="64">
        <v>12.75</v>
      </c>
      <c r="E38" s="64">
        <v>4.28</v>
      </c>
      <c r="F38" s="64">
        <v>4.28</v>
      </c>
      <c r="G38" s="64">
        <v>21.65</v>
      </c>
      <c r="H38" s="64">
        <v>8.15</v>
      </c>
      <c r="I38" s="64">
        <v>3.56</v>
      </c>
      <c r="J38" s="64">
        <v>0.3</v>
      </c>
      <c r="K38" s="64">
        <v>25.65</v>
      </c>
      <c r="L38" s="64">
        <v>26.73</v>
      </c>
      <c r="M38" s="64">
        <v>74.92</v>
      </c>
      <c r="N38" s="64">
        <v>230.1</v>
      </c>
      <c r="O38" s="64">
        <v>0</v>
      </c>
      <c r="P38" s="64">
        <v>0.21</v>
      </c>
      <c r="Q38" s="64">
        <v>9.58</v>
      </c>
      <c r="R38" s="198"/>
      <c r="S38" s="198"/>
      <c r="T38" s="198"/>
      <c r="U38" s="198"/>
    </row>
    <row r="39" spans="1:21" s="12" customFormat="1" x14ac:dyDescent="0.25">
      <c r="A39" s="214" t="s">
        <v>2103</v>
      </c>
      <c r="B39" s="64">
        <v>8.4700000000000006</v>
      </c>
      <c r="C39" s="64">
        <v>4.1900000000000004</v>
      </c>
      <c r="D39" s="64">
        <v>12.75</v>
      </c>
      <c r="E39" s="64">
        <v>4.28</v>
      </c>
      <c r="F39" s="64">
        <v>4.28</v>
      </c>
      <c r="G39" s="64">
        <v>21.65</v>
      </c>
      <c r="H39" s="64">
        <v>8.15</v>
      </c>
      <c r="I39" s="64">
        <v>3.56</v>
      </c>
      <c r="J39" s="64">
        <v>0.3</v>
      </c>
      <c r="K39" s="64">
        <v>25.65</v>
      </c>
      <c r="L39" s="64">
        <v>26.73</v>
      </c>
      <c r="M39" s="64">
        <v>74.92</v>
      </c>
      <c r="N39" s="64">
        <v>230.1</v>
      </c>
      <c r="O39" s="64">
        <v>0</v>
      </c>
      <c r="P39" s="64">
        <v>0.21</v>
      </c>
      <c r="Q39" s="64">
        <v>9.58</v>
      </c>
      <c r="R39" s="198"/>
      <c r="S39" s="198"/>
      <c r="T39" s="198"/>
      <c r="U39" s="198"/>
    </row>
    <row r="40" spans="1:21" s="12" customFormat="1" x14ac:dyDescent="0.25">
      <c r="A40" s="214" t="s">
        <v>2104</v>
      </c>
      <c r="B40" s="64">
        <v>8.4700000000000006</v>
      </c>
      <c r="C40" s="64">
        <v>4.1900000000000004</v>
      </c>
      <c r="D40" s="64">
        <v>12.75</v>
      </c>
      <c r="E40" s="64">
        <v>4.28</v>
      </c>
      <c r="F40" s="64">
        <v>4.28</v>
      </c>
      <c r="G40" s="64">
        <v>21.65</v>
      </c>
      <c r="H40" s="64">
        <v>8.15</v>
      </c>
      <c r="I40" s="64">
        <v>3.56</v>
      </c>
      <c r="J40" s="64">
        <v>0.3</v>
      </c>
      <c r="K40" s="64">
        <v>25.65</v>
      </c>
      <c r="L40" s="64">
        <v>26.73</v>
      </c>
      <c r="M40" s="64">
        <v>74.92</v>
      </c>
      <c r="N40" s="64">
        <v>230.1</v>
      </c>
      <c r="O40" s="64">
        <v>0</v>
      </c>
      <c r="P40" s="64">
        <v>0.21</v>
      </c>
      <c r="Q40" s="64">
        <v>9.58</v>
      </c>
      <c r="R40" s="198"/>
      <c r="S40" s="198"/>
      <c r="T40" s="198"/>
      <c r="U40" s="198"/>
    </row>
    <row r="41" spans="1:21" s="12" customFormat="1" x14ac:dyDescent="0.25">
      <c r="A41" s="214" t="s">
        <v>2105</v>
      </c>
      <c r="B41" s="64">
        <v>8.18</v>
      </c>
      <c r="C41" s="64">
        <v>3.3</v>
      </c>
      <c r="D41" s="64">
        <v>12.06</v>
      </c>
      <c r="E41" s="64">
        <v>4.29</v>
      </c>
      <c r="F41" s="64">
        <v>4.26</v>
      </c>
      <c r="G41" s="64">
        <v>23.96</v>
      </c>
      <c r="H41" s="64">
        <v>7.18</v>
      </c>
      <c r="I41" s="64">
        <v>3.24</v>
      </c>
      <c r="J41" s="64">
        <v>0.4</v>
      </c>
      <c r="K41" s="64">
        <v>18.39</v>
      </c>
      <c r="L41" s="64">
        <v>27.22</v>
      </c>
      <c r="M41" s="64">
        <v>72.78</v>
      </c>
      <c r="N41" s="64">
        <v>329.6</v>
      </c>
      <c r="O41" s="64">
        <v>0</v>
      </c>
      <c r="P41" s="64">
        <v>0.22</v>
      </c>
      <c r="Q41" s="6" t="s">
        <v>42</v>
      </c>
      <c r="R41" s="198"/>
      <c r="S41" s="198"/>
      <c r="T41" s="198"/>
      <c r="U41" s="198"/>
    </row>
    <row r="42" spans="1:21" s="12" customFormat="1" x14ac:dyDescent="0.25">
      <c r="A42" s="214" t="s">
        <v>2106</v>
      </c>
      <c r="B42" s="64">
        <v>8.1300000000000008</v>
      </c>
      <c r="C42" s="64">
        <v>3.14</v>
      </c>
      <c r="D42" s="64">
        <v>11.93</v>
      </c>
      <c r="E42" s="64">
        <v>5.27</v>
      </c>
      <c r="F42" s="64">
        <v>4.0599999999999996</v>
      </c>
      <c r="G42" s="64">
        <v>24.62</v>
      </c>
      <c r="H42" s="64">
        <v>5.91</v>
      </c>
      <c r="I42" s="64">
        <v>2.5499999999999998</v>
      </c>
      <c r="J42" s="64">
        <v>0.55000000000000004</v>
      </c>
      <c r="K42" s="64">
        <v>359.94</v>
      </c>
      <c r="L42" s="64">
        <v>27.41</v>
      </c>
      <c r="M42" s="64">
        <v>72.38</v>
      </c>
      <c r="N42" s="64">
        <v>288.5</v>
      </c>
      <c r="O42" s="64">
        <v>0</v>
      </c>
      <c r="P42" s="64">
        <v>0.22</v>
      </c>
      <c r="Q42" s="64">
        <v>9.52</v>
      </c>
      <c r="R42" s="198"/>
      <c r="S42" s="198"/>
      <c r="T42" s="198"/>
      <c r="U42" s="198"/>
    </row>
    <row r="43" spans="1:21" s="12" customFormat="1" x14ac:dyDescent="0.25">
      <c r="A43" s="214" t="s">
        <v>2107</v>
      </c>
      <c r="B43" s="64">
        <v>8.16</v>
      </c>
      <c r="C43" s="64">
        <v>3.25</v>
      </c>
      <c r="D43" s="64">
        <v>12.02</v>
      </c>
      <c r="E43" s="64">
        <v>5.0599999999999996</v>
      </c>
      <c r="F43" s="64">
        <v>4.71</v>
      </c>
      <c r="G43" s="64">
        <v>24.44</v>
      </c>
      <c r="H43" s="64">
        <v>5.14</v>
      </c>
      <c r="I43" s="64">
        <v>2.4</v>
      </c>
      <c r="J43" s="64">
        <v>0.57999999999999996</v>
      </c>
      <c r="K43" s="64">
        <v>353.79</v>
      </c>
      <c r="L43" s="64">
        <v>28.64</v>
      </c>
      <c r="M43" s="64">
        <v>68.58</v>
      </c>
      <c r="N43" s="64">
        <v>629.4</v>
      </c>
      <c r="O43" s="64">
        <v>0</v>
      </c>
      <c r="P43" s="64">
        <v>0.21</v>
      </c>
      <c r="Q43" s="64">
        <v>9.4700000000000006</v>
      </c>
      <c r="R43" s="198"/>
      <c r="S43" s="198"/>
      <c r="T43" s="198"/>
      <c r="U43" s="198"/>
    </row>
    <row r="44" spans="1:21" s="12" customFormat="1" x14ac:dyDescent="0.25">
      <c r="A44" s="214" t="s">
        <v>2108</v>
      </c>
      <c r="B44" s="64">
        <v>8.19</v>
      </c>
      <c r="C44" s="64">
        <v>3.35</v>
      </c>
      <c r="D44" s="64">
        <v>12.09</v>
      </c>
      <c r="E44" s="64">
        <v>4.99</v>
      </c>
      <c r="F44" s="64">
        <v>4.8</v>
      </c>
      <c r="G44" s="64">
        <v>24.44</v>
      </c>
      <c r="H44" s="64">
        <v>5.14</v>
      </c>
      <c r="I44" s="64">
        <v>2.2400000000000002</v>
      </c>
      <c r="J44" s="64">
        <v>0.66</v>
      </c>
      <c r="K44" s="64">
        <v>357.3</v>
      </c>
      <c r="L44" s="64">
        <v>29.7</v>
      </c>
      <c r="M44" s="64">
        <v>64.38</v>
      </c>
      <c r="N44" s="64">
        <v>521.9</v>
      </c>
      <c r="O44" s="64">
        <v>0</v>
      </c>
      <c r="P44" s="64">
        <v>0.2</v>
      </c>
      <c r="Q44" s="64">
        <v>9.44</v>
      </c>
      <c r="R44" s="198"/>
      <c r="S44" s="198"/>
      <c r="T44" s="198"/>
      <c r="U44" s="198"/>
    </row>
    <row r="45" spans="1:21" s="12" customFormat="1" x14ac:dyDescent="0.25">
      <c r="A45" s="214" t="s">
        <v>2109</v>
      </c>
      <c r="B45" s="64">
        <v>8.18</v>
      </c>
      <c r="C45" s="64">
        <v>3.17</v>
      </c>
      <c r="D45" s="64">
        <v>11.99</v>
      </c>
      <c r="E45" s="64">
        <v>4.79</v>
      </c>
      <c r="F45" s="64">
        <v>5.59</v>
      </c>
      <c r="G45" s="64">
        <v>24.44</v>
      </c>
      <c r="H45" s="64">
        <v>5.14</v>
      </c>
      <c r="I45" s="64">
        <v>2.08</v>
      </c>
      <c r="J45" s="64">
        <v>0.8</v>
      </c>
      <c r="K45" s="64">
        <v>3.69</v>
      </c>
      <c r="L45" s="64">
        <v>29.62</v>
      </c>
      <c r="M45" s="64">
        <v>64.459999999999994</v>
      </c>
      <c r="N45" s="64">
        <v>614.20000000000005</v>
      </c>
      <c r="O45" s="64">
        <v>0</v>
      </c>
      <c r="P45" s="64">
        <v>0.21</v>
      </c>
      <c r="Q45" s="64">
        <v>9.42</v>
      </c>
      <c r="R45" s="198"/>
      <c r="S45" s="198"/>
      <c r="T45" s="198"/>
      <c r="U45" s="198"/>
    </row>
    <row r="46" spans="1:21" s="12" customFormat="1" x14ac:dyDescent="0.25">
      <c r="A46" s="214" t="s">
        <v>2110</v>
      </c>
      <c r="B46" s="64">
        <v>8.18</v>
      </c>
      <c r="C46" s="64">
        <v>3.17</v>
      </c>
      <c r="D46" s="64">
        <v>11.99</v>
      </c>
      <c r="E46" s="64">
        <v>4.79</v>
      </c>
      <c r="F46" s="64">
        <v>5.59</v>
      </c>
      <c r="G46" s="64">
        <v>24.44</v>
      </c>
      <c r="H46" s="64">
        <v>5.14</v>
      </c>
      <c r="I46" s="64">
        <v>2.08</v>
      </c>
      <c r="J46" s="64">
        <v>0.8</v>
      </c>
      <c r="K46" s="64">
        <v>3.69</v>
      </c>
      <c r="L46" s="64">
        <v>29.62</v>
      </c>
      <c r="M46" s="64">
        <v>64.459999999999994</v>
      </c>
      <c r="N46" s="64">
        <v>614.20000000000005</v>
      </c>
      <c r="O46" s="64">
        <v>0</v>
      </c>
      <c r="P46" s="64">
        <v>0.21</v>
      </c>
      <c r="Q46" s="64">
        <v>9.42</v>
      </c>
      <c r="R46" s="198"/>
      <c r="S46" s="198"/>
      <c r="T46" s="198"/>
      <c r="U46" s="198"/>
    </row>
    <row r="47" spans="1:21" s="12" customFormat="1" x14ac:dyDescent="0.25">
      <c r="A47" s="214" t="s">
        <v>2111</v>
      </c>
      <c r="B47" s="64">
        <v>8.18</v>
      </c>
      <c r="C47" s="64">
        <v>3.17</v>
      </c>
      <c r="D47" s="64">
        <v>11.99</v>
      </c>
      <c r="E47" s="64">
        <v>4.79</v>
      </c>
      <c r="F47" s="64">
        <v>5.59</v>
      </c>
      <c r="G47" s="64">
        <v>24.44</v>
      </c>
      <c r="H47" s="64">
        <v>5.14</v>
      </c>
      <c r="I47" s="64">
        <v>2.08</v>
      </c>
      <c r="J47" s="64">
        <v>0.8</v>
      </c>
      <c r="K47" s="64">
        <v>3.69</v>
      </c>
      <c r="L47" s="64">
        <v>29.62</v>
      </c>
      <c r="M47" s="64">
        <v>64.459999999999994</v>
      </c>
      <c r="N47" s="64">
        <v>614.20000000000005</v>
      </c>
      <c r="O47" s="64">
        <v>0</v>
      </c>
      <c r="P47" s="64">
        <v>0.21</v>
      </c>
      <c r="Q47" s="64">
        <v>9.42</v>
      </c>
      <c r="R47" s="198"/>
      <c r="S47" s="198"/>
      <c r="T47" s="198"/>
      <c r="U47" s="198"/>
    </row>
    <row r="48" spans="1:21" s="12" customFormat="1" x14ac:dyDescent="0.25">
      <c r="A48" s="214" t="s">
        <v>2112</v>
      </c>
      <c r="B48" s="64">
        <v>8.23</v>
      </c>
      <c r="C48" s="64">
        <v>3.3</v>
      </c>
      <c r="D48" s="64">
        <v>12.1</v>
      </c>
      <c r="E48" s="64">
        <v>5.09</v>
      </c>
      <c r="F48" s="64">
        <v>5.36</v>
      </c>
      <c r="G48" s="64">
        <v>26.04</v>
      </c>
      <c r="H48" s="64">
        <v>8.43</v>
      </c>
      <c r="I48" s="64">
        <v>1.96</v>
      </c>
      <c r="J48" s="64">
        <v>0.81</v>
      </c>
      <c r="K48" s="64">
        <v>327.58999999999997</v>
      </c>
      <c r="L48" s="64">
        <v>29.7</v>
      </c>
      <c r="M48" s="64">
        <v>64.819999999999993</v>
      </c>
      <c r="N48" s="64">
        <v>400</v>
      </c>
      <c r="O48" s="64">
        <v>0</v>
      </c>
      <c r="P48" s="64">
        <v>0.3</v>
      </c>
      <c r="Q48" s="64">
        <v>9.44</v>
      </c>
      <c r="R48" s="198"/>
      <c r="S48" s="198"/>
      <c r="T48" s="198"/>
      <c r="U48" s="198"/>
    </row>
    <row r="49" spans="1:21" s="12" customFormat="1" x14ac:dyDescent="0.25">
      <c r="A49" s="214" t="s">
        <v>2113</v>
      </c>
      <c r="B49" s="64">
        <v>8.2200000000000006</v>
      </c>
      <c r="C49" s="64">
        <v>3.29</v>
      </c>
      <c r="D49" s="64">
        <v>12.08</v>
      </c>
      <c r="E49" s="64">
        <v>5.15</v>
      </c>
      <c r="F49" s="64">
        <v>5.33</v>
      </c>
      <c r="G49" s="64">
        <v>26.41</v>
      </c>
      <c r="H49" s="64">
        <v>9.1999999999999993</v>
      </c>
      <c r="I49" s="64">
        <v>2.0099999999999998</v>
      </c>
      <c r="J49" s="64">
        <v>1.1299999999999999</v>
      </c>
      <c r="K49" s="64">
        <v>313.83</v>
      </c>
      <c r="L49" s="64">
        <v>30.98</v>
      </c>
      <c r="M49" s="64">
        <v>61.65</v>
      </c>
      <c r="N49" s="64">
        <v>730.8</v>
      </c>
      <c r="O49" s="64">
        <v>0</v>
      </c>
      <c r="P49" s="64">
        <v>0.32</v>
      </c>
      <c r="Q49" s="64">
        <v>9.4600000000000009</v>
      </c>
      <c r="R49" s="198"/>
      <c r="S49" s="198"/>
      <c r="T49" s="198"/>
      <c r="U49" s="198"/>
    </row>
    <row r="50" spans="1:21" s="12" customFormat="1" x14ac:dyDescent="0.25">
      <c r="A50" s="214" t="s">
        <v>2114</v>
      </c>
      <c r="B50" s="64">
        <v>8.2100000000000009</v>
      </c>
      <c r="C50" s="64">
        <v>3.31</v>
      </c>
      <c r="D50" s="64">
        <v>12.09</v>
      </c>
      <c r="E50" s="64">
        <v>4.6900000000000004</v>
      </c>
      <c r="F50" s="64">
        <v>4.93</v>
      </c>
      <c r="G50" s="64">
        <v>29.23</v>
      </c>
      <c r="H50" s="64">
        <v>9.1300000000000008</v>
      </c>
      <c r="I50" s="64">
        <v>2.02</v>
      </c>
      <c r="J50" s="64">
        <v>1.1100000000000001</v>
      </c>
      <c r="K50" s="64">
        <v>315.97000000000003</v>
      </c>
      <c r="L50" s="64">
        <v>32.64</v>
      </c>
      <c r="M50" s="64">
        <v>56.9</v>
      </c>
      <c r="N50" s="64">
        <v>873</v>
      </c>
      <c r="O50" s="64">
        <v>0</v>
      </c>
      <c r="P50" s="64">
        <v>0.33</v>
      </c>
      <c r="Q50" s="64">
        <v>9.4600000000000009</v>
      </c>
      <c r="R50" s="198"/>
      <c r="S50" s="198"/>
      <c r="T50" s="198"/>
      <c r="U50" s="198"/>
    </row>
    <row r="51" spans="1:21" s="12" customFormat="1" x14ac:dyDescent="0.25">
      <c r="A51" s="214" t="s">
        <v>2115</v>
      </c>
      <c r="B51" s="64">
        <v>8.2200000000000006</v>
      </c>
      <c r="C51" s="64">
        <v>3.35</v>
      </c>
      <c r="D51" s="64">
        <v>12.12</v>
      </c>
      <c r="E51" s="64">
        <v>4.8099999999999996</v>
      </c>
      <c r="F51" s="64">
        <v>5.35</v>
      </c>
      <c r="G51" s="64">
        <v>31.93</v>
      </c>
      <c r="H51" s="64">
        <v>9.07</v>
      </c>
      <c r="I51" s="64">
        <v>1.97</v>
      </c>
      <c r="J51" s="64">
        <v>1</v>
      </c>
      <c r="K51" s="64">
        <v>319.89999999999998</v>
      </c>
      <c r="L51" s="64">
        <v>33.450000000000003</v>
      </c>
      <c r="M51" s="64">
        <v>53.62</v>
      </c>
      <c r="N51" s="64">
        <v>815.4</v>
      </c>
      <c r="O51" s="64">
        <v>0</v>
      </c>
      <c r="P51" s="64">
        <v>0.33</v>
      </c>
      <c r="Q51" s="64">
        <v>9.5</v>
      </c>
      <c r="R51" s="198"/>
      <c r="S51" s="198"/>
      <c r="T51" s="198"/>
      <c r="U51" s="198"/>
    </row>
    <row r="52" spans="1:21" s="12" customFormat="1" x14ac:dyDescent="0.25">
      <c r="A52" s="214" t="s">
        <v>2116</v>
      </c>
      <c r="B52" s="64">
        <v>8.2100000000000009</v>
      </c>
      <c r="C52" s="64">
        <v>3.32</v>
      </c>
      <c r="D52" s="64">
        <v>12.09</v>
      </c>
      <c r="E52" s="64">
        <v>4.72</v>
      </c>
      <c r="F52" s="64">
        <v>4.74</v>
      </c>
      <c r="G52" s="64">
        <v>31.93</v>
      </c>
      <c r="H52" s="64">
        <v>9.07</v>
      </c>
      <c r="I52" s="64">
        <v>1.94</v>
      </c>
      <c r="J52" s="64">
        <v>1.19</v>
      </c>
      <c r="K52" s="64">
        <v>314.55</v>
      </c>
      <c r="L52" s="64">
        <v>33.29</v>
      </c>
      <c r="M52" s="64">
        <v>54.08</v>
      </c>
      <c r="N52" s="64">
        <v>588.29999999999995</v>
      </c>
      <c r="O52" s="64">
        <v>0</v>
      </c>
      <c r="P52" s="64">
        <v>0.33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4" t="s">
        <v>2117</v>
      </c>
      <c r="B53" s="64">
        <v>8.1999999999999993</v>
      </c>
      <c r="C53" s="64">
        <v>3.42</v>
      </c>
      <c r="D53" s="64">
        <v>12.13</v>
      </c>
      <c r="E53" s="64">
        <v>4.63</v>
      </c>
      <c r="F53" s="64">
        <v>4.75</v>
      </c>
      <c r="G53" s="64">
        <v>31.93</v>
      </c>
      <c r="H53" s="64">
        <v>9.07</v>
      </c>
      <c r="I53" s="64">
        <v>1.97</v>
      </c>
      <c r="J53" s="64">
        <v>0.94</v>
      </c>
      <c r="K53" s="64">
        <v>319.38</v>
      </c>
      <c r="L53" s="64">
        <v>31.99</v>
      </c>
      <c r="M53" s="64">
        <v>57.54</v>
      </c>
      <c r="N53" s="64">
        <v>576.5</v>
      </c>
      <c r="O53" s="64">
        <v>0</v>
      </c>
      <c r="P53" s="64">
        <v>0.32</v>
      </c>
      <c r="Q53" s="64">
        <v>9.49</v>
      </c>
      <c r="R53" s="198"/>
      <c r="S53" s="198"/>
      <c r="T53" s="198"/>
      <c r="U53" s="198"/>
    </row>
    <row r="54" spans="1:21" s="12" customFormat="1" x14ac:dyDescent="0.25">
      <c r="A54" s="214" t="s">
        <v>2118</v>
      </c>
      <c r="B54" s="64">
        <v>8.31</v>
      </c>
      <c r="C54" s="64">
        <v>3.93</v>
      </c>
      <c r="D54" s="64">
        <v>12.49</v>
      </c>
      <c r="E54" s="64">
        <v>4.87</v>
      </c>
      <c r="F54" s="64">
        <v>5.71</v>
      </c>
      <c r="G54" s="64">
        <v>32.35</v>
      </c>
      <c r="H54" s="64">
        <v>8.89</v>
      </c>
      <c r="I54" s="64">
        <v>1.92</v>
      </c>
      <c r="J54" s="64">
        <v>1.05</v>
      </c>
      <c r="K54" s="64">
        <v>316.85000000000002</v>
      </c>
      <c r="L54" s="64">
        <v>32.68</v>
      </c>
      <c r="M54" s="64">
        <v>55.32</v>
      </c>
      <c r="N54" s="64">
        <v>587</v>
      </c>
      <c r="O54" s="64">
        <v>0</v>
      </c>
      <c r="P54" s="64">
        <v>0.32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14" t="s">
        <v>2119</v>
      </c>
      <c r="B55" s="64">
        <v>8.18</v>
      </c>
      <c r="C55" s="64">
        <v>3.35</v>
      </c>
      <c r="D55" s="64">
        <v>12.09</v>
      </c>
      <c r="E55" s="64">
        <v>4.92</v>
      </c>
      <c r="F55" s="64">
        <v>4.78</v>
      </c>
      <c r="G55" s="64">
        <v>32.76</v>
      </c>
      <c r="H55" s="64">
        <v>8.7100000000000009</v>
      </c>
      <c r="I55" s="64">
        <v>1.86</v>
      </c>
      <c r="J55" s="64">
        <v>0.82</v>
      </c>
      <c r="K55" s="64">
        <v>329.53</v>
      </c>
      <c r="L55" s="64">
        <v>32.76</v>
      </c>
      <c r="M55" s="64">
        <v>54.14</v>
      </c>
      <c r="N55" s="64">
        <v>639.70000000000005</v>
      </c>
      <c r="O55" s="64">
        <v>0</v>
      </c>
      <c r="P55" s="64">
        <v>0.32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14" t="s">
        <v>2120</v>
      </c>
      <c r="B56" s="64">
        <v>8.17</v>
      </c>
      <c r="C56" s="64">
        <v>3.25</v>
      </c>
      <c r="D56" s="64">
        <v>12.02</v>
      </c>
      <c r="E56" s="64">
        <v>4</v>
      </c>
      <c r="F56" s="64">
        <v>5.39</v>
      </c>
      <c r="G56" s="64">
        <v>32.76</v>
      </c>
      <c r="H56" s="64">
        <v>8.7100000000000009</v>
      </c>
      <c r="I56" s="64">
        <v>1.86</v>
      </c>
      <c r="J56" s="64">
        <v>0.65</v>
      </c>
      <c r="K56" s="64">
        <v>9.5</v>
      </c>
      <c r="L56" s="64">
        <v>31.86</v>
      </c>
      <c r="M56" s="64">
        <v>56.56</v>
      </c>
      <c r="N56" s="64">
        <v>791.1</v>
      </c>
      <c r="O56" s="64">
        <v>0</v>
      </c>
      <c r="P56" s="64">
        <v>0.33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14" t="s">
        <v>2121</v>
      </c>
      <c r="B57" s="64">
        <v>8.14</v>
      </c>
      <c r="C57" s="64">
        <v>3.16</v>
      </c>
      <c r="D57" s="64">
        <v>11.96</v>
      </c>
      <c r="E57" s="64">
        <v>3.51</v>
      </c>
      <c r="F57" s="64">
        <v>5.78</v>
      </c>
      <c r="G57" s="64">
        <v>32.76</v>
      </c>
      <c r="H57" s="64">
        <v>8.7100000000000009</v>
      </c>
      <c r="I57" s="64">
        <v>1.85</v>
      </c>
      <c r="J57" s="64">
        <v>0.71</v>
      </c>
      <c r="K57" s="64">
        <v>326.14</v>
      </c>
      <c r="L57" s="64">
        <v>31.82</v>
      </c>
      <c r="M57" s="64">
        <v>57.68</v>
      </c>
      <c r="N57" s="64">
        <v>770.9</v>
      </c>
      <c r="O57" s="64">
        <v>0</v>
      </c>
      <c r="P57" s="64">
        <v>0.32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14" t="s">
        <v>2122</v>
      </c>
      <c r="B58" s="64">
        <v>8.1199999999999992</v>
      </c>
      <c r="C58" s="64">
        <v>3.12</v>
      </c>
      <c r="D58" s="64">
        <v>11.92</v>
      </c>
      <c r="E58" s="64">
        <v>3.5</v>
      </c>
      <c r="F58" s="64">
        <v>5.98</v>
      </c>
      <c r="G58" s="64">
        <v>34.25</v>
      </c>
      <c r="H58" s="64">
        <v>7.39</v>
      </c>
      <c r="I58" s="64">
        <v>1.83</v>
      </c>
      <c r="J58" s="64">
        <v>1.37</v>
      </c>
      <c r="K58" s="64">
        <v>309.63</v>
      </c>
      <c r="L58" s="64">
        <v>33.520000000000003</v>
      </c>
      <c r="M58" s="64">
        <v>52.9</v>
      </c>
      <c r="N58" s="64">
        <v>943.1</v>
      </c>
      <c r="O58" s="64">
        <v>0</v>
      </c>
      <c r="P58" s="64">
        <v>0.33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4" t="s">
        <v>2123</v>
      </c>
      <c r="B59" s="64">
        <v>8.1300000000000008</v>
      </c>
      <c r="C59" s="64">
        <v>3.15</v>
      </c>
      <c r="D59" s="64">
        <v>11.94</v>
      </c>
      <c r="E59" s="64">
        <v>3.62</v>
      </c>
      <c r="F59" s="64">
        <v>6.46</v>
      </c>
      <c r="G59" s="64">
        <v>35.68</v>
      </c>
      <c r="H59" s="64">
        <v>6.13</v>
      </c>
      <c r="I59" s="64">
        <v>1.79</v>
      </c>
      <c r="J59" s="64">
        <v>0.93</v>
      </c>
      <c r="K59" s="64">
        <v>324.89999999999998</v>
      </c>
      <c r="L59" s="64">
        <v>33.39</v>
      </c>
      <c r="M59" s="64">
        <v>53.09</v>
      </c>
      <c r="N59" s="64">
        <v>941.9</v>
      </c>
      <c r="O59" s="64">
        <v>0</v>
      </c>
      <c r="P59" s="64">
        <v>0.39</v>
      </c>
      <c r="Q59" s="64">
        <v>9.52</v>
      </c>
      <c r="R59" s="198"/>
      <c r="S59" s="198"/>
      <c r="T59" s="198"/>
      <c r="U59" s="198"/>
    </row>
    <row r="60" spans="1:21" s="12" customFormat="1" x14ac:dyDescent="0.25">
      <c r="A60" s="214" t="s">
        <v>2124</v>
      </c>
      <c r="B60" s="64">
        <v>8.16</v>
      </c>
      <c r="C60" s="64">
        <v>3.34</v>
      </c>
      <c r="D60" s="64">
        <v>12.06</v>
      </c>
      <c r="E60" s="64">
        <v>3.51</v>
      </c>
      <c r="F60" s="64">
        <v>5.13</v>
      </c>
      <c r="G60" s="64">
        <v>35.68</v>
      </c>
      <c r="H60" s="64">
        <v>6.13</v>
      </c>
      <c r="I60" s="64">
        <v>1.77</v>
      </c>
      <c r="J60" s="64">
        <v>0.69</v>
      </c>
      <c r="K60" s="64">
        <v>341.26</v>
      </c>
      <c r="L60" s="64">
        <v>33.049999999999997</v>
      </c>
      <c r="M60" s="64">
        <v>53.6</v>
      </c>
      <c r="N60" s="64">
        <v>546.70000000000005</v>
      </c>
      <c r="O60" s="64">
        <v>0</v>
      </c>
      <c r="P60" s="64">
        <v>0.4</v>
      </c>
      <c r="Q60" s="64">
        <v>9.5299999999999994</v>
      </c>
      <c r="R60" s="198"/>
      <c r="S60" s="198"/>
      <c r="T60" s="198"/>
      <c r="U60" s="198"/>
    </row>
    <row r="61" spans="1:21" s="12" customFormat="1" x14ac:dyDescent="0.25">
      <c r="A61" s="214" t="s">
        <v>2125</v>
      </c>
      <c r="B61" s="64">
        <v>8.19</v>
      </c>
      <c r="C61" s="64">
        <v>3.42</v>
      </c>
      <c r="D61" s="64">
        <v>12.12</v>
      </c>
      <c r="E61" s="64">
        <v>3.78</v>
      </c>
      <c r="F61" s="64">
        <v>6.17</v>
      </c>
      <c r="G61" s="64">
        <v>35.68</v>
      </c>
      <c r="H61" s="64">
        <v>6.13</v>
      </c>
      <c r="I61" s="64">
        <v>1.83</v>
      </c>
      <c r="J61" s="64">
        <v>0.74</v>
      </c>
      <c r="K61" s="64">
        <v>338.28</v>
      </c>
      <c r="L61" s="64">
        <v>32.130000000000003</v>
      </c>
      <c r="M61" s="64">
        <v>56.17</v>
      </c>
      <c r="N61" s="64">
        <v>806.7</v>
      </c>
      <c r="O61" s="64">
        <v>0</v>
      </c>
      <c r="P61" s="64">
        <v>0.4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14" t="s">
        <v>2126</v>
      </c>
      <c r="B62" s="64">
        <v>8.36</v>
      </c>
      <c r="C62" s="64">
        <v>4.12</v>
      </c>
      <c r="D62" s="64">
        <v>12.63</v>
      </c>
      <c r="E62" s="64">
        <v>3.09</v>
      </c>
      <c r="F62" s="64">
        <v>6.51</v>
      </c>
      <c r="G62" s="64">
        <v>36.79</v>
      </c>
      <c r="H62" s="64">
        <v>7.25</v>
      </c>
      <c r="I62" s="64">
        <v>1.91</v>
      </c>
      <c r="J62" s="64">
        <v>0.63</v>
      </c>
      <c r="K62" s="64">
        <v>344.08</v>
      </c>
      <c r="L62" s="64">
        <v>31.72</v>
      </c>
      <c r="M62" s="64">
        <v>58.03</v>
      </c>
      <c r="N62" s="64">
        <v>552</v>
      </c>
      <c r="O62" s="64">
        <v>0</v>
      </c>
      <c r="P62" s="64">
        <v>0.41</v>
      </c>
      <c r="Q62" s="64">
        <v>9.4700000000000006</v>
      </c>
      <c r="R62" s="198"/>
      <c r="S62" s="198"/>
      <c r="T62" s="198"/>
      <c r="U62" s="198"/>
    </row>
    <row r="63" spans="1:21" s="12" customFormat="1" x14ac:dyDescent="0.25">
      <c r="A63" s="214" t="s">
        <v>2127</v>
      </c>
      <c r="B63" s="64">
        <v>8.19</v>
      </c>
      <c r="C63" s="64">
        <v>3.27</v>
      </c>
      <c r="D63" s="64">
        <v>12.05</v>
      </c>
      <c r="E63" s="64">
        <v>3.95</v>
      </c>
      <c r="F63" s="64">
        <v>7</v>
      </c>
      <c r="G63" s="64">
        <v>37.840000000000003</v>
      </c>
      <c r="H63" s="64">
        <v>8.32</v>
      </c>
      <c r="I63" s="64">
        <v>1.99</v>
      </c>
      <c r="J63" s="64">
        <v>0.62</v>
      </c>
      <c r="K63" s="64">
        <v>352.38</v>
      </c>
      <c r="L63" s="64">
        <v>31.54</v>
      </c>
      <c r="M63" s="64">
        <v>58.45</v>
      </c>
      <c r="N63" s="64">
        <v>355.3</v>
      </c>
      <c r="O63" s="64">
        <v>0</v>
      </c>
      <c r="P63" s="64">
        <v>0.41</v>
      </c>
      <c r="Q63" s="64">
        <v>9.42</v>
      </c>
      <c r="R63" s="198"/>
      <c r="S63" s="198"/>
      <c r="T63" s="198"/>
      <c r="U63" s="198"/>
    </row>
    <row r="64" spans="1:21" s="12" customFormat="1" x14ac:dyDescent="0.25">
      <c r="A64" s="214" t="s">
        <v>2128</v>
      </c>
      <c r="B64" s="64">
        <v>8.17</v>
      </c>
      <c r="C64" s="64">
        <v>3.18</v>
      </c>
      <c r="D64" s="64">
        <v>11.99</v>
      </c>
      <c r="E64" s="64">
        <v>3.52</v>
      </c>
      <c r="F64" s="64">
        <v>7.13</v>
      </c>
      <c r="G64" s="64">
        <v>37.840000000000003</v>
      </c>
      <c r="H64" s="64">
        <v>8.32</v>
      </c>
      <c r="I64" s="64">
        <v>2.02</v>
      </c>
      <c r="J64" s="64">
        <v>0.64</v>
      </c>
      <c r="K64" s="64">
        <v>348.23</v>
      </c>
      <c r="L64" s="64">
        <v>31.64</v>
      </c>
      <c r="M64" s="64">
        <v>57.41</v>
      </c>
      <c r="N64" s="64">
        <v>504.4</v>
      </c>
      <c r="O64" s="64">
        <v>0</v>
      </c>
      <c r="P64" s="64">
        <v>0.41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4" t="s">
        <v>2129</v>
      </c>
      <c r="B65" s="64">
        <v>8.14</v>
      </c>
      <c r="C65" s="64">
        <v>3.14</v>
      </c>
      <c r="D65" s="64">
        <v>11.94</v>
      </c>
      <c r="E65" s="64">
        <v>3.8</v>
      </c>
      <c r="F65" s="64">
        <v>7.11</v>
      </c>
      <c r="G65" s="64">
        <v>37.840000000000003</v>
      </c>
      <c r="H65" s="64">
        <v>8.32</v>
      </c>
      <c r="I65" s="64">
        <v>2.1</v>
      </c>
      <c r="J65" s="64">
        <v>1.0900000000000001</v>
      </c>
      <c r="K65" s="64">
        <v>315.52999999999997</v>
      </c>
      <c r="L65" s="64">
        <v>32.68</v>
      </c>
      <c r="M65" s="64">
        <v>51.58</v>
      </c>
      <c r="N65" s="64">
        <v>673.8</v>
      </c>
      <c r="O65" s="64">
        <v>0</v>
      </c>
      <c r="P65" s="64">
        <v>0.45</v>
      </c>
      <c r="Q65" s="64">
        <v>9.39</v>
      </c>
      <c r="R65" s="198"/>
      <c r="S65" s="198"/>
      <c r="T65" s="198"/>
      <c r="U65" s="198"/>
    </row>
    <row r="66" spans="1:21" s="12" customFormat="1" x14ac:dyDescent="0.25">
      <c r="A66" s="214" t="s">
        <v>2130</v>
      </c>
      <c r="B66" s="64">
        <v>8.17</v>
      </c>
      <c r="C66" s="64">
        <v>3.18</v>
      </c>
      <c r="D66" s="64">
        <v>11.99</v>
      </c>
      <c r="E66" s="64">
        <v>3.47</v>
      </c>
      <c r="F66" s="64">
        <v>6.84</v>
      </c>
      <c r="G66" s="64">
        <v>37.4</v>
      </c>
      <c r="H66" s="64">
        <v>11.51</v>
      </c>
      <c r="I66" s="64">
        <v>2.21</v>
      </c>
      <c r="J66" s="64">
        <v>0.76</v>
      </c>
      <c r="K66" s="64">
        <v>342.11</v>
      </c>
      <c r="L66" s="64">
        <v>32.69</v>
      </c>
      <c r="M66" s="64">
        <v>51.87</v>
      </c>
      <c r="N66" s="64">
        <v>696.7</v>
      </c>
      <c r="O66" s="64">
        <v>0</v>
      </c>
      <c r="P66" s="64">
        <v>0.47</v>
      </c>
      <c r="Q66" s="64">
        <v>9.41</v>
      </c>
      <c r="R66" s="198"/>
      <c r="S66" s="198"/>
      <c r="T66" s="198"/>
      <c r="U66" s="198"/>
    </row>
    <row r="67" spans="1:21" s="12" customFormat="1" x14ac:dyDescent="0.25">
      <c r="A67" s="214" t="s">
        <v>2131</v>
      </c>
      <c r="B67" s="64">
        <v>8.18</v>
      </c>
      <c r="C67" s="64">
        <v>3.18</v>
      </c>
      <c r="D67" s="64">
        <v>12</v>
      </c>
      <c r="E67" s="64">
        <v>3.7</v>
      </c>
      <c r="F67" s="64">
        <v>6.81</v>
      </c>
      <c r="G67" s="64">
        <v>36.979999999999997</v>
      </c>
      <c r="H67" s="64">
        <v>14.56</v>
      </c>
      <c r="I67" s="64">
        <v>2.27</v>
      </c>
      <c r="J67" s="64">
        <v>0.76</v>
      </c>
      <c r="K67" s="64">
        <v>352.74</v>
      </c>
      <c r="L67" s="64">
        <v>31.91</v>
      </c>
      <c r="M67" s="64">
        <v>53.8</v>
      </c>
      <c r="N67" s="64">
        <v>462.2</v>
      </c>
      <c r="O67" s="64">
        <v>0</v>
      </c>
      <c r="P67" s="64">
        <v>0.48</v>
      </c>
      <c r="Q67" s="64">
        <v>9.41</v>
      </c>
      <c r="R67" s="198"/>
      <c r="S67" s="198"/>
      <c r="T67" s="198"/>
      <c r="U67" s="198"/>
    </row>
    <row r="68" spans="1:21" s="12" customFormat="1" x14ac:dyDescent="0.25">
      <c r="A68" s="214" t="s">
        <v>2132</v>
      </c>
      <c r="B68" s="64">
        <v>8.17</v>
      </c>
      <c r="C68" s="64">
        <v>3.24</v>
      </c>
      <c r="D68" s="64">
        <v>12.02</v>
      </c>
      <c r="E68" s="64">
        <v>3.91</v>
      </c>
      <c r="F68" s="64">
        <v>6.83</v>
      </c>
      <c r="G68" s="64">
        <v>36.979999999999997</v>
      </c>
      <c r="H68" s="64">
        <v>14.56</v>
      </c>
      <c r="I68" s="64">
        <v>2.31</v>
      </c>
      <c r="J68" s="64">
        <v>1.51</v>
      </c>
      <c r="K68" s="64">
        <v>312.02999999999997</v>
      </c>
      <c r="L68" s="64">
        <v>32.9</v>
      </c>
      <c r="M68" s="64">
        <v>50.63</v>
      </c>
      <c r="N68" s="64">
        <v>295.60000000000002</v>
      </c>
      <c r="O68" s="64">
        <v>0</v>
      </c>
      <c r="P68" s="64">
        <v>0.48</v>
      </c>
      <c r="Q68" s="64">
        <v>9.41</v>
      </c>
      <c r="R68" s="198"/>
      <c r="S68" s="198"/>
      <c r="T68" s="198"/>
      <c r="U68" s="198"/>
    </row>
    <row r="69" spans="1:21" s="12" customFormat="1" x14ac:dyDescent="0.25">
      <c r="A69" s="214" t="s">
        <v>2133</v>
      </c>
      <c r="B69" s="64">
        <v>8.19</v>
      </c>
      <c r="C69" s="64">
        <v>3.24</v>
      </c>
      <c r="D69" s="64">
        <v>12.03</v>
      </c>
      <c r="E69" s="64">
        <v>3.46</v>
      </c>
      <c r="F69" s="64">
        <v>6.28</v>
      </c>
      <c r="G69" s="64">
        <v>36.979999999999997</v>
      </c>
      <c r="H69" s="64">
        <v>14.56</v>
      </c>
      <c r="I69" s="64">
        <v>2.35</v>
      </c>
      <c r="J69" s="64">
        <v>1.2</v>
      </c>
      <c r="K69" s="64">
        <v>312.86</v>
      </c>
      <c r="L69" s="64">
        <v>32.79</v>
      </c>
      <c r="M69" s="64">
        <v>49.93</v>
      </c>
      <c r="N69" s="64">
        <v>346.8</v>
      </c>
      <c r="O69" s="64">
        <v>0</v>
      </c>
      <c r="P69" s="64">
        <v>0.45</v>
      </c>
      <c r="Q69" s="64">
        <v>9.44</v>
      </c>
      <c r="R69" s="198"/>
      <c r="S69" s="198"/>
      <c r="T69" s="198"/>
      <c r="U69" s="198"/>
    </row>
    <row r="70" spans="1:21" s="12" customFormat="1" x14ac:dyDescent="0.25">
      <c r="A70" s="214" t="s">
        <v>2134</v>
      </c>
      <c r="B70" s="64">
        <v>8.2100000000000009</v>
      </c>
      <c r="C70" s="64">
        <v>3.39</v>
      </c>
      <c r="D70" s="64">
        <v>12.13</v>
      </c>
      <c r="E70" s="64">
        <v>3.58</v>
      </c>
      <c r="F70" s="64">
        <v>6.55</v>
      </c>
      <c r="G70" s="64">
        <v>40.590000000000003</v>
      </c>
      <c r="H70" s="64">
        <v>12.4</v>
      </c>
      <c r="I70" s="64">
        <v>2.3199999999999998</v>
      </c>
      <c r="J70" s="64">
        <v>0.99</v>
      </c>
      <c r="K70" s="64">
        <v>320.27</v>
      </c>
      <c r="L70" s="64">
        <v>32.22</v>
      </c>
      <c r="M70" s="64">
        <v>51.11</v>
      </c>
      <c r="N70" s="64">
        <v>282.2</v>
      </c>
      <c r="O70" s="64">
        <v>0</v>
      </c>
      <c r="P70" s="64">
        <v>0.44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4" t="s">
        <v>2135</v>
      </c>
      <c r="B71" s="64">
        <v>8.25</v>
      </c>
      <c r="C71" s="64">
        <v>3.78</v>
      </c>
      <c r="D71" s="64">
        <v>12.36</v>
      </c>
      <c r="E71" s="64">
        <v>3.87</v>
      </c>
      <c r="F71" s="64">
        <v>6.13</v>
      </c>
      <c r="G71" s="64">
        <v>44.04</v>
      </c>
      <c r="H71" s="64">
        <v>10.33</v>
      </c>
      <c r="I71" s="64">
        <v>2.21</v>
      </c>
      <c r="J71" s="64">
        <v>0.68</v>
      </c>
      <c r="K71" s="64">
        <v>352.98</v>
      </c>
      <c r="L71" s="64">
        <v>31.27</v>
      </c>
      <c r="M71" s="64">
        <v>53.39</v>
      </c>
      <c r="N71" s="64">
        <v>161.1</v>
      </c>
      <c r="O71" s="64">
        <v>0</v>
      </c>
      <c r="P71" s="64">
        <v>0.42</v>
      </c>
      <c r="Q71" s="64">
        <v>9.58</v>
      </c>
      <c r="R71" s="198"/>
      <c r="S71" s="198"/>
      <c r="T71" s="198"/>
      <c r="U71" s="198"/>
    </row>
    <row r="72" spans="1:21" s="12" customFormat="1" x14ac:dyDescent="0.25">
      <c r="A72" s="214" t="s">
        <v>2136</v>
      </c>
      <c r="B72" s="64">
        <v>8.17</v>
      </c>
      <c r="C72" s="64">
        <v>3.34</v>
      </c>
      <c r="D72" s="64">
        <v>12.07</v>
      </c>
      <c r="E72" s="64">
        <v>3.71</v>
      </c>
      <c r="F72" s="64">
        <v>6.43</v>
      </c>
      <c r="G72" s="64">
        <v>44.04</v>
      </c>
      <c r="H72" s="64">
        <v>10.33</v>
      </c>
      <c r="I72" s="64">
        <v>2.09</v>
      </c>
      <c r="J72" s="64">
        <v>0.66</v>
      </c>
      <c r="K72" s="64">
        <v>5.53</v>
      </c>
      <c r="L72" s="64">
        <v>30.86</v>
      </c>
      <c r="M72" s="64">
        <v>54.98</v>
      </c>
      <c r="N72" s="64">
        <v>150.19999999999999</v>
      </c>
      <c r="O72" s="64">
        <v>0</v>
      </c>
      <c r="P72" s="64">
        <v>0.4</v>
      </c>
      <c r="Q72" s="64">
        <v>9.5299999999999994</v>
      </c>
      <c r="R72" s="198"/>
      <c r="S72" s="198"/>
      <c r="T72" s="198"/>
      <c r="U72" s="198"/>
    </row>
    <row r="73" spans="1:21" s="12" customFormat="1" x14ac:dyDescent="0.25">
      <c r="A73" s="214" t="s">
        <v>2137</v>
      </c>
      <c r="B73" s="64">
        <v>8.15</v>
      </c>
      <c r="C73" s="64">
        <v>3.21</v>
      </c>
      <c r="D73" s="64">
        <v>11.99</v>
      </c>
      <c r="E73" s="64">
        <v>3.8</v>
      </c>
      <c r="F73" s="64">
        <v>6.48</v>
      </c>
      <c r="G73" s="64">
        <v>44.04</v>
      </c>
      <c r="H73" s="64">
        <v>10.33</v>
      </c>
      <c r="I73" s="64">
        <v>2</v>
      </c>
      <c r="J73" s="64">
        <v>0.62</v>
      </c>
      <c r="K73" s="64">
        <v>6.68</v>
      </c>
      <c r="L73" s="64">
        <v>30.4</v>
      </c>
      <c r="M73" s="64">
        <v>57.3</v>
      </c>
      <c r="N73" s="64">
        <v>110.8</v>
      </c>
      <c r="O73" s="64">
        <v>0</v>
      </c>
      <c r="P73" s="64">
        <v>0.4</v>
      </c>
      <c r="Q73" s="64">
        <v>9.5299999999999994</v>
      </c>
      <c r="R73" s="198"/>
      <c r="S73" s="198"/>
      <c r="T73" s="198"/>
      <c r="U73" s="198"/>
    </row>
    <row r="74" spans="1:21" s="12" customFormat="1" x14ac:dyDescent="0.25">
      <c r="A74" s="214" t="s">
        <v>2138</v>
      </c>
      <c r="B74" s="64">
        <v>8.18</v>
      </c>
      <c r="C74" s="64">
        <v>3.31</v>
      </c>
      <c r="D74" s="64">
        <v>12.07</v>
      </c>
      <c r="E74" s="64">
        <v>3.74</v>
      </c>
      <c r="F74" s="64">
        <v>6.49</v>
      </c>
      <c r="G74" s="64">
        <v>45.59</v>
      </c>
      <c r="H74" s="64">
        <v>10.61</v>
      </c>
      <c r="I74" s="64">
        <v>1.94</v>
      </c>
      <c r="J74" s="64">
        <v>0.63</v>
      </c>
      <c r="K74" s="64">
        <v>3.86</v>
      </c>
      <c r="L74" s="64">
        <v>29.99</v>
      </c>
      <c r="M74" s="64">
        <v>59.2</v>
      </c>
      <c r="N74" s="64">
        <v>79</v>
      </c>
      <c r="O74" s="64">
        <v>0</v>
      </c>
      <c r="P74" s="64">
        <v>0.39</v>
      </c>
      <c r="Q74" s="64">
        <v>9.5</v>
      </c>
      <c r="R74" s="198"/>
      <c r="S74" s="198"/>
      <c r="T74" s="198"/>
      <c r="U74" s="198"/>
    </row>
    <row r="75" spans="1:21" s="12" customFormat="1" x14ac:dyDescent="0.25">
      <c r="A75" s="214" t="s">
        <v>2139</v>
      </c>
      <c r="B75" s="64">
        <v>8.16</v>
      </c>
      <c r="C75" s="64">
        <v>3.21</v>
      </c>
      <c r="D75" s="64">
        <v>11.99</v>
      </c>
      <c r="E75" s="64">
        <v>4.09</v>
      </c>
      <c r="F75" s="64">
        <v>6.86</v>
      </c>
      <c r="G75" s="64">
        <v>47.07</v>
      </c>
      <c r="H75" s="64">
        <v>10.88</v>
      </c>
      <c r="I75" s="64">
        <v>1.9</v>
      </c>
      <c r="J75" s="64">
        <v>0.79</v>
      </c>
      <c r="K75" s="64">
        <v>13.98</v>
      </c>
      <c r="L75" s="64">
        <v>29.91</v>
      </c>
      <c r="M75" s="64">
        <v>58.61</v>
      </c>
      <c r="N75" s="64">
        <v>61.3</v>
      </c>
      <c r="O75" s="64">
        <v>0</v>
      </c>
      <c r="P75" s="64">
        <v>0.39</v>
      </c>
      <c r="Q75" s="64">
        <v>9.5500000000000007</v>
      </c>
      <c r="R75" s="198"/>
      <c r="S75" s="198"/>
      <c r="T75" s="198"/>
      <c r="U75" s="198"/>
    </row>
    <row r="76" spans="1:21" s="12" customFormat="1" x14ac:dyDescent="0.25">
      <c r="A76" s="214" t="s">
        <v>2140</v>
      </c>
      <c r="B76" s="64">
        <v>8.2100000000000009</v>
      </c>
      <c r="C76" s="64">
        <v>3.45</v>
      </c>
      <c r="D76" s="64">
        <v>12.17</v>
      </c>
      <c r="E76" s="64">
        <v>4.25</v>
      </c>
      <c r="F76" s="64">
        <v>6.11</v>
      </c>
      <c r="G76" s="64">
        <v>47.07</v>
      </c>
      <c r="H76" s="64">
        <v>10.88</v>
      </c>
      <c r="I76" s="64">
        <v>1.92</v>
      </c>
      <c r="J76" s="64">
        <v>0.73</v>
      </c>
      <c r="K76" s="64">
        <v>9.58</v>
      </c>
      <c r="L76" s="64">
        <v>29.85</v>
      </c>
      <c r="M76" s="64">
        <v>58.71</v>
      </c>
      <c r="N76" s="64">
        <v>47.5</v>
      </c>
      <c r="O76" s="64">
        <v>0</v>
      </c>
      <c r="P76" s="64">
        <v>0.38</v>
      </c>
      <c r="Q76" s="64">
        <v>9.5299999999999994</v>
      </c>
      <c r="R76" s="198"/>
      <c r="S76" s="198"/>
      <c r="T76" s="198"/>
      <c r="U76" s="198"/>
    </row>
    <row r="77" spans="1:21" s="12" customFormat="1" x14ac:dyDescent="0.25">
      <c r="A77" s="214" t="s">
        <v>2141</v>
      </c>
      <c r="B77" s="64">
        <v>8.2100000000000009</v>
      </c>
      <c r="C77" s="64">
        <v>3.48</v>
      </c>
      <c r="D77" s="64">
        <v>12.18</v>
      </c>
      <c r="E77" s="64">
        <v>4.12</v>
      </c>
      <c r="F77" s="64">
        <v>5.82</v>
      </c>
      <c r="G77" s="64">
        <v>47.07</v>
      </c>
      <c r="H77" s="64">
        <v>10.88</v>
      </c>
      <c r="I77" s="64">
        <v>1.91</v>
      </c>
      <c r="J77" s="64">
        <v>0.74</v>
      </c>
      <c r="K77" s="64">
        <v>7.72</v>
      </c>
      <c r="L77" s="64">
        <v>29.75</v>
      </c>
      <c r="M77" s="64">
        <v>59.94</v>
      </c>
      <c r="N77" s="64">
        <v>33.5</v>
      </c>
      <c r="O77" s="64">
        <v>0</v>
      </c>
      <c r="P77" s="64">
        <v>0.37</v>
      </c>
      <c r="Q77" s="64">
        <v>9.51</v>
      </c>
      <c r="R77" s="198"/>
      <c r="S77" s="198"/>
      <c r="T77" s="198"/>
      <c r="U77" s="198"/>
    </row>
    <row r="78" spans="1:21" s="12" customFormat="1" x14ac:dyDescent="0.25">
      <c r="A78" s="214" t="s">
        <v>2142</v>
      </c>
      <c r="B78" s="64">
        <v>8.17</v>
      </c>
      <c r="C78" s="64">
        <v>3.29</v>
      </c>
      <c r="D78" s="64">
        <v>12.04</v>
      </c>
      <c r="E78" s="64">
        <v>4.1900000000000004</v>
      </c>
      <c r="F78" s="64">
        <v>5.76</v>
      </c>
      <c r="G78" s="64">
        <v>44.11</v>
      </c>
      <c r="H78" s="64">
        <v>11.14</v>
      </c>
      <c r="I78" s="64">
        <v>1.85</v>
      </c>
      <c r="J78" s="64">
        <v>2.17</v>
      </c>
      <c r="K78" s="64">
        <v>343.08</v>
      </c>
      <c r="L78" s="64">
        <v>28.87</v>
      </c>
      <c r="M78" s="64">
        <v>63.87</v>
      </c>
      <c r="N78" s="64">
        <v>24.2</v>
      </c>
      <c r="O78" s="64">
        <v>0</v>
      </c>
      <c r="P78" s="64">
        <v>0.38</v>
      </c>
      <c r="Q78" s="64">
        <v>9.5</v>
      </c>
      <c r="R78" s="198"/>
      <c r="S78" s="198"/>
      <c r="T78" s="198"/>
      <c r="U78" s="198"/>
    </row>
    <row r="79" spans="1:21" s="12" customFormat="1" x14ac:dyDescent="0.25">
      <c r="A79" s="214" t="s">
        <v>2143</v>
      </c>
      <c r="B79" s="64">
        <v>8.15</v>
      </c>
      <c r="C79" s="64">
        <v>3.24</v>
      </c>
      <c r="D79" s="64">
        <v>12</v>
      </c>
      <c r="E79" s="64">
        <v>3.81</v>
      </c>
      <c r="F79" s="64">
        <v>4.37</v>
      </c>
      <c r="G79" s="64">
        <v>41.27</v>
      </c>
      <c r="H79" s="64">
        <v>11.4</v>
      </c>
      <c r="I79" s="64">
        <v>1.83</v>
      </c>
      <c r="J79" s="64">
        <v>2.48</v>
      </c>
      <c r="K79" s="64">
        <v>339.64</v>
      </c>
      <c r="L79" s="64">
        <v>26.04</v>
      </c>
      <c r="M79" s="64">
        <v>73.099999999999994</v>
      </c>
      <c r="N79" s="64">
        <v>21.6</v>
      </c>
      <c r="O79" s="64">
        <v>0</v>
      </c>
      <c r="P79" s="64">
        <v>0.39</v>
      </c>
      <c r="Q79" s="64">
        <v>9.5500000000000007</v>
      </c>
      <c r="R79" s="198"/>
      <c r="S79" s="198"/>
      <c r="T79" s="198"/>
      <c r="U79" s="198"/>
    </row>
    <row r="80" spans="1:21" s="12" customFormat="1" x14ac:dyDescent="0.25">
      <c r="A80" s="214" t="s">
        <v>2144</v>
      </c>
      <c r="B80" s="64">
        <v>8.1999999999999993</v>
      </c>
      <c r="C80" s="64">
        <v>3.26</v>
      </c>
      <c r="D80" s="64">
        <v>12.05</v>
      </c>
      <c r="E80" s="64">
        <v>4.03</v>
      </c>
      <c r="F80" s="64">
        <v>4.53</v>
      </c>
      <c r="G80" s="64">
        <v>41.27</v>
      </c>
      <c r="H80" s="64">
        <v>11.4</v>
      </c>
      <c r="I80" s="64">
        <v>1.85</v>
      </c>
      <c r="J80" s="64">
        <v>3.67</v>
      </c>
      <c r="K80" s="64">
        <v>343.78</v>
      </c>
      <c r="L80" s="64">
        <v>24.94</v>
      </c>
      <c r="M80" s="64">
        <v>79.209999999999994</v>
      </c>
      <c r="N80" s="64">
        <v>20.3</v>
      </c>
      <c r="O80" s="64">
        <v>0</v>
      </c>
      <c r="P80" s="64">
        <v>0.38</v>
      </c>
      <c r="Q80" s="64">
        <v>9.48</v>
      </c>
      <c r="R80" s="198"/>
      <c r="S80" s="198"/>
      <c r="T80" s="198"/>
      <c r="U80" s="198"/>
    </row>
    <row r="81" spans="1:26" s="12" customFormat="1" x14ac:dyDescent="0.25">
      <c r="A81" s="214" t="s">
        <v>2145</v>
      </c>
      <c r="B81" s="64">
        <v>8.18</v>
      </c>
      <c r="C81" s="64">
        <v>3.2</v>
      </c>
      <c r="D81" s="64">
        <v>12</v>
      </c>
      <c r="E81" s="64">
        <v>3.89</v>
      </c>
      <c r="F81" s="64">
        <v>5.21</v>
      </c>
      <c r="G81" s="64">
        <v>41.27</v>
      </c>
      <c r="H81" s="64">
        <v>11.4</v>
      </c>
      <c r="I81" s="64">
        <v>1.93</v>
      </c>
      <c r="J81" s="64">
        <v>3.69</v>
      </c>
      <c r="K81" s="64">
        <v>337.48</v>
      </c>
      <c r="L81" s="64">
        <v>23.26</v>
      </c>
      <c r="M81" s="64">
        <v>91.87</v>
      </c>
      <c r="N81" s="64">
        <v>23.3</v>
      </c>
      <c r="O81" s="64">
        <v>4.2</v>
      </c>
      <c r="P81" s="64">
        <v>0.38</v>
      </c>
      <c r="Q81" s="64">
        <v>9.43</v>
      </c>
      <c r="R81" s="198"/>
      <c r="S81" s="198"/>
      <c r="T81" s="198"/>
      <c r="U81" s="198"/>
    </row>
    <row r="82" spans="1:26" s="12" customFormat="1" x14ac:dyDescent="0.25">
      <c r="A82" s="214" t="s">
        <v>2146</v>
      </c>
      <c r="B82" s="64">
        <v>8.2100000000000009</v>
      </c>
      <c r="C82" s="64">
        <v>3.35</v>
      </c>
      <c r="D82" s="64">
        <v>12.11</v>
      </c>
      <c r="E82" s="64">
        <v>3.49</v>
      </c>
      <c r="F82" s="64">
        <v>4.95</v>
      </c>
      <c r="G82" s="64">
        <v>46.05</v>
      </c>
      <c r="H82" s="64">
        <v>13.27</v>
      </c>
      <c r="I82" s="64">
        <v>1.86</v>
      </c>
      <c r="J82" s="64">
        <v>2.72</v>
      </c>
      <c r="K82" s="64">
        <v>326.89</v>
      </c>
      <c r="L82" s="64">
        <v>21.67</v>
      </c>
      <c r="M82" s="64">
        <v>98.35</v>
      </c>
      <c r="N82" s="64">
        <v>17.3</v>
      </c>
      <c r="O82" s="64">
        <v>6</v>
      </c>
      <c r="P82" s="64">
        <v>0.37</v>
      </c>
      <c r="Q82" s="64">
        <v>9.4600000000000009</v>
      </c>
      <c r="R82" s="198"/>
      <c r="S82" s="198"/>
      <c r="T82" s="198"/>
      <c r="U82" s="198"/>
    </row>
    <row r="83" spans="1:26" s="12" customFormat="1" x14ac:dyDescent="0.25">
      <c r="A83" s="214" t="s">
        <v>2147</v>
      </c>
      <c r="B83" s="64">
        <v>8.2100000000000009</v>
      </c>
      <c r="C83" s="64">
        <v>3.29</v>
      </c>
      <c r="D83" s="64">
        <v>12.07</v>
      </c>
      <c r="E83" s="64">
        <v>3.78</v>
      </c>
      <c r="F83" s="64">
        <v>5.01</v>
      </c>
      <c r="G83" s="64">
        <v>50.61</v>
      </c>
      <c r="H83" s="64">
        <v>15.06</v>
      </c>
      <c r="I83" s="64">
        <v>1.74</v>
      </c>
      <c r="J83" s="64">
        <v>2.68</v>
      </c>
      <c r="K83" s="64">
        <v>324.98</v>
      </c>
      <c r="L83" s="64">
        <v>21.56</v>
      </c>
      <c r="M83" s="64">
        <v>98.35</v>
      </c>
      <c r="N83" s="64">
        <v>18</v>
      </c>
      <c r="O83" s="64">
        <v>3.2</v>
      </c>
      <c r="P83" s="64">
        <v>0.34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4" t="s">
        <v>2148</v>
      </c>
      <c r="B84" s="64">
        <v>8.25</v>
      </c>
      <c r="C84" s="64">
        <v>3.4</v>
      </c>
      <c r="D84" s="64">
        <v>12.17</v>
      </c>
      <c r="E84" s="64">
        <v>3.93</v>
      </c>
      <c r="F84" s="64">
        <v>5.62</v>
      </c>
      <c r="G84" s="64">
        <v>50.61</v>
      </c>
      <c r="H84" s="64">
        <v>15.06</v>
      </c>
      <c r="I84" s="64">
        <v>1.77</v>
      </c>
      <c r="J84" s="64">
        <v>3.57</v>
      </c>
      <c r="K84" s="64">
        <v>331.33</v>
      </c>
      <c r="L84" s="64">
        <v>21.11</v>
      </c>
      <c r="M84" s="64">
        <v>98.35</v>
      </c>
      <c r="N84" s="64">
        <v>18.399999999999999</v>
      </c>
      <c r="O84" s="64">
        <v>7</v>
      </c>
      <c r="P84" s="64">
        <v>0.32</v>
      </c>
      <c r="Q84" s="64">
        <v>9.5</v>
      </c>
      <c r="R84" s="198"/>
      <c r="S84" s="198"/>
      <c r="T84" s="198"/>
      <c r="U84" s="198"/>
    </row>
    <row r="85" spans="1:26" s="12" customFormat="1" x14ac:dyDescent="0.25">
      <c r="A85" s="214" t="s">
        <v>2149</v>
      </c>
      <c r="B85" s="64">
        <v>8.2799999999999994</v>
      </c>
      <c r="C85" s="64">
        <v>3.57</v>
      </c>
      <c r="D85" s="64">
        <v>12.28</v>
      </c>
      <c r="E85" s="64">
        <v>3.83</v>
      </c>
      <c r="F85" s="64">
        <v>5.52</v>
      </c>
      <c r="G85" s="64">
        <v>50.61</v>
      </c>
      <c r="H85" s="64">
        <v>15.06</v>
      </c>
      <c r="I85" s="64">
        <v>1.74</v>
      </c>
      <c r="J85" s="64">
        <v>3.04</v>
      </c>
      <c r="K85" s="64">
        <v>338.37</v>
      </c>
      <c r="L85" s="64">
        <v>20.95</v>
      </c>
      <c r="M85" s="64">
        <v>98.37</v>
      </c>
      <c r="N85" s="64">
        <v>17.600000000000001</v>
      </c>
      <c r="O85" s="64">
        <v>2</v>
      </c>
      <c r="P85" s="64">
        <v>0.32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4" t="s">
        <v>2150</v>
      </c>
      <c r="B86" s="64">
        <v>8.23</v>
      </c>
      <c r="C86" s="64">
        <v>3.39</v>
      </c>
      <c r="D86" s="64">
        <v>12.15</v>
      </c>
      <c r="E86" s="64">
        <v>3.91</v>
      </c>
      <c r="F86" s="64">
        <v>5.23</v>
      </c>
      <c r="G86" s="64">
        <v>43.3</v>
      </c>
      <c r="H86" s="64">
        <v>13.2</v>
      </c>
      <c r="I86" s="64">
        <v>1.59</v>
      </c>
      <c r="J86" s="64">
        <v>2.25</v>
      </c>
      <c r="K86" s="64">
        <v>330.4</v>
      </c>
      <c r="L86" s="64">
        <v>21.1</v>
      </c>
      <c r="M86" s="64">
        <v>98.36</v>
      </c>
      <c r="N86" s="64">
        <v>17.2</v>
      </c>
      <c r="O86" s="64">
        <v>0.6</v>
      </c>
      <c r="P86" s="64">
        <v>0.33</v>
      </c>
      <c r="Q86" s="64">
        <v>9.4499999999999993</v>
      </c>
      <c r="R86" s="198"/>
      <c r="S86" s="198"/>
      <c r="T86" s="198"/>
      <c r="U86" s="198"/>
    </row>
    <row r="87" spans="1:26" s="12" customFormat="1" x14ac:dyDescent="0.25">
      <c r="A87" s="214" t="s">
        <v>2151</v>
      </c>
      <c r="B87" s="64">
        <v>8.25</v>
      </c>
      <c r="C87" s="64">
        <v>3.33</v>
      </c>
      <c r="D87" s="64">
        <v>12.13</v>
      </c>
      <c r="E87" s="64">
        <v>4.03</v>
      </c>
      <c r="F87" s="64">
        <v>4.7699999999999996</v>
      </c>
      <c r="G87" s="64">
        <v>36.299999999999997</v>
      </c>
      <c r="H87" s="64">
        <v>11.5</v>
      </c>
      <c r="I87" s="64">
        <v>1.49</v>
      </c>
      <c r="J87" s="64">
        <v>1.34</v>
      </c>
      <c r="K87" s="64">
        <v>319.98</v>
      </c>
      <c r="L87" s="64">
        <v>21.29</v>
      </c>
      <c r="M87" s="64">
        <v>98.38</v>
      </c>
      <c r="N87" s="64">
        <v>17.2</v>
      </c>
      <c r="O87" s="64">
        <v>0.4</v>
      </c>
      <c r="P87" s="64">
        <v>0.34</v>
      </c>
      <c r="Q87" s="64">
        <v>9.4499999999999993</v>
      </c>
      <c r="R87" s="198"/>
      <c r="S87" s="198"/>
      <c r="T87" s="198"/>
      <c r="U87" s="198"/>
    </row>
    <row r="88" spans="1:26" s="12" customFormat="1" x14ac:dyDescent="0.25">
      <c r="A88" s="214" t="s">
        <v>2152</v>
      </c>
      <c r="B88" s="64">
        <v>8.1999999999999993</v>
      </c>
      <c r="C88" s="64">
        <v>3.18</v>
      </c>
      <c r="D88" s="64">
        <v>12.01</v>
      </c>
      <c r="E88" s="64">
        <v>4.09</v>
      </c>
      <c r="F88" s="64">
        <v>5.47</v>
      </c>
      <c r="G88" s="64">
        <v>36.299999999999997</v>
      </c>
      <c r="H88" s="64">
        <v>11.5</v>
      </c>
      <c r="I88" s="64">
        <v>1.48</v>
      </c>
      <c r="J88" s="64">
        <v>1.1100000000000001</v>
      </c>
      <c r="K88" s="64">
        <v>317.43</v>
      </c>
      <c r="L88" s="64">
        <v>21.1</v>
      </c>
      <c r="M88" s="64">
        <v>98.4</v>
      </c>
      <c r="N88" s="64">
        <v>17.899999999999999</v>
      </c>
      <c r="O88" s="64">
        <v>0.4</v>
      </c>
      <c r="P88" s="64">
        <v>0.35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14" t="s">
        <v>2153</v>
      </c>
      <c r="B89" s="64">
        <v>8.19</v>
      </c>
      <c r="C89" s="64">
        <v>3.27</v>
      </c>
      <c r="D89" s="64">
        <v>12.05</v>
      </c>
      <c r="E89" s="64">
        <v>4.28</v>
      </c>
      <c r="F89" s="64">
        <v>3.57</v>
      </c>
      <c r="G89" s="64">
        <v>36.299999999999997</v>
      </c>
      <c r="H89" s="64">
        <v>11.5</v>
      </c>
      <c r="I89" s="64">
        <v>1.52</v>
      </c>
      <c r="J89" s="64">
        <v>0.78</v>
      </c>
      <c r="K89" s="64">
        <v>331.5</v>
      </c>
      <c r="L89" s="64">
        <v>21.18</v>
      </c>
      <c r="M89" s="64">
        <v>98.4</v>
      </c>
      <c r="N89" s="64">
        <v>17.2</v>
      </c>
      <c r="O89" s="64">
        <v>0.6</v>
      </c>
      <c r="P89" s="64">
        <v>0.36</v>
      </c>
      <c r="Q89" s="64">
        <v>9.4600000000000009</v>
      </c>
      <c r="R89" s="198"/>
      <c r="S89" s="198"/>
      <c r="T89" s="198"/>
      <c r="U89" s="198"/>
    </row>
    <row r="90" spans="1:26" s="12" customFormat="1" x14ac:dyDescent="0.25">
      <c r="A90" s="214" t="s">
        <v>2154</v>
      </c>
      <c r="B90" s="64">
        <v>8.2100000000000009</v>
      </c>
      <c r="C90" s="64">
        <v>3.34</v>
      </c>
      <c r="D90" s="64">
        <v>12.1</v>
      </c>
      <c r="E90" s="64">
        <v>4.24</v>
      </c>
      <c r="F90" s="64">
        <v>4.7300000000000004</v>
      </c>
      <c r="G90" s="64">
        <v>32.85</v>
      </c>
      <c r="H90" s="64">
        <v>12</v>
      </c>
      <c r="I90" s="64">
        <v>1.56</v>
      </c>
      <c r="J90" s="64">
        <v>1.33</v>
      </c>
      <c r="K90" s="64">
        <v>319.05</v>
      </c>
      <c r="L90" s="64">
        <v>21.29</v>
      </c>
      <c r="M90" s="64">
        <v>98.4</v>
      </c>
      <c r="N90" s="64">
        <v>17.100000000000001</v>
      </c>
      <c r="O90" s="64">
        <v>0.8</v>
      </c>
      <c r="P90" s="64">
        <v>0.37</v>
      </c>
      <c r="Q90" s="64">
        <v>9.4</v>
      </c>
      <c r="R90" s="198"/>
      <c r="S90" s="198"/>
      <c r="T90" s="198"/>
      <c r="U90" s="198"/>
    </row>
    <row r="91" spans="1:26" s="12" customFormat="1" x14ac:dyDescent="0.25">
      <c r="A91" s="214" t="s">
        <v>2155</v>
      </c>
      <c r="B91" s="64">
        <v>8.2200000000000006</v>
      </c>
      <c r="C91" s="64">
        <v>3.43</v>
      </c>
      <c r="D91" s="64">
        <v>12.16</v>
      </c>
      <c r="E91" s="64">
        <v>4.2300000000000004</v>
      </c>
      <c r="F91" s="64">
        <v>2.34</v>
      </c>
      <c r="G91" s="64">
        <v>29.55</v>
      </c>
      <c r="H91" s="64">
        <v>12.47</v>
      </c>
      <c r="I91" s="64">
        <v>1.59</v>
      </c>
      <c r="J91" s="64">
        <v>1.23</v>
      </c>
      <c r="K91" s="64">
        <v>317.86</v>
      </c>
      <c r="L91" s="64">
        <v>21.45</v>
      </c>
      <c r="M91" s="64">
        <v>98.4</v>
      </c>
      <c r="N91" s="64">
        <v>17.2</v>
      </c>
      <c r="O91" s="64">
        <v>0.4</v>
      </c>
      <c r="P91" s="64">
        <v>0.38</v>
      </c>
      <c r="Q91" s="64">
        <v>9.3800000000000008</v>
      </c>
      <c r="R91" s="198"/>
      <c r="S91" s="198"/>
      <c r="T91" s="198"/>
      <c r="U91" s="198"/>
    </row>
    <row r="92" spans="1:26" s="12" customFormat="1" x14ac:dyDescent="0.25">
      <c r="A92" s="214" t="s">
        <v>2156</v>
      </c>
      <c r="B92" s="64">
        <v>8.18</v>
      </c>
      <c r="C92" s="64">
        <v>3.24</v>
      </c>
      <c r="D92" s="64">
        <v>12.02</v>
      </c>
      <c r="E92" s="64">
        <v>4</v>
      </c>
      <c r="F92" s="64">
        <v>4.28</v>
      </c>
      <c r="G92" s="64">
        <v>29.55</v>
      </c>
      <c r="H92" s="64">
        <v>12.47</v>
      </c>
      <c r="I92" s="64">
        <v>1.65</v>
      </c>
      <c r="J92" s="64">
        <v>0.7</v>
      </c>
      <c r="K92" s="64">
        <v>328.45</v>
      </c>
      <c r="L92" s="64">
        <v>21.61</v>
      </c>
      <c r="M92" s="64">
        <v>98.4</v>
      </c>
      <c r="N92" s="64">
        <v>17.100000000000001</v>
      </c>
      <c r="O92" s="64">
        <v>0.2</v>
      </c>
      <c r="P92" s="64">
        <v>0.4</v>
      </c>
      <c r="Q92" s="64">
        <v>9.4700000000000006</v>
      </c>
      <c r="R92" s="198"/>
      <c r="S92" s="198"/>
      <c r="T92" s="198"/>
      <c r="U92" s="198"/>
    </row>
    <row r="93" spans="1:26" s="12" customFormat="1" x14ac:dyDescent="0.25">
      <c r="A93" s="214" t="s">
        <v>2157</v>
      </c>
      <c r="B93" s="64">
        <v>8.23</v>
      </c>
      <c r="C93" s="64">
        <v>3.42</v>
      </c>
      <c r="D93" s="64">
        <v>12.16</v>
      </c>
      <c r="E93" s="64">
        <v>4.1399999999999997</v>
      </c>
      <c r="F93" s="64">
        <v>2.65</v>
      </c>
      <c r="G93" s="64">
        <v>29.55</v>
      </c>
      <c r="H93" s="64">
        <v>12.47</v>
      </c>
      <c r="I93" s="64">
        <v>1.71</v>
      </c>
      <c r="J93" s="64">
        <v>0.31</v>
      </c>
      <c r="K93" s="64">
        <v>29.45</v>
      </c>
      <c r="L93" s="64">
        <v>21.74</v>
      </c>
      <c r="M93" s="64">
        <v>98.4</v>
      </c>
      <c r="N93" s="64">
        <v>17.100000000000001</v>
      </c>
      <c r="O93" s="64">
        <v>0.2</v>
      </c>
      <c r="P93" s="64">
        <v>0.43</v>
      </c>
      <c r="Q93" s="64">
        <v>9.4600000000000009</v>
      </c>
      <c r="R93" s="198"/>
      <c r="S93" s="198"/>
      <c r="T93" s="198"/>
      <c r="U93" s="198"/>
    </row>
    <row r="94" spans="1:26" s="12" customFormat="1" x14ac:dyDescent="0.25">
      <c r="A94" s="214" t="s">
        <v>2158</v>
      </c>
      <c r="B94" s="64">
        <v>8.25</v>
      </c>
      <c r="C94" s="64">
        <v>3.53</v>
      </c>
      <c r="D94" s="64">
        <v>12.24</v>
      </c>
      <c r="E94" s="64">
        <v>4.0199999999999996</v>
      </c>
      <c r="F94" s="64">
        <v>4.22</v>
      </c>
      <c r="G94" s="64">
        <v>26.19</v>
      </c>
      <c r="H94" s="64">
        <v>10.59</v>
      </c>
      <c r="I94" s="64">
        <v>1.82</v>
      </c>
      <c r="J94" s="64">
        <v>0.59</v>
      </c>
      <c r="K94" s="64">
        <v>121.59</v>
      </c>
      <c r="L94" s="64">
        <v>21.55</v>
      </c>
      <c r="M94" s="64">
        <v>98.4</v>
      </c>
      <c r="N94" s="64">
        <v>17.5</v>
      </c>
      <c r="O94" s="64">
        <v>0</v>
      </c>
      <c r="P94" s="64">
        <v>0.44</v>
      </c>
      <c r="Q94" s="64">
        <v>9.5</v>
      </c>
      <c r="R94" s="198"/>
      <c r="S94" s="198"/>
      <c r="T94" s="198"/>
      <c r="U94" s="198"/>
    </row>
    <row r="95" spans="1:26" s="12" customFormat="1" x14ac:dyDescent="0.25">
      <c r="A95" s="214" t="s">
        <v>2159</v>
      </c>
      <c r="B95" s="64">
        <v>8.3000000000000007</v>
      </c>
      <c r="C95" s="64">
        <v>3.59</v>
      </c>
      <c r="D95" s="64">
        <v>12.31</v>
      </c>
      <c r="E95" s="64">
        <v>4.54</v>
      </c>
      <c r="F95" s="64">
        <v>2.35</v>
      </c>
      <c r="G95" s="64">
        <v>23.12</v>
      </c>
      <c r="H95" s="64">
        <v>8.8699999999999992</v>
      </c>
      <c r="I95" s="64">
        <v>1.93</v>
      </c>
      <c r="J95" s="64">
        <v>0.59</v>
      </c>
      <c r="K95" s="64">
        <v>113.46</v>
      </c>
      <c r="L95" s="64">
        <v>21.59</v>
      </c>
      <c r="M95" s="64">
        <v>98.4</v>
      </c>
      <c r="N95" s="64">
        <v>17.399999999999999</v>
      </c>
      <c r="O95" s="64">
        <v>0</v>
      </c>
      <c r="P95" s="64">
        <v>0.45</v>
      </c>
      <c r="Q95" s="64">
        <v>9.52</v>
      </c>
      <c r="R95" s="198"/>
      <c r="S95" s="198"/>
      <c r="T95" s="198"/>
      <c r="U95" s="198"/>
    </row>
    <row r="96" spans="1:26" s="12" customFormat="1" x14ac:dyDescent="0.25">
      <c r="A96" s="214" t="s">
        <v>2160</v>
      </c>
      <c r="B96" s="64">
        <v>8.17</v>
      </c>
      <c r="C96" s="64">
        <v>3.24</v>
      </c>
      <c r="D96" s="64">
        <v>12.02</v>
      </c>
      <c r="E96" s="64">
        <v>3.94</v>
      </c>
      <c r="F96" s="64">
        <v>3.1</v>
      </c>
      <c r="G96" s="64">
        <v>23.12</v>
      </c>
      <c r="H96" s="64">
        <v>8.8699999999999992</v>
      </c>
      <c r="I96" s="64">
        <v>2.06</v>
      </c>
      <c r="J96" s="64">
        <v>0.74</v>
      </c>
      <c r="K96" s="64">
        <v>152.96</v>
      </c>
      <c r="L96" s="64">
        <v>21.72</v>
      </c>
      <c r="M96" s="64">
        <v>98.4</v>
      </c>
      <c r="N96" s="64">
        <v>17.100000000000001</v>
      </c>
      <c r="O96" s="64">
        <v>0.2</v>
      </c>
      <c r="P96" s="64">
        <v>0.45</v>
      </c>
      <c r="Q96" s="64">
        <v>9.5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2161</v>
      </c>
      <c r="B97" s="64">
        <v>8.16</v>
      </c>
      <c r="C97" s="64">
        <v>3.14</v>
      </c>
      <c r="D97" s="64">
        <v>11.96</v>
      </c>
      <c r="E97" s="64">
        <v>4.24</v>
      </c>
      <c r="F97" s="64">
        <v>3.84</v>
      </c>
      <c r="G97" s="64">
        <v>23.12</v>
      </c>
      <c r="H97" s="64">
        <v>8.8699999999999992</v>
      </c>
      <c r="I97" s="64">
        <v>2.2599999999999998</v>
      </c>
      <c r="J97" s="64">
        <v>1.5</v>
      </c>
      <c r="K97" s="64">
        <v>157.30000000000001</v>
      </c>
      <c r="L97" s="64">
        <v>21.8</v>
      </c>
      <c r="M97" s="64">
        <v>98.4</v>
      </c>
      <c r="N97" s="64">
        <v>17.899999999999999</v>
      </c>
      <c r="O97" s="64">
        <v>0</v>
      </c>
      <c r="P97" s="64">
        <v>0.45</v>
      </c>
      <c r="Q97" s="64">
        <v>9.59</v>
      </c>
      <c r="R97" s="198"/>
      <c r="S97" s="198"/>
      <c r="T97" s="198"/>
      <c r="U97" s="198"/>
    </row>
    <row r="98" spans="1:33" s="12" customFormat="1" x14ac:dyDescent="0.25">
      <c r="A98" s="214" t="s">
        <v>2162</v>
      </c>
      <c r="B98" s="64">
        <v>8.16</v>
      </c>
      <c r="C98" s="64">
        <v>3.19</v>
      </c>
      <c r="D98" s="64">
        <v>11.98</v>
      </c>
      <c r="E98" s="64">
        <v>4.34</v>
      </c>
      <c r="F98" s="64">
        <v>3.44</v>
      </c>
      <c r="G98" s="64">
        <v>23.01</v>
      </c>
      <c r="H98" s="64">
        <v>7.85</v>
      </c>
      <c r="I98" s="64">
        <v>2.4700000000000002</v>
      </c>
      <c r="J98" s="64">
        <v>1.69</v>
      </c>
      <c r="K98" s="64">
        <v>155.46</v>
      </c>
      <c r="L98" s="64">
        <v>21.72</v>
      </c>
      <c r="M98" s="64">
        <v>98.4</v>
      </c>
      <c r="N98" s="64">
        <v>18.2</v>
      </c>
      <c r="O98" s="64">
        <v>0</v>
      </c>
      <c r="P98" s="64">
        <v>0.44</v>
      </c>
      <c r="Q98" s="64">
        <v>9.58</v>
      </c>
      <c r="R98" s="198"/>
      <c r="S98" s="198"/>
      <c r="T98" s="198"/>
      <c r="U98" s="198"/>
    </row>
    <row r="99" spans="1:33" s="12" customFormat="1" x14ac:dyDescent="0.25">
      <c r="A99" s="214" t="s">
        <v>2163</v>
      </c>
      <c r="B99" s="64">
        <v>8.18</v>
      </c>
      <c r="C99" s="64">
        <v>3.16</v>
      </c>
      <c r="D99" s="64">
        <v>11.99</v>
      </c>
      <c r="E99" s="64">
        <v>4.22</v>
      </c>
      <c r="F99" s="64">
        <v>2.93</v>
      </c>
      <c r="G99" s="64">
        <v>22.9</v>
      </c>
      <c r="H99" s="64">
        <v>6.87</v>
      </c>
      <c r="I99" s="64">
        <v>2.78</v>
      </c>
      <c r="J99" s="64">
        <v>1.9</v>
      </c>
      <c r="K99" s="64">
        <v>147.22</v>
      </c>
      <c r="L99" s="64">
        <v>21.73</v>
      </c>
      <c r="M99" s="64">
        <v>98.4</v>
      </c>
      <c r="N99" s="64">
        <v>18.2</v>
      </c>
      <c r="O99" s="64">
        <v>0</v>
      </c>
      <c r="P99" s="64">
        <v>0.42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4" t="s">
        <v>2164</v>
      </c>
      <c r="B100" s="64">
        <v>8.26</v>
      </c>
      <c r="C100" s="64">
        <v>3.41</v>
      </c>
      <c r="D100" s="64">
        <v>12.18</v>
      </c>
      <c r="E100" s="64">
        <v>4.08</v>
      </c>
      <c r="F100" s="64">
        <v>3.5</v>
      </c>
      <c r="G100" s="64">
        <v>22.9</v>
      </c>
      <c r="H100" s="64">
        <v>6.87</v>
      </c>
      <c r="I100" s="64">
        <v>3.22</v>
      </c>
      <c r="J100" s="64">
        <v>2.0699999999999998</v>
      </c>
      <c r="K100" s="64">
        <v>143.79</v>
      </c>
      <c r="L100" s="64">
        <v>21.7</v>
      </c>
      <c r="M100" s="64">
        <v>98.4</v>
      </c>
      <c r="N100" s="64">
        <v>18.3</v>
      </c>
      <c r="O100" s="64">
        <v>0</v>
      </c>
      <c r="P100" s="64">
        <v>0.41</v>
      </c>
      <c r="Q100" s="64">
        <v>9.48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2165</v>
      </c>
      <c r="B101" s="64">
        <v>8.23</v>
      </c>
      <c r="C101" s="64">
        <v>3.35</v>
      </c>
      <c r="D101" s="64">
        <v>12.13</v>
      </c>
      <c r="E101" s="64">
        <v>4.1100000000000003</v>
      </c>
      <c r="F101" s="64">
        <v>3.56</v>
      </c>
      <c r="G101" s="64">
        <v>22.9</v>
      </c>
      <c r="H101" s="64">
        <v>6.87</v>
      </c>
      <c r="I101" s="64">
        <v>3.77</v>
      </c>
      <c r="J101" s="64">
        <v>1.95</v>
      </c>
      <c r="K101" s="64">
        <v>148.5</v>
      </c>
      <c r="L101" s="64">
        <v>21.63</v>
      </c>
      <c r="M101" s="64">
        <v>98.4</v>
      </c>
      <c r="N101" s="64">
        <v>18.3</v>
      </c>
      <c r="O101" s="64">
        <v>0</v>
      </c>
      <c r="P101" s="64">
        <v>0.4</v>
      </c>
      <c r="Q101" s="64">
        <v>9.48</v>
      </c>
      <c r="R101" s="198"/>
      <c r="S101" s="198"/>
      <c r="T101" s="198"/>
      <c r="U101" s="198"/>
    </row>
    <row r="102" spans="1:33" s="12" customFormat="1" x14ac:dyDescent="0.25">
      <c r="A102" s="214" t="s">
        <v>2166</v>
      </c>
      <c r="B102" s="64">
        <v>8.2200000000000006</v>
      </c>
      <c r="C102" s="64">
        <v>3.26</v>
      </c>
      <c r="D102" s="64">
        <v>12.07</v>
      </c>
      <c r="E102" s="64">
        <v>3.91</v>
      </c>
      <c r="F102" s="64">
        <v>3.46</v>
      </c>
      <c r="G102" s="64">
        <v>19.399999999999999</v>
      </c>
      <c r="H102" s="64">
        <v>8.08</v>
      </c>
      <c r="I102" s="64">
        <v>4.4800000000000004</v>
      </c>
      <c r="J102" s="64">
        <v>1.05</v>
      </c>
      <c r="K102" s="64">
        <v>145.06</v>
      </c>
      <c r="L102" s="64">
        <v>21.62</v>
      </c>
      <c r="M102" s="64">
        <v>98.41</v>
      </c>
      <c r="N102" s="64">
        <v>18</v>
      </c>
      <c r="O102" s="64">
        <v>0</v>
      </c>
      <c r="P102" s="64">
        <v>0.39</v>
      </c>
      <c r="Q102" s="64">
        <v>9.51</v>
      </c>
      <c r="R102" s="198"/>
      <c r="S102" s="198"/>
      <c r="T102" s="198"/>
      <c r="U102" s="198"/>
    </row>
    <row r="103" spans="1:33" s="12" customFormat="1" x14ac:dyDescent="0.25">
      <c r="A103" s="214" t="s">
        <v>2167</v>
      </c>
      <c r="B103" s="64">
        <v>8.42</v>
      </c>
      <c r="C103" s="64">
        <v>3.81</v>
      </c>
      <c r="D103" s="64">
        <v>12.52</v>
      </c>
      <c r="E103" s="64">
        <v>3.97</v>
      </c>
      <c r="F103" s="64">
        <v>3.54</v>
      </c>
      <c r="G103" s="64">
        <v>16.059999999999999</v>
      </c>
      <c r="H103" s="64">
        <v>9.25</v>
      </c>
      <c r="I103" s="64">
        <v>5</v>
      </c>
      <c r="J103" s="64">
        <v>0.63</v>
      </c>
      <c r="K103" s="64">
        <v>192.42</v>
      </c>
      <c r="L103" s="64">
        <v>21.67</v>
      </c>
      <c r="M103" s="64">
        <v>98.42</v>
      </c>
      <c r="N103" s="64">
        <v>17.600000000000001</v>
      </c>
      <c r="O103" s="64">
        <v>0</v>
      </c>
      <c r="P103" s="64">
        <v>0.38</v>
      </c>
      <c r="Q103" s="64">
        <v>9.52</v>
      </c>
      <c r="R103" s="198"/>
      <c r="S103" s="198"/>
      <c r="T103" s="198"/>
      <c r="U103" s="198"/>
    </row>
    <row r="104" spans="1:33" s="12" customFormat="1" x14ac:dyDescent="0.25">
      <c r="A104" s="214" t="s">
        <v>2168</v>
      </c>
      <c r="B104" s="64">
        <v>8.32</v>
      </c>
      <c r="C104" s="64">
        <v>3.52</v>
      </c>
      <c r="D104" s="64">
        <v>12.29</v>
      </c>
      <c r="E104" s="64">
        <v>4.3899999999999997</v>
      </c>
      <c r="F104" s="64">
        <v>3.68</v>
      </c>
      <c r="G104" s="64">
        <v>16.059999999999999</v>
      </c>
      <c r="H104" s="64">
        <v>9.25</v>
      </c>
      <c r="I104" s="64">
        <v>5.25</v>
      </c>
      <c r="J104" s="64">
        <v>0.31</v>
      </c>
      <c r="K104" s="64">
        <v>197.49</v>
      </c>
      <c r="L104" s="64">
        <v>21.73</v>
      </c>
      <c r="M104" s="64">
        <v>98.4</v>
      </c>
      <c r="N104" s="64">
        <v>17.8</v>
      </c>
      <c r="O104" s="64">
        <v>0</v>
      </c>
      <c r="P104" s="64">
        <v>0.37</v>
      </c>
      <c r="Q104" s="64">
        <v>9.51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8.1199999999999992</v>
      </c>
      <c r="C106" s="67">
        <f>MIN(C9:C104)</f>
        <v>3.1</v>
      </c>
      <c r="D106" s="67">
        <f t="shared" ref="D106:Q106" si="0">MIN(D9:D104)</f>
        <v>11.91</v>
      </c>
      <c r="E106" s="67">
        <f t="shared" si="0"/>
        <v>3.09</v>
      </c>
      <c r="F106" s="67">
        <f t="shared" si="0"/>
        <v>2.34</v>
      </c>
      <c r="G106" s="67">
        <f t="shared" si="0"/>
        <v>15.82</v>
      </c>
      <c r="H106" s="67">
        <f t="shared" si="0"/>
        <v>5.14</v>
      </c>
      <c r="I106" s="67">
        <f t="shared" si="0"/>
        <v>1.48</v>
      </c>
      <c r="J106" s="67">
        <f t="shared" si="0"/>
        <v>0.11</v>
      </c>
      <c r="K106" s="67">
        <f t="shared" si="0"/>
        <v>3.45</v>
      </c>
      <c r="L106" s="67">
        <f t="shared" si="0"/>
        <v>20.95</v>
      </c>
      <c r="M106" s="67">
        <f t="shared" si="0"/>
        <v>49.93</v>
      </c>
      <c r="N106" s="67">
        <f t="shared" si="0"/>
        <v>17.100000000000001</v>
      </c>
      <c r="O106" s="67">
        <f t="shared" si="0"/>
        <v>0</v>
      </c>
      <c r="P106" s="67">
        <f t="shared" si="0"/>
        <v>0.2</v>
      </c>
      <c r="Q106" s="67">
        <f t="shared" si="0"/>
        <v>9.3800000000000008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8.4700000000000006</v>
      </c>
      <c r="C107" s="66">
        <f t="shared" ref="C107:Q107" si="1">MAX(C9:C104)</f>
        <v>4.1900000000000004</v>
      </c>
      <c r="D107" s="66">
        <f t="shared" si="1"/>
        <v>12.75</v>
      </c>
      <c r="E107" s="66">
        <f t="shared" si="1"/>
        <v>5.27</v>
      </c>
      <c r="F107" s="66">
        <f t="shared" si="1"/>
        <v>7.13</v>
      </c>
      <c r="G107" s="66">
        <f t="shared" si="1"/>
        <v>50.61</v>
      </c>
      <c r="H107" s="66">
        <f t="shared" si="1"/>
        <v>15.06</v>
      </c>
      <c r="I107" s="66">
        <f t="shared" si="1"/>
        <v>5.25</v>
      </c>
      <c r="J107" s="66">
        <f t="shared" si="1"/>
        <v>3.69</v>
      </c>
      <c r="K107" s="66">
        <f t="shared" si="1"/>
        <v>359.94</v>
      </c>
      <c r="L107" s="66">
        <f t="shared" si="1"/>
        <v>33.520000000000003</v>
      </c>
      <c r="M107" s="66">
        <f t="shared" si="1"/>
        <v>98.42</v>
      </c>
      <c r="N107" s="66">
        <f t="shared" si="1"/>
        <v>943.1</v>
      </c>
      <c r="O107" s="66">
        <f t="shared" si="1"/>
        <v>7</v>
      </c>
      <c r="P107" s="66">
        <f t="shared" si="1"/>
        <v>0.48</v>
      </c>
      <c r="Q107" s="66">
        <f t="shared" si="1"/>
        <v>9.59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8.2149999999999981</v>
      </c>
      <c r="C108" s="67">
        <f t="shared" ref="C108:Q108" si="2">AVERAGE(C9:C104)</f>
        <v>3.3506249999999991</v>
      </c>
      <c r="D108" s="67">
        <f t="shared" si="2"/>
        <v>12.112395833333332</v>
      </c>
      <c r="E108" s="67">
        <f t="shared" si="2"/>
        <v>4.205520833333332</v>
      </c>
      <c r="F108" s="67">
        <f t="shared" si="2"/>
        <v>4.6590624999999992</v>
      </c>
      <c r="G108" s="67">
        <f t="shared" si="2"/>
        <v>29.652604166666681</v>
      </c>
      <c r="H108" s="67">
        <f t="shared" si="2"/>
        <v>9.3874999999999975</v>
      </c>
      <c r="I108" s="67">
        <f t="shared" si="2"/>
        <v>2.6161458333333347</v>
      </c>
      <c r="J108" s="67">
        <f t="shared" si="2"/>
        <v>0.90843750000000012</v>
      </c>
      <c r="K108" s="67">
        <f t="shared" si="2"/>
        <v>221.77447916666665</v>
      </c>
      <c r="L108" s="67">
        <f t="shared" si="2"/>
        <v>26.489374999999999</v>
      </c>
      <c r="M108" s="67">
        <f t="shared" si="2"/>
        <v>77.752395833333296</v>
      </c>
      <c r="N108" s="67">
        <f t="shared" si="2"/>
        <v>220.09166666666661</v>
      </c>
      <c r="O108" s="67">
        <f t="shared" si="2"/>
        <v>0.27291666666666664</v>
      </c>
      <c r="P108" s="67">
        <f t="shared" si="2"/>
        <v>0.32510416666666669</v>
      </c>
      <c r="Q108" s="67">
        <f t="shared" si="2"/>
        <v>9.4897894736842101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7.8927014920181351E-2</v>
      </c>
      <c r="C109" s="67">
        <f t="shared" ref="C109:Q109" si="3">STDEV(C9:C104)</f>
        <v>0.26103765608573959</v>
      </c>
      <c r="D109" s="67">
        <f t="shared" si="3"/>
        <v>0.19619938726051997</v>
      </c>
      <c r="E109" s="67">
        <f t="shared" si="3"/>
        <v>0.45503931534405667</v>
      </c>
      <c r="F109" s="67">
        <f t="shared" si="3"/>
        <v>1.2292146214255337</v>
      </c>
      <c r="G109" s="67">
        <f t="shared" si="3"/>
        <v>9.5361592450487507</v>
      </c>
      <c r="H109" s="67">
        <f t="shared" si="3"/>
        <v>2.507242981527948</v>
      </c>
      <c r="I109" s="67">
        <f t="shared" si="3"/>
        <v>0.88868841237985985</v>
      </c>
      <c r="J109" s="67">
        <f t="shared" si="3"/>
        <v>0.78995046896691723</v>
      </c>
      <c r="K109" s="67">
        <f t="shared" si="3"/>
        <v>128.79569150909063</v>
      </c>
      <c r="L109" s="67">
        <f t="shared" si="3"/>
        <v>4.2025235056796006</v>
      </c>
      <c r="M109" s="67">
        <f t="shared" si="3"/>
        <v>17.412169836355737</v>
      </c>
      <c r="N109" s="67">
        <f t="shared" si="3"/>
        <v>278.68813910389696</v>
      </c>
      <c r="O109" s="67">
        <f t="shared" si="3"/>
        <v>1.0842877037767253</v>
      </c>
      <c r="P109" s="67">
        <f t="shared" si="3"/>
        <v>8.372882031222717E-2</v>
      </c>
      <c r="Q109" s="67">
        <f t="shared" si="3"/>
        <v>5.2042923106458194E-2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P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2169</v>
      </c>
      <c r="B9" s="64">
        <v>8.2100000000000009</v>
      </c>
      <c r="C9" s="64">
        <v>3.18</v>
      </c>
      <c r="D9" s="64">
        <v>12.01</v>
      </c>
      <c r="E9" s="64">
        <v>3.68</v>
      </c>
      <c r="F9" s="64">
        <v>3.55</v>
      </c>
      <c r="G9" s="64">
        <v>16.059999999999999</v>
      </c>
      <c r="H9" s="64">
        <v>9.25</v>
      </c>
      <c r="I9" s="64">
        <v>5.27</v>
      </c>
      <c r="J9" s="64">
        <v>7.0000000000000007E-2</v>
      </c>
      <c r="K9" s="64">
        <v>39.979999999999997</v>
      </c>
      <c r="L9" s="64">
        <v>21.72</v>
      </c>
      <c r="M9" s="64">
        <v>98.4</v>
      </c>
      <c r="N9" s="64">
        <v>17.8</v>
      </c>
      <c r="O9" s="64">
        <v>0</v>
      </c>
      <c r="P9" s="64">
        <v>0.36</v>
      </c>
      <c r="Q9" s="64">
        <v>9.51</v>
      </c>
      <c r="R9" s="198"/>
      <c r="S9" s="198"/>
      <c r="T9" s="198"/>
      <c r="U9" s="198"/>
    </row>
    <row r="10" spans="1:21" s="12" customFormat="1" x14ac:dyDescent="0.25">
      <c r="A10" s="214" t="s">
        <v>2170</v>
      </c>
      <c r="B10" s="64">
        <v>8.19</v>
      </c>
      <c r="C10" s="64">
        <v>3.1</v>
      </c>
      <c r="D10" s="64">
        <v>11.96</v>
      </c>
      <c r="E10" s="64">
        <v>3.86</v>
      </c>
      <c r="F10" s="64">
        <v>3.62</v>
      </c>
      <c r="G10" s="64">
        <v>13.7</v>
      </c>
      <c r="H10" s="64">
        <v>8</v>
      </c>
      <c r="I10" s="64">
        <v>5.13</v>
      </c>
      <c r="J10" s="64">
        <v>0.1</v>
      </c>
      <c r="K10" s="64">
        <v>256.58999999999997</v>
      </c>
      <c r="L10" s="64">
        <v>21.69</v>
      </c>
      <c r="M10" s="64">
        <v>98.4</v>
      </c>
      <c r="N10" s="64">
        <v>17.3</v>
      </c>
      <c r="O10" s="64">
        <v>0</v>
      </c>
      <c r="P10" s="64">
        <v>0.35</v>
      </c>
      <c r="Q10" s="64">
        <v>9.49</v>
      </c>
      <c r="R10" s="198"/>
      <c r="S10" s="198"/>
      <c r="T10" s="198"/>
      <c r="U10" s="198"/>
    </row>
    <row r="11" spans="1:21" s="12" customFormat="1" x14ac:dyDescent="0.25">
      <c r="A11" s="214" t="s">
        <v>2171</v>
      </c>
      <c r="B11" s="64">
        <v>8.2100000000000009</v>
      </c>
      <c r="C11" s="64">
        <v>3.28</v>
      </c>
      <c r="D11" s="64">
        <v>12.07</v>
      </c>
      <c r="E11" s="64">
        <v>4.26</v>
      </c>
      <c r="F11" s="64">
        <v>3.84</v>
      </c>
      <c r="G11" s="64">
        <v>11.45</v>
      </c>
      <c r="H11" s="64">
        <v>6.87</v>
      </c>
      <c r="I11" s="64">
        <v>5.0599999999999996</v>
      </c>
      <c r="J11" s="64">
        <v>0.42</v>
      </c>
      <c r="K11" s="64">
        <v>292.20999999999998</v>
      </c>
      <c r="L11" s="64">
        <v>21.69</v>
      </c>
      <c r="M11" s="64">
        <v>98.4</v>
      </c>
      <c r="N11" s="64">
        <v>17.3</v>
      </c>
      <c r="O11" s="64">
        <v>0</v>
      </c>
      <c r="P11" s="64">
        <v>0.35</v>
      </c>
      <c r="Q11" s="64">
        <v>9.56</v>
      </c>
      <c r="R11" s="198"/>
      <c r="S11" s="198"/>
      <c r="T11" s="198"/>
      <c r="U11" s="198"/>
    </row>
    <row r="12" spans="1:21" s="12" customFormat="1" x14ac:dyDescent="0.25">
      <c r="A12" s="214" t="s">
        <v>2172</v>
      </c>
      <c r="B12" s="64">
        <v>8.15</v>
      </c>
      <c r="C12" s="64">
        <v>3.2</v>
      </c>
      <c r="D12" s="64">
        <v>11.98</v>
      </c>
      <c r="E12" s="64">
        <v>4.3899999999999997</v>
      </c>
      <c r="F12" s="64">
        <v>3.87</v>
      </c>
      <c r="G12" s="64">
        <v>11.45</v>
      </c>
      <c r="H12" s="64">
        <v>6.87</v>
      </c>
      <c r="I12" s="64">
        <v>5.01</v>
      </c>
      <c r="J12" s="64">
        <v>0.42</v>
      </c>
      <c r="K12" s="64">
        <v>199.36</v>
      </c>
      <c r="L12" s="64">
        <v>21.73</v>
      </c>
      <c r="M12" s="64">
        <v>98.4</v>
      </c>
      <c r="N12" s="64">
        <v>17.2</v>
      </c>
      <c r="O12" s="64">
        <v>0</v>
      </c>
      <c r="P12" s="64">
        <v>0.33</v>
      </c>
      <c r="Q12" s="64">
        <v>9.51</v>
      </c>
      <c r="R12" s="198"/>
      <c r="S12" s="198"/>
      <c r="T12" s="198"/>
      <c r="U12" s="198"/>
    </row>
    <row r="13" spans="1:21" s="12" customFormat="1" x14ac:dyDescent="0.25">
      <c r="A13" s="214" t="s">
        <v>2173</v>
      </c>
      <c r="B13" s="64">
        <v>8.16</v>
      </c>
      <c r="C13" s="64">
        <v>3.21</v>
      </c>
      <c r="D13" s="64">
        <v>12</v>
      </c>
      <c r="E13" s="64">
        <v>4.1399999999999997</v>
      </c>
      <c r="F13" s="64">
        <v>3.7</v>
      </c>
      <c r="G13" s="64">
        <v>11.45</v>
      </c>
      <c r="H13" s="64">
        <v>6.87</v>
      </c>
      <c r="I13" s="64">
        <v>4.87</v>
      </c>
      <c r="J13" s="64">
        <v>0.76</v>
      </c>
      <c r="K13" s="64">
        <v>173.58</v>
      </c>
      <c r="L13" s="64">
        <v>21.81</v>
      </c>
      <c r="M13" s="64">
        <v>98.4</v>
      </c>
      <c r="N13" s="64">
        <v>17.600000000000001</v>
      </c>
      <c r="O13" s="64">
        <v>0</v>
      </c>
      <c r="P13" s="64">
        <v>0.25</v>
      </c>
      <c r="Q13" s="64">
        <v>9.5299999999999994</v>
      </c>
      <c r="R13" s="198"/>
      <c r="S13" s="198"/>
      <c r="T13" s="198"/>
      <c r="U13" s="198"/>
    </row>
    <row r="14" spans="1:21" s="12" customFormat="1" x14ac:dyDescent="0.25">
      <c r="A14" s="214" t="s">
        <v>2174</v>
      </c>
      <c r="B14" s="64">
        <v>8.17</v>
      </c>
      <c r="C14" s="64">
        <v>3.17</v>
      </c>
      <c r="D14" s="64">
        <v>11.98</v>
      </c>
      <c r="E14" s="64">
        <v>3.97</v>
      </c>
      <c r="F14" s="64">
        <v>4.3</v>
      </c>
      <c r="G14" s="64">
        <v>10.65</v>
      </c>
      <c r="H14" s="64">
        <v>6.12</v>
      </c>
      <c r="I14" s="64">
        <v>4.67</v>
      </c>
      <c r="J14" s="64">
        <v>1.1299999999999999</v>
      </c>
      <c r="K14" s="64">
        <v>150.99</v>
      </c>
      <c r="L14" s="64">
        <v>21.82</v>
      </c>
      <c r="M14" s="64">
        <v>98.4</v>
      </c>
      <c r="N14" s="64">
        <v>17.8</v>
      </c>
      <c r="O14" s="64">
        <v>0</v>
      </c>
      <c r="P14" s="64">
        <v>0.25</v>
      </c>
      <c r="Q14" s="64">
        <v>9.5</v>
      </c>
      <c r="R14" s="198"/>
      <c r="S14" s="198"/>
      <c r="T14" s="198"/>
      <c r="U14" s="198"/>
    </row>
    <row r="15" spans="1:21" s="12" customFormat="1" x14ac:dyDescent="0.25">
      <c r="A15" s="214" t="s">
        <v>2175</v>
      </c>
      <c r="B15" s="64">
        <v>8.2200000000000006</v>
      </c>
      <c r="C15" s="64">
        <v>3.37</v>
      </c>
      <c r="D15" s="64">
        <v>12.13</v>
      </c>
      <c r="E15" s="64">
        <v>3.97</v>
      </c>
      <c r="F15" s="64">
        <v>3.55</v>
      </c>
      <c r="G15" s="64">
        <v>9.89</v>
      </c>
      <c r="H15" s="64">
        <v>5.43</v>
      </c>
      <c r="I15" s="64">
        <v>4.49</v>
      </c>
      <c r="J15" s="64">
        <v>1.6</v>
      </c>
      <c r="K15" s="64">
        <v>144.13</v>
      </c>
      <c r="L15" s="64">
        <v>21.82</v>
      </c>
      <c r="M15" s="64">
        <v>98.4</v>
      </c>
      <c r="N15" s="64">
        <v>18</v>
      </c>
      <c r="O15" s="64">
        <v>0</v>
      </c>
      <c r="P15" s="64">
        <v>0.24</v>
      </c>
      <c r="Q15" s="64">
        <v>9.51</v>
      </c>
      <c r="R15" s="198"/>
      <c r="S15" s="198"/>
      <c r="T15" s="198"/>
      <c r="U15" s="198"/>
    </row>
    <row r="16" spans="1:21" s="12" customFormat="1" x14ac:dyDescent="0.25">
      <c r="A16" s="214" t="s">
        <v>2176</v>
      </c>
      <c r="B16" s="64">
        <v>8.42</v>
      </c>
      <c r="C16" s="64">
        <v>4</v>
      </c>
      <c r="D16" s="64">
        <v>12.62</v>
      </c>
      <c r="E16" s="64">
        <v>3.73</v>
      </c>
      <c r="F16" s="64">
        <v>4.24</v>
      </c>
      <c r="G16" s="64">
        <v>9.89</v>
      </c>
      <c r="H16" s="64">
        <v>5.43</v>
      </c>
      <c r="I16" s="64">
        <v>4.51</v>
      </c>
      <c r="J16" s="64">
        <v>1.05</v>
      </c>
      <c r="K16" s="64">
        <v>154.16</v>
      </c>
      <c r="L16" s="64">
        <v>21.83</v>
      </c>
      <c r="M16" s="64">
        <v>98.4</v>
      </c>
      <c r="N16" s="64">
        <v>17.8</v>
      </c>
      <c r="O16" s="64">
        <v>0</v>
      </c>
      <c r="P16" s="64">
        <v>0.23</v>
      </c>
      <c r="Q16" s="64">
        <v>9.48</v>
      </c>
      <c r="R16" s="198"/>
      <c r="S16" s="198"/>
      <c r="T16" s="198"/>
      <c r="U16" s="198"/>
    </row>
    <row r="17" spans="1:21" s="12" customFormat="1" x14ac:dyDescent="0.25">
      <c r="A17" s="214" t="s">
        <v>2177</v>
      </c>
      <c r="B17" s="64">
        <v>8.2100000000000009</v>
      </c>
      <c r="C17" s="64">
        <v>3.41</v>
      </c>
      <c r="D17" s="64">
        <v>12.14</v>
      </c>
      <c r="E17" s="64">
        <v>4.08</v>
      </c>
      <c r="F17" s="64">
        <v>2.74</v>
      </c>
      <c r="G17" s="64">
        <v>9.89</v>
      </c>
      <c r="H17" s="64">
        <v>5.43</v>
      </c>
      <c r="I17" s="64">
        <v>4.63</v>
      </c>
      <c r="J17" s="64">
        <v>0.67</v>
      </c>
      <c r="K17" s="64">
        <v>143.54</v>
      </c>
      <c r="L17" s="64">
        <v>21.86</v>
      </c>
      <c r="M17" s="64">
        <v>98.4</v>
      </c>
      <c r="N17" s="64">
        <v>17.600000000000001</v>
      </c>
      <c r="O17" s="64">
        <v>0</v>
      </c>
      <c r="P17" s="64">
        <v>0.23</v>
      </c>
      <c r="Q17" s="64">
        <v>9.51</v>
      </c>
      <c r="R17" s="198"/>
      <c r="S17" s="198"/>
      <c r="T17" s="198"/>
      <c r="U17" s="198"/>
    </row>
    <row r="18" spans="1:21" s="12" customFormat="1" x14ac:dyDescent="0.25">
      <c r="A18" s="214" t="s">
        <v>2178</v>
      </c>
      <c r="B18" s="64">
        <v>8.14</v>
      </c>
      <c r="C18" s="64">
        <v>3.15</v>
      </c>
      <c r="D18" s="64">
        <v>11.94</v>
      </c>
      <c r="E18" s="64">
        <v>3.88</v>
      </c>
      <c r="F18" s="64">
        <v>4.1500000000000004</v>
      </c>
      <c r="G18" s="64">
        <v>11.8</v>
      </c>
      <c r="H18" s="64">
        <v>5.0599999999999996</v>
      </c>
      <c r="I18" s="64">
        <v>4.67</v>
      </c>
      <c r="J18" s="64">
        <v>0.42</v>
      </c>
      <c r="K18" s="64">
        <v>159.22999999999999</v>
      </c>
      <c r="L18" s="64">
        <v>21.88</v>
      </c>
      <c r="M18" s="64">
        <v>98.4</v>
      </c>
      <c r="N18" s="64">
        <v>17.399999999999999</v>
      </c>
      <c r="O18" s="64">
        <v>0</v>
      </c>
      <c r="P18" s="64">
        <v>0.21</v>
      </c>
      <c r="Q18" s="64">
        <v>9.5</v>
      </c>
      <c r="R18" s="198"/>
      <c r="S18" s="198"/>
      <c r="T18" s="198"/>
      <c r="U18" s="198"/>
    </row>
    <row r="19" spans="1:21" s="12" customFormat="1" x14ac:dyDescent="0.25">
      <c r="A19" s="214" t="s">
        <v>2179</v>
      </c>
      <c r="B19" s="64">
        <v>8.1199999999999992</v>
      </c>
      <c r="C19" s="64">
        <v>3.11</v>
      </c>
      <c r="D19" s="64">
        <v>11.91</v>
      </c>
      <c r="E19" s="64">
        <v>4.1399999999999997</v>
      </c>
      <c r="F19" s="64">
        <v>3.03</v>
      </c>
      <c r="G19" s="64">
        <v>13.63</v>
      </c>
      <c r="H19" s="64">
        <v>4.7</v>
      </c>
      <c r="I19" s="64">
        <v>4.6100000000000003</v>
      </c>
      <c r="J19" s="64">
        <v>0.65</v>
      </c>
      <c r="K19" s="64">
        <v>156.02000000000001</v>
      </c>
      <c r="L19" s="64">
        <v>21.91</v>
      </c>
      <c r="M19" s="64">
        <v>98.4</v>
      </c>
      <c r="N19" s="64">
        <v>17.600000000000001</v>
      </c>
      <c r="O19" s="64">
        <v>0</v>
      </c>
      <c r="P19" s="64">
        <v>0.2</v>
      </c>
      <c r="Q19" s="64">
        <v>9.5</v>
      </c>
      <c r="R19" s="198"/>
      <c r="S19" s="198"/>
      <c r="T19" s="198"/>
      <c r="U19" s="198"/>
    </row>
    <row r="20" spans="1:21" s="12" customFormat="1" x14ac:dyDescent="0.25">
      <c r="A20" s="214" t="s">
        <v>2180</v>
      </c>
      <c r="B20" s="64">
        <v>8.11</v>
      </c>
      <c r="C20" s="64">
        <v>3.11</v>
      </c>
      <c r="D20" s="64">
        <v>11.9</v>
      </c>
      <c r="E20" s="64">
        <v>4.21</v>
      </c>
      <c r="F20" s="64">
        <v>4.28</v>
      </c>
      <c r="G20" s="64">
        <v>13.63</v>
      </c>
      <c r="H20" s="64">
        <v>4.7</v>
      </c>
      <c r="I20" s="64">
        <v>4.55</v>
      </c>
      <c r="J20" s="64">
        <v>1.02</v>
      </c>
      <c r="K20" s="64">
        <v>155.80000000000001</v>
      </c>
      <c r="L20" s="64">
        <v>21.95</v>
      </c>
      <c r="M20" s="64">
        <v>98.38</v>
      </c>
      <c r="N20" s="64">
        <v>17.8</v>
      </c>
      <c r="O20" s="64">
        <v>0</v>
      </c>
      <c r="P20" s="64">
        <v>0.2</v>
      </c>
      <c r="Q20" s="64">
        <v>9.5</v>
      </c>
      <c r="R20" s="198"/>
      <c r="S20" s="198"/>
      <c r="T20" s="198"/>
      <c r="U20" s="198"/>
    </row>
    <row r="21" spans="1:21" s="12" customFormat="1" x14ac:dyDescent="0.25">
      <c r="A21" s="214" t="s">
        <v>2181</v>
      </c>
      <c r="B21" s="64">
        <v>8.1300000000000008</v>
      </c>
      <c r="C21" s="64">
        <v>3.11</v>
      </c>
      <c r="D21" s="64">
        <v>11.92</v>
      </c>
      <c r="E21" s="64">
        <v>4.2699999999999996</v>
      </c>
      <c r="F21" s="64">
        <v>3.12</v>
      </c>
      <c r="G21" s="64">
        <v>13.63</v>
      </c>
      <c r="H21" s="64">
        <v>4.7</v>
      </c>
      <c r="I21" s="64">
        <v>4.49</v>
      </c>
      <c r="J21" s="64">
        <v>0.34</v>
      </c>
      <c r="K21" s="64">
        <v>157.47</v>
      </c>
      <c r="L21" s="64">
        <v>22.03</v>
      </c>
      <c r="M21" s="64">
        <v>98.38</v>
      </c>
      <c r="N21" s="64">
        <v>17.7</v>
      </c>
      <c r="O21" s="64">
        <v>0</v>
      </c>
      <c r="P21" s="64">
        <v>0.19</v>
      </c>
      <c r="Q21" s="64">
        <v>9.49</v>
      </c>
      <c r="R21" s="198"/>
      <c r="S21" s="198"/>
      <c r="T21" s="198"/>
      <c r="U21" s="198"/>
    </row>
    <row r="22" spans="1:21" s="12" customFormat="1" x14ac:dyDescent="0.25">
      <c r="A22" s="214" t="s">
        <v>2182</v>
      </c>
      <c r="B22" s="64">
        <v>8.18</v>
      </c>
      <c r="C22" s="64">
        <v>3.13</v>
      </c>
      <c r="D22" s="64">
        <v>11.97</v>
      </c>
      <c r="E22" s="64">
        <v>3.84</v>
      </c>
      <c r="F22" s="64">
        <v>3.41</v>
      </c>
      <c r="G22" s="64">
        <v>11.59</v>
      </c>
      <c r="H22" s="64">
        <v>4.03</v>
      </c>
      <c r="I22" s="64">
        <v>4.46</v>
      </c>
      <c r="J22" s="64">
        <v>0.72</v>
      </c>
      <c r="K22" s="64">
        <v>143.55000000000001</v>
      </c>
      <c r="L22" s="64">
        <v>22.01</v>
      </c>
      <c r="M22" s="64">
        <v>98.37</v>
      </c>
      <c r="N22" s="64">
        <v>17.7</v>
      </c>
      <c r="O22" s="64">
        <v>0</v>
      </c>
      <c r="P22" s="64">
        <v>0.18</v>
      </c>
      <c r="Q22" s="64">
        <v>9.41</v>
      </c>
      <c r="R22" s="198"/>
      <c r="S22" s="198"/>
      <c r="T22" s="198"/>
      <c r="U22" s="198"/>
    </row>
    <row r="23" spans="1:21" s="12" customFormat="1" x14ac:dyDescent="0.25">
      <c r="A23" s="214" t="s">
        <v>2183</v>
      </c>
      <c r="B23" s="64">
        <v>8.2100000000000009</v>
      </c>
      <c r="C23" s="64">
        <v>3.19</v>
      </c>
      <c r="D23" s="64">
        <v>12.02</v>
      </c>
      <c r="E23" s="64">
        <v>3.6</v>
      </c>
      <c r="F23" s="64">
        <v>3.53</v>
      </c>
      <c r="G23" s="64">
        <v>9.73</v>
      </c>
      <c r="H23" s="64">
        <v>3.38</v>
      </c>
      <c r="I23" s="64">
        <v>4.49</v>
      </c>
      <c r="J23" s="64">
        <v>0.78</v>
      </c>
      <c r="K23" s="64">
        <v>166</v>
      </c>
      <c r="L23" s="64">
        <v>22.05</v>
      </c>
      <c r="M23" s="64">
        <v>98.38</v>
      </c>
      <c r="N23" s="64">
        <v>17.399999999999999</v>
      </c>
      <c r="O23" s="64">
        <v>0</v>
      </c>
      <c r="P23" s="64">
        <v>0.18</v>
      </c>
      <c r="Q23" s="64">
        <v>9.4</v>
      </c>
      <c r="R23" s="198"/>
      <c r="S23" s="198"/>
      <c r="T23" s="198"/>
      <c r="U23" s="198"/>
    </row>
    <row r="24" spans="1:21" s="12" customFormat="1" x14ac:dyDescent="0.25">
      <c r="A24" s="214" t="s">
        <v>2184</v>
      </c>
      <c r="B24" s="64">
        <v>8.2100000000000009</v>
      </c>
      <c r="C24" s="64">
        <v>3.19</v>
      </c>
      <c r="D24" s="64">
        <v>12.02</v>
      </c>
      <c r="E24" s="64">
        <v>3.39</v>
      </c>
      <c r="F24" s="64">
        <v>3.43</v>
      </c>
      <c r="G24" s="64">
        <v>9.73</v>
      </c>
      <c r="H24" s="64">
        <v>3.38</v>
      </c>
      <c r="I24" s="64">
        <v>4.68</v>
      </c>
      <c r="J24" s="64">
        <v>0.71</v>
      </c>
      <c r="K24" s="64">
        <v>176.17</v>
      </c>
      <c r="L24" s="64">
        <v>22.12</v>
      </c>
      <c r="M24" s="64">
        <v>98.38</v>
      </c>
      <c r="N24" s="64">
        <v>17.399999999999999</v>
      </c>
      <c r="O24" s="64">
        <v>0</v>
      </c>
      <c r="P24" s="64">
        <v>0.18</v>
      </c>
      <c r="Q24" s="64">
        <v>9.42</v>
      </c>
      <c r="R24" s="198"/>
      <c r="S24" s="198"/>
      <c r="T24" s="198"/>
      <c r="U24" s="198"/>
    </row>
    <row r="25" spans="1:21" s="12" customFormat="1" x14ac:dyDescent="0.25">
      <c r="A25" s="214" t="s">
        <v>2185</v>
      </c>
      <c r="B25" s="64">
        <v>8.23</v>
      </c>
      <c r="C25" s="64">
        <v>3.24</v>
      </c>
      <c r="D25" s="64">
        <v>12.07</v>
      </c>
      <c r="E25" s="64">
        <v>4.58</v>
      </c>
      <c r="F25" s="64">
        <v>3.18</v>
      </c>
      <c r="G25" s="64">
        <v>9.73</v>
      </c>
      <c r="H25" s="64">
        <v>3.38</v>
      </c>
      <c r="I25" s="64">
        <v>4.92</v>
      </c>
      <c r="J25" s="64">
        <v>0.63</v>
      </c>
      <c r="K25" s="64">
        <v>156.61000000000001</v>
      </c>
      <c r="L25" s="64">
        <v>22.17</v>
      </c>
      <c r="M25" s="64">
        <v>98.38</v>
      </c>
      <c r="N25" s="64">
        <v>17.399999999999999</v>
      </c>
      <c r="O25" s="64">
        <v>0</v>
      </c>
      <c r="P25" s="64">
        <v>0.18</v>
      </c>
      <c r="Q25" s="64">
        <v>9.43</v>
      </c>
      <c r="R25" s="198"/>
      <c r="S25" s="198"/>
      <c r="T25" s="198"/>
      <c r="U25" s="198"/>
    </row>
    <row r="26" spans="1:21" s="12" customFormat="1" x14ac:dyDescent="0.25">
      <c r="A26" s="214" t="s">
        <v>2186</v>
      </c>
      <c r="B26" s="64">
        <v>8.23</v>
      </c>
      <c r="C26" s="64">
        <v>3.22</v>
      </c>
      <c r="D26" s="64">
        <v>12.06</v>
      </c>
      <c r="E26" s="64">
        <v>4.63</v>
      </c>
      <c r="F26" s="64">
        <v>3.3</v>
      </c>
      <c r="G26" s="64">
        <v>9.5299999999999994</v>
      </c>
      <c r="H26" s="64">
        <v>3.38</v>
      </c>
      <c r="I26" s="64">
        <v>5.08</v>
      </c>
      <c r="J26" s="64">
        <v>1.38</v>
      </c>
      <c r="K26" s="64">
        <v>151.72999999999999</v>
      </c>
      <c r="L26" s="64">
        <v>22.2</v>
      </c>
      <c r="M26" s="64">
        <v>98.38</v>
      </c>
      <c r="N26" s="64">
        <v>17.399999999999999</v>
      </c>
      <c r="O26" s="64">
        <v>0</v>
      </c>
      <c r="P26" s="64">
        <v>0.17</v>
      </c>
      <c r="Q26" s="64">
        <v>9.4600000000000009</v>
      </c>
      <c r="R26" s="198"/>
      <c r="S26" s="198"/>
      <c r="T26" s="198"/>
      <c r="U26" s="198"/>
    </row>
    <row r="27" spans="1:21" s="12" customFormat="1" x14ac:dyDescent="0.25">
      <c r="A27" s="214" t="s">
        <v>2187</v>
      </c>
      <c r="B27" s="64">
        <v>8.2200000000000006</v>
      </c>
      <c r="C27" s="64">
        <v>3.2</v>
      </c>
      <c r="D27" s="64">
        <v>12.04</v>
      </c>
      <c r="E27" s="64">
        <v>4.43</v>
      </c>
      <c r="F27" s="64">
        <v>3.57</v>
      </c>
      <c r="G27" s="64">
        <v>9.34</v>
      </c>
      <c r="H27" s="64">
        <v>3.38</v>
      </c>
      <c r="I27" s="64">
        <v>5.27</v>
      </c>
      <c r="J27" s="64">
        <v>0.86</v>
      </c>
      <c r="K27" s="64">
        <v>163.56</v>
      </c>
      <c r="L27" s="64">
        <v>22.28</v>
      </c>
      <c r="M27" s="64">
        <v>98.38</v>
      </c>
      <c r="N27" s="64">
        <v>17.399999999999999</v>
      </c>
      <c r="O27" s="64">
        <v>0</v>
      </c>
      <c r="P27" s="64">
        <v>0.17</v>
      </c>
      <c r="Q27" s="64">
        <v>9.4700000000000006</v>
      </c>
      <c r="R27" s="198"/>
      <c r="S27" s="198"/>
      <c r="T27" s="198"/>
      <c r="U27" s="198"/>
    </row>
    <row r="28" spans="1:21" s="12" customFormat="1" x14ac:dyDescent="0.25">
      <c r="A28" s="214" t="s">
        <v>2188</v>
      </c>
      <c r="B28" s="64">
        <v>8.1999999999999993</v>
      </c>
      <c r="C28" s="64">
        <v>3.16</v>
      </c>
      <c r="D28" s="64">
        <v>12</v>
      </c>
      <c r="E28" s="64">
        <v>5.05</v>
      </c>
      <c r="F28" s="64">
        <v>3.56</v>
      </c>
      <c r="G28" s="64">
        <v>9.34</v>
      </c>
      <c r="H28" s="64">
        <v>3.38</v>
      </c>
      <c r="I28" s="64">
        <v>5.59</v>
      </c>
      <c r="J28" s="64">
        <v>1.33</v>
      </c>
      <c r="K28" s="64">
        <v>149.54</v>
      </c>
      <c r="L28" s="64">
        <v>22.28</v>
      </c>
      <c r="M28" s="64">
        <v>98.37</v>
      </c>
      <c r="N28" s="64">
        <v>17.399999999999999</v>
      </c>
      <c r="O28" s="64">
        <v>0</v>
      </c>
      <c r="P28" s="64">
        <v>0.17</v>
      </c>
      <c r="Q28" s="64">
        <v>9.4700000000000006</v>
      </c>
      <c r="R28" s="198"/>
      <c r="S28" s="198"/>
      <c r="T28" s="198"/>
      <c r="U28" s="198"/>
    </row>
    <row r="29" spans="1:21" s="12" customFormat="1" x14ac:dyDescent="0.25">
      <c r="A29" s="214" t="s">
        <v>2189</v>
      </c>
      <c r="B29" s="64">
        <v>8.2899999999999991</v>
      </c>
      <c r="C29" s="64">
        <v>3.46</v>
      </c>
      <c r="D29" s="64">
        <v>12.23</v>
      </c>
      <c r="E29" s="64">
        <v>4.79</v>
      </c>
      <c r="F29" s="64">
        <v>4.05</v>
      </c>
      <c r="G29" s="64">
        <v>9.34</v>
      </c>
      <c r="H29" s="64">
        <v>3.38</v>
      </c>
      <c r="I29" s="64">
        <v>5.86</v>
      </c>
      <c r="J29" s="64">
        <v>0.81</v>
      </c>
      <c r="K29" s="64">
        <v>156.01</v>
      </c>
      <c r="L29" s="64">
        <v>22.27</v>
      </c>
      <c r="M29" s="64">
        <v>98.38</v>
      </c>
      <c r="N29" s="64">
        <v>18.3</v>
      </c>
      <c r="O29" s="64">
        <v>0</v>
      </c>
      <c r="P29" s="64">
        <v>0.17</v>
      </c>
      <c r="Q29" s="64">
        <v>9.5399999999999991</v>
      </c>
      <c r="R29" s="198"/>
      <c r="S29" s="198"/>
      <c r="T29" s="198"/>
      <c r="U29" s="198"/>
    </row>
    <row r="30" spans="1:21" s="12" customFormat="1" x14ac:dyDescent="0.25">
      <c r="A30" s="214" t="s">
        <v>2190</v>
      </c>
      <c r="B30" s="64">
        <v>8.27</v>
      </c>
      <c r="C30" s="64">
        <v>3.48</v>
      </c>
      <c r="D30" s="64">
        <v>12.22</v>
      </c>
      <c r="E30" s="64">
        <v>5</v>
      </c>
      <c r="F30" s="64">
        <v>3.69</v>
      </c>
      <c r="G30" s="64">
        <v>7.98</v>
      </c>
      <c r="H30" s="64">
        <v>3.33</v>
      </c>
      <c r="I30" s="64">
        <v>5.98</v>
      </c>
      <c r="J30" s="64">
        <v>0.89</v>
      </c>
      <c r="K30" s="64">
        <v>176.31</v>
      </c>
      <c r="L30" s="64">
        <v>22.27</v>
      </c>
      <c r="M30" s="64">
        <v>98.36</v>
      </c>
      <c r="N30" s="64">
        <v>20.8</v>
      </c>
      <c r="O30" s="64">
        <v>0</v>
      </c>
      <c r="P30" s="64">
        <v>0.17</v>
      </c>
      <c r="Q30" s="64">
        <v>9.5399999999999991</v>
      </c>
      <c r="R30" s="198"/>
      <c r="S30" s="198"/>
      <c r="T30" s="198"/>
      <c r="U30" s="198"/>
    </row>
    <row r="31" spans="1:21" s="12" customFormat="1" x14ac:dyDescent="0.25">
      <c r="A31" s="214" t="s">
        <v>2191</v>
      </c>
      <c r="B31" s="64">
        <v>8.23</v>
      </c>
      <c r="C31" s="64">
        <v>3.32</v>
      </c>
      <c r="D31" s="64">
        <v>12.11</v>
      </c>
      <c r="E31" s="64">
        <v>4.92</v>
      </c>
      <c r="F31" s="64">
        <v>3.38</v>
      </c>
      <c r="G31" s="64">
        <v>6.67</v>
      </c>
      <c r="H31" s="64">
        <v>3.28</v>
      </c>
      <c r="I31" s="64">
        <v>5.95</v>
      </c>
      <c r="J31" s="64">
        <v>0.63</v>
      </c>
      <c r="K31" s="64">
        <v>157.13</v>
      </c>
      <c r="L31" s="64">
        <v>22.38</v>
      </c>
      <c r="M31" s="64">
        <v>98.35</v>
      </c>
      <c r="N31" s="64">
        <v>25</v>
      </c>
      <c r="O31" s="64">
        <v>0</v>
      </c>
      <c r="P31" s="64">
        <v>0.17</v>
      </c>
      <c r="Q31" s="64">
        <v>9.5399999999999991</v>
      </c>
      <c r="R31" s="198"/>
      <c r="S31" s="198"/>
      <c r="T31" s="198"/>
      <c r="U31" s="198"/>
    </row>
    <row r="32" spans="1:21" s="12" customFormat="1" x14ac:dyDescent="0.25">
      <c r="A32" s="214" t="s">
        <v>2192</v>
      </c>
      <c r="B32" s="64">
        <v>8.2799999999999994</v>
      </c>
      <c r="C32" s="64">
        <v>3.52</v>
      </c>
      <c r="D32" s="64">
        <v>12.25</v>
      </c>
      <c r="E32" s="64">
        <v>5.25</v>
      </c>
      <c r="F32" s="64">
        <v>3.98</v>
      </c>
      <c r="G32" s="64">
        <v>6.67</v>
      </c>
      <c r="H32" s="64">
        <v>3.28</v>
      </c>
      <c r="I32" s="64">
        <v>5.8</v>
      </c>
      <c r="J32" s="64">
        <v>0.79</v>
      </c>
      <c r="K32" s="64">
        <v>168.19</v>
      </c>
      <c r="L32" s="64">
        <v>22.43</v>
      </c>
      <c r="M32" s="64">
        <v>98.35</v>
      </c>
      <c r="N32" s="64">
        <v>33.6</v>
      </c>
      <c r="O32" s="64">
        <v>0</v>
      </c>
      <c r="P32" s="64">
        <v>0.17</v>
      </c>
      <c r="Q32" s="64">
        <v>9.5299999999999994</v>
      </c>
      <c r="R32" s="198"/>
      <c r="S32" s="198"/>
      <c r="T32" s="198"/>
      <c r="U32" s="198"/>
    </row>
    <row r="33" spans="1:21" s="12" customFormat="1" x14ac:dyDescent="0.25">
      <c r="A33" s="214" t="s">
        <v>2193</v>
      </c>
      <c r="B33" s="64">
        <v>8.23</v>
      </c>
      <c r="C33" s="64">
        <v>3.33</v>
      </c>
      <c r="D33" s="64">
        <v>12.11</v>
      </c>
      <c r="E33" s="64">
        <v>4.97</v>
      </c>
      <c r="F33" s="64">
        <v>2.73</v>
      </c>
      <c r="G33" s="64">
        <v>6.67</v>
      </c>
      <c r="H33" s="64">
        <v>3.28</v>
      </c>
      <c r="I33" s="64">
        <v>5.63</v>
      </c>
      <c r="J33" s="64">
        <v>0.48</v>
      </c>
      <c r="K33" s="64">
        <v>151.78</v>
      </c>
      <c r="L33" s="64">
        <v>22.56</v>
      </c>
      <c r="M33" s="64">
        <v>98.35</v>
      </c>
      <c r="N33" s="64">
        <v>49</v>
      </c>
      <c r="O33" s="64">
        <v>0</v>
      </c>
      <c r="P33" s="64">
        <v>0.17</v>
      </c>
      <c r="Q33" s="64">
        <v>9.5399999999999991</v>
      </c>
      <c r="R33" s="198"/>
      <c r="S33" s="198"/>
      <c r="T33" s="198"/>
      <c r="U33" s="198"/>
    </row>
    <row r="34" spans="1:21" s="12" customFormat="1" x14ac:dyDescent="0.25">
      <c r="A34" s="214" t="s">
        <v>2194</v>
      </c>
      <c r="B34" s="64">
        <v>8.2100000000000009</v>
      </c>
      <c r="C34" s="64">
        <v>3.26</v>
      </c>
      <c r="D34" s="64">
        <v>12.06</v>
      </c>
      <c r="E34" s="64">
        <v>5.05</v>
      </c>
      <c r="F34" s="64">
        <v>4.1500000000000004</v>
      </c>
      <c r="G34" s="64">
        <v>8.39</v>
      </c>
      <c r="H34" s="64">
        <v>4.5599999999999996</v>
      </c>
      <c r="I34" s="64">
        <v>5.5</v>
      </c>
      <c r="J34" s="64">
        <v>0.8</v>
      </c>
      <c r="K34" s="64">
        <v>151.88999999999999</v>
      </c>
      <c r="L34" s="64">
        <v>22.66</v>
      </c>
      <c r="M34" s="64">
        <v>98.33</v>
      </c>
      <c r="N34" s="64">
        <v>67</v>
      </c>
      <c r="O34" s="64">
        <v>0</v>
      </c>
      <c r="P34" s="64">
        <v>0.17</v>
      </c>
      <c r="Q34" s="64">
        <v>9.52</v>
      </c>
      <c r="R34" s="198"/>
      <c r="S34" s="198"/>
      <c r="T34" s="198"/>
      <c r="U34" s="198"/>
    </row>
    <row r="35" spans="1:21" s="12" customFormat="1" x14ac:dyDescent="0.25">
      <c r="A35" s="214" t="s">
        <v>2195</v>
      </c>
      <c r="B35" s="64">
        <v>8.25</v>
      </c>
      <c r="C35" s="64">
        <v>3.45</v>
      </c>
      <c r="D35" s="64">
        <v>12.19</v>
      </c>
      <c r="E35" s="64">
        <v>5.04</v>
      </c>
      <c r="F35" s="64">
        <v>3.03</v>
      </c>
      <c r="G35" s="64">
        <v>10.029999999999999</v>
      </c>
      <c r="H35" s="64">
        <v>5.79</v>
      </c>
      <c r="I35" s="64">
        <v>5.33</v>
      </c>
      <c r="J35" s="64">
        <v>0.86</v>
      </c>
      <c r="K35" s="64">
        <v>158.83000000000001</v>
      </c>
      <c r="L35" s="64">
        <v>22.83</v>
      </c>
      <c r="M35" s="64">
        <v>98.33</v>
      </c>
      <c r="N35" s="64">
        <v>87.7</v>
      </c>
      <c r="O35" s="64">
        <v>0</v>
      </c>
      <c r="P35" s="64">
        <v>0.17</v>
      </c>
      <c r="Q35" s="64">
        <v>9.5399999999999991</v>
      </c>
      <c r="R35" s="198"/>
      <c r="S35" s="198"/>
      <c r="T35" s="198"/>
      <c r="U35" s="198"/>
    </row>
    <row r="36" spans="1:21" s="12" customFormat="1" x14ac:dyDescent="0.25">
      <c r="A36" s="214" t="s">
        <v>2196</v>
      </c>
      <c r="B36" s="64">
        <v>8.19</v>
      </c>
      <c r="C36" s="64">
        <v>3.32</v>
      </c>
      <c r="D36" s="64">
        <v>12.08</v>
      </c>
      <c r="E36" s="64">
        <v>4.6100000000000003</v>
      </c>
      <c r="F36" s="64">
        <v>3.96</v>
      </c>
      <c r="G36" s="64">
        <v>10.029999999999999</v>
      </c>
      <c r="H36" s="64">
        <v>5.79</v>
      </c>
      <c r="I36" s="64">
        <v>5.22</v>
      </c>
      <c r="J36" s="64">
        <v>0.62</v>
      </c>
      <c r="K36" s="64">
        <v>153.01</v>
      </c>
      <c r="L36" s="64">
        <v>22.95</v>
      </c>
      <c r="M36" s="64">
        <v>98.33</v>
      </c>
      <c r="N36" s="64">
        <v>91.7</v>
      </c>
      <c r="O36" s="64">
        <v>0</v>
      </c>
      <c r="P36" s="64">
        <v>0.17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4" t="s">
        <v>2197</v>
      </c>
      <c r="B37" s="64">
        <v>8.2100000000000009</v>
      </c>
      <c r="C37" s="64">
        <v>3.31</v>
      </c>
      <c r="D37" s="64">
        <v>12.09</v>
      </c>
      <c r="E37" s="64">
        <v>4.8099999999999996</v>
      </c>
      <c r="F37" s="64">
        <v>3.36</v>
      </c>
      <c r="G37" s="64">
        <v>10.029999999999999</v>
      </c>
      <c r="H37" s="64">
        <v>5.79</v>
      </c>
      <c r="I37" s="64">
        <v>5.19</v>
      </c>
      <c r="J37" s="64">
        <v>0.99</v>
      </c>
      <c r="K37" s="64">
        <v>162.77000000000001</v>
      </c>
      <c r="L37" s="64">
        <v>23.09</v>
      </c>
      <c r="M37" s="64">
        <v>98.32</v>
      </c>
      <c r="N37" s="64">
        <v>92.9</v>
      </c>
      <c r="O37" s="64">
        <v>0</v>
      </c>
      <c r="P37" s="64">
        <v>0.16</v>
      </c>
      <c r="Q37" s="64">
        <v>9.5299999999999994</v>
      </c>
      <c r="R37" s="198"/>
      <c r="S37" s="198"/>
      <c r="T37" s="198"/>
      <c r="U37" s="198"/>
    </row>
    <row r="38" spans="1:21" s="12" customFormat="1" x14ac:dyDescent="0.25">
      <c r="A38" s="214" t="s">
        <v>2198</v>
      </c>
      <c r="B38" s="64">
        <v>8.27</v>
      </c>
      <c r="C38" s="64">
        <v>3.48</v>
      </c>
      <c r="D38" s="64">
        <v>12.22</v>
      </c>
      <c r="E38" s="64">
        <v>4.84</v>
      </c>
      <c r="F38" s="64">
        <v>3.89</v>
      </c>
      <c r="G38" s="64">
        <v>11.27</v>
      </c>
      <c r="H38" s="64">
        <v>4.95</v>
      </c>
      <c r="I38" s="64">
        <v>5.13</v>
      </c>
      <c r="J38" s="64">
        <v>0.56000000000000005</v>
      </c>
      <c r="K38" s="64">
        <v>152.59</v>
      </c>
      <c r="L38" s="64">
        <v>23.18</v>
      </c>
      <c r="M38" s="64">
        <v>98.33</v>
      </c>
      <c r="N38" s="64">
        <v>96.5</v>
      </c>
      <c r="O38" s="64">
        <v>0</v>
      </c>
      <c r="P38" s="64">
        <v>0.18</v>
      </c>
      <c r="Q38" s="64">
        <v>9.5299999999999994</v>
      </c>
      <c r="R38" s="198"/>
      <c r="S38" s="198"/>
      <c r="T38" s="198"/>
      <c r="U38" s="198"/>
    </row>
    <row r="39" spans="1:21" s="12" customFormat="1" x14ac:dyDescent="0.25">
      <c r="A39" s="214" t="s">
        <v>2199</v>
      </c>
      <c r="B39" s="64">
        <v>8.42</v>
      </c>
      <c r="C39" s="64">
        <v>4.04</v>
      </c>
      <c r="D39" s="64">
        <v>12.64</v>
      </c>
      <c r="E39" s="64">
        <v>5.46</v>
      </c>
      <c r="F39" s="64">
        <v>3.22</v>
      </c>
      <c r="G39" s="64">
        <v>12.46</v>
      </c>
      <c r="H39" s="64">
        <v>4.17</v>
      </c>
      <c r="I39" s="64">
        <v>5.0599999999999996</v>
      </c>
      <c r="J39" s="64">
        <v>0.34</v>
      </c>
      <c r="K39" s="64">
        <v>141.77000000000001</v>
      </c>
      <c r="L39" s="64">
        <v>23.24</v>
      </c>
      <c r="M39" s="64">
        <v>98.32</v>
      </c>
      <c r="N39" s="64">
        <v>105.3</v>
      </c>
      <c r="O39" s="64">
        <v>0</v>
      </c>
      <c r="P39" s="64">
        <v>0.18</v>
      </c>
      <c r="Q39" s="64">
        <v>9.58</v>
      </c>
      <c r="R39" s="198"/>
      <c r="S39" s="198"/>
      <c r="T39" s="198"/>
      <c r="U39" s="198"/>
    </row>
    <row r="40" spans="1:21" s="12" customFormat="1" x14ac:dyDescent="0.25">
      <c r="A40" s="214" t="s">
        <v>2200</v>
      </c>
      <c r="B40" s="64">
        <v>8.25</v>
      </c>
      <c r="C40" s="64">
        <v>3.4</v>
      </c>
      <c r="D40" s="64">
        <v>12.16</v>
      </c>
      <c r="E40" s="64">
        <v>3.6</v>
      </c>
      <c r="F40" s="64">
        <v>3.19</v>
      </c>
      <c r="G40" s="64">
        <v>12.46</v>
      </c>
      <c r="H40" s="64">
        <v>4.17</v>
      </c>
      <c r="I40" s="64">
        <v>5.0599999999999996</v>
      </c>
      <c r="J40" s="64">
        <v>0.41</v>
      </c>
      <c r="K40" s="64">
        <v>118.11</v>
      </c>
      <c r="L40" s="64">
        <v>23.55</v>
      </c>
      <c r="M40" s="64">
        <v>98.3</v>
      </c>
      <c r="N40" s="64">
        <v>95</v>
      </c>
      <c r="O40" s="64">
        <v>0</v>
      </c>
      <c r="P40" s="64">
        <v>0.17</v>
      </c>
      <c r="Q40" s="64">
        <v>9.48</v>
      </c>
      <c r="R40" s="198"/>
      <c r="S40" s="198"/>
      <c r="T40" s="198"/>
      <c r="U40" s="198"/>
    </row>
    <row r="41" spans="1:21" s="12" customFormat="1" x14ac:dyDescent="0.25">
      <c r="A41" s="214" t="s">
        <v>2201</v>
      </c>
      <c r="B41" s="64">
        <v>8.19</v>
      </c>
      <c r="C41" s="64">
        <v>3.23</v>
      </c>
      <c r="D41" s="64">
        <v>12.03</v>
      </c>
      <c r="E41" s="64">
        <v>3.69</v>
      </c>
      <c r="F41" s="64">
        <v>3.44</v>
      </c>
      <c r="G41" s="64">
        <v>12.46</v>
      </c>
      <c r="H41" s="64">
        <v>4.17</v>
      </c>
      <c r="I41" s="64">
        <v>5.0599999999999996</v>
      </c>
      <c r="J41" s="64">
        <v>0.15</v>
      </c>
      <c r="K41" s="64">
        <v>126.85</v>
      </c>
      <c r="L41" s="64">
        <v>23.8</v>
      </c>
      <c r="M41" s="64">
        <v>98.3</v>
      </c>
      <c r="N41" s="64">
        <v>76</v>
      </c>
      <c r="O41" s="64">
        <v>0</v>
      </c>
      <c r="P41" s="64">
        <v>0.17</v>
      </c>
      <c r="Q41" s="64">
        <v>9.48</v>
      </c>
      <c r="R41" s="198"/>
      <c r="S41" s="198"/>
      <c r="T41" s="198"/>
      <c r="U41" s="198"/>
    </row>
    <row r="42" spans="1:21" s="12" customFormat="1" x14ac:dyDescent="0.25">
      <c r="A42" s="214" t="s">
        <v>2202</v>
      </c>
      <c r="B42" s="64">
        <v>8.1999999999999993</v>
      </c>
      <c r="C42" s="64">
        <v>3.22</v>
      </c>
      <c r="D42" s="64">
        <v>12.03</v>
      </c>
      <c r="E42" s="64">
        <v>3.78</v>
      </c>
      <c r="F42" s="64">
        <v>3.33</v>
      </c>
      <c r="G42" s="64">
        <v>11.53</v>
      </c>
      <c r="H42" s="64">
        <v>3.55</v>
      </c>
      <c r="I42" s="64">
        <v>5.15</v>
      </c>
      <c r="J42" s="64">
        <v>0.53</v>
      </c>
      <c r="K42" s="64">
        <v>174.14</v>
      </c>
      <c r="L42" s="64">
        <v>24</v>
      </c>
      <c r="M42" s="64">
        <v>98.08</v>
      </c>
      <c r="N42" s="64">
        <v>112.4</v>
      </c>
      <c r="O42" s="64">
        <v>0</v>
      </c>
      <c r="P42" s="64">
        <v>0.17</v>
      </c>
      <c r="Q42" s="64">
        <v>9.49</v>
      </c>
      <c r="R42" s="198"/>
      <c r="S42" s="198"/>
      <c r="T42" s="198"/>
      <c r="U42" s="198"/>
    </row>
    <row r="43" spans="1:21" s="12" customFormat="1" x14ac:dyDescent="0.25">
      <c r="A43" s="214" t="s">
        <v>2203</v>
      </c>
      <c r="B43" s="64">
        <v>8.1999999999999993</v>
      </c>
      <c r="C43" s="64">
        <v>3.16</v>
      </c>
      <c r="D43" s="64">
        <v>12</v>
      </c>
      <c r="E43" s="64">
        <v>3.8</v>
      </c>
      <c r="F43" s="64">
        <v>3.31</v>
      </c>
      <c r="G43" s="64">
        <v>10.65</v>
      </c>
      <c r="H43" s="64">
        <v>2.96</v>
      </c>
      <c r="I43" s="64">
        <v>5.28</v>
      </c>
      <c r="J43" s="64">
        <v>0.34</v>
      </c>
      <c r="K43" s="64">
        <v>195.42</v>
      </c>
      <c r="L43" s="64">
        <v>24.08</v>
      </c>
      <c r="M43" s="64">
        <v>98.2</v>
      </c>
      <c r="N43" s="64">
        <v>126.3</v>
      </c>
      <c r="O43" s="64">
        <v>0</v>
      </c>
      <c r="P43" s="64">
        <v>0.18</v>
      </c>
      <c r="Q43" s="64">
        <v>9.48</v>
      </c>
      <c r="R43" s="198"/>
      <c r="S43" s="198"/>
      <c r="T43" s="198"/>
      <c r="U43" s="198"/>
    </row>
    <row r="44" spans="1:21" s="12" customFormat="1" x14ac:dyDescent="0.25">
      <c r="A44" s="214" t="s">
        <v>2204</v>
      </c>
      <c r="B44" s="64">
        <v>8.18</v>
      </c>
      <c r="C44" s="64">
        <v>3.14</v>
      </c>
      <c r="D44" s="64">
        <v>11.98</v>
      </c>
      <c r="E44" s="64">
        <v>3.94</v>
      </c>
      <c r="F44" s="64">
        <v>3.48</v>
      </c>
      <c r="G44" s="64">
        <v>10.65</v>
      </c>
      <c r="H44" s="64">
        <v>2.96</v>
      </c>
      <c r="I44" s="64">
        <v>5.46</v>
      </c>
      <c r="J44" s="64">
        <v>0.75</v>
      </c>
      <c r="K44" s="64">
        <v>157.15</v>
      </c>
      <c r="L44" s="64">
        <v>24.22</v>
      </c>
      <c r="M44" s="64">
        <v>98.09</v>
      </c>
      <c r="N44" s="64">
        <v>163.69999999999999</v>
      </c>
      <c r="O44" s="64">
        <v>0</v>
      </c>
      <c r="P44" s="64">
        <v>0.18</v>
      </c>
      <c r="Q44" s="64">
        <v>9.49</v>
      </c>
      <c r="R44" s="198"/>
      <c r="S44" s="198"/>
      <c r="T44" s="198"/>
      <c r="U44" s="198"/>
    </row>
    <row r="45" spans="1:21" s="12" customFormat="1" x14ac:dyDescent="0.25">
      <c r="A45" s="214" t="s">
        <v>2205</v>
      </c>
      <c r="B45" s="64">
        <v>8.2100000000000009</v>
      </c>
      <c r="C45" s="64">
        <v>3.13</v>
      </c>
      <c r="D45" s="64">
        <v>11.99</v>
      </c>
      <c r="E45" s="64">
        <v>3.82</v>
      </c>
      <c r="F45" s="64">
        <v>3.46</v>
      </c>
      <c r="G45" s="64">
        <v>10.65</v>
      </c>
      <c r="H45" s="64">
        <v>2.96</v>
      </c>
      <c r="I45" s="64">
        <v>5.61</v>
      </c>
      <c r="J45" s="64">
        <v>0.27</v>
      </c>
      <c r="K45" s="64">
        <v>239.95</v>
      </c>
      <c r="L45" s="64">
        <v>24.61</v>
      </c>
      <c r="M45" s="64">
        <v>97.68</v>
      </c>
      <c r="N45" s="64">
        <v>194.1</v>
      </c>
      <c r="O45" s="64">
        <v>0</v>
      </c>
      <c r="P45" s="64">
        <v>0.18</v>
      </c>
      <c r="Q45" s="64">
        <v>9.51</v>
      </c>
      <c r="R45" s="198"/>
      <c r="S45" s="198"/>
      <c r="T45" s="198"/>
      <c r="U45" s="198"/>
    </row>
    <row r="46" spans="1:21" s="12" customFormat="1" x14ac:dyDescent="0.25">
      <c r="A46" s="214" t="s">
        <v>2206</v>
      </c>
      <c r="B46" s="64">
        <v>8.23</v>
      </c>
      <c r="C46" s="64">
        <v>3.17</v>
      </c>
      <c r="D46" s="64">
        <v>12.03</v>
      </c>
      <c r="E46" s="64">
        <v>3.71</v>
      </c>
      <c r="F46" s="64">
        <v>3.57</v>
      </c>
      <c r="G46" s="64">
        <v>14.37</v>
      </c>
      <c r="H46" s="64">
        <v>3.6</v>
      </c>
      <c r="I46" s="64">
        <v>5.73</v>
      </c>
      <c r="J46" s="64">
        <v>0.16</v>
      </c>
      <c r="K46" s="64">
        <v>288.35000000000002</v>
      </c>
      <c r="L46" s="64">
        <v>25.29</v>
      </c>
      <c r="M46" s="64">
        <v>94.95</v>
      </c>
      <c r="N46" s="64">
        <v>202.5</v>
      </c>
      <c r="O46" s="64">
        <v>0</v>
      </c>
      <c r="P46" s="64">
        <v>0.18</v>
      </c>
      <c r="Q46" s="64">
        <v>9.52</v>
      </c>
      <c r="R46" s="198"/>
      <c r="S46" s="198"/>
      <c r="T46" s="198"/>
      <c r="U46" s="198"/>
    </row>
    <row r="47" spans="1:21" s="12" customFormat="1" x14ac:dyDescent="0.25">
      <c r="A47" s="214" t="s">
        <v>2207</v>
      </c>
      <c r="B47" s="64">
        <v>8.2100000000000009</v>
      </c>
      <c r="C47" s="64">
        <v>3.2</v>
      </c>
      <c r="D47" s="64">
        <v>12.03</v>
      </c>
      <c r="E47" s="64">
        <v>3.81</v>
      </c>
      <c r="F47" s="64">
        <v>4.1500000000000004</v>
      </c>
      <c r="G47" s="64">
        <v>17.920000000000002</v>
      </c>
      <c r="H47" s="64">
        <v>4.2</v>
      </c>
      <c r="I47" s="64">
        <v>5.83</v>
      </c>
      <c r="J47" s="64">
        <v>0.14000000000000001</v>
      </c>
      <c r="K47" s="64">
        <v>50.09</v>
      </c>
      <c r="L47" s="64">
        <v>25.73</v>
      </c>
      <c r="M47" s="64">
        <v>92.1</v>
      </c>
      <c r="N47" s="64">
        <v>204.4</v>
      </c>
      <c r="O47" s="64">
        <v>0</v>
      </c>
      <c r="P47" s="64">
        <v>0.21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4" t="s">
        <v>2208</v>
      </c>
      <c r="B48" s="64">
        <v>8.24</v>
      </c>
      <c r="C48" s="64">
        <v>3.37</v>
      </c>
      <c r="D48" s="64">
        <v>12.15</v>
      </c>
      <c r="E48" s="64">
        <v>4.25</v>
      </c>
      <c r="F48" s="64">
        <v>3.91</v>
      </c>
      <c r="G48" s="64">
        <v>17.920000000000002</v>
      </c>
      <c r="H48" s="64">
        <v>4.2</v>
      </c>
      <c r="I48" s="64">
        <v>5.88</v>
      </c>
      <c r="J48" s="64">
        <v>0.68</v>
      </c>
      <c r="K48" s="64">
        <v>23.38</v>
      </c>
      <c r="L48" s="64">
        <v>26.14</v>
      </c>
      <c r="M48" s="64">
        <v>86.28</v>
      </c>
      <c r="N48" s="64">
        <v>312.8</v>
      </c>
      <c r="O48" s="64">
        <v>0</v>
      </c>
      <c r="P48" s="64">
        <v>0.25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4" t="s">
        <v>2209</v>
      </c>
      <c r="B49" s="64">
        <v>8.18</v>
      </c>
      <c r="C49" s="64">
        <v>3.25</v>
      </c>
      <c r="D49" s="64">
        <v>12.03</v>
      </c>
      <c r="E49" s="64">
        <v>3.7</v>
      </c>
      <c r="F49" s="64">
        <v>4.24</v>
      </c>
      <c r="G49" s="64">
        <v>17.920000000000002</v>
      </c>
      <c r="H49" s="64">
        <v>4.2</v>
      </c>
      <c r="I49" s="64">
        <v>5.84</v>
      </c>
      <c r="J49" s="64">
        <v>0.22</v>
      </c>
      <c r="K49" s="64">
        <v>1.83</v>
      </c>
      <c r="L49" s="64">
        <v>26.74</v>
      </c>
      <c r="M49" s="64">
        <v>83.95</v>
      </c>
      <c r="N49" s="64">
        <v>408.5</v>
      </c>
      <c r="O49" s="64">
        <v>0</v>
      </c>
      <c r="P49" s="64">
        <v>0.3</v>
      </c>
      <c r="Q49" s="64">
        <v>9.59</v>
      </c>
      <c r="R49" s="198"/>
      <c r="S49" s="198"/>
      <c r="T49" s="198"/>
      <c r="U49" s="198"/>
    </row>
    <row r="50" spans="1:21" s="12" customFormat="1" x14ac:dyDescent="0.25">
      <c r="A50" s="214" t="s">
        <v>2210</v>
      </c>
      <c r="B50" s="64">
        <v>8.23</v>
      </c>
      <c r="C50" s="64">
        <v>3.46</v>
      </c>
      <c r="D50" s="64">
        <v>12.18</v>
      </c>
      <c r="E50" s="64">
        <v>3.8</v>
      </c>
      <c r="F50" s="64">
        <v>4.6399999999999997</v>
      </c>
      <c r="G50" s="64">
        <v>21.44</v>
      </c>
      <c r="H50" s="64">
        <v>5.47</v>
      </c>
      <c r="I50" s="64">
        <v>5.63</v>
      </c>
      <c r="J50" s="64">
        <v>0.47</v>
      </c>
      <c r="K50" s="64">
        <v>322.72000000000003</v>
      </c>
      <c r="L50" s="64">
        <v>27.33</v>
      </c>
      <c r="M50" s="64">
        <v>81.42</v>
      </c>
      <c r="N50" s="64">
        <v>410.2</v>
      </c>
      <c r="O50" s="64">
        <v>0</v>
      </c>
      <c r="P50" s="64">
        <v>0.33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4" t="s">
        <v>2211</v>
      </c>
      <c r="B51" s="64">
        <v>8.27</v>
      </c>
      <c r="C51" s="64">
        <v>3.6</v>
      </c>
      <c r="D51" s="64">
        <v>12.29</v>
      </c>
      <c r="E51" s="64">
        <v>4.34</v>
      </c>
      <c r="F51" s="64">
        <v>3.43</v>
      </c>
      <c r="G51" s="64">
        <v>24.81</v>
      </c>
      <c r="H51" s="64">
        <v>6.63</v>
      </c>
      <c r="I51" s="64">
        <v>5.4</v>
      </c>
      <c r="J51" s="64">
        <v>0.54</v>
      </c>
      <c r="K51" s="64">
        <v>358.18</v>
      </c>
      <c r="L51" s="64">
        <v>27.65</v>
      </c>
      <c r="M51" s="64">
        <v>79.459999999999994</v>
      </c>
      <c r="N51" s="64">
        <v>379.2</v>
      </c>
      <c r="O51" s="64">
        <v>0</v>
      </c>
      <c r="P51" s="64">
        <v>0.36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4" t="s">
        <v>2212</v>
      </c>
      <c r="B52" s="64">
        <v>8.4499999999999993</v>
      </c>
      <c r="C52" s="64">
        <v>4.24</v>
      </c>
      <c r="D52" s="64">
        <v>12.77</v>
      </c>
      <c r="E52" s="64">
        <v>3.53</v>
      </c>
      <c r="F52" s="64">
        <v>3.85</v>
      </c>
      <c r="G52" s="64">
        <v>24.81</v>
      </c>
      <c r="H52" s="64">
        <v>6.63</v>
      </c>
      <c r="I52" s="64">
        <v>5.33</v>
      </c>
      <c r="J52" s="64">
        <v>0.52</v>
      </c>
      <c r="K52" s="64">
        <v>337.48</v>
      </c>
      <c r="L52" s="64">
        <v>27.73</v>
      </c>
      <c r="M52" s="64">
        <v>79.27</v>
      </c>
      <c r="N52" s="64">
        <v>447.4</v>
      </c>
      <c r="O52" s="64">
        <v>0</v>
      </c>
      <c r="P52" s="64">
        <v>0.39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4" t="s">
        <v>2213</v>
      </c>
      <c r="B53" s="64">
        <v>8.2200000000000006</v>
      </c>
      <c r="C53" s="64">
        <v>3.33</v>
      </c>
      <c r="D53" s="64">
        <v>12.11</v>
      </c>
      <c r="E53" s="64">
        <v>3.44</v>
      </c>
      <c r="F53" s="64">
        <v>4.2300000000000004</v>
      </c>
      <c r="G53" s="64">
        <v>24.81</v>
      </c>
      <c r="H53" s="64">
        <v>6.63</v>
      </c>
      <c r="I53" s="64">
        <v>5.28</v>
      </c>
      <c r="J53" s="64">
        <v>0.13</v>
      </c>
      <c r="K53" s="64">
        <v>247.09</v>
      </c>
      <c r="L53" s="64">
        <v>28.62</v>
      </c>
      <c r="M53" s="64">
        <v>75.22</v>
      </c>
      <c r="N53" s="64">
        <v>671.3</v>
      </c>
      <c r="O53" s="64">
        <v>0</v>
      </c>
      <c r="P53" s="64">
        <v>0.42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4" t="s">
        <v>2214</v>
      </c>
      <c r="B54" s="64">
        <v>8.16</v>
      </c>
      <c r="C54" s="64">
        <v>3.16</v>
      </c>
      <c r="D54" s="64">
        <v>11.97</v>
      </c>
      <c r="E54" s="64">
        <v>3.74</v>
      </c>
      <c r="F54" s="64">
        <v>3.74</v>
      </c>
      <c r="G54" s="64">
        <v>32.630000000000003</v>
      </c>
      <c r="H54" s="64">
        <v>8.5399999999999991</v>
      </c>
      <c r="I54" s="64">
        <v>5.24</v>
      </c>
      <c r="J54" s="64">
        <v>0.49</v>
      </c>
      <c r="K54" s="64">
        <v>350.11</v>
      </c>
      <c r="L54" s="64">
        <v>28.89</v>
      </c>
      <c r="M54" s="64">
        <v>75.36</v>
      </c>
      <c r="N54" s="64">
        <v>566.70000000000005</v>
      </c>
      <c r="O54" s="64">
        <v>0</v>
      </c>
      <c r="P54" s="64">
        <v>0.44</v>
      </c>
      <c r="Q54" s="64">
        <v>9.56</v>
      </c>
      <c r="R54" s="198"/>
      <c r="S54" s="198"/>
      <c r="T54" s="198"/>
      <c r="U54" s="198"/>
    </row>
    <row r="55" spans="1:21" s="12" customFormat="1" x14ac:dyDescent="0.25">
      <c r="A55" s="214" t="s">
        <v>2215</v>
      </c>
      <c r="B55" s="64">
        <v>8.15</v>
      </c>
      <c r="C55" s="64">
        <v>3.23</v>
      </c>
      <c r="D55" s="64">
        <v>12</v>
      </c>
      <c r="E55" s="64">
        <v>3.6</v>
      </c>
      <c r="F55" s="64">
        <v>4.8899999999999997</v>
      </c>
      <c r="G55" s="64">
        <v>39.79</v>
      </c>
      <c r="H55" s="64">
        <v>10.37</v>
      </c>
      <c r="I55" s="64">
        <v>5.21</v>
      </c>
      <c r="J55" s="64">
        <v>0.55000000000000004</v>
      </c>
      <c r="K55" s="64">
        <v>320.14</v>
      </c>
      <c r="L55" s="64">
        <v>30.29</v>
      </c>
      <c r="M55" s="64">
        <v>70.14</v>
      </c>
      <c r="N55" s="64">
        <v>590.9</v>
      </c>
      <c r="O55" s="64">
        <v>0</v>
      </c>
      <c r="P55" s="64">
        <v>0.47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14" t="s">
        <v>2216</v>
      </c>
      <c r="B56" s="64">
        <v>8.16</v>
      </c>
      <c r="C56" s="64">
        <v>3.23</v>
      </c>
      <c r="D56" s="64">
        <v>12.01</v>
      </c>
      <c r="E56" s="64">
        <v>4.1900000000000004</v>
      </c>
      <c r="F56" s="64">
        <v>4.33</v>
      </c>
      <c r="G56" s="64">
        <v>39.79</v>
      </c>
      <c r="H56" s="64">
        <v>10.37</v>
      </c>
      <c r="I56" s="64">
        <v>5.1100000000000003</v>
      </c>
      <c r="J56" s="64">
        <v>0.34</v>
      </c>
      <c r="K56" s="64">
        <v>133.63999999999999</v>
      </c>
      <c r="L56" s="64">
        <v>29.42</v>
      </c>
      <c r="M56" s="64">
        <v>71.459999999999994</v>
      </c>
      <c r="N56" s="64">
        <v>490.9</v>
      </c>
      <c r="O56" s="64">
        <v>0</v>
      </c>
      <c r="P56" s="64">
        <v>0.49</v>
      </c>
      <c r="Q56" s="64">
        <v>9.58</v>
      </c>
      <c r="R56" s="198"/>
      <c r="S56" s="198"/>
      <c r="T56" s="198"/>
      <c r="U56" s="198"/>
    </row>
    <row r="57" spans="1:21" s="12" customFormat="1" x14ac:dyDescent="0.25">
      <c r="A57" s="214" t="s">
        <v>2217</v>
      </c>
      <c r="B57" s="64">
        <v>8.16</v>
      </c>
      <c r="C57" s="64">
        <v>3.24</v>
      </c>
      <c r="D57" s="64">
        <v>12.01</v>
      </c>
      <c r="E57" s="64">
        <v>4.21</v>
      </c>
      <c r="F57" s="64">
        <v>4.51</v>
      </c>
      <c r="G57" s="64">
        <v>39.79</v>
      </c>
      <c r="H57" s="64">
        <v>10.37</v>
      </c>
      <c r="I57" s="64">
        <v>5.07</v>
      </c>
      <c r="J57" s="64">
        <v>0.31</v>
      </c>
      <c r="K57" s="64">
        <v>190.76</v>
      </c>
      <c r="L57" s="64">
        <v>28.75</v>
      </c>
      <c r="M57" s="64">
        <v>74.150000000000006</v>
      </c>
      <c r="N57" s="64">
        <v>464.3</v>
      </c>
      <c r="O57" s="64">
        <v>0</v>
      </c>
      <c r="P57" s="64">
        <v>0.48</v>
      </c>
      <c r="Q57" s="64">
        <v>9.52</v>
      </c>
      <c r="R57" s="198"/>
      <c r="S57" s="198"/>
      <c r="T57" s="198"/>
      <c r="U57" s="198"/>
    </row>
    <row r="58" spans="1:21" s="12" customFormat="1" x14ac:dyDescent="0.25">
      <c r="A58" s="214" t="s">
        <v>2218</v>
      </c>
      <c r="B58" s="64">
        <v>8.24</v>
      </c>
      <c r="C58" s="64">
        <v>3.48</v>
      </c>
      <c r="D58" s="64">
        <v>12.2</v>
      </c>
      <c r="E58" s="64">
        <v>3.85</v>
      </c>
      <c r="F58" s="64">
        <v>4.25</v>
      </c>
      <c r="G58" s="64">
        <v>41.92</v>
      </c>
      <c r="H58" s="64">
        <v>10.73</v>
      </c>
      <c r="I58" s="64">
        <v>5.0999999999999996</v>
      </c>
      <c r="J58" s="64">
        <v>0.66</v>
      </c>
      <c r="K58" s="64">
        <v>322.14</v>
      </c>
      <c r="L58" s="64">
        <v>30.31</v>
      </c>
      <c r="M58" s="64">
        <v>69.510000000000005</v>
      </c>
      <c r="N58" s="64">
        <v>473.4</v>
      </c>
      <c r="O58" s="64">
        <v>0</v>
      </c>
      <c r="P58" s="64">
        <v>0.49</v>
      </c>
      <c r="Q58" s="64">
        <v>9.4700000000000006</v>
      </c>
      <c r="R58" s="198"/>
      <c r="S58" s="198"/>
      <c r="T58" s="198"/>
      <c r="U58" s="198"/>
    </row>
    <row r="59" spans="1:21" s="12" customFormat="1" x14ac:dyDescent="0.25">
      <c r="A59" s="214" t="s">
        <v>2219</v>
      </c>
      <c r="B59" s="64">
        <v>8.26</v>
      </c>
      <c r="C59" s="64">
        <v>3.56</v>
      </c>
      <c r="D59" s="64">
        <v>12.26</v>
      </c>
      <c r="E59" s="64">
        <v>4.08</v>
      </c>
      <c r="F59" s="64">
        <v>4.46</v>
      </c>
      <c r="G59" s="64">
        <v>43.97</v>
      </c>
      <c r="H59" s="64">
        <v>11.06</v>
      </c>
      <c r="I59" s="64">
        <v>5.09</v>
      </c>
      <c r="J59" s="64">
        <v>0.04</v>
      </c>
      <c r="K59" s="64">
        <v>106.1</v>
      </c>
      <c r="L59" s="64">
        <v>29.49</v>
      </c>
      <c r="M59" s="64">
        <v>71.44</v>
      </c>
      <c r="N59" s="64">
        <v>310.3</v>
      </c>
      <c r="O59" s="64">
        <v>0</v>
      </c>
      <c r="P59" s="64">
        <v>0.51</v>
      </c>
      <c r="Q59" s="64">
        <v>9.43</v>
      </c>
      <c r="R59" s="198"/>
      <c r="S59" s="198"/>
      <c r="T59" s="198"/>
      <c r="U59" s="198"/>
    </row>
    <row r="60" spans="1:21" s="12" customFormat="1" x14ac:dyDescent="0.25">
      <c r="A60" s="214" t="s">
        <v>2220</v>
      </c>
      <c r="B60" s="64">
        <v>8.26</v>
      </c>
      <c r="C60" s="64">
        <v>3.56</v>
      </c>
      <c r="D60" s="64">
        <v>12.26</v>
      </c>
      <c r="E60" s="64">
        <v>4.08</v>
      </c>
      <c r="F60" s="64">
        <v>4.46</v>
      </c>
      <c r="G60" s="64">
        <v>43.97</v>
      </c>
      <c r="H60" s="64">
        <v>11.06</v>
      </c>
      <c r="I60" s="64">
        <v>5.09</v>
      </c>
      <c r="J60" s="64">
        <v>0.04</v>
      </c>
      <c r="K60" s="64">
        <v>106.1</v>
      </c>
      <c r="L60" s="64">
        <v>29.49</v>
      </c>
      <c r="M60" s="64">
        <v>71.44</v>
      </c>
      <c r="N60" s="64">
        <v>310.3</v>
      </c>
      <c r="O60" s="64">
        <v>0</v>
      </c>
      <c r="P60" s="64">
        <v>0.51</v>
      </c>
      <c r="Q60" s="64">
        <v>9.43</v>
      </c>
      <c r="R60" s="198"/>
      <c r="S60" s="198"/>
      <c r="T60" s="198"/>
      <c r="U60" s="198"/>
    </row>
    <row r="61" spans="1:21" s="12" customFormat="1" x14ac:dyDescent="0.25">
      <c r="A61" s="214" t="s">
        <v>2221</v>
      </c>
      <c r="B61" s="64">
        <v>8.1999999999999993</v>
      </c>
      <c r="C61" s="64">
        <v>3.31</v>
      </c>
      <c r="D61" s="64">
        <v>12.08</v>
      </c>
      <c r="E61" s="64">
        <v>3.91</v>
      </c>
      <c r="F61" s="64">
        <v>4.45</v>
      </c>
      <c r="G61" s="64">
        <v>43.97</v>
      </c>
      <c r="H61" s="64">
        <v>11.06</v>
      </c>
      <c r="I61" s="64">
        <v>5.27</v>
      </c>
      <c r="J61" s="64">
        <v>0.09</v>
      </c>
      <c r="K61" s="64">
        <v>223.73</v>
      </c>
      <c r="L61" s="64">
        <v>29.42</v>
      </c>
      <c r="M61" s="64">
        <v>71.16</v>
      </c>
      <c r="N61" s="64">
        <v>345.9</v>
      </c>
      <c r="O61" s="64">
        <v>0</v>
      </c>
      <c r="P61" s="64">
        <v>0.51</v>
      </c>
      <c r="Q61" s="64">
        <v>9.43</v>
      </c>
      <c r="R61" s="198"/>
      <c r="S61" s="198"/>
      <c r="T61" s="198"/>
      <c r="U61" s="198"/>
    </row>
    <row r="62" spans="1:21" s="12" customFormat="1" x14ac:dyDescent="0.25">
      <c r="A62" s="214" t="s">
        <v>2222</v>
      </c>
      <c r="B62" s="64">
        <v>8.18</v>
      </c>
      <c r="C62" s="64">
        <v>3.17</v>
      </c>
      <c r="D62" s="64">
        <v>11.99</v>
      </c>
      <c r="E62" s="64">
        <v>3.38</v>
      </c>
      <c r="F62" s="64">
        <v>4.82</v>
      </c>
      <c r="G62" s="64">
        <v>46.32</v>
      </c>
      <c r="H62" s="64">
        <v>13.55</v>
      </c>
      <c r="I62" s="64">
        <v>5.58</v>
      </c>
      <c r="J62" s="64">
        <v>0.13</v>
      </c>
      <c r="K62" s="64">
        <v>36.5</v>
      </c>
      <c r="L62" s="64">
        <v>28.85</v>
      </c>
      <c r="M62" s="64">
        <v>73.12</v>
      </c>
      <c r="N62" s="64">
        <v>375.2</v>
      </c>
      <c r="O62" s="64">
        <v>0</v>
      </c>
      <c r="P62" s="64">
        <v>0.5</v>
      </c>
      <c r="Q62" s="64">
        <v>9.43</v>
      </c>
      <c r="R62" s="198"/>
      <c r="S62" s="198"/>
      <c r="T62" s="198"/>
      <c r="U62" s="198"/>
    </row>
    <row r="63" spans="1:21" s="12" customFormat="1" x14ac:dyDescent="0.25">
      <c r="A63" s="214" t="s">
        <v>2223</v>
      </c>
      <c r="B63" s="64">
        <v>8.2100000000000009</v>
      </c>
      <c r="C63" s="64">
        <v>3.3</v>
      </c>
      <c r="D63" s="64">
        <v>12.08</v>
      </c>
      <c r="E63" s="64">
        <v>4</v>
      </c>
      <c r="F63" s="64">
        <v>4.9800000000000004</v>
      </c>
      <c r="G63" s="64">
        <v>48.56</v>
      </c>
      <c r="H63" s="64">
        <v>15.92</v>
      </c>
      <c r="I63" s="64">
        <v>5.74</v>
      </c>
      <c r="J63" s="64">
        <v>0.34</v>
      </c>
      <c r="K63" s="64">
        <v>339.9</v>
      </c>
      <c r="L63" s="64">
        <v>30.1</v>
      </c>
      <c r="M63" s="64">
        <v>69.349999999999994</v>
      </c>
      <c r="N63" s="64">
        <v>643.70000000000005</v>
      </c>
      <c r="O63" s="64">
        <v>0</v>
      </c>
      <c r="P63" s="64">
        <v>0.5</v>
      </c>
      <c r="Q63" s="64">
        <v>9.4499999999999993</v>
      </c>
      <c r="R63" s="198"/>
      <c r="S63" s="198"/>
      <c r="T63" s="198"/>
      <c r="U63" s="198"/>
    </row>
    <row r="64" spans="1:21" s="12" customFormat="1" x14ac:dyDescent="0.25">
      <c r="A64" s="214" t="s">
        <v>2224</v>
      </c>
      <c r="B64" s="64">
        <v>8.2200000000000006</v>
      </c>
      <c r="C64" s="64">
        <v>3.27</v>
      </c>
      <c r="D64" s="64">
        <v>12.07</v>
      </c>
      <c r="E64" s="64">
        <v>4.0999999999999996</v>
      </c>
      <c r="F64" s="64">
        <v>5.0599999999999996</v>
      </c>
      <c r="G64" s="64">
        <v>48.56</v>
      </c>
      <c r="H64" s="64">
        <v>15.92</v>
      </c>
      <c r="I64" s="64">
        <v>5.95</v>
      </c>
      <c r="J64" s="64">
        <v>7.0000000000000007E-2</v>
      </c>
      <c r="K64" s="64">
        <v>196.12</v>
      </c>
      <c r="L64" s="64">
        <v>31.1</v>
      </c>
      <c r="M64" s="64">
        <v>64.44</v>
      </c>
      <c r="N64" s="64">
        <v>540.29999999999995</v>
      </c>
      <c r="O64" s="64">
        <v>0</v>
      </c>
      <c r="P64" s="64">
        <v>0.5</v>
      </c>
      <c r="Q64" s="64">
        <v>9.4700000000000006</v>
      </c>
      <c r="R64" s="198"/>
      <c r="S64" s="198"/>
      <c r="T64" s="198"/>
      <c r="U64" s="198"/>
    </row>
    <row r="65" spans="1:21" s="12" customFormat="1" x14ac:dyDescent="0.25">
      <c r="A65" s="214" t="s">
        <v>2225</v>
      </c>
      <c r="B65" s="64">
        <v>8.1999999999999993</v>
      </c>
      <c r="C65" s="64">
        <v>3.26</v>
      </c>
      <c r="D65" s="64">
        <v>12.05</v>
      </c>
      <c r="E65" s="64">
        <v>3.77</v>
      </c>
      <c r="F65" s="64">
        <v>5.41</v>
      </c>
      <c r="G65" s="64">
        <v>48.56</v>
      </c>
      <c r="H65" s="64">
        <v>15.92</v>
      </c>
      <c r="I65" s="64">
        <v>6.05</v>
      </c>
      <c r="J65" s="64">
        <v>0.62</v>
      </c>
      <c r="K65" s="64">
        <v>310.60000000000002</v>
      </c>
      <c r="L65" s="64">
        <v>31.2</v>
      </c>
      <c r="M65" s="64">
        <v>65.23</v>
      </c>
      <c r="N65" s="64">
        <v>442.2</v>
      </c>
      <c r="O65" s="64">
        <v>0</v>
      </c>
      <c r="P65" s="64">
        <v>0.5</v>
      </c>
      <c r="Q65" s="64">
        <v>9.49</v>
      </c>
      <c r="R65" s="198"/>
      <c r="S65" s="198"/>
      <c r="T65" s="198"/>
      <c r="U65" s="198"/>
    </row>
    <row r="66" spans="1:21" s="12" customFormat="1" x14ac:dyDescent="0.25">
      <c r="A66" s="214" t="s">
        <v>2226</v>
      </c>
      <c r="B66" s="64">
        <v>8.19</v>
      </c>
      <c r="C66" s="64">
        <v>3.28</v>
      </c>
      <c r="D66" s="64">
        <v>12.05</v>
      </c>
      <c r="E66" s="64">
        <v>4.07</v>
      </c>
      <c r="F66" s="64">
        <v>5.18</v>
      </c>
      <c r="G66" s="64">
        <v>48.66</v>
      </c>
      <c r="H66" s="64">
        <v>17.86</v>
      </c>
      <c r="I66" s="64">
        <v>6.21</v>
      </c>
      <c r="J66" s="64">
        <v>7.0000000000000007E-2</v>
      </c>
      <c r="K66" s="64">
        <v>268.33</v>
      </c>
      <c r="L66" s="64">
        <v>30.05</v>
      </c>
      <c r="M66" s="64">
        <v>67.540000000000006</v>
      </c>
      <c r="N66" s="64">
        <v>394.5</v>
      </c>
      <c r="O66" s="64">
        <v>0</v>
      </c>
      <c r="P66" s="64">
        <v>0.5</v>
      </c>
      <c r="Q66" s="64">
        <v>9.57</v>
      </c>
      <c r="R66" s="198"/>
      <c r="S66" s="198"/>
      <c r="T66" s="198"/>
      <c r="U66" s="198"/>
    </row>
    <row r="67" spans="1:21" s="12" customFormat="1" x14ac:dyDescent="0.25">
      <c r="A67" s="214" t="s">
        <v>2227</v>
      </c>
      <c r="B67" s="64">
        <v>8.2100000000000009</v>
      </c>
      <c r="C67" s="64">
        <v>3.46</v>
      </c>
      <c r="D67" s="64">
        <v>12.17</v>
      </c>
      <c r="E67" s="64">
        <v>4.21</v>
      </c>
      <c r="F67" s="64">
        <v>5.5</v>
      </c>
      <c r="G67" s="64">
        <v>48.75</v>
      </c>
      <c r="H67" s="64">
        <v>19.63</v>
      </c>
      <c r="I67" s="64">
        <v>6.21</v>
      </c>
      <c r="J67" s="64">
        <v>0.25</v>
      </c>
      <c r="K67" s="64">
        <v>3.14</v>
      </c>
      <c r="L67" s="64">
        <v>30.09</v>
      </c>
      <c r="M67" s="64">
        <v>68.13</v>
      </c>
      <c r="N67" s="64">
        <v>430.8</v>
      </c>
      <c r="O67" s="64">
        <v>0</v>
      </c>
      <c r="P67" s="64">
        <v>0.48</v>
      </c>
      <c r="Q67" s="64">
        <v>9.5299999999999994</v>
      </c>
      <c r="R67" s="198"/>
      <c r="S67" s="198"/>
      <c r="T67" s="198"/>
      <c r="U67" s="198"/>
    </row>
    <row r="68" spans="1:21" s="12" customFormat="1" x14ac:dyDescent="0.25">
      <c r="A68" s="214" t="s">
        <v>2228</v>
      </c>
      <c r="B68" s="64">
        <v>8.2799999999999994</v>
      </c>
      <c r="C68" s="64">
        <v>3.77</v>
      </c>
      <c r="D68" s="64">
        <v>12.38</v>
      </c>
      <c r="E68" s="64">
        <v>4.0599999999999996</v>
      </c>
      <c r="F68" s="64">
        <v>5.95</v>
      </c>
      <c r="G68" s="64">
        <v>48.75</v>
      </c>
      <c r="H68" s="64">
        <v>19.63</v>
      </c>
      <c r="I68" s="64">
        <v>5.99</v>
      </c>
      <c r="J68" s="64">
        <v>0.33</v>
      </c>
      <c r="K68" s="64">
        <v>346.89</v>
      </c>
      <c r="L68" s="64">
        <v>30.92</v>
      </c>
      <c r="M68" s="64">
        <v>66.209999999999994</v>
      </c>
      <c r="N68" s="64">
        <v>279.89999999999998</v>
      </c>
      <c r="O68" s="64">
        <v>0</v>
      </c>
      <c r="P68" s="64">
        <v>0.48</v>
      </c>
      <c r="Q68" s="64">
        <v>9.52</v>
      </c>
      <c r="R68" s="198"/>
      <c r="S68" s="198"/>
      <c r="T68" s="198"/>
      <c r="U68" s="198"/>
    </row>
    <row r="69" spans="1:21" s="12" customFormat="1" x14ac:dyDescent="0.25">
      <c r="A69" s="214" t="s">
        <v>2229</v>
      </c>
      <c r="B69" s="64">
        <v>8.2100000000000009</v>
      </c>
      <c r="C69" s="64">
        <v>3.53</v>
      </c>
      <c r="D69" s="64">
        <v>12.2</v>
      </c>
      <c r="E69" s="64">
        <v>4.18</v>
      </c>
      <c r="F69" s="64">
        <v>6.18</v>
      </c>
      <c r="G69" s="64">
        <v>48.75</v>
      </c>
      <c r="H69" s="64">
        <v>19.63</v>
      </c>
      <c r="I69" s="64">
        <v>5.74</v>
      </c>
      <c r="J69" s="64">
        <v>0.12</v>
      </c>
      <c r="K69" s="64">
        <v>40.81</v>
      </c>
      <c r="L69" s="64">
        <v>31.1</v>
      </c>
      <c r="M69" s="64">
        <v>64.989999999999995</v>
      </c>
      <c r="N69" s="64">
        <v>335.1</v>
      </c>
      <c r="O69" s="64">
        <v>0</v>
      </c>
      <c r="P69" s="64">
        <v>0.49</v>
      </c>
      <c r="Q69" s="64">
        <v>9.51</v>
      </c>
      <c r="R69" s="198"/>
      <c r="S69" s="198"/>
      <c r="T69" s="198"/>
      <c r="U69" s="198"/>
    </row>
    <row r="70" spans="1:21" s="12" customFormat="1" x14ac:dyDescent="0.25">
      <c r="A70" s="214" t="s">
        <v>2230</v>
      </c>
      <c r="B70" s="64">
        <v>8.23</v>
      </c>
      <c r="C70" s="64">
        <v>3.48</v>
      </c>
      <c r="D70" s="64">
        <v>12.19</v>
      </c>
      <c r="E70" s="64">
        <v>4.07</v>
      </c>
      <c r="F70" s="64">
        <v>6.33</v>
      </c>
      <c r="G70" s="64">
        <v>50.73</v>
      </c>
      <c r="H70" s="64">
        <v>21.02</v>
      </c>
      <c r="I70" s="64">
        <v>5.53</v>
      </c>
      <c r="J70" s="64">
        <v>0.19</v>
      </c>
      <c r="K70" s="64">
        <v>254.85</v>
      </c>
      <c r="L70" s="64">
        <v>30.58</v>
      </c>
      <c r="M70" s="64">
        <v>66.239999999999995</v>
      </c>
      <c r="N70" s="64">
        <v>315.3</v>
      </c>
      <c r="O70" s="64">
        <v>0</v>
      </c>
      <c r="P70" s="64">
        <v>0.5</v>
      </c>
      <c r="Q70" s="64">
        <v>9.5399999999999991</v>
      </c>
      <c r="R70" s="198"/>
      <c r="S70" s="198"/>
      <c r="T70" s="198"/>
      <c r="U70" s="198"/>
    </row>
    <row r="71" spans="1:21" s="12" customFormat="1" x14ac:dyDescent="0.25">
      <c r="A71" s="214" t="s">
        <v>2231</v>
      </c>
      <c r="B71" s="64">
        <v>8.17</v>
      </c>
      <c r="C71" s="64">
        <v>3.27</v>
      </c>
      <c r="D71" s="64">
        <v>12.04</v>
      </c>
      <c r="E71" s="64">
        <v>4.13</v>
      </c>
      <c r="F71" s="64">
        <v>5.73</v>
      </c>
      <c r="G71" s="64">
        <v>52.63</v>
      </c>
      <c r="H71" s="64">
        <v>22.28</v>
      </c>
      <c r="I71" s="64">
        <v>5.42</v>
      </c>
      <c r="J71" s="64">
        <v>0.84</v>
      </c>
      <c r="K71" s="64">
        <v>152.74</v>
      </c>
      <c r="L71" s="64">
        <v>30.39</v>
      </c>
      <c r="M71" s="64">
        <v>66.040000000000006</v>
      </c>
      <c r="N71" s="64">
        <v>241.7</v>
      </c>
      <c r="O71" s="64">
        <v>0</v>
      </c>
      <c r="P71" s="64">
        <v>0.51</v>
      </c>
      <c r="Q71" s="64">
        <v>9.58</v>
      </c>
      <c r="R71" s="198"/>
      <c r="S71" s="198"/>
      <c r="T71" s="198"/>
      <c r="U71" s="198"/>
    </row>
    <row r="72" spans="1:21" s="12" customFormat="1" x14ac:dyDescent="0.25">
      <c r="A72" s="214" t="s">
        <v>2232</v>
      </c>
      <c r="B72" s="64">
        <v>8.15</v>
      </c>
      <c r="C72" s="64">
        <v>3.15</v>
      </c>
      <c r="D72" s="64">
        <v>11.96</v>
      </c>
      <c r="E72" s="64">
        <v>4.17</v>
      </c>
      <c r="F72" s="64">
        <v>5.41</v>
      </c>
      <c r="G72" s="64">
        <v>52.63</v>
      </c>
      <c r="H72" s="64">
        <v>22.28</v>
      </c>
      <c r="I72" s="64">
        <v>5.31</v>
      </c>
      <c r="J72" s="64">
        <v>0.24</v>
      </c>
      <c r="K72" s="64">
        <v>143.86000000000001</v>
      </c>
      <c r="L72" s="64">
        <v>30.41</v>
      </c>
      <c r="M72" s="64">
        <v>66.510000000000005</v>
      </c>
      <c r="N72" s="64">
        <v>202.4</v>
      </c>
      <c r="O72" s="64">
        <v>0</v>
      </c>
      <c r="P72" s="64">
        <v>0.5</v>
      </c>
      <c r="Q72" s="64">
        <v>9.5299999999999994</v>
      </c>
      <c r="R72" s="198"/>
      <c r="S72" s="198"/>
      <c r="T72" s="198"/>
      <c r="U72" s="198"/>
    </row>
    <row r="73" spans="1:21" s="12" customFormat="1" x14ac:dyDescent="0.25">
      <c r="A73" s="214" t="s">
        <v>2233</v>
      </c>
      <c r="B73" s="64">
        <v>8.1199999999999992</v>
      </c>
      <c r="C73" s="64">
        <v>3.11</v>
      </c>
      <c r="D73" s="64">
        <v>11.92</v>
      </c>
      <c r="E73" s="64">
        <v>3.99</v>
      </c>
      <c r="F73" s="64">
        <v>5.66</v>
      </c>
      <c r="G73" s="64">
        <v>52.63</v>
      </c>
      <c r="H73" s="64">
        <v>22.28</v>
      </c>
      <c r="I73" s="64">
        <v>5.5</v>
      </c>
      <c r="J73" s="64">
        <v>1.01</v>
      </c>
      <c r="K73" s="64">
        <v>141.77000000000001</v>
      </c>
      <c r="L73" s="64">
        <v>30.1</v>
      </c>
      <c r="M73" s="64">
        <v>66.599999999999994</v>
      </c>
      <c r="N73" s="64">
        <v>235.2</v>
      </c>
      <c r="O73" s="64">
        <v>0</v>
      </c>
      <c r="P73" s="64">
        <v>0.49</v>
      </c>
      <c r="Q73" s="64">
        <v>9.49</v>
      </c>
      <c r="R73" s="198"/>
      <c r="S73" s="198"/>
      <c r="T73" s="198"/>
      <c r="U73" s="198"/>
    </row>
    <row r="74" spans="1:21" s="12" customFormat="1" x14ac:dyDescent="0.25">
      <c r="A74" s="214" t="s">
        <v>2234</v>
      </c>
      <c r="B74" s="64">
        <v>8.19</v>
      </c>
      <c r="C74" s="64">
        <v>3.29</v>
      </c>
      <c r="D74" s="64">
        <v>12.06</v>
      </c>
      <c r="E74" s="64">
        <v>3.83</v>
      </c>
      <c r="F74" s="64">
        <v>6.12</v>
      </c>
      <c r="G74" s="64">
        <v>52.8</v>
      </c>
      <c r="H74" s="64">
        <v>21.62</v>
      </c>
      <c r="I74" s="64">
        <v>5.73</v>
      </c>
      <c r="J74" s="64">
        <v>0.49</v>
      </c>
      <c r="K74" s="64">
        <v>146.37</v>
      </c>
      <c r="L74" s="64">
        <v>30.26</v>
      </c>
      <c r="M74" s="64">
        <v>65.75</v>
      </c>
      <c r="N74" s="64">
        <v>208.4</v>
      </c>
      <c r="O74" s="64">
        <v>0</v>
      </c>
      <c r="P74" s="64">
        <v>0.48</v>
      </c>
      <c r="Q74" s="64">
        <v>9.5</v>
      </c>
      <c r="R74" s="198"/>
      <c r="S74" s="198"/>
      <c r="T74" s="198"/>
      <c r="U74" s="198"/>
    </row>
    <row r="75" spans="1:21" s="12" customFormat="1" x14ac:dyDescent="0.25">
      <c r="A75" s="214" t="s">
        <v>2235</v>
      </c>
      <c r="B75" s="64">
        <v>8.3699999999999992</v>
      </c>
      <c r="C75" s="64">
        <v>4.12</v>
      </c>
      <c r="D75" s="64">
        <v>12.64</v>
      </c>
      <c r="E75" s="64">
        <v>3.61</v>
      </c>
      <c r="F75" s="64">
        <v>6.51</v>
      </c>
      <c r="G75" s="64">
        <v>52.97</v>
      </c>
      <c r="H75" s="64">
        <v>20.98</v>
      </c>
      <c r="I75" s="64">
        <v>5.92</v>
      </c>
      <c r="J75" s="64">
        <v>1.22</v>
      </c>
      <c r="K75" s="64">
        <v>138.04</v>
      </c>
      <c r="L75" s="64">
        <v>30.05</v>
      </c>
      <c r="M75" s="64">
        <v>65.150000000000006</v>
      </c>
      <c r="N75" s="64">
        <v>188.2</v>
      </c>
      <c r="O75" s="64">
        <v>0</v>
      </c>
      <c r="P75" s="64">
        <v>0.46</v>
      </c>
      <c r="Q75" s="64">
        <v>9.5</v>
      </c>
      <c r="R75" s="198"/>
      <c r="S75" s="198"/>
      <c r="T75" s="198"/>
      <c r="U75" s="198"/>
    </row>
    <row r="76" spans="1:21" s="12" customFormat="1" x14ac:dyDescent="0.25">
      <c r="A76" s="214" t="s">
        <v>2236</v>
      </c>
      <c r="B76" s="64">
        <v>8.1999999999999993</v>
      </c>
      <c r="C76" s="64">
        <v>3.46</v>
      </c>
      <c r="D76" s="64">
        <v>12.15</v>
      </c>
      <c r="E76" s="64">
        <v>3.37</v>
      </c>
      <c r="F76" s="64">
        <v>5.07</v>
      </c>
      <c r="G76" s="64">
        <v>52.97</v>
      </c>
      <c r="H76" s="64">
        <v>20.98</v>
      </c>
      <c r="I76" s="64">
        <v>6.03</v>
      </c>
      <c r="J76" s="64">
        <v>0.4</v>
      </c>
      <c r="K76" s="64">
        <v>18.600000000000001</v>
      </c>
      <c r="L76" s="64">
        <v>30.4</v>
      </c>
      <c r="M76" s="64">
        <v>64.510000000000005</v>
      </c>
      <c r="N76" s="64">
        <v>138.30000000000001</v>
      </c>
      <c r="O76" s="64">
        <v>0</v>
      </c>
      <c r="P76" s="64">
        <v>0.45</v>
      </c>
      <c r="Q76" s="64">
        <v>9.5</v>
      </c>
      <c r="R76" s="198"/>
      <c r="S76" s="198"/>
      <c r="T76" s="198"/>
      <c r="U76" s="198"/>
    </row>
    <row r="77" spans="1:21" s="12" customFormat="1" x14ac:dyDescent="0.25">
      <c r="A77" s="214" t="s">
        <v>2237</v>
      </c>
      <c r="B77" s="64">
        <v>8.14</v>
      </c>
      <c r="C77" s="64">
        <v>3.18</v>
      </c>
      <c r="D77" s="64">
        <v>11.97</v>
      </c>
      <c r="E77" s="64">
        <v>3.77</v>
      </c>
      <c r="F77" s="64">
        <v>4.5999999999999996</v>
      </c>
      <c r="G77" s="64">
        <v>52.97</v>
      </c>
      <c r="H77" s="64">
        <v>20.98</v>
      </c>
      <c r="I77" s="64">
        <v>6.19</v>
      </c>
      <c r="J77" s="64">
        <v>0.47</v>
      </c>
      <c r="K77" s="64">
        <v>321.85000000000002</v>
      </c>
      <c r="L77" s="64">
        <v>30.54</v>
      </c>
      <c r="M77" s="64">
        <v>64.010000000000005</v>
      </c>
      <c r="N77" s="64">
        <v>115.9</v>
      </c>
      <c r="O77" s="64">
        <v>0</v>
      </c>
      <c r="P77" s="64">
        <v>0.44</v>
      </c>
      <c r="Q77" s="64">
        <v>9.3800000000000008</v>
      </c>
      <c r="R77" s="198"/>
      <c r="S77" s="198"/>
      <c r="T77" s="198"/>
      <c r="U77" s="198"/>
    </row>
    <row r="78" spans="1:21" s="12" customFormat="1" x14ac:dyDescent="0.25">
      <c r="A78" s="214" t="s">
        <v>2238</v>
      </c>
      <c r="B78" s="64">
        <v>8.17</v>
      </c>
      <c r="C78" s="64">
        <v>3.14</v>
      </c>
      <c r="D78" s="64">
        <v>11.96</v>
      </c>
      <c r="E78" s="64">
        <v>3.56</v>
      </c>
      <c r="F78" s="64">
        <v>5.22</v>
      </c>
      <c r="G78" s="64">
        <v>52.29</v>
      </c>
      <c r="H78" s="64">
        <v>20.96</v>
      </c>
      <c r="I78" s="64">
        <v>6.18</v>
      </c>
      <c r="J78" s="64">
        <v>0.97</v>
      </c>
      <c r="K78" s="64">
        <v>328.12</v>
      </c>
      <c r="L78" s="64">
        <v>30.07</v>
      </c>
      <c r="M78" s="64">
        <v>64.7</v>
      </c>
      <c r="N78" s="64">
        <v>69.2</v>
      </c>
      <c r="O78" s="64">
        <v>0</v>
      </c>
      <c r="P78" s="64">
        <v>0.45</v>
      </c>
      <c r="Q78" s="64">
        <v>9.36</v>
      </c>
      <c r="R78" s="198"/>
      <c r="S78" s="198"/>
      <c r="T78" s="198"/>
      <c r="U78" s="198"/>
    </row>
    <row r="79" spans="1:21" s="12" customFormat="1" x14ac:dyDescent="0.25">
      <c r="A79" s="214" t="s">
        <v>2239</v>
      </c>
      <c r="B79" s="64">
        <v>8.17</v>
      </c>
      <c r="C79" s="64">
        <v>3.16</v>
      </c>
      <c r="D79" s="64">
        <v>11.98</v>
      </c>
      <c r="E79" s="64">
        <v>3.7</v>
      </c>
      <c r="F79" s="64">
        <v>5.63</v>
      </c>
      <c r="G79" s="64">
        <v>51.64</v>
      </c>
      <c r="H79" s="64">
        <v>20.94</v>
      </c>
      <c r="I79" s="64">
        <v>6.03</v>
      </c>
      <c r="J79" s="64">
        <v>3.19</v>
      </c>
      <c r="K79" s="64">
        <v>331.4</v>
      </c>
      <c r="L79" s="64">
        <v>27.99</v>
      </c>
      <c r="M79" s="64">
        <v>68.37</v>
      </c>
      <c r="N79" s="64">
        <v>29.5</v>
      </c>
      <c r="O79" s="64">
        <v>0</v>
      </c>
      <c r="P79" s="64">
        <v>0.45</v>
      </c>
      <c r="Q79" s="64">
        <v>9.3800000000000008</v>
      </c>
      <c r="R79" s="198"/>
      <c r="S79" s="198"/>
      <c r="T79" s="198"/>
      <c r="U79" s="198"/>
    </row>
    <row r="80" spans="1:21" s="12" customFormat="1" x14ac:dyDescent="0.25">
      <c r="A80" s="214" t="s">
        <v>2240</v>
      </c>
      <c r="B80" s="64">
        <v>8.19</v>
      </c>
      <c r="C80" s="64">
        <v>3.3</v>
      </c>
      <c r="D80" s="64">
        <v>12.07</v>
      </c>
      <c r="E80" s="64">
        <v>3.8</v>
      </c>
      <c r="F80" s="64">
        <v>6.1</v>
      </c>
      <c r="G80" s="64">
        <v>51.64</v>
      </c>
      <c r="H80" s="64">
        <v>20.94</v>
      </c>
      <c r="I80" s="64">
        <v>5.94</v>
      </c>
      <c r="J80" s="64">
        <v>3.47</v>
      </c>
      <c r="K80" s="64">
        <v>330.58</v>
      </c>
      <c r="L80" s="64">
        <v>26.73</v>
      </c>
      <c r="M80" s="64">
        <v>71.650000000000006</v>
      </c>
      <c r="N80" s="64">
        <v>35</v>
      </c>
      <c r="O80" s="64">
        <v>0</v>
      </c>
      <c r="P80" s="64">
        <v>0.43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14" t="s">
        <v>2241</v>
      </c>
      <c r="B81" s="64">
        <v>8.1999999999999993</v>
      </c>
      <c r="C81" s="64">
        <v>3.31</v>
      </c>
      <c r="D81" s="64">
        <v>12.08</v>
      </c>
      <c r="E81" s="64">
        <v>3.82</v>
      </c>
      <c r="F81" s="64">
        <v>6.24</v>
      </c>
      <c r="G81" s="64">
        <v>51.64</v>
      </c>
      <c r="H81" s="64">
        <v>20.94</v>
      </c>
      <c r="I81" s="64">
        <v>5.52</v>
      </c>
      <c r="J81" s="64">
        <v>3.14</v>
      </c>
      <c r="K81" s="64">
        <v>339.88</v>
      </c>
      <c r="L81" s="64">
        <v>26.01</v>
      </c>
      <c r="M81" s="64">
        <v>73.78</v>
      </c>
      <c r="N81" s="64">
        <v>31.5</v>
      </c>
      <c r="O81" s="64">
        <v>0</v>
      </c>
      <c r="P81" s="64">
        <v>0.42</v>
      </c>
      <c r="Q81" s="64">
        <v>9.44</v>
      </c>
      <c r="R81" s="198"/>
      <c r="S81" s="198"/>
      <c r="T81" s="198"/>
      <c r="U81" s="198"/>
    </row>
    <row r="82" spans="1:26" s="12" customFormat="1" x14ac:dyDescent="0.25">
      <c r="A82" s="214" t="s">
        <v>2242</v>
      </c>
      <c r="B82" s="64">
        <v>8.19</v>
      </c>
      <c r="C82" s="64">
        <v>3.26</v>
      </c>
      <c r="D82" s="64">
        <v>12.04</v>
      </c>
      <c r="E82" s="64">
        <v>3.65</v>
      </c>
      <c r="F82" s="64">
        <v>5.6</v>
      </c>
      <c r="G82" s="64">
        <v>51.96</v>
      </c>
      <c r="H82" s="64">
        <v>19.45</v>
      </c>
      <c r="I82" s="64">
        <v>4.97</v>
      </c>
      <c r="J82" s="64">
        <v>3.38</v>
      </c>
      <c r="K82" s="64">
        <v>342.97</v>
      </c>
      <c r="L82" s="64">
        <v>25.88</v>
      </c>
      <c r="M82" s="64">
        <v>76.849999999999994</v>
      </c>
      <c r="N82" s="64">
        <v>21.1</v>
      </c>
      <c r="O82" s="64">
        <v>0</v>
      </c>
      <c r="P82" s="64">
        <v>0.42</v>
      </c>
      <c r="Q82" s="64">
        <v>9.43</v>
      </c>
      <c r="R82" s="198"/>
      <c r="S82" s="198"/>
      <c r="T82" s="198"/>
      <c r="U82" s="198"/>
    </row>
    <row r="83" spans="1:26" s="12" customFormat="1" x14ac:dyDescent="0.25">
      <c r="A83" s="214" t="s">
        <v>2243</v>
      </c>
      <c r="B83" s="64">
        <v>8.19</v>
      </c>
      <c r="C83" s="64">
        <v>3.27</v>
      </c>
      <c r="D83" s="64">
        <v>12.06</v>
      </c>
      <c r="E83" s="64">
        <v>3.86</v>
      </c>
      <c r="F83" s="64">
        <v>5.39</v>
      </c>
      <c r="G83" s="64">
        <v>52.26</v>
      </c>
      <c r="H83" s="64">
        <v>18.09</v>
      </c>
      <c r="I83" s="64">
        <v>4.55</v>
      </c>
      <c r="J83" s="64">
        <v>1.05</v>
      </c>
      <c r="K83" s="64">
        <v>357.44</v>
      </c>
      <c r="L83" s="64">
        <v>25.5</v>
      </c>
      <c r="M83" s="64">
        <v>81.19</v>
      </c>
      <c r="N83" s="64">
        <v>18.899999999999999</v>
      </c>
      <c r="O83" s="64">
        <v>0</v>
      </c>
      <c r="P83" s="64">
        <v>0.43</v>
      </c>
      <c r="Q83" s="64">
        <v>9.4600000000000009</v>
      </c>
      <c r="R83" s="198"/>
      <c r="S83" s="198"/>
      <c r="T83" s="198"/>
      <c r="U83" s="198"/>
    </row>
    <row r="84" spans="1:26" s="12" customFormat="1" x14ac:dyDescent="0.25">
      <c r="A84" s="214" t="s">
        <v>2244</v>
      </c>
      <c r="B84" s="64">
        <v>8.19</v>
      </c>
      <c r="C84" s="64">
        <v>3.32</v>
      </c>
      <c r="D84" s="64">
        <v>12.08</v>
      </c>
      <c r="E84" s="64">
        <v>3.87</v>
      </c>
      <c r="F84" s="64">
        <v>4.51</v>
      </c>
      <c r="G84" s="64">
        <v>52.26</v>
      </c>
      <c r="H84" s="64">
        <v>18.09</v>
      </c>
      <c r="I84" s="64">
        <v>4.21</v>
      </c>
      <c r="J84" s="64">
        <v>0.64</v>
      </c>
      <c r="K84" s="64">
        <v>140.41</v>
      </c>
      <c r="L84" s="64">
        <v>24.69</v>
      </c>
      <c r="M84" s="64">
        <v>86.14</v>
      </c>
      <c r="N84" s="64">
        <v>18.100000000000001</v>
      </c>
      <c r="O84" s="64">
        <v>0</v>
      </c>
      <c r="P84" s="64">
        <v>0.43</v>
      </c>
      <c r="Q84" s="64">
        <v>9.58</v>
      </c>
      <c r="R84" s="198"/>
      <c r="S84" s="198"/>
      <c r="T84" s="198"/>
      <c r="U84" s="198"/>
    </row>
    <row r="85" spans="1:26" s="12" customFormat="1" x14ac:dyDescent="0.25">
      <c r="A85" s="214" t="s">
        <v>2245</v>
      </c>
      <c r="B85" s="64">
        <v>8.17</v>
      </c>
      <c r="C85" s="64">
        <v>3.27</v>
      </c>
      <c r="D85" s="64">
        <v>12.03</v>
      </c>
      <c r="E85" s="64">
        <v>3.88</v>
      </c>
      <c r="F85" s="64">
        <v>4.55</v>
      </c>
      <c r="G85" s="64">
        <v>52.26</v>
      </c>
      <c r="H85" s="64">
        <v>18.09</v>
      </c>
      <c r="I85" s="64">
        <v>4.17</v>
      </c>
      <c r="J85" s="64">
        <v>1.41</v>
      </c>
      <c r="K85" s="64">
        <v>153.99</v>
      </c>
      <c r="L85" s="64">
        <v>23.94</v>
      </c>
      <c r="M85" s="64">
        <v>91.26</v>
      </c>
      <c r="N85" s="64">
        <v>19.2</v>
      </c>
      <c r="O85" s="64">
        <v>0</v>
      </c>
      <c r="P85" s="64">
        <v>0.4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4" t="s">
        <v>2246</v>
      </c>
      <c r="B86" s="64">
        <v>8.23</v>
      </c>
      <c r="C86" s="64">
        <v>3.59</v>
      </c>
      <c r="D86" s="64">
        <v>12.25</v>
      </c>
      <c r="E86" s="64">
        <v>3.73</v>
      </c>
      <c r="F86" s="64">
        <v>4.99</v>
      </c>
      <c r="G86" s="64">
        <v>50.18</v>
      </c>
      <c r="H86" s="64">
        <v>17.91</v>
      </c>
      <c r="I86" s="64">
        <v>4.33</v>
      </c>
      <c r="J86" s="64">
        <v>0.73</v>
      </c>
      <c r="K86" s="64">
        <v>180.7</v>
      </c>
      <c r="L86" s="64">
        <v>23.34</v>
      </c>
      <c r="M86" s="64">
        <v>98.1</v>
      </c>
      <c r="N86" s="64">
        <v>17.100000000000001</v>
      </c>
      <c r="O86" s="64">
        <v>0</v>
      </c>
      <c r="P86" s="64">
        <v>0.41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4" t="s">
        <v>2247</v>
      </c>
      <c r="B87" s="64">
        <v>8.19</v>
      </c>
      <c r="C87" s="64">
        <v>3.34</v>
      </c>
      <c r="D87" s="64">
        <v>12.09</v>
      </c>
      <c r="E87" s="64">
        <v>3.55</v>
      </c>
      <c r="F87" s="64">
        <v>4.41</v>
      </c>
      <c r="G87" s="64">
        <v>48.18</v>
      </c>
      <c r="H87" s="64">
        <v>17.739999999999998</v>
      </c>
      <c r="I87" s="64">
        <v>4.45</v>
      </c>
      <c r="J87" s="64">
        <v>0.92</v>
      </c>
      <c r="K87" s="64">
        <v>109.35</v>
      </c>
      <c r="L87" s="64">
        <v>23.25</v>
      </c>
      <c r="M87" s="64">
        <v>97.76</v>
      </c>
      <c r="N87" s="64">
        <v>16.899999999999999</v>
      </c>
      <c r="O87" s="64">
        <v>0</v>
      </c>
      <c r="P87" s="64">
        <v>0.39</v>
      </c>
      <c r="Q87" s="64">
        <v>9.5500000000000007</v>
      </c>
      <c r="R87" s="198"/>
      <c r="S87" s="198"/>
      <c r="T87" s="198"/>
      <c r="U87" s="198"/>
    </row>
    <row r="88" spans="1:26" s="12" customFormat="1" x14ac:dyDescent="0.25">
      <c r="A88" s="214" t="s">
        <v>2248</v>
      </c>
      <c r="B88" s="64">
        <v>8.2200000000000006</v>
      </c>
      <c r="C88" s="64">
        <v>3.38</v>
      </c>
      <c r="D88" s="64">
        <v>12.13</v>
      </c>
      <c r="E88" s="64">
        <v>4</v>
      </c>
      <c r="F88" s="64">
        <v>3.36</v>
      </c>
      <c r="G88" s="64">
        <v>48.18</v>
      </c>
      <c r="H88" s="64">
        <v>17.739999999999998</v>
      </c>
      <c r="I88" s="64">
        <v>4.46</v>
      </c>
      <c r="J88" s="64">
        <v>0.65</v>
      </c>
      <c r="K88" s="64">
        <v>162.28</v>
      </c>
      <c r="L88" s="64">
        <v>23.38</v>
      </c>
      <c r="M88" s="64">
        <v>97.76</v>
      </c>
      <c r="N88" s="64">
        <v>17.399999999999999</v>
      </c>
      <c r="O88" s="64">
        <v>0</v>
      </c>
      <c r="P88" s="64">
        <v>0.38</v>
      </c>
      <c r="Q88" s="64">
        <v>9.5399999999999991</v>
      </c>
      <c r="R88" s="198"/>
      <c r="S88" s="198"/>
      <c r="T88" s="198"/>
      <c r="U88" s="198"/>
    </row>
    <row r="89" spans="1:26" s="12" customFormat="1" x14ac:dyDescent="0.25">
      <c r="A89" s="214" t="s">
        <v>2249</v>
      </c>
      <c r="B89" s="64">
        <v>8.1999999999999993</v>
      </c>
      <c r="C89" s="64">
        <v>3.41</v>
      </c>
      <c r="D89" s="64">
        <v>12.13</v>
      </c>
      <c r="E89" s="64">
        <v>4.42</v>
      </c>
      <c r="F89" s="64">
        <v>4.25</v>
      </c>
      <c r="G89" s="64">
        <v>48.18</v>
      </c>
      <c r="H89" s="64">
        <v>17.739999999999998</v>
      </c>
      <c r="I89" s="64">
        <v>4.5</v>
      </c>
      <c r="J89" s="64">
        <v>0.66</v>
      </c>
      <c r="K89" s="64">
        <v>149.09</v>
      </c>
      <c r="L89" s="64">
        <v>23.11</v>
      </c>
      <c r="M89" s="64">
        <v>97.79</v>
      </c>
      <c r="N89" s="64">
        <v>17.2</v>
      </c>
      <c r="O89" s="64">
        <v>0.2</v>
      </c>
      <c r="P89" s="64">
        <v>0.37</v>
      </c>
      <c r="Q89" s="64">
        <v>9.5299999999999994</v>
      </c>
      <c r="R89" s="198"/>
      <c r="S89" s="198"/>
      <c r="T89" s="198"/>
      <c r="U89" s="198"/>
    </row>
    <row r="90" spans="1:26" s="12" customFormat="1" x14ac:dyDescent="0.25">
      <c r="A90" s="214" t="s">
        <v>2250</v>
      </c>
      <c r="B90" s="64">
        <v>8.15</v>
      </c>
      <c r="C90" s="64">
        <v>3.2</v>
      </c>
      <c r="D90" s="64">
        <v>11.99</v>
      </c>
      <c r="E90" s="64">
        <v>4.59</v>
      </c>
      <c r="F90" s="64">
        <v>3.74</v>
      </c>
      <c r="G90" s="64">
        <v>45.26</v>
      </c>
      <c r="H90" s="64">
        <v>15.21</v>
      </c>
      <c r="I90" s="64">
        <v>4.5199999999999996</v>
      </c>
      <c r="J90" s="64">
        <v>0.6</v>
      </c>
      <c r="K90" s="64">
        <v>33.520000000000003</v>
      </c>
      <c r="L90" s="64">
        <v>22.92</v>
      </c>
      <c r="M90" s="64">
        <v>98.32</v>
      </c>
      <c r="N90" s="64">
        <v>17.3</v>
      </c>
      <c r="O90" s="64">
        <v>0.6</v>
      </c>
      <c r="P90" s="64">
        <v>0.36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14" t="s">
        <v>2251</v>
      </c>
      <c r="B91" s="64">
        <v>8.18</v>
      </c>
      <c r="C91" s="64">
        <v>3.35</v>
      </c>
      <c r="D91" s="64">
        <v>12.08</v>
      </c>
      <c r="E91" s="64">
        <v>4.72</v>
      </c>
      <c r="F91" s="64">
        <v>3.76</v>
      </c>
      <c r="G91" s="64">
        <v>42.46</v>
      </c>
      <c r="H91" s="64">
        <v>12.79</v>
      </c>
      <c r="I91" s="64">
        <v>4.45</v>
      </c>
      <c r="J91" s="64">
        <v>7.0000000000000007E-2</v>
      </c>
      <c r="K91" s="64">
        <v>104.21</v>
      </c>
      <c r="L91" s="64">
        <v>22.6</v>
      </c>
      <c r="M91" s="64">
        <v>97.83</v>
      </c>
      <c r="N91" s="64">
        <v>17.8</v>
      </c>
      <c r="O91" s="64">
        <v>0.8</v>
      </c>
      <c r="P91" s="64">
        <v>0.36</v>
      </c>
      <c r="Q91" s="64">
        <v>9.56</v>
      </c>
      <c r="R91" s="198"/>
      <c r="S91" s="198"/>
      <c r="T91" s="198"/>
      <c r="U91" s="198"/>
    </row>
    <row r="92" spans="1:26" s="12" customFormat="1" x14ac:dyDescent="0.25">
      <c r="A92" s="214" t="s">
        <v>2252</v>
      </c>
      <c r="B92" s="64">
        <v>8.17</v>
      </c>
      <c r="C92" s="64">
        <v>3.22</v>
      </c>
      <c r="D92" s="64">
        <v>12.01</v>
      </c>
      <c r="E92" s="64">
        <v>4.8499999999999996</v>
      </c>
      <c r="F92" s="64">
        <v>3.72</v>
      </c>
      <c r="G92" s="64">
        <v>42.46</v>
      </c>
      <c r="H92" s="64">
        <v>12.79</v>
      </c>
      <c r="I92" s="64">
        <v>4.2699999999999996</v>
      </c>
      <c r="J92" s="64">
        <v>0.35</v>
      </c>
      <c r="K92" s="64">
        <v>16.420000000000002</v>
      </c>
      <c r="L92" s="64">
        <v>22.36</v>
      </c>
      <c r="M92" s="64">
        <v>97.84</v>
      </c>
      <c r="N92" s="64">
        <v>18.100000000000001</v>
      </c>
      <c r="O92" s="64">
        <v>1.4</v>
      </c>
      <c r="P92" s="64">
        <v>0.35</v>
      </c>
      <c r="Q92" s="64">
        <v>9.5299999999999994</v>
      </c>
      <c r="R92" s="198"/>
      <c r="S92" s="198"/>
      <c r="T92" s="198"/>
      <c r="U92" s="198"/>
    </row>
    <row r="93" spans="1:26" s="12" customFormat="1" x14ac:dyDescent="0.25">
      <c r="A93" s="214" t="s">
        <v>2253</v>
      </c>
      <c r="B93" s="64">
        <v>8.17</v>
      </c>
      <c r="C93" s="64">
        <v>3.24</v>
      </c>
      <c r="D93" s="64">
        <v>12.02</v>
      </c>
      <c r="E93" s="64">
        <v>4.68</v>
      </c>
      <c r="F93" s="64">
        <v>4.3</v>
      </c>
      <c r="G93" s="64">
        <v>42.46</v>
      </c>
      <c r="H93" s="64">
        <v>12.79</v>
      </c>
      <c r="I93" s="64">
        <v>4.07</v>
      </c>
      <c r="J93" s="64">
        <v>0.61</v>
      </c>
      <c r="K93" s="64">
        <v>184.46</v>
      </c>
      <c r="L93" s="64">
        <v>21.8</v>
      </c>
      <c r="M93" s="64">
        <v>97.85</v>
      </c>
      <c r="N93" s="64">
        <v>18.3</v>
      </c>
      <c r="O93" s="64">
        <v>1</v>
      </c>
      <c r="P93" s="64">
        <v>0.34</v>
      </c>
      <c r="Q93" s="64">
        <v>9.57</v>
      </c>
      <c r="R93" s="198"/>
      <c r="S93" s="198"/>
      <c r="T93" s="198"/>
      <c r="U93" s="198"/>
    </row>
    <row r="94" spans="1:26" s="12" customFormat="1" x14ac:dyDescent="0.25">
      <c r="A94" s="214" t="s">
        <v>2254</v>
      </c>
      <c r="B94" s="64">
        <v>8.2100000000000009</v>
      </c>
      <c r="C94" s="64">
        <v>3.4</v>
      </c>
      <c r="D94" s="64">
        <v>12.13</v>
      </c>
      <c r="E94" s="64">
        <v>4.63</v>
      </c>
      <c r="F94" s="64">
        <v>4.33</v>
      </c>
      <c r="G94" s="64">
        <v>38.94</v>
      </c>
      <c r="H94" s="64">
        <v>11.86</v>
      </c>
      <c r="I94" s="64">
        <v>3.85</v>
      </c>
      <c r="J94" s="64">
        <v>0.63</v>
      </c>
      <c r="K94" s="64">
        <v>202.62</v>
      </c>
      <c r="L94" s="64">
        <v>21.62</v>
      </c>
      <c r="M94" s="64">
        <v>98.36</v>
      </c>
      <c r="N94" s="64">
        <v>17.600000000000001</v>
      </c>
      <c r="O94" s="64">
        <v>1</v>
      </c>
      <c r="P94" s="64">
        <v>0.33</v>
      </c>
      <c r="Q94" s="64">
        <v>9.52</v>
      </c>
      <c r="R94" s="198"/>
      <c r="S94" s="198"/>
      <c r="T94" s="198"/>
      <c r="U94" s="198"/>
    </row>
    <row r="95" spans="1:26" s="12" customFormat="1" x14ac:dyDescent="0.25">
      <c r="A95" s="214" t="s">
        <v>2255</v>
      </c>
      <c r="B95" s="64">
        <v>8.34</v>
      </c>
      <c r="C95" s="64">
        <v>3.85</v>
      </c>
      <c r="D95" s="64">
        <v>12.47</v>
      </c>
      <c r="E95" s="64">
        <v>4.21</v>
      </c>
      <c r="F95" s="64">
        <v>4.95</v>
      </c>
      <c r="G95" s="64">
        <v>35.57</v>
      </c>
      <c r="H95" s="64">
        <v>11.02</v>
      </c>
      <c r="I95" s="64">
        <v>3.63</v>
      </c>
      <c r="J95" s="64">
        <v>0.13</v>
      </c>
      <c r="K95" s="64">
        <v>178.09</v>
      </c>
      <c r="L95" s="64">
        <v>21.71</v>
      </c>
      <c r="M95" s="64">
        <v>97.85</v>
      </c>
      <c r="N95" s="64">
        <v>17.399999999999999</v>
      </c>
      <c r="O95" s="64">
        <v>0.6</v>
      </c>
      <c r="P95" s="64">
        <v>0.31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4" t="s">
        <v>2256</v>
      </c>
      <c r="B96" s="64">
        <v>8.1999999999999993</v>
      </c>
      <c r="C96" s="64">
        <v>3.26</v>
      </c>
      <c r="D96" s="64">
        <v>12.05</v>
      </c>
      <c r="E96" s="64">
        <v>4.8899999999999997</v>
      </c>
      <c r="F96" s="64">
        <v>4.46</v>
      </c>
      <c r="G96" s="64">
        <v>35.57</v>
      </c>
      <c r="H96" s="64">
        <v>11.02</v>
      </c>
      <c r="I96" s="64">
        <v>3.47</v>
      </c>
      <c r="J96" s="64">
        <v>0.18</v>
      </c>
      <c r="K96" s="64">
        <v>24.23</v>
      </c>
      <c r="L96" s="64">
        <v>21.85</v>
      </c>
      <c r="M96" s="64">
        <v>97.87</v>
      </c>
      <c r="N96" s="64">
        <v>17.399999999999999</v>
      </c>
      <c r="O96" s="64">
        <v>0.6</v>
      </c>
      <c r="P96" s="64">
        <v>0.3</v>
      </c>
      <c r="Q96" s="64">
        <v>9.41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2257</v>
      </c>
      <c r="B97" s="64">
        <v>8.18</v>
      </c>
      <c r="C97" s="64">
        <v>3.13</v>
      </c>
      <c r="D97" s="64">
        <v>11.97</v>
      </c>
      <c r="E97" s="64">
        <v>4.75</v>
      </c>
      <c r="F97" s="64">
        <v>4.3899999999999997</v>
      </c>
      <c r="G97" s="64">
        <v>35.57</v>
      </c>
      <c r="H97" s="64">
        <v>11.02</v>
      </c>
      <c r="I97" s="64">
        <v>3.43</v>
      </c>
      <c r="J97" s="64">
        <v>0.24</v>
      </c>
      <c r="K97" s="64">
        <v>30.8</v>
      </c>
      <c r="L97" s="64">
        <v>21.62</v>
      </c>
      <c r="M97" s="64">
        <v>97.89</v>
      </c>
      <c r="N97" s="64">
        <v>17.899999999999999</v>
      </c>
      <c r="O97" s="64">
        <v>1.2</v>
      </c>
      <c r="P97" s="64">
        <v>0.28999999999999998</v>
      </c>
      <c r="Q97" s="64">
        <v>9.42</v>
      </c>
      <c r="R97" s="198"/>
      <c r="S97" s="198"/>
      <c r="T97" s="198"/>
      <c r="U97" s="198"/>
    </row>
    <row r="98" spans="1:33" s="12" customFormat="1" x14ac:dyDescent="0.25">
      <c r="A98" s="214" t="s">
        <v>2258</v>
      </c>
      <c r="B98" s="64">
        <v>8.18</v>
      </c>
      <c r="C98" s="64">
        <v>3.16</v>
      </c>
      <c r="D98" s="64">
        <v>11.98</v>
      </c>
      <c r="E98" s="64">
        <v>4.59</v>
      </c>
      <c r="F98" s="64">
        <v>4.3899999999999997</v>
      </c>
      <c r="G98" s="64">
        <v>29.17</v>
      </c>
      <c r="H98" s="64">
        <v>11.72</v>
      </c>
      <c r="I98" s="64">
        <v>3.47</v>
      </c>
      <c r="J98" s="64">
        <v>0.39</v>
      </c>
      <c r="K98" s="64">
        <v>176.76</v>
      </c>
      <c r="L98" s="64">
        <v>21.73</v>
      </c>
      <c r="M98" s="64">
        <v>98.37</v>
      </c>
      <c r="N98" s="64">
        <v>17.5</v>
      </c>
      <c r="O98" s="64">
        <v>1</v>
      </c>
      <c r="P98" s="64">
        <v>0.28999999999999998</v>
      </c>
      <c r="Q98" s="64">
        <v>9.43</v>
      </c>
      <c r="R98" s="198"/>
      <c r="S98" s="198"/>
      <c r="T98" s="198"/>
      <c r="U98" s="198"/>
    </row>
    <row r="99" spans="1:33" s="12" customFormat="1" x14ac:dyDescent="0.25">
      <c r="A99" s="214" t="s">
        <v>2259</v>
      </c>
      <c r="B99" s="64">
        <v>8.16</v>
      </c>
      <c r="C99" s="64">
        <v>3.1</v>
      </c>
      <c r="D99" s="64">
        <v>11.94</v>
      </c>
      <c r="E99" s="64">
        <v>4.75</v>
      </c>
      <c r="F99" s="64">
        <v>3.93</v>
      </c>
      <c r="G99" s="64">
        <v>23.31</v>
      </c>
      <c r="H99" s="64">
        <v>12.36</v>
      </c>
      <c r="I99" s="64">
        <v>3.45</v>
      </c>
      <c r="J99" s="64">
        <v>0.47</v>
      </c>
      <c r="K99" s="64">
        <v>168.86</v>
      </c>
      <c r="L99" s="64">
        <v>21.73</v>
      </c>
      <c r="M99" s="64">
        <v>98.4</v>
      </c>
      <c r="N99" s="64">
        <v>17.600000000000001</v>
      </c>
      <c r="O99" s="64">
        <v>0.8</v>
      </c>
      <c r="P99" s="64">
        <v>0.28000000000000003</v>
      </c>
      <c r="Q99" s="64">
        <v>9.44</v>
      </c>
      <c r="R99" s="198"/>
      <c r="S99" s="198"/>
      <c r="T99" s="198"/>
      <c r="U99" s="198"/>
    </row>
    <row r="100" spans="1:33" s="12" customFormat="1" x14ac:dyDescent="0.25">
      <c r="A100" s="214" t="s">
        <v>2260</v>
      </c>
      <c r="B100" s="64">
        <v>8.18</v>
      </c>
      <c r="C100" s="64">
        <v>3.16</v>
      </c>
      <c r="D100" s="64">
        <v>11.99</v>
      </c>
      <c r="E100" s="64">
        <v>4.8099999999999996</v>
      </c>
      <c r="F100" s="64">
        <v>5.12</v>
      </c>
      <c r="G100" s="64">
        <v>23.31</v>
      </c>
      <c r="H100" s="64">
        <v>12.36</v>
      </c>
      <c r="I100" s="64">
        <v>3.53</v>
      </c>
      <c r="J100" s="64">
        <v>0.23</v>
      </c>
      <c r="K100" s="64">
        <v>40.89</v>
      </c>
      <c r="L100" s="64">
        <v>21.66</v>
      </c>
      <c r="M100" s="64">
        <v>98.4</v>
      </c>
      <c r="N100" s="64">
        <v>17.8</v>
      </c>
      <c r="O100" s="64">
        <v>0.4</v>
      </c>
      <c r="P100" s="64">
        <v>0.28000000000000003</v>
      </c>
      <c r="Q100" s="64">
        <v>9.44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2261</v>
      </c>
      <c r="B101" s="64">
        <v>8.19</v>
      </c>
      <c r="C101" s="64">
        <v>3.21</v>
      </c>
      <c r="D101" s="64">
        <v>12.02</v>
      </c>
      <c r="E101" s="64">
        <v>4.76</v>
      </c>
      <c r="F101" s="64">
        <v>3.86</v>
      </c>
      <c r="G101" s="64">
        <v>23.31</v>
      </c>
      <c r="H101" s="64">
        <v>12.36</v>
      </c>
      <c r="I101" s="64">
        <v>3.72</v>
      </c>
      <c r="J101" s="64">
        <v>0.05</v>
      </c>
      <c r="K101" s="64">
        <v>18.38</v>
      </c>
      <c r="L101" s="64">
        <v>21.55</v>
      </c>
      <c r="M101" s="64">
        <v>98.4</v>
      </c>
      <c r="N101" s="64">
        <v>17.899999999999999</v>
      </c>
      <c r="O101" s="64">
        <v>0.2</v>
      </c>
      <c r="P101" s="64">
        <v>0.27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4" t="s">
        <v>2262</v>
      </c>
      <c r="B102" s="64">
        <v>8.18</v>
      </c>
      <c r="C102" s="64">
        <v>3.17</v>
      </c>
      <c r="D102" s="64">
        <v>11.99</v>
      </c>
      <c r="E102" s="64">
        <v>4.8099999999999996</v>
      </c>
      <c r="F102" s="64">
        <v>4.16</v>
      </c>
      <c r="G102" s="64">
        <v>22.37</v>
      </c>
      <c r="H102" s="64">
        <v>11.24</v>
      </c>
      <c r="I102" s="64">
        <v>3.88</v>
      </c>
      <c r="J102" s="64">
        <v>0.27</v>
      </c>
      <c r="K102" s="64">
        <v>7.81</v>
      </c>
      <c r="L102" s="64">
        <v>21.43</v>
      </c>
      <c r="M102" s="64">
        <v>98.4</v>
      </c>
      <c r="N102" s="64">
        <v>17.7</v>
      </c>
      <c r="O102" s="64">
        <v>0.4</v>
      </c>
      <c r="P102" s="64">
        <v>0.26</v>
      </c>
      <c r="Q102" s="64">
        <v>9.5</v>
      </c>
      <c r="R102" s="198"/>
      <c r="S102" s="198"/>
      <c r="T102" s="198"/>
      <c r="U102" s="198"/>
    </row>
    <row r="103" spans="1:33" s="12" customFormat="1" x14ac:dyDescent="0.25">
      <c r="A103" s="214" t="s">
        <v>2263</v>
      </c>
      <c r="B103" s="64">
        <v>8.17</v>
      </c>
      <c r="C103" s="64">
        <v>3.23</v>
      </c>
      <c r="D103" s="64">
        <v>12.02</v>
      </c>
      <c r="E103" s="64">
        <v>4.76</v>
      </c>
      <c r="F103" s="64">
        <v>6.14</v>
      </c>
      <c r="G103" s="64">
        <v>21.47</v>
      </c>
      <c r="H103" s="64">
        <v>10.220000000000001</v>
      </c>
      <c r="I103" s="64">
        <v>3.96</v>
      </c>
      <c r="J103" s="64">
        <v>0.18</v>
      </c>
      <c r="K103" s="64">
        <v>325.33999999999997</v>
      </c>
      <c r="L103" s="64">
        <v>21.43</v>
      </c>
      <c r="M103" s="64">
        <v>98.4</v>
      </c>
      <c r="N103" s="64">
        <v>17.5</v>
      </c>
      <c r="O103" s="64">
        <v>0.4</v>
      </c>
      <c r="P103" s="64">
        <v>0.26</v>
      </c>
      <c r="Q103" s="64">
        <v>9.5399999999999991</v>
      </c>
      <c r="R103" s="198"/>
      <c r="S103" s="198"/>
      <c r="T103" s="198"/>
      <c r="U103" s="198"/>
    </row>
    <row r="104" spans="1:33" s="12" customFormat="1" x14ac:dyDescent="0.25">
      <c r="A104" s="214" t="s">
        <v>2264</v>
      </c>
      <c r="B104" s="64">
        <v>8.19</v>
      </c>
      <c r="C104" s="64">
        <v>3.31</v>
      </c>
      <c r="D104" s="64">
        <v>12.07</v>
      </c>
      <c r="E104" s="64">
        <v>3.13</v>
      </c>
      <c r="F104" s="64">
        <v>4.21</v>
      </c>
      <c r="G104" s="64">
        <v>21.47</v>
      </c>
      <c r="H104" s="64">
        <v>10.220000000000001</v>
      </c>
      <c r="I104" s="64">
        <v>3.97</v>
      </c>
      <c r="J104" s="64">
        <v>0.3</v>
      </c>
      <c r="K104" s="64">
        <v>262.47000000000003</v>
      </c>
      <c r="L104" s="64">
        <v>21.44</v>
      </c>
      <c r="M104" s="64">
        <v>98.4</v>
      </c>
      <c r="N104" s="64">
        <v>17.399999999999999</v>
      </c>
      <c r="O104" s="64">
        <v>0.4</v>
      </c>
      <c r="P104" s="64">
        <v>0.25</v>
      </c>
      <c r="Q104" s="64">
        <v>9.4600000000000009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3.1</v>
      </c>
      <c r="D106" s="67">
        <f t="shared" ref="D106:Q106" si="0">MIN(D9:D104)</f>
        <v>11.9</v>
      </c>
      <c r="E106" s="67">
        <f t="shared" si="0"/>
        <v>3.13</v>
      </c>
      <c r="F106" s="67">
        <f t="shared" si="0"/>
        <v>2.73</v>
      </c>
      <c r="G106" s="67">
        <f t="shared" si="0"/>
        <v>6.67</v>
      </c>
      <c r="H106" s="67">
        <f t="shared" si="0"/>
        <v>2.96</v>
      </c>
      <c r="I106" s="67">
        <f t="shared" si="0"/>
        <v>3.43</v>
      </c>
      <c r="J106" s="67">
        <f t="shared" si="0"/>
        <v>0.04</v>
      </c>
      <c r="K106" s="67">
        <f t="shared" si="0"/>
        <v>1.83</v>
      </c>
      <c r="L106" s="67">
        <f t="shared" si="0"/>
        <v>21.43</v>
      </c>
      <c r="M106" s="67">
        <f t="shared" si="0"/>
        <v>64.010000000000005</v>
      </c>
      <c r="N106" s="67">
        <f t="shared" si="0"/>
        <v>16.899999999999999</v>
      </c>
      <c r="O106" s="67">
        <f t="shared" si="0"/>
        <v>0</v>
      </c>
      <c r="P106" s="67">
        <f t="shared" si="0"/>
        <v>0.16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8.4499999999999993</v>
      </c>
      <c r="C107" s="66">
        <f t="shared" ref="C107:Q107" si="1">MAX(C9:C104)</f>
        <v>4.24</v>
      </c>
      <c r="D107" s="66">
        <f t="shared" si="1"/>
        <v>12.77</v>
      </c>
      <c r="E107" s="66">
        <f t="shared" si="1"/>
        <v>5.46</v>
      </c>
      <c r="F107" s="66">
        <f t="shared" si="1"/>
        <v>6.51</v>
      </c>
      <c r="G107" s="66">
        <f t="shared" si="1"/>
        <v>52.97</v>
      </c>
      <c r="H107" s="66">
        <f t="shared" si="1"/>
        <v>22.28</v>
      </c>
      <c r="I107" s="66">
        <f t="shared" si="1"/>
        <v>6.21</v>
      </c>
      <c r="J107" s="66">
        <f t="shared" si="1"/>
        <v>3.47</v>
      </c>
      <c r="K107" s="66">
        <f t="shared" si="1"/>
        <v>358.18</v>
      </c>
      <c r="L107" s="66">
        <f t="shared" si="1"/>
        <v>31.2</v>
      </c>
      <c r="M107" s="66">
        <f t="shared" si="1"/>
        <v>98.4</v>
      </c>
      <c r="N107" s="66">
        <f t="shared" si="1"/>
        <v>671.3</v>
      </c>
      <c r="O107" s="66">
        <f t="shared" si="1"/>
        <v>1.4</v>
      </c>
      <c r="P107" s="66">
        <f t="shared" si="1"/>
        <v>0.51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8.2088541666666668</v>
      </c>
      <c r="C108" s="67">
        <f t="shared" ref="C108:Q108" si="2">AVERAGE(C9:C104)</f>
        <v>3.3251041666666681</v>
      </c>
      <c r="D108" s="67">
        <f t="shared" si="2"/>
        <v>12.094375000000001</v>
      </c>
      <c r="E108" s="67">
        <f t="shared" si="2"/>
        <v>4.1582291666666675</v>
      </c>
      <c r="F108" s="67">
        <f t="shared" si="2"/>
        <v>4.3015625000000011</v>
      </c>
      <c r="G108" s="67">
        <f t="shared" si="2"/>
        <v>29.005104166666669</v>
      </c>
      <c r="H108" s="67">
        <f t="shared" si="2"/>
        <v>10.576250000000003</v>
      </c>
      <c r="I108" s="67">
        <f t="shared" si="2"/>
        <v>5.0510416666666664</v>
      </c>
      <c r="J108" s="67">
        <f t="shared" si="2"/>
        <v>0.64958333333333307</v>
      </c>
      <c r="K108" s="67">
        <f t="shared" si="2"/>
        <v>176.82708333333338</v>
      </c>
      <c r="L108" s="67">
        <f t="shared" si="2"/>
        <v>25.018124999999998</v>
      </c>
      <c r="M108" s="67">
        <f t="shared" si="2"/>
        <v>87.783958333333317</v>
      </c>
      <c r="N108" s="67">
        <f t="shared" si="2"/>
        <v>146.44479166666665</v>
      </c>
      <c r="O108" s="67">
        <f t="shared" si="2"/>
        <v>0.11458333333333333</v>
      </c>
      <c r="P108" s="67">
        <f t="shared" si="2"/>
        <v>0.3247916666666667</v>
      </c>
      <c r="Q108" s="67">
        <f t="shared" si="2"/>
        <v>9.5035416666666688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5.8469421457835791E-2</v>
      </c>
      <c r="C109" s="67">
        <f t="shared" ref="C109:Q109" si="3">STDEV(C9:C104)</f>
        <v>0.21894962069733934</v>
      </c>
      <c r="D109" s="67">
        <f t="shared" si="3"/>
        <v>0.15797942904061904</v>
      </c>
      <c r="E109" s="67">
        <f t="shared" si="3"/>
        <v>0.499085468456611</v>
      </c>
      <c r="F109" s="67">
        <f t="shared" si="3"/>
        <v>0.90547728400114913</v>
      </c>
      <c r="G109" s="67">
        <f t="shared" si="3"/>
        <v>17.477713026040153</v>
      </c>
      <c r="H109" s="67">
        <f t="shared" si="3"/>
        <v>6.430221122497298</v>
      </c>
      <c r="I109" s="67">
        <f t="shared" si="3"/>
        <v>0.73394030901224216</v>
      </c>
      <c r="J109" s="67">
        <f t="shared" si="3"/>
        <v>0.6527785417439852</v>
      </c>
      <c r="K109" s="67">
        <f t="shared" si="3"/>
        <v>96.648358103151836</v>
      </c>
      <c r="L109" s="67">
        <f t="shared" si="3"/>
        <v>3.4493737990051749</v>
      </c>
      <c r="M109" s="67">
        <f t="shared" si="3"/>
        <v>13.575113645287116</v>
      </c>
      <c r="N109" s="67">
        <f t="shared" si="3"/>
        <v>178.84178475006249</v>
      </c>
      <c r="O109" s="67">
        <f t="shared" si="3"/>
        <v>0.29414610285462123</v>
      </c>
      <c r="P109" s="67">
        <f t="shared" si="3"/>
        <v>0.12479017477068555</v>
      </c>
      <c r="Q109" s="67">
        <f t="shared" si="3"/>
        <v>5.9115928331170894E-2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11" sqref="E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2265</v>
      </c>
      <c r="B9" s="64">
        <v>8.1999999999999993</v>
      </c>
      <c r="C9" s="64">
        <v>3.28</v>
      </c>
      <c r="D9" s="64">
        <v>12.07</v>
      </c>
      <c r="E9" s="64">
        <v>3.85</v>
      </c>
      <c r="F9" s="64">
        <v>4.2</v>
      </c>
      <c r="G9" s="64">
        <v>21.47</v>
      </c>
      <c r="H9" s="64">
        <v>10.220000000000001</v>
      </c>
      <c r="I9" s="64">
        <v>3.84</v>
      </c>
      <c r="J9" s="64">
        <v>0.55000000000000004</v>
      </c>
      <c r="K9" s="64">
        <v>36.549999999999997</v>
      </c>
      <c r="L9" s="64">
        <v>21.49</v>
      </c>
      <c r="M9" s="64">
        <v>98.4</v>
      </c>
      <c r="N9" s="64">
        <v>17.5</v>
      </c>
      <c r="O9" s="64">
        <v>0.4</v>
      </c>
      <c r="P9" s="64">
        <v>0.25</v>
      </c>
      <c r="Q9" s="64">
        <v>9.48</v>
      </c>
      <c r="R9" s="198"/>
      <c r="S9" s="198"/>
      <c r="T9" s="198"/>
      <c r="U9" s="198"/>
    </row>
    <row r="10" spans="1:21" s="12" customFormat="1" x14ac:dyDescent="0.25">
      <c r="A10" s="214" t="s">
        <v>2266</v>
      </c>
      <c r="B10" s="64">
        <v>8.4600000000000009</v>
      </c>
      <c r="C10" s="64">
        <v>4.13</v>
      </c>
      <c r="D10" s="64">
        <v>12.71</v>
      </c>
      <c r="E10" s="64">
        <v>3.66</v>
      </c>
      <c r="F10" s="64">
        <v>7.97</v>
      </c>
      <c r="G10" s="64">
        <v>18</v>
      </c>
      <c r="H10" s="64">
        <v>8.65</v>
      </c>
      <c r="I10" s="64">
        <v>3.71</v>
      </c>
      <c r="J10" s="64">
        <v>0.4</v>
      </c>
      <c r="K10" s="64">
        <v>31.93</v>
      </c>
      <c r="L10" s="64">
        <v>21.51</v>
      </c>
      <c r="M10" s="64">
        <v>98.4</v>
      </c>
      <c r="N10" s="64">
        <v>17.5</v>
      </c>
      <c r="O10" s="64">
        <v>0.2</v>
      </c>
      <c r="P10" s="64">
        <v>0.23</v>
      </c>
      <c r="Q10" s="64">
        <v>9.49</v>
      </c>
      <c r="R10" s="198"/>
      <c r="S10" s="198"/>
      <c r="T10" s="198"/>
      <c r="U10" s="198"/>
    </row>
    <row r="11" spans="1:21" s="12" customFormat="1" x14ac:dyDescent="0.25">
      <c r="A11" s="214" t="s">
        <v>2267</v>
      </c>
      <c r="B11" s="64">
        <v>8.2100000000000009</v>
      </c>
      <c r="C11" s="64">
        <v>3.28</v>
      </c>
      <c r="D11" s="64">
        <v>12.08</v>
      </c>
      <c r="E11" s="64">
        <v>3.77</v>
      </c>
      <c r="F11" s="64">
        <v>2.6</v>
      </c>
      <c r="G11" s="64">
        <v>14.82</v>
      </c>
      <c r="H11" s="64">
        <v>7.15</v>
      </c>
      <c r="I11" s="64">
        <v>3.58</v>
      </c>
      <c r="J11" s="64">
        <v>0.18</v>
      </c>
      <c r="K11" s="64">
        <v>23.6</v>
      </c>
      <c r="L11" s="64">
        <v>21.5</v>
      </c>
      <c r="M11" s="64">
        <v>98.4</v>
      </c>
      <c r="N11" s="64">
        <v>17.600000000000001</v>
      </c>
      <c r="O11" s="64">
        <v>0</v>
      </c>
      <c r="P11" s="64">
        <v>0.22</v>
      </c>
      <c r="Q11" s="64">
        <v>9.48</v>
      </c>
      <c r="R11" s="198"/>
      <c r="S11" s="198"/>
      <c r="T11" s="198"/>
      <c r="U11" s="198"/>
    </row>
    <row r="12" spans="1:21" s="12" customFormat="1" x14ac:dyDescent="0.25">
      <c r="A12" s="214" t="s">
        <v>2268</v>
      </c>
      <c r="B12" s="64">
        <v>8.1300000000000008</v>
      </c>
      <c r="C12" s="64">
        <v>3.1</v>
      </c>
      <c r="D12" s="64">
        <v>11.92</v>
      </c>
      <c r="E12" s="64">
        <v>3.51</v>
      </c>
      <c r="F12" s="64">
        <v>4.7300000000000004</v>
      </c>
      <c r="G12" s="64">
        <v>14.82</v>
      </c>
      <c r="H12" s="64">
        <v>7.15</v>
      </c>
      <c r="I12" s="64">
        <v>3.46</v>
      </c>
      <c r="J12" s="64">
        <v>0.55000000000000004</v>
      </c>
      <c r="K12" s="64">
        <v>27.7</v>
      </c>
      <c r="L12" s="64">
        <v>21.51</v>
      </c>
      <c r="M12" s="64">
        <v>98.4</v>
      </c>
      <c r="N12" s="64">
        <v>17.600000000000001</v>
      </c>
      <c r="O12" s="64">
        <v>0.2</v>
      </c>
      <c r="P12" s="64">
        <v>0.22</v>
      </c>
      <c r="Q12" s="64">
        <v>9.4700000000000006</v>
      </c>
      <c r="R12" s="198"/>
      <c r="S12" s="198"/>
      <c r="T12" s="198"/>
      <c r="U12" s="198"/>
    </row>
    <row r="13" spans="1:21" s="12" customFormat="1" x14ac:dyDescent="0.25">
      <c r="A13" s="214" t="s">
        <v>2269</v>
      </c>
      <c r="B13" s="64">
        <v>8.11</v>
      </c>
      <c r="C13" s="64">
        <v>3.07</v>
      </c>
      <c r="D13" s="64">
        <v>11.88</v>
      </c>
      <c r="E13" s="64">
        <v>3.6</v>
      </c>
      <c r="F13" s="64">
        <v>4.07</v>
      </c>
      <c r="G13" s="64">
        <v>14.82</v>
      </c>
      <c r="H13" s="64">
        <v>7.15</v>
      </c>
      <c r="I13" s="64">
        <v>3.34</v>
      </c>
      <c r="J13" s="64">
        <v>0.59</v>
      </c>
      <c r="K13" s="64">
        <v>30.75</v>
      </c>
      <c r="L13" s="64">
        <v>21.59</v>
      </c>
      <c r="M13" s="64">
        <v>98.4</v>
      </c>
      <c r="N13" s="64">
        <v>17.399999999999999</v>
      </c>
      <c r="O13" s="64">
        <v>0</v>
      </c>
      <c r="P13" s="64">
        <v>0.23</v>
      </c>
      <c r="Q13" s="64">
        <v>9.44</v>
      </c>
      <c r="R13" s="198"/>
      <c r="S13" s="198"/>
      <c r="T13" s="198"/>
      <c r="U13" s="198"/>
    </row>
    <row r="14" spans="1:21" s="12" customFormat="1" x14ac:dyDescent="0.25">
      <c r="A14" s="214" t="s">
        <v>2270</v>
      </c>
      <c r="B14" s="64">
        <v>8.15</v>
      </c>
      <c r="C14" s="64">
        <v>3.1</v>
      </c>
      <c r="D14" s="64">
        <v>11.93</v>
      </c>
      <c r="E14" s="64">
        <v>3.51</v>
      </c>
      <c r="F14" s="64">
        <v>4.3499999999999996</v>
      </c>
      <c r="G14" s="64">
        <v>13.16</v>
      </c>
      <c r="H14" s="64">
        <v>6.06</v>
      </c>
      <c r="I14" s="64">
        <v>3.14</v>
      </c>
      <c r="J14" s="64">
        <v>0.28000000000000003</v>
      </c>
      <c r="K14" s="64">
        <v>25.56</v>
      </c>
      <c r="L14" s="64">
        <v>21.57</v>
      </c>
      <c r="M14" s="64">
        <v>98.4</v>
      </c>
      <c r="N14" s="64">
        <v>17.600000000000001</v>
      </c>
      <c r="O14" s="64">
        <v>0</v>
      </c>
      <c r="P14" s="64">
        <v>0.24</v>
      </c>
      <c r="Q14" s="64">
        <v>9.49</v>
      </c>
      <c r="R14" s="198"/>
      <c r="S14" s="198"/>
      <c r="T14" s="198"/>
      <c r="U14" s="198"/>
    </row>
    <row r="15" spans="1:21" s="12" customFormat="1" x14ac:dyDescent="0.25">
      <c r="A15" s="214" t="s">
        <v>2271</v>
      </c>
      <c r="B15" s="64">
        <v>8.15</v>
      </c>
      <c r="C15" s="64">
        <v>3.09</v>
      </c>
      <c r="D15" s="64">
        <v>11.92</v>
      </c>
      <c r="E15" s="64">
        <v>3.84</v>
      </c>
      <c r="F15" s="64">
        <v>4.28</v>
      </c>
      <c r="G15" s="64">
        <v>11.57</v>
      </c>
      <c r="H15" s="64">
        <v>5.01</v>
      </c>
      <c r="I15" s="64">
        <v>2.96</v>
      </c>
      <c r="J15" s="64">
        <v>0.2</v>
      </c>
      <c r="K15" s="64">
        <v>39.14</v>
      </c>
      <c r="L15" s="64">
        <v>21.41</v>
      </c>
      <c r="M15" s="64">
        <v>98.4</v>
      </c>
      <c r="N15" s="64">
        <v>17.899999999999999</v>
      </c>
      <c r="O15" s="64">
        <v>0</v>
      </c>
      <c r="P15" s="64">
        <v>0.23</v>
      </c>
      <c r="Q15" s="64">
        <v>9.4499999999999993</v>
      </c>
      <c r="R15" s="198"/>
      <c r="S15" s="198"/>
      <c r="T15" s="198"/>
      <c r="U15" s="198"/>
    </row>
    <row r="16" spans="1:21" s="12" customFormat="1" x14ac:dyDescent="0.25">
      <c r="A16" s="214" t="s">
        <v>2272</v>
      </c>
      <c r="B16" s="64">
        <v>8.15</v>
      </c>
      <c r="C16" s="64">
        <v>3.15</v>
      </c>
      <c r="D16" s="64">
        <v>11.96</v>
      </c>
      <c r="E16" s="64">
        <v>3.36</v>
      </c>
      <c r="F16" s="64">
        <v>4.4400000000000004</v>
      </c>
      <c r="G16" s="64">
        <v>11.57</v>
      </c>
      <c r="H16" s="64">
        <v>5.01</v>
      </c>
      <c r="I16" s="64">
        <v>2.82</v>
      </c>
      <c r="J16" s="64">
        <v>0.16</v>
      </c>
      <c r="K16" s="64">
        <v>157.33000000000001</v>
      </c>
      <c r="L16" s="64">
        <v>21.37</v>
      </c>
      <c r="M16" s="64">
        <v>98.4</v>
      </c>
      <c r="N16" s="64">
        <v>17.7</v>
      </c>
      <c r="O16" s="64">
        <v>0</v>
      </c>
      <c r="P16" s="64">
        <v>0.23</v>
      </c>
      <c r="Q16" s="64">
        <v>9.4600000000000009</v>
      </c>
      <c r="R16" s="198"/>
      <c r="S16" s="198"/>
      <c r="T16" s="198"/>
      <c r="U16" s="198"/>
    </row>
    <row r="17" spans="1:21" s="12" customFormat="1" x14ac:dyDescent="0.25">
      <c r="A17" s="214" t="s">
        <v>2273</v>
      </c>
      <c r="B17" s="64">
        <v>8.16</v>
      </c>
      <c r="C17" s="64">
        <v>3.22</v>
      </c>
      <c r="D17" s="64">
        <v>12</v>
      </c>
      <c r="E17" s="64">
        <v>3.98</v>
      </c>
      <c r="F17" s="64">
        <v>3.77</v>
      </c>
      <c r="G17" s="64">
        <v>11.57</v>
      </c>
      <c r="H17" s="64">
        <v>5.01</v>
      </c>
      <c r="I17" s="64">
        <v>2.72</v>
      </c>
      <c r="J17" s="64">
        <v>0.34</v>
      </c>
      <c r="K17" s="64">
        <v>190.41</v>
      </c>
      <c r="L17" s="64">
        <v>21.29</v>
      </c>
      <c r="M17" s="64">
        <v>98.4</v>
      </c>
      <c r="N17" s="64">
        <v>17.8</v>
      </c>
      <c r="O17" s="64">
        <v>0</v>
      </c>
      <c r="P17" s="64">
        <v>0.21</v>
      </c>
      <c r="Q17" s="64">
        <v>9.43</v>
      </c>
      <c r="R17" s="198"/>
      <c r="S17" s="198"/>
      <c r="T17" s="198"/>
      <c r="U17" s="198"/>
    </row>
    <row r="18" spans="1:21" s="12" customFormat="1" x14ac:dyDescent="0.25">
      <c r="A18" s="214" t="s">
        <v>2274</v>
      </c>
      <c r="B18" s="64">
        <v>8.2100000000000009</v>
      </c>
      <c r="C18" s="64">
        <v>3.3</v>
      </c>
      <c r="D18" s="64">
        <v>12.08</v>
      </c>
      <c r="E18" s="64">
        <v>3.5</v>
      </c>
      <c r="F18" s="64">
        <v>3.77</v>
      </c>
      <c r="G18" s="64">
        <v>10.02</v>
      </c>
      <c r="H18" s="64">
        <v>4.24</v>
      </c>
      <c r="I18" s="64">
        <v>2.71</v>
      </c>
      <c r="J18" s="64">
        <v>0.23</v>
      </c>
      <c r="K18" s="64">
        <v>167.88</v>
      </c>
      <c r="L18" s="64">
        <v>21.29</v>
      </c>
      <c r="M18" s="64">
        <v>98.4</v>
      </c>
      <c r="N18" s="64">
        <v>17.600000000000001</v>
      </c>
      <c r="O18" s="64">
        <v>0</v>
      </c>
      <c r="P18" s="64">
        <v>0.21</v>
      </c>
      <c r="Q18" s="64">
        <v>9.39</v>
      </c>
      <c r="R18" s="198"/>
      <c r="S18" s="198"/>
      <c r="T18" s="198"/>
      <c r="U18" s="198"/>
    </row>
    <row r="19" spans="1:21" s="12" customFormat="1" x14ac:dyDescent="0.25">
      <c r="A19" s="214" t="s">
        <v>2275</v>
      </c>
      <c r="B19" s="64">
        <v>8.19</v>
      </c>
      <c r="C19" s="64">
        <v>3.22</v>
      </c>
      <c r="D19" s="64">
        <v>12.03</v>
      </c>
      <c r="E19" s="64">
        <v>3.5</v>
      </c>
      <c r="F19" s="64">
        <v>3.87</v>
      </c>
      <c r="G19" s="64">
        <v>8.5299999999999994</v>
      </c>
      <c r="H19" s="64">
        <v>3.5</v>
      </c>
      <c r="I19" s="64">
        <v>2.85</v>
      </c>
      <c r="J19" s="64">
        <v>0.41</v>
      </c>
      <c r="K19" s="64">
        <v>153.61000000000001</v>
      </c>
      <c r="L19" s="64">
        <v>21.29</v>
      </c>
      <c r="M19" s="64">
        <v>98.4</v>
      </c>
      <c r="N19" s="64">
        <v>17.600000000000001</v>
      </c>
      <c r="O19" s="64">
        <v>0</v>
      </c>
      <c r="P19" s="64">
        <v>0.21</v>
      </c>
      <c r="Q19" s="64">
        <v>9.3800000000000008</v>
      </c>
      <c r="R19" s="198"/>
      <c r="S19" s="198"/>
      <c r="T19" s="198"/>
      <c r="U19" s="198"/>
    </row>
    <row r="20" spans="1:21" s="12" customFormat="1" x14ac:dyDescent="0.25">
      <c r="A20" s="214" t="s">
        <v>2276</v>
      </c>
      <c r="B20" s="64">
        <v>8.24</v>
      </c>
      <c r="C20" s="64">
        <v>3.29</v>
      </c>
      <c r="D20" s="64">
        <v>12.1</v>
      </c>
      <c r="E20" s="64">
        <v>3.33</v>
      </c>
      <c r="F20" s="64">
        <v>3.71</v>
      </c>
      <c r="G20" s="64">
        <v>8.5299999999999994</v>
      </c>
      <c r="H20" s="64">
        <v>3.5</v>
      </c>
      <c r="I20" s="64">
        <v>3.17</v>
      </c>
      <c r="J20" s="64">
        <v>0.52</v>
      </c>
      <c r="K20" s="64">
        <v>7.98</v>
      </c>
      <c r="L20" s="64">
        <v>21.37</v>
      </c>
      <c r="M20" s="64">
        <v>98.4</v>
      </c>
      <c r="N20" s="64">
        <v>17.399999999999999</v>
      </c>
      <c r="O20" s="64">
        <v>0</v>
      </c>
      <c r="P20" s="64">
        <v>0.21</v>
      </c>
      <c r="Q20" s="64">
        <v>9.42</v>
      </c>
      <c r="R20" s="198"/>
      <c r="S20" s="198"/>
      <c r="T20" s="198"/>
      <c r="U20" s="198"/>
    </row>
    <row r="21" spans="1:21" s="12" customFormat="1" x14ac:dyDescent="0.25">
      <c r="A21" s="214" t="s">
        <v>2277</v>
      </c>
      <c r="B21" s="64">
        <v>8.2100000000000009</v>
      </c>
      <c r="C21" s="64">
        <v>3.26</v>
      </c>
      <c r="D21" s="64">
        <v>12.06</v>
      </c>
      <c r="E21" s="64">
        <v>3.56</v>
      </c>
      <c r="F21" s="64">
        <v>3.74</v>
      </c>
      <c r="G21" s="64">
        <v>8.5299999999999994</v>
      </c>
      <c r="H21" s="64">
        <v>3.5</v>
      </c>
      <c r="I21" s="64">
        <v>3.54</v>
      </c>
      <c r="J21" s="64">
        <v>0.35</v>
      </c>
      <c r="K21" s="64">
        <v>342.74</v>
      </c>
      <c r="L21" s="64">
        <v>21.38</v>
      </c>
      <c r="M21" s="64">
        <v>98.4</v>
      </c>
      <c r="N21" s="64">
        <v>17.600000000000001</v>
      </c>
      <c r="O21" s="64">
        <v>0</v>
      </c>
      <c r="P21" s="64">
        <v>0.2</v>
      </c>
      <c r="Q21" s="64">
        <v>9.43</v>
      </c>
      <c r="R21" s="198"/>
      <c r="S21" s="198"/>
      <c r="T21" s="198"/>
      <c r="U21" s="198"/>
    </row>
    <row r="22" spans="1:21" s="12" customFormat="1" x14ac:dyDescent="0.25">
      <c r="A22" s="214" t="s">
        <v>2278</v>
      </c>
      <c r="B22" s="64">
        <v>8.19</v>
      </c>
      <c r="C22" s="64">
        <v>3.25</v>
      </c>
      <c r="D22" s="64">
        <v>12.04</v>
      </c>
      <c r="E22" s="64">
        <v>3.98</v>
      </c>
      <c r="F22" s="64">
        <v>3.54</v>
      </c>
      <c r="G22" s="64">
        <v>7.95</v>
      </c>
      <c r="H22" s="64">
        <v>2.97</v>
      </c>
      <c r="I22" s="64">
        <v>3.81</v>
      </c>
      <c r="J22" s="64">
        <v>0.27</v>
      </c>
      <c r="K22" s="64">
        <v>32.409999999999997</v>
      </c>
      <c r="L22" s="64">
        <v>21.37</v>
      </c>
      <c r="M22" s="64">
        <v>98.4</v>
      </c>
      <c r="N22" s="64">
        <v>17.7</v>
      </c>
      <c r="O22" s="64">
        <v>0</v>
      </c>
      <c r="P22" s="64">
        <v>0.2</v>
      </c>
      <c r="Q22" s="64">
        <v>9.44</v>
      </c>
      <c r="R22" s="198"/>
      <c r="S22" s="198"/>
      <c r="T22" s="198"/>
      <c r="U22" s="198"/>
    </row>
    <row r="23" spans="1:21" s="12" customFormat="1" x14ac:dyDescent="0.25">
      <c r="A23" s="214" t="s">
        <v>2279</v>
      </c>
      <c r="B23" s="64">
        <v>8.2200000000000006</v>
      </c>
      <c r="C23" s="64">
        <v>3.32</v>
      </c>
      <c r="D23" s="64">
        <v>12.09</v>
      </c>
      <c r="E23" s="64">
        <v>3.26</v>
      </c>
      <c r="F23" s="64">
        <v>3.92</v>
      </c>
      <c r="G23" s="64">
        <v>7.39</v>
      </c>
      <c r="H23" s="64">
        <v>2.4500000000000002</v>
      </c>
      <c r="I23" s="64">
        <v>3.92</v>
      </c>
      <c r="J23" s="64">
        <v>0.38</v>
      </c>
      <c r="K23" s="64">
        <v>338.06</v>
      </c>
      <c r="L23" s="64">
        <v>21.51</v>
      </c>
      <c r="M23" s="64">
        <v>98.4</v>
      </c>
      <c r="N23" s="64">
        <v>17.600000000000001</v>
      </c>
      <c r="O23" s="64">
        <v>0</v>
      </c>
      <c r="P23" s="64">
        <v>0.2</v>
      </c>
      <c r="Q23" s="64">
        <v>9.44</v>
      </c>
      <c r="R23" s="198"/>
      <c r="S23" s="198"/>
      <c r="T23" s="198"/>
      <c r="U23" s="198"/>
    </row>
    <row r="24" spans="1:21" s="12" customFormat="1" x14ac:dyDescent="0.25">
      <c r="A24" s="214" t="s">
        <v>2280</v>
      </c>
      <c r="B24" s="64">
        <v>8.25</v>
      </c>
      <c r="C24" s="64">
        <v>3.39</v>
      </c>
      <c r="D24" s="64">
        <v>12.16</v>
      </c>
      <c r="E24" s="64">
        <v>3.88</v>
      </c>
      <c r="F24" s="64">
        <v>4.18</v>
      </c>
      <c r="G24" s="64">
        <v>7.39</v>
      </c>
      <c r="H24" s="64">
        <v>2.4500000000000002</v>
      </c>
      <c r="I24" s="64">
        <v>3.99</v>
      </c>
      <c r="J24" s="64">
        <v>0.31</v>
      </c>
      <c r="K24" s="64">
        <v>341.61</v>
      </c>
      <c r="L24" s="64">
        <v>21.56</v>
      </c>
      <c r="M24" s="64">
        <v>98.4</v>
      </c>
      <c r="N24" s="64">
        <v>17.5</v>
      </c>
      <c r="O24" s="64">
        <v>0</v>
      </c>
      <c r="P24" s="64">
        <v>0.2</v>
      </c>
      <c r="Q24" s="64">
        <v>9.4499999999999993</v>
      </c>
      <c r="R24" s="198"/>
      <c r="S24" s="198"/>
      <c r="T24" s="198"/>
      <c r="U24" s="198"/>
    </row>
    <row r="25" spans="1:21" s="12" customFormat="1" x14ac:dyDescent="0.25">
      <c r="A25" s="214" t="s">
        <v>2281</v>
      </c>
      <c r="B25" s="64">
        <v>8.35</v>
      </c>
      <c r="C25" s="64">
        <v>3.79</v>
      </c>
      <c r="D25" s="64">
        <v>12.45</v>
      </c>
      <c r="E25" s="64">
        <v>4.32</v>
      </c>
      <c r="F25" s="64">
        <v>4.32</v>
      </c>
      <c r="G25" s="64">
        <v>7.39</v>
      </c>
      <c r="H25" s="64">
        <v>2.4500000000000002</v>
      </c>
      <c r="I25" s="64">
        <v>4.1500000000000004</v>
      </c>
      <c r="J25" s="64">
        <v>0.42</v>
      </c>
      <c r="K25" s="64">
        <v>266.62</v>
      </c>
      <c r="L25" s="64">
        <v>21.55</v>
      </c>
      <c r="M25" s="64">
        <v>98.4</v>
      </c>
      <c r="N25" s="64">
        <v>17.600000000000001</v>
      </c>
      <c r="O25" s="64">
        <v>0</v>
      </c>
      <c r="P25" s="64">
        <v>0.21</v>
      </c>
      <c r="Q25" s="64">
        <v>9.49</v>
      </c>
      <c r="R25" s="198"/>
      <c r="S25" s="198"/>
      <c r="T25" s="198"/>
      <c r="U25" s="198"/>
    </row>
    <row r="26" spans="1:21" s="12" customFormat="1" x14ac:dyDescent="0.25">
      <c r="A26" s="214" t="s">
        <v>2282</v>
      </c>
      <c r="B26" s="64">
        <v>8.1999999999999993</v>
      </c>
      <c r="C26" s="64">
        <v>3.26</v>
      </c>
      <c r="D26" s="64">
        <v>12.05</v>
      </c>
      <c r="E26" s="64">
        <v>3.96</v>
      </c>
      <c r="F26" s="64">
        <v>4.2699999999999996</v>
      </c>
      <c r="G26" s="64">
        <v>7.27</v>
      </c>
      <c r="H26" s="64">
        <v>2.08</v>
      </c>
      <c r="I26" s="64">
        <v>4.28</v>
      </c>
      <c r="J26" s="64">
        <v>0.21</v>
      </c>
      <c r="K26" s="64">
        <v>281.42</v>
      </c>
      <c r="L26" s="64">
        <v>21.52</v>
      </c>
      <c r="M26" s="64">
        <v>98.4</v>
      </c>
      <c r="N26" s="64">
        <v>17.5</v>
      </c>
      <c r="O26" s="64">
        <v>0</v>
      </c>
      <c r="P26" s="64">
        <v>0.2</v>
      </c>
      <c r="Q26" s="64">
        <v>9.44</v>
      </c>
      <c r="R26" s="198"/>
      <c r="S26" s="198"/>
      <c r="T26" s="198"/>
      <c r="U26" s="198"/>
    </row>
    <row r="27" spans="1:21" s="12" customFormat="1" x14ac:dyDescent="0.25">
      <c r="A27" s="214" t="s">
        <v>2283</v>
      </c>
      <c r="B27" s="64">
        <v>8.15</v>
      </c>
      <c r="C27" s="64">
        <v>3.17</v>
      </c>
      <c r="D27" s="64">
        <v>11.97</v>
      </c>
      <c r="E27" s="64">
        <v>3.99</v>
      </c>
      <c r="F27" s="64">
        <v>3.81</v>
      </c>
      <c r="G27" s="64">
        <v>7.16</v>
      </c>
      <c r="H27" s="64">
        <v>1.72</v>
      </c>
      <c r="I27" s="64">
        <v>4.24</v>
      </c>
      <c r="J27" s="64">
        <v>0.52</v>
      </c>
      <c r="K27" s="64">
        <v>234.76</v>
      </c>
      <c r="L27" s="64">
        <v>21.52</v>
      </c>
      <c r="M27" s="64">
        <v>98.4</v>
      </c>
      <c r="N27" s="64">
        <v>17.600000000000001</v>
      </c>
      <c r="O27" s="64">
        <v>0</v>
      </c>
      <c r="P27" s="64">
        <v>0.2</v>
      </c>
      <c r="Q27" s="64">
        <v>9.4499999999999993</v>
      </c>
      <c r="R27" s="198"/>
      <c r="S27" s="198"/>
      <c r="T27" s="198"/>
      <c r="U27" s="198"/>
    </row>
    <row r="28" spans="1:21" s="12" customFormat="1" x14ac:dyDescent="0.25">
      <c r="A28" s="214" t="s">
        <v>2284</v>
      </c>
      <c r="B28" s="64">
        <v>8.17</v>
      </c>
      <c r="C28" s="64">
        <v>3.24</v>
      </c>
      <c r="D28" s="64">
        <v>12.01</v>
      </c>
      <c r="E28" s="64">
        <v>4.0999999999999996</v>
      </c>
      <c r="F28" s="64">
        <v>4.07</v>
      </c>
      <c r="G28" s="64">
        <v>7.16</v>
      </c>
      <c r="H28" s="64">
        <v>1.72</v>
      </c>
      <c r="I28" s="64">
        <v>4.13</v>
      </c>
      <c r="J28" s="64">
        <v>0.53</v>
      </c>
      <c r="K28" s="64">
        <v>183.96</v>
      </c>
      <c r="L28" s="64">
        <v>21.59</v>
      </c>
      <c r="M28" s="64">
        <v>98.4</v>
      </c>
      <c r="N28" s="64">
        <v>17.7</v>
      </c>
      <c r="O28" s="64">
        <v>0</v>
      </c>
      <c r="P28" s="64">
        <v>0.2</v>
      </c>
      <c r="Q28" s="64">
        <v>9.44</v>
      </c>
      <c r="R28" s="198"/>
      <c r="S28" s="198"/>
      <c r="T28" s="198"/>
      <c r="U28" s="198"/>
    </row>
    <row r="29" spans="1:21" s="12" customFormat="1" x14ac:dyDescent="0.25">
      <c r="A29" s="214" t="s">
        <v>2285</v>
      </c>
      <c r="B29" s="64">
        <v>8.17</v>
      </c>
      <c r="C29" s="64">
        <v>3.25</v>
      </c>
      <c r="D29" s="64">
        <v>12.02</v>
      </c>
      <c r="E29" s="64">
        <v>3.94</v>
      </c>
      <c r="F29" s="64">
        <v>3.44</v>
      </c>
      <c r="G29" s="64">
        <v>7.16</v>
      </c>
      <c r="H29" s="64">
        <v>1.72</v>
      </c>
      <c r="I29" s="64">
        <v>4.0599999999999996</v>
      </c>
      <c r="J29" s="64">
        <v>0.56999999999999995</v>
      </c>
      <c r="K29" s="64">
        <v>204.4</v>
      </c>
      <c r="L29" s="64">
        <v>21.63</v>
      </c>
      <c r="M29" s="64">
        <v>98.4</v>
      </c>
      <c r="N29" s="64">
        <v>20.399999999999999</v>
      </c>
      <c r="O29" s="64">
        <v>0</v>
      </c>
      <c r="P29" s="64">
        <v>0.2</v>
      </c>
      <c r="Q29" s="64">
        <v>9.4700000000000006</v>
      </c>
      <c r="R29" s="198"/>
      <c r="S29" s="198"/>
      <c r="T29" s="198"/>
      <c r="U29" s="198"/>
    </row>
    <row r="30" spans="1:21" s="12" customFormat="1" x14ac:dyDescent="0.25">
      <c r="A30" s="214" t="s">
        <v>2286</v>
      </c>
      <c r="B30" s="64">
        <v>8.18</v>
      </c>
      <c r="C30" s="64">
        <v>3.26</v>
      </c>
      <c r="D30" s="64">
        <v>12.04</v>
      </c>
      <c r="E30" s="64">
        <v>3.95</v>
      </c>
      <c r="F30" s="64">
        <v>4.3499999999999996</v>
      </c>
      <c r="G30" s="64">
        <v>7.74</v>
      </c>
      <c r="H30" s="64">
        <v>1.47</v>
      </c>
      <c r="I30" s="64">
        <v>4.03</v>
      </c>
      <c r="J30" s="64">
        <v>0.35</v>
      </c>
      <c r="K30" s="64">
        <v>279.66000000000003</v>
      </c>
      <c r="L30" s="64">
        <v>21.7</v>
      </c>
      <c r="M30" s="64">
        <v>98.4</v>
      </c>
      <c r="N30" s="64">
        <v>25.4</v>
      </c>
      <c r="O30" s="64">
        <v>0</v>
      </c>
      <c r="P30" s="64">
        <v>0.2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14" t="s">
        <v>2287</v>
      </c>
      <c r="B31" s="64">
        <v>8.4</v>
      </c>
      <c r="C31" s="64">
        <v>4.01</v>
      </c>
      <c r="D31" s="64">
        <v>12.61</v>
      </c>
      <c r="E31" s="64">
        <v>3.81</v>
      </c>
      <c r="F31" s="64">
        <v>3.6</v>
      </c>
      <c r="G31" s="64">
        <v>8.3000000000000007</v>
      </c>
      <c r="H31" s="64">
        <v>1.24</v>
      </c>
      <c r="I31" s="64">
        <v>4.01</v>
      </c>
      <c r="J31" s="64">
        <v>0.83</v>
      </c>
      <c r="K31" s="64">
        <v>155.72999999999999</v>
      </c>
      <c r="L31" s="64">
        <v>21.71</v>
      </c>
      <c r="M31" s="64">
        <v>98.4</v>
      </c>
      <c r="N31" s="64">
        <v>34.299999999999997</v>
      </c>
      <c r="O31" s="64">
        <v>0</v>
      </c>
      <c r="P31" s="64">
        <v>0.2</v>
      </c>
      <c r="Q31" s="64">
        <v>9.4499999999999993</v>
      </c>
      <c r="R31" s="198"/>
      <c r="S31" s="198"/>
      <c r="T31" s="198"/>
      <c r="U31" s="198"/>
    </row>
    <row r="32" spans="1:21" s="12" customFormat="1" x14ac:dyDescent="0.25">
      <c r="A32" s="214" t="s">
        <v>2288</v>
      </c>
      <c r="B32" s="64">
        <v>8.23</v>
      </c>
      <c r="C32" s="64">
        <v>3.46</v>
      </c>
      <c r="D32" s="64">
        <v>12.18</v>
      </c>
      <c r="E32" s="64">
        <v>4.0999999999999996</v>
      </c>
      <c r="F32" s="64">
        <v>4.0199999999999996</v>
      </c>
      <c r="G32" s="64">
        <v>8.3000000000000007</v>
      </c>
      <c r="H32" s="64">
        <v>1.24</v>
      </c>
      <c r="I32" s="64">
        <v>4.05</v>
      </c>
      <c r="J32" s="64">
        <v>1.47</v>
      </c>
      <c r="K32" s="64">
        <v>153.27000000000001</v>
      </c>
      <c r="L32" s="64">
        <v>21.8</v>
      </c>
      <c r="M32" s="64">
        <v>98.39</v>
      </c>
      <c r="N32" s="64">
        <v>45.7</v>
      </c>
      <c r="O32" s="64">
        <v>0</v>
      </c>
      <c r="P32" s="64">
        <v>0.2</v>
      </c>
      <c r="Q32" s="64">
        <v>9.43</v>
      </c>
      <c r="R32" s="198"/>
      <c r="S32" s="198"/>
      <c r="T32" s="198"/>
      <c r="U32" s="198"/>
    </row>
    <row r="33" spans="1:21" s="12" customFormat="1" x14ac:dyDescent="0.25">
      <c r="A33" s="214" t="s">
        <v>2289</v>
      </c>
      <c r="B33" s="64">
        <v>8.16</v>
      </c>
      <c r="C33" s="64">
        <v>3.22</v>
      </c>
      <c r="D33" s="64">
        <v>12</v>
      </c>
      <c r="E33" s="64">
        <v>4.0599999999999996</v>
      </c>
      <c r="F33" s="64">
        <v>3.58</v>
      </c>
      <c r="G33" s="64">
        <v>8.3000000000000007</v>
      </c>
      <c r="H33" s="64">
        <v>1.24</v>
      </c>
      <c r="I33" s="64">
        <v>4.18</v>
      </c>
      <c r="J33" s="64">
        <v>1.36</v>
      </c>
      <c r="K33" s="64">
        <v>155.41999999999999</v>
      </c>
      <c r="L33" s="64">
        <v>21.91</v>
      </c>
      <c r="M33" s="64">
        <v>98.38</v>
      </c>
      <c r="N33" s="64">
        <v>61.4</v>
      </c>
      <c r="O33" s="64">
        <v>0</v>
      </c>
      <c r="P33" s="64">
        <v>0.2</v>
      </c>
      <c r="Q33" s="64">
        <v>9.49</v>
      </c>
      <c r="R33" s="198"/>
      <c r="S33" s="198"/>
      <c r="T33" s="198"/>
      <c r="U33" s="198"/>
    </row>
    <row r="34" spans="1:21" s="12" customFormat="1" x14ac:dyDescent="0.25">
      <c r="A34" s="214" t="s">
        <v>2290</v>
      </c>
      <c r="B34" s="64">
        <v>8.1300000000000008</v>
      </c>
      <c r="C34" s="64">
        <v>3.14</v>
      </c>
      <c r="D34" s="64">
        <v>11.94</v>
      </c>
      <c r="E34" s="64">
        <v>3.98</v>
      </c>
      <c r="F34" s="64">
        <v>3.75</v>
      </c>
      <c r="G34" s="64">
        <v>8.4499999999999993</v>
      </c>
      <c r="H34" s="64">
        <v>1.36</v>
      </c>
      <c r="I34" s="64">
        <v>4.43</v>
      </c>
      <c r="J34" s="64">
        <v>1.21</v>
      </c>
      <c r="K34" s="64">
        <v>156.94</v>
      </c>
      <c r="L34" s="64">
        <v>22.08</v>
      </c>
      <c r="M34" s="64">
        <v>98.38</v>
      </c>
      <c r="N34" s="64">
        <v>74.900000000000006</v>
      </c>
      <c r="O34" s="64">
        <v>0</v>
      </c>
      <c r="P34" s="64">
        <v>0.21</v>
      </c>
      <c r="Q34" s="64">
        <v>9.4700000000000006</v>
      </c>
      <c r="R34" s="198"/>
      <c r="S34" s="198"/>
      <c r="T34" s="198"/>
      <c r="U34" s="198"/>
    </row>
    <row r="35" spans="1:21" s="12" customFormat="1" x14ac:dyDescent="0.25">
      <c r="A35" s="214" t="s">
        <v>2291</v>
      </c>
      <c r="B35" s="64">
        <v>8.18</v>
      </c>
      <c r="C35" s="64">
        <v>3.19</v>
      </c>
      <c r="D35" s="64">
        <v>12</v>
      </c>
      <c r="E35" s="64">
        <v>4.09</v>
      </c>
      <c r="F35" s="64">
        <v>3.45</v>
      </c>
      <c r="G35" s="64">
        <v>8.59</v>
      </c>
      <c r="H35" s="64">
        <v>1.48</v>
      </c>
      <c r="I35" s="64">
        <v>4.72</v>
      </c>
      <c r="J35" s="64">
        <v>1.1499999999999999</v>
      </c>
      <c r="K35" s="64">
        <v>152.85</v>
      </c>
      <c r="L35" s="64">
        <v>22.21</v>
      </c>
      <c r="M35" s="64">
        <v>98.38</v>
      </c>
      <c r="N35" s="64">
        <v>81.900000000000006</v>
      </c>
      <c r="O35" s="64">
        <v>0</v>
      </c>
      <c r="P35" s="64">
        <v>0.22</v>
      </c>
      <c r="Q35" s="64">
        <v>9.49</v>
      </c>
      <c r="R35" s="198"/>
      <c r="S35" s="198"/>
      <c r="T35" s="198"/>
      <c r="U35" s="198"/>
    </row>
    <row r="36" spans="1:21" s="12" customFormat="1" x14ac:dyDescent="0.25">
      <c r="A36" s="214" t="s">
        <v>2292</v>
      </c>
      <c r="B36" s="64">
        <v>8.18</v>
      </c>
      <c r="C36" s="64">
        <v>3.16</v>
      </c>
      <c r="D36" s="64">
        <v>11.98</v>
      </c>
      <c r="E36" s="64">
        <v>3.98</v>
      </c>
      <c r="F36" s="64">
        <v>3.37</v>
      </c>
      <c r="G36" s="64">
        <v>8.59</v>
      </c>
      <c r="H36" s="64">
        <v>1.48</v>
      </c>
      <c r="I36" s="64">
        <v>5.0199999999999996</v>
      </c>
      <c r="J36" s="64">
        <v>1.08</v>
      </c>
      <c r="K36" s="64">
        <v>151.08000000000001</v>
      </c>
      <c r="L36" s="64">
        <v>22.36</v>
      </c>
      <c r="M36" s="64">
        <v>98.38</v>
      </c>
      <c r="N36" s="64">
        <v>104.9</v>
      </c>
      <c r="O36" s="64">
        <v>0</v>
      </c>
      <c r="P36" s="64">
        <v>0.21</v>
      </c>
      <c r="Q36" s="64">
        <v>9.41</v>
      </c>
      <c r="R36" s="198"/>
      <c r="S36" s="198"/>
      <c r="T36" s="198"/>
      <c r="U36" s="198"/>
    </row>
    <row r="37" spans="1:21" s="12" customFormat="1" x14ac:dyDescent="0.25">
      <c r="A37" s="214" t="s">
        <v>2293</v>
      </c>
      <c r="B37" s="64">
        <v>8.19</v>
      </c>
      <c r="C37" s="64">
        <v>3.18</v>
      </c>
      <c r="D37" s="64">
        <v>12.01</v>
      </c>
      <c r="E37" s="64">
        <v>3.87</v>
      </c>
      <c r="F37" s="64">
        <v>3.54</v>
      </c>
      <c r="G37" s="64">
        <v>8.59</v>
      </c>
      <c r="H37" s="64">
        <v>1.48</v>
      </c>
      <c r="I37" s="64">
        <v>5.35</v>
      </c>
      <c r="J37" s="64">
        <v>0.91</v>
      </c>
      <c r="K37" s="64">
        <v>165.35</v>
      </c>
      <c r="L37" s="64">
        <v>22.49</v>
      </c>
      <c r="M37" s="64">
        <v>98.38</v>
      </c>
      <c r="N37" s="64">
        <v>141.9</v>
      </c>
      <c r="O37" s="64">
        <v>0</v>
      </c>
      <c r="P37" s="64">
        <v>0.19</v>
      </c>
      <c r="Q37" s="64">
        <v>9.41</v>
      </c>
      <c r="R37" s="198"/>
      <c r="S37" s="198"/>
      <c r="T37" s="198"/>
      <c r="U37" s="198"/>
    </row>
    <row r="38" spans="1:21" s="12" customFormat="1" x14ac:dyDescent="0.25">
      <c r="A38" s="214" t="s">
        <v>2294</v>
      </c>
      <c r="B38" s="64">
        <v>8.1999999999999993</v>
      </c>
      <c r="C38" s="64">
        <v>3.22</v>
      </c>
      <c r="D38" s="64">
        <v>12.03</v>
      </c>
      <c r="E38" s="64">
        <v>3.99</v>
      </c>
      <c r="F38" s="64">
        <v>3.49</v>
      </c>
      <c r="G38" s="64">
        <v>12.07</v>
      </c>
      <c r="H38" s="64">
        <v>2.6</v>
      </c>
      <c r="I38" s="64">
        <v>5.68</v>
      </c>
      <c r="J38" s="64">
        <v>1.28</v>
      </c>
      <c r="K38" s="64">
        <v>144.21</v>
      </c>
      <c r="L38" s="64">
        <v>22.8</v>
      </c>
      <c r="M38" s="64">
        <v>98.35</v>
      </c>
      <c r="N38" s="64">
        <v>181.5</v>
      </c>
      <c r="O38" s="64">
        <v>0</v>
      </c>
      <c r="P38" s="64">
        <v>0.21</v>
      </c>
      <c r="Q38" s="64">
        <v>9.44</v>
      </c>
      <c r="R38" s="198"/>
      <c r="S38" s="198"/>
      <c r="T38" s="198"/>
      <c r="U38" s="198"/>
    </row>
    <row r="39" spans="1:21" s="12" customFormat="1" x14ac:dyDescent="0.25">
      <c r="A39" s="214" t="s">
        <v>2295</v>
      </c>
      <c r="B39" s="64">
        <v>8.2100000000000009</v>
      </c>
      <c r="C39" s="64">
        <v>3.24</v>
      </c>
      <c r="D39" s="64">
        <v>12.06</v>
      </c>
      <c r="E39" s="64">
        <v>4.1500000000000004</v>
      </c>
      <c r="F39" s="64">
        <v>3.38</v>
      </c>
      <c r="G39" s="64">
        <v>15.4</v>
      </c>
      <c r="H39" s="64">
        <v>3.67</v>
      </c>
      <c r="I39" s="64">
        <v>5.92</v>
      </c>
      <c r="J39" s="64">
        <v>1.03</v>
      </c>
      <c r="K39" s="64">
        <v>156.69999999999999</v>
      </c>
      <c r="L39" s="64">
        <v>22.99</v>
      </c>
      <c r="M39" s="64">
        <v>98.35</v>
      </c>
      <c r="N39" s="64">
        <v>145.19999999999999</v>
      </c>
      <c r="O39" s="64">
        <v>0</v>
      </c>
      <c r="P39" s="64">
        <v>0.22</v>
      </c>
      <c r="Q39" s="64">
        <v>9.4499999999999993</v>
      </c>
      <c r="R39" s="198"/>
      <c r="S39" s="198"/>
      <c r="T39" s="198"/>
      <c r="U39" s="198"/>
    </row>
    <row r="40" spans="1:21" s="12" customFormat="1" x14ac:dyDescent="0.25">
      <c r="A40" s="214" t="s">
        <v>2296</v>
      </c>
      <c r="B40" s="64">
        <v>8.24</v>
      </c>
      <c r="C40" s="64">
        <v>3.25</v>
      </c>
      <c r="D40" s="64">
        <v>12.08</v>
      </c>
      <c r="E40" s="64">
        <v>6.27</v>
      </c>
      <c r="F40" s="64">
        <v>3.6</v>
      </c>
      <c r="G40" s="64">
        <v>15.4</v>
      </c>
      <c r="H40" s="64">
        <v>3.67</v>
      </c>
      <c r="I40" s="64">
        <v>6.24</v>
      </c>
      <c r="J40" s="64">
        <v>1</v>
      </c>
      <c r="K40" s="64">
        <v>146.87</v>
      </c>
      <c r="L40" s="64">
        <v>23.17</v>
      </c>
      <c r="M40" s="64">
        <v>98.35</v>
      </c>
      <c r="N40" s="64">
        <v>195.5</v>
      </c>
      <c r="O40" s="64">
        <v>0</v>
      </c>
      <c r="P40" s="64">
        <v>0.22</v>
      </c>
      <c r="Q40" s="64">
        <v>9.4700000000000006</v>
      </c>
      <c r="R40" s="198"/>
      <c r="S40" s="198"/>
      <c r="T40" s="198"/>
      <c r="U40" s="198"/>
    </row>
    <row r="41" spans="1:21" s="12" customFormat="1" x14ac:dyDescent="0.25">
      <c r="A41" s="214" t="s">
        <v>2297</v>
      </c>
      <c r="B41" s="64">
        <v>8.27</v>
      </c>
      <c r="C41" s="64">
        <v>3.35</v>
      </c>
      <c r="D41" s="64">
        <v>12.15</v>
      </c>
      <c r="E41" s="64">
        <v>5.83</v>
      </c>
      <c r="F41" s="64">
        <v>3.73</v>
      </c>
      <c r="G41" s="64">
        <v>15.4</v>
      </c>
      <c r="H41" s="64">
        <v>3.67</v>
      </c>
      <c r="I41" s="64">
        <v>6.5</v>
      </c>
      <c r="J41" s="64">
        <v>0.99</v>
      </c>
      <c r="K41" s="64">
        <v>141.01</v>
      </c>
      <c r="L41" s="64">
        <v>23.35</v>
      </c>
      <c r="M41" s="64">
        <v>98.34</v>
      </c>
      <c r="N41" s="64">
        <v>195.2</v>
      </c>
      <c r="O41" s="64">
        <v>0</v>
      </c>
      <c r="P41" s="64">
        <v>0.22</v>
      </c>
      <c r="Q41" s="64">
        <v>9.4600000000000009</v>
      </c>
      <c r="R41" s="198"/>
      <c r="S41" s="198"/>
      <c r="T41" s="198"/>
      <c r="U41" s="198"/>
    </row>
    <row r="42" spans="1:21" s="12" customFormat="1" x14ac:dyDescent="0.25">
      <c r="A42" s="214" t="s">
        <v>2298</v>
      </c>
      <c r="B42" s="64">
        <v>8.24</v>
      </c>
      <c r="C42" s="64">
        <v>3.31</v>
      </c>
      <c r="D42" s="64">
        <v>12.11</v>
      </c>
      <c r="E42" s="64">
        <v>5.9</v>
      </c>
      <c r="F42" s="64">
        <v>3.73</v>
      </c>
      <c r="G42" s="64">
        <v>17.7</v>
      </c>
      <c r="H42" s="64">
        <v>3.54</v>
      </c>
      <c r="I42" s="64">
        <v>6.59</v>
      </c>
      <c r="J42" s="64">
        <v>1.1000000000000001</v>
      </c>
      <c r="K42" s="64">
        <v>145.61000000000001</v>
      </c>
      <c r="L42" s="64">
        <v>23.51</v>
      </c>
      <c r="M42" s="64">
        <v>98.3</v>
      </c>
      <c r="N42" s="64">
        <v>189</v>
      </c>
      <c r="O42" s="64">
        <v>0</v>
      </c>
      <c r="P42" s="64">
        <v>0.23</v>
      </c>
      <c r="Q42" s="64">
        <v>9.4700000000000006</v>
      </c>
      <c r="R42" s="198"/>
      <c r="S42" s="198"/>
      <c r="T42" s="198"/>
      <c r="U42" s="198"/>
    </row>
    <row r="43" spans="1:21" s="12" customFormat="1" x14ac:dyDescent="0.25">
      <c r="A43" s="214" t="s">
        <v>2299</v>
      </c>
      <c r="B43" s="64">
        <v>8.2200000000000006</v>
      </c>
      <c r="C43" s="64">
        <v>3.34</v>
      </c>
      <c r="D43" s="64">
        <v>12.12</v>
      </c>
      <c r="E43" s="64">
        <v>6.01</v>
      </c>
      <c r="F43" s="64">
        <v>3.81</v>
      </c>
      <c r="G43" s="64">
        <v>19.899999999999999</v>
      </c>
      <c r="H43" s="64">
        <v>3.42</v>
      </c>
      <c r="I43" s="64">
        <v>6.76</v>
      </c>
      <c r="J43" s="64">
        <v>0.74</v>
      </c>
      <c r="K43" s="64">
        <v>153.69</v>
      </c>
      <c r="L43" s="64">
        <v>23.71</v>
      </c>
      <c r="M43" s="64">
        <v>98.31</v>
      </c>
      <c r="N43" s="64">
        <v>185.3</v>
      </c>
      <c r="O43" s="64">
        <v>0</v>
      </c>
      <c r="P43" s="64">
        <v>0.23</v>
      </c>
      <c r="Q43" s="64">
        <v>9.52</v>
      </c>
      <c r="R43" s="198"/>
      <c r="S43" s="198"/>
      <c r="T43" s="198"/>
      <c r="U43" s="198"/>
    </row>
    <row r="44" spans="1:21" s="12" customFormat="1" x14ac:dyDescent="0.25">
      <c r="A44" s="214" t="s">
        <v>2300</v>
      </c>
      <c r="B44" s="64">
        <v>8.44</v>
      </c>
      <c r="C44" s="64">
        <v>4.0999999999999996</v>
      </c>
      <c r="D44" s="64">
        <v>12.68</v>
      </c>
      <c r="E44" s="64">
        <v>5.61</v>
      </c>
      <c r="F44" s="64">
        <v>4.03</v>
      </c>
      <c r="G44" s="64">
        <v>19.899999999999999</v>
      </c>
      <c r="H44" s="64">
        <v>3.42</v>
      </c>
      <c r="I44" s="64">
        <v>6.96</v>
      </c>
      <c r="J44" s="64">
        <v>0.04</v>
      </c>
      <c r="K44" s="64">
        <v>203.19</v>
      </c>
      <c r="L44" s="64">
        <v>23.93</v>
      </c>
      <c r="M44" s="64">
        <v>98.29</v>
      </c>
      <c r="N44" s="64">
        <v>210.1</v>
      </c>
      <c r="O44" s="64">
        <v>0</v>
      </c>
      <c r="P44" s="64">
        <v>0.25</v>
      </c>
      <c r="Q44" s="64">
        <v>9.5500000000000007</v>
      </c>
      <c r="R44" s="198"/>
      <c r="S44" s="198"/>
      <c r="T44" s="198"/>
      <c r="U44" s="198"/>
    </row>
    <row r="45" spans="1:21" s="12" customFormat="1" x14ac:dyDescent="0.25">
      <c r="A45" s="214" t="s">
        <v>2301</v>
      </c>
      <c r="B45" s="64">
        <v>8.2100000000000009</v>
      </c>
      <c r="C45" s="64">
        <v>3.37</v>
      </c>
      <c r="D45" s="64">
        <v>12.11</v>
      </c>
      <c r="E45" s="64">
        <v>5.76</v>
      </c>
      <c r="F45" s="64">
        <v>4.01</v>
      </c>
      <c r="G45" s="64">
        <v>19.899999999999999</v>
      </c>
      <c r="H45" s="64">
        <v>3.42</v>
      </c>
      <c r="I45" s="64">
        <v>6.88</v>
      </c>
      <c r="J45" s="64">
        <v>0.12</v>
      </c>
      <c r="K45" s="64">
        <v>307.97000000000003</v>
      </c>
      <c r="L45" s="64">
        <v>24.02</v>
      </c>
      <c r="M45" s="64">
        <v>98.27</v>
      </c>
      <c r="N45" s="64">
        <v>160.9</v>
      </c>
      <c r="O45" s="64">
        <v>0</v>
      </c>
      <c r="P45" s="64">
        <v>0.27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4" t="s">
        <v>2302</v>
      </c>
      <c r="B46" s="64">
        <v>8.15</v>
      </c>
      <c r="C46" s="64">
        <v>3.15</v>
      </c>
      <c r="D46" s="64">
        <v>11.96</v>
      </c>
      <c r="E46" s="64">
        <v>5.88</v>
      </c>
      <c r="F46" s="64">
        <v>3.98</v>
      </c>
      <c r="G46" s="64">
        <v>22.51</v>
      </c>
      <c r="H46" s="64">
        <v>4.82</v>
      </c>
      <c r="I46" s="64">
        <v>6.57</v>
      </c>
      <c r="J46" s="64">
        <v>0.48</v>
      </c>
      <c r="K46" s="64">
        <v>158.85</v>
      </c>
      <c r="L46" s="64">
        <v>24.14</v>
      </c>
      <c r="M46" s="64">
        <v>97.79</v>
      </c>
      <c r="N46" s="64">
        <v>291.60000000000002</v>
      </c>
      <c r="O46" s="64">
        <v>0</v>
      </c>
      <c r="P46" s="64">
        <v>0.28999999999999998</v>
      </c>
      <c r="Q46" s="64">
        <v>9.5500000000000007</v>
      </c>
      <c r="R46" s="198"/>
      <c r="S46" s="198"/>
      <c r="T46" s="198"/>
      <c r="U46" s="198"/>
    </row>
    <row r="47" spans="1:21" s="12" customFormat="1" x14ac:dyDescent="0.25">
      <c r="A47" s="214" t="s">
        <v>2303</v>
      </c>
      <c r="B47" s="64">
        <v>8.1300000000000008</v>
      </c>
      <c r="C47" s="64">
        <v>3.07</v>
      </c>
      <c r="D47" s="64">
        <v>11.9</v>
      </c>
      <c r="E47" s="64">
        <v>5.66</v>
      </c>
      <c r="F47" s="64">
        <v>3.85</v>
      </c>
      <c r="G47" s="64">
        <v>25.01</v>
      </c>
      <c r="H47" s="64">
        <v>6.16</v>
      </c>
      <c r="I47" s="64">
        <v>6.25</v>
      </c>
      <c r="J47" s="64">
        <v>0.09</v>
      </c>
      <c r="K47" s="64">
        <v>15.85</v>
      </c>
      <c r="L47" s="64">
        <v>24.79</v>
      </c>
      <c r="M47" s="64">
        <v>94.65</v>
      </c>
      <c r="N47" s="64">
        <v>261.60000000000002</v>
      </c>
      <c r="O47" s="64">
        <v>0</v>
      </c>
      <c r="P47" s="64">
        <v>0.28000000000000003</v>
      </c>
      <c r="Q47" s="64">
        <v>9.56</v>
      </c>
      <c r="R47" s="198"/>
      <c r="S47" s="198"/>
      <c r="T47" s="198"/>
      <c r="U47" s="198"/>
    </row>
    <row r="48" spans="1:21" s="12" customFormat="1" x14ac:dyDescent="0.25">
      <c r="A48" s="214" t="s">
        <v>2304</v>
      </c>
      <c r="B48" s="64">
        <v>8.1999999999999993</v>
      </c>
      <c r="C48" s="64">
        <v>3.28</v>
      </c>
      <c r="D48" s="64">
        <v>12.06</v>
      </c>
      <c r="E48" s="64">
        <v>5.69</v>
      </c>
      <c r="F48" s="64">
        <v>4.72</v>
      </c>
      <c r="G48" s="64">
        <v>25.01</v>
      </c>
      <c r="H48" s="64">
        <v>6.16</v>
      </c>
      <c r="I48" s="64">
        <v>6</v>
      </c>
      <c r="J48" s="64">
        <v>0.51</v>
      </c>
      <c r="K48" s="64">
        <v>5.28</v>
      </c>
      <c r="L48" s="64">
        <v>24.77</v>
      </c>
      <c r="M48" s="64">
        <v>94.41</v>
      </c>
      <c r="N48" s="64">
        <v>182.8</v>
      </c>
      <c r="O48" s="64">
        <v>0</v>
      </c>
      <c r="P48" s="64">
        <v>0.28999999999999998</v>
      </c>
      <c r="Q48" s="64">
        <v>9.5399999999999991</v>
      </c>
      <c r="R48" s="198"/>
      <c r="S48" s="198"/>
      <c r="T48" s="198"/>
      <c r="U48" s="198"/>
    </row>
    <row r="49" spans="1:21" s="12" customFormat="1" x14ac:dyDescent="0.25">
      <c r="A49" s="214" t="s">
        <v>2305</v>
      </c>
      <c r="B49" s="64">
        <v>8.2200000000000006</v>
      </c>
      <c r="C49" s="64">
        <v>3.47</v>
      </c>
      <c r="D49" s="64">
        <v>12.18</v>
      </c>
      <c r="E49" s="64">
        <v>5.84</v>
      </c>
      <c r="F49" s="64">
        <v>4.01</v>
      </c>
      <c r="G49" s="64">
        <v>25.01</v>
      </c>
      <c r="H49" s="64">
        <v>6.16</v>
      </c>
      <c r="I49" s="64">
        <v>5.7</v>
      </c>
      <c r="J49" s="64">
        <v>0.35</v>
      </c>
      <c r="K49" s="64">
        <v>21.96</v>
      </c>
      <c r="L49" s="64">
        <v>24.8</v>
      </c>
      <c r="M49" s="64">
        <v>93.9</v>
      </c>
      <c r="N49" s="64">
        <v>124.3</v>
      </c>
      <c r="O49" s="64">
        <v>0</v>
      </c>
      <c r="P49" s="64">
        <v>0.28999999999999998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14" t="s">
        <v>2306</v>
      </c>
      <c r="B50" s="64">
        <v>8.17</v>
      </c>
      <c r="C50" s="64">
        <v>3.26</v>
      </c>
      <c r="D50" s="64">
        <v>12.03</v>
      </c>
      <c r="E50" s="64">
        <v>5.64</v>
      </c>
      <c r="F50" s="64">
        <v>4.4800000000000004</v>
      </c>
      <c r="G50" s="64">
        <v>22.33</v>
      </c>
      <c r="H50" s="64">
        <v>7.1</v>
      </c>
      <c r="I50" s="64">
        <v>5.32</v>
      </c>
      <c r="J50" s="64">
        <v>0.56999999999999995</v>
      </c>
      <c r="K50" s="64">
        <v>4.7</v>
      </c>
      <c r="L50" s="64">
        <v>24.41</v>
      </c>
      <c r="M50" s="64">
        <v>94.76</v>
      </c>
      <c r="N50" s="64">
        <v>92.6</v>
      </c>
      <c r="O50" s="64">
        <v>0</v>
      </c>
      <c r="P50" s="64">
        <v>0.31</v>
      </c>
      <c r="Q50" s="64">
        <v>9.5399999999999991</v>
      </c>
      <c r="R50" s="198"/>
      <c r="S50" s="198"/>
      <c r="T50" s="198"/>
      <c r="U50" s="198"/>
    </row>
    <row r="51" spans="1:21" s="12" customFormat="1" x14ac:dyDescent="0.25">
      <c r="A51" s="214" t="s">
        <v>2307</v>
      </c>
      <c r="B51" s="64">
        <v>8.15</v>
      </c>
      <c r="C51" s="64">
        <v>3.13</v>
      </c>
      <c r="D51" s="64">
        <v>11.95</v>
      </c>
      <c r="E51" s="64">
        <v>5.66</v>
      </c>
      <c r="F51" s="64">
        <v>3.9</v>
      </c>
      <c r="G51" s="64">
        <v>19.77</v>
      </c>
      <c r="H51" s="64">
        <v>7.96</v>
      </c>
      <c r="I51" s="64">
        <v>4.96</v>
      </c>
      <c r="J51" s="64">
        <v>0.53</v>
      </c>
      <c r="K51" s="64">
        <v>0.04</v>
      </c>
      <c r="L51" s="64">
        <v>24.35</v>
      </c>
      <c r="M51" s="64">
        <v>93.44</v>
      </c>
      <c r="N51" s="64">
        <v>114.4</v>
      </c>
      <c r="O51" s="64">
        <v>0</v>
      </c>
      <c r="P51" s="64">
        <v>0.32</v>
      </c>
      <c r="Q51" s="64">
        <v>9.52</v>
      </c>
      <c r="R51" s="198"/>
      <c r="S51" s="198"/>
      <c r="T51" s="198"/>
      <c r="U51" s="198"/>
    </row>
    <row r="52" spans="1:21" s="12" customFormat="1" x14ac:dyDescent="0.25">
      <c r="A52" s="214" t="s">
        <v>2308</v>
      </c>
      <c r="B52" s="64">
        <v>8.15</v>
      </c>
      <c r="C52" s="64">
        <v>3.19</v>
      </c>
      <c r="D52" s="64">
        <v>11.97</v>
      </c>
      <c r="E52" s="64">
        <v>5.59</v>
      </c>
      <c r="F52" s="64">
        <v>4.9000000000000004</v>
      </c>
      <c r="G52" s="64">
        <v>19.77</v>
      </c>
      <c r="H52" s="64">
        <v>7.96</v>
      </c>
      <c r="I52" s="64">
        <v>4.66</v>
      </c>
      <c r="J52" s="64">
        <v>0.5</v>
      </c>
      <c r="K52" s="64">
        <v>8.6300000000000008</v>
      </c>
      <c r="L52" s="64">
        <v>24.56</v>
      </c>
      <c r="M52" s="64">
        <v>89.98</v>
      </c>
      <c r="N52" s="64">
        <v>211.2</v>
      </c>
      <c r="O52" s="64">
        <v>0</v>
      </c>
      <c r="P52" s="64">
        <v>0.33</v>
      </c>
      <c r="Q52" s="64">
        <v>9.5399999999999991</v>
      </c>
      <c r="R52" s="198"/>
      <c r="S52" s="198"/>
      <c r="T52" s="198"/>
      <c r="U52" s="198"/>
    </row>
    <row r="53" spans="1:21" s="12" customFormat="1" x14ac:dyDescent="0.25">
      <c r="A53" s="214" t="s">
        <v>2309</v>
      </c>
      <c r="B53" s="64">
        <v>8.14</v>
      </c>
      <c r="C53" s="64">
        <v>3.18</v>
      </c>
      <c r="D53" s="64">
        <v>11.96</v>
      </c>
      <c r="E53" s="64">
        <v>5.61</v>
      </c>
      <c r="F53" s="64">
        <v>4.5999999999999996</v>
      </c>
      <c r="G53" s="64">
        <v>19.77</v>
      </c>
      <c r="H53" s="64">
        <v>7.96</v>
      </c>
      <c r="I53" s="64">
        <v>4.3899999999999997</v>
      </c>
      <c r="J53" s="64">
        <v>0.56000000000000005</v>
      </c>
      <c r="K53" s="64">
        <v>13.53</v>
      </c>
      <c r="L53" s="64">
        <v>25.06</v>
      </c>
      <c r="M53" s="64">
        <v>87.22</v>
      </c>
      <c r="N53" s="64">
        <v>274.89999999999998</v>
      </c>
      <c r="O53" s="64">
        <v>0</v>
      </c>
      <c r="P53" s="64">
        <v>0.33</v>
      </c>
      <c r="Q53" s="64">
        <v>9.49</v>
      </c>
      <c r="R53" s="198"/>
      <c r="S53" s="198"/>
      <c r="T53" s="198"/>
      <c r="U53" s="198"/>
    </row>
    <row r="54" spans="1:21" s="12" customFormat="1" x14ac:dyDescent="0.25">
      <c r="A54" s="214" t="s">
        <v>2310</v>
      </c>
      <c r="B54" s="64">
        <v>8.2100000000000009</v>
      </c>
      <c r="C54" s="64">
        <v>3.41</v>
      </c>
      <c r="D54" s="64">
        <v>12.14</v>
      </c>
      <c r="E54" s="64">
        <v>5.81</v>
      </c>
      <c r="F54" s="64">
        <v>5.2</v>
      </c>
      <c r="G54" s="64">
        <v>22.04</v>
      </c>
      <c r="H54" s="64">
        <v>8.27</v>
      </c>
      <c r="I54" s="64">
        <v>4.09</v>
      </c>
      <c r="J54" s="64">
        <v>0.44</v>
      </c>
      <c r="K54" s="64">
        <v>349</v>
      </c>
      <c r="L54" s="64">
        <v>25.47</v>
      </c>
      <c r="M54" s="64">
        <v>87.03</v>
      </c>
      <c r="N54" s="64">
        <v>337.3</v>
      </c>
      <c r="O54" s="64">
        <v>0</v>
      </c>
      <c r="P54" s="64">
        <v>0.32</v>
      </c>
      <c r="Q54" s="64">
        <v>9.44</v>
      </c>
      <c r="R54" s="198"/>
      <c r="S54" s="198"/>
      <c r="T54" s="198"/>
      <c r="U54" s="198"/>
    </row>
    <row r="55" spans="1:21" s="12" customFormat="1" x14ac:dyDescent="0.25">
      <c r="A55" s="214" t="s">
        <v>2311</v>
      </c>
      <c r="B55" s="64">
        <v>8.24</v>
      </c>
      <c r="C55" s="64">
        <v>3.41</v>
      </c>
      <c r="D55" s="64">
        <v>12.17</v>
      </c>
      <c r="E55" s="64">
        <v>5.38</v>
      </c>
      <c r="F55" s="64">
        <v>5.16</v>
      </c>
      <c r="G55" s="64">
        <v>24.21</v>
      </c>
      <c r="H55" s="64">
        <v>8.5500000000000007</v>
      </c>
      <c r="I55" s="64">
        <v>3.76</v>
      </c>
      <c r="J55" s="64">
        <v>0.37</v>
      </c>
      <c r="K55" s="64">
        <v>6.11</v>
      </c>
      <c r="L55" s="64">
        <v>26.81</v>
      </c>
      <c r="M55" s="64">
        <v>81.319999999999993</v>
      </c>
      <c r="N55" s="64">
        <v>497.5</v>
      </c>
      <c r="O55" s="64">
        <v>0</v>
      </c>
      <c r="P55" s="64">
        <v>0.34</v>
      </c>
      <c r="Q55" s="64">
        <v>9.42</v>
      </c>
      <c r="R55" s="198"/>
      <c r="S55" s="198"/>
      <c r="T55" s="198"/>
      <c r="U55" s="198"/>
    </row>
    <row r="56" spans="1:21" s="12" customFormat="1" x14ac:dyDescent="0.25">
      <c r="A56" s="214" t="s">
        <v>2312</v>
      </c>
      <c r="B56" s="64">
        <v>8.2100000000000009</v>
      </c>
      <c r="C56" s="64">
        <v>3.33</v>
      </c>
      <c r="D56" s="64">
        <v>12.09</v>
      </c>
      <c r="E56" s="64">
        <v>6.03</v>
      </c>
      <c r="F56" s="64">
        <v>5</v>
      </c>
      <c r="G56" s="64">
        <v>24.21</v>
      </c>
      <c r="H56" s="64">
        <v>8.5500000000000007</v>
      </c>
      <c r="I56" s="64">
        <v>3.51</v>
      </c>
      <c r="J56" s="64">
        <v>0.48</v>
      </c>
      <c r="K56" s="64">
        <v>333.26</v>
      </c>
      <c r="L56" s="64">
        <v>27.34</v>
      </c>
      <c r="M56" s="64">
        <v>81.39</v>
      </c>
      <c r="N56" s="64">
        <v>672.2</v>
      </c>
      <c r="O56" s="64">
        <v>0</v>
      </c>
      <c r="P56" s="64">
        <v>0.35</v>
      </c>
      <c r="Q56" s="64">
        <v>9.43</v>
      </c>
      <c r="R56" s="198"/>
      <c r="S56" s="198"/>
      <c r="T56" s="198"/>
      <c r="U56" s="198"/>
    </row>
    <row r="57" spans="1:21" s="12" customFormat="1" x14ac:dyDescent="0.25">
      <c r="A57" s="214" t="s">
        <v>2313</v>
      </c>
      <c r="B57" s="64">
        <v>8.19</v>
      </c>
      <c r="C57" s="64">
        <v>3.23</v>
      </c>
      <c r="D57" s="64">
        <v>12.03</v>
      </c>
      <c r="E57" s="64">
        <v>5.41</v>
      </c>
      <c r="F57" s="64">
        <v>5.21</v>
      </c>
      <c r="G57" s="64">
        <v>24.21</v>
      </c>
      <c r="H57" s="64">
        <v>8.5500000000000007</v>
      </c>
      <c r="I57" s="64">
        <v>3.49</v>
      </c>
      <c r="J57" s="64">
        <v>0.56000000000000005</v>
      </c>
      <c r="K57" s="64">
        <v>347.01</v>
      </c>
      <c r="L57" s="64">
        <v>29.01</v>
      </c>
      <c r="M57" s="64">
        <v>74.7</v>
      </c>
      <c r="N57" s="64">
        <v>861.5</v>
      </c>
      <c r="O57" s="64">
        <v>0</v>
      </c>
      <c r="P57" s="64">
        <v>0.37</v>
      </c>
      <c r="Q57" s="64">
        <v>9.44</v>
      </c>
      <c r="R57" s="198"/>
      <c r="S57" s="198"/>
      <c r="T57" s="198"/>
      <c r="U57" s="198"/>
    </row>
    <row r="58" spans="1:21" s="12" customFormat="1" x14ac:dyDescent="0.25">
      <c r="A58" s="214" t="s">
        <v>2314</v>
      </c>
      <c r="B58" s="64">
        <v>8.19</v>
      </c>
      <c r="C58" s="64">
        <v>3.23</v>
      </c>
      <c r="D58" s="64">
        <v>12.04</v>
      </c>
      <c r="E58" s="64">
        <v>5.79</v>
      </c>
      <c r="F58" s="64">
        <v>5.22</v>
      </c>
      <c r="G58" s="64">
        <v>31.69</v>
      </c>
      <c r="H58" s="64">
        <v>9.7100000000000009</v>
      </c>
      <c r="I58" s="64">
        <v>3.49</v>
      </c>
      <c r="J58" s="64">
        <v>0.37</v>
      </c>
      <c r="K58" s="64">
        <v>336.21</v>
      </c>
      <c r="L58" s="64">
        <v>29.33</v>
      </c>
      <c r="M58" s="64">
        <v>73.5</v>
      </c>
      <c r="N58" s="64">
        <v>890.7</v>
      </c>
      <c r="O58" s="64">
        <v>0</v>
      </c>
      <c r="P58" s="64">
        <v>0.39</v>
      </c>
      <c r="Q58" s="64">
        <v>9.4700000000000006</v>
      </c>
      <c r="R58" s="198"/>
      <c r="S58" s="198"/>
      <c r="T58" s="198"/>
      <c r="U58" s="198"/>
    </row>
    <row r="59" spans="1:21" s="12" customFormat="1" x14ac:dyDescent="0.25">
      <c r="A59" s="214" t="s">
        <v>2315</v>
      </c>
      <c r="B59" s="64">
        <v>8.24</v>
      </c>
      <c r="C59" s="64">
        <v>3.42</v>
      </c>
      <c r="D59" s="64">
        <v>12.16</v>
      </c>
      <c r="E59" s="64">
        <v>5.71</v>
      </c>
      <c r="F59" s="64">
        <v>5.72</v>
      </c>
      <c r="G59" s="64">
        <v>38.840000000000003</v>
      </c>
      <c r="H59" s="64">
        <v>10.81</v>
      </c>
      <c r="I59" s="64">
        <v>3.45</v>
      </c>
      <c r="J59" s="64">
        <v>0.27</v>
      </c>
      <c r="K59" s="64">
        <v>350.99</v>
      </c>
      <c r="L59" s="64">
        <v>28.79</v>
      </c>
      <c r="M59" s="64">
        <v>74.040000000000006</v>
      </c>
      <c r="N59" s="64">
        <v>675.8</v>
      </c>
      <c r="O59" s="64">
        <v>0</v>
      </c>
      <c r="P59" s="64">
        <v>0.41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14" t="s">
        <v>2316</v>
      </c>
      <c r="B60" s="64">
        <v>8.24</v>
      </c>
      <c r="C60" s="64">
        <v>3.48</v>
      </c>
      <c r="D60" s="64">
        <v>12.2</v>
      </c>
      <c r="E60" s="64">
        <v>5.8</v>
      </c>
      <c r="F60" s="64">
        <v>5.9</v>
      </c>
      <c r="G60" s="64">
        <v>38.840000000000003</v>
      </c>
      <c r="H60" s="64">
        <v>10.81</v>
      </c>
      <c r="I60" s="64">
        <v>3.42</v>
      </c>
      <c r="J60" s="64">
        <v>0.26</v>
      </c>
      <c r="K60" s="64">
        <v>310.69</v>
      </c>
      <c r="L60" s="64">
        <v>28.14</v>
      </c>
      <c r="M60" s="64">
        <v>76.819999999999993</v>
      </c>
      <c r="N60" s="64">
        <v>510.5</v>
      </c>
      <c r="O60" s="64">
        <v>0</v>
      </c>
      <c r="P60" s="64">
        <v>0.4</v>
      </c>
      <c r="Q60" s="64">
        <v>9.4600000000000009</v>
      </c>
      <c r="R60" s="198"/>
      <c r="S60" s="198"/>
      <c r="T60" s="198"/>
      <c r="U60" s="198"/>
    </row>
    <row r="61" spans="1:21" s="12" customFormat="1" x14ac:dyDescent="0.25">
      <c r="A61" s="214" t="s">
        <v>2317</v>
      </c>
      <c r="B61" s="64">
        <v>8.19</v>
      </c>
      <c r="C61" s="64">
        <v>3.26</v>
      </c>
      <c r="D61" s="64">
        <v>12.04</v>
      </c>
      <c r="E61" s="64">
        <v>5.7</v>
      </c>
      <c r="F61" s="64">
        <v>6.23</v>
      </c>
      <c r="G61" s="64">
        <v>38.840000000000003</v>
      </c>
      <c r="H61" s="64">
        <v>10.81</v>
      </c>
      <c r="I61" s="64">
        <v>3.37</v>
      </c>
      <c r="J61" s="64">
        <v>0.43</v>
      </c>
      <c r="K61" s="64">
        <v>10.55</v>
      </c>
      <c r="L61" s="64">
        <v>28.01</v>
      </c>
      <c r="M61" s="64">
        <v>78.3</v>
      </c>
      <c r="N61" s="64">
        <v>299.3</v>
      </c>
      <c r="O61" s="64">
        <v>0</v>
      </c>
      <c r="P61" s="64">
        <v>0.4</v>
      </c>
      <c r="Q61" s="64">
        <v>9.51</v>
      </c>
      <c r="R61" s="198"/>
      <c r="S61" s="198"/>
      <c r="T61" s="198"/>
      <c r="U61" s="198"/>
    </row>
    <row r="62" spans="1:21" s="12" customFormat="1" x14ac:dyDescent="0.25">
      <c r="A62" s="214" t="s">
        <v>2318</v>
      </c>
      <c r="B62" s="64">
        <v>8.16</v>
      </c>
      <c r="C62" s="64">
        <v>3.3</v>
      </c>
      <c r="D62" s="64">
        <v>12.04</v>
      </c>
      <c r="E62" s="64">
        <v>5.88</v>
      </c>
      <c r="F62" s="64">
        <v>5.16</v>
      </c>
      <c r="G62" s="64">
        <v>38.29</v>
      </c>
      <c r="H62" s="64">
        <v>9.5500000000000007</v>
      </c>
      <c r="I62" s="64">
        <v>3.37</v>
      </c>
      <c r="J62" s="64">
        <v>0.2</v>
      </c>
      <c r="K62" s="64">
        <v>303.77</v>
      </c>
      <c r="L62" s="64">
        <v>27.11</v>
      </c>
      <c r="M62" s="64">
        <v>80.739999999999995</v>
      </c>
      <c r="N62" s="64">
        <v>267.60000000000002</v>
      </c>
      <c r="O62" s="64">
        <v>0</v>
      </c>
      <c r="P62" s="64">
        <v>0.42</v>
      </c>
      <c r="Q62" s="64">
        <v>9.52</v>
      </c>
      <c r="R62" s="198"/>
      <c r="S62" s="198"/>
      <c r="T62" s="198"/>
      <c r="U62" s="198"/>
    </row>
    <row r="63" spans="1:21" s="12" customFormat="1" x14ac:dyDescent="0.25">
      <c r="A63" s="214" t="s">
        <v>2319</v>
      </c>
      <c r="B63" s="64">
        <v>8.16</v>
      </c>
      <c r="C63" s="64">
        <v>3.26</v>
      </c>
      <c r="D63" s="64">
        <v>12.02</v>
      </c>
      <c r="E63" s="64">
        <v>5.86</v>
      </c>
      <c r="F63" s="64">
        <v>5.41</v>
      </c>
      <c r="G63" s="64">
        <v>37.79</v>
      </c>
      <c r="H63" s="64">
        <v>8.34</v>
      </c>
      <c r="I63" s="64">
        <v>3.37</v>
      </c>
      <c r="J63" s="64">
        <v>0.12</v>
      </c>
      <c r="K63" s="64">
        <v>322.25</v>
      </c>
      <c r="L63" s="64">
        <v>26.9</v>
      </c>
      <c r="M63" s="64">
        <v>82.15</v>
      </c>
      <c r="N63" s="64">
        <v>243.2</v>
      </c>
      <c r="O63" s="64">
        <v>0</v>
      </c>
      <c r="P63" s="64">
        <v>0.42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14" t="s">
        <v>2320</v>
      </c>
      <c r="B64" s="64">
        <v>8.18</v>
      </c>
      <c r="C64" s="64">
        <v>3.33</v>
      </c>
      <c r="D64" s="64">
        <v>12.07</v>
      </c>
      <c r="E64" s="64">
        <v>5.53</v>
      </c>
      <c r="F64" s="64">
        <v>5.67</v>
      </c>
      <c r="G64" s="64">
        <v>37.79</v>
      </c>
      <c r="H64" s="64">
        <v>8.34</v>
      </c>
      <c r="I64" s="64">
        <v>3.3</v>
      </c>
      <c r="J64" s="64">
        <v>0.53</v>
      </c>
      <c r="K64" s="64">
        <v>352.09</v>
      </c>
      <c r="L64" s="64">
        <v>27.46</v>
      </c>
      <c r="M64" s="64">
        <v>80.760000000000005</v>
      </c>
      <c r="N64" s="64">
        <v>223.9</v>
      </c>
      <c r="O64" s="64">
        <v>0</v>
      </c>
      <c r="P64" s="64">
        <v>0.43</v>
      </c>
      <c r="Q64" s="64">
        <v>9.52</v>
      </c>
      <c r="R64" s="198"/>
      <c r="S64" s="198"/>
      <c r="T64" s="198"/>
      <c r="U64" s="198"/>
    </row>
    <row r="65" spans="1:21" s="12" customFormat="1" x14ac:dyDescent="0.25">
      <c r="A65" s="214" t="s">
        <v>2321</v>
      </c>
      <c r="B65" s="64">
        <v>8.27</v>
      </c>
      <c r="C65" s="64">
        <v>3.74</v>
      </c>
      <c r="D65" s="64">
        <v>12.36</v>
      </c>
      <c r="E65" s="64">
        <v>5.76</v>
      </c>
      <c r="F65" s="64">
        <v>4.83</v>
      </c>
      <c r="G65" s="64">
        <v>37.79</v>
      </c>
      <c r="H65" s="64">
        <v>8.34</v>
      </c>
      <c r="I65" s="64">
        <v>3.24</v>
      </c>
      <c r="J65" s="64">
        <v>0.59</v>
      </c>
      <c r="K65" s="64">
        <v>5.69</v>
      </c>
      <c r="L65" s="64">
        <v>27.52</v>
      </c>
      <c r="M65" s="64">
        <v>80.849999999999994</v>
      </c>
      <c r="N65" s="64">
        <v>239.9</v>
      </c>
      <c r="O65" s="64">
        <v>0</v>
      </c>
      <c r="P65" s="64">
        <v>0.46</v>
      </c>
      <c r="Q65" s="64">
        <v>9.5</v>
      </c>
      <c r="R65" s="198"/>
      <c r="S65" s="198"/>
      <c r="T65" s="198"/>
      <c r="U65" s="198"/>
    </row>
    <row r="66" spans="1:21" s="12" customFormat="1" x14ac:dyDescent="0.25">
      <c r="A66" s="214" t="s">
        <v>2322</v>
      </c>
      <c r="B66" s="64">
        <v>8.2200000000000006</v>
      </c>
      <c r="C66" s="64">
        <v>3.52</v>
      </c>
      <c r="D66" s="64">
        <v>12.21</v>
      </c>
      <c r="E66" s="64">
        <v>5.68</v>
      </c>
      <c r="F66" s="64">
        <v>5.25</v>
      </c>
      <c r="G66" s="64">
        <v>38.82</v>
      </c>
      <c r="H66" s="64">
        <v>13.24</v>
      </c>
      <c r="I66" s="64">
        <v>3.24</v>
      </c>
      <c r="J66" s="64">
        <v>0.6</v>
      </c>
      <c r="K66" s="64">
        <v>342.5</v>
      </c>
      <c r="L66" s="64">
        <v>27.48</v>
      </c>
      <c r="M66" s="64">
        <v>82</v>
      </c>
      <c r="N66" s="64">
        <v>325.7</v>
      </c>
      <c r="O66" s="64">
        <v>0</v>
      </c>
      <c r="P66" s="64">
        <v>0.45</v>
      </c>
      <c r="Q66" s="64">
        <v>9.49</v>
      </c>
      <c r="R66" s="198"/>
      <c r="S66" s="198"/>
      <c r="T66" s="198"/>
      <c r="U66" s="198"/>
    </row>
    <row r="67" spans="1:21" s="12" customFormat="1" x14ac:dyDescent="0.25">
      <c r="A67" s="214" t="s">
        <v>2323</v>
      </c>
      <c r="B67" s="64">
        <v>8.17</v>
      </c>
      <c r="C67" s="64">
        <v>3.29</v>
      </c>
      <c r="D67" s="64">
        <v>12.05</v>
      </c>
      <c r="E67" s="64">
        <v>5.44</v>
      </c>
      <c r="F67" s="64">
        <v>5.85</v>
      </c>
      <c r="G67" s="64">
        <v>39.799999999999997</v>
      </c>
      <c r="H67" s="64">
        <v>17.93</v>
      </c>
      <c r="I67" s="64">
        <v>3.18</v>
      </c>
      <c r="J67" s="64">
        <v>0.47</v>
      </c>
      <c r="K67" s="64">
        <v>16.91</v>
      </c>
      <c r="L67" s="64">
        <v>27.9</v>
      </c>
      <c r="M67" s="64">
        <v>78.430000000000007</v>
      </c>
      <c r="N67" s="64">
        <v>428.9</v>
      </c>
      <c r="O67" s="64">
        <v>0</v>
      </c>
      <c r="P67" s="64">
        <v>0.45</v>
      </c>
      <c r="Q67" s="64">
        <v>9.5299999999999994</v>
      </c>
      <c r="R67" s="198"/>
      <c r="S67" s="198"/>
      <c r="T67" s="198"/>
      <c r="U67" s="198"/>
    </row>
    <row r="68" spans="1:21" s="12" customFormat="1" x14ac:dyDescent="0.25">
      <c r="A68" s="214" t="s">
        <v>2324</v>
      </c>
      <c r="B68" s="64">
        <v>8.17</v>
      </c>
      <c r="C68" s="64">
        <v>3.24</v>
      </c>
      <c r="D68" s="64">
        <v>12.02</v>
      </c>
      <c r="E68" s="64">
        <v>5.65</v>
      </c>
      <c r="F68" s="64">
        <v>5.03</v>
      </c>
      <c r="G68" s="64">
        <v>39.799999999999997</v>
      </c>
      <c r="H68" s="64">
        <v>17.93</v>
      </c>
      <c r="I68" s="64">
        <v>3.08</v>
      </c>
      <c r="J68" s="64">
        <v>0.44</v>
      </c>
      <c r="K68" s="64">
        <v>351.83</v>
      </c>
      <c r="L68" s="64">
        <v>27.64</v>
      </c>
      <c r="M68" s="64">
        <v>78.58</v>
      </c>
      <c r="N68" s="64">
        <v>354.9</v>
      </c>
      <c r="O68" s="64">
        <v>0</v>
      </c>
      <c r="P68" s="64">
        <v>0.44</v>
      </c>
      <c r="Q68" s="64">
        <v>9.51</v>
      </c>
      <c r="R68" s="198"/>
      <c r="S68" s="198"/>
      <c r="T68" s="198"/>
      <c r="U68" s="198"/>
    </row>
    <row r="69" spans="1:21" s="12" customFormat="1" x14ac:dyDescent="0.25">
      <c r="A69" s="214" t="s">
        <v>2325</v>
      </c>
      <c r="B69" s="64">
        <v>8.2100000000000009</v>
      </c>
      <c r="C69" s="64">
        <v>3.47</v>
      </c>
      <c r="D69" s="64">
        <v>12.17</v>
      </c>
      <c r="E69" s="64">
        <v>5.52</v>
      </c>
      <c r="F69" s="64">
        <v>5.19</v>
      </c>
      <c r="G69" s="64">
        <v>39.799999999999997</v>
      </c>
      <c r="H69" s="64">
        <v>17.93</v>
      </c>
      <c r="I69" s="64">
        <v>2.96</v>
      </c>
      <c r="J69" s="64">
        <v>0.51</v>
      </c>
      <c r="K69" s="64">
        <v>330.67</v>
      </c>
      <c r="L69" s="64">
        <v>28.07</v>
      </c>
      <c r="M69" s="64">
        <v>77.75</v>
      </c>
      <c r="N69" s="64">
        <v>237.3</v>
      </c>
      <c r="O69" s="64">
        <v>0</v>
      </c>
      <c r="P69" s="64">
        <v>0.45</v>
      </c>
      <c r="Q69" s="64">
        <v>9.48</v>
      </c>
      <c r="R69" s="198"/>
      <c r="S69" s="198"/>
      <c r="T69" s="198"/>
      <c r="U69" s="198"/>
    </row>
    <row r="70" spans="1:21" s="12" customFormat="1" x14ac:dyDescent="0.25">
      <c r="A70" s="214" t="s">
        <v>2326</v>
      </c>
      <c r="B70" s="64">
        <v>8.19</v>
      </c>
      <c r="C70" s="64">
        <v>3.3</v>
      </c>
      <c r="D70" s="64">
        <v>12.07</v>
      </c>
      <c r="E70" s="64">
        <v>5.5</v>
      </c>
      <c r="F70" s="64">
        <v>5.16</v>
      </c>
      <c r="G70" s="64">
        <v>42.17</v>
      </c>
      <c r="H70" s="64">
        <v>16.77</v>
      </c>
      <c r="I70" s="64">
        <v>2.86</v>
      </c>
      <c r="J70" s="64">
        <v>0.28999999999999998</v>
      </c>
      <c r="K70" s="64">
        <v>330.73</v>
      </c>
      <c r="L70" s="64">
        <v>27.69</v>
      </c>
      <c r="M70" s="64">
        <v>78.12</v>
      </c>
      <c r="N70" s="64">
        <v>246.1</v>
      </c>
      <c r="O70" s="64">
        <v>0</v>
      </c>
      <c r="P70" s="64">
        <v>0.46</v>
      </c>
      <c r="Q70" s="64">
        <v>9.52</v>
      </c>
      <c r="R70" s="198"/>
      <c r="S70" s="198"/>
      <c r="T70" s="198"/>
      <c r="U70" s="198"/>
    </row>
    <row r="71" spans="1:21" s="12" customFormat="1" x14ac:dyDescent="0.25">
      <c r="A71" s="214" t="s">
        <v>2327</v>
      </c>
      <c r="B71" s="64">
        <v>8.25</v>
      </c>
      <c r="C71" s="64">
        <v>3.64</v>
      </c>
      <c r="D71" s="64">
        <v>12.29</v>
      </c>
      <c r="E71" s="64">
        <v>5.57</v>
      </c>
      <c r="F71" s="64">
        <v>4.21</v>
      </c>
      <c r="G71" s="64">
        <v>44.34</v>
      </c>
      <c r="H71" s="64">
        <v>15.66</v>
      </c>
      <c r="I71" s="64">
        <v>2.87</v>
      </c>
      <c r="J71" s="64">
        <v>0.35</v>
      </c>
      <c r="K71" s="64">
        <v>155.1</v>
      </c>
      <c r="L71" s="64">
        <v>27.27</v>
      </c>
      <c r="M71" s="64">
        <v>79.62</v>
      </c>
      <c r="N71" s="64">
        <v>164.6</v>
      </c>
      <c r="O71" s="64">
        <v>0</v>
      </c>
      <c r="P71" s="64">
        <v>0.47</v>
      </c>
      <c r="Q71" s="64">
        <v>9.5</v>
      </c>
      <c r="R71" s="198"/>
      <c r="S71" s="198"/>
      <c r="T71" s="198"/>
      <c r="U71" s="198"/>
    </row>
    <row r="72" spans="1:21" s="12" customFormat="1" x14ac:dyDescent="0.25">
      <c r="A72" s="214" t="s">
        <v>2328</v>
      </c>
      <c r="B72" s="64">
        <v>8.1999999999999993</v>
      </c>
      <c r="C72" s="64">
        <v>3.41</v>
      </c>
      <c r="D72" s="64">
        <v>12.13</v>
      </c>
      <c r="E72" s="64">
        <v>5.88</v>
      </c>
      <c r="F72" s="64">
        <v>4.53</v>
      </c>
      <c r="G72" s="64">
        <v>44.34</v>
      </c>
      <c r="H72" s="64">
        <v>15.66</v>
      </c>
      <c r="I72" s="64">
        <v>2.93</v>
      </c>
      <c r="J72" s="64">
        <v>0.09</v>
      </c>
      <c r="K72" s="64">
        <v>249.39</v>
      </c>
      <c r="L72" s="64">
        <v>27.27</v>
      </c>
      <c r="M72" s="64">
        <v>78.959999999999994</v>
      </c>
      <c r="N72" s="64">
        <v>137.5</v>
      </c>
      <c r="O72" s="64">
        <v>0</v>
      </c>
      <c r="P72" s="64">
        <v>0.46</v>
      </c>
      <c r="Q72" s="64">
        <v>9.44</v>
      </c>
      <c r="R72" s="198"/>
      <c r="S72" s="198"/>
      <c r="T72" s="198"/>
      <c r="U72" s="198"/>
    </row>
    <row r="73" spans="1:21" s="12" customFormat="1" x14ac:dyDescent="0.25">
      <c r="A73" s="214" t="s">
        <v>2329</v>
      </c>
      <c r="B73" s="64">
        <v>8.19</v>
      </c>
      <c r="C73" s="64">
        <v>3.3</v>
      </c>
      <c r="D73" s="64">
        <v>12.06</v>
      </c>
      <c r="E73" s="64">
        <v>4.46</v>
      </c>
      <c r="F73" s="64">
        <v>4.3600000000000003</v>
      </c>
      <c r="G73" s="64">
        <v>44.34</v>
      </c>
      <c r="H73" s="64">
        <v>15.66</v>
      </c>
      <c r="I73" s="64">
        <v>2.97</v>
      </c>
      <c r="J73" s="64">
        <v>0.47</v>
      </c>
      <c r="K73" s="64">
        <v>148.35</v>
      </c>
      <c r="L73" s="64">
        <v>27.5</v>
      </c>
      <c r="M73" s="64">
        <v>78.400000000000006</v>
      </c>
      <c r="N73" s="64">
        <v>203.2</v>
      </c>
      <c r="O73" s="64">
        <v>0</v>
      </c>
      <c r="P73" s="64">
        <v>0.46</v>
      </c>
      <c r="Q73" s="64">
        <v>9.4</v>
      </c>
      <c r="R73" s="198"/>
      <c r="S73" s="198"/>
      <c r="T73" s="198"/>
      <c r="U73" s="198"/>
    </row>
    <row r="74" spans="1:21" s="12" customFormat="1" x14ac:dyDescent="0.25">
      <c r="A74" s="214" t="s">
        <v>2330</v>
      </c>
      <c r="B74" s="64">
        <v>8.1999999999999993</v>
      </c>
      <c r="C74" s="64">
        <v>3.31</v>
      </c>
      <c r="D74" s="64">
        <v>12.08</v>
      </c>
      <c r="E74" s="64">
        <v>4.84</v>
      </c>
      <c r="F74" s="64">
        <v>4.3499999999999996</v>
      </c>
      <c r="G74" s="64">
        <v>42.59</v>
      </c>
      <c r="H74" s="64">
        <v>18.16</v>
      </c>
      <c r="I74" s="64">
        <v>3.08</v>
      </c>
      <c r="J74" s="64">
        <v>7.0000000000000007E-2</v>
      </c>
      <c r="K74" s="64">
        <v>342.07</v>
      </c>
      <c r="L74" s="64">
        <v>27.59</v>
      </c>
      <c r="M74" s="64">
        <v>76.680000000000007</v>
      </c>
      <c r="N74" s="64">
        <v>169.6</v>
      </c>
      <c r="O74" s="64">
        <v>0</v>
      </c>
      <c r="P74" s="64">
        <v>0.45</v>
      </c>
      <c r="Q74" s="64">
        <v>9.4</v>
      </c>
      <c r="R74" s="198"/>
      <c r="S74" s="198"/>
      <c r="T74" s="198"/>
      <c r="U74" s="198"/>
    </row>
    <row r="75" spans="1:21" s="12" customFormat="1" x14ac:dyDescent="0.25">
      <c r="A75" s="214" t="s">
        <v>2331</v>
      </c>
      <c r="B75" s="64">
        <v>8.18</v>
      </c>
      <c r="C75" s="64">
        <v>3.18</v>
      </c>
      <c r="D75" s="64">
        <v>12</v>
      </c>
      <c r="E75" s="64">
        <v>4.6500000000000004</v>
      </c>
      <c r="F75" s="64">
        <v>4.47</v>
      </c>
      <c r="G75" s="64">
        <v>40.98</v>
      </c>
      <c r="H75" s="64">
        <v>20.54</v>
      </c>
      <c r="I75" s="64">
        <v>3.33</v>
      </c>
      <c r="J75" s="64">
        <v>0.65</v>
      </c>
      <c r="K75" s="64">
        <v>152.72</v>
      </c>
      <c r="L75" s="64">
        <v>27.33</v>
      </c>
      <c r="M75" s="64">
        <v>78.28</v>
      </c>
      <c r="N75" s="64">
        <v>112.6</v>
      </c>
      <c r="O75" s="64">
        <v>0</v>
      </c>
      <c r="P75" s="64">
        <v>0.45</v>
      </c>
      <c r="Q75" s="64">
        <v>9.4</v>
      </c>
      <c r="R75" s="198"/>
      <c r="S75" s="198"/>
      <c r="T75" s="198"/>
      <c r="U75" s="198"/>
    </row>
    <row r="76" spans="1:21" s="12" customFormat="1" x14ac:dyDescent="0.25">
      <c r="A76" s="214" t="s">
        <v>2332</v>
      </c>
      <c r="B76" s="64">
        <v>8.1999999999999993</v>
      </c>
      <c r="C76" s="64">
        <v>3.2</v>
      </c>
      <c r="D76" s="64">
        <v>12.02</v>
      </c>
      <c r="E76" s="64">
        <v>4.97</v>
      </c>
      <c r="F76" s="64">
        <v>4.3099999999999996</v>
      </c>
      <c r="G76" s="64">
        <v>40.98</v>
      </c>
      <c r="H76" s="64">
        <v>20.54</v>
      </c>
      <c r="I76" s="64">
        <v>3.58</v>
      </c>
      <c r="J76" s="64">
        <v>0.19</v>
      </c>
      <c r="K76" s="64">
        <v>81.66</v>
      </c>
      <c r="L76" s="64">
        <v>27.55</v>
      </c>
      <c r="M76" s="64">
        <v>77.260000000000005</v>
      </c>
      <c r="N76" s="64">
        <v>116.7</v>
      </c>
      <c r="O76" s="64">
        <v>0</v>
      </c>
      <c r="P76" s="64">
        <v>0.44</v>
      </c>
      <c r="Q76" s="64">
        <v>9.43</v>
      </c>
      <c r="R76" s="198"/>
      <c r="S76" s="198"/>
      <c r="T76" s="198"/>
      <c r="U76" s="198"/>
    </row>
    <row r="77" spans="1:21" s="12" customFormat="1" x14ac:dyDescent="0.25">
      <c r="A77" s="214" t="s">
        <v>2333</v>
      </c>
      <c r="B77" s="64">
        <v>8.18</v>
      </c>
      <c r="C77" s="64">
        <v>3.14</v>
      </c>
      <c r="D77" s="64">
        <v>12.01</v>
      </c>
      <c r="E77" s="64">
        <v>5.18</v>
      </c>
      <c r="F77" s="64">
        <v>5.73</v>
      </c>
      <c r="G77" s="64">
        <v>40.98</v>
      </c>
      <c r="H77" s="64">
        <v>20.54</v>
      </c>
      <c r="I77" s="64">
        <v>3.96</v>
      </c>
      <c r="J77" s="64">
        <v>0.73</v>
      </c>
      <c r="K77" s="64">
        <v>157.80000000000001</v>
      </c>
      <c r="L77" s="64">
        <v>27.32</v>
      </c>
      <c r="M77" s="64">
        <v>76.61</v>
      </c>
      <c r="N77" s="64">
        <v>102.8</v>
      </c>
      <c r="O77" s="64">
        <v>0</v>
      </c>
      <c r="P77" s="64">
        <v>0.4</v>
      </c>
      <c r="Q77" s="64">
        <v>0</v>
      </c>
      <c r="R77" s="198"/>
      <c r="S77" s="198"/>
      <c r="T77" s="198"/>
      <c r="U77" s="198"/>
    </row>
    <row r="78" spans="1:21" s="12" customFormat="1" x14ac:dyDescent="0.25">
      <c r="A78" s="214" t="s">
        <v>2334</v>
      </c>
      <c r="B78" s="64">
        <v>8.17</v>
      </c>
      <c r="C78" s="64">
        <v>3.17</v>
      </c>
      <c r="D78" s="64">
        <v>11.98</v>
      </c>
      <c r="E78" s="64">
        <v>5.19</v>
      </c>
      <c r="F78" s="64">
        <v>12.68</v>
      </c>
      <c r="G78" s="64">
        <v>40.98</v>
      </c>
      <c r="H78" s="64">
        <v>20.54</v>
      </c>
      <c r="I78" s="64">
        <v>4</v>
      </c>
      <c r="J78" s="64">
        <v>0.19</v>
      </c>
      <c r="K78" s="64">
        <v>7.34</v>
      </c>
      <c r="L78" s="64">
        <v>27.44</v>
      </c>
      <c r="M78" s="64">
        <v>76.680000000000007</v>
      </c>
      <c r="N78" s="64">
        <v>91.4</v>
      </c>
      <c r="O78" s="64">
        <v>0</v>
      </c>
      <c r="P78" s="64">
        <v>0.39</v>
      </c>
      <c r="Q78" s="64">
        <v>9.4600000000000009</v>
      </c>
      <c r="R78" s="198"/>
      <c r="S78" s="198"/>
      <c r="T78" s="198"/>
      <c r="U78" s="198"/>
    </row>
    <row r="79" spans="1:21" s="12" customFormat="1" x14ac:dyDescent="0.25">
      <c r="A79" s="214" t="s">
        <v>2335</v>
      </c>
      <c r="B79" s="64">
        <v>8.19</v>
      </c>
      <c r="C79" s="64">
        <v>3.31</v>
      </c>
      <c r="D79" s="64">
        <v>12.07</v>
      </c>
      <c r="E79" s="26" t="s">
        <v>40</v>
      </c>
      <c r="F79" s="64">
        <v>9.2100000000000009</v>
      </c>
      <c r="G79" s="64">
        <v>40.98</v>
      </c>
      <c r="H79" s="64">
        <v>20.54</v>
      </c>
      <c r="I79" s="64">
        <v>4.04</v>
      </c>
      <c r="J79" s="64">
        <v>0.12</v>
      </c>
      <c r="K79" s="64">
        <v>282.82</v>
      </c>
      <c r="L79" s="64">
        <v>27.43</v>
      </c>
      <c r="M79" s="64">
        <v>75.94</v>
      </c>
      <c r="N79" s="64">
        <v>82.7</v>
      </c>
      <c r="O79" s="64">
        <v>0</v>
      </c>
      <c r="P79" s="64">
        <v>0.43</v>
      </c>
      <c r="Q79" s="64">
        <v>9.4700000000000006</v>
      </c>
      <c r="R79" s="198"/>
      <c r="S79" s="198"/>
      <c r="T79" s="198"/>
      <c r="U79" s="198"/>
    </row>
    <row r="80" spans="1:21" s="12" customFormat="1" x14ac:dyDescent="0.25">
      <c r="A80" s="214" t="s">
        <v>2336</v>
      </c>
      <c r="B80" s="64">
        <v>8.18</v>
      </c>
      <c r="C80" s="64">
        <v>3.39</v>
      </c>
      <c r="D80" s="64">
        <v>12.1</v>
      </c>
      <c r="E80" s="64">
        <v>5.0599999999999996</v>
      </c>
      <c r="F80" s="64">
        <v>5.93</v>
      </c>
      <c r="G80" s="211" t="s">
        <v>40</v>
      </c>
      <c r="H80" s="211" t="s">
        <v>40</v>
      </c>
      <c r="I80" s="64">
        <v>3.95</v>
      </c>
      <c r="J80" s="64">
        <v>0.51</v>
      </c>
      <c r="K80" s="64">
        <v>26.97</v>
      </c>
      <c r="L80" s="64">
        <v>27.22</v>
      </c>
      <c r="M80" s="64">
        <v>77.22</v>
      </c>
      <c r="N80" s="64">
        <v>70.2</v>
      </c>
      <c r="O80" s="64">
        <v>0</v>
      </c>
      <c r="P80" s="64">
        <v>0.46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4" t="s">
        <v>2337</v>
      </c>
      <c r="B81" s="64">
        <v>8.26</v>
      </c>
      <c r="C81" s="64">
        <v>3.76</v>
      </c>
      <c r="D81" s="64">
        <v>12.36</v>
      </c>
      <c r="E81" s="64">
        <v>4.99</v>
      </c>
      <c r="F81" s="64">
        <v>5.6</v>
      </c>
      <c r="G81" s="211" t="s">
        <v>40</v>
      </c>
      <c r="H81" s="211" t="s">
        <v>40</v>
      </c>
      <c r="I81" s="64">
        <v>3.95</v>
      </c>
      <c r="J81" s="64">
        <v>0.06</v>
      </c>
      <c r="K81" s="64">
        <v>202.13</v>
      </c>
      <c r="L81" s="64">
        <v>27.16</v>
      </c>
      <c r="M81" s="64">
        <v>78.099999999999994</v>
      </c>
      <c r="N81" s="64">
        <v>55.4</v>
      </c>
      <c r="O81" s="64">
        <v>0</v>
      </c>
      <c r="P81" s="64">
        <v>0.47</v>
      </c>
      <c r="Q81" s="64">
        <v>9.4600000000000009</v>
      </c>
      <c r="R81" s="198"/>
      <c r="S81" s="198"/>
      <c r="T81" s="198"/>
      <c r="U81" s="198"/>
    </row>
    <row r="82" spans="1:26" s="12" customFormat="1" x14ac:dyDescent="0.25">
      <c r="A82" s="214" t="s">
        <v>2338</v>
      </c>
      <c r="B82" s="64">
        <v>8.26</v>
      </c>
      <c r="C82" s="64">
        <v>3.71</v>
      </c>
      <c r="D82" s="64">
        <v>12.34</v>
      </c>
      <c r="E82" s="64">
        <v>4.9400000000000004</v>
      </c>
      <c r="F82" s="64">
        <v>5.66</v>
      </c>
      <c r="G82" s="211" t="s">
        <v>40</v>
      </c>
      <c r="H82" s="211" t="s">
        <v>40</v>
      </c>
      <c r="I82" s="64">
        <v>3.93</v>
      </c>
      <c r="J82" s="64">
        <v>0.14000000000000001</v>
      </c>
      <c r="K82" s="64">
        <v>191.97</v>
      </c>
      <c r="L82" s="64">
        <v>26.95</v>
      </c>
      <c r="M82" s="64">
        <v>78.84</v>
      </c>
      <c r="N82" s="64">
        <v>34.700000000000003</v>
      </c>
      <c r="O82" s="64">
        <v>0</v>
      </c>
      <c r="P82" s="64">
        <v>0.46</v>
      </c>
      <c r="Q82" s="64">
        <v>9.48</v>
      </c>
      <c r="R82" s="198"/>
      <c r="S82" s="198"/>
      <c r="T82" s="198"/>
      <c r="U82" s="198"/>
    </row>
    <row r="83" spans="1:26" s="12" customFormat="1" x14ac:dyDescent="0.25">
      <c r="A83" s="214" t="s">
        <v>2339</v>
      </c>
      <c r="B83" s="64">
        <v>8.15</v>
      </c>
      <c r="C83" s="64">
        <v>3.21</v>
      </c>
      <c r="D83" s="64">
        <v>11.98</v>
      </c>
      <c r="E83" s="64">
        <v>4.6100000000000003</v>
      </c>
      <c r="F83" s="64">
        <v>4.95</v>
      </c>
      <c r="G83" s="211" t="s">
        <v>40</v>
      </c>
      <c r="H83" s="211" t="s">
        <v>40</v>
      </c>
      <c r="I83" s="64">
        <v>3.78</v>
      </c>
      <c r="J83" s="64">
        <v>0.3</v>
      </c>
      <c r="K83" s="64">
        <v>41.83</v>
      </c>
      <c r="L83" s="64">
        <v>26.67</v>
      </c>
      <c r="M83" s="64">
        <v>80.87</v>
      </c>
      <c r="N83" s="64">
        <v>22.4</v>
      </c>
      <c r="O83" s="64">
        <v>0</v>
      </c>
      <c r="P83" s="64">
        <v>0.48</v>
      </c>
      <c r="Q83" s="64">
        <v>9.51</v>
      </c>
      <c r="R83" s="198"/>
      <c r="S83" s="198"/>
      <c r="T83" s="198"/>
      <c r="U83" s="198"/>
    </row>
    <row r="84" spans="1:26" s="12" customFormat="1" x14ac:dyDescent="0.25">
      <c r="A84" s="214" t="s">
        <v>2340</v>
      </c>
      <c r="B84" s="64">
        <v>8.1199999999999992</v>
      </c>
      <c r="C84" s="64">
        <v>3.13</v>
      </c>
      <c r="D84" s="64">
        <v>11.92</v>
      </c>
      <c r="E84" s="64">
        <v>4.9000000000000004</v>
      </c>
      <c r="F84" s="64">
        <v>4.1500000000000004</v>
      </c>
      <c r="G84" s="64">
        <v>26.36</v>
      </c>
      <c r="H84" s="64">
        <v>0.81</v>
      </c>
      <c r="I84" s="64">
        <v>3.56</v>
      </c>
      <c r="J84" s="64">
        <v>0.3</v>
      </c>
      <c r="K84" s="64">
        <v>238.3</v>
      </c>
      <c r="L84" s="64">
        <v>26.44</v>
      </c>
      <c r="M84" s="64">
        <v>82.39</v>
      </c>
      <c r="N84" s="64">
        <v>19.899999999999999</v>
      </c>
      <c r="O84" s="64">
        <v>0</v>
      </c>
      <c r="P84" s="64">
        <v>0.48</v>
      </c>
      <c r="Q84" s="64">
        <v>9.4600000000000009</v>
      </c>
      <c r="R84" s="198"/>
      <c r="S84" s="198"/>
      <c r="T84" s="198"/>
      <c r="U84" s="198"/>
    </row>
    <row r="85" spans="1:26" s="12" customFormat="1" x14ac:dyDescent="0.25">
      <c r="A85" s="214" t="s">
        <v>2341</v>
      </c>
      <c r="B85" s="64">
        <v>8.1199999999999992</v>
      </c>
      <c r="C85" s="64">
        <v>3.12</v>
      </c>
      <c r="D85" s="64">
        <v>11.91</v>
      </c>
      <c r="E85" s="64">
        <v>4.68</v>
      </c>
      <c r="F85" s="64">
        <v>4.62</v>
      </c>
      <c r="G85" s="64">
        <v>27.58</v>
      </c>
      <c r="H85" s="64">
        <v>0.84</v>
      </c>
      <c r="I85" s="64">
        <v>3.45</v>
      </c>
      <c r="J85" s="64">
        <v>0.56000000000000005</v>
      </c>
      <c r="K85" s="64">
        <v>20.170000000000002</v>
      </c>
      <c r="L85" s="64">
        <v>26.37</v>
      </c>
      <c r="M85" s="64">
        <v>82.56</v>
      </c>
      <c r="N85" s="64">
        <v>19.600000000000001</v>
      </c>
      <c r="O85" s="64">
        <v>0</v>
      </c>
      <c r="P85" s="64">
        <v>0.49</v>
      </c>
      <c r="Q85" s="64">
        <v>9.4700000000000006</v>
      </c>
      <c r="R85" s="198"/>
      <c r="S85" s="198"/>
      <c r="T85" s="198"/>
      <c r="U85" s="198"/>
    </row>
    <row r="86" spans="1:26" s="12" customFormat="1" x14ac:dyDescent="0.25">
      <c r="A86" s="214" t="s">
        <v>2342</v>
      </c>
      <c r="B86" s="64">
        <v>8.11</v>
      </c>
      <c r="C86" s="64">
        <v>3.07</v>
      </c>
      <c r="D86" s="64">
        <v>11.89</v>
      </c>
      <c r="E86" s="64">
        <v>4.91</v>
      </c>
      <c r="F86" s="64">
        <v>3.81</v>
      </c>
      <c r="G86" s="64">
        <v>27.58</v>
      </c>
      <c r="H86" s="64">
        <v>0.84</v>
      </c>
      <c r="I86" s="64">
        <v>3.49</v>
      </c>
      <c r="J86" s="64">
        <v>0.38</v>
      </c>
      <c r="K86" s="64">
        <v>21.77</v>
      </c>
      <c r="L86" s="64">
        <v>26.26</v>
      </c>
      <c r="M86" s="64">
        <v>83.84</v>
      </c>
      <c r="N86" s="64">
        <v>19.600000000000001</v>
      </c>
      <c r="O86" s="64">
        <v>0</v>
      </c>
      <c r="P86" s="64">
        <v>0.54</v>
      </c>
      <c r="Q86" s="64">
        <v>9.5299999999999994</v>
      </c>
      <c r="R86" s="198"/>
      <c r="S86" s="198"/>
      <c r="T86" s="198"/>
      <c r="U86" s="198"/>
    </row>
    <row r="87" spans="1:26" s="12" customFormat="1" x14ac:dyDescent="0.25">
      <c r="A87" s="214" t="s">
        <v>2343</v>
      </c>
      <c r="B87" s="64">
        <v>8.1199999999999992</v>
      </c>
      <c r="C87" s="64">
        <v>3.09</v>
      </c>
      <c r="D87" s="64">
        <v>11.9</v>
      </c>
      <c r="E87" s="64">
        <v>5.05</v>
      </c>
      <c r="F87" s="64">
        <v>3.49</v>
      </c>
      <c r="G87" s="64">
        <v>27.58</v>
      </c>
      <c r="H87" s="64">
        <v>0.84</v>
      </c>
      <c r="I87" s="64">
        <v>3.57</v>
      </c>
      <c r="J87" s="64">
        <v>0.17</v>
      </c>
      <c r="K87" s="64">
        <v>25.83</v>
      </c>
      <c r="L87" s="64">
        <v>26.18</v>
      </c>
      <c r="M87" s="64">
        <v>84.62</v>
      </c>
      <c r="N87" s="64">
        <v>19.5</v>
      </c>
      <c r="O87" s="64">
        <v>0</v>
      </c>
      <c r="P87" s="64">
        <v>0.56000000000000005</v>
      </c>
      <c r="Q87" s="64">
        <v>9.48</v>
      </c>
      <c r="R87" s="198"/>
      <c r="S87" s="198"/>
      <c r="T87" s="198"/>
      <c r="U87" s="198"/>
    </row>
    <row r="88" spans="1:26" s="12" customFormat="1" x14ac:dyDescent="0.25">
      <c r="A88" s="214" t="s">
        <v>2344</v>
      </c>
      <c r="B88" s="64">
        <v>8.17</v>
      </c>
      <c r="C88" s="64">
        <v>3.28</v>
      </c>
      <c r="D88" s="64">
        <v>12.04</v>
      </c>
      <c r="E88" s="64">
        <v>3.26</v>
      </c>
      <c r="F88" s="64">
        <v>4.45</v>
      </c>
      <c r="G88" s="64">
        <v>57.29</v>
      </c>
      <c r="H88" s="64">
        <v>7.47</v>
      </c>
      <c r="I88" s="64">
        <v>3.65</v>
      </c>
      <c r="J88" s="64">
        <v>0.13</v>
      </c>
      <c r="K88" s="64">
        <v>80.180000000000007</v>
      </c>
      <c r="L88" s="64">
        <v>26.03</v>
      </c>
      <c r="M88" s="64">
        <v>85.1</v>
      </c>
      <c r="N88" s="64">
        <v>19.5</v>
      </c>
      <c r="O88" s="64">
        <v>0</v>
      </c>
      <c r="P88" s="64">
        <v>0.6</v>
      </c>
      <c r="Q88" s="64">
        <v>9.52</v>
      </c>
      <c r="R88" s="198"/>
      <c r="S88" s="198"/>
      <c r="T88" s="198"/>
      <c r="U88" s="198"/>
    </row>
    <row r="89" spans="1:26" s="12" customFormat="1" x14ac:dyDescent="0.25">
      <c r="A89" s="214" t="s">
        <v>2345</v>
      </c>
      <c r="B89" s="64">
        <v>8.15</v>
      </c>
      <c r="C89" s="64">
        <v>3.22</v>
      </c>
      <c r="D89" s="64">
        <v>11.99</v>
      </c>
      <c r="E89" s="64">
        <v>3.95</v>
      </c>
      <c r="F89" s="64">
        <v>3.54</v>
      </c>
      <c r="G89" s="64">
        <v>58.67</v>
      </c>
      <c r="H89" s="64">
        <v>7.85</v>
      </c>
      <c r="I89" s="64">
        <v>3.83</v>
      </c>
      <c r="J89" s="64">
        <v>0.36</v>
      </c>
      <c r="K89" s="64">
        <v>210.87</v>
      </c>
      <c r="L89" s="64">
        <v>25.9</v>
      </c>
      <c r="M89" s="64">
        <v>86.33</v>
      </c>
      <c r="N89" s="64">
        <v>19.399999999999999</v>
      </c>
      <c r="O89" s="64">
        <v>0</v>
      </c>
      <c r="P89" s="64">
        <v>0.6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4" t="s">
        <v>2346</v>
      </c>
      <c r="B90" s="64">
        <v>8.25</v>
      </c>
      <c r="C90" s="64">
        <v>3.53</v>
      </c>
      <c r="D90" s="64">
        <v>12.23</v>
      </c>
      <c r="E90" s="64">
        <v>4</v>
      </c>
      <c r="F90" s="64">
        <v>3.88</v>
      </c>
      <c r="G90" s="64">
        <v>58.67</v>
      </c>
      <c r="H90" s="64">
        <v>7.85</v>
      </c>
      <c r="I90" s="64">
        <v>4.08</v>
      </c>
      <c r="J90" s="64">
        <v>0.38</v>
      </c>
      <c r="K90" s="64">
        <v>208.96</v>
      </c>
      <c r="L90" s="64">
        <v>25.77</v>
      </c>
      <c r="M90" s="64">
        <v>86.88</v>
      </c>
      <c r="N90" s="64">
        <v>19.399999999999999</v>
      </c>
      <c r="O90" s="64">
        <v>0</v>
      </c>
      <c r="P90" s="64">
        <v>0.6</v>
      </c>
      <c r="Q90" s="64">
        <v>9.52</v>
      </c>
      <c r="R90" s="198"/>
      <c r="S90" s="198"/>
      <c r="T90" s="198"/>
      <c r="U90" s="198"/>
    </row>
    <row r="91" spans="1:26" s="12" customFormat="1" x14ac:dyDescent="0.25">
      <c r="A91" s="214" t="s">
        <v>2347</v>
      </c>
      <c r="B91" s="64">
        <v>8.34</v>
      </c>
      <c r="C91" s="64">
        <v>3.89</v>
      </c>
      <c r="D91" s="64">
        <v>12.5</v>
      </c>
      <c r="E91" s="64">
        <v>3.92</v>
      </c>
      <c r="F91" s="64">
        <v>3.77</v>
      </c>
      <c r="G91" s="64">
        <v>58.67</v>
      </c>
      <c r="H91" s="64">
        <v>7.85</v>
      </c>
      <c r="I91" s="64">
        <v>4.2</v>
      </c>
      <c r="J91" s="64">
        <v>0.33</v>
      </c>
      <c r="K91" s="64">
        <v>182.28</v>
      </c>
      <c r="L91" s="64">
        <v>25.71</v>
      </c>
      <c r="M91" s="64">
        <v>88.55</v>
      </c>
      <c r="N91" s="64">
        <v>19.3</v>
      </c>
      <c r="O91" s="64">
        <v>0</v>
      </c>
      <c r="P91" s="64">
        <v>0.6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14" t="s">
        <v>2348</v>
      </c>
      <c r="B92" s="64">
        <v>8.23</v>
      </c>
      <c r="C92" s="64">
        <v>3.32</v>
      </c>
      <c r="D92" s="64">
        <v>12.1</v>
      </c>
      <c r="E92" s="64">
        <v>4.09</v>
      </c>
      <c r="F92" s="64">
        <v>3.71</v>
      </c>
      <c r="G92" s="64">
        <v>53.89</v>
      </c>
      <c r="H92" s="64">
        <v>10.94</v>
      </c>
      <c r="I92" s="64">
        <v>4.2300000000000004</v>
      </c>
      <c r="J92" s="64">
        <v>0.46</v>
      </c>
      <c r="K92" s="64">
        <v>188.25</v>
      </c>
      <c r="L92" s="64">
        <v>25.53</v>
      </c>
      <c r="M92" s="64">
        <v>89.84</v>
      </c>
      <c r="N92" s="64">
        <v>19.399999999999999</v>
      </c>
      <c r="O92" s="64">
        <v>0</v>
      </c>
      <c r="P92" s="64">
        <v>0.6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4" t="s">
        <v>2349</v>
      </c>
      <c r="B93" s="64">
        <v>8.1999999999999993</v>
      </c>
      <c r="C93" s="64">
        <v>3.23</v>
      </c>
      <c r="D93" s="64">
        <v>12.04</v>
      </c>
      <c r="E93" s="64">
        <v>3.99</v>
      </c>
      <c r="F93" s="64">
        <v>3.45</v>
      </c>
      <c r="G93" s="64">
        <v>53.67</v>
      </c>
      <c r="H93" s="64">
        <v>11.12</v>
      </c>
      <c r="I93" s="64">
        <v>4.46</v>
      </c>
      <c r="J93" s="64">
        <v>0.28000000000000003</v>
      </c>
      <c r="K93" s="64">
        <v>4.68</v>
      </c>
      <c r="L93" s="64">
        <v>25.42</v>
      </c>
      <c r="M93" s="64">
        <v>90.41</v>
      </c>
      <c r="N93" s="64">
        <v>19.600000000000001</v>
      </c>
      <c r="O93" s="64">
        <v>0</v>
      </c>
      <c r="P93" s="64">
        <v>0.6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14" t="s">
        <v>2350</v>
      </c>
      <c r="B94" s="64">
        <v>8.18</v>
      </c>
      <c r="C94" s="64">
        <v>3.23</v>
      </c>
      <c r="D94" s="64">
        <v>12.03</v>
      </c>
      <c r="E94" s="64">
        <v>3.86</v>
      </c>
      <c r="F94" s="64">
        <v>3.5</v>
      </c>
      <c r="G94" s="64">
        <v>53.67</v>
      </c>
      <c r="H94" s="64">
        <v>11.12</v>
      </c>
      <c r="I94" s="64">
        <v>4.76</v>
      </c>
      <c r="J94" s="64">
        <v>0.31</v>
      </c>
      <c r="K94" s="64">
        <v>14.75</v>
      </c>
      <c r="L94" s="64">
        <v>25.32</v>
      </c>
      <c r="M94" s="64">
        <v>91.39</v>
      </c>
      <c r="N94" s="64">
        <v>19.399999999999999</v>
      </c>
      <c r="O94" s="64">
        <v>0</v>
      </c>
      <c r="P94" s="64">
        <v>0.6</v>
      </c>
      <c r="Q94" s="64">
        <v>9.49</v>
      </c>
      <c r="R94" s="198"/>
      <c r="S94" s="198"/>
      <c r="T94" s="198"/>
      <c r="U94" s="198"/>
    </row>
    <row r="95" spans="1:26" s="12" customFormat="1" x14ac:dyDescent="0.25">
      <c r="A95" s="214" t="s">
        <v>2351</v>
      </c>
      <c r="B95" s="64">
        <v>8.16</v>
      </c>
      <c r="C95" s="64">
        <v>3.17</v>
      </c>
      <c r="D95" s="64">
        <v>11.98</v>
      </c>
      <c r="E95" s="64">
        <v>4.04</v>
      </c>
      <c r="F95" s="64">
        <v>3.63</v>
      </c>
      <c r="G95" s="64">
        <v>53.67</v>
      </c>
      <c r="H95" s="64">
        <v>11.12</v>
      </c>
      <c r="I95" s="64">
        <v>4.97</v>
      </c>
      <c r="J95" s="64">
        <v>0.56999999999999995</v>
      </c>
      <c r="K95" s="64">
        <v>35.33</v>
      </c>
      <c r="L95" s="64">
        <v>25.43</v>
      </c>
      <c r="M95" s="64">
        <v>90.37</v>
      </c>
      <c r="N95" s="64">
        <v>19.3</v>
      </c>
      <c r="O95" s="64">
        <v>0</v>
      </c>
      <c r="P95" s="64">
        <v>0.6</v>
      </c>
      <c r="Q95" s="64">
        <v>9.49</v>
      </c>
      <c r="R95" s="198"/>
      <c r="S95" s="198"/>
      <c r="T95" s="198"/>
      <c r="U95" s="198"/>
    </row>
    <row r="96" spans="1:26" s="12" customFormat="1" x14ac:dyDescent="0.25">
      <c r="A96" s="214" t="s">
        <v>2352</v>
      </c>
      <c r="B96" s="64">
        <v>8.19</v>
      </c>
      <c r="C96" s="64">
        <v>3.2</v>
      </c>
      <c r="D96" s="64">
        <v>12.02</v>
      </c>
      <c r="E96" s="64">
        <v>4.1900000000000004</v>
      </c>
      <c r="F96" s="64">
        <v>3.38</v>
      </c>
      <c r="G96" s="64">
        <v>55.68</v>
      </c>
      <c r="H96" s="64">
        <v>10</v>
      </c>
      <c r="I96" s="64">
        <v>5.12</v>
      </c>
      <c r="J96" s="64">
        <v>0.04</v>
      </c>
      <c r="K96" s="64">
        <v>285.08</v>
      </c>
      <c r="L96" s="64">
        <v>25.34</v>
      </c>
      <c r="M96" s="64">
        <v>91.25</v>
      </c>
      <c r="N96" s="64">
        <v>19.5</v>
      </c>
      <c r="O96" s="64">
        <v>0</v>
      </c>
      <c r="P96" s="64">
        <v>0.61</v>
      </c>
      <c r="Q96" s="64">
        <v>9.49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2353</v>
      </c>
      <c r="B97" s="64">
        <v>8.1999999999999993</v>
      </c>
      <c r="C97" s="64">
        <v>3.22</v>
      </c>
      <c r="D97" s="64">
        <v>12.03</v>
      </c>
      <c r="E97" s="64">
        <v>3.94</v>
      </c>
      <c r="F97" s="64">
        <v>3.45</v>
      </c>
      <c r="G97" s="64">
        <v>55.78</v>
      </c>
      <c r="H97" s="64">
        <v>9.94</v>
      </c>
      <c r="I97" s="64">
        <v>5.23</v>
      </c>
      <c r="J97" s="64">
        <v>0.12</v>
      </c>
      <c r="K97" s="64">
        <v>4.1900000000000004</v>
      </c>
      <c r="L97" s="64">
        <v>25.35</v>
      </c>
      <c r="M97" s="64">
        <v>91.01</v>
      </c>
      <c r="N97" s="64">
        <v>19.600000000000001</v>
      </c>
      <c r="O97" s="64">
        <v>0</v>
      </c>
      <c r="P97" s="64">
        <v>0.61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14" t="s">
        <v>2354</v>
      </c>
      <c r="B98" s="64">
        <v>8.27</v>
      </c>
      <c r="C98" s="64">
        <v>3.43</v>
      </c>
      <c r="D98" s="64">
        <v>12.19</v>
      </c>
      <c r="E98" s="64">
        <v>3.96</v>
      </c>
      <c r="F98" s="64">
        <v>4.75</v>
      </c>
      <c r="G98" s="64">
        <v>55.78</v>
      </c>
      <c r="H98" s="64">
        <v>9.94</v>
      </c>
      <c r="I98" s="64">
        <v>5.3</v>
      </c>
      <c r="J98" s="64">
        <v>0.2</v>
      </c>
      <c r="K98" s="64">
        <v>41.51</v>
      </c>
      <c r="L98" s="64">
        <v>25.3</v>
      </c>
      <c r="M98" s="64">
        <v>91.8</v>
      </c>
      <c r="N98" s="64">
        <v>19.600000000000001</v>
      </c>
      <c r="O98" s="64">
        <v>0</v>
      </c>
      <c r="P98" s="64">
        <v>0.61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14" t="s">
        <v>2355</v>
      </c>
      <c r="B99" s="64">
        <v>8.2799999999999994</v>
      </c>
      <c r="C99" s="64">
        <v>3.57</v>
      </c>
      <c r="D99" s="64">
        <v>12.28</v>
      </c>
      <c r="E99" s="64">
        <v>4.47</v>
      </c>
      <c r="F99" s="64">
        <v>3.31</v>
      </c>
      <c r="G99" s="64">
        <v>55.78</v>
      </c>
      <c r="H99" s="64">
        <v>9.94</v>
      </c>
      <c r="I99" s="64">
        <v>5.42</v>
      </c>
      <c r="J99" s="64">
        <v>0.14000000000000001</v>
      </c>
      <c r="K99" s="64">
        <v>131.66</v>
      </c>
      <c r="L99" s="64">
        <v>25.25</v>
      </c>
      <c r="M99" s="64">
        <v>92.75</v>
      </c>
      <c r="N99" s="64">
        <v>19.600000000000001</v>
      </c>
      <c r="O99" s="64">
        <v>0</v>
      </c>
      <c r="P99" s="64">
        <v>0.6</v>
      </c>
      <c r="Q99" s="64">
        <v>9.57</v>
      </c>
      <c r="R99" s="198"/>
      <c r="S99" s="198"/>
      <c r="T99" s="198"/>
      <c r="U99" s="198"/>
    </row>
    <row r="100" spans="1:33" s="12" customFormat="1" x14ac:dyDescent="0.25">
      <c r="A100" s="214" t="s">
        <v>2356</v>
      </c>
      <c r="B100" s="64">
        <v>8.3000000000000007</v>
      </c>
      <c r="C100" s="64">
        <v>3.68</v>
      </c>
      <c r="D100" s="64">
        <v>12.35</v>
      </c>
      <c r="E100" s="64">
        <v>4.05</v>
      </c>
      <c r="F100" s="64">
        <v>4</v>
      </c>
      <c r="G100" s="64">
        <v>55.19</v>
      </c>
      <c r="H100" s="64">
        <v>10.93</v>
      </c>
      <c r="I100" s="64">
        <v>5.39</v>
      </c>
      <c r="J100" s="64">
        <v>0.22</v>
      </c>
      <c r="K100" s="64">
        <v>343.82</v>
      </c>
      <c r="L100" s="64">
        <v>25.24</v>
      </c>
      <c r="M100" s="64">
        <v>92.65</v>
      </c>
      <c r="N100" s="64">
        <v>19.600000000000001</v>
      </c>
      <c r="O100" s="64">
        <v>0</v>
      </c>
      <c r="P100" s="64">
        <v>0.59</v>
      </c>
      <c r="Q100" s="64">
        <v>9.57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2357</v>
      </c>
      <c r="B101" s="64">
        <v>8.24</v>
      </c>
      <c r="C101" s="64">
        <v>3.53</v>
      </c>
      <c r="D101" s="64">
        <v>12.23</v>
      </c>
      <c r="E101" s="64">
        <v>3.96</v>
      </c>
      <c r="F101" s="64">
        <v>3.75</v>
      </c>
      <c r="G101" s="64">
        <v>55.15</v>
      </c>
      <c r="H101" s="64">
        <v>10.98</v>
      </c>
      <c r="I101" s="64">
        <v>5.28</v>
      </c>
      <c r="J101" s="64">
        <v>0.39</v>
      </c>
      <c r="K101" s="64">
        <v>132.96</v>
      </c>
      <c r="L101" s="64">
        <v>25.2</v>
      </c>
      <c r="M101" s="64">
        <v>93.59</v>
      </c>
      <c r="N101" s="64">
        <v>19.600000000000001</v>
      </c>
      <c r="O101" s="64">
        <v>0</v>
      </c>
      <c r="P101" s="64">
        <v>0.59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4" t="s">
        <v>2358</v>
      </c>
      <c r="B102" s="64">
        <v>8.24</v>
      </c>
      <c r="C102" s="64">
        <v>3.46</v>
      </c>
      <c r="D102" s="64">
        <v>12.19</v>
      </c>
      <c r="E102" s="64">
        <v>4.03</v>
      </c>
      <c r="F102" s="64">
        <v>3.56</v>
      </c>
      <c r="G102" s="64">
        <v>55.15</v>
      </c>
      <c r="H102" s="64">
        <v>10.98</v>
      </c>
      <c r="I102" s="64">
        <v>5.18</v>
      </c>
      <c r="J102" s="64">
        <v>0.75</v>
      </c>
      <c r="K102" s="64">
        <v>164.54</v>
      </c>
      <c r="L102" s="64">
        <v>25.06</v>
      </c>
      <c r="M102" s="64">
        <v>95.15</v>
      </c>
      <c r="N102" s="64">
        <v>19.600000000000001</v>
      </c>
      <c r="O102" s="64">
        <v>0</v>
      </c>
      <c r="P102" s="64">
        <v>0.56000000000000005</v>
      </c>
      <c r="Q102" s="64">
        <v>9.5500000000000007</v>
      </c>
      <c r="R102" s="198"/>
      <c r="S102" s="198"/>
      <c r="T102" s="198"/>
      <c r="U102" s="198"/>
    </row>
    <row r="103" spans="1:33" s="12" customFormat="1" x14ac:dyDescent="0.25">
      <c r="A103" s="214" t="s">
        <v>2359</v>
      </c>
      <c r="B103" s="64">
        <v>8.19</v>
      </c>
      <c r="C103" s="64">
        <v>3.28</v>
      </c>
      <c r="D103" s="64">
        <v>12.06</v>
      </c>
      <c r="E103" s="64">
        <v>3.85</v>
      </c>
      <c r="F103" s="64">
        <v>4.25</v>
      </c>
      <c r="G103" s="64">
        <v>55.15</v>
      </c>
      <c r="H103" s="64">
        <v>10.98</v>
      </c>
      <c r="I103" s="64">
        <v>5.0599999999999996</v>
      </c>
      <c r="J103" s="64">
        <v>0.33</v>
      </c>
      <c r="K103" s="64">
        <v>179.15</v>
      </c>
      <c r="L103" s="64">
        <v>25.01</v>
      </c>
      <c r="M103" s="64">
        <v>95.3</v>
      </c>
      <c r="N103" s="64">
        <v>19.600000000000001</v>
      </c>
      <c r="O103" s="64">
        <v>0</v>
      </c>
      <c r="P103" s="64">
        <v>0.55000000000000004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14" t="s">
        <v>2360</v>
      </c>
      <c r="B104" s="64">
        <v>8.15</v>
      </c>
      <c r="C104" s="64">
        <v>3.16</v>
      </c>
      <c r="D104" s="64">
        <v>11.96</v>
      </c>
      <c r="E104" s="64">
        <v>3.9</v>
      </c>
      <c r="F104" s="64">
        <v>3.02</v>
      </c>
      <c r="G104" s="64">
        <v>52</v>
      </c>
      <c r="H104" s="64">
        <v>14.47</v>
      </c>
      <c r="I104" s="64">
        <v>5</v>
      </c>
      <c r="J104" s="64">
        <v>0.24</v>
      </c>
      <c r="K104" s="64">
        <v>199.85</v>
      </c>
      <c r="L104" s="64">
        <v>24.98</v>
      </c>
      <c r="M104" s="64">
        <v>96</v>
      </c>
      <c r="N104" s="64">
        <v>19.600000000000001</v>
      </c>
      <c r="O104" s="64">
        <v>0</v>
      </c>
      <c r="P104" s="64">
        <v>0.53</v>
      </c>
      <c r="Q104" s="64">
        <v>9.5299999999999994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3.07</v>
      </c>
      <c r="D106" s="67">
        <f t="shared" ref="D106:Q106" si="0">MIN(D9:D104)</f>
        <v>11.88</v>
      </c>
      <c r="E106" s="67">
        <f t="shared" si="0"/>
        <v>3.26</v>
      </c>
      <c r="F106" s="67">
        <f t="shared" si="0"/>
        <v>2.6</v>
      </c>
      <c r="G106" s="67">
        <f t="shared" si="0"/>
        <v>7.16</v>
      </c>
      <c r="H106" s="67">
        <f t="shared" si="0"/>
        <v>0.81</v>
      </c>
      <c r="I106" s="67">
        <f t="shared" si="0"/>
        <v>2.71</v>
      </c>
      <c r="J106" s="67">
        <f t="shared" si="0"/>
        <v>0.04</v>
      </c>
      <c r="K106" s="67">
        <f t="shared" si="0"/>
        <v>0.04</v>
      </c>
      <c r="L106" s="67">
        <f t="shared" si="0"/>
        <v>21.29</v>
      </c>
      <c r="M106" s="67">
        <f t="shared" si="0"/>
        <v>73.5</v>
      </c>
      <c r="N106" s="67">
        <f t="shared" si="0"/>
        <v>17.399999999999999</v>
      </c>
      <c r="O106" s="67">
        <f t="shared" si="0"/>
        <v>0</v>
      </c>
      <c r="P106" s="67">
        <f t="shared" si="0"/>
        <v>0.19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8.4600000000000009</v>
      </c>
      <c r="C107" s="66">
        <f t="shared" ref="C107:Q107" si="1">MAX(C9:C104)</f>
        <v>4.13</v>
      </c>
      <c r="D107" s="66">
        <f t="shared" si="1"/>
        <v>12.71</v>
      </c>
      <c r="E107" s="66">
        <f t="shared" si="1"/>
        <v>6.27</v>
      </c>
      <c r="F107" s="66">
        <f t="shared" si="1"/>
        <v>12.68</v>
      </c>
      <c r="G107" s="66">
        <f t="shared" si="1"/>
        <v>58.67</v>
      </c>
      <c r="H107" s="66">
        <f t="shared" si="1"/>
        <v>20.54</v>
      </c>
      <c r="I107" s="66">
        <f t="shared" si="1"/>
        <v>6.96</v>
      </c>
      <c r="J107" s="66">
        <f t="shared" si="1"/>
        <v>1.47</v>
      </c>
      <c r="K107" s="66">
        <f t="shared" si="1"/>
        <v>352.09</v>
      </c>
      <c r="L107" s="66">
        <f t="shared" si="1"/>
        <v>29.33</v>
      </c>
      <c r="M107" s="66">
        <f t="shared" si="1"/>
        <v>98.4</v>
      </c>
      <c r="N107" s="66">
        <f t="shared" si="1"/>
        <v>890.7</v>
      </c>
      <c r="O107" s="66">
        <f t="shared" si="1"/>
        <v>0.4</v>
      </c>
      <c r="P107" s="66">
        <f t="shared" si="1"/>
        <v>0.61</v>
      </c>
      <c r="Q107" s="66">
        <f t="shared" si="1"/>
        <v>9.6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8.2033333333333331</v>
      </c>
      <c r="C108" s="67">
        <f t="shared" ref="C108:Q108" si="2">AVERAGE(C9:C104)</f>
        <v>3.3276041666666658</v>
      </c>
      <c r="D108" s="67">
        <f t="shared" si="2"/>
        <v>12.09145833333333</v>
      </c>
      <c r="E108" s="67">
        <f t="shared" si="2"/>
        <v>4.6644210526315781</v>
      </c>
      <c r="F108" s="67">
        <f t="shared" si="2"/>
        <v>4.4539583333333326</v>
      </c>
      <c r="G108" s="67">
        <f t="shared" si="2"/>
        <v>28.656413043478263</v>
      </c>
      <c r="H108" s="67">
        <f t="shared" si="2"/>
        <v>7.8855434782608747</v>
      </c>
      <c r="I108" s="67">
        <f t="shared" si="2"/>
        <v>4.2121874999999989</v>
      </c>
      <c r="J108" s="67">
        <f t="shared" si="2"/>
        <v>0.45500000000000007</v>
      </c>
      <c r="K108" s="67">
        <f t="shared" si="2"/>
        <v>159.07656249999997</v>
      </c>
      <c r="L108" s="67">
        <f t="shared" si="2"/>
        <v>24.728125000000002</v>
      </c>
      <c r="M108" s="67">
        <f t="shared" si="2"/>
        <v>89.874166666666682</v>
      </c>
      <c r="N108" s="67">
        <f t="shared" si="2"/>
        <v>135.88750000000002</v>
      </c>
      <c r="O108" s="67">
        <f t="shared" si="2"/>
        <v>8.3333333333333332E-3</v>
      </c>
      <c r="P108" s="67">
        <f t="shared" si="2"/>
        <v>0.36791666666666684</v>
      </c>
      <c r="Q108" s="67">
        <f t="shared" si="2"/>
        <v>9.3835416666666678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6.2097828874101542E-2</v>
      </c>
      <c r="C109" s="67">
        <f t="shared" ref="C109:Q109" si="3">STDEV(C9:C104)</f>
        <v>0.21600070561125814</v>
      </c>
      <c r="D109" s="67">
        <f t="shared" si="3"/>
        <v>0.15925470606393</v>
      </c>
      <c r="E109" s="67">
        <f t="shared" si="3"/>
        <v>0.88055799015178904</v>
      </c>
      <c r="F109" s="67">
        <f t="shared" si="3"/>
        <v>1.2957984566864096</v>
      </c>
      <c r="G109" s="67">
        <f t="shared" si="3"/>
        <v>17.321899851485206</v>
      </c>
      <c r="H109" s="67">
        <f t="shared" si="3"/>
        <v>5.5028706522751607</v>
      </c>
      <c r="I109" s="67">
        <f t="shared" si="3"/>
        <v>1.0756630299249741</v>
      </c>
      <c r="J109" s="67">
        <f t="shared" si="3"/>
        <v>0.30787215391765227</v>
      </c>
      <c r="K109" s="67">
        <f t="shared" si="3"/>
        <v>118.24868684552398</v>
      </c>
      <c r="L109" s="67">
        <f t="shared" si="3"/>
        <v>2.4377082906956518</v>
      </c>
      <c r="M109" s="67">
        <f t="shared" si="3"/>
        <v>8.6971916419117932</v>
      </c>
      <c r="N109" s="67">
        <f t="shared" si="3"/>
        <v>178.07048707863154</v>
      </c>
      <c r="O109" s="67">
        <f t="shared" si="3"/>
        <v>4.9559462778335214E-2</v>
      </c>
      <c r="P109" s="67">
        <f t="shared" si="3"/>
        <v>0.14521792456179405</v>
      </c>
      <c r="Q109" s="67">
        <f t="shared" si="3"/>
        <v>0.96896143985699046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COUNT(E9:E104)+1</f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215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7" sqref="G13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2361</v>
      </c>
      <c r="B9" s="64">
        <v>8.17</v>
      </c>
      <c r="C9" s="64">
        <v>3.19</v>
      </c>
      <c r="D9" s="64">
        <v>11.99</v>
      </c>
      <c r="E9" s="64">
        <v>4.33</v>
      </c>
      <c r="F9" s="64">
        <v>4.42</v>
      </c>
      <c r="G9" s="64">
        <v>51.86</v>
      </c>
      <c r="H9" s="64">
        <v>14.63</v>
      </c>
      <c r="I9" s="64">
        <v>4.8099999999999996</v>
      </c>
      <c r="J9" s="64">
        <v>0.38</v>
      </c>
      <c r="K9" s="64">
        <v>152.69999999999999</v>
      </c>
      <c r="L9" s="64">
        <v>24.92</v>
      </c>
      <c r="M9" s="64">
        <v>96.32</v>
      </c>
      <c r="N9" s="64">
        <v>19.600000000000001</v>
      </c>
      <c r="O9" s="64">
        <v>0</v>
      </c>
      <c r="P9" s="64">
        <v>0.52</v>
      </c>
      <c r="Q9" s="64">
        <v>9.52</v>
      </c>
      <c r="S9" s="198"/>
      <c r="T9" s="198"/>
      <c r="U9" s="198"/>
    </row>
    <row r="10" spans="1:21" s="12" customFormat="1" x14ac:dyDescent="0.25">
      <c r="A10" s="214" t="s">
        <v>2362</v>
      </c>
      <c r="B10" s="64">
        <v>8.16</v>
      </c>
      <c r="C10" s="64">
        <v>3.18</v>
      </c>
      <c r="D10" s="64">
        <v>11.98</v>
      </c>
      <c r="E10" s="64">
        <v>4.34</v>
      </c>
      <c r="F10" s="64">
        <v>3.25</v>
      </c>
      <c r="G10" s="64">
        <v>51.86</v>
      </c>
      <c r="H10" s="64">
        <v>14.63</v>
      </c>
      <c r="I10" s="64">
        <v>4.5999999999999996</v>
      </c>
      <c r="J10" s="64">
        <v>0.19</v>
      </c>
      <c r="K10" s="64">
        <v>173.33</v>
      </c>
      <c r="L10" s="64">
        <v>24.83</v>
      </c>
      <c r="M10" s="64">
        <v>97.48</v>
      </c>
      <c r="N10" s="64">
        <v>19.600000000000001</v>
      </c>
      <c r="O10" s="64">
        <v>0</v>
      </c>
      <c r="P10" s="64">
        <v>0.5</v>
      </c>
      <c r="Q10" s="64">
        <v>9.5399999999999991</v>
      </c>
      <c r="S10" s="198"/>
      <c r="T10" s="198"/>
      <c r="U10" s="198"/>
    </row>
    <row r="11" spans="1:21" s="12" customFormat="1" x14ac:dyDescent="0.25">
      <c r="A11" s="214" t="s">
        <v>2363</v>
      </c>
      <c r="B11" s="64">
        <v>8.18</v>
      </c>
      <c r="C11" s="64">
        <v>3.24</v>
      </c>
      <c r="D11" s="64">
        <v>12.03</v>
      </c>
      <c r="E11" s="64">
        <v>4.58</v>
      </c>
      <c r="F11" s="64">
        <v>3.67</v>
      </c>
      <c r="G11" s="64">
        <v>51.86</v>
      </c>
      <c r="H11" s="64">
        <v>14.63</v>
      </c>
      <c r="I11" s="64">
        <v>4.51</v>
      </c>
      <c r="J11" s="64">
        <v>0.19</v>
      </c>
      <c r="K11" s="64">
        <v>16.04</v>
      </c>
      <c r="L11" s="64">
        <v>24.84</v>
      </c>
      <c r="M11" s="64">
        <v>97.73</v>
      </c>
      <c r="N11" s="64">
        <v>19.600000000000001</v>
      </c>
      <c r="O11" s="64">
        <v>0</v>
      </c>
      <c r="P11" s="64">
        <v>0.49</v>
      </c>
      <c r="Q11" s="64">
        <v>9.5299999999999994</v>
      </c>
      <c r="S11" s="198"/>
      <c r="T11" s="198"/>
      <c r="U11" s="198"/>
    </row>
    <row r="12" spans="1:21" s="12" customFormat="1" x14ac:dyDescent="0.25">
      <c r="A12" s="214" t="s">
        <v>2364</v>
      </c>
      <c r="B12" s="64">
        <v>8.18</v>
      </c>
      <c r="C12" s="64">
        <v>3.23</v>
      </c>
      <c r="D12" s="64">
        <v>12.02</v>
      </c>
      <c r="E12" s="64">
        <v>4.74</v>
      </c>
      <c r="F12" s="64">
        <v>4.3600000000000003</v>
      </c>
      <c r="G12" s="64">
        <v>49.94</v>
      </c>
      <c r="H12" s="64">
        <v>11.13</v>
      </c>
      <c r="I12" s="64">
        <v>4.4400000000000004</v>
      </c>
      <c r="J12" s="64">
        <v>0.32</v>
      </c>
      <c r="K12" s="64">
        <v>25.83</v>
      </c>
      <c r="L12" s="64">
        <v>24.81</v>
      </c>
      <c r="M12" s="64">
        <v>97.7</v>
      </c>
      <c r="N12" s="64">
        <v>19.600000000000001</v>
      </c>
      <c r="O12" s="64">
        <v>0</v>
      </c>
      <c r="P12" s="64">
        <v>0.48</v>
      </c>
      <c r="Q12" s="64">
        <v>9.5500000000000007</v>
      </c>
      <c r="S12" s="198"/>
      <c r="T12" s="198"/>
      <c r="U12" s="198"/>
    </row>
    <row r="13" spans="1:21" s="12" customFormat="1" x14ac:dyDescent="0.25">
      <c r="A13" s="214" t="s">
        <v>2365</v>
      </c>
      <c r="B13" s="64">
        <v>8.24</v>
      </c>
      <c r="C13" s="64">
        <v>3.41</v>
      </c>
      <c r="D13" s="64">
        <v>12.16</v>
      </c>
      <c r="E13" s="64">
        <v>4.22</v>
      </c>
      <c r="F13" s="64">
        <v>2.9</v>
      </c>
      <c r="G13" s="64">
        <v>49.85</v>
      </c>
      <c r="H13" s="64">
        <v>10.97</v>
      </c>
      <c r="I13" s="64">
        <v>4.3600000000000003</v>
      </c>
      <c r="J13" s="64">
        <v>0.21</v>
      </c>
      <c r="K13" s="64">
        <v>27.02</v>
      </c>
      <c r="L13" s="64">
        <v>24.78</v>
      </c>
      <c r="M13" s="64">
        <v>98</v>
      </c>
      <c r="N13" s="64">
        <v>19.600000000000001</v>
      </c>
      <c r="O13" s="64">
        <v>0</v>
      </c>
      <c r="P13" s="64">
        <v>0.44</v>
      </c>
      <c r="Q13" s="64">
        <v>9.48</v>
      </c>
      <c r="S13" s="198"/>
      <c r="T13" s="198"/>
      <c r="U13" s="198"/>
    </row>
    <row r="14" spans="1:21" s="12" customFormat="1" x14ac:dyDescent="0.25">
      <c r="A14" s="214" t="s">
        <v>2366</v>
      </c>
      <c r="B14" s="64">
        <v>8.2899999999999991</v>
      </c>
      <c r="C14" s="64">
        <v>3.54</v>
      </c>
      <c r="D14" s="64">
        <v>12.27</v>
      </c>
      <c r="E14" s="64">
        <v>4.63</v>
      </c>
      <c r="F14" s="64">
        <v>3.32</v>
      </c>
      <c r="G14" s="64">
        <v>49.85</v>
      </c>
      <c r="H14" s="64">
        <v>10.97</v>
      </c>
      <c r="I14" s="64">
        <v>4.32</v>
      </c>
      <c r="J14" s="64">
        <v>0.19</v>
      </c>
      <c r="K14" s="64">
        <v>190.41</v>
      </c>
      <c r="L14" s="64">
        <v>24.67</v>
      </c>
      <c r="M14" s="64">
        <v>98.27</v>
      </c>
      <c r="N14" s="64">
        <v>19.600000000000001</v>
      </c>
      <c r="O14" s="64">
        <v>0</v>
      </c>
      <c r="P14" s="64">
        <v>0.46</v>
      </c>
      <c r="Q14" s="64">
        <v>9.4499999999999993</v>
      </c>
      <c r="S14" s="198"/>
      <c r="T14" s="198"/>
      <c r="U14" s="198"/>
    </row>
    <row r="15" spans="1:21" s="12" customFormat="1" x14ac:dyDescent="0.25">
      <c r="A15" s="214" t="s">
        <v>2367</v>
      </c>
      <c r="B15" s="64">
        <v>8.33</v>
      </c>
      <c r="C15" s="64">
        <v>3.63</v>
      </c>
      <c r="D15" s="64">
        <v>12.36</v>
      </c>
      <c r="E15" s="64">
        <v>4.45</v>
      </c>
      <c r="F15" s="64">
        <v>3.85</v>
      </c>
      <c r="G15" s="64">
        <v>49.85</v>
      </c>
      <c r="H15" s="64">
        <v>10.97</v>
      </c>
      <c r="I15" s="64">
        <v>4.3600000000000003</v>
      </c>
      <c r="J15" s="64">
        <v>0.33</v>
      </c>
      <c r="K15" s="64">
        <v>189.05</v>
      </c>
      <c r="L15" s="64">
        <v>24.57</v>
      </c>
      <c r="M15" s="64">
        <v>98.29</v>
      </c>
      <c r="N15" s="64">
        <v>19.600000000000001</v>
      </c>
      <c r="O15" s="64">
        <v>0</v>
      </c>
      <c r="P15" s="64">
        <v>0.45</v>
      </c>
      <c r="Q15" s="64">
        <v>9.4700000000000006</v>
      </c>
      <c r="S15" s="198"/>
      <c r="T15" s="198"/>
      <c r="U15" s="198"/>
    </row>
    <row r="16" spans="1:21" s="12" customFormat="1" x14ac:dyDescent="0.25">
      <c r="A16" s="214" t="s">
        <v>2368</v>
      </c>
      <c r="B16" s="64">
        <v>8.3000000000000007</v>
      </c>
      <c r="C16" s="64">
        <v>3.49</v>
      </c>
      <c r="D16" s="64">
        <v>12.25</v>
      </c>
      <c r="E16" s="64">
        <v>4.7</v>
      </c>
      <c r="F16" s="64">
        <v>3.38</v>
      </c>
      <c r="G16" s="64">
        <v>44.53</v>
      </c>
      <c r="H16" s="64">
        <v>17.02</v>
      </c>
      <c r="I16" s="64">
        <v>4.4800000000000004</v>
      </c>
      <c r="J16" s="64">
        <v>0.37</v>
      </c>
      <c r="K16" s="64">
        <v>152.65</v>
      </c>
      <c r="L16" s="64">
        <v>24.45</v>
      </c>
      <c r="M16" s="64">
        <v>98.3</v>
      </c>
      <c r="N16" s="64">
        <v>19.600000000000001</v>
      </c>
      <c r="O16" s="64">
        <v>0</v>
      </c>
      <c r="P16" s="64">
        <v>0.44</v>
      </c>
      <c r="Q16" s="64">
        <v>9.49</v>
      </c>
      <c r="S16" s="198"/>
      <c r="T16" s="198"/>
      <c r="U16" s="198"/>
    </row>
    <row r="17" spans="1:21" s="12" customFormat="1" x14ac:dyDescent="0.25">
      <c r="A17" s="214" t="s">
        <v>2369</v>
      </c>
      <c r="B17" s="64">
        <v>8.2200000000000006</v>
      </c>
      <c r="C17" s="64">
        <v>3.25</v>
      </c>
      <c r="D17" s="64">
        <v>12.06</v>
      </c>
      <c r="E17" s="64">
        <v>4.3600000000000003</v>
      </c>
      <c r="F17" s="64">
        <v>3.34</v>
      </c>
      <c r="G17" s="64">
        <v>44.29</v>
      </c>
      <c r="H17" s="64">
        <v>17.3</v>
      </c>
      <c r="I17" s="64">
        <v>4.59</v>
      </c>
      <c r="J17" s="64">
        <v>0.93</v>
      </c>
      <c r="K17" s="64">
        <v>162.59</v>
      </c>
      <c r="L17" s="64">
        <v>24.31</v>
      </c>
      <c r="M17" s="64">
        <v>98.3</v>
      </c>
      <c r="N17" s="64">
        <v>19.5</v>
      </c>
      <c r="O17" s="64">
        <v>0</v>
      </c>
      <c r="P17" s="64">
        <v>0.44</v>
      </c>
      <c r="Q17" s="64">
        <v>9.48</v>
      </c>
      <c r="S17" s="198"/>
      <c r="T17" s="198"/>
      <c r="U17" s="198"/>
    </row>
    <row r="18" spans="1:21" s="12" customFormat="1" x14ac:dyDescent="0.25">
      <c r="A18" s="214" t="s">
        <v>2370</v>
      </c>
      <c r="B18" s="64">
        <v>8.1999999999999993</v>
      </c>
      <c r="C18" s="64">
        <v>3.18</v>
      </c>
      <c r="D18" s="64">
        <v>12.01</v>
      </c>
      <c r="E18" s="64">
        <v>4.68</v>
      </c>
      <c r="F18" s="64">
        <v>3.7</v>
      </c>
      <c r="G18" s="64">
        <v>44.29</v>
      </c>
      <c r="H18" s="64">
        <v>17.3</v>
      </c>
      <c r="I18" s="64">
        <v>4.96</v>
      </c>
      <c r="J18" s="64">
        <v>0.73</v>
      </c>
      <c r="K18" s="64">
        <v>175.15</v>
      </c>
      <c r="L18" s="64">
        <v>24.22</v>
      </c>
      <c r="M18" s="64">
        <v>98.3</v>
      </c>
      <c r="N18" s="64">
        <v>19.600000000000001</v>
      </c>
      <c r="O18" s="64">
        <v>0</v>
      </c>
      <c r="P18" s="64">
        <v>0.43</v>
      </c>
      <c r="Q18" s="64">
        <v>9.51</v>
      </c>
      <c r="S18" s="198"/>
      <c r="T18" s="198"/>
      <c r="U18" s="198"/>
    </row>
    <row r="19" spans="1:21" s="12" customFormat="1" x14ac:dyDescent="0.25">
      <c r="A19" s="214" t="s">
        <v>2371</v>
      </c>
      <c r="B19" s="64">
        <v>8.1999999999999993</v>
      </c>
      <c r="C19" s="64">
        <v>3.16</v>
      </c>
      <c r="D19" s="64">
        <v>12</v>
      </c>
      <c r="E19" s="64">
        <v>4.4800000000000004</v>
      </c>
      <c r="F19" s="64">
        <v>3.61</v>
      </c>
      <c r="G19" s="64">
        <v>44.29</v>
      </c>
      <c r="H19" s="64">
        <v>17.3</v>
      </c>
      <c r="I19" s="64">
        <v>5.36</v>
      </c>
      <c r="J19" s="64">
        <v>0.43</v>
      </c>
      <c r="K19" s="64">
        <v>171</v>
      </c>
      <c r="L19" s="64">
        <v>24.24</v>
      </c>
      <c r="M19" s="64">
        <v>98.3</v>
      </c>
      <c r="N19" s="64">
        <v>19.600000000000001</v>
      </c>
      <c r="O19" s="64">
        <v>0</v>
      </c>
      <c r="P19" s="64">
        <v>0.42</v>
      </c>
      <c r="Q19" s="64">
        <v>9.5</v>
      </c>
      <c r="S19" s="198"/>
      <c r="T19" s="198"/>
      <c r="U19" s="198"/>
    </row>
    <row r="20" spans="1:21" s="12" customFormat="1" x14ac:dyDescent="0.25">
      <c r="A20" s="214" t="s">
        <v>2372</v>
      </c>
      <c r="B20" s="64">
        <v>8.17</v>
      </c>
      <c r="C20" s="64">
        <v>3.16</v>
      </c>
      <c r="D20" s="64">
        <v>11.98</v>
      </c>
      <c r="E20" s="64">
        <v>4.3</v>
      </c>
      <c r="F20" s="64">
        <v>3.98</v>
      </c>
      <c r="G20" s="64">
        <v>36.9</v>
      </c>
      <c r="H20" s="64">
        <v>12.82</v>
      </c>
      <c r="I20" s="64">
        <v>5.6</v>
      </c>
      <c r="J20" s="64">
        <v>0.33</v>
      </c>
      <c r="K20" s="64">
        <v>218.02</v>
      </c>
      <c r="L20" s="64">
        <v>24.22</v>
      </c>
      <c r="M20" s="64">
        <v>98.3</v>
      </c>
      <c r="N20" s="64">
        <v>19.600000000000001</v>
      </c>
      <c r="O20" s="64">
        <v>0</v>
      </c>
      <c r="P20" s="64">
        <v>0.42</v>
      </c>
      <c r="Q20" s="64">
        <v>9.5299999999999994</v>
      </c>
      <c r="S20" s="198"/>
      <c r="T20" s="198"/>
      <c r="U20" s="198"/>
    </row>
    <row r="21" spans="1:21" s="12" customFormat="1" x14ac:dyDescent="0.25">
      <c r="A21" s="214" t="s">
        <v>2373</v>
      </c>
      <c r="B21" s="64">
        <v>8.16</v>
      </c>
      <c r="C21" s="64">
        <v>3.24</v>
      </c>
      <c r="D21" s="64">
        <v>12.01</v>
      </c>
      <c r="E21" s="64">
        <v>4.58</v>
      </c>
      <c r="F21" s="64">
        <v>3.56</v>
      </c>
      <c r="G21" s="64">
        <v>36.56</v>
      </c>
      <c r="H21" s="64">
        <v>12.61</v>
      </c>
      <c r="I21" s="64">
        <v>5.76</v>
      </c>
      <c r="J21" s="64">
        <v>0.17</v>
      </c>
      <c r="K21" s="64">
        <v>138.72</v>
      </c>
      <c r="L21" s="64">
        <v>24.16</v>
      </c>
      <c r="M21" s="64">
        <v>98.31</v>
      </c>
      <c r="N21" s="64">
        <v>19.5</v>
      </c>
      <c r="O21" s="64">
        <v>0</v>
      </c>
      <c r="P21" s="64">
        <v>0.4</v>
      </c>
      <c r="Q21" s="64">
        <v>9.56</v>
      </c>
      <c r="S21" s="198"/>
      <c r="T21" s="198"/>
      <c r="U21" s="198"/>
    </row>
    <row r="22" spans="1:21" s="12" customFormat="1" x14ac:dyDescent="0.25">
      <c r="A22" s="214" t="s">
        <v>2374</v>
      </c>
      <c r="B22" s="64">
        <v>8.17</v>
      </c>
      <c r="C22" s="64">
        <v>3.28</v>
      </c>
      <c r="D22" s="64">
        <v>12.04</v>
      </c>
      <c r="E22" s="64">
        <v>4.24</v>
      </c>
      <c r="F22" s="64">
        <v>4.0199999999999996</v>
      </c>
      <c r="G22" s="64">
        <v>36.56</v>
      </c>
      <c r="H22" s="64">
        <v>12.61</v>
      </c>
      <c r="I22" s="64">
        <v>5.73</v>
      </c>
      <c r="J22" s="64">
        <v>0.71</v>
      </c>
      <c r="K22" s="64">
        <v>164.67</v>
      </c>
      <c r="L22" s="64">
        <v>24.04</v>
      </c>
      <c r="M22" s="64">
        <v>98.31</v>
      </c>
      <c r="N22" s="64">
        <v>19.600000000000001</v>
      </c>
      <c r="O22" s="64">
        <v>0</v>
      </c>
      <c r="P22" s="64">
        <v>0.41</v>
      </c>
      <c r="Q22" s="64">
        <v>9.5500000000000007</v>
      </c>
      <c r="S22" s="198"/>
      <c r="T22" s="198"/>
      <c r="U22" s="198"/>
    </row>
    <row r="23" spans="1:21" s="12" customFormat="1" x14ac:dyDescent="0.25">
      <c r="A23" s="214" t="s">
        <v>2375</v>
      </c>
      <c r="B23" s="64">
        <v>8.17</v>
      </c>
      <c r="C23" s="64">
        <v>3.21</v>
      </c>
      <c r="D23" s="64">
        <v>12</v>
      </c>
      <c r="E23" s="64">
        <v>4.72</v>
      </c>
      <c r="F23" s="64">
        <v>3.26</v>
      </c>
      <c r="G23" s="64">
        <v>36.56</v>
      </c>
      <c r="H23" s="64">
        <v>12.61</v>
      </c>
      <c r="I23" s="64">
        <v>5.55</v>
      </c>
      <c r="J23" s="64">
        <v>0.41</v>
      </c>
      <c r="K23" s="64">
        <v>137.75</v>
      </c>
      <c r="L23" s="64">
        <v>24.04</v>
      </c>
      <c r="M23" s="64">
        <v>98.31</v>
      </c>
      <c r="N23" s="64">
        <v>19.600000000000001</v>
      </c>
      <c r="O23" s="64">
        <v>0</v>
      </c>
      <c r="P23" s="64">
        <v>0.39</v>
      </c>
      <c r="Q23" s="64">
        <v>9.5399999999999991</v>
      </c>
      <c r="S23" s="198"/>
      <c r="T23" s="198"/>
      <c r="U23" s="198"/>
    </row>
    <row r="24" spans="1:21" s="12" customFormat="1" x14ac:dyDescent="0.25">
      <c r="A24" s="214" t="s">
        <v>2376</v>
      </c>
      <c r="B24" s="64">
        <v>8.31</v>
      </c>
      <c r="C24" s="64">
        <v>3.72</v>
      </c>
      <c r="D24" s="64">
        <v>12.38</v>
      </c>
      <c r="E24" s="64">
        <v>4.1100000000000003</v>
      </c>
      <c r="F24" s="64">
        <v>3.68</v>
      </c>
      <c r="G24" s="64">
        <v>31.32</v>
      </c>
      <c r="H24" s="64">
        <v>10.029999999999999</v>
      </c>
      <c r="I24" s="64">
        <v>5.36</v>
      </c>
      <c r="J24" s="64">
        <v>0.96</v>
      </c>
      <c r="K24" s="64">
        <v>147.06</v>
      </c>
      <c r="L24" s="64">
        <v>24.05</v>
      </c>
      <c r="M24" s="64">
        <v>98.3</v>
      </c>
      <c r="N24" s="64">
        <v>19.600000000000001</v>
      </c>
      <c r="O24" s="64">
        <v>0</v>
      </c>
      <c r="P24" s="64">
        <v>0.39</v>
      </c>
      <c r="Q24" s="64">
        <v>9.5399999999999991</v>
      </c>
      <c r="S24" s="198"/>
      <c r="T24" s="198"/>
      <c r="U24" s="198"/>
    </row>
    <row r="25" spans="1:21" s="12" customFormat="1" x14ac:dyDescent="0.25">
      <c r="A25" s="214" t="s">
        <v>2377</v>
      </c>
      <c r="B25" s="64">
        <v>8.24</v>
      </c>
      <c r="C25" s="64">
        <v>3.53</v>
      </c>
      <c r="D25" s="64">
        <v>12.23</v>
      </c>
      <c r="E25" s="64">
        <v>3.71</v>
      </c>
      <c r="F25" s="64">
        <v>2.95</v>
      </c>
      <c r="G25" s="64">
        <v>31.02</v>
      </c>
      <c r="H25" s="64">
        <v>9.91</v>
      </c>
      <c r="I25" s="64">
        <v>5.23</v>
      </c>
      <c r="J25" s="64">
        <v>0.78</v>
      </c>
      <c r="K25" s="64">
        <v>143.96</v>
      </c>
      <c r="L25" s="64">
        <v>24</v>
      </c>
      <c r="M25" s="64">
        <v>98.31</v>
      </c>
      <c r="N25" s="64">
        <v>19.600000000000001</v>
      </c>
      <c r="O25" s="64">
        <v>0</v>
      </c>
      <c r="P25" s="64">
        <v>0.38</v>
      </c>
      <c r="Q25" s="64">
        <v>9.5299999999999994</v>
      </c>
      <c r="S25" s="198"/>
      <c r="T25" s="198"/>
      <c r="U25" s="198"/>
    </row>
    <row r="26" spans="1:21" s="12" customFormat="1" x14ac:dyDescent="0.25">
      <c r="A26" s="214" t="s">
        <v>2378</v>
      </c>
      <c r="B26" s="64">
        <v>8.16</v>
      </c>
      <c r="C26" s="64">
        <v>3.28</v>
      </c>
      <c r="D26" s="64">
        <v>12.03</v>
      </c>
      <c r="E26" s="64">
        <v>3.52</v>
      </c>
      <c r="F26" s="64">
        <v>4.0599999999999996</v>
      </c>
      <c r="G26" s="64">
        <v>31.02</v>
      </c>
      <c r="H26" s="64">
        <v>9.91</v>
      </c>
      <c r="I26" s="64">
        <v>5.18</v>
      </c>
      <c r="J26" s="64">
        <v>0.26</v>
      </c>
      <c r="K26" s="64">
        <v>132.61000000000001</v>
      </c>
      <c r="L26" s="64">
        <v>24.08</v>
      </c>
      <c r="M26" s="64">
        <v>98.32</v>
      </c>
      <c r="N26" s="64">
        <v>19.600000000000001</v>
      </c>
      <c r="O26" s="64">
        <v>0</v>
      </c>
      <c r="P26" s="64">
        <v>0.38</v>
      </c>
      <c r="Q26" s="64">
        <v>9.52</v>
      </c>
      <c r="S26" s="198"/>
      <c r="T26" s="198"/>
      <c r="U26" s="198"/>
    </row>
    <row r="27" spans="1:21" s="12" customFormat="1" x14ac:dyDescent="0.25">
      <c r="A27" s="214" t="s">
        <v>2379</v>
      </c>
      <c r="B27" s="64">
        <v>8.16</v>
      </c>
      <c r="C27" s="64">
        <v>3.18</v>
      </c>
      <c r="D27" s="64">
        <v>11.98</v>
      </c>
      <c r="E27" s="64">
        <v>3.78</v>
      </c>
      <c r="F27" s="64">
        <v>3.22</v>
      </c>
      <c r="G27" s="64">
        <v>31.02</v>
      </c>
      <c r="H27" s="64">
        <v>9.91</v>
      </c>
      <c r="I27" s="64">
        <v>5.17</v>
      </c>
      <c r="J27" s="64">
        <v>0.82</v>
      </c>
      <c r="K27" s="64">
        <v>161.57</v>
      </c>
      <c r="L27" s="64">
        <v>24.07</v>
      </c>
      <c r="M27" s="64">
        <v>98.32</v>
      </c>
      <c r="N27" s="64">
        <v>19.600000000000001</v>
      </c>
      <c r="O27" s="64">
        <v>0</v>
      </c>
      <c r="P27" s="64">
        <v>0.37</v>
      </c>
      <c r="Q27" s="64">
        <v>9.51</v>
      </c>
      <c r="S27" s="198"/>
      <c r="T27" s="198"/>
      <c r="U27" s="198"/>
    </row>
    <row r="28" spans="1:21" s="12" customFormat="1" x14ac:dyDescent="0.25">
      <c r="A28" s="214" t="s">
        <v>2380</v>
      </c>
      <c r="B28" s="64">
        <v>8.15</v>
      </c>
      <c r="C28" s="64">
        <v>3.17</v>
      </c>
      <c r="D28" s="64">
        <v>11.97</v>
      </c>
      <c r="E28" s="64">
        <v>3.92</v>
      </c>
      <c r="F28" s="64">
        <v>4.18</v>
      </c>
      <c r="G28" s="64">
        <v>31.6</v>
      </c>
      <c r="H28" s="64">
        <v>8.8800000000000008</v>
      </c>
      <c r="I28" s="64">
        <v>5.13</v>
      </c>
      <c r="J28" s="64">
        <v>0.76</v>
      </c>
      <c r="K28" s="64">
        <v>161.77000000000001</v>
      </c>
      <c r="L28" s="64">
        <v>24.02</v>
      </c>
      <c r="M28" s="64">
        <v>98.28</v>
      </c>
      <c r="N28" s="64">
        <v>19.600000000000001</v>
      </c>
      <c r="O28" s="64">
        <v>0</v>
      </c>
      <c r="P28" s="64">
        <v>0.36</v>
      </c>
      <c r="Q28" s="64">
        <v>9.51</v>
      </c>
      <c r="S28" s="198"/>
      <c r="T28" s="198"/>
      <c r="U28" s="198"/>
    </row>
    <row r="29" spans="1:21" s="12" customFormat="1" x14ac:dyDescent="0.25">
      <c r="A29" s="214" t="s">
        <v>2381</v>
      </c>
      <c r="B29" s="64">
        <v>8.14</v>
      </c>
      <c r="C29" s="64">
        <v>3.13</v>
      </c>
      <c r="D29" s="64">
        <v>11.93</v>
      </c>
      <c r="E29" s="64">
        <v>3.7</v>
      </c>
      <c r="F29" s="64">
        <v>3.44</v>
      </c>
      <c r="G29" s="64">
        <v>31.63</v>
      </c>
      <c r="H29" s="64">
        <v>8.83</v>
      </c>
      <c r="I29" s="64">
        <v>5.07</v>
      </c>
      <c r="J29" s="64">
        <v>0.56999999999999995</v>
      </c>
      <c r="K29" s="64">
        <v>106.32</v>
      </c>
      <c r="L29" s="64">
        <v>24.13</v>
      </c>
      <c r="M29" s="64">
        <v>98.14</v>
      </c>
      <c r="N29" s="64">
        <v>20.2</v>
      </c>
      <c r="O29" s="64">
        <v>0</v>
      </c>
      <c r="P29" s="64">
        <v>0.35</v>
      </c>
      <c r="Q29" s="64">
        <v>9.5399999999999991</v>
      </c>
      <c r="S29" s="198"/>
      <c r="T29" s="198"/>
      <c r="U29" s="198"/>
    </row>
    <row r="30" spans="1:21" s="12" customFormat="1" x14ac:dyDescent="0.25">
      <c r="A30" s="214" t="s">
        <v>2382</v>
      </c>
      <c r="B30" s="64">
        <v>8.2200000000000006</v>
      </c>
      <c r="C30" s="64">
        <v>3.37</v>
      </c>
      <c r="D30" s="64">
        <v>12.13</v>
      </c>
      <c r="E30" s="64">
        <v>3.55</v>
      </c>
      <c r="F30" s="64">
        <v>4.05</v>
      </c>
      <c r="G30" s="64">
        <v>31.63</v>
      </c>
      <c r="H30" s="64">
        <v>8.83</v>
      </c>
      <c r="I30" s="64">
        <v>5.0599999999999996</v>
      </c>
      <c r="J30" s="64">
        <v>0.47</v>
      </c>
      <c r="K30" s="64">
        <v>116.49</v>
      </c>
      <c r="L30" s="64">
        <v>24.08</v>
      </c>
      <c r="M30" s="64">
        <v>98.09</v>
      </c>
      <c r="N30" s="64">
        <v>22.9</v>
      </c>
      <c r="O30" s="64">
        <v>0</v>
      </c>
      <c r="P30" s="64">
        <v>0.34</v>
      </c>
      <c r="Q30" s="64">
        <v>9.52</v>
      </c>
      <c r="S30" s="198"/>
      <c r="T30" s="198"/>
      <c r="U30" s="198"/>
    </row>
    <row r="31" spans="1:21" s="12" customFormat="1" x14ac:dyDescent="0.25">
      <c r="A31" s="214" t="s">
        <v>2383</v>
      </c>
      <c r="B31" s="64">
        <v>8.35</v>
      </c>
      <c r="C31" s="64">
        <v>3.77</v>
      </c>
      <c r="D31" s="64">
        <v>12.44</v>
      </c>
      <c r="E31" s="64">
        <v>3.56</v>
      </c>
      <c r="F31" s="64">
        <v>2.82</v>
      </c>
      <c r="G31" s="64">
        <v>31.63</v>
      </c>
      <c r="H31" s="64">
        <v>8.83</v>
      </c>
      <c r="I31" s="64">
        <v>5.01</v>
      </c>
      <c r="J31" s="64">
        <v>0.4</v>
      </c>
      <c r="K31" s="64">
        <v>37.78</v>
      </c>
      <c r="L31" s="64">
        <v>24.14</v>
      </c>
      <c r="M31" s="64">
        <v>98.01</v>
      </c>
      <c r="N31" s="64">
        <v>22.3</v>
      </c>
      <c r="O31" s="64">
        <v>0</v>
      </c>
      <c r="P31" s="64">
        <v>0.34</v>
      </c>
      <c r="Q31" s="64">
        <v>9.49</v>
      </c>
      <c r="S31" s="198"/>
      <c r="T31" s="198"/>
      <c r="U31" s="198"/>
    </row>
    <row r="32" spans="1:21" s="12" customFormat="1" x14ac:dyDescent="0.25">
      <c r="A32" s="214" t="s">
        <v>2384</v>
      </c>
      <c r="B32" s="64">
        <v>8.2100000000000009</v>
      </c>
      <c r="C32" s="64">
        <v>3.28</v>
      </c>
      <c r="D32" s="64">
        <v>12.07</v>
      </c>
      <c r="E32" s="64">
        <v>3.61</v>
      </c>
      <c r="F32" s="64">
        <v>3.17</v>
      </c>
      <c r="G32" s="64">
        <v>28.5</v>
      </c>
      <c r="H32" s="64">
        <v>8.23</v>
      </c>
      <c r="I32" s="64">
        <v>4.93</v>
      </c>
      <c r="J32" s="64">
        <v>0.48</v>
      </c>
      <c r="K32" s="64">
        <v>86.94</v>
      </c>
      <c r="L32" s="64">
        <v>23.71</v>
      </c>
      <c r="M32" s="64">
        <v>98.31</v>
      </c>
      <c r="N32" s="64">
        <v>22.1</v>
      </c>
      <c r="O32" s="64">
        <v>0</v>
      </c>
      <c r="P32" s="64">
        <v>0.34</v>
      </c>
      <c r="Q32" s="64">
        <v>9.4600000000000009</v>
      </c>
      <c r="S32" s="198"/>
      <c r="T32" s="198"/>
      <c r="U32" s="198"/>
    </row>
    <row r="33" spans="1:21" s="12" customFormat="1" x14ac:dyDescent="0.25">
      <c r="A33" s="214" t="s">
        <v>2385</v>
      </c>
      <c r="B33" s="64">
        <v>8.17</v>
      </c>
      <c r="C33" s="64">
        <v>3.15</v>
      </c>
      <c r="D33" s="64">
        <v>11.97</v>
      </c>
      <c r="E33" s="64">
        <v>3.43</v>
      </c>
      <c r="F33" s="64">
        <v>3.68</v>
      </c>
      <c r="G33" s="64">
        <v>28.35</v>
      </c>
      <c r="H33" s="64">
        <v>8.2100000000000009</v>
      </c>
      <c r="I33" s="64">
        <v>5.14</v>
      </c>
      <c r="J33" s="64">
        <v>0.5</v>
      </c>
      <c r="K33" s="64">
        <v>5.81</v>
      </c>
      <c r="L33" s="64">
        <v>23.46</v>
      </c>
      <c r="M33" s="64">
        <v>98.35</v>
      </c>
      <c r="N33" s="64">
        <v>22</v>
      </c>
      <c r="O33" s="64">
        <v>0</v>
      </c>
      <c r="P33" s="64">
        <v>0.35</v>
      </c>
      <c r="Q33" s="64">
        <v>9.48</v>
      </c>
      <c r="S33" s="198"/>
      <c r="T33" s="198"/>
      <c r="U33" s="198"/>
    </row>
    <row r="34" spans="1:21" s="12" customFormat="1" x14ac:dyDescent="0.25">
      <c r="A34" s="214" t="s">
        <v>2386</v>
      </c>
      <c r="B34" s="64">
        <v>8.19</v>
      </c>
      <c r="C34" s="64">
        <v>3.15</v>
      </c>
      <c r="D34" s="64">
        <v>11.99</v>
      </c>
      <c r="E34" s="64">
        <v>3.67</v>
      </c>
      <c r="F34" s="64">
        <v>3.55</v>
      </c>
      <c r="G34" s="64">
        <v>28.35</v>
      </c>
      <c r="H34" s="64">
        <v>8.2100000000000009</v>
      </c>
      <c r="I34" s="64">
        <v>5.56</v>
      </c>
      <c r="J34" s="64">
        <v>0.28000000000000003</v>
      </c>
      <c r="K34" s="64">
        <v>356.78</v>
      </c>
      <c r="L34" s="64">
        <v>23.2</v>
      </c>
      <c r="M34" s="64">
        <v>98.35</v>
      </c>
      <c r="N34" s="64">
        <v>23.1</v>
      </c>
      <c r="O34" s="64">
        <v>0</v>
      </c>
      <c r="P34" s="64">
        <v>0.35</v>
      </c>
      <c r="Q34" s="64">
        <v>9.48</v>
      </c>
      <c r="S34" s="198"/>
      <c r="T34" s="198"/>
      <c r="U34" s="198"/>
    </row>
    <row r="35" spans="1:21" s="12" customFormat="1" x14ac:dyDescent="0.25">
      <c r="A35" s="214" t="s">
        <v>2387</v>
      </c>
      <c r="B35" s="64">
        <v>8.23</v>
      </c>
      <c r="C35" s="64">
        <v>3.23</v>
      </c>
      <c r="D35" s="64">
        <v>12.07</v>
      </c>
      <c r="E35" s="64">
        <v>3.48</v>
      </c>
      <c r="F35" s="64">
        <v>3.41</v>
      </c>
      <c r="G35" s="64">
        <v>28.35</v>
      </c>
      <c r="H35" s="64">
        <v>8.2100000000000009</v>
      </c>
      <c r="I35" s="64">
        <v>5.91</v>
      </c>
      <c r="J35" s="64">
        <v>1.05</v>
      </c>
      <c r="K35" s="64">
        <v>340.27</v>
      </c>
      <c r="L35" s="64">
        <v>23.05</v>
      </c>
      <c r="M35" s="64">
        <v>98.35</v>
      </c>
      <c r="N35" s="64">
        <v>29.3</v>
      </c>
      <c r="O35" s="64">
        <v>0.2</v>
      </c>
      <c r="P35" s="64">
        <v>0.36</v>
      </c>
      <c r="Q35" s="64">
        <v>9.5</v>
      </c>
      <c r="S35" s="198"/>
      <c r="T35" s="198"/>
      <c r="U35" s="198"/>
    </row>
    <row r="36" spans="1:21" s="12" customFormat="1" x14ac:dyDescent="0.25">
      <c r="A36" s="214" t="s">
        <v>2388</v>
      </c>
      <c r="B36" s="64">
        <v>8.2200000000000006</v>
      </c>
      <c r="C36" s="64">
        <v>3.19</v>
      </c>
      <c r="D36" s="64">
        <v>12.04</v>
      </c>
      <c r="E36" s="64">
        <v>3.68</v>
      </c>
      <c r="F36" s="64">
        <v>3.27</v>
      </c>
      <c r="G36" s="64">
        <v>40.770000000000003</v>
      </c>
      <c r="H36" s="64">
        <v>12.39</v>
      </c>
      <c r="I36" s="64">
        <v>6.2</v>
      </c>
      <c r="J36" s="64">
        <v>0.2</v>
      </c>
      <c r="K36" s="64">
        <v>34.119999999999997</v>
      </c>
      <c r="L36" s="64">
        <v>22.87</v>
      </c>
      <c r="M36" s="64">
        <v>98.35</v>
      </c>
      <c r="N36" s="64">
        <v>36.6</v>
      </c>
      <c r="O36" s="64">
        <v>0</v>
      </c>
      <c r="P36" s="64">
        <v>0.38</v>
      </c>
      <c r="Q36" s="64">
        <v>9.52</v>
      </c>
      <c r="S36" s="198"/>
      <c r="T36" s="198"/>
      <c r="U36" s="198"/>
    </row>
    <row r="37" spans="1:21" s="12" customFormat="1" x14ac:dyDescent="0.25">
      <c r="A37" s="214" t="s">
        <v>2389</v>
      </c>
      <c r="B37" s="64">
        <v>8.2200000000000006</v>
      </c>
      <c r="C37" s="64">
        <v>3.21</v>
      </c>
      <c r="D37" s="64">
        <v>12.05</v>
      </c>
      <c r="E37" s="64">
        <v>3.74</v>
      </c>
      <c r="F37" s="64">
        <v>3.3</v>
      </c>
      <c r="G37" s="64">
        <v>41.34</v>
      </c>
      <c r="H37" s="64">
        <v>12.64</v>
      </c>
      <c r="I37" s="64">
        <v>6.45</v>
      </c>
      <c r="J37" s="64">
        <v>0.22</v>
      </c>
      <c r="K37" s="64">
        <v>287.64</v>
      </c>
      <c r="L37" s="64">
        <v>22.88</v>
      </c>
      <c r="M37" s="64">
        <v>98.35</v>
      </c>
      <c r="N37" s="64">
        <v>46.9</v>
      </c>
      <c r="O37" s="64">
        <v>0.2</v>
      </c>
      <c r="P37" s="64">
        <v>0.38</v>
      </c>
      <c r="Q37" s="64">
        <v>9.51</v>
      </c>
      <c r="S37" s="198"/>
      <c r="T37" s="198"/>
      <c r="U37" s="198"/>
    </row>
    <row r="38" spans="1:21" s="12" customFormat="1" x14ac:dyDescent="0.25">
      <c r="A38" s="214" t="s">
        <v>2390</v>
      </c>
      <c r="B38" s="64">
        <v>8.19</v>
      </c>
      <c r="C38" s="64">
        <v>3.22</v>
      </c>
      <c r="D38" s="64">
        <v>12.02</v>
      </c>
      <c r="E38" s="64">
        <v>3.99</v>
      </c>
      <c r="F38" s="64">
        <v>3.51</v>
      </c>
      <c r="G38" s="64">
        <v>41.34</v>
      </c>
      <c r="H38" s="64">
        <v>12.64</v>
      </c>
      <c r="I38" s="64">
        <v>6.67</v>
      </c>
      <c r="J38" s="64">
        <v>0.21</v>
      </c>
      <c r="K38" s="64">
        <v>10.5</v>
      </c>
      <c r="L38" s="64">
        <v>23.12</v>
      </c>
      <c r="M38" s="64">
        <v>98.35</v>
      </c>
      <c r="N38" s="64">
        <v>71.2</v>
      </c>
      <c r="O38" s="64">
        <v>0</v>
      </c>
      <c r="P38" s="64">
        <v>0.41</v>
      </c>
      <c r="Q38" s="64">
        <v>9.56</v>
      </c>
      <c r="S38" s="198"/>
      <c r="T38" s="198"/>
      <c r="U38" s="198"/>
    </row>
    <row r="39" spans="1:21" s="12" customFormat="1" x14ac:dyDescent="0.25">
      <c r="A39" s="214" t="s">
        <v>2391</v>
      </c>
      <c r="B39" s="64">
        <v>8.16</v>
      </c>
      <c r="C39" s="64">
        <v>3.16</v>
      </c>
      <c r="D39" s="64">
        <v>11.97</v>
      </c>
      <c r="E39" s="64">
        <v>4.03</v>
      </c>
      <c r="F39" s="64">
        <v>3.57</v>
      </c>
      <c r="G39" s="64">
        <v>41.34</v>
      </c>
      <c r="H39" s="64">
        <v>12.64</v>
      </c>
      <c r="I39" s="64">
        <v>6.84</v>
      </c>
      <c r="J39" s="64">
        <v>0.41</v>
      </c>
      <c r="K39" s="64">
        <v>99.92</v>
      </c>
      <c r="L39" s="64">
        <v>23.35</v>
      </c>
      <c r="M39" s="64">
        <v>98.35</v>
      </c>
      <c r="N39" s="64">
        <v>88.6</v>
      </c>
      <c r="O39" s="64">
        <v>0</v>
      </c>
      <c r="P39" s="64">
        <v>0.43</v>
      </c>
      <c r="Q39" s="64">
        <v>9.64</v>
      </c>
      <c r="S39" s="198"/>
      <c r="T39" s="198"/>
      <c r="U39" s="198"/>
    </row>
    <row r="40" spans="1:21" s="12" customFormat="1" x14ac:dyDescent="0.25">
      <c r="A40" s="214" t="s">
        <v>2392</v>
      </c>
      <c r="B40" s="64">
        <v>8.1999999999999993</v>
      </c>
      <c r="C40" s="64">
        <v>3.28</v>
      </c>
      <c r="D40" s="64">
        <v>12.07</v>
      </c>
      <c r="E40" s="64">
        <v>4.16</v>
      </c>
      <c r="F40" s="64">
        <v>3.98</v>
      </c>
      <c r="G40" s="64">
        <v>47.03</v>
      </c>
      <c r="H40" s="64">
        <v>24.38</v>
      </c>
      <c r="I40" s="64">
        <v>6.9</v>
      </c>
      <c r="J40" s="64">
        <v>0.44</v>
      </c>
      <c r="K40" s="64">
        <v>83.25</v>
      </c>
      <c r="L40" s="64">
        <v>23.83</v>
      </c>
      <c r="M40" s="64">
        <v>98.35</v>
      </c>
      <c r="N40" s="64">
        <v>115.8</v>
      </c>
      <c r="O40" s="64">
        <v>0</v>
      </c>
      <c r="P40" s="64">
        <v>0.46</v>
      </c>
      <c r="Q40" s="64">
        <v>9.65</v>
      </c>
      <c r="S40" s="198"/>
      <c r="T40" s="198"/>
      <c r="U40" s="198"/>
    </row>
    <row r="41" spans="1:21" s="12" customFormat="1" x14ac:dyDescent="0.25">
      <c r="A41" s="214" t="s">
        <v>2393</v>
      </c>
      <c r="B41" s="64">
        <v>8.35</v>
      </c>
      <c r="C41" s="64">
        <v>3.61</v>
      </c>
      <c r="D41" s="64">
        <v>12.35</v>
      </c>
      <c r="E41" s="64">
        <v>3.61</v>
      </c>
      <c r="F41" s="64">
        <v>3.11</v>
      </c>
      <c r="G41" s="64">
        <v>47.29</v>
      </c>
      <c r="H41" s="64">
        <v>24.92</v>
      </c>
      <c r="I41" s="64">
        <v>6.85</v>
      </c>
      <c r="J41" s="64">
        <v>0.48</v>
      </c>
      <c r="K41" s="64">
        <v>353.98</v>
      </c>
      <c r="L41" s="64">
        <v>24.35</v>
      </c>
      <c r="M41" s="64">
        <v>98.34</v>
      </c>
      <c r="N41" s="64">
        <v>111.8</v>
      </c>
      <c r="O41" s="64">
        <v>0</v>
      </c>
      <c r="P41" s="64">
        <v>0.49</v>
      </c>
      <c r="Q41" s="64">
        <v>9.64</v>
      </c>
      <c r="S41" s="198"/>
      <c r="T41" s="198"/>
      <c r="U41" s="198"/>
    </row>
    <row r="42" spans="1:21" s="12" customFormat="1" x14ac:dyDescent="0.25">
      <c r="A42" s="214" t="s">
        <v>2394</v>
      </c>
      <c r="B42" s="64">
        <v>8.8000000000000007</v>
      </c>
      <c r="C42" s="64">
        <v>4.83</v>
      </c>
      <c r="D42" s="64">
        <v>13.36</v>
      </c>
      <c r="E42" s="64">
        <v>3.6</v>
      </c>
      <c r="F42" s="64">
        <v>3.76</v>
      </c>
      <c r="G42" s="64">
        <v>47.29</v>
      </c>
      <c r="H42" s="64">
        <v>24.92</v>
      </c>
      <c r="I42" s="64">
        <v>6.79</v>
      </c>
      <c r="J42" s="64">
        <v>0.41</v>
      </c>
      <c r="K42" s="64">
        <v>88.86</v>
      </c>
      <c r="L42" s="64">
        <v>24.6</v>
      </c>
      <c r="M42" s="64">
        <v>98.32</v>
      </c>
      <c r="N42" s="64">
        <v>220.1</v>
      </c>
      <c r="O42" s="64">
        <v>0</v>
      </c>
      <c r="P42" s="64">
        <v>0.53</v>
      </c>
      <c r="Q42" s="64">
        <v>9.6999999999999993</v>
      </c>
      <c r="S42" s="198"/>
      <c r="T42" s="198"/>
      <c r="U42" s="198"/>
    </row>
    <row r="43" spans="1:21" s="12" customFormat="1" x14ac:dyDescent="0.25">
      <c r="A43" s="214" t="s">
        <v>2395</v>
      </c>
      <c r="B43" s="64">
        <v>8.35</v>
      </c>
      <c r="C43" s="64">
        <v>3.65</v>
      </c>
      <c r="D43" s="64">
        <v>12.38</v>
      </c>
      <c r="E43" s="64">
        <v>3.77</v>
      </c>
      <c r="F43" s="64">
        <v>3.21</v>
      </c>
      <c r="G43" s="64">
        <v>47.29</v>
      </c>
      <c r="H43" s="64">
        <v>24.92</v>
      </c>
      <c r="I43" s="64">
        <v>6.71</v>
      </c>
      <c r="J43" s="64">
        <v>0.54</v>
      </c>
      <c r="K43" s="64">
        <v>11.08</v>
      </c>
      <c r="L43" s="64">
        <v>24.98</v>
      </c>
      <c r="M43" s="64">
        <v>98.09</v>
      </c>
      <c r="N43" s="64">
        <v>159.6</v>
      </c>
      <c r="O43" s="64">
        <v>0</v>
      </c>
      <c r="P43" s="64">
        <v>0.53</v>
      </c>
      <c r="Q43" s="64">
        <v>9.6999999999999993</v>
      </c>
      <c r="S43" s="198"/>
      <c r="T43" s="198"/>
      <c r="U43" s="198"/>
    </row>
    <row r="44" spans="1:21" s="12" customFormat="1" x14ac:dyDescent="0.25">
      <c r="A44" s="214" t="s">
        <v>2396</v>
      </c>
      <c r="B44" s="64">
        <v>8.1999999999999993</v>
      </c>
      <c r="C44" s="64">
        <v>3.23</v>
      </c>
      <c r="D44" s="64">
        <v>12.04</v>
      </c>
      <c r="E44" s="64">
        <v>3.93</v>
      </c>
      <c r="F44" s="64">
        <v>3.91</v>
      </c>
      <c r="G44" s="64">
        <v>47.02</v>
      </c>
      <c r="H44" s="64">
        <v>23.41</v>
      </c>
      <c r="I44" s="64">
        <v>6.66</v>
      </c>
      <c r="J44" s="64">
        <v>0.69</v>
      </c>
      <c r="K44" s="64">
        <v>330.8</v>
      </c>
      <c r="L44" s="64">
        <v>25.44</v>
      </c>
      <c r="M44" s="64">
        <v>96.77</v>
      </c>
      <c r="N44" s="64">
        <v>82.8</v>
      </c>
      <c r="O44" s="64">
        <v>0</v>
      </c>
      <c r="P44" s="64">
        <v>0.56000000000000005</v>
      </c>
      <c r="Q44" s="64">
        <v>9.76</v>
      </c>
      <c r="S44" s="198"/>
      <c r="T44" s="198"/>
      <c r="U44" s="198"/>
    </row>
    <row r="45" spans="1:21" s="12" customFormat="1" x14ac:dyDescent="0.25">
      <c r="A45" s="214" t="s">
        <v>2397</v>
      </c>
      <c r="B45" s="64">
        <v>8.18</v>
      </c>
      <c r="C45" s="64">
        <v>3.22</v>
      </c>
      <c r="D45" s="64">
        <v>12.02</v>
      </c>
      <c r="E45" s="64">
        <v>3.68</v>
      </c>
      <c r="F45" s="64">
        <v>2.78</v>
      </c>
      <c r="G45" s="64">
        <v>47.01</v>
      </c>
      <c r="H45" s="64">
        <v>23.33</v>
      </c>
      <c r="I45" s="64">
        <v>6.65</v>
      </c>
      <c r="J45" s="64">
        <v>1.3</v>
      </c>
      <c r="K45" s="64">
        <v>147.16</v>
      </c>
      <c r="L45" s="64">
        <v>24.64</v>
      </c>
      <c r="M45" s="64">
        <v>98.01</v>
      </c>
      <c r="N45" s="64">
        <v>57.1</v>
      </c>
      <c r="O45" s="64">
        <v>0</v>
      </c>
      <c r="P45" s="64">
        <v>0.56000000000000005</v>
      </c>
      <c r="Q45" s="64">
        <v>9.76</v>
      </c>
      <c r="S45" s="198"/>
      <c r="T45" s="198"/>
      <c r="U45" s="198"/>
    </row>
    <row r="46" spans="1:21" s="12" customFormat="1" x14ac:dyDescent="0.25">
      <c r="A46" s="214" t="s">
        <v>2398</v>
      </c>
      <c r="B46" s="64">
        <v>8.1999999999999993</v>
      </c>
      <c r="C46" s="64">
        <v>3.22</v>
      </c>
      <c r="D46" s="64">
        <v>12.03</v>
      </c>
      <c r="E46" s="64">
        <v>3.82</v>
      </c>
      <c r="F46" s="64">
        <v>3.77</v>
      </c>
      <c r="G46" s="64">
        <v>47.01</v>
      </c>
      <c r="H46" s="64">
        <v>23.33</v>
      </c>
      <c r="I46" s="64">
        <v>6.58</v>
      </c>
      <c r="J46" s="64">
        <v>1.1200000000000001</v>
      </c>
      <c r="K46" s="64">
        <v>156.29</v>
      </c>
      <c r="L46" s="64">
        <v>23.82</v>
      </c>
      <c r="M46" s="64">
        <v>98.34</v>
      </c>
      <c r="N46" s="64">
        <v>60</v>
      </c>
      <c r="O46" s="64">
        <v>2.8</v>
      </c>
      <c r="P46" s="64">
        <v>0.56999999999999995</v>
      </c>
      <c r="Q46" s="64">
        <v>9.7799999999999994</v>
      </c>
      <c r="S46" s="198"/>
      <c r="T46" s="198"/>
      <c r="U46" s="198"/>
    </row>
    <row r="47" spans="1:21" s="12" customFormat="1" x14ac:dyDescent="0.25">
      <c r="A47" s="214" t="s">
        <v>2399</v>
      </c>
      <c r="B47" s="64">
        <v>8.1999999999999993</v>
      </c>
      <c r="C47" s="64">
        <v>3.24</v>
      </c>
      <c r="D47" s="64">
        <v>12.05</v>
      </c>
      <c r="E47" s="64">
        <v>3.98</v>
      </c>
      <c r="F47" s="64">
        <v>3.31</v>
      </c>
      <c r="G47" s="64">
        <v>47.01</v>
      </c>
      <c r="H47" s="64">
        <v>23.33</v>
      </c>
      <c r="I47" s="64">
        <v>6.39</v>
      </c>
      <c r="J47" s="64">
        <v>1.34</v>
      </c>
      <c r="K47" s="64">
        <v>154.38</v>
      </c>
      <c r="L47" s="64">
        <v>23.23</v>
      </c>
      <c r="M47" s="64">
        <v>98.37</v>
      </c>
      <c r="N47" s="64">
        <v>72.3</v>
      </c>
      <c r="O47" s="64">
        <v>2.2000000000000002</v>
      </c>
      <c r="P47" s="64">
        <v>0.55000000000000004</v>
      </c>
      <c r="Q47" s="64">
        <v>9.76</v>
      </c>
      <c r="S47" s="198"/>
      <c r="T47" s="198"/>
      <c r="U47" s="198"/>
    </row>
    <row r="48" spans="1:21" s="12" customFormat="1" x14ac:dyDescent="0.25">
      <c r="A48" s="214" t="s">
        <v>2400</v>
      </c>
      <c r="B48" s="64">
        <v>8.67</v>
      </c>
      <c r="C48" s="64">
        <v>4.46</v>
      </c>
      <c r="D48" s="64">
        <v>13.05</v>
      </c>
      <c r="E48" s="64">
        <v>3.49</v>
      </c>
      <c r="F48" s="64">
        <v>5.84</v>
      </c>
      <c r="G48" s="64">
        <v>45.37</v>
      </c>
      <c r="H48" s="64">
        <v>22.31</v>
      </c>
      <c r="I48" s="64">
        <v>6.42</v>
      </c>
      <c r="J48" s="64">
        <v>1.53</v>
      </c>
      <c r="K48" s="64">
        <v>152.63</v>
      </c>
      <c r="L48" s="64">
        <v>23.01</v>
      </c>
      <c r="M48" s="64">
        <v>98.38</v>
      </c>
      <c r="N48" s="64">
        <v>98.9</v>
      </c>
      <c r="O48" s="64">
        <v>3.2</v>
      </c>
      <c r="P48" s="64">
        <v>0.56000000000000005</v>
      </c>
      <c r="Q48" s="64">
        <v>9.77</v>
      </c>
      <c r="S48" s="198"/>
      <c r="T48" s="198"/>
      <c r="U48" s="198"/>
    </row>
    <row r="49" spans="1:21" s="12" customFormat="1" x14ac:dyDescent="0.25">
      <c r="A49" s="214" t="s">
        <v>2401</v>
      </c>
      <c r="B49" s="64">
        <v>8.3699999999999992</v>
      </c>
      <c r="C49" s="64">
        <v>3.74</v>
      </c>
      <c r="D49" s="64">
        <v>12.44</v>
      </c>
      <c r="E49" s="64">
        <v>3.69</v>
      </c>
      <c r="F49" s="64">
        <v>3.68</v>
      </c>
      <c r="G49" s="64">
        <v>45.29</v>
      </c>
      <c r="H49" s="64">
        <v>22.26</v>
      </c>
      <c r="I49" s="64">
        <v>6.49</v>
      </c>
      <c r="J49" s="64">
        <v>0.74</v>
      </c>
      <c r="K49" s="64">
        <v>160.16999999999999</v>
      </c>
      <c r="L49" s="64">
        <v>22.72</v>
      </c>
      <c r="M49" s="64">
        <v>98.38</v>
      </c>
      <c r="N49" s="64">
        <v>98.7</v>
      </c>
      <c r="O49" s="64">
        <v>3.2</v>
      </c>
      <c r="P49" s="64">
        <v>0.55000000000000004</v>
      </c>
      <c r="Q49" s="64">
        <v>9.74</v>
      </c>
      <c r="S49" s="198"/>
      <c r="T49" s="198"/>
      <c r="U49" s="198"/>
    </row>
    <row r="50" spans="1:21" s="12" customFormat="1" x14ac:dyDescent="0.25">
      <c r="A50" s="214" t="s">
        <v>2402</v>
      </c>
      <c r="B50" s="64">
        <v>8.27</v>
      </c>
      <c r="C50" s="64">
        <v>3.42</v>
      </c>
      <c r="D50" s="64">
        <v>12.2</v>
      </c>
      <c r="E50" s="64">
        <v>3.51</v>
      </c>
      <c r="F50" s="64">
        <v>6.21</v>
      </c>
      <c r="G50" s="64">
        <v>45.29</v>
      </c>
      <c r="H50" s="64">
        <v>22.26</v>
      </c>
      <c r="I50" s="64">
        <v>6.52</v>
      </c>
      <c r="J50" s="64">
        <v>0.36</v>
      </c>
      <c r="K50" s="64">
        <v>4.71</v>
      </c>
      <c r="L50" s="64">
        <v>22.75</v>
      </c>
      <c r="M50" s="64">
        <v>98.38</v>
      </c>
      <c r="N50" s="64">
        <v>143.19999999999999</v>
      </c>
      <c r="O50" s="64">
        <v>1.2</v>
      </c>
      <c r="P50" s="64">
        <v>0.54</v>
      </c>
      <c r="Q50" s="64">
        <v>9.68</v>
      </c>
      <c r="S50" s="198"/>
      <c r="T50" s="198"/>
      <c r="U50" s="198"/>
    </row>
    <row r="51" spans="1:21" s="12" customFormat="1" x14ac:dyDescent="0.25">
      <c r="A51" s="214" t="s">
        <v>2403</v>
      </c>
      <c r="B51" s="64">
        <v>8.2200000000000006</v>
      </c>
      <c r="C51" s="64">
        <v>3.23</v>
      </c>
      <c r="D51" s="64">
        <v>12.05</v>
      </c>
      <c r="E51" s="64">
        <v>3.63</v>
      </c>
      <c r="F51" s="64">
        <v>3.97</v>
      </c>
      <c r="G51" s="64">
        <v>45.29</v>
      </c>
      <c r="H51" s="64">
        <v>22.26</v>
      </c>
      <c r="I51" s="64">
        <v>6.52</v>
      </c>
      <c r="J51" s="64">
        <v>0.66</v>
      </c>
      <c r="K51" s="64">
        <v>336.39</v>
      </c>
      <c r="L51" s="64">
        <v>23.36</v>
      </c>
      <c r="M51" s="64">
        <v>98.38</v>
      </c>
      <c r="N51" s="64">
        <v>163.19999999999999</v>
      </c>
      <c r="O51" s="64">
        <v>0.8</v>
      </c>
      <c r="P51" s="64">
        <v>0.53</v>
      </c>
      <c r="Q51" s="64">
        <v>9.66</v>
      </c>
      <c r="S51" s="198"/>
      <c r="T51" s="198"/>
      <c r="U51" s="198"/>
    </row>
    <row r="52" spans="1:21" s="12" customFormat="1" x14ac:dyDescent="0.25">
      <c r="A52" s="214" t="s">
        <v>2404</v>
      </c>
      <c r="B52" s="64">
        <v>8.2100000000000009</v>
      </c>
      <c r="C52" s="64">
        <v>3.2</v>
      </c>
      <c r="D52" s="64">
        <v>12.02</v>
      </c>
      <c r="E52" s="64">
        <v>3.67</v>
      </c>
      <c r="F52" s="64">
        <v>3.55</v>
      </c>
      <c r="G52" s="64">
        <v>40.29</v>
      </c>
      <c r="H52" s="64">
        <v>15.93</v>
      </c>
      <c r="I52" s="64">
        <v>6.32</v>
      </c>
      <c r="J52" s="64">
        <v>0.59</v>
      </c>
      <c r="K52" s="64">
        <v>335.04</v>
      </c>
      <c r="L52" s="64">
        <v>23.29</v>
      </c>
      <c r="M52" s="64">
        <v>98.38</v>
      </c>
      <c r="N52" s="64">
        <v>93.2</v>
      </c>
      <c r="O52" s="64">
        <v>0</v>
      </c>
      <c r="P52" s="64">
        <v>0.52</v>
      </c>
      <c r="Q52" s="64">
        <v>9.66</v>
      </c>
      <c r="S52" s="198"/>
      <c r="T52" s="198"/>
      <c r="U52" s="198"/>
    </row>
    <row r="53" spans="1:21" s="12" customFormat="1" x14ac:dyDescent="0.25">
      <c r="A53" s="214" t="s">
        <v>2405</v>
      </c>
      <c r="B53" s="64">
        <v>8.2100000000000009</v>
      </c>
      <c r="C53" s="64">
        <v>3.16</v>
      </c>
      <c r="D53" s="64">
        <v>12.01</v>
      </c>
      <c r="E53" s="64">
        <v>3.66</v>
      </c>
      <c r="F53" s="64">
        <v>3.5</v>
      </c>
      <c r="G53" s="64">
        <v>40.06</v>
      </c>
      <c r="H53" s="64">
        <v>15.64</v>
      </c>
      <c r="I53" s="64">
        <v>6.07</v>
      </c>
      <c r="J53" s="64">
        <v>0.64</v>
      </c>
      <c r="K53" s="64">
        <v>328.67</v>
      </c>
      <c r="L53" s="64">
        <v>23.16</v>
      </c>
      <c r="M53" s="64">
        <v>98.38</v>
      </c>
      <c r="N53" s="64">
        <v>132.19999999999999</v>
      </c>
      <c r="O53" s="64">
        <v>0</v>
      </c>
      <c r="P53" s="64">
        <v>0.52</v>
      </c>
      <c r="Q53" s="64">
        <v>9.65</v>
      </c>
      <c r="S53" s="198"/>
      <c r="T53" s="198"/>
      <c r="U53" s="198"/>
    </row>
    <row r="54" spans="1:21" s="12" customFormat="1" x14ac:dyDescent="0.25">
      <c r="A54" s="214" t="s">
        <v>2406</v>
      </c>
      <c r="B54" s="64">
        <v>8.1999999999999993</v>
      </c>
      <c r="C54" s="64">
        <v>3.13</v>
      </c>
      <c r="D54" s="64">
        <v>11.99</v>
      </c>
      <c r="E54" s="64">
        <v>3.92</v>
      </c>
      <c r="F54" s="64">
        <v>3.64</v>
      </c>
      <c r="G54" s="64">
        <v>40.06</v>
      </c>
      <c r="H54" s="64">
        <v>15.64</v>
      </c>
      <c r="I54" s="64">
        <v>5.91</v>
      </c>
      <c r="J54" s="64">
        <v>0.62</v>
      </c>
      <c r="K54" s="64">
        <v>314.89</v>
      </c>
      <c r="L54" s="64">
        <v>23.44</v>
      </c>
      <c r="M54" s="64">
        <v>98.38</v>
      </c>
      <c r="N54" s="64">
        <v>148.4</v>
      </c>
      <c r="O54" s="64">
        <v>0</v>
      </c>
      <c r="P54" s="64">
        <v>0.52</v>
      </c>
      <c r="Q54" s="64">
        <v>9.66</v>
      </c>
      <c r="S54" s="198"/>
      <c r="T54" s="198"/>
      <c r="U54" s="198"/>
    </row>
    <row r="55" spans="1:21" s="12" customFormat="1" x14ac:dyDescent="0.25">
      <c r="A55" s="214" t="s">
        <v>2407</v>
      </c>
      <c r="B55" s="64">
        <v>8.1999999999999993</v>
      </c>
      <c r="C55" s="64">
        <v>3.17</v>
      </c>
      <c r="D55" s="64">
        <v>12</v>
      </c>
      <c r="E55" s="64">
        <v>3.82</v>
      </c>
      <c r="F55" s="64">
        <v>3.55</v>
      </c>
      <c r="G55" s="64">
        <v>40.06</v>
      </c>
      <c r="H55" s="64">
        <v>15.64</v>
      </c>
      <c r="I55" s="64">
        <v>5.73</v>
      </c>
      <c r="J55" s="64">
        <v>0.75</v>
      </c>
      <c r="K55" s="64">
        <v>314.63</v>
      </c>
      <c r="L55" s="64">
        <v>23.87</v>
      </c>
      <c r="M55" s="64">
        <v>98.38</v>
      </c>
      <c r="N55" s="64">
        <v>330.8</v>
      </c>
      <c r="O55" s="64">
        <v>0</v>
      </c>
      <c r="P55" s="64">
        <v>0.53</v>
      </c>
      <c r="Q55" s="64">
        <v>9.67</v>
      </c>
      <c r="S55" s="198"/>
      <c r="T55" s="198"/>
      <c r="U55" s="198"/>
    </row>
    <row r="56" spans="1:21" s="12" customFormat="1" x14ac:dyDescent="0.25">
      <c r="A56" s="214" t="s">
        <v>2408</v>
      </c>
      <c r="B56" s="64">
        <v>8.2899999999999991</v>
      </c>
      <c r="C56" s="64">
        <v>3.47</v>
      </c>
      <c r="D56" s="64">
        <v>12.24</v>
      </c>
      <c r="E56" s="64">
        <v>4.9400000000000004</v>
      </c>
      <c r="F56" s="64">
        <v>3.57</v>
      </c>
      <c r="G56" s="64">
        <v>31.93</v>
      </c>
      <c r="H56" s="64">
        <v>14.87</v>
      </c>
      <c r="I56" s="64">
        <v>5.62</v>
      </c>
      <c r="J56" s="64">
        <v>0.96</v>
      </c>
      <c r="K56" s="64">
        <v>319.68</v>
      </c>
      <c r="L56" s="64">
        <v>24.97</v>
      </c>
      <c r="M56" s="64">
        <v>98.38</v>
      </c>
      <c r="N56" s="64">
        <v>348.7</v>
      </c>
      <c r="O56" s="64">
        <v>0</v>
      </c>
      <c r="P56" s="64">
        <v>0.54</v>
      </c>
      <c r="Q56" s="64">
        <v>9.68</v>
      </c>
      <c r="S56" s="198"/>
      <c r="T56" s="198"/>
      <c r="U56" s="198"/>
    </row>
    <row r="57" spans="1:21" s="12" customFormat="1" x14ac:dyDescent="0.25">
      <c r="A57" s="214" t="s">
        <v>2409</v>
      </c>
      <c r="B57" s="64">
        <v>8.2799999999999994</v>
      </c>
      <c r="C57" s="64">
        <v>3.39</v>
      </c>
      <c r="D57" s="64">
        <v>12.19</v>
      </c>
      <c r="E57" s="64">
        <v>5.07</v>
      </c>
      <c r="F57" s="64">
        <v>3.83</v>
      </c>
      <c r="G57" s="64">
        <v>31.55</v>
      </c>
      <c r="H57" s="64">
        <v>14.84</v>
      </c>
      <c r="I57" s="64">
        <v>5.36</v>
      </c>
      <c r="J57" s="64">
        <v>1.04</v>
      </c>
      <c r="K57" s="64">
        <v>310.33999999999997</v>
      </c>
      <c r="L57" s="64">
        <v>24.6</v>
      </c>
      <c r="M57" s="64">
        <v>98.36</v>
      </c>
      <c r="N57" s="64">
        <v>167</v>
      </c>
      <c r="O57" s="64">
        <v>0</v>
      </c>
      <c r="P57" s="64">
        <v>0.56000000000000005</v>
      </c>
      <c r="Q57" s="64">
        <v>9.73</v>
      </c>
      <c r="S57" s="198"/>
      <c r="T57" s="198"/>
      <c r="U57" s="198"/>
    </row>
    <row r="58" spans="1:21" s="12" customFormat="1" x14ac:dyDescent="0.25">
      <c r="A58" s="214" t="s">
        <v>2410</v>
      </c>
      <c r="B58" s="64">
        <v>8.2200000000000006</v>
      </c>
      <c r="C58" s="64">
        <v>3.34</v>
      </c>
      <c r="D58" s="64">
        <v>12.12</v>
      </c>
      <c r="E58" s="64">
        <v>5.21</v>
      </c>
      <c r="F58" s="64">
        <v>3.54</v>
      </c>
      <c r="G58" s="64">
        <v>31.55</v>
      </c>
      <c r="H58" s="64">
        <v>14.84</v>
      </c>
      <c r="I58" s="64">
        <v>5.13</v>
      </c>
      <c r="J58" s="64">
        <v>0.82</v>
      </c>
      <c r="K58" s="64">
        <v>310.10000000000002</v>
      </c>
      <c r="L58" s="64">
        <v>24.45</v>
      </c>
      <c r="M58" s="64">
        <v>98.32</v>
      </c>
      <c r="N58" s="64">
        <v>155.80000000000001</v>
      </c>
      <c r="O58" s="64">
        <v>0</v>
      </c>
      <c r="P58" s="64">
        <v>0.56999999999999995</v>
      </c>
      <c r="Q58" s="64">
        <v>9.74</v>
      </c>
      <c r="S58" s="198"/>
      <c r="T58" s="198"/>
      <c r="U58" s="198"/>
    </row>
    <row r="59" spans="1:21" s="12" customFormat="1" x14ac:dyDescent="0.25">
      <c r="A59" s="214" t="s">
        <v>2411</v>
      </c>
      <c r="B59" s="64">
        <v>8.26</v>
      </c>
      <c r="C59" s="64">
        <v>3.44</v>
      </c>
      <c r="D59" s="64">
        <v>12.2</v>
      </c>
      <c r="E59" s="64">
        <v>5.14</v>
      </c>
      <c r="F59" s="64">
        <v>3.99</v>
      </c>
      <c r="G59" s="64">
        <v>31.55</v>
      </c>
      <c r="H59" s="64">
        <v>14.84</v>
      </c>
      <c r="I59" s="64">
        <v>4.9800000000000004</v>
      </c>
      <c r="J59" s="64">
        <v>1.04</v>
      </c>
      <c r="K59" s="64">
        <v>328.78</v>
      </c>
      <c r="L59" s="64">
        <v>24.85</v>
      </c>
      <c r="M59" s="64">
        <v>98.3</v>
      </c>
      <c r="N59" s="64">
        <v>190.9</v>
      </c>
      <c r="O59" s="64">
        <v>0</v>
      </c>
      <c r="P59" s="64">
        <v>0.59</v>
      </c>
      <c r="Q59" s="64">
        <v>9.74</v>
      </c>
      <c r="S59" s="198"/>
      <c r="T59" s="198"/>
      <c r="U59" s="198"/>
    </row>
    <row r="60" spans="1:21" s="12" customFormat="1" x14ac:dyDescent="0.25">
      <c r="A60" s="214" t="s">
        <v>2412</v>
      </c>
      <c r="B60" s="64">
        <v>8.5500000000000007</v>
      </c>
      <c r="C60" s="64">
        <v>4.29</v>
      </c>
      <c r="D60" s="64">
        <v>12.87</v>
      </c>
      <c r="E60" s="64">
        <v>4.78</v>
      </c>
      <c r="F60" s="64">
        <v>3.72</v>
      </c>
      <c r="G60" s="64">
        <v>33.369999999999997</v>
      </c>
      <c r="H60" s="64">
        <v>13.56</v>
      </c>
      <c r="I60" s="64">
        <v>4.79</v>
      </c>
      <c r="J60" s="64">
        <v>0.55000000000000004</v>
      </c>
      <c r="K60" s="64">
        <v>305.48</v>
      </c>
      <c r="L60" s="64">
        <v>25.51</v>
      </c>
      <c r="M60" s="64">
        <v>96.38</v>
      </c>
      <c r="N60" s="64">
        <v>449.4</v>
      </c>
      <c r="O60" s="64">
        <v>0</v>
      </c>
      <c r="P60" s="64">
        <v>0.61</v>
      </c>
      <c r="Q60" s="64">
        <v>9.74</v>
      </c>
      <c r="S60" s="198"/>
      <c r="T60" s="198"/>
      <c r="U60" s="198"/>
    </row>
    <row r="61" spans="1:21" s="12" customFormat="1" x14ac:dyDescent="0.25">
      <c r="A61" s="214" t="s">
        <v>2413</v>
      </c>
      <c r="B61" s="64">
        <v>8.4700000000000006</v>
      </c>
      <c r="C61" s="64">
        <v>4.0999999999999996</v>
      </c>
      <c r="D61" s="64">
        <v>12.71</v>
      </c>
      <c r="E61" s="64">
        <v>4.79</v>
      </c>
      <c r="F61" s="64">
        <v>3.26</v>
      </c>
      <c r="G61" s="64">
        <v>33.46</v>
      </c>
      <c r="H61" s="64">
        <v>13.5</v>
      </c>
      <c r="I61" s="64">
        <v>4.67</v>
      </c>
      <c r="J61" s="64">
        <v>1.1200000000000001</v>
      </c>
      <c r="K61" s="64">
        <v>324.76</v>
      </c>
      <c r="L61" s="64">
        <v>27.11</v>
      </c>
      <c r="M61" s="64">
        <v>89.63</v>
      </c>
      <c r="N61" s="64">
        <v>501.3</v>
      </c>
      <c r="O61" s="64">
        <v>0</v>
      </c>
      <c r="P61" s="64">
        <v>0.6</v>
      </c>
      <c r="Q61" s="64">
        <v>9.75</v>
      </c>
      <c r="S61" s="198"/>
      <c r="T61" s="198"/>
      <c r="U61" s="198"/>
    </row>
    <row r="62" spans="1:21" s="12" customFormat="1" x14ac:dyDescent="0.25">
      <c r="A62" s="214" t="s">
        <v>2414</v>
      </c>
      <c r="B62" s="64">
        <v>8.27</v>
      </c>
      <c r="C62" s="64">
        <v>3.47</v>
      </c>
      <c r="D62" s="64">
        <v>12.22</v>
      </c>
      <c r="E62" s="64">
        <v>4.55</v>
      </c>
      <c r="F62" s="64">
        <v>4.2300000000000004</v>
      </c>
      <c r="G62" s="64">
        <v>33.46</v>
      </c>
      <c r="H62" s="64">
        <v>13.5</v>
      </c>
      <c r="I62" s="64">
        <v>4.59</v>
      </c>
      <c r="J62" s="64">
        <v>1.06</v>
      </c>
      <c r="K62" s="64">
        <v>329.42</v>
      </c>
      <c r="L62" s="64">
        <v>28.61</v>
      </c>
      <c r="M62" s="64">
        <v>81.489999999999995</v>
      </c>
      <c r="N62" s="64">
        <v>933.8</v>
      </c>
      <c r="O62" s="64">
        <v>0</v>
      </c>
      <c r="P62" s="64">
        <v>0.62</v>
      </c>
      <c r="Q62" s="64">
        <v>9.7799999999999994</v>
      </c>
      <c r="S62" s="198"/>
      <c r="T62" s="198"/>
      <c r="U62" s="198"/>
    </row>
    <row r="63" spans="1:21" s="12" customFormat="1" x14ac:dyDescent="0.25">
      <c r="A63" s="214" t="s">
        <v>2415</v>
      </c>
      <c r="B63" s="64">
        <v>8.19</v>
      </c>
      <c r="C63" s="64">
        <v>3.26</v>
      </c>
      <c r="D63" s="64">
        <v>12.04</v>
      </c>
      <c r="E63" s="64">
        <v>5.24</v>
      </c>
      <c r="F63" s="64">
        <v>3.44</v>
      </c>
      <c r="G63" s="64">
        <v>33.46</v>
      </c>
      <c r="H63" s="64">
        <v>13.5</v>
      </c>
      <c r="I63" s="64">
        <v>4.46</v>
      </c>
      <c r="J63" s="64">
        <v>0.92</v>
      </c>
      <c r="K63" s="64">
        <v>324.45999999999998</v>
      </c>
      <c r="L63" s="64">
        <v>30.52</v>
      </c>
      <c r="M63" s="64">
        <v>72.38</v>
      </c>
      <c r="N63" s="64">
        <v>860.1</v>
      </c>
      <c r="O63" s="64">
        <v>0</v>
      </c>
      <c r="P63" s="64">
        <v>0.63</v>
      </c>
      <c r="Q63" s="64">
        <v>9.83</v>
      </c>
      <c r="S63" s="198"/>
      <c r="T63" s="198"/>
      <c r="U63" s="198"/>
    </row>
    <row r="64" spans="1:21" s="12" customFormat="1" x14ac:dyDescent="0.25">
      <c r="A64" s="214" t="s">
        <v>2416</v>
      </c>
      <c r="B64" s="64">
        <v>8.2100000000000009</v>
      </c>
      <c r="C64" s="64">
        <v>3.31</v>
      </c>
      <c r="D64" s="64">
        <v>12.09</v>
      </c>
      <c r="E64" s="64">
        <v>5.14</v>
      </c>
      <c r="F64" s="64">
        <v>3.85</v>
      </c>
      <c r="G64" s="64">
        <v>51.68</v>
      </c>
      <c r="H64" s="64">
        <v>16.34</v>
      </c>
      <c r="I64" s="64">
        <v>4.3899999999999997</v>
      </c>
      <c r="J64" s="64">
        <v>0.69</v>
      </c>
      <c r="K64" s="64">
        <v>328.08</v>
      </c>
      <c r="L64" s="64">
        <v>30.51</v>
      </c>
      <c r="M64" s="64">
        <v>71.23</v>
      </c>
      <c r="N64" s="64">
        <v>443.4</v>
      </c>
      <c r="O64" s="64">
        <v>0</v>
      </c>
      <c r="P64" s="64">
        <v>0.63</v>
      </c>
      <c r="Q64" s="64">
        <v>9.7799999999999994</v>
      </c>
      <c r="S64" s="198"/>
      <c r="T64" s="198"/>
      <c r="U64" s="198"/>
    </row>
    <row r="65" spans="1:21" s="12" customFormat="1" x14ac:dyDescent="0.25">
      <c r="A65" s="214" t="s">
        <v>2417</v>
      </c>
      <c r="B65" s="64">
        <v>8.2100000000000009</v>
      </c>
      <c r="C65" s="64">
        <v>3.27</v>
      </c>
      <c r="D65" s="64">
        <v>12.07</v>
      </c>
      <c r="E65" s="64">
        <v>4.96</v>
      </c>
      <c r="F65" s="64">
        <v>3.76</v>
      </c>
      <c r="G65" s="64">
        <v>52.53</v>
      </c>
      <c r="H65" s="64">
        <v>16.47</v>
      </c>
      <c r="I65" s="64">
        <v>4.2699999999999996</v>
      </c>
      <c r="J65" s="64">
        <v>0.46</v>
      </c>
      <c r="K65" s="64">
        <v>312.76</v>
      </c>
      <c r="L65" s="64">
        <v>29.36</v>
      </c>
      <c r="M65" s="64">
        <v>74.5</v>
      </c>
      <c r="N65" s="64">
        <v>324.39999999999998</v>
      </c>
      <c r="O65" s="64">
        <v>0</v>
      </c>
      <c r="P65" s="64">
        <v>0.65</v>
      </c>
      <c r="Q65" s="64">
        <v>9.7899999999999991</v>
      </c>
      <c r="S65" s="198"/>
      <c r="T65" s="198"/>
      <c r="U65" s="198"/>
    </row>
    <row r="66" spans="1:21" s="12" customFormat="1" x14ac:dyDescent="0.25">
      <c r="A66" s="214" t="s">
        <v>2418</v>
      </c>
      <c r="B66" s="64">
        <v>8.19</v>
      </c>
      <c r="C66" s="64">
        <v>3.27</v>
      </c>
      <c r="D66" s="64">
        <v>12.05</v>
      </c>
      <c r="E66" s="64">
        <v>4.8099999999999996</v>
      </c>
      <c r="F66" s="64">
        <v>3.32</v>
      </c>
      <c r="G66" s="64">
        <v>52.53</v>
      </c>
      <c r="H66" s="64">
        <v>16.47</v>
      </c>
      <c r="I66" s="64">
        <v>4.21</v>
      </c>
      <c r="J66" s="64">
        <v>0.05</v>
      </c>
      <c r="K66" s="64">
        <v>110.47</v>
      </c>
      <c r="L66" s="64">
        <v>27.73</v>
      </c>
      <c r="M66" s="64">
        <v>79.97</v>
      </c>
      <c r="N66" s="64">
        <v>389.9</v>
      </c>
      <c r="O66" s="64">
        <v>0</v>
      </c>
      <c r="P66" s="64">
        <v>0.68</v>
      </c>
      <c r="Q66" s="64">
        <v>9.74</v>
      </c>
      <c r="S66" s="198"/>
      <c r="T66" s="198"/>
      <c r="U66" s="198"/>
    </row>
    <row r="67" spans="1:21" s="12" customFormat="1" x14ac:dyDescent="0.25">
      <c r="A67" s="214" t="s">
        <v>2419</v>
      </c>
      <c r="B67" s="64">
        <v>8.23</v>
      </c>
      <c r="C67" s="64">
        <v>3.37</v>
      </c>
      <c r="D67" s="64">
        <v>12.13</v>
      </c>
      <c r="E67" s="64">
        <v>4.67</v>
      </c>
      <c r="F67" s="64">
        <v>3.82</v>
      </c>
      <c r="G67" s="64">
        <v>52.53</v>
      </c>
      <c r="H67" s="64">
        <v>16.47</v>
      </c>
      <c r="I67" s="64">
        <v>4.22</v>
      </c>
      <c r="J67" s="64">
        <v>0.79</v>
      </c>
      <c r="K67" s="64">
        <v>150.80000000000001</v>
      </c>
      <c r="L67" s="64">
        <v>27.65</v>
      </c>
      <c r="M67" s="64">
        <v>79.069999999999993</v>
      </c>
      <c r="N67" s="64">
        <v>448.3</v>
      </c>
      <c r="O67" s="64">
        <v>0</v>
      </c>
      <c r="P67" s="64">
        <v>0.7</v>
      </c>
      <c r="Q67" s="64">
        <v>9.73</v>
      </c>
      <c r="S67" s="198"/>
      <c r="T67" s="198"/>
      <c r="U67" s="198"/>
    </row>
    <row r="68" spans="1:21" s="12" customFormat="1" x14ac:dyDescent="0.25">
      <c r="A68" s="214" t="s">
        <v>2420</v>
      </c>
      <c r="B68" s="64">
        <v>8.39</v>
      </c>
      <c r="C68" s="64">
        <v>3.87</v>
      </c>
      <c r="D68" s="64">
        <v>12.52</v>
      </c>
      <c r="E68" s="64">
        <v>5.04</v>
      </c>
      <c r="F68" s="64">
        <v>2.83</v>
      </c>
      <c r="G68" s="64">
        <v>51.07</v>
      </c>
      <c r="H68" s="64">
        <v>19.47</v>
      </c>
      <c r="I68" s="64">
        <v>4.26</v>
      </c>
      <c r="J68" s="64">
        <v>0.52</v>
      </c>
      <c r="K68" s="64">
        <v>332.03</v>
      </c>
      <c r="L68" s="64">
        <v>28.91</v>
      </c>
      <c r="M68" s="64">
        <v>75.42</v>
      </c>
      <c r="N68" s="64">
        <v>277.7</v>
      </c>
      <c r="O68" s="64">
        <v>0</v>
      </c>
      <c r="P68" s="64">
        <v>0.71</v>
      </c>
      <c r="Q68" s="64">
        <v>9.7200000000000006</v>
      </c>
      <c r="S68" s="198"/>
      <c r="T68" s="198"/>
      <c r="U68" s="198"/>
    </row>
    <row r="69" spans="1:21" s="12" customFormat="1" x14ac:dyDescent="0.25">
      <c r="A69" s="214" t="s">
        <v>2421</v>
      </c>
      <c r="B69" s="64">
        <v>8.48</v>
      </c>
      <c r="C69" s="64">
        <v>4.18</v>
      </c>
      <c r="D69" s="64">
        <v>12.76</v>
      </c>
      <c r="E69" s="64">
        <v>4.87</v>
      </c>
      <c r="F69" s="64">
        <v>3.52</v>
      </c>
      <c r="G69" s="64">
        <v>51</v>
      </c>
      <c r="H69" s="64">
        <v>19.61</v>
      </c>
      <c r="I69" s="64">
        <v>4.4800000000000004</v>
      </c>
      <c r="J69" s="64">
        <v>0.17</v>
      </c>
      <c r="K69" s="64">
        <v>329.48</v>
      </c>
      <c r="L69" s="64">
        <v>28.82</v>
      </c>
      <c r="M69" s="64">
        <v>72.98</v>
      </c>
      <c r="N69" s="64">
        <v>252.4</v>
      </c>
      <c r="O69" s="64">
        <v>0</v>
      </c>
      <c r="P69" s="64">
        <v>0.71</v>
      </c>
      <c r="Q69" s="64">
        <v>9.67</v>
      </c>
      <c r="S69" s="198"/>
      <c r="T69" s="198"/>
      <c r="U69" s="198"/>
    </row>
    <row r="70" spans="1:21" s="12" customFormat="1" x14ac:dyDescent="0.25">
      <c r="A70" s="214" t="s">
        <v>2422</v>
      </c>
      <c r="B70" s="64">
        <v>8.27</v>
      </c>
      <c r="C70" s="64">
        <v>3.49</v>
      </c>
      <c r="D70" s="64">
        <v>12.23</v>
      </c>
      <c r="E70" s="64">
        <v>4.7699999999999996</v>
      </c>
      <c r="F70" s="64">
        <v>3.77</v>
      </c>
      <c r="G70" s="64">
        <v>51</v>
      </c>
      <c r="H70" s="64">
        <v>19.61</v>
      </c>
      <c r="I70" s="64">
        <v>4.79</v>
      </c>
      <c r="J70" s="64">
        <v>0.31</v>
      </c>
      <c r="K70" s="64">
        <v>312.08</v>
      </c>
      <c r="L70" s="64">
        <v>28.5</v>
      </c>
      <c r="M70" s="64">
        <v>74.7</v>
      </c>
      <c r="N70" s="64">
        <v>303.3</v>
      </c>
      <c r="O70" s="64">
        <v>0</v>
      </c>
      <c r="P70" s="64">
        <v>0.71</v>
      </c>
      <c r="Q70" s="64">
        <v>9.6300000000000008</v>
      </c>
      <c r="S70" s="198"/>
      <c r="T70" s="198"/>
      <c r="U70" s="198"/>
    </row>
    <row r="71" spans="1:21" s="12" customFormat="1" x14ac:dyDescent="0.25">
      <c r="A71" s="214" t="s">
        <v>2423</v>
      </c>
      <c r="B71" s="64">
        <v>8.2100000000000009</v>
      </c>
      <c r="C71" s="64">
        <v>3.29</v>
      </c>
      <c r="D71" s="64">
        <v>12.07</v>
      </c>
      <c r="E71" s="64">
        <v>5.0599999999999996</v>
      </c>
      <c r="F71" s="64">
        <v>3.62</v>
      </c>
      <c r="G71" s="64">
        <v>51</v>
      </c>
      <c r="H71" s="64">
        <v>19.61</v>
      </c>
      <c r="I71" s="64">
        <v>5.2</v>
      </c>
      <c r="J71" s="64">
        <v>0.27</v>
      </c>
      <c r="K71" s="64">
        <v>335.37</v>
      </c>
      <c r="L71" s="64">
        <v>29.21</v>
      </c>
      <c r="M71" s="64">
        <v>72.760000000000005</v>
      </c>
      <c r="N71" s="64">
        <v>192.3</v>
      </c>
      <c r="O71" s="64">
        <v>0</v>
      </c>
      <c r="P71" s="64">
        <v>0.73</v>
      </c>
      <c r="Q71" s="64">
        <v>9.61</v>
      </c>
      <c r="S71" s="198"/>
      <c r="T71" s="198"/>
      <c r="U71" s="198"/>
    </row>
    <row r="72" spans="1:21" s="12" customFormat="1" x14ac:dyDescent="0.25">
      <c r="A72" s="214" t="s">
        <v>2424</v>
      </c>
      <c r="B72" s="64">
        <v>8.2100000000000009</v>
      </c>
      <c r="C72" s="64">
        <v>3.25</v>
      </c>
      <c r="D72" s="64">
        <v>12.06</v>
      </c>
      <c r="E72" s="64">
        <v>4.4000000000000004</v>
      </c>
      <c r="F72" s="64">
        <v>3.64</v>
      </c>
      <c r="G72" s="64">
        <v>55.64</v>
      </c>
      <c r="H72" s="64">
        <v>18.440000000000001</v>
      </c>
      <c r="I72" s="64">
        <v>5.36</v>
      </c>
      <c r="J72" s="64">
        <v>1.68</v>
      </c>
      <c r="K72" s="64">
        <v>155.49</v>
      </c>
      <c r="L72" s="64">
        <v>27.79</v>
      </c>
      <c r="M72" s="64">
        <v>79.349999999999994</v>
      </c>
      <c r="N72" s="64">
        <v>222.5</v>
      </c>
      <c r="O72" s="64">
        <v>0</v>
      </c>
      <c r="P72" s="64">
        <v>0.73</v>
      </c>
      <c r="Q72" s="64">
        <v>9.6300000000000008</v>
      </c>
      <c r="S72" s="198"/>
      <c r="T72" s="198"/>
      <c r="U72" s="198"/>
    </row>
    <row r="73" spans="1:21" s="12" customFormat="1" x14ac:dyDescent="0.25">
      <c r="A73" s="214" t="s">
        <v>2425</v>
      </c>
      <c r="B73" s="64">
        <v>8.2100000000000009</v>
      </c>
      <c r="C73" s="64">
        <v>3.18</v>
      </c>
      <c r="D73" s="64">
        <v>12.02</v>
      </c>
      <c r="E73" s="64">
        <v>4.34</v>
      </c>
      <c r="F73" s="64">
        <v>3.78</v>
      </c>
      <c r="G73" s="64">
        <v>55.85</v>
      </c>
      <c r="H73" s="64">
        <v>18.39</v>
      </c>
      <c r="I73" s="64">
        <v>5.52</v>
      </c>
      <c r="J73" s="64">
        <v>1.03</v>
      </c>
      <c r="K73" s="64">
        <v>156.62</v>
      </c>
      <c r="L73" s="64">
        <v>27.18</v>
      </c>
      <c r="M73" s="64">
        <v>83.44</v>
      </c>
      <c r="N73" s="64">
        <v>178.4</v>
      </c>
      <c r="O73" s="64">
        <v>0</v>
      </c>
      <c r="P73" s="64">
        <v>0.73</v>
      </c>
      <c r="Q73" s="64">
        <v>9.6199999999999992</v>
      </c>
      <c r="S73" s="198"/>
      <c r="T73" s="198"/>
      <c r="U73" s="198"/>
    </row>
    <row r="74" spans="1:21" s="12" customFormat="1" x14ac:dyDescent="0.25">
      <c r="A74" s="214" t="s">
        <v>2426</v>
      </c>
      <c r="B74" s="64">
        <v>8.2100000000000009</v>
      </c>
      <c r="C74" s="64">
        <v>3.27</v>
      </c>
      <c r="D74" s="64">
        <v>12.06</v>
      </c>
      <c r="E74" s="64">
        <v>4.0999999999999996</v>
      </c>
      <c r="F74" s="64">
        <v>3.82</v>
      </c>
      <c r="G74" s="64">
        <v>55.85</v>
      </c>
      <c r="H74" s="64">
        <v>18.39</v>
      </c>
      <c r="I74" s="64">
        <v>6.12</v>
      </c>
      <c r="J74" s="64">
        <v>0.82</v>
      </c>
      <c r="K74" s="64">
        <v>143.71</v>
      </c>
      <c r="L74" s="64">
        <v>26.93</v>
      </c>
      <c r="M74" s="64">
        <v>82.72</v>
      </c>
      <c r="N74" s="64">
        <v>117.8</v>
      </c>
      <c r="O74" s="64">
        <v>0</v>
      </c>
      <c r="P74" s="64">
        <v>0.73</v>
      </c>
      <c r="Q74" s="64">
        <v>9.6300000000000008</v>
      </c>
      <c r="S74" s="198"/>
      <c r="T74" s="198"/>
      <c r="U74" s="198"/>
    </row>
    <row r="75" spans="1:21" s="12" customFormat="1" x14ac:dyDescent="0.25">
      <c r="A75" s="214" t="s">
        <v>2427</v>
      </c>
      <c r="B75" s="64">
        <v>8.23</v>
      </c>
      <c r="C75" s="64">
        <v>3.38</v>
      </c>
      <c r="D75" s="64">
        <v>12.14</v>
      </c>
      <c r="E75" s="64">
        <v>4.17</v>
      </c>
      <c r="F75" s="64">
        <v>4.0199999999999996</v>
      </c>
      <c r="G75" s="64">
        <v>55.85</v>
      </c>
      <c r="H75" s="64">
        <v>18.39</v>
      </c>
      <c r="I75" s="64">
        <v>6.47</v>
      </c>
      <c r="J75" s="64">
        <v>0.57999999999999996</v>
      </c>
      <c r="K75" s="64">
        <v>177.86</v>
      </c>
      <c r="L75" s="64">
        <v>26.99</v>
      </c>
      <c r="M75" s="64">
        <v>82.51</v>
      </c>
      <c r="N75" s="64">
        <v>109.6</v>
      </c>
      <c r="O75" s="64">
        <v>0</v>
      </c>
      <c r="P75" s="64">
        <v>0.73</v>
      </c>
      <c r="Q75" s="64">
        <v>9.66</v>
      </c>
      <c r="S75" s="198"/>
      <c r="T75" s="198"/>
      <c r="U75" s="198"/>
    </row>
    <row r="76" spans="1:21" s="12" customFormat="1" x14ac:dyDescent="0.25">
      <c r="A76" s="214" t="s">
        <v>2428</v>
      </c>
      <c r="B76" s="64">
        <v>8.1999999999999993</v>
      </c>
      <c r="C76" s="64">
        <v>3.42</v>
      </c>
      <c r="D76" s="64">
        <v>12.14</v>
      </c>
      <c r="E76" s="64">
        <v>4.46</v>
      </c>
      <c r="F76" s="64">
        <v>4</v>
      </c>
      <c r="G76" s="64">
        <v>57.72</v>
      </c>
      <c r="H76" s="64">
        <v>21.42</v>
      </c>
      <c r="I76" s="64">
        <v>6.88</v>
      </c>
      <c r="J76" s="64">
        <v>0.8</v>
      </c>
      <c r="K76" s="64">
        <v>168.54</v>
      </c>
      <c r="L76" s="64">
        <v>26.99</v>
      </c>
      <c r="M76" s="64">
        <v>82.07</v>
      </c>
      <c r="N76" s="64">
        <v>99.2</v>
      </c>
      <c r="O76" s="64">
        <v>0</v>
      </c>
      <c r="P76" s="64">
        <v>0.73</v>
      </c>
      <c r="Q76" s="64">
        <v>9.69</v>
      </c>
      <c r="S76" s="198"/>
      <c r="T76" s="198"/>
      <c r="U76" s="198"/>
    </row>
    <row r="77" spans="1:21" s="12" customFormat="1" x14ac:dyDescent="0.25">
      <c r="A77" s="214" t="s">
        <v>2429</v>
      </c>
      <c r="B77" s="64">
        <v>8.1999999999999993</v>
      </c>
      <c r="C77" s="64">
        <v>3.48</v>
      </c>
      <c r="D77" s="64">
        <v>12.16</v>
      </c>
      <c r="E77" s="64">
        <v>4.1900000000000004</v>
      </c>
      <c r="F77" s="64">
        <v>4.45</v>
      </c>
      <c r="G77" s="64">
        <v>57.8</v>
      </c>
      <c r="H77" s="64">
        <v>21.56</v>
      </c>
      <c r="I77" s="64">
        <v>7.14</v>
      </c>
      <c r="J77" s="64">
        <v>0.8</v>
      </c>
      <c r="K77" s="64">
        <v>167.72</v>
      </c>
      <c r="L77" s="64">
        <v>26.91</v>
      </c>
      <c r="M77" s="64">
        <v>82.73</v>
      </c>
      <c r="N77" s="64">
        <v>84.7</v>
      </c>
      <c r="O77" s="64">
        <v>0</v>
      </c>
      <c r="P77" s="64">
        <v>0.72</v>
      </c>
      <c r="Q77" s="64">
        <v>9.6300000000000008</v>
      </c>
      <c r="S77" s="198"/>
      <c r="T77" s="198"/>
      <c r="U77" s="198"/>
    </row>
    <row r="78" spans="1:21" s="12" customFormat="1" x14ac:dyDescent="0.25">
      <c r="A78" s="214" t="s">
        <v>2430</v>
      </c>
      <c r="B78" s="64">
        <v>8.1999999999999993</v>
      </c>
      <c r="C78" s="64">
        <v>3.43</v>
      </c>
      <c r="D78" s="64">
        <v>12.14</v>
      </c>
      <c r="E78" s="64">
        <v>4.1900000000000004</v>
      </c>
      <c r="F78" s="64">
        <v>4.58</v>
      </c>
      <c r="G78" s="64">
        <v>57.8</v>
      </c>
      <c r="H78" s="64">
        <v>21.56</v>
      </c>
      <c r="I78" s="64">
        <v>7.05</v>
      </c>
      <c r="J78" s="64">
        <v>0.61</v>
      </c>
      <c r="K78" s="64">
        <v>151.24</v>
      </c>
      <c r="L78" s="64">
        <v>26.95</v>
      </c>
      <c r="M78" s="64">
        <v>81.78</v>
      </c>
      <c r="N78" s="64">
        <v>74.2</v>
      </c>
      <c r="O78" s="64">
        <v>0</v>
      </c>
      <c r="P78" s="64">
        <v>0.72</v>
      </c>
      <c r="Q78" s="64">
        <v>9.65</v>
      </c>
      <c r="S78" s="198"/>
      <c r="T78" s="198"/>
      <c r="U78" s="198"/>
    </row>
    <row r="79" spans="1:21" s="12" customFormat="1" x14ac:dyDescent="0.25">
      <c r="A79" s="214" t="s">
        <v>2431</v>
      </c>
      <c r="B79" s="64">
        <v>8.34</v>
      </c>
      <c r="C79" s="64">
        <v>4.0999999999999996</v>
      </c>
      <c r="D79" s="64">
        <v>12.6</v>
      </c>
      <c r="E79" s="64">
        <v>4.1500000000000004</v>
      </c>
      <c r="F79" s="64">
        <v>3.93</v>
      </c>
      <c r="G79" s="64">
        <v>57.8</v>
      </c>
      <c r="H79" s="64">
        <v>21.56</v>
      </c>
      <c r="I79" s="64">
        <v>6.93</v>
      </c>
      <c r="J79" s="64">
        <v>1.1000000000000001</v>
      </c>
      <c r="K79" s="64">
        <v>148.30000000000001</v>
      </c>
      <c r="L79" s="64">
        <v>26.94</v>
      </c>
      <c r="M79" s="64">
        <v>81.2</v>
      </c>
      <c r="N79" s="64">
        <v>84.3</v>
      </c>
      <c r="O79" s="64">
        <v>0</v>
      </c>
      <c r="P79" s="64">
        <v>0.72</v>
      </c>
      <c r="Q79" s="64">
        <v>9.6199999999999992</v>
      </c>
      <c r="S79" s="198"/>
      <c r="T79" s="198"/>
      <c r="U79" s="198"/>
    </row>
    <row r="80" spans="1:21" s="12" customFormat="1" x14ac:dyDescent="0.25">
      <c r="A80" s="214" t="s">
        <v>2432</v>
      </c>
      <c r="B80" s="64">
        <v>8.24</v>
      </c>
      <c r="C80" s="64">
        <v>3.57</v>
      </c>
      <c r="D80" s="64">
        <v>12.25</v>
      </c>
      <c r="E80" s="64">
        <v>4.1900000000000004</v>
      </c>
      <c r="F80" s="64">
        <v>4.6399999999999997</v>
      </c>
      <c r="G80" s="64">
        <v>56.92</v>
      </c>
      <c r="H80" s="64">
        <v>20.61</v>
      </c>
      <c r="I80" s="64">
        <v>6.84</v>
      </c>
      <c r="J80" s="64">
        <v>1.1100000000000001</v>
      </c>
      <c r="K80" s="64">
        <v>147.13</v>
      </c>
      <c r="L80" s="64">
        <v>26.99</v>
      </c>
      <c r="M80" s="64">
        <v>82.12</v>
      </c>
      <c r="N80" s="64">
        <v>69.2</v>
      </c>
      <c r="O80" s="64">
        <v>0</v>
      </c>
      <c r="P80" s="64">
        <v>0.71</v>
      </c>
      <c r="Q80" s="64">
        <v>9.6</v>
      </c>
      <c r="S80" s="198"/>
      <c r="T80" s="198"/>
      <c r="U80" s="198"/>
    </row>
    <row r="81" spans="1:26" s="12" customFormat="1" x14ac:dyDescent="0.25">
      <c r="A81" s="214" t="s">
        <v>2433</v>
      </c>
      <c r="B81" s="64">
        <v>8.17</v>
      </c>
      <c r="C81" s="64">
        <v>3.31</v>
      </c>
      <c r="D81" s="64">
        <v>12.05</v>
      </c>
      <c r="E81" s="64">
        <v>4.0599999999999996</v>
      </c>
      <c r="F81" s="64">
        <v>4.0599999999999996</v>
      </c>
      <c r="G81" s="64">
        <v>56.87</v>
      </c>
      <c r="H81" s="64">
        <v>20.57</v>
      </c>
      <c r="I81" s="64">
        <v>6.81</v>
      </c>
      <c r="J81" s="64">
        <v>0.74</v>
      </c>
      <c r="K81" s="64">
        <v>143.32</v>
      </c>
      <c r="L81" s="64">
        <v>26.8</v>
      </c>
      <c r="M81" s="64">
        <v>82.09</v>
      </c>
      <c r="N81" s="64">
        <v>41.4</v>
      </c>
      <c r="O81" s="64">
        <v>0</v>
      </c>
      <c r="P81" s="64">
        <v>0.7</v>
      </c>
      <c r="Q81" s="64">
        <v>9.6</v>
      </c>
      <c r="S81" s="198"/>
      <c r="T81" s="198"/>
      <c r="U81" s="198"/>
    </row>
    <row r="82" spans="1:26" s="12" customFormat="1" x14ac:dyDescent="0.25">
      <c r="A82" s="214" t="s">
        <v>2434</v>
      </c>
      <c r="B82" s="64">
        <v>8.15</v>
      </c>
      <c r="C82" s="64">
        <v>3.23</v>
      </c>
      <c r="D82" s="64">
        <v>12</v>
      </c>
      <c r="E82" s="64">
        <v>3.88</v>
      </c>
      <c r="F82" s="64">
        <v>4.46</v>
      </c>
      <c r="G82" s="64">
        <v>56.87</v>
      </c>
      <c r="H82" s="64">
        <v>20.57</v>
      </c>
      <c r="I82" s="64">
        <v>6.84</v>
      </c>
      <c r="J82" s="64">
        <v>0.8</v>
      </c>
      <c r="K82" s="64">
        <v>159.30000000000001</v>
      </c>
      <c r="L82" s="64">
        <v>26.63</v>
      </c>
      <c r="M82" s="64">
        <v>82.42</v>
      </c>
      <c r="N82" s="64">
        <v>29.4</v>
      </c>
      <c r="O82" s="64">
        <v>0</v>
      </c>
      <c r="P82" s="64">
        <v>0.69</v>
      </c>
      <c r="Q82" s="64">
        <v>9.6</v>
      </c>
      <c r="S82" s="198"/>
      <c r="T82" s="198"/>
      <c r="U82" s="198"/>
    </row>
    <row r="83" spans="1:26" s="12" customFormat="1" x14ac:dyDescent="0.25">
      <c r="A83" s="214" t="s">
        <v>2435</v>
      </c>
      <c r="B83" s="64">
        <v>8.14</v>
      </c>
      <c r="C83" s="64">
        <v>3.17</v>
      </c>
      <c r="D83" s="64">
        <v>11.96</v>
      </c>
      <c r="E83" s="64">
        <v>3.98</v>
      </c>
      <c r="F83" s="64">
        <v>4.55</v>
      </c>
      <c r="G83" s="64">
        <v>56.87</v>
      </c>
      <c r="H83" s="64">
        <v>20.57</v>
      </c>
      <c r="I83" s="64">
        <v>6.8</v>
      </c>
      <c r="J83" s="64">
        <v>0.57999999999999996</v>
      </c>
      <c r="K83" s="64">
        <v>156.71</v>
      </c>
      <c r="L83" s="64">
        <v>26.39</v>
      </c>
      <c r="M83" s="64">
        <v>83.94</v>
      </c>
      <c r="N83" s="64">
        <v>21.9</v>
      </c>
      <c r="O83" s="64">
        <v>0</v>
      </c>
      <c r="P83" s="64">
        <v>0.68</v>
      </c>
      <c r="Q83" s="64">
        <v>9.6199999999999992</v>
      </c>
      <c r="S83" s="198"/>
      <c r="T83" s="198"/>
      <c r="U83" s="198"/>
    </row>
    <row r="84" spans="1:26" s="12" customFormat="1" x14ac:dyDescent="0.25">
      <c r="A84" s="214" t="s">
        <v>2436</v>
      </c>
      <c r="B84" s="64">
        <v>8.17</v>
      </c>
      <c r="C84" s="64">
        <v>3.26</v>
      </c>
      <c r="D84" s="64">
        <v>12.03</v>
      </c>
      <c r="E84" s="64">
        <v>4.05</v>
      </c>
      <c r="F84" s="64">
        <v>4.33</v>
      </c>
      <c r="G84" s="64">
        <v>54.66</v>
      </c>
      <c r="H84" s="64">
        <v>16.7</v>
      </c>
      <c r="I84" s="64">
        <v>6.73</v>
      </c>
      <c r="J84" s="64">
        <v>1.19</v>
      </c>
      <c r="K84" s="64">
        <v>158.63999999999999</v>
      </c>
      <c r="L84" s="64">
        <v>26.26</v>
      </c>
      <c r="M84" s="64">
        <v>85.44</v>
      </c>
      <c r="N84" s="64">
        <v>19</v>
      </c>
      <c r="O84" s="64">
        <v>0</v>
      </c>
      <c r="P84" s="64">
        <v>0.67</v>
      </c>
      <c r="Q84" s="64">
        <v>9.57</v>
      </c>
      <c r="S84" s="198"/>
      <c r="T84" s="198"/>
      <c r="U84" s="198"/>
    </row>
    <row r="85" spans="1:26" s="12" customFormat="1" x14ac:dyDescent="0.25">
      <c r="A85" s="214" t="s">
        <v>2437</v>
      </c>
      <c r="B85" s="64">
        <v>8.18</v>
      </c>
      <c r="C85" s="64">
        <v>3.35</v>
      </c>
      <c r="D85" s="64">
        <v>12.08</v>
      </c>
      <c r="E85" s="64">
        <v>3.75</v>
      </c>
      <c r="F85" s="64">
        <v>4.5599999999999996</v>
      </c>
      <c r="G85" s="64">
        <v>54.55</v>
      </c>
      <c r="H85" s="64">
        <v>16.52</v>
      </c>
      <c r="I85" s="64">
        <v>6.67</v>
      </c>
      <c r="J85" s="64">
        <v>1.72</v>
      </c>
      <c r="K85" s="64">
        <v>148.91</v>
      </c>
      <c r="L85" s="64">
        <v>26.19</v>
      </c>
      <c r="M85" s="64">
        <v>86.93</v>
      </c>
      <c r="N85" s="64">
        <v>18.7</v>
      </c>
      <c r="O85" s="64">
        <v>0</v>
      </c>
      <c r="P85" s="64">
        <v>0.62</v>
      </c>
      <c r="Q85" s="64">
        <v>9.58</v>
      </c>
      <c r="S85" s="198"/>
      <c r="T85" s="198"/>
      <c r="U85" s="198"/>
    </row>
    <row r="86" spans="1:26" s="12" customFormat="1" x14ac:dyDescent="0.25">
      <c r="A86" s="214" t="s">
        <v>2438</v>
      </c>
      <c r="B86" s="64">
        <v>8.19</v>
      </c>
      <c r="C86" s="64">
        <v>3.39</v>
      </c>
      <c r="D86" s="64">
        <v>12.11</v>
      </c>
      <c r="E86" s="64">
        <v>3.79</v>
      </c>
      <c r="F86" s="64">
        <v>3.63</v>
      </c>
      <c r="G86" s="64">
        <v>54.55</v>
      </c>
      <c r="H86" s="64">
        <v>16.52</v>
      </c>
      <c r="I86" s="64">
        <v>6.63</v>
      </c>
      <c r="J86" s="64">
        <v>1.33</v>
      </c>
      <c r="K86" s="64">
        <v>148.36000000000001</v>
      </c>
      <c r="L86" s="64">
        <v>25.94</v>
      </c>
      <c r="M86" s="64">
        <v>90.52</v>
      </c>
      <c r="N86" s="64">
        <v>19.100000000000001</v>
      </c>
      <c r="O86" s="64">
        <v>0</v>
      </c>
      <c r="P86" s="64">
        <v>0.63</v>
      </c>
      <c r="Q86" s="64">
        <v>9.52</v>
      </c>
      <c r="S86" s="198"/>
      <c r="T86" s="198"/>
      <c r="U86" s="198"/>
    </row>
    <row r="87" spans="1:26" s="12" customFormat="1" x14ac:dyDescent="0.25">
      <c r="A87" s="214" t="s">
        <v>2439</v>
      </c>
      <c r="B87" s="64">
        <v>8.23</v>
      </c>
      <c r="C87" s="64">
        <v>3.45</v>
      </c>
      <c r="D87" s="64">
        <v>12.17</v>
      </c>
      <c r="E87" s="64">
        <v>3.87</v>
      </c>
      <c r="F87" s="64">
        <v>3.63</v>
      </c>
      <c r="G87" s="64">
        <v>54.55</v>
      </c>
      <c r="H87" s="64">
        <v>16.52</v>
      </c>
      <c r="I87" s="64">
        <v>6.73</v>
      </c>
      <c r="J87" s="64">
        <v>0.16</v>
      </c>
      <c r="K87" s="64">
        <v>252.47</v>
      </c>
      <c r="L87" s="64">
        <v>25.69</v>
      </c>
      <c r="M87" s="64">
        <v>91.19</v>
      </c>
      <c r="N87" s="64">
        <v>19</v>
      </c>
      <c r="O87" s="64">
        <v>0</v>
      </c>
      <c r="P87" s="64">
        <v>0.62</v>
      </c>
      <c r="Q87" s="64">
        <v>9.4499999999999993</v>
      </c>
      <c r="S87" s="198"/>
      <c r="T87" s="198"/>
      <c r="U87" s="198"/>
    </row>
    <row r="88" spans="1:26" s="12" customFormat="1" x14ac:dyDescent="0.25">
      <c r="A88" s="214" t="s">
        <v>2440</v>
      </c>
      <c r="B88" s="64">
        <v>8.31</v>
      </c>
      <c r="C88" s="64">
        <v>3.61</v>
      </c>
      <c r="D88" s="64">
        <v>12.33</v>
      </c>
      <c r="E88" s="64">
        <v>5.3</v>
      </c>
      <c r="F88" s="64">
        <v>3.5</v>
      </c>
      <c r="G88" s="64">
        <v>52.93</v>
      </c>
      <c r="H88" s="64">
        <v>16.59</v>
      </c>
      <c r="I88" s="64">
        <v>6.97</v>
      </c>
      <c r="J88" s="64">
        <v>1.1399999999999999</v>
      </c>
      <c r="K88" s="64">
        <v>150.69</v>
      </c>
      <c r="L88" s="64">
        <v>25.48</v>
      </c>
      <c r="M88" s="64">
        <v>91.8</v>
      </c>
      <c r="N88" s="64">
        <v>18.8</v>
      </c>
      <c r="O88" s="64">
        <v>0</v>
      </c>
      <c r="P88" s="64">
        <v>0.61</v>
      </c>
      <c r="Q88" s="64">
        <v>9.4700000000000006</v>
      </c>
      <c r="S88" s="198"/>
      <c r="T88" s="198"/>
      <c r="U88" s="198"/>
    </row>
    <row r="89" spans="1:26" s="12" customFormat="1" x14ac:dyDescent="0.25">
      <c r="A89" s="214" t="s">
        <v>2441</v>
      </c>
      <c r="B89" s="64">
        <v>8.23</v>
      </c>
      <c r="C89" s="64">
        <v>3.33</v>
      </c>
      <c r="D89" s="64">
        <v>12.11</v>
      </c>
      <c r="E89" s="64">
        <v>4.4000000000000004</v>
      </c>
      <c r="F89" s="64">
        <v>3.53</v>
      </c>
      <c r="G89" s="64">
        <v>52.86</v>
      </c>
      <c r="H89" s="64">
        <v>16.59</v>
      </c>
      <c r="I89" s="64">
        <v>7.08</v>
      </c>
      <c r="J89" s="64">
        <v>1.1299999999999999</v>
      </c>
      <c r="K89" s="64">
        <v>155.12</v>
      </c>
      <c r="L89" s="64">
        <v>25.35</v>
      </c>
      <c r="M89" s="64">
        <v>93.32</v>
      </c>
      <c r="N89" s="64">
        <v>18.8</v>
      </c>
      <c r="O89" s="64">
        <v>0</v>
      </c>
      <c r="P89" s="64">
        <v>0.6</v>
      </c>
      <c r="Q89" s="64">
        <v>9.49</v>
      </c>
      <c r="S89" s="198"/>
      <c r="T89" s="198"/>
      <c r="U89" s="198"/>
    </row>
    <row r="90" spans="1:26" s="12" customFormat="1" x14ac:dyDescent="0.25">
      <c r="A90" s="214" t="s">
        <v>2442</v>
      </c>
      <c r="B90" s="64">
        <v>8.19</v>
      </c>
      <c r="C90" s="64">
        <v>3.2</v>
      </c>
      <c r="D90" s="64">
        <v>12.01</v>
      </c>
      <c r="E90" s="64">
        <v>4.7300000000000004</v>
      </c>
      <c r="F90" s="64">
        <v>3.43</v>
      </c>
      <c r="G90" s="64">
        <v>52.86</v>
      </c>
      <c r="H90" s="64">
        <v>16.59</v>
      </c>
      <c r="I90" s="64">
        <v>7.13</v>
      </c>
      <c r="J90" s="64">
        <v>0.28999999999999998</v>
      </c>
      <c r="K90" s="64">
        <v>185.2</v>
      </c>
      <c r="L90" s="64">
        <v>25.23</v>
      </c>
      <c r="M90" s="64">
        <v>94.38</v>
      </c>
      <c r="N90" s="64">
        <v>18.8</v>
      </c>
      <c r="O90" s="64">
        <v>0</v>
      </c>
      <c r="P90" s="64">
        <v>0.59</v>
      </c>
      <c r="Q90" s="64">
        <v>9.51</v>
      </c>
      <c r="S90" s="198"/>
      <c r="T90" s="198"/>
      <c r="U90" s="198"/>
    </row>
    <row r="91" spans="1:26" s="12" customFormat="1" x14ac:dyDescent="0.25">
      <c r="A91" s="214" t="s">
        <v>2443</v>
      </c>
      <c r="B91" s="64">
        <v>8.18</v>
      </c>
      <c r="C91" s="64">
        <v>3.22</v>
      </c>
      <c r="D91" s="64">
        <v>12.01</v>
      </c>
      <c r="E91" s="64">
        <v>4.57</v>
      </c>
      <c r="F91" s="64">
        <v>3.55</v>
      </c>
      <c r="G91" s="64">
        <v>52.86</v>
      </c>
      <c r="H91" s="64">
        <v>16.59</v>
      </c>
      <c r="I91" s="64">
        <v>7.24</v>
      </c>
      <c r="J91" s="64">
        <v>0.64</v>
      </c>
      <c r="K91" s="64">
        <v>198.35</v>
      </c>
      <c r="L91" s="64">
        <v>25.15</v>
      </c>
      <c r="M91" s="64">
        <v>94.84</v>
      </c>
      <c r="N91" s="64">
        <v>18.600000000000001</v>
      </c>
      <c r="O91" s="64">
        <v>0</v>
      </c>
      <c r="P91" s="64">
        <v>0.59</v>
      </c>
      <c r="Q91" s="64">
        <v>9.5</v>
      </c>
      <c r="S91" s="198"/>
      <c r="T91" s="198"/>
      <c r="U91" s="198"/>
    </row>
    <row r="92" spans="1:26" s="12" customFormat="1" x14ac:dyDescent="0.25">
      <c r="A92" s="214" t="s">
        <v>2444</v>
      </c>
      <c r="B92" s="64">
        <v>8.19</v>
      </c>
      <c r="C92" s="64">
        <v>3.22</v>
      </c>
      <c r="D92" s="64">
        <v>12.02</v>
      </c>
      <c r="E92" s="64">
        <v>4.54</v>
      </c>
      <c r="F92" s="64">
        <v>3.61</v>
      </c>
      <c r="G92" s="64">
        <v>45.12</v>
      </c>
      <c r="H92" s="64">
        <v>17.350000000000001</v>
      </c>
      <c r="I92" s="64">
        <v>7.28</v>
      </c>
      <c r="J92" s="64">
        <v>0.17</v>
      </c>
      <c r="K92" s="64">
        <v>29.33</v>
      </c>
      <c r="L92" s="64">
        <v>25.03</v>
      </c>
      <c r="M92" s="64">
        <v>95.12</v>
      </c>
      <c r="N92" s="64">
        <v>18.899999999999999</v>
      </c>
      <c r="O92" s="64">
        <v>0</v>
      </c>
      <c r="P92" s="64">
        <v>0.57999999999999996</v>
      </c>
      <c r="Q92" s="64">
        <v>9.5399999999999991</v>
      </c>
      <c r="S92" s="198"/>
      <c r="T92" s="198"/>
      <c r="U92" s="198"/>
    </row>
    <row r="93" spans="1:26" s="12" customFormat="1" x14ac:dyDescent="0.25">
      <c r="A93" s="214" t="s">
        <v>2445</v>
      </c>
      <c r="B93" s="64">
        <v>8.19</v>
      </c>
      <c r="C93" s="64">
        <v>3.21</v>
      </c>
      <c r="D93" s="64">
        <v>12.02</v>
      </c>
      <c r="E93" s="64">
        <v>4.72</v>
      </c>
      <c r="F93" s="64">
        <v>3.91</v>
      </c>
      <c r="G93" s="64">
        <v>44.76</v>
      </c>
      <c r="H93" s="64">
        <v>17.38</v>
      </c>
      <c r="I93" s="64">
        <v>7.26</v>
      </c>
      <c r="J93" s="64">
        <v>0.82</v>
      </c>
      <c r="K93" s="64">
        <v>144.57</v>
      </c>
      <c r="L93" s="64">
        <v>24.86</v>
      </c>
      <c r="M93" s="64">
        <v>94.07</v>
      </c>
      <c r="N93" s="64">
        <v>18.600000000000001</v>
      </c>
      <c r="O93" s="64">
        <v>0</v>
      </c>
      <c r="P93" s="64">
        <v>0.57999999999999996</v>
      </c>
      <c r="Q93" s="64">
        <v>9.5399999999999991</v>
      </c>
      <c r="S93" s="198"/>
      <c r="T93" s="198"/>
      <c r="U93" s="198"/>
    </row>
    <row r="94" spans="1:26" s="12" customFormat="1" x14ac:dyDescent="0.25">
      <c r="A94" s="214" t="s">
        <v>2446</v>
      </c>
      <c r="B94" s="64">
        <v>8.19</v>
      </c>
      <c r="C94" s="64">
        <v>3.33</v>
      </c>
      <c r="D94" s="64">
        <v>12.08</v>
      </c>
      <c r="E94" s="64">
        <v>4.88</v>
      </c>
      <c r="F94" s="64">
        <v>3.91</v>
      </c>
      <c r="G94" s="64">
        <v>44.76</v>
      </c>
      <c r="H94" s="64">
        <v>17.38</v>
      </c>
      <c r="I94" s="64">
        <v>7.23</v>
      </c>
      <c r="J94" s="64">
        <v>0.72</v>
      </c>
      <c r="K94" s="64">
        <v>165.04</v>
      </c>
      <c r="L94" s="64">
        <v>24.84</v>
      </c>
      <c r="M94" s="64">
        <v>93.57</v>
      </c>
      <c r="N94" s="64">
        <v>18.7</v>
      </c>
      <c r="O94" s="64">
        <v>0</v>
      </c>
      <c r="P94" s="64">
        <v>0.56999999999999995</v>
      </c>
      <c r="Q94" s="64">
        <v>9.61</v>
      </c>
      <c r="S94" s="198"/>
      <c r="T94" s="198"/>
      <c r="U94" s="198"/>
    </row>
    <row r="95" spans="1:26" s="12" customFormat="1" x14ac:dyDescent="0.25">
      <c r="A95" s="214" t="s">
        <v>2447</v>
      </c>
      <c r="B95" s="64">
        <v>8.14</v>
      </c>
      <c r="C95" s="64">
        <v>3.14</v>
      </c>
      <c r="D95" s="64">
        <v>11.95</v>
      </c>
      <c r="E95" s="64">
        <v>4.87</v>
      </c>
      <c r="F95" s="64">
        <v>3.72</v>
      </c>
      <c r="G95" s="64">
        <v>44.76</v>
      </c>
      <c r="H95" s="64">
        <v>17.38</v>
      </c>
      <c r="I95" s="64">
        <v>7.21</v>
      </c>
      <c r="J95" s="64">
        <v>1.1499999999999999</v>
      </c>
      <c r="K95" s="64">
        <v>149.47</v>
      </c>
      <c r="L95" s="64">
        <v>24.83</v>
      </c>
      <c r="M95" s="64">
        <v>94.79</v>
      </c>
      <c r="N95" s="64">
        <v>18.5</v>
      </c>
      <c r="O95" s="64">
        <v>0</v>
      </c>
      <c r="P95" s="64">
        <v>0.56000000000000005</v>
      </c>
      <c r="Q95" s="64">
        <v>9.56</v>
      </c>
      <c r="S95" s="198"/>
      <c r="T95" s="198"/>
      <c r="U95" s="198"/>
    </row>
    <row r="96" spans="1:26" s="12" customFormat="1" x14ac:dyDescent="0.25">
      <c r="A96" s="214" t="s">
        <v>2448</v>
      </c>
      <c r="B96" s="64">
        <v>8.16</v>
      </c>
      <c r="C96" s="64">
        <v>3.25</v>
      </c>
      <c r="D96" s="64">
        <v>12.01</v>
      </c>
      <c r="E96" s="64">
        <v>4.62</v>
      </c>
      <c r="F96" s="64">
        <v>3.65</v>
      </c>
      <c r="G96" s="64">
        <v>41.48</v>
      </c>
      <c r="H96" s="64">
        <v>16.54</v>
      </c>
      <c r="I96" s="64">
        <v>7.03</v>
      </c>
      <c r="J96" s="64">
        <v>0.78</v>
      </c>
      <c r="K96" s="64">
        <v>149.49</v>
      </c>
      <c r="L96" s="64">
        <v>24.78</v>
      </c>
      <c r="M96" s="64">
        <v>95.9</v>
      </c>
      <c r="N96" s="64">
        <v>18.8</v>
      </c>
      <c r="O96" s="64">
        <v>0</v>
      </c>
      <c r="P96" s="64">
        <v>0.55000000000000004</v>
      </c>
      <c r="Q96" s="64">
        <v>9.61</v>
      </c>
      <c r="S96" s="198"/>
      <c r="T96" s="198"/>
      <c r="U96" s="198"/>
      <c r="Z96" s="109"/>
    </row>
    <row r="97" spans="1:33" s="12" customFormat="1" x14ac:dyDescent="0.25">
      <c r="A97" s="214" t="s">
        <v>2449</v>
      </c>
      <c r="B97" s="64">
        <v>8.2200000000000006</v>
      </c>
      <c r="C97" s="64">
        <v>3.45</v>
      </c>
      <c r="D97" s="64">
        <v>12.17</v>
      </c>
      <c r="E97" s="64">
        <v>4.83</v>
      </c>
      <c r="F97" s="64">
        <v>3.39</v>
      </c>
      <c r="G97" s="64">
        <v>41.33</v>
      </c>
      <c r="H97" s="64">
        <v>16.5</v>
      </c>
      <c r="I97" s="64">
        <v>6.86</v>
      </c>
      <c r="J97" s="64">
        <v>0.22</v>
      </c>
      <c r="K97" s="64">
        <v>51.76</v>
      </c>
      <c r="L97" s="64">
        <v>24.75</v>
      </c>
      <c r="M97" s="64">
        <v>96.86</v>
      </c>
      <c r="N97" s="64">
        <v>18.8</v>
      </c>
      <c r="O97" s="64">
        <v>0</v>
      </c>
      <c r="P97" s="64">
        <v>0.54</v>
      </c>
      <c r="Q97" s="64">
        <v>9.5500000000000007</v>
      </c>
      <c r="S97" s="198"/>
      <c r="T97" s="198"/>
      <c r="U97" s="198"/>
    </row>
    <row r="98" spans="1:33" s="12" customFormat="1" x14ac:dyDescent="0.25">
      <c r="A98" s="214" t="s">
        <v>2450</v>
      </c>
      <c r="B98" s="64">
        <v>8.43</v>
      </c>
      <c r="C98" s="64">
        <v>4.1500000000000004</v>
      </c>
      <c r="D98" s="64">
        <v>12.71</v>
      </c>
      <c r="E98" s="64">
        <v>4.74</v>
      </c>
      <c r="F98" s="64">
        <v>4.18</v>
      </c>
      <c r="G98" s="64">
        <v>41.33</v>
      </c>
      <c r="H98" s="64">
        <v>16.5</v>
      </c>
      <c r="I98" s="64">
        <v>6.58</v>
      </c>
      <c r="J98" s="64">
        <v>0.09</v>
      </c>
      <c r="K98" s="64">
        <v>98.96</v>
      </c>
      <c r="L98" s="64">
        <v>24.68</v>
      </c>
      <c r="M98" s="64">
        <v>97.66</v>
      </c>
      <c r="N98" s="64">
        <v>18.8</v>
      </c>
      <c r="O98" s="64">
        <v>0</v>
      </c>
      <c r="P98" s="64">
        <v>0.54</v>
      </c>
      <c r="Q98" s="64">
        <v>9.56</v>
      </c>
      <c r="S98" s="198"/>
      <c r="T98" s="198"/>
      <c r="U98" s="198"/>
    </row>
    <row r="99" spans="1:33" s="12" customFormat="1" x14ac:dyDescent="0.25">
      <c r="A99" s="214" t="s">
        <v>2451</v>
      </c>
      <c r="B99" s="64">
        <v>8.2100000000000009</v>
      </c>
      <c r="C99" s="64">
        <v>3.35</v>
      </c>
      <c r="D99" s="64">
        <v>12.11</v>
      </c>
      <c r="E99" s="64">
        <v>4.79</v>
      </c>
      <c r="F99" s="64">
        <v>3.84</v>
      </c>
      <c r="G99" s="64">
        <v>41.33</v>
      </c>
      <c r="H99" s="64">
        <v>16.5</v>
      </c>
      <c r="I99" s="64">
        <v>6.26</v>
      </c>
      <c r="J99" s="64">
        <v>0.17</v>
      </c>
      <c r="K99" s="64">
        <v>236.37</v>
      </c>
      <c r="L99" s="64">
        <v>24.63</v>
      </c>
      <c r="M99" s="64">
        <v>98.27</v>
      </c>
      <c r="N99" s="64">
        <v>18.8</v>
      </c>
      <c r="O99" s="64">
        <v>0</v>
      </c>
      <c r="P99" s="64">
        <v>0.52</v>
      </c>
      <c r="Q99" s="64">
        <v>9.5399999999999991</v>
      </c>
      <c r="S99" s="198"/>
      <c r="T99" s="198"/>
      <c r="U99" s="198"/>
    </row>
    <row r="100" spans="1:33" s="12" customFormat="1" x14ac:dyDescent="0.25">
      <c r="A100" s="214" t="s">
        <v>2452</v>
      </c>
      <c r="B100" s="64">
        <v>8.16</v>
      </c>
      <c r="C100" s="64">
        <v>3.16</v>
      </c>
      <c r="D100" s="64">
        <v>11.97</v>
      </c>
      <c r="E100" s="64">
        <v>4.84</v>
      </c>
      <c r="F100" s="64">
        <v>3.77</v>
      </c>
      <c r="G100" s="64">
        <v>36.200000000000003</v>
      </c>
      <c r="H100" s="64">
        <v>18.41</v>
      </c>
      <c r="I100" s="64">
        <v>6</v>
      </c>
      <c r="J100" s="64">
        <v>0.33</v>
      </c>
      <c r="K100" s="64">
        <v>208.04</v>
      </c>
      <c r="L100" s="64">
        <v>24.62</v>
      </c>
      <c r="M100" s="64">
        <v>98.31</v>
      </c>
      <c r="N100" s="64">
        <v>18.899999999999999</v>
      </c>
      <c r="O100" s="64">
        <v>0</v>
      </c>
      <c r="P100" s="64">
        <v>0.51</v>
      </c>
      <c r="Q100" s="64">
        <v>9.5500000000000007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2453</v>
      </c>
      <c r="B101" s="64">
        <v>8.15</v>
      </c>
      <c r="C101" s="64">
        <v>3.12</v>
      </c>
      <c r="D101" s="64">
        <v>11.94</v>
      </c>
      <c r="E101" s="64">
        <v>4.7</v>
      </c>
      <c r="F101" s="64">
        <v>3.39</v>
      </c>
      <c r="G101" s="64">
        <v>35.97</v>
      </c>
      <c r="H101" s="64">
        <v>18.5</v>
      </c>
      <c r="I101" s="64">
        <v>5.78</v>
      </c>
      <c r="J101" s="64">
        <v>0.39</v>
      </c>
      <c r="K101" s="64">
        <v>181.07</v>
      </c>
      <c r="L101" s="64">
        <v>24.59</v>
      </c>
      <c r="M101" s="64">
        <v>98.3</v>
      </c>
      <c r="N101" s="64">
        <v>18.899999999999999</v>
      </c>
      <c r="O101" s="64">
        <v>0</v>
      </c>
      <c r="P101" s="64">
        <v>0.5</v>
      </c>
      <c r="Q101" s="64">
        <v>9.52</v>
      </c>
      <c r="S101" s="198"/>
      <c r="T101" s="198"/>
      <c r="U101" s="198"/>
    </row>
    <row r="102" spans="1:33" s="12" customFormat="1" x14ac:dyDescent="0.25">
      <c r="A102" s="214" t="s">
        <v>2454</v>
      </c>
      <c r="B102" s="64">
        <v>8.14</v>
      </c>
      <c r="C102" s="64">
        <v>3.12</v>
      </c>
      <c r="D102" s="64">
        <v>11.93</v>
      </c>
      <c r="E102" s="64">
        <v>4.72</v>
      </c>
      <c r="F102" s="64">
        <v>3.84</v>
      </c>
      <c r="G102" s="64">
        <v>35.97</v>
      </c>
      <c r="H102" s="64">
        <v>18.5</v>
      </c>
      <c r="I102" s="64">
        <v>5.6</v>
      </c>
      <c r="J102" s="64">
        <v>0.57999999999999996</v>
      </c>
      <c r="K102" s="64">
        <v>159.84</v>
      </c>
      <c r="L102" s="64">
        <v>24.53</v>
      </c>
      <c r="M102" s="64">
        <v>98.3</v>
      </c>
      <c r="N102" s="64">
        <v>18.899999999999999</v>
      </c>
      <c r="O102" s="64">
        <v>0</v>
      </c>
      <c r="P102" s="64">
        <v>0.5</v>
      </c>
      <c r="Q102" s="64">
        <v>9.5500000000000007</v>
      </c>
      <c r="S102" s="198"/>
      <c r="T102" s="198"/>
      <c r="U102" s="198"/>
    </row>
    <row r="103" spans="1:33" s="12" customFormat="1" x14ac:dyDescent="0.25">
      <c r="A103" s="214" t="s">
        <v>2455</v>
      </c>
      <c r="B103" s="64">
        <v>8.14</v>
      </c>
      <c r="C103" s="64">
        <v>3.18</v>
      </c>
      <c r="D103" s="64">
        <v>11.96</v>
      </c>
      <c r="E103" s="64">
        <v>4.84</v>
      </c>
      <c r="F103" s="64">
        <v>3.21</v>
      </c>
      <c r="G103" s="64">
        <v>35.97</v>
      </c>
      <c r="H103" s="64">
        <v>18.5</v>
      </c>
      <c r="I103" s="64">
        <v>5.45</v>
      </c>
      <c r="J103" s="64">
        <v>0.5</v>
      </c>
      <c r="K103" s="64">
        <v>175.77</v>
      </c>
      <c r="L103" s="64">
        <v>24.54</v>
      </c>
      <c r="M103" s="64">
        <v>98.3</v>
      </c>
      <c r="N103" s="64">
        <v>18.899999999999999</v>
      </c>
      <c r="O103" s="64">
        <v>0</v>
      </c>
      <c r="P103" s="64">
        <v>0.49</v>
      </c>
      <c r="Q103" s="64">
        <v>9.52</v>
      </c>
      <c r="S103" s="198"/>
      <c r="T103" s="198"/>
      <c r="U103" s="198"/>
    </row>
    <row r="104" spans="1:33" s="12" customFormat="1" x14ac:dyDescent="0.25">
      <c r="A104" s="214" t="s">
        <v>2456</v>
      </c>
      <c r="B104" s="64">
        <v>8.14</v>
      </c>
      <c r="C104" s="64">
        <v>3.13</v>
      </c>
      <c r="D104" s="64">
        <v>11.94</v>
      </c>
      <c r="E104" s="64">
        <v>4.75</v>
      </c>
      <c r="F104" s="64">
        <v>3.44</v>
      </c>
      <c r="G104" s="64">
        <v>34.369999999999997</v>
      </c>
      <c r="H104" s="64">
        <v>13.82</v>
      </c>
      <c r="I104" s="64">
        <v>5.33</v>
      </c>
      <c r="J104" s="64">
        <v>0.36</v>
      </c>
      <c r="K104" s="64">
        <v>184.36</v>
      </c>
      <c r="L104" s="64">
        <v>24.56</v>
      </c>
      <c r="M104" s="64">
        <v>98.3</v>
      </c>
      <c r="N104" s="64">
        <v>18.899999999999999</v>
      </c>
      <c r="O104" s="64">
        <v>0</v>
      </c>
      <c r="P104" s="64">
        <v>0.47</v>
      </c>
      <c r="Q104" s="64">
        <v>9.5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8.14</v>
      </c>
      <c r="C106" s="67">
        <f>MIN(C9:C104)</f>
        <v>3.12</v>
      </c>
      <c r="D106" s="67">
        <f t="shared" ref="D106:Q106" si="0">MIN(D9:D104)</f>
        <v>11.93</v>
      </c>
      <c r="E106" s="67">
        <f t="shared" si="0"/>
        <v>3.43</v>
      </c>
      <c r="F106" s="67">
        <f t="shared" si="0"/>
        <v>2.78</v>
      </c>
      <c r="G106" s="67">
        <f t="shared" si="0"/>
        <v>28.35</v>
      </c>
      <c r="H106" s="67">
        <f t="shared" si="0"/>
        <v>8.2100000000000009</v>
      </c>
      <c r="I106" s="67">
        <f t="shared" si="0"/>
        <v>4.21</v>
      </c>
      <c r="J106" s="67">
        <f t="shared" si="0"/>
        <v>0.05</v>
      </c>
      <c r="K106" s="67">
        <f t="shared" si="0"/>
        <v>4.71</v>
      </c>
      <c r="L106" s="67">
        <f t="shared" si="0"/>
        <v>22.72</v>
      </c>
      <c r="M106" s="67">
        <f t="shared" si="0"/>
        <v>71.23</v>
      </c>
      <c r="N106" s="67">
        <f t="shared" si="0"/>
        <v>18.5</v>
      </c>
      <c r="O106" s="67">
        <f t="shared" si="0"/>
        <v>0</v>
      </c>
      <c r="P106" s="67">
        <f t="shared" si="0"/>
        <v>0.34</v>
      </c>
      <c r="Q106" s="67">
        <f t="shared" si="0"/>
        <v>9.4499999999999993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8.8000000000000007</v>
      </c>
      <c r="C107" s="66">
        <f t="shared" ref="C107:Q107" si="1">MAX(C9:C104)</f>
        <v>4.83</v>
      </c>
      <c r="D107" s="66">
        <f t="shared" si="1"/>
        <v>13.36</v>
      </c>
      <c r="E107" s="66">
        <f t="shared" si="1"/>
        <v>5.3</v>
      </c>
      <c r="F107" s="66">
        <f t="shared" si="1"/>
        <v>6.21</v>
      </c>
      <c r="G107" s="66">
        <f t="shared" si="1"/>
        <v>57.8</v>
      </c>
      <c r="H107" s="66">
        <f t="shared" si="1"/>
        <v>24.92</v>
      </c>
      <c r="I107" s="66">
        <f t="shared" si="1"/>
        <v>7.28</v>
      </c>
      <c r="J107" s="66">
        <f t="shared" si="1"/>
        <v>1.72</v>
      </c>
      <c r="K107" s="66">
        <f t="shared" si="1"/>
        <v>356.78</v>
      </c>
      <c r="L107" s="66">
        <f t="shared" si="1"/>
        <v>30.52</v>
      </c>
      <c r="M107" s="66">
        <f t="shared" si="1"/>
        <v>98.38</v>
      </c>
      <c r="N107" s="66">
        <f t="shared" si="1"/>
        <v>933.8</v>
      </c>
      <c r="O107" s="66">
        <f t="shared" si="1"/>
        <v>3.2</v>
      </c>
      <c r="P107" s="66">
        <f t="shared" si="1"/>
        <v>0.73</v>
      </c>
      <c r="Q107" s="66">
        <f t="shared" si="1"/>
        <v>9.83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8.2359375000000021</v>
      </c>
      <c r="C108" s="67">
        <f t="shared" ref="C108:Q108" si="2">AVERAGE(C9:C104)</f>
        <v>3.3868749999999994</v>
      </c>
      <c r="D108" s="67">
        <f t="shared" si="2"/>
        <v>12.148333333333335</v>
      </c>
      <c r="E108" s="67">
        <f t="shared" si="2"/>
        <v>4.2939583333333333</v>
      </c>
      <c r="F108" s="67">
        <f t="shared" si="2"/>
        <v>3.7319791666666657</v>
      </c>
      <c r="G108" s="67">
        <f t="shared" si="2"/>
        <v>44.120833333333337</v>
      </c>
      <c r="H108" s="67">
        <f t="shared" si="2"/>
        <v>16.309270833333329</v>
      </c>
      <c r="I108" s="67">
        <f t="shared" si="2"/>
        <v>5.8237500000000004</v>
      </c>
      <c r="J108" s="67">
        <f t="shared" si="2"/>
        <v>0.6434375</v>
      </c>
      <c r="K108" s="67">
        <f t="shared" si="2"/>
        <v>183.01291666666668</v>
      </c>
      <c r="L108" s="67">
        <f t="shared" si="2"/>
        <v>25.178437500000015</v>
      </c>
      <c r="M108" s="67">
        <f t="shared" si="2"/>
        <v>92.924895833333267</v>
      </c>
      <c r="N108" s="67">
        <f t="shared" si="2"/>
        <v>110.95416666666659</v>
      </c>
      <c r="O108" s="67">
        <f t="shared" si="2"/>
        <v>0.14375000000000002</v>
      </c>
      <c r="P108" s="67">
        <f t="shared" si="2"/>
        <v>0.53947916666666651</v>
      </c>
      <c r="Q108" s="67">
        <f t="shared" si="2"/>
        <v>9.6010416666666654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0.10713079192719231</v>
      </c>
      <c r="C109" s="67">
        <f t="shared" ref="C109:Q109" si="3">STDEV(C9:C104)</f>
        <v>0.31053879323727523</v>
      </c>
      <c r="D109" s="67">
        <f t="shared" si="3"/>
        <v>0.24576268684569272</v>
      </c>
      <c r="E109" s="67">
        <f t="shared" si="3"/>
        <v>0.51320556908547366</v>
      </c>
      <c r="F109" s="67">
        <f t="shared" si="3"/>
        <v>0.5225315297294596</v>
      </c>
      <c r="G109" s="67">
        <f t="shared" si="3"/>
        <v>8.957007919902308</v>
      </c>
      <c r="H109" s="67">
        <f t="shared" si="3"/>
        <v>4.3797844803481221</v>
      </c>
      <c r="I109" s="67">
        <f t="shared" si="3"/>
        <v>0.95798939671090078</v>
      </c>
      <c r="J109" s="67">
        <f t="shared" si="3"/>
        <v>0.37127328032624496</v>
      </c>
      <c r="K109" s="67">
        <f t="shared" si="3"/>
        <v>96.159130118193787</v>
      </c>
      <c r="L109" s="67">
        <f t="shared" si="3"/>
        <v>1.7629510714319774</v>
      </c>
      <c r="M109" s="67">
        <f t="shared" si="3"/>
        <v>8.17168281255673</v>
      </c>
      <c r="N109" s="67">
        <f t="shared" si="3"/>
        <v>163.54972455956255</v>
      </c>
      <c r="O109" s="67">
        <f t="shared" si="3"/>
        <v>0.59237479245562275</v>
      </c>
      <c r="P109" s="67">
        <f t="shared" si="3"/>
        <v>0.11690184629280571</v>
      </c>
      <c r="Q109" s="67">
        <f t="shared" si="3"/>
        <v>9.8360017194265181E-2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2457</v>
      </c>
      <c r="B9" s="64">
        <v>8.16</v>
      </c>
      <c r="C9" s="64">
        <v>3.16</v>
      </c>
      <c r="D9" s="64">
        <v>11.97</v>
      </c>
      <c r="E9" s="64">
        <v>4.62</v>
      </c>
      <c r="F9" s="64">
        <v>3.25</v>
      </c>
      <c r="G9" s="64">
        <v>34.29</v>
      </c>
      <c r="H9" s="64">
        <v>13.6</v>
      </c>
      <c r="I9" s="64">
        <v>5.39</v>
      </c>
      <c r="J9" s="64">
        <v>0.48</v>
      </c>
      <c r="K9" s="64">
        <v>165.54</v>
      </c>
      <c r="L9" s="64">
        <v>24.56</v>
      </c>
      <c r="M9" s="64">
        <v>98.3</v>
      </c>
      <c r="N9" s="64">
        <v>18.899999999999999</v>
      </c>
      <c r="O9" s="64">
        <v>0</v>
      </c>
      <c r="P9" s="64">
        <v>0.47</v>
      </c>
      <c r="Q9" s="64">
        <v>9.4700000000000006</v>
      </c>
      <c r="R9" s="198"/>
      <c r="S9" s="198"/>
      <c r="T9" s="198"/>
      <c r="U9" s="198"/>
    </row>
    <row r="10" spans="1:21" s="12" customFormat="1" x14ac:dyDescent="0.25">
      <c r="A10" s="214" t="s">
        <v>2458</v>
      </c>
      <c r="B10" s="64">
        <v>8.1999999999999993</v>
      </c>
      <c r="C10" s="64">
        <v>3.17</v>
      </c>
      <c r="D10" s="64">
        <v>12.01</v>
      </c>
      <c r="E10" s="64">
        <v>4.34</v>
      </c>
      <c r="F10" s="64">
        <v>3.12</v>
      </c>
      <c r="G10" s="64">
        <v>34.29</v>
      </c>
      <c r="H10" s="64">
        <v>13.6</v>
      </c>
      <c r="I10" s="64">
        <v>5.35</v>
      </c>
      <c r="J10" s="64">
        <v>0.65</v>
      </c>
      <c r="K10" s="64">
        <v>173.18</v>
      </c>
      <c r="L10" s="64">
        <v>24.51</v>
      </c>
      <c r="M10" s="64">
        <v>98.3</v>
      </c>
      <c r="N10" s="64">
        <v>18.899999999999999</v>
      </c>
      <c r="O10" s="64">
        <v>0</v>
      </c>
      <c r="P10" s="64">
        <v>0.46</v>
      </c>
      <c r="Q10" s="64">
        <v>9.48</v>
      </c>
      <c r="R10" s="198"/>
      <c r="S10" s="198"/>
      <c r="T10" s="198"/>
      <c r="U10" s="198"/>
    </row>
    <row r="11" spans="1:21" s="12" customFormat="1" x14ac:dyDescent="0.25">
      <c r="A11" s="214" t="s">
        <v>2459</v>
      </c>
      <c r="B11" s="64">
        <v>8.24</v>
      </c>
      <c r="C11" s="64">
        <v>3.33</v>
      </c>
      <c r="D11" s="64">
        <v>12.13</v>
      </c>
      <c r="E11" s="64">
        <v>4.6399999999999997</v>
      </c>
      <c r="F11" s="64">
        <v>3.34</v>
      </c>
      <c r="G11" s="64">
        <v>34.29</v>
      </c>
      <c r="H11" s="64">
        <v>13.6</v>
      </c>
      <c r="I11" s="64">
        <v>5.51</v>
      </c>
      <c r="J11" s="64">
        <v>0.68</v>
      </c>
      <c r="K11" s="64">
        <v>170.96</v>
      </c>
      <c r="L11" s="64">
        <v>24.5</v>
      </c>
      <c r="M11" s="64">
        <v>98.32</v>
      </c>
      <c r="N11" s="64">
        <v>18.899999999999999</v>
      </c>
      <c r="O11" s="64">
        <v>0</v>
      </c>
      <c r="P11" s="64">
        <v>0.45</v>
      </c>
      <c r="Q11" s="64">
        <v>9.48</v>
      </c>
      <c r="R11" s="198"/>
      <c r="S11" s="198"/>
      <c r="T11" s="198"/>
      <c r="U11" s="198"/>
    </row>
    <row r="12" spans="1:21" s="12" customFormat="1" x14ac:dyDescent="0.25">
      <c r="A12" s="214" t="s">
        <v>2460</v>
      </c>
      <c r="B12" s="64">
        <v>8.27</v>
      </c>
      <c r="C12" s="64">
        <v>3.4</v>
      </c>
      <c r="D12" s="64">
        <v>12.18</v>
      </c>
      <c r="E12" s="64">
        <v>4.5999999999999996</v>
      </c>
      <c r="F12" s="64">
        <v>3.5</v>
      </c>
      <c r="G12" s="64">
        <v>33.799999999999997</v>
      </c>
      <c r="H12" s="64">
        <v>12.28</v>
      </c>
      <c r="I12" s="64">
        <v>5.81</v>
      </c>
      <c r="J12" s="64">
        <v>0.92</v>
      </c>
      <c r="K12" s="64">
        <v>158.69</v>
      </c>
      <c r="L12" s="64">
        <v>24.44</v>
      </c>
      <c r="M12" s="64">
        <v>98.31</v>
      </c>
      <c r="N12" s="64">
        <v>18.899999999999999</v>
      </c>
      <c r="O12" s="64">
        <v>0</v>
      </c>
      <c r="P12" s="64">
        <v>0.45</v>
      </c>
      <c r="Q12" s="64">
        <v>9.48</v>
      </c>
      <c r="R12" s="198"/>
      <c r="S12" s="198"/>
      <c r="T12" s="198"/>
      <c r="U12" s="198"/>
    </row>
    <row r="13" spans="1:21" s="12" customFormat="1" x14ac:dyDescent="0.25">
      <c r="A13" s="214" t="s">
        <v>2461</v>
      </c>
      <c r="B13" s="64">
        <v>8.2200000000000006</v>
      </c>
      <c r="C13" s="64">
        <v>3.25</v>
      </c>
      <c r="D13" s="64">
        <v>12.06</v>
      </c>
      <c r="E13" s="64">
        <v>4.2699999999999996</v>
      </c>
      <c r="F13" s="64">
        <v>3.29</v>
      </c>
      <c r="G13" s="64">
        <v>33.78</v>
      </c>
      <c r="H13" s="64">
        <v>12.22</v>
      </c>
      <c r="I13" s="64">
        <v>6.01</v>
      </c>
      <c r="J13" s="64">
        <v>0.1</v>
      </c>
      <c r="K13" s="64">
        <v>258.45999999999998</v>
      </c>
      <c r="L13" s="64">
        <v>24.33</v>
      </c>
      <c r="M13" s="64">
        <v>98.32</v>
      </c>
      <c r="N13" s="64">
        <v>18.899999999999999</v>
      </c>
      <c r="O13" s="64">
        <v>0</v>
      </c>
      <c r="P13" s="64">
        <v>0.43</v>
      </c>
      <c r="Q13" s="64">
        <v>9.49</v>
      </c>
      <c r="R13" s="198"/>
      <c r="S13" s="198"/>
      <c r="T13" s="198"/>
      <c r="U13" s="198"/>
    </row>
    <row r="14" spans="1:21" s="12" customFormat="1" x14ac:dyDescent="0.25">
      <c r="A14" s="214" t="s">
        <v>2462</v>
      </c>
      <c r="B14" s="64">
        <v>8.19</v>
      </c>
      <c r="C14" s="64">
        <v>3.2</v>
      </c>
      <c r="D14" s="64">
        <v>12.01</v>
      </c>
      <c r="E14" s="64">
        <v>4.82</v>
      </c>
      <c r="F14" s="64">
        <v>3.69</v>
      </c>
      <c r="G14" s="64">
        <v>33.78</v>
      </c>
      <c r="H14" s="64">
        <v>12.22</v>
      </c>
      <c r="I14" s="64">
        <v>6.28</v>
      </c>
      <c r="J14" s="64">
        <v>0.69</v>
      </c>
      <c r="K14" s="64">
        <v>161.86000000000001</v>
      </c>
      <c r="L14" s="64">
        <v>24.28</v>
      </c>
      <c r="M14" s="64">
        <v>98.33</v>
      </c>
      <c r="N14" s="64">
        <v>18.899999999999999</v>
      </c>
      <c r="O14" s="64">
        <v>0</v>
      </c>
      <c r="P14" s="64">
        <v>0.44</v>
      </c>
      <c r="Q14" s="64">
        <v>9.5</v>
      </c>
      <c r="R14" s="198"/>
      <c r="S14" s="198"/>
      <c r="T14" s="198"/>
      <c r="U14" s="198"/>
    </row>
    <row r="15" spans="1:21" s="12" customFormat="1" x14ac:dyDescent="0.25">
      <c r="A15" s="214" t="s">
        <v>2463</v>
      </c>
      <c r="B15" s="64">
        <v>8.19</v>
      </c>
      <c r="C15" s="64">
        <v>3.16</v>
      </c>
      <c r="D15" s="64">
        <v>11.99</v>
      </c>
      <c r="E15" s="64">
        <v>4.82</v>
      </c>
      <c r="F15" s="64">
        <v>3.48</v>
      </c>
      <c r="G15" s="64">
        <v>33.78</v>
      </c>
      <c r="H15" s="64">
        <v>12.22</v>
      </c>
      <c r="I15" s="64">
        <v>6.32</v>
      </c>
      <c r="J15" s="64">
        <v>1.48</v>
      </c>
      <c r="K15" s="64">
        <v>149.41</v>
      </c>
      <c r="L15" s="64">
        <v>24.25</v>
      </c>
      <c r="M15" s="64">
        <v>98.34</v>
      </c>
      <c r="N15" s="64">
        <v>18.899999999999999</v>
      </c>
      <c r="O15" s="64">
        <v>0</v>
      </c>
      <c r="P15" s="64">
        <v>0.43</v>
      </c>
      <c r="Q15" s="64">
        <v>9.5</v>
      </c>
      <c r="R15" s="198"/>
      <c r="S15" s="198"/>
      <c r="T15" s="198"/>
      <c r="U15" s="198"/>
    </row>
    <row r="16" spans="1:21" s="12" customFormat="1" x14ac:dyDescent="0.25">
      <c r="A16" s="214" t="s">
        <v>2464</v>
      </c>
      <c r="B16" s="64">
        <v>8.25</v>
      </c>
      <c r="C16" s="64">
        <v>3.44</v>
      </c>
      <c r="D16" s="64">
        <v>12.18</v>
      </c>
      <c r="E16" s="64">
        <v>4.8099999999999996</v>
      </c>
      <c r="F16" s="64">
        <v>3.85</v>
      </c>
      <c r="G16" s="64">
        <v>27.71</v>
      </c>
      <c r="H16" s="64">
        <v>13.33</v>
      </c>
      <c r="I16" s="64">
        <v>6.44</v>
      </c>
      <c r="J16" s="64">
        <v>0.82</v>
      </c>
      <c r="K16" s="64">
        <v>152.69999999999999</v>
      </c>
      <c r="L16" s="64">
        <v>24.25</v>
      </c>
      <c r="M16" s="64">
        <v>98.33</v>
      </c>
      <c r="N16" s="64">
        <v>18.899999999999999</v>
      </c>
      <c r="O16" s="64">
        <v>0</v>
      </c>
      <c r="P16" s="64">
        <v>0.42</v>
      </c>
      <c r="Q16" s="64">
        <v>9.56</v>
      </c>
      <c r="R16" s="198"/>
      <c r="S16" s="198"/>
      <c r="T16" s="198"/>
      <c r="U16" s="198"/>
    </row>
    <row r="17" spans="1:21" s="12" customFormat="1" x14ac:dyDescent="0.25">
      <c r="A17" s="214" t="s">
        <v>2465</v>
      </c>
      <c r="B17" s="64">
        <v>8.27</v>
      </c>
      <c r="C17" s="64">
        <v>3.54</v>
      </c>
      <c r="D17" s="64">
        <v>12.26</v>
      </c>
      <c r="E17" s="64">
        <v>4.72</v>
      </c>
      <c r="F17" s="64">
        <v>3.58</v>
      </c>
      <c r="G17" s="64">
        <v>27.35</v>
      </c>
      <c r="H17" s="64">
        <v>13.39</v>
      </c>
      <c r="I17" s="64">
        <v>6.76</v>
      </c>
      <c r="J17" s="64">
        <v>1.27</v>
      </c>
      <c r="K17" s="64">
        <v>148.81</v>
      </c>
      <c r="L17" s="64">
        <v>24.23</v>
      </c>
      <c r="M17" s="64">
        <v>98.33</v>
      </c>
      <c r="N17" s="64">
        <v>19.100000000000001</v>
      </c>
      <c r="O17" s="64">
        <v>0</v>
      </c>
      <c r="P17" s="64">
        <v>0.42</v>
      </c>
      <c r="Q17" s="64">
        <v>9.57</v>
      </c>
      <c r="R17" s="198"/>
      <c r="S17" s="198"/>
      <c r="T17" s="198"/>
      <c r="U17" s="198"/>
    </row>
    <row r="18" spans="1:21" s="12" customFormat="1" x14ac:dyDescent="0.25">
      <c r="A18" s="214" t="s">
        <v>2466</v>
      </c>
      <c r="B18" s="64">
        <v>8.2799999999999994</v>
      </c>
      <c r="C18" s="64">
        <v>3.49</v>
      </c>
      <c r="D18" s="64">
        <v>12.24</v>
      </c>
      <c r="E18" s="64">
        <v>4.8099999999999996</v>
      </c>
      <c r="F18" s="64">
        <v>4.12</v>
      </c>
      <c r="G18" s="64">
        <v>27.35</v>
      </c>
      <c r="H18" s="64">
        <v>13.39</v>
      </c>
      <c r="I18" s="64">
        <v>6.87</v>
      </c>
      <c r="J18" s="64">
        <v>0.54</v>
      </c>
      <c r="K18" s="64">
        <v>154.74</v>
      </c>
      <c r="L18" s="64">
        <v>24.17</v>
      </c>
      <c r="M18" s="64">
        <v>98.35</v>
      </c>
      <c r="N18" s="64">
        <v>19.100000000000001</v>
      </c>
      <c r="O18" s="64">
        <v>0</v>
      </c>
      <c r="P18" s="64">
        <v>0.4</v>
      </c>
      <c r="Q18" s="64">
        <v>9.51</v>
      </c>
      <c r="R18" s="198"/>
      <c r="S18" s="198"/>
      <c r="T18" s="198"/>
      <c r="U18" s="198"/>
    </row>
    <row r="19" spans="1:21" s="12" customFormat="1" x14ac:dyDescent="0.25">
      <c r="A19" s="214" t="s">
        <v>2467</v>
      </c>
      <c r="B19" s="64">
        <v>8.2799999999999994</v>
      </c>
      <c r="C19" s="64">
        <v>3.53</v>
      </c>
      <c r="D19" s="64">
        <v>12.26</v>
      </c>
      <c r="E19" s="64">
        <v>4.4800000000000004</v>
      </c>
      <c r="F19" s="64">
        <v>3.39</v>
      </c>
      <c r="G19" s="64">
        <v>27.35</v>
      </c>
      <c r="H19" s="64">
        <v>13.39</v>
      </c>
      <c r="I19" s="64">
        <v>6.8</v>
      </c>
      <c r="J19" s="64">
        <v>1.02</v>
      </c>
      <c r="K19" s="64">
        <v>155.57</v>
      </c>
      <c r="L19" s="64">
        <v>24.16</v>
      </c>
      <c r="M19" s="64">
        <v>98.35</v>
      </c>
      <c r="N19" s="64">
        <v>18.899999999999999</v>
      </c>
      <c r="O19" s="64">
        <v>0</v>
      </c>
      <c r="P19" s="64">
        <v>0.39</v>
      </c>
      <c r="Q19" s="64">
        <v>9.51</v>
      </c>
      <c r="R19" s="198"/>
      <c r="S19" s="198"/>
      <c r="T19" s="198"/>
      <c r="U19" s="198"/>
    </row>
    <row r="20" spans="1:21" s="12" customFormat="1" x14ac:dyDescent="0.25">
      <c r="A20" s="214" t="s">
        <v>2468</v>
      </c>
      <c r="B20" s="64">
        <v>8.16</v>
      </c>
      <c r="C20" s="64">
        <v>3.19</v>
      </c>
      <c r="D20" s="64">
        <v>11.99</v>
      </c>
      <c r="E20" s="64">
        <v>4.3899999999999997</v>
      </c>
      <c r="F20" s="64">
        <v>4.1399999999999997</v>
      </c>
      <c r="G20" s="64">
        <v>25.36</v>
      </c>
      <c r="H20" s="64">
        <v>9.99</v>
      </c>
      <c r="I20" s="64">
        <v>6.67</v>
      </c>
      <c r="J20" s="64">
        <v>0.76</v>
      </c>
      <c r="K20" s="64">
        <v>134.55000000000001</v>
      </c>
      <c r="L20" s="64">
        <v>24.13</v>
      </c>
      <c r="M20" s="64">
        <v>98.34</v>
      </c>
      <c r="N20" s="64">
        <v>19.100000000000001</v>
      </c>
      <c r="O20" s="64">
        <v>0</v>
      </c>
      <c r="P20" s="64">
        <v>0.38</v>
      </c>
      <c r="Q20" s="64">
        <v>9.52</v>
      </c>
      <c r="R20" s="198"/>
      <c r="S20" s="198"/>
      <c r="T20" s="198"/>
      <c r="U20" s="198"/>
    </row>
    <row r="21" spans="1:21" s="12" customFormat="1" x14ac:dyDescent="0.25">
      <c r="A21" s="214" t="s">
        <v>2469</v>
      </c>
      <c r="B21" s="64">
        <v>8.15</v>
      </c>
      <c r="C21" s="64">
        <v>3.18</v>
      </c>
      <c r="D21" s="64">
        <v>11.98</v>
      </c>
      <c r="E21" s="64">
        <v>4.47</v>
      </c>
      <c r="F21" s="64">
        <v>3.55</v>
      </c>
      <c r="G21" s="64">
        <v>25.25</v>
      </c>
      <c r="H21" s="64">
        <v>9.83</v>
      </c>
      <c r="I21" s="64">
        <v>6.45</v>
      </c>
      <c r="J21" s="64">
        <v>0.98</v>
      </c>
      <c r="K21" s="64">
        <v>169.57</v>
      </c>
      <c r="L21" s="64">
        <v>24.06</v>
      </c>
      <c r="M21" s="64">
        <v>98.34</v>
      </c>
      <c r="N21" s="64">
        <v>18.899999999999999</v>
      </c>
      <c r="O21" s="64">
        <v>0</v>
      </c>
      <c r="P21" s="64">
        <v>0.37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14" t="s">
        <v>2470</v>
      </c>
      <c r="B22" s="64">
        <v>8.18</v>
      </c>
      <c r="C22" s="64">
        <v>3.26</v>
      </c>
      <c r="D22" s="64">
        <v>12.04</v>
      </c>
      <c r="E22" s="64">
        <v>4.67</v>
      </c>
      <c r="F22" s="64">
        <v>4.32</v>
      </c>
      <c r="G22" s="64">
        <v>25.25</v>
      </c>
      <c r="H22" s="64">
        <v>9.83</v>
      </c>
      <c r="I22" s="64">
        <v>6.29</v>
      </c>
      <c r="J22" s="64">
        <v>0.95</v>
      </c>
      <c r="K22" s="64">
        <v>155.04</v>
      </c>
      <c r="L22" s="64">
        <v>24.09</v>
      </c>
      <c r="M22" s="64">
        <v>98.33</v>
      </c>
      <c r="N22" s="64">
        <v>18.899999999999999</v>
      </c>
      <c r="O22" s="64">
        <v>0</v>
      </c>
      <c r="P22" s="64">
        <v>0.37</v>
      </c>
      <c r="Q22" s="64">
        <v>9.5299999999999994</v>
      </c>
      <c r="R22" s="198"/>
      <c r="S22" s="198"/>
      <c r="T22" s="198"/>
      <c r="U22" s="198"/>
    </row>
    <row r="23" spans="1:21" s="12" customFormat="1" x14ac:dyDescent="0.25">
      <c r="A23" s="214" t="s">
        <v>2471</v>
      </c>
      <c r="B23" s="64">
        <v>8.2200000000000006</v>
      </c>
      <c r="C23" s="64">
        <v>3.37</v>
      </c>
      <c r="D23" s="64">
        <v>12.13</v>
      </c>
      <c r="E23" s="64">
        <v>4.99</v>
      </c>
      <c r="F23" s="64">
        <v>3.22</v>
      </c>
      <c r="G23" s="64">
        <v>25.25</v>
      </c>
      <c r="H23" s="64">
        <v>9.83</v>
      </c>
      <c r="I23" s="64">
        <v>6.13</v>
      </c>
      <c r="J23" s="64">
        <v>0.55000000000000004</v>
      </c>
      <c r="K23" s="64">
        <v>163.43</v>
      </c>
      <c r="L23" s="64">
        <v>24.03</v>
      </c>
      <c r="M23" s="64">
        <v>98.35</v>
      </c>
      <c r="N23" s="64">
        <v>18.899999999999999</v>
      </c>
      <c r="O23" s="64">
        <v>0</v>
      </c>
      <c r="P23" s="64">
        <v>0.35</v>
      </c>
      <c r="Q23" s="64">
        <v>9.5299999999999994</v>
      </c>
      <c r="R23" s="198"/>
      <c r="S23" s="198"/>
      <c r="T23" s="198"/>
      <c r="U23" s="198"/>
    </row>
    <row r="24" spans="1:21" s="12" customFormat="1" x14ac:dyDescent="0.25">
      <c r="A24" s="214" t="s">
        <v>2472</v>
      </c>
      <c r="B24" s="64">
        <v>8.23</v>
      </c>
      <c r="C24" s="64">
        <v>3.41</v>
      </c>
      <c r="D24" s="64">
        <v>12.16</v>
      </c>
      <c r="E24" s="64">
        <v>4.17</v>
      </c>
      <c r="F24" s="64">
        <v>4.04</v>
      </c>
      <c r="G24" s="64">
        <v>25.91</v>
      </c>
      <c r="H24" s="64">
        <v>8.4</v>
      </c>
      <c r="I24" s="64">
        <v>5.98</v>
      </c>
      <c r="J24" s="64">
        <v>0.79</v>
      </c>
      <c r="K24" s="64">
        <v>161.49</v>
      </c>
      <c r="L24" s="64">
        <v>23.9</v>
      </c>
      <c r="M24" s="64">
        <v>98.35</v>
      </c>
      <c r="N24" s="64">
        <v>18.899999999999999</v>
      </c>
      <c r="O24" s="64">
        <v>0</v>
      </c>
      <c r="P24" s="64">
        <v>0.34</v>
      </c>
      <c r="Q24" s="64">
        <v>9.52</v>
      </c>
      <c r="R24" s="198"/>
      <c r="S24" s="198"/>
      <c r="T24" s="198"/>
      <c r="U24" s="198"/>
    </row>
    <row r="25" spans="1:21" s="12" customFormat="1" x14ac:dyDescent="0.25">
      <c r="A25" s="214" t="s">
        <v>2473</v>
      </c>
      <c r="B25" s="64">
        <v>8.23</v>
      </c>
      <c r="C25" s="64">
        <v>3.4</v>
      </c>
      <c r="D25" s="64">
        <v>12.15</v>
      </c>
      <c r="E25" s="64">
        <v>3.7</v>
      </c>
      <c r="F25" s="64">
        <v>3.32</v>
      </c>
      <c r="G25" s="64">
        <v>25.95</v>
      </c>
      <c r="H25" s="64">
        <v>8.33</v>
      </c>
      <c r="I25" s="64">
        <v>5.86</v>
      </c>
      <c r="J25" s="64">
        <v>0.53</v>
      </c>
      <c r="K25" s="64">
        <v>165.05</v>
      </c>
      <c r="L25" s="64">
        <v>23.83</v>
      </c>
      <c r="M25" s="64">
        <v>98.35</v>
      </c>
      <c r="N25" s="64">
        <v>19.2</v>
      </c>
      <c r="O25" s="64">
        <v>0</v>
      </c>
      <c r="P25" s="64">
        <v>0.34</v>
      </c>
      <c r="Q25" s="64">
        <v>9.5399999999999991</v>
      </c>
      <c r="R25" s="198"/>
      <c r="S25" s="198"/>
      <c r="T25" s="198"/>
      <c r="U25" s="198"/>
    </row>
    <row r="26" spans="1:21" s="12" customFormat="1" x14ac:dyDescent="0.25">
      <c r="A26" s="214" t="s">
        <v>2474</v>
      </c>
      <c r="B26" s="64">
        <v>8.19</v>
      </c>
      <c r="C26" s="64">
        <v>3.22</v>
      </c>
      <c r="D26" s="64">
        <v>12.02</v>
      </c>
      <c r="E26" s="64">
        <v>3.64</v>
      </c>
      <c r="F26" s="64">
        <v>3.78</v>
      </c>
      <c r="G26" s="64">
        <v>25.95</v>
      </c>
      <c r="H26" s="64">
        <v>8.33</v>
      </c>
      <c r="I26" s="64">
        <v>5.72</v>
      </c>
      <c r="J26" s="64">
        <v>0.28999999999999998</v>
      </c>
      <c r="K26" s="64">
        <v>161.55000000000001</v>
      </c>
      <c r="L26" s="64">
        <v>23.79</v>
      </c>
      <c r="M26" s="64">
        <v>98.35</v>
      </c>
      <c r="N26" s="64">
        <v>19.2</v>
      </c>
      <c r="O26" s="64">
        <v>0</v>
      </c>
      <c r="P26" s="64">
        <v>0.33</v>
      </c>
      <c r="Q26" s="64">
        <v>9.5</v>
      </c>
      <c r="R26" s="198"/>
      <c r="S26" s="198"/>
      <c r="T26" s="198"/>
      <c r="U26" s="198"/>
    </row>
    <row r="27" spans="1:21" s="12" customFormat="1" x14ac:dyDescent="0.25">
      <c r="A27" s="214" t="s">
        <v>2475</v>
      </c>
      <c r="B27" s="64">
        <v>8.17</v>
      </c>
      <c r="C27" s="64">
        <v>3.19</v>
      </c>
      <c r="D27" s="64">
        <v>12</v>
      </c>
      <c r="E27" s="64">
        <v>3.47</v>
      </c>
      <c r="F27" s="64">
        <v>2.89</v>
      </c>
      <c r="G27" s="64">
        <v>25.95</v>
      </c>
      <c r="H27" s="64">
        <v>8.33</v>
      </c>
      <c r="I27" s="64">
        <v>5.56</v>
      </c>
      <c r="J27" s="64">
        <v>1.01</v>
      </c>
      <c r="K27" s="64">
        <v>161.01</v>
      </c>
      <c r="L27" s="64">
        <v>23.65</v>
      </c>
      <c r="M27" s="64">
        <v>98.35</v>
      </c>
      <c r="N27" s="64">
        <v>19.2</v>
      </c>
      <c r="O27" s="64">
        <v>0</v>
      </c>
      <c r="P27" s="64">
        <v>0.31</v>
      </c>
      <c r="Q27" s="64">
        <v>9.49</v>
      </c>
      <c r="R27" s="198"/>
      <c r="S27" s="198"/>
      <c r="T27" s="198"/>
      <c r="U27" s="198"/>
    </row>
    <row r="28" spans="1:21" s="12" customFormat="1" x14ac:dyDescent="0.25">
      <c r="A28" s="214" t="s">
        <v>2476</v>
      </c>
      <c r="B28" s="64">
        <v>8.1999999999999993</v>
      </c>
      <c r="C28" s="64">
        <v>3.18</v>
      </c>
      <c r="D28" s="64">
        <v>12.01</v>
      </c>
      <c r="E28" s="64">
        <v>3.33</v>
      </c>
      <c r="F28" s="64">
        <v>3.34</v>
      </c>
      <c r="G28" s="64">
        <v>21.07</v>
      </c>
      <c r="H28" s="64">
        <v>7.01</v>
      </c>
      <c r="I28" s="64">
        <v>5.48</v>
      </c>
      <c r="J28" s="64">
        <v>0.49</v>
      </c>
      <c r="K28" s="64">
        <v>136.09</v>
      </c>
      <c r="L28" s="64">
        <v>23.55</v>
      </c>
      <c r="M28" s="64">
        <v>98.34</v>
      </c>
      <c r="N28" s="64">
        <v>19.2</v>
      </c>
      <c r="O28" s="64">
        <v>0</v>
      </c>
      <c r="P28" s="64">
        <v>0.31</v>
      </c>
      <c r="Q28" s="64">
        <v>9.48</v>
      </c>
      <c r="R28" s="198"/>
      <c r="S28" s="198"/>
      <c r="T28" s="198"/>
      <c r="U28" s="198"/>
    </row>
    <row r="29" spans="1:21" s="12" customFormat="1" x14ac:dyDescent="0.25">
      <c r="A29" s="214" t="s">
        <v>2477</v>
      </c>
      <c r="B29" s="64">
        <v>8.2200000000000006</v>
      </c>
      <c r="C29" s="64">
        <v>3.22</v>
      </c>
      <c r="D29" s="64">
        <v>12.05</v>
      </c>
      <c r="E29" s="64">
        <v>3.18</v>
      </c>
      <c r="F29" s="64">
        <v>3.52</v>
      </c>
      <c r="G29" s="64">
        <v>20.84</v>
      </c>
      <c r="H29" s="64">
        <v>6.93</v>
      </c>
      <c r="I29" s="64">
        <v>5.64</v>
      </c>
      <c r="J29" s="64">
        <v>0.93</v>
      </c>
      <c r="K29" s="64">
        <v>161.59</v>
      </c>
      <c r="L29" s="64">
        <v>23.51</v>
      </c>
      <c r="M29" s="64">
        <v>98.34</v>
      </c>
      <c r="N29" s="64">
        <v>19.7</v>
      </c>
      <c r="O29" s="64">
        <v>0</v>
      </c>
      <c r="P29" s="64">
        <v>0.31</v>
      </c>
      <c r="Q29" s="64">
        <v>9.4600000000000009</v>
      </c>
      <c r="R29" s="198"/>
      <c r="S29" s="198"/>
      <c r="T29" s="198"/>
      <c r="U29" s="198"/>
    </row>
    <row r="30" spans="1:21" s="12" customFormat="1" x14ac:dyDescent="0.25">
      <c r="A30" s="214" t="s">
        <v>2478</v>
      </c>
      <c r="B30" s="64">
        <v>8.34</v>
      </c>
      <c r="C30" s="64">
        <v>3.58</v>
      </c>
      <c r="D30" s="64">
        <v>12.33</v>
      </c>
      <c r="E30" s="64">
        <v>3.59</v>
      </c>
      <c r="F30" s="64">
        <v>3.11</v>
      </c>
      <c r="G30" s="64">
        <v>20.84</v>
      </c>
      <c r="H30" s="64">
        <v>6.93</v>
      </c>
      <c r="I30" s="64">
        <v>5.88</v>
      </c>
      <c r="J30" s="64">
        <v>1.0900000000000001</v>
      </c>
      <c r="K30" s="64">
        <v>160.09</v>
      </c>
      <c r="L30" s="64">
        <v>23.45</v>
      </c>
      <c r="M30" s="64">
        <v>98.35</v>
      </c>
      <c r="N30" s="64">
        <v>23.6</v>
      </c>
      <c r="O30" s="64">
        <v>0</v>
      </c>
      <c r="P30" s="64">
        <v>0.3</v>
      </c>
      <c r="Q30" s="64">
        <v>9.48</v>
      </c>
      <c r="R30" s="198"/>
      <c r="S30" s="198"/>
      <c r="T30" s="198"/>
      <c r="U30" s="198"/>
    </row>
    <row r="31" spans="1:21" s="12" customFormat="1" x14ac:dyDescent="0.25">
      <c r="A31" s="214" t="s">
        <v>2479</v>
      </c>
      <c r="B31" s="64">
        <v>8.3800000000000008</v>
      </c>
      <c r="C31" s="64">
        <v>3.65</v>
      </c>
      <c r="D31" s="64">
        <v>12.4</v>
      </c>
      <c r="E31" s="64">
        <v>3.58</v>
      </c>
      <c r="F31" s="64">
        <v>3.34</v>
      </c>
      <c r="G31" s="64">
        <v>20.84</v>
      </c>
      <c r="H31" s="64">
        <v>6.93</v>
      </c>
      <c r="I31" s="64">
        <v>6.06</v>
      </c>
      <c r="J31" s="64">
        <v>1.29</v>
      </c>
      <c r="K31" s="64">
        <v>151.12</v>
      </c>
      <c r="L31" s="64">
        <v>23.44</v>
      </c>
      <c r="M31" s="64">
        <v>98.35</v>
      </c>
      <c r="N31" s="64">
        <v>36.1</v>
      </c>
      <c r="O31" s="64">
        <v>0</v>
      </c>
      <c r="P31" s="64">
        <v>0.31</v>
      </c>
      <c r="Q31" s="64">
        <v>9.49</v>
      </c>
      <c r="R31" s="198"/>
      <c r="S31" s="198"/>
      <c r="T31" s="198"/>
      <c r="U31" s="198"/>
    </row>
    <row r="32" spans="1:21" s="12" customFormat="1" x14ac:dyDescent="0.25">
      <c r="A32" s="214" t="s">
        <v>2480</v>
      </c>
      <c r="B32" s="64">
        <v>8.1999999999999993</v>
      </c>
      <c r="C32" s="64">
        <v>3.22</v>
      </c>
      <c r="D32" s="64">
        <v>12.03</v>
      </c>
      <c r="E32" s="64">
        <v>3.87</v>
      </c>
      <c r="F32" s="64">
        <v>3.6</v>
      </c>
      <c r="G32" s="64">
        <v>25.23</v>
      </c>
      <c r="H32" s="64">
        <v>9.15</v>
      </c>
      <c r="I32" s="64">
        <v>6.22</v>
      </c>
      <c r="J32" s="64">
        <v>1.08</v>
      </c>
      <c r="K32" s="64">
        <v>153.19</v>
      </c>
      <c r="L32" s="64">
        <v>23.54</v>
      </c>
      <c r="M32" s="64">
        <v>98.34</v>
      </c>
      <c r="N32" s="64">
        <v>52.1</v>
      </c>
      <c r="O32" s="64">
        <v>0</v>
      </c>
      <c r="P32" s="64">
        <v>0.3</v>
      </c>
      <c r="Q32" s="64">
        <v>9.48</v>
      </c>
      <c r="R32" s="198"/>
      <c r="S32" s="198"/>
      <c r="T32" s="198"/>
      <c r="U32" s="198"/>
    </row>
    <row r="33" spans="1:21" s="12" customFormat="1" x14ac:dyDescent="0.25">
      <c r="A33" s="214" t="s">
        <v>2481</v>
      </c>
      <c r="B33" s="64">
        <v>8.18</v>
      </c>
      <c r="C33" s="64">
        <v>3.17</v>
      </c>
      <c r="D33" s="64">
        <v>11.99</v>
      </c>
      <c r="E33" s="64">
        <v>3.49</v>
      </c>
      <c r="F33" s="64">
        <v>3.44</v>
      </c>
      <c r="G33" s="64">
        <v>25.43</v>
      </c>
      <c r="H33" s="64">
        <v>9.25</v>
      </c>
      <c r="I33" s="64">
        <v>6.4</v>
      </c>
      <c r="J33" s="64">
        <v>1.24</v>
      </c>
      <c r="K33" s="64">
        <v>149.22999999999999</v>
      </c>
      <c r="L33" s="64">
        <v>23.7</v>
      </c>
      <c r="M33" s="64">
        <v>98.32</v>
      </c>
      <c r="N33" s="64">
        <v>59.3</v>
      </c>
      <c r="O33" s="64">
        <v>0</v>
      </c>
      <c r="P33" s="64">
        <v>0.3</v>
      </c>
      <c r="Q33" s="64">
        <v>9.49</v>
      </c>
      <c r="R33" s="198"/>
      <c r="S33" s="198"/>
      <c r="T33" s="198"/>
      <c r="U33" s="198"/>
    </row>
    <row r="34" spans="1:21" s="12" customFormat="1" x14ac:dyDescent="0.25">
      <c r="A34" s="214" t="s">
        <v>2482</v>
      </c>
      <c r="B34" s="64">
        <v>8.18</v>
      </c>
      <c r="C34" s="64">
        <v>3.12</v>
      </c>
      <c r="D34" s="64">
        <v>11.96</v>
      </c>
      <c r="E34" s="64">
        <v>3.8</v>
      </c>
      <c r="F34" s="64">
        <v>3.57</v>
      </c>
      <c r="G34" s="64">
        <v>25.43</v>
      </c>
      <c r="H34" s="64">
        <v>9.25</v>
      </c>
      <c r="I34" s="64">
        <v>6.63</v>
      </c>
      <c r="J34" s="64">
        <v>1.1100000000000001</v>
      </c>
      <c r="K34" s="64">
        <v>160.80000000000001</v>
      </c>
      <c r="L34" s="64">
        <v>23.83</v>
      </c>
      <c r="M34" s="64">
        <v>98.33</v>
      </c>
      <c r="N34" s="64">
        <v>74.5</v>
      </c>
      <c r="O34" s="64">
        <v>0</v>
      </c>
      <c r="P34" s="64">
        <v>0.3</v>
      </c>
      <c r="Q34" s="64">
        <v>9.5299999999999994</v>
      </c>
      <c r="R34" s="198"/>
      <c r="S34" s="198"/>
      <c r="T34" s="198"/>
      <c r="U34" s="198"/>
    </row>
    <row r="35" spans="1:21" s="12" customFormat="1" x14ac:dyDescent="0.25">
      <c r="A35" s="214" t="s">
        <v>2483</v>
      </c>
      <c r="B35" s="64">
        <v>8.17</v>
      </c>
      <c r="C35" s="64">
        <v>3.13</v>
      </c>
      <c r="D35" s="64">
        <v>11.96</v>
      </c>
      <c r="E35" s="64">
        <v>3.78</v>
      </c>
      <c r="F35" s="64">
        <v>3.53</v>
      </c>
      <c r="G35" s="64">
        <v>25.43</v>
      </c>
      <c r="H35" s="64">
        <v>9.25</v>
      </c>
      <c r="I35" s="64">
        <v>6.8</v>
      </c>
      <c r="J35" s="64">
        <v>1.54</v>
      </c>
      <c r="K35" s="64">
        <v>155.91</v>
      </c>
      <c r="L35" s="64">
        <v>23.86</v>
      </c>
      <c r="M35" s="64">
        <v>98.33</v>
      </c>
      <c r="N35" s="64">
        <v>114.8</v>
      </c>
      <c r="O35" s="64">
        <v>0</v>
      </c>
      <c r="P35" s="64">
        <v>0.3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14" t="s">
        <v>2484</v>
      </c>
      <c r="B36" s="64">
        <v>8.14</v>
      </c>
      <c r="C36" s="64">
        <v>3.15</v>
      </c>
      <c r="D36" s="64">
        <v>11.94</v>
      </c>
      <c r="E36" s="64">
        <v>3.92</v>
      </c>
      <c r="F36" s="64">
        <v>4.13</v>
      </c>
      <c r="G36" s="64">
        <v>20.12</v>
      </c>
      <c r="H36" s="64">
        <v>6.79</v>
      </c>
      <c r="I36" s="64">
        <v>6.81</v>
      </c>
      <c r="J36" s="64">
        <v>1.1299999999999999</v>
      </c>
      <c r="K36" s="64">
        <v>158.96</v>
      </c>
      <c r="L36" s="64">
        <v>24.21</v>
      </c>
      <c r="M36" s="64">
        <v>98.31</v>
      </c>
      <c r="N36" s="64">
        <v>164.6</v>
      </c>
      <c r="O36" s="64">
        <v>0</v>
      </c>
      <c r="P36" s="64">
        <v>0.3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14" t="s">
        <v>2485</v>
      </c>
      <c r="B37" s="64">
        <v>8.18</v>
      </c>
      <c r="C37" s="64">
        <v>3.26</v>
      </c>
      <c r="D37" s="64">
        <v>12.03</v>
      </c>
      <c r="E37" s="64">
        <v>3.67</v>
      </c>
      <c r="F37" s="64">
        <v>3.62</v>
      </c>
      <c r="G37" s="64">
        <v>19.87</v>
      </c>
      <c r="H37" s="64">
        <v>6.68</v>
      </c>
      <c r="I37" s="64">
        <v>6.72</v>
      </c>
      <c r="J37" s="64">
        <v>1.25</v>
      </c>
      <c r="K37" s="64">
        <v>154.52000000000001</v>
      </c>
      <c r="L37" s="64">
        <v>24.55</v>
      </c>
      <c r="M37" s="64">
        <v>98.28</v>
      </c>
      <c r="N37" s="64">
        <v>189.5</v>
      </c>
      <c r="O37" s="64">
        <v>0</v>
      </c>
      <c r="P37" s="64">
        <v>0.28000000000000003</v>
      </c>
      <c r="Q37" s="64">
        <v>9.5500000000000007</v>
      </c>
      <c r="R37" s="198"/>
      <c r="S37" s="198"/>
      <c r="T37" s="198"/>
      <c r="U37" s="198"/>
    </row>
    <row r="38" spans="1:21" s="12" customFormat="1" x14ac:dyDescent="0.25">
      <c r="A38" s="214" t="s">
        <v>2486</v>
      </c>
      <c r="B38" s="64">
        <v>8.24</v>
      </c>
      <c r="C38" s="64">
        <v>3.41</v>
      </c>
      <c r="D38" s="64">
        <v>12.16</v>
      </c>
      <c r="E38" s="64">
        <v>3.55</v>
      </c>
      <c r="F38" s="64">
        <v>4.1399999999999997</v>
      </c>
      <c r="G38" s="64">
        <v>19.87</v>
      </c>
      <c r="H38" s="64">
        <v>6.68</v>
      </c>
      <c r="I38" s="64">
        <v>6.6</v>
      </c>
      <c r="J38" s="64">
        <v>1.77</v>
      </c>
      <c r="K38" s="64">
        <v>147.24</v>
      </c>
      <c r="L38" s="64">
        <v>25.08</v>
      </c>
      <c r="M38" s="64">
        <v>95.98</v>
      </c>
      <c r="N38" s="64">
        <v>240.6</v>
      </c>
      <c r="O38" s="64">
        <v>0</v>
      </c>
      <c r="P38" s="64">
        <v>0.3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4" t="s">
        <v>2487</v>
      </c>
      <c r="B39" s="64">
        <v>8.41</v>
      </c>
      <c r="C39" s="64">
        <v>3.94</v>
      </c>
      <c r="D39" s="64">
        <v>12.58</v>
      </c>
      <c r="E39" s="64">
        <v>3.95</v>
      </c>
      <c r="F39" s="64">
        <v>3.55</v>
      </c>
      <c r="G39" s="64">
        <v>19.87</v>
      </c>
      <c r="H39" s="64">
        <v>6.68</v>
      </c>
      <c r="I39" s="64">
        <v>6.4</v>
      </c>
      <c r="J39" s="64">
        <v>1.31</v>
      </c>
      <c r="K39" s="64">
        <v>156.88</v>
      </c>
      <c r="L39" s="64">
        <v>26</v>
      </c>
      <c r="M39" s="64">
        <v>91.57</v>
      </c>
      <c r="N39" s="64">
        <v>310.10000000000002</v>
      </c>
      <c r="O39" s="64">
        <v>0</v>
      </c>
      <c r="P39" s="64">
        <v>0.28000000000000003</v>
      </c>
      <c r="Q39" s="64">
        <v>9.5399999999999991</v>
      </c>
      <c r="R39" s="198"/>
      <c r="S39" s="198"/>
      <c r="T39" s="198"/>
      <c r="U39" s="198"/>
    </row>
    <row r="40" spans="1:21" s="12" customFormat="1" x14ac:dyDescent="0.25">
      <c r="A40" s="214" t="s">
        <v>2488</v>
      </c>
      <c r="B40" s="64">
        <v>8.19</v>
      </c>
      <c r="C40" s="64">
        <v>3.23</v>
      </c>
      <c r="D40" s="64">
        <v>12.03</v>
      </c>
      <c r="E40" s="64">
        <v>4.4800000000000004</v>
      </c>
      <c r="F40" s="64">
        <v>3.85</v>
      </c>
      <c r="G40" s="64">
        <v>21.01</v>
      </c>
      <c r="H40" s="64">
        <v>5.93</v>
      </c>
      <c r="I40" s="64">
        <v>6.29</v>
      </c>
      <c r="J40" s="64">
        <v>0.09</v>
      </c>
      <c r="K40" s="64">
        <v>187.3</v>
      </c>
      <c r="L40" s="64">
        <v>26.79</v>
      </c>
      <c r="M40" s="64">
        <v>87.09</v>
      </c>
      <c r="N40" s="64">
        <v>329.6</v>
      </c>
      <c r="O40" s="64">
        <v>0</v>
      </c>
      <c r="P40" s="64">
        <v>0.28999999999999998</v>
      </c>
      <c r="Q40" s="64">
        <v>9.5399999999999991</v>
      </c>
      <c r="R40" s="198"/>
      <c r="S40" s="198"/>
      <c r="T40" s="198"/>
      <c r="U40" s="198"/>
    </row>
    <row r="41" spans="1:21" s="12" customFormat="1" x14ac:dyDescent="0.25">
      <c r="A41" s="214" t="s">
        <v>2489</v>
      </c>
      <c r="B41" s="64">
        <v>8.14</v>
      </c>
      <c r="C41" s="64">
        <v>3.13</v>
      </c>
      <c r="D41" s="64">
        <v>11.94</v>
      </c>
      <c r="E41" s="64">
        <v>4.45</v>
      </c>
      <c r="F41" s="64">
        <v>3.77</v>
      </c>
      <c r="G41" s="64">
        <v>21.06</v>
      </c>
      <c r="H41" s="64">
        <v>5.89</v>
      </c>
      <c r="I41" s="64">
        <v>6.19</v>
      </c>
      <c r="J41" s="64">
        <v>0.24</v>
      </c>
      <c r="K41" s="64">
        <v>92.42</v>
      </c>
      <c r="L41" s="64">
        <v>27.06</v>
      </c>
      <c r="M41" s="64">
        <v>85.69</v>
      </c>
      <c r="N41" s="64">
        <v>410.4</v>
      </c>
      <c r="O41" s="64">
        <v>0</v>
      </c>
      <c r="P41" s="64">
        <v>0.28999999999999998</v>
      </c>
      <c r="Q41" s="64">
        <v>9.5299999999999994</v>
      </c>
      <c r="R41" s="198"/>
      <c r="S41" s="198"/>
      <c r="T41" s="198"/>
      <c r="U41" s="198"/>
    </row>
    <row r="42" spans="1:21" s="12" customFormat="1" x14ac:dyDescent="0.25">
      <c r="A42" s="214" t="s">
        <v>2490</v>
      </c>
      <c r="B42" s="64">
        <v>8.14</v>
      </c>
      <c r="C42" s="64">
        <v>3.14</v>
      </c>
      <c r="D42" s="64">
        <v>11.94</v>
      </c>
      <c r="E42" s="64">
        <v>4.4400000000000004</v>
      </c>
      <c r="F42" s="64">
        <v>4.46</v>
      </c>
      <c r="G42" s="64">
        <v>21.06</v>
      </c>
      <c r="H42" s="64">
        <v>5.89</v>
      </c>
      <c r="I42" s="64">
        <v>5.92</v>
      </c>
      <c r="J42" s="64">
        <v>0.14000000000000001</v>
      </c>
      <c r="K42" s="64">
        <v>150.97999999999999</v>
      </c>
      <c r="L42" s="64">
        <v>27.07</v>
      </c>
      <c r="M42" s="64">
        <v>84.38</v>
      </c>
      <c r="N42" s="64">
        <v>403.5</v>
      </c>
      <c r="O42" s="64">
        <v>0</v>
      </c>
      <c r="P42" s="64">
        <v>0.28999999999999998</v>
      </c>
      <c r="Q42" s="64">
        <v>9.5500000000000007</v>
      </c>
      <c r="R42" s="198"/>
      <c r="S42" s="198"/>
      <c r="T42" s="198"/>
      <c r="U42" s="198"/>
    </row>
    <row r="43" spans="1:21" s="12" customFormat="1" x14ac:dyDescent="0.25">
      <c r="A43" s="214" t="s">
        <v>2491</v>
      </c>
      <c r="B43" s="64">
        <v>8.14</v>
      </c>
      <c r="C43" s="64">
        <v>3.15</v>
      </c>
      <c r="D43" s="64">
        <v>11.95</v>
      </c>
      <c r="E43" s="64">
        <v>4.4000000000000004</v>
      </c>
      <c r="F43" s="64">
        <v>3.52</v>
      </c>
      <c r="G43" s="64">
        <v>21.06</v>
      </c>
      <c r="H43" s="64">
        <v>5.89</v>
      </c>
      <c r="I43" s="64">
        <v>5.54</v>
      </c>
      <c r="J43" s="64">
        <v>0.11</v>
      </c>
      <c r="K43" s="64">
        <v>105.64</v>
      </c>
      <c r="L43" s="64">
        <v>27.09</v>
      </c>
      <c r="M43" s="64">
        <v>84</v>
      </c>
      <c r="N43" s="64">
        <v>459.7</v>
      </c>
      <c r="O43" s="64">
        <v>0</v>
      </c>
      <c r="P43" s="64">
        <v>0.28000000000000003</v>
      </c>
      <c r="Q43" s="64">
        <v>9.5399999999999991</v>
      </c>
      <c r="R43" s="198"/>
      <c r="S43" s="198"/>
      <c r="T43" s="198"/>
      <c r="U43" s="198"/>
    </row>
    <row r="44" spans="1:21" s="12" customFormat="1" x14ac:dyDescent="0.25">
      <c r="A44" s="214" t="s">
        <v>2492</v>
      </c>
      <c r="B44" s="64">
        <v>8.1300000000000008</v>
      </c>
      <c r="C44" s="64">
        <v>3.15</v>
      </c>
      <c r="D44" s="64">
        <v>11.94</v>
      </c>
      <c r="E44" s="64">
        <v>4.45</v>
      </c>
      <c r="F44" s="64">
        <v>4.41</v>
      </c>
      <c r="G44" s="64">
        <v>24.24</v>
      </c>
      <c r="H44" s="64">
        <v>10.93</v>
      </c>
      <c r="I44" s="64">
        <v>5.2</v>
      </c>
      <c r="J44" s="64">
        <v>1.45</v>
      </c>
      <c r="K44" s="64">
        <v>147.51</v>
      </c>
      <c r="L44" s="64">
        <v>27.79</v>
      </c>
      <c r="M44" s="64">
        <v>80.44</v>
      </c>
      <c r="N44" s="64">
        <v>664.1</v>
      </c>
      <c r="O44" s="64">
        <v>0</v>
      </c>
      <c r="P44" s="64">
        <v>0.27</v>
      </c>
      <c r="Q44" s="64">
        <v>9.49</v>
      </c>
      <c r="R44" s="198"/>
      <c r="S44" s="198"/>
      <c r="T44" s="198"/>
      <c r="U44" s="198"/>
    </row>
    <row r="45" spans="1:21" s="12" customFormat="1" x14ac:dyDescent="0.25">
      <c r="A45" s="214" t="s">
        <v>2493</v>
      </c>
      <c r="B45" s="64">
        <v>8.15</v>
      </c>
      <c r="C45" s="64">
        <v>3.18</v>
      </c>
      <c r="D45" s="64">
        <v>11.97</v>
      </c>
      <c r="E45" s="64">
        <v>4.6500000000000004</v>
      </c>
      <c r="F45" s="64">
        <v>3.29</v>
      </c>
      <c r="G45" s="64">
        <v>24.39</v>
      </c>
      <c r="H45" s="64">
        <v>11.16</v>
      </c>
      <c r="I45" s="64">
        <v>4.91</v>
      </c>
      <c r="J45" s="64">
        <v>1.25</v>
      </c>
      <c r="K45" s="64">
        <v>153.22</v>
      </c>
      <c r="L45" s="64">
        <v>28.06</v>
      </c>
      <c r="M45" s="64">
        <v>79.3</v>
      </c>
      <c r="N45" s="64">
        <v>691.1</v>
      </c>
      <c r="O45" s="64">
        <v>0</v>
      </c>
      <c r="P45" s="64">
        <v>0.27</v>
      </c>
      <c r="Q45" s="64">
        <v>9.49</v>
      </c>
      <c r="R45" s="198"/>
      <c r="S45" s="198"/>
      <c r="T45" s="198"/>
      <c r="U45" s="198"/>
    </row>
    <row r="46" spans="1:21" s="12" customFormat="1" x14ac:dyDescent="0.25">
      <c r="A46" s="214" t="s">
        <v>2494</v>
      </c>
      <c r="B46" s="64">
        <v>8.23</v>
      </c>
      <c r="C46" s="64">
        <v>3.37</v>
      </c>
      <c r="D46" s="64">
        <v>12.14</v>
      </c>
      <c r="E46" s="64">
        <v>4.42</v>
      </c>
      <c r="F46" s="64">
        <v>4.0999999999999996</v>
      </c>
      <c r="G46" s="64">
        <v>24.39</v>
      </c>
      <c r="H46" s="64">
        <v>11.16</v>
      </c>
      <c r="I46" s="64">
        <v>4.8099999999999996</v>
      </c>
      <c r="J46" s="64">
        <v>1.97</v>
      </c>
      <c r="K46" s="64">
        <v>150.93</v>
      </c>
      <c r="L46" s="64">
        <v>28.12</v>
      </c>
      <c r="M46" s="64">
        <v>79.349999999999994</v>
      </c>
      <c r="N46" s="64">
        <v>656.4</v>
      </c>
      <c r="O46" s="64">
        <v>0</v>
      </c>
      <c r="P46" s="64">
        <v>0.27</v>
      </c>
      <c r="Q46" s="64">
        <v>9.42</v>
      </c>
      <c r="R46" s="198"/>
      <c r="S46" s="198"/>
      <c r="T46" s="198"/>
      <c r="U46" s="198"/>
    </row>
    <row r="47" spans="1:21" s="12" customFormat="1" x14ac:dyDescent="0.25">
      <c r="A47" s="214" t="s">
        <v>2495</v>
      </c>
      <c r="B47" s="64">
        <v>8.24</v>
      </c>
      <c r="C47" s="64">
        <v>3.36</v>
      </c>
      <c r="D47" s="64">
        <v>12.13</v>
      </c>
      <c r="E47" s="64">
        <v>4.4000000000000004</v>
      </c>
      <c r="F47" s="64">
        <v>4.2699999999999996</v>
      </c>
      <c r="G47" s="64">
        <v>24.39</v>
      </c>
      <c r="H47" s="64">
        <v>11.16</v>
      </c>
      <c r="I47" s="64">
        <v>4.96</v>
      </c>
      <c r="J47" s="64">
        <v>0.62</v>
      </c>
      <c r="K47" s="64">
        <v>149.76</v>
      </c>
      <c r="L47" s="64">
        <v>27.55</v>
      </c>
      <c r="M47" s="64">
        <v>80.709999999999994</v>
      </c>
      <c r="N47" s="64">
        <v>248.4</v>
      </c>
      <c r="O47" s="64">
        <v>0</v>
      </c>
      <c r="P47" s="64">
        <v>0.26</v>
      </c>
      <c r="Q47" s="64">
        <v>9.41</v>
      </c>
      <c r="R47" s="198"/>
      <c r="S47" s="198"/>
      <c r="T47" s="198"/>
      <c r="U47" s="198"/>
    </row>
    <row r="48" spans="1:21" s="12" customFormat="1" x14ac:dyDescent="0.25">
      <c r="A48" s="214" t="s">
        <v>2496</v>
      </c>
      <c r="B48" s="64">
        <v>8.3000000000000007</v>
      </c>
      <c r="C48" s="64">
        <v>3.63</v>
      </c>
      <c r="D48" s="64">
        <v>12.32</v>
      </c>
      <c r="E48" s="64">
        <v>4.41</v>
      </c>
      <c r="F48" s="64">
        <v>3.67</v>
      </c>
      <c r="G48" s="64">
        <v>26</v>
      </c>
      <c r="H48" s="64">
        <v>9.76</v>
      </c>
      <c r="I48" s="64">
        <v>5.16</v>
      </c>
      <c r="J48" s="64">
        <v>0.17</v>
      </c>
      <c r="K48" s="64">
        <v>123.84</v>
      </c>
      <c r="L48" s="64">
        <v>28.31</v>
      </c>
      <c r="M48" s="64">
        <v>78.11</v>
      </c>
      <c r="N48" s="64">
        <v>576.1</v>
      </c>
      <c r="O48" s="64">
        <v>0</v>
      </c>
      <c r="P48" s="64">
        <v>0.26</v>
      </c>
      <c r="Q48" s="64">
        <v>9.41</v>
      </c>
      <c r="R48" s="198"/>
      <c r="S48" s="198"/>
      <c r="T48" s="198"/>
      <c r="U48" s="198"/>
    </row>
    <row r="49" spans="1:21" s="12" customFormat="1" x14ac:dyDescent="0.25">
      <c r="A49" s="214" t="s">
        <v>2497</v>
      </c>
      <c r="B49" s="64">
        <v>8.24</v>
      </c>
      <c r="C49" s="64">
        <v>3.29</v>
      </c>
      <c r="D49" s="64">
        <v>12.1</v>
      </c>
      <c r="E49" s="64">
        <v>4.32</v>
      </c>
      <c r="F49" s="64">
        <v>3.96</v>
      </c>
      <c r="G49" s="64">
        <v>26.07</v>
      </c>
      <c r="H49" s="64">
        <v>9.6999999999999993</v>
      </c>
      <c r="I49" s="64">
        <v>5.23</v>
      </c>
      <c r="J49" s="64">
        <v>0.2</v>
      </c>
      <c r="K49" s="64">
        <v>41.05</v>
      </c>
      <c r="L49" s="64">
        <v>28.21</v>
      </c>
      <c r="M49" s="64">
        <v>78</v>
      </c>
      <c r="N49" s="64">
        <v>188.1</v>
      </c>
      <c r="O49" s="64">
        <v>0</v>
      </c>
      <c r="P49" s="64">
        <v>0.27</v>
      </c>
      <c r="Q49" s="64">
        <v>9.4</v>
      </c>
      <c r="R49" s="198"/>
      <c r="S49" s="198"/>
      <c r="T49" s="198"/>
      <c r="U49" s="198"/>
    </row>
    <row r="50" spans="1:21" s="12" customFormat="1" x14ac:dyDescent="0.25">
      <c r="A50" s="214" t="s">
        <v>2498</v>
      </c>
      <c r="B50" s="64">
        <v>8.19</v>
      </c>
      <c r="C50" s="64">
        <v>3.21</v>
      </c>
      <c r="D50" s="64">
        <v>12.02</v>
      </c>
      <c r="E50" s="64">
        <v>4.3099999999999996</v>
      </c>
      <c r="F50" s="64">
        <v>4.4800000000000004</v>
      </c>
      <c r="G50" s="64">
        <v>26.07</v>
      </c>
      <c r="H50" s="64">
        <v>9.6999999999999993</v>
      </c>
      <c r="I50" s="64">
        <v>5.18</v>
      </c>
      <c r="J50" s="64">
        <v>0.46</v>
      </c>
      <c r="K50" s="64">
        <v>5.98</v>
      </c>
      <c r="L50" s="64">
        <v>28.42</v>
      </c>
      <c r="M50" s="64">
        <v>76.790000000000006</v>
      </c>
      <c r="N50" s="64">
        <v>642.1</v>
      </c>
      <c r="O50" s="64">
        <v>0</v>
      </c>
      <c r="P50" s="64">
        <v>0.28000000000000003</v>
      </c>
      <c r="Q50" s="64">
        <v>9.4</v>
      </c>
      <c r="R50" s="198"/>
      <c r="S50" s="198"/>
      <c r="T50" s="198"/>
      <c r="U50" s="198"/>
    </row>
    <row r="51" spans="1:21" s="12" customFormat="1" x14ac:dyDescent="0.25">
      <c r="A51" s="214" t="s">
        <v>2499</v>
      </c>
      <c r="B51" s="64">
        <v>8.23</v>
      </c>
      <c r="C51" s="64">
        <v>3.31</v>
      </c>
      <c r="D51" s="64">
        <v>12.1</v>
      </c>
      <c r="E51" s="64">
        <v>4.59</v>
      </c>
      <c r="F51" s="64">
        <v>5.34</v>
      </c>
      <c r="G51" s="64">
        <v>26.07</v>
      </c>
      <c r="H51" s="64">
        <v>9.6999999999999993</v>
      </c>
      <c r="I51" s="64">
        <v>5.04</v>
      </c>
      <c r="J51" s="64">
        <v>0.13</v>
      </c>
      <c r="K51" s="64">
        <v>281.64999999999998</v>
      </c>
      <c r="L51" s="64">
        <v>28.56</v>
      </c>
      <c r="M51" s="64">
        <v>70.11</v>
      </c>
      <c r="N51" s="64">
        <v>799.1</v>
      </c>
      <c r="O51" s="64">
        <v>0</v>
      </c>
      <c r="P51" s="64">
        <v>0.28999999999999998</v>
      </c>
      <c r="Q51" s="64">
        <v>9.41</v>
      </c>
      <c r="R51" s="198"/>
      <c r="S51" s="198"/>
      <c r="T51" s="198"/>
      <c r="U51" s="198"/>
    </row>
    <row r="52" spans="1:21" s="12" customFormat="1" x14ac:dyDescent="0.25">
      <c r="A52" s="214" t="s">
        <v>2500</v>
      </c>
      <c r="B52" s="64">
        <v>8.2100000000000009</v>
      </c>
      <c r="C52" s="64">
        <v>3.3</v>
      </c>
      <c r="D52" s="64">
        <v>12.08</v>
      </c>
      <c r="E52" s="64">
        <v>4.42</v>
      </c>
      <c r="F52" s="64">
        <v>8.26</v>
      </c>
      <c r="G52" s="64">
        <v>18.600000000000001</v>
      </c>
      <c r="H52" s="64">
        <v>10.11</v>
      </c>
      <c r="I52" s="64">
        <v>4.78</v>
      </c>
      <c r="J52" s="64">
        <v>0.44</v>
      </c>
      <c r="K52" s="64">
        <v>1.1499999999999999</v>
      </c>
      <c r="L52" s="64">
        <v>28.46</v>
      </c>
      <c r="M52" s="64">
        <v>68.650000000000006</v>
      </c>
      <c r="N52" s="64">
        <v>952.5</v>
      </c>
      <c r="O52" s="64">
        <v>0</v>
      </c>
      <c r="P52" s="64">
        <v>0.27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14" t="s">
        <v>2501</v>
      </c>
      <c r="B53" s="64">
        <v>8.17</v>
      </c>
      <c r="C53" s="64">
        <v>3.21</v>
      </c>
      <c r="D53" s="64">
        <v>12</v>
      </c>
      <c r="E53" s="64">
        <v>4.4000000000000004</v>
      </c>
      <c r="F53" s="64">
        <v>8.83</v>
      </c>
      <c r="G53" s="64">
        <v>18.25</v>
      </c>
      <c r="H53" s="64">
        <v>10.130000000000001</v>
      </c>
      <c r="I53" s="64">
        <v>4.25</v>
      </c>
      <c r="J53" s="64">
        <v>0.53</v>
      </c>
      <c r="K53" s="64">
        <v>4.0599999999999996</v>
      </c>
      <c r="L53" s="64">
        <v>29.19</v>
      </c>
      <c r="M53" s="64">
        <v>69.209999999999994</v>
      </c>
      <c r="N53" s="64">
        <v>933.4</v>
      </c>
      <c r="O53" s="64">
        <v>0</v>
      </c>
      <c r="P53" s="64">
        <v>0.27</v>
      </c>
      <c r="Q53" s="64">
        <v>9.4499999999999993</v>
      </c>
      <c r="R53" s="198"/>
      <c r="S53" s="198"/>
      <c r="T53" s="198"/>
      <c r="U53" s="198"/>
    </row>
    <row r="54" spans="1:21" s="12" customFormat="1" x14ac:dyDescent="0.25">
      <c r="A54" s="214" t="s">
        <v>2502</v>
      </c>
      <c r="B54" s="64">
        <v>8.17</v>
      </c>
      <c r="C54" s="64">
        <v>3.24</v>
      </c>
      <c r="D54" s="64">
        <v>12.02</v>
      </c>
      <c r="E54" s="64">
        <v>4.62</v>
      </c>
      <c r="F54" s="64">
        <v>9.76</v>
      </c>
      <c r="G54" s="64">
        <v>18.25</v>
      </c>
      <c r="H54" s="64">
        <v>10.130000000000001</v>
      </c>
      <c r="I54" s="64">
        <v>3.59</v>
      </c>
      <c r="J54" s="64">
        <v>0.4</v>
      </c>
      <c r="K54" s="64">
        <v>345.11</v>
      </c>
      <c r="L54" s="64">
        <v>29.64</v>
      </c>
      <c r="M54" s="64">
        <v>66.290000000000006</v>
      </c>
      <c r="N54" s="64">
        <v>765.9</v>
      </c>
      <c r="O54" s="64">
        <v>0</v>
      </c>
      <c r="P54" s="64">
        <v>0.27</v>
      </c>
      <c r="Q54" s="64">
        <v>9.42</v>
      </c>
      <c r="R54" s="198"/>
      <c r="S54" s="198"/>
      <c r="T54" s="198"/>
      <c r="U54" s="198"/>
    </row>
    <row r="55" spans="1:21" s="12" customFormat="1" x14ac:dyDescent="0.25">
      <c r="A55" s="214" t="s">
        <v>2503</v>
      </c>
      <c r="B55" s="64">
        <v>8.16</v>
      </c>
      <c r="C55" s="64">
        <v>3.19</v>
      </c>
      <c r="D55" s="64">
        <v>11.98</v>
      </c>
      <c r="E55" s="64">
        <v>4.34</v>
      </c>
      <c r="F55" s="64">
        <v>10.029999999999999</v>
      </c>
      <c r="G55" s="64">
        <v>18.25</v>
      </c>
      <c r="H55" s="64">
        <v>10.130000000000001</v>
      </c>
      <c r="I55" s="64">
        <v>2.96</v>
      </c>
      <c r="J55" s="64">
        <v>0.26</v>
      </c>
      <c r="K55" s="64">
        <v>353.39</v>
      </c>
      <c r="L55" s="64">
        <v>29.16</v>
      </c>
      <c r="M55" s="64">
        <v>66.27</v>
      </c>
      <c r="N55" s="64">
        <v>1012.8</v>
      </c>
      <c r="O55" s="64">
        <v>0</v>
      </c>
      <c r="P55" s="64">
        <v>0.26</v>
      </c>
      <c r="Q55" s="64">
        <v>9.41</v>
      </c>
      <c r="R55" s="198"/>
      <c r="S55" s="198"/>
      <c r="T55" s="198"/>
      <c r="U55" s="198"/>
    </row>
    <row r="56" spans="1:21" s="12" customFormat="1" x14ac:dyDescent="0.25">
      <c r="A56" s="214" t="s">
        <v>2504</v>
      </c>
      <c r="B56" s="64">
        <v>8.14</v>
      </c>
      <c r="C56" s="64">
        <v>3.11</v>
      </c>
      <c r="D56" s="64">
        <v>11.93</v>
      </c>
      <c r="E56" s="64">
        <v>3.41</v>
      </c>
      <c r="F56" s="64">
        <v>7.28</v>
      </c>
      <c r="G56" s="64">
        <v>13.02</v>
      </c>
      <c r="H56" s="64">
        <v>11.17</v>
      </c>
      <c r="I56" s="64">
        <v>2.48</v>
      </c>
      <c r="J56" s="64">
        <v>0.55000000000000004</v>
      </c>
      <c r="K56" s="64">
        <v>337.71</v>
      </c>
      <c r="L56" s="64">
        <v>30.28</v>
      </c>
      <c r="M56" s="64">
        <v>63.78</v>
      </c>
      <c r="N56" s="64">
        <v>993.3</v>
      </c>
      <c r="O56" s="64">
        <v>0</v>
      </c>
      <c r="P56" s="64">
        <v>0.27</v>
      </c>
      <c r="Q56" s="64">
        <v>9.3800000000000008</v>
      </c>
      <c r="R56" s="198"/>
      <c r="S56" s="198"/>
      <c r="T56" s="198"/>
      <c r="U56" s="198"/>
    </row>
    <row r="57" spans="1:21" s="12" customFormat="1" x14ac:dyDescent="0.25">
      <c r="A57" s="214" t="s">
        <v>2505</v>
      </c>
      <c r="B57" s="64">
        <v>8.16</v>
      </c>
      <c r="C57" s="64">
        <v>3.24</v>
      </c>
      <c r="D57" s="64">
        <v>12.01</v>
      </c>
      <c r="E57" s="64">
        <v>3.62</v>
      </c>
      <c r="F57" s="64">
        <v>5.89</v>
      </c>
      <c r="G57" s="64">
        <v>12.77</v>
      </c>
      <c r="H57" s="64">
        <v>11.22</v>
      </c>
      <c r="I57" s="64">
        <v>2.21</v>
      </c>
      <c r="J57" s="64">
        <v>0.73</v>
      </c>
      <c r="K57" s="64">
        <v>328.01</v>
      </c>
      <c r="L57" s="64">
        <v>31.73</v>
      </c>
      <c r="M57" s="64">
        <v>58.64</v>
      </c>
      <c r="N57" s="64">
        <v>1014.1</v>
      </c>
      <c r="O57" s="64">
        <v>0</v>
      </c>
      <c r="P57" s="64">
        <v>0.27</v>
      </c>
      <c r="Q57" s="64">
        <v>9.3699999999999992</v>
      </c>
      <c r="R57" s="198"/>
      <c r="S57" s="198"/>
      <c r="T57" s="198"/>
      <c r="U57" s="198"/>
    </row>
    <row r="58" spans="1:21" s="12" customFormat="1" x14ac:dyDescent="0.25">
      <c r="A58" s="214" t="s">
        <v>2506</v>
      </c>
      <c r="B58" s="64">
        <v>8.15</v>
      </c>
      <c r="C58" s="64">
        <v>3.15</v>
      </c>
      <c r="D58" s="64">
        <v>11.96</v>
      </c>
      <c r="E58" s="64">
        <v>3.97</v>
      </c>
      <c r="F58" s="64">
        <v>5.4</v>
      </c>
      <c r="G58" s="64">
        <v>12.77</v>
      </c>
      <c r="H58" s="64">
        <v>11.22</v>
      </c>
      <c r="I58" s="64">
        <v>2.13</v>
      </c>
      <c r="J58" s="64">
        <v>0.79</v>
      </c>
      <c r="K58" s="64">
        <v>321.29000000000002</v>
      </c>
      <c r="L58" s="64">
        <v>32.64</v>
      </c>
      <c r="M58" s="64">
        <v>55</v>
      </c>
      <c r="N58" s="64">
        <v>1022.6</v>
      </c>
      <c r="O58" s="64">
        <v>0</v>
      </c>
      <c r="P58" s="64">
        <v>0.27</v>
      </c>
      <c r="Q58" s="64">
        <v>9.3800000000000008</v>
      </c>
      <c r="R58" s="198"/>
      <c r="S58" s="198"/>
      <c r="T58" s="198"/>
      <c r="U58" s="198"/>
    </row>
    <row r="59" spans="1:21" s="12" customFormat="1" x14ac:dyDescent="0.25">
      <c r="A59" s="214" t="s">
        <v>2507</v>
      </c>
      <c r="B59" s="64">
        <v>8.15</v>
      </c>
      <c r="C59" s="64">
        <v>3.11</v>
      </c>
      <c r="D59" s="64">
        <v>11.94</v>
      </c>
      <c r="E59" s="64">
        <v>4.03</v>
      </c>
      <c r="F59" s="64">
        <v>5.88</v>
      </c>
      <c r="G59" s="64">
        <v>12.77</v>
      </c>
      <c r="H59" s="64">
        <v>11.22</v>
      </c>
      <c r="I59" s="64">
        <v>2.11</v>
      </c>
      <c r="J59" s="64">
        <v>1.1299999999999999</v>
      </c>
      <c r="K59" s="64">
        <v>312.69</v>
      </c>
      <c r="L59" s="64">
        <v>33.47</v>
      </c>
      <c r="M59" s="64">
        <v>53.54</v>
      </c>
      <c r="N59" s="64">
        <v>926.6</v>
      </c>
      <c r="O59" s="64">
        <v>0</v>
      </c>
      <c r="P59" s="64">
        <v>0.28999999999999998</v>
      </c>
      <c r="Q59" s="64">
        <v>9.39</v>
      </c>
      <c r="R59" s="198"/>
      <c r="S59" s="198"/>
      <c r="T59" s="198"/>
      <c r="U59" s="198"/>
    </row>
    <row r="60" spans="1:21" s="12" customFormat="1" x14ac:dyDescent="0.25">
      <c r="A60" s="214" t="s">
        <v>2508</v>
      </c>
      <c r="B60" s="64">
        <v>8.17</v>
      </c>
      <c r="C60" s="64">
        <v>3.24</v>
      </c>
      <c r="D60" s="64">
        <v>12.02</v>
      </c>
      <c r="E60" s="64">
        <v>3.93</v>
      </c>
      <c r="F60" s="64">
        <v>6.72</v>
      </c>
      <c r="G60" s="64">
        <v>31.7</v>
      </c>
      <c r="H60" s="64">
        <v>13.3</v>
      </c>
      <c r="I60" s="64">
        <v>2.08</v>
      </c>
      <c r="J60" s="64">
        <v>0.08</v>
      </c>
      <c r="K60" s="64">
        <v>260.88</v>
      </c>
      <c r="L60" s="64">
        <v>32.9</v>
      </c>
      <c r="M60" s="64">
        <v>53.97</v>
      </c>
      <c r="N60" s="64">
        <v>861.7</v>
      </c>
      <c r="O60" s="64">
        <v>0</v>
      </c>
      <c r="P60" s="64">
        <v>0.32</v>
      </c>
      <c r="Q60" s="64">
        <v>9.42</v>
      </c>
      <c r="R60" s="198"/>
      <c r="S60" s="198"/>
      <c r="T60" s="198"/>
      <c r="U60" s="198"/>
    </row>
    <row r="61" spans="1:21" s="12" customFormat="1" x14ac:dyDescent="0.25">
      <c r="A61" s="214" t="s">
        <v>2509</v>
      </c>
      <c r="B61" s="64">
        <v>8.17</v>
      </c>
      <c r="C61" s="64">
        <v>3.23</v>
      </c>
      <c r="D61" s="64">
        <v>12.02</v>
      </c>
      <c r="E61" s="64">
        <v>4.0199999999999996</v>
      </c>
      <c r="F61" s="64">
        <v>6.2</v>
      </c>
      <c r="G61" s="64">
        <v>32.58</v>
      </c>
      <c r="H61" s="64">
        <v>13.4</v>
      </c>
      <c r="I61" s="64">
        <v>2.0099999999999998</v>
      </c>
      <c r="J61" s="64">
        <v>0.66</v>
      </c>
      <c r="K61" s="64">
        <v>311.04000000000002</v>
      </c>
      <c r="L61" s="64">
        <v>31.9</v>
      </c>
      <c r="M61" s="64">
        <v>57.33</v>
      </c>
      <c r="N61" s="64">
        <v>675.7</v>
      </c>
      <c r="O61" s="64">
        <v>0</v>
      </c>
      <c r="P61" s="64">
        <v>0.33</v>
      </c>
      <c r="Q61" s="64">
        <v>9.4</v>
      </c>
      <c r="R61" s="198"/>
      <c r="S61" s="198"/>
      <c r="T61" s="198"/>
      <c r="U61" s="198"/>
    </row>
    <row r="62" spans="1:21" s="12" customFormat="1" x14ac:dyDescent="0.25">
      <c r="A62" s="214" t="s">
        <v>2510</v>
      </c>
      <c r="B62" s="64">
        <v>8.2200000000000006</v>
      </c>
      <c r="C62" s="64">
        <v>3.43</v>
      </c>
      <c r="D62" s="64">
        <v>12.16</v>
      </c>
      <c r="E62" s="64">
        <v>3.78</v>
      </c>
      <c r="F62" s="64">
        <v>5.73</v>
      </c>
      <c r="G62" s="64">
        <v>32.58</v>
      </c>
      <c r="H62" s="64">
        <v>13.4</v>
      </c>
      <c r="I62" s="64">
        <v>2.02</v>
      </c>
      <c r="J62" s="64">
        <v>0.61</v>
      </c>
      <c r="K62" s="64">
        <v>326.82</v>
      </c>
      <c r="L62" s="64">
        <v>33.880000000000003</v>
      </c>
      <c r="M62" s="64">
        <v>51.5</v>
      </c>
      <c r="N62" s="64">
        <v>914.7</v>
      </c>
      <c r="O62" s="64">
        <v>0</v>
      </c>
      <c r="P62" s="64">
        <v>0.36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4" t="s">
        <v>2511</v>
      </c>
      <c r="B63" s="64">
        <v>8.2899999999999991</v>
      </c>
      <c r="C63" s="64">
        <v>3.59</v>
      </c>
      <c r="D63" s="64">
        <v>12.3</v>
      </c>
      <c r="E63" s="64">
        <v>4.59</v>
      </c>
      <c r="F63" s="64">
        <v>5.1100000000000003</v>
      </c>
      <c r="G63" s="64">
        <v>32.58</v>
      </c>
      <c r="H63" s="64">
        <v>13.4</v>
      </c>
      <c r="I63" s="64">
        <v>2.06</v>
      </c>
      <c r="J63" s="64">
        <v>0.13</v>
      </c>
      <c r="K63" s="64">
        <v>161.47999999999999</v>
      </c>
      <c r="L63" s="64">
        <v>32.479999999999997</v>
      </c>
      <c r="M63" s="64">
        <v>54.43</v>
      </c>
      <c r="N63" s="64">
        <v>595.70000000000005</v>
      </c>
      <c r="O63" s="64">
        <v>0</v>
      </c>
      <c r="P63" s="64">
        <v>0.36</v>
      </c>
      <c r="Q63" s="64">
        <v>9.3800000000000008</v>
      </c>
      <c r="R63" s="198"/>
      <c r="S63" s="198"/>
      <c r="T63" s="198"/>
      <c r="U63" s="198"/>
    </row>
    <row r="64" spans="1:21" s="12" customFormat="1" x14ac:dyDescent="0.25">
      <c r="A64" s="214" t="s">
        <v>2512</v>
      </c>
      <c r="B64" s="64">
        <v>8.23</v>
      </c>
      <c r="C64" s="64">
        <v>3.37</v>
      </c>
      <c r="D64" s="64">
        <v>12.13</v>
      </c>
      <c r="E64" s="64">
        <v>4.2300000000000004</v>
      </c>
      <c r="F64" s="64">
        <v>4.43</v>
      </c>
      <c r="G64" s="64">
        <v>23.06</v>
      </c>
      <c r="H64" s="64">
        <v>10.029999999999999</v>
      </c>
      <c r="I64" s="64">
        <v>2.16</v>
      </c>
      <c r="J64" s="64">
        <v>0.34</v>
      </c>
      <c r="K64" s="64">
        <v>307.95999999999998</v>
      </c>
      <c r="L64" s="64">
        <v>31.92</v>
      </c>
      <c r="M64" s="64">
        <v>55.66</v>
      </c>
      <c r="N64" s="64">
        <v>502.1</v>
      </c>
      <c r="O64" s="64">
        <v>0</v>
      </c>
      <c r="P64" s="64">
        <v>0.36</v>
      </c>
      <c r="Q64" s="64">
        <v>9.36</v>
      </c>
      <c r="R64" s="198"/>
      <c r="S64" s="198"/>
      <c r="T64" s="198"/>
      <c r="U64" s="198"/>
    </row>
    <row r="65" spans="1:21" s="12" customFormat="1" x14ac:dyDescent="0.25">
      <c r="A65" s="214" t="s">
        <v>2513</v>
      </c>
      <c r="B65" s="64">
        <v>8.25</v>
      </c>
      <c r="C65" s="64">
        <v>3.32</v>
      </c>
      <c r="D65" s="64">
        <v>12.12</v>
      </c>
      <c r="E65" s="64">
        <v>4.8600000000000003</v>
      </c>
      <c r="F65" s="64">
        <v>9.0500000000000007</v>
      </c>
      <c r="G65" s="64">
        <v>22.62</v>
      </c>
      <c r="H65" s="64">
        <v>9.8699999999999992</v>
      </c>
      <c r="I65" s="64">
        <v>2.42</v>
      </c>
      <c r="J65" s="64">
        <v>0.6</v>
      </c>
      <c r="K65" s="64">
        <v>290.45999999999998</v>
      </c>
      <c r="L65" s="64">
        <v>32.89</v>
      </c>
      <c r="M65" s="64">
        <v>53.33</v>
      </c>
      <c r="N65" s="64">
        <v>594.1</v>
      </c>
      <c r="O65" s="64">
        <v>0</v>
      </c>
      <c r="P65" s="64">
        <v>0.42</v>
      </c>
      <c r="Q65" s="64">
        <v>9.33</v>
      </c>
      <c r="R65" s="198"/>
      <c r="S65" s="198"/>
      <c r="T65" s="198"/>
      <c r="U65" s="198"/>
    </row>
    <row r="66" spans="1:21" s="12" customFormat="1" x14ac:dyDescent="0.25">
      <c r="A66" s="214" t="s">
        <v>2514</v>
      </c>
      <c r="B66" s="64">
        <v>8.2100000000000009</v>
      </c>
      <c r="C66" s="64">
        <v>3.39</v>
      </c>
      <c r="D66" s="64">
        <v>12.13</v>
      </c>
      <c r="E66" s="64">
        <v>4.92</v>
      </c>
      <c r="F66" s="64">
        <v>10.119999999999999</v>
      </c>
      <c r="G66" s="64">
        <v>22.62</v>
      </c>
      <c r="H66" s="64">
        <v>9.8699999999999992</v>
      </c>
      <c r="I66" s="64">
        <v>2.78</v>
      </c>
      <c r="J66" s="64">
        <v>1.65</v>
      </c>
      <c r="K66" s="64">
        <v>142.21</v>
      </c>
      <c r="L66" s="64">
        <v>30.85</v>
      </c>
      <c r="M66" s="64">
        <v>59.4</v>
      </c>
      <c r="N66" s="64">
        <v>433.4</v>
      </c>
      <c r="O66" s="64">
        <v>0</v>
      </c>
      <c r="P66" s="64">
        <v>0.45</v>
      </c>
      <c r="Q66" s="64">
        <v>9.42</v>
      </c>
      <c r="R66" s="198"/>
      <c r="S66" s="198"/>
      <c r="T66" s="198"/>
      <c r="U66" s="198"/>
    </row>
    <row r="67" spans="1:21" s="12" customFormat="1" x14ac:dyDescent="0.25">
      <c r="A67" s="214" t="s">
        <v>2515</v>
      </c>
      <c r="B67" s="64">
        <v>8.19</v>
      </c>
      <c r="C67" s="64">
        <v>3.32</v>
      </c>
      <c r="D67" s="64">
        <v>12.08</v>
      </c>
      <c r="E67" s="64">
        <v>4.28</v>
      </c>
      <c r="F67" s="64">
        <v>7.3</v>
      </c>
      <c r="G67" s="64">
        <v>22.62</v>
      </c>
      <c r="H67" s="64">
        <v>9.8699999999999992</v>
      </c>
      <c r="I67" s="64">
        <v>3.03</v>
      </c>
      <c r="J67" s="64">
        <v>1.65</v>
      </c>
      <c r="K67" s="64">
        <v>148.56</v>
      </c>
      <c r="L67" s="64">
        <v>30.22</v>
      </c>
      <c r="M67" s="64">
        <v>60.9</v>
      </c>
      <c r="N67" s="64">
        <v>454</v>
      </c>
      <c r="O67" s="64">
        <v>0</v>
      </c>
      <c r="P67" s="64">
        <v>0.42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4" t="s">
        <v>2516</v>
      </c>
      <c r="B68" s="64">
        <v>8.18</v>
      </c>
      <c r="C68" s="64">
        <v>3.23</v>
      </c>
      <c r="D68" s="64">
        <v>12.02</v>
      </c>
      <c r="E68" s="64">
        <v>4.37</v>
      </c>
      <c r="F68" s="64">
        <v>5.56</v>
      </c>
      <c r="G68" s="64">
        <v>23.26</v>
      </c>
      <c r="H68" s="64">
        <v>7.38</v>
      </c>
      <c r="I68" s="64">
        <v>3.42</v>
      </c>
      <c r="J68" s="64">
        <v>0.97</v>
      </c>
      <c r="K68" s="64">
        <v>149.09</v>
      </c>
      <c r="L68" s="64">
        <v>30.33</v>
      </c>
      <c r="M68" s="64">
        <v>59.86</v>
      </c>
      <c r="N68" s="64">
        <v>223.6</v>
      </c>
      <c r="O68" s="64">
        <v>0</v>
      </c>
      <c r="P68" s="64">
        <v>0.41</v>
      </c>
      <c r="Q68" s="64">
        <v>9.5299999999999994</v>
      </c>
      <c r="R68" s="198"/>
      <c r="S68" s="198"/>
      <c r="T68" s="198"/>
      <c r="U68" s="198"/>
    </row>
    <row r="69" spans="1:21" s="12" customFormat="1" x14ac:dyDescent="0.25">
      <c r="A69" s="214" t="s">
        <v>2517</v>
      </c>
      <c r="B69" s="64">
        <v>8.19</v>
      </c>
      <c r="C69" s="64">
        <v>3.24</v>
      </c>
      <c r="D69" s="64">
        <v>12.04</v>
      </c>
      <c r="E69" s="64">
        <v>3.91</v>
      </c>
      <c r="F69" s="64">
        <v>4.51</v>
      </c>
      <c r="G69" s="64">
        <v>23.29</v>
      </c>
      <c r="H69" s="64">
        <v>7.26</v>
      </c>
      <c r="I69" s="64">
        <v>3.96</v>
      </c>
      <c r="J69" s="64">
        <v>1.03</v>
      </c>
      <c r="K69" s="64">
        <v>131.05000000000001</v>
      </c>
      <c r="L69" s="64">
        <v>30.58</v>
      </c>
      <c r="M69" s="64">
        <v>58.98</v>
      </c>
      <c r="N69" s="64">
        <v>204.1</v>
      </c>
      <c r="O69" s="64">
        <v>0</v>
      </c>
      <c r="P69" s="64">
        <v>0.39</v>
      </c>
      <c r="Q69" s="64">
        <v>9.49</v>
      </c>
      <c r="R69" s="198"/>
      <c r="S69" s="198"/>
      <c r="T69" s="198"/>
      <c r="U69" s="198"/>
    </row>
    <row r="70" spans="1:21" s="12" customFormat="1" x14ac:dyDescent="0.25">
      <c r="A70" s="214" t="s">
        <v>2518</v>
      </c>
      <c r="B70" s="64">
        <v>8.19</v>
      </c>
      <c r="C70" s="64">
        <v>3.17</v>
      </c>
      <c r="D70" s="64">
        <v>12</v>
      </c>
      <c r="E70" s="64">
        <v>4.3600000000000003</v>
      </c>
      <c r="F70" s="64">
        <v>4.05</v>
      </c>
      <c r="G70" s="64">
        <v>23.29</v>
      </c>
      <c r="H70" s="64">
        <v>7.26</v>
      </c>
      <c r="I70" s="64">
        <v>4.4400000000000004</v>
      </c>
      <c r="J70" s="64">
        <v>0.94</v>
      </c>
      <c r="K70" s="64">
        <v>151.28</v>
      </c>
      <c r="L70" s="64">
        <v>30.37</v>
      </c>
      <c r="M70" s="64">
        <v>58.6</v>
      </c>
      <c r="N70" s="64">
        <v>165</v>
      </c>
      <c r="O70" s="64">
        <v>0</v>
      </c>
      <c r="P70" s="64">
        <v>0.38</v>
      </c>
      <c r="Q70" s="64">
        <v>9.4499999999999993</v>
      </c>
      <c r="R70" s="198"/>
      <c r="S70" s="198"/>
      <c r="T70" s="198"/>
      <c r="U70" s="198"/>
    </row>
    <row r="71" spans="1:21" s="12" customFormat="1" x14ac:dyDescent="0.25">
      <c r="A71" s="214" t="s">
        <v>2519</v>
      </c>
      <c r="B71" s="64">
        <v>8.18</v>
      </c>
      <c r="C71" s="64">
        <v>3.21</v>
      </c>
      <c r="D71" s="64">
        <v>12.01</v>
      </c>
      <c r="E71" s="64">
        <v>4.05</v>
      </c>
      <c r="F71" s="64">
        <v>4.66</v>
      </c>
      <c r="G71" s="64">
        <v>23.29</v>
      </c>
      <c r="H71" s="64">
        <v>7.26</v>
      </c>
      <c r="I71" s="64">
        <v>5.03</v>
      </c>
      <c r="J71" s="64">
        <v>0.26</v>
      </c>
      <c r="K71" s="64">
        <v>81.47</v>
      </c>
      <c r="L71" s="64">
        <v>30.81</v>
      </c>
      <c r="M71" s="64">
        <v>57.72</v>
      </c>
      <c r="N71" s="64">
        <v>155.6</v>
      </c>
      <c r="O71" s="64">
        <v>0</v>
      </c>
      <c r="P71" s="64">
        <v>0.38</v>
      </c>
      <c r="Q71" s="64">
        <v>9.5</v>
      </c>
      <c r="R71" s="198"/>
      <c r="S71" s="198"/>
      <c r="T71" s="198"/>
      <c r="U71" s="198"/>
    </row>
    <row r="72" spans="1:21" s="12" customFormat="1" x14ac:dyDescent="0.25">
      <c r="A72" s="214" t="s">
        <v>2520</v>
      </c>
      <c r="B72" s="64">
        <v>8.15</v>
      </c>
      <c r="C72" s="64">
        <v>3.19</v>
      </c>
      <c r="D72" s="64">
        <v>11.98</v>
      </c>
      <c r="E72" s="64">
        <v>4.3499999999999996</v>
      </c>
      <c r="F72" s="64">
        <v>4.34</v>
      </c>
      <c r="G72" s="64">
        <v>36.94</v>
      </c>
      <c r="H72" s="64">
        <v>6.77</v>
      </c>
      <c r="I72" s="64">
        <v>5.43</v>
      </c>
      <c r="J72" s="64">
        <v>0.17</v>
      </c>
      <c r="K72" s="64">
        <v>325.06</v>
      </c>
      <c r="L72" s="64">
        <v>31.05</v>
      </c>
      <c r="M72" s="64">
        <v>57.43</v>
      </c>
      <c r="N72" s="64">
        <v>131.5</v>
      </c>
      <c r="O72" s="64">
        <v>0</v>
      </c>
      <c r="P72" s="64">
        <v>0.39</v>
      </c>
      <c r="Q72" s="64">
        <v>9.52</v>
      </c>
      <c r="R72" s="198"/>
      <c r="S72" s="198"/>
      <c r="T72" s="198"/>
      <c r="U72" s="198"/>
    </row>
    <row r="73" spans="1:21" s="12" customFormat="1" x14ac:dyDescent="0.25">
      <c r="A73" s="214" t="s">
        <v>2521</v>
      </c>
      <c r="B73" s="64">
        <v>8.17</v>
      </c>
      <c r="C73" s="64">
        <v>3.32</v>
      </c>
      <c r="D73" s="64">
        <v>12.06</v>
      </c>
      <c r="E73" s="64">
        <v>4.3499999999999996</v>
      </c>
      <c r="F73" s="64">
        <v>4.41</v>
      </c>
      <c r="G73" s="64">
        <v>37.630000000000003</v>
      </c>
      <c r="H73" s="64">
        <v>6.75</v>
      </c>
      <c r="I73" s="64">
        <v>5.47</v>
      </c>
      <c r="J73" s="64">
        <v>0.27</v>
      </c>
      <c r="K73" s="64">
        <v>314.8</v>
      </c>
      <c r="L73" s="64">
        <v>31.37</v>
      </c>
      <c r="M73" s="64">
        <v>55.55</v>
      </c>
      <c r="N73" s="64">
        <v>186.9</v>
      </c>
      <c r="O73" s="64">
        <v>0</v>
      </c>
      <c r="P73" s="64">
        <v>0.39</v>
      </c>
      <c r="Q73" s="64">
        <v>9.5</v>
      </c>
      <c r="R73" s="198"/>
      <c r="S73" s="198"/>
      <c r="T73" s="198"/>
      <c r="U73" s="198"/>
    </row>
    <row r="74" spans="1:21" s="12" customFormat="1" x14ac:dyDescent="0.25">
      <c r="A74" s="214" t="s">
        <v>2522</v>
      </c>
      <c r="B74" s="64">
        <v>8.27</v>
      </c>
      <c r="C74" s="64">
        <v>3.69</v>
      </c>
      <c r="D74" s="64">
        <v>12.34</v>
      </c>
      <c r="E74" s="64">
        <v>4.4800000000000004</v>
      </c>
      <c r="F74" s="64">
        <v>4.34</v>
      </c>
      <c r="G74" s="64">
        <v>37.630000000000003</v>
      </c>
      <c r="H74" s="64">
        <v>6.75</v>
      </c>
      <c r="I74" s="64">
        <v>5.37</v>
      </c>
      <c r="J74" s="64">
        <v>0.93</v>
      </c>
      <c r="K74" s="64">
        <v>143.59</v>
      </c>
      <c r="L74" s="64">
        <v>30.67</v>
      </c>
      <c r="M74" s="64">
        <v>61.78</v>
      </c>
      <c r="N74" s="64">
        <v>158.9</v>
      </c>
      <c r="O74" s="64">
        <v>0</v>
      </c>
      <c r="P74" s="64">
        <v>0.38</v>
      </c>
      <c r="Q74" s="64">
        <v>9.51</v>
      </c>
      <c r="R74" s="198"/>
      <c r="S74" s="198"/>
      <c r="T74" s="198"/>
      <c r="U74" s="198"/>
    </row>
    <row r="75" spans="1:21" s="12" customFormat="1" x14ac:dyDescent="0.25">
      <c r="A75" s="214" t="s">
        <v>2523</v>
      </c>
      <c r="B75" s="64">
        <v>8.18</v>
      </c>
      <c r="C75" s="64">
        <v>3.29</v>
      </c>
      <c r="D75" s="64">
        <v>12.05</v>
      </c>
      <c r="E75" s="64">
        <v>4.0999999999999996</v>
      </c>
      <c r="F75" s="64">
        <v>4.3899999999999997</v>
      </c>
      <c r="G75" s="64">
        <v>37.630000000000003</v>
      </c>
      <c r="H75" s="64">
        <v>6.75</v>
      </c>
      <c r="I75" s="64">
        <v>5.32</v>
      </c>
      <c r="J75" s="64">
        <v>0.57999999999999996</v>
      </c>
      <c r="K75" s="64">
        <v>161.08000000000001</v>
      </c>
      <c r="L75" s="64">
        <v>30.09</v>
      </c>
      <c r="M75" s="64">
        <v>64.150000000000006</v>
      </c>
      <c r="N75" s="64">
        <v>87.2</v>
      </c>
      <c r="O75" s="64">
        <v>0</v>
      </c>
      <c r="P75" s="64">
        <v>0.37</v>
      </c>
      <c r="Q75" s="64">
        <v>9.51</v>
      </c>
      <c r="R75" s="198"/>
      <c r="S75" s="198"/>
      <c r="T75" s="198"/>
      <c r="U75" s="198"/>
    </row>
    <row r="76" spans="1:21" s="12" customFormat="1" x14ac:dyDescent="0.25">
      <c r="A76" s="214" t="s">
        <v>2524</v>
      </c>
      <c r="B76" s="64">
        <v>8.16</v>
      </c>
      <c r="C76" s="64">
        <v>3.2</v>
      </c>
      <c r="D76" s="64">
        <v>11.99</v>
      </c>
      <c r="E76" s="64">
        <v>4.21</v>
      </c>
      <c r="F76" s="64">
        <v>4.0599999999999996</v>
      </c>
      <c r="G76" s="64">
        <v>36.44</v>
      </c>
      <c r="H76" s="64">
        <v>7.54</v>
      </c>
      <c r="I76" s="64">
        <v>5.29</v>
      </c>
      <c r="J76" s="64">
        <v>1.77</v>
      </c>
      <c r="K76" s="64">
        <v>147.62</v>
      </c>
      <c r="L76" s="64">
        <v>29.72</v>
      </c>
      <c r="M76" s="64">
        <v>64.75</v>
      </c>
      <c r="N76" s="64">
        <v>87.9</v>
      </c>
      <c r="O76" s="64">
        <v>0</v>
      </c>
      <c r="P76" s="64">
        <v>0.35</v>
      </c>
      <c r="Q76" s="64">
        <v>9.49</v>
      </c>
      <c r="R76" s="198"/>
      <c r="S76" s="198"/>
      <c r="T76" s="198"/>
      <c r="U76" s="198"/>
    </row>
    <row r="77" spans="1:21" s="12" customFormat="1" x14ac:dyDescent="0.25">
      <c r="A77" s="214" t="s">
        <v>2525</v>
      </c>
      <c r="B77" s="64">
        <v>8.25</v>
      </c>
      <c r="C77" s="64">
        <v>3.49</v>
      </c>
      <c r="D77" s="64">
        <v>12.21</v>
      </c>
      <c r="E77" s="64">
        <v>4.54</v>
      </c>
      <c r="F77" s="64">
        <v>3.91</v>
      </c>
      <c r="G77" s="64">
        <v>36.380000000000003</v>
      </c>
      <c r="H77" s="64">
        <v>7.57</v>
      </c>
      <c r="I77" s="64">
        <v>5.19</v>
      </c>
      <c r="J77" s="64">
        <v>2.33</v>
      </c>
      <c r="K77" s="64">
        <v>145.72999999999999</v>
      </c>
      <c r="L77" s="64">
        <v>29.89</v>
      </c>
      <c r="M77" s="64">
        <v>63.46</v>
      </c>
      <c r="N77" s="64">
        <v>83.1</v>
      </c>
      <c r="O77" s="64">
        <v>0</v>
      </c>
      <c r="P77" s="64">
        <v>0.34</v>
      </c>
      <c r="Q77" s="64">
        <v>9.4700000000000006</v>
      </c>
      <c r="R77" s="198"/>
      <c r="S77" s="198"/>
      <c r="T77" s="198"/>
      <c r="U77" s="198"/>
    </row>
    <row r="78" spans="1:21" s="12" customFormat="1" x14ac:dyDescent="0.25">
      <c r="A78" s="214" t="s">
        <v>2526</v>
      </c>
      <c r="B78" s="64">
        <v>8.18</v>
      </c>
      <c r="C78" s="64">
        <v>3.26</v>
      </c>
      <c r="D78" s="64">
        <v>12.03</v>
      </c>
      <c r="E78" s="64">
        <v>4.3</v>
      </c>
      <c r="F78" s="64">
        <v>3.72</v>
      </c>
      <c r="G78" s="64">
        <v>36.380000000000003</v>
      </c>
      <c r="H78" s="64">
        <v>7.57</v>
      </c>
      <c r="I78" s="64">
        <v>5.17</v>
      </c>
      <c r="J78" s="64">
        <v>1.62</v>
      </c>
      <c r="K78" s="64">
        <v>149.24</v>
      </c>
      <c r="L78" s="64">
        <v>29.92</v>
      </c>
      <c r="M78" s="64">
        <v>63.22</v>
      </c>
      <c r="N78" s="64">
        <v>72.3</v>
      </c>
      <c r="O78" s="64">
        <v>0</v>
      </c>
      <c r="P78" s="64">
        <v>0.33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14" t="s">
        <v>2527</v>
      </c>
      <c r="B79" s="64">
        <v>8.1300000000000008</v>
      </c>
      <c r="C79" s="64">
        <v>3.17</v>
      </c>
      <c r="D79" s="64">
        <v>11.95</v>
      </c>
      <c r="E79" s="64">
        <v>4.32</v>
      </c>
      <c r="F79" s="64">
        <v>4.53</v>
      </c>
      <c r="G79" s="64">
        <v>36.380000000000003</v>
      </c>
      <c r="H79" s="64">
        <v>7.57</v>
      </c>
      <c r="I79" s="64">
        <v>5.38</v>
      </c>
      <c r="J79" s="64">
        <v>0.86</v>
      </c>
      <c r="K79" s="64">
        <v>149.26</v>
      </c>
      <c r="L79" s="64">
        <v>29.86</v>
      </c>
      <c r="M79" s="64">
        <v>64.41</v>
      </c>
      <c r="N79" s="64">
        <v>61.4</v>
      </c>
      <c r="O79" s="64">
        <v>0</v>
      </c>
      <c r="P79" s="64">
        <v>0.33</v>
      </c>
      <c r="Q79" s="64">
        <v>9.4700000000000006</v>
      </c>
      <c r="R79" s="198"/>
      <c r="S79" s="198"/>
      <c r="T79" s="198"/>
      <c r="U79" s="198"/>
    </row>
    <row r="80" spans="1:21" s="12" customFormat="1" x14ac:dyDescent="0.25">
      <c r="A80" s="214" t="s">
        <v>2528</v>
      </c>
      <c r="B80" s="64">
        <v>8.15</v>
      </c>
      <c r="C80" s="64">
        <v>3.21</v>
      </c>
      <c r="D80" s="64">
        <v>11.99</v>
      </c>
      <c r="E80" s="64">
        <v>4.43</v>
      </c>
      <c r="F80" s="64">
        <v>4.25</v>
      </c>
      <c r="G80" s="64">
        <v>24.32</v>
      </c>
      <c r="H80" s="64">
        <v>7.99</v>
      </c>
      <c r="I80" s="64">
        <v>5.54</v>
      </c>
      <c r="J80" s="64">
        <v>1.18</v>
      </c>
      <c r="K80" s="64">
        <v>143.08000000000001</v>
      </c>
      <c r="L80" s="64">
        <v>29.54</v>
      </c>
      <c r="M80" s="64">
        <v>65.63</v>
      </c>
      <c r="N80" s="64">
        <v>56.4</v>
      </c>
      <c r="O80" s="64">
        <v>0</v>
      </c>
      <c r="P80" s="64">
        <v>0.33</v>
      </c>
      <c r="Q80" s="64">
        <v>9.49</v>
      </c>
      <c r="R80" s="198"/>
      <c r="S80" s="198"/>
      <c r="T80" s="198"/>
      <c r="U80" s="198"/>
    </row>
    <row r="81" spans="1:26" s="12" customFormat="1" x14ac:dyDescent="0.25">
      <c r="A81" s="214" t="s">
        <v>2529</v>
      </c>
      <c r="B81" s="64">
        <v>8.16</v>
      </c>
      <c r="C81" s="64">
        <v>3.22</v>
      </c>
      <c r="D81" s="64">
        <v>12</v>
      </c>
      <c r="E81" s="64">
        <v>4.29</v>
      </c>
      <c r="F81" s="64">
        <v>4</v>
      </c>
      <c r="G81" s="64">
        <v>23.76</v>
      </c>
      <c r="H81" s="64">
        <v>8.02</v>
      </c>
      <c r="I81" s="64">
        <v>5.44</v>
      </c>
      <c r="J81" s="64">
        <v>1.53</v>
      </c>
      <c r="K81" s="64">
        <v>140.43</v>
      </c>
      <c r="L81" s="64">
        <v>29.31</v>
      </c>
      <c r="M81" s="64">
        <v>66.66</v>
      </c>
      <c r="N81" s="64">
        <v>45.5</v>
      </c>
      <c r="O81" s="64">
        <v>0</v>
      </c>
      <c r="P81" s="64">
        <v>0.32</v>
      </c>
      <c r="Q81" s="64">
        <v>9.49</v>
      </c>
      <c r="R81" s="198"/>
      <c r="S81" s="198"/>
      <c r="T81" s="198"/>
      <c r="U81" s="198"/>
    </row>
    <row r="82" spans="1:26" s="12" customFormat="1" x14ac:dyDescent="0.25">
      <c r="A82" s="214" t="s">
        <v>2530</v>
      </c>
      <c r="B82" s="64">
        <v>8.25</v>
      </c>
      <c r="C82" s="64">
        <v>3.44</v>
      </c>
      <c r="D82" s="64">
        <v>12.19</v>
      </c>
      <c r="E82" s="64">
        <v>4.32</v>
      </c>
      <c r="F82" s="64">
        <v>3.64</v>
      </c>
      <c r="G82" s="64">
        <v>23.76</v>
      </c>
      <c r="H82" s="64">
        <v>8.02</v>
      </c>
      <c r="I82" s="64">
        <v>5.28</v>
      </c>
      <c r="J82" s="64">
        <v>1.22</v>
      </c>
      <c r="K82" s="64">
        <v>153.74</v>
      </c>
      <c r="L82" s="64">
        <v>29.14</v>
      </c>
      <c r="M82" s="64">
        <v>67.349999999999994</v>
      </c>
      <c r="N82" s="64">
        <v>31.6</v>
      </c>
      <c r="O82" s="64">
        <v>0</v>
      </c>
      <c r="P82" s="64">
        <v>0.31</v>
      </c>
      <c r="Q82" s="64">
        <v>9.44</v>
      </c>
      <c r="R82" s="198"/>
      <c r="S82" s="198"/>
      <c r="T82" s="198"/>
      <c r="U82" s="198"/>
    </row>
    <row r="83" spans="1:26" s="12" customFormat="1" x14ac:dyDescent="0.25">
      <c r="A83" s="214" t="s">
        <v>2531</v>
      </c>
      <c r="B83" s="64">
        <v>8.2200000000000006</v>
      </c>
      <c r="C83" s="64">
        <v>3.32</v>
      </c>
      <c r="D83" s="64">
        <v>12.1</v>
      </c>
      <c r="E83" s="64">
        <v>4.28</v>
      </c>
      <c r="F83" s="64">
        <v>3.53</v>
      </c>
      <c r="G83" s="64">
        <v>23.76</v>
      </c>
      <c r="H83" s="64">
        <v>8.02</v>
      </c>
      <c r="I83" s="64">
        <v>5.31</v>
      </c>
      <c r="J83" s="64">
        <v>1.06</v>
      </c>
      <c r="K83" s="64">
        <v>157.86000000000001</v>
      </c>
      <c r="L83" s="64">
        <v>29.02</v>
      </c>
      <c r="M83" s="64">
        <v>67.739999999999995</v>
      </c>
      <c r="N83" s="64">
        <v>21.2</v>
      </c>
      <c r="O83" s="64">
        <v>0</v>
      </c>
      <c r="P83" s="64">
        <v>0.32</v>
      </c>
      <c r="Q83" s="64">
        <v>9.39</v>
      </c>
      <c r="R83" s="198"/>
      <c r="S83" s="198"/>
      <c r="T83" s="198"/>
      <c r="U83" s="198"/>
    </row>
    <row r="84" spans="1:26" s="12" customFormat="1" x14ac:dyDescent="0.25">
      <c r="A84" s="214" t="s">
        <v>2532</v>
      </c>
      <c r="B84" s="64">
        <v>8.1999999999999993</v>
      </c>
      <c r="C84" s="64">
        <v>3.3</v>
      </c>
      <c r="D84" s="64">
        <v>12.08</v>
      </c>
      <c r="E84" s="64">
        <v>4.16</v>
      </c>
      <c r="F84" s="64">
        <v>3.62</v>
      </c>
      <c r="G84" s="64">
        <v>57.03</v>
      </c>
      <c r="H84" s="64">
        <v>7.11</v>
      </c>
      <c r="I84" s="64">
        <v>5.43</v>
      </c>
      <c r="J84" s="64">
        <v>1.03</v>
      </c>
      <c r="K84" s="64">
        <v>147.84</v>
      </c>
      <c r="L84" s="64">
        <v>28.86</v>
      </c>
      <c r="M84" s="64">
        <v>68.62</v>
      </c>
      <c r="N84" s="64">
        <v>18.7</v>
      </c>
      <c r="O84" s="64">
        <v>0</v>
      </c>
      <c r="P84" s="64">
        <v>0.32</v>
      </c>
      <c r="Q84" s="64">
        <v>9.43</v>
      </c>
      <c r="R84" s="198"/>
      <c r="S84" s="198"/>
      <c r="T84" s="198"/>
      <c r="U84" s="198"/>
    </row>
    <row r="85" spans="1:26" s="12" customFormat="1" x14ac:dyDescent="0.25">
      <c r="A85" s="214" t="s">
        <v>2533</v>
      </c>
      <c r="B85" s="64">
        <v>8.2100000000000009</v>
      </c>
      <c r="C85" s="64">
        <v>3.22</v>
      </c>
      <c r="D85" s="64">
        <v>12.04</v>
      </c>
      <c r="E85" s="64">
        <v>4.28</v>
      </c>
      <c r="F85" s="64">
        <v>3.7</v>
      </c>
      <c r="G85" s="64">
        <v>58.58</v>
      </c>
      <c r="H85" s="64">
        <v>7.06</v>
      </c>
      <c r="I85" s="64">
        <v>5.57</v>
      </c>
      <c r="J85" s="64">
        <v>0.98</v>
      </c>
      <c r="K85" s="64">
        <v>155.51</v>
      </c>
      <c r="L85" s="64">
        <v>28.71</v>
      </c>
      <c r="M85" s="64">
        <v>69.3</v>
      </c>
      <c r="N85" s="64">
        <v>18.5</v>
      </c>
      <c r="O85" s="64">
        <v>0</v>
      </c>
      <c r="P85" s="64">
        <v>0.31</v>
      </c>
      <c r="Q85" s="64">
        <v>9.43</v>
      </c>
      <c r="R85" s="198"/>
      <c r="S85" s="198"/>
      <c r="T85" s="198"/>
      <c r="U85" s="198"/>
    </row>
    <row r="86" spans="1:26" s="12" customFormat="1" x14ac:dyDescent="0.25">
      <c r="A86" s="214" t="s">
        <v>2534</v>
      </c>
      <c r="B86" s="64">
        <v>8.2100000000000009</v>
      </c>
      <c r="C86" s="64">
        <v>3.24</v>
      </c>
      <c r="D86" s="64">
        <v>12.06</v>
      </c>
      <c r="E86" s="64">
        <v>4.1100000000000003</v>
      </c>
      <c r="F86" s="64">
        <v>3.56</v>
      </c>
      <c r="G86" s="64">
        <v>58.58</v>
      </c>
      <c r="H86" s="64">
        <v>7.06</v>
      </c>
      <c r="I86" s="64">
        <v>5.72</v>
      </c>
      <c r="J86" s="64">
        <v>1.19</v>
      </c>
      <c r="K86" s="64">
        <v>159.38</v>
      </c>
      <c r="L86" s="64">
        <v>28.66</v>
      </c>
      <c r="M86" s="64">
        <v>67.97</v>
      </c>
      <c r="N86" s="64">
        <v>18.2</v>
      </c>
      <c r="O86" s="64">
        <v>0</v>
      </c>
      <c r="P86" s="64">
        <v>0.33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14" t="s">
        <v>2535</v>
      </c>
      <c r="B87" s="64">
        <v>8.25</v>
      </c>
      <c r="C87" s="64">
        <v>3.37</v>
      </c>
      <c r="D87" s="64">
        <v>12.15</v>
      </c>
      <c r="E87" s="64">
        <v>4.24</v>
      </c>
      <c r="F87" s="64">
        <v>3.59</v>
      </c>
      <c r="G87" s="64">
        <v>58.58</v>
      </c>
      <c r="H87" s="64">
        <v>7.06</v>
      </c>
      <c r="I87" s="64">
        <v>5.87</v>
      </c>
      <c r="J87" s="64">
        <v>1.18</v>
      </c>
      <c r="K87" s="64">
        <v>155.77000000000001</v>
      </c>
      <c r="L87" s="64">
        <v>28.6</v>
      </c>
      <c r="M87" s="64">
        <v>68.12</v>
      </c>
      <c r="N87" s="64">
        <v>18.399999999999999</v>
      </c>
      <c r="O87" s="64">
        <v>0</v>
      </c>
      <c r="P87" s="64">
        <v>0.34</v>
      </c>
      <c r="Q87" s="64">
        <v>9.44</v>
      </c>
      <c r="R87" s="198"/>
      <c r="S87" s="198"/>
      <c r="T87" s="198"/>
      <c r="U87" s="198"/>
    </row>
    <row r="88" spans="1:26" s="12" customFormat="1" x14ac:dyDescent="0.25">
      <c r="A88" s="214" t="s">
        <v>2536</v>
      </c>
      <c r="B88" s="64">
        <v>8.23</v>
      </c>
      <c r="C88" s="64">
        <v>3.28</v>
      </c>
      <c r="D88" s="64">
        <v>12.09</v>
      </c>
      <c r="E88" s="64">
        <v>5.21</v>
      </c>
      <c r="F88" s="64">
        <v>3.68</v>
      </c>
      <c r="G88" s="64">
        <v>48.89</v>
      </c>
      <c r="H88" s="64">
        <v>11.17</v>
      </c>
      <c r="I88" s="64">
        <v>6.04</v>
      </c>
      <c r="J88" s="64">
        <v>0.87</v>
      </c>
      <c r="K88" s="64">
        <v>164.04</v>
      </c>
      <c r="L88" s="64">
        <v>28.45</v>
      </c>
      <c r="M88" s="64">
        <v>69.78</v>
      </c>
      <c r="N88" s="64">
        <v>18.399999999999999</v>
      </c>
      <c r="O88" s="64">
        <v>0</v>
      </c>
      <c r="P88" s="64">
        <v>0.34</v>
      </c>
      <c r="Q88" s="64">
        <v>9.4700000000000006</v>
      </c>
      <c r="R88" s="198"/>
      <c r="S88" s="198"/>
      <c r="T88" s="198"/>
      <c r="U88" s="198"/>
    </row>
    <row r="89" spans="1:26" s="12" customFormat="1" x14ac:dyDescent="0.25">
      <c r="A89" s="214" t="s">
        <v>2537</v>
      </c>
      <c r="B89" s="64">
        <v>8.24</v>
      </c>
      <c r="C89" s="64">
        <v>3.35</v>
      </c>
      <c r="D89" s="64">
        <v>12.13</v>
      </c>
      <c r="E89" s="64">
        <v>5.22</v>
      </c>
      <c r="F89" s="64">
        <v>4.0999999999999996</v>
      </c>
      <c r="G89" s="64">
        <v>48.32</v>
      </c>
      <c r="H89" s="64">
        <v>11.37</v>
      </c>
      <c r="I89" s="64">
        <v>6.22</v>
      </c>
      <c r="J89" s="64">
        <v>1.46</v>
      </c>
      <c r="K89" s="64">
        <v>146.44999999999999</v>
      </c>
      <c r="L89" s="64">
        <v>28.38</v>
      </c>
      <c r="M89" s="64">
        <v>70.02</v>
      </c>
      <c r="N89" s="64">
        <v>18.3</v>
      </c>
      <c r="O89" s="64">
        <v>0</v>
      </c>
      <c r="P89" s="64">
        <v>0.36</v>
      </c>
      <c r="Q89" s="64">
        <v>9.5</v>
      </c>
      <c r="R89" s="198"/>
      <c r="S89" s="198"/>
      <c r="T89" s="198"/>
      <c r="U89" s="198"/>
    </row>
    <row r="90" spans="1:26" s="12" customFormat="1" x14ac:dyDescent="0.25">
      <c r="A90" s="214" t="s">
        <v>2538</v>
      </c>
      <c r="B90" s="64">
        <v>8.18</v>
      </c>
      <c r="C90" s="64">
        <v>3.22</v>
      </c>
      <c r="D90" s="64">
        <v>12.01</v>
      </c>
      <c r="E90" s="64">
        <v>5.25</v>
      </c>
      <c r="F90" s="64">
        <v>3.56</v>
      </c>
      <c r="G90" s="64">
        <v>48.32</v>
      </c>
      <c r="H90" s="64">
        <v>11.37</v>
      </c>
      <c r="I90" s="64">
        <v>6.39</v>
      </c>
      <c r="J90" s="64">
        <v>1.55</v>
      </c>
      <c r="K90" s="64">
        <v>142.9</v>
      </c>
      <c r="L90" s="64">
        <v>28.18</v>
      </c>
      <c r="M90" s="64">
        <v>71.75</v>
      </c>
      <c r="N90" s="64">
        <v>18.399999999999999</v>
      </c>
      <c r="O90" s="64">
        <v>0</v>
      </c>
      <c r="P90" s="64">
        <v>0.38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14" t="s">
        <v>2539</v>
      </c>
      <c r="B91" s="64">
        <v>8.17</v>
      </c>
      <c r="C91" s="64">
        <v>3.21</v>
      </c>
      <c r="D91" s="64">
        <v>12</v>
      </c>
      <c r="E91" s="64">
        <v>5.01</v>
      </c>
      <c r="F91" s="64">
        <v>3.08</v>
      </c>
      <c r="G91" s="64">
        <v>48.32</v>
      </c>
      <c r="H91" s="64">
        <v>11.37</v>
      </c>
      <c r="I91" s="64">
        <v>6.51</v>
      </c>
      <c r="J91" s="64">
        <v>0.49</v>
      </c>
      <c r="K91" s="64">
        <v>150.08000000000001</v>
      </c>
      <c r="L91" s="64">
        <v>27.98</v>
      </c>
      <c r="M91" s="64">
        <v>73.19</v>
      </c>
      <c r="N91" s="64">
        <v>18.600000000000001</v>
      </c>
      <c r="O91" s="64">
        <v>0</v>
      </c>
      <c r="P91" s="64">
        <v>0.38</v>
      </c>
      <c r="Q91" s="64">
        <v>9.4499999999999993</v>
      </c>
      <c r="R91" s="198"/>
      <c r="S91" s="198"/>
      <c r="T91" s="198"/>
      <c r="U91" s="198"/>
    </row>
    <row r="92" spans="1:26" s="12" customFormat="1" x14ac:dyDescent="0.25">
      <c r="A92" s="214" t="s">
        <v>2540</v>
      </c>
      <c r="B92" s="64">
        <v>8.17</v>
      </c>
      <c r="C92" s="64">
        <v>3.19</v>
      </c>
      <c r="D92" s="64">
        <v>12</v>
      </c>
      <c r="E92" s="64">
        <v>4.95</v>
      </c>
      <c r="F92" s="64">
        <v>3.23</v>
      </c>
      <c r="G92" s="64">
        <v>46.56</v>
      </c>
      <c r="H92" s="64">
        <v>12.77</v>
      </c>
      <c r="I92" s="64">
        <v>6.55</v>
      </c>
      <c r="J92" s="64">
        <v>1.24</v>
      </c>
      <c r="K92" s="64">
        <v>155.35</v>
      </c>
      <c r="L92" s="64">
        <v>27.84</v>
      </c>
      <c r="M92" s="64">
        <v>74.400000000000006</v>
      </c>
      <c r="N92" s="64">
        <v>18.2</v>
      </c>
      <c r="O92" s="64">
        <v>0</v>
      </c>
      <c r="P92" s="64">
        <v>0.39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4" t="s">
        <v>2541</v>
      </c>
      <c r="B93" s="64">
        <v>8.1999999999999993</v>
      </c>
      <c r="C93" s="64">
        <v>3.26</v>
      </c>
      <c r="D93" s="64">
        <v>12.05</v>
      </c>
      <c r="E93" s="64">
        <v>5.09</v>
      </c>
      <c r="F93" s="64">
        <v>3.99</v>
      </c>
      <c r="G93" s="64">
        <v>46.46</v>
      </c>
      <c r="H93" s="64">
        <v>12.84</v>
      </c>
      <c r="I93" s="64">
        <v>6.48</v>
      </c>
      <c r="J93" s="64">
        <v>0.99</v>
      </c>
      <c r="K93" s="64">
        <v>162.59</v>
      </c>
      <c r="L93" s="64">
        <v>27.66</v>
      </c>
      <c r="M93" s="64">
        <v>75.510000000000005</v>
      </c>
      <c r="N93" s="64">
        <v>18.5</v>
      </c>
      <c r="O93" s="64">
        <v>0</v>
      </c>
      <c r="P93" s="64">
        <v>0.4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4" t="s">
        <v>2542</v>
      </c>
      <c r="B94" s="64">
        <v>8.27</v>
      </c>
      <c r="C94" s="64">
        <v>3.45</v>
      </c>
      <c r="D94" s="64">
        <v>12.21</v>
      </c>
      <c r="E94" s="64">
        <v>4.9800000000000004</v>
      </c>
      <c r="F94" s="64">
        <v>3.27</v>
      </c>
      <c r="G94" s="64">
        <v>46.46</v>
      </c>
      <c r="H94" s="64">
        <v>12.84</v>
      </c>
      <c r="I94" s="64">
        <v>6.38</v>
      </c>
      <c r="J94" s="64">
        <v>1.22</v>
      </c>
      <c r="K94" s="64">
        <v>167.73</v>
      </c>
      <c r="L94" s="64">
        <v>27.52</v>
      </c>
      <c r="M94" s="64">
        <v>76.64</v>
      </c>
      <c r="N94" s="64">
        <v>18.399999999999999</v>
      </c>
      <c r="O94" s="64">
        <v>0</v>
      </c>
      <c r="P94" s="64">
        <v>0.41</v>
      </c>
      <c r="Q94" s="64">
        <v>9.52</v>
      </c>
      <c r="R94" s="198"/>
      <c r="S94" s="198"/>
      <c r="T94" s="198"/>
      <c r="U94" s="198"/>
    </row>
    <row r="95" spans="1:26" s="12" customFormat="1" x14ac:dyDescent="0.25">
      <c r="A95" s="214" t="s">
        <v>2543</v>
      </c>
      <c r="B95" s="64">
        <v>8.18</v>
      </c>
      <c r="C95" s="64">
        <v>3.26</v>
      </c>
      <c r="D95" s="64">
        <v>12.04</v>
      </c>
      <c r="E95" s="64">
        <v>5.26</v>
      </c>
      <c r="F95" s="64">
        <v>3.42</v>
      </c>
      <c r="G95" s="64">
        <v>46.46</v>
      </c>
      <c r="H95" s="64">
        <v>12.84</v>
      </c>
      <c r="I95" s="64">
        <v>6.31</v>
      </c>
      <c r="J95" s="64">
        <v>1.32</v>
      </c>
      <c r="K95" s="64">
        <v>155.84</v>
      </c>
      <c r="L95" s="64">
        <v>27.34</v>
      </c>
      <c r="M95" s="64">
        <v>78.73</v>
      </c>
      <c r="N95" s="64">
        <v>18.5</v>
      </c>
      <c r="O95" s="64">
        <v>0</v>
      </c>
      <c r="P95" s="64">
        <v>0.4</v>
      </c>
      <c r="Q95" s="64">
        <v>9.49</v>
      </c>
      <c r="R95" s="198"/>
      <c r="S95" s="198"/>
      <c r="T95" s="198"/>
      <c r="U95" s="198"/>
    </row>
    <row r="96" spans="1:26" s="12" customFormat="1" x14ac:dyDescent="0.25">
      <c r="A96" s="214" t="s">
        <v>2544</v>
      </c>
      <c r="B96" s="64">
        <v>8.19</v>
      </c>
      <c r="C96" s="64">
        <v>3.24</v>
      </c>
      <c r="D96" s="64">
        <v>12.03</v>
      </c>
      <c r="E96" s="64">
        <v>5.26</v>
      </c>
      <c r="F96" s="64">
        <v>3.9</v>
      </c>
      <c r="G96" s="64">
        <v>51.34</v>
      </c>
      <c r="H96" s="64">
        <v>15.46</v>
      </c>
      <c r="I96" s="64">
        <v>6.22</v>
      </c>
      <c r="J96" s="64">
        <v>1.1000000000000001</v>
      </c>
      <c r="K96" s="64">
        <v>149.69</v>
      </c>
      <c r="L96" s="64">
        <v>27.16</v>
      </c>
      <c r="M96" s="64">
        <v>80.790000000000006</v>
      </c>
      <c r="N96" s="64">
        <v>18.5</v>
      </c>
      <c r="O96" s="64">
        <v>0</v>
      </c>
      <c r="P96" s="64">
        <v>0.41</v>
      </c>
      <c r="Q96" s="64">
        <v>9.5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2545</v>
      </c>
      <c r="B97" s="64">
        <v>8.2100000000000009</v>
      </c>
      <c r="C97" s="64">
        <v>3.32</v>
      </c>
      <c r="D97" s="64">
        <v>12.1</v>
      </c>
      <c r="E97" s="64">
        <v>5.23</v>
      </c>
      <c r="F97" s="64">
        <v>3.45</v>
      </c>
      <c r="G97" s="64">
        <v>51.56</v>
      </c>
      <c r="H97" s="64">
        <v>15.62</v>
      </c>
      <c r="I97" s="64">
        <v>6.13</v>
      </c>
      <c r="J97" s="64">
        <v>0.65</v>
      </c>
      <c r="K97" s="64">
        <v>169.77</v>
      </c>
      <c r="L97" s="64">
        <v>26.99</v>
      </c>
      <c r="M97" s="64">
        <v>82.49</v>
      </c>
      <c r="N97" s="64">
        <v>18.5</v>
      </c>
      <c r="O97" s="64">
        <v>0</v>
      </c>
      <c r="P97" s="64">
        <v>0.41</v>
      </c>
      <c r="Q97" s="64">
        <v>9.5399999999999991</v>
      </c>
      <c r="R97" s="198"/>
      <c r="S97" s="198"/>
      <c r="T97" s="198"/>
      <c r="U97" s="198"/>
    </row>
    <row r="98" spans="1:33" s="12" customFormat="1" x14ac:dyDescent="0.25">
      <c r="A98" s="214" t="s">
        <v>2546</v>
      </c>
      <c r="B98" s="64">
        <v>8.35</v>
      </c>
      <c r="C98" s="64">
        <v>3.66</v>
      </c>
      <c r="D98" s="64">
        <v>12.38</v>
      </c>
      <c r="E98" s="64">
        <v>5.23</v>
      </c>
      <c r="F98" s="64">
        <v>3.2</v>
      </c>
      <c r="G98" s="64">
        <v>51.56</v>
      </c>
      <c r="H98" s="64">
        <v>15.62</v>
      </c>
      <c r="I98" s="64">
        <v>6.15</v>
      </c>
      <c r="J98" s="64">
        <v>1.37</v>
      </c>
      <c r="K98" s="64">
        <v>142.96</v>
      </c>
      <c r="L98" s="64">
        <v>26.78</v>
      </c>
      <c r="M98" s="64">
        <v>84.12</v>
      </c>
      <c r="N98" s="64">
        <v>18.3</v>
      </c>
      <c r="O98" s="64">
        <v>0</v>
      </c>
      <c r="P98" s="64">
        <v>0.4</v>
      </c>
      <c r="Q98" s="64">
        <v>9.51</v>
      </c>
      <c r="R98" s="198"/>
      <c r="S98" s="198"/>
      <c r="T98" s="198"/>
      <c r="U98" s="198"/>
    </row>
    <row r="99" spans="1:33" s="12" customFormat="1" x14ac:dyDescent="0.25">
      <c r="A99" s="214" t="s">
        <v>2547</v>
      </c>
      <c r="B99" s="64">
        <v>8.27</v>
      </c>
      <c r="C99" s="64">
        <v>3.41</v>
      </c>
      <c r="D99" s="64">
        <v>12.19</v>
      </c>
      <c r="E99" s="64">
        <v>5.19</v>
      </c>
      <c r="F99" s="64">
        <v>3.3</v>
      </c>
      <c r="G99" s="64">
        <v>51.56</v>
      </c>
      <c r="H99" s="64">
        <v>15.62</v>
      </c>
      <c r="I99" s="64">
        <v>6.07</v>
      </c>
      <c r="J99" s="64">
        <v>0.57999999999999996</v>
      </c>
      <c r="K99" s="64">
        <v>154.22999999999999</v>
      </c>
      <c r="L99" s="64">
        <v>26.69</v>
      </c>
      <c r="M99" s="64">
        <v>83.86</v>
      </c>
      <c r="N99" s="64">
        <v>18.399999999999999</v>
      </c>
      <c r="O99" s="64">
        <v>0</v>
      </c>
      <c r="P99" s="64">
        <v>0.39</v>
      </c>
      <c r="Q99" s="64">
        <v>9.48</v>
      </c>
      <c r="R99" s="198"/>
      <c r="S99" s="198"/>
      <c r="T99" s="198"/>
      <c r="U99" s="198"/>
    </row>
    <row r="100" spans="1:33" s="12" customFormat="1" x14ac:dyDescent="0.25">
      <c r="A100" s="214" t="s">
        <v>2548</v>
      </c>
      <c r="B100" s="64">
        <v>8.2200000000000006</v>
      </c>
      <c r="C100" s="64">
        <v>3.25</v>
      </c>
      <c r="D100" s="64">
        <v>12.06</v>
      </c>
      <c r="E100" s="64">
        <v>4.97</v>
      </c>
      <c r="F100" s="64">
        <v>3.34</v>
      </c>
      <c r="G100" s="64">
        <v>39.950000000000003</v>
      </c>
      <c r="H100" s="64">
        <v>11.41</v>
      </c>
      <c r="I100" s="64">
        <v>5.95</v>
      </c>
      <c r="J100" s="64">
        <v>0.11</v>
      </c>
      <c r="K100" s="64">
        <v>195.57</v>
      </c>
      <c r="L100" s="64">
        <v>26.62</v>
      </c>
      <c r="M100" s="64">
        <v>83.75</v>
      </c>
      <c r="N100" s="64">
        <v>18.5</v>
      </c>
      <c r="O100" s="64">
        <v>0</v>
      </c>
      <c r="P100" s="64">
        <v>0.39</v>
      </c>
      <c r="Q100" s="64">
        <v>9.48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2549</v>
      </c>
      <c r="B101" s="64">
        <v>8.17</v>
      </c>
      <c r="C101" s="64">
        <v>3.12</v>
      </c>
      <c r="D101" s="64">
        <v>11.96</v>
      </c>
      <c r="E101" s="64">
        <v>5.0599999999999996</v>
      </c>
      <c r="F101" s="64">
        <v>3.59</v>
      </c>
      <c r="G101" s="64">
        <v>39.409999999999997</v>
      </c>
      <c r="H101" s="64">
        <v>11.21</v>
      </c>
      <c r="I101" s="64">
        <v>5.88</v>
      </c>
      <c r="J101" s="64">
        <v>0.54</v>
      </c>
      <c r="K101" s="64">
        <v>168.72</v>
      </c>
      <c r="L101" s="64">
        <v>26.43</v>
      </c>
      <c r="M101" s="64">
        <v>84.99</v>
      </c>
      <c r="N101" s="64">
        <v>18.2</v>
      </c>
      <c r="O101" s="64">
        <v>0</v>
      </c>
      <c r="P101" s="64">
        <v>0.39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4" t="s">
        <v>2550</v>
      </c>
      <c r="B102" s="64">
        <v>8.2200000000000006</v>
      </c>
      <c r="C102" s="64">
        <v>3.18</v>
      </c>
      <c r="D102" s="64">
        <v>12.03</v>
      </c>
      <c r="E102" s="64">
        <v>5.17</v>
      </c>
      <c r="F102" s="64">
        <v>3.62</v>
      </c>
      <c r="G102" s="64">
        <v>39.409999999999997</v>
      </c>
      <c r="H102" s="64">
        <v>11.21</v>
      </c>
      <c r="I102" s="64">
        <v>5.5</v>
      </c>
      <c r="J102" s="64">
        <v>0.42</v>
      </c>
      <c r="K102" s="64">
        <v>163.08000000000001</v>
      </c>
      <c r="L102" s="64">
        <v>26.35</v>
      </c>
      <c r="M102" s="64">
        <v>85.23</v>
      </c>
      <c r="N102" s="64">
        <v>18.2</v>
      </c>
      <c r="O102" s="64">
        <v>0</v>
      </c>
      <c r="P102" s="64">
        <v>0.39</v>
      </c>
      <c r="Q102" s="64">
        <v>9.4700000000000006</v>
      </c>
      <c r="R102" s="198"/>
      <c r="S102" s="198"/>
      <c r="T102" s="198"/>
      <c r="U102" s="198"/>
    </row>
    <row r="103" spans="1:33" s="12" customFormat="1" x14ac:dyDescent="0.25">
      <c r="A103" s="214" t="s">
        <v>2551</v>
      </c>
      <c r="B103" s="64">
        <v>8.25</v>
      </c>
      <c r="C103" s="64">
        <v>3.24</v>
      </c>
      <c r="D103" s="64">
        <v>12.09</v>
      </c>
      <c r="E103" s="64">
        <v>5.26</v>
      </c>
      <c r="F103" s="64">
        <v>3.37</v>
      </c>
      <c r="G103" s="64">
        <v>39.409999999999997</v>
      </c>
      <c r="H103" s="64">
        <v>11.21</v>
      </c>
      <c r="I103" s="64">
        <v>5.45</v>
      </c>
      <c r="J103" s="64">
        <v>0.04</v>
      </c>
      <c r="K103" s="64">
        <v>34.5</v>
      </c>
      <c r="L103" s="64">
        <v>26.24</v>
      </c>
      <c r="M103" s="64">
        <v>85.6</v>
      </c>
      <c r="N103" s="64">
        <v>18.399999999999999</v>
      </c>
      <c r="O103" s="64">
        <v>0</v>
      </c>
      <c r="P103" s="64">
        <v>0.38</v>
      </c>
      <c r="Q103" s="64">
        <v>9.48</v>
      </c>
      <c r="R103" s="198"/>
      <c r="S103" s="198"/>
      <c r="T103" s="198"/>
      <c r="U103" s="198"/>
    </row>
    <row r="104" spans="1:33" s="12" customFormat="1" x14ac:dyDescent="0.25">
      <c r="A104" s="214" t="s">
        <v>2552</v>
      </c>
      <c r="B104" s="64">
        <v>8.2100000000000009</v>
      </c>
      <c r="C104" s="64">
        <v>3.15</v>
      </c>
      <c r="D104" s="64">
        <v>12.01</v>
      </c>
      <c r="E104" s="64">
        <v>4.28</v>
      </c>
      <c r="F104" s="64">
        <v>3.27</v>
      </c>
      <c r="G104" s="64">
        <v>40.770000000000003</v>
      </c>
      <c r="H104" s="64">
        <v>12.97</v>
      </c>
      <c r="I104" s="64">
        <v>5.65</v>
      </c>
      <c r="J104" s="64">
        <v>0.32</v>
      </c>
      <c r="K104" s="64">
        <v>145.43</v>
      </c>
      <c r="L104" s="64">
        <v>26.06</v>
      </c>
      <c r="M104" s="64">
        <v>86.59</v>
      </c>
      <c r="N104" s="64">
        <v>18.3</v>
      </c>
      <c r="O104" s="64">
        <v>0</v>
      </c>
      <c r="P104" s="64">
        <v>0.38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8.1300000000000008</v>
      </c>
      <c r="C106" s="67">
        <f>MIN(C9:C104)</f>
        <v>3.11</v>
      </c>
      <c r="D106" s="67">
        <f t="shared" ref="D106:Q106" si="0">MIN(D9:D104)</f>
        <v>11.93</v>
      </c>
      <c r="E106" s="67">
        <f t="shared" si="0"/>
        <v>3.18</v>
      </c>
      <c r="F106" s="67">
        <f t="shared" si="0"/>
        <v>2.89</v>
      </c>
      <c r="G106" s="67">
        <f t="shared" si="0"/>
        <v>12.77</v>
      </c>
      <c r="H106" s="67">
        <f t="shared" si="0"/>
        <v>5.89</v>
      </c>
      <c r="I106" s="67">
        <f t="shared" si="0"/>
        <v>2.0099999999999998</v>
      </c>
      <c r="J106" s="67">
        <f t="shared" si="0"/>
        <v>0.04</v>
      </c>
      <c r="K106" s="67">
        <f t="shared" si="0"/>
        <v>1.1499999999999999</v>
      </c>
      <c r="L106" s="67">
        <f t="shared" si="0"/>
        <v>23.44</v>
      </c>
      <c r="M106" s="67">
        <f t="shared" si="0"/>
        <v>51.5</v>
      </c>
      <c r="N106" s="67">
        <f t="shared" si="0"/>
        <v>18.2</v>
      </c>
      <c r="O106" s="67">
        <f t="shared" si="0"/>
        <v>0</v>
      </c>
      <c r="P106" s="67">
        <f t="shared" si="0"/>
        <v>0.26</v>
      </c>
      <c r="Q106" s="67">
        <f t="shared" si="0"/>
        <v>9.33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8.41</v>
      </c>
      <c r="C107" s="66">
        <f t="shared" ref="C107:Q107" si="1">MAX(C9:C104)</f>
        <v>3.94</v>
      </c>
      <c r="D107" s="66">
        <f t="shared" si="1"/>
        <v>12.58</v>
      </c>
      <c r="E107" s="66">
        <f t="shared" si="1"/>
        <v>5.26</v>
      </c>
      <c r="F107" s="66">
        <f t="shared" si="1"/>
        <v>10.119999999999999</v>
      </c>
      <c r="G107" s="66">
        <f t="shared" si="1"/>
        <v>58.58</v>
      </c>
      <c r="H107" s="66">
        <f t="shared" si="1"/>
        <v>15.62</v>
      </c>
      <c r="I107" s="66">
        <f t="shared" si="1"/>
        <v>6.87</v>
      </c>
      <c r="J107" s="66">
        <f t="shared" si="1"/>
        <v>2.33</v>
      </c>
      <c r="K107" s="66">
        <f t="shared" si="1"/>
        <v>353.39</v>
      </c>
      <c r="L107" s="66">
        <f t="shared" si="1"/>
        <v>33.880000000000003</v>
      </c>
      <c r="M107" s="66">
        <f t="shared" si="1"/>
        <v>98.35</v>
      </c>
      <c r="N107" s="66">
        <f t="shared" si="1"/>
        <v>1022.6</v>
      </c>
      <c r="O107" s="66">
        <f t="shared" si="1"/>
        <v>0</v>
      </c>
      <c r="P107" s="66">
        <f t="shared" si="1"/>
        <v>0.47</v>
      </c>
      <c r="Q107" s="66">
        <f t="shared" si="1"/>
        <v>9.57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8.2071874999999981</v>
      </c>
      <c r="C108" s="67">
        <f t="shared" ref="C108:Q108" si="2">AVERAGE(C9:C104)</f>
        <v>3.2925000000000004</v>
      </c>
      <c r="D108" s="67">
        <f t="shared" si="2"/>
        <v>12.076354166666663</v>
      </c>
      <c r="E108" s="67">
        <f t="shared" si="2"/>
        <v>4.384895833333335</v>
      </c>
      <c r="F108" s="67">
        <f t="shared" si="2"/>
        <v>4.3501041666666653</v>
      </c>
      <c r="G108" s="67">
        <f t="shared" si="2"/>
        <v>30.729166666666657</v>
      </c>
      <c r="H108" s="67">
        <f t="shared" si="2"/>
        <v>9.9651041666666682</v>
      </c>
      <c r="I108" s="67">
        <f t="shared" si="2"/>
        <v>5.2796874999999988</v>
      </c>
      <c r="J108" s="67">
        <f t="shared" si="2"/>
        <v>0.84885416666666647</v>
      </c>
      <c r="K108" s="67">
        <f t="shared" si="2"/>
        <v>170.230625</v>
      </c>
      <c r="L108" s="67">
        <f t="shared" si="2"/>
        <v>27.517604166666661</v>
      </c>
      <c r="M108" s="67">
        <f t="shared" si="2"/>
        <v>78.851979166666652</v>
      </c>
      <c r="N108" s="67">
        <f t="shared" si="2"/>
        <v>234.83854166666674</v>
      </c>
      <c r="O108" s="67">
        <f t="shared" si="2"/>
        <v>0</v>
      </c>
      <c r="P108" s="67">
        <f t="shared" si="2"/>
        <v>0.34656249999999983</v>
      </c>
      <c r="Q108" s="67">
        <f t="shared" si="2"/>
        <v>9.4765625000000036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5.3028356366639946E-2</v>
      </c>
      <c r="C109" s="67">
        <f t="shared" ref="C109:Q109" si="3">STDEV(C9:C104)</f>
        <v>0.15024191019468358</v>
      </c>
      <c r="D109" s="67">
        <f t="shared" si="3"/>
        <v>0.11801980022697067</v>
      </c>
      <c r="E109" s="67">
        <f t="shared" si="3"/>
        <v>0.50407183028582991</v>
      </c>
      <c r="F109" s="67">
        <f t="shared" si="3"/>
        <v>1.5663833602092319</v>
      </c>
      <c r="G109" s="67">
        <f t="shared" si="3"/>
        <v>11.337690627810009</v>
      </c>
      <c r="H109" s="67">
        <f t="shared" si="3"/>
        <v>2.6082944598022322</v>
      </c>
      <c r="I109" s="67">
        <f t="shared" si="3"/>
        <v>1.3512991434171864</v>
      </c>
      <c r="J109" s="67">
        <f t="shared" si="3"/>
        <v>0.49597934972222096</v>
      </c>
      <c r="K109" s="67">
        <f t="shared" si="3"/>
        <v>70.644144910470786</v>
      </c>
      <c r="L109" s="67">
        <f t="shared" si="3"/>
        <v>2.8627126424504925</v>
      </c>
      <c r="M109" s="67">
        <f t="shared" si="3"/>
        <v>15.88467653662634</v>
      </c>
      <c r="N109" s="67">
        <f t="shared" si="3"/>
        <v>314.6116163311242</v>
      </c>
      <c r="O109" s="67">
        <f t="shared" si="3"/>
        <v>0</v>
      </c>
      <c r="P109" s="67">
        <f t="shared" si="3"/>
        <v>5.6472221862659336E-2</v>
      </c>
      <c r="Q109" s="67">
        <f t="shared" si="3"/>
        <v>5.4033676146406424E-2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2553</v>
      </c>
      <c r="B9" s="64">
        <v>8.2100000000000009</v>
      </c>
      <c r="C9" s="64">
        <v>3.19</v>
      </c>
      <c r="D9" s="64">
        <v>12.03</v>
      </c>
      <c r="E9" s="64">
        <v>4.87</v>
      </c>
      <c r="F9" s="64">
        <v>3.77</v>
      </c>
      <c r="G9" s="64">
        <v>40.83</v>
      </c>
      <c r="H9" s="64">
        <v>13.06</v>
      </c>
      <c r="I9" s="64">
        <v>5.85</v>
      </c>
      <c r="J9" s="64">
        <v>0.79</v>
      </c>
      <c r="K9" s="64">
        <v>153.91</v>
      </c>
      <c r="L9" s="64">
        <v>25.95</v>
      </c>
      <c r="M9" s="64">
        <v>86.91</v>
      </c>
      <c r="N9" s="64">
        <v>18.2</v>
      </c>
      <c r="O9" s="64">
        <v>0</v>
      </c>
      <c r="P9" s="64">
        <v>0.37</v>
      </c>
      <c r="Q9" s="64">
        <v>9.49</v>
      </c>
      <c r="R9" s="198"/>
      <c r="S9" s="198"/>
      <c r="T9" s="198"/>
      <c r="U9" s="198"/>
    </row>
    <row r="10" spans="1:21" s="12" customFormat="1" x14ac:dyDescent="0.25">
      <c r="A10" s="214" t="s">
        <v>2554</v>
      </c>
      <c r="B10" s="64">
        <v>8.1999999999999993</v>
      </c>
      <c r="C10" s="64">
        <v>3.16</v>
      </c>
      <c r="D10" s="64">
        <v>12</v>
      </c>
      <c r="E10" s="64">
        <v>5.03</v>
      </c>
      <c r="F10" s="64">
        <v>3.62</v>
      </c>
      <c r="G10" s="64">
        <v>40.83</v>
      </c>
      <c r="H10" s="64">
        <v>13.06</v>
      </c>
      <c r="I10" s="64">
        <v>6.07</v>
      </c>
      <c r="J10" s="64">
        <v>0.36</v>
      </c>
      <c r="K10" s="64">
        <v>189.75</v>
      </c>
      <c r="L10" s="64">
        <v>25.91</v>
      </c>
      <c r="M10" s="64">
        <v>86.44</v>
      </c>
      <c r="N10" s="64">
        <v>18.3</v>
      </c>
      <c r="O10" s="64">
        <v>0</v>
      </c>
      <c r="P10" s="64">
        <v>0.37</v>
      </c>
      <c r="Q10" s="64">
        <v>9.48</v>
      </c>
      <c r="R10" s="198"/>
      <c r="S10" s="198"/>
      <c r="T10" s="198"/>
      <c r="U10" s="198"/>
    </row>
    <row r="11" spans="1:21" s="12" customFormat="1" x14ac:dyDescent="0.25">
      <c r="A11" s="214" t="s">
        <v>2555</v>
      </c>
      <c r="B11" s="64">
        <v>8.1999999999999993</v>
      </c>
      <c r="C11" s="64">
        <v>3.14</v>
      </c>
      <c r="D11" s="64">
        <v>11.99</v>
      </c>
      <c r="E11" s="64">
        <v>4.9000000000000004</v>
      </c>
      <c r="F11" s="64">
        <v>3.85</v>
      </c>
      <c r="G11" s="64">
        <v>40.83</v>
      </c>
      <c r="H11" s="64">
        <v>13.06</v>
      </c>
      <c r="I11" s="64">
        <v>6.21</v>
      </c>
      <c r="J11" s="64">
        <v>0.27</v>
      </c>
      <c r="K11" s="64">
        <v>183.27</v>
      </c>
      <c r="L11" s="64">
        <v>25.83</v>
      </c>
      <c r="M11" s="64">
        <v>86.44</v>
      </c>
      <c r="N11" s="64">
        <v>18.3</v>
      </c>
      <c r="O11" s="64">
        <v>0</v>
      </c>
      <c r="P11" s="64">
        <v>0.37</v>
      </c>
      <c r="Q11" s="64">
        <v>9.4600000000000009</v>
      </c>
      <c r="R11" s="198"/>
      <c r="S11" s="198"/>
      <c r="T11" s="198"/>
      <c r="U11" s="198"/>
    </row>
    <row r="12" spans="1:21" s="12" customFormat="1" x14ac:dyDescent="0.25">
      <c r="A12" s="214" t="s">
        <v>2556</v>
      </c>
      <c r="B12" s="64">
        <v>8.26</v>
      </c>
      <c r="C12" s="64">
        <v>3.33</v>
      </c>
      <c r="D12" s="64">
        <v>12.14</v>
      </c>
      <c r="E12" s="64">
        <v>5.14</v>
      </c>
      <c r="F12" s="64">
        <v>4.53</v>
      </c>
      <c r="G12" s="64">
        <v>33.89</v>
      </c>
      <c r="H12" s="64">
        <v>15.01</v>
      </c>
      <c r="I12" s="64">
        <v>6.3</v>
      </c>
      <c r="J12" s="64">
        <v>0.52</v>
      </c>
      <c r="K12" s="64">
        <v>174.24</v>
      </c>
      <c r="L12" s="64">
        <v>25.66</v>
      </c>
      <c r="M12" s="64">
        <v>87.98</v>
      </c>
      <c r="N12" s="64">
        <v>18.3</v>
      </c>
      <c r="O12" s="64">
        <v>0</v>
      </c>
      <c r="P12" s="64">
        <v>0.37</v>
      </c>
      <c r="Q12" s="64">
        <v>9.4700000000000006</v>
      </c>
      <c r="R12" s="198"/>
      <c r="S12" s="198"/>
      <c r="T12" s="198"/>
      <c r="U12" s="198"/>
    </row>
    <row r="13" spans="1:21" s="12" customFormat="1" x14ac:dyDescent="0.25">
      <c r="A13" s="214" t="s">
        <v>2557</v>
      </c>
      <c r="B13" s="64">
        <v>8.16</v>
      </c>
      <c r="C13" s="64">
        <v>3.19</v>
      </c>
      <c r="D13" s="64">
        <v>11.99</v>
      </c>
      <c r="E13" s="64">
        <v>4.92</v>
      </c>
      <c r="F13" s="64">
        <v>2.76</v>
      </c>
      <c r="G13" s="64">
        <v>33.57</v>
      </c>
      <c r="H13" s="64">
        <v>15.11</v>
      </c>
      <c r="I13" s="64">
        <v>6.32</v>
      </c>
      <c r="J13" s="64">
        <v>0.57999999999999996</v>
      </c>
      <c r="K13" s="64">
        <v>145.87</v>
      </c>
      <c r="L13" s="64">
        <v>25.56</v>
      </c>
      <c r="M13" s="64">
        <v>88.55</v>
      </c>
      <c r="N13" s="64">
        <v>18.3</v>
      </c>
      <c r="O13" s="64">
        <v>0</v>
      </c>
      <c r="P13" s="64">
        <v>0.35</v>
      </c>
      <c r="Q13" s="64">
        <v>9.43</v>
      </c>
      <c r="R13" s="198"/>
      <c r="S13" s="198"/>
      <c r="T13" s="198"/>
      <c r="U13" s="198"/>
    </row>
    <row r="14" spans="1:21" s="12" customFormat="1" x14ac:dyDescent="0.25">
      <c r="A14" s="214" t="s">
        <v>2558</v>
      </c>
      <c r="B14" s="64">
        <v>8.23</v>
      </c>
      <c r="C14" s="64">
        <v>3.39</v>
      </c>
      <c r="D14" s="64">
        <v>12.14</v>
      </c>
      <c r="E14" s="64">
        <v>5.14</v>
      </c>
      <c r="F14" s="64">
        <v>3.45</v>
      </c>
      <c r="G14" s="64">
        <v>33.57</v>
      </c>
      <c r="H14" s="64">
        <v>15.11</v>
      </c>
      <c r="I14" s="64">
        <v>6.23</v>
      </c>
      <c r="J14" s="64">
        <v>0.68</v>
      </c>
      <c r="K14" s="64">
        <v>169.28</v>
      </c>
      <c r="L14" s="64">
        <v>25.46</v>
      </c>
      <c r="M14" s="64">
        <v>88.89</v>
      </c>
      <c r="N14" s="64">
        <v>18.2</v>
      </c>
      <c r="O14" s="64">
        <v>0</v>
      </c>
      <c r="P14" s="64">
        <v>0.36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14" t="s">
        <v>2559</v>
      </c>
      <c r="B15" s="64">
        <v>8.19</v>
      </c>
      <c r="C15" s="64">
        <v>3.23</v>
      </c>
      <c r="D15" s="64">
        <v>12.03</v>
      </c>
      <c r="E15" s="64">
        <v>4.8600000000000003</v>
      </c>
      <c r="F15" s="64">
        <v>4.04</v>
      </c>
      <c r="G15" s="64">
        <v>33.57</v>
      </c>
      <c r="H15" s="64">
        <v>15.11</v>
      </c>
      <c r="I15" s="64">
        <v>6.03</v>
      </c>
      <c r="J15" s="64">
        <v>0.13</v>
      </c>
      <c r="K15" s="64">
        <v>237.94</v>
      </c>
      <c r="L15" s="64">
        <v>25.44</v>
      </c>
      <c r="M15" s="64">
        <v>89.37</v>
      </c>
      <c r="N15" s="64">
        <v>18.399999999999999</v>
      </c>
      <c r="O15" s="64">
        <v>0</v>
      </c>
      <c r="P15" s="64">
        <v>0.35</v>
      </c>
      <c r="Q15" s="64">
        <v>9.4499999999999993</v>
      </c>
      <c r="R15" s="198"/>
      <c r="S15" s="198"/>
      <c r="T15" s="198"/>
      <c r="U15" s="198"/>
    </row>
    <row r="16" spans="1:21" s="12" customFormat="1" x14ac:dyDescent="0.25">
      <c r="A16" s="214" t="s">
        <v>2560</v>
      </c>
      <c r="B16" s="64">
        <v>8.2100000000000009</v>
      </c>
      <c r="C16" s="64">
        <v>3.3</v>
      </c>
      <c r="D16" s="64">
        <v>12.08</v>
      </c>
      <c r="E16" s="64">
        <v>4.51</v>
      </c>
      <c r="F16" s="64">
        <v>3.07</v>
      </c>
      <c r="G16" s="64">
        <v>30.79</v>
      </c>
      <c r="H16" s="64">
        <v>11.23</v>
      </c>
      <c r="I16" s="64">
        <v>5.86</v>
      </c>
      <c r="J16" s="64">
        <v>0.18</v>
      </c>
      <c r="K16" s="64">
        <v>76.400000000000006</v>
      </c>
      <c r="L16" s="64">
        <v>25.25</v>
      </c>
      <c r="M16" s="64">
        <v>90.38</v>
      </c>
      <c r="N16" s="64">
        <v>18.399999999999999</v>
      </c>
      <c r="O16" s="64">
        <v>0</v>
      </c>
      <c r="P16" s="64">
        <v>0.36</v>
      </c>
      <c r="Q16" s="64">
        <v>9.4499999999999993</v>
      </c>
      <c r="R16" s="198"/>
      <c r="S16" s="198"/>
      <c r="T16" s="198"/>
      <c r="U16" s="198"/>
    </row>
    <row r="17" spans="1:21" s="12" customFormat="1" x14ac:dyDescent="0.25">
      <c r="A17" s="214" t="s">
        <v>2561</v>
      </c>
      <c r="B17" s="64">
        <v>8.23</v>
      </c>
      <c r="C17" s="64">
        <v>3.37</v>
      </c>
      <c r="D17" s="64">
        <v>12.14</v>
      </c>
      <c r="E17" s="64">
        <v>4.92</v>
      </c>
      <c r="F17" s="64">
        <v>2.83</v>
      </c>
      <c r="G17" s="64">
        <v>30.67</v>
      </c>
      <c r="H17" s="64">
        <v>11.05</v>
      </c>
      <c r="I17" s="64">
        <v>5.75</v>
      </c>
      <c r="J17" s="64">
        <v>0.55000000000000004</v>
      </c>
      <c r="K17" s="64">
        <v>183.33</v>
      </c>
      <c r="L17" s="64">
        <v>25.11</v>
      </c>
      <c r="M17" s="64">
        <v>91.21</v>
      </c>
      <c r="N17" s="64">
        <v>18.2</v>
      </c>
      <c r="O17" s="64">
        <v>0</v>
      </c>
      <c r="P17" s="64">
        <v>0.34</v>
      </c>
      <c r="Q17" s="64">
        <v>9.43</v>
      </c>
      <c r="R17" s="198"/>
      <c r="S17" s="198"/>
      <c r="T17" s="198"/>
      <c r="U17" s="198"/>
    </row>
    <row r="18" spans="1:21" s="12" customFormat="1" x14ac:dyDescent="0.25">
      <c r="A18" s="214" t="s">
        <v>2562</v>
      </c>
      <c r="B18" s="64">
        <v>8.17</v>
      </c>
      <c r="C18" s="64">
        <v>3.18</v>
      </c>
      <c r="D18" s="64">
        <v>11.99</v>
      </c>
      <c r="E18" s="64">
        <v>4.6100000000000003</v>
      </c>
      <c r="F18" s="64">
        <v>3.71</v>
      </c>
      <c r="G18" s="64">
        <v>30.67</v>
      </c>
      <c r="H18" s="64">
        <v>11.05</v>
      </c>
      <c r="I18" s="64">
        <v>5.6</v>
      </c>
      <c r="J18" s="64">
        <v>0.48</v>
      </c>
      <c r="K18" s="64">
        <v>176.92</v>
      </c>
      <c r="L18" s="64">
        <v>25.04</v>
      </c>
      <c r="M18" s="64">
        <v>91.14</v>
      </c>
      <c r="N18" s="64">
        <v>18.100000000000001</v>
      </c>
      <c r="O18" s="64">
        <v>0</v>
      </c>
      <c r="P18" s="64">
        <v>0.33</v>
      </c>
      <c r="Q18" s="64">
        <v>9.41</v>
      </c>
      <c r="R18" s="198"/>
      <c r="S18" s="198"/>
      <c r="T18" s="198"/>
      <c r="U18" s="198"/>
    </row>
    <row r="19" spans="1:21" s="12" customFormat="1" x14ac:dyDescent="0.25">
      <c r="A19" s="214" t="s">
        <v>2563</v>
      </c>
      <c r="B19" s="64">
        <v>8.14</v>
      </c>
      <c r="C19" s="64">
        <v>3.13</v>
      </c>
      <c r="D19" s="64">
        <v>11.94</v>
      </c>
      <c r="E19" s="64">
        <v>4.83</v>
      </c>
      <c r="F19" s="64">
        <v>3.42</v>
      </c>
      <c r="G19" s="64">
        <v>30.67</v>
      </c>
      <c r="H19" s="64">
        <v>11.05</v>
      </c>
      <c r="I19" s="64">
        <v>5.45</v>
      </c>
      <c r="J19" s="64">
        <v>0.92</v>
      </c>
      <c r="K19" s="64">
        <v>153.34</v>
      </c>
      <c r="L19" s="64">
        <v>25.07</v>
      </c>
      <c r="M19" s="64">
        <v>91.11</v>
      </c>
      <c r="N19" s="64">
        <v>18.100000000000001</v>
      </c>
      <c r="O19" s="64">
        <v>0</v>
      </c>
      <c r="P19" s="64">
        <v>0.33</v>
      </c>
      <c r="Q19" s="64">
        <v>9.44</v>
      </c>
      <c r="R19" s="198"/>
      <c r="S19" s="198"/>
      <c r="T19" s="198"/>
      <c r="U19" s="198"/>
    </row>
    <row r="20" spans="1:21" s="12" customFormat="1" x14ac:dyDescent="0.25">
      <c r="A20" s="214" t="s">
        <v>2564</v>
      </c>
      <c r="B20" s="64">
        <v>8.16</v>
      </c>
      <c r="C20" s="64">
        <v>3.12</v>
      </c>
      <c r="D20" s="64">
        <v>11.95</v>
      </c>
      <c r="E20" s="64">
        <v>4.82</v>
      </c>
      <c r="F20" s="64">
        <v>2.94</v>
      </c>
      <c r="G20" s="64">
        <v>21.9</v>
      </c>
      <c r="H20" s="64">
        <v>10.1</v>
      </c>
      <c r="I20" s="64">
        <v>5.36</v>
      </c>
      <c r="J20" s="64">
        <v>0.71</v>
      </c>
      <c r="K20" s="64">
        <v>160.46</v>
      </c>
      <c r="L20" s="64">
        <v>25.05</v>
      </c>
      <c r="M20" s="64">
        <v>91.56</v>
      </c>
      <c r="N20" s="64">
        <v>18.100000000000001</v>
      </c>
      <c r="O20" s="64">
        <v>0</v>
      </c>
      <c r="P20" s="64">
        <v>0.33</v>
      </c>
      <c r="Q20" s="64">
        <v>9.43</v>
      </c>
      <c r="R20" s="198"/>
      <c r="S20" s="198"/>
      <c r="T20" s="198"/>
      <c r="U20" s="198"/>
    </row>
    <row r="21" spans="1:21" s="12" customFormat="1" x14ac:dyDescent="0.25">
      <c r="A21" s="214" t="s">
        <v>2565</v>
      </c>
      <c r="B21" s="64">
        <v>8.32</v>
      </c>
      <c r="C21" s="64">
        <v>3.48</v>
      </c>
      <c r="D21" s="64">
        <v>12.27</v>
      </c>
      <c r="E21" s="64">
        <v>4.5599999999999996</v>
      </c>
      <c r="F21" s="64">
        <v>3.54</v>
      </c>
      <c r="G21" s="64">
        <v>21.5</v>
      </c>
      <c r="H21" s="64">
        <v>10.050000000000001</v>
      </c>
      <c r="I21" s="64">
        <v>5.34</v>
      </c>
      <c r="J21" s="64">
        <v>0.57999999999999996</v>
      </c>
      <c r="K21" s="64">
        <v>146.83000000000001</v>
      </c>
      <c r="L21" s="64">
        <v>24.95</v>
      </c>
      <c r="M21" s="64">
        <v>92.43</v>
      </c>
      <c r="N21" s="64">
        <v>18.3</v>
      </c>
      <c r="O21" s="64">
        <v>0</v>
      </c>
      <c r="P21" s="64">
        <v>0.32</v>
      </c>
      <c r="Q21" s="64">
        <v>9.41</v>
      </c>
      <c r="R21" s="198"/>
      <c r="S21" s="198"/>
      <c r="T21" s="198"/>
      <c r="U21" s="198"/>
    </row>
    <row r="22" spans="1:21" s="12" customFormat="1" x14ac:dyDescent="0.25">
      <c r="A22" s="214" t="s">
        <v>2566</v>
      </c>
      <c r="B22" s="64">
        <v>8.3000000000000007</v>
      </c>
      <c r="C22" s="64">
        <v>3.42</v>
      </c>
      <c r="D22" s="64">
        <v>12.22</v>
      </c>
      <c r="E22" s="64">
        <v>4.7300000000000004</v>
      </c>
      <c r="F22" s="64">
        <v>3.58</v>
      </c>
      <c r="G22" s="64">
        <v>21.5</v>
      </c>
      <c r="H22" s="64">
        <v>10.050000000000001</v>
      </c>
      <c r="I22" s="64">
        <v>5.24</v>
      </c>
      <c r="J22" s="64">
        <v>0.17</v>
      </c>
      <c r="K22" s="64">
        <v>277.58</v>
      </c>
      <c r="L22" s="64">
        <v>24.84</v>
      </c>
      <c r="M22" s="64">
        <v>93.43</v>
      </c>
      <c r="N22" s="64">
        <v>18.5</v>
      </c>
      <c r="O22" s="64">
        <v>0</v>
      </c>
      <c r="P22" s="64">
        <v>0.32</v>
      </c>
      <c r="Q22" s="64">
        <v>9.44</v>
      </c>
      <c r="R22" s="198"/>
      <c r="S22" s="198"/>
      <c r="T22" s="198"/>
      <c r="U22" s="198"/>
    </row>
    <row r="23" spans="1:21" s="12" customFormat="1" x14ac:dyDescent="0.25">
      <c r="A23" s="214" t="s">
        <v>2567</v>
      </c>
      <c r="B23" s="64">
        <v>8.18</v>
      </c>
      <c r="C23" s="64">
        <v>3.19</v>
      </c>
      <c r="D23" s="64">
        <v>12</v>
      </c>
      <c r="E23" s="64">
        <v>5.18</v>
      </c>
      <c r="F23" s="64">
        <v>3.17</v>
      </c>
      <c r="G23" s="64">
        <v>21.5</v>
      </c>
      <c r="H23" s="64">
        <v>10.050000000000001</v>
      </c>
      <c r="I23" s="64">
        <v>5.2</v>
      </c>
      <c r="J23" s="64">
        <v>0.26</v>
      </c>
      <c r="K23" s="64">
        <v>197.34</v>
      </c>
      <c r="L23" s="64">
        <v>24.82</v>
      </c>
      <c r="M23" s="64">
        <v>93.14</v>
      </c>
      <c r="N23" s="64">
        <v>18.3</v>
      </c>
      <c r="O23" s="64">
        <v>0</v>
      </c>
      <c r="P23" s="64">
        <v>0.3</v>
      </c>
      <c r="Q23" s="64">
        <v>9.42</v>
      </c>
      <c r="R23" s="198"/>
      <c r="S23" s="198"/>
      <c r="T23" s="198"/>
      <c r="U23" s="198"/>
    </row>
    <row r="24" spans="1:21" s="12" customFormat="1" x14ac:dyDescent="0.25">
      <c r="A24" s="214" t="s">
        <v>2568</v>
      </c>
      <c r="B24" s="64">
        <v>8.19</v>
      </c>
      <c r="C24" s="64">
        <v>3.16</v>
      </c>
      <c r="D24" s="64">
        <v>11.99</v>
      </c>
      <c r="E24" s="64">
        <v>4.6100000000000003</v>
      </c>
      <c r="F24" s="64">
        <v>3.33</v>
      </c>
      <c r="G24" s="64">
        <v>22.16</v>
      </c>
      <c r="H24" s="64">
        <v>8.19</v>
      </c>
      <c r="I24" s="64">
        <v>5.03</v>
      </c>
      <c r="J24" s="64">
        <v>0.31</v>
      </c>
      <c r="K24" s="64">
        <v>216.59</v>
      </c>
      <c r="L24" s="64">
        <v>24.85</v>
      </c>
      <c r="M24" s="64">
        <v>92.97</v>
      </c>
      <c r="N24" s="64">
        <v>18.3</v>
      </c>
      <c r="O24" s="64">
        <v>0</v>
      </c>
      <c r="P24" s="64">
        <v>0.3</v>
      </c>
      <c r="Q24" s="64">
        <v>9.4</v>
      </c>
      <c r="R24" s="198"/>
      <c r="S24" s="198"/>
      <c r="T24" s="198"/>
      <c r="U24" s="198"/>
    </row>
    <row r="25" spans="1:21" s="12" customFormat="1" x14ac:dyDescent="0.25">
      <c r="A25" s="214" t="s">
        <v>2569</v>
      </c>
      <c r="B25" s="64">
        <v>8.18</v>
      </c>
      <c r="C25" s="64">
        <v>3.16</v>
      </c>
      <c r="D25" s="64">
        <v>11.99</v>
      </c>
      <c r="E25" s="64">
        <v>4.1399999999999997</v>
      </c>
      <c r="F25" s="64">
        <v>3.45</v>
      </c>
      <c r="G25" s="64">
        <v>22.19</v>
      </c>
      <c r="H25" s="64">
        <v>8.08</v>
      </c>
      <c r="I25" s="64">
        <v>5.2</v>
      </c>
      <c r="J25" s="64">
        <v>0.27</v>
      </c>
      <c r="K25" s="64">
        <v>140.38</v>
      </c>
      <c r="L25" s="64">
        <v>24.85</v>
      </c>
      <c r="M25" s="64">
        <v>92.95</v>
      </c>
      <c r="N25" s="64">
        <v>18.100000000000001</v>
      </c>
      <c r="O25" s="64">
        <v>0</v>
      </c>
      <c r="P25" s="64">
        <v>0.3</v>
      </c>
      <c r="Q25" s="64">
        <v>9.41</v>
      </c>
      <c r="R25" s="198"/>
      <c r="S25" s="198"/>
      <c r="T25" s="198"/>
      <c r="U25" s="198"/>
    </row>
    <row r="26" spans="1:21" s="12" customFormat="1" x14ac:dyDescent="0.25">
      <c r="A26" s="214" t="s">
        <v>2570</v>
      </c>
      <c r="B26" s="64">
        <v>8.2100000000000009</v>
      </c>
      <c r="C26" s="64">
        <v>3.11</v>
      </c>
      <c r="D26" s="64">
        <v>11.99</v>
      </c>
      <c r="E26" s="64">
        <v>4.2699999999999996</v>
      </c>
      <c r="F26" s="64">
        <v>3.47</v>
      </c>
      <c r="G26" s="64">
        <v>22.19</v>
      </c>
      <c r="H26" s="64">
        <v>8.08</v>
      </c>
      <c r="I26" s="64">
        <v>5.42</v>
      </c>
      <c r="J26" s="64">
        <v>0.35</v>
      </c>
      <c r="K26" s="64">
        <v>163.66</v>
      </c>
      <c r="L26" s="64">
        <v>24.86</v>
      </c>
      <c r="M26" s="64">
        <v>92.72</v>
      </c>
      <c r="N26" s="64">
        <v>18.100000000000001</v>
      </c>
      <c r="O26" s="64">
        <v>0</v>
      </c>
      <c r="P26" s="64">
        <v>0.31</v>
      </c>
      <c r="Q26" s="64">
        <v>9.41</v>
      </c>
      <c r="R26" s="198"/>
      <c r="S26" s="198"/>
      <c r="T26" s="198"/>
      <c r="U26" s="198"/>
    </row>
    <row r="27" spans="1:21" s="12" customFormat="1" x14ac:dyDescent="0.25">
      <c r="A27" s="214" t="s">
        <v>2571</v>
      </c>
      <c r="B27" s="64">
        <v>8.18</v>
      </c>
      <c r="C27" s="64">
        <v>3.1</v>
      </c>
      <c r="D27" s="64">
        <v>11.96</v>
      </c>
      <c r="E27" s="64">
        <v>4.26</v>
      </c>
      <c r="F27" s="64">
        <v>3.31</v>
      </c>
      <c r="G27" s="64">
        <v>22.19</v>
      </c>
      <c r="H27" s="64">
        <v>8.08</v>
      </c>
      <c r="I27" s="64">
        <v>5.55</v>
      </c>
      <c r="J27" s="64">
        <v>0.98</v>
      </c>
      <c r="K27" s="64">
        <v>148.12</v>
      </c>
      <c r="L27" s="64">
        <v>24.92</v>
      </c>
      <c r="M27" s="64">
        <v>92.31</v>
      </c>
      <c r="N27" s="64">
        <v>18.100000000000001</v>
      </c>
      <c r="O27" s="64">
        <v>0</v>
      </c>
      <c r="P27" s="64">
        <v>0.3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14" t="s">
        <v>2572</v>
      </c>
      <c r="B28" s="64">
        <v>8.19</v>
      </c>
      <c r="C28" s="64">
        <v>3.1</v>
      </c>
      <c r="D28" s="64">
        <v>11.96</v>
      </c>
      <c r="E28" s="64">
        <v>4.32</v>
      </c>
      <c r="F28" s="64">
        <v>3.44</v>
      </c>
      <c r="G28" s="64">
        <v>25.7</v>
      </c>
      <c r="H28" s="64">
        <v>8.6199999999999992</v>
      </c>
      <c r="I28" s="64">
        <v>5.75</v>
      </c>
      <c r="J28" s="64">
        <v>0.79</v>
      </c>
      <c r="K28" s="64">
        <v>159.16999999999999</v>
      </c>
      <c r="L28" s="64">
        <v>24.95</v>
      </c>
      <c r="M28" s="64">
        <v>92.07</v>
      </c>
      <c r="N28" s="64">
        <v>18.3</v>
      </c>
      <c r="O28" s="64">
        <v>0</v>
      </c>
      <c r="P28" s="64">
        <v>0.3</v>
      </c>
      <c r="Q28" s="64">
        <v>9.42</v>
      </c>
      <c r="R28" s="198"/>
      <c r="S28" s="198"/>
      <c r="T28" s="198"/>
      <c r="U28" s="198"/>
    </row>
    <row r="29" spans="1:21" s="12" customFormat="1" x14ac:dyDescent="0.25">
      <c r="A29" s="214" t="s">
        <v>2573</v>
      </c>
      <c r="B29" s="64">
        <v>8.26</v>
      </c>
      <c r="C29" s="64">
        <v>3.24</v>
      </c>
      <c r="D29" s="64">
        <v>12.09</v>
      </c>
      <c r="E29" s="64">
        <v>4.5</v>
      </c>
      <c r="F29" s="64">
        <v>3.34</v>
      </c>
      <c r="G29" s="64">
        <v>25.86</v>
      </c>
      <c r="H29" s="64">
        <v>8.65</v>
      </c>
      <c r="I29" s="64">
        <v>5.99</v>
      </c>
      <c r="J29" s="64">
        <v>0.23</v>
      </c>
      <c r="K29" s="64">
        <v>199.15</v>
      </c>
      <c r="L29" s="64">
        <v>24.97</v>
      </c>
      <c r="M29" s="64">
        <v>92.04</v>
      </c>
      <c r="N29" s="64">
        <v>18.600000000000001</v>
      </c>
      <c r="O29" s="64">
        <v>0</v>
      </c>
      <c r="P29" s="64">
        <v>0.3</v>
      </c>
      <c r="Q29" s="64">
        <v>9.4499999999999993</v>
      </c>
      <c r="R29" s="198"/>
      <c r="S29" s="198"/>
      <c r="T29" s="198"/>
      <c r="U29" s="198"/>
    </row>
    <row r="30" spans="1:21" s="12" customFormat="1" x14ac:dyDescent="0.25">
      <c r="A30" s="214" t="s">
        <v>2574</v>
      </c>
      <c r="B30" s="64">
        <v>8.25</v>
      </c>
      <c r="C30" s="64">
        <v>3.23</v>
      </c>
      <c r="D30" s="64">
        <v>12.07</v>
      </c>
      <c r="E30" s="64">
        <v>4.51</v>
      </c>
      <c r="F30" s="64">
        <v>3.49</v>
      </c>
      <c r="G30" s="64">
        <v>25.86</v>
      </c>
      <c r="H30" s="64">
        <v>8.65</v>
      </c>
      <c r="I30" s="64">
        <v>6.2</v>
      </c>
      <c r="J30" s="64">
        <v>0.25</v>
      </c>
      <c r="K30" s="64">
        <v>9.65</v>
      </c>
      <c r="L30" s="64">
        <v>24.93</v>
      </c>
      <c r="M30" s="64">
        <v>92.65</v>
      </c>
      <c r="N30" s="64">
        <v>20.399999999999999</v>
      </c>
      <c r="O30" s="64">
        <v>0</v>
      </c>
      <c r="P30" s="64">
        <v>0.3</v>
      </c>
      <c r="Q30" s="64">
        <v>9.41</v>
      </c>
      <c r="R30" s="198"/>
      <c r="S30" s="198"/>
      <c r="T30" s="198"/>
      <c r="U30" s="198"/>
    </row>
    <row r="31" spans="1:21" s="12" customFormat="1" x14ac:dyDescent="0.25">
      <c r="A31" s="214" t="s">
        <v>2575</v>
      </c>
      <c r="B31" s="64">
        <v>8.16</v>
      </c>
      <c r="C31" s="64">
        <v>3.07</v>
      </c>
      <c r="D31" s="64">
        <v>11.92</v>
      </c>
      <c r="E31" s="64">
        <v>4.71</v>
      </c>
      <c r="F31" s="64">
        <v>3.68</v>
      </c>
      <c r="G31" s="64">
        <v>25.86</v>
      </c>
      <c r="H31" s="64">
        <v>8.65</v>
      </c>
      <c r="I31" s="64">
        <v>6.31</v>
      </c>
      <c r="J31" s="64">
        <v>0.54</v>
      </c>
      <c r="K31" s="64">
        <v>148.69</v>
      </c>
      <c r="L31" s="64">
        <v>24.79</v>
      </c>
      <c r="M31" s="64">
        <v>94.41</v>
      </c>
      <c r="N31" s="64">
        <v>23.4</v>
      </c>
      <c r="O31" s="64">
        <v>0</v>
      </c>
      <c r="P31" s="64">
        <v>0.31</v>
      </c>
      <c r="Q31" s="64">
        <v>9.41</v>
      </c>
      <c r="R31" s="198"/>
      <c r="S31" s="198"/>
      <c r="T31" s="198"/>
      <c r="U31" s="198"/>
    </row>
    <row r="32" spans="1:21" s="12" customFormat="1" x14ac:dyDescent="0.25">
      <c r="A32" s="214" t="s">
        <v>2576</v>
      </c>
      <c r="B32" s="64">
        <v>8.16</v>
      </c>
      <c r="C32" s="64">
        <v>3.12</v>
      </c>
      <c r="D32" s="64">
        <v>11.95</v>
      </c>
      <c r="E32" s="64">
        <v>4.74</v>
      </c>
      <c r="F32" s="64">
        <v>3.49</v>
      </c>
      <c r="G32" s="64">
        <v>25.04</v>
      </c>
      <c r="H32" s="64">
        <v>8.4700000000000006</v>
      </c>
      <c r="I32" s="64">
        <v>6.23</v>
      </c>
      <c r="J32" s="64">
        <v>0.33</v>
      </c>
      <c r="K32" s="64">
        <v>306.20999999999998</v>
      </c>
      <c r="L32" s="64">
        <v>24.74</v>
      </c>
      <c r="M32" s="64">
        <v>95.08</v>
      </c>
      <c r="N32" s="64">
        <v>28.6</v>
      </c>
      <c r="O32" s="64">
        <v>0</v>
      </c>
      <c r="P32" s="64">
        <v>0.3</v>
      </c>
      <c r="Q32" s="64">
        <v>9.4</v>
      </c>
      <c r="R32" s="198"/>
      <c r="S32" s="198"/>
      <c r="T32" s="198"/>
      <c r="U32" s="198"/>
    </row>
    <row r="33" spans="1:21" s="12" customFormat="1" x14ac:dyDescent="0.25">
      <c r="A33" s="214" t="s">
        <v>2577</v>
      </c>
      <c r="B33" s="64">
        <v>8.16</v>
      </c>
      <c r="C33" s="64">
        <v>3.11</v>
      </c>
      <c r="D33" s="64">
        <v>11.94</v>
      </c>
      <c r="E33" s="64">
        <v>4.26</v>
      </c>
      <c r="F33" s="64">
        <v>4.09</v>
      </c>
      <c r="G33" s="64">
        <v>25</v>
      </c>
      <c r="H33" s="64">
        <v>8.4600000000000009</v>
      </c>
      <c r="I33" s="64">
        <v>6.08</v>
      </c>
      <c r="J33" s="64">
        <v>0.55000000000000004</v>
      </c>
      <c r="K33" s="64">
        <v>141.88</v>
      </c>
      <c r="L33" s="64">
        <v>24.79</v>
      </c>
      <c r="M33" s="64">
        <v>94.02</v>
      </c>
      <c r="N33" s="64">
        <v>38</v>
      </c>
      <c r="O33" s="64">
        <v>0</v>
      </c>
      <c r="P33" s="64">
        <v>0.32</v>
      </c>
      <c r="Q33" s="64">
        <v>9.44</v>
      </c>
      <c r="R33" s="198"/>
      <c r="S33" s="198"/>
      <c r="T33" s="198"/>
      <c r="U33" s="198"/>
    </row>
    <row r="34" spans="1:21" s="12" customFormat="1" x14ac:dyDescent="0.25">
      <c r="A34" s="214" t="s">
        <v>2578</v>
      </c>
      <c r="B34" s="64">
        <v>8.4499999999999993</v>
      </c>
      <c r="C34" s="64">
        <v>3.84</v>
      </c>
      <c r="D34" s="64">
        <v>12.56</v>
      </c>
      <c r="E34" s="64">
        <v>4.83</v>
      </c>
      <c r="F34" s="64">
        <v>3.16</v>
      </c>
      <c r="G34" s="64">
        <v>25</v>
      </c>
      <c r="H34" s="64">
        <v>8.4600000000000009</v>
      </c>
      <c r="I34" s="64">
        <v>5.92</v>
      </c>
      <c r="J34" s="64">
        <v>0.54</v>
      </c>
      <c r="K34" s="64">
        <v>166.89</v>
      </c>
      <c r="L34" s="64">
        <v>24.93</v>
      </c>
      <c r="M34" s="64">
        <v>92.84</v>
      </c>
      <c r="N34" s="64">
        <v>47.1</v>
      </c>
      <c r="O34" s="64">
        <v>0</v>
      </c>
      <c r="P34" s="64">
        <v>0.31</v>
      </c>
      <c r="Q34" s="64">
        <v>9.43</v>
      </c>
      <c r="R34" s="198"/>
      <c r="S34" s="198"/>
      <c r="T34" s="198"/>
      <c r="U34" s="198"/>
    </row>
    <row r="35" spans="1:21" s="12" customFormat="1" x14ac:dyDescent="0.25">
      <c r="A35" s="214" t="s">
        <v>2579</v>
      </c>
      <c r="B35" s="64">
        <v>8.2799999999999994</v>
      </c>
      <c r="C35" s="64">
        <v>3.4</v>
      </c>
      <c r="D35" s="64">
        <v>12.19</v>
      </c>
      <c r="E35" s="64">
        <v>4.62</v>
      </c>
      <c r="F35" s="64">
        <v>3.72</v>
      </c>
      <c r="G35" s="64">
        <v>25</v>
      </c>
      <c r="H35" s="64">
        <v>8.4600000000000009</v>
      </c>
      <c r="I35" s="64">
        <v>5.77</v>
      </c>
      <c r="J35" s="64">
        <v>0.71</v>
      </c>
      <c r="K35" s="64">
        <v>163.47999999999999</v>
      </c>
      <c r="L35" s="64">
        <v>25.09</v>
      </c>
      <c r="M35" s="64">
        <v>92.02</v>
      </c>
      <c r="N35" s="64">
        <v>49.2</v>
      </c>
      <c r="O35" s="64">
        <v>0</v>
      </c>
      <c r="P35" s="64">
        <v>0.31</v>
      </c>
      <c r="Q35" s="64">
        <v>9.4499999999999993</v>
      </c>
      <c r="R35" s="198"/>
      <c r="S35" s="198"/>
      <c r="T35" s="198"/>
      <c r="U35" s="198"/>
    </row>
    <row r="36" spans="1:21" s="12" customFormat="1" x14ac:dyDescent="0.25">
      <c r="A36" s="214" t="s">
        <v>2580</v>
      </c>
      <c r="B36" s="64">
        <v>8.18</v>
      </c>
      <c r="C36" s="64">
        <v>3.18</v>
      </c>
      <c r="D36" s="64">
        <v>12</v>
      </c>
      <c r="E36" s="64">
        <v>4.59</v>
      </c>
      <c r="F36" s="64">
        <v>3.44</v>
      </c>
      <c r="G36" s="64">
        <v>22.41</v>
      </c>
      <c r="H36" s="64">
        <v>7.44</v>
      </c>
      <c r="I36" s="64">
        <v>5.62</v>
      </c>
      <c r="J36" s="64">
        <v>0.36</v>
      </c>
      <c r="K36" s="64">
        <v>165.97</v>
      </c>
      <c r="L36" s="64">
        <v>25.16</v>
      </c>
      <c r="M36" s="64">
        <v>91.13</v>
      </c>
      <c r="N36" s="64">
        <v>55.1</v>
      </c>
      <c r="O36" s="64">
        <v>0</v>
      </c>
      <c r="P36" s="64">
        <v>0.32</v>
      </c>
      <c r="Q36" s="64">
        <v>9.4600000000000009</v>
      </c>
      <c r="R36" s="198"/>
      <c r="S36" s="198"/>
      <c r="T36" s="198"/>
      <c r="U36" s="198"/>
    </row>
    <row r="37" spans="1:21" s="12" customFormat="1" x14ac:dyDescent="0.25">
      <c r="A37" s="214" t="s">
        <v>2581</v>
      </c>
      <c r="B37" s="64">
        <v>8.1300000000000008</v>
      </c>
      <c r="C37" s="64">
        <v>3.11</v>
      </c>
      <c r="D37" s="64">
        <v>11.92</v>
      </c>
      <c r="E37" s="64">
        <v>4.68</v>
      </c>
      <c r="F37" s="64">
        <v>3.14</v>
      </c>
      <c r="G37" s="64">
        <v>22.28</v>
      </c>
      <c r="H37" s="64">
        <v>7.38</v>
      </c>
      <c r="I37" s="64">
        <v>5.51</v>
      </c>
      <c r="J37" s="64">
        <v>0.19</v>
      </c>
      <c r="K37" s="64">
        <v>231.81</v>
      </c>
      <c r="L37" s="64">
        <v>25.32</v>
      </c>
      <c r="M37" s="64">
        <v>90.65</v>
      </c>
      <c r="N37" s="64">
        <v>76.099999999999994</v>
      </c>
      <c r="O37" s="64">
        <v>0</v>
      </c>
      <c r="P37" s="64">
        <v>0.28999999999999998</v>
      </c>
      <c r="Q37" s="64">
        <v>9.4600000000000009</v>
      </c>
      <c r="R37" s="198"/>
      <c r="S37" s="198"/>
      <c r="T37" s="198"/>
      <c r="U37" s="198"/>
    </row>
    <row r="38" spans="1:21" s="12" customFormat="1" x14ac:dyDescent="0.25">
      <c r="A38" s="214" t="s">
        <v>2582</v>
      </c>
      <c r="B38" s="64">
        <v>8.17</v>
      </c>
      <c r="C38" s="64">
        <v>3.19</v>
      </c>
      <c r="D38" s="64">
        <v>12</v>
      </c>
      <c r="E38" s="64">
        <v>4.5599999999999996</v>
      </c>
      <c r="F38" s="64">
        <v>3.71</v>
      </c>
      <c r="G38" s="64">
        <v>22.28</v>
      </c>
      <c r="H38" s="64">
        <v>7.38</v>
      </c>
      <c r="I38" s="64">
        <v>5.42</v>
      </c>
      <c r="J38" s="64">
        <v>1.1399999999999999</v>
      </c>
      <c r="K38" s="64">
        <v>143.57</v>
      </c>
      <c r="L38" s="64">
        <v>25.52</v>
      </c>
      <c r="M38" s="64">
        <v>89.74</v>
      </c>
      <c r="N38" s="64">
        <v>95.9</v>
      </c>
      <c r="O38" s="64">
        <v>0</v>
      </c>
      <c r="P38" s="64">
        <v>0.32</v>
      </c>
      <c r="Q38" s="64">
        <v>9.4600000000000009</v>
      </c>
      <c r="R38" s="198"/>
      <c r="S38" s="198"/>
      <c r="T38" s="198"/>
      <c r="U38" s="198"/>
    </row>
    <row r="39" spans="1:21" s="12" customFormat="1" x14ac:dyDescent="0.25">
      <c r="A39" s="214" t="s">
        <v>2583</v>
      </c>
      <c r="B39" s="64">
        <v>8.17</v>
      </c>
      <c r="C39" s="64">
        <v>3.17</v>
      </c>
      <c r="D39" s="64">
        <v>11.98</v>
      </c>
      <c r="E39" s="64">
        <v>4.72</v>
      </c>
      <c r="F39" s="64">
        <v>4.07</v>
      </c>
      <c r="G39" s="64">
        <v>22.28</v>
      </c>
      <c r="H39" s="64">
        <v>7.38</v>
      </c>
      <c r="I39" s="64">
        <v>5.26</v>
      </c>
      <c r="J39" s="64">
        <v>0.98</v>
      </c>
      <c r="K39" s="64">
        <v>151.71</v>
      </c>
      <c r="L39" s="64">
        <v>25.68</v>
      </c>
      <c r="M39" s="64">
        <v>88.97</v>
      </c>
      <c r="N39" s="64">
        <v>119.3</v>
      </c>
      <c r="O39" s="64">
        <v>0</v>
      </c>
      <c r="P39" s="64">
        <v>0.33</v>
      </c>
      <c r="Q39" s="64">
        <v>9.48</v>
      </c>
      <c r="R39" s="198"/>
      <c r="S39" s="198"/>
      <c r="T39" s="198"/>
      <c r="U39" s="198"/>
    </row>
    <row r="40" spans="1:21" s="12" customFormat="1" x14ac:dyDescent="0.25">
      <c r="A40" s="214" t="s">
        <v>2584</v>
      </c>
      <c r="B40" s="64">
        <v>8.26</v>
      </c>
      <c r="C40" s="64">
        <v>3.33</v>
      </c>
      <c r="D40" s="64">
        <v>12.14</v>
      </c>
      <c r="E40" s="64">
        <v>3.88</v>
      </c>
      <c r="F40" s="64">
        <v>3.06</v>
      </c>
      <c r="G40" s="64">
        <v>28.33</v>
      </c>
      <c r="H40" s="64">
        <v>12.78</v>
      </c>
      <c r="I40" s="64">
        <v>5.22</v>
      </c>
      <c r="J40" s="64">
        <v>1.44</v>
      </c>
      <c r="K40" s="64">
        <v>142.76</v>
      </c>
      <c r="L40" s="64">
        <v>25.87</v>
      </c>
      <c r="M40" s="64">
        <v>87.23</v>
      </c>
      <c r="N40" s="64">
        <v>147.69999999999999</v>
      </c>
      <c r="O40" s="64">
        <v>0</v>
      </c>
      <c r="P40" s="64">
        <v>0.33</v>
      </c>
      <c r="Q40" s="64">
        <v>9.4499999999999993</v>
      </c>
      <c r="R40" s="198"/>
      <c r="S40" s="198"/>
      <c r="T40" s="198"/>
      <c r="U40" s="198"/>
    </row>
    <row r="41" spans="1:21" s="12" customFormat="1" x14ac:dyDescent="0.25">
      <c r="A41" s="214" t="s">
        <v>2585</v>
      </c>
      <c r="B41" s="64">
        <v>8.48</v>
      </c>
      <c r="C41" s="64">
        <v>3.84</v>
      </c>
      <c r="D41" s="64">
        <v>12.58</v>
      </c>
      <c r="E41" s="64">
        <v>4.13</v>
      </c>
      <c r="F41" s="64">
        <v>2.7</v>
      </c>
      <c r="G41" s="64">
        <v>28.61</v>
      </c>
      <c r="H41" s="64">
        <v>13.03</v>
      </c>
      <c r="I41" s="64">
        <v>5.27</v>
      </c>
      <c r="J41" s="64">
        <v>1.1399999999999999</v>
      </c>
      <c r="K41" s="64">
        <v>162</v>
      </c>
      <c r="L41" s="64">
        <v>26.06</v>
      </c>
      <c r="M41" s="64">
        <v>86.03</v>
      </c>
      <c r="N41" s="64">
        <v>181.8</v>
      </c>
      <c r="O41" s="64">
        <v>0</v>
      </c>
      <c r="P41" s="64">
        <v>0.32</v>
      </c>
      <c r="Q41" s="64">
        <v>9.44</v>
      </c>
      <c r="R41" s="198"/>
      <c r="S41" s="198"/>
      <c r="T41" s="198"/>
      <c r="U41" s="198"/>
    </row>
    <row r="42" spans="1:21" s="12" customFormat="1" x14ac:dyDescent="0.25">
      <c r="A42" s="214" t="s">
        <v>2586</v>
      </c>
      <c r="B42" s="64">
        <v>8.23</v>
      </c>
      <c r="C42" s="64">
        <v>3.25</v>
      </c>
      <c r="D42" s="64">
        <v>12.07</v>
      </c>
      <c r="E42" s="64">
        <v>4.1900000000000004</v>
      </c>
      <c r="F42" s="64">
        <v>3.65</v>
      </c>
      <c r="G42" s="64">
        <v>28.61</v>
      </c>
      <c r="H42" s="64">
        <v>13.03</v>
      </c>
      <c r="I42" s="64">
        <v>5.35</v>
      </c>
      <c r="J42" s="64">
        <v>1.02</v>
      </c>
      <c r="K42" s="64">
        <v>156.97</v>
      </c>
      <c r="L42" s="64">
        <v>26.56</v>
      </c>
      <c r="M42" s="64">
        <v>83.84</v>
      </c>
      <c r="N42" s="64">
        <v>276.8</v>
      </c>
      <c r="O42" s="64">
        <v>0</v>
      </c>
      <c r="P42" s="64">
        <v>0.32</v>
      </c>
      <c r="Q42" s="64">
        <v>9.42</v>
      </c>
      <c r="R42" s="198"/>
      <c r="S42" s="198"/>
      <c r="T42" s="198"/>
      <c r="U42" s="198"/>
    </row>
    <row r="43" spans="1:21" s="12" customFormat="1" x14ac:dyDescent="0.25">
      <c r="A43" s="214" t="s">
        <v>2587</v>
      </c>
      <c r="B43" s="64">
        <v>8.1999999999999993</v>
      </c>
      <c r="C43" s="64">
        <v>3.18</v>
      </c>
      <c r="D43" s="64">
        <v>12.01</v>
      </c>
      <c r="E43" s="64">
        <v>3.99</v>
      </c>
      <c r="F43" s="64">
        <v>3.74</v>
      </c>
      <c r="G43" s="64">
        <v>28.61</v>
      </c>
      <c r="H43" s="64">
        <v>13.03</v>
      </c>
      <c r="I43" s="64">
        <v>5.58</v>
      </c>
      <c r="J43" s="64">
        <v>0.83</v>
      </c>
      <c r="K43" s="64">
        <v>143.68</v>
      </c>
      <c r="L43" s="64">
        <v>27.34</v>
      </c>
      <c r="M43" s="64">
        <v>79.45</v>
      </c>
      <c r="N43" s="64">
        <v>455.4</v>
      </c>
      <c r="O43" s="64">
        <v>0</v>
      </c>
      <c r="P43" s="64">
        <v>0.32</v>
      </c>
      <c r="Q43" s="64">
        <v>9.43</v>
      </c>
      <c r="R43" s="198"/>
      <c r="S43" s="198"/>
      <c r="T43" s="198"/>
      <c r="U43" s="198"/>
    </row>
    <row r="44" spans="1:21" s="12" customFormat="1" x14ac:dyDescent="0.25">
      <c r="A44" s="214" t="s">
        <v>2588</v>
      </c>
      <c r="B44" s="64">
        <v>8.19</v>
      </c>
      <c r="C44" s="64">
        <v>3.16</v>
      </c>
      <c r="D44" s="64">
        <v>11.99</v>
      </c>
      <c r="E44" s="64">
        <v>4.34</v>
      </c>
      <c r="F44" s="64">
        <v>3.5</v>
      </c>
      <c r="G44" s="64">
        <v>27.85</v>
      </c>
      <c r="H44" s="64">
        <v>9.2899999999999991</v>
      </c>
      <c r="I44" s="64">
        <v>5.87</v>
      </c>
      <c r="J44" s="64">
        <v>0.44</v>
      </c>
      <c r="K44" s="64">
        <v>152.1</v>
      </c>
      <c r="L44" s="64">
        <v>27.88</v>
      </c>
      <c r="M44" s="64">
        <v>76.22</v>
      </c>
      <c r="N44" s="64">
        <v>346.7</v>
      </c>
      <c r="O44" s="64">
        <v>0</v>
      </c>
      <c r="P44" s="64">
        <v>0.32</v>
      </c>
      <c r="Q44" s="64">
        <v>9.44</v>
      </c>
      <c r="R44" s="198"/>
      <c r="S44" s="198"/>
      <c r="T44" s="198"/>
      <c r="U44" s="198"/>
    </row>
    <row r="45" spans="1:21" s="12" customFormat="1" x14ac:dyDescent="0.25">
      <c r="A45" s="214" t="s">
        <v>2589</v>
      </c>
      <c r="B45" s="64">
        <v>8.2100000000000009</v>
      </c>
      <c r="C45" s="64">
        <v>3.16</v>
      </c>
      <c r="D45" s="64">
        <v>12</v>
      </c>
      <c r="E45" s="64">
        <v>3.49</v>
      </c>
      <c r="F45" s="64">
        <v>3.63</v>
      </c>
      <c r="G45" s="64">
        <v>27.81</v>
      </c>
      <c r="H45" s="64">
        <v>9.1199999999999992</v>
      </c>
      <c r="I45" s="64">
        <v>6.13</v>
      </c>
      <c r="J45" s="64">
        <v>0.8</v>
      </c>
      <c r="K45" s="64">
        <v>158.69</v>
      </c>
      <c r="L45" s="64">
        <v>28.05</v>
      </c>
      <c r="M45" s="64">
        <v>75.489999999999995</v>
      </c>
      <c r="N45" s="64">
        <v>441.3</v>
      </c>
      <c r="O45" s="64">
        <v>0</v>
      </c>
      <c r="P45" s="64">
        <v>0.32</v>
      </c>
      <c r="Q45" s="64">
        <v>9.4700000000000006</v>
      </c>
      <c r="R45" s="198"/>
      <c r="S45" s="198"/>
      <c r="T45" s="198"/>
      <c r="U45" s="198"/>
    </row>
    <row r="46" spans="1:21" s="12" customFormat="1" x14ac:dyDescent="0.25">
      <c r="A46" s="214" t="s">
        <v>2590</v>
      </c>
      <c r="B46" s="64">
        <v>8.2200000000000006</v>
      </c>
      <c r="C46" s="64">
        <v>3.14</v>
      </c>
      <c r="D46" s="64">
        <v>12</v>
      </c>
      <c r="E46" s="64">
        <v>3.91</v>
      </c>
      <c r="F46" s="64">
        <v>3.63</v>
      </c>
      <c r="G46" s="64">
        <v>27.81</v>
      </c>
      <c r="H46" s="64">
        <v>9.1199999999999992</v>
      </c>
      <c r="I46" s="64">
        <v>6.23</v>
      </c>
      <c r="J46" s="64">
        <v>0.11</v>
      </c>
      <c r="K46" s="64">
        <v>344.73</v>
      </c>
      <c r="L46" s="64">
        <v>29.6</v>
      </c>
      <c r="M46" s="64">
        <v>68.55</v>
      </c>
      <c r="N46" s="64">
        <v>698.1</v>
      </c>
      <c r="O46" s="64">
        <v>0</v>
      </c>
      <c r="P46" s="64">
        <v>0.32</v>
      </c>
      <c r="Q46" s="64">
        <v>9.4600000000000009</v>
      </c>
      <c r="R46" s="198"/>
      <c r="S46" s="198"/>
      <c r="T46" s="198"/>
      <c r="U46" s="198"/>
    </row>
    <row r="47" spans="1:21" s="12" customFormat="1" x14ac:dyDescent="0.25">
      <c r="A47" s="214" t="s">
        <v>2591</v>
      </c>
      <c r="B47" s="64">
        <v>8.19</v>
      </c>
      <c r="C47" s="64">
        <v>3.13</v>
      </c>
      <c r="D47" s="64">
        <v>11.98</v>
      </c>
      <c r="E47" s="64">
        <v>4.0199999999999996</v>
      </c>
      <c r="F47" s="64">
        <v>3.97</v>
      </c>
      <c r="G47" s="64">
        <v>27.81</v>
      </c>
      <c r="H47" s="64">
        <v>9.1199999999999992</v>
      </c>
      <c r="I47" s="64">
        <v>6.21</v>
      </c>
      <c r="J47" s="64">
        <v>0.06</v>
      </c>
      <c r="K47" s="64">
        <v>65.180000000000007</v>
      </c>
      <c r="L47" s="64">
        <v>29.98</v>
      </c>
      <c r="M47" s="64">
        <v>63.94</v>
      </c>
      <c r="N47" s="64">
        <v>781.7</v>
      </c>
      <c r="O47" s="64">
        <v>0</v>
      </c>
      <c r="P47" s="64">
        <v>0.33</v>
      </c>
      <c r="Q47" s="64">
        <v>9.4600000000000009</v>
      </c>
      <c r="R47" s="198"/>
      <c r="S47" s="198"/>
      <c r="T47" s="198"/>
      <c r="U47" s="198"/>
    </row>
    <row r="48" spans="1:21" s="12" customFormat="1" x14ac:dyDescent="0.25">
      <c r="A48" s="214" t="s">
        <v>2592</v>
      </c>
      <c r="B48" s="64">
        <v>8.18</v>
      </c>
      <c r="C48" s="64">
        <v>3.18</v>
      </c>
      <c r="D48" s="64">
        <v>11.99</v>
      </c>
      <c r="E48" s="64">
        <v>3.96</v>
      </c>
      <c r="F48" s="64">
        <v>4.46</v>
      </c>
      <c r="G48" s="64">
        <v>29.8</v>
      </c>
      <c r="H48" s="64">
        <v>11.34</v>
      </c>
      <c r="I48" s="64">
        <v>6.11</v>
      </c>
      <c r="J48" s="64">
        <v>0.38</v>
      </c>
      <c r="K48" s="64">
        <v>341.66</v>
      </c>
      <c r="L48" s="64">
        <v>31.3</v>
      </c>
      <c r="M48" s="64">
        <v>59.49</v>
      </c>
      <c r="N48" s="64">
        <v>726.8</v>
      </c>
      <c r="O48" s="64">
        <v>0</v>
      </c>
      <c r="P48" s="64">
        <v>0.33</v>
      </c>
      <c r="Q48" s="64">
        <v>9.4499999999999993</v>
      </c>
      <c r="R48" s="198"/>
      <c r="S48" s="198"/>
      <c r="T48" s="198"/>
      <c r="U48" s="198"/>
    </row>
    <row r="49" spans="1:21" s="12" customFormat="1" x14ac:dyDescent="0.25">
      <c r="A49" s="214" t="s">
        <v>2593</v>
      </c>
      <c r="B49" s="64">
        <v>8.15</v>
      </c>
      <c r="C49" s="64">
        <v>3.15</v>
      </c>
      <c r="D49" s="64">
        <v>11.96</v>
      </c>
      <c r="E49" s="64">
        <v>3.82</v>
      </c>
      <c r="F49" s="64">
        <v>4.49</v>
      </c>
      <c r="G49" s="64">
        <v>29.89</v>
      </c>
      <c r="H49" s="64">
        <v>11.44</v>
      </c>
      <c r="I49" s="64">
        <v>5.86</v>
      </c>
      <c r="J49" s="64">
        <v>0.65</v>
      </c>
      <c r="K49" s="64">
        <v>339.13</v>
      </c>
      <c r="L49" s="64">
        <v>32.9</v>
      </c>
      <c r="M49" s="64">
        <v>54.91</v>
      </c>
      <c r="N49" s="64">
        <v>864.2</v>
      </c>
      <c r="O49" s="64">
        <v>0</v>
      </c>
      <c r="P49" s="64">
        <v>0.35</v>
      </c>
      <c r="Q49" s="64">
        <v>9.4499999999999993</v>
      </c>
      <c r="R49" s="198"/>
      <c r="S49" s="198"/>
      <c r="T49" s="198"/>
      <c r="U49" s="198"/>
    </row>
    <row r="50" spans="1:21" s="12" customFormat="1" x14ac:dyDescent="0.25">
      <c r="A50" s="214" t="s">
        <v>2594</v>
      </c>
      <c r="B50" s="64">
        <v>8.17</v>
      </c>
      <c r="C50" s="64">
        <v>3.21</v>
      </c>
      <c r="D50" s="64">
        <v>12.01</v>
      </c>
      <c r="E50" s="64">
        <v>4.05</v>
      </c>
      <c r="F50" s="64">
        <v>4.6100000000000003</v>
      </c>
      <c r="G50" s="64">
        <v>29.89</v>
      </c>
      <c r="H50" s="64">
        <v>11.44</v>
      </c>
      <c r="I50" s="64">
        <v>5.55</v>
      </c>
      <c r="J50" s="64">
        <v>0.56000000000000005</v>
      </c>
      <c r="K50" s="64">
        <v>342.73</v>
      </c>
      <c r="L50" s="64">
        <v>32.369999999999997</v>
      </c>
      <c r="M50" s="64">
        <v>55.02</v>
      </c>
      <c r="N50" s="64">
        <v>849.2</v>
      </c>
      <c r="O50" s="64">
        <v>0</v>
      </c>
      <c r="P50" s="64">
        <v>0.35</v>
      </c>
      <c r="Q50" s="64">
        <v>9.3800000000000008</v>
      </c>
      <c r="R50" s="198"/>
      <c r="S50" s="198"/>
      <c r="T50" s="198"/>
      <c r="U50" s="198"/>
    </row>
    <row r="51" spans="1:21" s="12" customFormat="1" x14ac:dyDescent="0.25">
      <c r="A51" s="214" t="s">
        <v>2595</v>
      </c>
      <c r="B51" s="64">
        <v>8.17</v>
      </c>
      <c r="C51" s="64">
        <v>3.22</v>
      </c>
      <c r="D51" s="64">
        <v>12.01</v>
      </c>
      <c r="E51" s="64">
        <v>3.83</v>
      </c>
      <c r="F51" s="64">
        <v>4.9400000000000004</v>
      </c>
      <c r="G51" s="64">
        <v>29.89</v>
      </c>
      <c r="H51" s="64">
        <v>11.44</v>
      </c>
      <c r="I51" s="64">
        <v>5</v>
      </c>
      <c r="J51" s="64">
        <v>0.7</v>
      </c>
      <c r="K51" s="64">
        <v>322.22000000000003</v>
      </c>
      <c r="L51" s="64">
        <v>33.840000000000003</v>
      </c>
      <c r="M51" s="64">
        <v>51.72</v>
      </c>
      <c r="N51" s="64">
        <v>898.7</v>
      </c>
      <c r="O51" s="64">
        <v>0</v>
      </c>
      <c r="P51" s="64">
        <v>0.36</v>
      </c>
      <c r="Q51" s="64">
        <v>9.4</v>
      </c>
      <c r="R51" s="198"/>
      <c r="S51" s="198"/>
      <c r="T51" s="198"/>
      <c r="U51" s="198"/>
    </row>
    <row r="52" spans="1:21" s="12" customFormat="1" x14ac:dyDescent="0.25">
      <c r="A52" s="214" t="s">
        <v>2596</v>
      </c>
      <c r="B52" s="64">
        <v>8.27</v>
      </c>
      <c r="C52" s="64">
        <v>3.56</v>
      </c>
      <c r="D52" s="64">
        <v>12.27</v>
      </c>
      <c r="E52" s="64">
        <v>4.07</v>
      </c>
      <c r="F52" s="64">
        <v>5</v>
      </c>
      <c r="G52" s="64">
        <v>28.24</v>
      </c>
      <c r="H52" s="64">
        <v>10.51</v>
      </c>
      <c r="I52" s="64">
        <v>4.5</v>
      </c>
      <c r="J52" s="64">
        <v>0.74</v>
      </c>
      <c r="K52" s="64">
        <v>330.78</v>
      </c>
      <c r="L52" s="64">
        <v>33.83</v>
      </c>
      <c r="M52" s="64">
        <v>51.72</v>
      </c>
      <c r="N52" s="64">
        <v>961</v>
      </c>
      <c r="O52" s="64">
        <v>0</v>
      </c>
      <c r="P52" s="64">
        <v>0.37</v>
      </c>
      <c r="Q52" s="64">
        <v>9.41</v>
      </c>
      <c r="R52" s="198"/>
      <c r="S52" s="198"/>
      <c r="T52" s="198"/>
      <c r="U52" s="198"/>
    </row>
    <row r="53" spans="1:21" s="12" customFormat="1" x14ac:dyDescent="0.25">
      <c r="A53" s="214" t="s">
        <v>2597</v>
      </c>
      <c r="B53" s="64">
        <v>8.2100000000000009</v>
      </c>
      <c r="C53" s="64">
        <v>3.35</v>
      </c>
      <c r="D53" s="64">
        <v>12.11</v>
      </c>
      <c r="E53" s="64">
        <v>4.28</v>
      </c>
      <c r="F53" s="64">
        <v>5.18</v>
      </c>
      <c r="G53" s="64">
        <v>28.16</v>
      </c>
      <c r="H53" s="64">
        <v>10.47</v>
      </c>
      <c r="I53" s="64">
        <v>4.1500000000000004</v>
      </c>
      <c r="J53" s="64">
        <v>0.72</v>
      </c>
      <c r="K53" s="64">
        <v>316.45999999999998</v>
      </c>
      <c r="L53" s="64">
        <v>34.53</v>
      </c>
      <c r="M53" s="64">
        <v>50.26</v>
      </c>
      <c r="N53" s="64">
        <v>986.1</v>
      </c>
      <c r="O53" s="64">
        <v>0</v>
      </c>
      <c r="P53" s="64">
        <v>0.38</v>
      </c>
      <c r="Q53" s="64">
        <v>9.41</v>
      </c>
      <c r="R53" s="198"/>
      <c r="S53" s="198"/>
      <c r="T53" s="198"/>
      <c r="U53" s="198"/>
    </row>
    <row r="54" spans="1:21" s="12" customFormat="1" x14ac:dyDescent="0.25">
      <c r="A54" s="214" t="s">
        <v>2598</v>
      </c>
      <c r="B54" s="64">
        <v>8.15</v>
      </c>
      <c r="C54" s="64">
        <v>3.18</v>
      </c>
      <c r="D54" s="64">
        <v>11.97</v>
      </c>
      <c r="E54" s="64">
        <v>4.05</v>
      </c>
      <c r="F54" s="64">
        <v>4.87</v>
      </c>
      <c r="G54" s="64">
        <v>28.16</v>
      </c>
      <c r="H54" s="64">
        <v>10.47</v>
      </c>
      <c r="I54" s="64">
        <v>3.89</v>
      </c>
      <c r="J54" s="64">
        <v>1.1100000000000001</v>
      </c>
      <c r="K54" s="64">
        <v>326.54000000000002</v>
      </c>
      <c r="L54" s="64">
        <v>35.229999999999997</v>
      </c>
      <c r="M54" s="64">
        <v>47.62</v>
      </c>
      <c r="N54" s="64">
        <v>1010.7</v>
      </c>
      <c r="O54" s="64">
        <v>0</v>
      </c>
      <c r="P54" s="64">
        <v>0.4</v>
      </c>
      <c r="Q54" s="64">
        <v>9.39</v>
      </c>
      <c r="R54" s="198"/>
      <c r="S54" s="198"/>
      <c r="T54" s="198"/>
      <c r="U54" s="198"/>
    </row>
    <row r="55" spans="1:21" s="12" customFormat="1" x14ac:dyDescent="0.25">
      <c r="A55" s="214" t="s">
        <v>2599</v>
      </c>
      <c r="B55" s="64">
        <v>8.11</v>
      </c>
      <c r="C55" s="64">
        <v>3.14</v>
      </c>
      <c r="D55" s="64">
        <v>11.92</v>
      </c>
      <c r="E55" s="64">
        <v>4.18</v>
      </c>
      <c r="F55" s="64">
        <v>4.7</v>
      </c>
      <c r="G55" s="64">
        <v>28.16</v>
      </c>
      <c r="H55" s="64">
        <v>10.47</v>
      </c>
      <c r="I55" s="64">
        <v>3.88</v>
      </c>
      <c r="J55" s="64">
        <v>1.06</v>
      </c>
      <c r="K55" s="64">
        <v>328.69</v>
      </c>
      <c r="L55" s="64">
        <v>35.22</v>
      </c>
      <c r="M55" s="64">
        <v>45.75</v>
      </c>
      <c r="N55" s="64">
        <v>834.3</v>
      </c>
      <c r="O55" s="64">
        <v>0</v>
      </c>
      <c r="P55" s="64">
        <v>0.4</v>
      </c>
      <c r="Q55" s="64">
        <v>9.36</v>
      </c>
      <c r="R55" s="198"/>
      <c r="S55" s="198"/>
      <c r="T55" s="198"/>
      <c r="U55" s="198"/>
    </row>
    <row r="56" spans="1:21" s="12" customFormat="1" x14ac:dyDescent="0.25">
      <c r="A56" s="214" t="s">
        <v>2600</v>
      </c>
      <c r="B56" s="64">
        <v>8.14</v>
      </c>
      <c r="C56" s="64">
        <v>3.18</v>
      </c>
      <c r="D56" s="64">
        <v>11.96</v>
      </c>
      <c r="E56" s="64">
        <v>4.28</v>
      </c>
      <c r="F56" s="64">
        <v>5.0199999999999996</v>
      </c>
      <c r="G56" s="64">
        <v>33.08</v>
      </c>
      <c r="H56" s="64">
        <v>9.69</v>
      </c>
      <c r="I56" s="64">
        <v>3.64</v>
      </c>
      <c r="J56" s="64">
        <v>0.91</v>
      </c>
      <c r="K56" s="64">
        <v>335.09</v>
      </c>
      <c r="L56" s="64">
        <v>35.69</v>
      </c>
      <c r="M56" s="64">
        <v>44.67</v>
      </c>
      <c r="N56" s="64">
        <v>715.4</v>
      </c>
      <c r="O56" s="64">
        <v>0</v>
      </c>
      <c r="P56" s="64">
        <v>0.42</v>
      </c>
      <c r="Q56" s="64">
        <v>9.35</v>
      </c>
      <c r="R56" s="198"/>
      <c r="S56" s="198"/>
      <c r="T56" s="198"/>
      <c r="U56" s="198"/>
    </row>
    <row r="57" spans="1:21" s="12" customFormat="1" x14ac:dyDescent="0.25">
      <c r="A57" s="214" t="s">
        <v>2601</v>
      </c>
      <c r="B57" s="64">
        <v>8.15</v>
      </c>
      <c r="C57" s="64">
        <v>3.25</v>
      </c>
      <c r="D57" s="64">
        <v>12.01</v>
      </c>
      <c r="E57" s="64">
        <v>4.22</v>
      </c>
      <c r="F57" s="64">
        <v>5.0199999999999996</v>
      </c>
      <c r="G57" s="64">
        <v>33.31</v>
      </c>
      <c r="H57" s="64">
        <v>9.65</v>
      </c>
      <c r="I57" s="64">
        <v>3.35</v>
      </c>
      <c r="J57" s="64">
        <v>0.59</v>
      </c>
      <c r="K57" s="64">
        <v>307.02</v>
      </c>
      <c r="L57" s="64">
        <v>33.18</v>
      </c>
      <c r="M57" s="64">
        <v>50.64</v>
      </c>
      <c r="N57" s="64">
        <v>388.2</v>
      </c>
      <c r="O57" s="64">
        <v>0</v>
      </c>
      <c r="P57" s="64">
        <v>0.42</v>
      </c>
      <c r="Q57" s="64">
        <v>9.36</v>
      </c>
      <c r="R57" s="198"/>
      <c r="S57" s="198"/>
      <c r="T57" s="198"/>
      <c r="U57" s="198"/>
    </row>
    <row r="58" spans="1:21" s="12" customFormat="1" x14ac:dyDescent="0.25">
      <c r="A58" s="214" t="s">
        <v>2602</v>
      </c>
      <c r="B58" s="64">
        <v>8.31</v>
      </c>
      <c r="C58" s="64">
        <v>3.75</v>
      </c>
      <c r="D58" s="64">
        <v>12.4</v>
      </c>
      <c r="E58" s="64">
        <v>4.4800000000000004</v>
      </c>
      <c r="F58" s="64">
        <v>4.8099999999999996</v>
      </c>
      <c r="G58" s="64">
        <v>33.31</v>
      </c>
      <c r="H58" s="64">
        <v>9.65</v>
      </c>
      <c r="I58" s="64">
        <v>3.43</v>
      </c>
      <c r="J58" s="64">
        <v>1.1100000000000001</v>
      </c>
      <c r="K58" s="64">
        <v>340.66</v>
      </c>
      <c r="L58" s="64">
        <v>33.619999999999997</v>
      </c>
      <c r="M58" s="64">
        <v>48.6</v>
      </c>
      <c r="N58" s="64">
        <v>297.89999999999998</v>
      </c>
      <c r="O58" s="64">
        <v>0</v>
      </c>
      <c r="P58" s="64">
        <v>0.43</v>
      </c>
      <c r="Q58" s="64">
        <v>9.33</v>
      </c>
      <c r="R58" s="198"/>
      <c r="S58" s="198"/>
      <c r="T58" s="198"/>
      <c r="U58" s="198"/>
    </row>
    <row r="59" spans="1:21" s="12" customFormat="1" x14ac:dyDescent="0.25">
      <c r="A59" s="214" t="s">
        <v>2603</v>
      </c>
      <c r="B59" s="64">
        <v>8.1999999999999993</v>
      </c>
      <c r="C59" s="64">
        <v>3.41</v>
      </c>
      <c r="D59" s="64">
        <v>12.14</v>
      </c>
      <c r="E59" s="64">
        <v>4.17</v>
      </c>
      <c r="F59" s="64">
        <v>4.29</v>
      </c>
      <c r="G59" s="64">
        <v>33.31</v>
      </c>
      <c r="H59" s="64">
        <v>9.65</v>
      </c>
      <c r="I59" s="64">
        <v>3.34</v>
      </c>
      <c r="J59" s="64">
        <v>0.35</v>
      </c>
      <c r="K59" s="64">
        <v>357.66</v>
      </c>
      <c r="L59" s="64">
        <v>32.299999999999997</v>
      </c>
      <c r="M59" s="64">
        <v>50.8</v>
      </c>
      <c r="N59" s="64">
        <v>683</v>
      </c>
      <c r="O59" s="64">
        <v>0</v>
      </c>
      <c r="P59" s="64">
        <v>0.45</v>
      </c>
      <c r="Q59" s="64">
        <v>9.33</v>
      </c>
      <c r="R59" s="198"/>
      <c r="S59" s="198"/>
      <c r="T59" s="198"/>
      <c r="U59" s="198"/>
    </row>
    <row r="60" spans="1:21" s="12" customFormat="1" x14ac:dyDescent="0.25">
      <c r="A60" s="214" t="s">
        <v>2604</v>
      </c>
      <c r="B60" s="64">
        <v>8.15</v>
      </c>
      <c r="C60" s="64">
        <v>3.12</v>
      </c>
      <c r="D60" s="64">
        <v>11.94</v>
      </c>
      <c r="E60" s="64">
        <v>4.09</v>
      </c>
      <c r="F60" s="64">
        <v>4.2699999999999996</v>
      </c>
      <c r="G60" s="64">
        <v>35.51</v>
      </c>
      <c r="H60" s="64">
        <v>14.32</v>
      </c>
      <c r="I60" s="64">
        <v>3.19</v>
      </c>
      <c r="J60" s="64">
        <v>0.84</v>
      </c>
      <c r="K60" s="64">
        <v>328.25</v>
      </c>
      <c r="L60" s="64">
        <v>34.25</v>
      </c>
      <c r="M60" s="64">
        <v>47.7</v>
      </c>
      <c r="N60" s="64">
        <v>633.9</v>
      </c>
      <c r="O60" s="64">
        <v>0</v>
      </c>
      <c r="P60" s="64">
        <v>0.45</v>
      </c>
      <c r="Q60" s="64">
        <v>9.2899999999999991</v>
      </c>
      <c r="R60" s="198"/>
      <c r="S60" s="198"/>
      <c r="T60" s="198"/>
      <c r="U60" s="198"/>
    </row>
    <row r="61" spans="1:21" s="12" customFormat="1" x14ac:dyDescent="0.25">
      <c r="A61" s="214" t="s">
        <v>2605</v>
      </c>
      <c r="B61" s="64">
        <v>8.15</v>
      </c>
      <c r="C61" s="64">
        <v>3.03</v>
      </c>
      <c r="D61" s="64">
        <v>11.9</v>
      </c>
      <c r="E61" s="64">
        <v>3.71</v>
      </c>
      <c r="F61" s="64">
        <v>4.4000000000000004</v>
      </c>
      <c r="G61" s="64">
        <v>35.61</v>
      </c>
      <c r="H61" s="64">
        <v>14.54</v>
      </c>
      <c r="I61" s="64">
        <v>3.18</v>
      </c>
      <c r="J61" s="64">
        <v>1.1499999999999999</v>
      </c>
      <c r="K61" s="64">
        <v>333.02</v>
      </c>
      <c r="L61" s="64">
        <v>35.54</v>
      </c>
      <c r="M61" s="64">
        <v>44.58</v>
      </c>
      <c r="N61" s="64">
        <v>777.1</v>
      </c>
      <c r="O61" s="64">
        <v>0</v>
      </c>
      <c r="P61" s="64">
        <v>0.46</v>
      </c>
      <c r="Q61" s="64">
        <v>9.2899999999999991</v>
      </c>
      <c r="R61" s="198"/>
      <c r="S61" s="198"/>
      <c r="T61" s="198"/>
      <c r="U61" s="198"/>
    </row>
    <row r="62" spans="1:21" s="12" customFormat="1" x14ac:dyDescent="0.25">
      <c r="A62" s="214" t="s">
        <v>2606</v>
      </c>
      <c r="B62" s="64">
        <v>8.17</v>
      </c>
      <c r="C62" s="64">
        <v>3.13</v>
      </c>
      <c r="D62" s="64">
        <v>11.97</v>
      </c>
      <c r="E62" s="64">
        <v>4.01</v>
      </c>
      <c r="F62" s="64">
        <v>4.4000000000000004</v>
      </c>
      <c r="G62" s="64">
        <v>35.61</v>
      </c>
      <c r="H62" s="64">
        <v>14.54</v>
      </c>
      <c r="I62" s="64">
        <v>3.45</v>
      </c>
      <c r="J62" s="64">
        <v>0.59</v>
      </c>
      <c r="K62" s="64">
        <v>325.95999999999998</v>
      </c>
      <c r="L62" s="64">
        <v>34.33</v>
      </c>
      <c r="M62" s="64">
        <v>46.01</v>
      </c>
      <c r="N62" s="64">
        <v>682.1</v>
      </c>
      <c r="O62" s="64">
        <v>0</v>
      </c>
      <c r="P62" s="64">
        <v>0.49</v>
      </c>
      <c r="Q62" s="64">
        <v>9.32</v>
      </c>
      <c r="R62" s="198"/>
      <c r="S62" s="198"/>
      <c r="T62" s="198"/>
      <c r="U62" s="198"/>
    </row>
    <row r="63" spans="1:21" s="12" customFormat="1" x14ac:dyDescent="0.25">
      <c r="A63" s="214" t="s">
        <v>2607</v>
      </c>
      <c r="B63" s="64">
        <v>8.18</v>
      </c>
      <c r="C63" s="64">
        <v>3.08</v>
      </c>
      <c r="D63" s="64">
        <v>11.94</v>
      </c>
      <c r="E63" s="64">
        <v>4.63</v>
      </c>
      <c r="F63" s="64">
        <v>4.0599999999999996</v>
      </c>
      <c r="G63" s="64">
        <v>35.61</v>
      </c>
      <c r="H63" s="64">
        <v>14.54</v>
      </c>
      <c r="I63" s="64">
        <v>3.77</v>
      </c>
      <c r="J63" s="64">
        <v>0.31</v>
      </c>
      <c r="K63" s="64">
        <v>22.07</v>
      </c>
      <c r="L63" s="64">
        <v>34.4</v>
      </c>
      <c r="M63" s="64">
        <v>46.79</v>
      </c>
      <c r="N63" s="64">
        <v>784.5</v>
      </c>
      <c r="O63" s="64">
        <v>0</v>
      </c>
      <c r="P63" s="64">
        <v>0.49</v>
      </c>
      <c r="Q63" s="64">
        <v>9.35</v>
      </c>
      <c r="R63" s="198"/>
      <c r="S63" s="198"/>
      <c r="T63" s="198"/>
      <c r="U63" s="198"/>
    </row>
    <row r="64" spans="1:21" s="12" customFormat="1" x14ac:dyDescent="0.25">
      <c r="A64" s="214" t="s">
        <v>2608</v>
      </c>
      <c r="B64" s="64">
        <v>8.18</v>
      </c>
      <c r="C64" s="64">
        <v>3.04</v>
      </c>
      <c r="D64" s="64">
        <v>11.92</v>
      </c>
      <c r="E64" s="64">
        <v>4.3099999999999996</v>
      </c>
      <c r="F64" s="64">
        <v>4.24</v>
      </c>
      <c r="G64" s="64">
        <v>47.37</v>
      </c>
      <c r="H64" s="64">
        <v>18.96</v>
      </c>
      <c r="I64" s="64">
        <v>3.98</v>
      </c>
      <c r="J64" s="64">
        <v>1.49</v>
      </c>
      <c r="K64" s="64">
        <v>331.86</v>
      </c>
      <c r="L64" s="64">
        <v>34.82</v>
      </c>
      <c r="M64" s="64">
        <v>46</v>
      </c>
      <c r="N64" s="64">
        <v>775</v>
      </c>
      <c r="O64" s="64">
        <v>0</v>
      </c>
      <c r="P64" s="64">
        <v>0.5</v>
      </c>
      <c r="Q64" s="64">
        <v>9.35</v>
      </c>
      <c r="R64" s="198"/>
      <c r="S64" s="198"/>
      <c r="T64" s="198"/>
      <c r="U64" s="198"/>
    </row>
    <row r="65" spans="1:21" s="12" customFormat="1" x14ac:dyDescent="0.25">
      <c r="A65" s="214" t="s">
        <v>2609</v>
      </c>
      <c r="B65" s="64">
        <v>8.23</v>
      </c>
      <c r="C65" s="64">
        <v>3.27</v>
      </c>
      <c r="D65" s="64">
        <v>12.08</v>
      </c>
      <c r="E65" s="64">
        <v>4.33</v>
      </c>
      <c r="F65" s="64">
        <v>4.38</v>
      </c>
      <c r="G65" s="64">
        <v>47.92</v>
      </c>
      <c r="H65" s="64">
        <v>19.170000000000002</v>
      </c>
      <c r="I65" s="64">
        <v>4.28</v>
      </c>
      <c r="J65" s="64">
        <v>0.82</v>
      </c>
      <c r="K65" s="64">
        <v>318.64999999999998</v>
      </c>
      <c r="L65" s="64">
        <v>35.270000000000003</v>
      </c>
      <c r="M65" s="64">
        <v>44.16</v>
      </c>
      <c r="N65" s="64">
        <v>705.8</v>
      </c>
      <c r="O65" s="64">
        <v>0</v>
      </c>
      <c r="P65" s="64">
        <v>0.5</v>
      </c>
      <c r="Q65" s="64">
        <v>9.34</v>
      </c>
      <c r="R65" s="198"/>
      <c r="S65" s="198"/>
      <c r="T65" s="198"/>
      <c r="U65" s="198"/>
    </row>
    <row r="66" spans="1:21" s="12" customFormat="1" x14ac:dyDescent="0.25">
      <c r="A66" s="214" t="s">
        <v>2610</v>
      </c>
      <c r="B66" s="64">
        <v>8.2100000000000009</v>
      </c>
      <c r="C66" s="64">
        <v>3.23</v>
      </c>
      <c r="D66" s="64">
        <v>12.05</v>
      </c>
      <c r="E66" s="64">
        <v>4.57</v>
      </c>
      <c r="F66" s="64">
        <v>4.68</v>
      </c>
      <c r="G66" s="64">
        <v>47.92</v>
      </c>
      <c r="H66" s="64">
        <v>19.170000000000002</v>
      </c>
      <c r="I66" s="64">
        <v>4.54</v>
      </c>
      <c r="J66" s="64">
        <v>1.25</v>
      </c>
      <c r="K66" s="64">
        <v>334.16</v>
      </c>
      <c r="L66" s="64">
        <v>35.01</v>
      </c>
      <c r="M66" s="64">
        <v>44.81</v>
      </c>
      <c r="N66" s="64">
        <v>749.1</v>
      </c>
      <c r="O66" s="64">
        <v>0</v>
      </c>
      <c r="P66" s="64">
        <v>0.5</v>
      </c>
      <c r="Q66" s="64">
        <v>9.34</v>
      </c>
      <c r="R66" s="198"/>
      <c r="S66" s="198"/>
      <c r="T66" s="198"/>
      <c r="U66" s="198"/>
    </row>
    <row r="67" spans="1:21" s="12" customFormat="1" x14ac:dyDescent="0.25">
      <c r="A67" s="214" t="s">
        <v>2611</v>
      </c>
      <c r="B67" s="64">
        <v>8.17</v>
      </c>
      <c r="C67" s="64">
        <v>3.21</v>
      </c>
      <c r="D67" s="64">
        <v>12</v>
      </c>
      <c r="E67" s="64">
        <v>4.3899999999999997</v>
      </c>
      <c r="F67" s="64">
        <v>5.05</v>
      </c>
      <c r="G67" s="64">
        <v>47.92</v>
      </c>
      <c r="H67" s="64">
        <v>19.170000000000002</v>
      </c>
      <c r="I67" s="64">
        <v>4.67</v>
      </c>
      <c r="J67" s="64">
        <v>0.12</v>
      </c>
      <c r="K67" s="64">
        <v>187.79</v>
      </c>
      <c r="L67" s="64">
        <v>34.15</v>
      </c>
      <c r="M67" s="64">
        <v>46</v>
      </c>
      <c r="N67" s="64">
        <v>491.8</v>
      </c>
      <c r="O67" s="64">
        <v>0</v>
      </c>
      <c r="P67" s="64">
        <v>0.51</v>
      </c>
      <c r="Q67" s="64">
        <v>9.39</v>
      </c>
      <c r="R67" s="198"/>
      <c r="S67" s="198"/>
      <c r="T67" s="198"/>
      <c r="U67" s="198"/>
    </row>
    <row r="68" spans="1:21" s="12" customFormat="1" x14ac:dyDescent="0.25">
      <c r="A68" s="214" t="s">
        <v>2612</v>
      </c>
      <c r="B68" s="64">
        <v>8.14</v>
      </c>
      <c r="C68" s="64">
        <v>3.26</v>
      </c>
      <c r="D68" s="64">
        <v>12</v>
      </c>
      <c r="E68" s="64">
        <v>4.49</v>
      </c>
      <c r="F68" s="64">
        <v>4.75</v>
      </c>
      <c r="G68" s="64">
        <v>41.79</v>
      </c>
      <c r="H68" s="64">
        <v>17.41</v>
      </c>
      <c r="I68" s="64">
        <v>4.68</v>
      </c>
      <c r="J68" s="64">
        <v>1.03</v>
      </c>
      <c r="K68" s="64">
        <v>323.7</v>
      </c>
      <c r="L68" s="64">
        <v>34.04</v>
      </c>
      <c r="M68" s="64">
        <v>46.72</v>
      </c>
      <c r="N68" s="64">
        <v>221.3</v>
      </c>
      <c r="O68" s="64">
        <v>0</v>
      </c>
      <c r="P68" s="64">
        <v>0.5</v>
      </c>
      <c r="Q68" s="64">
        <v>9.39</v>
      </c>
      <c r="R68" s="198"/>
      <c r="S68" s="198"/>
      <c r="T68" s="198"/>
      <c r="U68" s="198"/>
    </row>
    <row r="69" spans="1:21" s="12" customFormat="1" x14ac:dyDescent="0.25">
      <c r="A69" s="214" t="s">
        <v>2613</v>
      </c>
      <c r="B69" s="64">
        <v>8.17</v>
      </c>
      <c r="C69" s="64">
        <v>3.3</v>
      </c>
      <c r="D69" s="64">
        <v>12.05</v>
      </c>
      <c r="E69" s="64">
        <v>4.12</v>
      </c>
      <c r="F69" s="64">
        <v>4.96</v>
      </c>
      <c r="G69" s="64">
        <v>41.43</v>
      </c>
      <c r="H69" s="64">
        <v>17.329999999999998</v>
      </c>
      <c r="I69" s="64">
        <v>4.68</v>
      </c>
      <c r="J69" s="64">
        <v>0.69</v>
      </c>
      <c r="K69" s="64">
        <v>346.7</v>
      </c>
      <c r="L69" s="64">
        <v>34.85</v>
      </c>
      <c r="M69" s="64">
        <v>43.55</v>
      </c>
      <c r="N69" s="64">
        <v>269.39999999999998</v>
      </c>
      <c r="O69" s="64">
        <v>0</v>
      </c>
      <c r="P69" s="64">
        <v>0.51</v>
      </c>
      <c r="Q69" s="64">
        <v>9.39</v>
      </c>
      <c r="R69" s="198"/>
      <c r="S69" s="198"/>
      <c r="T69" s="198"/>
      <c r="U69" s="198"/>
    </row>
    <row r="70" spans="1:21" s="12" customFormat="1" x14ac:dyDescent="0.25">
      <c r="A70" s="214" t="s">
        <v>2614</v>
      </c>
      <c r="B70" s="64">
        <v>8.19</v>
      </c>
      <c r="C70" s="64">
        <v>3.38</v>
      </c>
      <c r="D70" s="64">
        <v>12.11</v>
      </c>
      <c r="E70" s="64">
        <v>3.89</v>
      </c>
      <c r="F70" s="64">
        <v>4.8600000000000003</v>
      </c>
      <c r="G70" s="64">
        <v>41.43</v>
      </c>
      <c r="H70" s="64">
        <v>17.329999999999998</v>
      </c>
      <c r="I70" s="64">
        <v>4.5999999999999996</v>
      </c>
      <c r="J70" s="64">
        <v>0.61</v>
      </c>
      <c r="K70" s="64">
        <v>304.02</v>
      </c>
      <c r="L70" s="64">
        <v>33.72</v>
      </c>
      <c r="M70" s="64">
        <v>46.09</v>
      </c>
      <c r="N70" s="64">
        <v>381.7</v>
      </c>
      <c r="O70" s="64">
        <v>0</v>
      </c>
      <c r="P70" s="64">
        <v>0.51</v>
      </c>
      <c r="Q70" s="64">
        <v>9.42</v>
      </c>
      <c r="R70" s="198"/>
      <c r="S70" s="198"/>
      <c r="T70" s="198"/>
      <c r="U70" s="198"/>
    </row>
    <row r="71" spans="1:21" s="12" customFormat="1" x14ac:dyDescent="0.25">
      <c r="A71" s="214" t="s">
        <v>2615</v>
      </c>
      <c r="B71" s="64">
        <v>8.18</v>
      </c>
      <c r="C71" s="64">
        <v>3.33</v>
      </c>
      <c r="D71" s="64">
        <v>12.07</v>
      </c>
      <c r="E71" s="64">
        <v>4.2</v>
      </c>
      <c r="F71" s="64">
        <v>4.8099999999999996</v>
      </c>
      <c r="G71" s="64">
        <v>41.43</v>
      </c>
      <c r="H71" s="64">
        <v>17.329999999999998</v>
      </c>
      <c r="I71" s="64">
        <v>4.5199999999999996</v>
      </c>
      <c r="J71" s="64">
        <v>0.41</v>
      </c>
      <c r="K71" s="64">
        <v>336.7</v>
      </c>
      <c r="L71" s="64">
        <v>33.090000000000003</v>
      </c>
      <c r="M71" s="64">
        <v>47.3</v>
      </c>
      <c r="N71" s="64">
        <v>151.6</v>
      </c>
      <c r="O71" s="64">
        <v>0</v>
      </c>
      <c r="P71" s="64">
        <v>0.51</v>
      </c>
      <c r="Q71" s="64">
        <v>9.41</v>
      </c>
      <c r="R71" s="198"/>
      <c r="S71" s="198"/>
      <c r="T71" s="198"/>
      <c r="U71" s="198"/>
    </row>
    <row r="72" spans="1:21" s="12" customFormat="1" x14ac:dyDescent="0.25">
      <c r="A72" s="214" t="s">
        <v>2616</v>
      </c>
      <c r="B72" s="64">
        <v>8.17</v>
      </c>
      <c r="C72" s="64">
        <v>3.28</v>
      </c>
      <c r="D72" s="64">
        <v>12.04</v>
      </c>
      <c r="E72" s="64">
        <v>3.64</v>
      </c>
      <c r="F72" s="64">
        <v>4.91</v>
      </c>
      <c r="G72" s="64">
        <v>50.54</v>
      </c>
      <c r="H72" s="64">
        <v>15.58</v>
      </c>
      <c r="I72" s="64">
        <v>4.47</v>
      </c>
      <c r="J72" s="64">
        <v>0.16</v>
      </c>
      <c r="K72" s="64">
        <v>75.44</v>
      </c>
      <c r="L72" s="64">
        <v>32.9</v>
      </c>
      <c r="M72" s="64">
        <v>47.85</v>
      </c>
      <c r="N72" s="64">
        <v>117.9</v>
      </c>
      <c r="O72" s="64">
        <v>0</v>
      </c>
      <c r="P72" s="64">
        <v>0.51</v>
      </c>
      <c r="Q72" s="64">
        <v>9.39</v>
      </c>
      <c r="R72" s="198"/>
      <c r="S72" s="198"/>
      <c r="T72" s="198"/>
      <c r="U72" s="198"/>
    </row>
    <row r="73" spans="1:21" s="12" customFormat="1" x14ac:dyDescent="0.25">
      <c r="A73" s="214" t="s">
        <v>2617</v>
      </c>
      <c r="B73" s="64">
        <v>8.2100000000000009</v>
      </c>
      <c r="C73" s="64">
        <v>3.43</v>
      </c>
      <c r="D73" s="64">
        <v>12.15</v>
      </c>
      <c r="E73" s="64">
        <v>3.83</v>
      </c>
      <c r="F73" s="64">
        <v>5.07</v>
      </c>
      <c r="G73" s="64">
        <v>50.96</v>
      </c>
      <c r="H73" s="64">
        <v>15.5</v>
      </c>
      <c r="I73" s="64">
        <v>4.38</v>
      </c>
      <c r="J73" s="64">
        <v>0.46</v>
      </c>
      <c r="K73" s="64">
        <v>172.01</v>
      </c>
      <c r="L73" s="64">
        <v>32.26</v>
      </c>
      <c r="M73" s="64">
        <v>49.56</v>
      </c>
      <c r="N73" s="64">
        <v>99</v>
      </c>
      <c r="O73" s="64">
        <v>0</v>
      </c>
      <c r="P73" s="64">
        <v>0.5</v>
      </c>
      <c r="Q73" s="64">
        <v>9.42</v>
      </c>
      <c r="R73" s="198"/>
      <c r="S73" s="198"/>
      <c r="T73" s="198"/>
      <c r="U73" s="198"/>
    </row>
    <row r="74" spans="1:21" s="12" customFormat="1" x14ac:dyDescent="0.25">
      <c r="A74" s="214" t="s">
        <v>2618</v>
      </c>
      <c r="B74" s="64">
        <v>8.1999999999999993</v>
      </c>
      <c r="C74" s="64">
        <v>3.34</v>
      </c>
      <c r="D74" s="64">
        <v>12.09</v>
      </c>
      <c r="E74" s="64">
        <v>3.89</v>
      </c>
      <c r="F74" s="64">
        <v>5.12</v>
      </c>
      <c r="G74" s="64">
        <v>50.96</v>
      </c>
      <c r="H74" s="64">
        <v>15.5</v>
      </c>
      <c r="I74" s="64">
        <v>4.47</v>
      </c>
      <c r="J74" s="64">
        <v>0.12</v>
      </c>
      <c r="K74" s="64">
        <v>192.97</v>
      </c>
      <c r="L74" s="64">
        <v>31.82</v>
      </c>
      <c r="M74" s="64">
        <v>49.85</v>
      </c>
      <c r="N74" s="64">
        <v>92.7</v>
      </c>
      <c r="O74" s="64">
        <v>0</v>
      </c>
      <c r="P74" s="64">
        <v>0.49</v>
      </c>
      <c r="Q74" s="64">
        <v>9.42</v>
      </c>
      <c r="R74" s="198"/>
      <c r="S74" s="198"/>
      <c r="T74" s="198"/>
      <c r="U74" s="198"/>
    </row>
    <row r="75" spans="1:21" s="12" customFormat="1" x14ac:dyDescent="0.25">
      <c r="A75" s="214" t="s">
        <v>2619</v>
      </c>
      <c r="B75" s="64">
        <v>8.18</v>
      </c>
      <c r="C75" s="64">
        <v>3.31</v>
      </c>
      <c r="D75" s="64">
        <v>12.06</v>
      </c>
      <c r="E75" s="64">
        <v>4.2300000000000004</v>
      </c>
      <c r="F75" s="64">
        <v>5.23</v>
      </c>
      <c r="G75" s="64">
        <v>50.96</v>
      </c>
      <c r="H75" s="64">
        <v>15.5</v>
      </c>
      <c r="I75" s="64">
        <v>4.5999999999999996</v>
      </c>
      <c r="J75" s="64">
        <v>0.39</v>
      </c>
      <c r="K75" s="64">
        <v>9.7799999999999994</v>
      </c>
      <c r="L75" s="64">
        <v>31.65</v>
      </c>
      <c r="M75" s="64">
        <v>51.28</v>
      </c>
      <c r="N75" s="64">
        <v>99.8</v>
      </c>
      <c r="O75" s="64">
        <v>0</v>
      </c>
      <c r="P75" s="64">
        <v>0.49</v>
      </c>
      <c r="Q75" s="64">
        <v>9.41</v>
      </c>
      <c r="R75" s="198"/>
      <c r="S75" s="198"/>
      <c r="T75" s="198"/>
      <c r="U75" s="198"/>
    </row>
    <row r="76" spans="1:21" s="12" customFormat="1" x14ac:dyDescent="0.25">
      <c r="A76" s="214" t="s">
        <v>2620</v>
      </c>
      <c r="B76" s="64">
        <v>8.14</v>
      </c>
      <c r="C76" s="64">
        <v>3.15</v>
      </c>
      <c r="D76" s="64">
        <v>11.95</v>
      </c>
      <c r="E76" s="64">
        <v>3.98</v>
      </c>
      <c r="F76" s="64">
        <v>5.62</v>
      </c>
      <c r="G76" s="64">
        <v>46.86</v>
      </c>
      <c r="H76" s="64">
        <v>12.25</v>
      </c>
      <c r="I76" s="64">
        <v>4.59</v>
      </c>
      <c r="J76" s="64">
        <v>0.54</v>
      </c>
      <c r="K76" s="64">
        <v>25.26</v>
      </c>
      <c r="L76" s="64">
        <v>31.39</v>
      </c>
      <c r="M76" s="64">
        <v>53.72</v>
      </c>
      <c r="N76" s="64">
        <v>89.8</v>
      </c>
      <c r="O76" s="64">
        <v>0</v>
      </c>
      <c r="P76" s="64">
        <v>0.48</v>
      </c>
      <c r="Q76" s="64">
        <v>9.3800000000000008</v>
      </c>
      <c r="R76" s="198"/>
      <c r="S76" s="198"/>
      <c r="T76" s="198"/>
      <c r="U76" s="198"/>
    </row>
    <row r="77" spans="1:21" s="12" customFormat="1" x14ac:dyDescent="0.25">
      <c r="A77" s="214" t="s">
        <v>2621</v>
      </c>
      <c r="B77" s="64">
        <v>8.1300000000000008</v>
      </c>
      <c r="C77" s="64">
        <v>3.13</v>
      </c>
      <c r="D77" s="64">
        <v>11.93</v>
      </c>
      <c r="E77" s="64">
        <v>4.01</v>
      </c>
      <c r="F77" s="64">
        <v>5.2</v>
      </c>
      <c r="G77" s="64">
        <v>46.66</v>
      </c>
      <c r="H77" s="64">
        <v>12.1</v>
      </c>
      <c r="I77" s="64">
        <v>4.47</v>
      </c>
      <c r="J77" s="64">
        <v>0.36</v>
      </c>
      <c r="K77" s="64">
        <v>359.27</v>
      </c>
      <c r="L77" s="64">
        <v>30.9</v>
      </c>
      <c r="M77" s="64">
        <v>54.73</v>
      </c>
      <c r="N77" s="64">
        <v>73.400000000000006</v>
      </c>
      <c r="O77" s="64">
        <v>0</v>
      </c>
      <c r="P77" s="64">
        <v>0.49</v>
      </c>
      <c r="Q77" s="64">
        <v>9.35</v>
      </c>
      <c r="R77" s="198"/>
      <c r="S77" s="198"/>
      <c r="T77" s="198"/>
      <c r="U77" s="198"/>
    </row>
    <row r="78" spans="1:21" s="12" customFormat="1" x14ac:dyDescent="0.25">
      <c r="A78" s="214" t="s">
        <v>2622</v>
      </c>
      <c r="B78" s="64">
        <v>8.18</v>
      </c>
      <c r="C78" s="64">
        <v>3.25</v>
      </c>
      <c r="D78" s="64">
        <v>12.03</v>
      </c>
      <c r="E78" s="64">
        <v>4.3099999999999996</v>
      </c>
      <c r="F78" s="64">
        <v>4.62</v>
      </c>
      <c r="G78" s="64">
        <v>46.66</v>
      </c>
      <c r="H78" s="64">
        <v>12.1</v>
      </c>
      <c r="I78" s="64">
        <v>4.2699999999999996</v>
      </c>
      <c r="J78" s="64">
        <v>0.41</v>
      </c>
      <c r="K78" s="64">
        <v>321.79000000000002</v>
      </c>
      <c r="L78" s="64">
        <v>30.86</v>
      </c>
      <c r="M78" s="64">
        <v>55.18</v>
      </c>
      <c r="N78" s="64">
        <v>64.2</v>
      </c>
      <c r="O78" s="64">
        <v>0</v>
      </c>
      <c r="P78" s="64">
        <v>0.5</v>
      </c>
      <c r="Q78" s="64">
        <v>9.31</v>
      </c>
      <c r="R78" s="198"/>
      <c r="S78" s="198"/>
      <c r="T78" s="198"/>
      <c r="U78" s="198"/>
    </row>
    <row r="79" spans="1:21" s="12" customFormat="1" x14ac:dyDescent="0.25">
      <c r="A79" s="214" t="s">
        <v>2623</v>
      </c>
      <c r="B79" s="64">
        <v>8.19</v>
      </c>
      <c r="C79" s="64">
        <v>3.23</v>
      </c>
      <c r="D79" s="64">
        <v>12.03</v>
      </c>
      <c r="E79" s="64">
        <v>4.16</v>
      </c>
      <c r="F79" s="64">
        <v>4.05</v>
      </c>
      <c r="G79" s="64">
        <v>46.66</v>
      </c>
      <c r="H79" s="64">
        <v>12.1</v>
      </c>
      <c r="I79" s="64">
        <v>4.16</v>
      </c>
      <c r="J79" s="64">
        <v>0.51</v>
      </c>
      <c r="K79" s="64">
        <v>210.37</v>
      </c>
      <c r="L79" s="64">
        <v>31.2</v>
      </c>
      <c r="M79" s="64">
        <v>53.85</v>
      </c>
      <c r="N79" s="64">
        <v>70.900000000000006</v>
      </c>
      <c r="O79" s="64">
        <v>0</v>
      </c>
      <c r="P79" s="64">
        <v>0.52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14" t="s">
        <v>2624</v>
      </c>
      <c r="B80" s="64">
        <v>8.1999999999999993</v>
      </c>
      <c r="C80" s="64">
        <v>3.23</v>
      </c>
      <c r="D80" s="64">
        <v>12.04</v>
      </c>
      <c r="E80" s="64">
        <v>4.26</v>
      </c>
      <c r="F80" s="64">
        <v>3.83</v>
      </c>
      <c r="G80" s="64">
        <v>47.12</v>
      </c>
      <c r="H80" s="64">
        <v>18.239999999999998</v>
      </c>
      <c r="I80" s="64">
        <v>4.42</v>
      </c>
      <c r="J80" s="64">
        <v>0.17</v>
      </c>
      <c r="K80" s="64">
        <v>246.39</v>
      </c>
      <c r="L80" s="64">
        <v>31.24</v>
      </c>
      <c r="M80" s="64">
        <v>52.35</v>
      </c>
      <c r="N80" s="64">
        <v>69</v>
      </c>
      <c r="O80" s="64">
        <v>0</v>
      </c>
      <c r="P80" s="64">
        <v>0.52</v>
      </c>
      <c r="Q80" s="64">
        <v>9.33</v>
      </c>
      <c r="R80" s="198"/>
      <c r="S80" s="198"/>
      <c r="T80" s="198"/>
      <c r="U80" s="198"/>
    </row>
    <row r="81" spans="1:26" s="12" customFormat="1" x14ac:dyDescent="0.25">
      <c r="A81" s="214" t="s">
        <v>2625</v>
      </c>
      <c r="B81" s="64">
        <v>8.2100000000000009</v>
      </c>
      <c r="C81" s="64">
        <v>3.21</v>
      </c>
      <c r="D81" s="64">
        <v>12.04</v>
      </c>
      <c r="E81" s="64">
        <v>4.09</v>
      </c>
      <c r="F81" s="64">
        <v>4.03</v>
      </c>
      <c r="G81" s="64">
        <v>47.14</v>
      </c>
      <c r="H81" s="64">
        <v>18.53</v>
      </c>
      <c r="I81" s="64">
        <v>4.59</v>
      </c>
      <c r="J81" s="64">
        <v>0.34</v>
      </c>
      <c r="K81" s="64">
        <v>222.99</v>
      </c>
      <c r="L81" s="64">
        <v>31.23</v>
      </c>
      <c r="M81" s="64">
        <v>53.3</v>
      </c>
      <c r="N81" s="64">
        <v>56.7</v>
      </c>
      <c r="O81" s="64">
        <v>0</v>
      </c>
      <c r="P81" s="64">
        <v>0.52</v>
      </c>
      <c r="Q81" s="64">
        <v>9.3699999999999992</v>
      </c>
      <c r="R81" s="198"/>
      <c r="S81" s="198"/>
      <c r="T81" s="198"/>
      <c r="U81" s="198"/>
    </row>
    <row r="82" spans="1:26" s="12" customFormat="1" x14ac:dyDescent="0.25">
      <c r="A82" s="214" t="s">
        <v>2626</v>
      </c>
      <c r="B82" s="64">
        <v>8.2200000000000006</v>
      </c>
      <c r="C82" s="64">
        <v>3.27</v>
      </c>
      <c r="D82" s="64">
        <v>12.07</v>
      </c>
      <c r="E82" s="64">
        <v>4.13</v>
      </c>
      <c r="F82" s="64">
        <v>4.05</v>
      </c>
      <c r="G82" s="64">
        <v>47.14</v>
      </c>
      <c r="H82" s="64">
        <v>18.53</v>
      </c>
      <c r="I82" s="64">
        <v>4.55</v>
      </c>
      <c r="J82" s="64">
        <v>0.61</v>
      </c>
      <c r="K82" s="64">
        <v>223.04</v>
      </c>
      <c r="L82" s="64">
        <v>31.06</v>
      </c>
      <c r="M82" s="64">
        <v>53.89</v>
      </c>
      <c r="N82" s="64">
        <v>36.700000000000003</v>
      </c>
      <c r="O82" s="64">
        <v>0</v>
      </c>
      <c r="P82" s="64">
        <v>0.53</v>
      </c>
      <c r="Q82" s="64">
        <v>9.3699999999999992</v>
      </c>
      <c r="R82" s="198"/>
      <c r="S82" s="198"/>
      <c r="T82" s="198"/>
      <c r="U82" s="198"/>
    </row>
    <row r="83" spans="1:26" s="12" customFormat="1" x14ac:dyDescent="0.25">
      <c r="A83" s="214" t="s">
        <v>2627</v>
      </c>
      <c r="B83" s="64">
        <v>8.2100000000000009</v>
      </c>
      <c r="C83" s="64">
        <v>3.21</v>
      </c>
      <c r="D83" s="64">
        <v>12.03</v>
      </c>
      <c r="E83" s="64">
        <v>4.2</v>
      </c>
      <c r="F83" s="64">
        <v>4.25</v>
      </c>
      <c r="G83" s="64">
        <v>47.14</v>
      </c>
      <c r="H83" s="64">
        <v>18.53</v>
      </c>
      <c r="I83" s="64">
        <v>4.75</v>
      </c>
      <c r="J83" s="64">
        <v>0.56999999999999995</v>
      </c>
      <c r="K83" s="64">
        <v>195.31</v>
      </c>
      <c r="L83" s="64">
        <v>30.76</v>
      </c>
      <c r="M83" s="64">
        <v>55.43</v>
      </c>
      <c r="N83" s="64">
        <v>20.9</v>
      </c>
      <c r="O83" s="64">
        <v>0</v>
      </c>
      <c r="P83" s="64">
        <v>0.53</v>
      </c>
      <c r="Q83" s="64">
        <v>9.34</v>
      </c>
      <c r="R83" s="198"/>
      <c r="S83" s="198"/>
      <c r="T83" s="198"/>
      <c r="U83" s="198"/>
    </row>
    <row r="84" spans="1:26" s="12" customFormat="1" x14ac:dyDescent="0.25">
      <c r="A84" s="214" t="s">
        <v>2628</v>
      </c>
      <c r="B84" s="64">
        <v>8.1999999999999993</v>
      </c>
      <c r="C84" s="64">
        <v>3.2</v>
      </c>
      <c r="D84" s="64">
        <v>12.02</v>
      </c>
      <c r="E84" s="64">
        <v>3.91</v>
      </c>
      <c r="F84" s="64">
        <v>4</v>
      </c>
      <c r="G84" s="64">
        <v>47.53</v>
      </c>
      <c r="H84" s="64">
        <v>18.66</v>
      </c>
      <c r="I84" s="64">
        <v>5.07</v>
      </c>
      <c r="J84" s="64">
        <v>0.56000000000000005</v>
      </c>
      <c r="K84" s="64">
        <v>180.69</v>
      </c>
      <c r="L84" s="64">
        <v>30.48</v>
      </c>
      <c r="M84" s="64">
        <v>58.75</v>
      </c>
      <c r="N84" s="64">
        <v>17.899999999999999</v>
      </c>
      <c r="O84" s="64">
        <v>0</v>
      </c>
      <c r="P84" s="64">
        <v>0.53</v>
      </c>
      <c r="Q84" s="64">
        <v>9.3800000000000008</v>
      </c>
      <c r="R84" s="198"/>
      <c r="S84" s="198"/>
      <c r="T84" s="198"/>
      <c r="U84" s="198"/>
    </row>
    <row r="85" spans="1:26" s="12" customFormat="1" x14ac:dyDescent="0.25">
      <c r="A85" s="214" t="s">
        <v>2629</v>
      </c>
      <c r="B85" s="64">
        <v>8.19</v>
      </c>
      <c r="C85" s="64">
        <v>3.17</v>
      </c>
      <c r="D85" s="64">
        <v>12</v>
      </c>
      <c r="E85" s="64">
        <v>4.1100000000000003</v>
      </c>
      <c r="F85" s="64">
        <v>4.22</v>
      </c>
      <c r="G85" s="64">
        <v>47.55</v>
      </c>
      <c r="H85" s="64">
        <v>18.66</v>
      </c>
      <c r="I85" s="64">
        <v>5.45</v>
      </c>
      <c r="J85" s="64">
        <v>1.18</v>
      </c>
      <c r="K85" s="64">
        <v>149.02000000000001</v>
      </c>
      <c r="L85" s="64">
        <v>30.13</v>
      </c>
      <c r="M85" s="64">
        <v>63.27</v>
      </c>
      <c r="N85" s="64">
        <v>17.5</v>
      </c>
      <c r="O85" s="64">
        <v>0</v>
      </c>
      <c r="P85" s="64">
        <v>0.48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14" t="s">
        <v>2630</v>
      </c>
      <c r="B86" s="64">
        <v>8.1999999999999993</v>
      </c>
      <c r="C86" s="64">
        <v>3.42</v>
      </c>
      <c r="D86" s="64">
        <v>12.14</v>
      </c>
      <c r="E86" s="64">
        <v>4.22</v>
      </c>
      <c r="F86" s="64">
        <v>3.94</v>
      </c>
      <c r="G86" s="64">
        <v>47.55</v>
      </c>
      <c r="H86" s="64">
        <v>18.66</v>
      </c>
      <c r="I86" s="64">
        <v>5.69</v>
      </c>
      <c r="J86" s="64">
        <v>0.51</v>
      </c>
      <c r="K86" s="64">
        <v>171.2</v>
      </c>
      <c r="L86" s="64">
        <v>29.95</v>
      </c>
      <c r="M86" s="64">
        <v>64.599999999999994</v>
      </c>
      <c r="N86" s="64">
        <v>17.600000000000001</v>
      </c>
      <c r="O86" s="64">
        <v>0</v>
      </c>
      <c r="P86" s="64">
        <v>0.51</v>
      </c>
      <c r="Q86" s="64">
        <v>9.42</v>
      </c>
      <c r="R86" s="198"/>
      <c r="S86" s="198"/>
      <c r="T86" s="198"/>
      <c r="U86" s="198"/>
    </row>
    <row r="87" spans="1:26" s="12" customFormat="1" x14ac:dyDescent="0.25">
      <c r="A87" s="214" t="s">
        <v>2631</v>
      </c>
      <c r="B87" s="64">
        <v>8.2200000000000006</v>
      </c>
      <c r="C87" s="64">
        <v>3.51</v>
      </c>
      <c r="D87" s="64">
        <v>12.2</v>
      </c>
      <c r="E87" s="64">
        <v>4.51</v>
      </c>
      <c r="F87" s="64">
        <v>4.29</v>
      </c>
      <c r="G87" s="64">
        <v>47.55</v>
      </c>
      <c r="H87" s="64">
        <v>18.66</v>
      </c>
      <c r="I87" s="64">
        <v>5.85</v>
      </c>
      <c r="J87" s="64">
        <v>1.06</v>
      </c>
      <c r="K87" s="64">
        <v>149.04</v>
      </c>
      <c r="L87" s="64">
        <v>29.84</v>
      </c>
      <c r="M87" s="64">
        <v>63.76</v>
      </c>
      <c r="N87" s="64">
        <v>17.100000000000001</v>
      </c>
      <c r="O87" s="64">
        <v>0</v>
      </c>
      <c r="P87" s="64">
        <v>0.52</v>
      </c>
      <c r="Q87" s="64">
        <v>9.43</v>
      </c>
      <c r="R87" s="198"/>
      <c r="S87" s="198"/>
      <c r="T87" s="198"/>
      <c r="U87" s="198"/>
    </row>
    <row r="88" spans="1:26" s="12" customFormat="1" x14ac:dyDescent="0.25">
      <c r="A88" s="214" t="s">
        <v>2632</v>
      </c>
      <c r="B88" s="64">
        <v>8.25</v>
      </c>
      <c r="C88" s="64">
        <v>3.51</v>
      </c>
      <c r="D88" s="64">
        <v>12.23</v>
      </c>
      <c r="E88" s="64">
        <v>4.01</v>
      </c>
      <c r="F88" s="64">
        <v>3.8</v>
      </c>
      <c r="G88" s="64">
        <v>60.31</v>
      </c>
      <c r="H88" s="64">
        <v>23.23</v>
      </c>
      <c r="I88" s="64">
        <v>5.93</v>
      </c>
      <c r="J88" s="64">
        <v>0.99</v>
      </c>
      <c r="K88" s="64">
        <v>157.38999999999999</v>
      </c>
      <c r="L88" s="64">
        <v>29.87</v>
      </c>
      <c r="M88" s="64">
        <v>62.1</v>
      </c>
      <c r="N88" s="64">
        <v>17.100000000000001</v>
      </c>
      <c r="O88" s="64">
        <v>0</v>
      </c>
      <c r="P88" s="64">
        <v>0.52</v>
      </c>
      <c r="Q88" s="64">
        <v>9.41</v>
      </c>
      <c r="R88" s="198"/>
      <c r="S88" s="198"/>
      <c r="T88" s="198"/>
      <c r="U88" s="198"/>
    </row>
    <row r="89" spans="1:26" s="12" customFormat="1" x14ac:dyDescent="0.25">
      <c r="A89" s="214" t="s">
        <v>2633</v>
      </c>
      <c r="B89" s="64">
        <v>8.19</v>
      </c>
      <c r="C89" s="64">
        <v>3.37</v>
      </c>
      <c r="D89" s="64">
        <v>12.1</v>
      </c>
      <c r="E89" s="64">
        <v>3.82</v>
      </c>
      <c r="F89" s="64">
        <v>3.77</v>
      </c>
      <c r="G89" s="64">
        <v>60.9</v>
      </c>
      <c r="H89" s="64">
        <v>23.44</v>
      </c>
      <c r="I89" s="64">
        <v>5.92</v>
      </c>
      <c r="J89" s="64">
        <v>1.06</v>
      </c>
      <c r="K89" s="64">
        <v>155.52000000000001</v>
      </c>
      <c r="L89" s="64">
        <v>29.83</v>
      </c>
      <c r="M89" s="64">
        <v>62</v>
      </c>
      <c r="N89" s="64">
        <v>17.3</v>
      </c>
      <c r="O89" s="64">
        <v>0</v>
      </c>
      <c r="P89" s="64">
        <v>0.52</v>
      </c>
      <c r="Q89" s="64">
        <v>9.4600000000000009</v>
      </c>
      <c r="R89" s="198"/>
      <c r="S89" s="198"/>
      <c r="T89" s="198"/>
      <c r="U89" s="198"/>
    </row>
    <row r="90" spans="1:26" s="12" customFormat="1" x14ac:dyDescent="0.25">
      <c r="A90" s="214" t="s">
        <v>2634</v>
      </c>
      <c r="B90" s="64">
        <v>8.1999999999999993</v>
      </c>
      <c r="C90" s="64">
        <v>3.3</v>
      </c>
      <c r="D90" s="64">
        <v>12.08</v>
      </c>
      <c r="E90" s="64">
        <v>3.71</v>
      </c>
      <c r="F90" s="64">
        <v>4.1900000000000004</v>
      </c>
      <c r="G90" s="64">
        <v>60.9</v>
      </c>
      <c r="H90" s="64">
        <v>23.44</v>
      </c>
      <c r="I90" s="64">
        <v>5.89</v>
      </c>
      <c r="J90" s="64">
        <v>1.03</v>
      </c>
      <c r="K90" s="64">
        <v>150.71</v>
      </c>
      <c r="L90" s="64">
        <v>29.71</v>
      </c>
      <c r="M90" s="64">
        <v>62.47</v>
      </c>
      <c r="N90" s="64">
        <v>17.3</v>
      </c>
      <c r="O90" s="64">
        <v>0</v>
      </c>
      <c r="P90" s="64">
        <v>0.52</v>
      </c>
      <c r="Q90" s="64">
        <v>9.44</v>
      </c>
      <c r="R90" s="198"/>
      <c r="S90" s="198"/>
      <c r="T90" s="198"/>
      <c r="U90" s="198"/>
    </row>
    <row r="91" spans="1:26" s="12" customFormat="1" x14ac:dyDescent="0.25">
      <c r="A91" s="214" t="s">
        <v>2635</v>
      </c>
      <c r="B91" s="64">
        <v>8.14</v>
      </c>
      <c r="C91" s="64">
        <v>3.22</v>
      </c>
      <c r="D91" s="64">
        <v>11.98</v>
      </c>
      <c r="E91" s="64">
        <v>4.0599999999999996</v>
      </c>
      <c r="F91" s="64">
        <v>3.68</v>
      </c>
      <c r="G91" s="64">
        <v>60.9</v>
      </c>
      <c r="H91" s="64">
        <v>23.44</v>
      </c>
      <c r="I91" s="64">
        <v>5.87</v>
      </c>
      <c r="J91" s="64">
        <v>0.89</v>
      </c>
      <c r="K91" s="64">
        <v>145.41</v>
      </c>
      <c r="L91" s="64">
        <v>29.59</v>
      </c>
      <c r="M91" s="64">
        <v>63.51</v>
      </c>
      <c r="N91" s="64">
        <v>17.399999999999999</v>
      </c>
      <c r="O91" s="64">
        <v>0</v>
      </c>
      <c r="P91" s="64">
        <v>0.53</v>
      </c>
      <c r="Q91" s="64">
        <v>9.4499999999999993</v>
      </c>
      <c r="R91" s="198"/>
      <c r="S91" s="198"/>
      <c r="T91" s="198"/>
      <c r="U91" s="198"/>
    </row>
    <row r="92" spans="1:26" s="12" customFormat="1" x14ac:dyDescent="0.25">
      <c r="A92" s="214" t="s">
        <v>2636</v>
      </c>
      <c r="B92" s="64">
        <v>8.1300000000000008</v>
      </c>
      <c r="C92" s="64">
        <v>3.17</v>
      </c>
      <c r="D92" s="64">
        <v>11.95</v>
      </c>
      <c r="E92" s="64">
        <v>4.6500000000000004</v>
      </c>
      <c r="F92" s="64">
        <v>3.56</v>
      </c>
      <c r="G92" s="64">
        <v>62.83</v>
      </c>
      <c r="H92" s="64">
        <v>17.02</v>
      </c>
      <c r="I92" s="64">
        <v>5.89</v>
      </c>
      <c r="J92" s="64">
        <v>0.16</v>
      </c>
      <c r="K92" s="64">
        <v>89.19</v>
      </c>
      <c r="L92" s="64">
        <v>29.42</v>
      </c>
      <c r="M92" s="64">
        <v>64.83</v>
      </c>
      <c r="N92" s="64">
        <v>17.600000000000001</v>
      </c>
      <c r="O92" s="64">
        <v>0</v>
      </c>
      <c r="P92" s="64">
        <v>0.53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4" t="s">
        <v>2637</v>
      </c>
      <c r="B93" s="64">
        <v>8.17</v>
      </c>
      <c r="C93" s="64">
        <v>3.28</v>
      </c>
      <c r="D93" s="64">
        <v>12.04</v>
      </c>
      <c r="E93" s="64">
        <v>4.2300000000000004</v>
      </c>
      <c r="F93" s="64">
        <v>3.77</v>
      </c>
      <c r="G93" s="64">
        <v>62.92</v>
      </c>
      <c r="H93" s="64">
        <v>16.72</v>
      </c>
      <c r="I93" s="64">
        <v>5.9</v>
      </c>
      <c r="J93" s="64">
        <v>0.84</v>
      </c>
      <c r="K93" s="64">
        <v>157.91</v>
      </c>
      <c r="L93" s="64">
        <v>29.24</v>
      </c>
      <c r="M93" s="64">
        <v>66.08</v>
      </c>
      <c r="N93" s="64">
        <v>17.3</v>
      </c>
      <c r="O93" s="64">
        <v>0</v>
      </c>
      <c r="P93" s="64">
        <v>0.53</v>
      </c>
      <c r="Q93" s="64">
        <v>9.4499999999999993</v>
      </c>
      <c r="R93" s="198"/>
      <c r="S93" s="198"/>
      <c r="T93" s="198"/>
      <c r="U93" s="198"/>
    </row>
    <row r="94" spans="1:26" s="12" customFormat="1" x14ac:dyDescent="0.25">
      <c r="A94" s="214" t="s">
        <v>2638</v>
      </c>
      <c r="B94" s="64">
        <v>8.18</v>
      </c>
      <c r="C94" s="64">
        <v>3.31</v>
      </c>
      <c r="D94" s="64">
        <v>12.06</v>
      </c>
      <c r="E94" s="64">
        <v>3.91</v>
      </c>
      <c r="F94" s="64">
        <v>3.54</v>
      </c>
      <c r="G94" s="64">
        <v>62.92</v>
      </c>
      <c r="H94" s="64">
        <v>16.72</v>
      </c>
      <c r="I94" s="64">
        <v>5.85</v>
      </c>
      <c r="J94" s="64">
        <v>0.75</v>
      </c>
      <c r="K94" s="64">
        <v>146.44999999999999</v>
      </c>
      <c r="L94" s="64">
        <v>29.14</v>
      </c>
      <c r="M94" s="64">
        <v>67.27</v>
      </c>
      <c r="N94" s="64">
        <v>17.5</v>
      </c>
      <c r="O94" s="64">
        <v>0</v>
      </c>
      <c r="P94" s="64">
        <v>0.53</v>
      </c>
      <c r="Q94" s="64">
        <v>9.4600000000000009</v>
      </c>
      <c r="R94" s="198"/>
      <c r="S94" s="198"/>
      <c r="T94" s="198"/>
      <c r="U94" s="198"/>
    </row>
    <row r="95" spans="1:26" s="12" customFormat="1" x14ac:dyDescent="0.25">
      <c r="A95" s="214" t="s">
        <v>2639</v>
      </c>
      <c r="B95" s="64">
        <v>8.15</v>
      </c>
      <c r="C95" s="64">
        <v>3.12</v>
      </c>
      <c r="D95" s="64">
        <v>11.94</v>
      </c>
      <c r="E95" s="64">
        <v>4.28</v>
      </c>
      <c r="F95" s="64">
        <v>3.78</v>
      </c>
      <c r="G95" s="64">
        <v>62.92</v>
      </c>
      <c r="H95" s="64">
        <v>16.72</v>
      </c>
      <c r="I95" s="64">
        <v>5.8</v>
      </c>
      <c r="J95" s="64">
        <v>0.67</v>
      </c>
      <c r="K95" s="64">
        <v>158.65</v>
      </c>
      <c r="L95" s="64">
        <v>28.94</v>
      </c>
      <c r="M95" s="64">
        <v>68.290000000000006</v>
      </c>
      <c r="N95" s="64">
        <v>17.600000000000001</v>
      </c>
      <c r="O95" s="64">
        <v>0</v>
      </c>
      <c r="P95" s="64">
        <v>0.53</v>
      </c>
      <c r="Q95" s="64">
        <v>9.48</v>
      </c>
      <c r="R95" s="198"/>
      <c r="S95" s="198"/>
      <c r="T95" s="198"/>
      <c r="U95" s="198"/>
    </row>
    <row r="96" spans="1:26" s="12" customFormat="1" x14ac:dyDescent="0.25">
      <c r="A96" s="214" t="s">
        <v>2640</v>
      </c>
      <c r="B96" s="64">
        <v>8.18</v>
      </c>
      <c r="C96" s="64">
        <v>3.24</v>
      </c>
      <c r="D96" s="64">
        <v>12.02</v>
      </c>
      <c r="E96" s="64">
        <v>4.07</v>
      </c>
      <c r="F96" s="64">
        <v>2.56</v>
      </c>
      <c r="G96" s="64">
        <v>54.98</v>
      </c>
      <c r="H96" s="64">
        <v>22.03</v>
      </c>
      <c r="I96" s="64">
        <v>5.8</v>
      </c>
      <c r="J96" s="64">
        <v>0.22</v>
      </c>
      <c r="K96" s="64">
        <v>173.26</v>
      </c>
      <c r="L96" s="64">
        <v>28.65</v>
      </c>
      <c r="M96" s="64">
        <v>70.34</v>
      </c>
      <c r="N96" s="64">
        <v>17.7</v>
      </c>
      <c r="O96" s="64">
        <v>0</v>
      </c>
      <c r="P96" s="64">
        <v>0.52</v>
      </c>
      <c r="Q96" s="64">
        <v>9.48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2641</v>
      </c>
      <c r="B97" s="64">
        <v>8.18</v>
      </c>
      <c r="C97" s="64">
        <v>3.22</v>
      </c>
      <c r="D97" s="64">
        <v>12.02</v>
      </c>
      <c r="E97" s="64">
        <v>4.1100000000000003</v>
      </c>
      <c r="F97" s="64">
        <v>3.37</v>
      </c>
      <c r="G97" s="64">
        <v>54.61</v>
      </c>
      <c r="H97" s="64">
        <v>22.28</v>
      </c>
      <c r="I97" s="64">
        <v>5.85</v>
      </c>
      <c r="J97" s="64">
        <v>0.15</v>
      </c>
      <c r="K97" s="64">
        <v>46.84</v>
      </c>
      <c r="L97" s="64">
        <v>28.33</v>
      </c>
      <c r="M97" s="64">
        <v>72.760000000000005</v>
      </c>
      <c r="N97" s="64">
        <v>17.600000000000001</v>
      </c>
      <c r="O97" s="64">
        <v>0</v>
      </c>
      <c r="P97" s="64">
        <v>0.52</v>
      </c>
      <c r="Q97" s="64">
        <v>9.43</v>
      </c>
      <c r="R97" s="198"/>
      <c r="S97" s="198"/>
      <c r="T97" s="198"/>
      <c r="U97" s="198"/>
    </row>
    <row r="98" spans="1:33" s="12" customFormat="1" x14ac:dyDescent="0.25">
      <c r="A98" s="214" t="s">
        <v>2642</v>
      </c>
      <c r="B98" s="64">
        <v>8.2100000000000009</v>
      </c>
      <c r="C98" s="64">
        <v>3.21</v>
      </c>
      <c r="D98" s="64">
        <v>12.04</v>
      </c>
      <c r="E98" s="64">
        <v>4.0999999999999996</v>
      </c>
      <c r="F98" s="64">
        <v>3.39</v>
      </c>
      <c r="G98" s="64">
        <v>54.61</v>
      </c>
      <c r="H98" s="64">
        <v>22.28</v>
      </c>
      <c r="I98" s="64">
        <v>5.87</v>
      </c>
      <c r="J98" s="64">
        <v>0.28000000000000003</v>
      </c>
      <c r="K98" s="64">
        <v>185.28</v>
      </c>
      <c r="L98" s="64">
        <v>28.21</v>
      </c>
      <c r="M98" s="64">
        <v>73.430000000000007</v>
      </c>
      <c r="N98" s="64">
        <v>17.3</v>
      </c>
      <c r="O98" s="64">
        <v>0</v>
      </c>
      <c r="P98" s="64">
        <v>0.51</v>
      </c>
      <c r="Q98" s="64">
        <v>9.41</v>
      </c>
      <c r="R98" s="198"/>
      <c r="S98" s="198"/>
      <c r="T98" s="198"/>
      <c r="U98" s="198"/>
    </row>
    <row r="99" spans="1:33" s="12" customFormat="1" x14ac:dyDescent="0.25">
      <c r="A99" s="214" t="s">
        <v>2643</v>
      </c>
      <c r="B99" s="64">
        <v>8.27</v>
      </c>
      <c r="C99" s="64">
        <v>3.37</v>
      </c>
      <c r="D99" s="64">
        <v>12.17</v>
      </c>
      <c r="E99" s="64">
        <v>4.13</v>
      </c>
      <c r="F99" s="64">
        <v>3.33</v>
      </c>
      <c r="G99" s="64">
        <v>54.61</v>
      </c>
      <c r="H99" s="64">
        <v>22.28</v>
      </c>
      <c r="I99" s="64">
        <v>6</v>
      </c>
      <c r="J99" s="64">
        <v>0.13</v>
      </c>
      <c r="K99" s="64">
        <v>334.78</v>
      </c>
      <c r="L99" s="64">
        <v>28.11</v>
      </c>
      <c r="M99" s="64">
        <v>73.489999999999995</v>
      </c>
      <c r="N99" s="64">
        <v>17.399999999999999</v>
      </c>
      <c r="O99" s="64">
        <v>0</v>
      </c>
      <c r="P99" s="64">
        <v>0.5</v>
      </c>
      <c r="Q99" s="64">
        <v>9.3800000000000008</v>
      </c>
      <c r="R99" s="198"/>
      <c r="S99" s="198"/>
      <c r="T99" s="198"/>
      <c r="U99" s="198"/>
    </row>
    <row r="100" spans="1:33" s="12" customFormat="1" x14ac:dyDescent="0.25">
      <c r="A100" s="214" t="s">
        <v>2644</v>
      </c>
      <c r="B100" s="64">
        <v>8.23</v>
      </c>
      <c r="C100" s="64">
        <v>3.23</v>
      </c>
      <c r="D100" s="64">
        <v>12.06</v>
      </c>
      <c r="E100" s="64">
        <v>4.29</v>
      </c>
      <c r="F100" s="64">
        <v>3.7</v>
      </c>
      <c r="G100" s="64">
        <v>48.98</v>
      </c>
      <c r="H100" s="64">
        <v>18.579999999999998</v>
      </c>
      <c r="I100" s="64">
        <v>5.99</v>
      </c>
      <c r="J100" s="64">
        <v>0.17</v>
      </c>
      <c r="K100" s="64">
        <v>235.8</v>
      </c>
      <c r="L100" s="64">
        <v>27.93</v>
      </c>
      <c r="M100" s="64">
        <v>74.17</v>
      </c>
      <c r="N100" s="64">
        <v>17.399999999999999</v>
      </c>
      <c r="O100" s="64">
        <v>0</v>
      </c>
      <c r="P100" s="64">
        <v>0.5</v>
      </c>
      <c r="Q100" s="64">
        <v>9.42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2645</v>
      </c>
      <c r="B101" s="64">
        <v>8.2799999999999994</v>
      </c>
      <c r="C101" s="64">
        <v>3.36</v>
      </c>
      <c r="D101" s="64">
        <v>12.17</v>
      </c>
      <c r="E101" s="64">
        <v>4.43</v>
      </c>
      <c r="F101" s="64">
        <v>3.42</v>
      </c>
      <c r="G101" s="64">
        <v>48.72</v>
      </c>
      <c r="H101" s="64">
        <v>18.41</v>
      </c>
      <c r="I101" s="64">
        <v>5.98</v>
      </c>
      <c r="J101" s="64">
        <v>0.15</v>
      </c>
      <c r="K101" s="64">
        <v>156.69</v>
      </c>
      <c r="L101" s="64">
        <v>27.81</v>
      </c>
      <c r="M101" s="64">
        <v>75.02</v>
      </c>
      <c r="N101" s="64">
        <v>17.2</v>
      </c>
      <c r="O101" s="64">
        <v>0</v>
      </c>
      <c r="P101" s="64">
        <v>0.49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4" t="s">
        <v>2646</v>
      </c>
      <c r="B102" s="64">
        <v>8.23</v>
      </c>
      <c r="C102" s="64">
        <v>3.19</v>
      </c>
      <c r="D102" s="64">
        <v>12.04</v>
      </c>
      <c r="E102" s="64">
        <v>4.1500000000000004</v>
      </c>
      <c r="F102" s="64">
        <v>3.52</v>
      </c>
      <c r="G102" s="64">
        <v>48.72</v>
      </c>
      <c r="H102" s="64">
        <v>18.41</v>
      </c>
      <c r="I102" s="64">
        <v>6</v>
      </c>
      <c r="J102" s="64">
        <v>0.24</v>
      </c>
      <c r="K102" s="64">
        <v>310.10000000000002</v>
      </c>
      <c r="L102" s="64">
        <v>27.8</v>
      </c>
      <c r="M102" s="64">
        <v>75.150000000000006</v>
      </c>
      <c r="N102" s="64">
        <v>17.399999999999999</v>
      </c>
      <c r="O102" s="64">
        <v>0</v>
      </c>
      <c r="P102" s="64">
        <v>0.47</v>
      </c>
      <c r="Q102" s="64">
        <v>9.4600000000000009</v>
      </c>
      <c r="R102" s="198"/>
      <c r="S102" s="198"/>
      <c r="T102" s="198"/>
      <c r="U102" s="198"/>
    </row>
    <row r="103" spans="1:33" s="12" customFormat="1" x14ac:dyDescent="0.25">
      <c r="A103" s="214" t="s">
        <v>2647</v>
      </c>
      <c r="B103" s="64">
        <v>8.2100000000000009</v>
      </c>
      <c r="C103" s="64">
        <v>3.19</v>
      </c>
      <c r="D103" s="64">
        <v>12.03</v>
      </c>
      <c r="E103" s="64">
        <v>3.88</v>
      </c>
      <c r="F103" s="64">
        <v>3.93</v>
      </c>
      <c r="G103" s="64">
        <v>48.72</v>
      </c>
      <c r="H103" s="64">
        <v>18.41</v>
      </c>
      <c r="I103" s="64">
        <v>5.82</v>
      </c>
      <c r="J103" s="64">
        <v>0.56000000000000005</v>
      </c>
      <c r="K103" s="64">
        <v>161.65</v>
      </c>
      <c r="L103" s="64">
        <v>27.74</v>
      </c>
      <c r="M103" s="64">
        <v>74.849999999999994</v>
      </c>
      <c r="N103" s="64">
        <v>17.2</v>
      </c>
      <c r="O103" s="64">
        <v>0</v>
      </c>
      <c r="P103" s="64">
        <v>0.47</v>
      </c>
      <c r="Q103" s="64">
        <v>9.4499999999999993</v>
      </c>
      <c r="R103" s="198"/>
      <c r="S103" s="198"/>
      <c r="T103" s="198"/>
      <c r="U103" s="198"/>
    </row>
    <row r="104" spans="1:33" s="12" customFormat="1" x14ac:dyDescent="0.25">
      <c r="A104" s="214" t="s">
        <v>2648</v>
      </c>
      <c r="B104" s="64">
        <v>8.19</v>
      </c>
      <c r="C104" s="64">
        <v>3.18</v>
      </c>
      <c r="D104" s="64">
        <v>12</v>
      </c>
      <c r="E104" s="64">
        <v>5.23</v>
      </c>
      <c r="F104" s="64">
        <v>3.83</v>
      </c>
      <c r="G104" s="64">
        <v>47.59</v>
      </c>
      <c r="H104" s="64">
        <v>16.84</v>
      </c>
      <c r="I104" s="64">
        <v>5.79</v>
      </c>
      <c r="J104" s="64">
        <v>0.99</v>
      </c>
      <c r="K104" s="64">
        <v>156.85</v>
      </c>
      <c r="L104" s="64">
        <v>27.73</v>
      </c>
      <c r="M104" s="64">
        <v>74.97</v>
      </c>
      <c r="N104" s="64">
        <v>17.3</v>
      </c>
      <c r="O104" s="64">
        <v>0</v>
      </c>
      <c r="P104" s="64">
        <v>0.47</v>
      </c>
      <c r="Q104" s="64">
        <v>9.4700000000000006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3.03</v>
      </c>
      <c r="D106" s="67">
        <f t="shared" ref="D106:Q106" si="0">MIN(D9:D104)</f>
        <v>11.9</v>
      </c>
      <c r="E106" s="67">
        <f t="shared" si="0"/>
        <v>3.49</v>
      </c>
      <c r="F106" s="67">
        <f t="shared" si="0"/>
        <v>2.56</v>
      </c>
      <c r="G106" s="67">
        <f t="shared" si="0"/>
        <v>21.5</v>
      </c>
      <c r="H106" s="67">
        <f t="shared" si="0"/>
        <v>7.38</v>
      </c>
      <c r="I106" s="67">
        <f t="shared" si="0"/>
        <v>3.18</v>
      </c>
      <c r="J106" s="67">
        <f t="shared" si="0"/>
        <v>0.06</v>
      </c>
      <c r="K106" s="67">
        <f t="shared" si="0"/>
        <v>9.65</v>
      </c>
      <c r="L106" s="67">
        <f t="shared" si="0"/>
        <v>24.74</v>
      </c>
      <c r="M106" s="67">
        <f t="shared" si="0"/>
        <v>43.55</v>
      </c>
      <c r="N106" s="67">
        <f t="shared" si="0"/>
        <v>17.100000000000001</v>
      </c>
      <c r="O106" s="67">
        <f t="shared" si="0"/>
        <v>0</v>
      </c>
      <c r="P106" s="67">
        <f t="shared" si="0"/>
        <v>0.28999999999999998</v>
      </c>
      <c r="Q106" s="67">
        <f t="shared" si="0"/>
        <v>9.2899999999999991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8.48</v>
      </c>
      <c r="C107" s="66">
        <f t="shared" ref="C107:Q107" si="1">MAX(C9:C104)</f>
        <v>3.84</v>
      </c>
      <c r="D107" s="66">
        <f t="shared" si="1"/>
        <v>12.58</v>
      </c>
      <c r="E107" s="66">
        <f t="shared" si="1"/>
        <v>5.23</v>
      </c>
      <c r="F107" s="66">
        <f t="shared" si="1"/>
        <v>5.62</v>
      </c>
      <c r="G107" s="66">
        <f t="shared" si="1"/>
        <v>62.92</v>
      </c>
      <c r="H107" s="66">
        <f t="shared" si="1"/>
        <v>23.44</v>
      </c>
      <c r="I107" s="66">
        <f t="shared" si="1"/>
        <v>6.32</v>
      </c>
      <c r="J107" s="66">
        <f t="shared" si="1"/>
        <v>1.49</v>
      </c>
      <c r="K107" s="66">
        <f t="shared" si="1"/>
        <v>359.27</v>
      </c>
      <c r="L107" s="66">
        <f t="shared" si="1"/>
        <v>35.69</v>
      </c>
      <c r="M107" s="66">
        <f t="shared" si="1"/>
        <v>95.08</v>
      </c>
      <c r="N107" s="66">
        <f t="shared" si="1"/>
        <v>1010.7</v>
      </c>
      <c r="O107" s="66">
        <f t="shared" si="1"/>
        <v>0</v>
      </c>
      <c r="P107" s="66">
        <f t="shared" si="1"/>
        <v>0.53</v>
      </c>
      <c r="Q107" s="66">
        <f t="shared" si="1"/>
        <v>9.49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8.2003125000000008</v>
      </c>
      <c r="C108" s="67">
        <f t="shared" ref="C108:Q108" si="2">AVERAGE(C9:C104)</f>
        <v>3.2507291666666678</v>
      </c>
      <c r="D108" s="67">
        <f t="shared" si="2"/>
        <v>12.049166666666666</v>
      </c>
      <c r="E108" s="67">
        <f t="shared" si="2"/>
        <v>4.3120833333333337</v>
      </c>
      <c r="F108" s="67">
        <f t="shared" si="2"/>
        <v>3.9823958333333338</v>
      </c>
      <c r="G108" s="67">
        <f t="shared" si="2"/>
        <v>38.155208333333341</v>
      </c>
      <c r="H108" s="67">
        <f t="shared" si="2"/>
        <v>13.88</v>
      </c>
      <c r="I108" s="67">
        <f t="shared" si="2"/>
        <v>5.2302083333333353</v>
      </c>
      <c r="J108" s="67">
        <f t="shared" si="2"/>
        <v>0.59333333333333338</v>
      </c>
      <c r="K108" s="67">
        <f t="shared" si="2"/>
        <v>207.47989583333336</v>
      </c>
      <c r="L108" s="67">
        <f t="shared" si="2"/>
        <v>29.216979166666661</v>
      </c>
      <c r="M108" s="67">
        <f t="shared" si="2"/>
        <v>69.471979166666742</v>
      </c>
      <c r="N108" s="67">
        <f t="shared" si="2"/>
        <v>222.51666666666668</v>
      </c>
      <c r="O108" s="67">
        <f t="shared" si="2"/>
        <v>0</v>
      </c>
      <c r="P108" s="67">
        <f t="shared" si="2"/>
        <v>0.41708333333333353</v>
      </c>
      <c r="Q108" s="67">
        <f t="shared" si="2"/>
        <v>9.4121874999999999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5.6427934944540181E-2</v>
      </c>
      <c r="C109" s="67">
        <f t="shared" ref="C109:Q109" si="3">STDEV(C9:C104)</f>
        <v>0.14816949605571147</v>
      </c>
      <c r="D109" s="67">
        <f t="shared" si="3"/>
        <v>0.11694953177527542</v>
      </c>
      <c r="E109" s="67">
        <f t="shared" si="3"/>
        <v>0.37518533431854634</v>
      </c>
      <c r="F109" s="67">
        <f t="shared" si="3"/>
        <v>0.66982911377951515</v>
      </c>
      <c r="G109" s="67">
        <f t="shared" si="3"/>
        <v>12.352656222271133</v>
      </c>
      <c r="H109" s="67">
        <f t="shared" si="3"/>
        <v>4.5697255474423546</v>
      </c>
      <c r="I109" s="67">
        <f t="shared" si="3"/>
        <v>0.85426974559889546</v>
      </c>
      <c r="J109" s="67">
        <f t="shared" si="3"/>
        <v>0.34223927199876653</v>
      </c>
      <c r="K109" s="67">
        <f t="shared" si="3"/>
        <v>91.176300400519963</v>
      </c>
      <c r="L109" s="67">
        <f t="shared" si="3"/>
        <v>3.5846424235653798</v>
      </c>
      <c r="M109" s="67">
        <f t="shared" si="3"/>
        <v>18.035610775398123</v>
      </c>
      <c r="N109" s="67">
        <f t="shared" si="3"/>
        <v>308.48613981205102</v>
      </c>
      <c r="O109" s="67">
        <f t="shared" si="3"/>
        <v>0</v>
      </c>
      <c r="P109" s="67">
        <f t="shared" si="3"/>
        <v>8.8280851671977426E-2</v>
      </c>
      <c r="Q109" s="67">
        <f t="shared" si="3"/>
        <v>4.6863814454898595E-2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5" sqref="G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2649</v>
      </c>
      <c r="B9" s="64">
        <v>8.17</v>
      </c>
      <c r="C9" s="64">
        <v>3.19</v>
      </c>
      <c r="D9" s="64">
        <v>11.99</v>
      </c>
      <c r="E9" s="64">
        <v>4.8099999999999996</v>
      </c>
      <c r="F9" s="64">
        <v>3.69</v>
      </c>
      <c r="G9" s="64">
        <v>47.53</v>
      </c>
      <c r="H9" s="64">
        <v>16.77</v>
      </c>
      <c r="I9" s="64">
        <v>6.03</v>
      </c>
      <c r="J9" s="64">
        <v>1.58</v>
      </c>
      <c r="K9" s="64">
        <v>144.94999999999999</v>
      </c>
      <c r="L9" s="64">
        <v>27.57</v>
      </c>
      <c r="M9" s="64">
        <v>75.75</v>
      </c>
      <c r="N9" s="64">
        <v>17.399999999999999</v>
      </c>
      <c r="O9" s="64">
        <v>0</v>
      </c>
      <c r="P9" s="64">
        <v>0.45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4" t="s">
        <v>2650</v>
      </c>
      <c r="B10" s="64">
        <v>8.33</v>
      </c>
      <c r="C10" s="64">
        <v>3.62</v>
      </c>
      <c r="D10" s="64">
        <v>12.34</v>
      </c>
      <c r="E10" s="64">
        <v>4.75</v>
      </c>
      <c r="F10" s="64">
        <v>4.01</v>
      </c>
      <c r="G10" s="64">
        <v>47.53</v>
      </c>
      <c r="H10" s="64">
        <v>16.77</v>
      </c>
      <c r="I10" s="64">
        <v>6.01</v>
      </c>
      <c r="J10" s="64">
        <v>1.1100000000000001</v>
      </c>
      <c r="K10" s="64">
        <v>148.28</v>
      </c>
      <c r="L10" s="64">
        <v>27.36</v>
      </c>
      <c r="M10" s="64">
        <v>76.12</v>
      </c>
      <c r="N10" s="64">
        <v>17.600000000000001</v>
      </c>
      <c r="O10" s="64">
        <v>0</v>
      </c>
      <c r="P10" s="64">
        <v>0.44</v>
      </c>
      <c r="Q10" s="64">
        <v>9.4499999999999993</v>
      </c>
      <c r="R10" s="198"/>
      <c r="S10" s="198"/>
      <c r="T10" s="198"/>
      <c r="U10" s="198"/>
    </row>
    <row r="11" spans="1:21" s="12" customFormat="1" x14ac:dyDescent="0.25">
      <c r="A11" s="214" t="s">
        <v>2651</v>
      </c>
      <c r="B11" s="64">
        <v>8.1999999999999993</v>
      </c>
      <c r="C11" s="64">
        <v>3.32</v>
      </c>
      <c r="D11" s="64">
        <v>12.09</v>
      </c>
      <c r="E11" s="64">
        <v>4.99</v>
      </c>
      <c r="F11" s="64">
        <v>4.01</v>
      </c>
      <c r="G11" s="64">
        <v>47.53</v>
      </c>
      <c r="H11" s="64">
        <v>16.77</v>
      </c>
      <c r="I11" s="64">
        <v>6.09</v>
      </c>
      <c r="J11" s="64">
        <v>1</v>
      </c>
      <c r="K11" s="64">
        <v>151.1</v>
      </c>
      <c r="L11" s="64">
        <v>27.16</v>
      </c>
      <c r="M11" s="64">
        <v>76.75</v>
      </c>
      <c r="N11" s="64">
        <v>17.5</v>
      </c>
      <c r="O11" s="64">
        <v>0</v>
      </c>
      <c r="P11" s="64">
        <v>0.43</v>
      </c>
      <c r="Q11" s="64">
        <v>9.4700000000000006</v>
      </c>
      <c r="R11" s="198"/>
      <c r="S11" s="198"/>
      <c r="T11" s="198"/>
      <c r="U11" s="198"/>
    </row>
    <row r="12" spans="1:21" s="12" customFormat="1" x14ac:dyDescent="0.25">
      <c r="A12" s="214" t="s">
        <v>2652</v>
      </c>
      <c r="B12" s="64">
        <v>8.16</v>
      </c>
      <c r="C12" s="64">
        <v>3.21</v>
      </c>
      <c r="D12" s="64">
        <v>12</v>
      </c>
      <c r="E12" s="64">
        <v>4.6399999999999997</v>
      </c>
      <c r="F12" s="64">
        <v>3.66</v>
      </c>
      <c r="G12" s="64">
        <v>42.69</v>
      </c>
      <c r="H12" s="64">
        <v>18.09</v>
      </c>
      <c r="I12" s="64">
        <v>5.99</v>
      </c>
      <c r="J12" s="64">
        <v>0.72</v>
      </c>
      <c r="K12" s="64">
        <v>150.52000000000001</v>
      </c>
      <c r="L12" s="64">
        <v>26.99</v>
      </c>
      <c r="M12" s="64">
        <v>77.05</v>
      </c>
      <c r="N12" s="64">
        <v>17.5</v>
      </c>
      <c r="O12" s="64">
        <v>0</v>
      </c>
      <c r="P12" s="64">
        <v>0.41</v>
      </c>
      <c r="Q12" s="64">
        <v>9.44</v>
      </c>
      <c r="R12" s="198"/>
      <c r="S12" s="198"/>
      <c r="T12" s="198"/>
      <c r="U12" s="198"/>
    </row>
    <row r="13" spans="1:21" s="12" customFormat="1" x14ac:dyDescent="0.25">
      <c r="A13" s="214" t="s">
        <v>2653</v>
      </c>
      <c r="B13" s="64">
        <v>8.23</v>
      </c>
      <c r="C13" s="64">
        <v>3.31</v>
      </c>
      <c r="D13" s="64">
        <v>12.1</v>
      </c>
      <c r="E13" s="64">
        <v>4.5599999999999996</v>
      </c>
      <c r="F13" s="64">
        <v>3.93</v>
      </c>
      <c r="G13" s="64">
        <v>42.47</v>
      </c>
      <c r="H13" s="64">
        <v>18.149999999999999</v>
      </c>
      <c r="I13" s="64">
        <v>5.74</v>
      </c>
      <c r="J13" s="64">
        <v>0.49</v>
      </c>
      <c r="K13" s="64">
        <v>131.66</v>
      </c>
      <c r="L13" s="64">
        <v>26.86</v>
      </c>
      <c r="M13" s="64">
        <v>76.89</v>
      </c>
      <c r="N13" s="64">
        <v>17.5</v>
      </c>
      <c r="O13" s="64">
        <v>0</v>
      </c>
      <c r="P13" s="64">
        <v>0.38</v>
      </c>
      <c r="Q13" s="64">
        <v>9.41</v>
      </c>
      <c r="R13" s="198"/>
      <c r="S13" s="198"/>
      <c r="T13" s="198"/>
      <c r="U13" s="198"/>
    </row>
    <row r="14" spans="1:21" s="12" customFormat="1" x14ac:dyDescent="0.25">
      <c r="A14" s="214" t="s">
        <v>2654</v>
      </c>
      <c r="B14" s="64">
        <v>8.19</v>
      </c>
      <c r="C14" s="64">
        <v>3.26</v>
      </c>
      <c r="D14" s="64">
        <v>12.04</v>
      </c>
      <c r="E14" s="64">
        <v>4.55</v>
      </c>
      <c r="F14" s="64">
        <v>3.93</v>
      </c>
      <c r="G14" s="64">
        <v>42.47</v>
      </c>
      <c r="H14" s="64">
        <v>18.149999999999999</v>
      </c>
      <c r="I14" s="64">
        <v>5.62</v>
      </c>
      <c r="J14" s="64">
        <v>1.28</v>
      </c>
      <c r="K14" s="64">
        <v>149.24</v>
      </c>
      <c r="L14" s="64">
        <v>26.81</v>
      </c>
      <c r="M14" s="64">
        <v>76.83</v>
      </c>
      <c r="N14" s="64">
        <v>17.2</v>
      </c>
      <c r="O14" s="64">
        <v>0</v>
      </c>
      <c r="P14" s="64">
        <v>0.39</v>
      </c>
      <c r="Q14" s="64">
        <v>9.43</v>
      </c>
      <c r="R14" s="198"/>
      <c r="S14" s="198"/>
      <c r="T14" s="198"/>
      <c r="U14" s="198"/>
    </row>
    <row r="15" spans="1:21" s="12" customFormat="1" x14ac:dyDescent="0.25">
      <c r="A15" s="214" t="s">
        <v>2655</v>
      </c>
      <c r="B15" s="64">
        <v>8.15</v>
      </c>
      <c r="C15" s="64">
        <v>3.19</v>
      </c>
      <c r="D15" s="64">
        <v>11.98</v>
      </c>
      <c r="E15" s="64">
        <v>5.03</v>
      </c>
      <c r="F15" s="64">
        <v>3.47</v>
      </c>
      <c r="G15" s="64">
        <v>42.47</v>
      </c>
      <c r="H15" s="64">
        <v>18.149999999999999</v>
      </c>
      <c r="I15" s="64">
        <v>5.47</v>
      </c>
      <c r="J15" s="64">
        <v>1.28</v>
      </c>
      <c r="K15" s="64">
        <v>145.88999999999999</v>
      </c>
      <c r="L15" s="64">
        <v>26.81</v>
      </c>
      <c r="M15" s="64">
        <v>76.8</v>
      </c>
      <c r="N15" s="64">
        <v>17.2</v>
      </c>
      <c r="O15" s="64">
        <v>0</v>
      </c>
      <c r="P15" s="64">
        <v>0.37</v>
      </c>
      <c r="Q15" s="64">
        <v>9.43</v>
      </c>
      <c r="R15" s="198"/>
      <c r="S15" s="198"/>
      <c r="T15" s="198"/>
      <c r="U15" s="198"/>
    </row>
    <row r="16" spans="1:21" s="12" customFormat="1" x14ac:dyDescent="0.25">
      <c r="A16" s="214" t="s">
        <v>2656</v>
      </c>
      <c r="B16" s="64">
        <v>8.14</v>
      </c>
      <c r="C16" s="64">
        <v>3.09</v>
      </c>
      <c r="D16" s="64">
        <v>11.91</v>
      </c>
      <c r="E16" s="64">
        <v>4.59</v>
      </c>
      <c r="F16" s="64">
        <v>4.0599999999999996</v>
      </c>
      <c r="G16" s="64">
        <v>39.07</v>
      </c>
      <c r="H16" s="64">
        <v>15.46</v>
      </c>
      <c r="I16" s="64">
        <v>5.37</v>
      </c>
      <c r="J16" s="64">
        <v>1.19</v>
      </c>
      <c r="K16" s="64">
        <v>154.85</v>
      </c>
      <c r="L16" s="64">
        <v>26.78</v>
      </c>
      <c r="M16" s="64">
        <v>77.27</v>
      </c>
      <c r="N16" s="64">
        <v>17.2</v>
      </c>
      <c r="O16" s="64">
        <v>0</v>
      </c>
      <c r="P16" s="64">
        <v>0.37</v>
      </c>
      <c r="Q16" s="64">
        <v>9.4</v>
      </c>
      <c r="R16" s="198"/>
      <c r="S16" s="198"/>
      <c r="T16" s="198"/>
      <c r="U16" s="198"/>
    </row>
    <row r="17" spans="1:21" s="12" customFormat="1" x14ac:dyDescent="0.25">
      <c r="A17" s="214" t="s">
        <v>2657</v>
      </c>
      <c r="B17" s="64">
        <v>8.15</v>
      </c>
      <c r="C17" s="64">
        <v>3.14</v>
      </c>
      <c r="D17" s="64">
        <v>11.95</v>
      </c>
      <c r="E17" s="64">
        <v>5.23</v>
      </c>
      <c r="F17" s="64">
        <v>3.08</v>
      </c>
      <c r="G17" s="64">
        <v>38.909999999999997</v>
      </c>
      <c r="H17" s="64">
        <v>15.34</v>
      </c>
      <c r="I17" s="64">
        <v>5.32</v>
      </c>
      <c r="J17" s="64">
        <v>1.31</v>
      </c>
      <c r="K17" s="64">
        <v>155.86000000000001</v>
      </c>
      <c r="L17" s="64">
        <v>26.79</v>
      </c>
      <c r="M17" s="64">
        <v>77.8</v>
      </c>
      <c r="N17" s="64">
        <v>17.2</v>
      </c>
      <c r="O17" s="64">
        <v>0</v>
      </c>
      <c r="P17" s="64">
        <v>0.36</v>
      </c>
      <c r="Q17" s="64">
        <v>9.43</v>
      </c>
      <c r="R17" s="198"/>
      <c r="S17" s="198"/>
      <c r="T17" s="198"/>
      <c r="U17" s="198"/>
    </row>
    <row r="18" spans="1:21" s="12" customFormat="1" x14ac:dyDescent="0.25">
      <c r="A18" s="214" t="s">
        <v>2658</v>
      </c>
      <c r="B18" s="64">
        <v>8.18</v>
      </c>
      <c r="C18" s="64">
        <v>3.24</v>
      </c>
      <c r="D18" s="64">
        <v>12.03</v>
      </c>
      <c r="E18" s="64">
        <v>4.8499999999999996</v>
      </c>
      <c r="F18" s="64">
        <v>3.38</v>
      </c>
      <c r="G18" s="64">
        <v>38.909999999999997</v>
      </c>
      <c r="H18" s="64">
        <v>15.34</v>
      </c>
      <c r="I18" s="64">
        <v>5.3</v>
      </c>
      <c r="J18" s="64">
        <v>1.06</v>
      </c>
      <c r="K18" s="64">
        <v>142.97999999999999</v>
      </c>
      <c r="L18" s="64">
        <v>26.71</v>
      </c>
      <c r="M18" s="64">
        <v>78.67</v>
      </c>
      <c r="N18" s="64">
        <v>17.399999999999999</v>
      </c>
      <c r="O18" s="64">
        <v>0</v>
      </c>
      <c r="P18" s="64">
        <v>0.34</v>
      </c>
      <c r="Q18" s="64">
        <v>9.3800000000000008</v>
      </c>
      <c r="R18" s="198"/>
      <c r="S18" s="198"/>
      <c r="T18" s="198"/>
      <c r="U18" s="198"/>
    </row>
    <row r="19" spans="1:21" s="12" customFormat="1" x14ac:dyDescent="0.25">
      <c r="A19" s="214" t="s">
        <v>2659</v>
      </c>
      <c r="B19" s="64">
        <v>8.2100000000000009</v>
      </c>
      <c r="C19" s="64">
        <v>3.24</v>
      </c>
      <c r="D19" s="64">
        <v>12.05</v>
      </c>
      <c r="E19" s="64">
        <v>4.58</v>
      </c>
      <c r="F19" s="64">
        <v>3.76</v>
      </c>
      <c r="G19" s="64">
        <v>38.909999999999997</v>
      </c>
      <c r="H19" s="64">
        <v>15.34</v>
      </c>
      <c r="I19" s="64">
        <v>5.26</v>
      </c>
      <c r="J19" s="64">
        <v>1.01</v>
      </c>
      <c r="K19" s="64">
        <v>146.93</v>
      </c>
      <c r="L19" s="64">
        <v>26.66</v>
      </c>
      <c r="M19" s="64">
        <v>78.77</v>
      </c>
      <c r="N19" s="64">
        <v>17.2</v>
      </c>
      <c r="O19" s="64">
        <v>0</v>
      </c>
      <c r="P19" s="64">
        <v>0.34</v>
      </c>
      <c r="Q19" s="64">
        <v>9.36</v>
      </c>
      <c r="R19" s="198"/>
      <c r="S19" s="198"/>
      <c r="T19" s="198"/>
      <c r="U19" s="198"/>
    </row>
    <row r="20" spans="1:21" s="12" customFormat="1" x14ac:dyDescent="0.25">
      <c r="A20" s="214" t="s">
        <v>2660</v>
      </c>
      <c r="B20" s="64">
        <v>8.25</v>
      </c>
      <c r="C20" s="64">
        <v>3.21</v>
      </c>
      <c r="D20" s="64">
        <v>12.06</v>
      </c>
      <c r="E20" s="64">
        <v>4.59</v>
      </c>
      <c r="F20" s="64">
        <v>3.38</v>
      </c>
      <c r="G20" s="64">
        <v>36.630000000000003</v>
      </c>
      <c r="H20" s="64">
        <v>15.16</v>
      </c>
      <c r="I20" s="64">
        <v>5.29</v>
      </c>
      <c r="J20" s="64">
        <v>0.27</v>
      </c>
      <c r="K20" s="64">
        <v>180.72</v>
      </c>
      <c r="L20" s="64">
        <v>26.57</v>
      </c>
      <c r="M20" s="64">
        <v>79.709999999999994</v>
      </c>
      <c r="N20" s="64">
        <v>17.3</v>
      </c>
      <c r="O20" s="64">
        <v>0</v>
      </c>
      <c r="P20" s="64">
        <v>0.33</v>
      </c>
      <c r="Q20" s="64">
        <v>9.4</v>
      </c>
      <c r="R20" s="198"/>
      <c r="S20" s="198"/>
      <c r="T20" s="198"/>
      <c r="U20" s="198"/>
    </row>
    <row r="21" spans="1:21" s="12" customFormat="1" x14ac:dyDescent="0.25">
      <c r="A21" s="214" t="s">
        <v>2661</v>
      </c>
      <c r="B21" s="64">
        <v>8.1999999999999993</v>
      </c>
      <c r="C21" s="64">
        <v>3.12</v>
      </c>
      <c r="D21" s="64">
        <v>11.98</v>
      </c>
      <c r="E21" s="64">
        <v>4.66</v>
      </c>
      <c r="F21" s="64">
        <v>3.21</v>
      </c>
      <c r="G21" s="64">
        <v>36.53</v>
      </c>
      <c r="H21" s="64">
        <v>15.15</v>
      </c>
      <c r="I21" s="64">
        <v>5.24</v>
      </c>
      <c r="J21" s="64">
        <v>0.83</v>
      </c>
      <c r="K21" s="64">
        <v>149.63</v>
      </c>
      <c r="L21" s="64">
        <v>26.52</v>
      </c>
      <c r="M21" s="64">
        <v>79.8</v>
      </c>
      <c r="N21" s="64">
        <v>17.100000000000001</v>
      </c>
      <c r="O21" s="64">
        <v>0</v>
      </c>
      <c r="P21" s="64">
        <v>0.32</v>
      </c>
      <c r="Q21" s="64">
        <v>9.39</v>
      </c>
      <c r="R21" s="198"/>
      <c r="S21" s="198"/>
      <c r="T21" s="198"/>
      <c r="U21" s="198"/>
    </row>
    <row r="22" spans="1:21" s="12" customFormat="1" x14ac:dyDescent="0.25">
      <c r="A22" s="214" t="s">
        <v>2662</v>
      </c>
      <c r="B22" s="64">
        <v>8.18</v>
      </c>
      <c r="C22" s="64">
        <v>3.11</v>
      </c>
      <c r="D22" s="64">
        <v>11.96</v>
      </c>
      <c r="E22" s="64">
        <v>5.15</v>
      </c>
      <c r="F22" s="64">
        <v>3.34</v>
      </c>
      <c r="G22" s="64">
        <v>36.53</v>
      </c>
      <c r="H22" s="64">
        <v>15.15</v>
      </c>
      <c r="I22" s="64">
        <v>5.3</v>
      </c>
      <c r="J22" s="64">
        <v>0.47</v>
      </c>
      <c r="K22" s="64">
        <v>148.34</v>
      </c>
      <c r="L22" s="64">
        <v>26.34</v>
      </c>
      <c r="M22" s="64">
        <v>82</v>
      </c>
      <c r="N22" s="64">
        <v>17.399999999999999</v>
      </c>
      <c r="O22" s="64">
        <v>0</v>
      </c>
      <c r="P22" s="64">
        <v>0.32</v>
      </c>
      <c r="Q22" s="64">
        <v>9.39</v>
      </c>
      <c r="R22" s="198"/>
      <c r="S22" s="198"/>
      <c r="T22" s="198"/>
      <c r="U22" s="198"/>
    </row>
    <row r="23" spans="1:21" s="12" customFormat="1" x14ac:dyDescent="0.25">
      <c r="A23" s="214" t="s">
        <v>2663</v>
      </c>
      <c r="B23" s="64">
        <v>8.19</v>
      </c>
      <c r="C23" s="64">
        <v>3.1</v>
      </c>
      <c r="D23" s="64">
        <v>11.96</v>
      </c>
      <c r="E23" s="64">
        <v>4.72</v>
      </c>
      <c r="F23" s="64">
        <v>3.43</v>
      </c>
      <c r="G23" s="64">
        <v>36.53</v>
      </c>
      <c r="H23" s="64">
        <v>15.15</v>
      </c>
      <c r="I23" s="64">
        <v>5.53</v>
      </c>
      <c r="J23" s="64">
        <v>0.97</v>
      </c>
      <c r="K23" s="64">
        <v>150.80000000000001</v>
      </c>
      <c r="L23" s="64">
        <v>26.25</v>
      </c>
      <c r="M23" s="64">
        <v>81.98</v>
      </c>
      <c r="N23" s="64">
        <v>17.100000000000001</v>
      </c>
      <c r="O23" s="64">
        <v>0</v>
      </c>
      <c r="P23" s="64">
        <v>0.31</v>
      </c>
      <c r="Q23" s="64">
        <v>9.3800000000000008</v>
      </c>
      <c r="R23" s="198"/>
      <c r="S23" s="198"/>
      <c r="T23" s="198"/>
      <c r="U23" s="198"/>
    </row>
    <row r="24" spans="1:21" s="12" customFormat="1" x14ac:dyDescent="0.25">
      <c r="A24" s="214" t="s">
        <v>2664</v>
      </c>
      <c r="B24" s="64">
        <v>8.23</v>
      </c>
      <c r="C24" s="64">
        <v>3.22</v>
      </c>
      <c r="D24" s="64">
        <v>12.06</v>
      </c>
      <c r="E24" s="64">
        <v>2.94</v>
      </c>
      <c r="F24" s="64">
        <v>3.3</v>
      </c>
      <c r="G24" s="64">
        <v>33.840000000000003</v>
      </c>
      <c r="H24" s="64">
        <v>12.33</v>
      </c>
      <c r="I24" s="64">
        <v>5.73</v>
      </c>
      <c r="J24" s="64">
        <v>1.02</v>
      </c>
      <c r="K24" s="64">
        <v>152.49</v>
      </c>
      <c r="L24" s="64">
        <v>26.28</v>
      </c>
      <c r="M24" s="64">
        <v>81.87</v>
      </c>
      <c r="N24" s="64">
        <v>17.2</v>
      </c>
      <c r="O24" s="64">
        <v>0</v>
      </c>
      <c r="P24" s="64">
        <v>0.3</v>
      </c>
      <c r="Q24" s="64">
        <v>9.41</v>
      </c>
      <c r="R24" s="198"/>
      <c r="S24" s="198"/>
      <c r="T24" s="198"/>
      <c r="U24" s="198"/>
    </row>
    <row r="25" spans="1:21" s="12" customFormat="1" x14ac:dyDescent="0.25">
      <c r="A25" s="214" t="s">
        <v>2665</v>
      </c>
      <c r="B25" s="64">
        <v>8.2200000000000006</v>
      </c>
      <c r="C25" s="64">
        <v>3.15</v>
      </c>
      <c r="D25" s="64">
        <v>12.01</v>
      </c>
      <c r="E25" s="64">
        <v>3.26</v>
      </c>
      <c r="F25" s="64">
        <v>3.61</v>
      </c>
      <c r="G25" s="64">
        <v>33.72</v>
      </c>
      <c r="H25" s="64">
        <v>12.2</v>
      </c>
      <c r="I25" s="64">
        <v>6.04</v>
      </c>
      <c r="J25" s="64">
        <v>0.77</v>
      </c>
      <c r="K25" s="64">
        <v>155.75</v>
      </c>
      <c r="L25" s="64">
        <v>26.2</v>
      </c>
      <c r="M25" s="64">
        <v>82.69</v>
      </c>
      <c r="N25" s="64">
        <v>17.2</v>
      </c>
      <c r="O25" s="64">
        <v>0</v>
      </c>
      <c r="P25" s="64">
        <v>0.31</v>
      </c>
      <c r="Q25" s="64">
        <v>9.42</v>
      </c>
      <c r="R25" s="198"/>
      <c r="S25" s="198"/>
      <c r="T25" s="198"/>
      <c r="U25" s="198"/>
    </row>
    <row r="26" spans="1:21" s="12" customFormat="1" x14ac:dyDescent="0.25">
      <c r="A26" s="214" t="s">
        <v>2666</v>
      </c>
      <c r="B26" s="64">
        <v>8.2200000000000006</v>
      </c>
      <c r="C26" s="64">
        <v>3.18</v>
      </c>
      <c r="D26" s="64">
        <v>12.03</v>
      </c>
      <c r="E26" s="64">
        <v>3.37</v>
      </c>
      <c r="F26" s="64">
        <v>4.1100000000000003</v>
      </c>
      <c r="G26" s="64">
        <v>33.72</v>
      </c>
      <c r="H26" s="64">
        <v>12.2</v>
      </c>
      <c r="I26" s="64">
        <v>6.3</v>
      </c>
      <c r="J26" s="64">
        <v>0.75</v>
      </c>
      <c r="K26" s="64">
        <v>146.94999999999999</v>
      </c>
      <c r="L26" s="64">
        <v>26.15</v>
      </c>
      <c r="M26" s="64">
        <v>83.05</v>
      </c>
      <c r="N26" s="64">
        <v>17.2</v>
      </c>
      <c r="O26" s="64">
        <v>0</v>
      </c>
      <c r="P26" s="64">
        <v>0.31</v>
      </c>
      <c r="Q26" s="64">
        <v>9.41</v>
      </c>
      <c r="R26" s="198"/>
      <c r="S26" s="198"/>
      <c r="T26" s="198"/>
      <c r="U26" s="198"/>
    </row>
    <row r="27" spans="1:21" s="12" customFormat="1" x14ac:dyDescent="0.25">
      <c r="A27" s="214" t="s">
        <v>2667</v>
      </c>
      <c r="B27" s="64">
        <v>8.2899999999999991</v>
      </c>
      <c r="C27" s="64">
        <v>3.43</v>
      </c>
      <c r="D27" s="64">
        <v>12.21</v>
      </c>
      <c r="E27" s="64">
        <v>3.67</v>
      </c>
      <c r="F27" s="64">
        <v>3.48</v>
      </c>
      <c r="G27" s="64">
        <v>33.72</v>
      </c>
      <c r="H27" s="64">
        <v>12.2</v>
      </c>
      <c r="I27" s="64">
        <v>6.35</v>
      </c>
      <c r="J27" s="64">
        <v>0.2</v>
      </c>
      <c r="K27" s="64">
        <v>61.41</v>
      </c>
      <c r="L27" s="64">
        <v>26.06</v>
      </c>
      <c r="M27" s="64">
        <v>83.69</v>
      </c>
      <c r="N27" s="64">
        <v>17.399999999999999</v>
      </c>
      <c r="O27" s="64">
        <v>0</v>
      </c>
      <c r="P27" s="64">
        <v>0.3</v>
      </c>
      <c r="Q27" s="64">
        <v>9.41</v>
      </c>
      <c r="R27" s="198"/>
      <c r="S27" s="198"/>
      <c r="T27" s="198"/>
      <c r="U27" s="198"/>
    </row>
    <row r="28" spans="1:21" s="12" customFormat="1" x14ac:dyDescent="0.25">
      <c r="A28" s="214" t="s">
        <v>2668</v>
      </c>
      <c r="B28" s="64">
        <v>8.18</v>
      </c>
      <c r="C28" s="64">
        <v>3.21</v>
      </c>
      <c r="D28" s="64">
        <v>12.01</v>
      </c>
      <c r="E28" s="64">
        <v>3.27</v>
      </c>
      <c r="F28" s="64">
        <v>3.32</v>
      </c>
      <c r="G28" s="64">
        <v>29.39</v>
      </c>
      <c r="H28" s="64">
        <v>12.52</v>
      </c>
      <c r="I28" s="64">
        <v>6.28</v>
      </c>
      <c r="J28" s="64">
        <v>0.17</v>
      </c>
      <c r="K28" s="64">
        <v>232.08</v>
      </c>
      <c r="L28" s="64">
        <v>25.95</v>
      </c>
      <c r="M28" s="64">
        <v>84.46</v>
      </c>
      <c r="N28" s="64">
        <v>17.399999999999999</v>
      </c>
      <c r="O28" s="64">
        <v>0</v>
      </c>
      <c r="P28" s="64">
        <v>0.28999999999999998</v>
      </c>
      <c r="Q28" s="64">
        <v>9.4</v>
      </c>
      <c r="R28" s="198"/>
      <c r="S28" s="198"/>
      <c r="T28" s="198"/>
      <c r="U28" s="198"/>
    </row>
    <row r="29" spans="1:21" s="12" customFormat="1" x14ac:dyDescent="0.25">
      <c r="A29" s="214" t="s">
        <v>2669</v>
      </c>
      <c r="B29" s="64">
        <v>8.17</v>
      </c>
      <c r="C29" s="64">
        <v>3.17</v>
      </c>
      <c r="D29" s="64">
        <v>11.98</v>
      </c>
      <c r="E29" s="64">
        <v>3.64</v>
      </c>
      <c r="F29" s="64">
        <v>4.05</v>
      </c>
      <c r="G29" s="64">
        <v>29.13</v>
      </c>
      <c r="H29" s="64">
        <v>12.54</v>
      </c>
      <c r="I29" s="64">
        <v>5.88</v>
      </c>
      <c r="J29" s="64">
        <v>0.28000000000000003</v>
      </c>
      <c r="K29" s="64">
        <v>231.22</v>
      </c>
      <c r="L29" s="64">
        <v>25.94</v>
      </c>
      <c r="M29" s="64">
        <v>84.86</v>
      </c>
      <c r="N29" s="64">
        <v>18</v>
      </c>
      <c r="O29" s="64">
        <v>0</v>
      </c>
      <c r="P29" s="64">
        <v>0.3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4" t="s">
        <v>2670</v>
      </c>
      <c r="B30" s="64">
        <v>8.1300000000000008</v>
      </c>
      <c r="C30" s="64">
        <v>3.12</v>
      </c>
      <c r="D30" s="64">
        <v>11.92</v>
      </c>
      <c r="E30" s="64">
        <v>3.44</v>
      </c>
      <c r="F30" s="64">
        <v>2.88</v>
      </c>
      <c r="G30" s="64">
        <v>29.13</v>
      </c>
      <c r="H30" s="64">
        <v>12.54</v>
      </c>
      <c r="I30" s="64">
        <v>5.66</v>
      </c>
      <c r="J30" s="64">
        <v>0.11</v>
      </c>
      <c r="K30" s="64">
        <v>143.53</v>
      </c>
      <c r="L30" s="64">
        <v>25.86</v>
      </c>
      <c r="M30" s="64">
        <v>85.49</v>
      </c>
      <c r="N30" s="64">
        <v>23.3</v>
      </c>
      <c r="O30" s="64">
        <v>0</v>
      </c>
      <c r="P30" s="64">
        <v>0.3</v>
      </c>
      <c r="Q30" s="64">
        <v>9.41</v>
      </c>
      <c r="R30" s="198"/>
      <c r="S30" s="198"/>
      <c r="T30" s="198"/>
      <c r="U30" s="198"/>
    </row>
    <row r="31" spans="1:21" s="12" customFormat="1" x14ac:dyDescent="0.25">
      <c r="A31" s="214" t="s">
        <v>2671</v>
      </c>
      <c r="B31" s="64">
        <v>8.14</v>
      </c>
      <c r="C31" s="64">
        <v>3.14</v>
      </c>
      <c r="D31" s="64">
        <v>11.94</v>
      </c>
      <c r="E31" s="64">
        <v>3.39</v>
      </c>
      <c r="F31" s="64">
        <v>3.05</v>
      </c>
      <c r="G31" s="64">
        <v>29.13</v>
      </c>
      <c r="H31" s="64">
        <v>12.54</v>
      </c>
      <c r="I31" s="64">
        <v>5.61</v>
      </c>
      <c r="J31" s="64">
        <v>0.24</v>
      </c>
      <c r="K31" s="64">
        <v>21.63</v>
      </c>
      <c r="L31" s="64">
        <v>25.85</v>
      </c>
      <c r="M31" s="64">
        <v>85.72</v>
      </c>
      <c r="N31" s="64">
        <v>35.200000000000003</v>
      </c>
      <c r="O31" s="64">
        <v>0</v>
      </c>
      <c r="P31" s="64">
        <v>0.28000000000000003</v>
      </c>
      <c r="Q31" s="64">
        <v>9.4</v>
      </c>
      <c r="R31" s="198"/>
      <c r="S31" s="198"/>
      <c r="T31" s="198"/>
      <c r="U31" s="198"/>
    </row>
    <row r="32" spans="1:21" s="12" customFormat="1" x14ac:dyDescent="0.25">
      <c r="A32" s="214" t="s">
        <v>2672</v>
      </c>
      <c r="B32" s="64">
        <v>8.16</v>
      </c>
      <c r="C32" s="64">
        <v>3.15</v>
      </c>
      <c r="D32" s="64">
        <v>11.97</v>
      </c>
      <c r="E32" s="64">
        <v>3.41</v>
      </c>
      <c r="F32" s="64">
        <v>3.77</v>
      </c>
      <c r="G32" s="64">
        <v>32.46</v>
      </c>
      <c r="H32" s="64">
        <v>13</v>
      </c>
      <c r="I32" s="64">
        <v>5.43</v>
      </c>
      <c r="J32" s="64">
        <v>0.12</v>
      </c>
      <c r="K32" s="64">
        <v>359.78</v>
      </c>
      <c r="L32" s="64">
        <v>25.95</v>
      </c>
      <c r="M32" s="64">
        <v>85.47</v>
      </c>
      <c r="N32" s="64">
        <v>49.1</v>
      </c>
      <c r="O32" s="64">
        <v>0</v>
      </c>
      <c r="P32" s="64">
        <v>0.28000000000000003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4" t="s">
        <v>2673</v>
      </c>
      <c r="B33" s="64">
        <v>8.5</v>
      </c>
      <c r="C33" s="64">
        <v>3.99</v>
      </c>
      <c r="D33" s="64">
        <v>12.68</v>
      </c>
      <c r="E33" s="64">
        <v>3.36</v>
      </c>
      <c r="F33" s="64">
        <v>3.2</v>
      </c>
      <c r="G33" s="64">
        <v>32.61</v>
      </c>
      <c r="H33" s="64">
        <v>13.02</v>
      </c>
      <c r="I33" s="64">
        <v>5.24</v>
      </c>
      <c r="J33" s="64">
        <v>0.38</v>
      </c>
      <c r="K33" s="64">
        <v>198.06</v>
      </c>
      <c r="L33" s="64">
        <v>26</v>
      </c>
      <c r="M33" s="64">
        <v>85.76</v>
      </c>
      <c r="N33" s="64">
        <v>67.2</v>
      </c>
      <c r="O33" s="64">
        <v>0</v>
      </c>
      <c r="P33" s="64">
        <v>0.28999999999999998</v>
      </c>
      <c r="Q33" s="64">
        <v>9.4499999999999993</v>
      </c>
      <c r="R33" s="198"/>
      <c r="S33" s="198"/>
      <c r="T33" s="198"/>
      <c r="U33" s="198"/>
    </row>
    <row r="34" spans="1:21" s="12" customFormat="1" x14ac:dyDescent="0.25">
      <c r="A34" s="214" t="s">
        <v>2674</v>
      </c>
      <c r="B34" s="64">
        <v>8.19</v>
      </c>
      <c r="C34" s="64">
        <v>3.27</v>
      </c>
      <c r="D34" s="64">
        <v>12.05</v>
      </c>
      <c r="E34" s="64">
        <v>3.7</v>
      </c>
      <c r="F34" s="64">
        <v>3.05</v>
      </c>
      <c r="G34" s="64">
        <v>32.61</v>
      </c>
      <c r="H34" s="64">
        <v>13.02</v>
      </c>
      <c r="I34" s="64">
        <v>5.17</v>
      </c>
      <c r="J34" s="64">
        <v>0.11</v>
      </c>
      <c r="K34" s="64">
        <v>167.69</v>
      </c>
      <c r="L34" s="64">
        <v>26.13</v>
      </c>
      <c r="M34" s="64">
        <v>85.89</v>
      </c>
      <c r="N34" s="64">
        <v>93.5</v>
      </c>
      <c r="O34" s="64">
        <v>0</v>
      </c>
      <c r="P34" s="64">
        <v>0.28999999999999998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14" t="s">
        <v>2675</v>
      </c>
      <c r="B35" s="64">
        <v>8.11</v>
      </c>
      <c r="C35" s="64">
        <v>3.08</v>
      </c>
      <c r="D35" s="64">
        <v>11.88</v>
      </c>
      <c r="E35" s="64">
        <v>3.91</v>
      </c>
      <c r="F35" s="64">
        <v>3.91</v>
      </c>
      <c r="G35" s="64">
        <v>32.61</v>
      </c>
      <c r="H35" s="64">
        <v>13.02</v>
      </c>
      <c r="I35" s="64">
        <v>5.16</v>
      </c>
      <c r="J35" s="64">
        <v>0.12</v>
      </c>
      <c r="K35" s="64">
        <v>230.16</v>
      </c>
      <c r="L35" s="64">
        <v>26.54</v>
      </c>
      <c r="M35" s="64">
        <v>84.67</v>
      </c>
      <c r="N35" s="64">
        <v>120.9</v>
      </c>
      <c r="O35" s="64">
        <v>0</v>
      </c>
      <c r="P35" s="64">
        <v>0.28999999999999998</v>
      </c>
      <c r="Q35" s="64">
        <v>9.39</v>
      </c>
      <c r="R35" s="198"/>
      <c r="S35" s="198"/>
      <c r="T35" s="198"/>
      <c r="U35" s="198"/>
    </row>
    <row r="36" spans="1:21" s="12" customFormat="1" x14ac:dyDescent="0.25">
      <c r="A36" s="214" t="s">
        <v>2676</v>
      </c>
      <c r="B36" s="64">
        <v>8.1300000000000008</v>
      </c>
      <c r="C36" s="64">
        <v>3.06</v>
      </c>
      <c r="D36" s="64">
        <v>11.89</v>
      </c>
      <c r="E36" s="64">
        <v>3.7</v>
      </c>
      <c r="F36" s="64">
        <v>3.85</v>
      </c>
      <c r="G36" s="64">
        <v>34.82</v>
      </c>
      <c r="H36" s="64">
        <v>9.44</v>
      </c>
      <c r="I36" s="64">
        <v>5.08</v>
      </c>
      <c r="J36" s="64">
        <v>0.16</v>
      </c>
      <c r="K36" s="64">
        <v>221.22</v>
      </c>
      <c r="L36" s="64">
        <v>26.7</v>
      </c>
      <c r="M36" s="64">
        <v>83.2</v>
      </c>
      <c r="N36" s="64">
        <v>144.80000000000001</v>
      </c>
      <c r="O36" s="64">
        <v>0</v>
      </c>
      <c r="P36" s="64">
        <v>0.3</v>
      </c>
      <c r="Q36" s="64">
        <v>9.43</v>
      </c>
      <c r="R36" s="198"/>
      <c r="S36" s="198"/>
      <c r="T36" s="198"/>
      <c r="U36" s="198"/>
    </row>
    <row r="37" spans="1:21" s="12" customFormat="1" x14ac:dyDescent="0.25">
      <c r="A37" s="214" t="s">
        <v>2677</v>
      </c>
      <c r="B37" s="64">
        <v>8.14</v>
      </c>
      <c r="C37" s="64">
        <v>3.1</v>
      </c>
      <c r="D37" s="64">
        <v>11.92</v>
      </c>
      <c r="E37" s="64">
        <v>3.34</v>
      </c>
      <c r="F37" s="64">
        <v>2.9</v>
      </c>
      <c r="G37" s="64">
        <v>34.92</v>
      </c>
      <c r="H37" s="64">
        <v>9.27</v>
      </c>
      <c r="I37" s="64">
        <v>5.01</v>
      </c>
      <c r="J37" s="64">
        <v>0.28000000000000003</v>
      </c>
      <c r="K37" s="64">
        <v>185.64</v>
      </c>
      <c r="L37" s="64">
        <v>27.09</v>
      </c>
      <c r="M37" s="64">
        <v>82.34</v>
      </c>
      <c r="N37" s="64">
        <v>177.7</v>
      </c>
      <c r="O37" s="64">
        <v>0</v>
      </c>
      <c r="P37" s="64">
        <v>0.33</v>
      </c>
      <c r="Q37" s="64">
        <v>9.41</v>
      </c>
      <c r="R37" s="198"/>
      <c r="S37" s="198"/>
      <c r="T37" s="198"/>
      <c r="U37" s="198"/>
    </row>
    <row r="38" spans="1:21" s="12" customFormat="1" x14ac:dyDescent="0.25">
      <c r="A38" s="214" t="s">
        <v>2678</v>
      </c>
      <c r="B38" s="64">
        <v>8.16</v>
      </c>
      <c r="C38" s="64">
        <v>3.11</v>
      </c>
      <c r="D38" s="64">
        <v>11.94</v>
      </c>
      <c r="E38" s="64">
        <v>3.23</v>
      </c>
      <c r="F38" s="64">
        <v>3.61</v>
      </c>
      <c r="G38" s="64">
        <v>34.92</v>
      </c>
      <c r="H38" s="64">
        <v>9.27</v>
      </c>
      <c r="I38" s="64">
        <v>4.97</v>
      </c>
      <c r="J38" s="64">
        <v>0.11</v>
      </c>
      <c r="K38" s="64">
        <v>191.2</v>
      </c>
      <c r="L38" s="64">
        <v>27.72</v>
      </c>
      <c r="M38" s="64">
        <v>78.94</v>
      </c>
      <c r="N38" s="64">
        <v>227.4</v>
      </c>
      <c r="O38" s="64">
        <v>0</v>
      </c>
      <c r="P38" s="64">
        <v>0.35</v>
      </c>
      <c r="Q38" s="64">
        <v>9.39</v>
      </c>
      <c r="R38" s="198"/>
      <c r="S38" s="198"/>
      <c r="T38" s="198"/>
      <c r="U38" s="198"/>
    </row>
    <row r="39" spans="1:21" s="12" customFormat="1" x14ac:dyDescent="0.25">
      <c r="A39" s="214" t="s">
        <v>2679</v>
      </c>
      <c r="B39" s="64">
        <v>8.18</v>
      </c>
      <c r="C39" s="64">
        <v>3.1</v>
      </c>
      <c r="D39" s="64">
        <v>11.95</v>
      </c>
      <c r="E39" s="64">
        <v>3.12</v>
      </c>
      <c r="F39" s="64">
        <v>3.81</v>
      </c>
      <c r="G39" s="64">
        <v>34.92</v>
      </c>
      <c r="H39" s="64">
        <v>9.27</v>
      </c>
      <c r="I39" s="64">
        <v>5.0199999999999996</v>
      </c>
      <c r="J39" s="64">
        <v>0.49</v>
      </c>
      <c r="K39" s="64">
        <v>163.25</v>
      </c>
      <c r="L39" s="64">
        <v>27.99</v>
      </c>
      <c r="M39" s="64">
        <v>77.27</v>
      </c>
      <c r="N39" s="64">
        <v>289</v>
      </c>
      <c r="O39" s="64">
        <v>0</v>
      </c>
      <c r="P39" s="64">
        <v>0.35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4" t="s">
        <v>2680</v>
      </c>
      <c r="B40" s="64">
        <v>8.17</v>
      </c>
      <c r="C40" s="64">
        <v>3.09</v>
      </c>
      <c r="D40" s="64">
        <v>11.94</v>
      </c>
      <c r="E40" s="64">
        <v>5.38</v>
      </c>
      <c r="F40" s="64">
        <v>3.56</v>
      </c>
      <c r="G40" s="64">
        <v>32.729999999999997</v>
      </c>
      <c r="H40" s="64">
        <v>12.35</v>
      </c>
      <c r="I40" s="64">
        <v>5.14</v>
      </c>
      <c r="J40" s="64">
        <v>1.55</v>
      </c>
      <c r="K40" s="64">
        <v>154.38999999999999</v>
      </c>
      <c r="L40" s="64">
        <v>28.53</v>
      </c>
      <c r="M40" s="64">
        <v>74.66</v>
      </c>
      <c r="N40" s="64">
        <v>334.1</v>
      </c>
      <c r="O40" s="64">
        <v>0</v>
      </c>
      <c r="P40" s="64">
        <v>0.35</v>
      </c>
      <c r="Q40" s="64">
        <v>9.44</v>
      </c>
      <c r="R40" s="198"/>
      <c r="S40" s="198"/>
      <c r="T40" s="198"/>
      <c r="U40" s="198"/>
    </row>
    <row r="41" spans="1:21" s="12" customFormat="1" x14ac:dyDescent="0.25">
      <c r="A41" s="214" t="s">
        <v>2681</v>
      </c>
      <c r="B41" s="64">
        <v>8.2200000000000006</v>
      </c>
      <c r="C41" s="64">
        <v>3.12</v>
      </c>
      <c r="D41" s="64">
        <v>12</v>
      </c>
      <c r="E41" s="64">
        <v>5.22</v>
      </c>
      <c r="F41" s="64">
        <v>3.42</v>
      </c>
      <c r="G41" s="64">
        <v>32.630000000000003</v>
      </c>
      <c r="H41" s="64">
        <v>12.49</v>
      </c>
      <c r="I41" s="64">
        <v>5.3</v>
      </c>
      <c r="J41" s="64">
        <v>0.99</v>
      </c>
      <c r="K41" s="64">
        <v>155.87</v>
      </c>
      <c r="L41" s="64">
        <v>29.07</v>
      </c>
      <c r="M41" s="64">
        <v>72.430000000000007</v>
      </c>
      <c r="N41" s="64">
        <v>374.7</v>
      </c>
      <c r="O41" s="64">
        <v>0</v>
      </c>
      <c r="P41" s="64">
        <v>0.35</v>
      </c>
      <c r="Q41" s="64">
        <v>9.43</v>
      </c>
      <c r="R41" s="198"/>
      <c r="S41" s="198"/>
      <c r="T41" s="198"/>
      <c r="U41" s="198"/>
    </row>
    <row r="42" spans="1:21" s="12" customFormat="1" x14ac:dyDescent="0.25">
      <c r="A42" s="214" t="s">
        <v>2682</v>
      </c>
      <c r="B42" s="64">
        <v>8.1999999999999993</v>
      </c>
      <c r="C42" s="64">
        <v>3.13</v>
      </c>
      <c r="D42" s="64">
        <v>11.99</v>
      </c>
      <c r="E42" s="64">
        <v>5.27</v>
      </c>
      <c r="F42" s="64">
        <v>3.72</v>
      </c>
      <c r="G42" s="64">
        <v>32.630000000000003</v>
      </c>
      <c r="H42" s="64">
        <v>12.49</v>
      </c>
      <c r="I42" s="64">
        <v>5.66</v>
      </c>
      <c r="J42" s="64">
        <v>0.05</v>
      </c>
      <c r="K42" s="64">
        <v>13.5</v>
      </c>
      <c r="L42" s="64">
        <v>30.15</v>
      </c>
      <c r="M42" s="64">
        <v>67.66</v>
      </c>
      <c r="N42" s="64">
        <v>426.6</v>
      </c>
      <c r="O42" s="64">
        <v>0</v>
      </c>
      <c r="P42" s="64">
        <v>0.35</v>
      </c>
      <c r="Q42" s="64">
        <v>9.43</v>
      </c>
      <c r="R42" s="198"/>
      <c r="S42" s="198"/>
      <c r="T42" s="198"/>
      <c r="U42" s="198"/>
    </row>
    <row r="43" spans="1:21" s="12" customFormat="1" x14ac:dyDescent="0.25">
      <c r="A43" s="214" t="s">
        <v>2683</v>
      </c>
      <c r="B43" s="64">
        <v>8.1999999999999993</v>
      </c>
      <c r="C43" s="64">
        <v>3.13</v>
      </c>
      <c r="D43" s="64">
        <v>11.98</v>
      </c>
      <c r="E43" s="64">
        <v>5.0999999999999996</v>
      </c>
      <c r="F43" s="64">
        <v>3.84</v>
      </c>
      <c r="G43" s="64">
        <v>32.630000000000003</v>
      </c>
      <c r="H43" s="64">
        <v>12.49</v>
      </c>
      <c r="I43" s="64">
        <v>6.03</v>
      </c>
      <c r="J43" s="64">
        <v>0.19</v>
      </c>
      <c r="K43" s="64">
        <v>9.84</v>
      </c>
      <c r="L43" s="64">
        <v>30.95</v>
      </c>
      <c r="M43" s="64">
        <v>63.41</v>
      </c>
      <c r="N43" s="64">
        <v>498.2</v>
      </c>
      <c r="O43" s="64">
        <v>0</v>
      </c>
      <c r="P43" s="64">
        <v>0.35</v>
      </c>
      <c r="Q43" s="64">
        <v>9.43</v>
      </c>
      <c r="R43" s="198"/>
      <c r="S43" s="198"/>
      <c r="T43" s="198"/>
      <c r="U43" s="198"/>
    </row>
    <row r="44" spans="1:21" s="12" customFormat="1" x14ac:dyDescent="0.25">
      <c r="A44" s="214" t="s">
        <v>2684</v>
      </c>
      <c r="B44" s="64">
        <v>8.2200000000000006</v>
      </c>
      <c r="C44" s="64">
        <v>3.2</v>
      </c>
      <c r="D44" s="64">
        <v>12.04</v>
      </c>
      <c r="E44" s="64">
        <v>5.3</v>
      </c>
      <c r="F44" s="64">
        <v>3.94</v>
      </c>
      <c r="G44" s="64">
        <v>35.15</v>
      </c>
      <c r="H44" s="64">
        <v>11.43</v>
      </c>
      <c r="I44" s="64">
        <v>6.13</v>
      </c>
      <c r="J44" s="64">
        <v>0.6</v>
      </c>
      <c r="K44" s="64">
        <v>334.78</v>
      </c>
      <c r="L44" s="64">
        <v>32.61</v>
      </c>
      <c r="M44" s="64">
        <v>58.16</v>
      </c>
      <c r="N44" s="64">
        <v>539.79999999999995</v>
      </c>
      <c r="O44" s="64">
        <v>0</v>
      </c>
      <c r="P44" s="64">
        <v>0.36</v>
      </c>
      <c r="Q44" s="64">
        <v>9.39</v>
      </c>
      <c r="R44" s="198"/>
      <c r="S44" s="198"/>
      <c r="T44" s="198"/>
      <c r="U44" s="198"/>
    </row>
    <row r="45" spans="1:21" s="12" customFormat="1" x14ac:dyDescent="0.25">
      <c r="A45" s="214" t="s">
        <v>2685</v>
      </c>
      <c r="B45" s="64">
        <v>8.17</v>
      </c>
      <c r="C45" s="64">
        <v>3.17</v>
      </c>
      <c r="D45" s="64">
        <v>11.98</v>
      </c>
      <c r="E45" s="64">
        <v>5.25</v>
      </c>
      <c r="F45" s="64">
        <v>4.1100000000000003</v>
      </c>
      <c r="G45" s="64">
        <v>35.26</v>
      </c>
      <c r="H45" s="64">
        <v>11.38</v>
      </c>
      <c r="I45" s="64">
        <v>6.03</v>
      </c>
      <c r="J45" s="64">
        <v>0.38</v>
      </c>
      <c r="K45" s="64">
        <v>341.92</v>
      </c>
      <c r="L45" s="64">
        <v>31.74</v>
      </c>
      <c r="M45" s="64">
        <v>58.84</v>
      </c>
      <c r="N45" s="64">
        <v>585.29999999999995</v>
      </c>
      <c r="O45" s="64">
        <v>0</v>
      </c>
      <c r="P45" s="64">
        <v>0.37</v>
      </c>
      <c r="Q45" s="64">
        <v>9.41</v>
      </c>
      <c r="R45" s="198"/>
      <c r="S45" s="198"/>
      <c r="T45" s="198"/>
      <c r="U45" s="198"/>
    </row>
    <row r="46" spans="1:21" s="12" customFormat="1" x14ac:dyDescent="0.25">
      <c r="A46" s="214" t="s">
        <v>2686</v>
      </c>
      <c r="B46" s="64">
        <v>8.1300000000000008</v>
      </c>
      <c r="C46" s="64">
        <v>3.12</v>
      </c>
      <c r="D46" s="64">
        <v>11.92</v>
      </c>
      <c r="E46" s="64">
        <v>5.19</v>
      </c>
      <c r="F46" s="64">
        <v>4.51</v>
      </c>
      <c r="G46" s="64">
        <v>35.26</v>
      </c>
      <c r="H46" s="64">
        <v>11.38</v>
      </c>
      <c r="I46" s="64">
        <v>5.85</v>
      </c>
      <c r="J46" s="64">
        <v>0.46</v>
      </c>
      <c r="K46" s="64">
        <v>6.63</v>
      </c>
      <c r="L46" s="64">
        <v>31.78</v>
      </c>
      <c r="M46" s="64">
        <v>58.23</v>
      </c>
      <c r="N46" s="64">
        <v>540.1</v>
      </c>
      <c r="O46" s="64">
        <v>0</v>
      </c>
      <c r="P46" s="64">
        <v>0.38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14" t="s">
        <v>2687</v>
      </c>
      <c r="B47" s="64">
        <v>8.19</v>
      </c>
      <c r="C47" s="64">
        <v>3.34</v>
      </c>
      <c r="D47" s="64">
        <v>12.09</v>
      </c>
      <c r="E47" s="64">
        <v>5.0199999999999996</v>
      </c>
      <c r="F47" s="64">
        <v>4.53</v>
      </c>
      <c r="G47" s="64">
        <v>35.26</v>
      </c>
      <c r="H47" s="64">
        <v>11.38</v>
      </c>
      <c r="I47" s="64">
        <v>5.52</v>
      </c>
      <c r="J47" s="64">
        <v>0.19</v>
      </c>
      <c r="K47" s="64">
        <v>331.06</v>
      </c>
      <c r="L47" s="64">
        <v>31.54</v>
      </c>
      <c r="M47" s="64">
        <v>58.88</v>
      </c>
      <c r="N47" s="64">
        <v>526.29999999999995</v>
      </c>
      <c r="O47" s="64">
        <v>0</v>
      </c>
      <c r="P47" s="64">
        <v>0.38</v>
      </c>
      <c r="Q47" s="64">
        <v>9.4499999999999993</v>
      </c>
      <c r="R47" s="198"/>
      <c r="S47" s="198"/>
      <c r="T47" s="198"/>
      <c r="U47" s="198"/>
    </row>
    <row r="48" spans="1:21" s="12" customFormat="1" x14ac:dyDescent="0.25">
      <c r="A48" s="214" t="s">
        <v>2688</v>
      </c>
      <c r="B48" s="64">
        <v>8.17</v>
      </c>
      <c r="C48" s="64">
        <v>3.25</v>
      </c>
      <c r="D48" s="64">
        <v>12.02</v>
      </c>
      <c r="E48" s="64">
        <v>4.84</v>
      </c>
      <c r="F48" s="64">
        <v>4.55</v>
      </c>
      <c r="G48" s="64">
        <v>39.17</v>
      </c>
      <c r="H48" s="64">
        <v>12.12</v>
      </c>
      <c r="I48" s="64">
        <v>5.1100000000000003</v>
      </c>
      <c r="J48" s="64">
        <v>0.47</v>
      </c>
      <c r="K48" s="64">
        <v>321.27999999999997</v>
      </c>
      <c r="L48" s="64">
        <v>32.340000000000003</v>
      </c>
      <c r="M48" s="64">
        <v>57.52</v>
      </c>
      <c r="N48" s="64">
        <v>560.70000000000005</v>
      </c>
      <c r="O48" s="64">
        <v>0</v>
      </c>
      <c r="P48" s="64">
        <v>0.39</v>
      </c>
      <c r="Q48" s="64">
        <v>9.43</v>
      </c>
      <c r="R48" s="198"/>
      <c r="S48" s="198"/>
      <c r="T48" s="198"/>
      <c r="U48" s="198"/>
    </row>
    <row r="49" spans="1:21" s="12" customFormat="1" x14ac:dyDescent="0.25">
      <c r="A49" s="214" t="s">
        <v>2689</v>
      </c>
      <c r="B49" s="64">
        <v>8.2100000000000009</v>
      </c>
      <c r="C49" s="64">
        <v>3.38</v>
      </c>
      <c r="D49" s="64">
        <v>12.12</v>
      </c>
      <c r="E49" s="64">
        <v>5.16</v>
      </c>
      <c r="F49" s="64">
        <v>5.08</v>
      </c>
      <c r="G49" s="64">
        <v>39.36</v>
      </c>
      <c r="H49" s="64">
        <v>12.15</v>
      </c>
      <c r="I49" s="64">
        <v>4.8</v>
      </c>
      <c r="J49" s="64">
        <v>0.68</v>
      </c>
      <c r="K49" s="64">
        <v>321</v>
      </c>
      <c r="L49" s="64">
        <v>34.31</v>
      </c>
      <c r="M49" s="64">
        <v>51.83</v>
      </c>
      <c r="N49" s="64">
        <v>448.9</v>
      </c>
      <c r="O49" s="64">
        <v>0</v>
      </c>
      <c r="P49" s="64">
        <v>0.41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4" t="s">
        <v>2690</v>
      </c>
      <c r="B50" s="64">
        <v>8.15</v>
      </c>
      <c r="C50" s="64">
        <v>3.22</v>
      </c>
      <c r="D50" s="64">
        <v>12</v>
      </c>
      <c r="E50" s="64">
        <v>5.34</v>
      </c>
      <c r="F50" s="64">
        <v>4.5999999999999996</v>
      </c>
      <c r="G50" s="64">
        <v>39.36</v>
      </c>
      <c r="H50" s="64">
        <v>12.15</v>
      </c>
      <c r="I50" s="64">
        <v>4.63</v>
      </c>
      <c r="J50" s="64">
        <v>0.65</v>
      </c>
      <c r="K50" s="64">
        <v>325.55</v>
      </c>
      <c r="L50" s="64">
        <v>35.159999999999997</v>
      </c>
      <c r="M50" s="64">
        <v>49.72</v>
      </c>
      <c r="N50" s="64">
        <v>729.9</v>
      </c>
      <c r="O50" s="64">
        <v>0</v>
      </c>
      <c r="P50" s="64">
        <v>0.46</v>
      </c>
      <c r="Q50" s="64">
        <v>9.42</v>
      </c>
      <c r="R50" s="198"/>
      <c r="S50" s="198"/>
      <c r="T50" s="198"/>
      <c r="U50" s="198"/>
    </row>
    <row r="51" spans="1:21" s="12" customFormat="1" x14ac:dyDescent="0.25">
      <c r="A51" s="214" t="s">
        <v>2691</v>
      </c>
      <c r="B51" s="64">
        <v>8.2200000000000006</v>
      </c>
      <c r="C51" s="64">
        <v>3.48</v>
      </c>
      <c r="D51" s="64">
        <v>12.19</v>
      </c>
      <c r="E51" s="64">
        <v>5.32</v>
      </c>
      <c r="F51" s="64">
        <v>9.27</v>
      </c>
      <c r="G51" s="64">
        <v>39.36</v>
      </c>
      <c r="H51" s="64">
        <v>12.15</v>
      </c>
      <c r="I51" s="64">
        <v>4.6399999999999997</v>
      </c>
      <c r="J51" s="64">
        <v>0.34</v>
      </c>
      <c r="K51" s="64">
        <v>345.06</v>
      </c>
      <c r="L51" s="64">
        <v>34.479999999999997</v>
      </c>
      <c r="M51" s="64">
        <v>51.23</v>
      </c>
      <c r="N51" s="64">
        <v>787.5</v>
      </c>
      <c r="O51" s="64">
        <v>0</v>
      </c>
      <c r="P51" s="64">
        <v>0.51</v>
      </c>
      <c r="Q51" s="64">
        <v>9.39</v>
      </c>
      <c r="R51" s="198"/>
      <c r="S51" s="198"/>
      <c r="T51" s="198"/>
      <c r="U51" s="198"/>
    </row>
    <row r="52" spans="1:21" s="12" customFormat="1" x14ac:dyDescent="0.25">
      <c r="A52" s="214" t="s">
        <v>2692</v>
      </c>
      <c r="B52" s="64">
        <v>8.1999999999999993</v>
      </c>
      <c r="C52" s="64">
        <v>3.41</v>
      </c>
      <c r="D52" s="64">
        <v>12.13</v>
      </c>
      <c r="E52" s="64">
        <v>4.71</v>
      </c>
      <c r="F52" s="64">
        <v>8.4499999999999993</v>
      </c>
      <c r="G52" s="64">
        <v>39.36</v>
      </c>
      <c r="H52" s="64">
        <v>12.15</v>
      </c>
      <c r="I52" s="64">
        <v>4.72</v>
      </c>
      <c r="J52" s="64">
        <v>1.34</v>
      </c>
      <c r="K52" s="64">
        <v>338.51</v>
      </c>
      <c r="L52" s="64">
        <v>36.53</v>
      </c>
      <c r="M52" s="64">
        <v>45.27</v>
      </c>
      <c r="N52" s="64">
        <v>568.6</v>
      </c>
      <c r="O52" s="64">
        <v>0</v>
      </c>
      <c r="P52" s="64">
        <v>0.56999999999999995</v>
      </c>
      <c r="Q52" s="64">
        <v>9.3699999999999992</v>
      </c>
      <c r="R52" s="198"/>
      <c r="S52" s="198"/>
      <c r="T52" s="198"/>
      <c r="U52" s="198"/>
    </row>
    <row r="53" spans="1:21" s="12" customFormat="1" x14ac:dyDescent="0.25">
      <c r="A53" s="214" t="s">
        <v>2693</v>
      </c>
      <c r="B53" s="64">
        <v>8.14</v>
      </c>
      <c r="C53" s="64">
        <v>3.17</v>
      </c>
      <c r="D53" s="64">
        <v>11.96</v>
      </c>
      <c r="E53" s="64">
        <v>4.34</v>
      </c>
      <c r="F53" s="64">
        <v>6.33</v>
      </c>
      <c r="G53" s="64">
        <v>39.36</v>
      </c>
      <c r="H53" s="64">
        <v>12.15</v>
      </c>
      <c r="I53" s="64">
        <v>4.9000000000000004</v>
      </c>
      <c r="J53" s="64">
        <v>0.45</v>
      </c>
      <c r="K53" s="64">
        <v>79.69</v>
      </c>
      <c r="L53" s="64">
        <v>34.21</v>
      </c>
      <c r="M53" s="64">
        <v>52.3</v>
      </c>
      <c r="N53" s="64">
        <v>672.1</v>
      </c>
      <c r="O53" s="64">
        <v>0</v>
      </c>
      <c r="P53" s="64">
        <v>0.59</v>
      </c>
      <c r="Q53" s="64">
        <v>9.35</v>
      </c>
      <c r="R53" s="198"/>
      <c r="S53" s="198"/>
      <c r="T53" s="198"/>
      <c r="U53" s="198"/>
    </row>
    <row r="54" spans="1:21" s="12" customFormat="1" x14ac:dyDescent="0.25">
      <c r="A54" s="214" t="s">
        <v>2694</v>
      </c>
      <c r="B54" s="64">
        <v>8.14</v>
      </c>
      <c r="C54" s="64">
        <v>3.18</v>
      </c>
      <c r="D54" s="64">
        <v>11.97</v>
      </c>
      <c r="E54" s="64">
        <v>11.85</v>
      </c>
      <c r="F54" s="64">
        <v>8.57</v>
      </c>
      <c r="G54" s="64">
        <v>39.36</v>
      </c>
      <c r="H54" s="64">
        <v>12.15</v>
      </c>
      <c r="I54" s="64">
        <v>5.12</v>
      </c>
      <c r="J54" s="64">
        <v>0.56999999999999995</v>
      </c>
      <c r="K54" s="64">
        <v>23.35</v>
      </c>
      <c r="L54" s="64">
        <v>34.68</v>
      </c>
      <c r="M54" s="64">
        <v>50</v>
      </c>
      <c r="N54" s="64">
        <v>627</v>
      </c>
      <c r="O54" s="64">
        <v>0</v>
      </c>
      <c r="P54" s="64">
        <v>0.61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14" t="s">
        <v>2695</v>
      </c>
      <c r="B55" s="64">
        <v>8.39</v>
      </c>
      <c r="C55" s="64">
        <v>3.72</v>
      </c>
      <c r="D55" s="64">
        <v>12.45</v>
      </c>
      <c r="E55" s="64">
        <v>85.33</v>
      </c>
      <c r="F55" s="64">
        <v>5.57</v>
      </c>
      <c r="G55" s="64">
        <v>15.74</v>
      </c>
      <c r="H55" s="64">
        <v>4.8600000000000003</v>
      </c>
      <c r="I55" s="64">
        <v>5.39</v>
      </c>
      <c r="J55" s="64">
        <v>0.25</v>
      </c>
      <c r="K55" s="64">
        <v>6.5</v>
      </c>
      <c r="L55" s="64">
        <v>34.159999999999997</v>
      </c>
      <c r="M55" s="64">
        <v>51.73</v>
      </c>
      <c r="N55" s="64">
        <v>841.4</v>
      </c>
      <c r="O55" s="64">
        <v>0</v>
      </c>
      <c r="P55" s="64">
        <v>0.61</v>
      </c>
      <c r="Q55" s="64">
        <v>9.33</v>
      </c>
      <c r="R55" s="198"/>
      <c r="S55" s="198"/>
      <c r="T55" s="198"/>
      <c r="U55" s="198"/>
    </row>
    <row r="56" spans="1:21" s="12" customFormat="1" x14ac:dyDescent="0.25">
      <c r="A56" s="214" t="s">
        <v>2696</v>
      </c>
      <c r="B56" s="64">
        <v>9.11</v>
      </c>
      <c r="C56" s="64">
        <v>3.21</v>
      </c>
      <c r="D56" s="64">
        <v>12.76</v>
      </c>
      <c r="E56" s="211" t="s">
        <v>40</v>
      </c>
      <c r="F56" s="64">
        <v>5.0999999999999996</v>
      </c>
      <c r="G56" s="211" t="s">
        <v>40</v>
      </c>
      <c r="H56" s="211" t="s">
        <v>40</v>
      </c>
      <c r="I56" s="64">
        <v>6.47</v>
      </c>
      <c r="J56" s="64">
        <v>0.48</v>
      </c>
      <c r="K56" s="64">
        <v>353.05</v>
      </c>
      <c r="L56" s="64">
        <v>34.58</v>
      </c>
      <c r="M56" s="64">
        <v>51.06</v>
      </c>
      <c r="N56" s="64">
        <v>634</v>
      </c>
      <c r="O56" s="64">
        <v>0</v>
      </c>
      <c r="P56" s="64">
        <v>0.61</v>
      </c>
      <c r="Q56" s="64">
        <v>9.27</v>
      </c>
      <c r="R56" s="198"/>
      <c r="S56" s="198"/>
      <c r="T56" s="198"/>
      <c r="U56" s="198"/>
    </row>
    <row r="57" spans="1:21" s="12" customFormat="1" x14ac:dyDescent="0.25">
      <c r="A57" s="214" t="s">
        <v>2697</v>
      </c>
      <c r="B57" s="64">
        <v>8.4</v>
      </c>
      <c r="C57" s="64">
        <v>3.25</v>
      </c>
      <c r="D57" s="64">
        <v>12.2</v>
      </c>
      <c r="E57" s="211" t="s">
        <v>40</v>
      </c>
      <c r="F57" s="64">
        <v>7.27</v>
      </c>
      <c r="G57" s="211" t="s">
        <v>40</v>
      </c>
      <c r="H57" s="211" t="s">
        <v>40</v>
      </c>
      <c r="I57" s="64">
        <v>8.48</v>
      </c>
      <c r="J57" s="64">
        <v>0.7</v>
      </c>
      <c r="K57" s="64">
        <v>6.3</v>
      </c>
      <c r="L57" s="64">
        <v>34.369999999999997</v>
      </c>
      <c r="M57" s="64">
        <v>49.25</v>
      </c>
      <c r="N57" s="64">
        <v>792.7</v>
      </c>
      <c r="O57" s="64">
        <v>0</v>
      </c>
      <c r="P57" s="64">
        <v>0.61</v>
      </c>
      <c r="Q57" s="64">
        <v>9.2799999999999994</v>
      </c>
      <c r="R57" s="198"/>
      <c r="S57" s="198"/>
      <c r="T57" s="198"/>
      <c r="U57" s="198"/>
    </row>
    <row r="58" spans="1:21" s="12" customFormat="1" x14ac:dyDescent="0.25">
      <c r="A58" s="214" t="s">
        <v>2698</v>
      </c>
      <c r="B58" s="64">
        <v>8.35</v>
      </c>
      <c r="C58" s="64">
        <v>3.36</v>
      </c>
      <c r="D58" s="64">
        <v>12.23</v>
      </c>
      <c r="E58" s="64">
        <v>26.99</v>
      </c>
      <c r="F58" s="64">
        <v>8.83</v>
      </c>
      <c r="G58" s="211" t="s">
        <v>40</v>
      </c>
      <c r="H58" s="211" t="s">
        <v>40</v>
      </c>
      <c r="I58" s="64">
        <v>10.64</v>
      </c>
      <c r="J58" s="64">
        <v>0.86</v>
      </c>
      <c r="K58" s="64">
        <v>133.07</v>
      </c>
      <c r="L58" s="64">
        <v>33.28</v>
      </c>
      <c r="M58" s="64">
        <v>51.02</v>
      </c>
      <c r="N58" s="64">
        <v>757.9</v>
      </c>
      <c r="O58" s="64">
        <v>0</v>
      </c>
      <c r="P58" s="64">
        <v>0.6</v>
      </c>
      <c r="Q58" s="64">
        <v>9.36</v>
      </c>
      <c r="R58" s="198"/>
      <c r="S58" s="198"/>
      <c r="T58" s="198"/>
      <c r="U58" s="198"/>
    </row>
    <row r="59" spans="1:21" s="12" customFormat="1" x14ac:dyDescent="0.25">
      <c r="A59" s="214" t="s">
        <v>2699</v>
      </c>
      <c r="B59" s="64">
        <v>8.15</v>
      </c>
      <c r="C59" s="64">
        <v>3.16</v>
      </c>
      <c r="D59" s="64">
        <v>11.96</v>
      </c>
      <c r="E59" s="64">
        <v>5.73</v>
      </c>
      <c r="F59" s="64">
        <v>13.2</v>
      </c>
      <c r="G59" s="64">
        <v>56.83</v>
      </c>
      <c r="H59" s="64">
        <v>8.02</v>
      </c>
      <c r="I59" s="64">
        <v>12.05</v>
      </c>
      <c r="J59" s="64">
        <v>0.17</v>
      </c>
      <c r="K59" s="64">
        <v>254.02</v>
      </c>
      <c r="L59" s="64">
        <v>34.07</v>
      </c>
      <c r="M59" s="64">
        <v>48.34</v>
      </c>
      <c r="N59" s="64">
        <v>981.9</v>
      </c>
      <c r="O59" s="64">
        <v>0</v>
      </c>
      <c r="P59" s="64">
        <v>0.55000000000000004</v>
      </c>
      <c r="Q59" s="64">
        <v>9.3699999999999992</v>
      </c>
      <c r="R59" s="198"/>
      <c r="S59" s="198"/>
      <c r="T59" s="198"/>
      <c r="U59" s="198"/>
    </row>
    <row r="60" spans="1:21" s="12" customFormat="1" x14ac:dyDescent="0.25">
      <c r="A60" s="214" t="s">
        <v>2700</v>
      </c>
      <c r="B60" s="64">
        <v>8.14</v>
      </c>
      <c r="C60" s="64">
        <v>3.16</v>
      </c>
      <c r="D60" s="64">
        <v>11.96</v>
      </c>
      <c r="E60" s="64">
        <v>5.95</v>
      </c>
      <c r="F60" s="64">
        <v>16.329999999999998</v>
      </c>
      <c r="G60" s="64">
        <v>93</v>
      </c>
      <c r="H60" s="64">
        <v>13.12</v>
      </c>
      <c r="I60" s="64">
        <v>12.01</v>
      </c>
      <c r="J60" s="64">
        <v>1.41</v>
      </c>
      <c r="K60" s="64">
        <v>342.21</v>
      </c>
      <c r="L60" s="64">
        <v>37.14</v>
      </c>
      <c r="M60" s="64">
        <v>42.05</v>
      </c>
      <c r="N60" s="64">
        <v>917.1</v>
      </c>
      <c r="O60" s="64">
        <v>0</v>
      </c>
      <c r="P60" s="64">
        <v>0.56999999999999995</v>
      </c>
      <c r="Q60" s="64">
        <v>9.32</v>
      </c>
      <c r="R60" s="198"/>
      <c r="S60" s="198"/>
      <c r="T60" s="198"/>
      <c r="U60" s="198"/>
    </row>
    <row r="61" spans="1:21" s="12" customFormat="1" x14ac:dyDescent="0.25">
      <c r="A61" s="214" t="s">
        <v>2701</v>
      </c>
      <c r="B61" s="64">
        <v>8.17</v>
      </c>
      <c r="C61" s="64">
        <v>3.37</v>
      </c>
      <c r="D61" s="64">
        <v>12.08</v>
      </c>
      <c r="E61" s="64">
        <v>5.49</v>
      </c>
      <c r="F61" s="64">
        <v>8.85</v>
      </c>
      <c r="G61" s="64">
        <v>93</v>
      </c>
      <c r="H61" s="64">
        <v>13.12</v>
      </c>
      <c r="I61" s="64">
        <v>10.53</v>
      </c>
      <c r="J61" s="64">
        <v>0.25</v>
      </c>
      <c r="K61" s="64">
        <v>322.55</v>
      </c>
      <c r="L61" s="64">
        <v>36.03</v>
      </c>
      <c r="M61" s="64">
        <v>44.71</v>
      </c>
      <c r="N61" s="64">
        <v>193.2</v>
      </c>
      <c r="O61" s="64">
        <v>0</v>
      </c>
      <c r="P61" s="64">
        <v>0.48</v>
      </c>
      <c r="Q61" s="64">
        <v>9.3800000000000008</v>
      </c>
      <c r="R61" s="198"/>
      <c r="S61" s="198"/>
      <c r="T61" s="198"/>
      <c r="U61" s="198"/>
    </row>
    <row r="62" spans="1:21" s="12" customFormat="1" x14ac:dyDescent="0.25">
      <c r="A62" s="214" t="s">
        <v>2702</v>
      </c>
      <c r="B62" s="64">
        <v>8.1199999999999992</v>
      </c>
      <c r="C62" s="64">
        <v>3.16</v>
      </c>
      <c r="D62" s="64">
        <v>11.94</v>
      </c>
      <c r="E62" s="64">
        <v>5.9</v>
      </c>
      <c r="F62" s="64">
        <v>6.77</v>
      </c>
      <c r="G62" s="64">
        <v>93</v>
      </c>
      <c r="H62" s="64">
        <v>13.12</v>
      </c>
      <c r="I62" s="64">
        <v>8.94</v>
      </c>
      <c r="J62" s="64">
        <v>0.15</v>
      </c>
      <c r="K62" s="64">
        <v>137.52000000000001</v>
      </c>
      <c r="L62" s="64">
        <v>33.57</v>
      </c>
      <c r="M62" s="64">
        <v>48.29</v>
      </c>
      <c r="N62" s="64">
        <v>205.8</v>
      </c>
      <c r="O62" s="64">
        <v>0</v>
      </c>
      <c r="P62" s="64">
        <v>0.52</v>
      </c>
      <c r="Q62" s="64">
        <v>9.4</v>
      </c>
      <c r="R62" s="198"/>
      <c r="S62" s="198"/>
      <c r="T62" s="198"/>
      <c r="U62" s="198"/>
    </row>
    <row r="63" spans="1:21" s="12" customFormat="1" x14ac:dyDescent="0.25">
      <c r="A63" s="214" t="s">
        <v>2703</v>
      </c>
      <c r="B63" s="64">
        <v>8.18</v>
      </c>
      <c r="C63" s="64">
        <v>3.42</v>
      </c>
      <c r="D63" s="64">
        <v>12.12</v>
      </c>
      <c r="E63" s="64">
        <v>5.65</v>
      </c>
      <c r="F63" s="64">
        <v>5.51</v>
      </c>
      <c r="G63" s="64">
        <v>75.63</v>
      </c>
      <c r="H63" s="64">
        <v>13.07</v>
      </c>
      <c r="I63" s="64">
        <v>8.44</v>
      </c>
      <c r="J63" s="64">
        <v>1.88</v>
      </c>
      <c r="K63" s="64">
        <v>114.78</v>
      </c>
      <c r="L63" s="64">
        <v>32.46</v>
      </c>
      <c r="M63" s="64">
        <v>53.27</v>
      </c>
      <c r="N63" s="64">
        <v>582.29999999999995</v>
      </c>
      <c r="O63" s="64">
        <v>0</v>
      </c>
      <c r="P63" s="64">
        <v>0.52</v>
      </c>
      <c r="Q63" s="64">
        <v>9.4499999999999993</v>
      </c>
      <c r="R63" s="198"/>
      <c r="S63" s="198"/>
      <c r="T63" s="198"/>
      <c r="U63" s="198"/>
    </row>
    <row r="64" spans="1:21" s="12" customFormat="1" x14ac:dyDescent="0.25">
      <c r="A64" s="214" t="s">
        <v>2704</v>
      </c>
      <c r="B64" s="64">
        <v>8.18</v>
      </c>
      <c r="C64" s="64">
        <v>3.46</v>
      </c>
      <c r="D64" s="64">
        <v>12.14</v>
      </c>
      <c r="E64" s="64">
        <v>5.79</v>
      </c>
      <c r="F64" s="64">
        <v>6.04</v>
      </c>
      <c r="G64" s="64">
        <v>64.569999999999993</v>
      </c>
      <c r="H64" s="64">
        <v>13.04</v>
      </c>
      <c r="I64" s="64">
        <v>8.48</v>
      </c>
      <c r="J64" s="64">
        <v>0.36</v>
      </c>
      <c r="K64" s="64">
        <v>96.53</v>
      </c>
      <c r="L64" s="64">
        <v>33</v>
      </c>
      <c r="M64" s="64">
        <v>52.64</v>
      </c>
      <c r="N64" s="64">
        <v>539.1</v>
      </c>
      <c r="O64" s="64">
        <v>0</v>
      </c>
      <c r="P64" s="64">
        <v>0.51</v>
      </c>
      <c r="Q64" s="64">
        <v>9.44</v>
      </c>
      <c r="R64" s="198"/>
      <c r="S64" s="198"/>
      <c r="T64" s="198"/>
      <c r="U64" s="198"/>
    </row>
    <row r="65" spans="1:21" s="12" customFormat="1" x14ac:dyDescent="0.25">
      <c r="A65" s="214" t="s">
        <v>2705</v>
      </c>
      <c r="B65" s="64">
        <v>8.1</v>
      </c>
      <c r="C65" s="64">
        <v>3.14</v>
      </c>
      <c r="D65" s="64">
        <v>11.92</v>
      </c>
      <c r="E65" s="64">
        <v>5.75</v>
      </c>
      <c r="F65" s="64">
        <v>6.03</v>
      </c>
      <c r="G65" s="64">
        <v>64.569999999999993</v>
      </c>
      <c r="H65" s="64">
        <v>13.04</v>
      </c>
      <c r="I65" s="64">
        <v>8.77</v>
      </c>
      <c r="J65" s="64">
        <v>0.42</v>
      </c>
      <c r="K65" s="64">
        <v>68.25</v>
      </c>
      <c r="L65" s="64">
        <v>33.770000000000003</v>
      </c>
      <c r="M65" s="64">
        <v>50.95</v>
      </c>
      <c r="N65" s="64">
        <v>701.8</v>
      </c>
      <c r="O65" s="64">
        <v>0</v>
      </c>
      <c r="P65" s="64">
        <v>0.5</v>
      </c>
      <c r="Q65" s="64">
        <v>9.43</v>
      </c>
      <c r="R65" s="198"/>
      <c r="S65" s="198"/>
      <c r="T65" s="198"/>
      <c r="U65" s="198"/>
    </row>
    <row r="66" spans="1:21" s="12" customFormat="1" x14ac:dyDescent="0.25">
      <c r="A66" s="214" t="s">
        <v>2706</v>
      </c>
      <c r="B66" s="64">
        <v>8.1</v>
      </c>
      <c r="C66" s="64">
        <v>3.14</v>
      </c>
      <c r="D66" s="64">
        <v>11.91</v>
      </c>
      <c r="E66" s="64">
        <v>5.62</v>
      </c>
      <c r="F66" s="64">
        <v>5.39</v>
      </c>
      <c r="G66" s="64">
        <v>64.569999999999993</v>
      </c>
      <c r="H66" s="64">
        <v>13.04</v>
      </c>
      <c r="I66" s="64">
        <v>8.7899999999999991</v>
      </c>
      <c r="J66" s="64">
        <v>0.97</v>
      </c>
      <c r="K66" s="64">
        <v>341.81</v>
      </c>
      <c r="L66" s="64">
        <v>35.65</v>
      </c>
      <c r="M66" s="64">
        <v>44.29</v>
      </c>
      <c r="N66" s="64">
        <v>708.8</v>
      </c>
      <c r="O66" s="64">
        <v>0</v>
      </c>
      <c r="P66" s="64">
        <v>0.5</v>
      </c>
      <c r="Q66" s="64">
        <v>9.4</v>
      </c>
      <c r="R66" s="198"/>
      <c r="S66" s="198"/>
      <c r="T66" s="198"/>
      <c r="U66" s="198"/>
    </row>
    <row r="67" spans="1:21" s="12" customFormat="1" x14ac:dyDescent="0.25">
      <c r="A67" s="214" t="s">
        <v>2707</v>
      </c>
      <c r="B67" s="64">
        <v>8.18</v>
      </c>
      <c r="C67" s="64">
        <v>3.37</v>
      </c>
      <c r="D67" s="64">
        <v>12.09</v>
      </c>
      <c r="E67" s="64">
        <v>5.75</v>
      </c>
      <c r="F67" s="64">
        <v>5.43</v>
      </c>
      <c r="G67" s="64">
        <v>73.400000000000006</v>
      </c>
      <c r="H67" s="64">
        <v>16.98</v>
      </c>
      <c r="I67" s="64">
        <v>8.59</v>
      </c>
      <c r="J67" s="64">
        <v>0.2</v>
      </c>
      <c r="K67" s="64">
        <v>225</v>
      </c>
      <c r="L67" s="64">
        <v>33.81</v>
      </c>
      <c r="M67" s="64">
        <v>46.7</v>
      </c>
      <c r="N67" s="64">
        <v>374.1</v>
      </c>
      <c r="O67" s="64">
        <v>0</v>
      </c>
      <c r="P67" s="64">
        <v>0.5</v>
      </c>
      <c r="Q67" s="64">
        <v>9.4</v>
      </c>
      <c r="R67" s="198"/>
      <c r="S67" s="198"/>
      <c r="T67" s="198"/>
      <c r="U67" s="198"/>
    </row>
    <row r="68" spans="1:21" s="12" customFormat="1" x14ac:dyDescent="0.25">
      <c r="A68" s="214" t="s">
        <v>2708</v>
      </c>
      <c r="B68" s="64">
        <v>8.18</v>
      </c>
      <c r="C68" s="64">
        <v>3.36</v>
      </c>
      <c r="D68" s="64">
        <v>12.09</v>
      </c>
      <c r="E68" s="64">
        <v>5.85</v>
      </c>
      <c r="F68" s="64">
        <v>5.74</v>
      </c>
      <c r="G68" s="64">
        <v>79.010000000000005</v>
      </c>
      <c r="H68" s="64">
        <v>19.489999999999998</v>
      </c>
      <c r="I68" s="64">
        <v>8.18</v>
      </c>
      <c r="J68" s="64">
        <v>0.3</v>
      </c>
      <c r="K68" s="64">
        <v>141.31</v>
      </c>
      <c r="L68" s="64">
        <v>33.47</v>
      </c>
      <c r="M68" s="64">
        <v>48.68</v>
      </c>
      <c r="N68" s="64">
        <v>204.2</v>
      </c>
      <c r="O68" s="64">
        <v>0</v>
      </c>
      <c r="P68" s="64">
        <v>0.49</v>
      </c>
      <c r="Q68" s="64">
        <v>9.4</v>
      </c>
      <c r="R68" s="198"/>
      <c r="S68" s="198"/>
      <c r="T68" s="198"/>
      <c r="U68" s="198"/>
    </row>
    <row r="69" spans="1:21" s="12" customFormat="1" x14ac:dyDescent="0.25">
      <c r="A69" s="214" t="s">
        <v>2709</v>
      </c>
      <c r="B69" s="64">
        <v>8.16</v>
      </c>
      <c r="C69" s="64">
        <v>3.27</v>
      </c>
      <c r="D69" s="64">
        <v>12.03</v>
      </c>
      <c r="E69" s="64">
        <v>5.91</v>
      </c>
      <c r="F69" s="64">
        <v>5.62</v>
      </c>
      <c r="G69" s="64">
        <v>79.010000000000005</v>
      </c>
      <c r="H69" s="64">
        <v>19.489999999999998</v>
      </c>
      <c r="I69" s="64">
        <v>7.69</v>
      </c>
      <c r="J69" s="64">
        <v>1.27</v>
      </c>
      <c r="K69" s="64">
        <v>112.47</v>
      </c>
      <c r="L69" s="64">
        <v>32.67</v>
      </c>
      <c r="M69" s="64">
        <v>51.47</v>
      </c>
      <c r="N69" s="64">
        <v>144.6</v>
      </c>
      <c r="O69" s="64">
        <v>0</v>
      </c>
      <c r="P69" s="64">
        <v>0.48</v>
      </c>
      <c r="Q69" s="64">
        <v>9.36</v>
      </c>
      <c r="R69" s="198"/>
      <c r="S69" s="198"/>
      <c r="T69" s="198"/>
      <c r="U69" s="198"/>
    </row>
    <row r="70" spans="1:21" s="12" customFormat="1" x14ac:dyDescent="0.25">
      <c r="A70" s="214" t="s">
        <v>2710</v>
      </c>
      <c r="B70" s="64">
        <v>8.1199999999999992</v>
      </c>
      <c r="C70" s="64">
        <v>3.12</v>
      </c>
      <c r="D70" s="64">
        <v>11.91</v>
      </c>
      <c r="E70" s="64">
        <v>5.78</v>
      </c>
      <c r="F70" s="64">
        <v>5.42</v>
      </c>
      <c r="G70" s="64">
        <v>79.010000000000005</v>
      </c>
      <c r="H70" s="64">
        <v>19.489999999999998</v>
      </c>
      <c r="I70" s="64">
        <v>7.42</v>
      </c>
      <c r="J70" s="64">
        <v>1.27</v>
      </c>
      <c r="K70" s="64">
        <v>168.38</v>
      </c>
      <c r="L70" s="64">
        <v>32.11</v>
      </c>
      <c r="M70" s="64">
        <v>53.53</v>
      </c>
      <c r="N70" s="64">
        <v>79.900000000000006</v>
      </c>
      <c r="O70" s="64">
        <v>0</v>
      </c>
      <c r="P70" s="64">
        <v>0.47</v>
      </c>
      <c r="Q70" s="64">
        <v>9.36</v>
      </c>
      <c r="R70" s="198"/>
      <c r="S70" s="198"/>
      <c r="T70" s="198"/>
      <c r="U70" s="198"/>
    </row>
    <row r="71" spans="1:21" s="12" customFormat="1" x14ac:dyDescent="0.25">
      <c r="A71" s="214" t="s">
        <v>2711</v>
      </c>
      <c r="B71" s="64">
        <v>8.1300000000000008</v>
      </c>
      <c r="C71" s="64">
        <v>3.1</v>
      </c>
      <c r="D71" s="64">
        <v>11.91</v>
      </c>
      <c r="E71" s="64">
        <v>7.11</v>
      </c>
      <c r="F71" s="64">
        <v>6.89</v>
      </c>
      <c r="G71" s="64">
        <v>72.12</v>
      </c>
      <c r="H71" s="64">
        <v>18.57</v>
      </c>
      <c r="I71" s="64">
        <v>7.49</v>
      </c>
      <c r="J71" s="64">
        <v>1.01</v>
      </c>
      <c r="K71" s="64">
        <v>190.31</v>
      </c>
      <c r="L71" s="64">
        <v>29</v>
      </c>
      <c r="M71" s="64">
        <v>67.25</v>
      </c>
      <c r="N71" s="64">
        <v>62.5</v>
      </c>
      <c r="O71" s="64">
        <v>0</v>
      </c>
      <c r="P71" s="64">
        <v>0.42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4" t="s">
        <v>2712</v>
      </c>
      <c r="B72" s="64">
        <v>8.11</v>
      </c>
      <c r="C72" s="64">
        <v>3.1</v>
      </c>
      <c r="D72" s="64">
        <v>11.89</v>
      </c>
      <c r="E72" s="64">
        <v>5.4</v>
      </c>
      <c r="F72" s="64">
        <v>9.2799999999999994</v>
      </c>
      <c r="G72" s="64">
        <v>67.94</v>
      </c>
      <c r="H72" s="64">
        <v>17.98</v>
      </c>
      <c r="I72" s="64">
        <v>7.58</v>
      </c>
      <c r="J72" s="64">
        <v>0.3</v>
      </c>
      <c r="K72" s="64">
        <v>200.1</v>
      </c>
      <c r="L72" s="64">
        <v>27.76</v>
      </c>
      <c r="M72" s="64">
        <v>74.67</v>
      </c>
      <c r="N72" s="64">
        <v>70.099999999999994</v>
      </c>
      <c r="O72" s="64">
        <v>0</v>
      </c>
      <c r="P72" s="64">
        <v>0.36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4" t="s">
        <v>2713</v>
      </c>
      <c r="B73" s="64">
        <v>8.14</v>
      </c>
      <c r="C73" s="64">
        <v>3.17</v>
      </c>
      <c r="D73" s="64">
        <v>11.96</v>
      </c>
      <c r="E73" s="64">
        <v>4.84</v>
      </c>
      <c r="F73" s="64">
        <v>7.89</v>
      </c>
      <c r="G73" s="64">
        <v>67.94</v>
      </c>
      <c r="H73" s="64">
        <v>17.98</v>
      </c>
      <c r="I73" s="64">
        <v>6.64</v>
      </c>
      <c r="J73" s="64">
        <v>0.19</v>
      </c>
      <c r="K73" s="64">
        <v>343.73</v>
      </c>
      <c r="L73" s="64">
        <v>26.89</v>
      </c>
      <c r="M73" s="64">
        <v>80.52</v>
      </c>
      <c r="N73" s="64">
        <v>86</v>
      </c>
      <c r="O73" s="64">
        <v>0</v>
      </c>
      <c r="P73" s="64">
        <v>0.34</v>
      </c>
      <c r="Q73" s="64">
        <v>9.34</v>
      </c>
      <c r="R73" s="198"/>
      <c r="S73" s="198"/>
      <c r="T73" s="198"/>
      <c r="U73" s="198"/>
    </row>
    <row r="74" spans="1:21" s="12" customFormat="1" x14ac:dyDescent="0.25">
      <c r="A74" s="214" t="s">
        <v>2714</v>
      </c>
      <c r="B74" s="64">
        <v>8.19</v>
      </c>
      <c r="C74" s="64">
        <v>3.33</v>
      </c>
      <c r="D74" s="64">
        <v>12.08</v>
      </c>
      <c r="E74" s="64">
        <v>4.63</v>
      </c>
      <c r="F74" s="64">
        <v>7.94</v>
      </c>
      <c r="G74" s="64">
        <v>67.94</v>
      </c>
      <c r="H74" s="64">
        <v>17.98</v>
      </c>
      <c r="I74" s="64">
        <v>5.49</v>
      </c>
      <c r="J74" s="64">
        <v>2.9</v>
      </c>
      <c r="K74" s="64">
        <v>314.41000000000003</v>
      </c>
      <c r="L74" s="64">
        <v>26.35</v>
      </c>
      <c r="M74" s="64">
        <v>85</v>
      </c>
      <c r="N74" s="64">
        <v>60.9</v>
      </c>
      <c r="O74" s="64">
        <v>0</v>
      </c>
      <c r="P74" s="64">
        <v>0.34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4" t="s">
        <v>2715</v>
      </c>
      <c r="B75" s="64">
        <v>8.25</v>
      </c>
      <c r="C75" s="64">
        <v>3.49</v>
      </c>
      <c r="D75" s="64">
        <v>12.21</v>
      </c>
      <c r="E75" s="64">
        <v>4.63</v>
      </c>
      <c r="F75" s="64">
        <v>12.66</v>
      </c>
      <c r="G75" s="64">
        <v>53.5</v>
      </c>
      <c r="H75" s="64">
        <v>15.86</v>
      </c>
      <c r="I75" s="64">
        <v>4.84</v>
      </c>
      <c r="J75" s="64">
        <v>2.85</v>
      </c>
      <c r="K75" s="64">
        <v>319.27</v>
      </c>
      <c r="L75" s="64">
        <v>25.38</v>
      </c>
      <c r="M75" s="64">
        <v>87.32</v>
      </c>
      <c r="N75" s="64">
        <v>47.6</v>
      </c>
      <c r="O75" s="64">
        <v>0</v>
      </c>
      <c r="P75" s="64">
        <v>0.33</v>
      </c>
      <c r="Q75" s="64">
        <v>9.32</v>
      </c>
      <c r="R75" s="198"/>
      <c r="S75" s="198"/>
      <c r="T75" s="198"/>
      <c r="U75" s="198"/>
    </row>
    <row r="76" spans="1:21" s="12" customFormat="1" x14ac:dyDescent="0.25">
      <c r="A76" s="214" t="s">
        <v>2716</v>
      </c>
      <c r="B76" s="64">
        <v>8.2100000000000009</v>
      </c>
      <c r="C76" s="64">
        <v>3.29</v>
      </c>
      <c r="D76" s="64">
        <v>12.07</v>
      </c>
      <c r="E76" s="64">
        <v>4.6100000000000003</v>
      </c>
      <c r="F76" s="64">
        <v>11.45</v>
      </c>
      <c r="G76" s="64">
        <v>44.31</v>
      </c>
      <c r="H76" s="64">
        <v>14.58</v>
      </c>
      <c r="I76" s="64">
        <v>4.24</v>
      </c>
      <c r="J76" s="64">
        <v>3.31</v>
      </c>
      <c r="K76" s="64">
        <v>333.17</v>
      </c>
      <c r="L76" s="64">
        <v>24.9</v>
      </c>
      <c r="M76" s="64">
        <v>87.3</v>
      </c>
      <c r="N76" s="64">
        <v>30.1</v>
      </c>
      <c r="O76" s="64">
        <v>0</v>
      </c>
      <c r="P76" s="64">
        <v>0.33</v>
      </c>
      <c r="Q76" s="64">
        <v>9.3000000000000007</v>
      </c>
      <c r="R76" s="198"/>
      <c r="S76" s="198"/>
      <c r="T76" s="198"/>
      <c r="U76" s="198"/>
    </row>
    <row r="77" spans="1:21" s="12" customFormat="1" x14ac:dyDescent="0.25">
      <c r="A77" s="214" t="s">
        <v>2717</v>
      </c>
      <c r="B77" s="64">
        <v>8.19</v>
      </c>
      <c r="C77" s="64">
        <v>3.2</v>
      </c>
      <c r="D77" s="64">
        <v>12.01</v>
      </c>
      <c r="E77" s="64">
        <v>4.5999999999999996</v>
      </c>
      <c r="F77" s="64">
        <v>7.78</v>
      </c>
      <c r="G77" s="64">
        <v>44.31</v>
      </c>
      <c r="H77" s="64">
        <v>14.58</v>
      </c>
      <c r="I77" s="64">
        <v>3.33</v>
      </c>
      <c r="J77" s="64">
        <v>0.8</v>
      </c>
      <c r="K77" s="64">
        <v>335.79</v>
      </c>
      <c r="L77" s="64">
        <v>24.38</v>
      </c>
      <c r="M77" s="64">
        <v>90.65</v>
      </c>
      <c r="N77" s="64">
        <v>20.100000000000001</v>
      </c>
      <c r="O77" s="64">
        <v>1</v>
      </c>
      <c r="P77" s="64">
        <v>0.33</v>
      </c>
      <c r="Q77" s="64">
        <v>9.2899999999999991</v>
      </c>
      <c r="R77" s="198"/>
      <c r="S77" s="198"/>
      <c r="T77" s="198"/>
      <c r="U77" s="198"/>
    </row>
    <row r="78" spans="1:21" s="12" customFormat="1" x14ac:dyDescent="0.25">
      <c r="A78" s="214" t="s">
        <v>2718</v>
      </c>
      <c r="B78" s="64">
        <v>8.15</v>
      </c>
      <c r="C78" s="64">
        <v>3.13</v>
      </c>
      <c r="D78" s="64">
        <v>11.95</v>
      </c>
      <c r="E78" s="64">
        <v>4.58</v>
      </c>
      <c r="F78" s="64">
        <v>9.1</v>
      </c>
      <c r="G78" s="64">
        <v>44.31</v>
      </c>
      <c r="H78" s="64">
        <v>14.58</v>
      </c>
      <c r="I78" s="64">
        <v>2.75</v>
      </c>
      <c r="J78" s="64">
        <v>0.38</v>
      </c>
      <c r="K78" s="64">
        <v>17.55</v>
      </c>
      <c r="L78" s="64">
        <v>23.39</v>
      </c>
      <c r="M78" s="64">
        <v>98.25</v>
      </c>
      <c r="N78" s="64">
        <v>21</v>
      </c>
      <c r="O78" s="64">
        <v>5.2</v>
      </c>
      <c r="P78" s="64">
        <v>0.35</v>
      </c>
      <c r="Q78" s="64">
        <v>9.33</v>
      </c>
      <c r="R78" s="198"/>
      <c r="S78" s="198"/>
      <c r="T78" s="198"/>
      <c r="U78" s="198"/>
    </row>
    <row r="79" spans="1:21" s="12" customFormat="1" x14ac:dyDescent="0.25">
      <c r="A79" s="214" t="s">
        <v>2719</v>
      </c>
      <c r="B79" s="64">
        <v>8.18</v>
      </c>
      <c r="C79" s="64">
        <v>3.18</v>
      </c>
      <c r="D79" s="64">
        <v>11.99</v>
      </c>
      <c r="E79" s="64">
        <v>4.5999999999999996</v>
      </c>
      <c r="F79" s="64">
        <v>3.59</v>
      </c>
      <c r="G79" s="64">
        <v>44.5</v>
      </c>
      <c r="H79" s="64">
        <v>16.2</v>
      </c>
      <c r="I79" s="64">
        <v>2.72</v>
      </c>
      <c r="J79" s="64">
        <v>2.08</v>
      </c>
      <c r="K79" s="64">
        <v>115.4</v>
      </c>
      <c r="L79" s="64">
        <v>22.73</v>
      </c>
      <c r="M79" s="64">
        <v>98.34</v>
      </c>
      <c r="N79" s="64">
        <v>19.399999999999999</v>
      </c>
      <c r="O79" s="64">
        <v>1</v>
      </c>
      <c r="P79" s="64">
        <v>0.36</v>
      </c>
      <c r="Q79" s="64">
        <v>9.33</v>
      </c>
      <c r="R79" s="198"/>
      <c r="S79" s="198"/>
      <c r="T79" s="198"/>
      <c r="U79" s="198"/>
    </row>
    <row r="80" spans="1:21" s="12" customFormat="1" x14ac:dyDescent="0.25">
      <c r="A80" s="214" t="s">
        <v>2720</v>
      </c>
      <c r="B80" s="64">
        <v>8.23</v>
      </c>
      <c r="C80" s="64">
        <v>3.21</v>
      </c>
      <c r="D80" s="64">
        <v>12.05</v>
      </c>
      <c r="E80" s="64">
        <v>4.7699999999999996</v>
      </c>
      <c r="F80" s="64">
        <v>4.1500000000000004</v>
      </c>
      <c r="G80" s="64">
        <v>44.61</v>
      </c>
      <c r="H80" s="64">
        <v>17.18</v>
      </c>
      <c r="I80" s="64">
        <v>2.91</v>
      </c>
      <c r="J80" s="64">
        <v>1.17</v>
      </c>
      <c r="K80" s="64">
        <v>101.29</v>
      </c>
      <c r="L80" s="64">
        <v>23.18</v>
      </c>
      <c r="M80" s="64">
        <v>98.35</v>
      </c>
      <c r="N80" s="64">
        <v>18.100000000000001</v>
      </c>
      <c r="O80" s="64">
        <v>0.2</v>
      </c>
      <c r="P80" s="64">
        <v>0.37</v>
      </c>
      <c r="Q80" s="64">
        <v>9.36</v>
      </c>
      <c r="R80" s="198"/>
      <c r="S80" s="198"/>
      <c r="T80" s="198"/>
      <c r="U80" s="198"/>
    </row>
    <row r="81" spans="1:26" s="12" customFormat="1" x14ac:dyDescent="0.25">
      <c r="A81" s="214" t="s">
        <v>2721</v>
      </c>
      <c r="B81" s="64">
        <v>8.19</v>
      </c>
      <c r="C81" s="64">
        <v>3.21</v>
      </c>
      <c r="D81" s="64">
        <v>12.02</v>
      </c>
      <c r="E81" s="64">
        <v>4.96</v>
      </c>
      <c r="F81" s="64">
        <v>4.13</v>
      </c>
      <c r="G81" s="64">
        <v>44.61</v>
      </c>
      <c r="H81" s="64">
        <v>17.18</v>
      </c>
      <c r="I81" s="64">
        <v>3.45</v>
      </c>
      <c r="J81" s="64">
        <v>0.37</v>
      </c>
      <c r="K81" s="64">
        <v>87.09</v>
      </c>
      <c r="L81" s="64">
        <v>23.35</v>
      </c>
      <c r="M81" s="64">
        <v>98.35</v>
      </c>
      <c r="N81" s="64">
        <v>18.100000000000001</v>
      </c>
      <c r="O81" s="64">
        <v>0.2</v>
      </c>
      <c r="P81" s="64">
        <v>0.38</v>
      </c>
      <c r="Q81" s="64">
        <v>9.41</v>
      </c>
      <c r="R81" s="198"/>
      <c r="S81" s="198"/>
      <c r="T81" s="198"/>
      <c r="U81" s="198"/>
    </row>
    <row r="82" spans="1:26" s="12" customFormat="1" x14ac:dyDescent="0.25">
      <c r="A82" s="214" t="s">
        <v>2722</v>
      </c>
      <c r="B82" s="64">
        <v>8.14</v>
      </c>
      <c r="C82" s="64">
        <v>3.15</v>
      </c>
      <c r="D82" s="64">
        <v>11.94</v>
      </c>
      <c r="E82" s="64">
        <v>5.0999999999999996</v>
      </c>
      <c r="F82" s="64">
        <v>3.62</v>
      </c>
      <c r="G82" s="64">
        <v>44.61</v>
      </c>
      <c r="H82" s="64">
        <v>17.18</v>
      </c>
      <c r="I82" s="64">
        <v>4</v>
      </c>
      <c r="J82" s="64">
        <v>0.83</v>
      </c>
      <c r="K82" s="64">
        <v>330.59</v>
      </c>
      <c r="L82" s="64">
        <v>23.62</v>
      </c>
      <c r="M82" s="64">
        <v>98.36</v>
      </c>
      <c r="N82" s="64">
        <v>17.899999999999999</v>
      </c>
      <c r="O82" s="64">
        <v>0</v>
      </c>
      <c r="P82" s="64">
        <v>0.37</v>
      </c>
      <c r="Q82" s="64">
        <v>9.3800000000000008</v>
      </c>
      <c r="R82" s="198"/>
      <c r="S82" s="198"/>
      <c r="T82" s="198"/>
      <c r="U82" s="198"/>
    </row>
    <row r="83" spans="1:26" s="12" customFormat="1" x14ac:dyDescent="0.25">
      <c r="A83" s="214" t="s">
        <v>2723</v>
      </c>
      <c r="B83" s="64">
        <v>8.15</v>
      </c>
      <c r="C83" s="64">
        <v>3.14</v>
      </c>
      <c r="D83" s="64">
        <v>11.95</v>
      </c>
      <c r="E83" s="64">
        <v>4.8099999999999996</v>
      </c>
      <c r="F83" s="64">
        <v>4.54</v>
      </c>
      <c r="G83" s="64">
        <v>46.26</v>
      </c>
      <c r="H83" s="64">
        <v>15.48</v>
      </c>
      <c r="I83" s="64">
        <v>4.16</v>
      </c>
      <c r="J83" s="64">
        <v>0.98</v>
      </c>
      <c r="K83" s="64">
        <v>353.49</v>
      </c>
      <c r="L83" s="64">
        <v>23.63</v>
      </c>
      <c r="M83" s="64">
        <v>98.37</v>
      </c>
      <c r="N83" s="64">
        <v>18.2</v>
      </c>
      <c r="O83" s="64">
        <v>0</v>
      </c>
      <c r="P83" s="64">
        <v>0.4</v>
      </c>
      <c r="Q83" s="64">
        <v>9.3800000000000008</v>
      </c>
      <c r="R83" s="198"/>
      <c r="S83" s="198"/>
      <c r="T83" s="198"/>
      <c r="U83" s="198"/>
    </row>
    <row r="84" spans="1:26" s="12" customFormat="1" x14ac:dyDescent="0.25">
      <c r="A84" s="214" t="s">
        <v>2724</v>
      </c>
      <c r="B84" s="64">
        <v>8.18</v>
      </c>
      <c r="C84" s="64">
        <v>3.24</v>
      </c>
      <c r="D84" s="64">
        <v>12.03</v>
      </c>
      <c r="E84" s="64">
        <v>4.99</v>
      </c>
      <c r="F84" s="64">
        <v>4.07</v>
      </c>
      <c r="G84" s="64">
        <v>47.26</v>
      </c>
      <c r="H84" s="64">
        <v>14.4</v>
      </c>
      <c r="I84" s="64">
        <v>3.94</v>
      </c>
      <c r="J84" s="64">
        <v>0.31</v>
      </c>
      <c r="K84" s="64">
        <v>86.43</v>
      </c>
      <c r="L84" s="64">
        <v>23.4</v>
      </c>
      <c r="M84" s="64">
        <v>98.35</v>
      </c>
      <c r="N84" s="64">
        <v>18.100000000000001</v>
      </c>
      <c r="O84" s="64">
        <v>0.2</v>
      </c>
      <c r="P84" s="64">
        <v>0.44</v>
      </c>
      <c r="Q84" s="64">
        <v>9.42</v>
      </c>
      <c r="R84" s="198"/>
      <c r="S84" s="198"/>
      <c r="T84" s="198"/>
      <c r="U84" s="198"/>
    </row>
    <row r="85" spans="1:26" s="12" customFormat="1" x14ac:dyDescent="0.25">
      <c r="A85" s="214" t="s">
        <v>2725</v>
      </c>
      <c r="B85" s="64">
        <v>8.15</v>
      </c>
      <c r="C85" s="64">
        <v>3.15</v>
      </c>
      <c r="D85" s="64">
        <v>11.95</v>
      </c>
      <c r="E85" s="64">
        <v>4.8</v>
      </c>
      <c r="F85" s="64">
        <v>3.3</v>
      </c>
      <c r="G85" s="64">
        <v>47.26</v>
      </c>
      <c r="H85" s="64">
        <v>14.4</v>
      </c>
      <c r="I85" s="64">
        <v>3.83</v>
      </c>
      <c r="J85" s="64">
        <v>1.1599999999999999</v>
      </c>
      <c r="K85" s="64">
        <v>107.52</v>
      </c>
      <c r="L85" s="64">
        <v>23.45</v>
      </c>
      <c r="M85" s="64">
        <v>98.37</v>
      </c>
      <c r="N85" s="64">
        <v>18.100000000000001</v>
      </c>
      <c r="O85" s="64">
        <v>0.2</v>
      </c>
      <c r="P85" s="64">
        <v>0.44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14" t="s">
        <v>2726</v>
      </c>
      <c r="B86" s="64">
        <v>8.2200000000000006</v>
      </c>
      <c r="C86" s="64">
        <v>3.3</v>
      </c>
      <c r="D86" s="64">
        <v>12.09</v>
      </c>
      <c r="E86" s="64">
        <v>4.87</v>
      </c>
      <c r="F86" s="64">
        <v>4.04</v>
      </c>
      <c r="G86" s="64">
        <v>47.26</v>
      </c>
      <c r="H86" s="64">
        <v>14.4</v>
      </c>
      <c r="I86" s="64">
        <v>3.9</v>
      </c>
      <c r="J86" s="64">
        <v>1.92</v>
      </c>
      <c r="K86" s="64">
        <v>111.13</v>
      </c>
      <c r="L86" s="64">
        <v>23.19</v>
      </c>
      <c r="M86" s="64">
        <v>98.35</v>
      </c>
      <c r="N86" s="64">
        <v>18.8</v>
      </c>
      <c r="O86" s="64">
        <v>0</v>
      </c>
      <c r="P86" s="64">
        <v>0.45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14" t="s">
        <v>2727</v>
      </c>
      <c r="B87" s="64">
        <v>8.23</v>
      </c>
      <c r="C87" s="64">
        <v>3.36</v>
      </c>
      <c r="D87" s="64">
        <v>12.13</v>
      </c>
      <c r="E87" s="64">
        <v>3.71</v>
      </c>
      <c r="F87" s="64">
        <v>3.48</v>
      </c>
      <c r="G87" s="64">
        <v>37.200000000000003</v>
      </c>
      <c r="H87" s="64">
        <v>14.62</v>
      </c>
      <c r="I87" s="64">
        <v>4.03</v>
      </c>
      <c r="J87" s="64">
        <v>0.41</v>
      </c>
      <c r="K87" s="64">
        <v>176.16</v>
      </c>
      <c r="L87" s="64">
        <v>23.11</v>
      </c>
      <c r="M87" s="64">
        <v>98.35</v>
      </c>
      <c r="N87" s="64">
        <v>17.8</v>
      </c>
      <c r="O87" s="64">
        <v>0.2</v>
      </c>
      <c r="P87" s="64">
        <v>0.45</v>
      </c>
      <c r="Q87" s="64">
        <v>9.44</v>
      </c>
      <c r="R87" s="198"/>
      <c r="S87" s="198"/>
      <c r="T87" s="198"/>
      <c r="U87" s="198"/>
    </row>
    <row r="88" spans="1:26" s="12" customFormat="1" x14ac:dyDescent="0.25">
      <c r="A88" s="214" t="s">
        <v>2728</v>
      </c>
      <c r="B88" s="64">
        <v>8.26</v>
      </c>
      <c r="C88" s="64">
        <v>3.44</v>
      </c>
      <c r="D88" s="64">
        <v>12.19</v>
      </c>
      <c r="E88" s="64">
        <v>2.88</v>
      </c>
      <c r="F88" s="64">
        <v>3.75</v>
      </c>
      <c r="G88" s="64">
        <v>30.81</v>
      </c>
      <c r="H88" s="64">
        <v>14.75</v>
      </c>
      <c r="I88" s="64">
        <v>4.37</v>
      </c>
      <c r="J88" s="64">
        <v>0.28000000000000003</v>
      </c>
      <c r="K88" s="64">
        <v>176.15</v>
      </c>
      <c r="L88" s="64">
        <v>22.96</v>
      </c>
      <c r="M88" s="64">
        <v>98.36</v>
      </c>
      <c r="N88" s="64">
        <v>17.8</v>
      </c>
      <c r="O88" s="64">
        <v>0.2</v>
      </c>
      <c r="P88" s="64">
        <v>0.44</v>
      </c>
      <c r="Q88" s="64">
        <v>9.39</v>
      </c>
      <c r="R88" s="198"/>
      <c r="S88" s="198"/>
      <c r="T88" s="198"/>
      <c r="U88" s="198"/>
    </row>
    <row r="89" spans="1:26" s="12" customFormat="1" x14ac:dyDescent="0.25">
      <c r="A89" s="214" t="s">
        <v>2729</v>
      </c>
      <c r="B89" s="64">
        <v>8.19</v>
      </c>
      <c r="C89" s="64">
        <v>3.19</v>
      </c>
      <c r="D89" s="64">
        <v>12.01</v>
      </c>
      <c r="E89" s="64">
        <v>3.64</v>
      </c>
      <c r="F89" s="64">
        <v>4.1100000000000003</v>
      </c>
      <c r="G89" s="64">
        <v>30.81</v>
      </c>
      <c r="H89" s="64">
        <v>14.75</v>
      </c>
      <c r="I89" s="64">
        <v>4.58</v>
      </c>
      <c r="J89" s="64">
        <v>0.84</v>
      </c>
      <c r="K89" s="64">
        <v>166.52</v>
      </c>
      <c r="L89" s="64">
        <v>22.91</v>
      </c>
      <c r="M89" s="64">
        <v>98.35</v>
      </c>
      <c r="N89" s="64">
        <v>18.2</v>
      </c>
      <c r="O89" s="64">
        <v>0.4</v>
      </c>
      <c r="P89" s="64">
        <v>0.45</v>
      </c>
      <c r="Q89" s="64">
        <v>9.43</v>
      </c>
      <c r="R89" s="198"/>
      <c r="S89" s="198"/>
      <c r="T89" s="198"/>
      <c r="U89" s="198"/>
    </row>
    <row r="90" spans="1:26" s="12" customFormat="1" x14ac:dyDescent="0.25">
      <c r="A90" s="214" t="s">
        <v>2730</v>
      </c>
      <c r="B90" s="64">
        <v>8.15</v>
      </c>
      <c r="C90" s="64">
        <v>3.06</v>
      </c>
      <c r="D90" s="64">
        <v>11.91</v>
      </c>
      <c r="E90" s="64">
        <v>3.62</v>
      </c>
      <c r="F90" s="64">
        <v>3.26</v>
      </c>
      <c r="G90" s="64">
        <v>30.81</v>
      </c>
      <c r="H90" s="64">
        <v>14.75</v>
      </c>
      <c r="I90" s="64">
        <v>4.5199999999999996</v>
      </c>
      <c r="J90" s="64">
        <v>0.87</v>
      </c>
      <c r="K90" s="64">
        <v>159.9</v>
      </c>
      <c r="L90" s="64">
        <v>22.72</v>
      </c>
      <c r="M90" s="64">
        <v>98.35</v>
      </c>
      <c r="N90" s="64">
        <v>18.3</v>
      </c>
      <c r="O90" s="64">
        <v>0.2</v>
      </c>
      <c r="P90" s="64">
        <v>0.45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14" t="s">
        <v>2731</v>
      </c>
      <c r="B91" s="64">
        <v>8.14</v>
      </c>
      <c r="C91" s="64">
        <v>3.09</v>
      </c>
      <c r="D91" s="64">
        <v>11.91</v>
      </c>
      <c r="E91" s="64">
        <v>3.66</v>
      </c>
      <c r="F91" s="64">
        <v>3.24</v>
      </c>
      <c r="G91" s="64">
        <v>26.1</v>
      </c>
      <c r="H91" s="64">
        <v>12.24</v>
      </c>
      <c r="I91" s="64">
        <v>4.4400000000000004</v>
      </c>
      <c r="J91" s="64">
        <v>0.5</v>
      </c>
      <c r="K91" s="64">
        <v>176.2</v>
      </c>
      <c r="L91" s="64">
        <v>22.67</v>
      </c>
      <c r="M91" s="64">
        <v>98.35</v>
      </c>
      <c r="N91" s="64">
        <v>17.8</v>
      </c>
      <c r="O91" s="64">
        <v>0.2</v>
      </c>
      <c r="P91" s="64">
        <v>0.44</v>
      </c>
      <c r="Q91" s="64">
        <v>9.39</v>
      </c>
      <c r="R91" s="198"/>
      <c r="S91" s="198"/>
      <c r="T91" s="198"/>
      <c r="U91" s="198"/>
    </row>
    <row r="92" spans="1:26" s="12" customFormat="1" x14ac:dyDescent="0.25">
      <c r="A92" s="214" t="s">
        <v>2732</v>
      </c>
      <c r="B92" s="64">
        <v>8.16</v>
      </c>
      <c r="C92" s="64">
        <v>3.09</v>
      </c>
      <c r="D92" s="64">
        <v>11.93</v>
      </c>
      <c r="E92" s="64">
        <v>3.28</v>
      </c>
      <c r="F92" s="64">
        <v>3.45</v>
      </c>
      <c r="G92" s="64">
        <v>23.11</v>
      </c>
      <c r="H92" s="64">
        <v>10.72</v>
      </c>
      <c r="I92" s="64">
        <v>4.3499999999999996</v>
      </c>
      <c r="J92" s="64">
        <v>0.24</v>
      </c>
      <c r="K92" s="64">
        <v>179.35</v>
      </c>
      <c r="L92" s="64">
        <v>22.82</v>
      </c>
      <c r="M92" s="64">
        <v>98.35</v>
      </c>
      <c r="N92" s="64">
        <v>17.7</v>
      </c>
      <c r="O92" s="64">
        <v>0</v>
      </c>
      <c r="P92" s="64">
        <v>0.43</v>
      </c>
      <c r="Q92" s="64">
        <v>9.3699999999999992</v>
      </c>
      <c r="R92" s="198"/>
      <c r="S92" s="198"/>
      <c r="T92" s="198"/>
      <c r="U92" s="198"/>
    </row>
    <row r="93" spans="1:26" s="12" customFormat="1" x14ac:dyDescent="0.25">
      <c r="A93" s="214" t="s">
        <v>2733</v>
      </c>
      <c r="B93" s="64">
        <v>8.17</v>
      </c>
      <c r="C93" s="64">
        <v>3.11</v>
      </c>
      <c r="D93" s="64">
        <v>11.95</v>
      </c>
      <c r="E93" s="64">
        <v>3.71</v>
      </c>
      <c r="F93" s="64">
        <v>3.54</v>
      </c>
      <c r="G93" s="64">
        <v>23.11</v>
      </c>
      <c r="H93" s="64">
        <v>10.72</v>
      </c>
      <c r="I93" s="64">
        <v>4.28</v>
      </c>
      <c r="J93" s="64">
        <v>0.28000000000000003</v>
      </c>
      <c r="K93" s="64">
        <v>289.05</v>
      </c>
      <c r="L93" s="64">
        <v>22.95</v>
      </c>
      <c r="M93" s="64">
        <v>98.37</v>
      </c>
      <c r="N93" s="64">
        <v>17.600000000000001</v>
      </c>
      <c r="O93" s="64">
        <v>0</v>
      </c>
      <c r="P93" s="64">
        <v>0.43</v>
      </c>
      <c r="Q93" s="64">
        <v>9.3699999999999992</v>
      </c>
      <c r="R93" s="198"/>
      <c r="S93" s="198"/>
      <c r="T93" s="198"/>
      <c r="U93" s="198"/>
    </row>
    <row r="94" spans="1:26" s="12" customFormat="1" x14ac:dyDescent="0.25">
      <c r="A94" s="214" t="s">
        <v>2734</v>
      </c>
      <c r="B94" s="64">
        <v>8.23</v>
      </c>
      <c r="C94" s="64">
        <v>3.24</v>
      </c>
      <c r="D94" s="64">
        <v>12.06</v>
      </c>
      <c r="E94" s="64">
        <v>3.8</v>
      </c>
      <c r="F94" s="64">
        <v>3.43</v>
      </c>
      <c r="G94" s="64">
        <v>23.11</v>
      </c>
      <c r="H94" s="64">
        <v>10.72</v>
      </c>
      <c r="I94" s="64">
        <v>4.33</v>
      </c>
      <c r="J94" s="64">
        <v>0.1</v>
      </c>
      <c r="K94" s="64">
        <v>0.17</v>
      </c>
      <c r="L94" s="64">
        <v>23.05</v>
      </c>
      <c r="M94" s="64">
        <v>98.38</v>
      </c>
      <c r="N94" s="64">
        <v>17.7</v>
      </c>
      <c r="O94" s="64">
        <v>0.2</v>
      </c>
      <c r="P94" s="64">
        <v>0.43</v>
      </c>
      <c r="Q94" s="64">
        <v>9.3800000000000008</v>
      </c>
      <c r="R94" s="198"/>
      <c r="S94" s="198"/>
      <c r="T94" s="198"/>
      <c r="U94" s="198"/>
    </row>
    <row r="95" spans="1:26" s="12" customFormat="1" x14ac:dyDescent="0.25">
      <c r="A95" s="214" t="s">
        <v>2735</v>
      </c>
      <c r="B95" s="64">
        <v>8.2100000000000009</v>
      </c>
      <c r="C95" s="64">
        <v>3.22</v>
      </c>
      <c r="D95" s="64">
        <v>12.04</v>
      </c>
      <c r="E95" s="64">
        <v>3.87</v>
      </c>
      <c r="F95" s="64">
        <v>3.47</v>
      </c>
      <c r="G95" s="64">
        <v>18.600000000000001</v>
      </c>
      <c r="H95" s="64">
        <v>8.7899999999999991</v>
      </c>
      <c r="I95" s="64">
        <v>4.42</v>
      </c>
      <c r="J95" s="64">
        <v>0.32</v>
      </c>
      <c r="K95" s="64">
        <v>239.07</v>
      </c>
      <c r="L95" s="64">
        <v>23.08</v>
      </c>
      <c r="M95" s="64">
        <v>98.38</v>
      </c>
      <c r="N95" s="64">
        <v>17.8</v>
      </c>
      <c r="O95" s="64">
        <v>0</v>
      </c>
      <c r="P95" s="64">
        <v>0.43</v>
      </c>
      <c r="Q95" s="64">
        <v>9.39</v>
      </c>
      <c r="R95" s="198"/>
      <c r="S95" s="198"/>
      <c r="T95" s="198"/>
      <c r="U95" s="198"/>
    </row>
    <row r="96" spans="1:26" s="12" customFormat="1" x14ac:dyDescent="0.25">
      <c r="A96" s="214" t="s">
        <v>2736</v>
      </c>
      <c r="B96" s="64">
        <v>8.19</v>
      </c>
      <c r="C96" s="64">
        <v>3.19</v>
      </c>
      <c r="D96" s="64">
        <v>12.01</v>
      </c>
      <c r="E96" s="64">
        <v>3.53</v>
      </c>
      <c r="F96" s="64">
        <v>3.39</v>
      </c>
      <c r="G96" s="64">
        <v>15.86</v>
      </c>
      <c r="H96" s="64">
        <v>7.63</v>
      </c>
      <c r="I96" s="64">
        <v>4.47</v>
      </c>
      <c r="J96" s="64">
        <v>0.57999999999999996</v>
      </c>
      <c r="K96" s="64">
        <v>182.08</v>
      </c>
      <c r="L96" s="64">
        <v>23.11</v>
      </c>
      <c r="M96" s="64">
        <v>98.38</v>
      </c>
      <c r="N96" s="64">
        <v>18.100000000000001</v>
      </c>
      <c r="O96" s="64">
        <v>0</v>
      </c>
      <c r="P96" s="64">
        <v>0.43</v>
      </c>
      <c r="Q96" s="64">
        <v>9.39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2737</v>
      </c>
      <c r="B97" s="64">
        <v>8.1999999999999993</v>
      </c>
      <c r="C97" s="64">
        <v>3.15</v>
      </c>
      <c r="D97" s="64">
        <v>12</v>
      </c>
      <c r="E97" s="64">
        <v>3.67</v>
      </c>
      <c r="F97" s="64">
        <v>3.39</v>
      </c>
      <c r="G97" s="64">
        <v>15.86</v>
      </c>
      <c r="H97" s="64">
        <v>7.63</v>
      </c>
      <c r="I97" s="64">
        <v>4.5599999999999996</v>
      </c>
      <c r="J97" s="64">
        <v>0.27</v>
      </c>
      <c r="K97" s="64">
        <v>162.16</v>
      </c>
      <c r="L97" s="64">
        <v>23.06</v>
      </c>
      <c r="M97" s="64">
        <v>98.38</v>
      </c>
      <c r="N97" s="64">
        <v>18.399999999999999</v>
      </c>
      <c r="O97" s="64">
        <v>0</v>
      </c>
      <c r="P97" s="64">
        <v>0.42</v>
      </c>
      <c r="Q97" s="64">
        <v>9.4</v>
      </c>
      <c r="R97" s="198"/>
      <c r="S97" s="198"/>
      <c r="T97" s="198"/>
      <c r="U97" s="198"/>
    </row>
    <row r="98" spans="1:33" s="12" customFormat="1" x14ac:dyDescent="0.25">
      <c r="A98" s="214" t="s">
        <v>2738</v>
      </c>
      <c r="B98" s="64">
        <v>8.2200000000000006</v>
      </c>
      <c r="C98" s="64">
        <v>3.17</v>
      </c>
      <c r="D98" s="64">
        <v>12.02</v>
      </c>
      <c r="E98" s="64">
        <v>3.59</v>
      </c>
      <c r="F98" s="64">
        <v>3.6</v>
      </c>
      <c r="G98" s="64">
        <v>15.86</v>
      </c>
      <c r="H98" s="64">
        <v>7.63</v>
      </c>
      <c r="I98" s="64">
        <v>4.6500000000000004</v>
      </c>
      <c r="J98" s="64">
        <v>1.53</v>
      </c>
      <c r="K98" s="64">
        <v>142.51</v>
      </c>
      <c r="L98" s="64">
        <v>23.11</v>
      </c>
      <c r="M98" s="64">
        <v>98.38</v>
      </c>
      <c r="N98" s="64">
        <v>18.5</v>
      </c>
      <c r="O98" s="64">
        <v>0</v>
      </c>
      <c r="P98" s="64">
        <v>0.42</v>
      </c>
      <c r="Q98" s="64">
        <v>9.3800000000000008</v>
      </c>
      <c r="R98" s="198"/>
      <c r="S98" s="198"/>
      <c r="T98" s="198"/>
      <c r="U98" s="198"/>
    </row>
    <row r="99" spans="1:33" s="12" customFormat="1" x14ac:dyDescent="0.25">
      <c r="A99" s="214" t="s">
        <v>2739</v>
      </c>
      <c r="B99" s="64">
        <v>8.19</v>
      </c>
      <c r="C99" s="64">
        <v>3.17</v>
      </c>
      <c r="D99" s="64">
        <v>12</v>
      </c>
      <c r="E99" s="64">
        <v>3.76</v>
      </c>
      <c r="F99" s="64">
        <v>4.3899999999999997</v>
      </c>
      <c r="G99" s="64">
        <v>16.82</v>
      </c>
      <c r="H99" s="64">
        <v>6.92</v>
      </c>
      <c r="I99" s="64">
        <v>4.74</v>
      </c>
      <c r="J99" s="64">
        <v>1.34</v>
      </c>
      <c r="K99" s="64">
        <v>152.19999999999999</v>
      </c>
      <c r="L99" s="64">
        <v>23.25</v>
      </c>
      <c r="M99" s="64">
        <v>98.36</v>
      </c>
      <c r="N99" s="64">
        <v>18.600000000000001</v>
      </c>
      <c r="O99" s="64">
        <v>0</v>
      </c>
      <c r="P99" s="64">
        <v>0.42</v>
      </c>
      <c r="Q99" s="64">
        <v>9.3800000000000008</v>
      </c>
      <c r="R99" s="198"/>
      <c r="S99" s="198"/>
      <c r="T99" s="198"/>
      <c r="U99" s="198"/>
    </row>
    <row r="100" spans="1:33" s="12" customFormat="1" x14ac:dyDescent="0.25">
      <c r="A100" s="214" t="s">
        <v>2740</v>
      </c>
      <c r="B100" s="64">
        <v>8.18</v>
      </c>
      <c r="C100" s="64">
        <v>3.14</v>
      </c>
      <c r="D100" s="64">
        <v>11.97</v>
      </c>
      <c r="E100" s="64">
        <v>3.81</v>
      </c>
      <c r="F100" s="64">
        <v>3.16</v>
      </c>
      <c r="G100" s="64">
        <v>17.43</v>
      </c>
      <c r="H100" s="64">
        <v>6.5</v>
      </c>
      <c r="I100" s="64">
        <v>4.88</v>
      </c>
      <c r="J100" s="64">
        <v>1.04</v>
      </c>
      <c r="K100" s="64">
        <v>165.9</v>
      </c>
      <c r="L100" s="64">
        <v>23.3</v>
      </c>
      <c r="M100" s="64">
        <v>98.35</v>
      </c>
      <c r="N100" s="64">
        <v>18.7</v>
      </c>
      <c r="O100" s="64">
        <v>0</v>
      </c>
      <c r="P100" s="64">
        <v>0.41</v>
      </c>
      <c r="Q100" s="64">
        <v>9.32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2741</v>
      </c>
      <c r="B101" s="64">
        <v>8.19</v>
      </c>
      <c r="C101" s="64">
        <v>3.12</v>
      </c>
      <c r="D101" s="64">
        <v>11.97</v>
      </c>
      <c r="E101" s="64">
        <v>3.95</v>
      </c>
      <c r="F101" s="64">
        <v>3.44</v>
      </c>
      <c r="G101" s="64">
        <v>17.43</v>
      </c>
      <c r="H101" s="64">
        <v>6.5</v>
      </c>
      <c r="I101" s="64">
        <v>4.91</v>
      </c>
      <c r="J101" s="64">
        <v>1.62</v>
      </c>
      <c r="K101" s="64">
        <v>147.08000000000001</v>
      </c>
      <c r="L101" s="64">
        <v>23.43</v>
      </c>
      <c r="M101" s="64">
        <v>98.35</v>
      </c>
      <c r="N101" s="64">
        <v>18.600000000000001</v>
      </c>
      <c r="O101" s="64">
        <v>0</v>
      </c>
      <c r="P101" s="64">
        <v>0.4</v>
      </c>
      <c r="Q101" s="64">
        <v>9.31</v>
      </c>
      <c r="R101" s="198"/>
      <c r="S101" s="198"/>
      <c r="T101" s="198"/>
      <c r="U101" s="198"/>
    </row>
    <row r="102" spans="1:33" s="12" customFormat="1" x14ac:dyDescent="0.25">
      <c r="A102" s="214" t="s">
        <v>2742</v>
      </c>
      <c r="B102" s="64">
        <v>8.18</v>
      </c>
      <c r="C102" s="64">
        <v>3.14</v>
      </c>
      <c r="D102" s="64">
        <v>11.97</v>
      </c>
      <c r="E102" s="64">
        <v>3.74</v>
      </c>
      <c r="F102" s="64">
        <v>4.3600000000000003</v>
      </c>
      <c r="G102" s="64">
        <v>17.43</v>
      </c>
      <c r="H102" s="64">
        <v>6.5</v>
      </c>
      <c r="I102" s="64">
        <v>4.97</v>
      </c>
      <c r="J102" s="64">
        <v>1.1299999999999999</v>
      </c>
      <c r="K102" s="64">
        <v>150.19999999999999</v>
      </c>
      <c r="L102" s="64">
        <v>23.56</v>
      </c>
      <c r="M102" s="64">
        <v>98.35</v>
      </c>
      <c r="N102" s="64">
        <v>18.399999999999999</v>
      </c>
      <c r="O102" s="64">
        <v>0</v>
      </c>
      <c r="P102" s="64">
        <v>0.38</v>
      </c>
      <c r="Q102" s="64">
        <v>9.36</v>
      </c>
      <c r="R102" s="198"/>
      <c r="S102" s="198"/>
      <c r="T102" s="198"/>
      <c r="U102" s="198"/>
    </row>
    <row r="103" spans="1:33" s="12" customFormat="1" x14ac:dyDescent="0.25">
      <c r="A103" s="214" t="s">
        <v>2743</v>
      </c>
      <c r="B103" s="64">
        <v>8.23</v>
      </c>
      <c r="C103" s="64">
        <v>3.28</v>
      </c>
      <c r="D103" s="64">
        <v>12.09</v>
      </c>
      <c r="E103" s="64">
        <v>4.99</v>
      </c>
      <c r="F103" s="64">
        <v>3.09</v>
      </c>
      <c r="G103" s="64">
        <v>18.510000000000002</v>
      </c>
      <c r="H103" s="64">
        <v>6.38</v>
      </c>
      <c r="I103" s="64">
        <v>4.8</v>
      </c>
      <c r="J103" s="64">
        <v>0.48</v>
      </c>
      <c r="K103" s="64">
        <v>144.44</v>
      </c>
      <c r="L103" s="64">
        <v>23.67</v>
      </c>
      <c r="M103" s="64">
        <v>98.35</v>
      </c>
      <c r="N103" s="64">
        <v>18.7</v>
      </c>
      <c r="O103" s="64">
        <v>0</v>
      </c>
      <c r="P103" s="64">
        <v>0.38</v>
      </c>
      <c r="Q103" s="64">
        <v>9.3699999999999992</v>
      </c>
      <c r="R103" s="198"/>
      <c r="S103" s="198"/>
      <c r="T103" s="198"/>
      <c r="U103" s="198"/>
    </row>
    <row r="104" spans="1:33" s="12" customFormat="1" x14ac:dyDescent="0.25">
      <c r="A104" s="214" t="s">
        <v>2744</v>
      </c>
      <c r="B104" s="64">
        <v>8.26</v>
      </c>
      <c r="C104" s="64">
        <v>3.36</v>
      </c>
      <c r="D104" s="64">
        <v>12.15</v>
      </c>
      <c r="E104" s="64">
        <v>4.8600000000000003</v>
      </c>
      <c r="F104" s="64">
        <v>3.03</v>
      </c>
      <c r="G104" s="64">
        <v>19.2</v>
      </c>
      <c r="H104" s="64">
        <v>6.31</v>
      </c>
      <c r="I104" s="64">
        <v>4.57</v>
      </c>
      <c r="J104" s="64">
        <v>0.76</v>
      </c>
      <c r="K104" s="64">
        <v>92.08</v>
      </c>
      <c r="L104" s="64">
        <v>23.83</v>
      </c>
      <c r="M104" s="64">
        <v>98.35</v>
      </c>
      <c r="N104" s="64">
        <v>18.899999999999999</v>
      </c>
      <c r="O104" s="64">
        <v>0</v>
      </c>
      <c r="P104" s="64">
        <v>0.36</v>
      </c>
      <c r="Q104" s="64">
        <v>9.34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</v>
      </c>
      <c r="C106" s="67">
        <f>MIN(C9:C104)</f>
        <v>3.06</v>
      </c>
      <c r="D106" s="67">
        <f t="shared" ref="D106:Q106" si="0">MIN(D9:D104)</f>
        <v>11.88</v>
      </c>
      <c r="E106" s="67">
        <f t="shared" si="0"/>
        <v>2.88</v>
      </c>
      <c r="F106" s="67">
        <f t="shared" si="0"/>
        <v>2.88</v>
      </c>
      <c r="G106" s="67">
        <f t="shared" si="0"/>
        <v>15.74</v>
      </c>
      <c r="H106" s="67">
        <f t="shared" si="0"/>
        <v>4.8600000000000003</v>
      </c>
      <c r="I106" s="67">
        <f t="shared" si="0"/>
        <v>2.72</v>
      </c>
      <c r="J106" s="67">
        <f t="shared" si="0"/>
        <v>0.05</v>
      </c>
      <c r="K106" s="67">
        <f t="shared" si="0"/>
        <v>0.17</v>
      </c>
      <c r="L106" s="67">
        <f t="shared" si="0"/>
        <v>22.67</v>
      </c>
      <c r="M106" s="67">
        <f t="shared" si="0"/>
        <v>42.05</v>
      </c>
      <c r="N106" s="67">
        <f t="shared" si="0"/>
        <v>17.100000000000001</v>
      </c>
      <c r="O106" s="67">
        <f t="shared" si="0"/>
        <v>0</v>
      </c>
      <c r="P106" s="67">
        <f t="shared" si="0"/>
        <v>0.28000000000000003</v>
      </c>
      <c r="Q106" s="67">
        <f t="shared" si="0"/>
        <v>9.27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9.11</v>
      </c>
      <c r="C107" s="66">
        <f t="shared" ref="C107:Q107" si="1">MAX(C9:C104)</f>
        <v>3.99</v>
      </c>
      <c r="D107" s="66">
        <f t="shared" si="1"/>
        <v>12.76</v>
      </c>
      <c r="E107" s="66">
        <f t="shared" si="1"/>
        <v>85.33</v>
      </c>
      <c r="F107" s="66">
        <f t="shared" si="1"/>
        <v>16.329999999999998</v>
      </c>
      <c r="G107" s="66">
        <f t="shared" si="1"/>
        <v>93</v>
      </c>
      <c r="H107" s="66">
        <f t="shared" si="1"/>
        <v>19.489999999999998</v>
      </c>
      <c r="I107" s="66">
        <f t="shared" si="1"/>
        <v>12.05</v>
      </c>
      <c r="J107" s="66">
        <f t="shared" si="1"/>
        <v>3.31</v>
      </c>
      <c r="K107" s="66">
        <f t="shared" si="1"/>
        <v>359.78</v>
      </c>
      <c r="L107" s="66">
        <f t="shared" si="1"/>
        <v>37.14</v>
      </c>
      <c r="M107" s="66">
        <f t="shared" si="1"/>
        <v>98.38</v>
      </c>
      <c r="N107" s="66">
        <f t="shared" si="1"/>
        <v>981.9</v>
      </c>
      <c r="O107" s="66">
        <f t="shared" si="1"/>
        <v>5.2</v>
      </c>
      <c r="P107" s="66">
        <f t="shared" si="1"/>
        <v>0.61</v>
      </c>
      <c r="Q107" s="66">
        <f t="shared" si="1"/>
        <v>9.4700000000000006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8.2003125000000026</v>
      </c>
      <c r="C108" s="67">
        <f t="shared" ref="C108:Q108" si="2">AVERAGE(C9:C104)</f>
        <v>3.2270833333333333</v>
      </c>
      <c r="D108" s="67">
        <f t="shared" si="2"/>
        <v>12.035520833333338</v>
      </c>
      <c r="E108" s="67">
        <f t="shared" si="2"/>
        <v>5.7297872340425533</v>
      </c>
      <c r="F108" s="67">
        <f t="shared" si="2"/>
        <v>4.9357291666666674</v>
      </c>
      <c r="G108" s="67">
        <f t="shared" si="2"/>
        <v>41.305161290322609</v>
      </c>
      <c r="H108" s="67">
        <f t="shared" si="2"/>
        <v>13.184946236559146</v>
      </c>
      <c r="I108" s="67">
        <f t="shared" si="2"/>
        <v>5.6883333333333326</v>
      </c>
      <c r="J108" s="67">
        <f t="shared" si="2"/>
        <v>0.75916666666666677</v>
      </c>
      <c r="K108" s="67">
        <f t="shared" si="2"/>
        <v>180.08833333333337</v>
      </c>
      <c r="L108" s="67">
        <f t="shared" si="2"/>
        <v>27.791666666666671</v>
      </c>
      <c r="M108" s="67">
        <f t="shared" si="2"/>
        <v>77.020520833333364</v>
      </c>
      <c r="N108" s="67">
        <f t="shared" si="2"/>
        <v>201.49479166666654</v>
      </c>
      <c r="O108" s="67">
        <f t="shared" si="2"/>
        <v>9.7916666666666638E-2</v>
      </c>
      <c r="P108" s="67">
        <f t="shared" si="2"/>
        <v>0.40583333333333332</v>
      </c>
      <c r="Q108" s="67">
        <f t="shared" si="2"/>
        <v>9.389270833333331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0.11256299405923309</v>
      </c>
      <c r="C109" s="67">
        <f t="shared" ref="C109:Q109" si="3">STDEV(C9:C104)</f>
        <v>0.14578944201659039</v>
      </c>
      <c r="D109" s="67">
        <f t="shared" si="3"/>
        <v>0.14017935722845365</v>
      </c>
      <c r="E109" s="67">
        <f t="shared" si="3"/>
        <v>8.6883511160365892</v>
      </c>
      <c r="F109" s="67">
        <f t="shared" si="3"/>
        <v>2.4626522906867208</v>
      </c>
      <c r="G109" s="67">
        <f t="shared" si="3"/>
        <v>17.99058253720672</v>
      </c>
      <c r="H109" s="67">
        <f t="shared" si="3"/>
        <v>3.4164803983478822</v>
      </c>
      <c r="I109" s="67">
        <f t="shared" si="3"/>
        <v>1.7798472238793113</v>
      </c>
      <c r="J109" s="67">
        <f t="shared" si="3"/>
        <v>0.62946705388751301</v>
      </c>
      <c r="K109" s="67">
        <f t="shared" si="3"/>
        <v>97.624311948964547</v>
      </c>
      <c r="L109" s="67">
        <f t="shared" si="3"/>
        <v>4.2469428426542564</v>
      </c>
      <c r="M109" s="67">
        <f t="shared" si="3"/>
        <v>18.538066405147546</v>
      </c>
      <c r="N109" s="67">
        <f t="shared" si="3"/>
        <v>273.65206967195707</v>
      </c>
      <c r="O109" s="67">
        <f t="shared" si="3"/>
        <v>0.54906219888607699</v>
      </c>
      <c r="P109" s="67">
        <f t="shared" si="3"/>
        <v>8.6178110136314115E-2</v>
      </c>
      <c r="Q109" s="67">
        <f t="shared" si="3"/>
        <v>4.2083745872565401E-2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COUNT(E9:E104)+2</f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2745</v>
      </c>
      <c r="B9" s="64">
        <v>8.17</v>
      </c>
      <c r="C9" s="64">
        <v>3.1</v>
      </c>
      <c r="D9" s="64">
        <v>11.94</v>
      </c>
      <c r="E9" s="64">
        <v>4.21</v>
      </c>
      <c r="F9" s="64">
        <v>4.5999999999999996</v>
      </c>
      <c r="G9" s="64">
        <v>19.2</v>
      </c>
      <c r="H9" s="64">
        <v>6.31</v>
      </c>
      <c r="I9" s="64">
        <v>4.71</v>
      </c>
      <c r="J9" s="64">
        <v>1.06</v>
      </c>
      <c r="K9" s="64">
        <v>93.63</v>
      </c>
      <c r="L9" s="64">
        <v>24</v>
      </c>
      <c r="M9" s="64">
        <v>98.34</v>
      </c>
      <c r="N9" s="64">
        <v>18.899999999999999</v>
      </c>
      <c r="O9" s="64">
        <v>0</v>
      </c>
      <c r="P9" s="64">
        <v>0.36</v>
      </c>
      <c r="Q9" s="64">
        <v>9.35</v>
      </c>
      <c r="R9" s="198"/>
      <c r="S9" s="198"/>
      <c r="T9" s="198"/>
      <c r="U9" s="198"/>
    </row>
    <row r="10" spans="1:21" s="12" customFormat="1" x14ac:dyDescent="0.25">
      <c r="A10" s="214" t="s">
        <v>2746</v>
      </c>
      <c r="B10" s="64">
        <v>8.16</v>
      </c>
      <c r="C10" s="64">
        <v>3.11</v>
      </c>
      <c r="D10" s="64">
        <v>11.94</v>
      </c>
      <c r="E10" s="64">
        <v>4.28</v>
      </c>
      <c r="F10" s="64">
        <v>3.36</v>
      </c>
      <c r="G10" s="64">
        <v>19.2</v>
      </c>
      <c r="H10" s="64">
        <v>6.31</v>
      </c>
      <c r="I10" s="64">
        <v>4.74</v>
      </c>
      <c r="J10" s="64">
        <v>0.8</v>
      </c>
      <c r="K10" s="64">
        <v>107.49</v>
      </c>
      <c r="L10" s="64">
        <v>24.16</v>
      </c>
      <c r="M10" s="64">
        <v>98.32</v>
      </c>
      <c r="N10" s="64">
        <v>18.399999999999999</v>
      </c>
      <c r="O10" s="64">
        <v>0</v>
      </c>
      <c r="P10" s="64">
        <v>0.35</v>
      </c>
      <c r="Q10" s="64">
        <v>9.34</v>
      </c>
      <c r="R10" s="198"/>
      <c r="S10" s="198"/>
      <c r="T10" s="198"/>
      <c r="U10" s="198"/>
    </row>
    <row r="11" spans="1:21" s="12" customFormat="1" x14ac:dyDescent="0.25">
      <c r="A11" s="214" t="s">
        <v>2747</v>
      </c>
      <c r="B11" s="64">
        <v>8.14</v>
      </c>
      <c r="C11" s="64">
        <v>3.14</v>
      </c>
      <c r="D11" s="64">
        <v>11.94</v>
      </c>
      <c r="E11" s="64">
        <v>4.3499999999999996</v>
      </c>
      <c r="F11" s="64">
        <v>3.27</v>
      </c>
      <c r="G11" s="64">
        <v>19.37</v>
      </c>
      <c r="H11" s="64">
        <v>7.85</v>
      </c>
      <c r="I11" s="64">
        <v>4.95</v>
      </c>
      <c r="J11" s="64">
        <v>0.34</v>
      </c>
      <c r="K11" s="64">
        <v>168.77</v>
      </c>
      <c r="L11" s="64">
        <v>24.11</v>
      </c>
      <c r="M11" s="64">
        <v>98.33</v>
      </c>
      <c r="N11" s="64">
        <v>18</v>
      </c>
      <c r="O11" s="64">
        <v>0</v>
      </c>
      <c r="P11" s="64">
        <v>0.33</v>
      </c>
      <c r="Q11" s="64">
        <v>9.31</v>
      </c>
      <c r="R11" s="198"/>
      <c r="S11" s="198"/>
      <c r="T11" s="198"/>
      <c r="U11" s="198"/>
    </row>
    <row r="12" spans="1:21" s="12" customFormat="1" x14ac:dyDescent="0.25">
      <c r="A12" s="214" t="s">
        <v>2748</v>
      </c>
      <c r="B12" s="64">
        <v>8.16</v>
      </c>
      <c r="C12" s="64">
        <v>3.14</v>
      </c>
      <c r="D12" s="64">
        <v>11.96</v>
      </c>
      <c r="E12" s="64">
        <v>4.32</v>
      </c>
      <c r="F12" s="64">
        <v>4.21</v>
      </c>
      <c r="G12" s="64">
        <v>19.47</v>
      </c>
      <c r="H12" s="64">
        <v>8.7799999999999994</v>
      </c>
      <c r="I12" s="64">
        <v>5.0999999999999996</v>
      </c>
      <c r="J12" s="64">
        <v>0.65</v>
      </c>
      <c r="K12" s="64">
        <v>90.56</v>
      </c>
      <c r="L12" s="64">
        <v>23.9</v>
      </c>
      <c r="M12" s="64">
        <v>98.35</v>
      </c>
      <c r="N12" s="64">
        <v>17.899999999999999</v>
      </c>
      <c r="O12" s="64">
        <v>0.2</v>
      </c>
      <c r="P12" s="64">
        <v>0.33</v>
      </c>
      <c r="Q12" s="64">
        <v>9.34</v>
      </c>
      <c r="R12" s="198"/>
      <c r="S12" s="198"/>
      <c r="T12" s="198"/>
      <c r="U12" s="198"/>
    </row>
    <row r="13" spans="1:21" s="12" customFormat="1" x14ac:dyDescent="0.25">
      <c r="A13" s="214" t="s">
        <v>2749</v>
      </c>
      <c r="B13" s="64">
        <v>8.11</v>
      </c>
      <c r="C13" s="64">
        <v>3.06</v>
      </c>
      <c r="D13" s="64">
        <v>11.88</v>
      </c>
      <c r="E13" s="64">
        <v>4.12</v>
      </c>
      <c r="F13" s="64">
        <v>3.74</v>
      </c>
      <c r="G13" s="64">
        <v>19.47</v>
      </c>
      <c r="H13" s="64">
        <v>8.7799999999999994</v>
      </c>
      <c r="I13" s="64">
        <v>4.96</v>
      </c>
      <c r="J13" s="64">
        <v>0.76</v>
      </c>
      <c r="K13" s="64">
        <v>167.15</v>
      </c>
      <c r="L13" s="64">
        <v>23.83</v>
      </c>
      <c r="M13" s="64">
        <v>98.35</v>
      </c>
      <c r="N13" s="64">
        <v>17.899999999999999</v>
      </c>
      <c r="O13" s="64">
        <v>0</v>
      </c>
      <c r="P13" s="64">
        <v>0.33</v>
      </c>
      <c r="Q13" s="64">
        <v>9.3699999999999992</v>
      </c>
      <c r="R13" s="198"/>
      <c r="S13" s="198"/>
      <c r="T13" s="198"/>
      <c r="U13" s="198"/>
    </row>
    <row r="14" spans="1:21" s="12" customFormat="1" x14ac:dyDescent="0.25">
      <c r="A14" s="214" t="s">
        <v>2750</v>
      </c>
      <c r="B14" s="64">
        <v>8.16</v>
      </c>
      <c r="C14" s="64">
        <v>3.22</v>
      </c>
      <c r="D14" s="64">
        <v>12</v>
      </c>
      <c r="E14" s="64">
        <v>4.68</v>
      </c>
      <c r="F14" s="64">
        <v>2.38</v>
      </c>
      <c r="G14" s="64">
        <v>19.47</v>
      </c>
      <c r="H14" s="64">
        <v>8.7799999999999994</v>
      </c>
      <c r="I14" s="64">
        <v>4.88</v>
      </c>
      <c r="J14" s="64">
        <v>0.79</v>
      </c>
      <c r="K14" s="64">
        <v>166.45</v>
      </c>
      <c r="L14" s="64">
        <v>23.81</v>
      </c>
      <c r="M14" s="64">
        <v>98.35</v>
      </c>
      <c r="N14" s="64">
        <v>18.2</v>
      </c>
      <c r="O14" s="64">
        <v>0</v>
      </c>
      <c r="P14" s="64">
        <v>0.34</v>
      </c>
      <c r="Q14" s="64">
        <v>9.33</v>
      </c>
      <c r="R14" s="198"/>
      <c r="S14" s="198"/>
      <c r="T14" s="198"/>
      <c r="U14" s="198"/>
    </row>
    <row r="15" spans="1:21" s="12" customFormat="1" x14ac:dyDescent="0.25">
      <c r="A15" s="214" t="s">
        <v>2751</v>
      </c>
      <c r="B15" s="64">
        <v>8.23</v>
      </c>
      <c r="C15" s="64">
        <v>3.25</v>
      </c>
      <c r="D15" s="64">
        <v>12.07</v>
      </c>
      <c r="E15" s="64">
        <v>4.2300000000000004</v>
      </c>
      <c r="F15" s="64">
        <v>3.89</v>
      </c>
      <c r="G15" s="64">
        <v>16.11</v>
      </c>
      <c r="H15" s="64">
        <v>7.34</v>
      </c>
      <c r="I15" s="64">
        <v>4.8</v>
      </c>
      <c r="J15" s="64">
        <v>0.62</v>
      </c>
      <c r="K15" s="64">
        <v>165.57</v>
      </c>
      <c r="L15" s="64">
        <v>23.88</v>
      </c>
      <c r="M15" s="64">
        <v>98.33</v>
      </c>
      <c r="N15" s="64">
        <v>18.7</v>
      </c>
      <c r="O15" s="64">
        <v>0</v>
      </c>
      <c r="P15" s="64">
        <v>0.33</v>
      </c>
      <c r="Q15" s="64">
        <v>9.33</v>
      </c>
      <c r="R15" s="198"/>
      <c r="S15" s="198"/>
      <c r="T15" s="198"/>
      <c r="U15" s="198"/>
    </row>
    <row r="16" spans="1:21" s="12" customFormat="1" x14ac:dyDescent="0.25">
      <c r="A16" s="214" t="s">
        <v>2752</v>
      </c>
      <c r="B16" s="64">
        <v>8.24</v>
      </c>
      <c r="C16" s="64">
        <v>3.21</v>
      </c>
      <c r="D16" s="64">
        <v>12.06</v>
      </c>
      <c r="E16" s="64">
        <v>4.53</v>
      </c>
      <c r="F16" s="64">
        <v>3.64</v>
      </c>
      <c r="G16" s="64">
        <v>13.98</v>
      </c>
      <c r="H16" s="64">
        <v>6.42</v>
      </c>
      <c r="I16" s="64">
        <v>4.76</v>
      </c>
      <c r="J16" s="64">
        <v>0.73</v>
      </c>
      <c r="K16" s="64">
        <v>158.97999999999999</v>
      </c>
      <c r="L16" s="64">
        <v>23.82</v>
      </c>
      <c r="M16" s="64">
        <v>98.3</v>
      </c>
      <c r="N16" s="64">
        <v>18.600000000000001</v>
      </c>
      <c r="O16" s="64">
        <v>0</v>
      </c>
      <c r="P16" s="64">
        <v>0.33</v>
      </c>
      <c r="Q16" s="64">
        <v>9.33</v>
      </c>
      <c r="R16" s="198"/>
      <c r="S16" s="198"/>
      <c r="T16" s="198"/>
      <c r="U16" s="198"/>
    </row>
    <row r="17" spans="1:21" s="12" customFormat="1" x14ac:dyDescent="0.25">
      <c r="A17" s="214" t="s">
        <v>2753</v>
      </c>
      <c r="B17" s="64">
        <v>8.19</v>
      </c>
      <c r="C17" s="64">
        <v>3.17</v>
      </c>
      <c r="D17" s="64">
        <v>12</v>
      </c>
      <c r="E17" s="64">
        <v>4.6900000000000004</v>
      </c>
      <c r="F17" s="64">
        <v>3.49</v>
      </c>
      <c r="G17" s="64">
        <v>13.98</v>
      </c>
      <c r="H17" s="64">
        <v>6.42</v>
      </c>
      <c r="I17" s="64">
        <v>4.8099999999999996</v>
      </c>
      <c r="J17" s="64">
        <v>1.1599999999999999</v>
      </c>
      <c r="K17" s="64">
        <v>151.69</v>
      </c>
      <c r="L17" s="64">
        <v>23.8</v>
      </c>
      <c r="M17" s="64">
        <v>98.3</v>
      </c>
      <c r="N17" s="64">
        <v>18.7</v>
      </c>
      <c r="O17" s="64">
        <v>0</v>
      </c>
      <c r="P17" s="64">
        <v>0.33</v>
      </c>
      <c r="Q17" s="64">
        <v>9.34</v>
      </c>
      <c r="R17" s="198"/>
      <c r="S17" s="198"/>
      <c r="T17" s="198"/>
      <c r="U17" s="198"/>
    </row>
    <row r="18" spans="1:21" s="12" customFormat="1" x14ac:dyDescent="0.25">
      <c r="A18" s="214" t="s">
        <v>2754</v>
      </c>
      <c r="B18" s="64">
        <v>8.18</v>
      </c>
      <c r="C18" s="64">
        <v>3.07</v>
      </c>
      <c r="D18" s="64">
        <v>11.93</v>
      </c>
      <c r="E18" s="64">
        <v>4.57</v>
      </c>
      <c r="F18" s="64">
        <v>3.27</v>
      </c>
      <c r="G18" s="64">
        <v>13.98</v>
      </c>
      <c r="H18" s="64">
        <v>6.42</v>
      </c>
      <c r="I18" s="64">
        <v>4.8600000000000003</v>
      </c>
      <c r="J18" s="64">
        <v>0.34</v>
      </c>
      <c r="K18" s="64">
        <v>123.66</v>
      </c>
      <c r="L18" s="64">
        <v>23.77</v>
      </c>
      <c r="M18" s="64">
        <v>98.3</v>
      </c>
      <c r="N18" s="64">
        <v>18.600000000000001</v>
      </c>
      <c r="O18" s="64">
        <v>0</v>
      </c>
      <c r="P18" s="64">
        <v>0.33</v>
      </c>
      <c r="Q18" s="64">
        <v>9.33</v>
      </c>
      <c r="R18" s="198"/>
      <c r="S18" s="198"/>
      <c r="T18" s="198"/>
      <c r="U18" s="198"/>
    </row>
    <row r="19" spans="1:21" s="12" customFormat="1" x14ac:dyDescent="0.25">
      <c r="A19" s="214" t="s">
        <v>2755</v>
      </c>
      <c r="B19" s="64">
        <v>8.19</v>
      </c>
      <c r="C19" s="64">
        <v>3.09</v>
      </c>
      <c r="D19" s="64">
        <v>11.95</v>
      </c>
      <c r="E19" s="64">
        <v>4.3499999999999996</v>
      </c>
      <c r="F19" s="64">
        <v>3.48</v>
      </c>
      <c r="G19" s="64">
        <v>13.38</v>
      </c>
      <c r="H19" s="64">
        <v>5.99</v>
      </c>
      <c r="I19" s="64">
        <v>4.91</v>
      </c>
      <c r="J19" s="64">
        <v>0.48</v>
      </c>
      <c r="K19" s="64">
        <v>3.1</v>
      </c>
      <c r="L19" s="64">
        <v>23.63</v>
      </c>
      <c r="M19" s="64">
        <v>98.31</v>
      </c>
      <c r="N19" s="64">
        <v>18.3</v>
      </c>
      <c r="O19" s="64">
        <v>0</v>
      </c>
      <c r="P19" s="64">
        <v>0.32</v>
      </c>
      <c r="Q19" s="64">
        <v>9.33</v>
      </c>
      <c r="R19" s="198"/>
      <c r="S19" s="198"/>
      <c r="T19" s="198"/>
      <c r="U19" s="198"/>
    </row>
    <row r="20" spans="1:21" s="12" customFormat="1" x14ac:dyDescent="0.25">
      <c r="A20" s="214" t="s">
        <v>2756</v>
      </c>
      <c r="B20" s="64">
        <v>8.24</v>
      </c>
      <c r="C20" s="64">
        <v>3.13</v>
      </c>
      <c r="D20" s="64">
        <v>12.02</v>
      </c>
      <c r="E20" s="64">
        <v>4.16</v>
      </c>
      <c r="F20" s="64">
        <v>3.87</v>
      </c>
      <c r="G20" s="64">
        <v>13</v>
      </c>
      <c r="H20" s="64">
        <v>5.71</v>
      </c>
      <c r="I20" s="64">
        <v>4.96</v>
      </c>
      <c r="J20" s="64">
        <v>0.18</v>
      </c>
      <c r="K20" s="64">
        <v>190.56</v>
      </c>
      <c r="L20" s="64">
        <v>23.51</v>
      </c>
      <c r="M20" s="64">
        <v>98.31</v>
      </c>
      <c r="N20" s="64">
        <v>18.100000000000001</v>
      </c>
      <c r="O20" s="64">
        <v>0</v>
      </c>
      <c r="P20" s="64">
        <v>0.32</v>
      </c>
      <c r="Q20" s="64">
        <v>9.35</v>
      </c>
      <c r="R20" s="198"/>
      <c r="S20" s="198"/>
      <c r="T20" s="198"/>
      <c r="U20" s="198"/>
    </row>
    <row r="21" spans="1:21" s="12" customFormat="1" x14ac:dyDescent="0.25">
      <c r="A21" s="214" t="s">
        <v>2757</v>
      </c>
      <c r="B21" s="64">
        <v>8.1999999999999993</v>
      </c>
      <c r="C21" s="64">
        <v>3.18</v>
      </c>
      <c r="D21" s="64">
        <v>12.01</v>
      </c>
      <c r="E21" s="64">
        <v>4.2300000000000004</v>
      </c>
      <c r="F21" s="64">
        <v>4.46</v>
      </c>
      <c r="G21" s="64">
        <v>13</v>
      </c>
      <c r="H21" s="64">
        <v>5.71</v>
      </c>
      <c r="I21" s="64">
        <v>4.96</v>
      </c>
      <c r="J21" s="64">
        <v>0.24</v>
      </c>
      <c r="K21" s="64">
        <v>171.51</v>
      </c>
      <c r="L21" s="64">
        <v>23.43</v>
      </c>
      <c r="M21" s="64">
        <v>98.32</v>
      </c>
      <c r="N21" s="64">
        <v>18</v>
      </c>
      <c r="O21" s="64">
        <v>0</v>
      </c>
      <c r="P21" s="64">
        <v>0.31</v>
      </c>
      <c r="Q21" s="64">
        <v>9.33</v>
      </c>
      <c r="R21" s="198"/>
      <c r="S21" s="198"/>
      <c r="T21" s="198"/>
      <c r="U21" s="198"/>
    </row>
    <row r="22" spans="1:21" s="12" customFormat="1" x14ac:dyDescent="0.25">
      <c r="A22" s="214" t="s">
        <v>2758</v>
      </c>
      <c r="B22" s="64">
        <v>8.15</v>
      </c>
      <c r="C22" s="64">
        <v>3.11</v>
      </c>
      <c r="D22" s="64">
        <v>11.93</v>
      </c>
      <c r="E22" s="64">
        <v>4.51</v>
      </c>
      <c r="F22" s="64">
        <v>3.76</v>
      </c>
      <c r="G22" s="64">
        <v>13</v>
      </c>
      <c r="H22" s="64">
        <v>5.71</v>
      </c>
      <c r="I22" s="64">
        <v>4.9800000000000004</v>
      </c>
      <c r="J22" s="64">
        <v>0.26</v>
      </c>
      <c r="K22" s="64">
        <v>14.57</v>
      </c>
      <c r="L22" s="64">
        <v>23.34</v>
      </c>
      <c r="M22" s="64">
        <v>98.33</v>
      </c>
      <c r="N22" s="64">
        <v>18.100000000000001</v>
      </c>
      <c r="O22" s="64">
        <v>0</v>
      </c>
      <c r="P22" s="64">
        <v>0.31</v>
      </c>
      <c r="Q22" s="64">
        <v>9.32</v>
      </c>
      <c r="R22" s="198"/>
      <c r="S22" s="198"/>
      <c r="T22" s="198"/>
      <c r="U22" s="198"/>
    </row>
    <row r="23" spans="1:21" s="12" customFormat="1" x14ac:dyDescent="0.25">
      <c r="A23" s="214" t="s">
        <v>2759</v>
      </c>
      <c r="B23" s="64">
        <v>8.1300000000000008</v>
      </c>
      <c r="C23" s="64">
        <v>3.08</v>
      </c>
      <c r="D23" s="64">
        <v>11.9</v>
      </c>
      <c r="E23" s="64">
        <v>3.2</v>
      </c>
      <c r="F23" s="64">
        <v>3.54</v>
      </c>
      <c r="G23" s="64">
        <v>12.73</v>
      </c>
      <c r="H23" s="64">
        <v>4.8600000000000003</v>
      </c>
      <c r="I23" s="64">
        <v>4.95</v>
      </c>
      <c r="J23" s="64">
        <v>0.55000000000000004</v>
      </c>
      <c r="K23" s="64">
        <v>113.42</v>
      </c>
      <c r="L23" s="64">
        <v>23.29</v>
      </c>
      <c r="M23" s="64">
        <v>98.33</v>
      </c>
      <c r="N23" s="64">
        <v>17.8</v>
      </c>
      <c r="O23" s="64">
        <v>0</v>
      </c>
      <c r="P23" s="64">
        <v>0.3</v>
      </c>
      <c r="Q23" s="64">
        <v>9.31</v>
      </c>
      <c r="R23" s="198"/>
      <c r="S23" s="198"/>
      <c r="T23" s="198"/>
      <c r="U23" s="198"/>
    </row>
    <row r="24" spans="1:21" s="12" customFormat="1" x14ac:dyDescent="0.25">
      <c r="A24" s="214" t="s">
        <v>2760</v>
      </c>
      <c r="B24" s="64">
        <v>8.16</v>
      </c>
      <c r="C24" s="64">
        <v>3.15</v>
      </c>
      <c r="D24" s="64">
        <v>11.97</v>
      </c>
      <c r="E24" s="64">
        <v>4.63</v>
      </c>
      <c r="F24" s="64">
        <v>4.1900000000000004</v>
      </c>
      <c r="G24" s="64">
        <v>12.56</v>
      </c>
      <c r="H24" s="64">
        <v>4.32</v>
      </c>
      <c r="I24" s="64">
        <v>4.79</v>
      </c>
      <c r="J24" s="64">
        <v>0.35</v>
      </c>
      <c r="K24" s="64">
        <v>173.16</v>
      </c>
      <c r="L24" s="64">
        <v>23.44</v>
      </c>
      <c r="M24" s="64">
        <v>98.33</v>
      </c>
      <c r="N24" s="64">
        <v>17.8</v>
      </c>
      <c r="O24" s="64">
        <v>0</v>
      </c>
      <c r="P24" s="64">
        <v>0.3</v>
      </c>
      <c r="Q24" s="64">
        <v>9.3000000000000007</v>
      </c>
      <c r="R24" s="198"/>
      <c r="S24" s="198"/>
      <c r="T24" s="198"/>
      <c r="U24" s="198"/>
    </row>
    <row r="25" spans="1:21" s="12" customFormat="1" x14ac:dyDescent="0.25">
      <c r="A25" s="214" t="s">
        <v>2761</v>
      </c>
      <c r="B25" s="64">
        <v>8.25</v>
      </c>
      <c r="C25" s="64">
        <v>3.38</v>
      </c>
      <c r="D25" s="64">
        <v>12.16</v>
      </c>
      <c r="E25" s="64">
        <v>6.15</v>
      </c>
      <c r="F25" s="64">
        <v>2.93</v>
      </c>
      <c r="G25" s="64">
        <v>12.56</v>
      </c>
      <c r="H25" s="64">
        <v>4.32</v>
      </c>
      <c r="I25" s="64">
        <v>4.67</v>
      </c>
      <c r="J25" s="64">
        <v>0.14000000000000001</v>
      </c>
      <c r="K25" s="64">
        <v>309.08999999999997</v>
      </c>
      <c r="L25" s="64">
        <v>23.53</v>
      </c>
      <c r="M25" s="64">
        <v>98.33</v>
      </c>
      <c r="N25" s="64">
        <v>18</v>
      </c>
      <c r="O25" s="64">
        <v>0</v>
      </c>
      <c r="P25" s="64">
        <v>0.28999999999999998</v>
      </c>
      <c r="Q25" s="64">
        <v>9.2799999999999994</v>
      </c>
      <c r="R25" s="198"/>
      <c r="S25" s="198"/>
      <c r="T25" s="198"/>
      <c r="U25" s="198"/>
    </row>
    <row r="26" spans="1:21" s="12" customFormat="1" x14ac:dyDescent="0.25">
      <c r="A26" s="214" t="s">
        <v>2762</v>
      </c>
      <c r="B26" s="64">
        <v>8.23</v>
      </c>
      <c r="C26" s="64">
        <v>3.27</v>
      </c>
      <c r="D26" s="64">
        <v>12.08</v>
      </c>
      <c r="E26" s="64">
        <v>5.74</v>
      </c>
      <c r="F26" s="64">
        <v>3.58</v>
      </c>
      <c r="G26" s="64">
        <v>12.56</v>
      </c>
      <c r="H26" s="64">
        <v>4.32</v>
      </c>
      <c r="I26" s="64">
        <v>4.58</v>
      </c>
      <c r="J26" s="64">
        <v>0.15</v>
      </c>
      <c r="K26" s="64">
        <v>188.86</v>
      </c>
      <c r="L26" s="64">
        <v>23.49</v>
      </c>
      <c r="M26" s="64">
        <v>98.32</v>
      </c>
      <c r="N26" s="64">
        <v>18</v>
      </c>
      <c r="O26" s="64">
        <v>0</v>
      </c>
      <c r="P26" s="64">
        <v>0.28000000000000003</v>
      </c>
      <c r="Q26" s="64">
        <v>9.3000000000000007</v>
      </c>
      <c r="R26" s="198"/>
      <c r="S26" s="198"/>
      <c r="T26" s="198"/>
      <c r="U26" s="198"/>
    </row>
    <row r="27" spans="1:21" s="12" customFormat="1" x14ac:dyDescent="0.25">
      <c r="A27" s="214" t="s">
        <v>2763</v>
      </c>
      <c r="B27" s="64">
        <v>8.14</v>
      </c>
      <c r="C27" s="64">
        <v>3.12</v>
      </c>
      <c r="D27" s="64">
        <v>11.93</v>
      </c>
      <c r="E27" s="64">
        <v>5.81</v>
      </c>
      <c r="F27" s="64">
        <v>4.71</v>
      </c>
      <c r="G27" s="64">
        <v>11.76</v>
      </c>
      <c r="H27" s="64">
        <v>4.8499999999999996</v>
      </c>
      <c r="I27" s="64">
        <v>4.4400000000000004</v>
      </c>
      <c r="J27" s="64">
        <v>0.12</v>
      </c>
      <c r="K27" s="64">
        <v>80.09</v>
      </c>
      <c r="L27" s="64">
        <v>23.52</v>
      </c>
      <c r="M27" s="64">
        <v>98.32</v>
      </c>
      <c r="N27" s="64">
        <v>17.8</v>
      </c>
      <c r="O27" s="64">
        <v>0</v>
      </c>
      <c r="P27" s="64">
        <v>0.28000000000000003</v>
      </c>
      <c r="Q27" s="64">
        <v>9.33</v>
      </c>
      <c r="R27" s="198"/>
      <c r="S27" s="198"/>
      <c r="T27" s="198"/>
      <c r="U27" s="198"/>
    </row>
    <row r="28" spans="1:21" s="12" customFormat="1" x14ac:dyDescent="0.25">
      <c r="A28" s="214" t="s">
        <v>2764</v>
      </c>
      <c r="B28" s="64">
        <v>8.15</v>
      </c>
      <c r="C28" s="64">
        <v>3.15</v>
      </c>
      <c r="D28" s="64">
        <v>11.95</v>
      </c>
      <c r="E28" s="64">
        <v>5.84</v>
      </c>
      <c r="F28" s="64">
        <v>2.93</v>
      </c>
      <c r="G28" s="64">
        <v>11.25</v>
      </c>
      <c r="H28" s="64">
        <v>5.19</v>
      </c>
      <c r="I28" s="64">
        <v>4.3099999999999996</v>
      </c>
      <c r="J28" s="64">
        <v>0.2</v>
      </c>
      <c r="K28" s="64">
        <v>337.43</v>
      </c>
      <c r="L28" s="64">
        <v>23.52</v>
      </c>
      <c r="M28" s="64">
        <v>98.33</v>
      </c>
      <c r="N28" s="64">
        <v>17.899999999999999</v>
      </c>
      <c r="O28" s="64">
        <v>0</v>
      </c>
      <c r="P28" s="64">
        <v>0.28999999999999998</v>
      </c>
      <c r="Q28" s="64">
        <v>9.32</v>
      </c>
      <c r="R28" s="198"/>
      <c r="S28" s="198"/>
      <c r="T28" s="198"/>
      <c r="U28" s="198"/>
    </row>
    <row r="29" spans="1:21" s="12" customFormat="1" x14ac:dyDescent="0.25">
      <c r="A29" s="214" t="s">
        <v>2765</v>
      </c>
      <c r="B29" s="64">
        <v>8.17</v>
      </c>
      <c r="C29" s="64">
        <v>3.17</v>
      </c>
      <c r="D29" s="64">
        <v>11.98</v>
      </c>
      <c r="E29" s="64">
        <v>6.31</v>
      </c>
      <c r="F29" s="64">
        <v>3.01</v>
      </c>
      <c r="G29" s="64">
        <v>11.25</v>
      </c>
      <c r="H29" s="64">
        <v>5.19</v>
      </c>
      <c r="I29" s="64">
        <v>4.25</v>
      </c>
      <c r="J29" s="64">
        <v>0.22</v>
      </c>
      <c r="K29" s="64">
        <v>62.26</v>
      </c>
      <c r="L29" s="64">
        <v>23.4</v>
      </c>
      <c r="M29" s="64">
        <v>98.35</v>
      </c>
      <c r="N29" s="64">
        <v>20.3</v>
      </c>
      <c r="O29" s="64">
        <v>0</v>
      </c>
      <c r="P29" s="64">
        <v>0.28000000000000003</v>
      </c>
      <c r="Q29" s="64">
        <v>9.3000000000000007</v>
      </c>
      <c r="R29" s="198"/>
      <c r="S29" s="198"/>
      <c r="T29" s="198"/>
      <c r="U29" s="198"/>
    </row>
    <row r="30" spans="1:21" s="12" customFormat="1" x14ac:dyDescent="0.25">
      <c r="A30" s="214" t="s">
        <v>2766</v>
      </c>
      <c r="B30" s="64">
        <v>8.33</v>
      </c>
      <c r="C30" s="64">
        <v>3.56</v>
      </c>
      <c r="D30" s="64">
        <v>12.32</v>
      </c>
      <c r="E30" s="64">
        <v>5.67</v>
      </c>
      <c r="F30" s="64">
        <v>3.69</v>
      </c>
      <c r="G30" s="64">
        <v>11.25</v>
      </c>
      <c r="H30" s="64">
        <v>5.19</v>
      </c>
      <c r="I30" s="64">
        <v>4.1900000000000004</v>
      </c>
      <c r="J30" s="64">
        <v>0.55000000000000004</v>
      </c>
      <c r="K30" s="64">
        <v>196.32</v>
      </c>
      <c r="L30" s="64">
        <v>23.46</v>
      </c>
      <c r="M30" s="64">
        <v>98.35</v>
      </c>
      <c r="N30" s="64">
        <v>26.9</v>
      </c>
      <c r="O30" s="64">
        <v>0</v>
      </c>
      <c r="P30" s="64">
        <v>0.28999999999999998</v>
      </c>
      <c r="Q30" s="64">
        <v>9.32</v>
      </c>
      <c r="R30" s="198"/>
      <c r="S30" s="198"/>
      <c r="T30" s="198"/>
      <c r="U30" s="198"/>
    </row>
    <row r="31" spans="1:21" s="12" customFormat="1" x14ac:dyDescent="0.25">
      <c r="A31" s="214" t="s">
        <v>2767</v>
      </c>
      <c r="B31" s="64">
        <v>8.19</v>
      </c>
      <c r="C31" s="64">
        <v>3.19</v>
      </c>
      <c r="D31" s="64">
        <v>12.01</v>
      </c>
      <c r="E31" s="64">
        <v>5.86</v>
      </c>
      <c r="F31" s="64">
        <v>3.21</v>
      </c>
      <c r="G31" s="64">
        <v>15.45</v>
      </c>
      <c r="H31" s="64">
        <v>4.3499999999999996</v>
      </c>
      <c r="I31" s="64">
        <v>4.08</v>
      </c>
      <c r="J31" s="64">
        <v>0.79</v>
      </c>
      <c r="K31" s="64">
        <v>99.42</v>
      </c>
      <c r="L31" s="64">
        <v>23.75</v>
      </c>
      <c r="M31" s="64">
        <v>98.35</v>
      </c>
      <c r="N31" s="64">
        <v>46.1</v>
      </c>
      <c r="O31" s="64">
        <v>0</v>
      </c>
      <c r="P31" s="64">
        <v>0.3</v>
      </c>
      <c r="Q31" s="64">
        <v>9.35</v>
      </c>
      <c r="R31" s="198"/>
      <c r="S31" s="198"/>
      <c r="T31" s="198"/>
      <c r="U31" s="198"/>
    </row>
    <row r="32" spans="1:21" s="12" customFormat="1" x14ac:dyDescent="0.25">
      <c r="A32" s="214" t="s">
        <v>2768</v>
      </c>
      <c r="B32" s="64">
        <v>8.1999999999999993</v>
      </c>
      <c r="C32" s="64">
        <v>3.15</v>
      </c>
      <c r="D32" s="64">
        <v>11.99</v>
      </c>
      <c r="E32" s="64">
        <v>5.76</v>
      </c>
      <c r="F32" s="64">
        <v>2.5099999999999998</v>
      </c>
      <c r="G32" s="64">
        <v>18.11</v>
      </c>
      <c r="H32" s="64">
        <v>3.82</v>
      </c>
      <c r="I32" s="64">
        <v>4.04</v>
      </c>
      <c r="J32" s="64">
        <v>0.79</v>
      </c>
      <c r="K32" s="64">
        <v>103.95</v>
      </c>
      <c r="L32" s="64">
        <v>23.86</v>
      </c>
      <c r="M32" s="64">
        <v>98.35</v>
      </c>
      <c r="N32" s="64">
        <v>69.3</v>
      </c>
      <c r="O32" s="64">
        <v>0</v>
      </c>
      <c r="P32" s="64">
        <v>0.28000000000000003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14" t="s">
        <v>2769</v>
      </c>
      <c r="B33" s="64">
        <v>8.1999999999999993</v>
      </c>
      <c r="C33" s="64">
        <v>3.2</v>
      </c>
      <c r="D33" s="64">
        <v>12.02</v>
      </c>
      <c r="E33" s="64">
        <v>5.82</v>
      </c>
      <c r="F33" s="64">
        <v>3.54</v>
      </c>
      <c r="G33" s="64">
        <v>18.11</v>
      </c>
      <c r="H33" s="64">
        <v>3.82</v>
      </c>
      <c r="I33" s="64">
        <v>4.1399999999999997</v>
      </c>
      <c r="J33" s="64">
        <v>0.62</v>
      </c>
      <c r="K33" s="64">
        <v>142.03</v>
      </c>
      <c r="L33" s="64">
        <v>24.09</v>
      </c>
      <c r="M33" s="64">
        <v>98.35</v>
      </c>
      <c r="N33" s="64">
        <v>94.9</v>
      </c>
      <c r="O33" s="64">
        <v>0</v>
      </c>
      <c r="P33" s="64">
        <v>0.28000000000000003</v>
      </c>
      <c r="Q33" s="64">
        <v>9.36</v>
      </c>
      <c r="R33" s="198"/>
      <c r="S33" s="198"/>
      <c r="T33" s="198"/>
      <c r="U33" s="198"/>
    </row>
    <row r="34" spans="1:21" s="12" customFormat="1" x14ac:dyDescent="0.25">
      <c r="A34" s="214" t="s">
        <v>2770</v>
      </c>
      <c r="B34" s="64">
        <v>8.16</v>
      </c>
      <c r="C34" s="64">
        <v>3.1</v>
      </c>
      <c r="D34" s="64">
        <v>11.94</v>
      </c>
      <c r="E34" s="64">
        <v>5.65</v>
      </c>
      <c r="F34" s="64">
        <v>3.4</v>
      </c>
      <c r="G34" s="64">
        <v>18.11</v>
      </c>
      <c r="H34" s="64">
        <v>3.82</v>
      </c>
      <c r="I34" s="64">
        <v>4.41</v>
      </c>
      <c r="J34" s="64">
        <v>0.65</v>
      </c>
      <c r="K34" s="64">
        <v>170.82</v>
      </c>
      <c r="L34" s="64">
        <v>24.33</v>
      </c>
      <c r="M34" s="64">
        <v>98.33</v>
      </c>
      <c r="N34" s="64">
        <v>94.8</v>
      </c>
      <c r="O34" s="64">
        <v>0</v>
      </c>
      <c r="P34" s="64">
        <v>0.28000000000000003</v>
      </c>
      <c r="Q34" s="64">
        <v>9.3800000000000008</v>
      </c>
      <c r="R34" s="198"/>
      <c r="S34" s="198"/>
      <c r="T34" s="198"/>
      <c r="U34" s="198"/>
    </row>
    <row r="35" spans="1:21" s="12" customFormat="1" x14ac:dyDescent="0.25">
      <c r="A35" s="214" t="s">
        <v>2771</v>
      </c>
      <c r="B35" s="64">
        <v>8.1999999999999993</v>
      </c>
      <c r="C35" s="64">
        <v>3.12</v>
      </c>
      <c r="D35" s="64">
        <v>11.98</v>
      </c>
      <c r="E35" s="64">
        <v>5.69</v>
      </c>
      <c r="F35" s="64">
        <v>3.31</v>
      </c>
      <c r="G35" s="64">
        <v>19.579999999999998</v>
      </c>
      <c r="H35" s="64">
        <v>6.12</v>
      </c>
      <c r="I35" s="64">
        <v>4.7300000000000004</v>
      </c>
      <c r="J35" s="64">
        <v>0.93</v>
      </c>
      <c r="K35" s="64">
        <v>157.69</v>
      </c>
      <c r="L35" s="64">
        <v>24.54</v>
      </c>
      <c r="M35" s="64">
        <v>98.3</v>
      </c>
      <c r="N35" s="64">
        <v>139.19999999999999</v>
      </c>
      <c r="O35" s="64">
        <v>0</v>
      </c>
      <c r="P35" s="64">
        <v>0.28000000000000003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14" t="s">
        <v>2772</v>
      </c>
      <c r="B36" s="64">
        <v>8.2100000000000009</v>
      </c>
      <c r="C36" s="64">
        <v>3.1</v>
      </c>
      <c r="D36" s="64">
        <v>11.98</v>
      </c>
      <c r="E36" s="64">
        <v>5.9</v>
      </c>
      <c r="F36" s="64">
        <v>3.37</v>
      </c>
      <c r="G36" s="64">
        <v>20.51</v>
      </c>
      <c r="H36" s="64">
        <v>7.59</v>
      </c>
      <c r="I36" s="64">
        <v>4.93</v>
      </c>
      <c r="J36" s="64">
        <v>0.13</v>
      </c>
      <c r="K36" s="64">
        <v>311.27999999999997</v>
      </c>
      <c r="L36" s="64">
        <v>25.26</v>
      </c>
      <c r="M36" s="64">
        <v>96.74</v>
      </c>
      <c r="N36" s="64">
        <v>174.3</v>
      </c>
      <c r="O36" s="64">
        <v>0</v>
      </c>
      <c r="P36" s="64">
        <v>0.28999999999999998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14" t="s">
        <v>2773</v>
      </c>
      <c r="B37" s="64">
        <v>8.2100000000000009</v>
      </c>
      <c r="C37" s="64">
        <v>3.1</v>
      </c>
      <c r="D37" s="64">
        <v>11.98</v>
      </c>
      <c r="E37" s="64">
        <v>5.9</v>
      </c>
      <c r="F37" s="64">
        <v>3.37</v>
      </c>
      <c r="G37" s="64">
        <v>20.51</v>
      </c>
      <c r="H37" s="64">
        <v>7.59</v>
      </c>
      <c r="I37" s="64">
        <v>4.93</v>
      </c>
      <c r="J37" s="64">
        <v>0.13</v>
      </c>
      <c r="K37" s="64">
        <v>311.27999999999997</v>
      </c>
      <c r="L37" s="64">
        <v>25.26</v>
      </c>
      <c r="M37" s="64">
        <v>96.74</v>
      </c>
      <c r="N37" s="64">
        <v>174.3</v>
      </c>
      <c r="O37" s="64">
        <v>0</v>
      </c>
      <c r="P37" s="64">
        <v>0.28999999999999998</v>
      </c>
      <c r="Q37" s="64">
        <v>9.39</v>
      </c>
      <c r="R37" s="198"/>
      <c r="S37" s="198"/>
      <c r="T37" s="198"/>
      <c r="U37" s="198"/>
    </row>
    <row r="38" spans="1:21" s="12" customFormat="1" x14ac:dyDescent="0.25">
      <c r="A38" s="214" t="s">
        <v>2774</v>
      </c>
      <c r="B38" s="64">
        <v>8.2100000000000009</v>
      </c>
      <c r="C38" s="64">
        <v>3.1</v>
      </c>
      <c r="D38" s="64">
        <v>11.98</v>
      </c>
      <c r="E38" s="64">
        <v>5.9</v>
      </c>
      <c r="F38" s="64">
        <v>3.37</v>
      </c>
      <c r="G38" s="64">
        <v>20.51</v>
      </c>
      <c r="H38" s="64">
        <v>7.59</v>
      </c>
      <c r="I38" s="64">
        <v>4.93</v>
      </c>
      <c r="J38" s="64">
        <v>0.13</v>
      </c>
      <c r="K38" s="64">
        <v>311.27999999999997</v>
      </c>
      <c r="L38" s="64">
        <v>25.26</v>
      </c>
      <c r="M38" s="64">
        <v>96.74</v>
      </c>
      <c r="N38" s="64">
        <v>174.3</v>
      </c>
      <c r="O38" s="64">
        <v>0</v>
      </c>
      <c r="P38" s="64">
        <v>0.28999999999999998</v>
      </c>
      <c r="Q38" s="64">
        <v>9.39</v>
      </c>
      <c r="R38" s="198"/>
      <c r="S38" s="198"/>
      <c r="T38" s="198"/>
      <c r="U38" s="198"/>
    </row>
    <row r="39" spans="1:21" s="12" customFormat="1" x14ac:dyDescent="0.25">
      <c r="A39" s="214" t="s">
        <v>2775</v>
      </c>
      <c r="B39" s="64">
        <v>8.2100000000000009</v>
      </c>
      <c r="C39" s="64">
        <v>3.13</v>
      </c>
      <c r="D39" s="64">
        <v>11.99</v>
      </c>
      <c r="E39" s="64">
        <v>5.83</v>
      </c>
      <c r="F39" s="64">
        <v>3.33</v>
      </c>
      <c r="G39" s="64">
        <v>20.440000000000001</v>
      </c>
      <c r="H39" s="64">
        <v>7.06</v>
      </c>
      <c r="I39" s="64">
        <v>5.16</v>
      </c>
      <c r="J39" s="64">
        <v>0.46</v>
      </c>
      <c r="K39" s="64">
        <v>160.68</v>
      </c>
      <c r="L39" s="64">
        <v>25.48</v>
      </c>
      <c r="M39" s="64">
        <v>94.69</v>
      </c>
      <c r="N39" s="64">
        <v>127.4</v>
      </c>
      <c r="O39" s="64">
        <v>0</v>
      </c>
      <c r="P39" s="64">
        <v>0.28000000000000003</v>
      </c>
      <c r="Q39" s="64">
        <v>9.39</v>
      </c>
      <c r="R39" s="198"/>
      <c r="S39" s="198"/>
      <c r="T39" s="198"/>
      <c r="U39" s="198"/>
    </row>
    <row r="40" spans="1:21" s="12" customFormat="1" x14ac:dyDescent="0.25">
      <c r="A40" s="214" t="s">
        <v>2776</v>
      </c>
      <c r="B40" s="64">
        <v>8.17</v>
      </c>
      <c r="C40" s="64">
        <v>3.1</v>
      </c>
      <c r="D40" s="64">
        <v>11.94</v>
      </c>
      <c r="E40" s="64">
        <v>4.24</v>
      </c>
      <c r="F40" s="64">
        <v>4.12</v>
      </c>
      <c r="G40" s="64">
        <v>26.21</v>
      </c>
      <c r="H40" s="64">
        <v>6.51</v>
      </c>
      <c r="I40" s="64">
        <v>5.4</v>
      </c>
      <c r="J40" s="64">
        <v>0.33</v>
      </c>
      <c r="K40" s="64">
        <v>329.57</v>
      </c>
      <c r="L40" s="64">
        <v>25.4</v>
      </c>
      <c r="M40" s="64">
        <v>94.99</v>
      </c>
      <c r="N40" s="64">
        <v>118.1</v>
      </c>
      <c r="O40" s="64">
        <v>0</v>
      </c>
      <c r="P40" s="64">
        <v>0.31</v>
      </c>
      <c r="Q40" s="64">
        <v>9.42</v>
      </c>
      <c r="R40" s="198"/>
      <c r="S40" s="198"/>
      <c r="T40" s="198"/>
      <c r="U40" s="198"/>
    </row>
    <row r="41" spans="1:21" s="12" customFormat="1" x14ac:dyDescent="0.25">
      <c r="A41" s="214" t="s">
        <v>2777</v>
      </c>
      <c r="B41" s="64">
        <v>8.16</v>
      </c>
      <c r="C41" s="64">
        <v>3.15</v>
      </c>
      <c r="D41" s="64">
        <v>11.97</v>
      </c>
      <c r="E41" s="64">
        <v>3.92</v>
      </c>
      <c r="F41" s="64">
        <v>3.09</v>
      </c>
      <c r="G41" s="64">
        <v>26.21</v>
      </c>
      <c r="H41" s="64">
        <v>6.51</v>
      </c>
      <c r="I41" s="64">
        <v>5.47</v>
      </c>
      <c r="J41" s="64">
        <v>0.47</v>
      </c>
      <c r="K41" s="64">
        <v>310.54000000000002</v>
      </c>
      <c r="L41" s="64">
        <v>25.52</v>
      </c>
      <c r="M41" s="64">
        <v>93.81</v>
      </c>
      <c r="N41" s="64">
        <v>173.3</v>
      </c>
      <c r="O41" s="64">
        <v>0</v>
      </c>
      <c r="P41" s="64">
        <v>0.31</v>
      </c>
      <c r="Q41" s="64">
        <v>9.3699999999999992</v>
      </c>
      <c r="R41" s="198"/>
      <c r="S41" s="198"/>
      <c r="T41" s="198"/>
      <c r="U41" s="198"/>
    </row>
    <row r="42" spans="1:21" s="12" customFormat="1" x14ac:dyDescent="0.25">
      <c r="A42" s="214" t="s">
        <v>2778</v>
      </c>
      <c r="B42" s="64">
        <v>8.18</v>
      </c>
      <c r="C42" s="64">
        <v>3.16</v>
      </c>
      <c r="D42" s="64">
        <v>11.98</v>
      </c>
      <c r="E42" s="64">
        <v>3.92</v>
      </c>
      <c r="F42" s="64">
        <v>3.3</v>
      </c>
      <c r="G42" s="64">
        <v>26.21</v>
      </c>
      <c r="H42" s="64">
        <v>6.51</v>
      </c>
      <c r="I42" s="64">
        <v>5.4</v>
      </c>
      <c r="J42" s="64">
        <v>0.36</v>
      </c>
      <c r="K42" s="64">
        <v>326.62</v>
      </c>
      <c r="L42" s="64">
        <v>26.36</v>
      </c>
      <c r="M42" s="64">
        <v>89.59</v>
      </c>
      <c r="N42" s="64">
        <v>289.7</v>
      </c>
      <c r="O42" s="64">
        <v>0</v>
      </c>
      <c r="P42" s="64">
        <v>0.33</v>
      </c>
      <c r="Q42" s="64">
        <v>9.3800000000000008</v>
      </c>
      <c r="R42" s="198"/>
      <c r="S42" s="198"/>
      <c r="T42" s="198"/>
      <c r="U42" s="198"/>
    </row>
    <row r="43" spans="1:21" s="12" customFormat="1" x14ac:dyDescent="0.25">
      <c r="A43" s="214" t="s">
        <v>2779</v>
      </c>
      <c r="B43" s="64">
        <v>8.25</v>
      </c>
      <c r="C43" s="64">
        <v>3.35</v>
      </c>
      <c r="D43" s="64">
        <v>12.14</v>
      </c>
      <c r="E43" s="64">
        <v>3.98</v>
      </c>
      <c r="F43" s="64">
        <v>4.1500000000000004</v>
      </c>
      <c r="G43" s="64">
        <v>29.17</v>
      </c>
      <c r="H43" s="64">
        <v>6.83</v>
      </c>
      <c r="I43" s="64">
        <v>5.2</v>
      </c>
      <c r="J43" s="64">
        <v>0.66</v>
      </c>
      <c r="K43" s="64">
        <v>340.71</v>
      </c>
      <c r="L43" s="64">
        <v>27.99</v>
      </c>
      <c r="M43" s="64">
        <v>83.65</v>
      </c>
      <c r="N43" s="64">
        <v>455.5</v>
      </c>
      <c r="O43" s="64">
        <v>0</v>
      </c>
      <c r="P43" s="64">
        <v>0.34</v>
      </c>
      <c r="Q43" s="64">
        <v>9.41</v>
      </c>
      <c r="R43" s="198"/>
      <c r="S43" s="198"/>
      <c r="T43" s="198"/>
      <c r="U43" s="198"/>
    </row>
    <row r="44" spans="1:21" s="12" customFormat="1" x14ac:dyDescent="0.25">
      <c r="A44" s="214" t="s">
        <v>2780</v>
      </c>
      <c r="B44" s="64">
        <v>8.43</v>
      </c>
      <c r="C44" s="64">
        <v>3.78</v>
      </c>
      <c r="D44" s="64">
        <v>12.51</v>
      </c>
      <c r="E44" s="64">
        <v>4.12</v>
      </c>
      <c r="F44" s="64">
        <v>3.21</v>
      </c>
      <c r="G44" s="64">
        <v>31.05</v>
      </c>
      <c r="H44" s="64">
        <v>7.03</v>
      </c>
      <c r="I44" s="64">
        <v>4.9400000000000004</v>
      </c>
      <c r="J44" s="64">
        <v>0.62</v>
      </c>
      <c r="K44" s="64">
        <v>331.01</v>
      </c>
      <c r="L44" s="64">
        <v>28.56</v>
      </c>
      <c r="M44" s="64">
        <v>80.59</v>
      </c>
      <c r="N44" s="64">
        <v>260.10000000000002</v>
      </c>
      <c r="O44" s="64">
        <v>0</v>
      </c>
      <c r="P44" s="64">
        <v>0.36</v>
      </c>
      <c r="Q44" s="64">
        <v>9.3699999999999992</v>
      </c>
      <c r="R44" s="198"/>
      <c r="S44" s="198"/>
      <c r="T44" s="198"/>
      <c r="U44" s="198"/>
    </row>
    <row r="45" spans="1:21" s="12" customFormat="1" x14ac:dyDescent="0.25">
      <c r="A45" s="214" t="s">
        <v>2781</v>
      </c>
      <c r="B45" s="64">
        <v>8.1999999999999993</v>
      </c>
      <c r="C45" s="64">
        <v>3.27</v>
      </c>
      <c r="D45" s="64">
        <v>12.06</v>
      </c>
      <c r="E45" s="64">
        <v>3.98</v>
      </c>
      <c r="F45" s="64">
        <v>3.35</v>
      </c>
      <c r="G45" s="64">
        <v>31.05</v>
      </c>
      <c r="H45" s="64">
        <v>7.03</v>
      </c>
      <c r="I45" s="64">
        <v>4.76</v>
      </c>
      <c r="J45" s="64">
        <v>0.28000000000000003</v>
      </c>
      <c r="K45" s="64">
        <v>2.44</v>
      </c>
      <c r="L45" s="64">
        <v>27.43</v>
      </c>
      <c r="M45" s="64">
        <v>84.11</v>
      </c>
      <c r="N45" s="64">
        <v>224.2</v>
      </c>
      <c r="O45" s="64">
        <v>0</v>
      </c>
      <c r="P45" s="64">
        <v>0.37</v>
      </c>
      <c r="Q45" s="64">
        <v>9.35</v>
      </c>
      <c r="R45" s="198"/>
      <c r="S45" s="198"/>
      <c r="T45" s="198"/>
      <c r="U45" s="198"/>
    </row>
    <row r="46" spans="1:21" s="12" customFormat="1" x14ac:dyDescent="0.25">
      <c r="A46" s="214" t="s">
        <v>2782</v>
      </c>
      <c r="B46" s="64">
        <v>8.14</v>
      </c>
      <c r="C46" s="64">
        <v>3.11</v>
      </c>
      <c r="D46" s="64">
        <v>11.92</v>
      </c>
      <c r="E46" s="64">
        <v>3.49</v>
      </c>
      <c r="F46" s="64">
        <v>3.37</v>
      </c>
      <c r="G46" s="64">
        <v>31.05</v>
      </c>
      <c r="H46" s="64">
        <v>7.03</v>
      </c>
      <c r="I46" s="64">
        <v>4.67</v>
      </c>
      <c r="J46" s="64">
        <v>0.21</v>
      </c>
      <c r="K46" s="64">
        <v>32.880000000000003</v>
      </c>
      <c r="L46" s="64">
        <v>26.99</v>
      </c>
      <c r="M46" s="64">
        <v>85.06</v>
      </c>
      <c r="N46" s="64">
        <v>363.1</v>
      </c>
      <c r="O46" s="64">
        <v>0</v>
      </c>
      <c r="P46" s="64">
        <v>0.37</v>
      </c>
      <c r="Q46" s="64">
        <v>9.3699999999999992</v>
      </c>
      <c r="R46" s="198"/>
      <c r="S46" s="198"/>
      <c r="T46" s="198"/>
      <c r="U46" s="198"/>
    </row>
    <row r="47" spans="1:21" s="12" customFormat="1" x14ac:dyDescent="0.25">
      <c r="A47" s="214" t="s">
        <v>2783</v>
      </c>
      <c r="B47" s="64">
        <v>8.1199999999999992</v>
      </c>
      <c r="C47" s="64">
        <v>3.1</v>
      </c>
      <c r="D47" s="64">
        <v>11.91</v>
      </c>
      <c r="E47" s="64">
        <v>3.96</v>
      </c>
      <c r="F47" s="64">
        <v>3.66</v>
      </c>
      <c r="G47" s="64">
        <v>31.45</v>
      </c>
      <c r="H47" s="64">
        <v>8.66</v>
      </c>
      <c r="I47" s="64">
        <v>4.5999999999999996</v>
      </c>
      <c r="J47" s="64">
        <v>0.75</v>
      </c>
      <c r="K47" s="64">
        <v>313.3</v>
      </c>
      <c r="L47" s="64">
        <v>28.52</v>
      </c>
      <c r="M47" s="64">
        <v>79.239999999999995</v>
      </c>
      <c r="N47" s="64">
        <v>276.8</v>
      </c>
      <c r="O47" s="64">
        <v>0</v>
      </c>
      <c r="P47" s="64">
        <v>0.39</v>
      </c>
      <c r="Q47" s="64">
        <v>9.41</v>
      </c>
      <c r="R47" s="198"/>
      <c r="S47" s="198"/>
      <c r="T47" s="198"/>
      <c r="U47" s="198"/>
    </row>
    <row r="48" spans="1:21" s="12" customFormat="1" x14ac:dyDescent="0.25">
      <c r="A48" s="214" t="s">
        <v>2784</v>
      </c>
      <c r="B48" s="64">
        <v>8.15</v>
      </c>
      <c r="C48" s="64">
        <v>3.1</v>
      </c>
      <c r="D48" s="64">
        <v>11.93</v>
      </c>
      <c r="E48" s="64">
        <v>3.96</v>
      </c>
      <c r="F48" s="64">
        <v>3.94</v>
      </c>
      <c r="G48" s="64">
        <v>31.71</v>
      </c>
      <c r="H48" s="64">
        <v>9.6999999999999993</v>
      </c>
      <c r="I48" s="64">
        <v>4.47</v>
      </c>
      <c r="J48" s="64">
        <v>0.9</v>
      </c>
      <c r="K48" s="64">
        <v>334.41</v>
      </c>
      <c r="L48" s="64">
        <v>29.31</v>
      </c>
      <c r="M48" s="64">
        <v>75.52</v>
      </c>
      <c r="N48" s="64">
        <v>318.7</v>
      </c>
      <c r="O48" s="64">
        <v>0</v>
      </c>
      <c r="P48" s="64">
        <v>0.42</v>
      </c>
      <c r="Q48" s="64">
        <v>9.41</v>
      </c>
      <c r="R48" s="198"/>
      <c r="S48" s="198"/>
      <c r="T48" s="198"/>
      <c r="U48" s="198"/>
    </row>
    <row r="49" spans="1:21" s="12" customFormat="1" x14ac:dyDescent="0.25">
      <c r="A49" s="214" t="s">
        <v>2785</v>
      </c>
      <c r="B49" s="64">
        <v>8.19</v>
      </c>
      <c r="C49" s="64">
        <v>3.19</v>
      </c>
      <c r="D49" s="64">
        <v>12.01</v>
      </c>
      <c r="E49" s="64">
        <v>4.17</v>
      </c>
      <c r="F49" s="64">
        <v>3.62</v>
      </c>
      <c r="G49" s="64">
        <v>31.71</v>
      </c>
      <c r="H49" s="64">
        <v>9.6999999999999993</v>
      </c>
      <c r="I49" s="64">
        <v>4.43</v>
      </c>
      <c r="J49" s="64">
        <v>1.01</v>
      </c>
      <c r="K49" s="64">
        <v>335.02</v>
      </c>
      <c r="L49" s="64">
        <v>30.58</v>
      </c>
      <c r="M49" s="64">
        <v>71.44</v>
      </c>
      <c r="N49" s="64">
        <v>701.7</v>
      </c>
      <c r="O49" s="64">
        <v>0</v>
      </c>
      <c r="P49" s="64">
        <v>0.44</v>
      </c>
      <c r="Q49" s="64">
        <v>9.3800000000000008</v>
      </c>
      <c r="R49" s="198"/>
      <c r="S49" s="198"/>
      <c r="T49" s="198"/>
      <c r="U49" s="198"/>
    </row>
    <row r="50" spans="1:21" s="12" customFormat="1" x14ac:dyDescent="0.25">
      <c r="A50" s="214" t="s">
        <v>2786</v>
      </c>
      <c r="B50" s="64">
        <v>8.15</v>
      </c>
      <c r="C50" s="64">
        <v>3.12</v>
      </c>
      <c r="D50" s="64">
        <v>11.94</v>
      </c>
      <c r="E50" s="64">
        <v>3.73</v>
      </c>
      <c r="F50" s="64">
        <v>3.61</v>
      </c>
      <c r="G50" s="64">
        <v>31.71</v>
      </c>
      <c r="H50" s="64">
        <v>9.6999999999999993</v>
      </c>
      <c r="I50" s="64">
        <v>4.33</v>
      </c>
      <c r="J50" s="64">
        <v>0.65</v>
      </c>
      <c r="K50" s="64">
        <v>339.78</v>
      </c>
      <c r="L50" s="64">
        <v>32.299999999999997</v>
      </c>
      <c r="M50" s="64">
        <v>66.17</v>
      </c>
      <c r="N50" s="64">
        <v>791.4</v>
      </c>
      <c r="O50" s="64">
        <v>0</v>
      </c>
      <c r="P50" s="64">
        <v>0.47</v>
      </c>
      <c r="Q50" s="64">
        <v>9.4</v>
      </c>
      <c r="R50" s="198"/>
      <c r="S50" s="198"/>
      <c r="T50" s="198"/>
      <c r="U50" s="198"/>
    </row>
    <row r="51" spans="1:21" s="12" customFormat="1" x14ac:dyDescent="0.25">
      <c r="A51" s="214" t="s">
        <v>2787</v>
      </c>
      <c r="B51" s="64">
        <v>8.19</v>
      </c>
      <c r="C51" s="64">
        <v>3.18</v>
      </c>
      <c r="D51" s="64">
        <v>12</v>
      </c>
      <c r="E51" s="64">
        <v>3.81</v>
      </c>
      <c r="F51" s="64">
        <v>3.5</v>
      </c>
      <c r="G51" s="64">
        <v>40.29</v>
      </c>
      <c r="H51" s="64">
        <v>9.49</v>
      </c>
      <c r="I51" s="64">
        <v>4.2699999999999996</v>
      </c>
      <c r="J51" s="64">
        <v>0.59</v>
      </c>
      <c r="K51" s="64">
        <v>336.1</v>
      </c>
      <c r="L51" s="64">
        <v>32.9</v>
      </c>
      <c r="M51" s="64">
        <v>64.8</v>
      </c>
      <c r="N51" s="64">
        <v>765.7</v>
      </c>
      <c r="O51" s="64">
        <v>0</v>
      </c>
      <c r="P51" s="64">
        <v>0.48</v>
      </c>
      <c r="Q51" s="64">
        <v>9.3800000000000008</v>
      </c>
      <c r="R51" s="198"/>
      <c r="S51" s="198"/>
      <c r="T51" s="198"/>
      <c r="U51" s="198"/>
    </row>
    <row r="52" spans="1:21" s="12" customFormat="1" x14ac:dyDescent="0.25">
      <c r="A52" s="214" t="s">
        <v>2788</v>
      </c>
      <c r="B52" s="64">
        <v>8.1999999999999993</v>
      </c>
      <c r="C52" s="64">
        <v>3.12</v>
      </c>
      <c r="D52" s="64">
        <v>11.98</v>
      </c>
      <c r="E52" s="64">
        <v>3.67</v>
      </c>
      <c r="F52" s="64">
        <v>3.67</v>
      </c>
      <c r="G52" s="64">
        <v>45.75</v>
      </c>
      <c r="H52" s="64">
        <v>9.36</v>
      </c>
      <c r="I52" s="64">
        <v>4.33</v>
      </c>
      <c r="J52" s="64">
        <v>1.36</v>
      </c>
      <c r="K52" s="64">
        <v>338.27</v>
      </c>
      <c r="L52" s="64">
        <v>33.08</v>
      </c>
      <c r="M52" s="64">
        <v>62.46</v>
      </c>
      <c r="N52" s="64">
        <v>525.1</v>
      </c>
      <c r="O52" s="64">
        <v>0</v>
      </c>
      <c r="P52" s="64">
        <v>0.49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4" t="s">
        <v>2789</v>
      </c>
      <c r="B53" s="64">
        <v>8.25</v>
      </c>
      <c r="C53" s="64">
        <v>3.25</v>
      </c>
      <c r="D53" s="64">
        <v>12.09</v>
      </c>
      <c r="E53" s="64">
        <v>3.77</v>
      </c>
      <c r="F53" s="64">
        <v>3.21</v>
      </c>
      <c r="G53" s="64">
        <v>45.75</v>
      </c>
      <c r="H53" s="64">
        <v>9.36</v>
      </c>
      <c r="I53" s="64">
        <v>4.47</v>
      </c>
      <c r="J53" s="64">
        <v>1.1299999999999999</v>
      </c>
      <c r="K53" s="64">
        <v>341.81</v>
      </c>
      <c r="L53" s="64">
        <v>31.89</v>
      </c>
      <c r="M53" s="64">
        <v>65.48</v>
      </c>
      <c r="N53" s="64">
        <v>546.29999999999995</v>
      </c>
      <c r="O53" s="64">
        <v>0</v>
      </c>
      <c r="P53" s="64">
        <v>0.51</v>
      </c>
      <c r="Q53" s="64">
        <v>9.42</v>
      </c>
      <c r="R53" s="198"/>
      <c r="S53" s="198"/>
      <c r="T53" s="198"/>
      <c r="U53" s="198"/>
    </row>
    <row r="54" spans="1:21" s="12" customFormat="1" x14ac:dyDescent="0.25">
      <c r="A54" s="214" t="s">
        <v>2790</v>
      </c>
      <c r="B54" s="64">
        <v>8.24</v>
      </c>
      <c r="C54" s="64">
        <v>3.26</v>
      </c>
      <c r="D54" s="64">
        <v>12.09</v>
      </c>
      <c r="E54" s="64">
        <v>3.69</v>
      </c>
      <c r="F54" s="64">
        <v>3.64</v>
      </c>
      <c r="G54" s="64">
        <v>45.75</v>
      </c>
      <c r="H54" s="64">
        <v>9.36</v>
      </c>
      <c r="I54" s="64">
        <v>4.6399999999999997</v>
      </c>
      <c r="J54" s="64">
        <v>1.18</v>
      </c>
      <c r="K54" s="64">
        <v>335.47</v>
      </c>
      <c r="L54" s="64">
        <v>33.28</v>
      </c>
      <c r="M54" s="64">
        <v>62.02</v>
      </c>
      <c r="N54" s="64">
        <v>608</v>
      </c>
      <c r="O54" s="64">
        <v>0</v>
      </c>
      <c r="P54" s="64">
        <v>0.53</v>
      </c>
      <c r="Q54" s="64">
        <v>9.44</v>
      </c>
      <c r="R54" s="198"/>
      <c r="S54" s="198"/>
      <c r="T54" s="198"/>
      <c r="U54" s="198"/>
    </row>
    <row r="55" spans="1:21" s="12" customFormat="1" x14ac:dyDescent="0.25">
      <c r="A55" s="214" t="s">
        <v>2791</v>
      </c>
      <c r="B55" s="64">
        <v>8.26</v>
      </c>
      <c r="C55" s="64">
        <v>3.31</v>
      </c>
      <c r="D55" s="64">
        <v>12.13</v>
      </c>
      <c r="E55" s="64">
        <v>4.32</v>
      </c>
      <c r="F55" s="64">
        <v>3.58</v>
      </c>
      <c r="G55" s="64">
        <v>64.290000000000006</v>
      </c>
      <c r="H55" s="64">
        <v>17.77</v>
      </c>
      <c r="I55" s="64">
        <v>4.83</v>
      </c>
      <c r="J55" s="64">
        <v>0.76</v>
      </c>
      <c r="K55" s="64">
        <v>330.5</v>
      </c>
      <c r="L55" s="64">
        <v>32.479999999999997</v>
      </c>
      <c r="M55" s="64">
        <v>64.27</v>
      </c>
      <c r="N55" s="64">
        <v>433.6</v>
      </c>
      <c r="O55" s="64">
        <v>0</v>
      </c>
      <c r="P55" s="64">
        <v>0.55000000000000004</v>
      </c>
      <c r="Q55" s="64">
        <v>9.44</v>
      </c>
      <c r="R55" s="198"/>
      <c r="S55" s="198"/>
      <c r="T55" s="198"/>
      <c r="U55" s="198"/>
    </row>
    <row r="56" spans="1:21" s="12" customFormat="1" x14ac:dyDescent="0.25">
      <c r="A56" s="214" t="s">
        <v>2792</v>
      </c>
      <c r="B56" s="64">
        <v>8.27</v>
      </c>
      <c r="C56" s="64">
        <v>3.37</v>
      </c>
      <c r="D56" s="64">
        <v>12.16</v>
      </c>
      <c r="E56" s="64">
        <v>4.3899999999999997</v>
      </c>
      <c r="F56" s="64">
        <v>3.59</v>
      </c>
      <c r="G56" s="64">
        <v>76.09</v>
      </c>
      <c r="H56" s="64">
        <v>23.12</v>
      </c>
      <c r="I56" s="64">
        <v>5</v>
      </c>
      <c r="J56" s="64">
        <v>1.08</v>
      </c>
      <c r="K56" s="64">
        <v>106.58</v>
      </c>
      <c r="L56" s="64">
        <v>30.12</v>
      </c>
      <c r="M56" s="64">
        <v>70.239999999999995</v>
      </c>
      <c r="N56" s="64">
        <v>686.4</v>
      </c>
      <c r="O56" s="64">
        <v>0</v>
      </c>
      <c r="P56" s="64">
        <v>0.56999999999999995</v>
      </c>
      <c r="Q56" s="64">
        <v>9.4600000000000009</v>
      </c>
      <c r="R56" s="198"/>
      <c r="S56" s="198"/>
      <c r="T56" s="198"/>
      <c r="U56" s="198"/>
    </row>
    <row r="57" spans="1:21" s="12" customFormat="1" x14ac:dyDescent="0.25">
      <c r="A57" s="214" t="s">
        <v>2793</v>
      </c>
      <c r="B57" s="64">
        <v>8.25</v>
      </c>
      <c r="C57" s="64">
        <v>3.3</v>
      </c>
      <c r="D57" s="64">
        <v>12.12</v>
      </c>
      <c r="E57" s="64">
        <v>4.08</v>
      </c>
      <c r="F57" s="64">
        <v>3.76</v>
      </c>
      <c r="G57" s="64">
        <v>76.09</v>
      </c>
      <c r="H57" s="64">
        <v>23.12</v>
      </c>
      <c r="I57" s="64">
        <v>5.24</v>
      </c>
      <c r="J57" s="64">
        <v>1.01</v>
      </c>
      <c r="K57" s="64">
        <v>343.65</v>
      </c>
      <c r="L57" s="64">
        <v>31.19</v>
      </c>
      <c r="M57" s="64">
        <v>68.459999999999994</v>
      </c>
      <c r="N57" s="64">
        <v>930</v>
      </c>
      <c r="O57" s="64">
        <v>0</v>
      </c>
      <c r="P57" s="64">
        <v>0.56999999999999995</v>
      </c>
      <c r="Q57" s="64">
        <v>9.4499999999999993</v>
      </c>
      <c r="R57" s="198"/>
      <c r="S57" s="198"/>
      <c r="T57" s="198"/>
      <c r="U57" s="198"/>
    </row>
    <row r="58" spans="1:21" s="12" customFormat="1" x14ac:dyDescent="0.25">
      <c r="A58" s="214" t="s">
        <v>2794</v>
      </c>
      <c r="B58" s="64">
        <v>8.23</v>
      </c>
      <c r="C58" s="64">
        <v>3.3</v>
      </c>
      <c r="D58" s="64">
        <v>12.1</v>
      </c>
      <c r="E58" s="64">
        <v>4.24</v>
      </c>
      <c r="F58" s="64">
        <v>5.15</v>
      </c>
      <c r="G58" s="64">
        <v>76.09</v>
      </c>
      <c r="H58" s="64">
        <v>23.12</v>
      </c>
      <c r="I58" s="64">
        <v>5.67</v>
      </c>
      <c r="J58" s="64">
        <v>0.52</v>
      </c>
      <c r="K58" s="64">
        <v>49.39</v>
      </c>
      <c r="L58" s="64">
        <v>32.119999999999997</v>
      </c>
      <c r="M58" s="64">
        <v>63.49</v>
      </c>
      <c r="N58" s="64">
        <v>768.3</v>
      </c>
      <c r="O58" s="64">
        <v>0</v>
      </c>
      <c r="P58" s="64">
        <v>0.59</v>
      </c>
      <c r="Q58" s="64">
        <v>9.48</v>
      </c>
      <c r="R58" s="198"/>
      <c r="S58" s="198"/>
      <c r="T58" s="198"/>
      <c r="U58" s="198"/>
    </row>
    <row r="59" spans="1:21" s="12" customFormat="1" x14ac:dyDescent="0.25">
      <c r="A59" s="214" t="s">
        <v>2795</v>
      </c>
      <c r="B59" s="64">
        <v>8.1999999999999993</v>
      </c>
      <c r="C59" s="64">
        <v>3.34</v>
      </c>
      <c r="D59" s="64">
        <v>12.1</v>
      </c>
      <c r="E59" s="64">
        <v>4.08</v>
      </c>
      <c r="F59" s="64">
        <v>3.66</v>
      </c>
      <c r="G59" s="64">
        <v>81.099999999999994</v>
      </c>
      <c r="H59" s="64">
        <v>22.25</v>
      </c>
      <c r="I59" s="64">
        <v>6.01</v>
      </c>
      <c r="J59" s="64">
        <v>0.28999999999999998</v>
      </c>
      <c r="K59" s="64">
        <v>39.25</v>
      </c>
      <c r="L59" s="64">
        <v>30.99</v>
      </c>
      <c r="M59" s="64">
        <v>68.52</v>
      </c>
      <c r="N59" s="64">
        <v>789.2</v>
      </c>
      <c r="O59" s="64">
        <v>0</v>
      </c>
      <c r="P59" s="64">
        <v>0.57999999999999996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14" t="s">
        <v>2796</v>
      </c>
      <c r="B60" s="64">
        <v>8.1999999999999993</v>
      </c>
      <c r="C60" s="64">
        <v>3.29</v>
      </c>
      <c r="D60" s="64">
        <v>12.07</v>
      </c>
      <c r="E60" s="64">
        <v>4.17</v>
      </c>
      <c r="F60" s="64">
        <v>4.3</v>
      </c>
      <c r="G60" s="64">
        <v>84.28</v>
      </c>
      <c r="H60" s="64">
        <v>21.69</v>
      </c>
      <c r="I60" s="64">
        <v>6.09</v>
      </c>
      <c r="J60" s="64">
        <v>0.41</v>
      </c>
      <c r="K60" s="64">
        <v>90.34</v>
      </c>
      <c r="L60" s="64">
        <v>31.63</v>
      </c>
      <c r="M60" s="64">
        <v>64.28</v>
      </c>
      <c r="N60" s="64">
        <v>831.4</v>
      </c>
      <c r="O60" s="64">
        <v>0</v>
      </c>
      <c r="P60" s="64">
        <v>0.57999999999999996</v>
      </c>
      <c r="Q60" s="64">
        <v>9.43</v>
      </c>
      <c r="R60" s="198"/>
      <c r="S60" s="198"/>
      <c r="T60" s="198"/>
      <c r="U60" s="198"/>
    </row>
    <row r="61" spans="1:21" s="12" customFormat="1" x14ac:dyDescent="0.25">
      <c r="A61" s="214" t="s">
        <v>2797</v>
      </c>
      <c r="B61" s="64">
        <v>8.16</v>
      </c>
      <c r="C61" s="64">
        <v>3.2</v>
      </c>
      <c r="D61" s="64">
        <v>11.99</v>
      </c>
      <c r="E61" s="64">
        <v>4.18</v>
      </c>
      <c r="F61" s="64">
        <v>4.62</v>
      </c>
      <c r="G61" s="64">
        <v>84.28</v>
      </c>
      <c r="H61" s="64">
        <v>21.69</v>
      </c>
      <c r="I61" s="64">
        <v>6.12</v>
      </c>
      <c r="J61" s="64">
        <v>0.54</v>
      </c>
      <c r="K61" s="64">
        <v>2.19</v>
      </c>
      <c r="L61" s="64">
        <v>32.07</v>
      </c>
      <c r="M61" s="64">
        <v>63.13</v>
      </c>
      <c r="N61" s="64">
        <v>832.1</v>
      </c>
      <c r="O61" s="64">
        <v>0</v>
      </c>
      <c r="P61" s="64">
        <v>0.56000000000000005</v>
      </c>
      <c r="Q61" s="64">
        <v>9.42</v>
      </c>
      <c r="R61" s="198"/>
      <c r="S61" s="198"/>
      <c r="T61" s="198"/>
      <c r="U61" s="198"/>
    </row>
    <row r="62" spans="1:21" s="12" customFormat="1" x14ac:dyDescent="0.25">
      <c r="A62" s="214" t="s">
        <v>2798</v>
      </c>
      <c r="B62" s="64">
        <v>8.1300000000000008</v>
      </c>
      <c r="C62" s="64">
        <v>3.11</v>
      </c>
      <c r="D62" s="64">
        <v>11.92</v>
      </c>
      <c r="E62" s="64">
        <v>3.7</v>
      </c>
      <c r="F62" s="64">
        <v>4.66</v>
      </c>
      <c r="G62" s="64">
        <v>84.28</v>
      </c>
      <c r="H62" s="64">
        <v>21.69</v>
      </c>
      <c r="I62" s="64">
        <v>6.14</v>
      </c>
      <c r="J62" s="64">
        <v>0.57999999999999996</v>
      </c>
      <c r="K62" s="64">
        <v>76.52</v>
      </c>
      <c r="L62" s="64">
        <v>32.409999999999997</v>
      </c>
      <c r="M62" s="64">
        <v>61.47</v>
      </c>
      <c r="N62" s="64">
        <v>795.9</v>
      </c>
      <c r="O62" s="64">
        <v>0</v>
      </c>
      <c r="P62" s="64">
        <v>0.57999999999999996</v>
      </c>
      <c r="Q62" s="64">
        <v>9.43</v>
      </c>
      <c r="R62" s="198"/>
      <c r="S62" s="198"/>
      <c r="T62" s="198"/>
      <c r="U62" s="198"/>
    </row>
    <row r="63" spans="1:21" s="12" customFormat="1" x14ac:dyDescent="0.25">
      <c r="A63" s="214" t="s">
        <v>2799</v>
      </c>
      <c r="B63" s="64">
        <v>8.1300000000000008</v>
      </c>
      <c r="C63" s="64">
        <v>3.13</v>
      </c>
      <c r="D63" s="64">
        <v>11.93</v>
      </c>
      <c r="E63" s="64">
        <v>3.89</v>
      </c>
      <c r="F63" s="64">
        <v>4.7</v>
      </c>
      <c r="G63" s="64">
        <v>83.92</v>
      </c>
      <c r="H63" s="64">
        <v>25.75</v>
      </c>
      <c r="I63" s="64">
        <v>6.09</v>
      </c>
      <c r="J63" s="64">
        <v>0.6</v>
      </c>
      <c r="K63" s="64">
        <v>84.39</v>
      </c>
      <c r="L63" s="64">
        <v>32.590000000000003</v>
      </c>
      <c r="M63" s="64">
        <v>58.19</v>
      </c>
      <c r="N63" s="64">
        <v>848.4</v>
      </c>
      <c r="O63" s="64">
        <v>0</v>
      </c>
      <c r="P63" s="64">
        <v>0.56999999999999995</v>
      </c>
      <c r="Q63" s="64">
        <v>9.4</v>
      </c>
      <c r="R63" s="198"/>
      <c r="S63" s="198"/>
      <c r="T63" s="198"/>
      <c r="U63" s="198"/>
    </row>
    <row r="64" spans="1:21" s="12" customFormat="1" x14ac:dyDescent="0.25">
      <c r="A64" s="214" t="s">
        <v>2800</v>
      </c>
      <c r="B64" s="64">
        <v>8.1999999999999993</v>
      </c>
      <c r="C64" s="64">
        <v>3.29</v>
      </c>
      <c r="D64" s="64">
        <v>12.07</v>
      </c>
      <c r="E64" s="64">
        <v>3.9</v>
      </c>
      <c r="F64" s="64">
        <v>5.0199999999999996</v>
      </c>
      <c r="G64" s="64">
        <v>83.69</v>
      </c>
      <c r="H64" s="64">
        <v>28.32</v>
      </c>
      <c r="I64" s="64">
        <v>6.09</v>
      </c>
      <c r="J64" s="64">
        <v>0.7</v>
      </c>
      <c r="K64" s="64">
        <v>64.900000000000006</v>
      </c>
      <c r="L64" s="64">
        <v>31.62</v>
      </c>
      <c r="M64" s="64">
        <v>62.21</v>
      </c>
      <c r="N64" s="64">
        <v>805.7</v>
      </c>
      <c r="O64" s="64">
        <v>0</v>
      </c>
      <c r="P64" s="64">
        <v>0.56000000000000005</v>
      </c>
      <c r="Q64" s="64">
        <v>9.36</v>
      </c>
      <c r="R64" s="198"/>
      <c r="S64" s="198"/>
      <c r="T64" s="198"/>
      <c r="U64" s="198"/>
    </row>
    <row r="65" spans="1:21" s="12" customFormat="1" x14ac:dyDescent="0.25">
      <c r="A65" s="214" t="s">
        <v>2801</v>
      </c>
      <c r="B65" s="64">
        <v>8.17</v>
      </c>
      <c r="C65" s="64">
        <v>3.27</v>
      </c>
      <c r="D65" s="64">
        <v>12.04</v>
      </c>
      <c r="E65" s="64">
        <v>4.24</v>
      </c>
      <c r="F65" s="64">
        <v>5.07</v>
      </c>
      <c r="G65" s="64">
        <v>83.69</v>
      </c>
      <c r="H65" s="64">
        <v>28.32</v>
      </c>
      <c r="I65" s="64">
        <v>6.1</v>
      </c>
      <c r="J65" s="64">
        <v>0.48</v>
      </c>
      <c r="K65" s="64">
        <v>16.600000000000001</v>
      </c>
      <c r="L65" s="64">
        <v>32.86</v>
      </c>
      <c r="M65" s="64">
        <v>57.7</v>
      </c>
      <c r="N65" s="64">
        <v>680.3</v>
      </c>
      <c r="O65" s="64">
        <v>0</v>
      </c>
      <c r="P65" s="64">
        <v>0.56000000000000005</v>
      </c>
      <c r="Q65" s="64">
        <v>9.34</v>
      </c>
      <c r="R65" s="198"/>
      <c r="S65" s="198"/>
      <c r="T65" s="198"/>
      <c r="U65" s="198"/>
    </row>
    <row r="66" spans="1:21" s="12" customFormat="1" x14ac:dyDescent="0.25">
      <c r="A66" s="214" t="s">
        <v>2802</v>
      </c>
      <c r="B66" s="64">
        <v>8.17</v>
      </c>
      <c r="C66" s="64">
        <v>3.22</v>
      </c>
      <c r="D66" s="64">
        <v>12.01</v>
      </c>
      <c r="E66" s="64">
        <v>4.09</v>
      </c>
      <c r="F66" s="64">
        <v>4.83</v>
      </c>
      <c r="G66" s="64">
        <v>83.69</v>
      </c>
      <c r="H66" s="64">
        <v>28.32</v>
      </c>
      <c r="I66" s="64">
        <v>6.15</v>
      </c>
      <c r="J66" s="64">
        <v>0.73</v>
      </c>
      <c r="K66" s="64">
        <v>100.56</v>
      </c>
      <c r="L66" s="64">
        <v>31.63</v>
      </c>
      <c r="M66" s="64">
        <v>61.31</v>
      </c>
      <c r="N66" s="64">
        <v>671.1</v>
      </c>
      <c r="O66" s="64">
        <v>0</v>
      </c>
      <c r="P66" s="64">
        <v>0.55000000000000004</v>
      </c>
      <c r="Q66" s="64">
        <v>9.33</v>
      </c>
      <c r="R66" s="198"/>
      <c r="S66" s="198"/>
      <c r="T66" s="198"/>
      <c r="U66" s="198"/>
    </row>
    <row r="67" spans="1:21" s="12" customFormat="1" x14ac:dyDescent="0.25">
      <c r="A67" s="214" t="s">
        <v>2803</v>
      </c>
      <c r="B67" s="64">
        <v>8.18</v>
      </c>
      <c r="C67" s="64">
        <v>3.31</v>
      </c>
      <c r="D67" s="64">
        <v>12.07</v>
      </c>
      <c r="E67" s="64">
        <v>3.81</v>
      </c>
      <c r="F67" s="64">
        <v>4.7699999999999996</v>
      </c>
      <c r="G67" s="64">
        <v>80.59</v>
      </c>
      <c r="H67" s="64">
        <v>27.86</v>
      </c>
      <c r="I67" s="64">
        <v>6.14</v>
      </c>
      <c r="J67" s="64">
        <v>0.73</v>
      </c>
      <c r="K67" s="64">
        <v>97.08</v>
      </c>
      <c r="L67" s="64">
        <v>31.17</v>
      </c>
      <c r="M67" s="64">
        <v>61.67</v>
      </c>
      <c r="N67" s="64">
        <v>523.5</v>
      </c>
      <c r="O67" s="64">
        <v>0</v>
      </c>
      <c r="P67" s="64">
        <v>0.53</v>
      </c>
      <c r="Q67" s="64">
        <v>9.32</v>
      </c>
      <c r="R67" s="198"/>
      <c r="S67" s="198"/>
      <c r="T67" s="198"/>
      <c r="U67" s="198"/>
    </row>
    <row r="68" spans="1:21" s="12" customFormat="1" x14ac:dyDescent="0.25">
      <c r="A68" s="214" t="s">
        <v>2804</v>
      </c>
      <c r="B68" s="64">
        <v>8.1999999999999993</v>
      </c>
      <c r="C68" s="64">
        <v>3.27</v>
      </c>
      <c r="D68" s="64">
        <v>12.06</v>
      </c>
      <c r="E68" s="64">
        <v>4.1500000000000004</v>
      </c>
      <c r="F68" s="64">
        <v>4.6900000000000004</v>
      </c>
      <c r="G68" s="64">
        <v>78.61</v>
      </c>
      <c r="H68" s="64">
        <v>27.56</v>
      </c>
      <c r="I68" s="64">
        <v>6.11</v>
      </c>
      <c r="J68" s="64">
        <v>0.82</v>
      </c>
      <c r="K68" s="64">
        <v>86.86</v>
      </c>
      <c r="L68" s="64">
        <v>31.36</v>
      </c>
      <c r="M68" s="64">
        <v>60.38</v>
      </c>
      <c r="N68" s="64">
        <v>305.10000000000002</v>
      </c>
      <c r="O68" s="64">
        <v>0</v>
      </c>
      <c r="P68" s="64">
        <v>0.52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4" t="s">
        <v>2805</v>
      </c>
      <c r="B69" s="64">
        <v>8.19</v>
      </c>
      <c r="C69" s="64">
        <v>3.25</v>
      </c>
      <c r="D69" s="64">
        <v>12.04</v>
      </c>
      <c r="E69" s="64">
        <v>4.01</v>
      </c>
      <c r="F69" s="64">
        <v>3.98</v>
      </c>
      <c r="G69" s="64">
        <v>78.61</v>
      </c>
      <c r="H69" s="64">
        <v>27.56</v>
      </c>
      <c r="I69" s="64">
        <v>6.1</v>
      </c>
      <c r="J69" s="64">
        <v>0.85</v>
      </c>
      <c r="K69" s="64">
        <v>108.31</v>
      </c>
      <c r="L69" s="64">
        <v>31.35</v>
      </c>
      <c r="M69" s="64">
        <v>59.2</v>
      </c>
      <c r="N69" s="64">
        <v>224.4</v>
      </c>
      <c r="O69" s="64">
        <v>0</v>
      </c>
      <c r="P69" s="64">
        <v>0.51</v>
      </c>
      <c r="Q69" s="64">
        <v>9.3000000000000007</v>
      </c>
      <c r="R69" s="198"/>
      <c r="S69" s="198"/>
      <c r="T69" s="198"/>
      <c r="U69" s="198"/>
    </row>
    <row r="70" spans="1:21" s="12" customFormat="1" x14ac:dyDescent="0.25">
      <c r="A70" s="214" t="s">
        <v>2806</v>
      </c>
      <c r="B70" s="64">
        <v>8.15</v>
      </c>
      <c r="C70" s="64">
        <v>3.13</v>
      </c>
      <c r="D70" s="64">
        <v>11.94</v>
      </c>
      <c r="E70" s="64">
        <v>4.0999999999999996</v>
      </c>
      <c r="F70" s="64">
        <v>3.92</v>
      </c>
      <c r="G70" s="64">
        <v>78.61</v>
      </c>
      <c r="H70" s="64">
        <v>27.56</v>
      </c>
      <c r="I70" s="64">
        <v>6.16</v>
      </c>
      <c r="J70" s="64">
        <v>1.65</v>
      </c>
      <c r="K70" s="64">
        <v>108.37</v>
      </c>
      <c r="L70" s="64">
        <v>30.89</v>
      </c>
      <c r="M70" s="64">
        <v>60.05</v>
      </c>
      <c r="N70" s="64">
        <v>347.9</v>
      </c>
      <c r="O70" s="64">
        <v>0</v>
      </c>
      <c r="P70" s="64">
        <v>0.49</v>
      </c>
      <c r="Q70" s="64">
        <v>9.2899999999999991</v>
      </c>
      <c r="R70" s="198"/>
      <c r="S70" s="198"/>
      <c r="T70" s="198"/>
      <c r="U70" s="198"/>
    </row>
    <row r="71" spans="1:21" s="12" customFormat="1" x14ac:dyDescent="0.25">
      <c r="A71" s="214" t="s">
        <v>2807</v>
      </c>
      <c r="B71" s="64">
        <v>8.14</v>
      </c>
      <c r="C71" s="64">
        <v>3.12</v>
      </c>
      <c r="D71" s="64">
        <v>11.94</v>
      </c>
      <c r="E71" s="64">
        <v>6.1</v>
      </c>
      <c r="F71" s="64">
        <v>3.88</v>
      </c>
      <c r="G71" s="64">
        <v>70.400000000000006</v>
      </c>
      <c r="H71" s="64">
        <v>27.02</v>
      </c>
      <c r="I71" s="64">
        <v>6.33</v>
      </c>
      <c r="J71" s="64">
        <v>1.31</v>
      </c>
      <c r="K71" s="64">
        <v>105.83</v>
      </c>
      <c r="L71" s="64">
        <v>30.93</v>
      </c>
      <c r="M71" s="64">
        <v>61.51</v>
      </c>
      <c r="N71" s="64">
        <v>163.19999999999999</v>
      </c>
      <c r="O71" s="64">
        <v>0</v>
      </c>
      <c r="P71" s="64">
        <v>0.47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14" t="s">
        <v>2808</v>
      </c>
      <c r="B72" s="64">
        <v>8.19</v>
      </c>
      <c r="C72" s="64">
        <v>3.14</v>
      </c>
      <c r="D72" s="64">
        <v>11.98</v>
      </c>
      <c r="E72" s="64">
        <v>5.81</v>
      </c>
      <c r="F72" s="64">
        <v>4.2</v>
      </c>
      <c r="G72" s="64">
        <v>65.17</v>
      </c>
      <c r="H72" s="64">
        <v>26.68</v>
      </c>
      <c r="I72" s="64">
        <v>6.6</v>
      </c>
      <c r="J72" s="64">
        <v>1.32</v>
      </c>
      <c r="K72" s="64">
        <v>97.7</v>
      </c>
      <c r="L72" s="64">
        <v>30.71</v>
      </c>
      <c r="M72" s="64">
        <v>61.98</v>
      </c>
      <c r="N72" s="64">
        <v>140.30000000000001</v>
      </c>
      <c r="O72" s="64">
        <v>0</v>
      </c>
      <c r="P72" s="64">
        <v>0.47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4" t="s">
        <v>2809</v>
      </c>
      <c r="B73" s="64">
        <v>8.1999999999999993</v>
      </c>
      <c r="C73" s="64">
        <v>3.14</v>
      </c>
      <c r="D73" s="64">
        <v>11.99</v>
      </c>
      <c r="E73" s="64">
        <v>4.49</v>
      </c>
      <c r="F73" s="64">
        <v>4.1100000000000003</v>
      </c>
      <c r="G73" s="64">
        <v>65.17</v>
      </c>
      <c r="H73" s="64">
        <v>26.68</v>
      </c>
      <c r="I73" s="64">
        <v>6.91</v>
      </c>
      <c r="J73" s="64">
        <v>1.67</v>
      </c>
      <c r="K73" s="64">
        <v>112.54</v>
      </c>
      <c r="L73" s="64">
        <v>30.64</v>
      </c>
      <c r="M73" s="64">
        <v>62.74</v>
      </c>
      <c r="N73" s="64">
        <v>122.3</v>
      </c>
      <c r="O73" s="64">
        <v>0</v>
      </c>
      <c r="P73" s="64">
        <v>0.45</v>
      </c>
      <c r="Q73" s="64">
        <v>9.31</v>
      </c>
      <c r="R73" s="198"/>
      <c r="S73" s="198"/>
      <c r="T73" s="198"/>
      <c r="U73" s="198"/>
    </row>
    <row r="74" spans="1:21" s="12" customFormat="1" x14ac:dyDescent="0.25">
      <c r="A74" s="214" t="s">
        <v>2810</v>
      </c>
      <c r="B74" s="64">
        <v>8.24</v>
      </c>
      <c r="C74" s="64">
        <v>3.26</v>
      </c>
      <c r="D74" s="64">
        <v>12.09</v>
      </c>
      <c r="E74" s="64">
        <v>4.99</v>
      </c>
      <c r="F74" s="64">
        <v>3.99</v>
      </c>
      <c r="G74" s="64">
        <v>65.17</v>
      </c>
      <c r="H74" s="64">
        <v>26.68</v>
      </c>
      <c r="I74" s="64">
        <v>7.14</v>
      </c>
      <c r="J74" s="64">
        <v>1.75</v>
      </c>
      <c r="K74" s="64">
        <v>109.5</v>
      </c>
      <c r="L74" s="64">
        <v>30.73</v>
      </c>
      <c r="M74" s="64">
        <v>61.26</v>
      </c>
      <c r="N74" s="64">
        <v>114.2</v>
      </c>
      <c r="O74" s="64">
        <v>0</v>
      </c>
      <c r="P74" s="64">
        <v>0.44</v>
      </c>
      <c r="Q74" s="64">
        <v>9.31</v>
      </c>
      <c r="R74" s="198"/>
      <c r="S74" s="198"/>
      <c r="T74" s="198"/>
      <c r="U74" s="198"/>
    </row>
    <row r="75" spans="1:21" s="12" customFormat="1" x14ac:dyDescent="0.25">
      <c r="A75" s="214" t="s">
        <v>2811</v>
      </c>
      <c r="B75" s="64">
        <v>8.25</v>
      </c>
      <c r="C75" s="64">
        <v>3.3</v>
      </c>
      <c r="D75" s="64">
        <v>12.11</v>
      </c>
      <c r="E75" s="64">
        <v>4.8</v>
      </c>
      <c r="F75" s="64">
        <v>4.04</v>
      </c>
      <c r="G75" s="64">
        <v>58.1</v>
      </c>
      <c r="H75" s="64">
        <v>23.77</v>
      </c>
      <c r="I75" s="64">
        <v>7.24</v>
      </c>
      <c r="J75" s="64">
        <v>0.76</v>
      </c>
      <c r="K75" s="64">
        <v>87.43</v>
      </c>
      <c r="L75" s="64">
        <v>30.76</v>
      </c>
      <c r="M75" s="64">
        <v>62</v>
      </c>
      <c r="N75" s="64">
        <v>103.3</v>
      </c>
      <c r="O75" s="64">
        <v>0</v>
      </c>
      <c r="P75" s="64">
        <v>0.43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14" t="s">
        <v>2812</v>
      </c>
      <c r="B76" s="64">
        <v>8.2200000000000006</v>
      </c>
      <c r="C76" s="64">
        <v>3.14</v>
      </c>
      <c r="D76" s="64">
        <v>12.01</v>
      </c>
      <c r="E76" s="64">
        <v>4.38</v>
      </c>
      <c r="F76" s="64">
        <v>4.63</v>
      </c>
      <c r="G76" s="64">
        <v>53.6</v>
      </c>
      <c r="H76" s="64">
        <v>21.92</v>
      </c>
      <c r="I76" s="64">
        <v>7.34</v>
      </c>
      <c r="J76" s="64">
        <v>0.53</v>
      </c>
      <c r="K76" s="64">
        <v>107.02</v>
      </c>
      <c r="L76" s="64">
        <v>30.95</v>
      </c>
      <c r="M76" s="64">
        <v>61.36</v>
      </c>
      <c r="N76" s="64">
        <v>94.7</v>
      </c>
      <c r="O76" s="64">
        <v>0</v>
      </c>
      <c r="P76" s="64">
        <v>0.43</v>
      </c>
      <c r="Q76" s="64">
        <v>9.34</v>
      </c>
      <c r="R76" s="198"/>
      <c r="S76" s="198"/>
      <c r="T76" s="198"/>
      <c r="U76" s="198"/>
    </row>
    <row r="77" spans="1:21" s="12" customFormat="1" x14ac:dyDescent="0.25">
      <c r="A77" s="214" t="s">
        <v>2813</v>
      </c>
      <c r="B77" s="64">
        <v>8.14</v>
      </c>
      <c r="C77" s="64">
        <v>3.1</v>
      </c>
      <c r="D77" s="64">
        <v>11.92</v>
      </c>
      <c r="E77" s="64">
        <v>4.7699999999999996</v>
      </c>
      <c r="F77" s="64">
        <v>3.82</v>
      </c>
      <c r="G77" s="64">
        <v>53.6</v>
      </c>
      <c r="H77" s="64">
        <v>21.92</v>
      </c>
      <c r="I77" s="64">
        <v>7.57</v>
      </c>
      <c r="J77" s="64">
        <v>1.58</v>
      </c>
      <c r="K77" s="64">
        <v>106.19</v>
      </c>
      <c r="L77" s="64">
        <v>30.65</v>
      </c>
      <c r="M77" s="64">
        <v>61.4</v>
      </c>
      <c r="N77" s="64">
        <v>77.2</v>
      </c>
      <c r="O77" s="64">
        <v>0</v>
      </c>
      <c r="P77" s="64">
        <v>0.43</v>
      </c>
      <c r="Q77" s="64">
        <v>9.35</v>
      </c>
      <c r="R77" s="198"/>
      <c r="S77" s="198"/>
      <c r="T77" s="198"/>
      <c r="U77" s="198"/>
    </row>
    <row r="78" spans="1:21" s="12" customFormat="1" x14ac:dyDescent="0.25">
      <c r="A78" s="214" t="s">
        <v>2814</v>
      </c>
      <c r="B78" s="64">
        <v>8.1300000000000008</v>
      </c>
      <c r="C78" s="64">
        <v>3.13</v>
      </c>
      <c r="D78" s="64">
        <v>11.93</v>
      </c>
      <c r="E78" s="64">
        <v>4.72</v>
      </c>
      <c r="F78" s="64">
        <v>3.97</v>
      </c>
      <c r="G78" s="64">
        <v>52.73</v>
      </c>
      <c r="H78" s="64">
        <v>21.56</v>
      </c>
      <c r="I78" s="64">
        <v>7.5</v>
      </c>
      <c r="J78" s="64">
        <v>1.63</v>
      </c>
      <c r="K78" s="64">
        <v>112.12</v>
      </c>
      <c r="L78" s="64">
        <v>30.57</v>
      </c>
      <c r="M78" s="64">
        <v>62.74</v>
      </c>
      <c r="N78" s="64">
        <v>73.400000000000006</v>
      </c>
      <c r="O78" s="64">
        <v>0</v>
      </c>
      <c r="P78" s="64">
        <v>0.42</v>
      </c>
      <c r="Q78" s="64">
        <v>0</v>
      </c>
      <c r="R78" s="198"/>
      <c r="S78" s="198"/>
      <c r="T78" s="198"/>
      <c r="U78" s="198"/>
    </row>
    <row r="79" spans="1:21" s="12" customFormat="1" x14ac:dyDescent="0.25">
      <c r="A79" s="214" t="s">
        <v>2815</v>
      </c>
      <c r="B79" s="64">
        <v>8.1300000000000008</v>
      </c>
      <c r="C79" s="64">
        <v>3.13</v>
      </c>
      <c r="D79" s="64">
        <v>11.93</v>
      </c>
      <c r="E79" s="64">
        <v>4.72</v>
      </c>
      <c r="F79" s="64">
        <v>3.97</v>
      </c>
      <c r="G79" s="64">
        <v>52.73</v>
      </c>
      <c r="H79" s="64">
        <v>21.56</v>
      </c>
      <c r="I79" s="64">
        <v>7.5</v>
      </c>
      <c r="J79" s="64">
        <v>1.63</v>
      </c>
      <c r="K79" s="64">
        <v>112.12</v>
      </c>
      <c r="L79" s="64">
        <v>30.57</v>
      </c>
      <c r="M79" s="64">
        <v>62.74</v>
      </c>
      <c r="N79" s="64">
        <v>73.400000000000006</v>
      </c>
      <c r="O79" s="64">
        <v>0</v>
      </c>
      <c r="P79" s="64">
        <v>0.42</v>
      </c>
      <c r="Q79" s="64">
        <v>0</v>
      </c>
      <c r="R79" s="198"/>
      <c r="S79" s="198"/>
      <c r="T79" s="198"/>
      <c r="U79" s="198"/>
    </row>
    <row r="80" spans="1:21" s="12" customFormat="1" x14ac:dyDescent="0.25">
      <c r="A80" s="214" t="s">
        <v>2816</v>
      </c>
      <c r="B80" s="64">
        <v>8.19</v>
      </c>
      <c r="C80" s="64">
        <v>3.33</v>
      </c>
      <c r="D80" s="64">
        <v>12.08</v>
      </c>
      <c r="E80" s="64">
        <v>4.53</v>
      </c>
      <c r="F80" s="64">
        <v>4.28</v>
      </c>
      <c r="G80" s="64">
        <v>46.95</v>
      </c>
      <c r="H80" s="64">
        <v>18.57</v>
      </c>
      <c r="I80" s="64">
        <v>7.15</v>
      </c>
      <c r="J80" s="64">
        <v>1.89</v>
      </c>
      <c r="K80" s="64">
        <v>104.46</v>
      </c>
      <c r="L80" s="64">
        <v>30.18</v>
      </c>
      <c r="M80" s="64">
        <v>63.9</v>
      </c>
      <c r="N80" s="64">
        <v>54.6</v>
      </c>
      <c r="O80" s="64">
        <v>0</v>
      </c>
      <c r="P80" s="64">
        <v>0.4</v>
      </c>
      <c r="Q80" s="64">
        <v>9.33</v>
      </c>
      <c r="R80" s="198"/>
      <c r="S80" s="198"/>
      <c r="T80" s="198"/>
      <c r="U80" s="198"/>
    </row>
    <row r="81" spans="1:26" s="12" customFormat="1" x14ac:dyDescent="0.25">
      <c r="A81" s="214" t="s">
        <v>2817</v>
      </c>
      <c r="B81" s="64">
        <v>8.15</v>
      </c>
      <c r="C81" s="64">
        <v>3.13</v>
      </c>
      <c r="D81" s="64">
        <v>11.95</v>
      </c>
      <c r="E81" s="64">
        <v>4.6100000000000003</v>
      </c>
      <c r="F81" s="64">
        <v>4.18</v>
      </c>
      <c r="G81" s="64">
        <v>49.62</v>
      </c>
      <c r="H81" s="64">
        <v>19.27</v>
      </c>
      <c r="I81" s="64">
        <v>7.13</v>
      </c>
      <c r="J81" s="64">
        <v>1.67</v>
      </c>
      <c r="K81" s="64">
        <v>99.54</v>
      </c>
      <c r="L81" s="64">
        <v>30.12</v>
      </c>
      <c r="M81" s="64">
        <v>61.82</v>
      </c>
      <c r="N81" s="64">
        <v>43.7</v>
      </c>
      <c r="O81" s="64">
        <v>0</v>
      </c>
      <c r="P81" s="64">
        <v>0.38</v>
      </c>
      <c r="Q81" s="64">
        <v>9.33</v>
      </c>
      <c r="R81" s="198"/>
      <c r="S81" s="198"/>
      <c r="T81" s="198"/>
      <c r="U81" s="198"/>
    </row>
    <row r="82" spans="1:26" s="12" customFormat="1" x14ac:dyDescent="0.25">
      <c r="A82" s="214" t="s">
        <v>2818</v>
      </c>
      <c r="B82" s="64">
        <v>8.16</v>
      </c>
      <c r="C82" s="64">
        <v>3.19</v>
      </c>
      <c r="D82" s="64">
        <v>11.98</v>
      </c>
      <c r="E82" s="64">
        <v>4.91</v>
      </c>
      <c r="F82" s="64">
        <v>4.1500000000000004</v>
      </c>
      <c r="G82" s="64">
        <v>49.62</v>
      </c>
      <c r="H82" s="64">
        <v>19.27</v>
      </c>
      <c r="I82" s="64">
        <v>7.02</v>
      </c>
      <c r="J82" s="64">
        <v>1.83</v>
      </c>
      <c r="K82" s="64">
        <v>103.93</v>
      </c>
      <c r="L82" s="64">
        <v>30.07</v>
      </c>
      <c r="M82" s="64">
        <v>60.66</v>
      </c>
      <c r="N82" s="64">
        <v>29.7</v>
      </c>
      <c r="O82" s="64">
        <v>0</v>
      </c>
      <c r="P82" s="64">
        <v>0.37</v>
      </c>
      <c r="Q82" s="64">
        <v>9.32</v>
      </c>
      <c r="R82" s="198"/>
      <c r="S82" s="198"/>
      <c r="T82" s="198"/>
      <c r="U82" s="198"/>
    </row>
    <row r="83" spans="1:26" s="12" customFormat="1" x14ac:dyDescent="0.25">
      <c r="A83" s="214" t="s">
        <v>2819</v>
      </c>
      <c r="B83" s="64">
        <v>8.16</v>
      </c>
      <c r="C83" s="64">
        <v>3.17</v>
      </c>
      <c r="D83" s="64">
        <v>11.97</v>
      </c>
      <c r="E83" s="64">
        <v>4.75</v>
      </c>
      <c r="F83" s="64">
        <v>3.79</v>
      </c>
      <c r="G83" s="64">
        <v>41.84</v>
      </c>
      <c r="H83" s="64">
        <v>15.77</v>
      </c>
      <c r="I83" s="64">
        <v>6.87</v>
      </c>
      <c r="J83" s="64">
        <v>1.75</v>
      </c>
      <c r="K83" s="64">
        <v>106.52</v>
      </c>
      <c r="L83" s="64">
        <v>29.95</v>
      </c>
      <c r="M83" s="64">
        <v>61.65</v>
      </c>
      <c r="N83" s="64">
        <v>19.5</v>
      </c>
      <c r="O83" s="64">
        <v>0</v>
      </c>
      <c r="P83" s="64">
        <v>0.36</v>
      </c>
      <c r="Q83" s="64">
        <v>9.33</v>
      </c>
      <c r="R83" s="198"/>
      <c r="S83" s="198"/>
      <c r="T83" s="198"/>
      <c r="U83" s="198"/>
    </row>
    <row r="84" spans="1:26" s="12" customFormat="1" x14ac:dyDescent="0.25">
      <c r="A84" s="214" t="s">
        <v>2820</v>
      </c>
      <c r="B84" s="64">
        <v>8.15</v>
      </c>
      <c r="C84" s="64">
        <v>3.15</v>
      </c>
      <c r="D84" s="64">
        <v>11.96</v>
      </c>
      <c r="E84" s="64">
        <v>4.63</v>
      </c>
      <c r="F84" s="64">
        <v>3.77</v>
      </c>
      <c r="G84" s="64">
        <v>36.880000000000003</v>
      </c>
      <c r="H84" s="64">
        <v>13.54</v>
      </c>
      <c r="I84" s="64">
        <v>6.76</v>
      </c>
      <c r="J84" s="64">
        <v>1.61</v>
      </c>
      <c r="K84" s="64">
        <v>104.32</v>
      </c>
      <c r="L84" s="64">
        <v>29.84</v>
      </c>
      <c r="M84" s="64">
        <v>62.44</v>
      </c>
      <c r="N84" s="64">
        <v>17.3</v>
      </c>
      <c r="O84" s="64">
        <v>0</v>
      </c>
      <c r="P84" s="64">
        <v>0.36</v>
      </c>
      <c r="Q84" s="64">
        <v>9.32</v>
      </c>
      <c r="R84" s="198"/>
      <c r="S84" s="198"/>
      <c r="T84" s="198"/>
      <c r="U84" s="198"/>
    </row>
    <row r="85" spans="1:26" s="12" customFormat="1" x14ac:dyDescent="0.25">
      <c r="A85" s="214" t="s">
        <v>2821</v>
      </c>
      <c r="B85" s="64">
        <v>8.14</v>
      </c>
      <c r="C85" s="64">
        <v>3.12</v>
      </c>
      <c r="D85" s="64">
        <v>11.93</v>
      </c>
      <c r="E85" s="64">
        <v>4.79</v>
      </c>
      <c r="F85" s="64">
        <v>4.1399999999999997</v>
      </c>
      <c r="G85" s="64">
        <v>36.880000000000003</v>
      </c>
      <c r="H85" s="64">
        <v>13.54</v>
      </c>
      <c r="I85" s="64">
        <v>6.67</v>
      </c>
      <c r="J85" s="64">
        <v>0.5</v>
      </c>
      <c r="K85" s="64">
        <v>102.3</v>
      </c>
      <c r="L85" s="64">
        <v>29.62</v>
      </c>
      <c r="M85" s="64">
        <v>64.680000000000007</v>
      </c>
      <c r="N85" s="64">
        <v>17.399999999999999</v>
      </c>
      <c r="O85" s="64">
        <v>0</v>
      </c>
      <c r="P85" s="64">
        <v>0.39</v>
      </c>
      <c r="Q85" s="64">
        <v>9.35</v>
      </c>
      <c r="R85" s="198"/>
      <c r="S85" s="198"/>
      <c r="T85" s="198"/>
      <c r="U85" s="198"/>
    </row>
    <row r="86" spans="1:26" s="12" customFormat="1" x14ac:dyDescent="0.25">
      <c r="A86" s="214" t="s">
        <v>2822</v>
      </c>
      <c r="B86" s="64">
        <v>8.1300000000000008</v>
      </c>
      <c r="C86" s="64">
        <v>3.19</v>
      </c>
      <c r="D86" s="64">
        <v>11.96</v>
      </c>
      <c r="E86" s="64">
        <v>4.9800000000000004</v>
      </c>
      <c r="F86" s="64">
        <v>3.5</v>
      </c>
      <c r="G86" s="64">
        <v>36.880000000000003</v>
      </c>
      <c r="H86" s="64">
        <v>13.54</v>
      </c>
      <c r="I86" s="64">
        <v>6.56</v>
      </c>
      <c r="J86" s="64">
        <v>0.82</v>
      </c>
      <c r="K86" s="64">
        <v>198.02</v>
      </c>
      <c r="L86" s="64">
        <v>29.38</v>
      </c>
      <c r="M86" s="64">
        <v>65.92</v>
      </c>
      <c r="N86" s="64">
        <v>17.2</v>
      </c>
      <c r="O86" s="64">
        <v>0</v>
      </c>
      <c r="P86" s="64">
        <v>0.42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4" t="s">
        <v>2823</v>
      </c>
      <c r="B87" s="64">
        <v>8.16</v>
      </c>
      <c r="C87" s="64">
        <v>3.16</v>
      </c>
      <c r="D87" s="64">
        <v>11.97</v>
      </c>
      <c r="E87" s="64">
        <v>6.16</v>
      </c>
      <c r="F87" s="64">
        <v>3.18</v>
      </c>
      <c r="G87" s="64">
        <v>37.39</v>
      </c>
      <c r="H87" s="64">
        <v>12.63</v>
      </c>
      <c r="I87" s="64">
        <v>6.41</v>
      </c>
      <c r="J87" s="64">
        <v>0.09</v>
      </c>
      <c r="K87" s="64">
        <v>31.77</v>
      </c>
      <c r="L87" s="64">
        <v>29.26</v>
      </c>
      <c r="M87" s="64">
        <v>66.48</v>
      </c>
      <c r="N87" s="64">
        <v>17.2</v>
      </c>
      <c r="O87" s="64">
        <v>0</v>
      </c>
      <c r="P87" s="64">
        <v>0.43</v>
      </c>
      <c r="Q87" s="64">
        <v>9.35</v>
      </c>
      <c r="R87" s="198"/>
      <c r="S87" s="198"/>
      <c r="T87" s="198"/>
      <c r="U87" s="198"/>
    </row>
    <row r="88" spans="1:26" s="12" customFormat="1" x14ac:dyDescent="0.25">
      <c r="A88" s="214" t="s">
        <v>2824</v>
      </c>
      <c r="B88" s="64">
        <v>8.2200000000000006</v>
      </c>
      <c r="C88" s="64">
        <v>3.26</v>
      </c>
      <c r="D88" s="64">
        <v>12.07</v>
      </c>
      <c r="E88" s="64">
        <v>4.7</v>
      </c>
      <c r="F88" s="64">
        <v>3.37</v>
      </c>
      <c r="G88" s="64">
        <v>37.72</v>
      </c>
      <c r="H88" s="64">
        <v>12.05</v>
      </c>
      <c r="I88" s="64">
        <v>5.78</v>
      </c>
      <c r="J88" s="64">
        <v>0.72</v>
      </c>
      <c r="K88" s="64">
        <v>102.16</v>
      </c>
      <c r="L88" s="64">
        <v>29.41</v>
      </c>
      <c r="M88" s="64">
        <v>65.56</v>
      </c>
      <c r="N88" s="64">
        <v>17.100000000000001</v>
      </c>
      <c r="O88" s="64">
        <v>0</v>
      </c>
      <c r="P88" s="64">
        <v>0.44</v>
      </c>
      <c r="Q88" s="64">
        <v>9.33</v>
      </c>
      <c r="R88" s="198"/>
      <c r="S88" s="198"/>
      <c r="T88" s="198"/>
      <c r="U88" s="198"/>
    </row>
    <row r="89" spans="1:26" s="12" customFormat="1" x14ac:dyDescent="0.25">
      <c r="A89" s="214" t="s">
        <v>2825</v>
      </c>
      <c r="B89" s="64">
        <v>8.19</v>
      </c>
      <c r="C89" s="64">
        <v>3.2</v>
      </c>
      <c r="D89" s="64">
        <v>12.01</v>
      </c>
      <c r="E89" s="64">
        <v>3.93</v>
      </c>
      <c r="F89" s="64">
        <v>3.51</v>
      </c>
      <c r="G89" s="64">
        <v>37.72</v>
      </c>
      <c r="H89" s="64">
        <v>12.05</v>
      </c>
      <c r="I89" s="64">
        <v>5.25</v>
      </c>
      <c r="J89" s="64">
        <v>1.3</v>
      </c>
      <c r="K89" s="64">
        <v>102.76</v>
      </c>
      <c r="L89" s="64">
        <v>29.49</v>
      </c>
      <c r="M89" s="64">
        <v>64.849999999999994</v>
      </c>
      <c r="N89" s="64">
        <v>17</v>
      </c>
      <c r="O89" s="64">
        <v>0</v>
      </c>
      <c r="P89" s="64">
        <v>0.45</v>
      </c>
      <c r="Q89" s="64">
        <v>9.34</v>
      </c>
      <c r="R89" s="198"/>
      <c r="S89" s="198"/>
      <c r="T89" s="198"/>
      <c r="U89" s="198"/>
    </row>
    <row r="90" spans="1:26" s="12" customFormat="1" x14ac:dyDescent="0.25">
      <c r="A90" s="214" t="s">
        <v>2826</v>
      </c>
      <c r="B90" s="64">
        <v>8.18</v>
      </c>
      <c r="C90" s="64">
        <v>3.16</v>
      </c>
      <c r="D90" s="64">
        <v>11.98</v>
      </c>
      <c r="E90" s="64">
        <v>4.07</v>
      </c>
      <c r="F90" s="64">
        <v>3.46</v>
      </c>
      <c r="G90" s="64">
        <v>37.72</v>
      </c>
      <c r="H90" s="64">
        <v>12.05</v>
      </c>
      <c r="I90" s="64">
        <v>5.22</v>
      </c>
      <c r="J90" s="64">
        <v>0.53</v>
      </c>
      <c r="K90" s="64">
        <v>118.44</v>
      </c>
      <c r="L90" s="64">
        <v>29.4</v>
      </c>
      <c r="M90" s="64">
        <v>65.41</v>
      </c>
      <c r="N90" s="64">
        <v>17.3</v>
      </c>
      <c r="O90" s="64">
        <v>0</v>
      </c>
      <c r="P90" s="64">
        <v>0.45</v>
      </c>
      <c r="Q90" s="64">
        <v>9.36</v>
      </c>
      <c r="R90" s="198"/>
      <c r="S90" s="198"/>
      <c r="T90" s="198"/>
      <c r="U90" s="198"/>
    </row>
    <row r="91" spans="1:26" s="12" customFormat="1" x14ac:dyDescent="0.25">
      <c r="A91" s="214" t="s">
        <v>2827</v>
      </c>
      <c r="B91" s="64">
        <v>8.23</v>
      </c>
      <c r="C91" s="64">
        <v>3.26</v>
      </c>
      <c r="D91" s="64">
        <v>12.08</v>
      </c>
      <c r="E91" s="64">
        <v>4.2300000000000004</v>
      </c>
      <c r="F91" s="64">
        <v>3.24</v>
      </c>
      <c r="G91" s="64">
        <v>41.41</v>
      </c>
      <c r="H91" s="64">
        <v>11.09</v>
      </c>
      <c r="I91" s="64">
        <v>5.65</v>
      </c>
      <c r="J91" s="64">
        <v>0.63</v>
      </c>
      <c r="K91" s="64">
        <v>185.73</v>
      </c>
      <c r="L91" s="64">
        <v>29.2</v>
      </c>
      <c r="M91" s="64">
        <v>67.45</v>
      </c>
      <c r="N91" s="64">
        <v>17.399999999999999</v>
      </c>
      <c r="O91" s="64">
        <v>0</v>
      </c>
      <c r="P91" s="64">
        <v>0.47</v>
      </c>
      <c r="Q91" s="64">
        <v>9.35</v>
      </c>
      <c r="R91" s="198"/>
      <c r="S91" s="198"/>
      <c r="T91" s="198"/>
      <c r="U91" s="198"/>
    </row>
    <row r="92" spans="1:26" s="12" customFormat="1" x14ac:dyDescent="0.25">
      <c r="A92" s="214" t="s">
        <v>2828</v>
      </c>
      <c r="B92" s="64">
        <v>8.2200000000000006</v>
      </c>
      <c r="C92" s="64">
        <v>3.17</v>
      </c>
      <c r="D92" s="64">
        <v>12.03</v>
      </c>
      <c r="E92" s="64">
        <v>3.94</v>
      </c>
      <c r="F92" s="64">
        <v>3.29</v>
      </c>
      <c r="G92" s="64">
        <v>43.76</v>
      </c>
      <c r="H92" s="64">
        <v>10.49</v>
      </c>
      <c r="I92" s="64">
        <v>6.04</v>
      </c>
      <c r="J92" s="64">
        <v>0.56000000000000005</v>
      </c>
      <c r="K92" s="64">
        <v>166.69</v>
      </c>
      <c r="L92" s="64">
        <v>29.06</v>
      </c>
      <c r="M92" s="64">
        <v>68.72</v>
      </c>
      <c r="N92" s="64">
        <v>17.399999999999999</v>
      </c>
      <c r="O92" s="64">
        <v>0</v>
      </c>
      <c r="P92" s="64">
        <v>0.48</v>
      </c>
      <c r="Q92" s="64">
        <v>9.3699999999999992</v>
      </c>
      <c r="R92" s="198"/>
      <c r="S92" s="198"/>
      <c r="T92" s="198"/>
      <c r="U92" s="198"/>
    </row>
    <row r="93" spans="1:26" s="12" customFormat="1" x14ac:dyDescent="0.25">
      <c r="A93" s="214" t="s">
        <v>2829</v>
      </c>
      <c r="B93" s="64">
        <v>8.23</v>
      </c>
      <c r="C93" s="64">
        <v>3.25</v>
      </c>
      <c r="D93" s="64">
        <v>12.07</v>
      </c>
      <c r="E93" s="64">
        <v>4.0199999999999996</v>
      </c>
      <c r="F93" s="64">
        <v>3.77</v>
      </c>
      <c r="G93" s="64">
        <v>43.76</v>
      </c>
      <c r="H93" s="64">
        <v>10.49</v>
      </c>
      <c r="I93" s="64">
        <v>6.12</v>
      </c>
      <c r="J93" s="64">
        <v>0.74</v>
      </c>
      <c r="K93" s="64">
        <v>33.67</v>
      </c>
      <c r="L93" s="64">
        <v>28.55</v>
      </c>
      <c r="M93" s="64">
        <v>75.52</v>
      </c>
      <c r="N93" s="64">
        <v>18.100000000000001</v>
      </c>
      <c r="O93" s="64">
        <v>0</v>
      </c>
      <c r="P93" s="64">
        <v>0.49</v>
      </c>
      <c r="Q93" s="64">
        <v>9.3800000000000008</v>
      </c>
      <c r="R93" s="198"/>
      <c r="S93" s="198"/>
      <c r="T93" s="198"/>
      <c r="U93" s="198"/>
    </row>
    <row r="94" spans="1:26" s="12" customFormat="1" x14ac:dyDescent="0.25">
      <c r="A94" s="214" t="s">
        <v>2830</v>
      </c>
      <c r="B94" s="64">
        <v>8.2200000000000006</v>
      </c>
      <c r="C94" s="64">
        <v>3.23</v>
      </c>
      <c r="D94" s="64">
        <v>12.06</v>
      </c>
      <c r="E94" s="64">
        <v>4.1399999999999997</v>
      </c>
      <c r="F94" s="64">
        <v>3.93</v>
      </c>
      <c r="G94" s="64">
        <v>43.76</v>
      </c>
      <c r="H94" s="64">
        <v>10.49</v>
      </c>
      <c r="I94" s="64">
        <v>6.07</v>
      </c>
      <c r="J94" s="64">
        <v>0.42</v>
      </c>
      <c r="K94" s="64">
        <v>25.57</v>
      </c>
      <c r="L94" s="64">
        <v>27.48</v>
      </c>
      <c r="M94" s="64">
        <v>80.62</v>
      </c>
      <c r="N94" s="64">
        <v>18.8</v>
      </c>
      <c r="O94" s="64">
        <v>0</v>
      </c>
      <c r="P94" s="64">
        <v>0.49</v>
      </c>
      <c r="Q94" s="64">
        <v>9.42</v>
      </c>
      <c r="R94" s="198"/>
      <c r="S94" s="198"/>
      <c r="T94" s="198"/>
      <c r="U94" s="198"/>
    </row>
    <row r="95" spans="1:26" s="12" customFormat="1" x14ac:dyDescent="0.25">
      <c r="A95" s="214" t="s">
        <v>2831</v>
      </c>
      <c r="B95" s="64">
        <v>8.23</v>
      </c>
      <c r="C95" s="64">
        <v>3.31</v>
      </c>
      <c r="D95" s="64">
        <v>12.11</v>
      </c>
      <c r="E95" s="64">
        <v>4.3099999999999996</v>
      </c>
      <c r="F95" s="64">
        <v>4.54</v>
      </c>
      <c r="G95" s="64">
        <v>42.98</v>
      </c>
      <c r="H95" s="64">
        <v>11.2</v>
      </c>
      <c r="I95" s="64">
        <v>5.9</v>
      </c>
      <c r="J95" s="64">
        <v>0.46</v>
      </c>
      <c r="K95" s="64">
        <v>9.15</v>
      </c>
      <c r="L95" s="64">
        <v>26.72</v>
      </c>
      <c r="M95" s="64">
        <v>83.6</v>
      </c>
      <c r="N95" s="64">
        <v>18.3</v>
      </c>
      <c r="O95" s="64">
        <v>0</v>
      </c>
      <c r="P95" s="64">
        <v>0.48</v>
      </c>
      <c r="Q95" s="64">
        <v>9.44</v>
      </c>
      <c r="R95" s="198"/>
      <c r="S95" s="198"/>
      <c r="T95" s="198"/>
      <c r="U95" s="198"/>
    </row>
    <row r="96" spans="1:26" s="12" customFormat="1" x14ac:dyDescent="0.25">
      <c r="A96" s="214" t="s">
        <v>2832</v>
      </c>
      <c r="B96" s="64">
        <v>8.18</v>
      </c>
      <c r="C96" s="64">
        <v>3.29</v>
      </c>
      <c r="D96" s="64">
        <v>12.05</v>
      </c>
      <c r="E96" s="64">
        <v>4.33</v>
      </c>
      <c r="F96" s="64">
        <v>4.21</v>
      </c>
      <c r="G96" s="64">
        <v>42.49</v>
      </c>
      <c r="H96" s="64">
        <v>11.65</v>
      </c>
      <c r="I96" s="64">
        <v>5.37</v>
      </c>
      <c r="J96" s="64">
        <v>0.6</v>
      </c>
      <c r="K96" s="64">
        <v>26.98</v>
      </c>
      <c r="L96" s="64">
        <v>26.31</v>
      </c>
      <c r="M96" s="64">
        <v>84.7</v>
      </c>
      <c r="N96" s="64">
        <v>17.7</v>
      </c>
      <c r="O96" s="64">
        <v>0</v>
      </c>
      <c r="P96" s="64">
        <v>0.46</v>
      </c>
      <c r="Q96" s="64">
        <v>9.41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2833</v>
      </c>
      <c r="B97" s="64">
        <v>8.18</v>
      </c>
      <c r="C97" s="64">
        <v>3.26</v>
      </c>
      <c r="D97" s="64">
        <v>12.03</v>
      </c>
      <c r="E97" s="64">
        <v>4.01</v>
      </c>
      <c r="F97" s="64">
        <v>4.3</v>
      </c>
      <c r="G97" s="64">
        <v>42.49</v>
      </c>
      <c r="H97" s="64">
        <v>11.65</v>
      </c>
      <c r="I97" s="64">
        <v>4.93</v>
      </c>
      <c r="J97" s="64">
        <v>0.13</v>
      </c>
      <c r="K97" s="64">
        <v>318.08</v>
      </c>
      <c r="L97" s="64">
        <v>26.07</v>
      </c>
      <c r="M97" s="64">
        <v>85.12</v>
      </c>
      <c r="N97" s="64">
        <v>17.7</v>
      </c>
      <c r="O97" s="64">
        <v>0</v>
      </c>
      <c r="P97" s="64">
        <v>0.44</v>
      </c>
      <c r="Q97" s="64">
        <v>9.41</v>
      </c>
      <c r="R97" s="198"/>
      <c r="S97" s="198"/>
      <c r="T97" s="198"/>
      <c r="U97" s="198"/>
    </row>
    <row r="98" spans="1:33" s="12" customFormat="1" x14ac:dyDescent="0.25">
      <c r="A98" s="214" t="s">
        <v>2834</v>
      </c>
      <c r="B98" s="64">
        <v>8.15</v>
      </c>
      <c r="C98" s="64">
        <v>3.15</v>
      </c>
      <c r="D98" s="64">
        <v>11.95</v>
      </c>
      <c r="E98" s="64">
        <v>3.78</v>
      </c>
      <c r="F98" s="64">
        <v>4.22</v>
      </c>
      <c r="G98" s="64">
        <v>42.49</v>
      </c>
      <c r="H98" s="64">
        <v>11.65</v>
      </c>
      <c r="I98" s="64">
        <v>4.38</v>
      </c>
      <c r="J98" s="64">
        <v>0.15</v>
      </c>
      <c r="K98" s="64">
        <v>3.69</v>
      </c>
      <c r="L98" s="64">
        <v>25.66</v>
      </c>
      <c r="M98" s="64">
        <v>87.22</v>
      </c>
      <c r="N98" s="64">
        <v>17.8</v>
      </c>
      <c r="O98" s="64">
        <v>0</v>
      </c>
      <c r="P98" s="64">
        <v>0.43</v>
      </c>
      <c r="Q98" s="64">
        <v>9.39</v>
      </c>
      <c r="R98" s="198"/>
      <c r="S98" s="198"/>
      <c r="T98" s="198"/>
      <c r="U98" s="198"/>
    </row>
    <row r="99" spans="1:33" s="12" customFormat="1" x14ac:dyDescent="0.25">
      <c r="A99" s="214" t="s">
        <v>2835</v>
      </c>
      <c r="B99" s="64">
        <v>8.14</v>
      </c>
      <c r="C99" s="64">
        <v>3.03</v>
      </c>
      <c r="D99" s="64">
        <v>11.88</v>
      </c>
      <c r="E99" s="64">
        <v>3.83</v>
      </c>
      <c r="F99" s="64">
        <v>4.8099999999999996</v>
      </c>
      <c r="G99" s="64">
        <v>40.44</v>
      </c>
      <c r="H99" s="64">
        <v>11.84</v>
      </c>
      <c r="I99" s="64">
        <v>3.83</v>
      </c>
      <c r="J99" s="64">
        <v>0.52</v>
      </c>
      <c r="K99" s="64">
        <v>18.71</v>
      </c>
      <c r="L99" s="64">
        <v>25.33</v>
      </c>
      <c r="M99" s="64">
        <v>89.82</v>
      </c>
      <c r="N99" s="64">
        <v>17.5</v>
      </c>
      <c r="O99" s="64">
        <v>0</v>
      </c>
      <c r="P99" s="64">
        <v>0.42</v>
      </c>
      <c r="Q99" s="64">
        <v>9.39</v>
      </c>
      <c r="R99" s="198"/>
      <c r="S99" s="198"/>
      <c r="T99" s="198"/>
      <c r="U99" s="198"/>
    </row>
    <row r="100" spans="1:33" s="12" customFormat="1" x14ac:dyDescent="0.25">
      <c r="A100" s="214" t="s">
        <v>2836</v>
      </c>
      <c r="B100" s="64">
        <v>8.11</v>
      </c>
      <c r="C100" s="64">
        <v>3.02</v>
      </c>
      <c r="D100" s="64">
        <v>11.86</v>
      </c>
      <c r="E100" s="64">
        <v>4.24</v>
      </c>
      <c r="F100" s="64">
        <v>4.4800000000000004</v>
      </c>
      <c r="G100" s="64">
        <v>39.14</v>
      </c>
      <c r="H100" s="64">
        <v>11.96</v>
      </c>
      <c r="I100" s="64">
        <v>3.52</v>
      </c>
      <c r="J100" s="64">
        <v>0.15</v>
      </c>
      <c r="K100" s="64">
        <v>300.43</v>
      </c>
      <c r="L100" s="64">
        <v>25.17</v>
      </c>
      <c r="M100" s="64">
        <v>91.3</v>
      </c>
      <c r="N100" s="64">
        <v>17.399999999999999</v>
      </c>
      <c r="O100" s="64">
        <v>0</v>
      </c>
      <c r="P100" s="64">
        <v>0.41</v>
      </c>
      <c r="Q100" s="64">
        <v>9.3699999999999992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2837</v>
      </c>
      <c r="B101" s="64">
        <v>8.1199999999999992</v>
      </c>
      <c r="C101" s="64">
        <v>3.09</v>
      </c>
      <c r="D101" s="64">
        <v>11.9</v>
      </c>
      <c r="E101" s="64">
        <v>4.29</v>
      </c>
      <c r="F101" s="64">
        <v>3.59</v>
      </c>
      <c r="G101" s="64">
        <v>39.14</v>
      </c>
      <c r="H101" s="64">
        <v>11.96</v>
      </c>
      <c r="I101" s="64">
        <v>3.27</v>
      </c>
      <c r="J101" s="64">
        <v>0.03</v>
      </c>
      <c r="K101" s="64">
        <v>307.54000000000002</v>
      </c>
      <c r="L101" s="64">
        <v>24.97</v>
      </c>
      <c r="M101" s="64">
        <v>92.63</v>
      </c>
      <c r="N101" s="64">
        <v>17.399999999999999</v>
      </c>
      <c r="O101" s="64">
        <v>0</v>
      </c>
      <c r="P101" s="64">
        <v>0.39</v>
      </c>
      <c r="Q101" s="64">
        <v>9.34</v>
      </c>
      <c r="R101" s="198"/>
      <c r="S101" s="198"/>
      <c r="T101" s="198"/>
      <c r="U101" s="198"/>
    </row>
    <row r="102" spans="1:33" s="12" customFormat="1" x14ac:dyDescent="0.25">
      <c r="A102" s="214" t="s">
        <v>2838</v>
      </c>
      <c r="B102" s="64">
        <v>8.16</v>
      </c>
      <c r="C102" s="64">
        <v>3.18</v>
      </c>
      <c r="D102" s="64">
        <v>11.98</v>
      </c>
      <c r="E102" s="64">
        <v>4.17</v>
      </c>
      <c r="F102" s="64">
        <v>4.1399999999999997</v>
      </c>
      <c r="G102" s="64">
        <v>39.14</v>
      </c>
      <c r="H102" s="64">
        <v>11.96</v>
      </c>
      <c r="I102" s="64">
        <v>3.03</v>
      </c>
      <c r="J102" s="64">
        <v>0.01</v>
      </c>
      <c r="K102" s="64">
        <v>4.59</v>
      </c>
      <c r="L102" s="64">
        <v>24.8</v>
      </c>
      <c r="M102" s="64">
        <v>94.16</v>
      </c>
      <c r="N102" s="64">
        <v>17.3</v>
      </c>
      <c r="O102" s="64">
        <v>0</v>
      </c>
      <c r="P102" s="64">
        <v>0.38</v>
      </c>
      <c r="Q102" s="64">
        <v>9.31</v>
      </c>
      <c r="R102" s="198"/>
      <c r="S102" s="198"/>
      <c r="T102" s="198"/>
      <c r="U102" s="198"/>
    </row>
    <row r="103" spans="1:33" s="12" customFormat="1" x14ac:dyDescent="0.25">
      <c r="A103" s="214" t="s">
        <v>2839</v>
      </c>
      <c r="B103" s="64">
        <v>8.15</v>
      </c>
      <c r="C103" s="64">
        <v>3.1</v>
      </c>
      <c r="D103" s="64">
        <v>11.93</v>
      </c>
      <c r="E103" s="64">
        <v>4.8</v>
      </c>
      <c r="F103" s="64">
        <v>4.13</v>
      </c>
      <c r="G103" s="64">
        <v>34.86</v>
      </c>
      <c r="H103" s="64">
        <v>10.49</v>
      </c>
      <c r="I103" s="64">
        <v>2.85</v>
      </c>
      <c r="J103" s="64">
        <v>0.59</v>
      </c>
      <c r="K103" s="64">
        <v>27.37</v>
      </c>
      <c r="L103" s="64">
        <v>24.81</v>
      </c>
      <c r="M103" s="64">
        <v>94.37</v>
      </c>
      <c r="N103" s="64">
        <v>17</v>
      </c>
      <c r="O103" s="64">
        <v>0</v>
      </c>
      <c r="P103" s="64">
        <v>0.38</v>
      </c>
      <c r="Q103" s="64">
        <v>9.31</v>
      </c>
      <c r="R103" s="198"/>
      <c r="S103" s="198"/>
      <c r="T103" s="198"/>
      <c r="U103" s="198"/>
    </row>
    <row r="104" spans="1:33" s="12" customFormat="1" x14ac:dyDescent="0.25">
      <c r="A104" s="214" t="s">
        <v>2840</v>
      </c>
      <c r="B104" s="64">
        <v>8.16</v>
      </c>
      <c r="C104" s="64">
        <v>3.12</v>
      </c>
      <c r="D104" s="64">
        <v>11.95</v>
      </c>
      <c r="E104" s="64">
        <v>4.8</v>
      </c>
      <c r="F104" s="64">
        <v>3.28</v>
      </c>
      <c r="G104" s="64">
        <v>32.130000000000003</v>
      </c>
      <c r="H104" s="64">
        <v>9.56</v>
      </c>
      <c r="I104" s="64">
        <v>2.71</v>
      </c>
      <c r="J104" s="64">
        <v>0.27</v>
      </c>
      <c r="K104" s="64">
        <v>205.27</v>
      </c>
      <c r="L104" s="64">
        <v>24.73</v>
      </c>
      <c r="M104" s="64">
        <v>94.56</v>
      </c>
      <c r="N104" s="64">
        <v>17</v>
      </c>
      <c r="O104" s="64">
        <v>0</v>
      </c>
      <c r="P104" s="64">
        <v>0.36</v>
      </c>
      <c r="Q104" s="64">
        <v>9.2799999999999994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3.02</v>
      </c>
      <c r="D106" s="67">
        <f t="shared" ref="D106:Q106" si="0">MIN(D9:D104)</f>
        <v>11.86</v>
      </c>
      <c r="E106" s="67">
        <f t="shared" si="0"/>
        <v>3.2</v>
      </c>
      <c r="F106" s="67">
        <f t="shared" si="0"/>
        <v>2.38</v>
      </c>
      <c r="G106" s="67">
        <f t="shared" si="0"/>
        <v>11.25</v>
      </c>
      <c r="H106" s="67">
        <f t="shared" si="0"/>
        <v>3.82</v>
      </c>
      <c r="I106" s="67">
        <f t="shared" si="0"/>
        <v>2.71</v>
      </c>
      <c r="J106" s="67">
        <f t="shared" si="0"/>
        <v>0.01</v>
      </c>
      <c r="K106" s="67">
        <f t="shared" si="0"/>
        <v>2.19</v>
      </c>
      <c r="L106" s="67">
        <f t="shared" si="0"/>
        <v>23.29</v>
      </c>
      <c r="M106" s="67">
        <f t="shared" si="0"/>
        <v>57.7</v>
      </c>
      <c r="N106" s="67">
        <f t="shared" si="0"/>
        <v>17</v>
      </c>
      <c r="O106" s="67">
        <f t="shared" si="0"/>
        <v>0</v>
      </c>
      <c r="P106" s="67">
        <f t="shared" si="0"/>
        <v>0.28000000000000003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8.43</v>
      </c>
      <c r="C107" s="66">
        <f t="shared" ref="C107:Q107" si="1">MAX(C9:C104)</f>
        <v>3.78</v>
      </c>
      <c r="D107" s="66">
        <f t="shared" si="1"/>
        <v>12.51</v>
      </c>
      <c r="E107" s="66">
        <f t="shared" si="1"/>
        <v>6.31</v>
      </c>
      <c r="F107" s="66">
        <f t="shared" si="1"/>
        <v>5.15</v>
      </c>
      <c r="G107" s="66">
        <f t="shared" si="1"/>
        <v>84.28</v>
      </c>
      <c r="H107" s="66">
        <f t="shared" si="1"/>
        <v>28.32</v>
      </c>
      <c r="I107" s="66">
        <f t="shared" si="1"/>
        <v>7.57</v>
      </c>
      <c r="J107" s="66">
        <f t="shared" si="1"/>
        <v>1.89</v>
      </c>
      <c r="K107" s="66">
        <f t="shared" si="1"/>
        <v>343.65</v>
      </c>
      <c r="L107" s="66">
        <f t="shared" si="1"/>
        <v>33.28</v>
      </c>
      <c r="M107" s="66">
        <f t="shared" si="1"/>
        <v>98.35</v>
      </c>
      <c r="N107" s="66">
        <f t="shared" si="1"/>
        <v>930</v>
      </c>
      <c r="O107" s="66">
        <f t="shared" si="1"/>
        <v>0.2</v>
      </c>
      <c r="P107" s="66">
        <f t="shared" si="1"/>
        <v>0.59</v>
      </c>
      <c r="Q107" s="66">
        <f t="shared" si="1"/>
        <v>9.48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8.1867708333333322</v>
      </c>
      <c r="C108" s="67">
        <f t="shared" ref="C108:Q108" si="2">AVERAGE(C9:C104)</f>
        <v>3.1912499999999997</v>
      </c>
      <c r="D108" s="67">
        <f t="shared" si="2"/>
        <v>12.00677083333334</v>
      </c>
      <c r="E108" s="67">
        <f t="shared" si="2"/>
        <v>4.5456250000000011</v>
      </c>
      <c r="F108" s="67">
        <f t="shared" si="2"/>
        <v>3.8231250000000006</v>
      </c>
      <c r="G108" s="67">
        <f t="shared" si="2"/>
        <v>39.903333333333329</v>
      </c>
      <c r="H108" s="67">
        <f t="shared" si="2"/>
        <v>12.932916666666664</v>
      </c>
      <c r="I108" s="67">
        <f t="shared" si="2"/>
        <v>5.3119791666666654</v>
      </c>
      <c r="J108" s="67">
        <f t="shared" si="2"/>
        <v>0.70541666666666669</v>
      </c>
      <c r="K108" s="67">
        <f t="shared" si="2"/>
        <v>154.31572916666673</v>
      </c>
      <c r="L108" s="67">
        <f t="shared" si="2"/>
        <v>27.720312499999995</v>
      </c>
      <c r="M108" s="67">
        <f t="shared" si="2"/>
        <v>79.731041666666655</v>
      </c>
      <c r="N108" s="67">
        <f t="shared" si="2"/>
        <v>207.01354166666673</v>
      </c>
      <c r="O108" s="67">
        <f t="shared" si="2"/>
        <v>2.0833333333333333E-3</v>
      </c>
      <c r="P108" s="67">
        <f t="shared" si="2"/>
        <v>0.40604166666666658</v>
      </c>
      <c r="Q108" s="67">
        <f t="shared" si="2"/>
        <v>9.1650000000000045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4.8220868853458554E-2</v>
      </c>
      <c r="C109" s="67">
        <f t="shared" ref="C109:Q109" si="3">STDEV(C9:C104)</f>
        <v>0.10808622289148309</v>
      </c>
      <c r="D109" s="67">
        <f t="shared" si="3"/>
        <v>9.1473260880654925E-2</v>
      </c>
      <c r="E109" s="67">
        <f t="shared" si="3"/>
        <v>0.7300956137816067</v>
      </c>
      <c r="F109" s="67">
        <f t="shared" si="3"/>
        <v>0.55906371447456649</v>
      </c>
      <c r="G109" s="67">
        <f t="shared" si="3"/>
        <v>22.886221166855975</v>
      </c>
      <c r="H109" s="67">
        <f t="shared" si="3"/>
        <v>7.7286012783231524</v>
      </c>
      <c r="I109" s="67">
        <f t="shared" si="3"/>
        <v>1.0781090851863762</v>
      </c>
      <c r="J109" s="67">
        <f t="shared" si="3"/>
        <v>0.47394629201977978</v>
      </c>
      <c r="K109" s="67">
        <f t="shared" si="3"/>
        <v>108.4857051727606</v>
      </c>
      <c r="L109" s="67">
        <f t="shared" si="3"/>
        <v>3.3135903419022115</v>
      </c>
      <c r="M109" s="67">
        <f t="shared" si="3"/>
        <v>15.964750412881989</v>
      </c>
      <c r="N109" s="67">
        <f t="shared" si="3"/>
        <v>274.45087974652273</v>
      </c>
      <c r="O109" s="67">
        <f t="shared" si="3"/>
        <v>2.0412414523193152E-2</v>
      </c>
      <c r="P109" s="67">
        <f t="shared" si="3"/>
        <v>9.3476472318937506E-2</v>
      </c>
      <c r="Q109" s="67">
        <f t="shared" si="3"/>
        <v>1.3446102937673512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2841</v>
      </c>
      <c r="B9" s="64">
        <v>8.26</v>
      </c>
      <c r="C9" s="64">
        <v>3.36</v>
      </c>
      <c r="D9" s="64">
        <v>12.16</v>
      </c>
      <c r="E9" s="64">
        <v>4.78</v>
      </c>
      <c r="F9" s="64">
        <v>3.8</v>
      </c>
      <c r="G9" s="64">
        <v>32.130000000000003</v>
      </c>
      <c r="H9" s="64">
        <v>9.56</v>
      </c>
      <c r="I9" s="64">
        <v>2.68</v>
      </c>
      <c r="J9" s="64">
        <v>0.71</v>
      </c>
      <c r="K9" s="64">
        <v>197.06</v>
      </c>
      <c r="L9" s="64">
        <v>24.67</v>
      </c>
      <c r="M9" s="64">
        <v>94.47</v>
      </c>
      <c r="N9" s="64">
        <v>17</v>
      </c>
      <c r="O9" s="64">
        <v>0</v>
      </c>
      <c r="P9" s="64">
        <v>0.35</v>
      </c>
      <c r="Q9" s="64">
        <v>9.2899999999999991</v>
      </c>
      <c r="R9" s="198"/>
      <c r="S9" s="198"/>
      <c r="T9" s="198"/>
      <c r="U9" s="198"/>
    </row>
    <row r="10" spans="1:21" s="12" customFormat="1" x14ac:dyDescent="0.25">
      <c r="A10" s="214" t="s">
        <v>2842</v>
      </c>
      <c r="B10" s="64">
        <v>8.25</v>
      </c>
      <c r="C10" s="64">
        <v>3.32</v>
      </c>
      <c r="D10" s="64">
        <v>12.13</v>
      </c>
      <c r="E10" s="64">
        <v>4.43</v>
      </c>
      <c r="F10" s="64">
        <v>3.71</v>
      </c>
      <c r="G10" s="64">
        <v>32.130000000000003</v>
      </c>
      <c r="H10" s="64">
        <v>9.56</v>
      </c>
      <c r="I10" s="64">
        <v>2.5</v>
      </c>
      <c r="J10" s="64">
        <v>0.42</v>
      </c>
      <c r="K10" s="64">
        <v>213.29</v>
      </c>
      <c r="L10" s="64">
        <v>24.59</v>
      </c>
      <c r="M10" s="64">
        <v>94.29</v>
      </c>
      <c r="N10" s="64">
        <v>17</v>
      </c>
      <c r="O10" s="64">
        <v>0</v>
      </c>
      <c r="P10" s="64">
        <v>0.34</v>
      </c>
      <c r="Q10" s="64">
        <v>9.2899999999999991</v>
      </c>
      <c r="R10" s="198"/>
      <c r="S10" s="198"/>
      <c r="T10" s="198"/>
      <c r="U10" s="198"/>
    </row>
    <row r="11" spans="1:21" s="12" customFormat="1" x14ac:dyDescent="0.25">
      <c r="A11" s="214" t="s">
        <v>2843</v>
      </c>
      <c r="B11" s="64">
        <v>8.2100000000000009</v>
      </c>
      <c r="C11" s="64">
        <v>3.17</v>
      </c>
      <c r="D11" s="64">
        <v>12.02</v>
      </c>
      <c r="E11" s="64">
        <v>4.5199999999999996</v>
      </c>
      <c r="F11" s="64">
        <v>3.98</v>
      </c>
      <c r="G11" s="64">
        <v>26.57</v>
      </c>
      <c r="H11" s="64">
        <v>8.0399999999999991</v>
      </c>
      <c r="I11" s="64">
        <v>2.4300000000000002</v>
      </c>
      <c r="J11" s="64">
        <v>0.71</v>
      </c>
      <c r="K11" s="64">
        <v>164.9</v>
      </c>
      <c r="L11" s="64">
        <v>24.42</v>
      </c>
      <c r="M11" s="64">
        <v>95.61</v>
      </c>
      <c r="N11" s="64">
        <v>17.399999999999999</v>
      </c>
      <c r="O11" s="64">
        <v>0</v>
      </c>
      <c r="P11" s="64">
        <v>0.34</v>
      </c>
      <c r="Q11" s="64">
        <v>9.31</v>
      </c>
      <c r="R11" s="198"/>
      <c r="S11" s="198"/>
      <c r="T11" s="198"/>
      <c r="U11" s="198"/>
    </row>
    <row r="12" spans="1:21" s="12" customFormat="1" x14ac:dyDescent="0.25">
      <c r="A12" s="214" t="s">
        <v>2844</v>
      </c>
      <c r="B12" s="64">
        <v>8.1999999999999993</v>
      </c>
      <c r="C12" s="64">
        <v>3.17</v>
      </c>
      <c r="D12" s="64">
        <v>12.01</v>
      </c>
      <c r="E12" s="64">
        <v>4.9000000000000004</v>
      </c>
      <c r="F12" s="64">
        <v>3.9</v>
      </c>
      <c r="G12" s="64">
        <v>23.03</v>
      </c>
      <c r="H12" s="64">
        <v>7.07</v>
      </c>
      <c r="I12" s="64">
        <v>2.54</v>
      </c>
      <c r="J12" s="64">
        <v>0.46</v>
      </c>
      <c r="K12" s="64">
        <v>151.69999999999999</v>
      </c>
      <c r="L12" s="64">
        <v>24.12</v>
      </c>
      <c r="M12" s="64">
        <v>98.22</v>
      </c>
      <c r="N12" s="64">
        <v>17.399999999999999</v>
      </c>
      <c r="O12" s="64">
        <v>0</v>
      </c>
      <c r="P12" s="64">
        <v>0.33</v>
      </c>
      <c r="Q12" s="64">
        <v>9.31</v>
      </c>
      <c r="R12" s="198"/>
      <c r="S12" s="198"/>
      <c r="T12" s="198"/>
      <c r="U12" s="198"/>
    </row>
    <row r="13" spans="1:21" s="12" customFormat="1" x14ac:dyDescent="0.25">
      <c r="A13" s="214" t="s">
        <v>2845</v>
      </c>
      <c r="B13" s="64">
        <v>8.17</v>
      </c>
      <c r="C13" s="64">
        <v>3.13</v>
      </c>
      <c r="D13" s="64">
        <v>11.97</v>
      </c>
      <c r="E13" s="64">
        <v>4.8099999999999996</v>
      </c>
      <c r="F13" s="64">
        <v>3.73</v>
      </c>
      <c r="G13" s="64">
        <v>23.03</v>
      </c>
      <c r="H13" s="64">
        <v>7.07</v>
      </c>
      <c r="I13" s="64">
        <v>2.71</v>
      </c>
      <c r="J13" s="64">
        <v>0.28999999999999998</v>
      </c>
      <c r="K13" s="64">
        <v>215.51</v>
      </c>
      <c r="L13" s="64">
        <v>24.1</v>
      </c>
      <c r="M13" s="64">
        <v>98.32</v>
      </c>
      <c r="N13" s="64">
        <v>17</v>
      </c>
      <c r="O13" s="64">
        <v>0</v>
      </c>
      <c r="P13" s="64">
        <v>0.28999999999999998</v>
      </c>
      <c r="Q13" s="64">
        <v>9.33</v>
      </c>
      <c r="R13" s="198"/>
      <c r="S13" s="198"/>
      <c r="T13" s="198"/>
      <c r="U13" s="198"/>
    </row>
    <row r="14" spans="1:21" s="12" customFormat="1" x14ac:dyDescent="0.25">
      <c r="A14" s="214" t="s">
        <v>2846</v>
      </c>
      <c r="B14" s="64">
        <v>8.17</v>
      </c>
      <c r="C14" s="64">
        <v>3.12</v>
      </c>
      <c r="D14" s="64">
        <v>11.95</v>
      </c>
      <c r="E14" s="64">
        <v>4.7699999999999996</v>
      </c>
      <c r="F14" s="64">
        <v>3.8</v>
      </c>
      <c r="G14" s="64">
        <v>23.03</v>
      </c>
      <c r="H14" s="64">
        <v>7.07</v>
      </c>
      <c r="I14" s="64">
        <v>2.88</v>
      </c>
      <c r="J14" s="64">
        <v>7.0000000000000007E-2</v>
      </c>
      <c r="K14" s="64">
        <v>128.05000000000001</v>
      </c>
      <c r="L14" s="64">
        <v>24.2</v>
      </c>
      <c r="M14" s="64">
        <v>98.14</v>
      </c>
      <c r="N14" s="64">
        <v>17</v>
      </c>
      <c r="O14" s="64">
        <v>0</v>
      </c>
      <c r="P14" s="64">
        <v>0.28999999999999998</v>
      </c>
      <c r="Q14" s="64">
        <v>9.3000000000000007</v>
      </c>
      <c r="R14" s="198"/>
      <c r="S14" s="198"/>
      <c r="T14" s="198"/>
      <c r="U14" s="198"/>
    </row>
    <row r="15" spans="1:21" s="12" customFormat="1" x14ac:dyDescent="0.25">
      <c r="A15" s="214" t="s">
        <v>2847</v>
      </c>
      <c r="B15" s="64">
        <v>8.16</v>
      </c>
      <c r="C15" s="64">
        <v>3.11</v>
      </c>
      <c r="D15" s="64">
        <v>11.95</v>
      </c>
      <c r="E15" s="64">
        <v>4.54</v>
      </c>
      <c r="F15" s="64">
        <v>3.6</v>
      </c>
      <c r="G15" s="64">
        <v>21.28</v>
      </c>
      <c r="H15" s="64">
        <v>5.8</v>
      </c>
      <c r="I15" s="64">
        <v>3.01</v>
      </c>
      <c r="J15" s="64">
        <v>0.2</v>
      </c>
      <c r="K15" s="64">
        <v>298.06</v>
      </c>
      <c r="L15" s="64">
        <v>24.22</v>
      </c>
      <c r="M15" s="64">
        <v>98.16</v>
      </c>
      <c r="N15" s="64">
        <v>17</v>
      </c>
      <c r="O15" s="64">
        <v>0</v>
      </c>
      <c r="P15" s="64">
        <v>0.28999999999999998</v>
      </c>
      <c r="Q15" s="64">
        <v>9.31</v>
      </c>
      <c r="R15" s="198"/>
      <c r="S15" s="198"/>
      <c r="T15" s="198"/>
      <c r="U15" s="198"/>
    </row>
    <row r="16" spans="1:21" s="12" customFormat="1" x14ac:dyDescent="0.25">
      <c r="A16" s="214" t="s">
        <v>2848</v>
      </c>
      <c r="B16" s="64">
        <v>8.18</v>
      </c>
      <c r="C16" s="64">
        <v>3.09</v>
      </c>
      <c r="D16" s="64">
        <v>11.95</v>
      </c>
      <c r="E16" s="64">
        <v>4.7</v>
      </c>
      <c r="F16" s="64">
        <v>3.75</v>
      </c>
      <c r="G16" s="64">
        <v>20.16</v>
      </c>
      <c r="H16" s="64">
        <v>4.99</v>
      </c>
      <c r="I16" s="64">
        <v>3.07</v>
      </c>
      <c r="J16" s="64">
        <v>0.34</v>
      </c>
      <c r="K16" s="64">
        <v>9.68</v>
      </c>
      <c r="L16" s="64">
        <v>24.25</v>
      </c>
      <c r="M16" s="64">
        <v>98.19</v>
      </c>
      <c r="N16" s="64">
        <v>17.100000000000001</v>
      </c>
      <c r="O16" s="64">
        <v>0</v>
      </c>
      <c r="P16" s="64">
        <v>0.28999999999999998</v>
      </c>
      <c r="Q16" s="64">
        <v>9.31</v>
      </c>
      <c r="R16" s="198"/>
      <c r="S16" s="198"/>
      <c r="T16" s="198"/>
      <c r="U16" s="198"/>
    </row>
    <row r="17" spans="1:21" s="12" customFormat="1" x14ac:dyDescent="0.25">
      <c r="A17" s="214" t="s">
        <v>2849</v>
      </c>
      <c r="B17" s="64">
        <v>8.18</v>
      </c>
      <c r="C17" s="64">
        <v>3.11</v>
      </c>
      <c r="D17" s="64">
        <v>11.96</v>
      </c>
      <c r="E17" s="64">
        <v>4.6500000000000004</v>
      </c>
      <c r="F17" s="64">
        <v>4.8499999999999996</v>
      </c>
      <c r="G17" s="64">
        <v>20.16</v>
      </c>
      <c r="H17" s="64">
        <v>4.99</v>
      </c>
      <c r="I17" s="64">
        <v>3.12</v>
      </c>
      <c r="J17" s="64">
        <v>0.3</v>
      </c>
      <c r="K17" s="64">
        <v>0.97</v>
      </c>
      <c r="L17" s="64">
        <v>24.31</v>
      </c>
      <c r="M17" s="64">
        <v>97.71</v>
      </c>
      <c r="N17" s="64">
        <v>17.100000000000001</v>
      </c>
      <c r="O17" s="64">
        <v>0</v>
      </c>
      <c r="P17" s="64">
        <v>0.3</v>
      </c>
      <c r="Q17" s="64">
        <v>9.2799999999999994</v>
      </c>
      <c r="R17" s="198"/>
      <c r="S17" s="198"/>
      <c r="T17" s="198"/>
      <c r="U17" s="198"/>
    </row>
    <row r="18" spans="1:21" s="12" customFormat="1" x14ac:dyDescent="0.25">
      <c r="A18" s="214" t="s">
        <v>2850</v>
      </c>
      <c r="B18" s="64">
        <v>8.14</v>
      </c>
      <c r="C18" s="64">
        <v>3.13</v>
      </c>
      <c r="D18" s="64">
        <v>11.94</v>
      </c>
      <c r="E18" s="64">
        <v>4.99</v>
      </c>
      <c r="F18" s="64">
        <v>2.84</v>
      </c>
      <c r="G18" s="64">
        <v>20.16</v>
      </c>
      <c r="H18" s="64">
        <v>4.99</v>
      </c>
      <c r="I18" s="64">
        <v>3.12</v>
      </c>
      <c r="J18" s="64">
        <v>0.26</v>
      </c>
      <c r="K18" s="64">
        <v>9.66</v>
      </c>
      <c r="L18" s="64">
        <v>24.18</v>
      </c>
      <c r="M18" s="64">
        <v>98.22</v>
      </c>
      <c r="N18" s="64">
        <v>17.399999999999999</v>
      </c>
      <c r="O18" s="64">
        <v>0</v>
      </c>
      <c r="P18" s="64">
        <v>0.28999999999999998</v>
      </c>
      <c r="Q18" s="64">
        <v>9.27</v>
      </c>
      <c r="R18" s="198"/>
      <c r="S18" s="198"/>
      <c r="T18" s="198"/>
      <c r="U18" s="198"/>
    </row>
    <row r="19" spans="1:21" s="12" customFormat="1" x14ac:dyDescent="0.25">
      <c r="A19" s="214" t="s">
        <v>2851</v>
      </c>
      <c r="B19" s="64">
        <v>8.18</v>
      </c>
      <c r="C19" s="64">
        <v>3.21</v>
      </c>
      <c r="D19" s="64">
        <v>12.01</v>
      </c>
      <c r="E19" s="64">
        <v>4.6399999999999997</v>
      </c>
      <c r="F19" s="64">
        <v>3.18</v>
      </c>
      <c r="G19" s="64">
        <v>20.04</v>
      </c>
      <c r="H19" s="64">
        <v>4.5</v>
      </c>
      <c r="I19" s="64">
        <v>3.07</v>
      </c>
      <c r="J19" s="64">
        <v>0.5</v>
      </c>
      <c r="K19" s="64">
        <v>24.67</v>
      </c>
      <c r="L19" s="64">
        <v>24.19</v>
      </c>
      <c r="M19" s="64">
        <v>98.2</v>
      </c>
      <c r="N19" s="64">
        <v>17.3</v>
      </c>
      <c r="O19" s="64">
        <v>0</v>
      </c>
      <c r="P19" s="64">
        <v>0.27</v>
      </c>
      <c r="Q19" s="64">
        <v>9.2899999999999991</v>
      </c>
      <c r="R19" s="198"/>
      <c r="S19" s="198"/>
      <c r="T19" s="198"/>
      <c r="U19" s="198"/>
    </row>
    <row r="20" spans="1:21" s="12" customFormat="1" x14ac:dyDescent="0.25">
      <c r="A20" s="214" t="s">
        <v>2852</v>
      </c>
      <c r="B20" s="64">
        <v>8.1999999999999993</v>
      </c>
      <c r="C20" s="64">
        <v>3.24</v>
      </c>
      <c r="D20" s="64">
        <v>12.04</v>
      </c>
      <c r="E20" s="64">
        <v>4.54</v>
      </c>
      <c r="F20" s="64">
        <v>4.04</v>
      </c>
      <c r="G20" s="64">
        <v>19.97</v>
      </c>
      <c r="H20" s="64">
        <v>4.1900000000000004</v>
      </c>
      <c r="I20" s="64">
        <v>2.94</v>
      </c>
      <c r="J20" s="64">
        <v>0.5</v>
      </c>
      <c r="K20" s="64">
        <v>182</v>
      </c>
      <c r="L20" s="64">
        <v>24.26</v>
      </c>
      <c r="M20" s="64">
        <v>98.11</v>
      </c>
      <c r="N20" s="64">
        <v>17.100000000000001</v>
      </c>
      <c r="O20" s="64">
        <v>0</v>
      </c>
      <c r="P20" s="64">
        <v>0.27</v>
      </c>
      <c r="Q20" s="64">
        <v>9.27</v>
      </c>
      <c r="R20" s="198"/>
      <c r="S20" s="198"/>
      <c r="T20" s="198"/>
      <c r="U20" s="198"/>
    </row>
    <row r="21" spans="1:21" s="12" customFormat="1" x14ac:dyDescent="0.25">
      <c r="A21" s="214" t="s">
        <v>2853</v>
      </c>
      <c r="B21" s="64">
        <v>8.14</v>
      </c>
      <c r="C21" s="64">
        <v>3.14</v>
      </c>
      <c r="D21" s="64">
        <v>11.94</v>
      </c>
      <c r="E21" s="64">
        <v>4.57</v>
      </c>
      <c r="F21" s="64">
        <v>3.29</v>
      </c>
      <c r="G21" s="64">
        <v>19.97</v>
      </c>
      <c r="H21" s="64">
        <v>4.1900000000000004</v>
      </c>
      <c r="I21" s="64">
        <v>2.83</v>
      </c>
      <c r="J21" s="64">
        <v>0.48</v>
      </c>
      <c r="K21" s="64">
        <v>338.84</v>
      </c>
      <c r="L21" s="64">
        <v>24.3</v>
      </c>
      <c r="M21" s="64">
        <v>97.99</v>
      </c>
      <c r="N21" s="64">
        <v>17.2</v>
      </c>
      <c r="O21" s="64">
        <v>0</v>
      </c>
      <c r="P21" s="64">
        <v>0.28000000000000003</v>
      </c>
      <c r="Q21" s="64">
        <v>9.25</v>
      </c>
      <c r="R21" s="198"/>
      <c r="S21" s="198"/>
      <c r="T21" s="198"/>
      <c r="U21" s="198"/>
    </row>
    <row r="22" spans="1:21" s="12" customFormat="1" x14ac:dyDescent="0.25">
      <c r="A22" s="214" t="s">
        <v>2854</v>
      </c>
      <c r="B22" s="64">
        <v>8.16</v>
      </c>
      <c r="C22" s="64">
        <v>3.16</v>
      </c>
      <c r="D22" s="64">
        <v>11.96</v>
      </c>
      <c r="E22" s="64">
        <v>5</v>
      </c>
      <c r="F22" s="64">
        <v>3.07</v>
      </c>
      <c r="G22" s="64">
        <v>19.97</v>
      </c>
      <c r="H22" s="64">
        <v>4.1900000000000004</v>
      </c>
      <c r="I22" s="64">
        <v>2.81</v>
      </c>
      <c r="J22" s="64">
        <v>0.08</v>
      </c>
      <c r="K22" s="64">
        <v>26.33</v>
      </c>
      <c r="L22" s="64">
        <v>24.36</v>
      </c>
      <c r="M22" s="64">
        <v>97.51</v>
      </c>
      <c r="N22" s="64">
        <v>17.3</v>
      </c>
      <c r="O22" s="64">
        <v>0</v>
      </c>
      <c r="P22" s="64">
        <v>0.27</v>
      </c>
      <c r="Q22" s="64">
        <v>9.27</v>
      </c>
      <c r="R22" s="198"/>
      <c r="S22" s="198"/>
      <c r="T22" s="198"/>
      <c r="U22" s="198"/>
    </row>
    <row r="23" spans="1:21" s="12" customFormat="1" x14ac:dyDescent="0.25">
      <c r="A23" s="214" t="s">
        <v>2855</v>
      </c>
      <c r="B23" s="64">
        <v>8.15</v>
      </c>
      <c r="C23" s="64">
        <v>3.15</v>
      </c>
      <c r="D23" s="64">
        <v>11.95</v>
      </c>
      <c r="E23" s="64">
        <v>3.85</v>
      </c>
      <c r="F23" s="64">
        <v>3.65</v>
      </c>
      <c r="G23" s="64">
        <v>18.2</v>
      </c>
      <c r="H23" s="64">
        <v>4.67</v>
      </c>
      <c r="I23" s="64">
        <v>2.81</v>
      </c>
      <c r="J23" s="64">
        <v>0.75</v>
      </c>
      <c r="K23" s="64">
        <v>176.21</v>
      </c>
      <c r="L23" s="64">
        <v>24.04</v>
      </c>
      <c r="M23" s="64">
        <v>98.32</v>
      </c>
      <c r="N23" s="64">
        <v>16.899999999999999</v>
      </c>
      <c r="O23" s="64">
        <v>0</v>
      </c>
      <c r="P23" s="64">
        <v>0.26</v>
      </c>
      <c r="Q23" s="64">
        <v>9.2899999999999991</v>
      </c>
      <c r="R23" s="198"/>
      <c r="S23" s="198"/>
      <c r="T23" s="198"/>
      <c r="U23" s="198"/>
    </row>
    <row r="24" spans="1:21" s="12" customFormat="1" x14ac:dyDescent="0.25">
      <c r="A24" s="214" t="s">
        <v>2856</v>
      </c>
      <c r="B24" s="64">
        <v>8.18</v>
      </c>
      <c r="C24" s="64">
        <v>3.13</v>
      </c>
      <c r="D24" s="64">
        <v>11.97</v>
      </c>
      <c r="E24" s="64">
        <v>3.29</v>
      </c>
      <c r="F24" s="64">
        <v>4.7</v>
      </c>
      <c r="G24" s="64">
        <v>17.079999999999998</v>
      </c>
      <c r="H24" s="64">
        <v>4.97</v>
      </c>
      <c r="I24" s="64">
        <v>2.76</v>
      </c>
      <c r="J24" s="64">
        <v>0.25</v>
      </c>
      <c r="K24" s="64">
        <v>194.32</v>
      </c>
      <c r="L24" s="64">
        <v>23.75</v>
      </c>
      <c r="M24" s="64">
        <v>98.33</v>
      </c>
      <c r="N24" s="64">
        <v>17.100000000000001</v>
      </c>
      <c r="O24" s="64">
        <v>0</v>
      </c>
      <c r="P24" s="64">
        <v>0.26</v>
      </c>
      <c r="Q24" s="64">
        <v>9.2899999999999991</v>
      </c>
      <c r="R24" s="198"/>
      <c r="S24" s="198"/>
      <c r="T24" s="198"/>
      <c r="U24" s="198"/>
    </row>
    <row r="25" spans="1:21" s="12" customFormat="1" x14ac:dyDescent="0.25">
      <c r="A25" s="214" t="s">
        <v>2857</v>
      </c>
      <c r="B25" s="64">
        <v>8.14</v>
      </c>
      <c r="C25" s="64">
        <v>3.11</v>
      </c>
      <c r="D25" s="64">
        <v>11.92</v>
      </c>
      <c r="E25" s="64">
        <v>3.81</v>
      </c>
      <c r="F25" s="64">
        <v>3.35</v>
      </c>
      <c r="G25" s="64">
        <v>17.079999999999998</v>
      </c>
      <c r="H25" s="64">
        <v>4.97</v>
      </c>
      <c r="I25" s="64">
        <v>2.79</v>
      </c>
      <c r="J25" s="64">
        <v>0.97</v>
      </c>
      <c r="K25" s="64">
        <v>166.33</v>
      </c>
      <c r="L25" s="64">
        <v>23.61</v>
      </c>
      <c r="M25" s="64">
        <v>98.33</v>
      </c>
      <c r="N25" s="64">
        <v>17.8</v>
      </c>
      <c r="O25" s="64">
        <v>0</v>
      </c>
      <c r="P25" s="64">
        <v>0.26</v>
      </c>
      <c r="Q25" s="64">
        <v>9.2799999999999994</v>
      </c>
      <c r="R25" s="198"/>
      <c r="S25" s="198"/>
      <c r="T25" s="198"/>
      <c r="U25" s="198"/>
    </row>
    <row r="26" spans="1:21" s="12" customFormat="1" x14ac:dyDescent="0.25">
      <c r="A26" s="214" t="s">
        <v>2858</v>
      </c>
      <c r="B26" s="64">
        <v>8.17</v>
      </c>
      <c r="C26" s="64">
        <v>3.18</v>
      </c>
      <c r="D26" s="64">
        <v>11.99</v>
      </c>
      <c r="E26" s="64">
        <v>3.86</v>
      </c>
      <c r="F26" s="64">
        <v>3.63</v>
      </c>
      <c r="G26" s="64">
        <v>17.079999999999998</v>
      </c>
      <c r="H26" s="64">
        <v>4.97</v>
      </c>
      <c r="I26" s="64">
        <v>2.86</v>
      </c>
      <c r="J26" s="64">
        <v>0.94</v>
      </c>
      <c r="K26" s="64">
        <v>169.13</v>
      </c>
      <c r="L26" s="64">
        <v>23.33</v>
      </c>
      <c r="M26" s="64">
        <v>98.35</v>
      </c>
      <c r="N26" s="64">
        <v>17.899999999999999</v>
      </c>
      <c r="O26" s="64">
        <v>0</v>
      </c>
      <c r="P26" s="64">
        <v>0.25</v>
      </c>
      <c r="Q26" s="64">
        <v>9.2799999999999994</v>
      </c>
      <c r="R26" s="198"/>
      <c r="S26" s="198"/>
      <c r="T26" s="198"/>
      <c r="U26" s="198"/>
    </row>
    <row r="27" spans="1:21" s="12" customFormat="1" x14ac:dyDescent="0.25">
      <c r="A27" s="214" t="s">
        <v>2859</v>
      </c>
      <c r="B27" s="64">
        <v>8.2100000000000009</v>
      </c>
      <c r="C27" s="64">
        <v>3.21</v>
      </c>
      <c r="D27" s="64">
        <v>12.03</v>
      </c>
      <c r="E27" s="64">
        <v>3.89</v>
      </c>
      <c r="F27" s="64">
        <v>4.33</v>
      </c>
      <c r="G27" s="64">
        <v>14.76</v>
      </c>
      <c r="H27" s="64">
        <v>4.0599999999999996</v>
      </c>
      <c r="I27" s="64">
        <v>2.89</v>
      </c>
      <c r="J27" s="64">
        <v>1.29</v>
      </c>
      <c r="K27" s="64">
        <v>151.79</v>
      </c>
      <c r="L27" s="64">
        <v>23.12</v>
      </c>
      <c r="M27" s="64">
        <v>98.35</v>
      </c>
      <c r="N27" s="64">
        <v>17.8</v>
      </c>
      <c r="O27" s="64">
        <v>0.2</v>
      </c>
      <c r="P27" s="64">
        <v>0.25</v>
      </c>
      <c r="Q27" s="64">
        <v>9.3000000000000007</v>
      </c>
      <c r="R27" s="198"/>
      <c r="S27" s="198"/>
      <c r="T27" s="198"/>
      <c r="U27" s="198"/>
    </row>
    <row r="28" spans="1:21" s="12" customFormat="1" x14ac:dyDescent="0.25">
      <c r="A28" s="214" t="s">
        <v>2860</v>
      </c>
      <c r="B28" s="64">
        <v>8.2100000000000009</v>
      </c>
      <c r="C28" s="64">
        <v>3.21</v>
      </c>
      <c r="D28" s="64">
        <v>12.04</v>
      </c>
      <c r="E28" s="64">
        <v>3.91</v>
      </c>
      <c r="F28" s="64">
        <v>2.77</v>
      </c>
      <c r="G28" s="64">
        <v>13.29</v>
      </c>
      <c r="H28" s="64">
        <v>3.48</v>
      </c>
      <c r="I28" s="64">
        <v>2.92</v>
      </c>
      <c r="J28" s="64">
        <v>0.3</v>
      </c>
      <c r="K28" s="64">
        <v>349.72</v>
      </c>
      <c r="L28" s="64">
        <v>23.01</v>
      </c>
      <c r="M28" s="64">
        <v>98.35</v>
      </c>
      <c r="N28" s="64">
        <v>17.399999999999999</v>
      </c>
      <c r="O28" s="64">
        <v>0.2</v>
      </c>
      <c r="P28" s="64">
        <v>0.25</v>
      </c>
      <c r="Q28" s="64">
        <v>9.2799999999999994</v>
      </c>
      <c r="R28" s="198"/>
      <c r="S28" s="198"/>
      <c r="T28" s="198"/>
      <c r="U28" s="198"/>
    </row>
    <row r="29" spans="1:21" s="12" customFormat="1" x14ac:dyDescent="0.25">
      <c r="A29" s="214" t="s">
        <v>2861</v>
      </c>
      <c r="B29" s="64">
        <v>8.1999999999999993</v>
      </c>
      <c r="C29" s="64">
        <v>3.18</v>
      </c>
      <c r="D29" s="64">
        <v>12.01</v>
      </c>
      <c r="E29" s="64">
        <v>3.67</v>
      </c>
      <c r="F29" s="64">
        <v>3.6</v>
      </c>
      <c r="G29" s="64">
        <v>13.29</v>
      </c>
      <c r="H29" s="64">
        <v>3.48</v>
      </c>
      <c r="I29" s="64">
        <v>2.99</v>
      </c>
      <c r="J29" s="64">
        <v>0.35</v>
      </c>
      <c r="K29" s="64">
        <v>7.5</v>
      </c>
      <c r="L29" s="64">
        <v>23</v>
      </c>
      <c r="M29" s="64">
        <v>98.35</v>
      </c>
      <c r="N29" s="64">
        <v>17.600000000000001</v>
      </c>
      <c r="O29" s="64">
        <v>0.4</v>
      </c>
      <c r="P29" s="64">
        <v>0.24</v>
      </c>
      <c r="Q29" s="64">
        <v>9.27</v>
      </c>
      <c r="R29" s="198"/>
      <c r="S29" s="198"/>
      <c r="T29" s="198"/>
      <c r="U29" s="198"/>
    </row>
    <row r="30" spans="1:21" s="12" customFormat="1" x14ac:dyDescent="0.25">
      <c r="A30" s="214" t="s">
        <v>2862</v>
      </c>
      <c r="B30" s="64">
        <v>8.18</v>
      </c>
      <c r="C30" s="64">
        <v>3.07</v>
      </c>
      <c r="D30" s="64">
        <v>11.93</v>
      </c>
      <c r="E30" s="64">
        <v>3.83</v>
      </c>
      <c r="F30" s="64">
        <v>3.96</v>
      </c>
      <c r="G30" s="64">
        <v>13.29</v>
      </c>
      <c r="H30" s="64">
        <v>3.48</v>
      </c>
      <c r="I30" s="64">
        <v>3.06</v>
      </c>
      <c r="J30" s="64">
        <v>0.28000000000000003</v>
      </c>
      <c r="K30" s="64">
        <v>332.65</v>
      </c>
      <c r="L30" s="64">
        <v>22.99</v>
      </c>
      <c r="M30" s="64">
        <v>98.37</v>
      </c>
      <c r="N30" s="64">
        <v>19.2</v>
      </c>
      <c r="O30" s="64">
        <v>0.2</v>
      </c>
      <c r="P30" s="64">
        <v>0.25</v>
      </c>
      <c r="Q30" s="64">
        <v>9.2899999999999991</v>
      </c>
      <c r="R30" s="198"/>
      <c r="S30" s="198"/>
      <c r="T30" s="198"/>
      <c r="U30" s="198"/>
    </row>
    <row r="31" spans="1:21" s="12" customFormat="1" x14ac:dyDescent="0.25">
      <c r="A31" s="214" t="s">
        <v>2863</v>
      </c>
      <c r="B31" s="64">
        <v>8.17</v>
      </c>
      <c r="C31" s="64">
        <v>3.08</v>
      </c>
      <c r="D31" s="64">
        <v>11.94</v>
      </c>
      <c r="E31" s="64">
        <v>3.95</v>
      </c>
      <c r="F31" s="64">
        <v>3.61</v>
      </c>
      <c r="G31" s="64">
        <v>11.54</v>
      </c>
      <c r="H31" s="64">
        <v>2.84</v>
      </c>
      <c r="I31" s="64">
        <v>3.06</v>
      </c>
      <c r="J31" s="64">
        <v>0.35</v>
      </c>
      <c r="K31" s="64">
        <v>0.04</v>
      </c>
      <c r="L31" s="64">
        <v>23.03</v>
      </c>
      <c r="M31" s="64">
        <v>98.38</v>
      </c>
      <c r="N31" s="64">
        <v>20.2</v>
      </c>
      <c r="O31" s="64">
        <v>0</v>
      </c>
      <c r="P31" s="64">
        <v>0.25</v>
      </c>
      <c r="Q31" s="64">
        <v>9.2899999999999991</v>
      </c>
      <c r="R31" s="198"/>
      <c r="S31" s="198"/>
      <c r="T31" s="198"/>
      <c r="U31" s="198"/>
    </row>
    <row r="32" spans="1:21" s="12" customFormat="1" x14ac:dyDescent="0.25">
      <c r="A32" s="214" t="s">
        <v>2864</v>
      </c>
      <c r="B32" s="64">
        <v>8.16</v>
      </c>
      <c r="C32" s="64">
        <v>3.08</v>
      </c>
      <c r="D32" s="64">
        <v>11.93</v>
      </c>
      <c r="E32" s="64">
        <v>4.05</v>
      </c>
      <c r="F32" s="64">
        <v>3.49</v>
      </c>
      <c r="G32" s="64">
        <v>10.43</v>
      </c>
      <c r="H32" s="64">
        <v>2.44</v>
      </c>
      <c r="I32" s="64">
        <v>3.03</v>
      </c>
      <c r="J32" s="64">
        <v>0.23</v>
      </c>
      <c r="K32" s="64">
        <v>354.28</v>
      </c>
      <c r="L32" s="64">
        <v>23.03</v>
      </c>
      <c r="M32" s="64">
        <v>98.38</v>
      </c>
      <c r="N32" s="64">
        <v>24.9</v>
      </c>
      <c r="O32" s="64">
        <v>0</v>
      </c>
      <c r="P32" s="64">
        <v>0.25</v>
      </c>
      <c r="Q32" s="64">
        <v>9.27</v>
      </c>
      <c r="R32" s="198"/>
      <c r="S32" s="198"/>
      <c r="T32" s="198"/>
      <c r="U32" s="198"/>
    </row>
    <row r="33" spans="1:21" s="12" customFormat="1" x14ac:dyDescent="0.25">
      <c r="A33" s="214" t="s">
        <v>2865</v>
      </c>
      <c r="B33" s="64">
        <v>8.17</v>
      </c>
      <c r="C33" s="64">
        <v>3.12</v>
      </c>
      <c r="D33" s="64">
        <v>11.96</v>
      </c>
      <c r="E33" s="64">
        <v>3.86</v>
      </c>
      <c r="F33" s="64">
        <v>3.59</v>
      </c>
      <c r="G33" s="64">
        <v>10.43</v>
      </c>
      <c r="H33" s="64">
        <v>2.44</v>
      </c>
      <c r="I33" s="64">
        <v>3.03</v>
      </c>
      <c r="J33" s="64">
        <v>0.32</v>
      </c>
      <c r="K33" s="64">
        <v>358.54</v>
      </c>
      <c r="L33" s="64">
        <v>23</v>
      </c>
      <c r="M33" s="64">
        <v>98.38</v>
      </c>
      <c r="N33" s="64">
        <v>36.799999999999997</v>
      </c>
      <c r="O33" s="64">
        <v>0</v>
      </c>
      <c r="P33" s="64">
        <v>0.25</v>
      </c>
      <c r="Q33" s="64">
        <v>9.2799999999999994</v>
      </c>
      <c r="R33" s="198"/>
      <c r="S33" s="198"/>
      <c r="T33" s="198"/>
      <c r="U33" s="198"/>
    </row>
    <row r="34" spans="1:21" s="12" customFormat="1" x14ac:dyDescent="0.25">
      <c r="A34" s="214" t="s">
        <v>2866</v>
      </c>
      <c r="B34" s="64">
        <v>8.19</v>
      </c>
      <c r="C34" s="64">
        <v>3.18</v>
      </c>
      <c r="D34" s="64">
        <v>12.01</v>
      </c>
      <c r="E34" s="64">
        <v>4.13</v>
      </c>
      <c r="F34" s="64">
        <v>4</v>
      </c>
      <c r="G34" s="64">
        <v>10.43</v>
      </c>
      <c r="H34" s="64">
        <v>2.44</v>
      </c>
      <c r="I34" s="64">
        <v>3.06</v>
      </c>
      <c r="J34" s="64">
        <v>0.53</v>
      </c>
      <c r="K34" s="64">
        <v>7.7</v>
      </c>
      <c r="L34" s="64">
        <v>23.15</v>
      </c>
      <c r="M34" s="64">
        <v>98.35</v>
      </c>
      <c r="N34" s="64">
        <v>51.4</v>
      </c>
      <c r="O34" s="64">
        <v>0</v>
      </c>
      <c r="P34" s="64">
        <v>0.25</v>
      </c>
      <c r="Q34" s="64">
        <v>9.2899999999999991</v>
      </c>
      <c r="R34" s="198"/>
      <c r="S34" s="198"/>
      <c r="T34" s="198"/>
      <c r="U34" s="198"/>
    </row>
    <row r="35" spans="1:21" s="12" customFormat="1" x14ac:dyDescent="0.25">
      <c r="A35" s="214" t="s">
        <v>2867</v>
      </c>
      <c r="B35" s="64">
        <v>8.19</v>
      </c>
      <c r="C35" s="64">
        <v>3.17</v>
      </c>
      <c r="D35" s="64">
        <v>12</v>
      </c>
      <c r="E35" s="64">
        <v>4.13</v>
      </c>
      <c r="F35" s="64">
        <v>4.0999999999999996</v>
      </c>
      <c r="G35" s="64">
        <v>10.83</v>
      </c>
      <c r="H35" s="64">
        <v>1.99</v>
      </c>
      <c r="I35" s="64">
        <v>3</v>
      </c>
      <c r="J35" s="64">
        <v>0.37</v>
      </c>
      <c r="K35" s="64">
        <v>346.91</v>
      </c>
      <c r="L35" s="64">
        <v>23.22</v>
      </c>
      <c r="M35" s="64">
        <v>98.35</v>
      </c>
      <c r="N35" s="64">
        <v>72.400000000000006</v>
      </c>
      <c r="O35" s="64">
        <v>0</v>
      </c>
      <c r="P35" s="64">
        <v>0.26</v>
      </c>
      <c r="Q35" s="64">
        <v>9.2899999999999991</v>
      </c>
      <c r="R35" s="198"/>
      <c r="S35" s="198"/>
      <c r="T35" s="198"/>
      <c r="U35" s="198"/>
    </row>
    <row r="36" spans="1:21" s="12" customFormat="1" x14ac:dyDescent="0.25">
      <c r="A36" s="214" t="s">
        <v>2868</v>
      </c>
      <c r="B36" s="64">
        <v>8.16</v>
      </c>
      <c r="C36" s="64">
        <v>3.09</v>
      </c>
      <c r="D36" s="64">
        <v>11.93</v>
      </c>
      <c r="E36" s="64">
        <v>3.95</v>
      </c>
      <c r="F36" s="64">
        <v>4.12</v>
      </c>
      <c r="G36" s="64">
        <v>11.07</v>
      </c>
      <c r="H36" s="64">
        <v>1.71</v>
      </c>
      <c r="I36" s="64">
        <v>2.94</v>
      </c>
      <c r="J36" s="64">
        <v>0.54</v>
      </c>
      <c r="K36" s="64">
        <v>20.02</v>
      </c>
      <c r="L36" s="64">
        <v>23.28</v>
      </c>
      <c r="M36" s="64">
        <v>98.35</v>
      </c>
      <c r="N36" s="64">
        <v>74.099999999999994</v>
      </c>
      <c r="O36" s="64">
        <v>0</v>
      </c>
      <c r="P36" s="64">
        <v>0.27</v>
      </c>
      <c r="Q36" s="64">
        <v>9.2799999999999994</v>
      </c>
      <c r="R36" s="198"/>
      <c r="S36" s="198"/>
      <c r="T36" s="198"/>
      <c r="U36" s="198"/>
    </row>
    <row r="37" spans="1:21" s="12" customFormat="1" x14ac:dyDescent="0.25">
      <c r="A37" s="214" t="s">
        <v>2869</v>
      </c>
      <c r="B37" s="64">
        <v>8.18</v>
      </c>
      <c r="C37" s="64">
        <v>3.2</v>
      </c>
      <c r="D37" s="64">
        <v>12.01</v>
      </c>
      <c r="E37" s="64">
        <v>4.0999999999999996</v>
      </c>
      <c r="F37" s="64">
        <v>3.78</v>
      </c>
      <c r="G37" s="64">
        <v>11.07</v>
      </c>
      <c r="H37" s="64">
        <v>1.71</v>
      </c>
      <c r="I37" s="64">
        <v>2.88</v>
      </c>
      <c r="J37" s="64">
        <v>0.55000000000000004</v>
      </c>
      <c r="K37" s="64">
        <v>17.22</v>
      </c>
      <c r="L37" s="64">
        <v>23.59</v>
      </c>
      <c r="M37" s="64">
        <v>98.35</v>
      </c>
      <c r="N37" s="64">
        <v>93.9</v>
      </c>
      <c r="O37" s="64">
        <v>0</v>
      </c>
      <c r="P37" s="64">
        <v>0.26</v>
      </c>
      <c r="Q37" s="64">
        <v>9.26</v>
      </c>
      <c r="R37" s="198"/>
      <c r="S37" s="198"/>
      <c r="T37" s="198"/>
      <c r="U37" s="198"/>
    </row>
    <row r="38" spans="1:21" s="12" customFormat="1" x14ac:dyDescent="0.25">
      <c r="A38" s="214" t="s">
        <v>2870</v>
      </c>
      <c r="B38" s="64">
        <v>8.18</v>
      </c>
      <c r="C38" s="64">
        <v>3.18</v>
      </c>
      <c r="D38" s="64">
        <v>11.99</v>
      </c>
      <c r="E38" s="64">
        <v>3.9</v>
      </c>
      <c r="F38" s="64">
        <v>4.7699999999999996</v>
      </c>
      <c r="G38" s="64">
        <v>11.07</v>
      </c>
      <c r="H38" s="64">
        <v>1.71</v>
      </c>
      <c r="I38" s="64">
        <v>2.74</v>
      </c>
      <c r="J38" s="64">
        <v>0.42</v>
      </c>
      <c r="K38" s="64">
        <v>32.299999999999997</v>
      </c>
      <c r="L38" s="64">
        <v>23.77</v>
      </c>
      <c r="M38" s="64">
        <v>98.35</v>
      </c>
      <c r="N38" s="64">
        <v>147.4</v>
      </c>
      <c r="O38" s="64">
        <v>0</v>
      </c>
      <c r="P38" s="64">
        <v>0.28000000000000003</v>
      </c>
      <c r="Q38" s="64">
        <v>9.3000000000000007</v>
      </c>
      <c r="R38" s="198"/>
      <c r="S38" s="198"/>
      <c r="T38" s="198"/>
      <c r="U38" s="198"/>
    </row>
    <row r="39" spans="1:21" s="12" customFormat="1" x14ac:dyDescent="0.25">
      <c r="A39" s="214" t="s">
        <v>2871</v>
      </c>
      <c r="B39" s="64">
        <v>8.31</v>
      </c>
      <c r="C39" s="64">
        <v>3.53</v>
      </c>
      <c r="D39" s="64">
        <v>12.28</v>
      </c>
      <c r="E39" s="64">
        <v>4.91</v>
      </c>
      <c r="F39" s="64">
        <v>3.42</v>
      </c>
      <c r="G39" s="64">
        <v>10.7</v>
      </c>
      <c r="H39" s="64">
        <v>3.7</v>
      </c>
      <c r="I39" s="64">
        <v>2.56</v>
      </c>
      <c r="J39" s="64">
        <v>0.57999999999999996</v>
      </c>
      <c r="K39" s="64">
        <v>11.55</v>
      </c>
      <c r="L39" s="64">
        <v>24.2</v>
      </c>
      <c r="M39" s="64">
        <v>98.32</v>
      </c>
      <c r="N39" s="64">
        <v>186.8</v>
      </c>
      <c r="O39" s="64">
        <v>0</v>
      </c>
      <c r="P39" s="64">
        <v>0.28999999999999998</v>
      </c>
      <c r="Q39" s="64">
        <v>9.27</v>
      </c>
      <c r="R39" s="198"/>
      <c r="S39" s="198"/>
      <c r="T39" s="198"/>
      <c r="U39" s="198"/>
    </row>
    <row r="40" spans="1:21" s="12" customFormat="1" x14ac:dyDescent="0.25">
      <c r="A40" s="214" t="s">
        <v>2872</v>
      </c>
      <c r="B40" s="64">
        <v>8.2200000000000006</v>
      </c>
      <c r="C40" s="64">
        <v>3.28</v>
      </c>
      <c r="D40" s="64">
        <v>12.08</v>
      </c>
      <c r="E40" s="64">
        <v>4.17</v>
      </c>
      <c r="F40" s="64">
        <v>3.78</v>
      </c>
      <c r="G40" s="64">
        <v>10.45</v>
      </c>
      <c r="H40" s="64">
        <v>4.97</v>
      </c>
      <c r="I40" s="64">
        <v>2.4500000000000002</v>
      </c>
      <c r="J40" s="64">
        <v>0.39</v>
      </c>
      <c r="K40" s="64">
        <v>350.11</v>
      </c>
      <c r="L40" s="64">
        <v>24.17</v>
      </c>
      <c r="M40" s="64">
        <v>98.32</v>
      </c>
      <c r="N40" s="64">
        <v>194</v>
      </c>
      <c r="O40" s="64">
        <v>0</v>
      </c>
      <c r="P40" s="64">
        <v>0.28000000000000003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4" t="s">
        <v>2873</v>
      </c>
      <c r="B41" s="64">
        <v>8.1300000000000008</v>
      </c>
      <c r="C41" s="64">
        <v>3.11</v>
      </c>
      <c r="D41" s="64">
        <v>11.92</v>
      </c>
      <c r="E41" s="64">
        <v>3.71</v>
      </c>
      <c r="F41" s="64">
        <v>4.8099999999999996</v>
      </c>
      <c r="G41" s="64">
        <v>10.45</v>
      </c>
      <c r="H41" s="64">
        <v>4.97</v>
      </c>
      <c r="I41" s="64">
        <v>2.3199999999999998</v>
      </c>
      <c r="J41" s="64">
        <v>0.44</v>
      </c>
      <c r="K41" s="64">
        <v>359.99</v>
      </c>
      <c r="L41" s="64">
        <v>24.55</v>
      </c>
      <c r="M41" s="64">
        <v>98.25</v>
      </c>
      <c r="N41" s="64">
        <v>203.8</v>
      </c>
      <c r="O41" s="64">
        <v>0</v>
      </c>
      <c r="P41" s="64">
        <v>0.3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14" t="s">
        <v>2874</v>
      </c>
      <c r="B42" s="64">
        <v>8.11</v>
      </c>
      <c r="C42" s="64">
        <v>3.06</v>
      </c>
      <c r="D42" s="64">
        <v>11.88</v>
      </c>
      <c r="E42" s="64">
        <v>3.51</v>
      </c>
      <c r="F42" s="64">
        <v>2.84</v>
      </c>
      <c r="G42" s="64">
        <v>10.45</v>
      </c>
      <c r="H42" s="64">
        <v>4.97</v>
      </c>
      <c r="I42" s="64">
        <v>2.21</v>
      </c>
      <c r="J42" s="64">
        <v>0.59</v>
      </c>
      <c r="K42" s="64">
        <v>10.52</v>
      </c>
      <c r="L42" s="64">
        <v>24.7</v>
      </c>
      <c r="M42" s="64">
        <v>97.57</v>
      </c>
      <c r="N42" s="64">
        <v>156.30000000000001</v>
      </c>
      <c r="O42" s="64">
        <v>0</v>
      </c>
      <c r="P42" s="64">
        <v>0.3</v>
      </c>
      <c r="Q42" s="64">
        <v>9.2799999999999994</v>
      </c>
      <c r="R42" s="198"/>
      <c r="S42" s="198"/>
      <c r="T42" s="198"/>
      <c r="U42" s="198"/>
    </row>
    <row r="43" spans="1:21" s="12" customFormat="1" x14ac:dyDescent="0.25">
      <c r="A43" s="214" t="s">
        <v>2875</v>
      </c>
      <c r="B43" s="64">
        <v>8.11</v>
      </c>
      <c r="C43" s="64">
        <v>3.06</v>
      </c>
      <c r="D43" s="64">
        <v>11.88</v>
      </c>
      <c r="E43" s="64">
        <v>3.68</v>
      </c>
      <c r="F43" s="64">
        <v>3.69</v>
      </c>
      <c r="G43" s="64">
        <v>16.39</v>
      </c>
      <c r="H43" s="64">
        <v>5.52</v>
      </c>
      <c r="I43" s="64">
        <v>2.15</v>
      </c>
      <c r="J43" s="64">
        <v>0.73</v>
      </c>
      <c r="K43" s="64">
        <v>14.03</v>
      </c>
      <c r="L43" s="64">
        <v>24.81</v>
      </c>
      <c r="M43" s="64">
        <v>96.28</v>
      </c>
      <c r="N43" s="64">
        <v>163.5</v>
      </c>
      <c r="O43" s="64">
        <v>0</v>
      </c>
      <c r="P43" s="64">
        <v>0.28999999999999998</v>
      </c>
      <c r="Q43" s="64">
        <v>9.2899999999999991</v>
      </c>
      <c r="R43" s="198"/>
      <c r="S43" s="198"/>
      <c r="T43" s="198"/>
      <c r="U43" s="198"/>
    </row>
    <row r="44" spans="1:21" s="12" customFormat="1" x14ac:dyDescent="0.25">
      <c r="A44" s="214" t="s">
        <v>2876</v>
      </c>
      <c r="B44" s="64">
        <v>8.14</v>
      </c>
      <c r="C44" s="64">
        <v>3.15</v>
      </c>
      <c r="D44" s="64">
        <v>11.95</v>
      </c>
      <c r="E44" s="64">
        <v>3.87</v>
      </c>
      <c r="F44" s="64">
        <v>5.01</v>
      </c>
      <c r="G44" s="64">
        <v>20.170000000000002</v>
      </c>
      <c r="H44" s="64">
        <v>5.87</v>
      </c>
      <c r="I44" s="64">
        <v>2.0099999999999998</v>
      </c>
      <c r="J44" s="64">
        <v>0.61</v>
      </c>
      <c r="K44" s="64">
        <v>18.22</v>
      </c>
      <c r="L44" s="64">
        <v>24.93</v>
      </c>
      <c r="M44" s="64">
        <v>96.15</v>
      </c>
      <c r="N44" s="64">
        <v>153.5</v>
      </c>
      <c r="O44" s="64">
        <v>0</v>
      </c>
      <c r="P44" s="64">
        <v>0.31</v>
      </c>
      <c r="Q44" s="64">
        <v>9.2799999999999994</v>
      </c>
      <c r="R44" s="198"/>
      <c r="S44" s="198"/>
      <c r="T44" s="198"/>
      <c r="U44" s="198"/>
    </row>
    <row r="45" spans="1:21" s="12" customFormat="1" x14ac:dyDescent="0.25">
      <c r="A45" s="214" t="s">
        <v>2877</v>
      </c>
      <c r="B45" s="64">
        <v>8.1300000000000008</v>
      </c>
      <c r="C45" s="64">
        <v>3.08</v>
      </c>
      <c r="D45" s="64">
        <v>11.9</v>
      </c>
      <c r="E45" s="64">
        <v>3.66</v>
      </c>
      <c r="F45" s="64">
        <v>3.3</v>
      </c>
      <c r="G45" s="64">
        <v>20.170000000000002</v>
      </c>
      <c r="H45" s="64">
        <v>5.87</v>
      </c>
      <c r="I45" s="64">
        <v>1.87</v>
      </c>
      <c r="J45" s="64">
        <v>0.56999999999999995</v>
      </c>
      <c r="K45" s="64">
        <v>9.1300000000000008</v>
      </c>
      <c r="L45" s="64">
        <v>25.76</v>
      </c>
      <c r="M45" s="64">
        <v>91.92</v>
      </c>
      <c r="N45" s="64">
        <v>279.39999999999998</v>
      </c>
      <c r="O45" s="64">
        <v>0</v>
      </c>
      <c r="P45" s="64">
        <v>0.33</v>
      </c>
      <c r="Q45" s="64">
        <v>9.27</v>
      </c>
      <c r="R45" s="198"/>
      <c r="S45" s="198"/>
      <c r="T45" s="198"/>
      <c r="U45" s="198"/>
    </row>
    <row r="46" spans="1:21" s="12" customFormat="1" x14ac:dyDescent="0.25">
      <c r="A46" s="214" t="s">
        <v>2878</v>
      </c>
      <c r="B46" s="64">
        <v>8.14</v>
      </c>
      <c r="C46" s="64">
        <v>3.13</v>
      </c>
      <c r="D46" s="64">
        <v>11.94</v>
      </c>
      <c r="E46" s="64">
        <v>4.0199999999999996</v>
      </c>
      <c r="F46" s="64">
        <v>3.98</v>
      </c>
      <c r="G46" s="64">
        <v>20.170000000000002</v>
      </c>
      <c r="H46" s="64">
        <v>5.87</v>
      </c>
      <c r="I46" s="64">
        <v>1.81</v>
      </c>
      <c r="J46" s="64">
        <v>0.59</v>
      </c>
      <c r="K46" s="64">
        <v>7.17</v>
      </c>
      <c r="L46" s="64">
        <v>25.72</v>
      </c>
      <c r="M46" s="64">
        <v>90.56</v>
      </c>
      <c r="N46" s="64">
        <v>313.2</v>
      </c>
      <c r="O46" s="64">
        <v>0</v>
      </c>
      <c r="P46" s="64">
        <v>0.32</v>
      </c>
      <c r="Q46" s="64">
        <v>9.25</v>
      </c>
      <c r="R46" s="198"/>
      <c r="S46" s="198"/>
      <c r="T46" s="198"/>
      <c r="U46" s="198"/>
    </row>
    <row r="47" spans="1:21" s="12" customFormat="1" x14ac:dyDescent="0.25">
      <c r="A47" s="214" t="s">
        <v>2879</v>
      </c>
      <c r="B47" s="64">
        <v>8.17</v>
      </c>
      <c r="C47" s="64">
        <v>3.17</v>
      </c>
      <c r="D47" s="64">
        <v>11.98</v>
      </c>
      <c r="E47" s="64">
        <v>3.85</v>
      </c>
      <c r="F47" s="64">
        <v>4.22</v>
      </c>
      <c r="G47" s="64">
        <v>17.37</v>
      </c>
      <c r="H47" s="64">
        <v>4.87</v>
      </c>
      <c r="I47" s="64">
        <v>1.74</v>
      </c>
      <c r="J47" s="64">
        <v>0.47</v>
      </c>
      <c r="K47" s="64">
        <v>5.55</v>
      </c>
      <c r="L47" s="64">
        <v>26.35</v>
      </c>
      <c r="M47" s="64">
        <v>88.29</v>
      </c>
      <c r="N47" s="64">
        <v>244.7</v>
      </c>
      <c r="O47" s="64">
        <v>0</v>
      </c>
      <c r="P47" s="64">
        <v>0.33</v>
      </c>
      <c r="Q47" s="64">
        <v>9.25</v>
      </c>
      <c r="R47" s="198"/>
      <c r="S47" s="198"/>
      <c r="T47" s="198"/>
      <c r="U47" s="198"/>
    </row>
    <row r="48" spans="1:21" s="12" customFormat="1" x14ac:dyDescent="0.25">
      <c r="A48" s="214" t="s">
        <v>2880</v>
      </c>
      <c r="B48" s="64">
        <v>8.2200000000000006</v>
      </c>
      <c r="C48" s="64">
        <v>3.17</v>
      </c>
      <c r="D48" s="64">
        <v>12.02</v>
      </c>
      <c r="E48" s="64">
        <v>3.71</v>
      </c>
      <c r="F48" s="64">
        <v>4.4400000000000004</v>
      </c>
      <c r="G48" s="64">
        <v>15.59</v>
      </c>
      <c r="H48" s="64">
        <v>4.26</v>
      </c>
      <c r="I48" s="64">
        <v>1.63</v>
      </c>
      <c r="J48" s="64">
        <v>0.62</v>
      </c>
      <c r="K48" s="64">
        <v>1.91</v>
      </c>
      <c r="L48" s="64">
        <v>26.48</v>
      </c>
      <c r="M48" s="64">
        <v>86.62</v>
      </c>
      <c r="N48" s="64">
        <v>325.89999999999998</v>
      </c>
      <c r="O48" s="64">
        <v>0</v>
      </c>
      <c r="P48" s="64">
        <v>0.34</v>
      </c>
      <c r="Q48" s="64">
        <v>9.26</v>
      </c>
      <c r="R48" s="198"/>
      <c r="S48" s="198"/>
      <c r="T48" s="198"/>
      <c r="U48" s="198"/>
    </row>
    <row r="49" spans="1:21" s="12" customFormat="1" x14ac:dyDescent="0.25">
      <c r="A49" s="214" t="s">
        <v>2881</v>
      </c>
      <c r="B49" s="64">
        <v>8.2200000000000006</v>
      </c>
      <c r="C49" s="64">
        <v>3.19</v>
      </c>
      <c r="D49" s="64">
        <v>12.03</v>
      </c>
      <c r="E49" s="64">
        <v>3.75</v>
      </c>
      <c r="F49" s="64">
        <v>4.47</v>
      </c>
      <c r="G49" s="64">
        <v>15.59</v>
      </c>
      <c r="H49" s="64">
        <v>4.26</v>
      </c>
      <c r="I49" s="64">
        <v>1.59</v>
      </c>
      <c r="J49" s="64">
        <v>0.59</v>
      </c>
      <c r="K49" s="64">
        <v>353.24</v>
      </c>
      <c r="L49" s="64">
        <v>27.32</v>
      </c>
      <c r="M49" s="64">
        <v>82.9</v>
      </c>
      <c r="N49" s="64">
        <v>417.2</v>
      </c>
      <c r="O49" s="64">
        <v>0</v>
      </c>
      <c r="P49" s="64">
        <v>0.35</v>
      </c>
      <c r="Q49" s="64">
        <v>9.3000000000000007</v>
      </c>
      <c r="R49" s="198"/>
      <c r="S49" s="198"/>
      <c r="T49" s="198"/>
      <c r="U49" s="198"/>
    </row>
    <row r="50" spans="1:21" s="12" customFormat="1" x14ac:dyDescent="0.25">
      <c r="A50" s="214" t="s">
        <v>2882</v>
      </c>
      <c r="B50" s="64">
        <v>8.2200000000000006</v>
      </c>
      <c r="C50" s="64">
        <v>3.25</v>
      </c>
      <c r="D50" s="64">
        <v>12.07</v>
      </c>
      <c r="E50" s="64">
        <v>3.78</v>
      </c>
      <c r="F50" s="64">
        <v>4.68</v>
      </c>
      <c r="G50" s="64">
        <v>15.59</v>
      </c>
      <c r="H50" s="64">
        <v>4.26</v>
      </c>
      <c r="I50" s="64">
        <v>1.57</v>
      </c>
      <c r="J50" s="64">
        <v>0.54</v>
      </c>
      <c r="K50" s="64">
        <v>349.12</v>
      </c>
      <c r="L50" s="64">
        <v>28.01</v>
      </c>
      <c r="M50" s="64">
        <v>79.81</v>
      </c>
      <c r="N50" s="64">
        <v>340.4</v>
      </c>
      <c r="O50" s="64">
        <v>0</v>
      </c>
      <c r="P50" s="64">
        <v>0.36</v>
      </c>
      <c r="Q50" s="64">
        <v>9.2899999999999991</v>
      </c>
      <c r="R50" s="198"/>
      <c r="S50" s="198"/>
      <c r="T50" s="198"/>
      <c r="U50" s="198"/>
    </row>
    <row r="51" spans="1:21" s="12" customFormat="1" x14ac:dyDescent="0.25">
      <c r="A51" s="214" t="s">
        <v>2883</v>
      </c>
      <c r="B51" s="64">
        <v>8.18</v>
      </c>
      <c r="C51" s="64">
        <v>3.18</v>
      </c>
      <c r="D51" s="64">
        <v>12</v>
      </c>
      <c r="E51" s="64">
        <v>3.65</v>
      </c>
      <c r="F51" s="64">
        <v>6.53</v>
      </c>
      <c r="G51" s="64">
        <v>12.97</v>
      </c>
      <c r="H51" s="64">
        <v>5.13</v>
      </c>
      <c r="I51" s="64">
        <v>1.55</v>
      </c>
      <c r="J51" s="64">
        <v>0.62</v>
      </c>
      <c r="K51" s="64">
        <v>7.37</v>
      </c>
      <c r="L51" s="64">
        <v>27.04</v>
      </c>
      <c r="M51" s="64">
        <v>84.44</v>
      </c>
      <c r="N51" s="64">
        <v>197.5</v>
      </c>
      <c r="O51" s="64">
        <v>0</v>
      </c>
      <c r="P51" s="64">
        <v>0.35</v>
      </c>
      <c r="Q51" s="64">
        <v>9.27</v>
      </c>
      <c r="R51" s="198"/>
      <c r="S51" s="198"/>
      <c r="T51" s="198"/>
      <c r="U51" s="198"/>
    </row>
    <row r="52" spans="1:21" s="12" customFormat="1" x14ac:dyDescent="0.25">
      <c r="A52" s="214" t="s">
        <v>2884</v>
      </c>
      <c r="B52" s="64">
        <v>8.18</v>
      </c>
      <c r="C52" s="64">
        <v>3.24</v>
      </c>
      <c r="D52" s="64">
        <v>12.03</v>
      </c>
      <c r="E52" s="64">
        <v>3.43</v>
      </c>
      <c r="F52" s="64">
        <v>5.44</v>
      </c>
      <c r="G52" s="64">
        <v>11.31</v>
      </c>
      <c r="H52" s="64">
        <v>5.69</v>
      </c>
      <c r="I52" s="64">
        <v>1.49</v>
      </c>
      <c r="J52" s="64">
        <v>0.56000000000000005</v>
      </c>
      <c r="K52" s="64">
        <v>12.46</v>
      </c>
      <c r="L52" s="64">
        <v>26.58</v>
      </c>
      <c r="M52" s="64">
        <v>86.27</v>
      </c>
      <c r="N52" s="64">
        <v>162.69999999999999</v>
      </c>
      <c r="O52" s="64">
        <v>0</v>
      </c>
      <c r="P52" s="64">
        <v>0.36</v>
      </c>
      <c r="Q52" s="64">
        <v>9.2899999999999991</v>
      </c>
      <c r="R52" s="198"/>
      <c r="S52" s="198"/>
      <c r="T52" s="198"/>
      <c r="U52" s="198"/>
    </row>
    <row r="53" spans="1:21" s="12" customFormat="1" x14ac:dyDescent="0.25">
      <c r="A53" s="214" t="s">
        <v>2885</v>
      </c>
      <c r="B53" s="64">
        <v>8.18</v>
      </c>
      <c r="C53" s="64">
        <v>3.15</v>
      </c>
      <c r="D53" s="64">
        <v>11.98</v>
      </c>
      <c r="E53" s="64">
        <v>3.71</v>
      </c>
      <c r="F53" s="64">
        <v>5.23</v>
      </c>
      <c r="G53" s="64">
        <v>11.31</v>
      </c>
      <c r="H53" s="64">
        <v>5.69</v>
      </c>
      <c r="I53" s="64">
        <v>1.38</v>
      </c>
      <c r="J53" s="64">
        <v>0.68</v>
      </c>
      <c r="K53" s="64">
        <v>319.32</v>
      </c>
      <c r="L53" s="64">
        <v>26.55</v>
      </c>
      <c r="M53" s="64">
        <v>86.85</v>
      </c>
      <c r="N53" s="64">
        <v>153.5</v>
      </c>
      <c r="O53" s="64">
        <v>0</v>
      </c>
      <c r="P53" s="64">
        <v>0.37</v>
      </c>
      <c r="Q53" s="64">
        <v>9.25</v>
      </c>
      <c r="R53" s="198"/>
      <c r="S53" s="198"/>
      <c r="T53" s="198"/>
      <c r="U53" s="198"/>
    </row>
    <row r="54" spans="1:21" s="12" customFormat="1" x14ac:dyDescent="0.25">
      <c r="A54" s="214" t="s">
        <v>2886</v>
      </c>
      <c r="B54" s="64">
        <v>8.16</v>
      </c>
      <c r="C54" s="64">
        <v>3.12</v>
      </c>
      <c r="D54" s="64">
        <v>11.95</v>
      </c>
      <c r="E54" s="64">
        <v>3.72</v>
      </c>
      <c r="F54" s="64">
        <v>4.8600000000000003</v>
      </c>
      <c r="G54" s="64">
        <v>11.31</v>
      </c>
      <c r="H54" s="64">
        <v>5.69</v>
      </c>
      <c r="I54" s="64">
        <v>1.3</v>
      </c>
      <c r="J54" s="64">
        <v>0.52</v>
      </c>
      <c r="K54" s="64">
        <v>319.83</v>
      </c>
      <c r="L54" s="64">
        <v>27</v>
      </c>
      <c r="M54" s="64">
        <v>84.78</v>
      </c>
      <c r="N54" s="64">
        <v>167.7</v>
      </c>
      <c r="O54" s="64">
        <v>0</v>
      </c>
      <c r="P54" s="64">
        <v>0.42</v>
      </c>
      <c r="Q54" s="64">
        <v>9.2799999999999994</v>
      </c>
      <c r="R54" s="198"/>
      <c r="S54" s="198"/>
      <c r="T54" s="198"/>
      <c r="U54" s="198"/>
    </row>
    <row r="55" spans="1:21" s="12" customFormat="1" x14ac:dyDescent="0.25">
      <c r="A55" s="214" t="s">
        <v>2887</v>
      </c>
      <c r="B55" s="64">
        <v>8.14</v>
      </c>
      <c r="C55" s="64">
        <v>3.17</v>
      </c>
      <c r="D55" s="64">
        <v>11.96</v>
      </c>
      <c r="E55" s="64">
        <v>4.45</v>
      </c>
      <c r="F55" s="64">
        <v>3.86</v>
      </c>
      <c r="G55" s="64">
        <v>23.68</v>
      </c>
      <c r="H55" s="64">
        <v>6.07</v>
      </c>
      <c r="I55" s="64">
        <v>1.37</v>
      </c>
      <c r="J55" s="64">
        <v>0.7</v>
      </c>
      <c r="K55" s="64">
        <v>317.83</v>
      </c>
      <c r="L55" s="64">
        <v>27.53</v>
      </c>
      <c r="M55" s="64">
        <v>82.17</v>
      </c>
      <c r="N55" s="64">
        <v>203</v>
      </c>
      <c r="O55" s="64">
        <v>0</v>
      </c>
      <c r="P55" s="64">
        <v>0.42</v>
      </c>
      <c r="Q55" s="64">
        <v>9.31</v>
      </c>
      <c r="R55" s="198"/>
      <c r="S55" s="198"/>
      <c r="T55" s="198"/>
      <c r="U55" s="198"/>
    </row>
    <row r="56" spans="1:21" s="12" customFormat="1" x14ac:dyDescent="0.25">
      <c r="A56" s="214" t="s">
        <v>2888</v>
      </c>
      <c r="B56" s="64">
        <v>8.16</v>
      </c>
      <c r="C56" s="64">
        <v>3.23</v>
      </c>
      <c r="D56" s="64">
        <v>12</v>
      </c>
      <c r="E56" s="64">
        <v>4.63</v>
      </c>
      <c r="F56" s="64">
        <v>6.58</v>
      </c>
      <c r="G56" s="64">
        <v>31.55</v>
      </c>
      <c r="H56" s="64">
        <v>6.31</v>
      </c>
      <c r="I56" s="64">
        <v>1.46</v>
      </c>
      <c r="J56" s="64">
        <v>0.54</v>
      </c>
      <c r="K56" s="64">
        <v>325.38</v>
      </c>
      <c r="L56" s="64">
        <v>27.4</v>
      </c>
      <c r="M56" s="64">
        <v>83.1</v>
      </c>
      <c r="N56" s="64">
        <v>159.9</v>
      </c>
      <c r="O56" s="64">
        <v>0</v>
      </c>
      <c r="P56" s="64">
        <v>0.52</v>
      </c>
      <c r="Q56" s="64">
        <v>9.32</v>
      </c>
      <c r="R56" s="198"/>
      <c r="S56" s="198"/>
      <c r="T56" s="198"/>
      <c r="U56" s="198"/>
    </row>
    <row r="57" spans="1:21" s="12" customFormat="1" x14ac:dyDescent="0.25">
      <c r="A57" s="214" t="s">
        <v>2889</v>
      </c>
      <c r="B57" s="64">
        <v>8.1300000000000008</v>
      </c>
      <c r="C57" s="64">
        <v>3.19</v>
      </c>
      <c r="D57" s="64">
        <v>11.96</v>
      </c>
      <c r="E57" s="64">
        <v>4.5599999999999996</v>
      </c>
      <c r="F57" s="64">
        <v>5.91</v>
      </c>
      <c r="G57" s="64">
        <v>31.55</v>
      </c>
      <c r="H57" s="64">
        <v>6.31</v>
      </c>
      <c r="I57" s="64">
        <v>1.53</v>
      </c>
      <c r="J57" s="64">
        <v>0.42</v>
      </c>
      <c r="K57" s="64">
        <v>359.02</v>
      </c>
      <c r="L57" s="64">
        <v>26.7</v>
      </c>
      <c r="M57" s="64">
        <v>85.97</v>
      </c>
      <c r="N57" s="64">
        <v>252.8</v>
      </c>
      <c r="O57" s="64">
        <v>0</v>
      </c>
      <c r="P57" s="64">
        <v>0.57999999999999996</v>
      </c>
      <c r="Q57" s="64">
        <v>9.36</v>
      </c>
      <c r="R57" s="198"/>
      <c r="S57" s="198"/>
      <c r="T57" s="198"/>
      <c r="U57" s="198"/>
    </row>
    <row r="58" spans="1:21" s="12" customFormat="1" x14ac:dyDescent="0.25">
      <c r="A58" s="214" t="s">
        <v>2890</v>
      </c>
      <c r="B58" s="64">
        <v>8.1300000000000008</v>
      </c>
      <c r="C58" s="64">
        <v>3.14</v>
      </c>
      <c r="D58" s="64">
        <v>11.93</v>
      </c>
      <c r="E58" s="64">
        <v>4.92</v>
      </c>
      <c r="F58" s="64">
        <v>4.3099999999999996</v>
      </c>
      <c r="G58" s="64">
        <v>31.55</v>
      </c>
      <c r="H58" s="64">
        <v>6.31</v>
      </c>
      <c r="I58" s="64">
        <v>2.0299999999999998</v>
      </c>
      <c r="J58" s="64">
        <v>0.56000000000000005</v>
      </c>
      <c r="K58" s="64">
        <v>325.64</v>
      </c>
      <c r="L58" s="64">
        <v>27.19</v>
      </c>
      <c r="M58" s="64">
        <v>83.38</v>
      </c>
      <c r="N58" s="64">
        <v>286</v>
      </c>
      <c r="O58" s="64">
        <v>0</v>
      </c>
      <c r="P58" s="64">
        <v>0.57999999999999996</v>
      </c>
      <c r="Q58" s="64">
        <v>9.33</v>
      </c>
      <c r="R58" s="198"/>
      <c r="S58" s="198"/>
      <c r="T58" s="198"/>
      <c r="U58" s="198"/>
    </row>
    <row r="59" spans="1:21" s="12" customFormat="1" x14ac:dyDescent="0.25">
      <c r="A59" s="214" t="s">
        <v>2891</v>
      </c>
      <c r="B59" s="64">
        <v>8.18</v>
      </c>
      <c r="C59" s="64">
        <v>3.31</v>
      </c>
      <c r="D59" s="64">
        <v>12.06</v>
      </c>
      <c r="E59" s="64">
        <v>4.9800000000000004</v>
      </c>
      <c r="F59" s="64">
        <v>4.5199999999999996</v>
      </c>
      <c r="G59" s="64">
        <v>25.47</v>
      </c>
      <c r="H59" s="64">
        <v>5.37</v>
      </c>
      <c r="I59" s="64">
        <v>2.4</v>
      </c>
      <c r="J59" s="64">
        <v>0.51</v>
      </c>
      <c r="K59" s="64">
        <v>355.27</v>
      </c>
      <c r="L59" s="64">
        <v>27.49</v>
      </c>
      <c r="M59" s="64">
        <v>80.98</v>
      </c>
      <c r="N59" s="64">
        <v>302.2</v>
      </c>
      <c r="O59" s="64">
        <v>0</v>
      </c>
      <c r="P59" s="64">
        <v>0.6</v>
      </c>
      <c r="Q59" s="64">
        <v>9.3800000000000008</v>
      </c>
      <c r="R59" s="198"/>
      <c r="S59" s="198"/>
      <c r="T59" s="198"/>
      <c r="U59" s="198"/>
    </row>
    <row r="60" spans="1:21" s="12" customFormat="1" x14ac:dyDescent="0.25">
      <c r="A60" s="214" t="s">
        <v>2892</v>
      </c>
      <c r="B60" s="64">
        <v>8.18</v>
      </c>
      <c r="C60" s="64">
        <v>3.21</v>
      </c>
      <c r="D60" s="64">
        <v>12.01</v>
      </c>
      <c r="E60" s="64">
        <v>4.74</v>
      </c>
      <c r="F60" s="64">
        <v>4.5199999999999996</v>
      </c>
      <c r="G60" s="64">
        <v>21.61</v>
      </c>
      <c r="H60" s="64">
        <v>4.78</v>
      </c>
      <c r="I60" s="64">
        <v>2.58</v>
      </c>
      <c r="J60" s="64">
        <v>0.57999999999999996</v>
      </c>
      <c r="K60" s="64">
        <v>341.48</v>
      </c>
      <c r="L60" s="64">
        <v>27.7</v>
      </c>
      <c r="M60" s="64">
        <v>80.09</v>
      </c>
      <c r="N60" s="64">
        <v>334.2</v>
      </c>
      <c r="O60" s="64">
        <v>0</v>
      </c>
      <c r="P60" s="64">
        <v>0.61</v>
      </c>
      <c r="Q60" s="64">
        <v>9.42</v>
      </c>
      <c r="R60" s="198"/>
      <c r="S60" s="198"/>
      <c r="T60" s="198"/>
      <c r="U60" s="198"/>
    </row>
    <row r="61" spans="1:21" s="12" customFormat="1" x14ac:dyDescent="0.25">
      <c r="A61" s="214" t="s">
        <v>2893</v>
      </c>
      <c r="B61" s="64">
        <v>8.16</v>
      </c>
      <c r="C61" s="64">
        <v>3.17</v>
      </c>
      <c r="D61" s="64">
        <v>11.98</v>
      </c>
      <c r="E61" s="64">
        <v>4.74</v>
      </c>
      <c r="F61" s="64">
        <v>4.1500000000000004</v>
      </c>
      <c r="G61" s="64">
        <v>21.61</v>
      </c>
      <c r="H61" s="64">
        <v>4.78</v>
      </c>
      <c r="I61" s="64">
        <v>2.81</v>
      </c>
      <c r="J61" s="64">
        <v>0.56999999999999995</v>
      </c>
      <c r="K61" s="64">
        <v>353.2</v>
      </c>
      <c r="L61" s="64">
        <v>28.04</v>
      </c>
      <c r="M61" s="64">
        <v>78.569999999999993</v>
      </c>
      <c r="N61" s="64">
        <v>451.6</v>
      </c>
      <c r="O61" s="64">
        <v>0</v>
      </c>
      <c r="P61" s="64">
        <v>0.65</v>
      </c>
      <c r="Q61" s="64">
        <v>9.3800000000000008</v>
      </c>
      <c r="R61" s="198"/>
      <c r="S61" s="198"/>
      <c r="T61" s="198"/>
      <c r="U61" s="198"/>
    </row>
    <row r="62" spans="1:21" s="12" customFormat="1" x14ac:dyDescent="0.25">
      <c r="A62" s="214" t="s">
        <v>2894</v>
      </c>
      <c r="B62" s="64">
        <v>8.17</v>
      </c>
      <c r="C62" s="64">
        <v>3.26</v>
      </c>
      <c r="D62" s="64">
        <v>12.02</v>
      </c>
      <c r="E62" s="64">
        <v>4.72</v>
      </c>
      <c r="F62" s="64">
        <v>5.27</v>
      </c>
      <c r="G62" s="64">
        <v>21.61</v>
      </c>
      <c r="H62" s="64">
        <v>4.78</v>
      </c>
      <c r="I62" s="64">
        <v>3.08</v>
      </c>
      <c r="J62" s="64">
        <v>0.56000000000000005</v>
      </c>
      <c r="K62" s="64">
        <v>341.76</v>
      </c>
      <c r="L62" s="64">
        <v>29.29</v>
      </c>
      <c r="M62" s="64">
        <v>72.2</v>
      </c>
      <c r="N62" s="64">
        <v>664.7</v>
      </c>
      <c r="O62" s="64">
        <v>0</v>
      </c>
      <c r="P62" s="64">
        <v>0.67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4" t="s">
        <v>2895</v>
      </c>
      <c r="B63" s="64">
        <v>8.16</v>
      </c>
      <c r="C63" s="64">
        <v>3.2</v>
      </c>
      <c r="D63" s="64">
        <v>11.99</v>
      </c>
      <c r="E63" s="64">
        <v>5.49</v>
      </c>
      <c r="F63" s="64">
        <v>4.68</v>
      </c>
      <c r="G63" s="64">
        <v>23.78</v>
      </c>
      <c r="H63" s="64">
        <v>4.1900000000000004</v>
      </c>
      <c r="I63" s="64">
        <v>3.48</v>
      </c>
      <c r="J63" s="64">
        <v>0.62</v>
      </c>
      <c r="K63" s="64">
        <v>326.47000000000003</v>
      </c>
      <c r="L63" s="64">
        <v>29.9</v>
      </c>
      <c r="M63" s="64">
        <v>71.44</v>
      </c>
      <c r="N63" s="64">
        <v>615</v>
      </c>
      <c r="O63" s="64">
        <v>0</v>
      </c>
      <c r="P63" s="64">
        <v>0.68</v>
      </c>
      <c r="Q63" s="64">
        <v>9.41</v>
      </c>
      <c r="R63" s="198"/>
      <c r="S63" s="198"/>
      <c r="T63" s="198"/>
      <c r="U63" s="198"/>
    </row>
    <row r="64" spans="1:21" s="12" customFormat="1" x14ac:dyDescent="0.25">
      <c r="A64" s="214" t="s">
        <v>2896</v>
      </c>
      <c r="B64" s="64">
        <v>8.3000000000000007</v>
      </c>
      <c r="C64" s="64">
        <v>3.82</v>
      </c>
      <c r="D64" s="64">
        <v>12.43</v>
      </c>
      <c r="E64" s="64">
        <v>4.88</v>
      </c>
      <c r="F64" s="64">
        <v>4.38</v>
      </c>
      <c r="G64" s="64">
        <v>25.17</v>
      </c>
      <c r="H64" s="64">
        <v>3.84</v>
      </c>
      <c r="I64" s="64">
        <v>3.77</v>
      </c>
      <c r="J64" s="64">
        <v>0.49</v>
      </c>
      <c r="K64" s="64">
        <v>7.92</v>
      </c>
      <c r="L64" s="64">
        <v>29.61</v>
      </c>
      <c r="M64" s="64">
        <v>71.819999999999993</v>
      </c>
      <c r="N64" s="64">
        <v>605.4</v>
      </c>
      <c r="O64" s="64">
        <v>0</v>
      </c>
      <c r="P64" s="64">
        <v>0.69</v>
      </c>
      <c r="Q64" s="64">
        <v>9.35</v>
      </c>
      <c r="R64" s="198"/>
      <c r="S64" s="198"/>
      <c r="T64" s="198"/>
      <c r="U64" s="198"/>
    </row>
    <row r="65" spans="1:21" s="12" customFormat="1" x14ac:dyDescent="0.25">
      <c r="A65" s="214" t="s">
        <v>2897</v>
      </c>
      <c r="B65" s="64">
        <v>8.2200000000000006</v>
      </c>
      <c r="C65" s="64">
        <v>3.55</v>
      </c>
      <c r="D65" s="64">
        <v>12.22</v>
      </c>
      <c r="E65" s="64">
        <v>4.53</v>
      </c>
      <c r="F65" s="64">
        <v>6.38</v>
      </c>
      <c r="G65" s="64">
        <v>25.17</v>
      </c>
      <c r="H65" s="64">
        <v>3.84</v>
      </c>
      <c r="I65" s="64">
        <v>3.87</v>
      </c>
      <c r="J65" s="64">
        <v>0.63</v>
      </c>
      <c r="K65" s="64">
        <v>329.93</v>
      </c>
      <c r="L65" s="64">
        <v>30.35</v>
      </c>
      <c r="M65" s="64">
        <v>69.67</v>
      </c>
      <c r="N65" s="64">
        <v>738.5</v>
      </c>
      <c r="O65" s="64">
        <v>0</v>
      </c>
      <c r="P65" s="64">
        <v>0.69</v>
      </c>
      <c r="Q65" s="64">
        <v>9.32</v>
      </c>
      <c r="R65" s="198"/>
      <c r="S65" s="198"/>
      <c r="T65" s="198"/>
      <c r="U65" s="198"/>
    </row>
    <row r="66" spans="1:21" s="12" customFormat="1" x14ac:dyDescent="0.25">
      <c r="A66" s="214" t="s">
        <v>2898</v>
      </c>
      <c r="B66" s="64">
        <v>8.16</v>
      </c>
      <c r="C66" s="64">
        <v>3.26</v>
      </c>
      <c r="D66" s="64">
        <v>12.02</v>
      </c>
      <c r="E66" s="64">
        <v>4.83</v>
      </c>
      <c r="F66" s="64">
        <v>5.41</v>
      </c>
      <c r="G66" s="64">
        <v>25.17</v>
      </c>
      <c r="H66" s="64">
        <v>3.84</v>
      </c>
      <c r="I66" s="64">
        <v>3.89</v>
      </c>
      <c r="J66" s="64">
        <v>0.6</v>
      </c>
      <c r="K66" s="64">
        <v>329.37</v>
      </c>
      <c r="L66" s="64">
        <v>30.86</v>
      </c>
      <c r="M66" s="64">
        <v>67.66</v>
      </c>
      <c r="N66" s="64">
        <v>541.29999999999995</v>
      </c>
      <c r="O66" s="64">
        <v>0</v>
      </c>
      <c r="P66" s="64">
        <v>0.69</v>
      </c>
      <c r="Q66" s="64">
        <v>9.32</v>
      </c>
      <c r="R66" s="198"/>
      <c r="S66" s="198"/>
      <c r="T66" s="198"/>
      <c r="U66" s="198"/>
    </row>
    <row r="67" spans="1:21" s="12" customFormat="1" x14ac:dyDescent="0.25">
      <c r="A67" s="214" t="s">
        <v>2899</v>
      </c>
      <c r="B67" s="64">
        <v>8.14</v>
      </c>
      <c r="C67" s="64">
        <v>3.17</v>
      </c>
      <c r="D67" s="64">
        <v>11.96</v>
      </c>
      <c r="E67" s="64">
        <v>4.59</v>
      </c>
      <c r="F67" s="64">
        <v>5.3</v>
      </c>
      <c r="G67" s="64">
        <v>45.73</v>
      </c>
      <c r="H67" s="64">
        <v>10.07</v>
      </c>
      <c r="I67" s="64">
        <v>3.87</v>
      </c>
      <c r="J67" s="64">
        <v>0.48</v>
      </c>
      <c r="K67" s="64">
        <v>0.1</v>
      </c>
      <c r="L67" s="64">
        <v>28.94</v>
      </c>
      <c r="M67" s="64">
        <v>74.25</v>
      </c>
      <c r="N67" s="64">
        <v>343.1</v>
      </c>
      <c r="O67" s="64">
        <v>0</v>
      </c>
      <c r="P67" s="64">
        <v>0.67</v>
      </c>
      <c r="Q67" s="64">
        <v>9.32</v>
      </c>
      <c r="R67" s="198"/>
      <c r="S67" s="198"/>
      <c r="T67" s="198"/>
      <c r="U67" s="198"/>
    </row>
    <row r="68" spans="1:21" s="12" customFormat="1" x14ac:dyDescent="0.25">
      <c r="A68" s="214" t="s">
        <v>2900</v>
      </c>
      <c r="B68" s="64">
        <v>8.18</v>
      </c>
      <c r="C68" s="64">
        <v>3.26</v>
      </c>
      <c r="D68" s="64">
        <v>12.04</v>
      </c>
      <c r="E68" s="64">
        <v>4.49</v>
      </c>
      <c r="F68" s="64">
        <v>5.83</v>
      </c>
      <c r="G68" s="64">
        <v>58.82</v>
      </c>
      <c r="H68" s="64">
        <v>14.04</v>
      </c>
      <c r="I68" s="64">
        <v>3.79</v>
      </c>
      <c r="J68" s="64">
        <v>0.51</v>
      </c>
      <c r="K68" s="64">
        <v>349.04</v>
      </c>
      <c r="L68" s="64">
        <v>28.84</v>
      </c>
      <c r="M68" s="64">
        <v>75.55</v>
      </c>
      <c r="N68" s="64">
        <v>307.5</v>
      </c>
      <c r="O68" s="64">
        <v>0</v>
      </c>
      <c r="P68" s="64">
        <v>0.68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4" t="s">
        <v>2901</v>
      </c>
      <c r="B69" s="64">
        <v>8.18</v>
      </c>
      <c r="C69" s="64">
        <v>3.24</v>
      </c>
      <c r="D69" s="64">
        <v>12.03</v>
      </c>
      <c r="E69" s="64">
        <v>4.3</v>
      </c>
      <c r="F69" s="64">
        <v>5.66</v>
      </c>
      <c r="G69" s="64">
        <v>58.82</v>
      </c>
      <c r="H69" s="64">
        <v>14.04</v>
      </c>
      <c r="I69" s="64">
        <v>3.79</v>
      </c>
      <c r="J69" s="64">
        <v>0.56000000000000005</v>
      </c>
      <c r="K69" s="64">
        <v>355.17</v>
      </c>
      <c r="L69" s="64">
        <v>28.95</v>
      </c>
      <c r="M69" s="64">
        <v>74.040000000000006</v>
      </c>
      <c r="N69" s="64">
        <v>281.5</v>
      </c>
      <c r="O69" s="64">
        <v>0</v>
      </c>
      <c r="P69" s="64">
        <v>0.7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4" t="s">
        <v>2902</v>
      </c>
      <c r="B70" s="64">
        <v>8.25</v>
      </c>
      <c r="C70" s="64">
        <v>2.97</v>
      </c>
      <c r="D70" s="64">
        <v>11.94</v>
      </c>
      <c r="E70" s="64">
        <v>4.46</v>
      </c>
      <c r="F70" s="64">
        <v>5.83</v>
      </c>
      <c r="G70" s="64">
        <v>58.82</v>
      </c>
      <c r="H70" s="64">
        <v>14.04</v>
      </c>
      <c r="I70" s="64">
        <v>3.84</v>
      </c>
      <c r="J70" s="64">
        <v>0.52</v>
      </c>
      <c r="K70" s="64">
        <v>353.91</v>
      </c>
      <c r="L70" s="64">
        <v>29.11</v>
      </c>
      <c r="M70" s="64">
        <v>73.709999999999994</v>
      </c>
      <c r="N70" s="64">
        <v>260.3</v>
      </c>
      <c r="O70" s="64">
        <v>0</v>
      </c>
      <c r="P70" s="64">
        <v>0.69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4" t="s">
        <v>2903</v>
      </c>
      <c r="B71" s="64">
        <v>8.26</v>
      </c>
      <c r="C71" s="64">
        <v>3.16</v>
      </c>
      <c r="D71" s="64">
        <v>12.04</v>
      </c>
      <c r="E71" s="64">
        <v>5.05</v>
      </c>
      <c r="F71" s="64">
        <v>5.62</v>
      </c>
      <c r="G71" s="64">
        <v>56.36</v>
      </c>
      <c r="H71" s="64">
        <v>13.67</v>
      </c>
      <c r="I71" s="64">
        <v>3.84</v>
      </c>
      <c r="J71" s="64">
        <v>0.61</v>
      </c>
      <c r="K71" s="64">
        <v>351.52</v>
      </c>
      <c r="L71" s="64">
        <v>28.43</v>
      </c>
      <c r="M71" s="64">
        <v>75.569999999999993</v>
      </c>
      <c r="N71" s="64">
        <v>255.4</v>
      </c>
      <c r="O71" s="64">
        <v>0</v>
      </c>
      <c r="P71" s="64">
        <v>0.68</v>
      </c>
      <c r="Q71" s="64">
        <v>9.3699999999999992</v>
      </c>
      <c r="R71" s="198"/>
      <c r="S71" s="198"/>
      <c r="T71" s="198"/>
      <c r="U71" s="198"/>
    </row>
    <row r="72" spans="1:21" s="12" customFormat="1" x14ac:dyDescent="0.25">
      <c r="A72" s="214" t="s">
        <v>2904</v>
      </c>
      <c r="B72" s="64">
        <v>8.18</v>
      </c>
      <c r="C72" s="64">
        <v>3.15</v>
      </c>
      <c r="D72" s="64">
        <v>11.98</v>
      </c>
      <c r="E72" s="64">
        <v>4.2699999999999996</v>
      </c>
      <c r="F72" s="64">
        <v>6.38</v>
      </c>
      <c r="G72" s="64">
        <v>54.79</v>
      </c>
      <c r="H72" s="64">
        <v>13.43</v>
      </c>
      <c r="I72" s="64">
        <v>3.7</v>
      </c>
      <c r="J72" s="64">
        <v>0.62</v>
      </c>
      <c r="K72" s="64">
        <v>5.27</v>
      </c>
      <c r="L72" s="64">
        <v>27.98</v>
      </c>
      <c r="M72" s="64">
        <v>77.569999999999993</v>
      </c>
      <c r="N72" s="64">
        <v>260.89999999999998</v>
      </c>
      <c r="O72" s="64">
        <v>0</v>
      </c>
      <c r="P72" s="64">
        <v>0.67</v>
      </c>
      <c r="Q72" s="64">
        <v>9.41</v>
      </c>
      <c r="R72" s="198"/>
      <c r="S72" s="198"/>
      <c r="T72" s="198"/>
      <c r="U72" s="198"/>
    </row>
    <row r="73" spans="1:21" s="12" customFormat="1" x14ac:dyDescent="0.25">
      <c r="A73" s="214" t="s">
        <v>2905</v>
      </c>
      <c r="B73" s="64">
        <v>8.15</v>
      </c>
      <c r="C73" s="64">
        <v>3.11</v>
      </c>
      <c r="D73" s="64">
        <v>11.93</v>
      </c>
      <c r="E73" s="64">
        <v>4.0599999999999996</v>
      </c>
      <c r="F73" s="64">
        <v>6.86</v>
      </c>
      <c r="G73" s="64">
        <v>54.79</v>
      </c>
      <c r="H73" s="64">
        <v>13.43</v>
      </c>
      <c r="I73" s="64">
        <v>3.58</v>
      </c>
      <c r="J73" s="64">
        <v>0.45</v>
      </c>
      <c r="K73" s="64">
        <v>8.93</v>
      </c>
      <c r="L73" s="64">
        <v>28.13</v>
      </c>
      <c r="M73" s="64">
        <v>77.17</v>
      </c>
      <c r="N73" s="64">
        <v>205</v>
      </c>
      <c r="O73" s="64">
        <v>0</v>
      </c>
      <c r="P73" s="64">
        <v>0.57999999999999996</v>
      </c>
      <c r="Q73" s="64">
        <v>9.43</v>
      </c>
      <c r="R73" s="198"/>
      <c r="S73" s="198"/>
      <c r="T73" s="198"/>
      <c r="U73" s="198"/>
    </row>
    <row r="74" spans="1:21" s="12" customFormat="1" x14ac:dyDescent="0.25">
      <c r="A74" s="214" t="s">
        <v>2906</v>
      </c>
      <c r="B74" s="64">
        <v>8.1300000000000008</v>
      </c>
      <c r="C74" s="64">
        <v>3.14</v>
      </c>
      <c r="D74" s="64">
        <v>11.94</v>
      </c>
      <c r="E74" s="64">
        <v>4.29</v>
      </c>
      <c r="F74" s="64">
        <v>6.34</v>
      </c>
      <c r="G74" s="64">
        <v>54.79</v>
      </c>
      <c r="H74" s="64">
        <v>13.43</v>
      </c>
      <c r="I74" s="64">
        <v>3.27</v>
      </c>
      <c r="J74" s="64">
        <v>0.52</v>
      </c>
      <c r="K74" s="64">
        <v>8.49</v>
      </c>
      <c r="L74" s="64">
        <v>27.65</v>
      </c>
      <c r="M74" s="64">
        <v>78.819999999999993</v>
      </c>
      <c r="N74" s="64">
        <v>134.5</v>
      </c>
      <c r="O74" s="64">
        <v>0</v>
      </c>
      <c r="P74" s="64">
        <v>0.54</v>
      </c>
      <c r="Q74" s="64">
        <v>9.39</v>
      </c>
      <c r="R74" s="198"/>
      <c r="S74" s="198"/>
      <c r="T74" s="198"/>
      <c r="U74" s="198"/>
    </row>
    <row r="75" spans="1:21" s="12" customFormat="1" x14ac:dyDescent="0.25">
      <c r="A75" s="214" t="s">
        <v>2907</v>
      </c>
      <c r="B75" s="64">
        <v>8.1999999999999993</v>
      </c>
      <c r="C75" s="64">
        <v>3.14</v>
      </c>
      <c r="D75" s="64">
        <v>11.99</v>
      </c>
      <c r="E75" s="64">
        <v>4.0599999999999996</v>
      </c>
      <c r="F75" s="64">
        <v>6.9</v>
      </c>
      <c r="G75" s="64">
        <v>53.87</v>
      </c>
      <c r="H75" s="64">
        <v>14.45</v>
      </c>
      <c r="I75" s="64">
        <v>2.88</v>
      </c>
      <c r="J75" s="64">
        <v>0.27</v>
      </c>
      <c r="K75" s="64">
        <v>15.13</v>
      </c>
      <c r="L75" s="64">
        <v>27.09</v>
      </c>
      <c r="M75" s="64">
        <v>81.14</v>
      </c>
      <c r="N75" s="64">
        <v>56.4</v>
      </c>
      <c r="O75" s="64">
        <v>0</v>
      </c>
      <c r="P75" s="64">
        <v>0.48</v>
      </c>
      <c r="Q75" s="64">
        <v>9.36</v>
      </c>
      <c r="R75" s="198"/>
      <c r="S75" s="198"/>
      <c r="T75" s="198"/>
      <c r="U75" s="198"/>
    </row>
    <row r="76" spans="1:21" s="12" customFormat="1" x14ac:dyDescent="0.25">
      <c r="A76" s="214" t="s">
        <v>2908</v>
      </c>
      <c r="B76" s="64">
        <v>8.3000000000000007</v>
      </c>
      <c r="C76" s="64">
        <v>3.09</v>
      </c>
      <c r="D76" s="64">
        <v>12.05</v>
      </c>
      <c r="E76" s="64">
        <v>4.1399999999999997</v>
      </c>
      <c r="F76" s="64">
        <v>8.01</v>
      </c>
      <c r="G76" s="64">
        <v>53.32</v>
      </c>
      <c r="H76" s="64">
        <v>15.09</v>
      </c>
      <c r="I76" s="64">
        <v>2.58</v>
      </c>
      <c r="J76" s="64">
        <v>0.04</v>
      </c>
      <c r="K76" s="64">
        <v>257.70999999999998</v>
      </c>
      <c r="L76" s="64">
        <v>26.41</v>
      </c>
      <c r="M76" s="64">
        <v>85.95</v>
      </c>
      <c r="N76" s="64">
        <v>53.5</v>
      </c>
      <c r="O76" s="64">
        <v>0</v>
      </c>
      <c r="P76" s="64">
        <v>0.41</v>
      </c>
      <c r="Q76" s="64">
        <v>9.36</v>
      </c>
      <c r="R76" s="198"/>
      <c r="S76" s="198"/>
      <c r="T76" s="198"/>
      <c r="U76" s="198"/>
    </row>
    <row r="77" spans="1:21" s="12" customFormat="1" x14ac:dyDescent="0.25">
      <c r="A77" s="214" t="s">
        <v>2909</v>
      </c>
      <c r="B77" s="64">
        <v>8.35</v>
      </c>
      <c r="C77" s="64">
        <v>3.39</v>
      </c>
      <c r="D77" s="64">
        <v>12.24</v>
      </c>
      <c r="E77" s="64">
        <v>3.83</v>
      </c>
      <c r="F77" s="64">
        <v>6.92</v>
      </c>
      <c r="G77" s="64">
        <v>53.32</v>
      </c>
      <c r="H77" s="64">
        <v>15.09</v>
      </c>
      <c r="I77" s="64">
        <v>2.2400000000000002</v>
      </c>
      <c r="J77" s="64">
        <v>0.11</v>
      </c>
      <c r="K77" s="64">
        <v>22.29</v>
      </c>
      <c r="L77" s="64">
        <v>26.01</v>
      </c>
      <c r="M77" s="64">
        <v>87.57</v>
      </c>
      <c r="N77" s="64">
        <v>44.4</v>
      </c>
      <c r="O77" s="64">
        <v>0</v>
      </c>
      <c r="P77" s="64">
        <v>0.37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4" t="s">
        <v>2910</v>
      </c>
      <c r="B78" s="64">
        <v>8.35</v>
      </c>
      <c r="C78" s="64">
        <v>3.31</v>
      </c>
      <c r="D78" s="64">
        <v>12.2</v>
      </c>
      <c r="E78" s="64">
        <v>3.76</v>
      </c>
      <c r="F78" s="64">
        <v>5.6</v>
      </c>
      <c r="G78" s="64">
        <v>53.32</v>
      </c>
      <c r="H78" s="64">
        <v>15.09</v>
      </c>
      <c r="I78" s="64">
        <v>1.83</v>
      </c>
      <c r="J78" s="64">
        <v>0.42</v>
      </c>
      <c r="K78" s="64">
        <v>9.14</v>
      </c>
      <c r="L78" s="64">
        <v>25.7</v>
      </c>
      <c r="M78" s="64">
        <v>88.04</v>
      </c>
      <c r="N78" s="64">
        <v>48.9</v>
      </c>
      <c r="O78" s="64">
        <v>0</v>
      </c>
      <c r="P78" s="64">
        <v>0.36</v>
      </c>
      <c r="Q78" s="64">
        <v>9.31</v>
      </c>
      <c r="R78" s="198"/>
      <c r="S78" s="198"/>
      <c r="T78" s="198"/>
      <c r="U78" s="198"/>
    </row>
    <row r="79" spans="1:21" s="12" customFormat="1" x14ac:dyDescent="0.25">
      <c r="A79" s="214" t="s">
        <v>2911</v>
      </c>
      <c r="B79" s="64">
        <v>8.32</v>
      </c>
      <c r="C79" s="64">
        <v>3.26</v>
      </c>
      <c r="D79" s="64">
        <v>12.15</v>
      </c>
      <c r="E79" s="64">
        <v>4.05</v>
      </c>
      <c r="F79" s="64">
        <v>5.65</v>
      </c>
      <c r="G79" s="64">
        <v>44.35</v>
      </c>
      <c r="H79" s="64">
        <v>13.76</v>
      </c>
      <c r="I79" s="64">
        <v>1.66</v>
      </c>
      <c r="J79" s="64">
        <v>0.4</v>
      </c>
      <c r="K79" s="64">
        <v>8.7200000000000006</v>
      </c>
      <c r="L79" s="64">
        <v>25.48</v>
      </c>
      <c r="M79" s="64">
        <v>89.87</v>
      </c>
      <c r="N79" s="64">
        <v>51</v>
      </c>
      <c r="O79" s="64">
        <v>0</v>
      </c>
      <c r="P79" s="64">
        <v>0.36</v>
      </c>
      <c r="Q79" s="64">
        <v>9.32</v>
      </c>
      <c r="R79" s="198"/>
      <c r="S79" s="198"/>
      <c r="T79" s="198"/>
      <c r="U79" s="198"/>
    </row>
    <row r="80" spans="1:21" s="12" customFormat="1" x14ac:dyDescent="0.25">
      <c r="A80" s="214" t="s">
        <v>2912</v>
      </c>
      <c r="B80" s="64">
        <v>8.2200000000000006</v>
      </c>
      <c r="C80" s="64">
        <v>3.05</v>
      </c>
      <c r="D80" s="64">
        <v>11.95</v>
      </c>
      <c r="E80" s="64">
        <v>4.2300000000000004</v>
      </c>
      <c r="F80" s="64">
        <v>3.66</v>
      </c>
      <c r="G80" s="64">
        <v>38.64</v>
      </c>
      <c r="H80" s="64">
        <v>12.91</v>
      </c>
      <c r="I80" s="64">
        <v>1.58</v>
      </c>
      <c r="J80" s="64">
        <v>0.57999999999999996</v>
      </c>
      <c r="K80" s="64">
        <v>11.89</v>
      </c>
      <c r="L80" s="64">
        <v>25.31</v>
      </c>
      <c r="M80" s="64">
        <v>90.43</v>
      </c>
      <c r="N80" s="64">
        <v>40.200000000000003</v>
      </c>
      <c r="O80" s="64">
        <v>0</v>
      </c>
      <c r="P80" s="64">
        <v>0.36</v>
      </c>
      <c r="Q80" s="64">
        <v>9.3000000000000007</v>
      </c>
      <c r="R80" s="198"/>
      <c r="S80" s="198"/>
      <c r="T80" s="198"/>
      <c r="U80" s="198"/>
    </row>
    <row r="81" spans="1:26" s="12" customFormat="1" x14ac:dyDescent="0.25">
      <c r="A81" s="214" t="s">
        <v>2913</v>
      </c>
      <c r="B81" s="64">
        <v>8.17</v>
      </c>
      <c r="C81" s="64">
        <v>3.05</v>
      </c>
      <c r="D81" s="64">
        <v>11.92</v>
      </c>
      <c r="E81" s="64">
        <v>4.4400000000000004</v>
      </c>
      <c r="F81" s="64">
        <v>4.0999999999999996</v>
      </c>
      <c r="G81" s="64">
        <v>38.64</v>
      </c>
      <c r="H81" s="64">
        <v>12.91</v>
      </c>
      <c r="I81" s="64">
        <v>1.52</v>
      </c>
      <c r="J81" s="64">
        <v>0.09</v>
      </c>
      <c r="K81" s="64">
        <v>32.619999999999997</v>
      </c>
      <c r="L81" s="64">
        <v>25.2</v>
      </c>
      <c r="M81" s="64">
        <v>91.49</v>
      </c>
      <c r="N81" s="64">
        <v>25.3</v>
      </c>
      <c r="O81" s="64">
        <v>0</v>
      </c>
      <c r="P81" s="64">
        <v>0.36</v>
      </c>
      <c r="Q81" s="64">
        <v>9.2799999999999994</v>
      </c>
      <c r="R81" s="198"/>
      <c r="S81" s="198"/>
      <c r="T81" s="198"/>
      <c r="U81" s="198"/>
    </row>
    <row r="82" spans="1:26" s="12" customFormat="1" x14ac:dyDescent="0.25">
      <c r="A82" s="214" t="s">
        <v>2914</v>
      </c>
      <c r="B82" s="64">
        <v>8.18</v>
      </c>
      <c r="C82" s="64">
        <v>3.13</v>
      </c>
      <c r="D82" s="64">
        <v>11.97</v>
      </c>
      <c r="E82" s="64">
        <v>4.2</v>
      </c>
      <c r="F82" s="64">
        <v>5.25</v>
      </c>
      <c r="G82" s="64">
        <v>38.64</v>
      </c>
      <c r="H82" s="64">
        <v>12.91</v>
      </c>
      <c r="I82" s="64">
        <v>1.51</v>
      </c>
      <c r="J82" s="64">
        <v>0.13</v>
      </c>
      <c r="K82" s="64">
        <v>343.44</v>
      </c>
      <c r="L82" s="64">
        <v>25.08</v>
      </c>
      <c r="M82" s="64">
        <v>91.88</v>
      </c>
      <c r="N82" s="64">
        <v>21.2</v>
      </c>
      <c r="O82" s="64">
        <v>0</v>
      </c>
      <c r="P82" s="64">
        <v>0.36</v>
      </c>
      <c r="Q82" s="64">
        <v>9.2899999999999991</v>
      </c>
      <c r="R82" s="198"/>
      <c r="S82" s="198"/>
      <c r="T82" s="198"/>
      <c r="U82" s="198"/>
    </row>
    <row r="83" spans="1:26" s="12" customFormat="1" x14ac:dyDescent="0.25">
      <c r="A83" s="214" t="s">
        <v>2915</v>
      </c>
      <c r="B83" s="64">
        <v>8.19</v>
      </c>
      <c r="C83" s="64">
        <v>3.15</v>
      </c>
      <c r="D83" s="64">
        <v>11.99</v>
      </c>
      <c r="E83" s="64">
        <v>4.1900000000000004</v>
      </c>
      <c r="F83" s="64">
        <v>3.05</v>
      </c>
      <c r="G83" s="64">
        <v>35.770000000000003</v>
      </c>
      <c r="H83" s="64">
        <v>12.15</v>
      </c>
      <c r="I83" s="64">
        <v>1.48</v>
      </c>
      <c r="J83" s="64">
        <v>0.5</v>
      </c>
      <c r="K83" s="64">
        <v>15.82</v>
      </c>
      <c r="L83" s="64">
        <v>24.99</v>
      </c>
      <c r="M83" s="64">
        <v>91.6</v>
      </c>
      <c r="N83" s="64">
        <v>17.7</v>
      </c>
      <c r="O83" s="64">
        <v>0</v>
      </c>
      <c r="P83" s="64">
        <v>0.35</v>
      </c>
      <c r="Q83" s="64">
        <v>9.31</v>
      </c>
      <c r="R83" s="198"/>
      <c r="S83" s="198"/>
      <c r="T83" s="198"/>
      <c r="U83" s="198"/>
    </row>
    <row r="84" spans="1:26" s="12" customFormat="1" x14ac:dyDescent="0.25">
      <c r="A84" s="214" t="s">
        <v>2916</v>
      </c>
      <c r="B84" s="64">
        <v>8.19</v>
      </c>
      <c r="C84" s="64">
        <v>3.12</v>
      </c>
      <c r="D84" s="64">
        <v>11.97</v>
      </c>
      <c r="E84" s="64">
        <v>3.81</v>
      </c>
      <c r="F84" s="64">
        <v>4.24</v>
      </c>
      <c r="G84" s="64">
        <v>33.94</v>
      </c>
      <c r="H84" s="64">
        <v>11.67</v>
      </c>
      <c r="I84" s="64">
        <v>1.47</v>
      </c>
      <c r="J84" s="64">
        <v>0.26</v>
      </c>
      <c r="K84" s="64">
        <v>343.2</v>
      </c>
      <c r="L84" s="64">
        <v>25.09</v>
      </c>
      <c r="M84" s="64">
        <v>91.67</v>
      </c>
      <c r="N84" s="64">
        <v>17.399999999999999</v>
      </c>
      <c r="O84" s="64">
        <v>0</v>
      </c>
      <c r="P84" s="64">
        <v>0.35</v>
      </c>
      <c r="Q84" s="64">
        <v>9.2899999999999991</v>
      </c>
      <c r="R84" s="198"/>
      <c r="S84" s="198"/>
      <c r="T84" s="198"/>
      <c r="U84" s="198"/>
    </row>
    <row r="85" spans="1:26" s="12" customFormat="1" x14ac:dyDescent="0.25">
      <c r="A85" s="214" t="s">
        <v>2917</v>
      </c>
      <c r="B85" s="64">
        <v>8.2200000000000006</v>
      </c>
      <c r="C85" s="64">
        <v>3.14</v>
      </c>
      <c r="D85" s="64">
        <v>12</v>
      </c>
      <c r="E85" s="64">
        <v>3.93</v>
      </c>
      <c r="F85" s="64">
        <v>4.51</v>
      </c>
      <c r="G85" s="64">
        <v>33.94</v>
      </c>
      <c r="H85" s="64">
        <v>11.67</v>
      </c>
      <c r="I85" s="64">
        <v>1.49</v>
      </c>
      <c r="J85" s="64">
        <v>0.37</v>
      </c>
      <c r="K85" s="64">
        <v>33.83</v>
      </c>
      <c r="L85" s="64">
        <v>25.03</v>
      </c>
      <c r="M85" s="64">
        <v>92.27</v>
      </c>
      <c r="N85" s="64">
        <v>17.3</v>
      </c>
      <c r="O85" s="64">
        <v>0</v>
      </c>
      <c r="P85" s="64">
        <v>0.34</v>
      </c>
      <c r="Q85" s="64">
        <v>9.2899999999999991</v>
      </c>
      <c r="R85" s="198"/>
      <c r="S85" s="198"/>
      <c r="T85" s="198"/>
      <c r="U85" s="198"/>
    </row>
    <row r="86" spans="1:26" s="12" customFormat="1" x14ac:dyDescent="0.25">
      <c r="A86" s="214" t="s">
        <v>2918</v>
      </c>
      <c r="B86" s="64">
        <v>8.23</v>
      </c>
      <c r="C86" s="64">
        <v>3.15</v>
      </c>
      <c r="D86" s="64">
        <v>12.02</v>
      </c>
      <c r="E86" s="64">
        <v>4.0599999999999996</v>
      </c>
      <c r="F86" s="64">
        <v>4.01</v>
      </c>
      <c r="G86" s="64">
        <v>33.94</v>
      </c>
      <c r="H86" s="64">
        <v>11.67</v>
      </c>
      <c r="I86" s="64">
        <v>1.52</v>
      </c>
      <c r="J86" s="64">
        <v>0.55000000000000004</v>
      </c>
      <c r="K86" s="64">
        <v>22.76</v>
      </c>
      <c r="L86" s="64">
        <v>25.07</v>
      </c>
      <c r="M86" s="64">
        <v>92.17</v>
      </c>
      <c r="N86" s="64">
        <v>17.3</v>
      </c>
      <c r="O86" s="64">
        <v>0</v>
      </c>
      <c r="P86" s="64">
        <v>0.36</v>
      </c>
      <c r="Q86" s="64">
        <v>9.31</v>
      </c>
      <c r="R86" s="198"/>
      <c r="S86" s="198"/>
      <c r="T86" s="198"/>
      <c r="U86" s="198"/>
    </row>
    <row r="87" spans="1:26" s="12" customFormat="1" x14ac:dyDescent="0.25">
      <c r="A87" s="214" t="s">
        <v>2919</v>
      </c>
      <c r="B87" s="64">
        <v>8.23</v>
      </c>
      <c r="C87" s="64">
        <v>3.16</v>
      </c>
      <c r="D87" s="64">
        <v>12.02</v>
      </c>
      <c r="E87" s="64">
        <v>4.09</v>
      </c>
      <c r="F87" s="64">
        <v>3.84</v>
      </c>
      <c r="G87" s="64">
        <v>33.25</v>
      </c>
      <c r="H87" s="64">
        <v>10.23</v>
      </c>
      <c r="I87" s="64">
        <v>1.59</v>
      </c>
      <c r="J87" s="64">
        <v>0.4</v>
      </c>
      <c r="K87" s="64">
        <v>24.7</v>
      </c>
      <c r="L87" s="64">
        <v>25.09</v>
      </c>
      <c r="M87" s="64">
        <v>91.9</v>
      </c>
      <c r="N87" s="64">
        <v>17.2</v>
      </c>
      <c r="O87" s="64">
        <v>0</v>
      </c>
      <c r="P87" s="64">
        <v>0.38</v>
      </c>
      <c r="Q87" s="64">
        <v>9.32</v>
      </c>
      <c r="R87" s="198"/>
      <c r="S87" s="198"/>
      <c r="T87" s="198"/>
      <c r="U87" s="198"/>
    </row>
    <row r="88" spans="1:26" s="12" customFormat="1" x14ac:dyDescent="0.25">
      <c r="A88" s="214" t="s">
        <v>2920</v>
      </c>
      <c r="B88" s="64">
        <v>8.27</v>
      </c>
      <c r="C88" s="64">
        <v>3.23</v>
      </c>
      <c r="D88" s="64">
        <v>12.09</v>
      </c>
      <c r="E88" s="64">
        <v>4.63</v>
      </c>
      <c r="F88" s="64">
        <v>3.66</v>
      </c>
      <c r="G88" s="64">
        <v>32.81</v>
      </c>
      <c r="H88" s="64">
        <v>9.32</v>
      </c>
      <c r="I88" s="64">
        <v>1.68</v>
      </c>
      <c r="J88" s="64">
        <v>0.27</v>
      </c>
      <c r="K88" s="64">
        <v>9.84</v>
      </c>
      <c r="L88" s="64">
        <v>25.04</v>
      </c>
      <c r="M88" s="64">
        <v>91.84</v>
      </c>
      <c r="N88" s="64">
        <v>17.2</v>
      </c>
      <c r="O88" s="64">
        <v>0</v>
      </c>
      <c r="P88" s="64">
        <v>0.39</v>
      </c>
      <c r="Q88" s="64">
        <v>9.36</v>
      </c>
      <c r="R88" s="198"/>
      <c r="S88" s="198"/>
      <c r="T88" s="198"/>
      <c r="U88" s="198"/>
    </row>
    <row r="89" spans="1:26" s="12" customFormat="1" x14ac:dyDescent="0.25">
      <c r="A89" s="214" t="s">
        <v>2921</v>
      </c>
      <c r="B89" s="64">
        <v>8.2899999999999991</v>
      </c>
      <c r="C89" s="64">
        <v>3.29</v>
      </c>
      <c r="D89" s="64">
        <v>12.14</v>
      </c>
      <c r="E89" s="64">
        <v>4.32</v>
      </c>
      <c r="F89" s="64">
        <v>3.87</v>
      </c>
      <c r="G89" s="64">
        <v>32.81</v>
      </c>
      <c r="H89" s="64">
        <v>9.32</v>
      </c>
      <c r="I89" s="64">
        <v>1.82</v>
      </c>
      <c r="J89" s="64">
        <v>0.32</v>
      </c>
      <c r="K89" s="64">
        <v>13.22</v>
      </c>
      <c r="L89" s="64">
        <v>25.03</v>
      </c>
      <c r="M89" s="64">
        <v>92.11</v>
      </c>
      <c r="N89" s="64">
        <v>17.2</v>
      </c>
      <c r="O89" s="64">
        <v>0</v>
      </c>
      <c r="P89" s="64">
        <v>0.4</v>
      </c>
      <c r="Q89" s="64">
        <v>9.36</v>
      </c>
      <c r="R89" s="198"/>
      <c r="S89" s="198"/>
      <c r="T89" s="198"/>
      <c r="U89" s="198"/>
    </row>
    <row r="90" spans="1:26" s="12" customFormat="1" x14ac:dyDescent="0.25">
      <c r="A90" s="214" t="s">
        <v>2922</v>
      </c>
      <c r="B90" s="64">
        <v>8.25</v>
      </c>
      <c r="C90" s="64">
        <v>3.21</v>
      </c>
      <c r="D90" s="64">
        <v>12.06</v>
      </c>
      <c r="E90" s="64">
        <v>4.1500000000000004</v>
      </c>
      <c r="F90" s="64">
        <v>4.2</v>
      </c>
      <c r="G90" s="64">
        <v>32.81</v>
      </c>
      <c r="H90" s="64">
        <v>9.32</v>
      </c>
      <c r="I90" s="64">
        <v>1.94</v>
      </c>
      <c r="J90" s="64">
        <v>0.48</v>
      </c>
      <c r="K90" s="64">
        <v>37.44</v>
      </c>
      <c r="L90" s="64">
        <v>25.11</v>
      </c>
      <c r="M90" s="64">
        <v>91.42</v>
      </c>
      <c r="N90" s="64">
        <v>17.3</v>
      </c>
      <c r="O90" s="64">
        <v>0</v>
      </c>
      <c r="P90" s="64">
        <v>0.41</v>
      </c>
      <c r="Q90" s="64">
        <v>9.36</v>
      </c>
      <c r="R90" s="198"/>
      <c r="S90" s="198"/>
      <c r="T90" s="198"/>
      <c r="U90" s="198"/>
    </row>
    <row r="91" spans="1:26" s="12" customFormat="1" x14ac:dyDescent="0.25">
      <c r="A91" s="214" t="s">
        <v>2923</v>
      </c>
      <c r="B91" s="64">
        <v>8.24</v>
      </c>
      <c r="C91" s="64">
        <v>3.24</v>
      </c>
      <c r="D91" s="64">
        <v>12.07</v>
      </c>
      <c r="E91" s="64">
        <v>4.51</v>
      </c>
      <c r="F91" s="64">
        <v>4.05</v>
      </c>
      <c r="G91" s="64">
        <v>28.37</v>
      </c>
      <c r="H91" s="64">
        <v>7.86</v>
      </c>
      <c r="I91" s="64">
        <v>2.0099999999999998</v>
      </c>
      <c r="J91" s="64">
        <v>0.63</v>
      </c>
      <c r="K91" s="64">
        <v>17.84</v>
      </c>
      <c r="L91" s="64">
        <v>24.84</v>
      </c>
      <c r="M91" s="64">
        <v>93.51</v>
      </c>
      <c r="N91" s="64">
        <v>17.2</v>
      </c>
      <c r="O91" s="64">
        <v>0</v>
      </c>
      <c r="P91" s="64">
        <v>0.44</v>
      </c>
      <c r="Q91" s="64">
        <v>9.36</v>
      </c>
      <c r="R91" s="198"/>
      <c r="S91" s="198"/>
      <c r="T91" s="198"/>
      <c r="U91" s="198"/>
    </row>
    <row r="92" spans="1:26" s="12" customFormat="1" x14ac:dyDescent="0.25">
      <c r="A92" s="214" t="s">
        <v>2924</v>
      </c>
      <c r="B92" s="64">
        <v>8.1999999999999993</v>
      </c>
      <c r="C92" s="64">
        <v>3.22</v>
      </c>
      <c r="D92" s="64">
        <v>12.04</v>
      </c>
      <c r="E92" s="64">
        <v>4.8899999999999997</v>
      </c>
      <c r="F92" s="64">
        <v>2.79</v>
      </c>
      <c r="G92" s="64">
        <v>25.68</v>
      </c>
      <c r="H92" s="64">
        <v>6.98</v>
      </c>
      <c r="I92" s="64">
        <v>2.0699999999999998</v>
      </c>
      <c r="J92" s="64">
        <v>0.18</v>
      </c>
      <c r="K92" s="64">
        <v>24.85</v>
      </c>
      <c r="L92" s="64">
        <v>24.63</v>
      </c>
      <c r="M92" s="64">
        <v>95.04</v>
      </c>
      <c r="N92" s="64">
        <v>16.7</v>
      </c>
      <c r="O92" s="64">
        <v>0</v>
      </c>
      <c r="P92" s="64">
        <v>0.44</v>
      </c>
      <c r="Q92" s="64">
        <v>9.2899999999999991</v>
      </c>
      <c r="R92" s="198"/>
      <c r="S92" s="198"/>
      <c r="T92" s="198"/>
      <c r="U92" s="198"/>
    </row>
    <row r="93" spans="1:26" s="12" customFormat="1" x14ac:dyDescent="0.25">
      <c r="A93" s="214" t="s">
        <v>2925</v>
      </c>
      <c r="B93" s="64">
        <v>8.15</v>
      </c>
      <c r="C93" s="64">
        <v>3.14</v>
      </c>
      <c r="D93" s="64">
        <v>11.95</v>
      </c>
      <c r="E93" s="64">
        <v>4.43</v>
      </c>
      <c r="F93" s="64">
        <v>4.16</v>
      </c>
      <c r="G93" s="64">
        <v>25.68</v>
      </c>
      <c r="H93" s="64">
        <v>6.98</v>
      </c>
      <c r="I93" s="64">
        <v>2.13</v>
      </c>
      <c r="J93" s="64">
        <v>0.28999999999999998</v>
      </c>
      <c r="K93" s="64">
        <v>2.85</v>
      </c>
      <c r="L93" s="64">
        <v>24.59</v>
      </c>
      <c r="M93" s="64">
        <v>96.37</v>
      </c>
      <c r="N93" s="64">
        <v>16.7</v>
      </c>
      <c r="O93" s="64">
        <v>0</v>
      </c>
      <c r="P93" s="64">
        <v>0.44</v>
      </c>
      <c r="Q93" s="64">
        <v>9.34</v>
      </c>
      <c r="R93" s="198"/>
      <c r="S93" s="198"/>
      <c r="T93" s="198"/>
      <c r="U93" s="198"/>
    </row>
    <row r="94" spans="1:26" s="12" customFormat="1" x14ac:dyDescent="0.25">
      <c r="A94" s="214" t="s">
        <v>2926</v>
      </c>
      <c r="B94" s="64">
        <v>8.19</v>
      </c>
      <c r="C94" s="64">
        <v>3.18</v>
      </c>
      <c r="D94" s="64">
        <v>12</v>
      </c>
      <c r="E94" s="64">
        <v>4.5599999999999996</v>
      </c>
      <c r="F94" s="64">
        <v>3.55</v>
      </c>
      <c r="G94" s="64">
        <v>25.68</v>
      </c>
      <c r="H94" s="64">
        <v>6.98</v>
      </c>
      <c r="I94" s="64">
        <v>2.15</v>
      </c>
      <c r="J94" s="64">
        <v>0.52</v>
      </c>
      <c r="K94" s="64">
        <v>12.24</v>
      </c>
      <c r="L94" s="64">
        <v>24.59</v>
      </c>
      <c r="M94" s="64">
        <v>95.98</v>
      </c>
      <c r="N94" s="64">
        <v>16.899999999999999</v>
      </c>
      <c r="O94" s="64">
        <v>0</v>
      </c>
      <c r="P94" s="64">
        <v>0.43</v>
      </c>
      <c r="Q94" s="64">
        <v>9.35</v>
      </c>
      <c r="R94" s="198"/>
      <c r="S94" s="198"/>
      <c r="T94" s="198"/>
      <c r="U94" s="198"/>
    </row>
    <row r="95" spans="1:26" s="12" customFormat="1" x14ac:dyDescent="0.25">
      <c r="A95" s="214" t="s">
        <v>2927</v>
      </c>
      <c r="B95" s="64">
        <v>8.1999999999999993</v>
      </c>
      <c r="C95" s="64">
        <v>3.18</v>
      </c>
      <c r="D95" s="64">
        <v>12.01</v>
      </c>
      <c r="E95" s="64">
        <v>4.3899999999999997</v>
      </c>
      <c r="F95" s="64">
        <v>3.89</v>
      </c>
      <c r="G95" s="64">
        <v>28.85</v>
      </c>
      <c r="H95" s="64">
        <v>6.27</v>
      </c>
      <c r="I95" s="64">
        <v>2.14</v>
      </c>
      <c r="J95" s="64">
        <v>0.04</v>
      </c>
      <c r="K95" s="64">
        <v>195.59</v>
      </c>
      <c r="L95" s="64">
        <v>24.42</v>
      </c>
      <c r="M95" s="64">
        <v>96.95</v>
      </c>
      <c r="N95" s="64">
        <v>17</v>
      </c>
      <c r="O95" s="64">
        <v>0</v>
      </c>
      <c r="P95" s="64">
        <v>0.42</v>
      </c>
      <c r="Q95" s="64">
        <v>9.36</v>
      </c>
      <c r="R95" s="198"/>
      <c r="S95" s="198"/>
      <c r="T95" s="198"/>
      <c r="U95" s="198"/>
    </row>
    <row r="96" spans="1:26" s="12" customFormat="1" x14ac:dyDescent="0.25">
      <c r="A96" s="214" t="s">
        <v>2928</v>
      </c>
      <c r="B96" s="64">
        <v>8.31</v>
      </c>
      <c r="C96" s="64">
        <v>3.45</v>
      </c>
      <c r="D96" s="64">
        <v>12.24</v>
      </c>
      <c r="E96" s="64">
        <v>4.82</v>
      </c>
      <c r="F96" s="64">
        <v>3.83</v>
      </c>
      <c r="G96" s="64">
        <v>30.78</v>
      </c>
      <c r="H96" s="64">
        <v>5.83</v>
      </c>
      <c r="I96" s="64">
        <v>2.08</v>
      </c>
      <c r="J96" s="64">
        <v>0.5</v>
      </c>
      <c r="K96" s="64">
        <v>169.4</v>
      </c>
      <c r="L96" s="64">
        <v>24.45</v>
      </c>
      <c r="M96" s="64">
        <v>97.71</v>
      </c>
      <c r="N96" s="64">
        <v>17.3</v>
      </c>
      <c r="O96" s="64">
        <v>0</v>
      </c>
      <c r="P96" s="64">
        <v>0.42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2929</v>
      </c>
      <c r="B97" s="64">
        <v>8.19</v>
      </c>
      <c r="C97" s="64">
        <v>3.21</v>
      </c>
      <c r="D97" s="64">
        <v>12.02</v>
      </c>
      <c r="E97" s="64">
        <v>4.66</v>
      </c>
      <c r="F97" s="64">
        <v>3.08</v>
      </c>
      <c r="G97" s="64">
        <v>30.78</v>
      </c>
      <c r="H97" s="64">
        <v>5.83</v>
      </c>
      <c r="I97" s="64">
        <v>2.06</v>
      </c>
      <c r="J97" s="64">
        <v>0.4</v>
      </c>
      <c r="K97" s="64">
        <v>180.63</v>
      </c>
      <c r="L97" s="64">
        <v>24.25</v>
      </c>
      <c r="M97" s="64">
        <v>97.72</v>
      </c>
      <c r="N97" s="64">
        <v>17.399999999999999</v>
      </c>
      <c r="O97" s="64">
        <v>0</v>
      </c>
      <c r="P97" s="64">
        <v>0.4</v>
      </c>
      <c r="Q97" s="64">
        <v>9.31</v>
      </c>
      <c r="R97" s="198"/>
      <c r="S97" s="198"/>
      <c r="T97" s="198"/>
      <c r="U97" s="198"/>
    </row>
    <row r="98" spans="1:33" s="12" customFormat="1" x14ac:dyDescent="0.25">
      <c r="A98" s="214" t="s">
        <v>2930</v>
      </c>
      <c r="B98" s="64">
        <v>8.1999999999999993</v>
      </c>
      <c r="C98" s="64">
        <v>3.15</v>
      </c>
      <c r="D98" s="64">
        <v>12</v>
      </c>
      <c r="E98" s="64">
        <v>4.38</v>
      </c>
      <c r="F98" s="64">
        <v>3.57</v>
      </c>
      <c r="G98" s="64">
        <v>30.78</v>
      </c>
      <c r="H98" s="64">
        <v>5.83</v>
      </c>
      <c r="I98" s="64">
        <v>2.11</v>
      </c>
      <c r="J98" s="64">
        <v>0.48</v>
      </c>
      <c r="K98" s="64">
        <v>167.21</v>
      </c>
      <c r="L98" s="64">
        <v>24.26</v>
      </c>
      <c r="M98" s="64">
        <v>97.82</v>
      </c>
      <c r="N98" s="64">
        <v>17.399999999999999</v>
      </c>
      <c r="O98" s="64">
        <v>0</v>
      </c>
      <c r="P98" s="64">
        <v>0.39</v>
      </c>
      <c r="Q98" s="64">
        <v>9.3000000000000007</v>
      </c>
      <c r="R98" s="198"/>
      <c r="S98" s="198"/>
      <c r="T98" s="198"/>
      <c r="U98" s="198"/>
    </row>
    <row r="99" spans="1:33" s="12" customFormat="1" x14ac:dyDescent="0.25">
      <c r="A99" s="214" t="s">
        <v>2931</v>
      </c>
      <c r="B99" s="64">
        <v>8.18</v>
      </c>
      <c r="C99" s="64">
        <v>3.15</v>
      </c>
      <c r="D99" s="64">
        <v>11.98</v>
      </c>
      <c r="E99" s="64">
        <v>4.57</v>
      </c>
      <c r="F99" s="64">
        <v>4.03</v>
      </c>
      <c r="G99" s="64">
        <v>26.27</v>
      </c>
      <c r="H99" s="64">
        <v>6.64</v>
      </c>
      <c r="I99" s="64">
        <v>2.1800000000000002</v>
      </c>
      <c r="J99" s="64">
        <v>0.1</v>
      </c>
      <c r="K99" s="64">
        <v>237.92</v>
      </c>
      <c r="L99" s="64">
        <v>24.32</v>
      </c>
      <c r="M99" s="64">
        <v>98.23</v>
      </c>
      <c r="N99" s="64">
        <v>17.2</v>
      </c>
      <c r="O99" s="64">
        <v>0</v>
      </c>
      <c r="P99" s="64">
        <v>0.39</v>
      </c>
      <c r="Q99" s="64">
        <v>9.36</v>
      </c>
      <c r="R99" s="198"/>
      <c r="S99" s="198"/>
      <c r="T99" s="198"/>
      <c r="U99" s="198"/>
    </row>
    <row r="100" spans="1:33" s="12" customFormat="1" x14ac:dyDescent="0.25">
      <c r="A100" s="214" t="s">
        <v>2932</v>
      </c>
      <c r="B100" s="64">
        <v>8.19</v>
      </c>
      <c r="C100" s="64">
        <v>3.15</v>
      </c>
      <c r="D100" s="64">
        <v>11.99</v>
      </c>
      <c r="E100" s="64">
        <v>4.8</v>
      </c>
      <c r="F100" s="64">
        <v>3.14</v>
      </c>
      <c r="G100" s="64">
        <v>23.41</v>
      </c>
      <c r="H100" s="64">
        <v>7.13</v>
      </c>
      <c r="I100" s="64">
        <v>2.2400000000000002</v>
      </c>
      <c r="J100" s="64">
        <v>0.34</v>
      </c>
      <c r="K100" s="64">
        <v>7.4</v>
      </c>
      <c r="L100" s="64">
        <v>24.27</v>
      </c>
      <c r="M100" s="64">
        <v>97.6</v>
      </c>
      <c r="N100" s="64">
        <v>17.3</v>
      </c>
      <c r="O100" s="64">
        <v>0</v>
      </c>
      <c r="P100" s="64">
        <v>0.38</v>
      </c>
      <c r="Q100" s="64">
        <v>9.34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2933</v>
      </c>
      <c r="B101" s="64">
        <v>8.18</v>
      </c>
      <c r="C101" s="64">
        <v>3.12</v>
      </c>
      <c r="D101" s="64">
        <v>11.97</v>
      </c>
      <c r="E101" s="64">
        <v>4.45</v>
      </c>
      <c r="F101" s="64">
        <v>3.43</v>
      </c>
      <c r="G101" s="64">
        <v>23.41</v>
      </c>
      <c r="H101" s="64">
        <v>7.13</v>
      </c>
      <c r="I101" s="64">
        <v>2.2999999999999998</v>
      </c>
      <c r="J101" s="64">
        <v>0.5</v>
      </c>
      <c r="K101" s="64">
        <v>17.7</v>
      </c>
      <c r="L101" s="64">
        <v>24.35</v>
      </c>
      <c r="M101" s="64">
        <v>97.42</v>
      </c>
      <c r="N101" s="64">
        <v>17.399999999999999</v>
      </c>
      <c r="O101" s="64">
        <v>0</v>
      </c>
      <c r="P101" s="64">
        <v>0.37</v>
      </c>
      <c r="Q101" s="64">
        <v>9.33</v>
      </c>
      <c r="R101" s="198"/>
      <c r="S101" s="198"/>
      <c r="T101" s="198"/>
      <c r="U101" s="198"/>
    </row>
    <row r="102" spans="1:33" s="12" customFormat="1" x14ac:dyDescent="0.25">
      <c r="A102" s="214" t="s">
        <v>2934</v>
      </c>
      <c r="B102" s="64">
        <v>8.24</v>
      </c>
      <c r="C102" s="64">
        <v>3.18</v>
      </c>
      <c r="D102" s="64">
        <v>12.04</v>
      </c>
      <c r="E102" s="64">
        <v>4.66</v>
      </c>
      <c r="F102" s="64">
        <v>3.44</v>
      </c>
      <c r="G102" s="64">
        <v>23.41</v>
      </c>
      <c r="H102" s="64">
        <v>7.13</v>
      </c>
      <c r="I102" s="64">
        <v>2.29</v>
      </c>
      <c r="J102" s="64">
        <v>0.32</v>
      </c>
      <c r="K102" s="64">
        <v>342.9</v>
      </c>
      <c r="L102" s="64">
        <v>24.37</v>
      </c>
      <c r="M102" s="64">
        <v>97.67</v>
      </c>
      <c r="N102" s="64">
        <v>17.3</v>
      </c>
      <c r="O102" s="64">
        <v>0</v>
      </c>
      <c r="P102" s="64">
        <v>0.37</v>
      </c>
      <c r="Q102" s="64">
        <v>9.33</v>
      </c>
      <c r="R102" s="198"/>
      <c r="S102" s="198"/>
      <c r="T102" s="198"/>
      <c r="U102" s="198"/>
    </row>
    <row r="103" spans="1:33" s="12" customFormat="1" x14ac:dyDescent="0.25">
      <c r="A103" s="214" t="s">
        <v>2935</v>
      </c>
      <c r="B103" s="64">
        <v>8.27</v>
      </c>
      <c r="C103" s="64">
        <v>3.23</v>
      </c>
      <c r="D103" s="64">
        <v>12.1</v>
      </c>
      <c r="E103" s="64">
        <v>4.55</v>
      </c>
      <c r="F103" s="64">
        <v>3.33</v>
      </c>
      <c r="G103" s="64">
        <v>23.12</v>
      </c>
      <c r="H103" s="64">
        <v>6.61</v>
      </c>
      <c r="I103" s="64">
        <v>2.29</v>
      </c>
      <c r="J103" s="64">
        <v>0.43</v>
      </c>
      <c r="K103" s="64">
        <v>12.71</v>
      </c>
      <c r="L103" s="64">
        <v>24.31</v>
      </c>
      <c r="M103" s="64">
        <v>98.2</v>
      </c>
      <c r="N103" s="64">
        <v>16.8</v>
      </c>
      <c r="O103" s="64">
        <v>0</v>
      </c>
      <c r="P103" s="64">
        <v>0.36</v>
      </c>
      <c r="Q103" s="64">
        <v>9.32</v>
      </c>
      <c r="R103" s="198"/>
      <c r="S103" s="198"/>
      <c r="T103" s="198"/>
      <c r="U103" s="198"/>
    </row>
    <row r="104" spans="1:33" s="12" customFormat="1" x14ac:dyDescent="0.25">
      <c r="A104" s="214" t="s">
        <v>2936</v>
      </c>
      <c r="B104" s="64">
        <v>8.23</v>
      </c>
      <c r="C104" s="64">
        <v>3.14</v>
      </c>
      <c r="D104" s="64">
        <v>12.02</v>
      </c>
      <c r="E104" s="64">
        <v>4.2</v>
      </c>
      <c r="F104" s="64">
        <v>3.52</v>
      </c>
      <c r="G104" s="64">
        <v>22.95</v>
      </c>
      <c r="H104" s="64">
        <v>6.29</v>
      </c>
      <c r="I104" s="64">
        <v>2.33</v>
      </c>
      <c r="J104" s="64">
        <v>0.43</v>
      </c>
      <c r="K104" s="64">
        <v>12.87</v>
      </c>
      <c r="L104" s="64">
        <v>24.25</v>
      </c>
      <c r="M104" s="64">
        <v>97.95</v>
      </c>
      <c r="N104" s="64">
        <v>16.600000000000001</v>
      </c>
      <c r="O104" s="64">
        <v>0</v>
      </c>
      <c r="P104" s="64">
        <v>0.36</v>
      </c>
      <c r="Q104" s="64">
        <v>9.34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2.97</v>
      </c>
      <c r="D106" s="67">
        <f t="shared" ref="D106:Q106" si="0">MIN(D9:D104)</f>
        <v>11.88</v>
      </c>
      <c r="E106" s="67">
        <f t="shared" si="0"/>
        <v>3.29</v>
      </c>
      <c r="F106" s="67">
        <f t="shared" si="0"/>
        <v>2.77</v>
      </c>
      <c r="G106" s="67">
        <f t="shared" si="0"/>
        <v>10.43</v>
      </c>
      <c r="H106" s="67">
        <f t="shared" si="0"/>
        <v>1.71</v>
      </c>
      <c r="I106" s="67">
        <f t="shared" si="0"/>
        <v>1.3</v>
      </c>
      <c r="J106" s="67">
        <f t="shared" si="0"/>
        <v>0.04</v>
      </c>
      <c r="K106" s="67">
        <f t="shared" si="0"/>
        <v>0.04</v>
      </c>
      <c r="L106" s="67">
        <f t="shared" si="0"/>
        <v>22.99</v>
      </c>
      <c r="M106" s="67">
        <f t="shared" si="0"/>
        <v>67.66</v>
      </c>
      <c r="N106" s="67">
        <f t="shared" si="0"/>
        <v>16.600000000000001</v>
      </c>
      <c r="O106" s="67">
        <f t="shared" si="0"/>
        <v>0</v>
      </c>
      <c r="P106" s="67">
        <f t="shared" si="0"/>
        <v>0.24</v>
      </c>
      <c r="Q106" s="67">
        <f t="shared" si="0"/>
        <v>9.25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8.35</v>
      </c>
      <c r="C107" s="66">
        <f t="shared" ref="C107:Q107" si="1">MAX(C9:C104)</f>
        <v>3.82</v>
      </c>
      <c r="D107" s="66">
        <f t="shared" si="1"/>
        <v>12.43</v>
      </c>
      <c r="E107" s="66">
        <f t="shared" si="1"/>
        <v>5.49</v>
      </c>
      <c r="F107" s="66">
        <f t="shared" si="1"/>
        <v>8.01</v>
      </c>
      <c r="G107" s="66">
        <f t="shared" si="1"/>
        <v>58.82</v>
      </c>
      <c r="H107" s="66">
        <f t="shared" si="1"/>
        <v>15.09</v>
      </c>
      <c r="I107" s="66">
        <f t="shared" si="1"/>
        <v>3.89</v>
      </c>
      <c r="J107" s="66">
        <f t="shared" si="1"/>
        <v>1.29</v>
      </c>
      <c r="K107" s="66">
        <f t="shared" si="1"/>
        <v>359.99</v>
      </c>
      <c r="L107" s="66">
        <f t="shared" si="1"/>
        <v>30.86</v>
      </c>
      <c r="M107" s="66">
        <f t="shared" si="1"/>
        <v>98.38</v>
      </c>
      <c r="N107" s="66">
        <f t="shared" si="1"/>
        <v>738.5</v>
      </c>
      <c r="O107" s="66">
        <f t="shared" si="1"/>
        <v>0.4</v>
      </c>
      <c r="P107" s="66">
        <f t="shared" si="1"/>
        <v>0.7</v>
      </c>
      <c r="Q107" s="66">
        <f t="shared" si="1"/>
        <v>9.43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8.1953125000000053</v>
      </c>
      <c r="C108" s="67">
        <f t="shared" ref="C108:Q108" si="2">AVERAGE(C9:C104)</f>
        <v>3.1873958333333321</v>
      </c>
      <c r="D108" s="67">
        <f t="shared" si="2"/>
        <v>12.011666666666663</v>
      </c>
      <c r="E108" s="67">
        <f t="shared" si="2"/>
        <v>4.2905208333333329</v>
      </c>
      <c r="F108" s="67">
        <f t="shared" si="2"/>
        <v>4.3620833333333335</v>
      </c>
      <c r="G108" s="67">
        <f t="shared" si="2"/>
        <v>26.311874999999986</v>
      </c>
      <c r="H108" s="67">
        <f t="shared" si="2"/>
        <v>7.0497916666666685</v>
      </c>
      <c r="I108" s="67">
        <f t="shared" si="2"/>
        <v>2.4716666666666671</v>
      </c>
      <c r="J108" s="67">
        <f t="shared" si="2"/>
        <v>0.46104166666666663</v>
      </c>
      <c r="K108" s="67">
        <f t="shared" si="2"/>
        <v>151.5047916666667</v>
      </c>
      <c r="L108" s="67">
        <f t="shared" si="2"/>
        <v>25.478958333333338</v>
      </c>
      <c r="M108" s="67">
        <f t="shared" si="2"/>
        <v>90.805833333333339</v>
      </c>
      <c r="N108" s="67">
        <f t="shared" si="2"/>
        <v>130.04895833333327</v>
      </c>
      <c r="O108" s="67">
        <f t="shared" si="2"/>
        <v>1.0416666666666666E-2</v>
      </c>
      <c r="P108" s="67">
        <f t="shared" si="2"/>
        <v>0.39406249999999993</v>
      </c>
      <c r="Q108" s="67">
        <f t="shared" si="2"/>
        <v>9.3123958333333334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5.0885901780355604E-2</v>
      </c>
      <c r="C109" s="67">
        <f t="shared" ref="C109:Q109" si="3">STDEV(C9:C104)</f>
        <v>0.11231763972316394</v>
      </c>
      <c r="D109" s="67">
        <f t="shared" si="3"/>
        <v>8.8277870704612862E-2</v>
      </c>
      <c r="E109" s="67">
        <f t="shared" si="3"/>
        <v>0.44314752157402382</v>
      </c>
      <c r="F109" s="67">
        <f t="shared" si="3"/>
        <v>1.0858689624023516</v>
      </c>
      <c r="G109" s="67">
        <f t="shared" si="3"/>
        <v>13.415858276289082</v>
      </c>
      <c r="H109" s="67">
        <f t="shared" si="3"/>
        <v>3.6793654999817744</v>
      </c>
      <c r="I109" s="67">
        <f t="shared" si="3"/>
        <v>0.71710627072196542</v>
      </c>
      <c r="J109" s="67">
        <f t="shared" si="3"/>
        <v>0.20148647161934699</v>
      </c>
      <c r="K109" s="67">
        <f t="shared" si="3"/>
        <v>146.99737903126501</v>
      </c>
      <c r="L109" s="67">
        <f t="shared" si="3"/>
        <v>1.9190910563222741</v>
      </c>
      <c r="M109" s="67">
        <f t="shared" si="3"/>
        <v>8.7664067735474287</v>
      </c>
      <c r="N109" s="67">
        <f t="shared" si="3"/>
        <v>165.01092531280381</v>
      </c>
      <c r="O109" s="67">
        <f t="shared" si="3"/>
        <v>5.3270247777212509E-2</v>
      </c>
      <c r="P109" s="67">
        <f t="shared" si="3"/>
        <v>0.13667154730266809</v>
      </c>
      <c r="Q109" s="67">
        <f t="shared" si="3"/>
        <v>4.0203293702897179E-2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2937</v>
      </c>
      <c r="B9" s="64">
        <v>8.23</v>
      </c>
      <c r="C9" s="64">
        <v>3.12</v>
      </c>
      <c r="D9" s="64">
        <v>12</v>
      </c>
      <c r="E9" s="64">
        <v>5.07</v>
      </c>
      <c r="F9" s="64">
        <v>4.05</v>
      </c>
      <c r="G9" s="64">
        <v>22.95</v>
      </c>
      <c r="H9" s="64">
        <v>6.29</v>
      </c>
      <c r="I9" s="64">
        <v>2.39</v>
      </c>
      <c r="J9" s="64">
        <v>0.64</v>
      </c>
      <c r="K9" s="64">
        <v>7.21</v>
      </c>
      <c r="L9" s="64">
        <v>24.37</v>
      </c>
      <c r="M9" s="64">
        <v>97.36</v>
      </c>
      <c r="N9" s="64">
        <v>17</v>
      </c>
      <c r="O9" s="64">
        <v>0</v>
      </c>
      <c r="P9" s="64">
        <v>0.35</v>
      </c>
      <c r="Q9" s="64">
        <v>9.33</v>
      </c>
      <c r="R9" s="198"/>
      <c r="S9" s="198"/>
      <c r="T9" s="198"/>
      <c r="U9" s="198"/>
    </row>
    <row r="10" spans="1:21" s="12" customFormat="1" x14ac:dyDescent="0.25">
      <c r="A10" s="214" t="s">
        <v>2938</v>
      </c>
      <c r="B10" s="64">
        <v>8.23</v>
      </c>
      <c r="C10" s="64">
        <v>3.14</v>
      </c>
      <c r="D10" s="64">
        <v>12.02</v>
      </c>
      <c r="E10" s="64">
        <v>4.71</v>
      </c>
      <c r="F10" s="64">
        <v>3.95</v>
      </c>
      <c r="G10" s="64">
        <v>22.95</v>
      </c>
      <c r="H10" s="64">
        <v>6.29</v>
      </c>
      <c r="I10" s="64">
        <v>2.4</v>
      </c>
      <c r="J10" s="64">
        <v>0.38</v>
      </c>
      <c r="K10" s="64">
        <v>8.11</v>
      </c>
      <c r="L10" s="64">
        <v>24.43</v>
      </c>
      <c r="M10" s="64">
        <v>97.19</v>
      </c>
      <c r="N10" s="64">
        <v>17.2</v>
      </c>
      <c r="O10" s="64">
        <v>0</v>
      </c>
      <c r="P10" s="64">
        <v>0.34</v>
      </c>
      <c r="Q10" s="64">
        <v>9.32</v>
      </c>
      <c r="R10" s="198"/>
      <c r="S10" s="198"/>
      <c r="T10" s="198"/>
      <c r="U10" s="198"/>
    </row>
    <row r="11" spans="1:21" s="12" customFormat="1" x14ac:dyDescent="0.25">
      <c r="A11" s="214" t="s">
        <v>2939</v>
      </c>
      <c r="B11" s="64">
        <v>8.24</v>
      </c>
      <c r="C11" s="64">
        <v>3.17</v>
      </c>
      <c r="D11" s="64">
        <v>12.04</v>
      </c>
      <c r="E11" s="64">
        <v>5.0599999999999996</v>
      </c>
      <c r="F11" s="64">
        <v>3.45</v>
      </c>
      <c r="G11" s="64">
        <v>23.48</v>
      </c>
      <c r="H11" s="64">
        <v>7.91</v>
      </c>
      <c r="I11" s="64">
        <v>2.4500000000000002</v>
      </c>
      <c r="J11" s="64">
        <v>0.38</v>
      </c>
      <c r="K11" s="64">
        <v>3.51</v>
      </c>
      <c r="L11" s="64">
        <v>24.45</v>
      </c>
      <c r="M11" s="64">
        <v>96.4</v>
      </c>
      <c r="N11" s="64">
        <v>17.2</v>
      </c>
      <c r="O11" s="64">
        <v>0</v>
      </c>
      <c r="P11" s="64">
        <v>0.34</v>
      </c>
      <c r="Q11" s="64">
        <v>9.34</v>
      </c>
      <c r="R11" s="198"/>
      <c r="S11" s="198"/>
      <c r="T11" s="198"/>
      <c r="U11" s="198"/>
    </row>
    <row r="12" spans="1:21" s="12" customFormat="1" x14ac:dyDescent="0.25">
      <c r="A12" s="214" t="s">
        <v>2940</v>
      </c>
      <c r="B12" s="64">
        <v>8.24</v>
      </c>
      <c r="C12" s="64">
        <v>3.16</v>
      </c>
      <c r="D12" s="64">
        <v>12.03</v>
      </c>
      <c r="E12" s="64">
        <v>5.1100000000000003</v>
      </c>
      <c r="F12" s="64">
        <v>3.71</v>
      </c>
      <c r="G12" s="64">
        <v>23.81</v>
      </c>
      <c r="H12" s="64">
        <v>8.9499999999999993</v>
      </c>
      <c r="I12" s="64">
        <v>2.4</v>
      </c>
      <c r="J12" s="64">
        <v>0.48</v>
      </c>
      <c r="K12" s="64">
        <v>15.34</v>
      </c>
      <c r="L12" s="64">
        <v>24.42</v>
      </c>
      <c r="M12" s="64">
        <v>96.34</v>
      </c>
      <c r="N12" s="64">
        <v>17.399999999999999</v>
      </c>
      <c r="O12" s="64">
        <v>0</v>
      </c>
      <c r="P12" s="64">
        <v>0.33</v>
      </c>
      <c r="Q12" s="64">
        <v>9.33</v>
      </c>
      <c r="R12" s="198"/>
      <c r="S12" s="198"/>
      <c r="T12" s="198"/>
      <c r="U12" s="198"/>
    </row>
    <row r="13" spans="1:21" s="12" customFormat="1" x14ac:dyDescent="0.25">
      <c r="A13" s="214" t="s">
        <v>2941</v>
      </c>
      <c r="B13" s="64">
        <v>8.2100000000000009</v>
      </c>
      <c r="C13" s="64">
        <v>3.21</v>
      </c>
      <c r="D13" s="64">
        <v>12.04</v>
      </c>
      <c r="E13" s="64">
        <v>4.97</v>
      </c>
      <c r="F13" s="64">
        <v>4.87</v>
      </c>
      <c r="G13" s="64">
        <v>23.81</v>
      </c>
      <c r="H13" s="64">
        <v>8.9499999999999993</v>
      </c>
      <c r="I13" s="64">
        <v>2.46</v>
      </c>
      <c r="J13" s="64">
        <v>0.39</v>
      </c>
      <c r="K13" s="64">
        <v>6.52</v>
      </c>
      <c r="L13" s="64">
        <v>24.35</v>
      </c>
      <c r="M13" s="64">
        <v>96.11</v>
      </c>
      <c r="N13" s="64">
        <v>17.399999999999999</v>
      </c>
      <c r="O13" s="64">
        <v>0</v>
      </c>
      <c r="P13" s="64">
        <v>0.33</v>
      </c>
      <c r="Q13" s="64">
        <v>9.2899999999999991</v>
      </c>
      <c r="R13" s="198"/>
      <c r="S13" s="198"/>
      <c r="T13" s="198"/>
      <c r="U13" s="198"/>
    </row>
    <row r="14" spans="1:21" s="12" customFormat="1" x14ac:dyDescent="0.25">
      <c r="A14" s="214" t="s">
        <v>2942</v>
      </c>
      <c r="B14" s="64">
        <v>8.1999999999999993</v>
      </c>
      <c r="C14" s="64">
        <v>3.23</v>
      </c>
      <c r="D14" s="64">
        <v>12.04</v>
      </c>
      <c r="E14" s="64">
        <v>5.04</v>
      </c>
      <c r="F14" s="64">
        <v>2.9</v>
      </c>
      <c r="G14" s="64">
        <v>23.81</v>
      </c>
      <c r="H14" s="64">
        <v>8.9499999999999993</v>
      </c>
      <c r="I14" s="64">
        <v>2.54</v>
      </c>
      <c r="J14" s="64">
        <v>0.73</v>
      </c>
      <c r="K14" s="64">
        <v>16.73</v>
      </c>
      <c r="L14" s="64">
        <v>24.35</v>
      </c>
      <c r="M14" s="64">
        <v>96.16</v>
      </c>
      <c r="N14" s="64">
        <v>17.3</v>
      </c>
      <c r="O14" s="64">
        <v>0</v>
      </c>
      <c r="P14" s="64">
        <v>0.32</v>
      </c>
      <c r="Q14" s="64">
        <v>9.23</v>
      </c>
      <c r="R14" s="198"/>
      <c r="S14" s="198"/>
      <c r="T14" s="198"/>
      <c r="U14" s="198"/>
    </row>
    <row r="15" spans="1:21" s="12" customFormat="1" x14ac:dyDescent="0.25">
      <c r="A15" s="214" t="s">
        <v>2943</v>
      </c>
      <c r="B15" s="64">
        <v>8.18</v>
      </c>
      <c r="C15" s="64">
        <v>3.14</v>
      </c>
      <c r="D15" s="64">
        <v>11.97</v>
      </c>
      <c r="E15" s="64">
        <v>4.74</v>
      </c>
      <c r="F15" s="64">
        <v>4.38</v>
      </c>
      <c r="G15" s="64">
        <v>20.12</v>
      </c>
      <c r="H15" s="64">
        <v>7.52</v>
      </c>
      <c r="I15" s="64">
        <v>2.42</v>
      </c>
      <c r="J15" s="64">
        <v>0.61</v>
      </c>
      <c r="K15" s="64">
        <v>14.57</v>
      </c>
      <c r="L15" s="64">
        <v>24.42</v>
      </c>
      <c r="M15" s="64">
        <v>95.22</v>
      </c>
      <c r="N15" s="64">
        <v>17.2</v>
      </c>
      <c r="O15" s="64">
        <v>0</v>
      </c>
      <c r="P15" s="64">
        <v>0.3</v>
      </c>
      <c r="Q15" s="64">
        <v>9.2200000000000006</v>
      </c>
      <c r="R15" s="198"/>
      <c r="S15" s="198"/>
      <c r="T15" s="198"/>
      <c r="U15" s="198"/>
    </row>
    <row r="16" spans="1:21" s="12" customFormat="1" x14ac:dyDescent="0.25">
      <c r="A16" s="214" t="s">
        <v>2944</v>
      </c>
      <c r="B16" s="64">
        <v>8.15</v>
      </c>
      <c r="C16" s="64">
        <v>3.11</v>
      </c>
      <c r="D16" s="64">
        <v>11.93</v>
      </c>
      <c r="E16" s="64">
        <v>5.01</v>
      </c>
      <c r="F16" s="64">
        <v>4.21</v>
      </c>
      <c r="G16" s="64">
        <v>17.77</v>
      </c>
      <c r="H16" s="64">
        <v>6.61</v>
      </c>
      <c r="I16" s="64">
        <v>2.2000000000000002</v>
      </c>
      <c r="J16" s="64">
        <v>0.64</v>
      </c>
      <c r="K16" s="64">
        <v>4.57</v>
      </c>
      <c r="L16" s="64">
        <v>24.54</v>
      </c>
      <c r="M16" s="64">
        <v>93.96</v>
      </c>
      <c r="N16" s="64">
        <v>17.100000000000001</v>
      </c>
      <c r="O16" s="64">
        <v>0</v>
      </c>
      <c r="P16" s="64">
        <v>0.3</v>
      </c>
      <c r="Q16" s="64">
        <v>9.24</v>
      </c>
      <c r="R16" s="198"/>
      <c r="S16" s="198"/>
      <c r="T16" s="198"/>
      <c r="U16" s="198"/>
    </row>
    <row r="17" spans="1:21" s="12" customFormat="1" x14ac:dyDescent="0.25">
      <c r="A17" s="214" t="s">
        <v>2945</v>
      </c>
      <c r="B17" s="64">
        <v>8.16</v>
      </c>
      <c r="C17" s="64">
        <v>3.13</v>
      </c>
      <c r="D17" s="64">
        <v>11.96</v>
      </c>
      <c r="E17" s="64">
        <v>5.1100000000000003</v>
      </c>
      <c r="F17" s="64">
        <v>3.11</v>
      </c>
      <c r="G17" s="64">
        <v>17.77</v>
      </c>
      <c r="H17" s="64">
        <v>6.61</v>
      </c>
      <c r="I17" s="64">
        <v>1.98</v>
      </c>
      <c r="J17" s="64">
        <v>0.59</v>
      </c>
      <c r="K17" s="64">
        <v>358.86</v>
      </c>
      <c r="L17" s="64">
        <v>24.63</v>
      </c>
      <c r="M17" s="64">
        <v>92.78</v>
      </c>
      <c r="N17" s="64">
        <v>17.399999999999999</v>
      </c>
      <c r="O17" s="64">
        <v>0</v>
      </c>
      <c r="P17" s="64">
        <v>0.28000000000000003</v>
      </c>
      <c r="Q17" s="64">
        <v>9.23</v>
      </c>
      <c r="R17" s="198"/>
      <c r="S17" s="198"/>
      <c r="T17" s="198"/>
      <c r="U17" s="198"/>
    </row>
    <row r="18" spans="1:21" s="12" customFormat="1" x14ac:dyDescent="0.25">
      <c r="A18" s="214" t="s">
        <v>2946</v>
      </c>
      <c r="B18" s="64">
        <v>8.32</v>
      </c>
      <c r="C18" s="64">
        <v>3.47</v>
      </c>
      <c r="D18" s="64">
        <v>12.26</v>
      </c>
      <c r="E18" s="64">
        <v>4.76</v>
      </c>
      <c r="F18" s="64">
        <v>4.0599999999999996</v>
      </c>
      <c r="G18" s="64">
        <v>17.77</v>
      </c>
      <c r="H18" s="64">
        <v>6.61</v>
      </c>
      <c r="I18" s="64">
        <v>1.82</v>
      </c>
      <c r="J18" s="64">
        <v>0.55000000000000004</v>
      </c>
      <c r="K18" s="64">
        <v>19.989999999999998</v>
      </c>
      <c r="L18" s="64">
        <v>24.77</v>
      </c>
      <c r="M18" s="64">
        <v>91.58</v>
      </c>
      <c r="N18" s="64">
        <v>17.3</v>
      </c>
      <c r="O18" s="64">
        <v>0</v>
      </c>
      <c r="P18" s="64">
        <v>0.28999999999999998</v>
      </c>
      <c r="Q18" s="64">
        <v>9.24</v>
      </c>
      <c r="R18" s="198"/>
      <c r="S18" s="198"/>
      <c r="T18" s="198"/>
      <c r="U18" s="198"/>
    </row>
    <row r="19" spans="1:21" s="12" customFormat="1" x14ac:dyDescent="0.25">
      <c r="A19" s="214" t="s">
        <v>2947</v>
      </c>
      <c r="B19" s="64">
        <v>8.2200000000000006</v>
      </c>
      <c r="C19" s="64">
        <v>3.18</v>
      </c>
      <c r="D19" s="64">
        <v>12.03</v>
      </c>
      <c r="E19" s="64">
        <v>5.08</v>
      </c>
      <c r="F19" s="64">
        <v>4.62</v>
      </c>
      <c r="G19" s="64">
        <v>17.75</v>
      </c>
      <c r="H19" s="64">
        <v>5.94</v>
      </c>
      <c r="I19" s="64">
        <v>1.68</v>
      </c>
      <c r="J19" s="64">
        <v>0.53</v>
      </c>
      <c r="K19" s="64">
        <v>348.7</v>
      </c>
      <c r="L19" s="64">
        <v>24.77</v>
      </c>
      <c r="M19" s="64">
        <v>91.77</v>
      </c>
      <c r="N19" s="64">
        <v>17.399999999999999</v>
      </c>
      <c r="O19" s="64">
        <v>0</v>
      </c>
      <c r="P19" s="64">
        <v>0.32</v>
      </c>
      <c r="Q19" s="64">
        <v>9.27</v>
      </c>
      <c r="R19" s="198"/>
      <c r="S19" s="198"/>
      <c r="T19" s="198"/>
      <c r="U19" s="198"/>
    </row>
    <row r="20" spans="1:21" s="12" customFormat="1" x14ac:dyDescent="0.25">
      <c r="A20" s="214" t="s">
        <v>2948</v>
      </c>
      <c r="B20" s="64">
        <v>8.17</v>
      </c>
      <c r="C20" s="64">
        <v>3.09</v>
      </c>
      <c r="D20" s="64">
        <v>11.94</v>
      </c>
      <c r="E20" s="64">
        <v>5.03</v>
      </c>
      <c r="F20" s="64">
        <v>3.18</v>
      </c>
      <c r="G20" s="64">
        <v>17.739999999999998</v>
      </c>
      <c r="H20" s="64">
        <v>5.52</v>
      </c>
      <c r="I20" s="64">
        <v>1.6</v>
      </c>
      <c r="J20" s="64">
        <v>0.57999999999999996</v>
      </c>
      <c r="K20" s="64">
        <v>344.19</v>
      </c>
      <c r="L20" s="64">
        <v>24.86</v>
      </c>
      <c r="M20" s="64">
        <v>90.88</v>
      </c>
      <c r="N20" s="64">
        <v>17.399999999999999</v>
      </c>
      <c r="O20" s="64">
        <v>0</v>
      </c>
      <c r="P20" s="64">
        <v>0.33</v>
      </c>
      <c r="Q20" s="64">
        <v>9.24</v>
      </c>
      <c r="R20" s="198"/>
      <c r="S20" s="198"/>
      <c r="T20" s="198"/>
      <c r="U20" s="198"/>
    </row>
    <row r="21" spans="1:21" s="12" customFormat="1" x14ac:dyDescent="0.25">
      <c r="A21" s="214" t="s">
        <v>2949</v>
      </c>
      <c r="B21" s="64">
        <v>8.18</v>
      </c>
      <c r="C21" s="64">
        <v>3.14</v>
      </c>
      <c r="D21" s="64">
        <v>11.97</v>
      </c>
      <c r="E21" s="64">
        <v>4.95</v>
      </c>
      <c r="F21" s="64">
        <v>3.59</v>
      </c>
      <c r="G21" s="64">
        <v>17.739999999999998</v>
      </c>
      <c r="H21" s="64">
        <v>5.52</v>
      </c>
      <c r="I21" s="64">
        <v>1.66</v>
      </c>
      <c r="J21" s="64">
        <v>0.62</v>
      </c>
      <c r="K21" s="64">
        <v>325.94</v>
      </c>
      <c r="L21" s="64">
        <v>24.95</v>
      </c>
      <c r="M21" s="64">
        <v>90.16</v>
      </c>
      <c r="N21" s="64">
        <v>17.399999999999999</v>
      </c>
      <c r="O21" s="64">
        <v>0</v>
      </c>
      <c r="P21" s="64">
        <v>0.35</v>
      </c>
      <c r="Q21" s="64">
        <v>9.26</v>
      </c>
      <c r="R21" s="198"/>
      <c r="S21" s="198"/>
      <c r="T21" s="198"/>
      <c r="U21" s="198"/>
    </row>
    <row r="22" spans="1:21" s="12" customFormat="1" x14ac:dyDescent="0.25">
      <c r="A22" s="214" t="s">
        <v>2950</v>
      </c>
      <c r="B22" s="64">
        <v>8.18</v>
      </c>
      <c r="C22" s="64">
        <v>3.14</v>
      </c>
      <c r="D22" s="64">
        <v>11.97</v>
      </c>
      <c r="E22" s="64">
        <v>4.7699999999999996</v>
      </c>
      <c r="F22" s="64">
        <v>4.62</v>
      </c>
      <c r="G22" s="64">
        <v>17.739999999999998</v>
      </c>
      <c r="H22" s="64">
        <v>5.52</v>
      </c>
      <c r="I22" s="64">
        <v>1.74</v>
      </c>
      <c r="J22" s="64">
        <v>0.51</v>
      </c>
      <c r="K22" s="64">
        <v>333.04</v>
      </c>
      <c r="L22" s="64">
        <v>24.88</v>
      </c>
      <c r="M22" s="64">
        <v>90.83</v>
      </c>
      <c r="N22" s="64">
        <v>17.399999999999999</v>
      </c>
      <c r="O22" s="64">
        <v>0</v>
      </c>
      <c r="P22" s="64">
        <v>0.35</v>
      </c>
      <c r="Q22" s="64">
        <v>9.2799999999999994</v>
      </c>
      <c r="R22" s="198"/>
      <c r="S22" s="198"/>
      <c r="T22" s="198"/>
      <c r="U22" s="198"/>
    </row>
    <row r="23" spans="1:21" s="12" customFormat="1" x14ac:dyDescent="0.25">
      <c r="A23" s="214" t="s">
        <v>2951</v>
      </c>
      <c r="B23" s="64">
        <v>8.18</v>
      </c>
      <c r="C23" s="64">
        <v>3.15</v>
      </c>
      <c r="D23" s="64">
        <v>11.98</v>
      </c>
      <c r="E23" s="64">
        <v>5</v>
      </c>
      <c r="F23" s="64">
        <v>3.03</v>
      </c>
      <c r="G23" s="64">
        <v>17.579999999999998</v>
      </c>
      <c r="H23" s="64">
        <v>5.08</v>
      </c>
      <c r="I23" s="64">
        <v>1.77</v>
      </c>
      <c r="J23" s="64">
        <v>0.48</v>
      </c>
      <c r="K23" s="64">
        <v>329.14</v>
      </c>
      <c r="L23" s="64">
        <v>24.8</v>
      </c>
      <c r="M23" s="64">
        <v>93.82</v>
      </c>
      <c r="N23" s="64">
        <v>18.7</v>
      </c>
      <c r="O23" s="64">
        <v>1</v>
      </c>
      <c r="P23" s="64">
        <v>0.34</v>
      </c>
      <c r="Q23" s="64">
        <v>9.24</v>
      </c>
      <c r="R23" s="198"/>
      <c r="S23" s="198"/>
      <c r="T23" s="198"/>
      <c r="U23" s="198"/>
    </row>
    <row r="24" spans="1:21" s="12" customFormat="1" x14ac:dyDescent="0.25">
      <c r="A24" s="214" t="s">
        <v>2952</v>
      </c>
      <c r="B24" s="64">
        <v>8.1999999999999993</v>
      </c>
      <c r="C24" s="64">
        <v>3.2</v>
      </c>
      <c r="D24" s="64">
        <v>12.02</v>
      </c>
      <c r="E24" s="64">
        <v>3.9</v>
      </c>
      <c r="F24" s="64">
        <v>3.62</v>
      </c>
      <c r="G24" s="64">
        <v>17.48</v>
      </c>
      <c r="H24" s="64">
        <v>4.8</v>
      </c>
      <c r="I24" s="64">
        <v>1.79</v>
      </c>
      <c r="J24" s="64">
        <v>0.36</v>
      </c>
      <c r="K24" s="64">
        <v>344.15</v>
      </c>
      <c r="L24" s="64">
        <v>23.92</v>
      </c>
      <c r="M24" s="64">
        <v>98.32</v>
      </c>
      <c r="N24" s="64">
        <v>18.100000000000001</v>
      </c>
      <c r="O24" s="64">
        <v>0.4</v>
      </c>
      <c r="P24" s="64">
        <v>0.32</v>
      </c>
      <c r="Q24" s="64">
        <v>9.27</v>
      </c>
      <c r="R24" s="198"/>
      <c r="S24" s="198"/>
      <c r="T24" s="198"/>
      <c r="U24" s="198"/>
    </row>
    <row r="25" spans="1:21" s="12" customFormat="1" x14ac:dyDescent="0.25">
      <c r="A25" s="214" t="s">
        <v>2953</v>
      </c>
      <c r="B25" s="64">
        <v>8.2100000000000009</v>
      </c>
      <c r="C25" s="64">
        <v>3.11</v>
      </c>
      <c r="D25" s="64">
        <v>11.98</v>
      </c>
      <c r="E25" s="64">
        <v>3.54</v>
      </c>
      <c r="F25" s="64">
        <v>3.75</v>
      </c>
      <c r="G25" s="64">
        <v>17.48</v>
      </c>
      <c r="H25" s="64">
        <v>4.8</v>
      </c>
      <c r="I25" s="64">
        <v>1.8</v>
      </c>
      <c r="J25" s="64">
        <v>0.28000000000000003</v>
      </c>
      <c r="K25" s="64">
        <v>338.83</v>
      </c>
      <c r="L25" s="64">
        <v>23.54</v>
      </c>
      <c r="M25" s="64">
        <v>98.34</v>
      </c>
      <c r="N25" s="64">
        <v>17.600000000000001</v>
      </c>
      <c r="O25" s="64">
        <v>0</v>
      </c>
      <c r="P25" s="64">
        <v>0.32</v>
      </c>
      <c r="Q25" s="64">
        <v>9.25</v>
      </c>
      <c r="R25" s="198"/>
      <c r="S25" s="198"/>
      <c r="T25" s="198"/>
      <c r="U25" s="198"/>
    </row>
    <row r="26" spans="1:21" s="12" customFormat="1" x14ac:dyDescent="0.25">
      <c r="A26" s="214" t="s">
        <v>2954</v>
      </c>
      <c r="B26" s="64">
        <v>8.2100000000000009</v>
      </c>
      <c r="C26" s="64">
        <v>3.09</v>
      </c>
      <c r="D26" s="64">
        <v>11.97</v>
      </c>
      <c r="E26" s="64">
        <v>3.36</v>
      </c>
      <c r="F26" s="64">
        <v>3.53</v>
      </c>
      <c r="G26" s="64">
        <v>17.48</v>
      </c>
      <c r="H26" s="64">
        <v>4.8</v>
      </c>
      <c r="I26" s="64">
        <v>1.83</v>
      </c>
      <c r="J26" s="64">
        <v>0.21</v>
      </c>
      <c r="K26" s="64">
        <v>302.52</v>
      </c>
      <c r="L26" s="64">
        <v>23.37</v>
      </c>
      <c r="M26" s="64">
        <v>98.35</v>
      </c>
      <c r="N26" s="64">
        <v>17.3</v>
      </c>
      <c r="O26" s="64">
        <v>0.2</v>
      </c>
      <c r="P26" s="64">
        <v>0.33</v>
      </c>
      <c r="Q26" s="64">
        <v>9.25</v>
      </c>
      <c r="R26" s="198"/>
      <c r="S26" s="198"/>
      <c r="T26" s="198"/>
      <c r="U26" s="198"/>
    </row>
    <row r="27" spans="1:21" s="12" customFormat="1" x14ac:dyDescent="0.25">
      <c r="A27" s="214" t="s">
        <v>2955</v>
      </c>
      <c r="B27" s="64">
        <v>8.23</v>
      </c>
      <c r="C27" s="64">
        <v>3.11</v>
      </c>
      <c r="D27" s="64">
        <v>12</v>
      </c>
      <c r="E27" s="64">
        <v>3.38</v>
      </c>
      <c r="F27" s="64">
        <v>3.64</v>
      </c>
      <c r="G27" s="64">
        <v>21.1</v>
      </c>
      <c r="H27" s="64">
        <v>4.95</v>
      </c>
      <c r="I27" s="64">
        <v>1.96</v>
      </c>
      <c r="J27" s="64">
        <v>0.39</v>
      </c>
      <c r="K27" s="64">
        <v>10.16</v>
      </c>
      <c r="L27" s="64">
        <v>23.39</v>
      </c>
      <c r="M27" s="64">
        <v>98.35</v>
      </c>
      <c r="N27" s="64">
        <v>17.5</v>
      </c>
      <c r="O27" s="64">
        <v>0.2</v>
      </c>
      <c r="P27" s="64">
        <v>0.33</v>
      </c>
      <c r="Q27" s="64">
        <v>9.26</v>
      </c>
      <c r="R27" s="198"/>
      <c r="S27" s="198"/>
      <c r="T27" s="198"/>
      <c r="U27" s="198"/>
    </row>
    <row r="28" spans="1:21" s="12" customFormat="1" x14ac:dyDescent="0.25">
      <c r="A28" s="214" t="s">
        <v>2956</v>
      </c>
      <c r="B28" s="64">
        <v>8.25</v>
      </c>
      <c r="C28" s="64">
        <v>3.18</v>
      </c>
      <c r="D28" s="64">
        <v>12.05</v>
      </c>
      <c r="E28" s="64">
        <v>3.19</v>
      </c>
      <c r="F28" s="64">
        <v>3.87</v>
      </c>
      <c r="G28" s="64">
        <v>23.4</v>
      </c>
      <c r="H28" s="64">
        <v>5.04</v>
      </c>
      <c r="I28" s="64">
        <v>2.16</v>
      </c>
      <c r="J28" s="64">
        <v>0.51</v>
      </c>
      <c r="K28" s="64">
        <v>356.45</v>
      </c>
      <c r="L28" s="64">
        <v>23.31</v>
      </c>
      <c r="M28" s="64">
        <v>98.35</v>
      </c>
      <c r="N28" s="64">
        <v>17.5</v>
      </c>
      <c r="O28" s="64">
        <v>0</v>
      </c>
      <c r="P28" s="64">
        <v>0.33</v>
      </c>
      <c r="Q28" s="64">
        <v>9.2899999999999991</v>
      </c>
      <c r="R28" s="198"/>
      <c r="S28" s="198"/>
      <c r="T28" s="198"/>
      <c r="U28" s="198"/>
    </row>
    <row r="29" spans="1:21" s="12" customFormat="1" x14ac:dyDescent="0.25">
      <c r="A29" s="214" t="s">
        <v>2957</v>
      </c>
      <c r="B29" s="64">
        <v>8.25</v>
      </c>
      <c r="C29" s="64">
        <v>3.14</v>
      </c>
      <c r="D29" s="64">
        <v>12.03</v>
      </c>
      <c r="E29" s="64">
        <v>3.3</v>
      </c>
      <c r="F29" s="64">
        <v>3.38</v>
      </c>
      <c r="G29" s="64">
        <v>23.4</v>
      </c>
      <c r="H29" s="64">
        <v>5.04</v>
      </c>
      <c r="I29" s="64">
        <v>2.2999999999999998</v>
      </c>
      <c r="J29" s="64">
        <v>0.38</v>
      </c>
      <c r="K29" s="64">
        <v>10.68</v>
      </c>
      <c r="L29" s="64">
        <v>23.25</v>
      </c>
      <c r="M29" s="64">
        <v>98.35</v>
      </c>
      <c r="N29" s="64">
        <v>17.600000000000001</v>
      </c>
      <c r="O29" s="64">
        <v>0</v>
      </c>
      <c r="P29" s="64">
        <v>0.31</v>
      </c>
      <c r="Q29" s="64">
        <v>9.2799999999999994</v>
      </c>
      <c r="R29" s="198"/>
      <c r="S29" s="198"/>
      <c r="T29" s="198"/>
      <c r="U29" s="198"/>
    </row>
    <row r="30" spans="1:21" s="12" customFormat="1" x14ac:dyDescent="0.25">
      <c r="A30" s="214" t="s">
        <v>2958</v>
      </c>
      <c r="B30" s="64">
        <v>8.25</v>
      </c>
      <c r="C30" s="64">
        <v>3.11</v>
      </c>
      <c r="D30" s="64">
        <v>12.01</v>
      </c>
      <c r="E30" s="64">
        <v>3.51</v>
      </c>
      <c r="F30" s="64">
        <v>3.53</v>
      </c>
      <c r="G30" s="64">
        <v>23.4</v>
      </c>
      <c r="H30" s="64">
        <v>5.04</v>
      </c>
      <c r="I30" s="64">
        <v>2.31</v>
      </c>
      <c r="J30" s="64">
        <v>0.56000000000000005</v>
      </c>
      <c r="K30" s="64">
        <v>7.79</v>
      </c>
      <c r="L30" s="64">
        <v>23.29</v>
      </c>
      <c r="M30" s="64">
        <v>98.35</v>
      </c>
      <c r="N30" s="64">
        <v>18.5</v>
      </c>
      <c r="O30" s="64">
        <v>0</v>
      </c>
      <c r="P30" s="64">
        <v>0.32</v>
      </c>
      <c r="Q30" s="64">
        <v>9.3000000000000007</v>
      </c>
      <c r="R30" s="198"/>
      <c r="S30" s="198"/>
      <c r="T30" s="198"/>
      <c r="U30" s="198"/>
    </row>
    <row r="31" spans="1:21" s="12" customFormat="1" x14ac:dyDescent="0.25">
      <c r="A31" s="214" t="s">
        <v>2959</v>
      </c>
      <c r="B31" s="64">
        <v>8.2200000000000006</v>
      </c>
      <c r="C31" s="64">
        <v>3.07</v>
      </c>
      <c r="D31" s="64">
        <v>11.97</v>
      </c>
      <c r="E31" s="64">
        <v>3.02</v>
      </c>
      <c r="F31" s="64">
        <v>3.85</v>
      </c>
      <c r="G31" s="64">
        <v>20.85</v>
      </c>
      <c r="H31" s="64">
        <v>4.12</v>
      </c>
      <c r="I31" s="64">
        <v>2.29</v>
      </c>
      <c r="J31" s="64">
        <v>0.46</v>
      </c>
      <c r="K31" s="64">
        <v>1.33</v>
      </c>
      <c r="L31" s="64">
        <v>23.31</v>
      </c>
      <c r="M31" s="64">
        <v>98.35</v>
      </c>
      <c r="N31" s="64">
        <v>23.2</v>
      </c>
      <c r="O31" s="64">
        <v>0</v>
      </c>
      <c r="P31" s="64">
        <v>0.31</v>
      </c>
      <c r="Q31" s="64">
        <v>9.31</v>
      </c>
      <c r="R31" s="198"/>
      <c r="S31" s="198"/>
      <c r="T31" s="198"/>
      <c r="U31" s="198"/>
    </row>
    <row r="32" spans="1:21" s="12" customFormat="1" x14ac:dyDescent="0.25">
      <c r="A32" s="214" t="s">
        <v>2960</v>
      </c>
      <c r="B32" s="64">
        <v>8.1999999999999993</v>
      </c>
      <c r="C32" s="64">
        <v>3.12</v>
      </c>
      <c r="D32" s="64">
        <v>11.98</v>
      </c>
      <c r="E32" s="64">
        <v>3.39</v>
      </c>
      <c r="F32" s="64">
        <v>3.51</v>
      </c>
      <c r="G32" s="64">
        <v>19.23</v>
      </c>
      <c r="H32" s="64">
        <v>3.53</v>
      </c>
      <c r="I32" s="64">
        <v>2.25</v>
      </c>
      <c r="J32" s="64">
        <v>0.4</v>
      </c>
      <c r="K32" s="64">
        <v>0.31</v>
      </c>
      <c r="L32" s="64">
        <v>23.32</v>
      </c>
      <c r="M32" s="64">
        <v>98.35</v>
      </c>
      <c r="N32" s="64">
        <v>26.9</v>
      </c>
      <c r="O32" s="64">
        <v>0</v>
      </c>
      <c r="P32" s="64">
        <v>0.31</v>
      </c>
      <c r="Q32" s="64">
        <v>9.27</v>
      </c>
      <c r="R32" s="198"/>
      <c r="S32" s="198"/>
      <c r="T32" s="198"/>
      <c r="U32" s="198"/>
    </row>
    <row r="33" spans="1:21" s="12" customFormat="1" x14ac:dyDescent="0.25">
      <c r="A33" s="214" t="s">
        <v>2961</v>
      </c>
      <c r="B33" s="64">
        <v>8.19</v>
      </c>
      <c r="C33" s="64">
        <v>3.19</v>
      </c>
      <c r="D33" s="64">
        <v>12</v>
      </c>
      <c r="E33" s="64">
        <v>3.58</v>
      </c>
      <c r="F33" s="64">
        <v>2.81</v>
      </c>
      <c r="G33" s="64">
        <v>19.23</v>
      </c>
      <c r="H33" s="64">
        <v>3.53</v>
      </c>
      <c r="I33" s="64">
        <v>2.2000000000000002</v>
      </c>
      <c r="J33" s="64">
        <v>0.47</v>
      </c>
      <c r="K33" s="64">
        <v>12.28</v>
      </c>
      <c r="L33" s="64">
        <v>23.39</v>
      </c>
      <c r="M33" s="64">
        <v>98.35</v>
      </c>
      <c r="N33" s="64">
        <v>28.9</v>
      </c>
      <c r="O33" s="64">
        <v>0</v>
      </c>
      <c r="P33" s="64">
        <v>0.3</v>
      </c>
      <c r="Q33" s="64">
        <v>9.23</v>
      </c>
      <c r="R33" s="198"/>
      <c r="S33" s="198"/>
      <c r="T33" s="198"/>
      <c r="U33" s="198"/>
    </row>
    <row r="34" spans="1:21" s="12" customFormat="1" x14ac:dyDescent="0.25">
      <c r="A34" s="214" t="s">
        <v>2962</v>
      </c>
      <c r="B34" s="64">
        <v>8.26</v>
      </c>
      <c r="C34" s="64">
        <v>3.29</v>
      </c>
      <c r="D34" s="64">
        <v>12.12</v>
      </c>
      <c r="E34" s="64">
        <v>3.42</v>
      </c>
      <c r="F34" s="64">
        <v>3.74</v>
      </c>
      <c r="G34" s="64">
        <v>19.23</v>
      </c>
      <c r="H34" s="64">
        <v>3.53</v>
      </c>
      <c r="I34" s="64">
        <v>2.14</v>
      </c>
      <c r="J34" s="64">
        <v>0.49</v>
      </c>
      <c r="K34" s="64">
        <v>3.42</v>
      </c>
      <c r="L34" s="64">
        <v>23.48</v>
      </c>
      <c r="M34" s="64">
        <v>98.35</v>
      </c>
      <c r="N34" s="64">
        <v>26.9</v>
      </c>
      <c r="O34" s="64">
        <v>0</v>
      </c>
      <c r="P34" s="64">
        <v>0.3</v>
      </c>
      <c r="Q34" s="64">
        <v>9.27</v>
      </c>
      <c r="R34" s="198"/>
      <c r="S34" s="198"/>
      <c r="T34" s="198"/>
      <c r="U34" s="198"/>
    </row>
    <row r="35" spans="1:21" s="12" customFormat="1" x14ac:dyDescent="0.25">
      <c r="A35" s="214" t="s">
        <v>2963</v>
      </c>
      <c r="B35" s="64">
        <v>8.23</v>
      </c>
      <c r="C35" s="64">
        <v>3.22</v>
      </c>
      <c r="D35" s="64">
        <v>12.06</v>
      </c>
      <c r="E35" s="64">
        <v>3.44</v>
      </c>
      <c r="F35" s="64">
        <v>4.08</v>
      </c>
      <c r="G35" s="64">
        <v>16.29</v>
      </c>
      <c r="H35" s="64">
        <v>4.8899999999999997</v>
      </c>
      <c r="I35" s="64">
        <v>2.06</v>
      </c>
      <c r="J35" s="64">
        <v>0.17</v>
      </c>
      <c r="K35" s="64">
        <v>334.89</v>
      </c>
      <c r="L35" s="64">
        <v>23.49</v>
      </c>
      <c r="M35" s="64">
        <v>98.35</v>
      </c>
      <c r="N35" s="64">
        <v>30.1</v>
      </c>
      <c r="O35" s="64">
        <v>0</v>
      </c>
      <c r="P35" s="64">
        <v>0.31</v>
      </c>
      <c r="Q35" s="64">
        <v>9.2899999999999991</v>
      </c>
      <c r="R35" s="198"/>
      <c r="S35" s="198"/>
      <c r="T35" s="198"/>
      <c r="U35" s="198"/>
    </row>
    <row r="36" spans="1:21" s="12" customFormat="1" x14ac:dyDescent="0.25">
      <c r="A36" s="214" t="s">
        <v>2964</v>
      </c>
      <c r="B36" s="64">
        <v>8.18</v>
      </c>
      <c r="C36" s="64">
        <v>3.22</v>
      </c>
      <c r="D36" s="64">
        <v>12.02</v>
      </c>
      <c r="E36" s="64">
        <v>3.54</v>
      </c>
      <c r="F36" s="64">
        <v>2.4900000000000002</v>
      </c>
      <c r="G36" s="64">
        <v>14.43</v>
      </c>
      <c r="H36" s="64">
        <v>5.75</v>
      </c>
      <c r="I36" s="64">
        <v>2.02</v>
      </c>
      <c r="J36" s="64">
        <v>0.34</v>
      </c>
      <c r="K36" s="64">
        <v>3.73</v>
      </c>
      <c r="L36" s="64">
        <v>23.59</v>
      </c>
      <c r="M36" s="64">
        <v>98.33</v>
      </c>
      <c r="N36" s="64">
        <v>39.299999999999997</v>
      </c>
      <c r="O36" s="64">
        <v>0</v>
      </c>
      <c r="P36" s="64">
        <v>0.31</v>
      </c>
      <c r="Q36" s="64">
        <v>9.26</v>
      </c>
      <c r="R36" s="198"/>
      <c r="S36" s="198"/>
      <c r="T36" s="198"/>
      <c r="U36" s="198"/>
    </row>
    <row r="37" spans="1:21" s="12" customFormat="1" x14ac:dyDescent="0.25">
      <c r="A37" s="214" t="s">
        <v>2965</v>
      </c>
      <c r="B37" s="64">
        <v>8.17</v>
      </c>
      <c r="C37" s="64">
        <v>3.16</v>
      </c>
      <c r="D37" s="64">
        <v>11.98</v>
      </c>
      <c r="E37" s="64">
        <v>3.95</v>
      </c>
      <c r="F37" s="64">
        <v>3.73</v>
      </c>
      <c r="G37" s="64">
        <v>14.43</v>
      </c>
      <c r="H37" s="64">
        <v>5.75</v>
      </c>
      <c r="I37" s="64">
        <v>2.04</v>
      </c>
      <c r="J37" s="64">
        <v>0.39</v>
      </c>
      <c r="K37" s="64">
        <v>338.14</v>
      </c>
      <c r="L37" s="64">
        <v>23.69</v>
      </c>
      <c r="M37" s="64">
        <v>98.34</v>
      </c>
      <c r="N37" s="64">
        <v>45</v>
      </c>
      <c r="O37" s="64">
        <v>0</v>
      </c>
      <c r="P37" s="64">
        <v>0.3</v>
      </c>
      <c r="Q37" s="64">
        <v>9.2799999999999994</v>
      </c>
      <c r="R37" s="198"/>
      <c r="S37" s="198"/>
      <c r="T37" s="198"/>
      <c r="U37" s="198"/>
    </row>
    <row r="38" spans="1:21" s="12" customFormat="1" x14ac:dyDescent="0.25">
      <c r="A38" s="214" t="s">
        <v>2966</v>
      </c>
      <c r="B38" s="64">
        <v>8.18</v>
      </c>
      <c r="C38" s="64">
        <v>3.14</v>
      </c>
      <c r="D38" s="64">
        <v>11.98</v>
      </c>
      <c r="E38" s="64">
        <v>3.27</v>
      </c>
      <c r="F38" s="64">
        <v>4.05</v>
      </c>
      <c r="G38" s="64">
        <v>14.43</v>
      </c>
      <c r="H38" s="64">
        <v>5.75</v>
      </c>
      <c r="I38" s="64">
        <v>2.0099999999999998</v>
      </c>
      <c r="J38" s="64">
        <v>0.23</v>
      </c>
      <c r="K38" s="64">
        <v>350.08</v>
      </c>
      <c r="L38" s="64">
        <v>23.72</v>
      </c>
      <c r="M38" s="64">
        <v>98.33</v>
      </c>
      <c r="N38" s="64">
        <v>52.5</v>
      </c>
      <c r="O38" s="64">
        <v>0</v>
      </c>
      <c r="P38" s="64">
        <v>0.31</v>
      </c>
      <c r="Q38" s="64">
        <v>9.2899999999999991</v>
      </c>
      <c r="R38" s="198"/>
      <c r="S38" s="198"/>
      <c r="T38" s="198"/>
      <c r="U38" s="198"/>
    </row>
    <row r="39" spans="1:21" s="12" customFormat="1" x14ac:dyDescent="0.25">
      <c r="A39" s="214" t="s">
        <v>2967</v>
      </c>
      <c r="B39" s="64">
        <v>8.17</v>
      </c>
      <c r="C39" s="64">
        <v>3.14</v>
      </c>
      <c r="D39" s="64">
        <v>11.97</v>
      </c>
      <c r="E39" s="64">
        <v>3.42</v>
      </c>
      <c r="F39" s="64">
        <v>3</v>
      </c>
      <c r="G39" s="64">
        <v>14.93</v>
      </c>
      <c r="H39" s="64">
        <v>4.79</v>
      </c>
      <c r="I39" s="64">
        <v>1.97</v>
      </c>
      <c r="J39" s="64">
        <v>0.21</v>
      </c>
      <c r="K39" s="64">
        <v>337.74</v>
      </c>
      <c r="L39" s="64">
        <v>23.81</v>
      </c>
      <c r="M39" s="64">
        <v>98.33</v>
      </c>
      <c r="N39" s="64">
        <v>58</v>
      </c>
      <c r="O39" s="64">
        <v>0</v>
      </c>
      <c r="P39" s="64">
        <v>0.31</v>
      </c>
      <c r="Q39" s="64">
        <v>9.2899999999999991</v>
      </c>
      <c r="R39" s="198"/>
      <c r="S39" s="198"/>
      <c r="T39" s="198"/>
      <c r="U39" s="198"/>
    </row>
    <row r="40" spans="1:21" s="12" customFormat="1" x14ac:dyDescent="0.25">
      <c r="A40" s="214" t="s">
        <v>2968</v>
      </c>
      <c r="B40" s="64">
        <v>8.31</v>
      </c>
      <c r="C40" s="64">
        <v>3.42</v>
      </c>
      <c r="D40" s="64">
        <v>12.23</v>
      </c>
      <c r="E40" s="64">
        <v>3.75</v>
      </c>
      <c r="F40" s="64">
        <v>3.81</v>
      </c>
      <c r="G40" s="64">
        <v>15.25</v>
      </c>
      <c r="H40" s="64">
        <v>4.18</v>
      </c>
      <c r="I40" s="64">
        <v>1.97</v>
      </c>
      <c r="J40" s="64">
        <v>0.14000000000000001</v>
      </c>
      <c r="K40" s="64">
        <v>38.869999999999997</v>
      </c>
      <c r="L40" s="64">
        <v>23.91</v>
      </c>
      <c r="M40" s="64">
        <v>98.32</v>
      </c>
      <c r="N40" s="64">
        <v>75.8</v>
      </c>
      <c r="O40" s="64">
        <v>0</v>
      </c>
      <c r="P40" s="64">
        <v>0.31</v>
      </c>
      <c r="Q40" s="64">
        <v>9.2899999999999991</v>
      </c>
      <c r="R40" s="198"/>
      <c r="S40" s="198"/>
      <c r="T40" s="198"/>
      <c r="U40" s="198"/>
    </row>
    <row r="41" spans="1:21" s="12" customFormat="1" x14ac:dyDescent="0.25">
      <c r="A41" s="214" t="s">
        <v>2969</v>
      </c>
      <c r="B41" s="64">
        <v>8.25</v>
      </c>
      <c r="C41" s="64">
        <v>3.29</v>
      </c>
      <c r="D41" s="64">
        <v>12.11</v>
      </c>
      <c r="E41" s="64">
        <v>4.43</v>
      </c>
      <c r="F41" s="64">
        <v>3</v>
      </c>
      <c r="G41" s="64">
        <v>15.25</v>
      </c>
      <c r="H41" s="64">
        <v>4.18</v>
      </c>
      <c r="I41" s="64">
        <v>1.99</v>
      </c>
      <c r="J41" s="64">
        <v>0.13</v>
      </c>
      <c r="K41" s="64">
        <v>347.73</v>
      </c>
      <c r="L41" s="64">
        <v>23.96</v>
      </c>
      <c r="M41" s="64">
        <v>98.33</v>
      </c>
      <c r="N41" s="64">
        <v>73.5</v>
      </c>
      <c r="O41" s="64">
        <v>0</v>
      </c>
      <c r="P41" s="64">
        <v>0.32</v>
      </c>
      <c r="Q41" s="64">
        <v>9.27</v>
      </c>
      <c r="R41" s="198"/>
      <c r="S41" s="198"/>
      <c r="T41" s="198"/>
      <c r="U41" s="198"/>
    </row>
    <row r="42" spans="1:21" s="12" customFormat="1" x14ac:dyDescent="0.25">
      <c r="A42" s="214" t="s">
        <v>2970</v>
      </c>
      <c r="B42" s="64">
        <v>8.2200000000000006</v>
      </c>
      <c r="C42" s="64">
        <v>3.14</v>
      </c>
      <c r="D42" s="64">
        <v>12</v>
      </c>
      <c r="E42" s="64">
        <v>4.3</v>
      </c>
      <c r="F42" s="64">
        <v>3.18</v>
      </c>
      <c r="G42" s="64">
        <v>15.25</v>
      </c>
      <c r="H42" s="64">
        <v>4.18</v>
      </c>
      <c r="I42" s="64">
        <v>2.0499999999999998</v>
      </c>
      <c r="J42" s="64">
        <v>0.53</v>
      </c>
      <c r="K42" s="64">
        <v>351.21</v>
      </c>
      <c r="L42" s="64">
        <v>24.02</v>
      </c>
      <c r="M42" s="64">
        <v>98.33</v>
      </c>
      <c r="N42" s="64">
        <v>65.2</v>
      </c>
      <c r="O42" s="64">
        <v>0</v>
      </c>
      <c r="P42" s="64">
        <v>0.32</v>
      </c>
      <c r="Q42" s="64">
        <v>9.26</v>
      </c>
      <c r="R42" s="198"/>
      <c r="S42" s="198"/>
      <c r="T42" s="198"/>
      <c r="U42" s="198"/>
    </row>
    <row r="43" spans="1:21" s="12" customFormat="1" x14ac:dyDescent="0.25">
      <c r="A43" s="214" t="s">
        <v>2971</v>
      </c>
      <c r="B43" s="64">
        <v>8.23</v>
      </c>
      <c r="C43" s="64">
        <v>3.1</v>
      </c>
      <c r="D43" s="64">
        <v>12</v>
      </c>
      <c r="E43" s="64">
        <v>4.51</v>
      </c>
      <c r="F43" s="64">
        <v>3.34</v>
      </c>
      <c r="G43" s="64">
        <v>16.649999999999999</v>
      </c>
      <c r="H43" s="64">
        <v>3.74</v>
      </c>
      <c r="I43" s="64">
        <v>2.12</v>
      </c>
      <c r="J43" s="64">
        <v>0.52</v>
      </c>
      <c r="K43" s="64">
        <v>3.93</v>
      </c>
      <c r="L43" s="64">
        <v>24</v>
      </c>
      <c r="M43" s="64">
        <v>98.33</v>
      </c>
      <c r="N43" s="64">
        <v>59.7</v>
      </c>
      <c r="O43" s="64">
        <v>0</v>
      </c>
      <c r="P43" s="64">
        <v>0.32</v>
      </c>
      <c r="Q43" s="64">
        <v>9.2799999999999994</v>
      </c>
      <c r="R43" s="198"/>
      <c r="S43" s="198"/>
      <c r="T43" s="198"/>
      <c r="U43" s="198"/>
    </row>
    <row r="44" spans="1:21" s="12" customFormat="1" x14ac:dyDescent="0.25">
      <c r="A44" s="214" t="s">
        <v>2972</v>
      </c>
      <c r="B44" s="64">
        <v>8.24</v>
      </c>
      <c r="C44" s="64">
        <v>3.15</v>
      </c>
      <c r="D44" s="64">
        <v>12.03</v>
      </c>
      <c r="E44" s="64">
        <v>4.09</v>
      </c>
      <c r="F44" s="64">
        <v>3.54</v>
      </c>
      <c r="G44" s="64">
        <v>17.54</v>
      </c>
      <c r="H44" s="64">
        <v>3.45</v>
      </c>
      <c r="I44" s="64">
        <v>2.17</v>
      </c>
      <c r="J44" s="64">
        <v>0.47</v>
      </c>
      <c r="K44" s="64">
        <v>355.02</v>
      </c>
      <c r="L44" s="64">
        <v>24.03</v>
      </c>
      <c r="M44" s="64">
        <v>98.32</v>
      </c>
      <c r="N44" s="64">
        <v>66.7</v>
      </c>
      <c r="O44" s="64">
        <v>0</v>
      </c>
      <c r="P44" s="64">
        <v>0.33</v>
      </c>
      <c r="Q44" s="64">
        <v>9.31</v>
      </c>
      <c r="R44" s="198"/>
      <c r="S44" s="198"/>
      <c r="T44" s="198"/>
      <c r="U44" s="198"/>
    </row>
    <row r="45" spans="1:21" s="12" customFormat="1" x14ac:dyDescent="0.25">
      <c r="A45" s="214" t="s">
        <v>2973</v>
      </c>
      <c r="B45" s="64">
        <v>8.23</v>
      </c>
      <c r="C45" s="64">
        <v>3.19</v>
      </c>
      <c r="D45" s="64">
        <v>12.04</v>
      </c>
      <c r="E45" s="64">
        <v>4.2300000000000004</v>
      </c>
      <c r="F45" s="64">
        <v>4.03</v>
      </c>
      <c r="G45" s="64">
        <v>17.54</v>
      </c>
      <c r="H45" s="64">
        <v>3.45</v>
      </c>
      <c r="I45" s="64">
        <v>2.17</v>
      </c>
      <c r="J45" s="64">
        <v>0.49</v>
      </c>
      <c r="K45" s="64">
        <v>8</v>
      </c>
      <c r="L45" s="64">
        <v>23.98</v>
      </c>
      <c r="M45" s="64">
        <v>98.33</v>
      </c>
      <c r="N45" s="64">
        <v>76</v>
      </c>
      <c r="O45" s="64">
        <v>0</v>
      </c>
      <c r="P45" s="64">
        <v>0.33</v>
      </c>
      <c r="Q45" s="64">
        <v>9.31</v>
      </c>
      <c r="R45" s="198"/>
      <c r="S45" s="198"/>
      <c r="T45" s="198"/>
      <c r="U45" s="198"/>
    </row>
    <row r="46" spans="1:21" s="12" customFormat="1" x14ac:dyDescent="0.25">
      <c r="A46" s="214" t="s">
        <v>2974</v>
      </c>
      <c r="B46" s="64">
        <v>8.2200000000000006</v>
      </c>
      <c r="C46" s="64">
        <v>3.17</v>
      </c>
      <c r="D46" s="64">
        <v>12.03</v>
      </c>
      <c r="E46" s="64">
        <v>4.2699999999999996</v>
      </c>
      <c r="F46" s="64">
        <v>3.96</v>
      </c>
      <c r="G46" s="64">
        <v>17.54</v>
      </c>
      <c r="H46" s="64">
        <v>3.45</v>
      </c>
      <c r="I46" s="64">
        <v>2.16</v>
      </c>
      <c r="J46" s="64">
        <v>0.49</v>
      </c>
      <c r="K46" s="64">
        <v>347.16</v>
      </c>
      <c r="L46" s="64">
        <v>23.97</v>
      </c>
      <c r="M46" s="64">
        <v>98.33</v>
      </c>
      <c r="N46" s="64">
        <v>82.1</v>
      </c>
      <c r="O46" s="64">
        <v>0</v>
      </c>
      <c r="P46" s="64">
        <v>0.34</v>
      </c>
      <c r="Q46" s="64">
        <v>9.3000000000000007</v>
      </c>
      <c r="R46" s="198"/>
      <c r="S46" s="198"/>
      <c r="T46" s="198"/>
      <c r="U46" s="198"/>
    </row>
    <row r="47" spans="1:21" s="12" customFormat="1" x14ac:dyDescent="0.25">
      <c r="A47" s="214" t="s">
        <v>2975</v>
      </c>
      <c r="B47" s="64">
        <v>8.26</v>
      </c>
      <c r="C47" s="64">
        <v>3.17</v>
      </c>
      <c r="D47" s="64">
        <v>12.05</v>
      </c>
      <c r="E47" s="64">
        <v>4.07</v>
      </c>
      <c r="F47" s="64">
        <v>3.54</v>
      </c>
      <c r="G47" s="64">
        <v>17.489999999999998</v>
      </c>
      <c r="H47" s="64">
        <v>3.55</v>
      </c>
      <c r="I47" s="64">
        <v>2.17</v>
      </c>
      <c r="J47" s="64">
        <v>0.39</v>
      </c>
      <c r="K47" s="64">
        <v>353.58</v>
      </c>
      <c r="L47" s="64">
        <v>24.05</v>
      </c>
      <c r="M47" s="64">
        <v>98.33</v>
      </c>
      <c r="N47" s="64">
        <v>91.9</v>
      </c>
      <c r="O47" s="64">
        <v>0</v>
      </c>
      <c r="P47" s="64">
        <v>0.34</v>
      </c>
      <c r="Q47" s="64">
        <v>9.3000000000000007</v>
      </c>
      <c r="R47" s="198"/>
      <c r="S47" s="198"/>
      <c r="T47" s="198"/>
      <c r="U47" s="198"/>
    </row>
    <row r="48" spans="1:21" s="12" customFormat="1" x14ac:dyDescent="0.25">
      <c r="A48" s="214" t="s">
        <v>2976</v>
      </c>
      <c r="B48" s="64">
        <v>8.2899999999999991</v>
      </c>
      <c r="C48" s="64">
        <v>3.23</v>
      </c>
      <c r="D48" s="64">
        <v>12.11</v>
      </c>
      <c r="E48" s="64">
        <v>4.01</v>
      </c>
      <c r="F48" s="64">
        <v>3.38</v>
      </c>
      <c r="G48" s="64">
        <v>17.46</v>
      </c>
      <c r="H48" s="64">
        <v>3.61</v>
      </c>
      <c r="I48" s="64">
        <v>2.19</v>
      </c>
      <c r="J48" s="64">
        <v>0.43</v>
      </c>
      <c r="K48" s="64">
        <v>338.24</v>
      </c>
      <c r="L48" s="64">
        <v>24.25</v>
      </c>
      <c r="M48" s="64">
        <v>98.33</v>
      </c>
      <c r="N48" s="64">
        <v>120.5</v>
      </c>
      <c r="O48" s="64">
        <v>0</v>
      </c>
      <c r="P48" s="64">
        <v>0.36</v>
      </c>
      <c r="Q48" s="64">
        <v>9.27</v>
      </c>
      <c r="R48" s="198"/>
      <c r="S48" s="198"/>
      <c r="T48" s="198"/>
      <c r="U48" s="198"/>
    </row>
    <row r="49" spans="1:21" s="12" customFormat="1" x14ac:dyDescent="0.25">
      <c r="A49" s="214" t="s">
        <v>2977</v>
      </c>
      <c r="B49" s="64">
        <v>8.26</v>
      </c>
      <c r="C49" s="64">
        <v>3.2</v>
      </c>
      <c r="D49" s="64">
        <v>12.07</v>
      </c>
      <c r="E49" s="64">
        <v>3.96</v>
      </c>
      <c r="F49" s="64">
        <v>3.65</v>
      </c>
      <c r="G49" s="64">
        <v>17.46</v>
      </c>
      <c r="H49" s="64">
        <v>3.61</v>
      </c>
      <c r="I49" s="64">
        <v>2.14</v>
      </c>
      <c r="J49" s="64">
        <v>0.22</v>
      </c>
      <c r="K49" s="64">
        <v>0.01</v>
      </c>
      <c r="L49" s="64">
        <v>24.29</v>
      </c>
      <c r="M49" s="64">
        <v>98.33</v>
      </c>
      <c r="N49" s="64">
        <v>132.69999999999999</v>
      </c>
      <c r="O49" s="64">
        <v>0</v>
      </c>
      <c r="P49" s="64">
        <v>0.37</v>
      </c>
      <c r="Q49" s="64">
        <v>9.2899999999999991</v>
      </c>
      <c r="R49" s="198"/>
      <c r="S49" s="198"/>
      <c r="T49" s="198"/>
      <c r="U49" s="198"/>
    </row>
    <row r="50" spans="1:21" s="12" customFormat="1" x14ac:dyDescent="0.25">
      <c r="A50" s="214" t="s">
        <v>2978</v>
      </c>
      <c r="B50" s="64">
        <v>8.2200000000000006</v>
      </c>
      <c r="C50" s="64">
        <v>3.23</v>
      </c>
      <c r="D50" s="64">
        <v>12.05</v>
      </c>
      <c r="E50" s="64">
        <v>4.51</v>
      </c>
      <c r="F50" s="64">
        <v>4.28</v>
      </c>
      <c r="G50" s="64">
        <v>17.46</v>
      </c>
      <c r="H50" s="64">
        <v>3.61</v>
      </c>
      <c r="I50" s="64">
        <v>2.1</v>
      </c>
      <c r="J50" s="64">
        <v>0.45</v>
      </c>
      <c r="K50" s="64">
        <v>359.19</v>
      </c>
      <c r="L50" s="64">
        <v>24.36</v>
      </c>
      <c r="M50" s="64">
        <v>98.33</v>
      </c>
      <c r="N50" s="64">
        <v>131.19999999999999</v>
      </c>
      <c r="O50" s="64">
        <v>0</v>
      </c>
      <c r="P50" s="64">
        <v>0.39</v>
      </c>
      <c r="Q50" s="64">
        <v>9.3000000000000007</v>
      </c>
      <c r="R50" s="198"/>
      <c r="S50" s="198"/>
      <c r="T50" s="198"/>
      <c r="U50" s="198"/>
    </row>
    <row r="51" spans="1:21" s="12" customFormat="1" x14ac:dyDescent="0.25">
      <c r="A51" s="214" t="s">
        <v>2979</v>
      </c>
      <c r="B51" s="64">
        <v>8.2100000000000009</v>
      </c>
      <c r="C51" s="64">
        <v>3.26</v>
      </c>
      <c r="D51" s="64">
        <v>12.06</v>
      </c>
      <c r="E51" s="64">
        <v>4.13</v>
      </c>
      <c r="F51" s="64">
        <v>3.63</v>
      </c>
      <c r="G51" s="64">
        <v>14.53</v>
      </c>
      <c r="H51" s="64">
        <v>3.46</v>
      </c>
      <c r="I51" s="64">
        <v>2.11</v>
      </c>
      <c r="J51" s="64">
        <v>0.45</v>
      </c>
      <c r="K51" s="64">
        <v>356.9</v>
      </c>
      <c r="L51" s="64">
        <v>24.39</v>
      </c>
      <c r="M51" s="64">
        <v>98.32</v>
      </c>
      <c r="N51" s="64">
        <v>87.8</v>
      </c>
      <c r="O51" s="64">
        <v>0</v>
      </c>
      <c r="P51" s="64">
        <v>0.38</v>
      </c>
      <c r="Q51" s="64">
        <v>9.26</v>
      </c>
      <c r="R51" s="198"/>
      <c r="S51" s="198"/>
      <c r="T51" s="198"/>
      <c r="U51" s="198"/>
    </row>
    <row r="52" spans="1:21" s="12" customFormat="1" x14ac:dyDescent="0.25">
      <c r="A52" s="214" t="s">
        <v>2980</v>
      </c>
      <c r="B52" s="64">
        <v>8.1999999999999993</v>
      </c>
      <c r="C52" s="64">
        <v>3.18</v>
      </c>
      <c r="D52" s="64">
        <v>12.01</v>
      </c>
      <c r="E52" s="64">
        <v>4.3099999999999996</v>
      </c>
      <c r="F52" s="64">
        <v>3.97</v>
      </c>
      <c r="G52" s="64">
        <v>12.66</v>
      </c>
      <c r="H52" s="64">
        <v>3.36</v>
      </c>
      <c r="I52" s="64">
        <v>2.02</v>
      </c>
      <c r="J52" s="64">
        <v>0.47</v>
      </c>
      <c r="K52" s="64">
        <v>356.84</v>
      </c>
      <c r="L52" s="64">
        <v>24.47</v>
      </c>
      <c r="M52" s="64">
        <v>98.02</v>
      </c>
      <c r="N52" s="64">
        <v>119</v>
      </c>
      <c r="O52" s="64">
        <v>0</v>
      </c>
      <c r="P52" s="64">
        <v>0.39</v>
      </c>
      <c r="Q52" s="64">
        <v>9.2899999999999991</v>
      </c>
      <c r="R52" s="198"/>
      <c r="S52" s="198"/>
      <c r="T52" s="198"/>
      <c r="U52" s="198"/>
    </row>
    <row r="53" spans="1:21" s="12" customFormat="1" x14ac:dyDescent="0.25">
      <c r="A53" s="214" t="s">
        <v>2981</v>
      </c>
      <c r="B53" s="64">
        <v>8.2100000000000009</v>
      </c>
      <c r="C53" s="64">
        <v>3.26</v>
      </c>
      <c r="D53" s="64">
        <v>12.06</v>
      </c>
      <c r="E53" s="64">
        <v>4.49</v>
      </c>
      <c r="F53" s="64">
        <v>4.28</v>
      </c>
      <c r="G53" s="64">
        <v>12.66</v>
      </c>
      <c r="H53" s="64">
        <v>3.36</v>
      </c>
      <c r="I53" s="64">
        <v>1.94</v>
      </c>
      <c r="J53" s="64">
        <v>0.47</v>
      </c>
      <c r="K53" s="64">
        <v>4.76</v>
      </c>
      <c r="L53" s="64">
        <v>24.73</v>
      </c>
      <c r="M53" s="64">
        <v>96.77</v>
      </c>
      <c r="N53" s="64">
        <v>134.6</v>
      </c>
      <c r="O53" s="64">
        <v>0</v>
      </c>
      <c r="P53" s="64">
        <v>0.41</v>
      </c>
      <c r="Q53" s="64">
        <v>9.31</v>
      </c>
      <c r="R53" s="198"/>
      <c r="S53" s="198"/>
      <c r="T53" s="198"/>
      <c r="U53" s="198"/>
    </row>
    <row r="54" spans="1:21" s="12" customFormat="1" x14ac:dyDescent="0.25">
      <c r="A54" s="214" t="s">
        <v>2982</v>
      </c>
      <c r="B54" s="64">
        <v>8.2100000000000009</v>
      </c>
      <c r="C54" s="64">
        <v>3.24</v>
      </c>
      <c r="D54" s="64">
        <v>12.05</v>
      </c>
      <c r="E54" s="64">
        <v>4.41</v>
      </c>
      <c r="F54" s="64">
        <v>4.25</v>
      </c>
      <c r="G54" s="64">
        <v>12.66</v>
      </c>
      <c r="H54" s="64">
        <v>3.36</v>
      </c>
      <c r="I54" s="64">
        <v>1.89</v>
      </c>
      <c r="J54" s="64">
        <v>0.52</v>
      </c>
      <c r="K54" s="64">
        <v>6.55</v>
      </c>
      <c r="L54" s="64">
        <v>24.85</v>
      </c>
      <c r="M54" s="64">
        <v>94.86</v>
      </c>
      <c r="N54" s="64">
        <v>167.4</v>
      </c>
      <c r="O54" s="64">
        <v>0</v>
      </c>
      <c r="P54" s="64">
        <v>0.42</v>
      </c>
      <c r="Q54" s="64">
        <v>9.2899999999999991</v>
      </c>
      <c r="R54" s="198"/>
      <c r="S54" s="198"/>
      <c r="T54" s="198"/>
      <c r="U54" s="198"/>
    </row>
    <row r="55" spans="1:21" s="12" customFormat="1" x14ac:dyDescent="0.25">
      <c r="A55" s="214" t="s">
        <v>2983</v>
      </c>
      <c r="B55" s="64">
        <v>8.25</v>
      </c>
      <c r="C55" s="64">
        <v>3.33</v>
      </c>
      <c r="D55" s="64">
        <v>12.13</v>
      </c>
      <c r="E55" s="64">
        <v>4.25</v>
      </c>
      <c r="F55" s="64">
        <v>5.19</v>
      </c>
      <c r="G55" s="64">
        <v>18.440000000000001</v>
      </c>
      <c r="H55" s="64">
        <v>7.22</v>
      </c>
      <c r="I55" s="64">
        <v>1.85</v>
      </c>
      <c r="J55" s="64">
        <v>0.53</v>
      </c>
      <c r="K55" s="64">
        <v>3.06</v>
      </c>
      <c r="L55" s="64">
        <v>24.86</v>
      </c>
      <c r="M55" s="64">
        <v>94.81</v>
      </c>
      <c r="N55" s="64">
        <v>184.1</v>
      </c>
      <c r="O55" s="64">
        <v>0</v>
      </c>
      <c r="P55" s="64">
        <v>0.41</v>
      </c>
      <c r="Q55" s="64">
        <v>9.33</v>
      </c>
      <c r="R55" s="198"/>
      <c r="S55" s="198"/>
      <c r="T55" s="198"/>
      <c r="U55" s="198"/>
    </row>
    <row r="56" spans="1:21" s="12" customFormat="1" x14ac:dyDescent="0.25">
      <c r="A56" s="214" t="s">
        <v>2984</v>
      </c>
      <c r="B56" s="64">
        <v>8.25</v>
      </c>
      <c r="C56" s="64">
        <v>3.37</v>
      </c>
      <c r="D56" s="64">
        <v>12.15</v>
      </c>
      <c r="E56" s="64">
        <v>4.82</v>
      </c>
      <c r="F56" s="64">
        <v>4.7300000000000004</v>
      </c>
      <c r="G56" s="64">
        <v>22.11</v>
      </c>
      <c r="H56" s="64">
        <v>9.68</v>
      </c>
      <c r="I56" s="64">
        <v>1.72</v>
      </c>
      <c r="J56" s="64">
        <v>0.5</v>
      </c>
      <c r="K56" s="64">
        <v>0.84</v>
      </c>
      <c r="L56" s="64">
        <v>24.79</v>
      </c>
      <c r="M56" s="64">
        <v>97.15</v>
      </c>
      <c r="N56" s="64">
        <v>163</v>
      </c>
      <c r="O56" s="64">
        <v>0.2</v>
      </c>
      <c r="P56" s="64">
        <v>0.42</v>
      </c>
      <c r="Q56" s="64">
        <v>9.33</v>
      </c>
      <c r="R56" s="198"/>
      <c r="S56" s="198"/>
      <c r="T56" s="198"/>
      <c r="U56" s="198"/>
    </row>
    <row r="57" spans="1:21" s="12" customFormat="1" x14ac:dyDescent="0.25">
      <c r="A57" s="214" t="s">
        <v>2985</v>
      </c>
      <c r="B57" s="64">
        <v>8.18</v>
      </c>
      <c r="C57" s="64">
        <v>3.25</v>
      </c>
      <c r="D57" s="64">
        <v>12.03</v>
      </c>
      <c r="E57" s="64">
        <v>4.3499999999999996</v>
      </c>
      <c r="F57" s="64">
        <v>4.4000000000000004</v>
      </c>
      <c r="G57" s="64">
        <v>22.11</v>
      </c>
      <c r="H57" s="64">
        <v>9.68</v>
      </c>
      <c r="I57" s="64">
        <v>1.57</v>
      </c>
      <c r="J57" s="64">
        <v>0.56000000000000005</v>
      </c>
      <c r="K57" s="64">
        <v>5.44</v>
      </c>
      <c r="L57" s="64">
        <v>24.78</v>
      </c>
      <c r="M57" s="64">
        <v>97.79</v>
      </c>
      <c r="N57" s="64">
        <v>117.4</v>
      </c>
      <c r="O57" s="64">
        <v>0.2</v>
      </c>
      <c r="P57" s="64">
        <v>0.43</v>
      </c>
      <c r="Q57" s="64">
        <v>9.31</v>
      </c>
      <c r="R57" s="198"/>
      <c r="S57" s="198"/>
      <c r="T57" s="198"/>
      <c r="U57" s="198"/>
    </row>
    <row r="58" spans="1:21" s="12" customFormat="1" x14ac:dyDescent="0.25">
      <c r="A58" s="214" t="s">
        <v>2986</v>
      </c>
      <c r="B58" s="64">
        <v>8.19</v>
      </c>
      <c r="C58" s="64">
        <v>3.31</v>
      </c>
      <c r="D58" s="64">
        <v>12.07</v>
      </c>
      <c r="E58" s="64">
        <v>4.18</v>
      </c>
      <c r="F58" s="64">
        <v>4.9800000000000004</v>
      </c>
      <c r="G58" s="64">
        <v>22.11</v>
      </c>
      <c r="H58" s="64">
        <v>9.68</v>
      </c>
      <c r="I58" s="64">
        <v>1.53</v>
      </c>
      <c r="J58" s="64">
        <v>0.48</v>
      </c>
      <c r="K58" s="64">
        <v>332.91</v>
      </c>
      <c r="L58" s="64">
        <v>24.56</v>
      </c>
      <c r="M58" s="64">
        <v>98.32</v>
      </c>
      <c r="N58" s="64">
        <v>89.8</v>
      </c>
      <c r="O58" s="64">
        <v>0.4</v>
      </c>
      <c r="P58" s="64">
        <v>0.46</v>
      </c>
      <c r="Q58" s="64">
        <v>9.34</v>
      </c>
      <c r="R58" s="198"/>
      <c r="S58" s="198"/>
      <c r="T58" s="198"/>
      <c r="U58" s="198"/>
    </row>
    <row r="59" spans="1:21" s="12" customFormat="1" x14ac:dyDescent="0.25">
      <c r="A59" s="214" t="s">
        <v>2987</v>
      </c>
      <c r="B59" s="64">
        <v>8.2100000000000009</v>
      </c>
      <c r="C59" s="64">
        <v>3.39</v>
      </c>
      <c r="D59" s="64">
        <v>12.13</v>
      </c>
      <c r="E59" s="64">
        <v>4.0599999999999996</v>
      </c>
      <c r="F59" s="64">
        <v>4.71</v>
      </c>
      <c r="G59" s="64">
        <v>18.059999999999999</v>
      </c>
      <c r="H59" s="64">
        <v>8.08</v>
      </c>
      <c r="I59" s="64">
        <v>1.55</v>
      </c>
      <c r="J59" s="64">
        <v>0.62</v>
      </c>
      <c r="K59" s="64">
        <v>317.23</v>
      </c>
      <c r="L59" s="64">
        <v>24.24</v>
      </c>
      <c r="M59" s="64">
        <v>98.35</v>
      </c>
      <c r="N59" s="64">
        <v>66.900000000000006</v>
      </c>
      <c r="O59" s="64">
        <v>0</v>
      </c>
      <c r="P59" s="64">
        <v>0.59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4" t="s">
        <v>2988</v>
      </c>
      <c r="B60" s="64">
        <v>8.25</v>
      </c>
      <c r="C60" s="64">
        <v>3.34</v>
      </c>
      <c r="D60" s="64">
        <v>12.13</v>
      </c>
      <c r="E60" s="64">
        <v>3.92</v>
      </c>
      <c r="F60" s="64">
        <v>4.0199999999999996</v>
      </c>
      <c r="G60" s="64">
        <v>15.48</v>
      </c>
      <c r="H60" s="64">
        <v>7.11</v>
      </c>
      <c r="I60" s="64">
        <v>1.64</v>
      </c>
      <c r="J60" s="64">
        <v>0.45</v>
      </c>
      <c r="K60" s="64">
        <v>345.45</v>
      </c>
      <c r="L60" s="64">
        <v>24.09</v>
      </c>
      <c r="M60" s="64">
        <v>98.35</v>
      </c>
      <c r="N60" s="64">
        <v>94.5</v>
      </c>
      <c r="O60" s="64">
        <v>0.4</v>
      </c>
      <c r="P60" s="64">
        <v>0.71</v>
      </c>
      <c r="Q60" s="64">
        <v>9.35</v>
      </c>
      <c r="R60" s="198"/>
      <c r="S60" s="198"/>
      <c r="T60" s="198"/>
      <c r="U60" s="198"/>
    </row>
    <row r="61" spans="1:21" s="12" customFormat="1" x14ac:dyDescent="0.25">
      <c r="A61" s="214" t="s">
        <v>2989</v>
      </c>
      <c r="B61" s="64">
        <v>8.2899999999999991</v>
      </c>
      <c r="C61" s="64">
        <v>3.28</v>
      </c>
      <c r="D61" s="64">
        <v>12.14</v>
      </c>
      <c r="E61" s="64">
        <v>3.82</v>
      </c>
      <c r="F61" s="64">
        <v>3.44</v>
      </c>
      <c r="G61" s="64">
        <v>15.48</v>
      </c>
      <c r="H61" s="64">
        <v>7.11</v>
      </c>
      <c r="I61" s="64">
        <v>1.87</v>
      </c>
      <c r="J61" s="64">
        <v>0.41</v>
      </c>
      <c r="K61" s="64">
        <v>347.23</v>
      </c>
      <c r="L61" s="64">
        <v>24.29</v>
      </c>
      <c r="M61" s="64">
        <v>98.35</v>
      </c>
      <c r="N61" s="64">
        <v>183</v>
      </c>
      <c r="O61" s="64">
        <v>0</v>
      </c>
      <c r="P61" s="64">
        <v>0.65</v>
      </c>
      <c r="Q61" s="64">
        <v>9.34</v>
      </c>
      <c r="R61" s="198"/>
      <c r="S61" s="198"/>
      <c r="T61" s="198"/>
      <c r="U61" s="198"/>
    </row>
    <row r="62" spans="1:21" s="12" customFormat="1" x14ac:dyDescent="0.25">
      <c r="A62" s="214" t="s">
        <v>2990</v>
      </c>
      <c r="B62" s="64">
        <v>8.34</v>
      </c>
      <c r="C62" s="64">
        <v>3.27</v>
      </c>
      <c r="D62" s="64">
        <v>12.17</v>
      </c>
      <c r="E62" s="64">
        <v>4.01</v>
      </c>
      <c r="F62" s="64">
        <v>3.76</v>
      </c>
      <c r="G62" s="64">
        <v>15.48</v>
      </c>
      <c r="H62" s="64">
        <v>7.11</v>
      </c>
      <c r="I62" s="64">
        <v>2.09</v>
      </c>
      <c r="J62" s="64">
        <v>0.49</v>
      </c>
      <c r="K62" s="64">
        <v>334.97</v>
      </c>
      <c r="L62" s="64">
        <v>24.81</v>
      </c>
      <c r="M62" s="64">
        <v>98.34</v>
      </c>
      <c r="N62" s="64">
        <v>199.1</v>
      </c>
      <c r="O62" s="64">
        <v>0</v>
      </c>
      <c r="P62" s="64">
        <v>0.67</v>
      </c>
      <c r="Q62" s="64">
        <v>9.34</v>
      </c>
      <c r="R62" s="198"/>
      <c r="S62" s="198"/>
      <c r="T62" s="198"/>
      <c r="U62" s="198"/>
    </row>
    <row r="63" spans="1:21" s="12" customFormat="1" x14ac:dyDescent="0.25">
      <c r="A63" s="214" t="s">
        <v>2991</v>
      </c>
      <c r="B63" s="64">
        <v>8.42</v>
      </c>
      <c r="C63" s="64">
        <v>3.6</v>
      </c>
      <c r="D63" s="64">
        <v>12.41</v>
      </c>
      <c r="E63" s="64">
        <v>4.74</v>
      </c>
      <c r="F63" s="64">
        <v>3.65</v>
      </c>
      <c r="G63" s="64">
        <v>14.67</v>
      </c>
      <c r="H63" s="64">
        <v>7.73</v>
      </c>
      <c r="I63" s="64">
        <v>2.23</v>
      </c>
      <c r="J63" s="64">
        <v>0.44</v>
      </c>
      <c r="K63" s="64">
        <v>328.61</v>
      </c>
      <c r="L63" s="64">
        <v>25.3</v>
      </c>
      <c r="M63" s="64">
        <v>98.29</v>
      </c>
      <c r="N63" s="64">
        <v>216.3</v>
      </c>
      <c r="O63" s="64">
        <v>0</v>
      </c>
      <c r="P63" s="64">
        <v>0.65</v>
      </c>
      <c r="Q63" s="64">
        <v>9.35</v>
      </c>
      <c r="R63" s="198"/>
      <c r="S63" s="198"/>
      <c r="T63" s="198"/>
      <c r="U63" s="198"/>
    </row>
    <row r="64" spans="1:21" s="12" customFormat="1" x14ac:dyDescent="0.25">
      <c r="A64" s="214" t="s">
        <v>2992</v>
      </c>
      <c r="B64" s="64">
        <v>8.3699999999999992</v>
      </c>
      <c r="C64" s="64">
        <v>3.46</v>
      </c>
      <c r="D64" s="64">
        <v>12.29</v>
      </c>
      <c r="E64" s="64">
        <v>4.18</v>
      </c>
      <c r="F64" s="64">
        <v>3.67</v>
      </c>
      <c r="G64" s="64">
        <v>14.16</v>
      </c>
      <c r="H64" s="64">
        <v>8.1300000000000008</v>
      </c>
      <c r="I64" s="64">
        <v>2.29</v>
      </c>
      <c r="J64" s="64">
        <v>0.51</v>
      </c>
      <c r="K64" s="64">
        <v>336.14</v>
      </c>
      <c r="L64" s="64">
        <v>25.66</v>
      </c>
      <c r="M64" s="64">
        <v>96.22</v>
      </c>
      <c r="N64" s="64">
        <v>142.30000000000001</v>
      </c>
      <c r="O64" s="64">
        <v>0</v>
      </c>
      <c r="P64" s="64">
        <v>0.64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14" t="s">
        <v>2993</v>
      </c>
      <c r="B65" s="64">
        <v>8.34</v>
      </c>
      <c r="C65" s="64">
        <v>3.14</v>
      </c>
      <c r="D65" s="64">
        <v>12.1</v>
      </c>
      <c r="E65" s="64">
        <v>4.3499999999999996</v>
      </c>
      <c r="F65" s="64">
        <v>4.16</v>
      </c>
      <c r="G65" s="64">
        <v>14.16</v>
      </c>
      <c r="H65" s="64">
        <v>8.1300000000000008</v>
      </c>
      <c r="I65" s="64">
        <v>2.27</v>
      </c>
      <c r="J65" s="64">
        <v>0.6</v>
      </c>
      <c r="K65" s="64">
        <v>320.16000000000003</v>
      </c>
      <c r="L65" s="64">
        <v>25.5</v>
      </c>
      <c r="M65" s="64">
        <v>95.44</v>
      </c>
      <c r="N65" s="64">
        <v>99.3</v>
      </c>
      <c r="O65" s="64">
        <v>0</v>
      </c>
      <c r="P65" s="64">
        <v>0.59</v>
      </c>
      <c r="Q65" s="64">
        <v>9.39</v>
      </c>
      <c r="R65" s="198"/>
      <c r="S65" s="198"/>
      <c r="T65" s="198"/>
      <c r="U65" s="198"/>
    </row>
    <row r="66" spans="1:21" s="12" customFormat="1" x14ac:dyDescent="0.25">
      <c r="A66" s="214" t="s">
        <v>2994</v>
      </c>
      <c r="B66" s="64">
        <v>8.31</v>
      </c>
      <c r="C66" s="64">
        <v>3.21</v>
      </c>
      <c r="D66" s="64">
        <v>12.12</v>
      </c>
      <c r="E66" s="64">
        <v>4.3</v>
      </c>
      <c r="F66" s="64">
        <v>3.99</v>
      </c>
      <c r="G66" s="64">
        <v>14.16</v>
      </c>
      <c r="H66" s="64">
        <v>8.1300000000000008</v>
      </c>
      <c r="I66" s="64">
        <v>2.23</v>
      </c>
      <c r="J66" s="64">
        <v>0.62</v>
      </c>
      <c r="K66" s="64">
        <v>316.44</v>
      </c>
      <c r="L66" s="64">
        <v>25.5</v>
      </c>
      <c r="M66" s="64">
        <v>96.69</v>
      </c>
      <c r="N66" s="64">
        <v>78.7</v>
      </c>
      <c r="O66" s="64">
        <v>0</v>
      </c>
      <c r="P66" s="64">
        <v>0.59</v>
      </c>
      <c r="Q66" s="64">
        <v>9.41</v>
      </c>
      <c r="R66" s="198"/>
      <c r="S66" s="198"/>
      <c r="T66" s="198"/>
      <c r="U66" s="198"/>
    </row>
    <row r="67" spans="1:21" s="12" customFormat="1" x14ac:dyDescent="0.25">
      <c r="A67" s="214" t="s">
        <v>2995</v>
      </c>
      <c r="B67" s="64">
        <v>8.33</v>
      </c>
      <c r="C67" s="64">
        <v>3.29</v>
      </c>
      <c r="D67" s="64">
        <v>12.17</v>
      </c>
      <c r="E67" s="64">
        <v>4.1500000000000004</v>
      </c>
      <c r="F67" s="64">
        <v>3.96</v>
      </c>
      <c r="G67" s="64">
        <v>25.49</v>
      </c>
      <c r="H67" s="64">
        <v>9.1300000000000008</v>
      </c>
      <c r="I67" s="64">
        <v>2.2000000000000002</v>
      </c>
      <c r="J67" s="64">
        <v>0.42</v>
      </c>
      <c r="K67" s="64">
        <v>334.46</v>
      </c>
      <c r="L67" s="64">
        <v>25.26</v>
      </c>
      <c r="M67" s="64">
        <v>96.65</v>
      </c>
      <c r="N67" s="64">
        <v>57.3</v>
      </c>
      <c r="O67" s="64">
        <v>0.2</v>
      </c>
      <c r="P67" s="64">
        <v>0.6</v>
      </c>
      <c r="Q67" s="64">
        <v>9.4</v>
      </c>
      <c r="R67" s="198"/>
      <c r="S67" s="198"/>
      <c r="T67" s="198"/>
      <c r="U67" s="198"/>
    </row>
    <row r="68" spans="1:21" s="12" customFormat="1" x14ac:dyDescent="0.25">
      <c r="A68" s="214" t="s">
        <v>2996</v>
      </c>
      <c r="B68" s="64">
        <v>8.31</v>
      </c>
      <c r="C68" s="64">
        <v>3.28</v>
      </c>
      <c r="D68" s="64">
        <v>12.15</v>
      </c>
      <c r="E68" s="64">
        <v>4.1399999999999997</v>
      </c>
      <c r="F68" s="64">
        <v>5.17</v>
      </c>
      <c r="G68" s="64">
        <v>32.700000000000003</v>
      </c>
      <c r="H68" s="64">
        <v>9.77</v>
      </c>
      <c r="I68" s="64">
        <v>2.37</v>
      </c>
      <c r="J68" s="64">
        <v>0.56000000000000005</v>
      </c>
      <c r="K68" s="64">
        <v>319.02</v>
      </c>
      <c r="L68" s="64">
        <v>24.9</v>
      </c>
      <c r="M68" s="64">
        <v>97.63</v>
      </c>
      <c r="N68" s="64">
        <v>69.2</v>
      </c>
      <c r="O68" s="64">
        <v>0</v>
      </c>
      <c r="P68" s="64">
        <v>0.61</v>
      </c>
      <c r="Q68" s="64">
        <v>9.43</v>
      </c>
      <c r="R68" s="198"/>
      <c r="S68" s="198"/>
      <c r="T68" s="198"/>
      <c r="U68" s="198"/>
    </row>
    <row r="69" spans="1:21" s="12" customFormat="1" x14ac:dyDescent="0.25">
      <c r="A69" s="214" t="s">
        <v>2997</v>
      </c>
      <c r="B69" s="64">
        <v>8.27</v>
      </c>
      <c r="C69" s="64">
        <v>3.28</v>
      </c>
      <c r="D69" s="64">
        <v>12.12</v>
      </c>
      <c r="E69" s="64">
        <v>4.03</v>
      </c>
      <c r="F69" s="64">
        <v>3.51</v>
      </c>
      <c r="G69" s="64">
        <v>32.700000000000003</v>
      </c>
      <c r="H69" s="64">
        <v>9.77</v>
      </c>
      <c r="I69" s="64">
        <v>2.54</v>
      </c>
      <c r="J69" s="64">
        <v>0.56000000000000005</v>
      </c>
      <c r="K69" s="64">
        <v>318.2</v>
      </c>
      <c r="L69" s="64">
        <v>25.01</v>
      </c>
      <c r="M69" s="64">
        <v>98.19</v>
      </c>
      <c r="N69" s="64">
        <v>69.2</v>
      </c>
      <c r="O69" s="64">
        <v>0</v>
      </c>
      <c r="P69" s="64">
        <v>0.6</v>
      </c>
      <c r="Q69" s="64">
        <v>9.35</v>
      </c>
      <c r="R69" s="198"/>
      <c r="S69" s="198"/>
      <c r="T69" s="198"/>
      <c r="U69" s="198"/>
    </row>
    <row r="70" spans="1:21" s="12" customFormat="1" x14ac:dyDescent="0.25">
      <c r="A70" s="214" t="s">
        <v>2998</v>
      </c>
      <c r="B70" s="64">
        <v>8.2799999999999994</v>
      </c>
      <c r="C70" s="64">
        <v>3.22</v>
      </c>
      <c r="D70" s="64">
        <v>12.09</v>
      </c>
      <c r="E70" s="64">
        <v>4.33</v>
      </c>
      <c r="F70" s="64">
        <v>3.5</v>
      </c>
      <c r="G70" s="64">
        <v>32.700000000000003</v>
      </c>
      <c r="H70" s="64">
        <v>9.77</v>
      </c>
      <c r="I70" s="64">
        <v>2.56</v>
      </c>
      <c r="J70" s="64">
        <v>0.6</v>
      </c>
      <c r="K70" s="64">
        <v>305.41000000000003</v>
      </c>
      <c r="L70" s="64">
        <v>24.9</v>
      </c>
      <c r="M70" s="64">
        <v>98.32</v>
      </c>
      <c r="N70" s="64">
        <v>58.7</v>
      </c>
      <c r="O70" s="64">
        <v>0</v>
      </c>
      <c r="P70" s="64">
        <v>0.6</v>
      </c>
      <c r="Q70" s="64">
        <v>9.32</v>
      </c>
      <c r="R70" s="198"/>
      <c r="S70" s="198"/>
      <c r="T70" s="198"/>
      <c r="U70" s="198"/>
    </row>
    <row r="71" spans="1:21" s="12" customFormat="1" x14ac:dyDescent="0.25">
      <c r="A71" s="214" t="s">
        <v>2999</v>
      </c>
      <c r="B71" s="64">
        <v>8.2899999999999991</v>
      </c>
      <c r="C71" s="64">
        <v>3.18</v>
      </c>
      <c r="D71" s="64">
        <v>12.08</v>
      </c>
      <c r="E71" s="64">
        <v>4.01</v>
      </c>
      <c r="F71" s="64">
        <v>4.63</v>
      </c>
      <c r="G71" s="64">
        <v>28.17</v>
      </c>
      <c r="H71" s="64">
        <v>9.0399999999999991</v>
      </c>
      <c r="I71" s="64">
        <v>2.56</v>
      </c>
      <c r="J71" s="64">
        <v>0.43</v>
      </c>
      <c r="K71" s="64">
        <v>340.01</v>
      </c>
      <c r="L71" s="64">
        <v>24.8</v>
      </c>
      <c r="M71" s="64">
        <v>98.3</v>
      </c>
      <c r="N71" s="64">
        <v>49.6</v>
      </c>
      <c r="O71" s="64">
        <v>0</v>
      </c>
      <c r="P71" s="64">
        <v>0.6</v>
      </c>
      <c r="Q71" s="64">
        <v>9.3699999999999992</v>
      </c>
      <c r="R71" s="198"/>
      <c r="S71" s="198"/>
      <c r="T71" s="198"/>
      <c r="U71" s="198"/>
    </row>
    <row r="72" spans="1:21" s="12" customFormat="1" x14ac:dyDescent="0.25">
      <c r="A72" s="214" t="s">
        <v>3000</v>
      </c>
      <c r="B72" s="64">
        <v>8.2899999999999991</v>
      </c>
      <c r="C72" s="64">
        <v>3.23</v>
      </c>
      <c r="D72" s="64">
        <v>12.11</v>
      </c>
      <c r="E72" s="64">
        <v>3.56</v>
      </c>
      <c r="F72" s="64">
        <v>2.14</v>
      </c>
      <c r="G72" s="64">
        <v>25.29</v>
      </c>
      <c r="H72" s="64">
        <v>8.58</v>
      </c>
      <c r="I72" s="64">
        <v>2.57</v>
      </c>
      <c r="J72" s="64">
        <v>0.52</v>
      </c>
      <c r="K72" s="64">
        <v>322.89</v>
      </c>
      <c r="L72" s="64">
        <v>24.73</v>
      </c>
      <c r="M72" s="64">
        <v>98.3</v>
      </c>
      <c r="N72" s="64">
        <v>62.2</v>
      </c>
      <c r="O72" s="64">
        <v>0.2</v>
      </c>
      <c r="P72" s="64">
        <v>0.61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4" t="s">
        <v>3001</v>
      </c>
      <c r="B73" s="64">
        <v>8.35</v>
      </c>
      <c r="C73" s="64">
        <v>3.31</v>
      </c>
      <c r="D73" s="64">
        <v>12.2</v>
      </c>
      <c r="E73" s="64">
        <v>3.92</v>
      </c>
      <c r="F73" s="64">
        <v>2.71</v>
      </c>
      <c r="G73" s="64">
        <v>25.29</v>
      </c>
      <c r="H73" s="64">
        <v>8.58</v>
      </c>
      <c r="I73" s="64">
        <v>2.59</v>
      </c>
      <c r="J73" s="64">
        <v>0.9</v>
      </c>
      <c r="K73" s="64">
        <v>339.21</v>
      </c>
      <c r="L73" s="64">
        <v>24.78</v>
      </c>
      <c r="M73" s="64">
        <v>98.33</v>
      </c>
      <c r="N73" s="64">
        <v>84.1</v>
      </c>
      <c r="O73" s="64">
        <v>0</v>
      </c>
      <c r="P73" s="64">
        <v>0.63</v>
      </c>
      <c r="Q73" s="64">
        <v>9.32</v>
      </c>
      <c r="R73" s="198"/>
      <c r="S73" s="198"/>
      <c r="T73" s="198"/>
      <c r="U73" s="198"/>
    </row>
    <row r="74" spans="1:21" s="12" customFormat="1" x14ac:dyDescent="0.25">
      <c r="A74" s="214" t="s">
        <v>3002</v>
      </c>
      <c r="B74" s="64">
        <v>8.6</v>
      </c>
      <c r="C74" s="64">
        <v>3.85</v>
      </c>
      <c r="D74" s="64">
        <v>12.68</v>
      </c>
      <c r="E74" s="64">
        <v>4.0599999999999996</v>
      </c>
      <c r="F74" s="64">
        <v>3.89</v>
      </c>
      <c r="G74" s="64">
        <v>25.29</v>
      </c>
      <c r="H74" s="64">
        <v>8.58</v>
      </c>
      <c r="I74" s="64">
        <v>2.7</v>
      </c>
      <c r="J74" s="64">
        <v>1.3</v>
      </c>
      <c r="K74" s="64">
        <v>344.75</v>
      </c>
      <c r="L74" s="64">
        <v>25.06</v>
      </c>
      <c r="M74" s="64">
        <v>98.3</v>
      </c>
      <c r="N74" s="64">
        <v>62.7</v>
      </c>
      <c r="O74" s="64">
        <v>0</v>
      </c>
      <c r="P74" s="64">
        <v>0.65</v>
      </c>
      <c r="Q74" s="64">
        <v>9.41</v>
      </c>
      <c r="R74" s="198"/>
      <c r="S74" s="198"/>
      <c r="T74" s="198"/>
      <c r="U74" s="198"/>
    </row>
    <row r="75" spans="1:21" s="12" customFormat="1" x14ac:dyDescent="0.25">
      <c r="A75" s="214" t="s">
        <v>3003</v>
      </c>
      <c r="B75" s="64">
        <v>8.4600000000000009</v>
      </c>
      <c r="C75" s="64">
        <v>3.55</v>
      </c>
      <c r="D75" s="64">
        <v>12.41</v>
      </c>
      <c r="E75" s="64">
        <v>4.28</v>
      </c>
      <c r="F75" s="64">
        <v>2.5099999999999998</v>
      </c>
      <c r="G75" s="64">
        <v>25.27</v>
      </c>
      <c r="H75" s="64">
        <v>8.31</v>
      </c>
      <c r="I75" s="64">
        <v>2.85</v>
      </c>
      <c r="J75" s="64">
        <v>1.25</v>
      </c>
      <c r="K75" s="64">
        <v>346.58</v>
      </c>
      <c r="L75" s="64">
        <v>25.08</v>
      </c>
      <c r="M75" s="64">
        <v>98.3</v>
      </c>
      <c r="N75" s="64">
        <v>29.5</v>
      </c>
      <c r="O75" s="64">
        <v>0</v>
      </c>
      <c r="P75" s="64">
        <v>0.66</v>
      </c>
      <c r="Q75" s="64">
        <v>9.43</v>
      </c>
      <c r="R75" s="198"/>
      <c r="S75" s="198"/>
      <c r="T75" s="198"/>
      <c r="U75" s="198"/>
    </row>
    <row r="76" spans="1:21" s="12" customFormat="1" x14ac:dyDescent="0.25">
      <c r="A76" s="214" t="s">
        <v>3004</v>
      </c>
      <c r="B76" s="64">
        <v>8.34</v>
      </c>
      <c r="C76" s="64">
        <v>3.33</v>
      </c>
      <c r="D76" s="64">
        <v>12.2</v>
      </c>
      <c r="E76" s="64">
        <v>4.09</v>
      </c>
      <c r="F76" s="64">
        <v>3.15</v>
      </c>
      <c r="G76" s="64">
        <v>25.26</v>
      </c>
      <c r="H76" s="64">
        <v>8.14</v>
      </c>
      <c r="I76" s="64">
        <v>2.95</v>
      </c>
      <c r="J76" s="64">
        <v>0.42</v>
      </c>
      <c r="K76" s="64">
        <v>355.82</v>
      </c>
      <c r="L76" s="64">
        <v>24.87</v>
      </c>
      <c r="M76" s="64">
        <v>98.3</v>
      </c>
      <c r="N76" s="64">
        <v>29.1</v>
      </c>
      <c r="O76" s="64">
        <v>0</v>
      </c>
      <c r="P76" s="64">
        <v>0.67</v>
      </c>
      <c r="Q76" s="64">
        <v>9.4499999999999993</v>
      </c>
      <c r="R76" s="198"/>
      <c r="S76" s="198"/>
      <c r="T76" s="198"/>
      <c r="U76" s="198"/>
    </row>
    <row r="77" spans="1:21" s="12" customFormat="1" x14ac:dyDescent="0.25">
      <c r="A77" s="214" t="s">
        <v>3005</v>
      </c>
      <c r="B77" s="64">
        <v>8.36</v>
      </c>
      <c r="C77" s="64">
        <v>3.36</v>
      </c>
      <c r="D77" s="64">
        <v>12.23</v>
      </c>
      <c r="E77" s="64">
        <v>3.96</v>
      </c>
      <c r="F77" s="64">
        <v>4.41</v>
      </c>
      <c r="G77" s="64">
        <v>25.26</v>
      </c>
      <c r="H77" s="64">
        <v>8.14</v>
      </c>
      <c r="I77" s="64">
        <v>3.09</v>
      </c>
      <c r="J77" s="64">
        <v>0.68</v>
      </c>
      <c r="K77" s="64">
        <v>343.85</v>
      </c>
      <c r="L77" s="64">
        <v>24.7</v>
      </c>
      <c r="M77" s="64">
        <v>98.31</v>
      </c>
      <c r="N77" s="64">
        <v>36.1</v>
      </c>
      <c r="O77" s="64">
        <v>0</v>
      </c>
      <c r="P77" s="64">
        <v>0.71</v>
      </c>
      <c r="Q77" s="64">
        <v>9.51</v>
      </c>
      <c r="R77" s="198"/>
      <c r="S77" s="198"/>
      <c r="T77" s="198"/>
      <c r="U77" s="198"/>
    </row>
    <row r="78" spans="1:21" s="12" customFormat="1" x14ac:dyDescent="0.25">
      <c r="A78" s="214" t="s">
        <v>3006</v>
      </c>
      <c r="B78" s="64">
        <v>8.43</v>
      </c>
      <c r="C78" s="64">
        <v>3.48</v>
      </c>
      <c r="D78" s="64">
        <v>12.35</v>
      </c>
      <c r="E78" s="64">
        <v>4.32</v>
      </c>
      <c r="F78" s="64">
        <v>3.13</v>
      </c>
      <c r="G78" s="64">
        <v>25.26</v>
      </c>
      <c r="H78" s="64">
        <v>8.14</v>
      </c>
      <c r="I78" s="64">
        <v>3.25</v>
      </c>
      <c r="J78" s="64">
        <v>1.31</v>
      </c>
      <c r="K78" s="64">
        <v>342.67</v>
      </c>
      <c r="L78" s="64">
        <v>24.69</v>
      </c>
      <c r="M78" s="64">
        <v>98.33</v>
      </c>
      <c r="N78" s="64">
        <v>27.8</v>
      </c>
      <c r="O78" s="64">
        <v>0</v>
      </c>
      <c r="P78" s="64">
        <v>0.75</v>
      </c>
      <c r="Q78" s="64">
        <v>9.57</v>
      </c>
      <c r="R78" s="198"/>
      <c r="S78" s="198"/>
      <c r="T78" s="198"/>
      <c r="U78" s="198"/>
    </row>
    <row r="79" spans="1:21" s="12" customFormat="1" x14ac:dyDescent="0.25">
      <c r="A79" s="214" t="s">
        <v>3007</v>
      </c>
      <c r="B79" s="64">
        <v>8.41</v>
      </c>
      <c r="C79" s="64">
        <v>3.41</v>
      </c>
      <c r="D79" s="64">
        <v>12.3</v>
      </c>
      <c r="E79" s="64">
        <v>3.99</v>
      </c>
      <c r="F79" s="64">
        <v>3.29</v>
      </c>
      <c r="G79" s="64">
        <v>20.65</v>
      </c>
      <c r="H79" s="64">
        <v>9.6300000000000008</v>
      </c>
      <c r="I79" s="64">
        <v>3.38</v>
      </c>
      <c r="J79" s="64">
        <v>1</v>
      </c>
      <c r="K79" s="64">
        <v>339.33</v>
      </c>
      <c r="L79" s="64">
        <v>24.04</v>
      </c>
      <c r="M79" s="64">
        <v>98.33</v>
      </c>
      <c r="N79" s="64">
        <v>22.4</v>
      </c>
      <c r="O79" s="64">
        <v>0</v>
      </c>
      <c r="P79" s="64">
        <v>0.77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4" t="s">
        <v>3008</v>
      </c>
      <c r="B80" s="64">
        <v>8.48</v>
      </c>
      <c r="C80" s="64">
        <v>3.5</v>
      </c>
      <c r="D80" s="64">
        <v>12.4</v>
      </c>
      <c r="E80" s="64">
        <v>3.98</v>
      </c>
      <c r="F80" s="64">
        <v>3.78</v>
      </c>
      <c r="G80" s="64">
        <v>17.71</v>
      </c>
      <c r="H80" s="64">
        <v>10.53</v>
      </c>
      <c r="I80" s="64">
        <v>3.66</v>
      </c>
      <c r="J80" s="64">
        <v>1.03</v>
      </c>
      <c r="K80" s="64">
        <v>329.63</v>
      </c>
      <c r="L80" s="64">
        <v>23.24</v>
      </c>
      <c r="M80" s="64">
        <v>98.34</v>
      </c>
      <c r="N80" s="64">
        <v>22.1</v>
      </c>
      <c r="O80" s="64">
        <v>0.2</v>
      </c>
      <c r="P80" s="64">
        <v>0.76</v>
      </c>
      <c r="Q80" s="64">
        <v>9.67</v>
      </c>
      <c r="R80" s="198"/>
      <c r="S80" s="198"/>
      <c r="T80" s="198"/>
      <c r="U80" s="198"/>
    </row>
    <row r="81" spans="1:26" s="12" customFormat="1" x14ac:dyDescent="0.25">
      <c r="A81" s="214" t="s">
        <v>3009</v>
      </c>
      <c r="B81" s="64">
        <v>8.42</v>
      </c>
      <c r="C81" s="64">
        <v>3.31</v>
      </c>
      <c r="D81" s="64">
        <v>12.26</v>
      </c>
      <c r="E81" s="64">
        <v>4.3099999999999996</v>
      </c>
      <c r="F81" s="64">
        <v>3.47</v>
      </c>
      <c r="G81" s="64">
        <v>17.71</v>
      </c>
      <c r="H81" s="64">
        <v>10.53</v>
      </c>
      <c r="I81" s="64">
        <v>4.1500000000000004</v>
      </c>
      <c r="J81" s="64">
        <v>0.91</v>
      </c>
      <c r="K81" s="64">
        <v>336.42</v>
      </c>
      <c r="L81" s="64">
        <v>22.88</v>
      </c>
      <c r="M81" s="64">
        <v>98.35</v>
      </c>
      <c r="N81" s="64">
        <v>19.8</v>
      </c>
      <c r="O81" s="64">
        <v>2.4</v>
      </c>
      <c r="P81" s="64">
        <v>0.77</v>
      </c>
      <c r="Q81" s="64">
        <v>9.68</v>
      </c>
      <c r="R81" s="198"/>
      <c r="S81" s="198"/>
      <c r="T81" s="198"/>
      <c r="U81" s="198"/>
    </row>
    <row r="82" spans="1:26" s="12" customFormat="1" x14ac:dyDescent="0.25">
      <c r="A82" s="214" t="s">
        <v>3010</v>
      </c>
      <c r="B82" s="64">
        <v>8.3699999999999992</v>
      </c>
      <c r="C82" s="64">
        <v>3.23</v>
      </c>
      <c r="D82" s="64">
        <v>12.17</v>
      </c>
      <c r="E82" s="64">
        <v>4.01</v>
      </c>
      <c r="F82" s="64">
        <v>3.17</v>
      </c>
      <c r="G82" s="64">
        <v>17.71</v>
      </c>
      <c r="H82" s="64">
        <v>10.53</v>
      </c>
      <c r="I82" s="64">
        <v>4.51</v>
      </c>
      <c r="J82" s="64">
        <v>0.43</v>
      </c>
      <c r="K82" s="64">
        <v>144.56</v>
      </c>
      <c r="L82" s="64">
        <v>22.32</v>
      </c>
      <c r="M82" s="64">
        <v>98.38</v>
      </c>
      <c r="N82" s="64">
        <v>19.5</v>
      </c>
      <c r="O82" s="64">
        <v>0</v>
      </c>
      <c r="P82" s="64">
        <v>0.76</v>
      </c>
      <c r="Q82" s="64">
        <v>9.7100000000000009</v>
      </c>
      <c r="R82" s="198"/>
      <c r="S82" s="198"/>
      <c r="T82" s="198"/>
      <c r="U82" s="198"/>
    </row>
    <row r="83" spans="1:26" s="12" customFormat="1" x14ac:dyDescent="0.25">
      <c r="A83" s="214" t="s">
        <v>3011</v>
      </c>
      <c r="B83" s="64">
        <v>8.4</v>
      </c>
      <c r="C83" s="64">
        <v>3.29</v>
      </c>
      <c r="D83" s="64">
        <v>12.23</v>
      </c>
      <c r="E83" s="64">
        <v>3.72</v>
      </c>
      <c r="F83" s="64">
        <v>2.85</v>
      </c>
      <c r="G83" s="64">
        <v>26.71</v>
      </c>
      <c r="H83" s="64">
        <v>9.94</v>
      </c>
      <c r="I83" s="64">
        <v>4.66</v>
      </c>
      <c r="J83" s="64">
        <v>0.39</v>
      </c>
      <c r="K83" s="64">
        <v>154.33000000000001</v>
      </c>
      <c r="L83" s="64">
        <v>22.38</v>
      </c>
      <c r="M83" s="64">
        <v>98.38</v>
      </c>
      <c r="N83" s="64">
        <v>17.899999999999999</v>
      </c>
      <c r="O83" s="64">
        <v>0</v>
      </c>
      <c r="P83" s="64">
        <v>0.75</v>
      </c>
      <c r="Q83" s="64">
        <v>9.74</v>
      </c>
      <c r="R83" s="198"/>
      <c r="S83" s="198"/>
      <c r="T83" s="198"/>
      <c r="U83" s="198"/>
    </row>
    <row r="84" spans="1:26" s="12" customFormat="1" x14ac:dyDescent="0.25">
      <c r="A84" s="214" t="s">
        <v>3012</v>
      </c>
      <c r="B84" s="64">
        <v>8.4</v>
      </c>
      <c r="C84" s="64">
        <v>3.32</v>
      </c>
      <c r="D84" s="64">
        <v>12.25</v>
      </c>
      <c r="E84" s="64">
        <v>4.1900000000000004</v>
      </c>
      <c r="F84" s="64">
        <v>2.98</v>
      </c>
      <c r="G84" s="64">
        <v>32.44</v>
      </c>
      <c r="H84" s="64">
        <v>9.59</v>
      </c>
      <c r="I84" s="64">
        <v>4.8099999999999996</v>
      </c>
      <c r="J84" s="64">
        <v>0.37</v>
      </c>
      <c r="K84" s="64">
        <v>258.01</v>
      </c>
      <c r="L84" s="64">
        <v>22.49</v>
      </c>
      <c r="M84" s="64">
        <v>98.38</v>
      </c>
      <c r="N84" s="64">
        <v>17.3</v>
      </c>
      <c r="O84" s="64">
        <v>0</v>
      </c>
      <c r="P84" s="64">
        <v>0.75</v>
      </c>
      <c r="Q84" s="64">
        <v>9.77</v>
      </c>
      <c r="R84" s="198"/>
      <c r="S84" s="198"/>
      <c r="T84" s="198"/>
      <c r="U84" s="198"/>
    </row>
    <row r="85" spans="1:26" s="12" customFormat="1" x14ac:dyDescent="0.25">
      <c r="A85" s="214" t="s">
        <v>3013</v>
      </c>
      <c r="B85" s="64">
        <v>8.39</v>
      </c>
      <c r="C85" s="64">
        <v>3.27</v>
      </c>
      <c r="D85" s="64">
        <v>12.21</v>
      </c>
      <c r="E85" s="64">
        <v>4.0999999999999996</v>
      </c>
      <c r="F85" s="64">
        <v>3.25</v>
      </c>
      <c r="G85" s="64">
        <v>32.44</v>
      </c>
      <c r="H85" s="64">
        <v>9.59</v>
      </c>
      <c r="I85" s="64">
        <v>5.0199999999999996</v>
      </c>
      <c r="J85" s="64">
        <v>0.37</v>
      </c>
      <c r="K85" s="64">
        <v>315.47000000000003</v>
      </c>
      <c r="L85" s="64">
        <v>22.59</v>
      </c>
      <c r="M85" s="64">
        <v>98.38</v>
      </c>
      <c r="N85" s="64">
        <v>17.3</v>
      </c>
      <c r="O85" s="64">
        <v>0</v>
      </c>
      <c r="P85" s="64">
        <v>0.72</v>
      </c>
      <c r="Q85" s="64">
        <v>9.76</v>
      </c>
      <c r="R85" s="198"/>
      <c r="S85" s="198"/>
      <c r="T85" s="198"/>
      <c r="U85" s="198"/>
    </row>
    <row r="86" spans="1:26" s="12" customFormat="1" x14ac:dyDescent="0.25">
      <c r="A86" s="214" t="s">
        <v>3014</v>
      </c>
      <c r="B86" s="64">
        <v>8.4</v>
      </c>
      <c r="C86" s="64">
        <v>3.29</v>
      </c>
      <c r="D86" s="64">
        <v>12.23</v>
      </c>
      <c r="E86" s="64">
        <v>4.0199999999999996</v>
      </c>
      <c r="F86" s="64">
        <v>4.3099999999999996</v>
      </c>
      <c r="G86" s="64">
        <v>32.44</v>
      </c>
      <c r="H86" s="64">
        <v>9.59</v>
      </c>
      <c r="I86" s="64">
        <v>5.24</v>
      </c>
      <c r="J86" s="64">
        <v>0.59</v>
      </c>
      <c r="K86" s="64">
        <v>231.1</v>
      </c>
      <c r="L86" s="64">
        <v>22.62</v>
      </c>
      <c r="M86" s="64">
        <v>98.38</v>
      </c>
      <c r="N86" s="64">
        <v>17.3</v>
      </c>
      <c r="O86" s="64">
        <v>0</v>
      </c>
      <c r="P86" s="64">
        <v>0.78</v>
      </c>
      <c r="Q86" s="64">
        <v>9.75</v>
      </c>
      <c r="R86" s="198"/>
      <c r="S86" s="198"/>
      <c r="T86" s="198"/>
      <c r="U86" s="198"/>
    </row>
    <row r="87" spans="1:26" s="12" customFormat="1" x14ac:dyDescent="0.25">
      <c r="A87" s="214" t="s">
        <v>3015</v>
      </c>
      <c r="B87" s="64">
        <v>8.48</v>
      </c>
      <c r="C87" s="64">
        <v>3.47</v>
      </c>
      <c r="D87" s="64">
        <v>12.39</v>
      </c>
      <c r="E87" s="64">
        <v>4.1500000000000004</v>
      </c>
      <c r="F87" s="64">
        <v>3.54</v>
      </c>
      <c r="G87" s="64">
        <v>30.96</v>
      </c>
      <c r="H87" s="64">
        <v>12.96</v>
      </c>
      <c r="I87" s="64">
        <v>5.43</v>
      </c>
      <c r="J87" s="64">
        <v>0.17</v>
      </c>
      <c r="K87" s="64">
        <v>94.54</v>
      </c>
      <c r="L87" s="64">
        <v>22.64</v>
      </c>
      <c r="M87" s="64">
        <v>98.38</v>
      </c>
      <c r="N87" s="64">
        <v>17.399999999999999</v>
      </c>
      <c r="O87" s="64">
        <v>0</v>
      </c>
      <c r="P87" s="64">
        <v>0.79</v>
      </c>
      <c r="Q87" s="64">
        <v>9.69</v>
      </c>
      <c r="R87" s="198"/>
      <c r="S87" s="198"/>
      <c r="T87" s="198"/>
      <c r="U87" s="198"/>
    </row>
    <row r="88" spans="1:26" s="12" customFormat="1" x14ac:dyDescent="0.25">
      <c r="A88" s="214" t="s">
        <v>3016</v>
      </c>
      <c r="B88" s="64">
        <v>8.4700000000000006</v>
      </c>
      <c r="C88" s="64">
        <v>3.46</v>
      </c>
      <c r="D88" s="64">
        <v>12.38</v>
      </c>
      <c r="E88" s="64">
        <v>5.18</v>
      </c>
      <c r="F88" s="64">
        <v>2.4700000000000002</v>
      </c>
      <c r="G88" s="64">
        <v>30.03</v>
      </c>
      <c r="H88" s="64">
        <v>15.1</v>
      </c>
      <c r="I88" s="64">
        <v>5.47</v>
      </c>
      <c r="J88" s="64">
        <v>0.6</v>
      </c>
      <c r="K88" s="64">
        <v>177.58</v>
      </c>
      <c r="L88" s="64">
        <v>22.61</v>
      </c>
      <c r="M88" s="64">
        <v>98.38</v>
      </c>
      <c r="N88" s="64">
        <v>17.399999999999999</v>
      </c>
      <c r="O88" s="64">
        <v>0.2</v>
      </c>
      <c r="P88" s="64">
        <v>0.81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4" t="s">
        <v>3017</v>
      </c>
      <c r="B89" s="64">
        <v>8.5</v>
      </c>
      <c r="C89" s="64">
        <v>3.5</v>
      </c>
      <c r="D89" s="64">
        <v>12.42</v>
      </c>
      <c r="E89" s="64">
        <v>3.64</v>
      </c>
      <c r="F89" s="64">
        <v>4.3</v>
      </c>
      <c r="G89" s="64">
        <v>30.03</v>
      </c>
      <c r="H89" s="64">
        <v>15.1</v>
      </c>
      <c r="I89" s="64">
        <v>5.51</v>
      </c>
      <c r="J89" s="64">
        <v>0.87</v>
      </c>
      <c r="K89" s="64">
        <v>158.44</v>
      </c>
      <c r="L89" s="64">
        <v>22.68</v>
      </c>
      <c r="M89" s="64">
        <v>98.38</v>
      </c>
      <c r="N89" s="64">
        <v>17.2</v>
      </c>
      <c r="O89" s="64">
        <v>0</v>
      </c>
      <c r="P89" s="64">
        <v>0.83</v>
      </c>
      <c r="Q89" s="64">
        <v>9.67</v>
      </c>
      <c r="R89" s="198"/>
      <c r="S89" s="198"/>
      <c r="T89" s="198"/>
      <c r="U89" s="198"/>
    </row>
    <row r="90" spans="1:26" s="12" customFormat="1" x14ac:dyDescent="0.25">
      <c r="A90" s="214" t="s">
        <v>3018</v>
      </c>
      <c r="B90" s="64">
        <v>8.66</v>
      </c>
      <c r="C90" s="64">
        <v>3.78</v>
      </c>
      <c r="D90" s="64">
        <v>12.69</v>
      </c>
      <c r="E90" s="64">
        <v>3.7</v>
      </c>
      <c r="F90" s="64">
        <v>2.72</v>
      </c>
      <c r="G90" s="64">
        <v>30.03</v>
      </c>
      <c r="H90" s="64">
        <v>15.1</v>
      </c>
      <c r="I90" s="64">
        <v>5.58</v>
      </c>
      <c r="J90" s="64">
        <v>0.67</v>
      </c>
      <c r="K90" s="64">
        <v>188.71</v>
      </c>
      <c r="L90" s="64">
        <v>22.74</v>
      </c>
      <c r="M90" s="64">
        <v>98.38</v>
      </c>
      <c r="N90" s="64">
        <v>17.399999999999999</v>
      </c>
      <c r="O90" s="64">
        <v>0</v>
      </c>
      <c r="P90" s="64">
        <v>0.83</v>
      </c>
      <c r="Q90" s="64">
        <v>9.7100000000000009</v>
      </c>
      <c r="R90" s="198"/>
      <c r="S90" s="198"/>
      <c r="T90" s="198"/>
      <c r="U90" s="198"/>
    </row>
    <row r="91" spans="1:26" s="12" customFormat="1" x14ac:dyDescent="0.25">
      <c r="A91" s="214" t="s">
        <v>3019</v>
      </c>
      <c r="B91" s="64">
        <v>8.8000000000000007</v>
      </c>
      <c r="C91" s="64">
        <v>3.98</v>
      </c>
      <c r="D91" s="64">
        <v>12.91</v>
      </c>
      <c r="E91" s="64">
        <v>3.91</v>
      </c>
      <c r="F91" s="64">
        <v>2.79</v>
      </c>
      <c r="G91" s="64">
        <v>33.409999999999997</v>
      </c>
      <c r="H91" s="64">
        <v>14.33</v>
      </c>
      <c r="I91" s="64">
        <v>5.6</v>
      </c>
      <c r="J91" s="64">
        <v>0.87</v>
      </c>
      <c r="K91" s="64">
        <v>161.91</v>
      </c>
      <c r="L91" s="64">
        <v>22.81</v>
      </c>
      <c r="M91" s="64">
        <v>98.38</v>
      </c>
      <c r="N91" s="64">
        <v>17.5</v>
      </c>
      <c r="O91" s="64">
        <v>0</v>
      </c>
      <c r="P91" s="64">
        <v>0.81</v>
      </c>
      <c r="Q91" s="64">
        <v>9.7200000000000006</v>
      </c>
      <c r="R91" s="198"/>
      <c r="S91" s="198"/>
      <c r="T91" s="198"/>
      <c r="U91" s="198"/>
    </row>
    <row r="92" spans="1:26" s="12" customFormat="1" x14ac:dyDescent="0.25">
      <c r="A92" s="214" t="s">
        <v>3020</v>
      </c>
      <c r="B92" s="64">
        <v>8.57</v>
      </c>
      <c r="C92" s="64">
        <v>3.65</v>
      </c>
      <c r="D92" s="64">
        <v>12.56</v>
      </c>
      <c r="E92" s="64">
        <v>3.23</v>
      </c>
      <c r="F92" s="64">
        <v>4.25</v>
      </c>
      <c r="G92" s="64">
        <v>35.56</v>
      </c>
      <c r="H92" s="64">
        <v>13.84</v>
      </c>
      <c r="I92" s="64">
        <v>5.59</v>
      </c>
      <c r="J92" s="64">
        <v>0.21</v>
      </c>
      <c r="K92" s="64">
        <v>337.15</v>
      </c>
      <c r="L92" s="64">
        <v>22.81</v>
      </c>
      <c r="M92" s="64">
        <v>98.38</v>
      </c>
      <c r="N92" s="64">
        <v>17.399999999999999</v>
      </c>
      <c r="O92" s="64">
        <v>0</v>
      </c>
      <c r="P92" s="64">
        <v>0.8</v>
      </c>
      <c r="Q92" s="64">
        <v>9.7799999999999994</v>
      </c>
      <c r="R92" s="198"/>
      <c r="S92" s="198"/>
      <c r="T92" s="198"/>
      <c r="U92" s="198"/>
    </row>
    <row r="93" spans="1:26" s="12" customFormat="1" x14ac:dyDescent="0.25">
      <c r="A93" s="214" t="s">
        <v>3021</v>
      </c>
      <c r="B93" s="64">
        <v>8.41</v>
      </c>
      <c r="C93" s="64">
        <v>3.38</v>
      </c>
      <c r="D93" s="64">
        <v>12.28</v>
      </c>
      <c r="E93" s="64">
        <v>3.4</v>
      </c>
      <c r="F93" s="64">
        <v>2.75</v>
      </c>
      <c r="G93" s="64">
        <v>35.56</v>
      </c>
      <c r="H93" s="64">
        <v>13.84</v>
      </c>
      <c r="I93" s="64">
        <v>5.53</v>
      </c>
      <c r="J93" s="64">
        <v>0.27</v>
      </c>
      <c r="K93" s="64">
        <v>173.66</v>
      </c>
      <c r="L93" s="64">
        <v>22.86</v>
      </c>
      <c r="M93" s="64">
        <v>98.38</v>
      </c>
      <c r="N93" s="64">
        <v>17.2</v>
      </c>
      <c r="O93" s="64">
        <v>0</v>
      </c>
      <c r="P93" s="64">
        <v>0.78</v>
      </c>
      <c r="Q93" s="64">
        <v>9.77</v>
      </c>
      <c r="R93" s="198"/>
      <c r="S93" s="198"/>
      <c r="T93" s="198"/>
      <c r="U93" s="198"/>
    </row>
    <row r="94" spans="1:26" s="12" customFormat="1" x14ac:dyDescent="0.25">
      <c r="A94" s="214" t="s">
        <v>3022</v>
      </c>
      <c r="B94" s="64">
        <v>8.4</v>
      </c>
      <c r="C94" s="64">
        <v>3.33</v>
      </c>
      <c r="D94" s="64">
        <v>12.25</v>
      </c>
      <c r="E94" s="64">
        <v>4.0199999999999996</v>
      </c>
      <c r="F94" s="64">
        <v>3.18</v>
      </c>
      <c r="G94" s="64">
        <v>35.56</v>
      </c>
      <c r="H94" s="64">
        <v>13.84</v>
      </c>
      <c r="I94" s="64">
        <v>5.44</v>
      </c>
      <c r="J94" s="64">
        <v>0.18</v>
      </c>
      <c r="K94" s="64">
        <v>111.17</v>
      </c>
      <c r="L94" s="64">
        <v>22.89</v>
      </c>
      <c r="M94" s="64">
        <v>98.38</v>
      </c>
      <c r="N94" s="64">
        <v>17.3</v>
      </c>
      <c r="O94" s="64">
        <v>0</v>
      </c>
      <c r="P94" s="64">
        <v>0.76</v>
      </c>
      <c r="Q94" s="64">
        <v>9.74</v>
      </c>
      <c r="R94" s="198"/>
      <c r="S94" s="198"/>
      <c r="T94" s="198"/>
      <c r="U94" s="198"/>
    </row>
    <row r="95" spans="1:26" s="12" customFormat="1" x14ac:dyDescent="0.25">
      <c r="A95" s="214" t="s">
        <v>3023</v>
      </c>
      <c r="B95" s="64">
        <v>8.4600000000000009</v>
      </c>
      <c r="C95" s="64">
        <v>3.49</v>
      </c>
      <c r="D95" s="64">
        <v>12.38</v>
      </c>
      <c r="E95" s="64">
        <v>3.59</v>
      </c>
      <c r="F95" s="64">
        <v>3.92</v>
      </c>
      <c r="G95" s="64">
        <v>35.630000000000003</v>
      </c>
      <c r="H95" s="64">
        <v>14.98</v>
      </c>
      <c r="I95" s="64">
        <v>5.36</v>
      </c>
      <c r="J95" s="64">
        <v>0.36</v>
      </c>
      <c r="K95" s="64">
        <v>159.72</v>
      </c>
      <c r="L95" s="64">
        <v>22.99</v>
      </c>
      <c r="M95" s="64">
        <v>98.38</v>
      </c>
      <c r="N95" s="64">
        <v>17.3</v>
      </c>
      <c r="O95" s="64">
        <v>0</v>
      </c>
      <c r="P95" s="64">
        <v>0.75</v>
      </c>
      <c r="Q95" s="64">
        <v>9.73</v>
      </c>
      <c r="R95" s="198"/>
      <c r="S95" s="198"/>
      <c r="T95" s="198"/>
      <c r="U95" s="198"/>
    </row>
    <row r="96" spans="1:26" s="12" customFormat="1" x14ac:dyDescent="0.25">
      <c r="A96" s="214" t="s">
        <v>3024</v>
      </c>
      <c r="B96" s="64">
        <v>8.49</v>
      </c>
      <c r="C96" s="64">
        <v>3.49</v>
      </c>
      <c r="D96" s="64">
        <v>12.41</v>
      </c>
      <c r="E96" s="64">
        <v>3.7</v>
      </c>
      <c r="F96" s="64">
        <v>2.4</v>
      </c>
      <c r="G96" s="64">
        <v>35.67</v>
      </c>
      <c r="H96" s="64">
        <v>15.67</v>
      </c>
      <c r="I96" s="64">
        <v>5.3</v>
      </c>
      <c r="J96" s="64">
        <v>0.41</v>
      </c>
      <c r="K96" s="64">
        <v>215.95</v>
      </c>
      <c r="L96" s="64">
        <v>23</v>
      </c>
      <c r="M96" s="64">
        <v>98.38</v>
      </c>
      <c r="N96" s="64">
        <v>17.399999999999999</v>
      </c>
      <c r="O96" s="64">
        <v>0</v>
      </c>
      <c r="P96" s="64">
        <v>0.74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3025</v>
      </c>
      <c r="B97" s="64">
        <v>8.48</v>
      </c>
      <c r="C97" s="64">
        <v>3.44</v>
      </c>
      <c r="D97" s="64">
        <v>12.38</v>
      </c>
      <c r="E97" s="64">
        <v>3.24</v>
      </c>
      <c r="F97" s="64">
        <v>2.93</v>
      </c>
      <c r="G97" s="64">
        <v>35.67</v>
      </c>
      <c r="H97" s="64">
        <v>15.67</v>
      </c>
      <c r="I97" s="64">
        <v>5.28</v>
      </c>
      <c r="J97" s="64">
        <v>0.98</v>
      </c>
      <c r="K97" s="64">
        <v>161.93</v>
      </c>
      <c r="L97" s="64">
        <v>23.04</v>
      </c>
      <c r="M97" s="64">
        <v>98.38</v>
      </c>
      <c r="N97" s="64">
        <v>17.399999999999999</v>
      </c>
      <c r="O97" s="64">
        <v>0</v>
      </c>
      <c r="P97" s="64">
        <v>0.73</v>
      </c>
      <c r="Q97" s="64">
        <v>9.69</v>
      </c>
      <c r="R97" s="198"/>
      <c r="S97" s="198"/>
      <c r="T97" s="198"/>
      <c r="U97" s="198"/>
    </row>
    <row r="98" spans="1:33" s="12" customFormat="1" x14ac:dyDescent="0.25">
      <c r="A98" s="214" t="s">
        <v>3026</v>
      </c>
      <c r="B98" s="64">
        <v>8.49</v>
      </c>
      <c r="C98" s="64">
        <v>3.4</v>
      </c>
      <c r="D98" s="64">
        <v>12.36</v>
      </c>
      <c r="E98" s="64">
        <v>3.51</v>
      </c>
      <c r="F98" s="64">
        <v>3.5</v>
      </c>
      <c r="G98" s="64">
        <v>35.67</v>
      </c>
      <c r="H98" s="64">
        <v>15.67</v>
      </c>
      <c r="I98" s="64">
        <v>5.28</v>
      </c>
      <c r="J98" s="64">
        <v>0.49</v>
      </c>
      <c r="K98" s="64">
        <v>167.6</v>
      </c>
      <c r="L98" s="64">
        <v>23.13</v>
      </c>
      <c r="M98" s="64">
        <v>98.38</v>
      </c>
      <c r="N98" s="64">
        <v>17.5</v>
      </c>
      <c r="O98" s="64">
        <v>0</v>
      </c>
      <c r="P98" s="64">
        <v>0.71</v>
      </c>
      <c r="Q98" s="64">
        <v>9.74</v>
      </c>
      <c r="R98" s="198"/>
      <c r="S98" s="198"/>
      <c r="T98" s="198"/>
      <c r="U98" s="198"/>
    </row>
    <row r="99" spans="1:33" s="12" customFormat="1" x14ac:dyDescent="0.25">
      <c r="A99" s="214" t="s">
        <v>3027</v>
      </c>
      <c r="B99" s="64">
        <v>8.44</v>
      </c>
      <c r="C99" s="64">
        <v>3.36</v>
      </c>
      <c r="D99" s="64">
        <v>12.3</v>
      </c>
      <c r="E99" s="64">
        <v>3.46</v>
      </c>
      <c r="F99" s="64">
        <v>3.13</v>
      </c>
      <c r="G99" s="64">
        <v>35.86</v>
      </c>
      <c r="H99" s="64">
        <v>12.83</v>
      </c>
      <c r="I99" s="64">
        <v>5.43</v>
      </c>
      <c r="J99" s="64">
        <v>0.15</v>
      </c>
      <c r="K99" s="64">
        <v>344.17</v>
      </c>
      <c r="L99" s="64">
        <v>23.1</v>
      </c>
      <c r="M99" s="64">
        <v>98.38</v>
      </c>
      <c r="N99" s="64">
        <v>17.600000000000001</v>
      </c>
      <c r="O99" s="64">
        <v>0</v>
      </c>
      <c r="P99" s="64">
        <v>0.71</v>
      </c>
      <c r="Q99" s="64">
        <v>9.73</v>
      </c>
      <c r="R99" s="198"/>
      <c r="S99" s="198"/>
      <c r="T99" s="198"/>
      <c r="U99" s="198"/>
    </row>
    <row r="100" spans="1:33" s="12" customFormat="1" x14ac:dyDescent="0.25">
      <c r="A100" s="214" t="s">
        <v>3028</v>
      </c>
      <c r="B100" s="64">
        <v>8.41</v>
      </c>
      <c r="C100" s="64">
        <v>3.33</v>
      </c>
      <c r="D100" s="64">
        <v>12.26</v>
      </c>
      <c r="E100" s="64">
        <v>3.69</v>
      </c>
      <c r="F100" s="64">
        <v>3.23</v>
      </c>
      <c r="G100" s="64">
        <v>35.979999999999997</v>
      </c>
      <c r="H100" s="64">
        <v>11.1</v>
      </c>
      <c r="I100" s="64">
        <v>5.62</v>
      </c>
      <c r="J100" s="64">
        <v>0.26</v>
      </c>
      <c r="K100" s="64">
        <v>264.32</v>
      </c>
      <c r="L100" s="64">
        <v>23.04</v>
      </c>
      <c r="M100" s="64">
        <v>98.38</v>
      </c>
      <c r="N100" s="64">
        <v>17.600000000000001</v>
      </c>
      <c r="O100" s="64">
        <v>0</v>
      </c>
      <c r="P100" s="64">
        <v>0.7</v>
      </c>
      <c r="Q100" s="64">
        <v>9.73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3029</v>
      </c>
      <c r="B101" s="64">
        <v>8.42</v>
      </c>
      <c r="C101" s="64">
        <v>3.33</v>
      </c>
      <c r="D101" s="64">
        <v>12.26</v>
      </c>
      <c r="E101" s="64">
        <v>3.28</v>
      </c>
      <c r="F101" s="64">
        <v>3.38</v>
      </c>
      <c r="G101" s="64">
        <v>35.979999999999997</v>
      </c>
      <c r="H101" s="64">
        <v>11.1</v>
      </c>
      <c r="I101" s="64">
        <v>5.8</v>
      </c>
      <c r="J101" s="64">
        <v>0.41</v>
      </c>
      <c r="K101" s="64">
        <v>160.81</v>
      </c>
      <c r="L101" s="64">
        <v>23.04</v>
      </c>
      <c r="M101" s="64">
        <v>98.38</v>
      </c>
      <c r="N101" s="64">
        <v>17.399999999999999</v>
      </c>
      <c r="O101" s="64">
        <v>0</v>
      </c>
      <c r="P101" s="64">
        <v>0.69</v>
      </c>
      <c r="Q101" s="64">
        <v>9.7100000000000009</v>
      </c>
      <c r="R101" s="198"/>
      <c r="S101" s="198"/>
      <c r="T101" s="198"/>
      <c r="U101" s="198"/>
    </row>
    <row r="102" spans="1:33" s="12" customFormat="1" x14ac:dyDescent="0.25">
      <c r="A102" s="214" t="s">
        <v>3030</v>
      </c>
      <c r="B102" s="64">
        <v>8.44</v>
      </c>
      <c r="C102" s="64">
        <v>3.35</v>
      </c>
      <c r="D102" s="64">
        <v>12.29</v>
      </c>
      <c r="E102" s="64">
        <v>3.34</v>
      </c>
      <c r="F102" s="64">
        <v>3.21</v>
      </c>
      <c r="G102" s="64">
        <v>35.979999999999997</v>
      </c>
      <c r="H102" s="64">
        <v>11.1</v>
      </c>
      <c r="I102" s="64">
        <v>5.96</v>
      </c>
      <c r="J102" s="64">
        <v>0.36</v>
      </c>
      <c r="K102" s="64">
        <v>314.77</v>
      </c>
      <c r="L102" s="64">
        <v>23.08</v>
      </c>
      <c r="M102" s="64">
        <v>98.38</v>
      </c>
      <c r="N102" s="64">
        <v>17.600000000000001</v>
      </c>
      <c r="O102" s="64">
        <v>0</v>
      </c>
      <c r="P102" s="64">
        <v>0.67</v>
      </c>
      <c r="Q102" s="64">
        <v>9.7200000000000006</v>
      </c>
      <c r="R102" s="198"/>
      <c r="S102" s="198"/>
      <c r="T102" s="198"/>
      <c r="U102" s="198"/>
    </row>
    <row r="103" spans="1:33" s="12" customFormat="1" x14ac:dyDescent="0.25">
      <c r="A103" s="214" t="s">
        <v>3031</v>
      </c>
      <c r="B103" s="64">
        <v>8.41</v>
      </c>
      <c r="C103" s="64">
        <v>3.29</v>
      </c>
      <c r="D103" s="64">
        <v>12.24</v>
      </c>
      <c r="E103" s="64">
        <v>3.59</v>
      </c>
      <c r="F103" s="64">
        <v>3.07</v>
      </c>
      <c r="G103" s="64">
        <v>31.26</v>
      </c>
      <c r="H103" s="64">
        <v>13.01</v>
      </c>
      <c r="I103" s="64">
        <v>6.09</v>
      </c>
      <c r="J103" s="64">
        <v>0.22</v>
      </c>
      <c r="K103" s="64">
        <v>216.84</v>
      </c>
      <c r="L103" s="64">
        <v>23.07</v>
      </c>
      <c r="M103" s="64">
        <v>98.38</v>
      </c>
      <c r="N103" s="64">
        <v>17.7</v>
      </c>
      <c r="O103" s="64">
        <v>0</v>
      </c>
      <c r="P103" s="64">
        <v>0.66</v>
      </c>
      <c r="Q103" s="64">
        <v>9.7200000000000006</v>
      </c>
      <c r="R103" s="198"/>
      <c r="S103" s="198"/>
      <c r="T103" s="198"/>
      <c r="U103" s="198"/>
    </row>
    <row r="104" spans="1:33" s="12" customFormat="1" x14ac:dyDescent="0.25">
      <c r="A104" s="214" t="s">
        <v>3032</v>
      </c>
      <c r="B104" s="64">
        <v>8.4</v>
      </c>
      <c r="C104" s="64">
        <v>3.31</v>
      </c>
      <c r="D104" s="64">
        <v>12.24</v>
      </c>
      <c r="E104" s="64">
        <v>4.97</v>
      </c>
      <c r="F104" s="64">
        <v>3.33</v>
      </c>
      <c r="G104" s="64">
        <v>28.26</v>
      </c>
      <c r="H104" s="64">
        <v>14.23</v>
      </c>
      <c r="I104" s="64">
        <v>6.22</v>
      </c>
      <c r="J104" s="64">
        <v>0.3</v>
      </c>
      <c r="K104" s="64">
        <v>265.52999999999997</v>
      </c>
      <c r="L104" s="64">
        <v>23.1</v>
      </c>
      <c r="M104" s="64">
        <v>98.38</v>
      </c>
      <c r="N104" s="64">
        <v>17.7</v>
      </c>
      <c r="O104" s="64">
        <v>0</v>
      </c>
      <c r="P104" s="64">
        <v>0.65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8.15</v>
      </c>
      <c r="C106" s="67">
        <f>MIN(C9:C104)</f>
        <v>3.07</v>
      </c>
      <c r="D106" s="67">
        <f t="shared" ref="D106:Q106" si="0">MIN(D9:D104)</f>
        <v>11.93</v>
      </c>
      <c r="E106" s="67">
        <f t="shared" si="0"/>
        <v>3.02</v>
      </c>
      <c r="F106" s="67">
        <f t="shared" si="0"/>
        <v>2.14</v>
      </c>
      <c r="G106" s="67">
        <f t="shared" si="0"/>
        <v>12.66</v>
      </c>
      <c r="H106" s="67">
        <f t="shared" si="0"/>
        <v>3.36</v>
      </c>
      <c r="I106" s="67">
        <f t="shared" si="0"/>
        <v>1.53</v>
      </c>
      <c r="J106" s="67">
        <f t="shared" si="0"/>
        <v>0.13</v>
      </c>
      <c r="K106" s="67">
        <f t="shared" si="0"/>
        <v>0.01</v>
      </c>
      <c r="L106" s="67">
        <f t="shared" si="0"/>
        <v>22.32</v>
      </c>
      <c r="M106" s="67">
        <f t="shared" si="0"/>
        <v>90.16</v>
      </c>
      <c r="N106" s="67">
        <f t="shared" si="0"/>
        <v>17</v>
      </c>
      <c r="O106" s="67">
        <f t="shared" si="0"/>
        <v>0</v>
      </c>
      <c r="P106" s="67">
        <f t="shared" si="0"/>
        <v>0.28000000000000003</v>
      </c>
      <c r="Q106" s="67">
        <f t="shared" si="0"/>
        <v>9.2200000000000006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8.8000000000000007</v>
      </c>
      <c r="C107" s="66">
        <f t="shared" ref="C107:Q107" si="1">MAX(C9:C104)</f>
        <v>3.98</v>
      </c>
      <c r="D107" s="66">
        <f t="shared" si="1"/>
        <v>12.91</v>
      </c>
      <c r="E107" s="66">
        <f t="shared" si="1"/>
        <v>5.18</v>
      </c>
      <c r="F107" s="66">
        <f t="shared" si="1"/>
        <v>5.19</v>
      </c>
      <c r="G107" s="66">
        <f t="shared" si="1"/>
        <v>35.979999999999997</v>
      </c>
      <c r="H107" s="66">
        <f t="shared" si="1"/>
        <v>15.67</v>
      </c>
      <c r="I107" s="66">
        <f t="shared" si="1"/>
        <v>6.22</v>
      </c>
      <c r="J107" s="66">
        <f t="shared" si="1"/>
        <v>1.31</v>
      </c>
      <c r="K107" s="66">
        <f t="shared" si="1"/>
        <v>359.19</v>
      </c>
      <c r="L107" s="66">
        <f t="shared" si="1"/>
        <v>25.66</v>
      </c>
      <c r="M107" s="66">
        <f t="shared" si="1"/>
        <v>98.38</v>
      </c>
      <c r="N107" s="66">
        <f t="shared" si="1"/>
        <v>216.3</v>
      </c>
      <c r="O107" s="66">
        <f t="shared" si="1"/>
        <v>2.4</v>
      </c>
      <c r="P107" s="66">
        <f t="shared" si="1"/>
        <v>0.83</v>
      </c>
      <c r="Q107" s="66">
        <f t="shared" si="1"/>
        <v>9.7799999999999994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8.3099999999999987</v>
      </c>
      <c r="C108" s="67">
        <f t="shared" ref="C108:Q108" si="2">AVERAGE(C9:C104)</f>
        <v>3.2871874999999995</v>
      </c>
      <c r="D108" s="67">
        <f t="shared" si="2"/>
        <v>12.155520833333334</v>
      </c>
      <c r="E108" s="67">
        <f t="shared" si="2"/>
        <v>4.0920833333333304</v>
      </c>
      <c r="F108" s="67">
        <f t="shared" si="2"/>
        <v>3.6329166666666679</v>
      </c>
      <c r="G108" s="67">
        <f t="shared" si="2"/>
        <v>22.676979166666673</v>
      </c>
      <c r="H108" s="67">
        <f t="shared" si="2"/>
        <v>7.9798958333333339</v>
      </c>
      <c r="I108" s="67">
        <f t="shared" si="2"/>
        <v>2.9877083333333334</v>
      </c>
      <c r="J108" s="67">
        <f t="shared" si="2"/>
        <v>0.50166666666666659</v>
      </c>
      <c r="K108" s="67">
        <f t="shared" si="2"/>
        <v>217.72822916666658</v>
      </c>
      <c r="L108" s="67">
        <f t="shared" si="2"/>
        <v>23.963229166666661</v>
      </c>
      <c r="M108" s="67">
        <f t="shared" si="2"/>
        <v>97.466145833333258</v>
      </c>
      <c r="N108" s="67">
        <f t="shared" si="2"/>
        <v>51.430208333333333</v>
      </c>
      <c r="O108" s="67">
        <f t="shared" si="2"/>
        <v>6.458333333333334E-2</v>
      </c>
      <c r="P108" s="67">
        <f t="shared" si="2"/>
        <v>0.51250000000000007</v>
      </c>
      <c r="Q108" s="67">
        <f t="shared" si="2"/>
        <v>9.4211458333333358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0.12402037184099617</v>
      </c>
      <c r="C109" s="67">
        <f t="shared" ref="C109:Q109" si="3">STDEV(C9:C104)</f>
        <v>0.1654130595302496</v>
      </c>
      <c r="D109" s="67">
        <f t="shared" si="3"/>
        <v>0.17995829804454069</v>
      </c>
      <c r="E109" s="67">
        <f t="shared" si="3"/>
        <v>0.55337798382523118</v>
      </c>
      <c r="F109" s="67">
        <f t="shared" si="3"/>
        <v>0.63545411307548805</v>
      </c>
      <c r="G109" s="67">
        <f t="shared" si="3"/>
        <v>7.2291114864671728</v>
      </c>
      <c r="H109" s="67">
        <f t="shared" si="3"/>
        <v>3.592828381443899</v>
      </c>
      <c r="I109" s="67">
        <f t="shared" si="3"/>
        <v>1.4483242434051473</v>
      </c>
      <c r="J109" s="67">
        <f t="shared" si="3"/>
        <v>0.23386305784488826</v>
      </c>
      <c r="K109" s="67">
        <f t="shared" si="3"/>
        <v>143.24454944343339</v>
      </c>
      <c r="L109" s="67">
        <f t="shared" si="3"/>
        <v>0.8550340033763717</v>
      </c>
      <c r="M109" s="67">
        <f t="shared" si="3"/>
        <v>1.8986806332108137</v>
      </c>
      <c r="N109" s="67">
        <f t="shared" si="3"/>
        <v>48.750600794768431</v>
      </c>
      <c r="O109" s="67">
        <f t="shared" si="3"/>
        <v>0.27452510830107929</v>
      </c>
      <c r="P109" s="67">
        <f t="shared" si="3"/>
        <v>0.19102493637164075</v>
      </c>
      <c r="Q109" s="67">
        <f t="shared" si="3"/>
        <v>0.18864541949977381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3033</v>
      </c>
      <c r="B9" s="64">
        <v>8.4</v>
      </c>
      <c r="C9" s="64">
        <v>3.32</v>
      </c>
      <c r="D9" s="64">
        <v>12.24</v>
      </c>
      <c r="E9" s="64">
        <v>5.01</v>
      </c>
      <c r="F9" s="64">
        <v>4.09</v>
      </c>
      <c r="G9" s="64">
        <v>28.26</v>
      </c>
      <c r="H9" s="64">
        <v>14.23</v>
      </c>
      <c r="I9" s="64">
        <v>6.34</v>
      </c>
      <c r="J9" s="64">
        <v>0.19</v>
      </c>
      <c r="K9" s="64">
        <v>177.26</v>
      </c>
      <c r="L9" s="64">
        <v>23.1</v>
      </c>
      <c r="M9" s="64">
        <v>98.38</v>
      </c>
      <c r="N9" s="64">
        <v>17.7</v>
      </c>
      <c r="O9" s="64">
        <v>0</v>
      </c>
      <c r="P9" s="64">
        <v>0.64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4" t="s">
        <v>3034</v>
      </c>
      <c r="B10" s="64">
        <v>8.3699999999999992</v>
      </c>
      <c r="C10" s="64">
        <v>3.27</v>
      </c>
      <c r="D10" s="64">
        <v>12.19</v>
      </c>
      <c r="E10" s="64">
        <v>5.01</v>
      </c>
      <c r="F10" s="64">
        <v>2.96</v>
      </c>
      <c r="G10" s="64">
        <v>28.26</v>
      </c>
      <c r="H10" s="64">
        <v>14.23</v>
      </c>
      <c r="I10" s="64">
        <v>6.31</v>
      </c>
      <c r="J10" s="64">
        <v>0.25</v>
      </c>
      <c r="K10" s="64">
        <v>290.97000000000003</v>
      </c>
      <c r="L10" s="64">
        <v>23.05</v>
      </c>
      <c r="M10" s="64">
        <v>98.38</v>
      </c>
      <c r="N10" s="64">
        <v>17.8</v>
      </c>
      <c r="O10" s="64">
        <v>0</v>
      </c>
      <c r="P10" s="64">
        <v>0.61</v>
      </c>
      <c r="Q10" s="64">
        <v>9.57</v>
      </c>
      <c r="R10" s="198"/>
      <c r="S10" s="198"/>
      <c r="T10" s="198"/>
      <c r="U10" s="198"/>
    </row>
    <row r="11" spans="1:21" s="12" customFormat="1" x14ac:dyDescent="0.25">
      <c r="A11" s="214" t="s">
        <v>3035</v>
      </c>
      <c r="B11" s="64">
        <v>8.32</v>
      </c>
      <c r="C11" s="64">
        <v>3.22</v>
      </c>
      <c r="D11" s="64">
        <v>12.13</v>
      </c>
      <c r="E11" s="64">
        <v>4.72</v>
      </c>
      <c r="F11" s="64">
        <v>4.2699999999999996</v>
      </c>
      <c r="G11" s="64">
        <v>27.35</v>
      </c>
      <c r="H11" s="64">
        <v>15.05</v>
      </c>
      <c r="I11" s="64">
        <v>6.17</v>
      </c>
      <c r="J11" s="64">
        <v>0.39</v>
      </c>
      <c r="K11" s="64">
        <v>157.11000000000001</v>
      </c>
      <c r="L11" s="64">
        <v>23.03</v>
      </c>
      <c r="M11" s="64">
        <v>98.38</v>
      </c>
      <c r="N11" s="64">
        <v>17.5</v>
      </c>
      <c r="O11" s="64">
        <v>0</v>
      </c>
      <c r="P11" s="64">
        <v>0.59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4" t="s">
        <v>3036</v>
      </c>
      <c r="B12" s="64">
        <v>8.41</v>
      </c>
      <c r="C12" s="64">
        <v>3.34</v>
      </c>
      <c r="D12" s="64">
        <v>12.26</v>
      </c>
      <c r="E12" s="64">
        <v>4.87</v>
      </c>
      <c r="F12" s="64">
        <v>3.15</v>
      </c>
      <c r="G12" s="64">
        <v>26.78</v>
      </c>
      <c r="H12" s="64">
        <v>15.56</v>
      </c>
      <c r="I12" s="64">
        <v>5.97</v>
      </c>
      <c r="J12" s="64">
        <v>0.23</v>
      </c>
      <c r="K12" s="64">
        <v>138.06</v>
      </c>
      <c r="L12" s="64">
        <v>23.12</v>
      </c>
      <c r="M12" s="64">
        <v>98.38</v>
      </c>
      <c r="N12" s="64">
        <v>17.600000000000001</v>
      </c>
      <c r="O12" s="64">
        <v>0</v>
      </c>
      <c r="P12" s="64">
        <v>0.56999999999999995</v>
      </c>
      <c r="Q12" s="64">
        <v>9.5399999999999991</v>
      </c>
      <c r="R12" s="198"/>
      <c r="S12" s="198"/>
      <c r="T12" s="198"/>
      <c r="U12" s="198"/>
    </row>
    <row r="13" spans="1:21" s="12" customFormat="1" x14ac:dyDescent="0.25">
      <c r="A13" s="214" t="s">
        <v>3037</v>
      </c>
      <c r="B13" s="64">
        <v>8.82</v>
      </c>
      <c r="C13" s="64">
        <v>3.99</v>
      </c>
      <c r="D13" s="64">
        <v>12.93</v>
      </c>
      <c r="E13" s="64">
        <v>5.34</v>
      </c>
      <c r="F13" s="64">
        <v>3.1</v>
      </c>
      <c r="G13" s="64">
        <v>26.78</v>
      </c>
      <c r="H13" s="64">
        <v>15.56</v>
      </c>
      <c r="I13" s="64">
        <v>5.81</v>
      </c>
      <c r="J13" s="64">
        <v>0.3</v>
      </c>
      <c r="K13" s="64">
        <v>337.1</v>
      </c>
      <c r="L13" s="64">
        <v>23.13</v>
      </c>
      <c r="M13" s="64">
        <v>98.38</v>
      </c>
      <c r="N13" s="64">
        <v>17.7</v>
      </c>
      <c r="O13" s="64">
        <v>0</v>
      </c>
      <c r="P13" s="64">
        <v>0.53</v>
      </c>
      <c r="Q13" s="64">
        <v>9.51</v>
      </c>
      <c r="R13" s="198"/>
      <c r="S13" s="198"/>
      <c r="T13" s="198"/>
      <c r="U13" s="198"/>
    </row>
    <row r="14" spans="1:21" s="12" customFormat="1" x14ac:dyDescent="0.25">
      <c r="A14" s="214" t="s">
        <v>3038</v>
      </c>
      <c r="B14" s="64">
        <v>8.43</v>
      </c>
      <c r="C14" s="64">
        <v>3.36</v>
      </c>
      <c r="D14" s="64">
        <v>12.29</v>
      </c>
      <c r="E14" s="64">
        <v>4.58</v>
      </c>
      <c r="F14" s="64">
        <v>3.74</v>
      </c>
      <c r="G14" s="64">
        <v>26.78</v>
      </c>
      <c r="H14" s="64">
        <v>15.56</v>
      </c>
      <c r="I14" s="64">
        <v>5.69</v>
      </c>
      <c r="J14" s="64">
        <v>0.2</v>
      </c>
      <c r="K14" s="64">
        <v>221.47</v>
      </c>
      <c r="L14" s="64">
        <v>23.15</v>
      </c>
      <c r="M14" s="64">
        <v>98.38</v>
      </c>
      <c r="N14" s="64">
        <v>17.600000000000001</v>
      </c>
      <c r="O14" s="64">
        <v>0</v>
      </c>
      <c r="P14" s="64">
        <v>0.52</v>
      </c>
      <c r="Q14" s="64">
        <v>9.5500000000000007</v>
      </c>
      <c r="R14" s="198"/>
      <c r="S14" s="198"/>
      <c r="T14" s="198"/>
      <c r="U14" s="198"/>
    </row>
    <row r="15" spans="1:21" s="12" customFormat="1" x14ac:dyDescent="0.25">
      <c r="A15" s="214" t="s">
        <v>3039</v>
      </c>
      <c r="B15" s="64">
        <v>8.36</v>
      </c>
      <c r="C15" s="64">
        <v>3.33</v>
      </c>
      <c r="D15" s="64">
        <v>12.22</v>
      </c>
      <c r="E15" s="64">
        <v>4.67</v>
      </c>
      <c r="F15" s="64">
        <v>3.74</v>
      </c>
      <c r="G15" s="64">
        <v>26.11</v>
      </c>
      <c r="H15" s="64">
        <v>13.17</v>
      </c>
      <c r="I15" s="64">
        <v>5.49</v>
      </c>
      <c r="J15" s="64">
        <v>0.1</v>
      </c>
      <c r="K15" s="64">
        <v>162.34</v>
      </c>
      <c r="L15" s="64">
        <v>23.19</v>
      </c>
      <c r="M15" s="64">
        <v>98.38</v>
      </c>
      <c r="N15" s="64">
        <v>17.8</v>
      </c>
      <c r="O15" s="64">
        <v>0</v>
      </c>
      <c r="P15" s="64">
        <v>0.52</v>
      </c>
      <c r="Q15" s="64">
        <v>9.5299999999999994</v>
      </c>
      <c r="R15" s="198"/>
      <c r="S15" s="198"/>
      <c r="T15" s="198"/>
      <c r="U15" s="198"/>
    </row>
    <row r="16" spans="1:21" s="12" customFormat="1" x14ac:dyDescent="0.25">
      <c r="A16" s="214" t="s">
        <v>3040</v>
      </c>
      <c r="B16" s="64">
        <v>8.35</v>
      </c>
      <c r="C16" s="64">
        <v>3.26</v>
      </c>
      <c r="D16" s="64">
        <v>12.18</v>
      </c>
      <c r="E16" s="64">
        <v>4.6100000000000003</v>
      </c>
      <c r="F16" s="64">
        <v>2.63</v>
      </c>
      <c r="G16" s="64">
        <v>25.69</v>
      </c>
      <c r="H16" s="64">
        <v>11.65</v>
      </c>
      <c r="I16" s="64">
        <v>5.38</v>
      </c>
      <c r="J16" s="64">
        <v>0.13</v>
      </c>
      <c r="K16" s="64">
        <v>265.14</v>
      </c>
      <c r="L16" s="64">
        <v>23.24</v>
      </c>
      <c r="M16" s="64">
        <v>98.38</v>
      </c>
      <c r="N16" s="64">
        <v>17.8</v>
      </c>
      <c r="O16" s="64">
        <v>0</v>
      </c>
      <c r="P16" s="64">
        <v>0.49</v>
      </c>
      <c r="Q16" s="64">
        <v>9.5</v>
      </c>
      <c r="R16" s="198"/>
      <c r="S16" s="198"/>
      <c r="T16" s="198"/>
      <c r="U16" s="198"/>
    </row>
    <row r="17" spans="1:21" s="12" customFormat="1" x14ac:dyDescent="0.25">
      <c r="A17" s="214" t="s">
        <v>3041</v>
      </c>
      <c r="B17" s="64">
        <v>8.31</v>
      </c>
      <c r="C17" s="64">
        <v>3.21</v>
      </c>
      <c r="D17" s="64">
        <v>12.12</v>
      </c>
      <c r="E17" s="64">
        <v>4.7300000000000004</v>
      </c>
      <c r="F17" s="64">
        <v>3.53</v>
      </c>
      <c r="G17" s="64">
        <v>25.69</v>
      </c>
      <c r="H17" s="64">
        <v>11.65</v>
      </c>
      <c r="I17" s="64">
        <v>5.33</v>
      </c>
      <c r="J17" s="64">
        <v>0.04</v>
      </c>
      <c r="K17" s="64">
        <v>239.55</v>
      </c>
      <c r="L17" s="64">
        <v>23.25</v>
      </c>
      <c r="M17" s="64">
        <v>98.38</v>
      </c>
      <c r="N17" s="64">
        <v>17.7</v>
      </c>
      <c r="O17" s="64">
        <v>0</v>
      </c>
      <c r="P17" s="64">
        <v>0.47</v>
      </c>
      <c r="Q17" s="64">
        <v>9.4600000000000009</v>
      </c>
      <c r="R17" s="198"/>
      <c r="S17" s="198"/>
      <c r="T17" s="198"/>
      <c r="U17" s="198"/>
    </row>
    <row r="18" spans="1:21" s="12" customFormat="1" x14ac:dyDescent="0.25">
      <c r="A18" s="214" t="s">
        <v>3042</v>
      </c>
      <c r="B18" s="64">
        <v>8.2799999999999994</v>
      </c>
      <c r="C18" s="64">
        <v>3.21</v>
      </c>
      <c r="D18" s="64">
        <v>12.09</v>
      </c>
      <c r="E18" s="64">
        <v>4.76</v>
      </c>
      <c r="F18" s="64">
        <v>3.37</v>
      </c>
      <c r="G18" s="64">
        <v>25.69</v>
      </c>
      <c r="H18" s="64">
        <v>11.65</v>
      </c>
      <c r="I18" s="64">
        <v>5.23</v>
      </c>
      <c r="J18" s="64">
        <v>0.33</v>
      </c>
      <c r="K18" s="64">
        <v>333.32</v>
      </c>
      <c r="L18" s="64">
        <v>23.19</v>
      </c>
      <c r="M18" s="64">
        <v>98.38</v>
      </c>
      <c r="N18" s="64">
        <v>17.899999999999999</v>
      </c>
      <c r="O18" s="64">
        <v>0</v>
      </c>
      <c r="P18" s="64">
        <v>0.47</v>
      </c>
      <c r="Q18" s="64">
        <v>9.4700000000000006</v>
      </c>
      <c r="R18" s="198"/>
      <c r="S18" s="198"/>
      <c r="T18" s="198"/>
      <c r="U18" s="198"/>
    </row>
    <row r="19" spans="1:21" s="12" customFormat="1" x14ac:dyDescent="0.25">
      <c r="A19" s="214" t="s">
        <v>3043</v>
      </c>
      <c r="B19" s="64">
        <v>8.3000000000000007</v>
      </c>
      <c r="C19" s="64">
        <v>3.17</v>
      </c>
      <c r="D19" s="64">
        <v>12.08</v>
      </c>
      <c r="E19" s="64">
        <v>4.87</v>
      </c>
      <c r="F19" s="64">
        <v>2.8</v>
      </c>
      <c r="G19" s="64">
        <v>22.96</v>
      </c>
      <c r="H19" s="64">
        <v>9.7899999999999991</v>
      </c>
      <c r="I19" s="64">
        <v>5.14</v>
      </c>
      <c r="J19" s="64">
        <v>0.43</v>
      </c>
      <c r="K19" s="64">
        <v>19.25</v>
      </c>
      <c r="L19" s="64">
        <v>23.2</v>
      </c>
      <c r="M19" s="64">
        <v>98.38</v>
      </c>
      <c r="N19" s="64">
        <v>17.8</v>
      </c>
      <c r="O19" s="64">
        <v>0</v>
      </c>
      <c r="P19" s="64">
        <v>0.44</v>
      </c>
      <c r="Q19" s="64">
        <v>9.4700000000000006</v>
      </c>
      <c r="R19" s="198"/>
      <c r="S19" s="198"/>
      <c r="T19" s="198"/>
      <c r="U19" s="198"/>
    </row>
    <row r="20" spans="1:21" s="12" customFormat="1" x14ac:dyDescent="0.25">
      <c r="A20" s="214" t="s">
        <v>3044</v>
      </c>
      <c r="B20" s="64">
        <v>8.33</v>
      </c>
      <c r="C20" s="64">
        <v>3.21</v>
      </c>
      <c r="D20" s="64">
        <v>12.13</v>
      </c>
      <c r="E20" s="64">
        <v>4.92</v>
      </c>
      <c r="F20" s="64">
        <v>3.14</v>
      </c>
      <c r="G20" s="64">
        <v>21.23</v>
      </c>
      <c r="H20" s="64">
        <v>8.61</v>
      </c>
      <c r="I20" s="64">
        <v>4.9400000000000004</v>
      </c>
      <c r="J20" s="64">
        <v>0.36</v>
      </c>
      <c r="K20" s="64">
        <v>3.38</v>
      </c>
      <c r="L20" s="64">
        <v>23.05</v>
      </c>
      <c r="M20" s="64">
        <v>98.38</v>
      </c>
      <c r="N20" s="64">
        <v>17.899999999999999</v>
      </c>
      <c r="O20" s="64">
        <v>1</v>
      </c>
      <c r="P20" s="64">
        <v>0.43</v>
      </c>
      <c r="Q20" s="64">
        <v>9.44</v>
      </c>
      <c r="R20" s="198"/>
      <c r="S20" s="198"/>
      <c r="T20" s="198"/>
      <c r="U20" s="198"/>
    </row>
    <row r="21" spans="1:21" s="12" customFormat="1" x14ac:dyDescent="0.25">
      <c r="A21" s="214" t="s">
        <v>3045</v>
      </c>
      <c r="B21" s="64">
        <v>8.33</v>
      </c>
      <c r="C21" s="64">
        <v>3.24</v>
      </c>
      <c r="D21" s="64">
        <v>12.14</v>
      </c>
      <c r="E21" s="64">
        <v>4.68</v>
      </c>
      <c r="F21" s="64">
        <v>3.13</v>
      </c>
      <c r="G21" s="64">
        <v>21.23</v>
      </c>
      <c r="H21" s="64">
        <v>8.61</v>
      </c>
      <c r="I21" s="64">
        <v>4.7300000000000004</v>
      </c>
      <c r="J21" s="64">
        <v>0.33</v>
      </c>
      <c r="K21" s="64">
        <v>345.37</v>
      </c>
      <c r="L21" s="64">
        <v>22.87</v>
      </c>
      <c r="M21" s="64">
        <v>98.38</v>
      </c>
      <c r="N21" s="64">
        <v>17.7</v>
      </c>
      <c r="O21" s="64">
        <v>0</v>
      </c>
      <c r="P21" s="64">
        <v>0.42</v>
      </c>
      <c r="Q21" s="64">
        <v>9.44</v>
      </c>
      <c r="R21" s="198"/>
      <c r="S21" s="198"/>
      <c r="T21" s="198"/>
      <c r="U21" s="198"/>
    </row>
    <row r="22" spans="1:21" s="12" customFormat="1" x14ac:dyDescent="0.25">
      <c r="A22" s="214" t="s">
        <v>3046</v>
      </c>
      <c r="B22" s="64">
        <v>8.3800000000000008</v>
      </c>
      <c r="C22" s="64">
        <v>3.27</v>
      </c>
      <c r="D22" s="64">
        <v>12.2</v>
      </c>
      <c r="E22" s="64">
        <v>4.6900000000000004</v>
      </c>
      <c r="F22" s="64">
        <v>3.37</v>
      </c>
      <c r="G22" s="64">
        <v>21.23</v>
      </c>
      <c r="H22" s="64">
        <v>8.61</v>
      </c>
      <c r="I22" s="64">
        <v>4.62</v>
      </c>
      <c r="J22" s="64">
        <v>0.2</v>
      </c>
      <c r="K22" s="64">
        <v>343.26</v>
      </c>
      <c r="L22" s="64">
        <v>22.85</v>
      </c>
      <c r="M22" s="64">
        <v>98.38</v>
      </c>
      <c r="N22" s="64">
        <v>17.8</v>
      </c>
      <c r="O22" s="64">
        <v>0</v>
      </c>
      <c r="P22" s="64">
        <v>0.4</v>
      </c>
      <c r="Q22" s="64">
        <v>9.44</v>
      </c>
      <c r="R22" s="198"/>
      <c r="S22" s="198"/>
      <c r="T22" s="198"/>
      <c r="U22" s="198"/>
    </row>
    <row r="23" spans="1:21" s="12" customFormat="1" x14ac:dyDescent="0.25">
      <c r="A23" s="214" t="s">
        <v>3047</v>
      </c>
      <c r="B23" s="64">
        <v>8.42</v>
      </c>
      <c r="C23" s="64">
        <v>3.33</v>
      </c>
      <c r="D23" s="64">
        <v>12.27</v>
      </c>
      <c r="E23" s="64">
        <v>4.2300000000000004</v>
      </c>
      <c r="F23" s="64">
        <v>3.3</v>
      </c>
      <c r="G23" s="64">
        <v>20.21</v>
      </c>
      <c r="H23" s="64">
        <v>8.84</v>
      </c>
      <c r="I23" s="64">
        <v>4.5599999999999996</v>
      </c>
      <c r="J23" s="64">
        <v>0.24</v>
      </c>
      <c r="K23" s="64">
        <v>350.48</v>
      </c>
      <c r="L23" s="64">
        <v>22.87</v>
      </c>
      <c r="M23" s="64">
        <v>98.36</v>
      </c>
      <c r="N23" s="64">
        <v>18</v>
      </c>
      <c r="O23" s="64">
        <v>0</v>
      </c>
      <c r="P23" s="64">
        <v>0.39</v>
      </c>
      <c r="Q23" s="64">
        <v>9.44</v>
      </c>
      <c r="R23" s="198"/>
      <c r="S23" s="198"/>
      <c r="T23" s="198"/>
      <c r="U23" s="198"/>
    </row>
    <row r="24" spans="1:21" s="12" customFormat="1" x14ac:dyDescent="0.25">
      <c r="A24" s="214" t="s">
        <v>3048</v>
      </c>
      <c r="B24" s="64">
        <v>8.3800000000000008</v>
      </c>
      <c r="C24" s="64">
        <v>3.27</v>
      </c>
      <c r="D24" s="64">
        <v>12.21</v>
      </c>
      <c r="E24" s="64">
        <v>2.93</v>
      </c>
      <c r="F24" s="64">
        <v>3.5</v>
      </c>
      <c r="G24" s="64">
        <v>19.57</v>
      </c>
      <c r="H24" s="64">
        <v>8.99</v>
      </c>
      <c r="I24" s="64">
        <v>4.4800000000000004</v>
      </c>
      <c r="J24" s="64">
        <v>0.43</v>
      </c>
      <c r="K24" s="64">
        <v>6.15</v>
      </c>
      <c r="L24" s="64">
        <v>22.88</v>
      </c>
      <c r="M24" s="64">
        <v>98.35</v>
      </c>
      <c r="N24" s="64">
        <v>18.3</v>
      </c>
      <c r="O24" s="64">
        <v>0</v>
      </c>
      <c r="P24" s="64">
        <v>0.38</v>
      </c>
      <c r="Q24" s="64">
        <v>9.4499999999999993</v>
      </c>
      <c r="R24" s="198"/>
      <c r="S24" s="198"/>
      <c r="T24" s="198"/>
      <c r="U24" s="198"/>
    </row>
    <row r="25" spans="1:21" s="12" customFormat="1" x14ac:dyDescent="0.25">
      <c r="A25" s="214" t="s">
        <v>3049</v>
      </c>
      <c r="B25" s="64">
        <v>8.3699999999999992</v>
      </c>
      <c r="C25" s="64">
        <v>3.19</v>
      </c>
      <c r="D25" s="64">
        <v>12.16</v>
      </c>
      <c r="E25" s="64">
        <v>4.33</v>
      </c>
      <c r="F25" s="64">
        <v>3.58</v>
      </c>
      <c r="G25" s="64">
        <v>19.57</v>
      </c>
      <c r="H25" s="64">
        <v>8.99</v>
      </c>
      <c r="I25" s="64">
        <v>4.3899999999999997</v>
      </c>
      <c r="J25" s="64">
        <v>0.52</v>
      </c>
      <c r="K25" s="64">
        <v>358.36</v>
      </c>
      <c r="L25" s="64">
        <v>22.84</v>
      </c>
      <c r="M25" s="64">
        <v>98.35</v>
      </c>
      <c r="N25" s="64">
        <v>18.399999999999999</v>
      </c>
      <c r="O25" s="64">
        <v>0</v>
      </c>
      <c r="P25" s="64">
        <v>0.36</v>
      </c>
      <c r="Q25" s="64">
        <v>9.42</v>
      </c>
      <c r="R25" s="198"/>
      <c r="S25" s="198"/>
      <c r="T25" s="198"/>
      <c r="U25" s="198"/>
    </row>
    <row r="26" spans="1:21" s="12" customFormat="1" x14ac:dyDescent="0.25">
      <c r="A26" s="214" t="s">
        <v>3050</v>
      </c>
      <c r="B26" s="64">
        <v>8.33</v>
      </c>
      <c r="C26" s="64">
        <v>3.18</v>
      </c>
      <c r="D26" s="64">
        <v>12.12</v>
      </c>
      <c r="E26" s="64">
        <v>4.62</v>
      </c>
      <c r="F26" s="64">
        <v>3.33</v>
      </c>
      <c r="G26" s="64">
        <v>19.57</v>
      </c>
      <c r="H26" s="64">
        <v>8.99</v>
      </c>
      <c r="I26" s="64">
        <v>4.24</v>
      </c>
      <c r="J26" s="64">
        <v>0.36</v>
      </c>
      <c r="K26" s="64">
        <v>359.45</v>
      </c>
      <c r="L26" s="64">
        <v>22.79</v>
      </c>
      <c r="M26" s="64">
        <v>98.35</v>
      </c>
      <c r="N26" s="64">
        <v>18.399999999999999</v>
      </c>
      <c r="O26" s="64">
        <v>0</v>
      </c>
      <c r="P26" s="64">
        <v>0.35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4" t="s">
        <v>3051</v>
      </c>
      <c r="B27" s="64">
        <v>8.33</v>
      </c>
      <c r="C27" s="64">
        <v>3.22</v>
      </c>
      <c r="D27" s="64">
        <v>12.14</v>
      </c>
      <c r="E27" s="64">
        <v>4.6500000000000004</v>
      </c>
      <c r="F27" s="64">
        <v>4.57</v>
      </c>
      <c r="G27" s="64">
        <v>17.59</v>
      </c>
      <c r="H27" s="64">
        <v>7.44</v>
      </c>
      <c r="I27" s="64">
        <v>4.04</v>
      </c>
      <c r="J27" s="64">
        <v>0.59</v>
      </c>
      <c r="K27" s="64">
        <v>9.5399999999999991</v>
      </c>
      <c r="L27" s="64">
        <v>22.78</v>
      </c>
      <c r="M27" s="64">
        <v>98.35</v>
      </c>
      <c r="N27" s="64">
        <v>18.399999999999999</v>
      </c>
      <c r="O27" s="64">
        <v>0</v>
      </c>
      <c r="P27" s="64">
        <v>0.33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14" t="s">
        <v>3052</v>
      </c>
      <c r="B28" s="64">
        <v>8.2899999999999991</v>
      </c>
      <c r="C28" s="64">
        <v>3.2</v>
      </c>
      <c r="D28" s="64">
        <v>12.09</v>
      </c>
      <c r="E28" s="64">
        <v>4.41</v>
      </c>
      <c r="F28" s="64">
        <v>3.06</v>
      </c>
      <c r="G28" s="64">
        <v>16.329999999999998</v>
      </c>
      <c r="H28" s="64">
        <v>6.46</v>
      </c>
      <c r="I28" s="64">
        <v>3.81</v>
      </c>
      <c r="J28" s="64">
        <v>0.61</v>
      </c>
      <c r="K28" s="64">
        <v>5.74</v>
      </c>
      <c r="L28" s="64">
        <v>22.77</v>
      </c>
      <c r="M28" s="64">
        <v>98.35</v>
      </c>
      <c r="N28" s="64">
        <v>18.2</v>
      </c>
      <c r="O28" s="64">
        <v>0</v>
      </c>
      <c r="P28" s="64">
        <v>0.32</v>
      </c>
      <c r="Q28" s="64">
        <v>9.2899999999999991</v>
      </c>
      <c r="R28" s="198"/>
      <c r="S28" s="198"/>
      <c r="T28" s="198"/>
      <c r="U28" s="198"/>
    </row>
    <row r="29" spans="1:21" s="12" customFormat="1" x14ac:dyDescent="0.25">
      <c r="A29" s="214" t="s">
        <v>3053</v>
      </c>
      <c r="B29" s="64">
        <v>8.2799999999999994</v>
      </c>
      <c r="C29" s="64">
        <v>3.11</v>
      </c>
      <c r="D29" s="64">
        <v>12.04</v>
      </c>
      <c r="E29" s="64">
        <v>4.51</v>
      </c>
      <c r="F29" s="64">
        <v>3.61</v>
      </c>
      <c r="G29" s="64">
        <v>16.329999999999998</v>
      </c>
      <c r="H29" s="64">
        <v>6.46</v>
      </c>
      <c r="I29" s="64">
        <v>3.55</v>
      </c>
      <c r="J29" s="64">
        <v>0.62</v>
      </c>
      <c r="K29" s="64">
        <v>19.07</v>
      </c>
      <c r="L29" s="64">
        <v>22.81</v>
      </c>
      <c r="M29" s="64">
        <v>98.33</v>
      </c>
      <c r="N29" s="64">
        <v>18.7</v>
      </c>
      <c r="O29" s="64">
        <v>0</v>
      </c>
      <c r="P29" s="64">
        <v>0.28999999999999998</v>
      </c>
      <c r="Q29" s="64">
        <v>9.26</v>
      </c>
      <c r="R29" s="198"/>
      <c r="S29" s="198"/>
      <c r="T29" s="198"/>
      <c r="U29" s="198"/>
    </row>
    <row r="30" spans="1:21" s="12" customFormat="1" x14ac:dyDescent="0.25">
      <c r="A30" s="214" t="s">
        <v>3054</v>
      </c>
      <c r="B30" s="64">
        <v>8.2899999999999991</v>
      </c>
      <c r="C30" s="64">
        <v>3.14</v>
      </c>
      <c r="D30" s="64">
        <v>12.06</v>
      </c>
      <c r="E30" s="64">
        <v>4.28</v>
      </c>
      <c r="F30" s="64">
        <v>4.1500000000000004</v>
      </c>
      <c r="G30" s="64">
        <v>16.329999999999998</v>
      </c>
      <c r="H30" s="64">
        <v>6.46</v>
      </c>
      <c r="I30" s="64">
        <v>3.31</v>
      </c>
      <c r="J30" s="64">
        <v>0.56999999999999995</v>
      </c>
      <c r="K30" s="64">
        <v>18.809999999999999</v>
      </c>
      <c r="L30" s="64">
        <v>22.76</v>
      </c>
      <c r="M30" s="64">
        <v>98.33</v>
      </c>
      <c r="N30" s="64">
        <v>20.9</v>
      </c>
      <c r="O30" s="64">
        <v>0</v>
      </c>
      <c r="P30" s="64">
        <v>0.28999999999999998</v>
      </c>
      <c r="Q30" s="64">
        <v>9.27</v>
      </c>
      <c r="R30" s="198"/>
      <c r="S30" s="198"/>
      <c r="T30" s="198"/>
      <c r="U30" s="198"/>
    </row>
    <row r="31" spans="1:21" s="12" customFormat="1" x14ac:dyDescent="0.25">
      <c r="A31" s="214" t="s">
        <v>3055</v>
      </c>
      <c r="B31" s="64">
        <v>8.35</v>
      </c>
      <c r="C31" s="64">
        <v>3.28</v>
      </c>
      <c r="D31" s="64">
        <v>12.18</v>
      </c>
      <c r="E31" s="64">
        <v>4.26</v>
      </c>
      <c r="F31" s="64">
        <v>2.57</v>
      </c>
      <c r="G31" s="64">
        <v>14.31</v>
      </c>
      <c r="H31" s="64">
        <v>6.02</v>
      </c>
      <c r="I31" s="64">
        <v>3.06</v>
      </c>
      <c r="J31" s="64">
        <v>0.57999999999999996</v>
      </c>
      <c r="K31" s="64">
        <v>18.22</v>
      </c>
      <c r="L31" s="64">
        <v>22.78</v>
      </c>
      <c r="M31" s="64">
        <v>98.33</v>
      </c>
      <c r="N31" s="64">
        <v>27.3</v>
      </c>
      <c r="O31" s="64">
        <v>0</v>
      </c>
      <c r="P31" s="64">
        <v>0.27</v>
      </c>
      <c r="Q31" s="64">
        <v>9.2799999999999994</v>
      </c>
      <c r="R31" s="198"/>
      <c r="S31" s="198"/>
      <c r="T31" s="198"/>
      <c r="U31" s="198"/>
    </row>
    <row r="32" spans="1:21" s="12" customFormat="1" x14ac:dyDescent="0.25">
      <c r="A32" s="214" t="s">
        <v>3056</v>
      </c>
      <c r="B32" s="64">
        <v>8.49</v>
      </c>
      <c r="C32" s="64">
        <v>3.6</v>
      </c>
      <c r="D32" s="64">
        <v>12.46</v>
      </c>
      <c r="E32" s="64">
        <v>4.21</v>
      </c>
      <c r="F32" s="64">
        <v>4.4800000000000004</v>
      </c>
      <c r="G32" s="64">
        <v>13.02</v>
      </c>
      <c r="H32" s="64">
        <v>5.75</v>
      </c>
      <c r="I32" s="64">
        <v>2.78</v>
      </c>
      <c r="J32" s="64">
        <v>0.56999999999999995</v>
      </c>
      <c r="K32" s="64">
        <v>17.21</v>
      </c>
      <c r="L32" s="64">
        <v>22.75</v>
      </c>
      <c r="M32" s="64">
        <v>98.33</v>
      </c>
      <c r="N32" s="64">
        <v>38.5</v>
      </c>
      <c r="O32" s="64">
        <v>0</v>
      </c>
      <c r="P32" s="64">
        <v>0.27</v>
      </c>
      <c r="Q32" s="64">
        <v>9.2799999999999994</v>
      </c>
      <c r="R32" s="198"/>
      <c r="S32" s="198"/>
      <c r="T32" s="198"/>
      <c r="U32" s="198"/>
    </row>
    <row r="33" spans="1:21" s="12" customFormat="1" x14ac:dyDescent="0.25">
      <c r="A33" s="214" t="s">
        <v>3057</v>
      </c>
      <c r="B33" s="64">
        <v>8.36</v>
      </c>
      <c r="C33" s="64">
        <v>3.37</v>
      </c>
      <c r="D33" s="64">
        <v>12.24</v>
      </c>
      <c r="E33" s="64">
        <v>4.2699999999999996</v>
      </c>
      <c r="F33" s="64">
        <v>3.28</v>
      </c>
      <c r="G33" s="64">
        <v>13.02</v>
      </c>
      <c r="H33" s="64">
        <v>5.75</v>
      </c>
      <c r="I33" s="64">
        <v>2.5099999999999998</v>
      </c>
      <c r="J33" s="64">
        <v>0.49</v>
      </c>
      <c r="K33" s="64">
        <v>3.36</v>
      </c>
      <c r="L33" s="64">
        <v>22.85</v>
      </c>
      <c r="M33" s="64">
        <v>98.33</v>
      </c>
      <c r="N33" s="64">
        <v>45.9</v>
      </c>
      <c r="O33" s="64">
        <v>0</v>
      </c>
      <c r="P33" s="64">
        <v>0.27</v>
      </c>
      <c r="Q33" s="64">
        <v>9.3000000000000007</v>
      </c>
      <c r="R33" s="198"/>
      <c r="S33" s="198"/>
      <c r="T33" s="198"/>
      <c r="U33" s="198"/>
    </row>
    <row r="34" spans="1:21" s="12" customFormat="1" x14ac:dyDescent="0.25">
      <c r="A34" s="214" t="s">
        <v>3058</v>
      </c>
      <c r="B34" s="64">
        <v>8.31</v>
      </c>
      <c r="C34" s="64">
        <v>3.21</v>
      </c>
      <c r="D34" s="64">
        <v>12.11</v>
      </c>
      <c r="E34" s="64">
        <v>4.07</v>
      </c>
      <c r="F34" s="64">
        <v>3.42</v>
      </c>
      <c r="G34" s="64">
        <v>13.02</v>
      </c>
      <c r="H34" s="64">
        <v>5.75</v>
      </c>
      <c r="I34" s="64">
        <v>2.38</v>
      </c>
      <c r="J34" s="64">
        <v>0.51</v>
      </c>
      <c r="K34" s="64">
        <v>3.81</v>
      </c>
      <c r="L34" s="64">
        <v>22.89</v>
      </c>
      <c r="M34" s="64">
        <v>98.33</v>
      </c>
      <c r="N34" s="64">
        <v>53.1</v>
      </c>
      <c r="O34" s="64">
        <v>0</v>
      </c>
      <c r="P34" s="64">
        <v>0.26</v>
      </c>
      <c r="Q34" s="64">
        <v>9.31</v>
      </c>
      <c r="R34" s="198"/>
      <c r="S34" s="198"/>
      <c r="T34" s="198"/>
      <c r="U34" s="198"/>
    </row>
    <row r="35" spans="1:21" s="12" customFormat="1" x14ac:dyDescent="0.25">
      <c r="A35" s="214" t="s">
        <v>3059</v>
      </c>
      <c r="B35" s="64">
        <v>8.34</v>
      </c>
      <c r="C35" s="64">
        <v>3.23</v>
      </c>
      <c r="D35" s="64">
        <v>12.15</v>
      </c>
      <c r="E35" s="64">
        <v>4.2300000000000004</v>
      </c>
      <c r="F35" s="64">
        <v>4.2300000000000004</v>
      </c>
      <c r="G35" s="64">
        <v>13.83</v>
      </c>
      <c r="H35" s="64">
        <v>5.31</v>
      </c>
      <c r="I35" s="64">
        <v>2.2599999999999998</v>
      </c>
      <c r="J35" s="64">
        <v>0.56999999999999995</v>
      </c>
      <c r="K35" s="64">
        <v>0.66</v>
      </c>
      <c r="L35" s="64">
        <v>22.91</v>
      </c>
      <c r="M35" s="64">
        <v>98.33</v>
      </c>
      <c r="N35" s="64">
        <v>45.3</v>
      </c>
      <c r="O35" s="64">
        <v>0</v>
      </c>
      <c r="P35" s="64">
        <v>0.27</v>
      </c>
      <c r="Q35" s="64">
        <v>9.35</v>
      </c>
      <c r="R35" s="198"/>
      <c r="S35" s="198"/>
      <c r="T35" s="198"/>
      <c r="U35" s="198"/>
    </row>
    <row r="36" spans="1:21" s="12" customFormat="1" x14ac:dyDescent="0.25">
      <c r="A36" s="214" t="s">
        <v>3060</v>
      </c>
      <c r="B36" s="64">
        <v>8.4</v>
      </c>
      <c r="C36" s="64">
        <v>3.34</v>
      </c>
      <c r="D36" s="64">
        <v>12.25</v>
      </c>
      <c r="E36" s="64">
        <v>4.3499999999999996</v>
      </c>
      <c r="F36" s="64">
        <v>2.5</v>
      </c>
      <c r="G36" s="64">
        <v>14.34</v>
      </c>
      <c r="H36" s="64">
        <v>5.03</v>
      </c>
      <c r="I36" s="64">
        <v>2.16</v>
      </c>
      <c r="J36" s="64">
        <v>0.53</v>
      </c>
      <c r="K36" s="64">
        <v>2.54</v>
      </c>
      <c r="L36" s="64">
        <v>22.91</v>
      </c>
      <c r="M36" s="64">
        <v>98.33</v>
      </c>
      <c r="N36" s="64">
        <v>45.9</v>
      </c>
      <c r="O36" s="64">
        <v>0</v>
      </c>
      <c r="P36" s="64">
        <v>0.27</v>
      </c>
      <c r="Q36" s="64">
        <v>9.34</v>
      </c>
      <c r="R36" s="198"/>
      <c r="S36" s="198"/>
      <c r="T36" s="198"/>
      <c r="U36" s="198"/>
    </row>
    <row r="37" spans="1:21" s="12" customFormat="1" x14ac:dyDescent="0.25">
      <c r="A37" s="214" t="s">
        <v>3061</v>
      </c>
      <c r="B37" s="64">
        <v>8.52</v>
      </c>
      <c r="C37" s="64">
        <v>3.63</v>
      </c>
      <c r="D37" s="64">
        <v>12.5</v>
      </c>
      <c r="E37" s="64">
        <v>4.26</v>
      </c>
      <c r="F37" s="64">
        <v>3.11</v>
      </c>
      <c r="G37" s="64">
        <v>14.34</v>
      </c>
      <c r="H37" s="64">
        <v>5.03</v>
      </c>
      <c r="I37" s="64">
        <v>2.13</v>
      </c>
      <c r="J37" s="64">
        <v>0.41</v>
      </c>
      <c r="K37" s="64">
        <v>20.99</v>
      </c>
      <c r="L37" s="64">
        <v>23.02</v>
      </c>
      <c r="M37" s="64">
        <v>98.33</v>
      </c>
      <c r="N37" s="64">
        <v>55.1</v>
      </c>
      <c r="O37" s="64">
        <v>0</v>
      </c>
      <c r="P37" s="64">
        <v>0.34</v>
      </c>
      <c r="Q37" s="64">
        <v>9.32</v>
      </c>
      <c r="R37" s="198"/>
      <c r="S37" s="198"/>
      <c r="T37" s="198"/>
      <c r="U37" s="198"/>
    </row>
    <row r="38" spans="1:21" s="12" customFormat="1" x14ac:dyDescent="0.25">
      <c r="A38" s="214" t="s">
        <v>3062</v>
      </c>
      <c r="B38" s="64">
        <v>8.3800000000000008</v>
      </c>
      <c r="C38" s="64">
        <v>3.3</v>
      </c>
      <c r="D38" s="64">
        <v>12.22</v>
      </c>
      <c r="E38" s="64">
        <v>4.16</v>
      </c>
      <c r="F38" s="64">
        <v>3.28</v>
      </c>
      <c r="G38" s="64">
        <v>14.34</v>
      </c>
      <c r="H38" s="64">
        <v>5.03</v>
      </c>
      <c r="I38" s="64">
        <v>2.0099999999999998</v>
      </c>
      <c r="J38" s="64">
        <v>0.59</v>
      </c>
      <c r="K38" s="64">
        <v>9.3800000000000008</v>
      </c>
      <c r="L38" s="64">
        <v>23.04</v>
      </c>
      <c r="M38" s="64">
        <v>98.32</v>
      </c>
      <c r="N38" s="64">
        <v>58.4</v>
      </c>
      <c r="O38" s="64">
        <v>0</v>
      </c>
      <c r="P38" s="64">
        <v>0.36</v>
      </c>
      <c r="Q38" s="64">
        <v>9.3000000000000007</v>
      </c>
      <c r="R38" s="198"/>
      <c r="S38" s="198"/>
      <c r="T38" s="198"/>
      <c r="U38" s="198"/>
    </row>
    <row r="39" spans="1:21" s="12" customFormat="1" x14ac:dyDescent="0.25">
      <c r="A39" s="214" t="s">
        <v>3063</v>
      </c>
      <c r="B39" s="64">
        <v>8.33</v>
      </c>
      <c r="C39" s="64">
        <v>3.17</v>
      </c>
      <c r="D39" s="64">
        <v>12.11</v>
      </c>
      <c r="E39" s="64">
        <v>4.0999999999999996</v>
      </c>
      <c r="F39" s="64">
        <v>3.39</v>
      </c>
      <c r="G39" s="64">
        <v>18.239999999999998</v>
      </c>
      <c r="H39" s="64">
        <v>4.88</v>
      </c>
      <c r="I39" s="64">
        <v>1.91</v>
      </c>
      <c r="J39" s="64">
        <v>0.51</v>
      </c>
      <c r="K39" s="64">
        <v>358.03</v>
      </c>
      <c r="L39" s="64">
        <v>23.1</v>
      </c>
      <c r="M39" s="64">
        <v>98.32</v>
      </c>
      <c r="N39" s="64">
        <v>80.8</v>
      </c>
      <c r="O39" s="64">
        <v>0</v>
      </c>
      <c r="P39" s="64">
        <v>0.36</v>
      </c>
      <c r="Q39" s="64">
        <v>9.33</v>
      </c>
      <c r="R39" s="198"/>
      <c r="S39" s="198"/>
      <c r="T39" s="198"/>
      <c r="U39" s="198"/>
    </row>
    <row r="40" spans="1:21" s="12" customFormat="1" x14ac:dyDescent="0.25">
      <c r="A40" s="214" t="s">
        <v>3064</v>
      </c>
      <c r="B40" s="64">
        <v>8.35</v>
      </c>
      <c r="C40" s="64">
        <v>3.24</v>
      </c>
      <c r="D40" s="64">
        <v>12.17</v>
      </c>
      <c r="E40" s="64">
        <v>3.35</v>
      </c>
      <c r="F40" s="64">
        <v>3.21</v>
      </c>
      <c r="G40" s="64">
        <v>20.73</v>
      </c>
      <c r="H40" s="64">
        <v>4.78</v>
      </c>
      <c r="I40" s="64">
        <v>1.86</v>
      </c>
      <c r="J40" s="64">
        <v>0.49</v>
      </c>
      <c r="K40" s="64">
        <v>358.21</v>
      </c>
      <c r="L40" s="64">
        <v>23.3</v>
      </c>
      <c r="M40" s="64">
        <v>98.27</v>
      </c>
      <c r="N40" s="64">
        <v>85.3</v>
      </c>
      <c r="O40" s="64">
        <v>0</v>
      </c>
      <c r="P40" s="64">
        <v>0.37</v>
      </c>
      <c r="Q40" s="64">
        <v>9.36</v>
      </c>
      <c r="R40" s="198"/>
      <c r="S40" s="198"/>
      <c r="T40" s="198"/>
      <c r="U40" s="198"/>
    </row>
    <row r="41" spans="1:21" s="12" customFormat="1" x14ac:dyDescent="0.25">
      <c r="A41" s="214" t="s">
        <v>3065</v>
      </c>
      <c r="B41" s="64">
        <v>8.33</v>
      </c>
      <c r="C41" s="64">
        <v>3.19</v>
      </c>
      <c r="D41" s="64">
        <v>12.12</v>
      </c>
      <c r="E41" s="64">
        <v>4.28</v>
      </c>
      <c r="F41" s="64">
        <v>3.35</v>
      </c>
      <c r="G41" s="64">
        <v>20.73</v>
      </c>
      <c r="H41" s="64">
        <v>4.78</v>
      </c>
      <c r="I41" s="64">
        <v>1.82</v>
      </c>
      <c r="J41" s="64">
        <v>0.45</v>
      </c>
      <c r="K41" s="64">
        <v>352.1</v>
      </c>
      <c r="L41" s="64">
        <v>23.3</v>
      </c>
      <c r="M41" s="64">
        <v>98.31</v>
      </c>
      <c r="N41" s="64">
        <v>67.5</v>
      </c>
      <c r="O41" s="64">
        <v>0</v>
      </c>
      <c r="P41" s="64">
        <v>0.38</v>
      </c>
      <c r="Q41" s="64">
        <v>9.35</v>
      </c>
      <c r="R41" s="198"/>
      <c r="S41" s="198"/>
      <c r="T41" s="198"/>
      <c r="U41" s="198"/>
    </row>
    <row r="42" spans="1:21" s="12" customFormat="1" x14ac:dyDescent="0.25">
      <c r="A42" s="214" t="s">
        <v>3066</v>
      </c>
      <c r="B42" s="64">
        <v>8.33</v>
      </c>
      <c r="C42" s="64">
        <v>3.17</v>
      </c>
      <c r="D42" s="64">
        <v>12.11</v>
      </c>
      <c r="E42" s="64">
        <v>4.09</v>
      </c>
      <c r="F42" s="64">
        <v>3.08</v>
      </c>
      <c r="G42" s="64">
        <v>20.73</v>
      </c>
      <c r="H42" s="64">
        <v>4.78</v>
      </c>
      <c r="I42" s="64">
        <v>1.85</v>
      </c>
      <c r="J42" s="64">
        <v>0.41</v>
      </c>
      <c r="K42" s="64">
        <v>345.06</v>
      </c>
      <c r="L42" s="64">
        <v>23.31</v>
      </c>
      <c r="M42" s="64">
        <v>98.32</v>
      </c>
      <c r="N42" s="64">
        <v>78.5</v>
      </c>
      <c r="O42" s="64">
        <v>0</v>
      </c>
      <c r="P42" s="64">
        <v>0.38</v>
      </c>
      <c r="Q42" s="64">
        <v>9.34</v>
      </c>
      <c r="R42" s="198"/>
      <c r="S42" s="198"/>
      <c r="T42" s="198"/>
      <c r="U42" s="198"/>
    </row>
    <row r="43" spans="1:21" s="12" customFormat="1" x14ac:dyDescent="0.25">
      <c r="A43" s="214" t="s">
        <v>3067</v>
      </c>
      <c r="B43" s="64">
        <v>8.33</v>
      </c>
      <c r="C43" s="64">
        <v>3.2</v>
      </c>
      <c r="D43" s="64">
        <v>12.13</v>
      </c>
      <c r="E43" s="64">
        <v>3.75</v>
      </c>
      <c r="F43" s="64">
        <v>3.31</v>
      </c>
      <c r="G43" s="64">
        <v>24.13</v>
      </c>
      <c r="H43" s="64">
        <v>5.96</v>
      </c>
      <c r="I43" s="64">
        <v>1.89</v>
      </c>
      <c r="J43" s="64">
        <v>0.27</v>
      </c>
      <c r="K43" s="64">
        <v>347</v>
      </c>
      <c r="L43" s="64">
        <v>23.7</v>
      </c>
      <c r="M43" s="64">
        <v>98.01</v>
      </c>
      <c r="N43" s="64">
        <v>95.2</v>
      </c>
      <c r="O43" s="64">
        <v>0</v>
      </c>
      <c r="P43" s="64">
        <v>0.39</v>
      </c>
      <c r="Q43" s="64">
        <v>9.33</v>
      </c>
      <c r="R43" s="198"/>
      <c r="S43" s="198"/>
      <c r="T43" s="198"/>
      <c r="U43" s="198"/>
    </row>
    <row r="44" spans="1:21" s="12" customFormat="1" x14ac:dyDescent="0.25">
      <c r="A44" s="214" t="s">
        <v>3068</v>
      </c>
      <c r="B44" s="64">
        <v>8.36</v>
      </c>
      <c r="C44" s="64">
        <v>3.23</v>
      </c>
      <c r="D44" s="64">
        <v>12.16</v>
      </c>
      <c r="E44" s="64">
        <v>3.89</v>
      </c>
      <c r="F44" s="64">
        <v>3.32</v>
      </c>
      <c r="G44" s="64">
        <v>26.29</v>
      </c>
      <c r="H44" s="64">
        <v>6.68</v>
      </c>
      <c r="I44" s="64">
        <v>1.94</v>
      </c>
      <c r="J44" s="64">
        <v>0.5</v>
      </c>
      <c r="K44" s="64">
        <v>353.3</v>
      </c>
      <c r="L44" s="64">
        <v>23.77</v>
      </c>
      <c r="M44" s="64">
        <v>97.95</v>
      </c>
      <c r="N44" s="64">
        <v>124.9</v>
      </c>
      <c r="O44" s="64">
        <v>0</v>
      </c>
      <c r="P44" s="64">
        <v>0.41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4" t="s">
        <v>3069</v>
      </c>
      <c r="B45" s="64">
        <v>8.32</v>
      </c>
      <c r="C45" s="64">
        <v>3.21</v>
      </c>
      <c r="D45" s="64">
        <v>12.12</v>
      </c>
      <c r="E45" s="64">
        <v>4.24</v>
      </c>
      <c r="F45" s="64">
        <v>4.04</v>
      </c>
      <c r="G45" s="64">
        <v>26.29</v>
      </c>
      <c r="H45" s="64">
        <v>6.68</v>
      </c>
      <c r="I45" s="64">
        <v>2.04</v>
      </c>
      <c r="J45" s="64">
        <v>0.53</v>
      </c>
      <c r="K45" s="64">
        <v>2.81</v>
      </c>
      <c r="L45" s="64">
        <v>24.25</v>
      </c>
      <c r="M45" s="64">
        <v>96.84</v>
      </c>
      <c r="N45" s="64">
        <v>221.8</v>
      </c>
      <c r="O45" s="64">
        <v>0</v>
      </c>
      <c r="P45" s="64">
        <v>0.43</v>
      </c>
      <c r="Q45" s="64">
        <v>9.36</v>
      </c>
      <c r="R45" s="198"/>
      <c r="S45" s="198"/>
      <c r="T45" s="198"/>
      <c r="U45" s="198"/>
    </row>
    <row r="46" spans="1:21" s="12" customFormat="1" x14ac:dyDescent="0.25">
      <c r="A46" s="214" t="s">
        <v>3070</v>
      </c>
      <c r="B46" s="64">
        <v>8.33</v>
      </c>
      <c r="C46" s="64">
        <v>3.23</v>
      </c>
      <c r="D46" s="64">
        <v>12.14</v>
      </c>
      <c r="E46" s="64">
        <v>4.2699999999999996</v>
      </c>
      <c r="F46" s="64">
        <v>3.34</v>
      </c>
      <c r="G46" s="64">
        <v>26.29</v>
      </c>
      <c r="H46" s="64">
        <v>6.68</v>
      </c>
      <c r="I46" s="64">
        <v>2.1800000000000002</v>
      </c>
      <c r="J46" s="64">
        <v>0.43</v>
      </c>
      <c r="K46" s="64">
        <v>354.42</v>
      </c>
      <c r="L46" s="64">
        <v>25.08</v>
      </c>
      <c r="M46" s="64">
        <v>92.48</v>
      </c>
      <c r="N46" s="64">
        <v>291.3</v>
      </c>
      <c r="O46" s="64">
        <v>0</v>
      </c>
      <c r="P46" s="64">
        <v>0.48</v>
      </c>
      <c r="Q46" s="64">
        <v>9.2899999999999991</v>
      </c>
      <c r="R46" s="198"/>
      <c r="S46" s="198"/>
      <c r="T46" s="198"/>
      <c r="U46" s="198"/>
    </row>
    <row r="47" spans="1:21" s="12" customFormat="1" x14ac:dyDescent="0.25">
      <c r="A47" s="214" t="s">
        <v>3071</v>
      </c>
      <c r="B47" s="64">
        <v>8.34</v>
      </c>
      <c r="C47" s="64">
        <v>3.26</v>
      </c>
      <c r="D47" s="64">
        <v>12.16</v>
      </c>
      <c r="E47" s="64">
        <v>4.3</v>
      </c>
      <c r="F47" s="64">
        <v>2.77</v>
      </c>
      <c r="G47" s="64">
        <v>30.22</v>
      </c>
      <c r="H47" s="64">
        <v>7.51</v>
      </c>
      <c r="I47" s="64">
        <v>2.36</v>
      </c>
      <c r="J47" s="64">
        <v>0.59</v>
      </c>
      <c r="K47" s="64">
        <v>334.8</v>
      </c>
      <c r="L47" s="64">
        <v>26.07</v>
      </c>
      <c r="M47" s="64">
        <v>85.94</v>
      </c>
      <c r="N47" s="64">
        <v>415.6</v>
      </c>
      <c r="O47" s="64">
        <v>0</v>
      </c>
      <c r="P47" s="64">
        <v>0.52</v>
      </c>
      <c r="Q47" s="64">
        <v>9.27</v>
      </c>
      <c r="R47" s="198"/>
      <c r="S47" s="198"/>
      <c r="T47" s="198"/>
      <c r="U47" s="198"/>
    </row>
    <row r="48" spans="1:21" s="12" customFormat="1" x14ac:dyDescent="0.25">
      <c r="A48" s="214" t="s">
        <v>3072</v>
      </c>
      <c r="B48" s="64">
        <v>8.35</v>
      </c>
      <c r="C48" s="64">
        <v>3.33</v>
      </c>
      <c r="D48" s="64">
        <v>12.21</v>
      </c>
      <c r="E48" s="64">
        <v>4.5</v>
      </c>
      <c r="F48" s="64">
        <v>4.79</v>
      </c>
      <c r="G48" s="64">
        <v>32.72</v>
      </c>
      <c r="H48" s="64">
        <v>8.0299999999999994</v>
      </c>
      <c r="I48" s="64">
        <v>2.4700000000000002</v>
      </c>
      <c r="J48" s="64">
        <v>0.64</v>
      </c>
      <c r="K48" s="64">
        <v>332.08</v>
      </c>
      <c r="L48" s="64">
        <v>27.07</v>
      </c>
      <c r="M48" s="64">
        <v>81.010000000000005</v>
      </c>
      <c r="N48" s="64">
        <v>348.6</v>
      </c>
      <c r="O48" s="64">
        <v>0</v>
      </c>
      <c r="P48" s="64">
        <v>0.54</v>
      </c>
      <c r="Q48" s="64">
        <v>9.33</v>
      </c>
      <c r="R48" s="198"/>
      <c r="S48" s="198"/>
      <c r="T48" s="198"/>
      <c r="U48" s="198"/>
    </row>
    <row r="49" spans="1:21" s="12" customFormat="1" x14ac:dyDescent="0.25">
      <c r="A49" s="214" t="s">
        <v>3073</v>
      </c>
      <c r="B49" s="64">
        <v>8.36</v>
      </c>
      <c r="C49" s="64">
        <v>3.36</v>
      </c>
      <c r="D49" s="64">
        <v>12.23</v>
      </c>
      <c r="E49" s="64">
        <v>4.5599999999999996</v>
      </c>
      <c r="F49" s="64">
        <v>2.38</v>
      </c>
      <c r="G49" s="64">
        <v>32.72</v>
      </c>
      <c r="H49" s="64">
        <v>8.0299999999999994</v>
      </c>
      <c r="I49" s="64">
        <v>2.5099999999999998</v>
      </c>
      <c r="J49" s="64">
        <v>0.5</v>
      </c>
      <c r="K49" s="64">
        <v>330.33</v>
      </c>
      <c r="L49" s="64">
        <v>26.46</v>
      </c>
      <c r="M49" s="64">
        <v>87.27</v>
      </c>
      <c r="N49" s="64">
        <v>537.9</v>
      </c>
      <c r="O49" s="64">
        <v>0</v>
      </c>
      <c r="P49" s="64">
        <v>0.56000000000000005</v>
      </c>
      <c r="Q49" s="64">
        <v>9.32</v>
      </c>
      <c r="R49" s="198"/>
      <c r="S49" s="198"/>
      <c r="T49" s="198"/>
      <c r="U49" s="198"/>
    </row>
    <row r="50" spans="1:21" s="12" customFormat="1" x14ac:dyDescent="0.25">
      <c r="A50" s="214" t="s">
        <v>3074</v>
      </c>
      <c r="B50" s="64">
        <v>8.59</v>
      </c>
      <c r="C50" s="64">
        <v>3.91</v>
      </c>
      <c r="D50" s="64">
        <v>12.71</v>
      </c>
      <c r="E50" s="64">
        <v>4.33</v>
      </c>
      <c r="F50" s="64">
        <v>3.42</v>
      </c>
      <c r="G50" s="64">
        <v>32.72</v>
      </c>
      <c r="H50" s="64">
        <v>8.0299999999999994</v>
      </c>
      <c r="I50" s="64">
        <v>2.4300000000000002</v>
      </c>
      <c r="J50" s="64">
        <v>0.54</v>
      </c>
      <c r="K50" s="64">
        <v>10.5</v>
      </c>
      <c r="L50" s="64">
        <v>26.28</v>
      </c>
      <c r="M50" s="64">
        <v>85.14</v>
      </c>
      <c r="N50" s="64">
        <v>460.3</v>
      </c>
      <c r="O50" s="64">
        <v>0</v>
      </c>
      <c r="P50" s="64">
        <v>0.63</v>
      </c>
      <c r="Q50" s="64">
        <v>9.33</v>
      </c>
      <c r="R50" s="198"/>
      <c r="S50" s="198"/>
      <c r="T50" s="198"/>
      <c r="U50" s="198"/>
    </row>
    <row r="51" spans="1:21" s="12" customFormat="1" x14ac:dyDescent="0.25">
      <c r="A51" s="214" t="s">
        <v>3075</v>
      </c>
      <c r="B51" s="64">
        <v>8.43</v>
      </c>
      <c r="C51" s="64">
        <v>3.58</v>
      </c>
      <c r="D51" s="64">
        <v>12.41</v>
      </c>
      <c r="E51" s="64">
        <v>4.3</v>
      </c>
      <c r="F51" s="64">
        <v>4.1399999999999997</v>
      </c>
      <c r="G51" s="64">
        <v>38.29</v>
      </c>
      <c r="H51" s="64">
        <v>11.31</v>
      </c>
      <c r="I51" s="64">
        <v>2.36</v>
      </c>
      <c r="J51" s="64">
        <v>0.6</v>
      </c>
      <c r="K51" s="64">
        <v>357.67</v>
      </c>
      <c r="L51" s="64">
        <v>25.35</v>
      </c>
      <c r="M51" s="64">
        <v>88.31</v>
      </c>
      <c r="N51" s="64">
        <v>399.2</v>
      </c>
      <c r="O51" s="64">
        <v>0.2</v>
      </c>
      <c r="P51" s="64">
        <v>0.74</v>
      </c>
      <c r="Q51" s="64">
        <v>9.3699999999999992</v>
      </c>
      <c r="R51" s="198"/>
      <c r="S51" s="198"/>
      <c r="T51" s="198"/>
      <c r="U51" s="198"/>
    </row>
    <row r="52" spans="1:21" s="12" customFormat="1" x14ac:dyDescent="0.25">
      <c r="A52" s="214" t="s">
        <v>3076</v>
      </c>
      <c r="B52" s="64">
        <v>8.3000000000000007</v>
      </c>
      <c r="C52" s="64">
        <v>3.25</v>
      </c>
      <c r="D52" s="64">
        <v>12.13</v>
      </c>
      <c r="E52" s="64">
        <v>4.1399999999999997</v>
      </c>
      <c r="F52" s="64">
        <v>2.74</v>
      </c>
      <c r="G52" s="64">
        <v>41.66</v>
      </c>
      <c r="H52" s="64">
        <v>13.3</v>
      </c>
      <c r="I52" s="64">
        <v>2.71</v>
      </c>
      <c r="J52" s="64">
        <v>0.57999999999999996</v>
      </c>
      <c r="K52" s="64">
        <v>337.58</v>
      </c>
      <c r="L52" s="64">
        <v>26.28</v>
      </c>
      <c r="M52" s="64">
        <v>82.88</v>
      </c>
      <c r="N52" s="64">
        <v>375.4</v>
      </c>
      <c r="O52" s="64">
        <v>0</v>
      </c>
      <c r="P52" s="64">
        <v>0.77</v>
      </c>
      <c r="Q52" s="64">
        <v>9.33</v>
      </c>
      <c r="R52" s="198"/>
      <c r="S52" s="198"/>
      <c r="T52" s="198"/>
      <c r="U52" s="198"/>
    </row>
    <row r="53" spans="1:21" s="12" customFormat="1" x14ac:dyDescent="0.25">
      <c r="A53" s="214" t="s">
        <v>3077</v>
      </c>
      <c r="B53" s="64">
        <v>8.2899999999999991</v>
      </c>
      <c r="C53" s="64">
        <v>3.2</v>
      </c>
      <c r="D53" s="64">
        <v>12.1</v>
      </c>
      <c r="E53" s="64">
        <v>3.79</v>
      </c>
      <c r="F53" s="64">
        <v>3.44</v>
      </c>
      <c r="G53" s="64">
        <v>41.66</v>
      </c>
      <c r="H53" s="64">
        <v>13.3</v>
      </c>
      <c r="I53" s="64">
        <v>3.07</v>
      </c>
      <c r="J53" s="64">
        <v>0.47</v>
      </c>
      <c r="K53" s="64">
        <v>335.89</v>
      </c>
      <c r="L53" s="64">
        <v>26.99</v>
      </c>
      <c r="M53" s="64">
        <v>80.69</v>
      </c>
      <c r="N53" s="64">
        <v>433.8</v>
      </c>
      <c r="O53" s="64">
        <v>0</v>
      </c>
      <c r="P53" s="64">
        <v>0.78</v>
      </c>
      <c r="Q53" s="64">
        <v>9.31</v>
      </c>
      <c r="R53" s="198"/>
      <c r="S53" s="198"/>
      <c r="T53" s="198"/>
      <c r="U53" s="198"/>
    </row>
    <row r="54" spans="1:21" s="12" customFormat="1" x14ac:dyDescent="0.25">
      <c r="A54" s="214" t="s">
        <v>3078</v>
      </c>
      <c r="B54" s="64">
        <v>8.2899999999999991</v>
      </c>
      <c r="C54" s="64">
        <v>3.16</v>
      </c>
      <c r="D54" s="64">
        <v>12.07</v>
      </c>
      <c r="E54" s="64">
        <v>4.1900000000000004</v>
      </c>
      <c r="F54" s="64">
        <v>4.4800000000000004</v>
      </c>
      <c r="G54" s="64">
        <v>41.66</v>
      </c>
      <c r="H54" s="64">
        <v>13.3</v>
      </c>
      <c r="I54" s="64">
        <v>3.2</v>
      </c>
      <c r="J54" s="64">
        <v>0.61</v>
      </c>
      <c r="K54" s="64">
        <v>328.29</v>
      </c>
      <c r="L54" s="64">
        <v>28.04</v>
      </c>
      <c r="M54" s="64">
        <v>76.19</v>
      </c>
      <c r="N54" s="64">
        <v>409.5</v>
      </c>
      <c r="O54" s="64">
        <v>0</v>
      </c>
      <c r="P54" s="64">
        <v>0.79</v>
      </c>
      <c r="Q54" s="64">
        <v>9.35</v>
      </c>
      <c r="R54" s="198"/>
      <c r="S54" s="198"/>
      <c r="T54" s="198"/>
      <c r="U54" s="198"/>
    </row>
    <row r="55" spans="1:21" s="12" customFormat="1" x14ac:dyDescent="0.25">
      <c r="A55" s="214" t="s">
        <v>3079</v>
      </c>
      <c r="B55" s="64">
        <v>8.2899999999999991</v>
      </c>
      <c r="C55" s="64">
        <v>3.21</v>
      </c>
      <c r="D55" s="64">
        <v>12.1</v>
      </c>
      <c r="E55" s="64">
        <v>4.17</v>
      </c>
      <c r="F55" s="64">
        <v>3.31</v>
      </c>
      <c r="G55" s="64">
        <v>44.96</v>
      </c>
      <c r="H55" s="64">
        <v>14.66</v>
      </c>
      <c r="I55" s="64">
        <v>3.24</v>
      </c>
      <c r="J55" s="64">
        <v>0.47</v>
      </c>
      <c r="K55" s="64">
        <v>346.67</v>
      </c>
      <c r="L55" s="64">
        <v>27.76</v>
      </c>
      <c r="M55" s="64">
        <v>76.11</v>
      </c>
      <c r="N55" s="64">
        <v>376.4</v>
      </c>
      <c r="O55" s="64">
        <v>0</v>
      </c>
      <c r="P55" s="64">
        <v>0.79</v>
      </c>
      <c r="Q55" s="64">
        <v>9.34</v>
      </c>
      <c r="R55" s="198"/>
      <c r="S55" s="198"/>
      <c r="T55" s="198"/>
      <c r="U55" s="198"/>
    </row>
    <row r="56" spans="1:21" s="12" customFormat="1" x14ac:dyDescent="0.25">
      <c r="A56" s="214" t="s">
        <v>3080</v>
      </c>
      <c r="B56" s="64">
        <v>8.3000000000000007</v>
      </c>
      <c r="C56" s="64">
        <v>3.28</v>
      </c>
      <c r="D56" s="64">
        <v>12.14</v>
      </c>
      <c r="E56" s="64">
        <v>4.1399999999999997</v>
      </c>
      <c r="F56" s="64">
        <v>3.65</v>
      </c>
      <c r="G56" s="64">
        <v>47.05</v>
      </c>
      <c r="H56" s="64">
        <v>15.52</v>
      </c>
      <c r="I56" s="64">
        <v>3.22</v>
      </c>
      <c r="J56" s="64">
        <v>0.47</v>
      </c>
      <c r="K56" s="64">
        <v>9.61</v>
      </c>
      <c r="L56" s="64">
        <v>27.51</v>
      </c>
      <c r="M56" s="64">
        <v>74.12</v>
      </c>
      <c r="N56" s="64">
        <v>428.9</v>
      </c>
      <c r="O56" s="64">
        <v>0</v>
      </c>
      <c r="P56" s="64">
        <v>0.78</v>
      </c>
      <c r="Q56" s="64">
        <v>9.32</v>
      </c>
      <c r="R56" s="198"/>
      <c r="S56" s="198"/>
      <c r="T56" s="198"/>
      <c r="U56" s="198"/>
    </row>
    <row r="57" spans="1:21" s="12" customFormat="1" x14ac:dyDescent="0.25">
      <c r="A57" s="214" t="s">
        <v>3081</v>
      </c>
      <c r="B57" s="64">
        <v>8.32</v>
      </c>
      <c r="C57" s="64">
        <v>3.23</v>
      </c>
      <c r="D57" s="64">
        <v>12.14</v>
      </c>
      <c r="E57" s="64">
        <v>4.5599999999999996</v>
      </c>
      <c r="F57" s="64">
        <v>3.68</v>
      </c>
      <c r="G57" s="64">
        <v>47.05</v>
      </c>
      <c r="H57" s="64">
        <v>15.52</v>
      </c>
      <c r="I57" s="64">
        <v>3.27</v>
      </c>
      <c r="J57" s="64">
        <v>0.53</v>
      </c>
      <c r="K57" s="64">
        <v>329.21</v>
      </c>
      <c r="L57" s="64">
        <v>27.84</v>
      </c>
      <c r="M57" s="64">
        <v>73.959999999999994</v>
      </c>
      <c r="N57" s="64">
        <v>384.4</v>
      </c>
      <c r="O57" s="64">
        <v>0</v>
      </c>
      <c r="P57" s="64">
        <v>0.74</v>
      </c>
      <c r="Q57" s="64">
        <v>9.35</v>
      </c>
      <c r="R57" s="198"/>
      <c r="S57" s="198"/>
      <c r="T57" s="198"/>
      <c r="U57" s="198"/>
    </row>
    <row r="58" spans="1:21" s="12" customFormat="1" x14ac:dyDescent="0.25">
      <c r="A58" s="214" t="s">
        <v>3082</v>
      </c>
      <c r="B58" s="64">
        <v>8.33</v>
      </c>
      <c r="C58" s="64">
        <v>3.22</v>
      </c>
      <c r="D58" s="64">
        <v>12.14</v>
      </c>
      <c r="E58" s="64">
        <v>4.74</v>
      </c>
      <c r="F58" s="64">
        <v>3.51</v>
      </c>
      <c r="G58" s="64">
        <v>47.05</v>
      </c>
      <c r="H58" s="64">
        <v>15.52</v>
      </c>
      <c r="I58" s="64">
        <v>3.3</v>
      </c>
      <c r="J58" s="64">
        <v>0.5</v>
      </c>
      <c r="K58" s="64">
        <v>352.41</v>
      </c>
      <c r="L58" s="64">
        <v>27.99</v>
      </c>
      <c r="M58" s="64">
        <v>75.95</v>
      </c>
      <c r="N58" s="64">
        <v>314.3</v>
      </c>
      <c r="O58" s="64">
        <v>0</v>
      </c>
      <c r="P58" s="64">
        <v>0.72</v>
      </c>
      <c r="Q58" s="64">
        <v>9.35</v>
      </c>
      <c r="R58" s="198"/>
      <c r="S58" s="198"/>
      <c r="T58" s="198"/>
      <c r="U58" s="198"/>
    </row>
    <row r="59" spans="1:21" s="12" customFormat="1" x14ac:dyDescent="0.25">
      <c r="A59" s="214" t="s">
        <v>3083</v>
      </c>
      <c r="B59" s="64">
        <v>8.34</v>
      </c>
      <c r="C59" s="64">
        <v>3.28</v>
      </c>
      <c r="D59" s="64">
        <v>12.18</v>
      </c>
      <c r="E59" s="64">
        <v>4.34</v>
      </c>
      <c r="F59" s="64">
        <v>3.81</v>
      </c>
      <c r="G59" s="64">
        <v>44.98</v>
      </c>
      <c r="H59" s="64">
        <v>14.25</v>
      </c>
      <c r="I59" s="64">
        <v>3.11</v>
      </c>
      <c r="J59" s="64">
        <v>0.32</v>
      </c>
      <c r="K59" s="64">
        <v>339.85</v>
      </c>
      <c r="L59" s="64">
        <v>27.2</v>
      </c>
      <c r="M59" s="64">
        <v>80.319999999999993</v>
      </c>
      <c r="N59" s="64">
        <v>308.89999999999998</v>
      </c>
      <c r="O59" s="64">
        <v>0</v>
      </c>
      <c r="P59" s="64">
        <v>0.7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4" t="s">
        <v>3084</v>
      </c>
      <c r="B60" s="64">
        <v>8.34</v>
      </c>
      <c r="C60" s="64">
        <v>3.21</v>
      </c>
      <c r="D60" s="64">
        <v>12.14</v>
      </c>
      <c r="E60" s="64">
        <v>4.71</v>
      </c>
      <c r="F60" s="64">
        <v>4.01</v>
      </c>
      <c r="G60" s="64">
        <v>43.67</v>
      </c>
      <c r="H60" s="64">
        <v>13.44</v>
      </c>
      <c r="I60" s="64">
        <v>2.91</v>
      </c>
      <c r="J60" s="64">
        <v>0.54</v>
      </c>
      <c r="K60" s="64">
        <v>358.81</v>
      </c>
      <c r="L60" s="64">
        <v>27.23</v>
      </c>
      <c r="M60" s="64">
        <v>79.36</v>
      </c>
      <c r="N60" s="64">
        <v>367.2</v>
      </c>
      <c r="O60" s="64">
        <v>0</v>
      </c>
      <c r="P60" s="64">
        <v>0.67</v>
      </c>
      <c r="Q60" s="64">
        <v>9.35</v>
      </c>
      <c r="R60" s="198"/>
      <c r="S60" s="198"/>
      <c r="T60" s="198"/>
      <c r="U60" s="198"/>
    </row>
    <row r="61" spans="1:21" s="12" customFormat="1" x14ac:dyDescent="0.25">
      <c r="A61" s="214" t="s">
        <v>3085</v>
      </c>
      <c r="B61" s="64">
        <v>8.31</v>
      </c>
      <c r="C61" s="64">
        <v>3.21</v>
      </c>
      <c r="D61" s="64">
        <v>12.11</v>
      </c>
      <c r="E61" s="64">
        <v>4.6100000000000003</v>
      </c>
      <c r="F61" s="64">
        <v>4.1900000000000004</v>
      </c>
      <c r="G61" s="64">
        <v>43.67</v>
      </c>
      <c r="H61" s="64">
        <v>13.44</v>
      </c>
      <c r="I61" s="64">
        <v>2.77</v>
      </c>
      <c r="J61" s="64">
        <v>0.52</v>
      </c>
      <c r="K61" s="64">
        <v>348.5</v>
      </c>
      <c r="L61" s="64">
        <v>27.91</v>
      </c>
      <c r="M61" s="64">
        <v>77.42</v>
      </c>
      <c r="N61" s="64">
        <v>394.2</v>
      </c>
      <c r="O61" s="64">
        <v>0</v>
      </c>
      <c r="P61" s="64">
        <v>0.53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4" t="s">
        <v>3086</v>
      </c>
      <c r="B62" s="64">
        <v>8.32</v>
      </c>
      <c r="C62" s="64">
        <v>3.21</v>
      </c>
      <c r="D62" s="64">
        <v>12.12</v>
      </c>
      <c r="E62" s="64">
        <v>4.5599999999999996</v>
      </c>
      <c r="F62" s="64">
        <v>4.21</v>
      </c>
      <c r="G62" s="64">
        <v>43.67</v>
      </c>
      <c r="H62" s="64">
        <v>13.44</v>
      </c>
      <c r="I62" s="64">
        <v>2.66</v>
      </c>
      <c r="J62" s="64">
        <v>0.54</v>
      </c>
      <c r="K62" s="64">
        <v>344.23</v>
      </c>
      <c r="L62" s="64">
        <v>28.92</v>
      </c>
      <c r="M62" s="64">
        <v>72.17</v>
      </c>
      <c r="N62" s="64">
        <v>434.7</v>
      </c>
      <c r="O62" s="64">
        <v>0</v>
      </c>
      <c r="P62" s="64">
        <v>0.55000000000000004</v>
      </c>
      <c r="Q62" s="64">
        <v>9.31</v>
      </c>
      <c r="R62" s="198"/>
      <c r="S62" s="198"/>
      <c r="T62" s="198"/>
      <c r="U62" s="198"/>
    </row>
    <row r="63" spans="1:21" s="12" customFormat="1" x14ac:dyDescent="0.25">
      <c r="A63" s="214" t="s">
        <v>3087</v>
      </c>
      <c r="B63" s="64">
        <v>8.33</v>
      </c>
      <c r="C63" s="64">
        <v>3.24</v>
      </c>
      <c r="D63" s="64">
        <v>12.15</v>
      </c>
      <c r="E63" s="64">
        <v>5.09</v>
      </c>
      <c r="F63" s="64">
        <v>4.8499999999999996</v>
      </c>
      <c r="G63" s="64">
        <v>43.57</v>
      </c>
      <c r="H63" s="64">
        <v>13.68</v>
      </c>
      <c r="I63" s="64">
        <v>2.61</v>
      </c>
      <c r="J63" s="64">
        <v>0.54</v>
      </c>
      <c r="K63" s="64">
        <v>2.2999999999999998</v>
      </c>
      <c r="L63" s="64">
        <v>28.54</v>
      </c>
      <c r="M63" s="64">
        <v>72.569999999999993</v>
      </c>
      <c r="N63" s="64">
        <v>377.9</v>
      </c>
      <c r="O63" s="64">
        <v>0</v>
      </c>
      <c r="P63" s="64">
        <v>0.53</v>
      </c>
      <c r="Q63" s="64">
        <v>9.31</v>
      </c>
      <c r="R63" s="198"/>
      <c r="S63" s="198"/>
      <c r="T63" s="198"/>
      <c r="U63" s="198"/>
    </row>
    <row r="64" spans="1:21" s="12" customFormat="1" x14ac:dyDescent="0.25">
      <c r="A64" s="214" t="s">
        <v>3088</v>
      </c>
      <c r="B64" s="64">
        <v>8.32</v>
      </c>
      <c r="C64" s="64">
        <v>3.26</v>
      </c>
      <c r="D64" s="64">
        <v>12.15</v>
      </c>
      <c r="E64" s="64">
        <v>4.4000000000000004</v>
      </c>
      <c r="F64" s="64">
        <v>5.15</v>
      </c>
      <c r="G64" s="64">
        <v>43.52</v>
      </c>
      <c r="H64" s="64">
        <v>13.83</v>
      </c>
      <c r="I64" s="64">
        <v>2.5299999999999998</v>
      </c>
      <c r="J64" s="64">
        <v>0.57999999999999996</v>
      </c>
      <c r="K64" s="64">
        <v>333.66</v>
      </c>
      <c r="L64" s="64">
        <v>28.37</v>
      </c>
      <c r="M64" s="64">
        <v>74.680000000000007</v>
      </c>
      <c r="N64" s="64">
        <v>405.7</v>
      </c>
      <c r="O64" s="64">
        <v>0</v>
      </c>
      <c r="P64" s="64">
        <v>0.52</v>
      </c>
      <c r="Q64" s="64">
        <v>9.32</v>
      </c>
      <c r="R64" s="198"/>
      <c r="S64" s="198"/>
      <c r="T64" s="198"/>
      <c r="U64" s="198"/>
    </row>
    <row r="65" spans="1:21" s="12" customFormat="1" x14ac:dyDescent="0.25">
      <c r="A65" s="214" t="s">
        <v>3089</v>
      </c>
      <c r="B65" s="64">
        <v>8.32</v>
      </c>
      <c r="C65" s="64">
        <v>3.34</v>
      </c>
      <c r="D65" s="64">
        <v>12.19</v>
      </c>
      <c r="E65" s="64">
        <v>4.66</v>
      </c>
      <c r="F65" s="64">
        <v>4.1100000000000003</v>
      </c>
      <c r="G65" s="64">
        <v>43.52</v>
      </c>
      <c r="H65" s="64">
        <v>13.83</v>
      </c>
      <c r="I65" s="64">
        <v>2.4500000000000002</v>
      </c>
      <c r="J65" s="64">
        <v>0.51</v>
      </c>
      <c r="K65" s="64">
        <v>350.07</v>
      </c>
      <c r="L65" s="64">
        <v>28.75</v>
      </c>
      <c r="M65" s="64">
        <v>73.400000000000006</v>
      </c>
      <c r="N65" s="64">
        <v>330.7</v>
      </c>
      <c r="O65" s="64">
        <v>0</v>
      </c>
      <c r="P65" s="64">
        <v>0.51</v>
      </c>
      <c r="Q65" s="64">
        <v>9.25</v>
      </c>
      <c r="R65" s="198"/>
      <c r="S65" s="198"/>
      <c r="T65" s="198"/>
      <c r="U65" s="198"/>
    </row>
    <row r="66" spans="1:21" s="12" customFormat="1" x14ac:dyDescent="0.25">
      <c r="A66" s="214" t="s">
        <v>3090</v>
      </c>
      <c r="B66" s="64">
        <v>8.33</v>
      </c>
      <c r="C66" s="64">
        <v>3.38</v>
      </c>
      <c r="D66" s="64">
        <v>12.23</v>
      </c>
      <c r="E66" s="64">
        <v>4.45</v>
      </c>
      <c r="F66" s="64">
        <v>4.6399999999999997</v>
      </c>
      <c r="G66" s="64">
        <v>43.52</v>
      </c>
      <c r="H66" s="64">
        <v>13.83</v>
      </c>
      <c r="I66" s="64">
        <v>2.37</v>
      </c>
      <c r="J66" s="64">
        <v>0.59</v>
      </c>
      <c r="K66" s="64">
        <v>1.34</v>
      </c>
      <c r="L66" s="64">
        <v>28.1</v>
      </c>
      <c r="M66" s="64">
        <v>75.11</v>
      </c>
      <c r="N66" s="64">
        <v>254.3</v>
      </c>
      <c r="O66" s="64">
        <v>0</v>
      </c>
      <c r="P66" s="64">
        <v>0.48</v>
      </c>
      <c r="Q66" s="64">
        <v>9.25</v>
      </c>
      <c r="R66" s="198"/>
      <c r="S66" s="198"/>
      <c r="T66" s="198"/>
      <c r="U66" s="198"/>
    </row>
    <row r="67" spans="1:21" s="12" customFormat="1" x14ac:dyDescent="0.25">
      <c r="A67" s="214" t="s">
        <v>3091</v>
      </c>
      <c r="B67" s="64">
        <v>8.31</v>
      </c>
      <c r="C67" s="64">
        <v>3.29</v>
      </c>
      <c r="D67" s="64">
        <v>12.16</v>
      </c>
      <c r="E67" s="64">
        <v>4.22</v>
      </c>
      <c r="F67" s="64">
        <v>5.05</v>
      </c>
      <c r="G67" s="64">
        <v>43.72</v>
      </c>
      <c r="H67" s="64">
        <v>13.32</v>
      </c>
      <c r="I67" s="64">
        <v>2.2799999999999998</v>
      </c>
      <c r="J67" s="64">
        <v>0.47</v>
      </c>
      <c r="K67" s="64">
        <v>338.74</v>
      </c>
      <c r="L67" s="64">
        <v>28.03</v>
      </c>
      <c r="M67" s="64">
        <v>76.27</v>
      </c>
      <c r="N67" s="64">
        <v>211.7</v>
      </c>
      <c r="O67" s="64">
        <v>0</v>
      </c>
      <c r="P67" s="64">
        <v>0.47</v>
      </c>
      <c r="Q67" s="64">
        <v>9.2799999999999994</v>
      </c>
      <c r="R67" s="198"/>
      <c r="S67" s="198"/>
      <c r="T67" s="198"/>
      <c r="U67" s="198"/>
    </row>
    <row r="68" spans="1:21" s="12" customFormat="1" x14ac:dyDescent="0.25">
      <c r="A68" s="214" t="s">
        <v>3092</v>
      </c>
      <c r="B68" s="64">
        <v>8.41</v>
      </c>
      <c r="C68" s="64">
        <v>3.64</v>
      </c>
      <c r="D68" s="64">
        <v>12.42</v>
      </c>
      <c r="E68" s="64">
        <v>4.67</v>
      </c>
      <c r="F68" s="64">
        <v>4.1399999999999997</v>
      </c>
      <c r="G68" s="64">
        <v>43.84</v>
      </c>
      <c r="H68" s="64">
        <v>12.99</v>
      </c>
      <c r="I68" s="64">
        <v>2.19</v>
      </c>
      <c r="J68" s="64">
        <v>0.5</v>
      </c>
      <c r="K68" s="64">
        <v>354.16</v>
      </c>
      <c r="L68" s="64">
        <v>28.39</v>
      </c>
      <c r="M68" s="64">
        <v>73.489999999999995</v>
      </c>
      <c r="N68" s="64">
        <v>295.3</v>
      </c>
      <c r="O68" s="64">
        <v>0</v>
      </c>
      <c r="P68" s="64">
        <v>0.47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14" t="s">
        <v>3093</v>
      </c>
      <c r="B69" s="64">
        <v>8.31</v>
      </c>
      <c r="C69" s="64">
        <v>3.34</v>
      </c>
      <c r="D69" s="64">
        <v>12.19</v>
      </c>
      <c r="E69" s="64">
        <v>4.91</v>
      </c>
      <c r="F69" s="64">
        <v>4.28</v>
      </c>
      <c r="G69" s="64">
        <v>43.84</v>
      </c>
      <c r="H69" s="64">
        <v>12.99</v>
      </c>
      <c r="I69" s="64">
        <v>2.17</v>
      </c>
      <c r="J69" s="64">
        <v>0.5</v>
      </c>
      <c r="K69" s="64">
        <v>351.15</v>
      </c>
      <c r="L69" s="64">
        <v>28.9</v>
      </c>
      <c r="M69" s="64">
        <v>72.510000000000005</v>
      </c>
      <c r="N69" s="64">
        <v>324.89999999999998</v>
      </c>
      <c r="O69" s="64">
        <v>0</v>
      </c>
      <c r="P69" s="64">
        <v>0.47</v>
      </c>
      <c r="Q69" s="64">
        <v>9.25</v>
      </c>
      <c r="R69" s="198"/>
      <c r="S69" s="198"/>
      <c r="T69" s="198"/>
      <c r="U69" s="198"/>
    </row>
    <row r="70" spans="1:21" s="12" customFormat="1" x14ac:dyDescent="0.25">
      <c r="A70" s="214" t="s">
        <v>3094</v>
      </c>
      <c r="B70" s="64">
        <v>8.2899999999999991</v>
      </c>
      <c r="C70" s="64">
        <v>3.23</v>
      </c>
      <c r="D70" s="64">
        <v>12.11</v>
      </c>
      <c r="E70" s="64">
        <v>4.6500000000000004</v>
      </c>
      <c r="F70" s="64">
        <v>4.34</v>
      </c>
      <c r="G70" s="64">
        <v>43.84</v>
      </c>
      <c r="H70" s="64">
        <v>12.99</v>
      </c>
      <c r="I70" s="64">
        <v>2.15</v>
      </c>
      <c r="J70" s="64">
        <v>0.41</v>
      </c>
      <c r="K70" s="64">
        <v>341.27</v>
      </c>
      <c r="L70" s="64">
        <v>29.46</v>
      </c>
      <c r="M70" s="64">
        <v>69.790000000000006</v>
      </c>
      <c r="N70" s="64">
        <v>261.3</v>
      </c>
      <c r="O70" s="64">
        <v>0</v>
      </c>
      <c r="P70" s="64">
        <v>0.49</v>
      </c>
      <c r="Q70" s="64">
        <v>9.24</v>
      </c>
      <c r="R70" s="198"/>
      <c r="S70" s="198"/>
      <c r="T70" s="198"/>
      <c r="U70" s="198"/>
    </row>
    <row r="71" spans="1:21" s="12" customFormat="1" x14ac:dyDescent="0.25">
      <c r="A71" s="214" t="s">
        <v>3095</v>
      </c>
      <c r="B71" s="64">
        <v>8.2899999999999991</v>
      </c>
      <c r="C71" s="64">
        <v>3.19</v>
      </c>
      <c r="D71" s="64">
        <v>12.08</v>
      </c>
      <c r="E71" s="64">
        <v>3.86</v>
      </c>
      <c r="F71" s="64">
        <v>4.71</v>
      </c>
      <c r="G71" s="64">
        <v>43.08</v>
      </c>
      <c r="H71" s="64">
        <v>14.56</v>
      </c>
      <c r="I71" s="64">
        <v>2.1</v>
      </c>
      <c r="J71" s="64">
        <v>0.53</v>
      </c>
      <c r="K71" s="64">
        <v>4.71</v>
      </c>
      <c r="L71" s="64">
        <v>29.23</v>
      </c>
      <c r="M71" s="64">
        <v>69.319999999999993</v>
      </c>
      <c r="N71" s="64">
        <v>214.4</v>
      </c>
      <c r="O71" s="64">
        <v>0</v>
      </c>
      <c r="P71" s="64">
        <v>0.5</v>
      </c>
      <c r="Q71" s="64">
        <v>9.26</v>
      </c>
      <c r="R71" s="198"/>
      <c r="S71" s="198"/>
      <c r="T71" s="198"/>
      <c r="U71" s="198"/>
    </row>
    <row r="72" spans="1:21" s="12" customFormat="1" x14ac:dyDescent="0.25">
      <c r="A72" s="214" t="s">
        <v>3096</v>
      </c>
      <c r="B72" s="64">
        <v>8.2799999999999994</v>
      </c>
      <c r="C72" s="64">
        <v>3.25</v>
      </c>
      <c r="D72" s="64">
        <v>12.11</v>
      </c>
      <c r="E72" s="64">
        <v>3.41</v>
      </c>
      <c r="F72" s="64">
        <v>4.24</v>
      </c>
      <c r="G72" s="64">
        <v>42.6</v>
      </c>
      <c r="H72" s="64">
        <v>15.57</v>
      </c>
      <c r="I72" s="64">
        <v>2.11</v>
      </c>
      <c r="J72" s="64">
        <v>0.6</v>
      </c>
      <c r="K72" s="64">
        <v>352.43</v>
      </c>
      <c r="L72" s="64">
        <v>28.86</v>
      </c>
      <c r="M72" s="64">
        <v>70.36</v>
      </c>
      <c r="N72" s="64">
        <v>210.2</v>
      </c>
      <c r="O72" s="64">
        <v>0</v>
      </c>
      <c r="P72" s="64">
        <v>0.49</v>
      </c>
      <c r="Q72" s="64">
        <v>9.26</v>
      </c>
      <c r="R72" s="198"/>
      <c r="S72" s="198"/>
      <c r="T72" s="198"/>
      <c r="U72" s="198"/>
    </row>
    <row r="73" spans="1:21" s="12" customFormat="1" x14ac:dyDescent="0.25">
      <c r="A73" s="214" t="s">
        <v>3097</v>
      </c>
      <c r="B73" s="64">
        <v>8.2899999999999991</v>
      </c>
      <c r="C73" s="64">
        <v>3.24</v>
      </c>
      <c r="D73" s="64">
        <v>12.11</v>
      </c>
      <c r="E73" s="64">
        <v>3.62</v>
      </c>
      <c r="F73" s="64">
        <v>3.62</v>
      </c>
      <c r="G73" s="64">
        <v>42.6</v>
      </c>
      <c r="H73" s="64">
        <v>15.57</v>
      </c>
      <c r="I73" s="64">
        <v>2.1800000000000002</v>
      </c>
      <c r="J73" s="64">
        <v>0.55000000000000004</v>
      </c>
      <c r="K73" s="64">
        <v>10.77</v>
      </c>
      <c r="L73" s="64">
        <v>29.11</v>
      </c>
      <c r="M73" s="64">
        <v>68.599999999999994</v>
      </c>
      <c r="N73" s="64">
        <v>206.9</v>
      </c>
      <c r="O73" s="64">
        <v>0</v>
      </c>
      <c r="P73" s="64">
        <v>0.48</v>
      </c>
      <c r="Q73" s="64">
        <v>9.25</v>
      </c>
      <c r="R73" s="198"/>
      <c r="S73" s="198"/>
      <c r="T73" s="198"/>
      <c r="U73" s="198"/>
    </row>
    <row r="74" spans="1:21" s="12" customFormat="1" x14ac:dyDescent="0.25">
      <c r="A74" s="214" t="s">
        <v>3098</v>
      </c>
      <c r="B74" s="64">
        <v>8.2799999999999994</v>
      </c>
      <c r="C74" s="64">
        <v>3.19</v>
      </c>
      <c r="D74" s="64">
        <v>12.08</v>
      </c>
      <c r="E74" s="64">
        <v>3.47</v>
      </c>
      <c r="F74" s="64">
        <v>4.1500000000000004</v>
      </c>
      <c r="G74" s="64">
        <v>42.6</v>
      </c>
      <c r="H74" s="64">
        <v>15.57</v>
      </c>
      <c r="I74" s="64">
        <v>2.2000000000000002</v>
      </c>
      <c r="J74" s="64">
        <v>0.65</v>
      </c>
      <c r="K74" s="64">
        <v>6.51</v>
      </c>
      <c r="L74" s="64">
        <v>29.12</v>
      </c>
      <c r="M74" s="64">
        <v>67.099999999999994</v>
      </c>
      <c r="N74" s="64">
        <v>194.3</v>
      </c>
      <c r="O74" s="64">
        <v>0</v>
      </c>
      <c r="P74" s="64">
        <v>0.48</v>
      </c>
      <c r="Q74" s="64">
        <v>9.26</v>
      </c>
      <c r="R74" s="198"/>
      <c r="S74" s="198"/>
      <c r="T74" s="198"/>
      <c r="U74" s="198"/>
    </row>
    <row r="75" spans="1:21" s="12" customFormat="1" x14ac:dyDescent="0.25">
      <c r="A75" s="214" t="s">
        <v>3099</v>
      </c>
      <c r="B75" s="64">
        <v>8.2799999999999994</v>
      </c>
      <c r="C75" s="64">
        <v>3.17</v>
      </c>
      <c r="D75" s="64">
        <v>12.07</v>
      </c>
      <c r="E75" s="64">
        <v>3.39</v>
      </c>
      <c r="F75" s="64">
        <v>4.04</v>
      </c>
      <c r="G75" s="64">
        <v>39.99</v>
      </c>
      <c r="H75" s="64">
        <v>13.4</v>
      </c>
      <c r="I75" s="64">
        <v>2.13</v>
      </c>
      <c r="J75" s="64">
        <v>0.73</v>
      </c>
      <c r="K75" s="64">
        <v>6.69</v>
      </c>
      <c r="L75" s="64">
        <v>28.62</v>
      </c>
      <c r="M75" s="64">
        <v>68.099999999999994</v>
      </c>
      <c r="N75" s="64">
        <v>121.9</v>
      </c>
      <c r="O75" s="64">
        <v>0</v>
      </c>
      <c r="P75" s="64">
        <v>0.47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14" t="s">
        <v>3100</v>
      </c>
      <c r="B76" s="64">
        <v>8.31</v>
      </c>
      <c r="C76" s="64">
        <v>3.21</v>
      </c>
      <c r="D76" s="64">
        <v>12.11</v>
      </c>
      <c r="E76" s="64">
        <v>3.51</v>
      </c>
      <c r="F76" s="64">
        <v>5.26</v>
      </c>
      <c r="G76" s="64">
        <v>38.32</v>
      </c>
      <c r="H76" s="64">
        <v>12.02</v>
      </c>
      <c r="I76" s="64">
        <v>2.1</v>
      </c>
      <c r="J76" s="64">
        <v>0.87</v>
      </c>
      <c r="K76" s="64">
        <v>351.08</v>
      </c>
      <c r="L76" s="64">
        <v>26.21</v>
      </c>
      <c r="M76" s="64">
        <v>77.349999999999994</v>
      </c>
      <c r="N76" s="64">
        <v>49</v>
      </c>
      <c r="O76" s="64">
        <v>0</v>
      </c>
      <c r="P76" s="64">
        <v>0.47</v>
      </c>
      <c r="Q76" s="64">
        <v>9.25</v>
      </c>
      <c r="R76" s="198"/>
      <c r="S76" s="198"/>
      <c r="T76" s="198"/>
      <c r="U76" s="198"/>
    </row>
    <row r="77" spans="1:21" s="12" customFormat="1" x14ac:dyDescent="0.25">
      <c r="A77" s="214" t="s">
        <v>3101</v>
      </c>
      <c r="B77" s="64">
        <v>8.32</v>
      </c>
      <c r="C77" s="64">
        <v>3.27</v>
      </c>
      <c r="D77" s="64">
        <v>12.15</v>
      </c>
      <c r="E77" s="64">
        <v>3.48</v>
      </c>
      <c r="F77" s="64">
        <v>4.8499999999999996</v>
      </c>
      <c r="G77" s="64">
        <v>38.32</v>
      </c>
      <c r="H77" s="64">
        <v>12.02</v>
      </c>
      <c r="I77" s="64">
        <v>2.09</v>
      </c>
      <c r="J77" s="64">
        <v>0.82</v>
      </c>
      <c r="K77" s="64">
        <v>15.06</v>
      </c>
      <c r="L77" s="64">
        <v>24.86</v>
      </c>
      <c r="M77" s="64">
        <v>85.53</v>
      </c>
      <c r="N77" s="64">
        <v>50.8</v>
      </c>
      <c r="O77" s="64">
        <v>0</v>
      </c>
      <c r="P77" s="64">
        <v>0.47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14" t="s">
        <v>3102</v>
      </c>
      <c r="B78" s="64">
        <v>8.33</v>
      </c>
      <c r="C78" s="64">
        <v>3.31</v>
      </c>
      <c r="D78" s="64">
        <v>12.18</v>
      </c>
      <c r="E78" s="64">
        <v>3.36</v>
      </c>
      <c r="F78" s="64">
        <v>4.49</v>
      </c>
      <c r="G78" s="64">
        <v>38.32</v>
      </c>
      <c r="H78" s="64">
        <v>12.02</v>
      </c>
      <c r="I78" s="64">
        <v>2.1</v>
      </c>
      <c r="J78" s="64">
        <v>0.78</v>
      </c>
      <c r="K78" s="64">
        <v>11.81</v>
      </c>
      <c r="L78" s="64">
        <v>23.61</v>
      </c>
      <c r="M78" s="64">
        <v>95.53</v>
      </c>
      <c r="N78" s="64">
        <v>32.5</v>
      </c>
      <c r="O78" s="64">
        <v>1</v>
      </c>
      <c r="P78" s="64">
        <v>0.46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4" t="s">
        <v>3103</v>
      </c>
      <c r="B79" s="64">
        <v>8.32</v>
      </c>
      <c r="C79" s="64">
        <v>3.27</v>
      </c>
      <c r="D79" s="64">
        <v>12.16</v>
      </c>
      <c r="E79" s="64">
        <v>3.69</v>
      </c>
      <c r="F79" s="64">
        <v>3.86</v>
      </c>
      <c r="G79" s="64">
        <v>39.72</v>
      </c>
      <c r="H79" s="64">
        <v>10.96</v>
      </c>
      <c r="I79" s="64">
        <v>2.11</v>
      </c>
      <c r="J79" s="64">
        <v>0.7</v>
      </c>
      <c r="K79" s="64">
        <v>18.22</v>
      </c>
      <c r="L79" s="64">
        <v>22.46</v>
      </c>
      <c r="M79" s="64">
        <v>98.35</v>
      </c>
      <c r="N79" s="64">
        <v>31.3</v>
      </c>
      <c r="O79" s="64">
        <v>1.4</v>
      </c>
      <c r="P79" s="64">
        <v>0.47</v>
      </c>
      <c r="Q79" s="64">
        <v>9.2799999999999994</v>
      </c>
      <c r="R79" s="198"/>
      <c r="S79" s="198"/>
      <c r="T79" s="198"/>
      <c r="U79" s="198"/>
    </row>
    <row r="80" spans="1:21" s="12" customFormat="1" x14ac:dyDescent="0.25">
      <c r="A80" s="214" t="s">
        <v>3104</v>
      </c>
      <c r="B80" s="64">
        <v>8.35</v>
      </c>
      <c r="C80" s="64">
        <v>3.38</v>
      </c>
      <c r="D80" s="64">
        <v>12.23</v>
      </c>
      <c r="E80" s="64">
        <v>3.48</v>
      </c>
      <c r="F80" s="64">
        <v>3.68</v>
      </c>
      <c r="G80" s="64">
        <v>40.6</v>
      </c>
      <c r="H80" s="64">
        <v>10.31</v>
      </c>
      <c r="I80" s="64">
        <v>2.16</v>
      </c>
      <c r="J80" s="64">
        <v>0.39</v>
      </c>
      <c r="K80" s="64">
        <v>13.99</v>
      </c>
      <c r="L80" s="64">
        <v>21.99</v>
      </c>
      <c r="M80" s="64">
        <v>98.35</v>
      </c>
      <c r="N80" s="64">
        <v>27.8</v>
      </c>
      <c r="O80" s="64">
        <v>0.2</v>
      </c>
      <c r="P80" s="64">
        <v>0.48</v>
      </c>
      <c r="Q80" s="64">
        <v>9.2899999999999991</v>
      </c>
      <c r="R80" s="198"/>
      <c r="S80" s="198"/>
      <c r="T80" s="198"/>
      <c r="U80" s="198"/>
    </row>
    <row r="81" spans="1:26" s="12" customFormat="1" x14ac:dyDescent="0.25">
      <c r="A81" s="214" t="s">
        <v>3105</v>
      </c>
      <c r="B81" s="64">
        <v>8.39</v>
      </c>
      <c r="C81" s="64">
        <v>3.42</v>
      </c>
      <c r="D81" s="64">
        <v>12.29</v>
      </c>
      <c r="E81" s="64">
        <v>3.63</v>
      </c>
      <c r="F81" s="64">
        <v>3.87</v>
      </c>
      <c r="G81" s="64">
        <v>40.6</v>
      </c>
      <c r="H81" s="64">
        <v>10.31</v>
      </c>
      <c r="I81" s="64">
        <v>2.1</v>
      </c>
      <c r="J81" s="64">
        <v>0.49</v>
      </c>
      <c r="K81" s="64">
        <v>21.32</v>
      </c>
      <c r="L81" s="64">
        <v>21.85</v>
      </c>
      <c r="M81" s="64">
        <v>98.35</v>
      </c>
      <c r="N81" s="64">
        <v>24.5</v>
      </c>
      <c r="O81" s="64">
        <v>0.6</v>
      </c>
      <c r="P81" s="64">
        <v>0.49</v>
      </c>
      <c r="Q81" s="64">
        <v>9.2899999999999991</v>
      </c>
      <c r="R81" s="198"/>
      <c r="S81" s="198"/>
      <c r="T81" s="198"/>
      <c r="U81" s="198"/>
    </row>
    <row r="82" spans="1:26" s="12" customFormat="1" x14ac:dyDescent="0.25">
      <c r="A82" s="214" t="s">
        <v>3106</v>
      </c>
      <c r="B82" s="64">
        <v>8.33</v>
      </c>
      <c r="C82" s="64">
        <v>3.27</v>
      </c>
      <c r="D82" s="64">
        <v>12.16</v>
      </c>
      <c r="E82" s="64">
        <v>3.64</v>
      </c>
      <c r="F82" s="64">
        <v>4.41</v>
      </c>
      <c r="G82" s="64">
        <v>40.6</v>
      </c>
      <c r="H82" s="64">
        <v>10.31</v>
      </c>
      <c r="I82" s="64">
        <v>2.19</v>
      </c>
      <c r="J82" s="64">
        <v>0.22</v>
      </c>
      <c r="K82" s="64">
        <v>7.52</v>
      </c>
      <c r="L82" s="64">
        <v>21.85</v>
      </c>
      <c r="M82" s="64">
        <v>98.35</v>
      </c>
      <c r="N82" s="64">
        <v>21.5</v>
      </c>
      <c r="O82" s="64">
        <v>0.2</v>
      </c>
      <c r="P82" s="64">
        <v>0.51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4" t="s">
        <v>3107</v>
      </c>
      <c r="B83" s="64">
        <v>8.31</v>
      </c>
      <c r="C83" s="64">
        <v>3.23</v>
      </c>
      <c r="D83" s="64">
        <v>12.12</v>
      </c>
      <c r="E83" s="64">
        <v>3.5</v>
      </c>
      <c r="F83" s="64">
        <v>2.54</v>
      </c>
      <c r="G83" s="64">
        <v>38.26</v>
      </c>
      <c r="H83" s="64">
        <v>10.27</v>
      </c>
      <c r="I83" s="64">
        <v>2.33</v>
      </c>
      <c r="J83" s="64">
        <v>0.03</v>
      </c>
      <c r="K83" s="64">
        <v>96.56</v>
      </c>
      <c r="L83" s="64">
        <v>21.98</v>
      </c>
      <c r="M83" s="64">
        <v>98.35</v>
      </c>
      <c r="N83" s="64">
        <v>17.899999999999999</v>
      </c>
      <c r="O83" s="64">
        <v>0</v>
      </c>
      <c r="P83" s="64">
        <v>0.5</v>
      </c>
      <c r="Q83" s="64">
        <v>0</v>
      </c>
      <c r="R83" s="198"/>
      <c r="S83" s="198"/>
      <c r="T83" s="198"/>
      <c r="U83" s="198"/>
    </row>
    <row r="84" spans="1:26" s="12" customFormat="1" x14ac:dyDescent="0.25">
      <c r="A84" s="214" t="s">
        <v>3108</v>
      </c>
      <c r="B84" s="64">
        <v>8.35</v>
      </c>
      <c r="C84" s="64">
        <v>3.32</v>
      </c>
      <c r="D84" s="64">
        <v>12.21</v>
      </c>
      <c r="E84" s="64">
        <v>3.49</v>
      </c>
      <c r="F84" s="64">
        <v>3.05</v>
      </c>
      <c r="G84" s="64">
        <v>34.270000000000003</v>
      </c>
      <c r="H84" s="64">
        <v>10.199999999999999</v>
      </c>
      <c r="I84" s="64">
        <v>2.4</v>
      </c>
      <c r="J84" s="64">
        <v>0.05</v>
      </c>
      <c r="K84" s="64">
        <v>87.59</v>
      </c>
      <c r="L84" s="64">
        <v>21.96</v>
      </c>
      <c r="M84" s="64">
        <v>98.35</v>
      </c>
      <c r="N84" s="64">
        <v>18</v>
      </c>
      <c r="O84" s="64">
        <v>0</v>
      </c>
      <c r="P84" s="64">
        <v>0.5</v>
      </c>
      <c r="Q84" s="64">
        <v>0</v>
      </c>
      <c r="R84" s="198"/>
      <c r="S84" s="198"/>
      <c r="T84" s="198"/>
      <c r="U84" s="198"/>
    </row>
    <row r="85" spans="1:26" s="12" customFormat="1" x14ac:dyDescent="0.25">
      <c r="A85" s="214" t="s">
        <v>3109</v>
      </c>
      <c r="B85" s="64">
        <v>8.31</v>
      </c>
      <c r="C85" s="64">
        <v>3.18</v>
      </c>
      <c r="D85" s="64">
        <v>12.1</v>
      </c>
      <c r="E85" s="64">
        <v>3.56</v>
      </c>
      <c r="F85" s="64">
        <v>3.6</v>
      </c>
      <c r="G85" s="64">
        <v>34.270000000000003</v>
      </c>
      <c r="H85" s="64">
        <v>10.199999999999999</v>
      </c>
      <c r="I85" s="64">
        <v>2.44</v>
      </c>
      <c r="J85" s="64">
        <v>0.3</v>
      </c>
      <c r="K85" s="64">
        <v>181.12</v>
      </c>
      <c r="L85" s="64">
        <v>22.01</v>
      </c>
      <c r="M85" s="64">
        <v>98.35</v>
      </c>
      <c r="N85" s="64">
        <v>17.8</v>
      </c>
      <c r="O85" s="64">
        <v>0</v>
      </c>
      <c r="P85" s="64">
        <v>0.49</v>
      </c>
      <c r="Q85" s="64">
        <v>9.33</v>
      </c>
      <c r="R85" s="198"/>
      <c r="S85" s="198"/>
      <c r="T85" s="198"/>
      <c r="U85" s="198"/>
    </row>
    <row r="86" spans="1:26" s="12" customFormat="1" x14ac:dyDescent="0.25">
      <c r="A86" s="214" t="s">
        <v>3110</v>
      </c>
      <c r="B86" s="64">
        <v>8.33</v>
      </c>
      <c r="C86" s="64">
        <v>3.3</v>
      </c>
      <c r="D86" s="64">
        <v>12.17</v>
      </c>
      <c r="E86" s="64">
        <v>3.8</v>
      </c>
      <c r="F86" s="64">
        <v>3.15</v>
      </c>
      <c r="G86" s="64">
        <v>34.270000000000003</v>
      </c>
      <c r="H86" s="64">
        <v>10.199999999999999</v>
      </c>
      <c r="I86" s="64">
        <v>2.4500000000000002</v>
      </c>
      <c r="J86" s="64">
        <v>0.4</v>
      </c>
      <c r="K86" s="64">
        <v>167.82</v>
      </c>
      <c r="L86" s="64">
        <v>22.16</v>
      </c>
      <c r="M86" s="64">
        <v>98.35</v>
      </c>
      <c r="N86" s="64">
        <v>17.399999999999999</v>
      </c>
      <c r="O86" s="64">
        <v>0</v>
      </c>
      <c r="P86" s="64">
        <v>0.48</v>
      </c>
      <c r="Q86" s="64">
        <v>9.2899999999999991</v>
      </c>
      <c r="R86" s="198"/>
      <c r="S86" s="198"/>
      <c r="T86" s="198"/>
      <c r="U86" s="198"/>
    </row>
    <row r="87" spans="1:26" s="12" customFormat="1" x14ac:dyDescent="0.25">
      <c r="A87" s="214" t="s">
        <v>3111</v>
      </c>
      <c r="B87" s="64">
        <v>8.3000000000000007</v>
      </c>
      <c r="C87" s="64">
        <v>3.25</v>
      </c>
      <c r="D87" s="64">
        <v>12.13</v>
      </c>
      <c r="E87" s="64">
        <v>3.62</v>
      </c>
      <c r="F87" s="64">
        <v>4.1399999999999997</v>
      </c>
      <c r="G87" s="64">
        <v>28.74</v>
      </c>
      <c r="H87" s="64">
        <v>10.61</v>
      </c>
      <c r="I87" s="64">
        <v>2.5299999999999998</v>
      </c>
      <c r="J87" s="64">
        <v>0.97</v>
      </c>
      <c r="K87" s="64">
        <v>144.15</v>
      </c>
      <c r="L87" s="64">
        <v>22.3</v>
      </c>
      <c r="M87" s="64">
        <v>98.35</v>
      </c>
      <c r="N87" s="64">
        <v>17.5</v>
      </c>
      <c r="O87" s="64">
        <v>0</v>
      </c>
      <c r="P87" s="64">
        <v>0.49</v>
      </c>
      <c r="Q87" s="64">
        <v>9.32</v>
      </c>
      <c r="R87" s="198"/>
      <c r="S87" s="198"/>
      <c r="T87" s="198"/>
      <c r="U87" s="198"/>
    </row>
    <row r="88" spans="1:26" s="12" customFormat="1" x14ac:dyDescent="0.25">
      <c r="A88" s="214" t="s">
        <v>3112</v>
      </c>
      <c r="B88" s="64">
        <v>8.2799999999999994</v>
      </c>
      <c r="C88" s="64">
        <v>3.23</v>
      </c>
      <c r="D88" s="64">
        <v>12.1</v>
      </c>
      <c r="E88" s="64">
        <v>4.17</v>
      </c>
      <c r="F88" s="64">
        <v>2.87</v>
      </c>
      <c r="G88" s="64">
        <v>25.21</v>
      </c>
      <c r="H88" s="64">
        <v>10.86</v>
      </c>
      <c r="I88" s="64">
        <v>2.75</v>
      </c>
      <c r="J88" s="64">
        <v>0.32</v>
      </c>
      <c r="K88" s="64">
        <v>175.41</v>
      </c>
      <c r="L88" s="64">
        <v>22.38</v>
      </c>
      <c r="M88" s="64">
        <v>98.35</v>
      </c>
      <c r="N88" s="64">
        <v>17.600000000000001</v>
      </c>
      <c r="O88" s="64">
        <v>0</v>
      </c>
      <c r="P88" s="64">
        <v>0.48</v>
      </c>
      <c r="Q88" s="64">
        <v>9.32</v>
      </c>
      <c r="R88" s="198"/>
      <c r="S88" s="198"/>
      <c r="T88" s="198"/>
      <c r="U88" s="198"/>
    </row>
    <row r="89" spans="1:26" s="12" customFormat="1" x14ac:dyDescent="0.25">
      <c r="A89" s="214" t="s">
        <v>3113</v>
      </c>
      <c r="B89" s="64">
        <v>8.31</v>
      </c>
      <c r="C89" s="64">
        <v>3.25</v>
      </c>
      <c r="D89" s="64">
        <v>12.14</v>
      </c>
      <c r="E89" s="64">
        <v>4.16</v>
      </c>
      <c r="F89" s="64">
        <v>3.3</v>
      </c>
      <c r="G89" s="64">
        <v>25.21</v>
      </c>
      <c r="H89" s="64">
        <v>10.86</v>
      </c>
      <c r="I89" s="64">
        <v>2.91</v>
      </c>
      <c r="J89" s="64">
        <v>0.23</v>
      </c>
      <c r="K89" s="64">
        <v>173.54</v>
      </c>
      <c r="L89" s="64">
        <v>22.4</v>
      </c>
      <c r="M89" s="64">
        <v>98.35</v>
      </c>
      <c r="N89" s="64">
        <v>17.8</v>
      </c>
      <c r="O89" s="64">
        <v>0</v>
      </c>
      <c r="P89" s="64">
        <v>0.46</v>
      </c>
      <c r="Q89" s="64">
        <v>9.32</v>
      </c>
      <c r="R89" s="198"/>
      <c r="S89" s="198"/>
      <c r="T89" s="198"/>
      <c r="U89" s="198"/>
    </row>
    <row r="90" spans="1:26" s="12" customFormat="1" x14ac:dyDescent="0.25">
      <c r="A90" s="214" t="s">
        <v>3114</v>
      </c>
      <c r="B90" s="64">
        <v>8.2799999999999994</v>
      </c>
      <c r="C90" s="64">
        <v>3.14</v>
      </c>
      <c r="D90" s="64">
        <v>12.05</v>
      </c>
      <c r="E90" s="64">
        <v>4.26</v>
      </c>
      <c r="F90" s="64">
        <v>4.1399999999999997</v>
      </c>
      <c r="G90" s="64">
        <v>25.21</v>
      </c>
      <c r="H90" s="64">
        <v>10.86</v>
      </c>
      <c r="I90" s="64">
        <v>3.07</v>
      </c>
      <c r="J90" s="64">
        <v>0.99</v>
      </c>
      <c r="K90" s="64">
        <v>148.13999999999999</v>
      </c>
      <c r="L90" s="64">
        <v>22.52</v>
      </c>
      <c r="M90" s="64">
        <v>98.37</v>
      </c>
      <c r="N90" s="64">
        <v>17.7</v>
      </c>
      <c r="O90" s="64">
        <v>0</v>
      </c>
      <c r="P90" s="64">
        <v>0.47</v>
      </c>
      <c r="Q90" s="64">
        <v>9.34</v>
      </c>
      <c r="R90" s="198"/>
      <c r="S90" s="198"/>
      <c r="T90" s="198"/>
      <c r="U90" s="198"/>
    </row>
    <row r="91" spans="1:26" s="12" customFormat="1" x14ac:dyDescent="0.25">
      <c r="A91" s="214" t="s">
        <v>3115</v>
      </c>
      <c r="B91" s="64">
        <v>8.4</v>
      </c>
      <c r="C91" s="64">
        <v>3.41</v>
      </c>
      <c r="D91" s="64">
        <v>12.29</v>
      </c>
      <c r="E91" s="64">
        <v>4.18</v>
      </c>
      <c r="F91" s="64">
        <v>2.72</v>
      </c>
      <c r="G91" s="64">
        <v>21.15</v>
      </c>
      <c r="H91" s="64">
        <v>9.17</v>
      </c>
      <c r="I91" s="64">
        <v>3.1</v>
      </c>
      <c r="J91" s="64">
        <v>0.75</v>
      </c>
      <c r="K91" s="64">
        <v>163.24</v>
      </c>
      <c r="L91" s="64">
        <v>22.64</v>
      </c>
      <c r="M91" s="64">
        <v>98.35</v>
      </c>
      <c r="N91" s="64">
        <v>18</v>
      </c>
      <c r="O91" s="64">
        <v>0</v>
      </c>
      <c r="P91" s="64">
        <v>0.45</v>
      </c>
      <c r="Q91" s="64">
        <v>9.31</v>
      </c>
      <c r="R91" s="198"/>
      <c r="S91" s="198"/>
      <c r="T91" s="198"/>
      <c r="U91" s="198"/>
    </row>
    <row r="92" spans="1:26" s="12" customFormat="1" x14ac:dyDescent="0.25">
      <c r="A92" s="214" t="s">
        <v>3116</v>
      </c>
      <c r="B92" s="64">
        <v>8.42</v>
      </c>
      <c r="C92" s="64">
        <v>3.5</v>
      </c>
      <c r="D92" s="64">
        <v>12.36</v>
      </c>
      <c r="E92" s="64">
        <v>3.83</v>
      </c>
      <c r="F92" s="64">
        <v>3.58</v>
      </c>
      <c r="G92" s="64">
        <v>18.57</v>
      </c>
      <c r="H92" s="64">
        <v>8.1</v>
      </c>
      <c r="I92" s="64">
        <v>3.24</v>
      </c>
      <c r="J92" s="64">
        <v>1.03</v>
      </c>
      <c r="K92" s="64">
        <v>147.61000000000001</v>
      </c>
      <c r="L92" s="64">
        <v>22.63</v>
      </c>
      <c r="M92" s="64">
        <v>98.35</v>
      </c>
      <c r="N92" s="64">
        <v>18.3</v>
      </c>
      <c r="O92" s="64">
        <v>0</v>
      </c>
      <c r="P92" s="64">
        <v>0.44</v>
      </c>
      <c r="Q92" s="64">
        <v>9.32</v>
      </c>
      <c r="R92" s="198"/>
      <c r="S92" s="198"/>
      <c r="T92" s="198"/>
      <c r="U92" s="198"/>
    </row>
    <row r="93" spans="1:26" s="12" customFormat="1" x14ac:dyDescent="0.25">
      <c r="A93" s="214" t="s">
        <v>3117</v>
      </c>
      <c r="B93" s="64">
        <v>8.34</v>
      </c>
      <c r="C93" s="64">
        <v>3.27</v>
      </c>
      <c r="D93" s="64">
        <v>12.17</v>
      </c>
      <c r="E93" s="64">
        <v>4.17</v>
      </c>
      <c r="F93" s="64">
        <v>3.11</v>
      </c>
      <c r="G93" s="64">
        <v>18.57</v>
      </c>
      <c r="H93" s="64">
        <v>8.1</v>
      </c>
      <c r="I93" s="64">
        <v>3.45</v>
      </c>
      <c r="J93" s="64">
        <v>1.1299999999999999</v>
      </c>
      <c r="K93" s="64">
        <v>143.71</v>
      </c>
      <c r="L93" s="64">
        <v>22.58</v>
      </c>
      <c r="M93" s="64">
        <v>98.35</v>
      </c>
      <c r="N93" s="64">
        <v>18.5</v>
      </c>
      <c r="O93" s="64">
        <v>0</v>
      </c>
      <c r="P93" s="64">
        <v>0.43</v>
      </c>
      <c r="Q93" s="64">
        <v>9.32</v>
      </c>
      <c r="R93" s="198"/>
      <c r="S93" s="198"/>
      <c r="T93" s="198"/>
      <c r="U93" s="198"/>
    </row>
    <row r="94" spans="1:26" s="12" customFormat="1" x14ac:dyDescent="0.25">
      <c r="A94" s="214" t="s">
        <v>3118</v>
      </c>
      <c r="B94" s="64">
        <v>8.31</v>
      </c>
      <c r="C94" s="64">
        <v>3.22</v>
      </c>
      <c r="D94" s="64">
        <v>12.12</v>
      </c>
      <c r="E94" s="64">
        <v>3.83</v>
      </c>
      <c r="F94" s="64">
        <v>3.09</v>
      </c>
      <c r="G94" s="64">
        <v>18.57</v>
      </c>
      <c r="H94" s="64">
        <v>8.1</v>
      </c>
      <c r="I94" s="64">
        <v>3.49</v>
      </c>
      <c r="J94" s="64">
        <v>0.46</v>
      </c>
      <c r="K94" s="64">
        <v>162.19</v>
      </c>
      <c r="L94" s="64">
        <v>22.55</v>
      </c>
      <c r="M94" s="64">
        <v>98.35</v>
      </c>
      <c r="N94" s="64">
        <v>17.600000000000001</v>
      </c>
      <c r="O94" s="64">
        <v>0</v>
      </c>
      <c r="P94" s="64">
        <v>0.43</v>
      </c>
      <c r="Q94" s="64">
        <v>9.33</v>
      </c>
      <c r="R94" s="198"/>
      <c r="S94" s="198"/>
      <c r="T94" s="198"/>
      <c r="U94" s="198"/>
    </row>
    <row r="95" spans="1:26" s="12" customFormat="1" x14ac:dyDescent="0.25">
      <c r="A95" s="214" t="s">
        <v>3119</v>
      </c>
      <c r="B95" s="64">
        <v>8.34</v>
      </c>
      <c r="C95" s="64">
        <v>3.16</v>
      </c>
      <c r="D95" s="64">
        <v>12.11</v>
      </c>
      <c r="E95" s="64">
        <v>4.12</v>
      </c>
      <c r="F95" s="64">
        <v>3.26</v>
      </c>
      <c r="G95" s="64">
        <v>19.690000000000001</v>
      </c>
      <c r="H95" s="64">
        <v>9.68</v>
      </c>
      <c r="I95" s="64">
        <v>3.77</v>
      </c>
      <c r="J95" s="64">
        <v>0.6</v>
      </c>
      <c r="K95" s="64">
        <v>158.83000000000001</v>
      </c>
      <c r="L95" s="64">
        <v>22.54</v>
      </c>
      <c r="M95" s="64">
        <v>98.35</v>
      </c>
      <c r="N95" s="64">
        <v>17.399999999999999</v>
      </c>
      <c r="O95" s="64">
        <v>0</v>
      </c>
      <c r="P95" s="64">
        <v>0.42</v>
      </c>
      <c r="Q95" s="64">
        <v>9.32</v>
      </c>
      <c r="R95" s="198"/>
      <c r="S95" s="198"/>
      <c r="T95" s="198"/>
      <c r="U95" s="198"/>
    </row>
    <row r="96" spans="1:26" s="12" customFormat="1" x14ac:dyDescent="0.25">
      <c r="A96" s="214" t="s">
        <v>3120</v>
      </c>
      <c r="B96" s="64">
        <v>8.35</v>
      </c>
      <c r="C96" s="64">
        <v>3.21</v>
      </c>
      <c r="D96" s="64">
        <v>12.15</v>
      </c>
      <c r="E96" s="64">
        <v>3.89</v>
      </c>
      <c r="F96" s="64">
        <v>3.19</v>
      </c>
      <c r="G96" s="64">
        <v>20.41</v>
      </c>
      <c r="H96" s="64">
        <v>10.68</v>
      </c>
      <c r="I96" s="64">
        <v>3.99</v>
      </c>
      <c r="J96" s="64">
        <v>0.28000000000000003</v>
      </c>
      <c r="K96" s="64">
        <v>218.35</v>
      </c>
      <c r="L96" s="64">
        <v>22.53</v>
      </c>
      <c r="M96" s="64">
        <v>98.35</v>
      </c>
      <c r="N96" s="64">
        <v>17.2</v>
      </c>
      <c r="O96" s="64">
        <v>0</v>
      </c>
      <c r="P96" s="64">
        <v>0.43</v>
      </c>
      <c r="Q96" s="64">
        <v>9.34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3121</v>
      </c>
      <c r="B97" s="64">
        <v>8.35</v>
      </c>
      <c r="C97" s="64">
        <v>3.25</v>
      </c>
      <c r="D97" s="64">
        <v>12.17</v>
      </c>
      <c r="E97" s="64">
        <v>4.12</v>
      </c>
      <c r="F97" s="64">
        <v>3.25</v>
      </c>
      <c r="G97" s="64">
        <v>20.41</v>
      </c>
      <c r="H97" s="64">
        <v>10.68</v>
      </c>
      <c r="I97" s="64">
        <v>4.26</v>
      </c>
      <c r="J97" s="64">
        <v>0.59</v>
      </c>
      <c r="K97" s="64">
        <v>143.97</v>
      </c>
      <c r="L97" s="64">
        <v>22.57</v>
      </c>
      <c r="M97" s="64">
        <v>98.35</v>
      </c>
      <c r="N97" s="64">
        <v>17.2</v>
      </c>
      <c r="O97" s="64">
        <v>0</v>
      </c>
      <c r="P97" s="64">
        <v>0.42</v>
      </c>
      <c r="Q97" s="64">
        <v>9.36</v>
      </c>
      <c r="R97" s="198"/>
      <c r="S97" s="198"/>
      <c r="T97" s="198"/>
      <c r="U97" s="198"/>
    </row>
    <row r="98" spans="1:33" s="12" customFormat="1" x14ac:dyDescent="0.25">
      <c r="A98" s="214" t="s">
        <v>3122</v>
      </c>
      <c r="B98" s="64">
        <v>8.34</v>
      </c>
      <c r="C98" s="64">
        <v>3.19</v>
      </c>
      <c r="D98" s="64">
        <v>12.13</v>
      </c>
      <c r="E98" s="64">
        <v>4.18</v>
      </c>
      <c r="F98" s="64">
        <v>3.02</v>
      </c>
      <c r="G98" s="64">
        <v>20.41</v>
      </c>
      <c r="H98" s="64">
        <v>10.68</v>
      </c>
      <c r="I98" s="64">
        <v>4.51</v>
      </c>
      <c r="J98" s="64">
        <v>1.38</v>
      </c>
      <c r="K98" s="64">
        <v>143</v>
      </c>
      <c r="L98" s="64">
        <v>22.65</v>
      </c>
      <c r="M98" s="64">
        <v>98.35</v>
      </c>
      <c r="N98" s="64">
        <v>17.2</v>
      </c>
      <c r="O98" s="64">
        <v>0.2</v>
      </c>
      <c r="P98" s="64">
        <v>0.42</v>
      </c>
      <c r="Q98" s="64">
        <v>9.35</v>
      </c>
      <c r="R98" s="198"/>
      <c r="S98" s="198"/>
      <c r="T98" s="198"/>
      <c r="U98" s="198"/>
    </row>
    <row r="99" spans="1:33" s="12" customFormat="1" x14ac:dyDescent="0.25">
      <c r="A99" s="214" t="s">
        <v>3123</v>
      </c>
      <c r="B99" s="64">
        <v>8.36</v>
      </c>
      <c r="C99" s="64">
        <v>3.24</v>
      </c>
      <c r="D99" s="64">
        <v>12.17</v>
      </c>
      <c r="E99" s="64">
        <v>4.3099999999999996</v>
      </c>
      <c r="F99" s="64">
        <v>3.28</v>
      </c>
      <c r="G99" s="64">
        <v>17.920000000000002</v>
      </c>
      <c r="H99" s="64">
        <v>9.11</v>
      </c>
      <c r="I99" s="64">
        <v>4.53</v>
      </c>
      <c r="J99" s="64">
        <v>1.34</v>
      </c>
      <c r="K99" s="64">
        <v>142.87</v>
      </c>
      <c r="L99" s="64">
        <v>22.66</v>
      </c>
      <c r="M99" s="64">
        <v>98.35</v>
      </c>
      <c r="N99" s="64">
        <v>17.2</v>
      </c>
      <c r="O99" s="64">
        <v>0</v>
      </c>
      <c r="P99" s="64">
        <v>0.4</v>
      </c>
      <c r="Q99" s="64">
        <v>9.35</v>
      </c>
      <c r="R99" s="198"/>
      <c r="S99" s="198"/>
      <c r="T99" s="198"/>
      <c r="U99" s="198"/>
    </row>
    <row r="100" spans="1:33" s="12" customFormat="1" x14ac:dyDescent="0.25">
      <c r="A100" s="214" t="s">
        <v>3124</v>
      </c>
      <c r="B100" s="64">
        <v>8.4499999999999993</v>
      </c>
      <c r="C100" s="64">
        <v>3.41</v>
      </c>
      <c r="D100" s="64">
        <v>12.33</v>
      </c>
      <c r="E100" s="64">
        <v>4.25</v>
      </c>
      <c r="F100" s="64">
        <v>4.46</v>
      </c>
      <c r="G100" s="64">
        <v>16.34</v>
      </c>
      <c r="H100" s="64">
        <v>8.1199999999999992</v>
      </c>
      <c r="I100" s="64">
        <v>4.7</v>
      </c>
      <c r="J100" s="64">
        <v>1.2</v>
      </c>
      <c r="K100" s="64">
        <v>145.41999999999999</v>
      </c>
      <c r="L100" s="64">
        <v>22.71</v>
      </c>
      <c r="M100" s="64">
        <v>98.35</v>
      </c>
      <c r="N100" s="64">
        <v>17.2</v>
      </c>
      <c r="O100" s="64">
        <v>0</v>
      </c>
      <c r="P100" s="64">
        <v>0.41</v>
      </c>
      <c r="Q100" s="64">
        <v>9.36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3125</v>
      </c>
      <c r="B101" s="64">
        <v>8.32</v>
      </c>
      <c r="C101" s="64">
        <v>3.23</v>
      </c>
      <c r="D101" s="64">
        <v>12.14</v>
      </c>
      <c r="E101" s="64">
        <v>4.7300000000000004</v>
      </c>
      <c r="F101" s="64">
        <v>3.56</v>
      </c>
      <c r="G101" s="64">
        <v>16.34</v>
      </c>
      <c r="H101" s="64">
        <v>8.1199999999999992</v>
      </c>
      <c r="I101" s="64">
        <v>5.13</v>
      </c>
      <c r="J101" s="64">
        <v>1.04</v>
      </c>
      <c r="K101" s="64">
        <v>146.54</v>
      </c>
      <c r="L101" s="64">
        <v>22.78</v>
      </c>
      <c r="M101" s="64">
        <v>98.35</v>
      </c>
      <c r="N101" s="64">
        <v>17.100000000000001</v>
      </c>
      <c r="O101" s="64">
        <v>0</v>
      </c>
      <c r="P101" s="64">
        <v>0.39</v>
      </c>
      <c r="Q101" s="64">
        <v>9.2899999999999991</v>
      </c>
      <c r="R101" s="198"/>
      <c r="S101" s="198"/>
      <c r="T101" s="198"/>
      <c r="U101" s="198"/>
    </row>
    <row r="102" spans="1:33" s="12" customFormat="1" x14ac:dyDescent="0.25">
      <c r="A102" s="214" t="s">
        <v>3126</v>
      </c>
      <c r="B102" s="64">
        <v>8.31</v>
      </c>
      <c r="C102" s="64">
        <v>3.26</v>
      </c>
      <c r="D102" s="64">
        <v>12.15</v>
      </c>
      <c r="E102" s="64">
        <v>4.34</v>
      </c>
      <c r="F102" s="64">
        <v>2.9</v>
      </c>
      <c r="G102" s="64">
        <v>16.34</v>
      </c>
      <c r="H102" s="64">
        <v>8.1199999999999992</v>
      </c>
      <c r="I102" s="64">
        <v>5.32</v>
      </c>
      <c r="J102" s="64">
        <v>0.52</v>
      </c>
      <c r="K102" s="64">
        <v>174.99</v>
      </c>
      <c r="L102" s="64">
        <v>22.82</v>
      </c>
      <c r="M102" s="64">
        <v>98.39</v>
      </c>
      <c r="N102" s="64">
        <v>17.2</v>
      </c>
      <c r="O102" s="64">
        <v>0</v>
      </c>
      <c r="P102" s="64">
        <v>0.38</v>
      </c>
      <c r="Q102" s="64">
        <v>9.27</v>
      </c>
      <c r="R102" s="198"/>
      <c r="S102" s="198"/>
      <c r="T102" s="198"/>
      <c r="U102" s="198"/>
    </row>
    <row r="103" spans="1:33" s="12" customFormat="1" x14ac:dyDescent="0.25">
      <c r="A103" s="214" t="s">
        <v>3127</v>
      </c>
      <c r="B103" s="64">
        <v>8.3000000000000007</v>
      </c>
      <c r="C103" s="64">
        <v>3.25</v>
      </c>
      <c r="D103" s="64">
        <v>12.13</v>
      </c>
      <c r="E103" s="64">
        <v>4.29</v>
      </c>
      <c r="F103" s="64">
        <v>4.0599999999999996</v>
      </c>
      <c r="G103" s="64">
        <v>17.940000000000001</v>
      </c>
      <c r="H103" s="64">
        <v>7.24</v>
      </c>
      <c r="I103" s="64">
        <v>5.09</v>
      </c>
      <c r="J103" s="64">
        <v>0.77</v>
      </c>
      <c r="K103" s="64">
        <v>146.04</v>
      </c>
      <c r="L103" s="64">
        <v>22.79</v>
      </c>
      <c r="M103" s="64">
        <v>98.38</v>
      </c>
      <c r="N103" s="64">
        <v>17.3</v>
      </c>
      <c r="O103" s="64">
        <v>0</v>
      </c>
      <c r="P103" s="64">
        <v>0.37</v>
      </c>
      <c r="Q103" s="64">
        <v>9.32</v>
      </c>
      <c r="R103" s="198"/>
      <c r="S103" s="198"/>
      <c r="T103" s="198"/>
      <c r="U103" s="198"/>
    </row>
    <row r="104" spans="1:33" s="12" customFormat="1" x14ac:dyDescent="0.25">
      <c r="A104" s="214" t="s">
        <v>3128</v>
      </c>
      <c r="B104" s="64">
        <v>8.3000000000000007</v>
      </c>
      <c r="C104" s="64">
        <v>3.24</v>
      </c>
      <c r="D104" s="64">
        <v>12.12</v>
      </c>
      <c r="E104" s="64">
        <v>3.66</v>
      </c>
      <c r="F104" s="64">
        <v>2.84</v>
      </c>
      <c r="G104" s="64">
        <v>18.96</v>
      </c>
      <c r="H104" s="64">
        <v>6.68</v>
      </c>
      <c r="I104" s="64">
        <v>4.96</v>
      </c>
      <c r="J104" s="64">
        <v>0.51</v>
      </c>
      <c r="K104" s="64">
        <v>186.28</v>
      </c>
      <c r="L104" s="64">
        <v>22.83</v>
      </c>
      <c r="M104" s="64">
        <v>98.38</v>
      </c>
      <c r="N104" s="64">
        <v>17.3</v>
      </c>
      <c r="O104" s="64">
        <v>0</v>
      </c>
      <c r="P104" s="64">
        <v>0.36</v>
      </c>
      <c r="Q104" s="64">
        <v>9.2799999999999994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8.2799999999999994</v>
      </c>
      <c r="C106" s="67">
        <f>MIN(C9:C104)</f>
        <v>3.11</v>
      </c>
      <c r="D106" s="67">
        <f t="shared" ref="D106:Q106" si="0">MIN(D9:D104)</f>
        <v>12.04</v>
      </c>
      <c r="E106" s="67">
        <f t="shared" si="0"/>
        <v>2.93</v>
      </c>
      <c r="F106" s="67">
        <f t="shared" si="0"/>
        <v>2.38</v>
      </c>
      <c r="G106" s="67">
        <f t="shared" si="0"/>
        <v>13.02</v>
      </c>
      <c r="H106" s="67">
        <f t="shared" si="0"/>
        <v>4.78</v>
      </c>
      <c r="I106" s="67">
        <f t="shared" si="0"/>
        <v>1.82</v>
      </c>
      <c r="J106" s="67">
        <f t="shared" si="0"/>
        <v>0.03</v>
      </c>
      <c r="K106" s="67">
        <f t="shared" si="0"/>
        <v>0.66</v>
      </c>
      <c r="L106" s="67">
        <f t="shared" si="0"/>
        <v>21.85</v>
      </c>
      <c r="M106" s="67">
        <f t="shared" si="0"/>
        <v>67.099999999999994</v>
      </c>
      <c r="N106" s="67">
        <f t="shared" si="0"/>
        <v>17.100000000000001</v>
      </c>
      <c r="O106" s="67">
        <f t="shared" si="0"/>
        <v>0</v>
      </c>
      <c r="P106" s="67">
        <f t="shared" si="0"/>
        <v>0.26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8.82</v>
      </c>
      <c r="C107" s="66">
        <f t="shared" ref="C107:Q107" si="1">MAX(C9:C104)</f>
        <v>3.99</v>
      </c>
      <c r="D107" s="66">
        <f t="shared" si="1"/>
        <v>12.93</v>
      </c>
      <c r="E107" s="66">
        <f t="shared" si="1"/>
        <v>5.34</v>
      </c>
      <c r="F107" s="66">
        <f t="shared" si="1"/>
        <v>5.26</v>
      </c>
      <c r="G107" s="66">
        <f t="shared" si="1"/>
        <v>47.05</v>
      </c>
      <c r="H107" s="66">
        <f t="shared" si="1"/>
        <v>15.57</v>
      </c>
      <c r="I107" s="66">
        <f t="shared" si="1"/>
        <v>6.34</v>
      </c>
      <c r="J107" s="66">
        <f t="shared" si="1"/>
        <v>1.38</v>
      </c>
      <c r="K107" s="66">
        <f t="shared" si="1"/>
        <v>359.45</v>
      </c>
      <c r="L107" s="66">
        <f t="shared" si="1"/>
        <v>29.46</v>
      </c>
      <c r="M107" s="66">
        <f t="shared" si="1"/>
        <v>98.39</v>
      </c>
      <c r="N107" s="66">
        <f t="shared" si="1"/>
        <v>537.9</v>
      </c>
      <c r="O107" s="66">
        <f t="shared" si="1"/>
        <v>1.4</v>
      </c>
      <c r="P107" s="66">
        <f t="shared" si="1"/>
        <v>0.79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8.3454166666666634</v>
      </c>
      <c r="C108" s="67">
        <f t="shared" ref="C108:Q108" si="2">AVERAGE(C9:C104)</f>
        <v>3.2830208333333348</v>
      </c>
      <c r="D108" s="67">
        <f t="shared" si="2"/>
        <v>12.18166666666667</v>
      </c>
      <c r="E108" s="67">
        <f t="shared" si="2"/>
        <v>4.2207291666666693</v>
      </c>
      <c r="F108" s="67">
        <f t="shared" si="2"/>
        <v>3.6396874999999991</v>
      </c>
      <c r="G108" s="67">
        <f t="shared" si="2"/>
        <v>29.070000000000004</v>
      </c>
      <c r="H108" s="67">
        <f t="shared" si="2"/>
        <v>10.320520833333333</v>
      </c>
      <c r="I108" s="67">
        <f t="shared" si="2"/>
        <v>3.2774999999999994</v>
      </c>
      <c r="J108" s="67">
        <f t="shared" si="2"/>
        <v>0.52083333333333348</v>
      </c>
      <c r="K108" s="67">
        <f t="shared" si="2"/>
        <v>185.36333333333332</v>
      </c>
      <c r="L108" s="67">
        <f t="shared" si="2"/>
        <v>24.427916666666672</v>
      </c>
      <c r="M108" s="67">
        <f t="shared" si="2"/>
        <v>91.176979166666698</v>
      </c>
      <c r="N108" s="67">
        <f t="shared" si="2"/>
        <v>127.44791666666663</v>
      </c>
      <c r="O108" s="67">
        <f t="shared" si="2"/>
        <v>5.000000000000001E-2</v>
      </c>
      <c r="P108" s="67">
        <f t="shared" si="2"/>
        <v>0.47354166666666647</v>
      </c>
      <c r="Q108" s="67">
        <f t="shared" si="2"/>
        <v>9.1504166666666702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7.1699910690198598E-2</v>
      </c>
      <c r="C109" s="67">
        <f t="shared" ref="C109:Q109" si="3">STDEV(C9:C104)</f>
        <v>0.13935278813645424</v>
      </c>
      <c r="D109" s="67">
        <f t="shared" si="3"/>
        <v>0.1267543556122103</v>
      </c>
      <c r="E109" s="67">
        <f t="shared" si="3"/>
        <v>0.46876151447843517</v>
      </c>
      <c r="F109" s="67">
        <f t="shared" si="3"/>
        <v>0.65189352234371112</v>
      </c>
      <c r="G109" s="67">
        <f t="shared" si="3"/>
        <v>10.910960978469481</v>
      </c>
      <c r="H109" s="67">
        <f t="shared" si="3"/>
        <v>3.3075204163881828</v>
      </c>
      <c r="I109" s="67">
        <f t="shared" si="3"/>
        <v>1.2732982451305908</v>
      </c>
      <c r="J109" s="67">
        <f t="shared" si="3"/>
        <v>0.25320125827685441</v>
      </c>
      <c r="K109" s="67">
        <f t="shared" si="3"/>
        <v>141.95322242623791</v>
      </c>
      <c r="L109" s="67">
        <f t="shared" si="3"/>
        <v>2.425253504564731</v>
      </c>
      <c r="M109" s="67">
        <f t="shared" si="3"/>
        <v>10.747202438411202</v>
      </c>
      <c r="N109" s="67">
        <f t="shared" si="3"/>
        <v>153.40964011373129</v>
      </c>
      <c r="O109" s="67">
        <f t="shared" si="3"/>
        <v>0.21126187291456172</v>
      </c>
      <c r="P109" s="67">
        <f t="shared" si="3"/>
        <v>0.12457911598799798</v>
      </c>
      <c r="Q109" s="67">
        <f t="shared" si="3"/>
        <v>1.3442923528103707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8" sqref="G58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01-06-2024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01-06-2024 00:15</v>
      </c>
      <c r="B9" s="61">
        <f>'01'!B108</f>
        <v>3.4465625000000002</v>
      </c>
      <c r="C9" s="61">
        <f>'01'!C108</f>
        <v>3.9827083333333326</v>
      </c>
      <c r="D9" s="61">
        <f>'01'!D108</f>
        <v>5.9896874999999987</v>
      </c>
      <c r="E9" s="61">
        <f>'01'!E108</f>
        <v>1.2969791666666668</v>
      </c>
      <c r="F9" s="61">
        <f>'01'!F108</f>
        <v>4.4636458333333335</v>
      </c>
      <c r="G9" s="99">
        <f>'01'!$G$108</f>
        <v>79.785208333333273</v>
      </c>
      <c r="H9" s="61">
        <f>'01'!H108</f>
        <v>30.833437499999988</v>
      </c>
      <c r="I9" s="61">
        <f>'01'!I108</f>
        <v>9.0117708333333386</v>
      </c>
      <c r="J9" s="61">
        <f>'01'!J108</f>
        <v>0.9521875000000003</v>
      </c>
      <c r="K9" s="61">
        <f>'01'!K108</f>
        <v>276.05729166666663</v>
      </c>
      <c r="L9" s="61">
        <f>'01'!L108</f>
        <v>36.301562500000003</v>
      </c>
      <c r="M9" s="61">
        <f>'01'!M108</f>
        <v>26.710208333333341</v>
      </c>
      <c r="N9" s="61">
        <f>'01'!N108</f>
        <v>230.85104166666676</v>
      </c>
      <c r="O9" s="61">
        <f>'01'!O108</f>
        <v>0</v>
      </c>
      <c r="P9" s="202">
        <f>'01'!P108</f>
        <v>0.69874999999999998</v>
      </c>
      <c r="Q9" s="61">
        <f>'01'!Q108</f>
        <v>10.01770833333333</v>
      </c>
      <c r="R9" s="118"/>
      <c r="S9" s="118"/>
      <c r="T9" s="118"/>
      <c r="U9" s="118"/>
    </row>
    <row r="10" spans="1:21" x14ac:dyDescent="0.25">
      <c r="A10" s="94" t="str">
        <f>'02'!$B$2</f>
        <v>02-06-2024 00:15</v>
      </c>
      <c r="B10" s="61">
        <f>'02'!B108</f>
        <v>2.9797916666666668</v>
      </c>
      <c r="C10" s="61">
        <f>'02'!C108</f>
        <v>4.2146874999999993</v>
      </c>
      <c r="D10" s="61">
        <f>'02'!D108</f>
        <v>5.7359374999999995</v>
      </c>
      <c r="E10" s="61">
        <f>'02'!E108</f>
        <v>1.4344791666666667</v>
      </c>
      <c r="F10" s="61">
        <f>'02'!F108</f>
        <v>5.4781250000000012</v>
      </c>
      <c r="G10" s="61">
        <f>'02'!G108</f>
        <v>55.689270833333296</v>
      </c>
      <c r="H10" s="61">
        <f>'02'!H108</f>
        <v>22.060520833333317</v>
      </c>
      <c r="I10" s="61">
        <f>'02'!I108</f>
        <v>6.95583333333333</v>
      </c>
      <c r="J10" s="61">
        <f>'02'!J108</f>
        <v>0.96958333333333302</v>
      </c>
      <c r="K10" s="61">
        <f>'02'!K108</f>
        <v>183.96041666666667</v>
      </c>
      <c r="L10" s="61">
        <f>'02'!L108</f>
        <v>33.00802083333334</v>
      </c>
      <c r="M10" s="61">
        <f>'02'!M108</f>
        <v>43.387291666666648</v>
      </c>
      <c r="N10" s="61">
        <f>'02'!N108</f>
        <v>209.53437499999987</v>
      </c>
      <c r="O10" s="61">
        <f>'02'!O108</f>
        <v>0</v>
      </c>
      <c r="P10" s="202">
        <f>'02'!P108</f>
        <v>0.46447916666666672</v>
      </c>
      <c r="Q10" s="61">
        <f>'02'!Q108</f>
        <v>9.5763541666666701</v>
      </c>
      <c r="R10" s="118"/>
      <c r="S10" s="118"/>
      <c r="T10" s="118"/>
      <c r="U10" s="118"/>
    </row>
    <row r="11" spans="1:21" x14ac:dyDescent="0.25">
      <c r="A11" s="94" t="str">
        <f>'03'!$B$2</f>
        <v>03-06-2024 00:15</v>
      </c>
      <c r="B11" s="61">
        <f>'03'!B108</f>
        <v>2.5834042553191492</v>
      </c>
      <c r="C11" s="61">
        <f>'03'!C108</f>
        <v>1.3008510638297877</v>
      </c>
      <c r="D11" s="61">
        <f>'03'!D108</f>
        <v>3.758936170212765</v>
      </c>
      <c r="E11" s="61">
        <f>'03'!E108</f>
        <v>1.4219148936170207</v>
      </c>
      <c r="F11" s="61">
        <f>'03'!F108</f>
        <v>7.3021874999999996</v>
      </c>
      <c r="G11" s="61">
        <f>'03'!G108</f>
        <v>37.296774193548409</v>
      </c>
      <c r="H11" s="61">
        <f>'03'!H108</f>
        <v>13.562795698924731</v>
      </c>
      <c r="I11" s="61">
        <f>'03'!I108</f>
        <v>5.1651041666666675</v>
      </c>
      <c r="J11" s="61">
        <f>'03'!J108</f>
        <v>0.9981249999999996</v>
      </c>
      <c r="K11" s="61">
        <f>'03'!K108</f>
        <v>190.48114583333333</v>
      </c>
      <c r="L11" s="61">
        <f>'03'!L108</f>
        <v>31.199374999999993</v>
      </c>
      <c r="M11" s="61">
        <f>'03'!M108</f>
        <v>46.734999999999992</v>
      </c>
      <c r="N11" s="61">
        <f>'03'!N108</f>
        <v>222.3177083333334</v>
      </c>
      <c r="O11" s="61">
        <f>'03'!O108</f>
        <v>0</v>
      </c>
      <c r="P11" s="202">
        <f>'03'!P108</f>
        <v>0.40249999999999991</v>
      </c>
      <c r="Q11" s="61">
        <f>'03'!Q108</f>
        <v>9.4094791666666691</v>
      </c>
      <c r="R11" s="118"/>
      <c r="S11" s="118"/>
      <c r="T11" s="118"/>
      <c r="U11" s="118"/>
    </row>
    <row r="12" spans="1:21" x14ac:dyDescent="0.25">
      <c r="A12" s="94" t="str">
        <f>'04'!$B$2</f>
        <v>04-06-2024 00:15</v>
      </c>
      <c r="B12" s="61">
        <f>'04'!B108</f>
        <v>2.8014583333333327</v>
      </c>
      <c r="C12" s="61">
        <f>'04'!C108</f>
        <v>2.6035416666666675</v>
      </c>
      <c r="D12" s="61">
        <f>'04'!D108</f>
        <v>5.3144791666666658</v>
      </c>
      <c r="E12" s="61">
        <f>'04'!E108</f>
        <v>1.3208333333333333</v>
      </c>
      <c r="F12" s="61">
        <f>'04'!F108</f>
        <v>5.9646875000000028</v>
      </c>
      <c r="G12" s="61">
        <f>'04'!G108</f>
        <v>36.676562499999982</v>
      </c>
      <c r="H12" s="61">
        <f>'04'!H108</f>
        <v>15.505729166666669</v>
      </c>
      <c r="I12" s="61">
        <f>'04'!I108</f>
        <v>4.5731250000000001</v>
      </c>
      <c r="J12" s="61">
        <f>'04'!J108</f>
        <v>1.0151041666666665</v>
      </c>
      <c r="K12" s="61">
        <f>'04'!K108</f>
        <v>218.69093749999999</v>
      </c>
      <c r="L12" s="61">
        <f>'04'!L108</f>
        <v>31.989895833333339</v>
      </c>
      <c r="M12" s="61">
        <f>'04'!M108</f>
        <v>44.089166666666671</v>
      </c>
      <c r="N12" s="61">
        <f>'04'!N108</f>
        <v>225.94999999999993</v>
      </c>
      <c r="O12" s="61">
        <f>'04'!O108</f>
        <v>0</v>
      </c>
      <c r="P12" s="202">
        <f>'04'!P108</f>
        <v>0.42729166666666668</v>
      </c>
      <c r="Q12" s="61">
        <f>'04'!Q108</f>
        <v>9.3765625000000039</v>
      </c>
      <c r="R12" s="118"/>
      <c r="S12" s="118"/>
      <c r="T12" s="118"/>
      <c r="U12" s="118"/>
    </row>
    <row r="13" spans="1:21" x14ac:dyDescent="0.25">
      <c r="A13" s="94" t="str">
        <f>'05'!$B$2</f>
        <v>05-06-2024 00:15</v>
      </c>
      <c r="B13" s="61">
        <f>'05'!B108</f>
        <v>2.4440625000000002</v>
      </c>
      <c r="C13" s="61">
        <f>'05'!C108</f>
        <v>0.94833333333333325</v>
      </c>
      <c r="D13" s="61">
        <f>'05'!D108</f>
        <v>3.4371874999999998</v>
      </c>
      <c r="E13" s="61">
        <f>'05'!E108</f>
        <v>1.4965625000000007</v>
      </c>
      <c r="F13" s="61">
        <f>'05'!F108</f>
        <v>6.0105208333333335</v>
      </c>
      <c r="G13" s="61">
        <f>'05'!G108</f>
        <v>36.679687500000014</v>
      </c>
      <c r="H13" s="61">
        <f>'05'!H108</f>
        <v>15.042812499999997</v>
      </c>
      <c r="I13" s="61">
        <f>'05'!I108</f>
        <v>4.6502083333333335</v>
      </c>
      <c r="J13" s="61">
        <f>'05'!J108</f>
        <v>1.1536458333333333</v>
      </c>
      <c r="K13" s="61">
        <f>'05'!K108</f>
        <v>239.53052083333338</v>
      </c>
      <c r="L13" s="61">
        <f>'05'!L108</f>
        <v>30.594895833333329</v>
      </c>
      <c r="M13" s="61">
        <f>'05'!M108</f>
        <v>47.523437500000007</v>
      </c>
      <c r="N13" s="61">
        <f>'05'!N108</f>
        <v>208.48020833333342</v>
      </c>
      <c r="O13" s="61">
        <f>'05'!O108</f>
        <v>4.1666666666666666E-3</v>
      </c>
      <c r="P13" s="202">
        <f>'05'!P108</f>
        <v>0.44375000000000009</v>
      </c>
      <c r="Q13" s="61">
        <f>'05'!Q108</f>
        <v>9.453125</v>
      </c>
      <c r="R13" s="118"/>
      <c r="S13" s="118"/>
      <c r="T13" s="118"/>
      <c r="U13" s="118"/>
    </row>
    <row r="14" spans="1:21" x14ac:dyDescent="0.25">
      <c r="A14" s="94" t="str">
        <f>'06'!$B$2</f>
        <v>06-06-2024 00:15</v>
      </c>
      <c r="B14" s="61">
        <f>'06'!B108</f>
        <v>2.4071875000000005</v>
      </c>
      <c r="C14" s="61">
        <f>'06'!C108</f>
        <v>0.81791666666666707</v>
      </c>
      <c r="D14" s="61">
        <f>'06'!D108</f>
        <v>3.503020833333331</v>
      </c>
      <c r="E14" s="61">
        <f>'06'!E108</f>
        <v>1.3071874999999997</v>
      </c>
      <c r="F14" s="61">
        <f>'06'!F108</f>
        <v>5.7693749999999993</v>
      </c>
      <c r="G14" s="61">
        <f>'06'!G108</f>
        <v>36.199375000000011</v>
      </c>
      <c r="H14" s="61">
        <f>'06'!H108</f>
        <v>15.547604166666661</v>
      </c>
      <c r="I14" s="61">
        <f>'06'!I108</f>
        <v>4.8584375000000026</v>
      </c>
      <c r="J14" s="61">
        <f>'06'!J108</f>
        <v>0.78333333333333355</v>
      </c>
      <c r="K14" s="61">
        <f>'06'!K108</f>
        <v>196.56843749999999</v>
      </c>
      <c r="L14" s="61">
        <f>'06'!L108</f>
        <v>31.465729166666662</v>
      </c>
      <c r="M14" s="61">
        <f>'06'!M108</f>
        <v>47.87812499999999</v>
      </c>
      <c r="N14" s="61">
        <f>'06'!N108</f>
        <v>256.72291666666672</v>
      </c>
      <c r="O14" s="61">
        <f>'06'!O108</f>
        <v>0</v>
      </c>
      <c r="P14" s="202">
        <f>'06'!P108</f>
        <v>0.43906249999999997</v>
      </c>
      <c r="Q14" s="61">
        <f>'06'!Q108</f>
        <v>9.4118279569892476</v>
      </c>
      <c r="R14" s="118"/>
      <c r="S14" s="118"/>
      <c r="T14" s="118"/>
      <c r="U14" s="118"/>
    </row>
    <row r="15" spans="1:21" x14ac:dyDescent="0.25">
      <c r="A15" s="94" t="str">
        <f>'07'!$B$2</f>
        <v>07-06-2024 00:15</v>
      </c>
      <c r="B15" s="61">
        <f>'07'!B108</f>
        <v>2.3884375000000002</v>
      </c>
      <c r="C15" s="61">
        <f>'07'!C108</f>
        <v>0.70197916666666671</v>
      </c>
      <c r="D15" s="61">
        <f>'07'!D108</f>
        <v>3.4267708333333311</v>
      </c>
      <c r="E15" s="61">
        <f>'07'!E108</f>
        <v>1.844479166666666</v>
      </c>
      <c r="F15" s="61">
        <f>'07'!F108</f>
        <v>6.0789583333333361</v>
      </c>
      <c r="G15" s="100">
        <f>'07'!$G$108</f>
        <v>34.994687499999998</v>
      </c>
      <c r="H15" s="61">
        <f>'07'!H108</f>
        <v>14.184270833333334</v>
      </c>
      <c r="I15" s="61">
        <f>'07'!I108</f>
        <v>4.3214583333333332</v>
      </c>
      <c r="J15" s="61">
        <f>'07'!J108</f>
        <v>0.87812499999999971</v>
      </c>
      <c r="K15" s="61">
        <f>'07'!K108</f>
        <v>189.27958333333333</v>
      </c>
      <c r="L15" s="61">
        <f>'07'!L108</f>
        <v>30.497604166666662</v>
      </c>
      <c r="M15" s="61">
        <f>'07'!M108</f>
        <v>49.720729166666651</v>
      </c>
      <c r="N15" s="61">
        <f>'07'!N108</f>
        <v>256.13333333333333</v>
      </c>
      <c r="O15" s="61">
        <f>'07'!O108</f>
        <v>2.0833333333333333E-3</v>
      </c>
      <c r="P15" s="202">
        <f>'07'!P108</f>
        <v>0.39604166666666663</v>
      </c>
      <c r="Q15" s="61">
        <f>'07'!Q108</f>
        <v>9.3826041666666686</v>
      </c>
      <c r="R15" s="118"/>
      <c r="S15" s="118"/>
      <c r="T15" s="118"/>
      <c r="U15" s="118"/>
    </row>
    <row r="16" spans="1:21" x14ac:dyDescent="0.25">
      <c r="A16" s="94" t="str">
        <f>'08'!$B$2</f>
        <v>08-06-2024 00:15</v>
      </c>
      <c r="B16" s="61">
        <f>'08'!B108</f>
        <v>2.3604166666666671</v>
      </c>
      <c r="C16" s="61">
        <f>'08'!C108</f>
        <v>0.62343749999999976</v>
      </c>
      <c r="D16" s="61">
        <f>'08'!D108</f>
        <v>3.3629166666666648</v>
      </c>
      <c r="E16" s="61">
        <f>'08'!E108</f>
        <v>1.7149999999999996</v>
      </c>
      <c r="F16" s="61">
        <f>'08'!F108</f>
        <v>6.2762500000000001</v>
      </c>
      <c r="G16" s="100">
        <f>'08'!$G$108</f>
        <v>33.965833333333315</v>
      </c>
      <c r="H16" s="61">
        <f>'08'!H108</f>
        <v>12.722187500000009</v>
      </c>
      <c r="I16" s="61">
        <f>'08'!I108</f>
        <v>3.4958333333333353</v>
      </c>
      <c r="J16" s="61">
        <f>'08'!J108</f>
        <v>0.82104166666666645</v>
      </c>
      <c r="K16" s="61">
        <f>'08'!K108</f>
        <v>188.69479166666665</v>
      </c>
      <c r="L16" s="61">
        <f>'08'!L108</f>
        <v>29.874895833333337</v>
      </c>
      <c r="M16" s="61">
        <f>'08'!M108</f>
        <v>53.844583333333354</v>
      </c>
      <c r="N16" s="61">
        <f>'08'!N108</f>
        <v>221.30833333333331</v>
      </c>
      <c r="O16" s="61">
        <f>'08'!O108</f>
        <v>0</v>
      </c>
      <c r="P16" s="202">
        <f>'08'!P108</f>
        <v>0.40479166666666672</v>
      </c>
      <c r="Q16" s="61">
        <f>'08'!Q108</f>
        <v>9.3749999999999947</v>
      </c>
      <c r="R16" s="118"/>
      <c r="S16" s="118"/>
      <c r="T16" s="118"/>
      <c r="U16" s="118"/>
    </row>
    <row r="17" spans="1:21" x14ac:dyDescent="0.25">
      <c r="A17" s="94" t="str">
        <f>'09'!$B$2</f>
        <v>09-06-2024 00:15</v>
      </c>
      <c r="B17" s="61">
        <f>'09'!B108</f>
        <v>2.5577083333333328</v>
      </c>
      <c r="C17" s="61">
        <f>'09'!C108</f>
        <v>1.1793750000000005</v>
      </c>
      <c r="D17" s="61">
        <f>'09'!D108</f>
        <v>3.8114583333333294</v>
      </c>
      <c r="E17" s="61">
        <f>'09'!E108</f>
        <v>1.4388541666666663</v>
      </c>
      <c r="F17" s="61">
        <f>'09'!F108</f>
        <v>5.2081250000000008</v>
      </c>
      <c r="G17" s="100">
        <f>'09'!$G$108</f>
        <v>35.223333333333336</v>
      </c>
      <c r="H17" s="61">
        <f>'09'!H108</f>
        <v>13.151249999999999</v>
      </c>
      <c r="I17" s="61">
        <f>'09'!I108</f>
        <v>4.5384375000000015</v>
      </c>
      <c r="J17" s="61">
        <f>'09'!J108</f>
        <v>0.76177083333333295</v>
      </c>
      <c r="K17" s="61">
        <f>'09'!K108</f>
        <v>213.83375000000001</v>
      </c>
      <c r="L17" s="61">
        <f>'09'!L108</f>
        <v>28.797812500000003</v>
      </c>
      <c r="M17" s="61">
        <f>'09'!M108</f>
        <v>66.937291666666667</v>
      </c>
      <c r="N17" s="61">
        <f>'09'!N108</f>
        <v>247.36250000000015</v>
      </c>
      <c r="O17" s="61">
        <f>'09'!O108</f>
        <v>7.2916666666666671E-2</v>
      </c>
      <c r="P17" s="202">
        <f>'09'!P108</f>
        <v>0.44312499999999999</v>
      </c>
      <c r="Q17" s="61">
        <f>'09'!Q108</f>
        <v>9.4188541666666659</v>
      </c>
      <c r="R17" s="118"/>
      <c r="S17" s="118"/>
      <c r="T17" s="118"/>
      <c r="U17" s="118"/>
    </row>
    <row r="18" spans="1:21" x14ac:dyDescent="0.25">
      <c r="A18" s="94" t="str">
        <f>'10'!$B$2</f>
        <v>10-06-2024 00:15</v>
      </c>
      <c r="B18" s="61">
        <f>'10'!B108</f>
        <v>5.1724999999999994</v>
      </c>
      <c r="C18" s="61">
        <f>'10'!C108</f>
        <v>3.6583333333333345</v>
      </c>
      <c r="D18" s="61">
        <f>'10'!D108</f>
        <v>8.1465625000000017</v>
      </c>
      <c r="E18" s="61">
        <f>'10'!E108</f>
        <v>2.4372916666666669</v>
      </c>
      <c r="F18" s="61">
        <f>'10'!F108</f>
        <v>4.8209374999999994</v>
      </c>
      <c r="G18" s="101">
        <f>'10'!$G$108</f>
        <v>43.390729166666652</v>
      </c>
      <c r="H18" s="61">
        <f>'10'!H108</f>
        <v>15.851458333333326</v>
      </c>
      <c r="I18" s="61">
        <f>'10'!I108</f>
        <v>5.6779166666666647</v>
      </c>
      <c r="J18" s="61">
        <f>'10'!J108</f>
        <v>0.54052083333333323</v>
      </c>
      <c r="K18" s="61">
        <f>'10'!K108</f>
        <v>182.82072916666661</v>
      </c>
      <c r="L18" s="61">
        <f>'10'!L108</f>
        <v>30.931875000000005</v>
      </c>
      <c r="M18" s="61">
        <f>'10'!M108</f>
        <v>53.55229166666669</v>
      </c>
      <c r="N18" s="61">
        <f>'10'!N108</f>
        <v>262.72395833333331</v>
      </c>
      <c r="O18" s="61">
        <f>'10'!O108</f>
        <v>0</v>
      </c>
      <c r="P18" s="202">
        <f>'10'!P108</f>
        <v>0.43604166666666644</v>
      </c>
      <c r="Q18" s="61">
        <f>'10'!Q108</f>
        <v>9.4780208333333373</v>
      </c>
      <c r="R18" s="118"/>
      <c r="S18" s="118"/>
      <c r="T18" s="118"/>
      <c r="U18" s="118"/>
    </row>
    <row r="19" spans="1:21" x14ac:dyDescent="0.25">
      <c r="A19" s="94" t="str">
        <f>'11'!$B$2</f>
        <v>11-06-2024 00:15</v>
      </c>
      <c r="B19" s="61">
        <f>'11'!B108</f>
        <v>8.2864583333333339</v>
      </c>
      <c r="C19" s="61">
        <f>'11'!C108</f>
        <v>3.5761458333333356</v>
      </c>
      <c r="D19" s="61">
        <f>'11'!D108</f>
        <v>12.287291666666661</v>
      </c>
      <c r="E19" s="61">
        <f>'11'!E108</f>
        <v>4.1857291666666638</v>
      </c>
      <c r="F19" s="61">
        <f>'11'!F108</f>
        <v>5.1768749999999999</v>
      </c>
      <c r="G19" s="99">
        <f>'11'!$G$108</f>
        <v>95.392395833333296</v>
      </c>
      <c r="H19" s="61">
        <f>'11'!H108</f>
        <v>34.857500000000009</v>
      </c>
      <c r="I19" s="61">
        <f>'11'!I108</f>
        <v>5.4089583333333318</v>
      </c>
      <c r="J19" s="61">
        <f>'11'!J108</f>
        <v>1.1440625000000002</v>
      </c>
      <c r="K19" s="61">
        <f>'11'!K108</f>
        <v>225.98749999999993</v>
      </c>
      <c r="L19" s="61">
        <f>'11'!L108</f>
        <v>32.10541666666667</v>
      </c>
      <c r="M19" s="61">
        <f>'11'!M108</f>
        <v>48.050416666666671</v>
      </c>
      <c r="N19" s="61">
        <f>'11'!N108</f>
        <v>249.03854166666659</v>
      </c>
      <c r="O19" s="61">
        <f>'11'!O108</f>
        <v>0</v>
      </c>
      <c r="P19" s="202">
        <f>'11'!P108</f>
        <v>0.48833333333333334</v>
      </c>
      <c r="Q19" s="61">
        <f>'11'!Q108</f>
        <v>9.4991666666666692</v>
      </c>
      <c r="R19" s="118"/>
      <c r="S19" s="118"/>
      <c r="T19" s="118"/>
      <c r="U19" s="118"/>
    </row>
    <row r="20" spans="1:21" x14ac:dyDescent="0.25">
      <c r="A20" s="94" t="str">
        <f>'12'!$B$2</f>
        <v>12-06-2024 00:15</v>
      </c>
      <c r="B20" s="61">
        <f>'12'!B108</f>
        <v>8.2495833333333266</v>
      </c>
      <c r="C20" s="61">
        <f>'12'!C108</f>
        <v>3.4434375000000004</v>
      </c>
      <c r="D20" s="61">
        <f>'12'!D108</f>
        <v>12.188333333333333</v>
      </c>
      <c r="E20" s="61">
        <f>'12'!E108</f>
        <v>4.1844791666666667</v>
      </c>
      <c r="F20" s="61">
        <f>'12'!F108</f>
        <v>6.7061458333333333</v>
      </c>
      <c r="G20" s="101">
        <f>'12'!$G$108</f>
        <v>56.773645833333354</v>
      </c>
      <c r="H20" s="61">
        <f>'12'!H108</f>
        <v>23.047916666666655</v>
      </c>
      <c r="I20" s="61">
        <f>'12'!I108</f>
        <v>3.0625000000000004</v>
      </c>
      <c r="J20" s="61">
        <f>'12'!J108</f>
        <v>0.91177083333333331</v>
      </c>
      <c r="K20" s="61">
        <f>'12'!K108</f>
        <v>233.1151041666667</v>
      </c>
      <c r="L20" s="61">
        <f>'12'!L108</f>
        <v>31.63614583333333</v>
      </c>
      <c r="M20" s="61">
        <f>'12'!M108</f>
        <v>48.191145833333344</v>
      </c>
      <c r="N20" s="61">
        <f>'12'!N108</f>
        <v>248.48125000000013</v>
      </c>
      <c r="O20" s="61">
        <f>'12'!O108</f>
        <v>0</v>
      </c>
      <c r="P20" s="202">
        <f>'12'!P108</f>
        <v>0.44156250000000002</v>
      </c>
      <c r="Q20" s="61">
        <f>'12'!Q108</f>
        <v>8.9453124999999982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13-06-2024 00:15</v>
      </c>
      <c r="B21" s="91">
        <f>'13'!B108</f>
        <v>8.2216666666666622</v>
      </c>
      <c r="C21" s="91">
        <f>'13'!C108</f>
        <v>3.3617708333333343</v>
      </c>
      <c r="D21" s="91">
        <f>'13'!D108</f>
        <v>12.123125</v>
      </c>
      <c r="E21" s="91">
        <f>'13'!E108</f>
        <v>3.9709374999999998</v>
      </c>
      <c r="F21" s="91">
        <f>'13'!F108</f>
        <v>6.4080208333333362</v>
      </c>
      <c r="G21" s="100">
        <f>'13'!$G$108</f>
        <v>69.392916666666636</v>
      </c>
      <c r="H21" s="91">
        <f>'13'!H108</f>
        <v>36.208437500000002</v>
      </c>
      <c r="I21" s="91">
        <f>'13'!I108</f>
        <v>3.1369791666666678</v>
      </c>
      <c r="J21" s="91">
        <f>'13'!J108</f>
        <v>0.59468750000000015</v>
      </c>
      <c r="K21" s="91">
        <f>'13'!K108</f>
        <v>128.66385416666665</v>
      </c>
      <c r="L21" s="91">
        <f>'13'!L108</f>
        <v>31.751458333333318</v>
      </c>
      <c r="M21" s="91">
        <f>'13'!M108</f>
        <v>50.512083333333322</v>
      </c>
      <c r="N21" s="91">
        <f>'13'!N108</f>
        <v>166.71770833333329</v>
      </c>
      <c r="O21" s="91">
        <f>'13'!O108</f>
        <v>0</v>
      </c>
      <c r="P21" s="203">
        <f>'13'!P108</f>
        <v>0.48656250000000001</v>
      </c>
      <c r="Q21" s="91">
        <f>'13'!Q108</f>
        <v>9.420416666666668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14-06-2024 00:15</v>
      </c>
      <c r="B22" s="90">
        <f>'14'!B108</f>
        <v>8.2214583333333326</v>
      </c>
      <c r="C22" s="90">
        <f>'14'!C108</f>
        <v>3.3662500000000004</v>
      </c>
      <c r="D22" s="90">
        <f>'14'!D108</f>
        <v>12.126458333333332</v>
      </c>
      <c r="E22" s="90">
        <f>'14'!E108</f>
        <v>4.2204166666666652</v>
      </c>
      <c r="F22" s="90">
        <f>'14'!F108</f>
        <v>6.5579166666666646</v>
      </c>
      <c r="G22" s="100">
        <f>'14'!$G$108</f>
        <v>69.737395833333309</v>
      </c>
      <c r="H22" s="100">
        <f>'14'!$G$108</f>
        <v>69.737395833333309</v>
      </c>
      <c r="I22" s="90">
        <f>'14'!I108</f>
        <v>3.7487500000000007</v>
      </c>
      <c r="J22" s="90">
        <f>'14'!J108</f>
        <v>0.6757291666666666</v>
      </c>
      <c r="K22" s="90">
        <f>'14'!K108</f>
        <v>119.49145833333334</v>
      </c>
      <c r="L22" s="90">
        <f>'14'!L108</f>
        <v>31.727500000000003</v>
      </c>
      <c r="M22" s="90">
        <f>'14'!M108</f>
        <v>46.275729166666672</v>
      </c>
      <c r="N22" s="90">
        <f>'14'!N108</f>
        <v>189.84479166666665</v>
      </c>
      <c r="O22" s="90">
        <f>'14'!O108</f>
        <v>0</v>
      </c>
      <c r="P22" s="204">
        <f>'14'!P108</f>
        <v>0.37437499999999996</v>
      </c>
      <c r="Q22" s="90">
        <f>'14'!Q108</f>
        <v>9.4452083333333334</v>
      </c>
      <c r="R22" s="206"/>
      <c r="S22" s="206"/>
      <c r="T22" s="206"/>
      <c r="U22" s="206"/>
    </row>
    <row r="23" spans="1:21" x14ac:dyDescent="0.25">
      <c r="A23" s="94" t="str">
        <f>'15'!$B$2</f>
        <v>15-06-2024 00:15</v>
      </c>
      <c r="B23" s="61">
        <f>'15'!B108</f>
        <v>8.2153684210526325</v>
      </c>
      <c r="C23" s="61">
        <f>'15'!C108</f>
        <v>3.3206315789473706</v>
      </c>
      <c r="D23" s="61">
        <f>'15'!D108</f>
        <v>12.097999999999997</v>
      </c>
      <c r="E23" s="61">
        <f>'15'!E108</f>
        <v>4.0982105263157882</v>
      </c>
      <c r="F23" s="61">
        <f>'15'!F108</f>
        <v>6.0732631578947336</v>
      </c>
      <c r="G23" s="100">
        <f>'15'!$G$108</f>
        <v>59.197473684210507</v>
      </c>
      <c r="H23" s="61">
        <f>'15'!H108</f>
        <v>23.236105263157903</v>
      </c>
      <c r="I23" s="61">
        <f>'15'!I108</f>
        <v>3.3388421052631556</v>
      </c>
      <c r="J23" s="61">
        <f>'15'!J108</f>
        <v>0.62252631578947382</v>
      </c>
      <c r="K23" s="61">
        <f>'15'!K108</f>
        <v>168.65821052631577</v>
      </c>
      <c r="L23" s="61">
        <f>'15'!L108</f>
        <v>30.238421052631583</v>
      </c>
      <c r="M23" s="61">
        <f>'15'!M108</f>
        <v>50.850526315789459</v>
      </c>
      <c r="N23" s="61">
        <f>'15'!N108</f>
        <v>212.25157894736847</v>
      </c>
      <c r="O23" s="61">
        <f>'15'!O108</f>
        <v>0</v>
      </c>
      <c r="P23" s="202">
        <f>'15'!P108</f>
        <v>0.43663157894736832</v>
      </c>
      <c r="Q23" s="61">
        <f>'15'!Q108</f>
        <v>9.4444086021505385</v>
      </c>
      <c r="R23" s="118"/>
      <c r="S23" s="118"/>
      <c r="T23" s="118"/>
      <c r="U23" s="118"/>
    </row>
    <row r="24" spans="1:21" x14ac:dyDescent="0.25">
      <c r="A24" s="94" t="str">
        <f>'16'!$B$2</f>
        <v>16-06-2024 00:15</v>
      </c>
      <c r="B24" s="61">
        <f>'16'!B108</f>
        <v>8.2328125000000032</v>
      </c>
      <c r="C24" s="61">
        <f>'16'!C108</f>
        <v>3.3790624999999976</v>
      </c>
      <c r="D24" s="61">
        <f>'16'!D108</f>
        <v>12.1421875</v>
      </c>
      <c r="E24" s="61">
        <f>'16'!E108</f>
        <v>4.4091666666666685</v>
      </c>
      <c r="F24" s="61">
        <f>'16'!F108</f>
        <v>4.5561458333333311</v>
      </c>
      <c r="G24" s="100">
        <f>'16'!$G$108</f>
        <v>78.731041666666684</v>
      </c>
      <c r="H24" s="61">
        <f>'16'!H108</f>
        <v>28.234166666666667</v>
      </c>
      <c r="I24" s="61">
        <f>'16'!I108</f>
        <v>5.6662500000000016</v>
      </c>
      <c r="J24" s="61">
        <f>'16'!J108</f>
        <v>0.88427083333333367</v>
      </c>
      <c r="K24" s="61">
        <f>'16'!K108</f>
        <v>176.66916666666671</v>
      </c>
      <c r="L24" s="61">
        <f>'16'!L108</f>
        <v>30.713958333333348</v>
      </c>
      <c r="M24" s="61">
        <f>'16'!M108</f>
        <v>54.884479166666694</v>
      </c>
      <c r="N24" s="61">
        <f>'16'!N108</f>
        <v>156.22395833333331</v>
      </c>
      <c r="O24" s="61">
        <f>'16'!O108</f>
        <v>0</v>
      </c>
      <c r="P24" s="202">
        <f>'16'!P108</f>
        <v>0.50458333333333327</v>
      </c>
      <c r="Q24" s="61">
        <f>'16'!Q108</f>
        <v>9.5008333333333344</v>
      </c>
      <c r="R24" s="118"/>
      <c r="S24" s="118"/>
      <c r="T24" s="118"/>
      <c r="U24" s="118"/>
    </row>
    <row r="25" spans="1:21" x14ac:dyDescent="0.25">
      <c r="A25" s="94" t="str">
        <f>'17'!$B$2</f>
        <v>17-06-2024 00:15</v>
      </c>
      <c r="B25" s="61">
        <f>'17'!B108</f>
        <v>8.2076041666666661</v>
      </c>
      <c r="C25" s="61">
        <f>'17'!C108</f>
        <v>3.2932291666666669</v>
      </c>
      <c r="D25" s="61">
        <f>'17'!D108</f>
        <v>12.07625</v>
      </c>
      <c r="E25" s="61">
        <f>'17'!E108</f>
        <v>4.1023958333333335</v>
      </c>
      <c r="F25" s="61">
        <f>'17'!F108</f>
        <v>5.4231249999999998</v>
      </c>
      <c r="G25" s="101">
        <f>'17'!$G$108</f>
        <v>52.803958333333377</v>
      </c>
      <c r="H25" s="61">
        <f>'17'!H108</f>
        <v>19.220937500000012</v>
      </c>
      <c r="I25" s="61">
        <f>'17'!I108</f>
        <v>3.4044791666666687</v>
      </c>
      <c r="J25" s="61">
        <f>'17'!J108</f>
        <v>0.51604166666666673</v>
      </c>
      <c r="K25" s="61">
        <f>'17'!K108</f>
        <v>101.72177083333337</v>
      </c>
      <c r="L25" s="61">
        <f>'17'!L108</f>
        <v>30.011979166666677</v>
      </c>
      <c r="M25" s="61">
        <f>'17'!M108</f>
        <v>54.433229166666671</v>
      </c>
      <c r="N25" s="61">
        <f>'17'!N108</f>
        <v>128.41979166666667</v>
      </c>
      <c r="O25" s="61">
        <f>'17'!O108</f>
        <v>4.1666666666666666E-3</v>
      </c>
      <c r="P25" s="202">
        <f>'17'!P108</f>
        <v>0.36562499999999992</v>
      </c>
      <c r="Q25" s="61">
        <f>'17'!Q108</f>
        <v>9.4337499999999963</v>
      </c>
      <c r="R25" s="118"/>
      <c r="S25" s="118"/>
      <c r="T25" s="118"/>
      <c r="U25" s="118"/>
    </row>
    <row r="26" spans="1:21" x14ac:dyDescent="0.25">
      <c r="A26" s="94" t="str">
        <f>'18'!$B$2</f>
        <v>18-06-2024 00:15</v>
      </c>
      <c r="B26" s="61">
        <f>'18'!B108</f>
        <v>8.2097894736842125</v>
      </c>
      <c r="C26" s="61">
        <f>'18'!C108</f>
        <v>3.2974736842105261</v>
      </c>
      <c r="D26" s="61">
        <f>'18'!D108</f>
        <v>12.08084210526316</v>
      </c>
      <c r="E26" s="61">
        <f>'18'!E108</f>
        <v>3.7469473684210528</v>
      </c>
      <c r="F26" s="61">
        <f>'18'!F108</f>
        <v>6.3053684210526315</v>
      </c>
      <c r="G26" s="99">
        <f>'18'!$G$108</f>
        <v>48.556842105263136</v>
      </c>
      <c r="H26" s="61">
        <f>'18'!H108</f>
        <v>19.369684210526326</v>
      </c>
      <c r="I26" s="61">
        <f>'18'!I108</f>
        <v>2.4038947368421049</v>
      </c>
      <c r="J26" s="61">
        <f>'18'!J108</f>
        <v>0.8974736842105262</v>
      </c>
      <c r="K26" s="61">
        <f>'18'!K108</f>
        <v>187.7355789473684</v>
      </c>
      <c r="L26" s="61">
        <f>'18'!L108</f>
        <v>28.976000000000013</v>
      </c>
      <c r="M26" s="61">
        <f>'18'!M108</f>
        <v>61.826947368421074</v>
      </c>
      <c r="N26" s="61">
        <f>'18'!N108</f>
        <v>244.37894736842102</v>
      </c>
      <c r="O26" s="61">
        <f>'18'!O108</f>
        <v>0.20421052631578943</v>
      </c>
      <c r="P26" s="202">
        <f>'18'!P108</f>
        <v>0.36042105263157875</v>
      </c>
      <c r="Q26" s="61">
        <f>'18'!Q108</f>
        <v>9.410842105263157</v>
      </c>
      <c r="R26" s="118"/>
      <c r="S26" s="118"/>
      <c r="T26" s="118"/>
      <c r="U26" s="118"/>
    </row>
    <row r="27" spans="1:21" x14ac:dyDescent="0.25">
      <c r="A27" s="94" t="str">
        <f>'19'!$B$2</f>
        <v>19-06-2024 00:15</v>
      </c>
      <c r="B27" s="61">
        <f>'19'!B108</f>
        <v>8.2098958333333325</v>
      </c>
      <c r="C27" s="61">
        <f>'19'!C108</f>
        <v>3.3536458333333332</v>
      </c>
      <c r="D27" s="61">
        <f>'19'!D108</f>
        <v>12.110208333333331</v>
      </c>
      <c r="E27" s="61">
        <f>'19'!E108</f>
        <v>4.327916666666666</v>
      </c>
      <c r="F27" s="61">
        <f>'19'!F108</f>
        <v>4.9362500000000002</v>
      </c>
      <c r="G27" s="61">
        <f>'19'!G108</f>
        <v>41.67812500000003</v>
      </c>
      <c r="H27" s="61">
        <f>'19'!H108</f>
        <v>13.559479166666662</v>
      </c>
      <c r="I27" s="61">
        <f>'19'!I108</f>
        <v>3.0538541666666661</v>
      </c>
      <c r="J27" s="61">
        <f>'19'!J108</f>
        <v>0.54635416666666681</v>
      </c>
      <c r="K27" s="61">
        <f>'19'!K108</f>
        <v>192.43989583333334</v>
      </c>
      <c r="L27" s="61">
        <f>'19'!L108</f>
        <v>27.229270833333334</v>
      </c>
      <c r="M27" s="61">
        <f>'19'!M108</f>
        <v>76.186458333333334</v>
      </c>
      <c r="N27" s="61">
        <f>'19'!N108</f>
        <v>174.9302083333333</v>
      </c>
      <c r="O27" s="61">
        <f>'19'!O108</f>
        <v>0</v>
      </c>
      <c r="P27" s="202">
        <f>'19'!P108</f>
        <v>0.40239583333333334</v>
      </c>
      <c r="Q27" s="61">
        <f>'19'!Q108</f>
        <v>9.4894791666666674</v>
      </c>
      <c r="R27" s="118"/>
      <c r="S27" s="118"/>
      <c r="T27" s="118"/>
      <c r="U27" s="118"/>
    </row>
    <row r="28" spans="1:21" x14ac:dyDescent="0.25">
      <c r="A28" s="94" t="str">
        <f>'20'!$B$2</f>
        <v>20-06-2024 00:15</v>
      </c>
      <c r="B28" s="61">
        <f>'20'!B108</f>
        <v>8.2149999999999981</v>
      </c>
      <c r="C28" s="61">
        <f>'20'!C108</f>
        <v>3.3506249999999991</v>
      </c>
      <c r="D28" s="61">
        <f>'20'!D108</f>
        <v>12.112395833333332</v>
      </c>
      <c r="E28" s="61">
        <f>'20'!E108</f>
        <v>4.205520833333332</v>
      </c>
      <c r="F28" s="61">
        <f>'20'!F108</f>
        <v>4.6590624999999992</v>
      </c>
      <c r="G28" s="61">
        <f>'20'!G108</f>
        <v>29.652604166666681</v>
      </c>
      <c r="H28" s="61">
        <f>'20'!H108</f>
        <v>9.3874999999999975</v>
      </c>
      <c r="I28" s="61">
        <f>'20'!I108</f>
        <v>2.6161458333333347</v>
      </c>
      <c r="J28" s="61">
        <f>'20'!J108</f>
        <v>0.90843750000000012</v>
      </c>
      <c r="K28" s="61">
        <f>'20'!K108</f>
        <v>221.77447916666665</v>
      </c>
      <c r="L28" s="61">
        <f>'20'!L108</f>
        <v>26.489374999999999</v>
      </c>
      <c r="M28" s="61">
        <f>'20'!M108</f>
        <v>77.752395833333296</v>
      </c>
      <c r="N28" s="61">
        <f>'20'!N108</f>
        <v>220.09166666666661</v>
      </c>
      <c r="O28" s="61">
        <f>'20'!O108</f>
        <v>0.27291666666666664</v>
      </c>
      <c r="P28" s="202">
        <f>'20'!P108</f>
        <v>0.32510416666666669</v>
      </c>
      <c r="Q28" s="61">
        <f>'20'!Q108</f>
        <v>9.4897894736842101</v>
      </c>
      <c r="R28" s="118"/>
      <c r="S28" s="118"/>
      <c r="T28" s="118"/>
      <c r="U28" s="118"/>
    </row>
    <row r="29" spans="1:21" x14ac:dyDescent="0.25">
      <c r="A29" s="94" t="str">
        <f>'21'!$B$2</f>
        <v>21-06-2024 00:15</v>
      </c>
      <c r="B29" s="61">
        <f>'21'!B108</f>
        <v>8.2088541666666668</v>
      </c>
      <c r="C29" s="61">
        <f>'21'!C108</f>
        <v>3.3251041666666681</v>
      </c>
      <c r="D29" s="61">
        <f>'21'!D108</f>
        <v>12.094375000000001</v>
      </c>
      <c r="E29" s="61">
        <f>'21'!E108</f>
        <v>4.1582291666666675</v>
      </c>
      <c r="F29" s="61">
        <f>'21'!F108</f>
        <v>4.3015625000000011</v>
      </c>
      <c r="G29" s="61">
        <f>'21'!G108</f>
        <v>29.005104166666669</v>
      </c>
      <c r="H29" s="61">
        <f>'21'!H108</f>
        <v>10.576250000000003</v>
      </c>
      <c r="I29" s="61">
        <f>'21'!I108</f>
        <v>5.0510416666666664</v>
      </c>
      <c r="J29" s="61">
        <f>'21'!J108</f>
        <v>0.64958333333333307</v>
      </c>
      <c r="K29" s="61">
        <f>'21'!K108</f>
        <v>176.82708333333338</v>
      </c>
      <c r="L29" s="61">
        <f>'21'!L108</f>
        <v>25.018124999999998</v>
      </c>
      <c r="M29" s="61">
        <f>'21'!M108</f>
        <v>87.783958333333317</v>
      </c>
      <c r="N29" s="61">
        <f>'21'!N108</f>
        <v>146.44479166666665</v>
      </c>
      <c r="O29" s="61">
        <f>'21'!O108</f>
        <v>0.11458333333333333</v>
      </c>
      <c r="P29" s="202">
        <f>'21'!P108</f>
        <v>0.3247916666666667</v>
      </c>
      <c r="Q29" s="61">
        <f>'21'!Q108</f>
        <v>9.5035416666666688</v>
      </c>
      <c r="R29" s="118"/>
      <c r="S29" s="118"/>
      <c r="T29" s="118"/>
      <c r="U29" s="118"/>
    </row>
    <row r="30" spans="1:21" x14ac:dyDescent="0.25">
      <c r="A30" s="94" t="str">
        <f>'22'!$B$2</f>
        <v>22-06-2024 00:15</v>
      </c>
      <c r="B30" s="61">
        <f>'22'!B108</f>
        <v>8.2033333333333331</v>
      </c>
      <c r="C30" s="61">
        <f>'22'!C108</f>
        <v>3.3276041666666658</v>
      </c>
      <c r="D30" s="61">
        <f>'22'!D108</f>
        <v>12.09145833333333</v>
      </c>
      <c r="E30" s="61">
        <f>'22'!E108</f>
        <v>4.6644210526315781</v>
      </c>
      <c r="F30" s="61">
        <f>'22'!F108</f>
        <v>4.4539583333333326</v>
      </c>
      <c r="G30" s="61">
        <f>'22'!G108</f>
        <v>28.656413043478263</v>
      </c>
      <c r="H30" s="61">
        <f>'22'!H108</f>
        <v>7.8855434782608747</v>
      </c>
      <c r="I30" s="61">
        <f>'22'!I108</f>
        <v>4.2121874999999989</v>
      </c>
      <c r="J30" s="61">
        <f>'22'!J108</f>
        <v>0.45500000000000007</v>
      </c>
      <c r="K30" s="61">
        <f>'22'!K108</f>
        <v>159.07656249999997</v>
      </c>
      <c r="L30" s="61">
        <f>'22'!L108</f>
        <v>24.728125000000002</v>
      </c>
      <c r="M30" s="61">
        <f>'22'!M108</f>
        <v>89.874166666666682</v>
      </c>
      <c r="N30" s="61">
        <f>'22'!N108</f>
        <v>135.88750000000002</v>
      </c>
      <c r="O30" s="61">
        <f>'22'!O108</f>
        <v>8.3333333333333332E-3</v>
      </c>
      <c r="P30" s="202">
        <f>'22'!P108</f>
        <v>0.36791666666666684</v>
      </c>
      <c r="Q30" s="61">
        <f>'22'!Q108</f>
        <v>9.3835416666666678</v>
      </c>
      <c r="R30" s="118"/>
      <c r="S30" s="118"/>
      <c r="T30" s="118"/>
      <c r="U30" s="118"/>
    </row>
    <row r="31" spans="1:21" x14ac:dyDescent="0.25">
      <c r="A31" s="94" t="str">
        <f>'23'!$B$2</f>
        <v>23-06-2024 00:15</v>
      </c>
      <c r="B31" s="61">
        <f>'23'!B108</f>
        <v>8.2359375000000021</v>
      </c>
      <c r="C31" s="61">
        <f>'23'!C108</f>
        <v>3.3868749999999994</v>
      </c>
      <c r="D31" s="61">
        <f>'23'!D108</f>
        <v>12.148333333333335</v>
      </c>
      <c r="E31" s="61">
        <f>'23'!E108</f>
        <v>4.2939583333333333</v>
      </c>
      <c r="F31" s="61">
        <f>'23'!F108</f>
        <v>3.7319791666666657</v>
      </c>
      <c r="G31" s="61">
        <f>'23'!G108</f>
        <v>44.120833333333337</v>
      </c>
      <c r="H31" s="61">
        <f>'23'!H108</f>
        <v>16.309270833333329</v>
      </c>
      <c r="I31" s="61">
        <f>'23'!I108</f>
        <v>5.8237500000000004</v>
      </c>
      <c r="J31" s="61">
        <f>'23'!J108</f>
        <v>0.6434375</v>
      </c>
      <c r="K31" s="61">
        <f>'23'!K108</f>
        <v>183.01291666666668</v>
      </c>
      <c r="L31" s="61">
        <f>'23'!L108</f>
        <v>25.178437500000015</v>
      </c>
      <c r="M31" s="61">
        <f>'23'!M108</f>
        <v>92.924895833333267</v>
      </c>
      <c r="N31" s="61">
        <f>'23'!N108</f>
        <v>110.95416666666659</v>
      </c>
      <c r="O31" s="61">
        <f>'23'!O108</f>
        <v>0.14375000000000002</v>
      </c>
      <c r="P31" s="202">
        <f>'23'!P108</f>
        <v>0.53947916666666651</v>
      </c>
      <c r="Q31" s="61">
        <f>'23'!Q108</f>
        <v>9.6010416666666654</v>
      </c>
      <c r="R31" s="118"/>
      <c r="S31" s="207"/>
      <c r="T31" s="118"/>
      <c r="U31" s="118"/>
    </row>
    <row r="32" spans="1:21" x14ac:dyDescent="0.25">
      <c r="A32" s="94" t="str">
        <f>'24'!$B$2</f>
        <v>24-06-2024 00:15</v>
      </c>
      <c r="B32" s="61">
        <f>'24'!B108</f>
        <v>8.2071874999999981</v>
      </c>
      <c r="C32" s="61">
        <f>'24'!C108</f>
        <v>3.2925000000000004</v>
      </c>
      <c r="D32" s="61">
        <f>'24'!D108</f>
        <v>12.076354166666663</v>
      </c>
      <c r="E32" s="61">
        <f>'24'!E108</f>
        <v>4.384895833333335</v>
      </c>
      <c r="F32" s="61">
        <f>'24'!F108</f>
        <v>4.3501041666666653</v>
      </c>
      <c r="G32" s="61">
        <f>'24'!G108</f>
        <v>30.729166666666657</v>
      </c>
      <c r="H32" s="61">
        <f>'24'!H108</f>
        <v>9.9651041666666682</v>
      </c>
      <c r="I32" s="61">
        <f>'24'!I108</f>
        <v>5.2796874999999988</v>
      </c>
      <c r="J32" s="61">
        <f>'24'!J108</f>
        <v>0.84885416666666647</v>
      </c>
      <c r="K32" s="61">
        <f>'24'!K108</f>
        <v>170.230625</v>
      </c>
      <c r="L32" s="61">
        <f>'24'!L108</f>
        <v>27.517604166666661</v>
      </c>
      <c r="M32" s="61">
        <f>'24'!M108</f>
        <v>78.851979166666652</v>
      </c>
      <c r="N32" s="61">
        <f>'24'!N108</f>
        <v>234.83854166666674</v>
      </c>
      <c r="O32" s="61">
        <f>'24'!O108</f>
        <v>0</v>
      </c>
      <c r="P32" s="202">
        <f>'24'!P108</f>
        <v>0.34656249999999983</v>
      </c>
      <c r="Q32" s="61">
        <f>'24'!Q108</f>
        <v>9.4765625000000036</v>
      </c>
      <c r="R32" s="118"/>
      <c r="S32" s="118"/>
      <c r="T32" s="118"/>
      <c r="U32" s="118"/>
    </row>
    <row r="33" spans="1:21" x14ac:dyDescent="0.25">
      <c r="A33" s="94" t="str">
        <f>'25'!$B$2</f>
        <v>25-06-2024 00:15</v>
      </c>
      <c r="B33" s="61">
        <f>'25'!B108</f>
        <v>8.2003125000000008</v>
      </c>
      <c r="C33" s="61">
        <f>'25'!C108</f>
        <v>3.2507291666666678</v>
      </c>
      <c r="D33" s="61">
        <f>'25'!D108</f>
        <v>12.049166666666666</v>
      </c>
      <c r="E33" s="61">
        <f>'25'!E108</f>
        <v>4.3120833333333337</v>
      </c>
      <c r="F33" s="61">
        <f>'25'!F108</f>
        <v>3.9823958333333338</v>
      </c>
      <c r="G33" s="61">
        <f>'25'!G108</f>
        <v>38.155208333333341</v>
      </c>
      <c r="H33" s="61">
        <f>'25'!H108</f>
        <v>13.88</v>
      </c>
      <c r="I33" s="61">
        <f>'25'!I108</f>
        <v>5.2302083333333353</v>
      </c>
      <c r="J33" s="61">
        <f>'25'!J108</f>
        <v>0.59333333333333338</v>
      </c>
      <c r="K33" s="61">
        <f>'25'!K108</f>
        <v>207.47989583333336</v>
      </c>
      <c r="L33" s="61">
        <f>'25'!L108</f>
        <v>29.216979166666661</v>
      </c>
      <c r="M33" s="61">
        <f>'25'!M108</f>
        <v>69.471979166666742</v>
      </c>
      <c r="N33" s="61">
        <f>'25'!N108</f>
        <v>222.51666666666668</v>
      </c>
      <c r="O33" s="61">
        <f>'25'!O108</f>
        <v>0</v>
      </c>
      <c r="P33" s="202">
        <f>'25'!P108</f>
        <v>0.41708333333333353</v>
      </c>
      <c r="Q33" s="61">
        <f>'25'!Q108</f>
        <v>9.4121874999999999</v>
      </c>
      <c r="R33" s="118"/>
      <c r="S33" s="207"/>
      <c r="T33" s="118"/>
      <c r="U33" s="118"/>
    </row>
    <row r="34" spans="1:21" x14ac:dyDescent="0.25">
      <c r="A34" s="94" t="str">
        <f>'26'!$B$2</f>
        <v>26-06-2024 00:15</v>
      </c>
      <c r="B34" s="61">
        <f>'26'!B108</f>
        <v>8.2003125000000026</v>
      </c>
      <c r="C34" s="61">
        <f>'26'!C108</f>
        <v>3.2270833333333333</v>
      </c>
      <c r="D34" s="61">
        <f>'26'!D108</f>
        <v>12.035520833333338</v>
      </c>
      <c r="E34" s="61">
        <f>'26'!E108</f>
        <v>5.7297872340425533</v>
      </c>
      <c r="F34" s="61">
        <f>'26'!F108</f>
        <v>4.9357291666666674</v>
      </c>
      <c r="G34" s="61">
        <f>'26'!G108</f>
        <v>41.305161290322609</v>
      </c>
      <c r="H34" s="61">
        <f>'26'!H108</f>
        <v>13.184946236559146</v>
      </c>
      <c r="I34" s="61">
        <f>'26'!I108</f>
        <v>5.6883333333333326</v>
      </c>
      <c r="J34" s="61">
        <f>'26'!J108</f>
        <v>0.75916666666666677</v>
      </c>
      <c r="K34" s="61">
        <f>'26'!K108</f>
        <v>180.08833333333337</v>
      </c>
      <c r="L34" s="61">
        <f>'26'!L108</f>
        <v>27.791666666666671</v>
      </c>
      <c r="M34" s="61">
        <f>'26'!M108</f>
        <v>77.020520833333364</v>
      </c>
      <c r="N34" s="61">
        <f>'26'!N108</f>
        <v>201.49479166666654</v>
      </c>
      <c r="O34" s="61">
        <f>'26'!O108</f>
        <v>9.7916666666666638E-2</v>
      </c>
      <c r="P34" s="202">
        <f>'26'!P108</f>
        <v>0.40583333333333332</v>
      </c>
      <c r="Q34" s="61">
        <f>'26'!Q108</f>
        <v>9.389270833333331</v>
      </c>
      <c r="R34" s="118"/>
      <c r="S34" s="118"/>
      <c r="T34" s="118"/>
      <c r="U34" s="118"/>
    </row>
    <row r="35" spans="1:21" x14ac:dyDescent="0.25">
      <c r="A35" s="94" t="str">
        <f>'27'!$B$2</f>
        <v>27-06-2024 00:15</v>
      </c>
      <c r="B35" s="61">
        <f>'27'!B108</f>
        <v>8.1867708333333322</v>
      </c>
      <c r="C35" s="61">
        <f>'27'!C108</f>
        <v>3.1912499999999997</v>
      </c>
      <c r="D35" s="61">
        <f>'27'!D108</f>
        <v>12.00677083333334</v>
      </c>
      <c r="E35" s="61">
        <f>'27'!E108</f>
        <v>4.5456250000000011</v>
      </c>
      <c r="F35" s="61">
        <f>'27'!F108</f>
        <v>3.8231250000000006</v>
      </c>
      <c r="G35" s="61">
        <f>'27'!G108</f>
        <v>39.903333333333329</v>
      </c>
      <c r="H35" s="61">
        <f>'27'!H108</f>
        <v>12.932916666666664</v>
      </c>
      <c r="I35" s="61">
        <f>'27'!I108</f>
        <v>5.3119791666666654</v>
      </c>
      <c r="J35" s="61">
        <f>'27'!J108</f>
        <v>0.70541666666666669</v>
      </c>
      <c r="K35" s="61">
        <f>'27'!K108</f>
        <v>154.31572916666673</v>
      </c>
      <c r="L35" s="61">
        <f>'27'!L108</f>
        <v>27.720312499999995</v>
      </c>
      <c r="M35" s="61">
        <f>'27'!M108</f>
        <v>79.731041666666655</v>
      </c>
      <c r="N35" s="61">
        <f>'27'!N108</f>
        <v>207.01354166666673</v>
      </c>
      <c r="O35" s="61">
        <f>'27'!O108</f>
        <v>2.0833333333333333E-3</v>
      </c>
      <c r="P35" s="202">
        <f>'27'!P108</f>
        <v>0.40604166666666658</v>
      </c>
      <c r="Q35" s="61">
        <f>'27'!Q108</f>
        <v>9.1650000000000045</v>
      </c>
      <c r="R35" s="118"/>
      <c r="S35" s="118"/>
      <c r="T35" s="118"/>
      <c r="U35" s="118"/>
    </row>
    <row r="36" spans="1:21" x14ac:dyDescent="0.25">
      <c r="A36" s="94" t="str">
        <f>'28'!$B$2</f>
        <v>28-06-2024 00:15</v>
      </c>
      <c r="B36" s="61">
        <f>'28'!B108</f>
        <v>8.1953125000000053</v>
      </c>
      <c r="C36" s="61">
        <f>'28'!C108</f>
        <v>3.1873958333333321</v>
      </c>
      <c r="D36" s="61">
        <f>'28'!D108</f>
        <v>12.011666666666663</v>
      </c>
      <c r="E36" s="61">
        <f>'28'!E108</f>
        <v>4.2905208333333329</v>
      </c>
      <c r="F36" s="61">
        <f>'28'!F108</f>
        <v>4.3620833333333335</v>
      </c>
      <c r="G36" s="61">
        <f>'28'!G108</f>
        <v>26.311874999999986</v>
      </c>
      <c r="H36" s="61">
        <f>'28'!H108</f>
        <v>7.0497916666666685</v>
      </c>
      <c r="I36" s="61">
        <f>'28'!I108</f>
        <v>2.4716666666666671</v>
      </c>
      <c r="J36" s="61">
        <f>'28'!J108</f>
        <v>0.46104166666666663</v>
      </c>
      <c r="K36" s="61">
        <f>'28'!K108</f>
        <v>151.5047916666667</v>
      </c>
      <c r="L36" s="61">
        <f>'28'!L108</f>
        <v>25.478958333333338</v>
      </c>
      <c r="M36" s="61">
        <f>'28'!M108</f>
        <v>90.805833333333339</v>
      </c>
      <c r="N36" s="61">
        <f>'28'!N108</f>
        <v>130.04895833333327</v>
      </c>
      <c r="O36" s="61">
        <f>'28'!O108</f>
        <v>1.0416666666666666E-2</v>
      </c>
      <c r="P36" s="202">
        <f>'28'!P108</f>
        <v>0.39406249999999993</v>
      </c>
      <c r="Q36" s="61">
        <f>'28'!Q108</f>
        <v>9.3123958333333334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29-06-2024 00:15</v>
      </c>
      <c r="B37" s="61">
        <f>'29'!B108</f>
        <v>8.3099999999999987</v>
      </c>
      <c r="C37" s="61">
        <f>'29'!C108</f>
        <v>3.2871874999999995</v>
      </c>
      <c r="D37" s="61">
        <f>'29'!D108</f>
        <v>12.155520833333334</v>
      </c>
      <c r="E37" s="61">
        <f>'29'!E108</f>
        <v>4.0920833333333304</v>
      </c>
      <c r="F37" s="61">
        <f>'29'!F108</f>
        <v>3.6329166666666679</v>
      </c>
      <c r="G37" s="61">
        <f>'29'!G108</f>
        <v>22.676979166666673</v>
      </c>
      <c r="H37" s="61">
        <f>'29'!H108</f>
        <v>7.9798958333333339</v>
      </c>
      <c r="I37" s="61">
        <f>'29'!I108</f>
        <v>2.9877083333333334</v>
      </c>
      <c r="J37" s="61">
        <f>'29'!J108</f>
        <v>0.50166666666666659</v>
      </c>
      <c r="K37" s="61">
        <f>'29'!K108</f>
        <v>217.72822916666658</v>
      </c>
      <c r="L37" s="61">
        <f>'29'!L108</f>
        <v>23.963229166666661</v>
      </c>
      <c r="M37" s="61">
        <f>'29'!M108</f>
        <v>97.466145833333258</v>
      </c>
      <c r="N37" s="61">
        <f>'29'!N108</f>
        <v>51.430208333333333</v>
      </c>
      <c r="O37" s="61">
        <f>'29'!O108</f>
        <v>6.458333333333334E-2</v>
      </c>
      <c r="P37" s="202">
        <f>'29'!P108</f>
        <v>0.51250000000000007</v>
      </c>
      <c r="Q37" s="61">
        <f>'29'!Q108</f>
        <v>9.4211458333333358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30-06-2024 00:15</v>
      </c>
      <c r="B38" s="61">
        <f>'30'!B108</f>
        <v>8.3454166666666634</v>
      </c>
      <c r="C38" s="61">
        <f>'30'!C108</f>
        <v>3.2830208333333348</v>
      </c>
      <c r="D38" s="61">
        <f>'30'!D108</f>
        <v>12.18166666666667</v>
      </c>
      <c r="E38" s="61">
        <f>'30'!E108</f>
        <v>4.2207291666666693</v>
      </c>
      <c r="F38" s="61">
        <f>'30'!F108</f>
        <v>3.6396874999999991</v>
      </c>
      <c r="G38" s="61">
        <f>'30'!G108</f>
        <v>29.070000000000004</v>
      </c>
      <c r="H38" s="61">
        <f>'30'!H108</f>
        <v>10.320520833333333</v>
      </c>
      <c r="I38" s="61">
        <f>'30'!I108</f>
        <v>3.2774999999999994</v>
      </c>
      <c r="J38" s="61">
        <f>'30'!J108</f>
        <v>0.52083333333333348</v>
      </c>
      <c r="K38" s="61">
        <f>'30'!K108</f>
        <v>185.36333333333332</v>
      </c>
      <c r="L38" s="61">
        <f>'30'!L108</f>
        <v>24.427916666666672</v>
      </c>
      <c r="M38" s="61">
        <f>'30'!M108</f>
        <v>91.176979166666698</v>
      </c>
      <c r="N38" s="61">
        <f>'30'!N108</f>
        <v>127.44791666666663</v>
      </c>
      <c r="O38" s="61">
        <f>'30'!O108</f>
        <v>5.000000000000001E-2</v>
      </c>
      <c r="P38" s="202">
        <f>'30'!P108</f>
        <v>0.47354166666666647</v>
      </c>
      <c r="Q38" s="61">
        <f>'30'!Q108</f>
        <v>9.1504166666666702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2.3604166666666671</v>
      </c>
      <c r="C40" s="16">
        <f t="shared" si="0"/>
        <v>0.62343749999999976</v>
      </c>
      <c r="D40" s="16">
        <f t="shared" si="0"/>
        <v>3.3629166666666648</v>
      </c>
      <c r="E40" s="16">
        <f t="shared" si="0"/>
        <v>1.2969791666666668</v>
      </c>
      <c r="F40" s="16">
        <f t="shared" si="0"/>
        <v>3.6329166666666679</v>
      </c>
      <c r="G40" s="16">
        <f t="shared" si="0"/>
        <v>22.676979166666673</v>
      </c>
      <c r="H40" s="16">
        <f t="shared" si="0"/>
        <v>7.0497916666666685</v>
      </c>
      <c r="I40" s="16">
        <f t="shared" si="0"/>
        <v>2.4038947368421049</v>
      </c>
      <c r="J40" s="16">
        <f t="shared" si="0"/>
        <v>0.45500000000000007</v>
      </c>
      <c r="K40" s="16">
        <f t="shared" si="0"/>
        <v>101.72177083333337</v>
      </c>
      <c r="L40" s="16">
        <f t="shared" si="0"/>
        <v>23.963229166666661</v>
      </c>
      <c r="M40" s="16">
        <f t="shared" si="0"/>
        <v>26.710208333333341</v>
      </c>
      <c r="N40" s="16">
        <f t="shared" si="0"/>
        <v>51.430208333333333</v>
      </c>
      <c r="O40" s="16">
        <f t="shared" si="0"/>
        <v>0</v>
      </c>
      <c r="P40" s="16">
        <f t="shared" si="0"/>
        <v>0.3247916666666667</v>
      </c>
      <c r="Q40" s="16">
        <f t="shared" si="0"/>
        <v>8.9453124999999982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8.3454166666666634</v>
      </c>
      <c r="C41" s="16">
        <f t="shared" si="1"/>
        <v>4.2146874999999993</v>
      </c>
      <c r="D41" s="16">
        <f t="shared" si="1"/>
        <v>12.287291666666661</v>
      </c>
      <c r="E41" s="16">
        <f t="shared" si="1"/>
        <v>5.7297872340425533</v>
      </c>
      <c r="F41" s="16">
        <f t="shared" si="1"/>
        <v>7.3021874999999996</v>
      </c>
      <c r="G41" s="16">
        <f t="shared" si="1"/>
        <v>95.392395833333296</v>
      </c>
      <c r="H41" s="16">
        <f t="shared" si="1"/>
        <v>69.737395833333309</v>
      </c>
      <c r="I41" s="16">
        <f t="shared" si="1"/>
        <v>9.0117708333333386</v>
      </c>
      <c r="J41" s="16">
        <f t="shared" si="1"/>
        <v>1.1536458333333333</v>
      </c>
      <c r="K41" s="16">
        <f t="shared" si="1"/>
        <v>276.05729166666663</v>
      </c>
      <c r="L41" s="16">
        <f t="shared" si="1"/>
        <v>36.301562500000003</v>
      </c>
      <c r="M41" s="16">
        <f t="shared" si="1"/>
        <v>97.466145833333258</v>
      </c>
      <c r="N41" s="16">
        <f t="shared" si="1"/>
        <v>262.72395833333331</v>
      </c>
      <c r="O41" s="16">
        <f t="shared" si="1"/>
        <v>0.27291666666666664</v>
      </c>
      <c r="P41" s="16">
        <f t="shared" si="1"/>
        <v>0.69874999999999998</v>
      </c>
      <c r="Q41" s="16">
        <f t="shared" si="1"/>
        <v>10.01770833333333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6.4568201272240886</v>
      </c>
      <c r="C42" s="16">
        <f t="shared" si="2"/>
        <v>2.8844061831218122</v>
      </c>
      <c r="D42" s="16">
        <f t="shared" si="2"/>
        <v>9.6227627480714215</v>
      </c>
      <c r="E42" s="16">
        <f t="shared" si="2"/>
        <v>3.3952545080564884</v>
      </c>
      <c r="F42" s="16">
        <f t="shared" si="2"/>
        <v>5.1796175804093574</v>
      </c>
      <c r="G42" s="16">
        <f t="shared" si="2"/>
        <v>45.391731171671871</v>
      </c>
      <c r="H42" s="16">
        <f t="shared" si="2"/>
        <v>18.513514301803188</v>
      </c>
      <c r="I42" s="16">
        <f t="shared" si="2"/>
        <v>4.4807613669590642</v>
      </c>
      <c r="J42" s="16">
        <f t="shared" si="2"/>
        <v>0.75710416666666658</v>
      </c>
      <c r="K42" s="16">
        <f t="shared" si="2"/>
        <v>187.39340409356728</v>
      </c>
      <c r="L42" s="16">
        <f t="shared" si="2"/>
        <v>29.219418201754383</v>
      </c>
      <c r="M42" s="16">
        <f t="shared" si="2"/>
        <v>63.481634539473689</v>
      </c>
      <c r="N42" s="16">
        <f t="shared" si="2"/>
        <v>196.66133004385969</v>
      </c>
      <c r="O42" s="16">
        <f t="shared" si="2"/>
        <v>3.5070906432748537E-2</v>
      </c>
      <c r="P42" s="16">
        <f t="shared" si="2"/>
        <v>0.43097467105263138</v>
      </c>
      <c r="Q42" s="16">
        <f t="shared" si="2"/>
        <v>9.4264615768251279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2.593008414813939</v>
      </c>
      <c r="C43" s="16">
        <f t="shared" si="3"/>
        <v>1.0337741021496956</v>
      </c>
      <c r="D43" s="16">
        <f t="shared" si="3"/>
        <v>3.6872533700738166</v>
      </c>
      <c r="E43" s="16">
        <f t="shared" si="3"/>
        <v>1.3630321958998772</v>
      </c>
      <c r="F43" s="16">
        <f t="shared" si="3"/>
        <v>1.022704409246558</v>
      </c>
      <c r="G43" s="16">
        <f t="shared" si="3"/>
        <v>17.979520062926813</v>
      </c>
      <c r="H43" s="16">
        <f t="shared" si="3"/>
        <v>12.320172852010797</v>
      </c>
      <c r="I43" s="16">
        <f t="shared" si="3"/>
        <v>1.4610856850101179</v>
      </c>
      <c r="J43" s="16">
        <f t="shared" si="3"/>
        <v>0.20170987961956599</v>
      </c>
      <c r="K43" s="16">
        <f t="shared" si="3"/>
        <v>36.214624861704209</v>
      </c>
      <c r="L43" s="16">
        <f t="shared" si="3"/>
        <v>2.9732903181304926</v>
      </c>
      <c r="M43" s="16">
        <f t="shared" si="3"/>
        <v>18.996179894667144</v>
      </c>
      <c r="N43" s="16">
        <f t="shared" si="3"/>
        <v>52.528931238321228</v>
      </c>
      <c r="O43" s="16">
        <f t="shared" si="3"/>
        <v>6.819765124885567E-2</v>
      </c>
      <c r="P43" s="16">
        <f t="shared" si="3"/>
        <v>7.3764597798713361E-2</v>
      </c>
      <c r="Q43" s="16">
        <f t="shared" si="3"/>
        <v>0.16961449292523745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216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T28" sqref="T28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2" t="s">
        <v>242</v>
      </c>
      <c r="E1" s="222"/>
      <c r="F1" s="222"/>
      <c r="G1" s="222"/>
      <c r="H1" s="222"/>
      <c r="I1" s="222"/>
      <c r="J1" s="223"/>
    </row>
    <row r="2" spans="2:24" ht="22.5" customHeight="1" thickBot="1" x14ac:dyDescent="0.3">
      <c r="B2" s="54"/>
      <c r="C2" s="111" t="s">
        <v>0</v>
      </c>
      <c r="D2" s="112" t="s">
        <v>246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4" t="s">
        <v>1</v>
      </c>
      <c r="H5" s="224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45446.489583333336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202.15</v>
      </c>
      <c r="I8" s="60">
        <v>0</v>
      </c>
      <c r="J8" s="61">
        <f>F8/H8</f>
        <v>0.98936433341578034</v>
      </c>
      <c r="K8" s="61">
        <f>(H8-F8)*100/F8</f>
        <v>1.0750000000000028</v>
      </c>
      <c r="L8" s="60" t="s">
        <v>67</v>
      </c>
      <c r="M8" s="78" t="s">
        <v>216</v>
      </c>
      <c r="O8" s="63">
        <v>45446.47152777778</v>
      </c>
      <c r="P8" s="64" t="s">
        <v>70</v>
      </c>
      <c r="Q8" s="64">
        <v>4417.08</v>
      </c>
      <c r="R8" s="64">
        <v>3347.31</v>
      </c>
      <c r="S8" s="77" t="s">
        <v>244</v>
      </c>
      <c r="T8" s="77">
        <v>830.99</v>
      </c>
      <c r="U8" s="86">
        <v>0.89139999999999997</v>
      </c>
      <c r="V8" s="86">
        <v>0.89570000000000005</v>
      </c>
      <c r="W8" s="60" t="s">
        <v>67</v>
      </c>
      <c r="X8" s="78" t="s">
        <v>216</v>
      </c>
    </row>
    <row r="9" spans="2:24" ht="15.75" x14ac:dyDescent="0.25">
      <c r="B9" s="63">
        <v>45465.736805555556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195.7</v>
      </c>
      <c r="I9" s="60">
        <v>0</v>
      </c>
      <c r="J9" s="61">
        <f t="shared" ref="J9:J14" si="0">F9/H9</f>
        <v>1.021972406745018</v>
      </c>
      <c r="K9" s="61">
        <f t="shared" ref="K9:K14" si="1">(H9-F9)*100/F9</f>
        <v>-2.1500000000000057</v>
      </c>
      <c r="L9" s="60" t="s">
        <v>67</v>
      </c>
      <c r="M9" s="62" t="s">
        <v>632</v>
      </c>
      <c r="O9" s="63">
        <v>45465.740277777775</v>
      </c>
      <c r="P9" s="64" t="s">
        <v>70</v>
      </c>
      <c r="Q9" s="64">
        <v>4601.37</v>
      </c>
      <c r="R9" s="64">
        <v>3473.6</v>
      </c>
      <c r="S9" s="77" t="s">
        <v>244</v>
      </c>
      <c r="T9" s="77">
        <v>836.63</v>
      </c>
      <c r="U9" s="86">
        <v>0.89570000000000005</v>
      </c>
      <c r="V9" s="86">
        <v>0.89080000000000004</v>
      </c>
      <c r="W9" s="60" t="s">
        <v>67</v>
      </c>
      <c r="X9" s="62" t="s">
        <v>632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216</v>
      </c>
      <c r="O10" s="63"/>
      <c r="P10" s="64" t="s">
        <v>70</v>
      </c>
      <c r="Q10" s="64"/>
      <c r="R10" s="64"/>
      <c r="S10" s="77" t="s">
        <v>244</v>
      </c>
      <c r="T10" s="77"/>
      <c r="U10" s="86"/>
      <c r="V10" s="86"/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244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244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0" t="s">
        <v>25</v>
      </c>
      <c r="D21" s="220"/>
      <c r="E21" s="220"/>
      <c r="F21" s="220"/>
      <c r="G21" s="220"/>
      <c r="H21" s="220"/>
      <c r="I21" s="45">
        <f>COUNT(B8:B20)</f>
        <v>2</v>
      </c>
      <c r="J21" s="46"/>
      <c r="K21" s="46"/>
      <c r="L21" s="47"/>
      <c r="M21" s="48"/>
      <c r="O21" s="80"/>
      <c r="P21" s="219" t="s">
        <v>84</v>
      </c>
      <c r="Q21" s="219"/>
      <c r="R21" s="219"/>
      <c r="S21" s="219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1" t="s">
        <v>2</v>
      </c>
      <c r="H24" s="221"/>
      <c r="I24" s="40"/>
      <c r="J24" s="51"/>
      <c r="K24" s="51"/>
      <c r="L24" s="40"/>
      <c r="M24" s="41"/>
      <c r="O24" s="68"/>
      <c r="P24" s="69"/>
      <c r="Q24" s="69"/>
      <c r="R24" s="69"/>
      <c r="S24" s="208" t="s">
        <v>71</v>
      </c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45446.53125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200.14</v>
      </c>
      <c r="I27" s="60">
        <v>0</v>
      </c>
      <c r="J27" s="61">
        <f>F27/H27</f>
        <v>0.99930048965724005</v>
      </c>
      <c r="K27" s="61">
        <f>(H27-F27)*100/F27</f>
        <v>6.9999999999993179E-2</v>
      </c>
      <c r="L27" s="60" t="s">
        <v>67</v>
      </c>
      <c r="M27" s="78" t="s">
        <v>216</v>
      </c>
      <c r="O27" s="63">
        <v>45446.47152777778</v>
      </c>
      <c r="P27" s="64" t="s">
        <v>71</v>
      </c>
      <c r="Q27" s="64">
        <v>5033.04</v>
      </c>
      <c r="R27" s="64">
        <v>3856.2</v>
      </c>
      <c r="S27" s="77" t="s">
        <v>245</v>
      </c>
      <c r="T27" s="77">
        <v>836.67</v>
      </c>
      <c r="U27" s="86">
        <v>0.93459999999999999</v>
      </c>
      <c r="V27" s="86">
        <v>0.93610000000000004</v>
      </c>
      <c r="W27" s="60" t="s">
        <v>67</v>
      </c>
      <c r="X27" s="78" t="s">
        <v>216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240</v>
      </c>
      <c r="O28" s="63">
        <v>45465.740277777775</v>
      </c>
      <c r="P28" s="64" t="s">
        <v>71</v>
      </c>
      <c r="Q28" s="64">
        <v>4940.82</v>
      </c>
      <c r="R28" s="64">
        <v>3778.34</v>
      </c>
      <c r="S28" s="77" t="s">
        <v>245</v>
      </c>
      <c r="T28" s="77">
        <v>845.38</v>
      </c>
      <c r="U28" s="86">
        <v>0.93610000000000004</v>
      </c>
      <c r="V28" s="86">
        <v>0.94789999999999996</v>
      </c>
      <c r="W28" s="60" t="s">
        <v>67</v>
      </c>
      <c r="X28" s="62" t="s">
        <v>632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241</v>
      </c>
      <c r="O29" s="63"/>
      <c r="P29" s="64" t="s">
        <v>71</v>
      </c>
      <c r="Q29" s="64"/>
      <c r="R29" s="64"/>
      <c r="S29" s="77" t="s">
        <v>245</v>
      </c>
      <c r="T29" s="77"/>
      <c r="U29" s="86"/>
      <c r="V29" s="86"/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241</v>
      </c>
      <c r="O30" s="63"/>
      <c r="P30" s="64" t="s">
        <v>71</v>
      </c>
      <c r="Q30" s="64"/>
      <c r="R30" s="64"/>
      <c r="S30" s="77" t="s">
        <v>245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9" t="s">
        <v>85</v>
      </c>
      <c r="Q40" s="219"/>
      <c r="R40" s="219"/>
      <c r="S40" s="219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0" t="s">
        <v>26</v>
      </c>
      <c r="E41" s="220"/>
      <c r="F41" s="220"/>
      <c r="G41" s="220"/>
      <c r="H41" s="220"/>
      <c r="I41" s="220"/>
      <c r="J41" s="52">
        <f>COUNT(B27:B39)</f>
        <v>1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1" t="s">
        <v>23</v>
      </c>
      <c r="H44" s="221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0" t="s">
        <v>27</v>
      </c>
      <c r="E61" s="220"/>
      <c r="F61" s="220"/>
      <c r="G61" s="220"/>
      <c r="H61" s="220"/>
      <c r="I61" s="220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1" t="s">
        <v>3</v>
      </c>
      <c r="H64" s="221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45446.549305555556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4.97</v>
      </c>
      <c r="I67" s="60">
        <v>0</v>
      </c>
      <c r="J67" s="61">
        <f>F67/H67</f>
        <v>1.0060362173038231</v>
      </c>
      <c r="K67" s="61">
        <f>(H67-F67)*100/F67</f>
        <v>-0.60000000000000497</v>
      </c>
      <c r="L67" s="60" t="s">
        <v>67</v>
      </c>
      <c r="M67" s="78" t="s">
        <v>240</v>
      </c>
    </row>
    <row r="68" spans="2:13" ht="15.75" x14ac:dyDescent="0.25">
      <c r="B68" s="63">
        <v>45465.744444444441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4.8499999999999996</v>
      </c>
      <c r="I68" s="60">
        <v>0</v>
      </c>
      <c r="J68" s="61">
        <f t="shared" ref="J68:J73" si="4">F68/H68</f>
        <v>1.0309278350515465</v>
      </c>
      <c r="K68" s="61">
        <f t="shared" ref="K68:K73" si="5">(H68-F68)*100/F68</f>
        <v>-3.0000000000000071</v>
      </c>
      <c r="L68" s="60" t="s">
        <v>67</v>
      </c>
      <c r="M68" s="62" t="s">
        <v>632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241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0" t="s">
        <v>28</v>
      </c>
      <c r="E81" s="220"/>
      <c r="F81" s="220"/>
      <c r="G81" s="220"/>
      <c r="H81" s="220"/>
      <c r="I81" s="220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1" t="s">
        <v>24</v>
      </c>
      <c r="H84" s="221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0" t="s">
        <v>29</v>
      </c>
      <c r="E101" s="220"/>
      <c r="F101" s="220"/>
      <c r="G101" s="220"/>
      <c r="H101" s="220"/>
      <c r="I101" s="220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4" t="s">
        <v>4</v>
      </c>
      <c r="H104" s="224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45465.729166666664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315.60000000000002</v>
      </c>
      <c r="I107" s="60">
        <f>G107-E107</f>
        <v>0</v>
      </c>
      <c r="J107" s="61">
        <f>F107/H107</f>
        <v>1.0139416983523446</v>
      </c>
      <c r="K107" s="61">
        <f>(H107-F107)*100/F107</f>
        <v>-1.3749999999999929</v>
      </c>
      <c r="L107" s="60" t="s">
        <v>67</v>
      </c>
      <c r="M107" s="62" t="s">
        <v>632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632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0" t="s">
        <v>69</v>
      </c>
      <c r="D119" s="220"/>
      <c r="E119" s="220"/>
      <c r="F119" s="220"/>
      <c r="G119" s="220"/>
      <c r="H119" s="220"/>
      <c r="I119" s="52">
        <f>COUNT(B107:B118)</f>
        <v>1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5" t="s">
        <v>243</v>
      </c>
      <c r="C2" s="225"/>
      <c r="D2" s="226">
        <v>45017</v>
      </c>
      <c r="E2" s="226"/>
    </row>
    <row r="3" spans="1:5" x14ac:dyDescent="0.25">
      <c r="B3" s="225" t="s">
        <v>21</v>
      </c>
      <c r="C3" s="225"/>
      <c r="D3" s="226"/>
      <c r="E3" s="226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7" t="s">
        <v>22</v>
      </c>
      <c r="C44" s="227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3" t="s">
        <v>220</v>
      </c>
      <c r="C2" s="243"/>
      <c r="D2" s="243"/>
      <c r="E2" s="243"/>
      <c r="F2" s="244">
        <v>44713</v>
      </c>
      <c r="G2" s="245"/>
      <c r="H2" s="245"/>
    </row>
    <row r="3" spans="2:24" s="12" customFormat="1" ht="15" customHeight="1" x14ac:dyDescent="0.25">
      <c r="B3" s="243"/>
      <c r="C3" s="243"/>
      <c r="D3" s="243"/>
      <c r="E3" s="243"/>
      <c r="F3" s="245"/>
      <c r="G3" s="245"/>
      <c r="H3" s="245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6" t="s">
        <v>4</v>
      </c>
      <c r="C12" s="248" t="s">
        <v>133</v>
      </c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127"/>
      <c r="U12" s="125"/>
    </row>
    <row r="13" spans="2:24" ht="15" customHeight="1" x14ac:dyDescent="0.25">
      <c r="B13" s="247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47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7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47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47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7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8" t="s">
        <v>2</v>
      </c>
      <c r="C25" s="241" t="s">
        <v>133</v>
      </c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30"/>
      <c r="S25" s="188"/>
      <c r="T25" s="189"/>
    </row>
    <row r="26" spans="2:28" ht="15" customHeight="1" x14ac:dyDescent="0.3">
      <c r="B26" s="238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8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8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0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2" t="s">
        <v>3</v>
      </c>
      <c r="C36" s="234" t="s">
        <v>133</v>
      </c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5"/>
    </row>
    <row r="37" spans="2:25" ht="15.75" customHeight="1" x14ac:dyDescent="0.25">
      <c r="B37" s="233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3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3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3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6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7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37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7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37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8" t="s">
        <v>184</v>
      </c>
      <c r="C61" s="241" t="s">
        <v>133</v>
      </c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30"/>
      <c r="S61" s="166"/>
      <c r="T61" s="167"/>
    </row>
    <row r="62" spans="2:20" ht="15.75" x14ac:dyDescent="0.3">
      <c r="B62" s="238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39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39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0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8" t="s">
        <v>201</v>
      </c>
      <c r="C69" s="241" t="s">
        <v>133</v>
      </c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30"/>
      <c r="S69" s="166"/>
      <c r="T69" s="167"/>
    </row>
    <row r="70" spans="2:20" ht="15.75" x14ac:dyDescent="0.3">
      <c r="B70" s="238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8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39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0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28" t="s">
        <v>24</v>
      </c>
      <c r="C77" s="230" t="s">
        <v>133</v>
      </c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177"/>
      <c r="S77" s="177"/>
      <c r="T77" s="178"/>
    </row>
    <row r="78" spans="2:20" x14ac:dyDescent="0.25">
      <c r="B78" s="229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29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9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29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29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29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2024-08-28T13:18:37Z</dcterms:modified>
</cp:coreProperties>
</file>